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\0승환\템플릿\"/>
    </mc:Choice>
  </mc:AlternateContent>
  <xr:revisionPtr revIDLastSave="0" documentId="13_ncr:1_{769D2CEC-19A4-4349-82CA-4D1BDA110704}" xr6:coauthVersionLast="47" xr6:coauthVersionMax="47" xr10:uidLastSave="{00000000-0000-0000-0000-000000000000}"/>
  <bookViews>
    <workbookView xWindow="1020" yWindow="810" windowWidth="27120" windowHeight="14265" xr2:uid="{00000000-000D-0000-FFFF-FFFF00000000}"/>
  </bookViews>
  <sheets>
    <sheet name="선물시장종합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W20" i="1" s="1"/>
  <c r="J58" i="1"/>
  <c r="I58" i="1"/>
  <c r="H58" i="1"/>
  <c r="J57" i="1"/>
  <c r="I57" i="1"/>
  <c r="H57" i="1"/>
  <c r="J56" i="1"/>
  <c r="I56" i="1"/>
  <c r="H56" i="1"/>
  <c r="J55" i="1"/>
  <c r="I55" i="1"/>
  <c r="H55" i="1"/>
  <c r="J54" i="1"/>
  <c r="I54" i="1"/>
  <c r="H54" i="1"/>
  <c r="J53" i="1"/>
  <c r="I53" i="1"/>
  <c r="H53" i="1"/>
  <c r="J52" i="1"/>
  <c r="I52" i="1"/>
  <c r="H52" i="1"/>
  <c r="J51" i="1"/>
  <c r="I51" i="1"/>
  <c r="H51" i="1"/>
  <c r="J50" i="1"/>
  <c r="I50" i="1"/>
  <c r="H50" i="1"/>
  <c r="J49" i="1"/>
  <c r="I49" i="1"/>
  <c r="H49" i="1"/>
  <c r="J48" i="1"/>
  <c r="I48" i="1"/>
  <c r="H48" i="1"/>
  <c r="J47" i="1"/>
  <c r="I47" i="1"/>
  <c r="H47" i="1"/>
  <c r="J46" i="1"/>
  <c r="I46" i="1"/>
  <c r="H46" i="1"/>
  <c r="J45" i="1"/>
  <c r="I45" i="1"/>
  <c r="H45" i="1"/>
  <c r="J44" i="1"/>
  <c r="I44" i="1"/>
  <c r="H44" i="1"/>
  <c r="J43" i="1"/>
  <c r="I43" i="1"/>
  <c r="H43" i="1"/>
  <c r="J42" i="1"/>
  <c r="I42" i="1"/>
  <c r="H42" i="1"/>
  <c r="J41" i="1"/>
  <c r="I41" i="1"/>
  <c r="H41" i="1"/>
  <c r="J40" i="1"/>
  <c r="I40" i="1"/>
  <c r="H40" i="1"/>
  <c r="J39" i="1"/>
  <c r="I39" i="1"/>
  <c r="H39" i="1"/>
  <c r="E4" i="1"/>
  <c r="Z19" i="1" s="1"/>
  <c r="AE23" i="1"/>
  <c r="D39" i="1" s="1"/>
  <c r="AF24" i="1"/>
  <c r="E40" i="1" s="1"/>
  <c r="AG24" i="1"/>
  <c r="F40" i="1" s="1"/>
  <c r="AH24" i="1"/>
  <c r="G40" i="1" s="1"/>
  <c r="AF25" i="1"/>
  <c r="E41" i="1" s="1"/>
  <c r="AG25" i="1"/>
  <c r="F41" i="1" s="1"/>
  <c r="AH25" i="1"/>
  <c r="G41" i="1" s="1"/>
  <c r="AF26" i="1"/>
  <c r="E42" i="1" s="1"/>
  <c r="AG26" i="1"/>
  <c r="F42" i="1" s="1"/>
  <c r="AH26" i="1"/>
  <c r="G42" i="1" s="1"/>
  <c r="AF27" i="1"/>
  <c r="E43" i="1" s="1"/>
  <c r="AG27" i="1"/>
  <c r="F43" i="1" s="1"/>
  <c r="AH27" i="1"/>
  <c r="G43" i="1" s="1"/>
  <c r="AF28" i="1"/>
  <c r="E44" i="1" s="1"/>
  <c r="AG28" i="1"/>
  <c r="F44" i="1" s="1"/>
  <c r="AH28" i="1"/>
  <c r="G44" i="1" s="1"/>
  <c r="AF29" i="1"/>
  <c r="E45" i="1" s="1"/>
  <c r="AG29" i="1"/>
  <c r="F45" i="1" s="1"/>
  <c r="AH29" i="1"/>
  <c r="G45" i="1" s="1"/>
  <c r="AF30" i="1"/>
  <c r="E46" i="1" s="1"/>
  <c r="AG30" i="1"/>
  <c r="F46" i="1" s="1"/>
  <c r="AH30" i="1"/>
  <c r="G46" i="1" s="1"/>
  <c r="AF31" i="1"/>
  <c r="E47" i="1" s="1"/>
  <c r="AG31" i="1"/>
  <c r="F47" i="1" s="1"/>
  <c r="AH31" i="1"/>
  <c r="G47" i="1" s="1"/>
  <c r="AF32" i="1"/>
  <c r="E48" i="1" s="1"/>
  <c r="AG32" i="1"/>
  <c r="F48" i="1" s="1"/>
  <c r="AH32" i="1"/>
  <c r="G48" i="1" s="1"/>
  <c r="AF33" i="1"/>
  <c r="E49" i="1" s="1"/>
  <c r="AG33" i="1"/>
  <c r="F49" i="1" s="1"/>
  <c r="AH33" i="1"/>
  <c r="G49" i="1" s="1"/>
  <c r="AF34" i="1"/>
  <c r="E50" i="1" s="1"/>
  <c r="AG34" i="1"/>
  <c r="F50" i="1" s="1"/>
  <c r="AH34" i="1"/>
  <c r="G50" i="1" s="1"/>
  <c r="AF35" i="1"/>
  <c r="E51" i="1" s="1"/>
  <c r="AG35" i="1"/>
  <c r="F51" i="1" s="1"/>
  <c r="AH35" i="1"/>
  <c r="G51" i="1" s="1"/>
  <c r="AF36" i="1"/>
  <c r="E52" i="1" s="1"/>
  <c r="AG36" i="1"/>
  <c r="F52" i="1" s="1"/>
  <c r="AH36" i="1"/>
  <c r="G52" i="1" s="1"/>
  <c r="AF37" i="1"/>
  <c r="E53" i="1" s="1"/>
  <c r="AG37" i="1"/>
  <c r="F53" i="1" s="1"/>
  <c r="AH37" i="1"/>
  <c r="G53" i="1" s="1"/>
  <c r="AF38" i="1"/>
  <c r="E54" i="1" s="1"/>
  <c r="AG38" i="1"/>
  <c r="F54" i="1" s="1"/>
  <c r="AH38" i="1"/>
  <c r="G54" i="1" s="1"/>
  <c r="AF39" i="1"/>
  <c r="E55" i="1" s="1"/>
  <c r="AG39" i="1"/>
  <c r="F55" i="1" s="1"/>
  <c r="AH39" i="1"/>
  <c r="G55" i="1" s="1"/>
  <c r="AF40" i="1"/>
  <c r="E56" i="1" s="1"/>
  <c r="AG40" i="1"/>
  <c r="F56" i="1" s="1"/>
  <c r="AH40" i="1"/>
  <c r="G56" i="1" s="1"/>
  <c r="AF41" i="1"/>
  <c r="E57" i="1" s="1"/>
  <c r="AG41" i="1"/>
  <c r="F57" i="1" s="1"/>
  <c r="AH41" i="1"/>
  <c r="G57" i="1" s="1"/>
  <c r="AF42" i="1"/>
  <c r="E58" i="1" s="1"/>
  <c r="AG42" i="1"/>
  <c r="F58" i="1" s="1"/>
  <c r="AH42" i="1"/>
  <c r="G58" i="1" s="1"/>
  <c r="AF43" i="1"/>
  <c r="AG43" i="1"/>
  <c r="AH43" i="1"/>
  <c r="AF44" i="1"/>
  <c r="AG44" i="1"/>
  <c r="AH44" i="1"/>
  <c r="AF45" i="1"/>
  <c r="AG45" i="1"/>
  <c r="AH45" i="1"/>
  <c r="AF46" i="1"/>
  <c r="AG46" i="1"/>
  <c r="AH46" i="1"/>
  <c r="AF47" i="1"/>
  <c r="AG47" i="1"/>
  <c r="AH47" i="1"/>
  <c r="AF48" i="1"/>
  <c r="AG48" i="1"/>
  <c r="AH48" i="1"/>
  <c r="AF49" i="1"/>
  <c r="AG49" i="1"/>
  <c r="AH49" i="1"/>
  <c r="AF50" i="1"/>
  <c r="AG50" i="1"/>
  <c r="AH50" i="1"/>
  <c r="AF51" i="1"/>
  <c r="AG51" i="1"/>
  <c r="AH51" i="1"/>
  <c r="AF52" i="1"/>
  <c r="AG52" i="1"/>
  <c r="AH52" i="1"/>
  <c r="AE24" i="1"/>
  <c r="D40" i="1" s="1"/>
  <c r="AE25" i="1"/>
  <c r="D41" i="1" s="1"/>
  <c r="AE26" i="1"/>
  <c r="D42" i="1" s="1"/>
  <c r="AE27" i="1"/>
  <c r="D43" i="1" s="1"/>
  <c r="AE28" i="1"/>
  <c r="D44" i="1" s="1"/>
  <c r="AE29" i="1"/>
  <c r="D45" i="1" s="1"/>
  <c r="AE30" i="1"/>
  <c r="D46" i="1" s="1"/>
  <c r="AE31" i="1"/>
  <c r="D47" i="1" s="1"/>
  <c r="AE32" i="1"/>
  <c r="D48" i="1" s="1"/>
  <c r="AE33" i="1"/>
  <c r="D49" i="1" s="1"/>
  <c r="AE34" i="1"/>
  <c r="D50" i="1" s="1"/>
  <c r="AE35" i="1"/>
  <c r="D51" i="1" s="1"/>
  <c r="AE36" i="1"/>
  <c r="D52" i="1" s="1"/>
  <c r="AE37" i="1"/>
  <c r="D53" i="1" s="1"/>
  <c r="AE38" i="1"/>
  <c r="D54" i="1" s="1"/>
  <c r="AE39" i="1"/>
  <c r="D55" i="1" s="1"/>
  <c r="AE40" i="1"/>
  <c r="D56" i="1" s="1"/>
  <c r="AE41" i="1"/>
  <c r="D57" i="1" s="1"/>
  <c r="AE42" i="1"/>
  <c r="D58" i="1" s="1"/>
  <c r="AE43" i="1"/>
  <c r="AE44" i="1"/>
  <c r="AE45" i="1"/>
  <c r="AE46" i="1"/>
  <c r="AE47" i="1"/>
  <c r="AE48" i="1"/>
  <c r="AE49" i="1"/>
  <c r="AE50" i="1"/>
  <c r="AE51" i="1"/>
  <c r="AE52" i="1"/>
  <c r="AG23" i="1"/>
  <c r="F39" i="1" s="1"/>
  <c r="AH23" i="1"/>
  <c r="G39" i="1" s="1"/>
  <c r="AF23" i="1"/>
  <c r="E39" i="1" s="1"/>
  <c r="O11" i="1"/>
  <c r="N11" i="1"/>
  <c r="M11" i="1"/>
  <c r="L11" i="1"/>
  <c r="K11" i="1"/>
  <c r="J11" i="1"/>
  <c r="I11" i="1"/>
  <c r="H11" i="1"/>
  <c r="G11" i="1"/>
  <c r="F11" i="1"/>
  <c r="E11" i="1"/>
  <c r="G8" i="1"/>
  <c r="I8" i="1"/>
  <c r="I30" i="1"/>
  <c r="E26" i="1"/>
  <c r="J10" i="1"/>
  <c r="N10" i="1"/>
  <c r="J9" i="1"/>
  <c r="E12" i="1"/>
  <c r="O10" i="1"/>
  <c r="E31" i="1"/>
  <c r="H15" i="1"/>
  <c r="H31" i="1"/>
  <c r="H12" i="1"/>
  <c r="I24" i="1"/>
  <c r="I12" i="1"/>
  <c r="N9" i="1"/>
  <c r="I27" i="1"/>
  <c r="H24" i="1"/>
  <c r="I15" i="1"/>
  <c r="I31" i="1"/>
  <c r="H10" i="1"/>
  <c r="O7" i="1"/>
  <c r="J12" i="1"/>
  <c r="M15" i="1"/>
  <c r="F12" i="1"/>
  <c r="F8" i="1"/>
  <c r="G32" i="1"/>
  <c r="N8" i="1"/>
  <c r="K13" i="1"/>
  <c r="H26" i="1"/>
  <c r="F28" i="1"/>
  <c r="E13" i="1"/>
  <c r="F25" i="1"/>
  <c r="E29" i="1"/>
  <c r="E34" i="1"/>
  <c r="J13" i="1"/>
  <c r="F10" i="1"/>
  <c r="G15" i="1"/>
  <c r="G30" i="1"/>
  <c r="F13" i="1"/>
  <c r="J33" i="1"/>
  <c r="K15" i="1"/>
  <c r="E9" i="1"/>
  <c r="G13" i="1"/>
  <c r="J7" i="1"/>
  <c r="E27" i="1"/>
  <c r="E30" i="1"/>
  <c r="N7" i="1"/>
  <c r="J31" i="1"/>
  <c r="G27" i="1"/>
  <c r="J24" i="1"/>
  <c r="I9" i="1"/>
  <c r="L15" i="1"/>
  <c r="J27" i="1"/>
  <c r="E10" i="1"/>
  <c r="H35" i="1"/>
  <c r="K8" i="1"/>
  <c r="O15" i="1"/>
  <c r="H14" i="1"/>
  <c r="E8" i="1"/>
  <c r="W21" i="1"/>
  <c r="H8" i="1"/>
  <c r="N13" i="1"/>
  <c r="G9" i="1"/>
  <c r="J25" i="1"/>
  <c r="E28" i="1"/>
  <c r="H29" i="1"/>
  <c r="H33" i="1"/>
  <c r="O9" i="1"/>
  <c r="F33" i="1"/>
  <c r="E24" i="1"/>
  <c r="L10" i="1"/>
  <c r="L7" i="1"/>
  <c r="G26" i="1"/>
  <c r="J28" i="1"/>
  <c r="F32" i="1"/>
  <c r="E25" i="1"/>
  <c r="I14" i="1"/>
  <c r="O12" i="1"/>
  <c r="G10" i="1"/>
  <c r="I29" i="1"/>
  <c r="I34" i="1"/>
  <c r="M14" i="1"/>
  <c r="M7" i="1"/>
  <c r="J35" i="1"/>
  <c r="F34" i="1"/>
  <c r="G31" i="1"/>
  <c r="I7" i="1"/>
  <c r="G29" i="1"/>
  <c r="L13" i="1"/>
  <c r="G24" i="1"/>
  <c r="O8" i="1"/>
  <c r="M10" i="1"/>
  <c r="K7" i="1"/>
  <c r="F7" i="1"/>
  <c r="F27" i="1"/>
  <c r="G12" i="1"/>
  <c r="O14" i="1"/>
  <c r="H25" i="1"/>
  <c r="K9" i="1"/>
  <c r="I10" i="1"/>
  <c r="L8" i="1"/>
  <c r="F14" i="1"/>
  <c r="F35" i="1"/>
  <c r="G7" i="1"/>
  <c r="O13" i="1"/>
  <c r="M8" i="1"/>
  <c r="L12" i="1"/>
  <c r="I33" i="1"/>
  <c r="K14" i="1"/>
  <c r="N15" i="1"/>
  <c r="I25" i="1"/>
  <c r="G33" i="1"/>
  <c r="G14" i="1"/>
  <c r="I26" i="1"/>
  <c r="F15" i="1"/>
  <c r="L9" i="1"/>
  <c r="H30" i="1"/>
  <c r="I13" i="1"/>
  <c r="I35" i="1"/>
  <c r="N14" i="1"/>
  <c r="G34" i="1"/>
  <c r="J14" i="1"/>
  <c r="K12" i="1"/>
  <c r="J8" i="1"/>
  <c r="H7" i="1"/>
  <c r="J32" i="1"/>
  <c r="F31" i="1"/>
  <c r="H32" i="1"/>
  <c r="N12" i="1"/>
  <c r="H13" i="1"/>
  <c r="I32" i="1"/>
  <c r="E14" i="1"/>
  <c r="F9" i="1"/>
  <c r="F26" i="1"/>
  <c r="M13" i="1"/>
  <c r="E15" i="1"/>
  <c r="F29" i="1"/>
  <c r="H9" i="1"/>
  <c r="H28" i="1"/>
  <c r="H34" i="1"/>
  <c r="J30" i="1"/>
  <c r="E33" i="1"/>
  <c r="G35" i="1"/>
  <c r="E7" i="1"/>
  <c r="G25" i="1"/>
  <c r="I28" i="1"/>
  <c r="M9" i="1"/>
  <c r="F30" i="1"/>
  <c r="J26" i="1"/>
  <c r="F24" i="1"/>
  <c r="H27" i="1"/>
  <c r="E32" i="1"/>
  <c r="J29" i="1"/>
  <c r="J34" i="1"/>
  <c r="L14" i="1"/>
  <c r="J15" i="1"/>
  <c r="G28" i="1"/>
  <c r="E35" i="1"/>
  <c r="K10" i="1"/>
  <c r="M12" i="1"/>
  <c r="F36" i="1" l="1"/>
  <c r="G36" i="1"/>
  <c r="H36" i="1"/>
  <c r="I36" i="1"/>
  <c r="J36" i="1"/>
  <c r="E36" i="1"/>
</calcChain>
</file>

<file path=xl/sharedStrings.xml><?xml version="1.0" encoding="utf-8"?>
<sst xmlns="http://schemas.openxmlformats.org/spreadsheetml/2006/main" count="144" uniqueCount="117">
  <si>
    <t>종목명</t>
  </si>
  <si>
    <t>구분</t>
  </si>
  <si>
    <t>코드</t>
  </si>
  <si>
    <t>KOSPI200 연결</t>
  </si>
  <si>
    <t>FUT</t>
  </si>
  <si>
    <t>C01</t>
  </si>
  <si>
    <t>C65</t>
  </si>
  <si>
    <t>C66</t>
  </si>
  <si>
    <t>C67</t>
  </si>
  <si>
    <t>USD 연결</t>
  </si>
  <si>
    <t>C75</t>
  </si>
  <si>
    <t>EUR 연결</t>
  </si>
  <si>
    <t>C77</t>
  </si>
  <si>
    <t>JPY 연결</t>
  </si>
  <si>
    <t>C76</t>
  </si>
  <si>
    <t>GOLD 연결</t>
  </si>
  <si>
    <t>KOSPI200</t>
    <phoneticPr fontId="1" type="noConversion"/>
  </si>
  <si>
    <t>USD</t>
    <phoneticPr fontId="1" type="noConversion"/>
  </si>
  <si>
    <t>EUR</t>
    <phoneticPr fontId="1" type="noConversion"/>
  </si>
  <si>
    <t>JPY</t>
    <phoneticPr fontId="1" type="noConversion"/>
  </si>
  <si>
    <t>GOLD</t>
    <phoneticPr fontId="1" type="noConversion"/>
  </si>
  <si>
    <t>FUT</t>
    <phoneticPr fontId="1" type="noConversion"/>
  </si>
  <si>
    <t>종목</t>
    <phoneticPr fontId="1" type="noConversion"/>
  </si>
  <si>
    <t>현재가</t>
    <phoneticPr fontId="1" type="noConversion"/>
  </si>
  <si>
    <t>전일대비</t>
    <phoneticPr fontId="1" type="noConversion"/>
  </si>
  <si>
    <t>등락률</t>
    <phoneticPr fontId="1" type="noConversion"/>
  </si>
  <si>
    <t>시가</t>
    <phoneticPr fontId="1" type="noConversion"/>
  </si>
  <si>
    <t>고가</t>
    <phoneticPr fontId="1" type="noConversion"/>
  </si>
  <si>
    <t>저가</t>
    <phoneticPr fontId="1" type="noConversion"/>
  </si>
  <si>
    <t>거래량</t>
    <phoneticPr fontId="1" type="noConversion"/>
  </si>
  <si>
    <t>거래대금</t>
    <phoneticPr fontId="1" type="noConversion"/>
  </si>
  <si>
    <t>이론가</t>
    <phoneticPr fontId="1" type="noConversion"/>
  </si>
  <si>
    <t>시장베이시스</t>
    <phoneticPr fontId="1" type="noConversion"/>
  </si>
  <si>
    <t>이론베이시스</t>
    <phoneticPr fontId="1" type="noConversion"/>
  </si>
  <si>
    <t>일자</t>
    <phoneticPr fontId="1" type="noConversion"/>
  </si>
  <si>
    <t>외국인합</t>
    <phoneticPr fontId="1" type="noConversion"/>
  </si>
  <si>
    <t>개인</t>
    <phoneticPr fontId="1" type="noConversion"/>
  </si>
  <si>
    <t>기관계</t>
    <phoneticPr fontId="1" type="noConversion"/>
  </si>
  <si>
    <t>증권/선물</t>
    <phoneticPr fontId="1" type="noConversion"/>
  </si>
  <si>
    <t>보험</t>
    <phoneticPr fontId="1" type="noConversion"/>
  </si>
  <si>
    <t>투신</t>
    <phoneticPr fontId="1" type="noConversion"/>
  </si>
  <si>
    <t>사모펀드</t>
    <phoneticPr fontId="1" type="noConversion"/>
  </si>
  <si>
    <t>은행</t>
    <phoneticPr fontId="1" type="noConversion"/>
  </si>
  <si>
    <t>종금/저축</t>
    <phoneticPr fontId="1" type="noConversion"/>
  </si>
  <si>
    <t>연기금</t>
    <phoneticPr fontId="1" type="noConversion"/>
  </si>
  <si>
    <t>정부</t>
    <phoneticPr fontId="1" type="noConversion"/>
  </si>
  <si>
    <t>기타법인</t>
    <phoneticPr fontId="1" type="noConversion"/>
  </si>
  <si>
    <t>전체</t>
    <phoneticPr fontId="1" type="noConversion"/>
  </si>
  <si>
    <t>매도수량</t>
    <phoneticPr fontId="1" type="noConversion"/>
  </si>
  <si>
    <t>매수수량</t>
    <phoneticPr fontId="1" type="noConversion"/>
  </si>
  <si>
    <t>매도금액</t>
    <phoneticPr fontId="1" type="noConversion"/>
  </si>
  <si>
    <t>매수금액</t>
    <phoneticPr fontId="1" type="noConversion"/>
  </si>
  <si>
    <t>순매수금액</t>
    <phoneticPr fontId="1" type="noConversion"/>
  </si>
  <si>
    <t>순매수수량</t>
    <phoneticPr fontId="1" type="noConversion"/>
  </si>
  <si>
    <t>수량</t>
    <phoneticPr fontId="1" type="noConversion"/>
  </si>
  <si>
    <t>순매수</t>
    <phoneticPr fontId="1" type="noConversion"/>
  </si>
  <si>
    <t>매도</t>
    <phoneticPr fontId="1" type="noConversion"/>
  </si>
  <si>
    <t>매수</t>
    <phoneticPr fontId="1" type="noConversion"/>
  </si>
  <si>
    <t>투자자</t>
    <phoneticPr fontId="1" type="noConversion"/>
  </si>
  <si>
    <t>금액(백만)</t>
    <phoneticPr fontId="1" type="noConversion"/>
  </si>
  <si>
    <t>종목별 투자자 동향</t>
    <phoneticPr fontId="1" type="noConversion"/>
  </si>
  <si>
    <t>시작</t>
  </si>
  <si>
    <t>종료</t>
  </si>
  <si>
    <t>Data 개수</t>
  </si>
  <si>
    <t>주기</t>
  </si>
  <si>
    <t>일</t>
  </si>
  <si>
    <t>정렬</t>
  </si>
  <si>
    <t>D</t>
  </si>
  <si>
    <t>영업일</t>
  </si>
  <si>
    <t>시세산출</t>
  </si>
  <si>
    <t>종가</t>
  </si>
  <si>
    <t>일자</t>
  </si>
  <si>
    <t>기관순매수금액</t>
  </si>
  <si>
    <t>외국인합순매수금액</t>
  </si>
  <si>
    <t>개인순매수금액</t>
  </si>
  <si>
    <t>외국인합</t>
    <phoneticPr fontId="1" type="noConversion"/>
  </si>
  <si>
    <t>개인</t>
    <phoneticPr fontId="1" type="noConversion"/>
  </si>
  <si>
    <t>일자</t>
    <phoneticPr fontId="1" type="noConversion"/>
  </si>
  <si>
    <t>선물시장종합</t>
    <phoneticPr fontId="1" type="noConversion"/>
  </si>
  <si>
    <t>현재가</t>
    <phoneticPr fontId="1" type="noConversion"/>
  </si>
  <si>
    <t>미결제약정</t>
    <phoneticPr fontId="1" type="noConversion"/>
  </si>
  <si>
    <t>기관계</t>
    <phoneticPr fontId="1" type="noConversion"/>
  </si>
  <si>
    <t>거래량</t>
    <phoneticPr fontId="1" type="noConversion"/>
  </si>
  <si>
    <t>C88</t>
    <phoneticPr fontId="1" type="noConversion"/>
  </si>
  <si>
    <t>외국인합</t>
    <phoneticPr fontId="1" type="noConversion"/>
  </si>
  <si>
    <t>개인</t>
    <phoneticPr fontId="1" type="noConversion"/>
  </si>
  <si>
    <t>기관</t>
    <phoneticPr fontId="1" type="noConversion"/>
  </si>
  <si>
    <t>증권/선물</t>
    <phoneticPr fontId="1" type="noConversion"/>
  </si>
  <si>
    <t>보험</t>
    <phoneticPr fontId="1" type="noConversion"/>
  </si>
  <si>
    <t>투신</t>
    <phoneticPr fontId="1" type="noConversion"/>
  </si>
  <si>
    <t>사모펀드</t>
    <phoneticPr fontId="1" type="noConversion"/>
  </si>
  <si>
    <t>은행</t>
    <phoneticPr fontId="1" type="noConversion"/>
  </si>
  <si>
    <t>종신금</t>
    <phoneticPr fontId="1" type="noConversion"/>
  </si>
  <si>
    <t>연기금</t>
    <phoneticPr fontId="1" type="noConversion"/>
  </si>
  <si>
    <t>국가/지방</t>
    <phoneticPr fontId="1" type="noConversion"/>
  </si>
  <si>
    <t>기타</t>
    <phoneticPr fontId="1" type="noConversion"/>
  </si>
  <si>
    <t>KOSPI200</t>
    <phoneticPr fontId="1" type="noConversion"/>
  </si>
  <si>
    <t>USD</t>
    <phoneticPr fontId="1" type="noConversion"/>
  </si>
  <si>
    <t>EUR</t>
    <phoneticPr fontId="1" type="noConversion"/>
  </si>
  <si>
    <t>JPY</t>
    <phoneticPr fontId="1" type="noConversion"/>
  </si>
  <si>
    <t>C88</t>
    <phoneticPr fontId="1" type="noConversion"/>
  </si>
  <si>
    <t>GOLD</t>
    <phoneticPr fontId="1" type="noConversion"/>
  </si>
  <si>
    <t>기관계</t>
    <phoneticPr fontId="1" type="noConversion"/>
  </si>
  <si>
    <t>외국인합</t>
    <phoneticPr fontId="1" type="noConversion"/>
  </si>
  <si>
    <t>개인</t>
    <phoneticPr fontId="1" type="noConversion"/>
  </si>
  <si>
    <t>현재가</t>
    <phoneticPr fontId="1" type="noConversion"/>
  </si>
  <si>
    <t>거래량</t>
    <phoneticPr fontId="1" type="noConversion"/>
  </si>
  <si>
    <t>미결제약정수량</t>
    <phoneticPr fontId="1" type="noConversion"/>
  </si>
  <si>
    <t>KTB03</t>
  </si>
  <si>
    <t>KTB05</t>
  </si>
  <si>
    <t>KTB10</t>
  </si>
  <si>
    <t>KTB30</t>
  </si>
  <si>
    <t>C70</t>
  </si>
  <si>
    <t>KTB03 연결</t>
  </si>
  <si>
    <t>KTB05 연결</t>
  </si>
  <si>
    <t>KTB10 연결</t>
  </si>
  <si>
    <t>KTB30 연결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</si>
</sst>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0.00_ "/>
    <numFmt numFmtId="165" formatCode="#,##0_ "/>
    <numFmt numFmtId="166" formatCode="#,##0.00_ "/>
    <numFmt numFmtId="167" formatCode="\+#,##0.00_ ;\-#,##0.00\ "/>
  </numFmts>
  <fonts count="10">
    <font>
      <sz val="10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0"/>
      <color theme="1"/>
      <name val="Calibri"/>
      <family val="2"/>
      <charset val="129"/>
      <scheme val="minor"/>
    </font>
    <font>
      <b/>
      <sz val="10"/>
      <color theme="0"/>
      <name val="Calibri"/>
      <family val="3"/>
      <charset val="129"/>
      <scheme val="minor"/>
    </font>
    <font>
      <b/>
      <sz val="10"/>
      <color theme="1" tint="0.499984740745262"/>
      <name val="Calibri"/>
      <family val="3"/>
      <charset val="129"/>
      <scheme val="minor"/>
    </font>
    <font>
      <b/>
      <sz val="10"/>
      <color theme="3"/>
      <name val="Calibri"/>
      <family val="3"/>
      <charset val="129"/>
      <scheme val="minor"/>
    </font>
    <font>
      <sz val="10"/>
      <color theme="0"/>
      <name val="Calibri"/>
      <family val="2"/>
      <charset val="129"/>
      <scheme val="minor"/>
    </font>
    <font>
      <sz val="10"/>
      <color theme="0"/>
      <name val="Calibri"/>
      <family val="3"/>
      <charset val="129"/>
      <scheme val="minor"/>
    </font>
    <font>
      <sz val="10"/>
      <color theme="3"/>
      <name val="Calibri"/>
      <family val="2"/>
      <charset val="129"/>
      <scheme val="minor"/>
    </font>
    <font>
      <b/>
      <sz val="10"/>
      <color theme="3"/>
      <name val="Calibri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/>
      <diagonal/>
    </border>
    <border>
      <left style="thin">
        <color theme="0" tint="-0.24994659260841701"/>
      </left>
      <right/>
      <top style="medium">
        <color theme="0" tint="-0.24994659260841701"/>
      </top>
      <bottom style="thin">
        <color theme="0" tint="-0.24994659260841701"/>
      </bottom>
      <diagonal/>
    </border>
    <border>
      <left/>
      <right/>
      <top style="medium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/>
      <diagonal/>
    </border>
    <border>
      <left style="medium">
        <color theme="0" tint="-0.24994659260841701"/>
      </left>
      <right style="thin">
        <color theme="0" tint="-0.24994659260841701"/>
      </right>
      <top style="double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double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double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medium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 style="thin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64" fontId="0" fillId="0" borderId="0" xfId="0" applyNumberFormat="1">
      <alignment vertical="center"/>
    </xf>
    <xf numFmtId="0" fontId="3" fillId="2" borderId="2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14" fontId="0" fillId="0" borderId="0" xfId="0" applyNumberFormat="1">
      <alignment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4" borderId="27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14" fontId="4" fillId="5" borderId="2" xfId="0" applyNumberFormat="1" applyFont="1" applyFill="1" applyBorder="1" applyAlignment="1">
      <alignment horizontal="center" vertical="center"/>
    </xf>
    <xf numFmtId="165" fontId="0" fillId="0" borderId="1" xfId="0" applyNumberFormat="1" applyBorder="1">
      <alignment vertical="center"/>
    </xf>
    <xf numFmtId="0" fontId="0" fillId="6" borderId="11" xfId="0" applyFill="1" applyBorder="1">
      <alignment vertical="center"/>
    </xf>
    <xf numFmtId="0" fontId="0" fillId="6" borderId="6" xfId="0" applyFill="1" applyBorder="1">
      <alignment vertical="center"/>
    </xf>
    <xf numFmtId="0" fontId="0" fillId="6" borderId="21" xfId="0" applyFill="1" applyBorder="1">
      <alignment vertical="center"/>
    </xf>
    <xf numFmtId="0" fontId="0" fillId="6" borderId="23" xfId="0" applyFill="1" applyBorder="1">
      <alignment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14" fontId="0" fillId="6" borderId="6" xfId="0" applyNumberFormat="1" applyFill="1" applyBorder="1">
      <alignment vertical="center"/>
    </xf>
    <xf numFmtId="165" fontId="0" fillId="0" borderId="7" xfId="0" applyNumberFormat="1" applyBorder="1">
      <alignment vertical="center"/>
    </xf>
    <xf numFmtId="14" fontId="0" fillId="6" borderId="8" xfId="0" applyNumberFormat="1" applyFill="1" applyBorder="1">
      <alignment vertical="center"/>
    </xf>
    <xf numFmtId="165" fontId="0" fillId="0" borderId="9" xfId="0" applyNumberFormat="1" applyBorder="1">
      <alignment vertical="center"/>
    </xf>
    <xf numFmtId="165" fontId="0" fillId="0" borderId="10" xfId="0" applyNumberFormat="1" applyBorder="1">
      <alignment vertical="center"/>
    </xf>
    <xf numFmtId="14" fontId="0" fillId="6" borderId="11" xfId="0" applyNumberFormat="1" applyFill="1" applyBorder="1">
      <alignment vertical="center"/>
    </xf>
    <xf numFmtId="165" fontId="0" fillId="0" borderId="5" xfId="0" applyNumberFormat="1" applyBorder="1">
      <alignment vertical="center"/>
    </xf>
    <xf numFmtId="165" fontId="0" fillId="0" borderId="12" xfId="0" applyNumberFormat="1" applyBorder="1">
      <alignment vertical="center"/>
    </xf>
    <xf numFmtId="0" fontId="3" fillId="3" borderId="29" xfId="0" applyFont="1" applyFill="1" applyBorder="1" applyAlignment="1">
      <alignment horizontal="center" vertical="center"/>
    </xf>
    <xf numFmtId="166" fontId="0" fillId="0" borderId="30" xfId="0" applyNumberFormat="1" applyBorder="1">
      <alignment vertical="center"/>
    </xf>
    <xf numFmtId="166" fontId="0" fillId="0" borderId="3" xfId="0" applyNumberFormat="1" applyBorder="1">
      <alignment vertical="center"/>
    </xf>
    <xf numFmtId="166" fontId="0" fillId="0" borderId="27" xfId="0" applyNumberFormat="1" applyBorder="1">
      <alignment vertical="center"/>
    </xf>
    <xf numFmtId="0" fontId="3" fillId="3" borderId="28" xfId="0" applyFont="1" applyFill="1" applyBorder="1" applyAlignment="1">
      <alignment horizontal="center" vertical="center"/>
    </xf>
    <xf numFmtId="165" fontId="0" fillId="0" borderId="31" xfId="0" applyNumberFormat="1" applyBorder="1">
      <alignment vertical="center"/>
    </xf>
    <xf numFmtId="165" fontId="0" fillId="0" borderId="32" xfId="0" applyNumberFormat="1" applyBorder="1">
      <alignment vertical="center"/>
    </xf>
    <xf numFmtId="165" fontId="0" fillId="0" borderId="33" xfId="0" applyNumberFormat="1" applyBorder="1">
      <alignment vertical="center"/>
    </xf>
    <xf numFmtId="0" fontId="6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165" fontId="0" fillId="0" borderId="5" xfId="1" applyNumberFormat="1" applyFont="1" applyBorder="1">
      <alignment vertical="center"/>
    </xf>
    <xf numFmtId="165" fontId="0" fillId="0" borderId="12" xfId="1" applyNumberFormat="1" applyFont="1" applyBorder="1">
      <alignment vertical="center"/>
    </xf>
    <xf numFmtId="165" fontId="0" fillId="0" borderId="1" xfId="1" applyNumberFormat="1" applyFont="1" applyBorder="1">
      <alignment vertical="center"/>
    </xf>
    <xf numFmtId="165" fontId="0" fillId="0" borderId="7" xfId="1" applyNumberFormat="1" applyFont="1" applyBorder="1">
      <alignment vertical="center"/>
    </xf>
    <xf numFmtId="165" fontId="0" fillId="0" borderId="1" xfId="1" applyNumberFormat="1" applyFont="1" applyBorder="1" applyAlignment="1">
      <alignment horizontal="right" vertical="center"/>
    </xf>
    <xf numFmtId="165" fontId="0" fillId="0" borderId="7" xfId="1" applyNumberFormat="1" applyFont="1" applyBorder="1" applyAlignment="1">
      <alignment horizontal="right" vertical="center"/>
    </xf>
    <xf numFmtId="165" fontId="0" fillId="0" borderId="4" xfId="1" applyNumberFormat="1" applyFont="1" applyBorder="1">
      <alignment vertical="center"/>
    </xf>
    <xf numFmtId="165" fontId="0" fillId="0" borderId="22" xfId="1" applyNumberFormat="1" applyFont="1" applyBorder="1">
      <alignment vertical="center"/>
    </xf>
    <xf numFmtId="165" fontId="0" fillId="5" borderId="24" xfId="0" applyNumberFormat="1" applyFill="1" applyBorder="1">
      <alignment vertical="center"/>
    </xf>
    <xf numFmtId="165" fontId="0" fillId="5" borderId="25" xfId="0" applyNumberFormat="1" applyFill="1" applyBorder="1">
      <alignment vertical="center"/>
    </xf>
    <xf numFmtId="166" fontId="0" fillId="0" borderId="5" xfId="0" applyNumberFormat="1" applyBorder="1">
      <alignment vertical="center"/>
    </xf>
    <xf numFmtId="166" fontId="0" fillId="0" borderId="1" xfId="0" applyNumberFormat="1" applyBorder="1">
      <alignment vertical="center"/>
    </xf>
    <xf numFmtId="167" fontId="0" fillId="0" borderId="5" xfId="0" applyNumberFormat="1" applyBorder="1">
      <alignment vertical="center"/>
    </xf>
    <xf numFmtId="167" fontId="0" fillId="0" borderId="1" xfId="0" applyNumberFormat="1" applyBorder="1">
      <alignment vertical="center"/>
    </xf>
    <xf numFmtId="0" fontId="3" fillId="3" borderId="17" xfId="0" applyFont="1" applyFill="1" applyBorder="1" applyAlignment="1">
      <alignment horizontal="center"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3" fillId="3" borderId="16" xfId="0" applyFont="1" applyFill="1" applyBorder="1" applyAlignment="1">
      <alignment horizontal="center" vertical="center"/>
    </xf>
    <xf numFmtId="0" fontId="0" fillId="0" borderId="26" xfId="0" applyBorder="1">
      <alignment vertical="center"/>
    </xf>
  </cellXfs>
  <cellStyles count="2">
    <cellStyle name="쉼표 [0]" xfId="1" builtinId="6"/>
    <cellStyle name="표준" xfId="0" builtinId="0"/>
  </cellStyles>
  <dxfs count="3">
    <dxf>
      <fill>
        <patternFill patternType="none">
          <bgColor auto="1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3333CC"/>
      <color rgb="FF6666FF"/>
      <color rgb="FF9999FF"/>
      <color rgb="FFCCCCFF"/>
      <color rgb="FF3665B7"/>
      <color rgb="FF0073A4"/>
      <color rgb="FF006CFF"/>
      <color rgb="FFFFFFCC"/>
      <color rgb="FF5FCB07"/>
      <color rgb="FFFF01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890.3</v>
        <stp/>
        <stp>P</stp>
        <stp>0</stp>
        <stp>FUT</stp>
        <stp>C76</stp>
        <stp>저가</stp>
        <stp>45341</stp>
        <stp/>
        <tr r="J14" s="1"/>
      </tp>
      <tp>
        <v>107</v>
        <stp/>
        <stp>P</stp>
        <stp>0</stp>
        <stp>FUT</stp>
        <stp>C66</stp>
        <stp>저가</stp>
        <stp>45341</stp>
        <stp/>
        <tr r="J9" s="1"/>
      </tp>
      <tp>
        <v>891</v>
        <stp/>
        <stp>P</stp>
        <stp>0</stp>
        <stp>FUT</stp>
        <stp>C76</stp>
        <stp>시가</stp>
        <stp>45341</stp>
        <stp/>
        <tr r="H14" s="1"/>
      </tp>
      <tp>
        <v>107</v>
        <stp/>
        <stp>P</stp>
        <stp>0</stp>
        <stp>FUT</stp>
        <stp>C66</stp>
        <stp>시가</stp>
        <stp>45341</stp>
        <stp/>
        <tr r="H9" s="1"/>
      </tp>
      <tp>
        <v>895</v>
        <stp/>
        <stp>P</stp>
        <stp>0</stp>
        <stp>FUT</stp>
        <stp>C76</stp>
        <stp>고가</stp>
        <stp>45341</stp>
        <stp/>
        <tr r="I14" s="1"/>
      </tp>
      <tp>
        <v>107</v>
        <stp/>
        <stp>P</stp>
        <stp>0</stp>
        <stp>FUT</stp>
        <stp>C66</stp>
        <stp>고가</stp>
        <stp>45341</stp>
        <stp/>
        <tr r="I9" s="1"/>
      </tp>
      <tp>
        <v>1436.9</v>
        <stp/>
        <stp>P</stp>
        <stp>0</stp>
        <stp>FUT</stp>
        <stp>C77</stp>
        <stp>저가</stp>
        <stp>45341</stp>
        <stp/>
        <tr r="J13" s="1"/>
      </tp>
      <tp>
        <v>112.22</v>
        <stp/>
        <stp>P</stp>
        <stp>0</stp>
        <stp>FUT</stp>
        <stp>C67</stp>
        <stp>저가</stp>
        <stp>45341</stp>
        <stp/>
        <tr r="J10" s="1"/>
      </tp>
      <tp>
        <v>1436.9</v>
        <stp/>
        <stp>P</stp>
        <stp>0</stp>
        <stp>FUT</stp>
        <stp>C77</stp>
        <stp>시가</stp>
        <stp>45341</stp>
        <stp/>
        <tr r="H13" s="1"/>
      </tp>
      <tp>
        <v>112.27</v>
        <stp/>
        <stp>P</stp>
        <stp>0</stp>
        <stp>FUT</stp>
        <stp>C67</stp>
        <stp>시가</stp>
        <stp>45341</stp>
        <stp/>
        <tr r="H10" s="1"/>
      </tp>
      <tp>
        <v>1436.9</v>
        <stp/>
        <stp>P</stp>
        <stp>0</stp>
        <stp>FUT</stp>
        <stp>C77</stp>
        <stp>고가</stp>
        <stp>45341</stp>
        <stp/>
        <tr r="I13" s="1"/>
      </tp>
      <tp>
        <v>112.55</v>
        <stp/>
        <stp>P</stp>
        <stp>0</stp>
        <stp>FUT</stp>
        <stp>C67</stp>
        <stp>고가</stp>
        <stp>45341</stp>
        <stp/>
        <tr r="I10" s="1"/>
      </tp>
      <tp>
        <v>1328.6</v>
        <stp/>
        <stp>P</stp>
        <stp>0</stp>
        <stp>FUT</stp>
        <stp>C75</stp>
        <stp>저가</stp>
        <stp>45341</stp>
        <stp/>
        <tr r="J12" s="1"/>
      </tp>
      <tp>
        <v>104.42</v>
        <stp/>
        <stp>P</stp>
        <stp>0</stp>
        <stp>FUT</stp>
        <stp>C65</stp>
        <stp>저가</stp>
        <stp>45341</stp>
        <stp/>
        <tr r="J8" s="1"/>
      </tp>
      <tp>
        <v>1331.4</v>
        <stp/>
        <stp>P</stp>
        <stp>0</stp>
        <stp>FUT</stp>
        <stp>C75</stp>
        <stp>시가</stp>
        <stp>45341</stp>
        <stp/>
        <tr r="H12" s="1"/>
      </tp>
      <tp>
        <v>104.43</v>
        <stp/>
        <stp>P</stp>
        <stp>0</stp>
        <stp>FUT</stp>
        <stp>C65</stp>
        <stp>시가</stp>
        <stp>45341</stp>
        <stp/>
        <tr r="H8" s="1"/>
      </tp>
      <tp>
        <v>1334.5</v>
        <stp/>
        <stp>P</stp>
        <stp>0</stp>
        <stp>FUT</stp>
        <stp>C75</stp>
        <stp>고가</stp>
        <stp>45341</stp>
        <stp/>
        <tr r="I12" s="1"/>
      </tp>
      <tp>
        <v>104.53</v>
        <stp/>
        <stp>P</stp>
        <stp>0</stp>
        <stp>FUT</stp>
        <stp>C65</stp>
        <stp>고가</stp>
        <stp>45341</stp>
        <stp/>
        <tr r="I8" s="1"/>
      </tp>
      <tp>
        <v>130.58000000000001</v>
        <stp/>
        <stp>P</stp>
        <stp>0</stp>
        <stp>FUT</stp>
        <stp>C70</stp>
        <stp>저가</stp>
        <stp>45341</stp>
        <stp/>
        <tr r="J11" s="1"/>
      </tp>
      <tp>
        <v>130.58000000000001</v>
        <stp/>
        <stp>P</stp>
        <stp>0</stp>
        <stp>FUT</stp>
        <stp>C70</stp>
        <stp>시가</stp>
        <stp>45341</stp>
        <stp/>
        <tr r="H11" s="1"/>
      </tp>
      <tp>
        <v>130.86000000000001</v>
        <stp/>
        <stp>P</stp>
        <stp>0</stp>
        <stp>FUT</stp>
        <stp>C70</stp>
        <stp>고가</stp>
        <stp>45341</stp>
        <stp/>
        <tr r="I11" s="1"/>
      </tp>
      <tp>
        <v>354.9</v>
        <stp/>
        <stp>P</stp>
        <stp>0</stp>
        <stp>FUT</stp>
        <stp>C01</stp>
        <stp>저가</stp>
        <stp>45341</stp>
        <stp/>
        <tr r="J7" s="1"/>
      </tp>
      <tp>
        <v>355.3</v>
        <stp/>
        <stp>P</stp>
        <stp>0</stp>
        <stp>FUT</stp>
        <stp>C01</stp>
        <stp>시가</stp>
        <stp>45341</stp>
        <stp/>
        <tr r="H7" s="1"/>
      </tp>
      <tp>
        <v>361.7</v>
        <stp/>
        <stp>P</stp>
        <stp>0</stp>
        <stp>FUT</stp>
        <stp>C01</stp>
        <stp>고가</stp>
        <stp>45341</stp>
        <stp/>
        <tr r="I7" s="1"/>
      </tp>
      <tp>
        <v>86300</v>
        <stp/>
        <stp>P</stp>
        <stp>0</stp>
        <stp>FUT</stp>
        <stp>C88</stp>
        <stp>저가</stp>
        <stp>45341</stp>
        <stp/>
        <tr r="J15" s="1"/>
      </tp>
      <tp>
        <v>86300</v>
        <stp/>
        <stp>P</stp>
        <stp>0</stp>
        <stp>FUT</stp>
        <stp>C88</stp>
        <stp>시가</stp>
        <stp>45341</stp>
        <stp/>
        <tr r="H15" s="1"/>
      </tp>
      <tp>
        <v>86300</v>
        <stp/>
        <stp>P</stp>
        <stp>0</stp>
        <stp>FUT</stp>
        <stp>C88</stp>
        <stp>고가</stp>
        <stp>45341</stp>
        <stp/>
        <tr r="I15" s="1"/>
      </tp>
      <tp t="s">
        <v/>
        <stp/>
        <stp>P</stp>
        <stp>0</stp>
        <stp>FUT</stp>
        <stp>C65</stp>
        <stp>사모펀드순매수금액</stp>
        <stp>45341</stp>
        <stp/>
        <tr r="G30" s="1"/>
      </tp>
      <tp t="s">
        <v/>
        <stp/>
        <stp>P</stp>
        <stp>0</stp>
        <stp>FUT</stp>
        <stp>C65</stp>
        <stp>사모펀드순매수수량</stp>
        <stp>45341</stp>
        <stp/>
        <tr r="J30" s="1"/>
        <tr r="J30" s="1"/>
      </tp>
      <tp>
        <v>0</v>
        <stp/>
        <stp>P</stp>
        <stp>0</stp>
        <stp>FUT</stp>
        <stp>C65</stp>
        <stp>국가/지방매도금액</stp>
        <stp>45341</stp>
        <stp/>
        <tr r="E34" s="1"/>
        <tr r="E34" s="1"/>
      </tp>
      <tp>
        <v>0</v>
        <stp/>
        <stp>P</stp>
        <stp>0</stp>
        <stp>FUT</stp>
        <stp>C65</stp>
        <stp>국가/지방매도수량</stp>
        <stp>45341</stp>
        <stp/>
        <tr r="H34" s="1"/>
        <tr r="H34" s="1"/>
      </tp>
      <tp t="s">
        <v/>
        <stp/>
        <stp>P</stp>
        <stp>0</stp>
        <stp>FUT</stp>
        <stp>C65</stp>
        <stp>사모펀드매도수량</stp>
        <stp>45341</stp>
        <stp/>
        <tr r="H30" s="1"/>
        <tr r="H30" s="1"/>
      </tp>
      <tp t="s">
        <v/>
        <stp/>
        <stp>P</stp>
        <stp>0</stp>
        <stp>FUT</stp>
        <stp>C65</stp>
        <stp>사모펀드매도금액</stp>
        <stp>45341</stp>
        <stp/>
        <tr r="E30" s="1"/>
      </tp>
      <tp>
        <v>-760</v>
        <stp/>
        <stp>P</stp>
        <stp>0</stp>
        <stp>FUT</stp>
        <stp>C65</stp>
        <stp>연기금순매수수량</stp>
        <stp>45341</stp>
        <stp/>
        <tr r="J33" s="1"/>
        <tr r="J33" s="1"/>
      </tp>
      <tp>
        <v>-79425880000</v>
        <stp/>
        <stp>P</stp>
        <stp>0</stp>
        <stp>FUT</stp>
        <stp>C65</stp>
        <stp>연기금순매수금액</stp>
        <stp>45341</stp>
        <stp/>
        <tr r="G33" s="1"/>
        <tr r="G33" s="1"/>
      </tp>
      <tp>
        <v>326</v>
        <stp/>
        <stp>P</stp>
        <stp>0</stp>
        <stp>FUT</stp>
        <stp>C65</stp>
        <stp>보험매수수량</stp>
        <stp>45341</stp>
        <stp/>
        <tr r="I28" s="1"/>
        <tr r="I28" s="1"/>
      </tp>
      <tp>
        <v>113860020000</v>
        <stp/>
        <stp>P</stp>
        <stp>0</stp>
        <stp>FUT</stp>
        <stp>C65</stp>
        <stp>투신매수금액</stp>
        <stp>45341</stp>
        <stp/>
        <tr r="F29" s="1"/>
        <tr r="F29" s="1"/>
      </tp>
      <tp>
        <v>703</v>
        <stp/>
        <stp>P</stp>
        <stp>0</stp>
        <stp>FUT</stp>
        <stp>C65</stp>
        <stp>개인매수수량</stp>
        <stp>45341</stp>
        <stp/>
        <tr r="I25" s="1"/>
        <tr r="I25" s="1"/>
      </tp>
      <tp>
        <v>174</v>
        <stp/>
        <stp>P</stp>
        <stp>0</stp>
        <stp>FUT</stp>
        <stp>C65</stp>
        <stp>기타매수수량</stp>
        <stp>45341</stp>
        <stp/>
        <tr r="I35" s="1"/>
        <tr r="I35" s="1"/>
      </tp>
      <tp>
        <v>42664</v>
        <stp/>
        <stp>P</stp>
        <stp>0</stp>
        <stp>FUT</stp>
        <stp>C65</stp>
        <stp>기관매수수량</stp>
        <stp>45341</stp>
        <stp/>
        <tr r="I26" s="1"/>
        <tr r="I26" s="1"/>
      </tp>
      <tp>
        <v>729105400000</v>
        <stp/>
        <stp>P</stp>
        <stp>0</stp>
        <stp>FUT</stp>
        <stp>C65</stp>
        <stp>은행매수금액</stp>
        <stp>45341</stp>
        <stp/>
        <tr r="F31" s="1"/>
        <tr r="F31" s="1"/>
      </tp>
      <tp>
        <v>34061910000</v>
        <stp/>
        <stp>P</stp>
        <stp>0</stp>
        <stp>FUT</stp>
        <stp>C65</stp>
        <stp>보험매수금액</stp>
        <stp>45341</stp>
        <stp/>
        <tr r="F28" s="1"/>
        <tr r="F28" s="1"/>
      </tp>
      <tp>
        <v>1090</v>
        <stp/>
        <stp>P</stp>
        <stp>0</stp>
        <stp>FUT</stp>
        <stp>C65</stp>
        <stp>투신매수수량</stp>
        <stp>45341</stp>
        <stp/>
        <tr r="I29" s="1"/>
        <tr r="I29" s="1"/>
      </tp>
      <tp>
        <v>6980</v>
        <stp/>
        <stp>P</stp>
        <stp>0</stp>
        <stp>FUT</stp>
        <stp>C65</stp>
        <stp>은행매수수량</stp>
        <stp>45341</stp>
        <stp/>
        <tr r="I31" s="1"/>
        <tr r="I31" s="1"/>
      </tp>
      <tp>
        <v>73443070000</v>
        <stp/>
        <stp>P</stp>
        <stp>0</stp>
        <stp>FUT</stp>
        <stp>C65</stp>
        <stp>개인매수금액</stp>
        <stp>45341</stp>
        <stp/>
        <tr r="F25" s="1"/>
        <tr r="F25" s="1"/>
      </tp>
      <tp>
        <v>4457246420000</v>
        <stp/>
        <stp>P</stp>
        <stp>0</stp>
        <stp>FUT</stp>
        <stp>C65</stp>
        <stp>기관매수금액</stp>
        <stp>45341</stp>
        <stp/>
        <tr r="F26" s="1"/>
        <tr r="F26" s="1"/>
      </tp>
      <tp>
        <v>18182260000</v>
        <stp/>
        <stp>P</stp>
        <stp>0</stp>
        <stp>FUT</stp>
        <stp>C65</stp>
        <stp>기타매수금액</stp>
        <stp>45341</stp>
        <stp/>
        <tr r="F35" s="1"/>
        <tr r="F35" s="1"/>
      </tp>
      <tp>
        <v>-56941600000</v>
        <stp/>
        <stp>P</stp>
        <stp>0</stp>
        <stp>FUT</stp>
        <stp>C65</stp>
        <stp>종신금순매수금액</stp>
        <stp>45341</stp>
        <stp/>
        <tr r="G32" s="1"/>
        <tr r="G32" s="1"/>
      </tp>
      <tp>
        <v>-545</v>
        <stp/>
        <stp>P</stp>
        <stp>0</stp>
        <stp>FUT</stp>
        <stp>C65</stp>
        <stp>종신금순매수수량</stp>
        <stp>45341</stp>
        <stp/>
        <tr r="J32" s="1"/>
        <tr r="J32" s="1"/>
      </tp>
      <tp>
        <v>60277910000</v>
        <stp/>
        <stp>P</stp>
        <stp>0</stp>
        <stp>FUT</stp>
        <stp>C65</stp>
        <stp>개인매도금액</stp>
        <stp>45341</stp>
        <stp/>
        <tr r="E25" s="1"/>
        <tr r="E25" s="1"/>
      </tp>
      <tp>
        <v>6014197740000</v>
        <stp/>
        <stp>P</stp>
        <stp>0</stp>
        <stp>FUT</stp>
        <stp>C65</stp>
        <stp>기관매도금액</stp>
        <stp>45341</stp>
        <stp/>
        <tr r="E26" s="1"/>
        <tr r="E26" s="1"/>
      </tp>
      <tp>
        <v>18175860000</v>
        <stp/>
        <stp>P</stp>
        <stp>0</stp>
        <stp>FUT</stp>
        <stp>C65</stp>
        <stp>기타매도금액</stp>
        <stp>45341</stp>
        <stp/>
        <tr r="E35" s="1"/>
        <tr r="E35" s="1"/>
      </tp>
      <tp>
        <v>5004</v>
        <stp/>
        <stp>P</stp>
        <stp>0</stp>
        <stp>FUT</stp>
        <stp>C65</stp>
        <stp>은행매도수량</stp>
        <stp>45341</stp>
        <stp/>
        <tr r="H31" s="1"/>
        <tr r="H31" s="1"/>
      </tp>
      <tp>
        <v>35317930000</v>
        <stp/>
        <stp>P</stp>
        <stp>0</stp>
        <stp>FUT</stp>
        <stp>C65</stp>
        <stp>보험매도금액</stp>
        <stp>45341</stp>
        <stp/>
        <tr r="E28" s="1"/>
        <tr r="E28" s="1"/>
      </tp>
      <tp>
        <v>2099</v>
        <stp/>
        <stp>P</stp>
        <stp>0</stp>
        <stp>FUT</stp>
        <stp>C65</stp>
        <stp>투신매도수량</stp>
        <stp>45341</stp>
        <stp/>
        <tr r="H29" s="1"/>
        <tr r="H29" s="1"/>
      </tp>
      <tp>
        <v>522828040000</v>
        <stp/>
        <stp>P</stp>
        <stp>0</stp>
        <stp>FUT</stp>
        <stp>C65</stp>
        <stp>은행매도금액</stp>
        <stp>45341</stp>
        <stp/>
        <tr r="E31" s="1"/>
        <tr r="E31" s="1"/>
      </tp>
      <tp>
        <v>577</v>
        <stp/>
        <stp>P</stp>
        <stp>0</stp>
        <stp>FUT</stp>
        <stp>C65</stp>
        <stp>개인매도수량</stp>
        <stp>45341</stp>
        <stp/>
        <tr r="H25" s="1"/>
        <tr r="H25" s="1"/>
      </tp>
      <tp>
        <v>174</v>
        <stp/>
        <stp>P</stp>
        <stp>0</stp>
        <stp>FUT</stp>
        <stp>C65</stp>
        <stp>기타매도수량</stp>
        <stp>45341</stp>
        <stp/>
        <tr r="H35" s="1"/>
        <tr r="H35" s="1"/>
      </tp>
      <tp>
        <v>57569</v>
        <stp/>
        <stp>P</stp>
        <stp>0</stp>
        <stp>FUT</stp>
        <stp>C65</stp>
        <stp>기관매도수량</stp>
        <stp>45341</stp>
        <stp/>
        <tr r="H26" s="1"/>
        <tr r="H26" s="1"/>
      </tp>
      <tp>
        <v>338</v>
        <stp/>
        <stp>P</stp>
        <stp>0</stp>
        <stp>FUT</stp>
        <stp>C65</stp>
        <stp>보험매도수량</stp>
        <stp>45341</stp>
        <stp/>
        <tr r="H28" s="1"/>
        <tr r="H28" s="1"/>
      </tp>
      <tp>
        <v>219330790000</v>
        <stp/>
        <stp>P</stp>
        <stp>0</stp>
        <stp>FUT</stp>
        <stp>C65</stp>
        <stp>투신매도금액</stp>
        <stp>45341</stp>
        <stp/>
        <tr r="E29" s="1"/>
        <tr r="E29" s="1"/>
      </tp>
      <tp>
        <v>0.22</v>
        <stp/>
        <stp>P</stp>
        <stp>0</stp>
        <stp>FUT</stp>
        <stp>C01</stp>
        <stp>시장베이시스</stp>
        <stp>45341</stp>
        <stp/>
        <tr r="N7" s="1"/>
      </tp>
      <tp>
        <v>0.91</v>
        <stp/>
        <stp>P</stp>
        <stp>0</stp>
        <stp>FUT</stp>
        <stp>C01</stp>
        <stp>이론베이시스</stp>
        <stp>45341</stp>
        <stp/>
        <tr r="O7" s="1"/>
      </tp>
      <tp>
        <v>0.127</v>
        <stp/>
        <stp>P</stp>
        <stp>0</stp>
        <stp>FUT</stp>
        <stp>C70</stp>
        <stp>시장베이시스</stp>
        <stp>45341</stp>
        <stp/>
        <tr r="N11" s="1"/>
      </tp>
      <tp>
        <v>4.5999999999999999E-2</v>
        <stp/>
        <stp>P</stp>
        <stp>0</stp>
        <stp>FUT</stp>
        <stp>C70</stp>
        <stp>이론베이시스</stp>
        <stp>45341</stp>
        <stp/>
        <tr r="O11" s="1"/>
      </tp>
      <tp>
        <v>7.4999999999999997E-2</v>
        <stp/>
        <stp>P</stp>
        <stp>0</stp>
        <stp>FUT</stp>
        <stp>C65</stp>
        <stp>시장베이시스</stp>
        <stp>45341</stp>
        <stp/>
        <tr r="N8" s="1"/>
      </tp>
      <tp>
        <v>-2</v>
        <stp/>
        <stp>P</stp>
        <stp>0</stp>
        <stp>FUT</stp>
        <stp>C75</stp>
        <stp>시장베이시스</stp>
        <stp>45341</stp>
        <stp/>
        <tr r="N12" s="1"/>
      </tp>
      <tp>
        <v>-1.6479999999999999</v>
        <stp/>
        <stp>P</stp>
        <stp>0</stp>
        <stp>FUT</stp>
        <stp>C75</stp>
        <stp>이론베이시스</stp>
        <stp>45341</stp>
        <stp/>
        <tr r="O12" s="1"/>
      </tp>
      <tp>
        <v>3.4000000000000002E-2</v>
        <stp/>
        <stp>P</stp>
        <stp>0</stp>
        <stp>FUT</stp>
        <stp>C65</stp>
        <stp>이론베이시스</stp>
        <stp>45341</stp>
        <stp/>
        <tr r="O8" s="1"/>
      </tp>
      <tp>
        <v>-4.0000000000000001E-3</v>
        <stp/>
        <stp>P</stp>
        <stp>0</stp>
        <stp>FUT</stp>
        <stp>C67</stp>
        <stp>시장베이시스</stp>
        <stp>45341</stp>
        <stp/>
        <tr r="N10" s="1"/>
      </tp>
      <tp>
        <v>-2.85</v>
        <stp/>
        <stp>P</stp>
        <stp>0</stp>
        <stp>FUT</stp>
        <stp>C77</stp>
        <stp>시장베이시스</stp>
        <stp>45341</stp>
        <stp/>
        <tr r="N13" s="1"/>
      </tp>
      <tp>
        <v>0.17699999999999999</v>
        <stp/>
        <stp>P</stp>
        <stp>0</stp>
        <stp>FUT</stp>
        <stp>C77</stp>
        <stp>이론베이시스</stp>
        <stp>45341</stp>
        <stp/>
        <tr r="O13" s="1"/>
      </tp>
      <tp>
        <v>2.7E-2</v>
        <stp/>
        <stp>P</stp>
        <stp>0</stp>
        <stp>FUT</stp>
        <stp>C67</stp>
        <stp>이론베이시스</stp>
        <stp>45341</stp>
        <stp/>
        <tr r="O10" s="1"/>
      </tp>
      <tp>
        <v>-4.3999999999999997E-2</v>
        <stp/>
        <stp>P</stp>
        <stp>0</stp>
        <stp>FUT</stp>
        <stp>C66</stp>
        <stp>시장베이시스</stp>
        <stp>45341</stp>
        <stp/>
        <tr r="N9" s="1"/>
      </tp>
      <tp>
        <v>2.3149999999999999</v>
        <stp/>
        <stp>P</stp>
        <stp>0</stp>
        <stp>FUT</stp>
        <stp>C76</stp>
        <stp>시장베이시스</stp>
        <stp>45341</stp>
        <stp/>
        <tr r="N14" s="1"/>
      </tp>
      <tp>
        <v>2.78</v>
        <stp/>
        <stp>P</stp>
        <stp>0</stp>
        <stp>FUT</stp>
        <stp>C76</stp>
        <stp>이론베이시스</stp>
        <stp>45341</stp>
        <stp/>
        <tr r="O14" s="1"/>
      </tp>
      <tp>
        <v>2.8000000000000001E-2</v>
        <stp/>
        <stp>P</stp>
        <stp>0</stp>
        <stp>FUT</stp>
        <stp>C66</stp>
        <stp>이론베이시스</stp>
        <stp>45341</stp>
        <stp/>
        <tr r="O9" s="1"/>
      </tp>
      <tp>
        <v>-610</v>
        <stp/>
        <stp>P</stp>
        <stp>0</stp>
        <stp>FUT</stp>
        <stp>C88</stp>
        <stp>시장베이시스</stp>
        <stp>45341</stp>
        <stp/>
        <tr r="N15" s="1"/>
      </tp>
      <tp>
        <v>26.86</v>
        <stp/>
        <stp>P</stp>
        <stp>0</stp>
        <stp>FUT</stp>
        <stp>C88</stp>
        <stp>이론베이시스</stp>
        <stp>45341</stp>
        <stp/>
        <tr r="O15" s="1"/>
      </tp>
      <tp t="s">
        <v/>
        <stp/>
        <stp>P</stp>
        <stp>0</stp>
        <stp>FUT</stp>
        <stp>C65</stp>
        <stp>사모펀드매수금액</stp>
        <stp>45341</stp>
        <stp/>
        <tr r="F30" s="1"/>
      </tp>
      <tp t="s">
        <v/>
        <stp/>
        <stp>P</stp>
        <stp>0</stp>
        <stp>FUT</stp>
        <stp>C65</stp>
        <stp>사모펀드매수수량</stp>
        <stp>45341</stp>
        <stp/>
        <tr r="I30" s="1"/>
        <tr r="I30" s="1"/>
      </tp>
      <tp>
        <v>0</v>
        <stp/>
        <stp>P</stp>
        <stp>0</stp>
        <stp>FUT</stp>
        <stp>C65</stp>
        <stp>국가/지방매수수량</stp>
        <stp>45341</stp>
        <stp/>
        <tr r="I34" s="1"/>
        <tr r="I34" s="1"/>
      </tp>
      <tp>
        <v>0</v>
        <stp/>
        <stp>P</stp>
        <stp>0</stp>
        <stp>FUT</stp>
        <stp>C65</stp>
        <stp>국가/지방매수금액</stp>
        <stp>45341</stp>
        <stp/>
        <tr r="F34" s="1"/>
        <tr r="F34" s="1"/>
      </tp>
      <tp>
        <v>0</v>
        <stp/>
        <stp>H</stp>
        <stp>x1.7Qpm</stp>
        <stp>125</stp>
        <stp>1051702</stp>
        <tr r="W21" s="1"/>
      </tp>
      <tp>
        <v>86300</v>
        <stp/>
        <stp>P</stp>
        <stp>0</stp>
        <stp>FUT</stp>
        <stp>C88</stp>
        <stp>현재가</stp>
        <stp>45341</stp>
        <stp/>
        <tr r="E15" s="1"/>
      </tp>
      <tp>
        <v>361.1</v>
        <stp/>
        <stp>P</stp>
        <stp>0</stp>
        <stp>FUT</stp>
        <stp>C01</stp>
        <stp>현재가</stp>
        <stp>45341</stp>
        <stp/>
        <tr r="E7" s="1"/>
      </tp>
      <tp>
        <v>1333.2</v>
        <stp/>
        <stp>P</stp>
        <stp>0</stp>
        <stp>FUT</stp>
        <stp>C75</stp>
        <stp>현재가</stp>
        <stp>45341</stp>
        <stp/>
        <tr r="E12" s="1"/>
      </tp>
      <tp>
        <v>892.5</v>
        <stp/>
        <stp>P</stp>
        <stp>0</stp>
        <stp>FUT</stp>
        <stp>C76</stp>
        <stp>현재가</stp>
        <stp>45341</stp>
        <stp/>
        <tr r="E14" s="1"/>
      </tp>
      <tp>
        <v>1436.9</v>
        <stp/>
        <stp>P</stp>
        <stp>0</stp>
        <stp>FUT</stp>
        <stp>C77</stp>
        <stp>현재가</stp>
        <stp>45341</stp>
        <stp/>
        <tr r="E13" s="1"/>
      </tp>
      <tp>
        <v>130.86000000000001</v>
        <stp/>
        <stp>P</stp>
        <stp>0</stp>
        <stp>FUT</stp>
        <stp>C70</stp>
        <stp>현재가</stp>
        <stp>45341</stp>
        <stp/>
        <tr r="E11" s="1"/>
      </tp>
      <tp>
        <v>104.51</v>
        <stp/>
        <stp>P</stp>
        <stp>0</stp>
        <stp>FUT</stp>
        <stp>C65</stp>
        <stp>현재가</stp>
        <stp>45341</stp>
        <stp/>
        <tr r="E8" s="1"/>
      </tp>
      <tp>
        <v>107</v>
        <stp/>
        <stp>P</stp>
        <stp>0</stp>
        <stp>FUT</stp>
        <stp>C66</stp>
        <stp>현재가</stp>
        <stp>45341</stp>
        <stp/>
        <tr r="E9" s="1"/>
      </tp>
      <tp>
        <v>112.48</v>
        <stp/>
        <stp>P</stp>
        <stp>0</stp>
        <stp>FUT</stp>
        <stp>C67</stp>
        <stp>현재가</stp>
        <stp>45341</stp>
        <stp/>
        <tr r="E10" s="1"/>
      </tp>
      <tp>
        <v>5037149000000</v>
        <stp/>
        <stp>P</stp>
        <stp>0</stp>
        <stp>FUT</stp>
        <stp>C65</stp>
        <stp>증권/선물매도금액</stp>
        <stp>45341</stp>
        <stp/>
        <tr r="E27" s="1"/>
        <tr r="E27" s="1"/>
      </tp>
      <tp>
        <v>48218</v>
        <stp/>
        <stp>P</stp>
        <stp>0</stp>
        <stp>FUT</stp>
        <stp>C65</stp>
        <stp>증권/선물매도수량</stp>
        <stp>45341</stp>
        <stp/>
        <tr r="H27" s="1"/>
        <tr r="H27" s="1"/>
      </tp>
      <tp>
        <v>1333.5519999999999</v>
        <stp/>
        <stp>P</stp>
        <stp>0</stp>
        <stp>FUT</stp>
        <stp>C75</stp>
        <stp>이론가</stp>
        <stp>45341</stp>
        <stp/>
        <tr r="M12" s="1"/>
      </tp>
      <tp>
        <v>892.96500000000003</v>
        <stp/>
        <stp>P</stp>
        <stp>0</stp>
        <stp>FUT</stp>
        <stp>C76</stp>
        <stp>이론가</stp>
        <stp>45341</stp>
        <stp/>
        <tr r="M14" s="1"/>
      </tp>
      <tp>
        <v>1439.9269999999999</v>
        <stp/>
        <stp>P</stp>
        <stp>0</stp>
        <stp>FUT</stp>
        <stp>C77</stp>
        <stp>이론가</stp>
        <stp>45341</stp>
        <stp/>
        <tr r="M13" s="1"/>
      </tp>
      <tp>
        <v>130.779</v>
        <stp/>
        <stp>P</stp>
        <stp>0</stp>
        <stp>FUT</stp>
        <stp>C70</stp>
        <stp>이론가</stp>
        <stp>45341</stp>
        <stp/>
        <tr r="M11" s="1"/>
      </tp>
      <tp>
        <v>104.46899999999999</v>
        <stp/>
        <stp>P</stp>
        <stp>0</stp>
        <stp>FUT</stp>
        <stp>C65</stp>
        <stp>이론가</stp>
        <stp>45341</stp>
        <stp/>
        <tr r="M8" s="1"/>
      </tp>
      <tp>
        <v>107.072</v>
        <stp/>
        <stp>P</stp>
        <stp>0</stp>
        <stp>FUT</stp>
        <stp>C66</stp>
        <stp>이론가</stp>
        <stp>45341</stp>
        <stp/>
        <tr r="M9" s="1"/>
      </tp>
      <tp>
        <v>112.511</v>
        <stp/>
        <stp>P</stp>
        <stp>0</stp>
        <stp>FUT</stp>
        <stp>C67</stp>
        <stp>이론가</stp>
        <stp>45341</stp>
        <stp/>
        <tr r="M10" s="1"/>
      </tp>
      <tp>
        <v>361.79</v>
        <stp/>
        <stp>P</stp>
        <stp>0</stp>
        <stp>FUT</stp>
        <stp>C01</stp>
        <stp>이론가</stp>
        <stp>45341</stp>
        <stp/>
        <tr r="M7" s="1"/>
      </tp>
      <tp>
        <v>86936.86</v>
        <stp/>
        <stp>P</stp>
        <stp>0</stp>
        <stp>FUT</stp>
        <stp>C88</stp>
        <stp>이론가</stp>
        <stp>45341</stp>
        <stp/>
        <tr r="M15" s="1"/>
      </tp>
      <tp>
        <v>19700898787</v>
        <stp/>
        <stp>P</stp>
        <stp>0</stp>
        <stp>FUT</stp>
        <stp>C01</stp>
        <stp>거래대금</stp>
        <stp>45341</stp>
        <stp/>
        <tr r="L7" s="1"/>
      </tp>
      <tp>
        <v>8380495120</v>
        <stp/>
        <stp>P</stp>
        <stp>0</stp>
        <stp>FUT</stp>
        <stp>C65</stp>
        <stp>거래대금</stp>
        <stp>45341</stp>
        <stp/>
        <tr r="L8" s="1"/>
      </tp>
      <tp>
        <v>0</v>
        <stp/>
        <stp>P</stp>
        <stp>0</stp>
        <stp>FUT</stp>
        <stp>C66</stp>
        <stp>거래대금</stp>
        <stp>45341</stp>
        <stp/>
        <tr r="L9" s="1"/>
      </tp>
      <tp>
        <v>3497550240</v>
        <stp/>
        <stp>P</stp>
        <stp>0</stp>
        <stp>FUT</stp>
        <stp>C67</stp>
        <stp>거래대금</stp>
        <stp>45341</stp>
        <stp/>
        <tr r="L10" s="1"/>
      </tp>
      <tp>
        <v>3828772484</v>
        <stp/>
        <stp>P</stp>
        <stp>0</stp>
        <stp>FUT</stp>
        <stp>C75</stp>
        <stp>거래대금</stp>
        <stp>45341</stp>
        <stp/>
        <tr r="L12" s="1"/>
      </tp>
      <tp>
        <v>4556772</v>
        <stp/>
        <stp>P</stp>
        <stp>0</stp>
        <stp>FUT</stp>
        <stp>C76</stp>
        <stp>거래대금</stp>
        <stp>45341</stp>
        <stp/>
        <tr r="L14" s="1"/>
      </tp>
      <tp>
        <v>0</v>
        <stp/>
        <stp>P</stp>
        <stp>0</stp>
        <stp>FUT</stp>
        <stp>C77</stp>
        <stp>거래대금</stp>
        <stp>45341</stp>
        <stp/>
        <tr r="L13" s="1"/>
      </tp>
      <tp>
        <v>2223360</v>
        <stp/>
        <stp>P</stp>
        <stp>0</stp>
        <stp>FUT</stp>
        <stp>C70</stp>
        <stp>거래대금</stp>
        <stp>45341</stp>
        <stp/>
        <tr r="L11" s="1"/>
      </tp>
      <tp>
        <v>0</v>
        <stp/>
        <stp>P</stp>
        <stp>0</stp>
        <stp>FUT</stp>
        <stp>C88</stp>
        <stp>거래대금</stp>
        <stp>45341</stp>
        <stp/>
        <tr r="L15" s="1"/>
      </tp>
      <tp>
        <v>0.05</v>
        <stp/>
        <stp>P</stp>
        <stp>0</stp>
        <stp>FUT</stp>
        <stp>C65</stp>
        <stp>전일대비</stp>
        <stp>45341</stp>
        <stp/>
        <tr r="F8" s="1"/>
      </tp>
      <tp>
        <v>-0.16</v>
        <stp/>
        <stp>P</stp>
        <stp>0</stp>
        <stp>FUT</stp>
        <stp>C66</stp>
        <stp>전일대비</stp>
        <stp>45341</stp>
        <stp/>
        <tr r="F9" s="1"/>
      </tp>
      <tp>
        <v>0.15</v>
        <stp/>
        <stp>P</stp>
        <stp>0</stp>
        <stp>FUT</stp>
        <stp>C67</stp>
        <stp>전일대비</stp>
        <stp>45341</stp>
        <stp/>
        <tr r="F10" s="1"/>
      </tp>
      <tp>
        <v>-0.5</v>
        <stp/>
        <stp>P</stp>
        <stp>0</stp>
        <stp>FUT</stp>
        <stp>C75</stp>
        <stp>전일대비</stp>
        <stp>45341</stp>
        <stp/>
        <tr r="F12" s="1"/>
      </tp>
      <tp>
        <v>0.6</v>
        <stp/>
        <stp>P</stp>
        <stp>0</stp>
        <stp>FUT</stp>
        <stp>C76</stp>
        <stp>전일대비</stp>
        <stp>45341</stp>
        <stp/>
        <tr r="F14" s="1"/>
      </tp>
      <tp>
        <v>6.9</v>
        <stp/>
        <stp>P</stp>
        <stp>0</stp>
        <stp>FUT</stp>
        <stp>C77</stp>
        <stp>전일대비</stp>
        <stp>45341</stp>
        <stp/>
        <tr r="F13" s="1"/>
      </tp>
      <tp>
        <v>0.38</v>
        <stp/>
        <stp>P</stp>
        <stp>0</stp>
        <stp>FUT</stp>
        <stp>C70</stp>
        <stp>전일대비</stp>
        <stp>45341</stp>
        <stp/>
        <tr r="F11" s="1"/>
      </tp>
      <tp>
        <v>5.3</v>
        <stp/>
        <stp>P</stp>
        <stp>0</stp>
        <stp>FUT</stp>
        <stp>C01</stp>
        <stp>전일대비</stp>
        <stp>45341</stp>
        <stp/>
        <tr r="F7" s="1"/>
      </tp>
      <tp>
        <v>250</v>
        <stp/>
        <stp>P</stp>
        <stp>0</stp>
        <stp>FUT</stp>
        <stp>C88</stp>
        <stp>전일대비</stp>
        <stp>45341</stp>
        <stp/>
        <tr r="F15" s="1"/>
      </tp>
      <tp>
        <v>36680</v>
        <stp/>
        <stp>P</stp>
        <stp>0</stp>
        <stp>FUT</stp>
        <stp>C65</stp>
        <stp>외국인합매수수량</stp>
        <stp>45341</stp>
        <stp/>
        <tr r="I24" s="1"/>
        <tr r="I24" s="1"/>
      </tp>
      <tp>
        <v>-105470770000</v>
        <stp/>
        <stp>P</stp>
        <stp>0</stp>
        <stp>FUT</stp>
        <stp>C65</stp>
        <stp>투신순매수금액</stp>
        <stp>45341</stp>
        <stp/>
        <tr r="G29" s="1"/>
        <tr r="G29" s="1"/>
      </tp>
      <tp>
        <v>-1009</v>
        <stp/>
        <stp>P</stp>
        <stp>0</stp>
        <stp>FUT</stp>
        <stp>C65</stp>
        <stp>투신순매수수량</stp>
        <stp>45341</stp>
        <stp/>
        <tr r="J29" s="1"/>
        <tr r="J29" s="1"/>
      </tp>
      <tp>
        <v>3831623370000</v>
        <stp/>
        <stp>P</stp>
        <stp>0</stp>
        <stp>FUT</stp>
        <stp>C65</stp>
        <stp>외국인합매수금액</stp>
        <stp>45341</stp>
        <stp/>
        <tr r="F24" s="1"/>
        <tr r="F24" s="1"/>
      </tp>
      <tp>
        <v>17234400000</v>
        <stp/>
        <stp>P</stp>
        <stp>0</stp>
        <stp>FUT</stp>
        <stp>C65</stp>
        <stp>종신금매수금액</stp>
        <stp>45341</stp>
        <stp/>
        <tr r="F32" s="1"/>
        <tr r="F32" s="1"/>
      </tp>
      <tp>
        <v>165</v>
        <stp/>
        <stp>P</stp>
        <stp>0</stp>
        <stp>FUT</stp>
        <stp>C65</stp>
        <stp>종신금매수수량</stp>
        <stp>45341</stp>
        <stp/>
        <tr r="I32" s="1"/>
        <tr r="I32" s="1"/>
      </tp>
      <tp>
        <v>45970100000</v>
        <stp/>
        <stp>P</stp>
        <stp>0</stp>
        <stp>FUT</stp>
        <stp>C65</stp>
        <stp>연기금매수금액</stp>
        <stp>45341</stp>
        <stp/>
        <tr r="F33" s="1"/>
        <tr r="F33" s="1"/>
      </tp>
      <tp>
        <v>440</v>
        <stp/>
        <stp>P</stp>
        <stp>0</stp>
        <stp>FUT</stp>
        <stp>C65</stp>
        <stp>연기금매수수량</stp>
        <stp>45341</stp>
        <stp/>
        <tr r="I33" s="1"/>
        <tr r="I33" s="1"/>
      </tp>
      <tp>
        <v>1976</v>
        <stp/>
        <stp>P</stp>
        <stp>0</stp>
        <stp>FUT</stp>
        <stp>C65</stp>
        <stp>은행순매수수량</stp>
        <stp>45341</stp>
        <stp/>
        <tr r="J31" s="1"/>
        <tr r="J31" s="1"/>
      </tp>
      <tp>
        <v>206277360000</v>
        <stp/>
        <stp>P</stp>
        <stp>0</stp>
        <stp>FUT</stp>
        <stp>C65</stp>
        <stp>은행순매수금액</stp>
        <stp>45341</stp>
        <stp/>
        <tr r="G31" s="1"/>
        <tr r="G31" s="1"/>
      </tp>
      <tp>
        <v>-12</v>
        <stp/>
        <stp>P</stp>
        <stp>0</stp>
        <stp>FUT</stp>
        <stp>C65</stp>
        <stp>보험순매수수량</stp>
        <stp>45341</stp>
        <stp/>
        <tr r="J28" s="1"/>
        <tr r="J28" s="1"/>
      </tp>
      <tp>
        <v>-1256020000</v>
        <stp/>
        <stp>P</stp>
        <stp>0</stp>
        <stp>FUT</stp>
        <stp>C65</stp>
        <stp>보험순매수금액</stp>
        <stp>45341</stp>
        <stp/>
        <tr r="G28" s="1"/>
        <tr r="G28" s="1"/>
      </tp>
      <tp>
        <v>0</v>
        <stp/>
        <stp>P</stp>
        <stp>0</stp>
        <stp>FUT</stp>
        <stp>C65</stp>
        <stp>국가/지방순매수금액</stp>
        <stp>45341</stp>
        <stp/>
        <tr r="G34" s="1"/>
        <tr r="G34" s="1"/>
      </tp>
      <tp>
        <v>0</v>
        <stp/>
        <stp>P</stp>
        <stp>0</stp>
        <stp>FUT</stp>
        <stp>C65</stp>
        <stp>국가/지방순매수수량</stp>
        <stp>45341</stp>
        <stp/>
        <tr r="J34" s="1"/>
        <tr r="J34" s="1"/>
      </tp>
      <tp>
        <v>710</v>
        <stp/>
        <stp>P</stp>
        <stp>0</stp>
        <stp>FUT</stp>
        <stp>C65</stp>
        <stp>종신금매도수량</stp>
        <stp>45341</stp>
        <stp/>
        <tr r="H32" s="1"/>
        <tr r="H32" s="1"/>
      </tp>
      <tp>
        <v>74176000000</v>
        <stp/>
        <stp>P</stp>
        <stp>0</stp>
        <stp>FUT</stp>
        <stp>C65</stp>
        <stp>종신금매도금액</stp>
        <stp>45341</stp>
        <stp/>
        <tr r="E32" s="1"/>
        <tr r="E32" s="1"/>
      </tp>
      <tp>
        <v>1543779760000</v>
        <stp/>
        <stp>P</stp>
        <stp>0</stp>
        <stp>FUT</stp>
        <stp>C65</stp>
        <stp>외국인합순매수금액</stp>
        <stp>45341</stp>
        <stp/>
        <tr r="G24" s="1"/>
        <tr r="G24" s="1"/>
      </tp>
      <tp>
        <v>14779</v>
        <stp/>
        <stp>P</stp>
        <stp>0</stp>
        <stp>FUT</stp>
        <stp>C65</stp>
        <stp>외국인합순매수수량</stp>
        <stp>45341</stp>
        <stp/>
        <tr r="J24" s="1"/>
        <tr r="J24" s="1"/>
      </tp>
      <tp>
        <v>1200</v>
        <stp/>
        <stp>P</stp>
        <stp>0</stp>
        <stp>FUT</stp>
        <stp>C65</stp>
        <stp>연기금매도수량</stp>
        <stp>45341</stp>
        <stp/>
        <tr r="H33" s="1"/>
        <tr r="H33" s="1"/>
      </tp>
      <tp>
        <v>125395980000</v>
        <stp/>
        <stp>P</stp>
        <stp>0</stp>
        <stp>FUT</stp>
        <stp>C65</stp>
        <stp>연기금매도금액</stp>
        <stp>45341</stp>
        <stp/>
        <tr r="E33" s="1"/>
        <tr r="E33" s="1"/>
      </tp>
      <tp>
        <v>-1520134410000</v>
        <stp/>
        <stp>P</stp>
        <stp>0</stp>
        <stp>FUT</stp>
        <stp>C65</stp>
        <stp>증권/선물순매수금액</stp>
        <stp>45341</stp>
        <stp/>
        <tr r="G27" s="1"/>
        <tr r="G27" s="1"/>
      </tp>
      <tp>
        <v>-14555</v>
        <stp/>
        <stp>P</stp>
        <stp>0</stp>
        <stp>FUT</stp>
        <stp>C65</stp>
        <stp>증권/선물순매수수량</stp>
        <stp>45341</stp>
        <stp/>
        <tr r="J27" s="1"/>
        <tr r="J27" s="1"/>
      </tp>
      <tp>
        <v>13165160000</v>
        <stp/>
        <stp>P</stp>
        <stp>0</stp>
        <stp>FUT</stp>
        <stp>C65</stp>
        <stp>개인순매수금액</stp>
        <stp>45341</stp>
        <stp/>
        <tr r="G25" s="1"/>
        <tr r="G25" s="1"/>
      </tp>
      <tp>
        <v>126</v>
        <stp/>
        <stp>P</stp>
        <stp>0</stp>
        <stp>FUT</stp>
        <stp>C65</stp>
        <stp>개인순매수수량</stp>
        <stp>45341</stp>
        <stp/>
        <tr r="J25" s="1"/>
        <tr r="J25" s="1"/>
      </tp>
      <tp>
        <v>-14905</v>
        <stp/>
        <stp>P</stp>
        <stp>0</stp>
        <stp>FUT</stp>
        <stp>C65</stp>
        <stp>기관순매수수량</stp>
        <stp>45341</stp>
        <stp/>
        <tr r="J26" s="1"/>
        <tr r="J26" s="1"/>
      </tp>
      <tp>
        <v>6400000</v>
        <stp/>
        <stp>P</stp>
        <stp>0</stp>
        <stp>FUT</stp>
        <stp>C65</stp>
        <stp>기타순매수금액</stp>
        <stp>45341</stp>
        <stp/>
        <tr r="G35" s="1"/>
        <tr r="G35" s="1"/>
      </tp>
      <tp>
        <v>-1556951320000</v>
        <stp/>
        <stp>P</stp>
        <stp>0</stp>
        <stp>FUT</stp>
        <stp>C65</stp>
        <stp>기관순매수금액</stp>
        <stp>45341</stp>
        <stp/>
        <tr r="G26" s="1"/>
        <tr r="G26" s="1"/>
      </tp>
      <tp>
        <v>0</v>
        <stp/>
        <stp>P</stp>
        <stp>0</stp>
        <stp>FUT</stp>
        <stp>C65</stp>
        <stp>기타순매수수량</stp>
        <stp>45341</stp>
        <stp/>
        <tr r="J35" s="1"/>
        <tr r="J35" s="1"/>
      </tp>
      <tp>
        <v>2287843610000</v>
        <stp/>
        <stp>P</stp>
        <stp>0</stp>
        <stp>FUT</stp>
        <stp>C65</stp>
        <stp>외국인합매도금액</stp>
        <stp>45341</stp>
        <stp/>
        <tr r="E24" s="1"/>
        <tr r="E24" s="1"/>
      </tp>
      <tp>
        <v>21901</v>
        <stp/>
        <stp>P</stp>
        <stp>0</stp>
        <stp>FUT</stp>
        <stp>C65</stp>
        <stp>외국인합매도수량</stp>
        <stp>45341</stp>
        <stp/>
        <tr r="H24" s="1"/>
        <tr r="H24" s="1"/>
      </tp>
      <tp>
        <v>33663</v>
        <stp/>
        <stp>P</stp>
        <stp>0</stp>
        <stp>FUT</stp>
        <stp>C65</stp>
        <stp>증권/선물매수수량</stp>
        <stp>45341</stp>
        <stp/>
        <tr r="I27" s="1"/>
        <tr r="I27" s="1"/>
      </tp>
      <tp>
        <v>3517014590000</v>
        <stp/>
        <stp>P</stp>
        <stp>0</stp>
        <stp>FUT</stp>
        <stp>C65</stp>
        <stp>증권/선물매수금액</stp>
        <stp>45341</stp>
        <stp/>
        <tr r="F27" s="1"/>
        <tr r="F27" s="1"/>
      </tp>
      <tp>
        <v>0.28999999999999998</v>
        <stp/>
        <stp>P</stp>
        <stp>0</stp>
        <stp>FUT</stp>
        <stp>C88</stp>
        <stp>등락률</stp>
        <stp>45341</stp>
        <stp/>
        <tr r="G15" s="1"/>
      </tp>
      <tp>
        <v>-0.04</v>
        <stp/>
        <stp>P</stp>
        <stp>0</stp>
        <stp>FUT</stp>
        <stp>C75</stp>
        <stp>등락률</stp>
        <stp>45341</stp>
        <stp/>
        <tr r="G12" s="1"/>
      </tp>
      <tp>
        <v>7.0000000000000007E-2</v>
        <stp/>
        <stp>P</stp>
        <stp>0</stp>
        <stp>FUT</stp>
        <stp>C76</stp>
        <stp>등락률</stp>
        <stp>45341</stp>
        <stp/>
        <tr r="G14" s="1"/>
      </tp>
      <tp>
        <v>0.48</v>
        <stp/>
        <stp>P</stp>
        <stp>0</stp>
        <stp>FUT</stp>
        <stp>C77</stp>
        <stp>등락률</stp>
        <stp>45341</stp>
        <stp/>
        <tr r="G13" s="1"/>
      </tp>
      <tp>
        <v>0.28999999999999998</v>
        <stp/>
        <stp>P</stp>
        <stp>0</stp>
        <stp>FUT</stp>
        <stp>C70</stp>
        <stp>등락률</stp>
        <stp>45341</stp>
        <stp/>
        <tr r="G11" s="1"/>
      </tp>
      <tp>
        <v>0.05</v>
        <stp/>
        <stp>P</stp>
        <stp>0</stp>
        <stp>FUT</stp>
        <stp>C65</stp>
        <stp>등락률</stp>
        <stp>45341</stp>
        <stp/>
        <tr r="G8" s="1"/>
      </tp>
      <tp>
        <v>-0.15</v>
        <stp/>
        <stp>P</stp>
        <stp>0</stp>
        <stp>FUT</stp>
        <stp>C66</stp>
        <stp>등락률</stp>
        <stp>45341</stp>
        <stp/>
        <tr r="G9" s="1"/>
      </tp>
      <tp>
        <v>0.13</v>
        <stp/>
        <stp>P</stp>
        <stp>0</stp>
        <stp>FUT</stp>
        <stp>C67</stp>
        <stp>등락률</stp>
        <stp>45341</stp>
        <stp/>
        <tr r="G10" s="1"/>
      </tp>
      <tp>
        <v>1.49</v>
        <stp/>
        <stp>P</stp>
        <stp>0</stp>
        <stp>FUT</stp>
        <stp>C01</stp>
        <stp>등락률</stp>
        <stp>45341</stp>
        <stp/>
        <tr r="G7" s="1"/>
      </tp>
      <tp>
        <v>80221</v>
        <stp/>
        <stp>P</stp>
        <stp>0</stp>
        <stp>FUT</stp>
        <stp>C65</stp>
        <stp>거래량</stp>
        <stp>45341</stp>
        <stp/>
        <tr r="K8" s="1"/>
      </tp>
      <tp>
        <v>31125</v>
        <stp/>
        <stp>P</stp>
        <stp>0</stp>
        <stp>FUT</stp>
        <stp>C67</stp>
        <stp>거래량</stp>
        <stp>45341</stp>
        <stp/>
        <tr r="K10" s="1"/>
      </tp>
      <tp>
        <v>0</v>
        <stp/>
        <stp>P</stp>
        <stp>0</stp>
        <stp>FUT</stp>
        <stp>C66</stp>
        <stp>거래량</stp>
        <stp>45341</stp>
        <stp/>
        <tr r="K9" s="1"/>
      </tp>
      <tp>
        <v>287580</v>
        <stp/>
        <stp>P</stp>
        <stp>0</stp>
        <stp>FUT</stp>
        <stp>C75</stp>
        <stp>거래량</stp>
        <stp>45341</stp>
        <stp/>
        <tr r="K12" s="1"/>
      </tp>
      <tp>
        <v>0</v>
        <stp/>
        <stp>P</stp>
        <stp>0</stp>
        <stp>FUT</stp>
        <stp>C77</stp>
        <stp>거래량</stp>
        <stp>45341</stp>
        <stp/>
        <tr r="K13" s="1"/>
      </tp>
      <tp>
        <v>510</v>
        <stp/>
        <stp>P</stp>
        <stp>0</stp>
        <stp>FUT</stp>
        <stp>C76</stp>
        <stp>거래량</stp>
        <stp>45341</stp>
        <stp/>
        <tr r="K14" s="1"/>
      </tp>
      <tp>
        <v>17</v>
        <stp/>
        <stp>P</stp>
        <stp>0</stp>
        <stp>FUT</stp>
        <stp>C70</stp>
        <stp>거래량</stp>
        <stp>45341</stp>
        <stp/>
        <tr r="K11" s="1"/>
      </tp>
      <tp>
        <v>218833</v>
        <stp/>
        <stp>P</stp>
        <stp>0</stp>
        <stp>FUT</stp>
        <stp>C01</stp>
        <stp>거래량</stp>
        <stp>45341</stp>
        <stp/>
        <tr r="K7" s="1"/>
      </tp>
      <tp>
        <v>0</v>
        <stp/>
        <stp>P</stp>
        <stp>0</stp>
        <stp>FUT</stp>
        <stp>C88</stp>
        <stp>거래량</stp>
        <stp>45341</stp>
        <stp/>
        <tr r="K15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r>
              <a:rPr lang="ko-KR" altLang="en-US" sz="1100">
                <a:solidFill>
                  <a:schemeClr val="tx1">
                    <a:lumMod val="75000"/>
                    <a:lumOff val="25000"/>
                  </a:schemeClr>
                </a:solidFill>
              </a:rPr>
              <a:t>투자자 순매수 동향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선물시장종합!$AF$22</c:f>
              <c:strCache>
                <c:ptCount val="1"/>
                <c:pt idx="0">
                  <c:v>기관계</c:v>
                </c:pt>
              </c:strCache>
            </c:strRef>
          </c:tx>
          <c:spPr>
            <a:ln w="22225">
              <a:solidFill>
                <a:srgbClr val="FF01A2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cat>
            <c:numRef>
              <c:f>선물시장종합!$AE$23:$AE$42</c:f>
              <c:numCache>
                <c:formatCode>General</c:formatCode>
                <c:ptCount val="20"/>
                <c:pt idx="0">
                  <c:v>45341</c:v>
                </c:pt>
                <c:pt idx="1">
                  <c:v>45338</c:v>
                </c:pt>
                <c:pt idx="2">
                  <c:v>45337</c:v>
                </c:pt>
                <c:pt idx="3">
                  <c:v>45336</c:v>
                </c:pt>
                <c:pt idx="4">
                  <c:v>45335</c:v>
                </c:pt>
                <c:pt idx="5">
                  <c:v>45330</c:v>
                </c:pt>
                <c:pt idx="6">
                  <c:v>45329</c:v>
                </c:pt>
                <c:pt idx="7">
                  <c:v>45328</c:v>
                </c:pt>
                <c:pt idx="8">
                  <c:v>45327</c:v>
                </c:pt>
                <c:pt idx="9">
                  <c:v>45324</c:v>
                </c:pt>
                <c:pt idx="10">
                  <c:v>45323</c:v>
                </c:pt>
                <c:pt idx="11">
                  <c:v>45322</c:v>
                </c:pt>
                <c:pt idx="12">
                  <c:v>45321</c:v>
                </c:pt>
                <c:pt idx="13">
                  <c:v>45320</c:v>
                </c:pt>
                <c:pt idx="14">
                  <c:v>45317</c:v>
                </c:pt>
                <c:pt idx="15">
                  <c:v>45316</c:v>
                </c:pt>
                <c:pt idx="16">
                  <c:v>45315</c:v>
                </c:pt>
                <c:pt idx="17">
                  <c:v>45314</c:v>
                </c:pt>
                <c:pt idx="18">
                  <c:v>45313</c:v>
                </c:pt>
                <c:pt idx="19">
                  <c:v>45310</c:v>
                </c:pt>
              </c:numCache>
            </c:numRef>
          </c:cat>
          <c:val>
            <c:numRef>
              <c:f>선물시장종합!$AF$23:$AF$42</c:f>
              <c:numCache>
                <c:formatCode>General</c:formatCode>
                <c:ptCount val="20"/>
                <c:pt idx="0">
                  <c:v>-1556951.32</c:v>
                </c:pt>
                <c:pt idx="1">
                  <c:v>-548304.76</c:v>
                </c:pt>
                <c:pt idx="2">
                  <c:v>-300363.71999999997</c:v>
                </c:pt>
                <c:pt idx="3">
                  <c:v>2077250.05</c:v>
                </c:pt>
                <c:pt idx="4">
                  <c:v>1432627.56</c:v>
                </c:pt>
                <c:pt idx="5">
                  <c:v>-84366.38</c:v>
                </c:pt>
                <c:pt idx="6">
                  <c:v>324518.94</c:v>
                </c:pt>
                <c:pt idx="7">
                  <c:v>194568.04</c:v>
                </c:pt>
                <c:pt idx="8">
                  <c:v>1131372.22</c:v>
                </c:pt>
                <c:pt idx="9">
                  <c:v>-890760.49</c:v>
                </c:pt>
                <c:pt idx="10">
                  <c:v>-590533.57999999996</c:v>
                </c:pt>
                <c:pt idx="11">
                  <c:v>-834976.76</c:v>
                </c:pt>
                <c:pt idx="12">
                  <c:v>2241755.2400000002</c:v>
                </c:pt>
                <c:pt idx="13">
                  <c:v>-634094.94999999995</c:v>
                </c:pt>
                <c:pt idx="14">
                  <c:v>-448317.5</c:v>
                </c:pt>
                <c:pt idx="15">
                  <c:v>140387.28</c:v>
                </c:pt>
                <c:pt idx="16">
                  <c:v>-199660.87</c:v>
                </c:pt>
                <c:pt idx="17">
                  <c:v>334856.03999999998</c:v>
                </c:pt>
                <c:pt idx="18">
                  <c:v>-867922.63</c:v>
                </c:pt>
                <c:pt idx="19">
                  <c:v>661957.1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CA-49FD-B1AB-951ED210B669}"/>
            </c:ext>
          </c:extLst>
        </c:ser>
        <c:ser>
          <c:idx val="1"/>
          <c:order val="1"/>
          <c:tx>
            <c:strRef>
              <c:f>선물시장종합!$AG$22</c:f>
              <c:strCache>
                <c:ptCount val="1"/>
                <c:pt idx="0">
                  <c:v>외국인합</c:v>
                </c:pt>
              </c:strCache>
            </c:strRef>
          </c:tx>
          <c:spPr>
            <a:ln w="22225">
              <a:solidFill>
                <a:srgbClr val="006CFF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cat>
            <c:numRef>
              <c:f>선물시장종합!$AE$23:$AE$42</c:f>
              <c:numCache>
                <c:formatCode>General</c:formatCode>
                <c:ptCount val="20"/>
                <c:pt idx="0">
                  <c:v>45341</c:v>
                </c:pt>
                <c:pt idx="1">
                  <c:v>45338</c:v>
                </c:pt>
                <c:pt idx="2">
                  <c:v>45337</c:v>
                </c:pt>
                <c:pt idx="3">
                  <c:v>45336</c:v>
                </c:pt>
                <c:pt idx="4">
                  <c:v>45335</c:v>
                </c:pt>
                <c:pt idx="5">
                  <c:v>45330</c:v>
                </c:pt>
                <c:pt idx="6">
                  <c:v>45329</c:v>
                </c:pt>
                <c:pt idx="7">
                  <c:v>45328</c:v>
                </c:pt>
                <c:pt idx="8">
                  <c:v>45327</c:v>
                </c:pt>
                <c:pt idx="9">
                  <c:v>45324</c:v>
                </c:pt>
                <c:pt idx="10">
                  <c:v>45323</c:v>
                </c:pt>
                <c:pt idx="11">
                  <c:v>45322</c:v>
                </c:pt>
                <c:pt idx="12">
                  <c:v>45321</c:v>
                </c:pt>
                <c:pt idx="13">
                  <c:v>45320</c:v>
                </c:pt>
                <c:pt idx="14">
                  <c:v>45317</c:v>
                </c:pt>
                <c:pt idx="15">
                  <c:v>45316</c:v>
                </c:pt>
                <c:pt idx="16">
                  <c:v>45315</c:v>
                </c:pt>
                <c:pt idx="17">
                  <c:v>45314</c:v>
                </c:pt>
                <c:pt idx="18">
                  <c:v>45313</c:v>
                </c:pt>
                <c:pt idx="19">
                  <c:v>45310</c:v>
                </c:pt>
              </c:numCache>
            </c:numRef>
          </c:cat>
          <c:val>
            <c:numRef>
              <c:f>선물시장종합!$AG$23:$AG$42</c:f>
              <c:numCache>
                <c:formatCode>General</c:formatCode>
                <c:ptCount val="20"/>
                <c:pt idx="0">
                  <c:v>1543779.76</c:v>
                </c:pt>
                <c:pt idx="1">
                  <c:v>566892.97</c:v>
                </c:pt>
                <c:pt idx="2">
                  <c:v>171601.89</c:v>
                </c:pt>
                <c:pt idx="3">
                  <c:v>-1845430.54</c:v>
                </c:pt>
                <c:pt idx="4">
                  <c:v>-1465085.88</c:v>
                </c:pt>
                <c:pt idx="5">
                  <c:v>86032.75</c:v>
                </c:pt>
                <c:pt idx="6">
                  <c:v>-358694.34</c:v>
                </c:pt>
                <c:pt idx="7">
                  <c:v>-236567.36</c:v>
                </c:pt>
                <c:pt idx="8">
                  <c:v>-1148654.8500000001</c:v>
                </c:pt>
                <c:pt idx="9">
                  <c:v>876583.6</c:v>
                </c:pt>
                <c:pt idx="10">
                  <c:v>481685.11</c:v>
                </c:pt>
                <c:pt idx="11">
                  <c:v>706524.63</c:v>
                </c:pt>
                <c:pt idx="12">
                  <c:v>-2307629.7999999998</c:v>
                </c:pt>
                <c:pt idx="13">
                  <c:v>601713.30000000005</c:v>
                </c:pt>
                <c:pt idx="14">
                  <c:v>449785.75</c:v>
                </c:pt>
                <c:pt idx="15">
                  <c:v>-131455.84</c:v>
                </c:pt>
                <c:pt idx="16">
                  <c:v>213710.41</c:v>
                </c:pt>
                <c:pt idx="17">
                  <c:v>-350586.7</c:v>
                </c:pt>
                <c:pt idx="18">
                  <c:v>887021.35</c:v>
                </c:pt>
                <c:pt idx="19">
                  <c:v>-679984.86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CA-49FD-B1AB-951ED210B669}"/>
            </c:ext>
          </c:extLst>
        </c:ser>
        <c:ser>
          <c:idx val="2"/>
          <c:order val="2"/>
          <c:tx>
            <c:strRef>
              <c:f>선물시장종합!$AH$22</c:f>
              <c:strCache>
                <c:ptCount val="1"/>
                <c:pt idx="0">
                  <c:v>개인</c:v>
                </c:pt>
              </c:strCache>
            </c:strRef>
          </c:tx>
          <c:spPr>
            <a:ln w="22225">
              <a:solidFill>
                <a:schemeClr val="bg1">
                  <a:lumMod val="50000"/>
                </a:schemeClr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cat>
            <c:numRef>
              <c:f>선물시장종합!$AE$23:$AE$42</c:f>
              <c:numCache>
                <c:formatCode>General</c:formatCode>
                <c:ptCount val="20"/>
                <c:pt idx="0">
                  <c:v>45341</c:v>
                </c:pt>
                <c:pt idx="1">
                  <c:v>45338</c:v>
                </c:pt>
                <c:pt idx="2">
                  <c:v>45337</c:v>
                </c:pt>
                <c:pt idx="3">
                  <c:v>45336</c:v>
                </c:pt>
                <c:pt idx="4">
                  <c:v>45335</c:v>
                </c:pt>
                <c:pt idx="5">
                  <c:v>45330</c:v>
                </c:pt>
                <c:pt idx="6">
                  <c:v>45329</c:v>
                </c:pt>
                <c:pt idx="7">
                  <c:v>45328</c:v>
                </c:pt>
                <c:pt idx="8">
                  <c:v>45327</c:v>
                </c:pt>
                <c:pt idx="9">
                  <c:v>45324</c:v>
                </c:pt>
                <c:pt idx="10">
                  <c:v>45323</c:v>
                </c:pt>
                <c:pt idx="11">
                  <c:v>45322</c:v>
                </c:pt>
                <c:pt idx="12">
                  <c:v>45321</c:v>
                </c:pt>
                <c:pt idx="13">
                  <c:v>45320</c:v>
                </c:pt>
                <c:pt idx="14">
                  <c:v>45317</c:v>
                </c:pt>
                <c:pt idx="15">
                  <c:v>45316</c:v>
                </c:pt>
                <c:pt idx="16">
                  <c:v>45315</c:v>
                </c:pt>
                <c:pt idx="17">
                  <c:v>45314</c:v>
                </c:pt>
                <c:pt idx="18">
                  <c:v>45313</c:v>
                </c:pt>
                <c:pt idx="19">
                  <c:v>45310</c:v>
                </c:pt>
              </c:numCache>
            </c:numRef>
          </c:cat>
          <c:val>
            <c:numRef>
              <c:f>선물시장종합!$AH$23:$AH$42</c:f>
              <c:numCache>
                <c:formatCode>General</c:formatCode>
                <c:ptCount val="20"/>
                <c:pt idx="0">
                  <c:v>13165.16</c:v>
                </c:pt>
                <c:pt idx="1">
                  <c:v>-12118.35</c:v>
                </c:pt>
                <c:pt idx="2">
                  <c:v>92183.27</c:v>
                </c:pt>
                <c:pt idx="3">
                  <c:v>-196756.3</c:v>
                </c:pt>
                <c:pt idx="4">
                  <c:v>32454.31</c:v>
                </c:pt>
                <c:pt idx="5">
                  <c:v>4827.79</c:v>
                </c:pt>
                <c:pt idx="6">
                  <c:v>21175.88</c:v>
                </c:pt>
                <c:pt idx="7">
                  <c:v>55008.87</c:v>
                </c:pt>
                <c:pt idx="8">
                  <c:v>7433.5</c:v>
                </c:pt>
                <c:pt idx="9">
                  <c:v>23839.49</c:v>
                </c:pt>
                <c:pt idx="10">
                  <c:v>95843.98</c:v>
                </c:pt>
                <c:pt idx="11">
                  <c:v>123619.49</c:v>
                </c:pt>
                <c:pt idx="12">
                  <c:v>59160.480000000003</c:v>
                </c:pt>
                <c:pt idx="13">
                  <c:v>23580.13</c:v>
                </c:pt>
                <c:pt idx="14">
                  <c:v>-1469.73</c:v>
                </c:pt>
                <c:pt idx="15">
                  <c:v>-11650.11</c:v>
                </c:pt>
                <c:pt idx="16">
                  <c:v>-8388.5</c:v>
                </c:pt>
                <c:pt idx="17">
                  <c:v>15732.38</c:v>
                </c:pt>
                <c:pt idx="18">
                  <c:v>-19095.490000000002</c:v>
                </c:pt>
                <c:pt idx="19">
                  <c:v>12368.71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CA-49FD-B1AB-951ED210B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9171072"/>
        <c:axId val="239172608"/>
      </c:lineChart>
      <c:catAx>
        <c:axId val="2391710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39172608"/>
        <c:crosses val="autoZero"/>
        <c:auto val="1"/>
        <c:lblAlgn val="ctr"/>
        <c:lblOffset val="100"/>
        <c:noMultiLvlLbl val="1"/>
      </c:catAx>
      <c:valAx>
        <c:axId val="239172608"/>
        <c:scaling>
          <c:orientation val="minMax"/>
        </c:scaling>
        <c:delete val="0"/>
        <c:axPos val="l"/>
        <c:majorGridlines>
          <c:spPr>
            <a:ln w="3175">
              <a:solidFill>
                <a:schemeClr val="bg1">
                  <a:lumMod val="75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ysClr val="window" lastClr="FFFFFF">
                <a:lumMod val="75000"/>
              </a:sysClr>
            </a:solidFill>
          </a:ln>
        </c:spPr>
        <c:txPr>
          <a:bodyPr/>
          <a:lstStyle/>
          <a:p>
            <a:pPr>
              <a:defRPr sz="800"/>
            </a:pPr>
            <a:endParaRPr lang="en-US"/>
          </a:p>
        </c:txPr>
        <c:crossAx val="239171072"/>
        <c:crosses val="autoZero"/>
        <c:crossBetween val="between"/>
      </c:valAx>
      <c:spPr>
        <a:solidFill>
          <a:schemeClr val="bg1">
            <a:lumMod val="95000"/>
          </a:schemeClr>
        </a:solidFill>
        <a:effectLst/>
      </c:spPr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</c:chart>
  <c:spPr>
    <a:ln w="15875">
      <a:solidFill>
        <a:schemeClr val="bg1">
          <a:lumMod val="75000"/>
        </a:schemeClr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r>
              <a:rPr lang="ko-KR" altLang="en-US" sz="1100">
                <a:solidFill>
                  <a:schemeClr val="tx1">
                    <a:lumMod val="75000"/>
                    <a:lumOff val="25000"/>
                  </a:schemeClr>
                </a:solidFill>
              </a:rPr>
              <a:t>당일 순매수 현황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2362729658792652"/>
          <c:y val="5.2948255114320095E-2"/>
          <c:w val="0.84581714785651796"/>
          <c:h val="0.74888882571989002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prstClr val="white"/>
                </a:gs>
                <a:gs pos="0">
                  <a:srgbClr val="CCCCFF"/>
                </a:gs>
                <a:gs pos="39999">
                  <a:srgbClr val="9999FF"/>
                </a:gs>
                <a:gs pos="70000">
                  <a:srgbClr val="6666FF"/>
                </a:gs>
                <a:gs pos="100000">
                  <a:srgbClr val="3333CC"/>
                </a:gs>
              </a:gsLst>
              <a:lin ang="16200000" scaled="1"/>
              <a:tileRect/>
            </a:gra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1"/>
          <c:cat>
            <c:strRef>
              <c:f>선물시장종합!$D$24:$D$35</c:f>
              <c:strCache>
                <c:ptCount val="12"/>
                <c:pt idx="0">
                  <c:v>외국인합</c:v>
                </c:pt>
                <c:pt idx="1">
                  <c:v>개인</c:v>
                </c:pt>
                <c:pt idx="2">
                  <c:v>기관계</c:v>
                </c:pt>
                <c:pt idx="3">
                  <c:v>증권/선물</c:v>
                </c:pt>
                <c:pt idx="4">
                  <c:v>보험</c:v>
                </c:pt>
                <c:pt idx="5">
                  <c:v>투신</c:v>
                </c:pt>
                <c:pt idx="6">
                  <c:v>사모펀드</c:v>
                </c:pt>
                <c:pt idx="7">
                  <c:v>은행</c:v>
                </c:pt>
                <c:pt idx="8">
                  <c:v>종금/저축</c:v>
                </c:pt>
                <c:pt idx="9">
                  <c:v>연기금</c:v>
                </c:pt>
                <c:pt idx="10">
                  <c:v>정부</c:v>
                </c:pt>
                <c:pt idx="11">
                  <c:v>기타법인</c:v>
                </c:pt>
              </c:strCache>
            </c:strRef>
          </c:cat>
          <c:val>
            <c:numRef>
              <c:f>선물시장종합!$G$24:$G$35</c:f>
              <c:numCache>
                <c:formatCode>#,##0_ </c:formatCode>
                <c:ptCount val="12"/>
                <c:pt idx="0">
                  <c:v>1543779.76</c:v>
                </c:pt>
                <c:pt idx="1">
                  <c:v>13165.16</c:v>
                </c:pt>
                <c:pt idx="2">
                  <c:v>-1556951.32</c:v>
                </c:pt>
                <c:pt idx="3">
                  <c:v>-1520134.41</c:v>
                </c:pt>
                <c:pt idx="4">
                  <c:v>-1256.02</c:v>
                </c:pt>
                <c:pt idx="5">
                  <c:v>-105470.77</c:v>
                </c:pt>
                <c:pt idx="6">
                  <c:v>0</c:v>
                </c:pt>
                <c:pt idx="7">
                  <c:v>206277.36</c:v>
                </c:pt>
                <c:pt idx="8">
                  <c:v>-56941.599999999999</c:v>
                </c:pt>
                <c:pt idx="9">
                  <c:v>-79425.88</c:v>
                </c:pt>
                <c:pt idx="10">
                  <c:v>0</c:v>
                </c:pt>
                <c:pt idx="11">
                  <c:v>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C5-4C59-8095-EB07D346D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832640"/>
        <c:axId val="238834432"/>
      </c:barChart>
      <c:catAx>
        <c:axId val="2388326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txPr>
          <a:bodyPr rot="-2700000"/>
          <a:lstStyle/>
          <a:p>
            <a:pPr>
              <a:defRPr sz="800"/>
            </a:pPr>
            <a:endParaRPr lang="en-US"/>
          </a:p>
        </c:txPr>
        <c:crossAx val="238834432"/>
        <c:crosses val="autoZero"/>
        <c:auto val="1"/>
        <c:lblAlgn val="ctr"/>
        <c:lblOffset val="100"/>
        <c:noMultiLvlLbl val="0"/>
      </c:catAx>
      <c:valAx>
        <c:axId val="238834432"/>
        <c:scaling>
          <c:orientation val="minMax"/>
        </c:scaling>
        <c:delete val="0"/>
        <c:axPos val="l"/>
        <c:numFmt formatCode="#,##0_ 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38832640"/>
        <c:crosses val="autoZero"/>
        <c:crossBetween val="between"/>
      </c:valAx>
    </c:plotArea>
    <c:plotVisOnly val="1"/>
    <c:dispBlanksAs val="gap"/>
    <c:showDLblsOverMax val="0"/>
  </c:chart>
  <c:spPr>
    <a:ln w="15875">
      <a:solidFill>
        <a:schemeClr val="bg1">
          <a:lumMod val="75000"/>
        </a:schemeClr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trlProps/ctrlProp1.xml><?xml version="1.0" encoding="utf-8"?>
<formControlPr xmlns="http://schemas.microsoft.com/office/spreadsheetml/2009/9/main" objectType="Drop" dropStyle="combo" dx="16" fmlaLink="$B$19" fmlaRange="$AA$7:$AA$15" sel="2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38100</xdr:colOff>
      <xdr:row>37</xdr:row>
      <xdr:rowOff>0</xdr:rowOff>
    </xdr:from>
    <xdr:to>
      <xdr:col>15</xdr:col>
      <xdr:colOff>47625</xdr:colOff>
      <xdr:row>58</xdr:row>
      <xdr:rowOff>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10</xdr:col>
      <xdr:colOff>38100</xdr:colOff>
      <xdr:row>19</xdr:row>
      <xdr:rowOff>76199</xdr:rowOff>
    </xdr:from>
    <xdr:to>
      <xdr:col>15</xdr:col>
      <xdr:colOff>38100</xdr:colOff>
      <xdr:row>36</xdr:row>
      <xdr:rowOff>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18</xdr:row>
          <xdr:rowOff>9525</xdr:rowOff>
        </xdr:from>
        <xdr:to>
          <xdr:col>4</xdr:col>
          <xdr:colOff>457200</xdr:colOff>
          <xdr:row>19</xdr:row>
          <xdr:rowOff>28575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J59"/>
  <sheetViews>
    <sheetView showGridLines="0" showRowColHeaders="0" tabSelected="1" zoomScaleNormal="100" workbookViewId="0"/>
  </sheetViews>
  <sheetFormatPr defaultRowHeight="12.75"/>
  <cols>
    <col min="1" max="1" width="2.28515625" customWidth="1"/>
    <col min="2" max="2" width="9.140625" style="19" hidden="1" customWidth="1"/>
    <col min="3" max="3" width="4.85546875" style="19" hidden="1" customWidth="1"/>
    <col min="4" max="4" width="11.7109375" bestFit="1" customWidth="1"/>
    <col min="5" max="5" width="14.85546875" customWidth="1"/>
    <col min="6" max="15" width="13.7109375" customWidth="1"/>
    <col min="16" max="16" width="9.140625" customWidth="1"/>
    <col min="18" max="18" width="11.28515625" bestFit="1" customWidth="1"/>
    <col min="19" max="19" width="15.42578125" customWidth="1"/>
    <col min="20" max="20" width="9.5703125" bestFit="1" customWidth="1"/>
    <col min="21" max="22" width="15.140625" customWidth="1"/>
    <col min="23" max="23" width="11.28515625" customWidth="1"/>
    <col min="24" max="24" width="9.5703125" customWidth="1"/>
    <col min="25" max="37" width="9.140625" customWidth="1"/>
    <col min="38" max="38" width="11.28515625" bestFit="1" customWidth="1"/>
    <col min="39" max="41" width="9.5703125" bestFit="1" customWidth="1"/>
  </cols>
  <sheetData>
    <row r="1" spans="3:27" ht="6" customHeight="1"/>
    <row r="2" spans="3:27">
      <c r="D2" s="5" t="s">
        <v>78</v>
      </c>
    </row>
    <row r="3" spans="3:27" ht="6" customHeight="1"/>
    <row r="4" spans="3:27">
      <c r="D4" s="4" t="s">
        <v>34</v>
      </c>
      <c r="E4" s="13">
        <f ca="1">WORKDAY(TODAY(),-1)</f>
        <v>45341</v>
      </c>
    </row>
    <row r="5" spans="3:27" ht="13.5" thickBot="1">
      <c r="G5" s="2"/>
      <c r="H5" s="2"/>
      <c r="I5" s="2"/>
      <c r="J5" s="2"/>
      <c r="K5" s="2"/>
      <c r="L5" s="2"/>
      <c r="M5" s="2"/>
      <c r="N5" s="2"/>
    </row>
    <row r="6" spans="3:27" ht="13.5" thickBot="1">
      <c r="C6" s="38" t="s">
        <v>21</v>
      </c>
      <c r="D6" s="7" t="s">
        <v>22</v>
      </c>
      <c r="E6" s="8" t="s">
        <v>23</v>
      </c>
      <c r="F6" s="8" t="s">
        <v>24</v>
      </c>
      <c r="G6" s="8" t="s">
        <v>25</v>
      </c>
      <c r="H6" s="8" t="s">
        <v>26</v>
      </c>
      <c r="I6" s="8" t="s">
        <v>27</v>
      </c>
      <c r="J6" s="8" t="s">
        <v>28</v>
      </c>
      <c r="K6" s="8" t="s">
        <v>29</v>
      </c>
      <c r="L6" s="8" t="s">
        <v>30</v>
      </c>
      <c r="M6" s="8" t="s">
        <v>31</v>
      </c>
      <c r="N6" s="8" t="s">
        <v>32</v>
      </c>
      <c r="O6" s="9" t="s">
        <v>33</v>
      </c>
      <c r="X6" t="s">
        <v>0</v>
      </c>
      <c r="Y6" t="s">
        <v>1</v>
      </c>
      <c r="Z6" t="s">
        <v>2</v>
      </c>
    </row>
    <row r="7" spans="3:27">
      <c r="C7" s="39" t="s">
        <v>5</v>
      </c>
      <c r="D7" s="15" t="s">
        <v>16</v>
      </c>
      <c r="E7" s="50">
        <f ca="1">_xll.IMDP($C$6,$C7,E$6,$E$4)</f>
        <v>361.1</v>
      </c>
      <c r="F7" s="52">
        <f ca="1">_xll.IMDP($C$6,$C7,F$6,$E$4)</f>
        <v>5.3</v>
      </c>
      <c r="G7" s="52">
        <f ca="1">_xll.IMDP($C$6,$C7,G$6,$E$4)</f>
        <v>1.49</v>
      </c>
      <c r="H7" s="50">
        <f ca="1">_xll.IMDP($C$6,$C7,H$6,$E$4)</f>
        <v>355.3</v>
      </c>
      <c r="I7" s="50">
        <f ca="1">_xll.IMDP($C$6,$C7,I$6,$E$4)</f>
        <v>361.7</v>
      </c>
      <c r="J7" s="50">
        <f ca="1">_xll.IMDP($C$6,$C7,J$6,$E$4)</f>
        <v>354.9</v>
      </c>
      <c r="K7" s="28">
        <f ca="1">_xll.IMDP($C$6,$C7,K$6,$E$4)</f>
        <v>218833</v>
      </c>
      <c r="L7" s="28">
        <f ca="1">_xll.IMDP($C$6,$C7,L$6,$E$4)</f>
        <v>19700898787</v>
      </c>
      <c r="M7" s="50">
        <f ca="1">_xll.IMDP($C$6,$C7,M$6,$E$4)</f>
        <v>361.79</v>
      </c>
      <c r="N7" s="52">
        <f ca="1">_xll.IMDP($C$6,$C7,N$6,$E$4)</f>
        <v>0.22</v>
      </c>
      <c r="O7" s="52">
        <f ca="1">_xll.IMDP($C$6,$C7,O$6,$E$4)</f>
        <v>0.91</v>
      </c>
      <c r="W7">
        <v>1</v>
      </c>
      <c r="X7" t="s">
        <v>3</v>
      </c>
      <c r="Y7" t="s">
        <v>4</v>
      </c>
      <c r="Z7" t="s">
        <v>5</v>
      </c>
      <c r="AA7" t="s">
        <v>96</v>
      </c>
    </row>
    <row r="8" spans="3:27">
      <c r="C8" s="39" t="s">
        <v>6</v>
      </c>
      <c r="D8" s="16" t="s">
        <v>108</v>
      </c>
      <c r="E8" s="51">
        <f ca="1">_xll.IMDP($C$6,$C8,E$6,$E$4)</f>
        <v>104.51</v>
      </c>
      <c r="F8" s="53">
        <f ca="1">_xll.IMDP($C$6,$C8,F$6,$E$4)</f>
        <v>0.05</v>
      </c>
      <c r="G8" s="53">
        <f ca="1">_xll.IMDP($C$6,$C8,G$6,$E$4)</f>
        <v>0.05</v>
      </c>
      <c r="H8" s="51">
        <f ca="1">_xll.IMDP($C$6,$C8,H$6,$E$4)</f>
        <v>104.43</v>
      </c>
      <c r="I8" s="51">
        <f ca="1">_xll.IMDP($C$6,$C8,I$6,$E$4)</f>
        <v>104.53</v>
      </c>
      <c r="J8" s="51">
        <f ca="1">_xll.IMDP($C$6,$C8,J$6,$E$4)</f>
        <v>104.42</v>
      </c>
      <c r="K8" s="14">
        <f ca="1">_xll.IMDP($C$6,$C8,K$6,$E$4)</f>
        <v>80221</v>
      </c>
      <c r="L8" s="14">
        <f ca="1">_xll.IMDP($C$6,$C8,L$6,$E$4)</f>
        <v>8380495120</v>
      </c>
      <c r="M8" s="51">
        <f ca="1">_xll.IMDP($C$6,$C8,M$6,$E$4)</f>
        <v>104.46899999999999</v>
      </c>
      <c r="N8" s="52">
        <f ca="1">_xll.IMDP($C$6,$C8,N$6,$E$4)</f>
        <v>7.4999999999999997E-2</v>
      </c>
      <c r="O8" s="52">
        <f ca="1">_xll.IMDP($C$6,$C8,O$6,$E$4)</f>
        <v>3.4000000000000002E-2</v>
      </c>
      <c r="W8">
        <v>2</v>
      </c>
      <c r="X8" t="s">
        <v>113</v>
      </c>
      <c r="Y8" t="s">
        <v>4</v>
      </c>
      <c r="Z8" t="s">
        <v>6</v>
      </c>
      <c r="AA8" t="s">
        <v>108</v>
      </c>
    </row>
    <row r="9" spans="3:27">
      <c r="C9" s="39" t="s">
        <v>7</v>
      </c>
      <c r="D9" s="16" t="s">
        <v>109</v>
      </c>
      <c r="E9" s="51">
        <f ca="1">_xll.IMDP($C$6,$C9,E$6,$E$4)</f>
        <v>107</v>
      </c>
      <c r="F9" s="53">
        <f ca="1">_xll.IMDP($C$6,$C9,F$6,$E$4)</f>
        <v>-0.16</v>
      </c>
      <c r="G9" s="53">
        <f ca="1">_xll.IMDP($C$6,$C9,G$6,$E$4)</f>
        <v>-0.15</v>
      </c>
      <c r="H9" s="51">
        <f ca="1">_xll.IMDP($C$6,$C9,H$6,$E$4)</f>
        <v>107</v>
      </c>
      <c r="I9" s="51">
        <f ca="1">_xll.IMDP($C$6,$C9,I$6,$E$4)</f>
        <v>107</v>
      </c>
      <c r="J9" s="51">
        <f ca="1">_xll.IMDP($C$6,$C9,J$6,$E$4)</f>
        <v>107</v>
      </c>
      <c r="K9" s="14">
        <f ca="1">_xll.IMDP($C$6,$C9,K$6,$E$4)</f>
        <v>0</v>
      </c>
      <c r="L9" s="14">
        <f ca="1">_xll.IMDP($C$6,$C9,L$6,$E$4)</f>
        <v>0</v>
      </c>
      <c r="M9" s="51">
        <f ca="1">_xll.IMDP($C$6,$C9,M$6,$E$4)</f>
        <v>107.072</v>
      </c>
      <c r="N9" s="52">
        <f ca="1">_xll.IMDP($C$6,$C9,N$6,$E$4)</f>
        <v>-4.3999999999999997E-2</v>
      </c>
      <c r="O9" s="52">
        <f ca="1">_xll.IMDP($C$6,$C9,O$6,$E$4)</f>
        <v>2.8000000000000001E-2</v>
      </c>
      <c r="W9">
        <v>3</v>
      </c>
      <c r="X9" t="s">
        <v>114</v>
      </c>
      <c r="Y9" t="s">
        <v>4</v>
      </c>
      <c r="Z9" t="s">
        <v>7</v>
      </c>
      <c r="AA9" t="s">
        <v>109</v>
      </c>
    </row>
    <row r="10" spans="3:27">
      <c r="C10" s="39" t="s">
        <v>8</v>
      </c>
      <c r="D10" s="16" t="s">
        <v>110</v>
      </c>
      <c r="E10" s="51">
        <f ca="1">_xll.IMDP($C$6,$C10,E$6,$E$4)</f>
        <v>112.48</v>
      </c>
      <c r="F10" s="53">
        <f ca="1">_xll.IMDP($C$6,$C10,F$6,$E$4)</f>
        <v>0.15</v>
      </c>
      <c r="G10" s="53">
        <f ca="1">_xll.IMDP($C$6,$C10,G$6,$E$4)</f>
        <v>0.13</v>
      </c>
      <c r="H10" s="51">
        <f ca="1">_xll.IMDP($C$6,$C10,H$6,$E$4)</f>
        <v>112.27</v>
      </c>
      <c r="I10" s="51">
        <f ca="1">_xll.IMDP($C$6,$C10,I$6,$E$4)</f>
        <v>112.55</v>
      </c>
      <c r="J10" s="51">
        <f ca="1">_xll.IMDP($C$6,$C10,J$6,$E$4)</f>
        <v>112.22</v>
      </c>
      <c r="K10" s="14">
        <f ca="1">_xll.IMDP($C$6,$C10,K$6,$E$4)</f>
        <v>31125</v>
      </c>
      <c r="L10" s="14">
        <f ca="1">_xll.IMDP($C$6,$C10,L$6,$E$4)</f>
        <v>3497550240</v>
      </c>
      <c r="M10" s="51">
        <f ca="1">_xll.IMDP($C$6,$C10,M$6,$E$4)</f>
        <v>112.511</v>
      </c>
      <c r="N10" s="52">
        <f ca="1">_xll.IMDP($C$6,$C10,N$6,$E$4)</f>
        <v>-4.0000000000000001E-3</v>
      </c>
      <c r="O10" s="52">
        <f ca="1">_xll.IMDP($C$6,$C10,O$6,$E$4)</f>
        <v>2.7E-2</v>
      </c>
      <c r="W10">
        <v>4</v>
      </c>
      <c r="X10" t="s">
        <v>115</v>
      </c>
      <c r="Y10" t="s">
        <v>4</v>
      </c>
      <c r="Z10" t="s">
        <v>8</v>
      </c>
      <c r="AA10" t="s">
        <v>110</v>
      </c>
    </row>
    <row r="11" spans="3:27">
      <c r="C11" s="39" t="s">
        <v>112</v>
      </c>
      <c r="D11" s="16" t="s">
        <v>111</v>
      </c>
      <c r="E11" s="51">
        <f ca="1">_xll.IMDP($C$6,$C11,E$6,$E$4)</f>
        <v>130.86000000000001</v>
      </c>
      <c r="F11" s="53">
        <f ca="1">_xll.IMDP($C$6,$C11,F$6,$E$4)</f>
        <v>0.38</v>
      </c>
      <c r="G11" s="53">
        <f ca="1">_xll.IMDP($C$6,$C11,G$6,$E$4)</f>
        <v>0.28999999999999998</v>
      </c>
      <c r="H11" s="51">
        <f ca="1">_xll.IMDP($C$6,$C11,H$6,$E$4)</f>
        <v>130.58000000000001</v>
      </c>
      <c r="I11" s="51">
        <f ca="1">_xll.IMDP($C$6,$C11,I$6,$E$4)</f>
        <v>130.86000000000001</v>
      </c>
      <c r="J11" s="51">
        <f ca="1">_xll.IMDP($C$6,$C11,J$6,$E$4)</f>
        <v>130.58000000000001</v>
      </c>
      <c r="K11" s="14">
        <f ca="1">_xll.IMDP($C$6,$C11,K$6,$E$4)</f>
        <v>17</v>
      </c>
      <c r="L11" s="14">
        <f ca="1">_xll.IMDP($C$6,$C11,L$6,$E$4)</f>
        <v>2223360</v>
      </c>
      <c r="M11" s="51">
        <f ca="1">_xll.IMDP($C$6,$C11,M$6,$E$4)</f>
        <v>130.779</v>
      </c>
      <c r="N11" s="52">
        <f ca="1">_xll.IMDP($C$6,$C11,N$6,$E$4)</f>
        <v>0.127</v>
      </c>
      <c r="O11" s="52">
        <f ca="1">_xll.IMDP($C$6,$C11,O$6,$E$4)</f>
        <v>4.5999999999999999E-2</v>
      </c>
      <c r="W11">
        <v>5</v>
      </c>
      <c r="X11" t="s">
        <v>116</v>
      </c>
      <c r="Y11" t="s">
        <v>4</v>
      </c>
      <c r="Z11" t="s">
        <v>112</v>
      </c>
      <c r="AA11" t="s">
        <v>111</v>
      </c>
    </row>
    <row r="12" spans="3:27">
      <c r="C12" s="39" t="s">
        <v>10</v>
      </c>
      <c r="D12" s="16" t="s">
        <v>17</v>
      </c>
      <c r="E12" s="51">
        <f ca="1">_xll.IMDP($C$6,$C12,E$6,$E$4)</f>
        <v>1333.2</v>
      </c>
      <c r="F12" s="53">
        <f ca="1">_xll.IMDP($C$6,$C12,F$6,$E$4)</f>
        <v>-0.5</v>
      </c>
      <c r="G12" s="53">
        <f ca="1">_xll.IMDP($C$6,$C12,G$6,$E$4)</f>
        <v>-0.04</v>
      </c>
      <c r="H12" s="51">
        <f ca="1">_xll.IMDP($C$6,$C12,H$6,$E$4)</f>
        <v>1331.4</v>
      </c>
      <c r="I12" s="51">
        <f ca="1">_xll.IMDP($C$6,$C12,I$6,$E$4)</f>
        <v>1334.5</v>
      </c>
      <c r="J12" s="51">
        <f ca="1">_xll.IMDP($C$6,$C12,J$6,$E$4)</f>
        <v>1328.6</v>
      </c>
      <c r="K12" s="14">
        <f ca="1">_xll.IMDP($C$6,$C12,K$6,$E$4)</f>
        <v>287580</v>
      </c>
      <c r="L12" s="14">
        <f ca="1">_xll.IMDP($C$6,$C12,L$6,$E$4)</f>
        <v>3828772484</v>
      </c>
      <c r="M12" s="51">
        <f ca="1">_xll.IMDP($C$6,$C12,M$6,$E$4)</f>
        <v>1333.5519999999999</v>
      </c>
      <c r="N12" s="52">
        <f ca="1">_xll.IMDP($C$6,$C12,N$6,$E$4)</f>
        <v>-2</v>
      </c>
      <c r="O12" s="52">
        <f ca="1">_xll.IMDP($C$6,$C12,O$6,$E$4)</f>
        <v>-1.6479999999999999</v>
      </c>
      <c r="W12">
        <v>6</v>
      </c>
      <c r="X12" t="s">
        <v>9</v>
      </c>
      <c r="Y12" t="s">
        <v>4</v>
      </c>
      <c r="Z12" t="s">
        <v>10</v>
      </c>
      <c r="AA12" t="s">
        <v>97</v>
      </c>
    </row>
    <row r="13" spans="3:27">
      <c r="C13" s="39" t="s">
        <v>12</v>
      </c>
      <c r="D13" s="16" t="s">
        <v>18</v>
      </c>
      <c r="E13" s="51">
        <f ca="1">_xll.IMDP($C$6,$C13,E$6,$E$4)</f>
        <v>1436.9</v>
      </c>
      <c r="F13" s="53">
        <f ca="1">_xll.IMDP($C$6,$C13,F$6,$E$4)</f>
        <v>6.9</v>
      </c>
      <c r="G13" s="53">
        <f ca="1">_xll.IMDP($C$6,$C13,G$6,$E$4)</f>
        <v>0.48</v>
      </c>
      <c r="H13" s="51">
        <f ca="1">_xll.IMDP($C$6,$C13,H$6,$E$4)</f>
        <v>1436.9</v>
      </c>
      <c r="I13" s="51">
        <f ca="1">_xll.IMDP($C$6,$C13,I$6,$E$4)</f>
        <v>1436.9</v>
      </c>
      <c r="J13" s="51">
        <f ca="1">_xll.IMDP($C$6,$C13,J$6,$E$4)</f>
        <v>1436.9</v>
      </c>
      <c r="K13" s="14">
        <f ca="1">_xll.IMDP($C$6,$C13,K$6,$E$4)</f>
        <v>0</v>
      </c>
      <c r="L13" s="14">
        <f ca="1">_xll.IMDP($C$6,$C13,L$6,$E$4)</f>
        <v>0</v>
      </c>
      <c r="M13" s="51">
        <f ca="1">_xll.IMDP($C$6,$C13,M$6,$E$4)</f>
        <v>1439.9269999999999</v>
      </c>
      <c r="N13" s="52">
        <f ca="1">_xll.IMDP($C$6,$C13,N$6,$E$4)</f>
        <v>-2.85</v>
      </c>
      <c r="O13" s="52">
        <f ca="1">_xll.IMDP($C$6,$C13,O$6,$E$4)</f>
        <v>0.17699999999999999</v>
      </c>
      <c r="W13">
        <v>7</v>
      </c>
      <c r="X13" t="s">
        <v>11</v>
      </c>
      <c r="Y13" t="s">
        <v>4</v>
      </c>
      <c r="Z13" t="s">
        <v>12</v>
      </c>
      <c r="AA13" t="s">
        <v>98</v>
      </c>
    </row>
    <row r="14" spans="3:27">
      <c r="C14" s="39" t="s">
        <v>14</v>
      </c>
      <c r="D14" s="16" t="s">
        <v>19</v>
      </c>
      <c r="E14" s="51">
        <f ca="1">_xll.IMDP($C$6,$C14,E$6,$E$4)</f>
        <v>892.5</v>
      </c>
      <c r="F14" s="53">
        <f ca="1">_xll.IMDP($C$6,$C14,F$6,$E$4)</f>
        <v>0.6</v>
      </c>
      <c r="G14" s="53">
        <f ca="1">_xll.IMDP($C$6,$C14,G$6,$E$4)</f>
        <v>7.0000000000000007E-2</v>
      </c>
      <c r="H14" s="51">
        <f ca="1">_xll.IMDP($C$6,$C14,H$6,$E$4)</f>
        <v>891</v>
      </c>
      <c r="I14" s="51">
        <f ca="1">_xll.IMDP($C$6,$C14,I$6,$E$4)</f>
        <v>895</v>
      </c>
      <c r="J14" s="51">
        <f ca="1">_xll.IMDP($C$6,$C14,J$6,$E$4)</f>
        <v>890.3</v>
      </c>
      <c r="K14" s="14">
        <f ca="1">_xll.IMDP($C$6,$C14,K$6,$E$4)</f>
        <v>510</v>
      </c>
      <c r="L14" s="14">
        <f ca="1">_xll.IMDP($C$6,$C14,L$6,$E$4)</f>
        <v>4556772</v>
      </c>
      <c r="M14" s="51">
        <f ca="1">_xll.IMDP($C$6,$C14,M$6,$E$4)</f>
        <v>892.96500000000003</v>
      </c>
      <c r="N14" s="52">
        <f ca="1">_xll.IMDP($C$6,$C14,N$6,$E$4)</f>
        <v>2.3149999999999999</v>
      </c>
      <c r="O14" s="52">
        <f ca="1">_xll.IMDP($C$6,$C14,O$6,$E$4)</f>
        <v>2.78</v>
      </c>
      <c r="W14">
        <v>8</v>
      </c>
      <c r="X14" t="s">
        <v>13</v>
      </c>
      <c r="Y14" t="s">
        <v>4</v>
      </c>
      <c r="Z14" t="s">
        <v>14</v>
      </c>
      <c r="AA14" t="s">
        <v>99</v>
      </c>
    </row>
    <row r="15" spans="3:27">
      <c r="C15" s="39" t="s">
        <v>83</v>
      </c>
      <c r="D15" s="16" t="s">
        <v>20</v>
      </c>
      <c r="E15" s="51">
        <f ca="1">_xll.IMDP($C$6,$C15,E$6,$E$4)</f>
        <v>86300</v>
      </c>
      <c r="F15" s="53">
        <f ca="1">_xll.IMDP($C$6,$C15,F$6,$E$4)</f>
        <v>250</v>
      </c>
      <c r="G15" s="53">
        <f ca="1">_xll.IMDP($C$6,$C15,G$6,$E$4)</f>
        <v>0.28999999999999998</v>
      </c>
      <c r="H15" s="51">
        <f ca="1">_xll.IMDP($C$6,$C15,H$6,$E$4)</f>
        <v>86300</v>
      </c>
      <c r="I15" s="51">
        <f ca="1">_xll.IMDP($C$6,$C15,I$6,$E$4)</f>
        <v>86300</v>
      </c>
      <c r="J15" s="51">
        <f ca="1">_xll.IMDP($C$6,$C15,J$6,$E$4)</f>
        <v>86300</v>
      </c>
      <c r="K15" s="14">
        <f ca="1">_xll.IMDP($C$6,$C15,K$6,$E$4)</f>
        <v>0</v>
      </c>
      <c r="L15" s="14">
        <f ca="1">_xll.IMDP($C$6,$C15,L$6,$E$4)</f>
        <v>0</v>
      </c>
      <c r="M15" s="51">
        <f ca="1">_xll.IMDP($C$6,$C15,M$6,$E$4)</f>
        <v>86936.86</v>
      </c>
      <c r="N15" s="52">
        <f ca="1">_xll.IMDP($C$6,$C15,N$6,$E$4)</f>
        <v>-610</v>
      </c>
      <c r="O15" s="52">
        <f ca="1">_xll.IMDP($C$6,$C15,O$6,$E$4)</f>
        <v>26.86</v>
      </c>
      <c r="W15">
        <v>9</v>
      </c>
      <c r="X15" t="s">
        <v>15</v>
      </c>
      <c r="Y15" t="s">
        <v>4</v>
      </c>
      <c r="Z15" t="s">
        <v>100</v>
      </c>
      <c r="AA15" t="s">
        <v>101</v>
      </c>
    </row>
    <row r="16" spans="3:27">
      <c r="J16" s="3"/>
    </row>
    <row r="17" spans="2:36">
      <c r="D17" s="5" t="s">
        <v>60</v>
      </c>
    </row>
    <row r="18" spans="2:36" ht="6" customHeight="1">
      <c r="D18" s="1"/>
      <c r="E18" s="1"/>
    </row>
    <row r="19" spans="2:36">
      <c r="B19" s="19">
        <v>2</v>
      </c>
      <c r="C19" t="str">
        <f>VLOOKUP($B$19,$W$7:$Z$16,4,0)</f>
        <v>C65</v>
      </c>
      <c r="K19" s="20"/>
      <c r="L19" s="20"/>
      <c r="M19" s="21"/>
      <c r="N19" s="20"/>
      <c r="O19" s="20"/>
      <c r="W19" t="s">
        <v>61</v>
      </c>
      <c r="X19">
        <v>41917</v>
      </c>
      <c r="Y19" t="s">
        <v>62</v>
      </c>
      <c r="Z19">
        <f ca="1">$E$4</f>
        <v>45341</v>
      </c>
      <c r="AA19" t="s">
        <v>63</v>
      </c>
      <c r="AB19">
        <v>30</v>
      </c>
      <c r="AC19" t="s">
        <v>64</v>
      </c>
      <c r="AD19" t="s">
        <v>65</v>
      </c>
      <c r="AE19" t="s">
        <v>66</v>
      </c>
      <c r="AF19" t="s">
        <v>67</v>
      </c>
      <c r="AG19" t="s">
        <v>68</v>
      </c>
      <c r="AH19">
        <v>0</v>
      </c>
      <c r="AI19" t="s">
        <v>69</v>
      </c>
      <c r="AJ19" t="s">
        <v>70</v>
      </c>
    </row>
    <row r="20" spans="2:36" ht="6" customHeight="1" thickBot="1">
      <c r="W20" t="str">
        <f>C19</f>
        <v>C65</v>
      </c>
    </row>
    <row r="21" spans="2:36" ht="13.5" hidden="1" thickBot="1">
      <c r="E21" t="s">
        <v>50</v>
      </c>
      <c r="F21" t="s">
        <v>51</v>
      </c>
      <c r="G21" t="s">
        <v>52</v>
      </c>
      <c r="H21" t="s">
        <v>48</v>
      </c>
      <c r="I21" t="s">
        <v>49</v>
      </c>
      <c r="J21" t="s">
        <v>53</v>
      </c>
      <c r="W21" t="str">
        <f ca="1">_xll.IMDH("FUT",$W$20,$W$22:$AC$22,$X$19,$Z$19,$AB$19,"Per="&amp;$AD$19&amp;",sort="&amp;$AF$19&amp;",real=true,Bizday="&amp;$AH$19&amp;",Quote="&amp;$AJ$19&amp;",Pos=20,Orient=V,Title=선물종목,DtFmt=1,TmFmt=1,unit=true")</f>
        <v>선물종목</v>
      </c>
      <c r="X21" t="s">
        <v>102</v>
      </c>
      <c r="Y21" t="s">
        <v>103</v>
      </c>
      <c r="Z21" t="s">
        <v>104</v>
      </c>
    </row>
    <row r="22" spans="2:36">
      <c r="D22" s="58" t="s">
        <v>58</v>
      </c>
      <c r="E22" s="54" t="s">
        <v>59</v>
      </c>
      <c r="F22" s="55"/>
      <c r="G22" s="56"/>
      <c r="H22" s="54" t="s">
        <v>54</v>
      </c>
      <c r="I22" s="55"/>
      <c r="J22" s="57"/>
      <c r="W22" t="s">
        <v>71</v>
      </c>
      <c r="X22" t="s">
        <v>72</v>
      </c>
      <c r="Y22" t="s">
        <v>73</v>
      </c>
      <c r="Z22" t="s">
        <v>74</v>
      </c>
      <c r="AA22" t="s">
        <v>105</v>
      </c>
      <c r="AB22" t="s">
        <v>106</v>
      </c>
      <c r="AC22" t="s">
        <v>107</v>
      </c>
      <c r="AE22" t="s">
        <v>71</v>
      </c>
      <c r="AF22" t="s">
        <v>81</v>
      </c>
      <c r="AG22" t="s">
        <v>75</v>
      </c>
      <c r="AH22" t="s">
        <v>76</v>
      </c>
    </row>
    <row r="23" spans="2:36" ht="13.5" thickBot="1">
      <c r="D23" s="59"/>
      <c r="E23" s="10" t="s">
        <v>50</v>
      </c>
      <c r="F23" s="11" t="s">
        <v>51</v>
      </c>
      <c r="G23" s="11" t="s">
        <v>55</v>
      </c>
      <c r="H23" s="11" t="s">
        <v>56</v>
      </c>
      <c r="I23" s="11" t="s">
        <v>57</v>
      </c>
      <c r="J23" s="12" t="s">
        <v>55</v>
      </c>
      <c r="W23" s="6">
        <v>45341</v>
      </c>
      <c r="X23">
        <v>-1556951320000</v>
      </c>
      <c r="Y23">
        <v>1543779760000</v>
      </c>
      <c r="Z23">
        <v>13165160000</v>
      </c>
      <c r="AA23">
        <v>104.51</v>
      </c>
      <c r="AB23">
        <v>80221</v>
      </c>
      <c r="AC23">
        <v>405670</v>
      </c>
      <c r="AE23">
        <f t="shared" ref="AE23:AE52" si="0">W23</f>
        <v>45341</v>
      </c>
      <c r="AF23">
        <f t="shared" ref="AF23:AF52" si="1">X23/1000000</f>
        <v>-1556951.32</v>
      </c>
      <c r="AG23">
        <f t="shared" ref="AG23:AG52" si="2">Y23/1000000</f>
        <v>1543779.76</v>
      </c>
      <c r="AH23">
        <f t="shared" ref="AH23:AH52" si="3">Z23/1000000</f>
        <v>13165.16</v>
      </c>
    </row>
    <row r="24" spans="2:36">
      <c r="B24" s="19" t="s">
        <v>84</v>
      </c>
      <c r="D24" s="15" t="s">
        <v>35</v>
      </c>
      <c r="E24" s="40">
        <f ca="1">IF(ISERROR(_xll.IMDP("FUT",$C$19,$B24&amp;E$21,$E$4)/1000000),"-",_xll.IMDP("FUT",$C$19,$B24&amp;E$21,$E$4)/1000000)</f>
        <v>2287843.61</v>
      </c>
      <c r="F24" s="40">
        <f ca="1">IF(ISERROR(_xll.IMDP("FUT",$C$19,$B24&amp;F$21,$E$4)/1000000),"-",_xll.IMDP("FUT",$C$19,$B24&amp;F$21,$E$4)/1000000)</f>
        <v>3831623.37</v>
      </c>
      <c r="G24" s="40">
        <f ca="1">IF(ISERROR(_xll.IMDP("FUT",$C$19,$B24&amp;G$21,$E$4)/1000000),"-",_xll.IMDP("FUT",$C$19,$B24&amp;G$21,$E$4)/1000000)</f>
        <v>1543779.76</v>
      </c>
      <c r="H24" s="40">
        <f ca="1">IF(ISERROR(_xll.IMDP("FUT",$C$19,$B24&amp;H$21,$E$4)),"-",_xll.IMDP("FUT",$C$19,$B24&amp;H$21,$E$4))</f>
        <v>21901</v>
      </c>
      <c r="I24" s="40">
        <f ca="1">IF(ISERROR(_xll.IMDP("FUT",$C$19,$B24&amp;I$21,$E$4)),"-",_xll.IMDP("FUT",$C$19,$B24&amp;I$21,$E$4))</f>
        <v>36680</v>
      </c>
      <c r="J24" s="41">
        <f ca="1">IF(ISERROR(_xll.IMDP("FUT",$C$19,$B24&amp;J$21,$E$4)),"-",_xll.IMDP("FUT",$C$19,$B24&amp;J$21,$E$4))</f>
        <v>14779</v>
      </c>
      <c r="W24" s="6">
        <v>45338</v>
      </c>
      <c r="X24">
        <v>-548304760000</v>
      </c>
      <c r="Y24">
        <v>566892970000</v>
      </c>
      <c r="Z24">
        <v>-12118350000</v>
      </c>
      <c r="AA24">
        <v>104.46</v>
      </c>
      <c r="AB24">
        <v>104907</v>
      </c>
      <c r="AC24">
        <v>404051</v>
      </c>
      <c r="AE24">
        <f t="shared" si="0"/>
        <v>45338</v>
      </c>
      <c r="AF24">
        <f t="shared" si="1"/>
        <v>-548304.76</v>
      </c>
      <c r="AG24">
        <f t="shared" si="2"/>
        <v>566892.97</v>
      </c>
      <c r="AH24">
        <f t="shared" si="3"/>
        <v>-12118.35</v>
      </c>
    </row>
    <row r="25" spans="2:36">
      <c r="B25" s="19" t="s">
        <v>85</v>
      </c>
      <c r="D25" s="16" t="s">
        <v>36</v>
      </c>
      <c r="E25" s="42">
        <f ca="1">IF(ISERROR(_xll.IMDP("FUT",$C$19,$B25&amp;E$21,$E$4)/1000000),"-",_xll.IMDP("FUT",$C$19,$B25&amp;E$21,$E$4)/1000000)</f>
        <v>60277.91</v>
      </c>
      <c r="F25" s="42">
        <f ca="1">IF(ISERROR(_xll.IMDP("FUT",$C$19,$B25&amp;F$21,$E$4)/1000000),"-",_xll.IMDP("FUT",$C$19,$B25&amp;F$21,$E$4)/1000000)</f>
        <v>73443.070000000007</v>
      </c>
      <c r="G25" s="42">
        <f ca="1">IF(ISERROR(_xll.IMDP("FUT",$C$19,$B25&amp;G$21,$E$4)/1000000),"-",_xll.IMDP("FUT",$C$19,$B25&amp;G$21,$E$4)/1000000)</f>
        <v>13165.16</v>
      </c>
      <c r="H25" s="42">
        <f ca="1">IF(ISERROR(_xll.IMDP("FUT",$C$19,$B25&amp;H$21,$E$4)),"-",_xll.IMDP("FUT",$C$19,$B25&amp;H$21,$E$4))</f>
        <v>577</v>
      </c>
      <c r="I25" s="42">
        <f ca="1">IF(ISERROR(_xll.IMDP("FUT",$C$19,$B25&amp;I$21,$E$4)),"-",_xll.IMDP("FUT",$C$19,$B25&amp;I$21,$E$4))</f>
        <v>703</v>
      </c>
      <c r="J25" s="43">
        <f ca="1">IF(ISERROR(_xll.IMDP("FUT",$C$19,$B25&amp;J$21,$E$4)),"-",_xll.IMDP("FUT",$C$19,$B25&amp;J$21,$E$4))</f>
        <v>126</v>
      </c>
      <c r="W25" s="6">
        <v>45337</v>
      </c>
      <c r="X25">
        <v>-300363720000</v>
      </c>
      <c r="Y25">
        <v>171601890000</v>
      </c>
      <c r="Z25">
        <v>92183270000</v>
      </c>
      <c r="AA25">
        <v>104.45</v>
      </c>
      <c r="AB25">
        <v>156463</v>
      </c>
      <c r="AC25">
        <v>407364</v>
      </c>
      <c r="AE25">
        <f t="shared" si="0"/>
        <v>45337</v>
      </c>
      <c r="AF25">
        <f t="shared" si="1"/>
        <v>-300363.71999999997</v>
      </c>
      <c r="AG25">
        <f t="shared" si="2"/>
        <v>171601.89</v>
      </c>
      <c r="AH25">
        <f t="shared" si="3"/>
        <v>92183.27</v>
      </c>
    </row>
    <row r="26" spans="2:36">
      <c r="B26" s="19" t="s">
        <v>86</v>
      </c>
      <c r="D26" s="16" t="s">
        <v>37</v>
      </c>
      <c r="E26" s="42">
        <f ca="1">IF(ISERROR(_xll.IMDP("FUT",$C$19,$B26&amp;E$21,$E$4)/1000000),"-",_xll.IMDP("FUT",$C$19,$B26&amp;E$21,$E$4)/1000000)</f>
        <v>6014197.7400000002</v>
      </c>
      <c r="F26" s="42">
        <f ca="1">IF(ISERROR(_xll.IMDP("FUT",$C$19,$B26&amp;F$21,$E$4)/1000000),"-",_xll.IMDP("FUT",$C$19,$B26&amp;F$21,$E$4)/1000000)</f>
        <v>4457246.42</v>
      </c>
      <c r="G26" s="42">
        <f ca="1">IF(ISERROR(_xll.IMDP("FUT",$C$19,$B26&amp;G$21,$E$4)/1000000),"-",_xll.IMDP("FUT",$C$19,$B26&amp;G$21,$E$4)/1000000)</f>
        <v>-1556951.32</v>
      </c>
      <c r="H26" s="42">
        <f ca="1">IF(ISERROR(_xll.IMDP("FUT",$C$19,$B26&amp;H$21,$E$4)),"-",_xll.IMDP("FUT",$C$19,$B26&amp;H$21,$E$4))</f>
        <v>57569</v>
      </c>
      <c r="I26" s="42">
        <f ca="1">IF(ISERROR(_xll.IMDP("FUT",$C$19,$B26&amp;I$21,$E$4)),"-",_xll.IMDP("FUT",$C$19,$B26&amp;I$21,$E$4))</f>
        <v>42664</v>
      </c>
      <c r="J26" s="43">
        <f ca="1">IF(ISERROR(_xll.IMDP("FUT",$C$19,$B26&amp;J$21,$E$4)),"-",_xll.IMDP("FUT",$C$19,$B26&amp;J$21,$E$4))</f>
        <v>-14905</v>
      </c>
      <c r="W26" s="6">
        <v>45336</v>
      </c>
      <c r="X26">
        <v>2077250050000</v>
      </c>
      <c r="Y26">
        <v>-1845430540000</v>
      </c>
      <c r="Z26">
        <v>-196756300000</v>
      </c>
      <c r="AA26">
        <v>104.43</v>
      </c>
      <c r="AB26">
        <v>213090</v>
      </c>
      <c r="AC26">
        <v>399375</v>
      </c>
      <c r="AE26">
        <f t="shared" si="0"/>
        <v>45336</v>
      </c>
      <c r="AF26">
        <f t="shared" si="1"/>
        <v>2077250.05</v>
      </c>
      <c r="AG26">
        <f t="shared" si="2"/>
        <v>-1845430.54</v>
      </c>
      <c r="AH26">
        <f t="shared" si="3"/>
        <v>-196756.3</v>
      </c>
    </row>
    <row r="27" spans="2:36">
      <c r="B27" s="19" t="s">
        <v>87</v>
      </c>
      <c r="D27" s="16" t="s">
        <v>38</v>
      </c>
      <c r="E27" s="42">
        <f ca="1">IF(ISERROR(_xll.IMDP("FUT",$C$19,$B27&amp;E$21,$E$4)/1000000),"-",_xll.IMDP("FUT",$C$19,$B27&amp;E$21,$E$4)/1000000)</f>
        <v>5037149</v>
      </c>
      <c r="F27" s="42">
        <f ca="1">IF(ISERROR(_xll.IMDP("FUT",$C$19,$B27&amp;F$21,$E$4)/1000000),"-",_xll.IMDP("FUT",$C$19,$B27&amp;F$21,$E$4)/1000000)</f>
        <v>3517014.59</v>
      </c>
      <c r="G27" s="42">
        <f ca="1">IF(ISERROR(_xll.IMDP("FUT",$C$19,$B27&amp;G$21,$E$4)/1000000),"-",_xll.IMDP("FUT",$C$19,$B27&amp;G$21,$E$4)/1000000)</f>
        <v>-1520134.41</v>
      </c>
      <c r="H27" s="42">
        <f ca="1">IF(ISERROR(_xll.IMDP("FUT",$C$19,$B27&amp;H$21,$E$4)),"-",_xll.IMDP("FUT",$C$19,$B27&amp;H$21,$E$4))</f>
        <v>48218</v>
      </c>
      <c r="I27" s="42">
        <f ca="1">IF(ISERROR(_xll.IMDP("FUT",$C$19,$B27&amp;I$21,$E$4)),"-",_xll.IMDP("FUT",$C$19,$B27&amp;I$21,$E$4))</f>
        <v>33663</v>
      </c>
      <c r="J27" s="43">
        <f ca="1">IF(ISERROR(_xll.IMDP("FUT",$C$19,$B27&amp;J$21,$E$4)),"-",_xll.IMDP("FUT",$C$19,$B27&amp;J$21,$E$4))</f>
        <v>-14555</v>
      </c>
      <c r="W27" s="6">
        <v>45335</v>
      </c>
      <c r="X27">
        <v>1432627560000</v>
      </c>
      <c r="Y27">
        <v>-1465085880000</v>
      </c>
      <c r="Z27">
        <v>32454310000</v>
      </c>
      <c r="AA27">
        <v>104.64</v>
      </c>
      <c r="AB27">
        <v>147682</v>
      </c>
      <c r="AC27">
        <v>410303</v>
      </c>
      <c r="AE27">
        <f t="shared" si="0"/>
        <v>45335</v>
      </c>
      <c r="AF27">
        <f t="shared" si="1"/>
        <v>1432627.56</v>
      </c>
      <c r="AG27">
        <f t="shared" si="2"/>
        <v>-1465085.88</v>
      </c>
      <c r="AH27">
        <f t="shared" si="3"/>
        <v>32454.31</v>
      </c>
    </row>
    <row r="28" spans="2:36">
      <c r="B28" s="19" t="s">
        <v>88</v>
      </c>
      <c r="D28" s="16" t="s">
        <v>39</v>
      </c>
      <c r="E28" s="42">
        <f ca="1">IF(ISERROR(_xll.IMDP("FUT",$C$19,$B28&amp;E$21,$E$4)/1000000),"-",_xll.IMDP("FUT",$C$19,$B28&amp;E$21,$E$4)/1000000)</f>
        <v>35317.93</v>
      </c>
      <c r="F28" s="42">
        <f ca="1">IF(ISERROR(_xll.IMDP("FUT",$C$19,$B28&amp;F$21,$E$4)/1000000),"-",_xll.IMDP("FUT",$C$19,$B28&amp;F$21,$E$4)/1000000)</f>
        <v>34061.910000000003</v>
      </c>
      <c r="G28" s="42">
        <f ca="1">IF(ISERROR(_xll.IMDP("FUT",$C$19,$B28&amp;G$21,$E$4)/1000000),"-",_xll.IMDP("FUT",$C$19,$B28&amp;G$21,$E$4)/1000000)</f>
        <v>-1256.02</v>
      </c>
      <c r="H28" s="42">
        <f ca="1">IF(ISERROR(_xll.IMDP("FUT",$C$19,$B28&amp;H$21,$E$4)),"-",_xll.IMDP("FUT",$C$19,$B28&amp;H$21,$E$4))</f>
        <v>338</v>
      </c>
      <c r="I28" s="42">
        <f ca="1">IF(ISERROR(_xll.IMDP("FUT",$C$19,$B28&amp;I$21,$E$4)),"-",_xll.IMDP("FUT",$C$19,$B28&amp;I$21,$E$4))</f>
        <v>326</v>
      </c>
      <c r="J28" s="43">
        <f ca="1">IF(ISERROR(_xll.IMDP("FUT",$C$19,$B28&amp;J$21,$E$4)),"-",_xll.IMDP("FUT",$C$19,$B28&amp;J$21,$E$4))</f>
        <v>-12</v>
      </c>
      <c r="W28" s="6">
        <v>45330</v>
      </c>
      <c r="X28">
        <v>-84366380000</v>
      </c>
      <c r="Y28">
        <v>86032750000</v>
      </c>
      <c r="Z28">
        <v>4827790000</v>
      </c>
      <c r="AA28">
        <v>104.78</v>
      </c>
      <c r="AB28">
        <v>75657</v>
      </c>
      <c r="AC28">
        <v>409772</v>
      </c>
      <c r="AE28">
        <f t="shared" si="0"/>
        <v>45330</v>
      </c>
      <c r="AF28">
        <f t="shared" si="1"/>
        <v>-84366.38</v>
      </c>
      <c r="AG28">
        <f t="shared" si="2"/>
        <v>86032.75</v>
      </c>
      <c r="AH28">
        <f t="shared" si="3"/>
        <v>4827.79</v>
      </c>
    </row>
    <row r="29" spans="2:36">
      <c r="B29" s="19" t="s">
        <v>89</v>
      </c>
      <c r="D29" s="16" t="s">
        <v>40</v>
      </c>
      <c r="E29" s="42">
        <f ca="1">IF(ISERROR(_xll.IMDP("FUT",$C$19,$B29&amp;E$21,$E$4)/1000000),"-",_xll.IMDP("FUT",$C$19,$B29&amp;E$21,$E$4)/1000000)</f>
        <v>219330.79</v>
      </c>
      <c r="F29" s="42">
        <f ca="1">IF(ISERROR(_xll.IMDP("FUT",$C$19,$B29&amp;F$21,$E$4)/1000000),"-",_xll.IMDP("FUT",$C$19,$B29&amp;F$21,$E$4)/1000000)</f>
        <v>113860.02</v>
      </c>
      <c r="G29" s="42">
        <f ca="1">IF(ISERROR(_xll.IMDP("FUT",$C$19,$B29&amp;G$21,$E$4)/1000000),"-",_xll.IMDP("FUT",$C$19,$B29&amp;G$21,$E$4)/1000000)</f>
        <v>-105470.77</v>
      </c>
      <c r="H29" s="42">
        <f ca="1">IF(ISERROR(_xll.IMDP("FUT",$C$19,$B29&amp;H$21,$E$4)),"-",_xll.IMDP("FUT",$C$19,$B29&amp;H$21,$E$4))</f>
        <v>2099</v>
      </c>
      <c r="I29" s="42">
        <f ca="1">IF(ISERROR(_xll.IMDP("FUT",$C$19,$B29&amp;I$21,$E$4)),"-",_xll.IMDP("FUT",$C$19,$B29&amp;I$21,$E$4))</f>
        <v>1090</v>
      </c>
      <c r="J29" s="43">
        <f ca="1">IF(ISERROR(_xll.IMDP("FUT",$C$19,$B29&amp;J$21,$E$4)),"-",_xll.IMDP("FUT",$C$19,$B29&amp;J$21,$E$4))</f>
        <v>-1009</v>
      </c>
      <c r="W29" s="6">
        <v>45329</v>
      </c>
      <c r="X29">
        <v>324518940000</v>
      </c>
      <c r="Y29">
        <v>-358694340000</v>
      </c>
      <c r="Z29">
        <v>21175880000</v>
      </c>
      <c r="AA29">
        <v>104.84</v>
      </c>
      <c r="AB29">
        <v>83356</v>
      </c>
      <c r="AC29">
        <v>405088</v>
      </c>
      <c r="AE29">
        <f t="shared" si="0"/>
        <v>45329</v>
      </c>
      <c r="AF29">
        <f t="shared" si="1"/>
        <v>324518.94</v>
      </c>
      <c r="AG29">
        <f t="shared" si="2"/>
        <v>-358694.34</v>
      </c>
      <c r="AH29">
        <f t="shared" si="3"/>
        <v>21175.88</v>
      </c>
    </row>
    <row r="30" spans="2:36">
      <c r="B30" s="19" t="s">
        <v>90</v>
      </c>
      <c r="D30" s="16" t="s">
        <v>41</v>
      </c>
      <c r="E30" s="44" t="str">
        <f ca="1">IF(ISERROR(_xll.IMDP("FUT",$C$19,$B30&amp;E$21,$E$4)/1000000),"-",_xll.IMDP("FUT",$C$19,$B30&amp;E$21,$E$4)/1000000)</f>
        <v>-</v>
      </c>
      <c r="F30" s="44" t="str">
        <f ca="1">IF(ISERROR(_xll.IMDP("FUT",$C$19,$B30&amp;F$21,$E$4)/1000000),"-",_xll.IMDP("FUT",$C$19,$B30&amp;F$21,$E$4)/1000000)</f>
        <v>-</v>
      </c>
      <c r="G30" s="44" t="str">
        <f ca="1">IF(ISERROR(_xll.IMDP("FUT",$C$19,$B30&amp;G$21,$E$4)/1000000),"-",_xll.IMDP("FUT",$C$19,$B30&amp;G$21,$E$4)/1000000)</f>
        <v>-</v>
      </c>
      <c r="H30" s="42" t="str">
        <f ca="1">IF(ISERROR(_xll.IMDP("FUT",$C$19,$B30&amp;H$21,$E$4)),"-",_xll.IMDP("FUT",$C$19,$B30&amp;H$21,$E$4))</f>
        <v/>
      </c>
      <c r="I30" s="42" t="str">
        <f ca="1">IF(ISERROR(_xll.IMDP("FUT",$C$19,$B30&amp;I$21,$E$4)),"-",_xll.IMDP("FUT",$C$19,$B30&amp;I$21,$E$4))</f>
        <v/>
      </c>
      <c r="J30" s="45" t="str">
        <f ca="1">IF(ISERROR(_xll.IMDP("FUT",$C$19,$B30&amp;J$21,$E$4)),"-",_xll.IMDP("FUT",$C$19,$B30&amp;J$21,$E$4))</f>
        <v/>
      </c>
      <c r="W30" s="6">
        <v>45328</v>
      </c>
      <c r="X30">
        <v>194568040000</v>
      </c>
      <c r="Y30">
        <v>-236567360000</v>
      </c>
      <c r="Z30">
        <v>55008870000</v>
      </c>
      <c r="AA30">
        <v>104.85</v>
      </c>
      <c r="AB30">
        <v>128166</v>
      </c>
      <c r="AC30">
        <v>414569</v>
      </c>
      <c r="AE30">
        <f t="shared" si="0"/>
        <v>45328</v>
      </c>
      <c r="AF30">
        <f t="shared" si="1"/>
        <v>194568.04</v>
      </c>
      <c r="AG30">
        <f t="shared" si="2"/>
        <v>-236567.36</v>
      </c>
      <c r="AH30">
        <f t="shared" si="3"/>
        <v>55008.87</v>
      </c>
    </row>
    <row r="31" spans="2:36">
      <c r="B31" s="19" t="s">
        <v>91</v>
      </c>
      <c r="D31" s="16" t="s">
        <v>42</v>
      </c>
      <c r="E31" s="42">
        <f ca="1">IF(ISERROR(_xll.IMDP("FUT",$C$19,$B31&amp;E$21,$E$4)/1000000),"-",_xll.IMDP("FUT",$C$19,$B31&amp;E$21,$E$4)/1000000)</f>
        <v>522828.04</v>
      </c>
      <c r="F31" s="42">
        <f ca="1">IF(ISERROR(_xll.IMDP("FUT",$C$19,$B31&amp;F$21,$E$4)/1000000),"-",_xll.IMDP("FUT",$C$19,$B31&amp;F$21,$E$4)/1000000)</f>
        <v>729105.4</v>
      </c>
      <c r="G31" s="42">
        <f ca="1">IF(ISERROR(_xll.IMDP("FUT",$C$19,$B31&amp;G$21,$E$4)/1000000),"-",_xll.IMDP("FUT",$C$19,$B31&amp;G$21,$E$4)/1000000)</f>
        <v>206277.36</v>
      </c>
      <c r="H31" s="42">
        <f ca="1">IF(ISERROR(_xll.IMDP("FUT",$C$19,$B31&amp;H$21,$E$4)),"-",_xll.IMDP("FUT",$C$19,$B31&amp;H$21,$E$4))</f>
        <v>5004</v>
      </c>
      <c r="I31" s="42">
        <f ca="1">IF(ISERROR(_xll.IMDP("FUT",$C$19,$B31&amp;I$21,$E$4)),"-",_xll.IMDP("FUT",$C$19,$B31&amp;I$21,$E$4))</f>
        <v>6980</v>
      </c>
      <c r="J31" s="43">
        <f ca="1">IF(ISERROR(_xll.IMDP("FUT",$C$19,$B31&amp;J$21,$E$4)),"-",_xll.IMDP("FUT",$C$19,$B31&amp;J$21,$E$4))</f>
        <v>1976</v>
      </c>
      <c r="W31" s="6">
        <v>45327</v>
      </c>
      <c r="X31">
        <v>1131372220000</v>
      </c>
      <c r="Y31">
        <v>-1148654850000</v>
      </c>
      <c r="Z31">
        <v>7433500000</v>
      </c>
      <c r="AA31">
        <v>104.78</v>
      </c>
      <c r="AB31">
        <v>164661</v>
      </c>
      <c r="AC31">
        <v>408578</v>
      </c>
      <c r="AE31">
        <f t="shared" si="0"/>
        <v>45327</v>
      </c>
      <c r="AF31">
        <f t="shared" si="1"/>
        <v>1131372.22</v>
      </c>
      <c r="AG31">
        <f t="shared" si="2"/>
        <v>-1148654.8500000001</v>
      </c>
      <c r="AH31">
        <f t="shared" si="3"/>
        <v>7433.5</v>
      </c>
    </row>
    <row r="32" spans="2:36">
      <c r="B32" s="19" t="s">
        <v>92</v>
      </c>
      <c r="D32" s="16" t="s">
        <v>43</v>
      </c>
      <c r="E32" s="42">
        <f ca="1">IF(ISERROR(_xll.IMDP("FUT",$C$19,$B32&amp;E$21,$E$4)/1000000),"-",_xll.IMDP("FUT",$C$19,$B32&amp;E$21,$E$4)/1000000)</f>
        <v>74176</v>
      </c>
      <c r="F32" s="42">
        <f ca="1">IF(ISERROR(_xll.IMDP("FUT",$C$19,$B32&amp;F$21,$E$4)/1000000),"-",_xll.IMDP("FUT",$C$19,$B32&amp;F$21,$E$4)/1000000)</f>
        <v>17234.400000000001</v>
      </c>
      <c r="G32" s="42">
        <f ca="1">IF(ISERROR(_xll.IMDP("FUT",$C$19,$B32&amp;G$21,$E$4)/1000000),"-",_xll.IMDP("FUT",$C$19,$B32&amp;G$21,$E$4)/1000000)</f>
        <v>-56941.599999999999</v>
      </c>
      <c r="H32" s="42">
        <f ca="1">IF(ISERROR(_xll.IMDP("FUT",$C$19,$B32&amp;H$21,$E$4)),"-",_xll.IMDP("FUT",$C$19,$B32&amp;H$21,$E$4))</f>
        <v>710</v>
      </c>
      <c r="I32" s="42">
        <f ca="1">IF(ISERROR(_xll.IMDP("FUT",$C$19,$B32&amp;I$21,$E$4)),"-",_xll.IMDP("FUT",$C$19,$B32&amp;I$21,$E$4))</f>
        <v>165</v>
      </c>
      <c r="J32" s="43">
        <f ca="1">IF(ISERROR(_xll.IMDP("FUT",$C$19,$B32&amp;J$21,$E$4)),"-",_xll.IMDP("FUT",$C$19,$B32&amp;J$21,$E$4))</f>
        <v>-545</v>
      </c>
      <c r="W32" s="6">
        <v>45324</v>
      </c>
      <c r="X32">
        <v>-890760490000</v>
      </c>
      <c r="Y32">
        <v>876583600000</v>
      </c>
      <c r="Z32">
        <v>23839490000</v>
      </c>
      <c r="AA32">
        <v>105.03</v>
      </c>
      <c r="AB32">
        <v>131484</v>
      </c>
      <c r="AC32">
        <v>409915</v>
      </c>
      <c r="AE32">
        <f t="shared" si="0"/>
        <v>45324</v>
      </c>
      <c r="AF32">
        <f t="shared" si="1"/>
        <v>-890760.49</v>
      </c>
      <c r="AG32">
        <f t="shared" si="2"/>
        <v>876583.6</v>
      </c>
      <c r="AH32">
        <f t="shared" si="3"/>
        <v>23839.49</v>
      </c>
    </row>
    <row r="33" spans="2:34">
      <c r="B33" s="19" t="s">
        <v>93</v>
      </c>
      <c r="D33" s="16" t="s">
        <v>44</v>
      </c>
      <c r="E33" s="42">
        <f ca="1">IF(ISERROR(_xll.IMDP("FUT",$C$19,$B33&amp;E$21,$E$4)/1000000),"-",_xll.IMDP("FUT",$C$19,$B33&amp;E$21,$E$4)/1000000)</f>
        <v>125395.98</v>
      </c>
      <c r="F33" s="42">
        <f ca="1">IF(ISERROR(_xll.IMDP("FUT",$C$19,$B33&amp;F$21,$E$4)/1000000),"-",_xll.IMDP("FUT",$C$19,$B33&amp;F$21,$E$4)/1000000)</f>
        <v>45970.1</v>
      </c>
      <c r="G33" s="42">
        <f ca="1">IF(ISERROR(_xll.IMDP("FUT",$C$19,$B33&amp;G$21,$E$4)/1000000),"-",_xll.IMDP("FUT",$C$19,$B33&amp;G$21,$E$4)/1000000)</f>
        <v>-79425.88</v>
      </c>
      <c r="H33" s="42">
        <f ca="1">IF(ISERROR(_xll.IMDP("FUT",$C$19,$B33&amp;H$21,$E$4)),"-",_xll.IMDP("FUT",$C$19,$B33&amp;H$21,$E$4))</f>
        <v>1200</v>
      </c>
      <c r="I33" s="42">
        <f ca="1">IF(ISERROR(_xll.IMDP("FUT",$C$19,$B33&amp;I$21,$E$4)),"-",_xll.IMDP("FUT",$C$19,$B33&amp;I$21,$E$4))</f>
        <v>440</v>
      </c>
      <c r="J33" s="43">
        <f ca="1">IF(ISERROR(_xll.IMDP("FUT",$C$19,$B33&amp;J$21,$E$4)),"-",_xll.IMDP("FUT",$C$19,$B33&amp;J$21,$E$4))</f>
        <v>-760</v>
      </c>
      <c r="W33" s="6">
        <v>45323</v>
      </c>
      <c r="X33">
        <v>-590533580000</v>
      </c>
      <c r="Y33">
        <v>481685110000</v>
      </c>
      <c r="Z33">
        <v>95843980000</v>
      </c>
      <c r="AA33">
        <v>104.93</v>
      </c>
      <c r="AB33">
        <v>142379</v>
      </c>
      <c r="AC33">
        <v>406559</v>
      </c>
      <c r="AE33">
        <f t="shared" si="0"/>
        <v>45323</v>
      </c>
      <c r="AF33">
        <f t="shared" si="1"/>
        <v>-590533.57999999996</v>
      </c>
      <c r="AG33">
        <f t="shared" si="2"/>
        <v>481685.11</v>
      </c>
      <c r="AH33">
        <f t="shared" si="3"/>
        <v>95843.98</v>
      </c>
    </row>
    <row r="34" spans="2:34">
      <c r="B34" s="19" t="s">
        <v>94</v>
      </c>
      <c r="D34" s="16" t="s">
        <v>45</v>
      </c>
      <c r="E34" s="42">
        <f ca="1">IF(ISERROR(_xll.IMDP("FUT",$C$19,$B34&amp;E$21,$E$4)/1000000),"-",_xll.IMDP("FUT",$C$19,$B34&amp;E$21,$E$4)/1000000)</f>
        <v>0</v>
      </c>
      <c r="F34" s="42">
        <f ca="1">IF(ISERROR(_xll.IMDP("FUT",$C$19,$B34&amp;F$21,$E$4)/1000000),"-",_xll.IMDP("FUT",$C$19,$B34&amp;F$21,$E$4)/1000000)</f>
        <v>0</v>
      </c>
      <c r="G34" s="42">
        <f ca="1">IF(ISERROR(_xll.IMDP("FUT",$C$19,$B34&amp;G$21,$E$4)/1000000),"-",_xll.IMDP("FUT",$C$19,$B34&amp;G$21,$E$4)/1000000)</f>
        <v>0</v>
      </c>
      <c r="H34" s="42">
        <f ca="1">IF(ISERROR(_xll.IMDP("FUT",$C$19,$B34&amp;H$21,$E$4)),"-",_xll.IMDP("FUT",$C$19,$B34&amp;H$21,$E$4))</f>
        <v>0</v>
      </c>
      <c r="I34" s="42">
        <f ca="1">IF(ISERROR(_xll.IMDP("FUT",$C$19,$B34&amp;I$21,$E$4)),"-",_xll.IMDP("FUT",$C$19,$B34&amp;I$21,$E$4))</f>
        <v>0</v>
      </c>
      <c r="J34" s="43">
        <f ca="1">IF(ISERROR(_xll.IMDP("FUT",$C$19,$B34&amp;J$21,$E$4)),"-",_xll.IMDP("FUT",$C$19,$B34&amp;J$21,$E$4))</f>
        <v>0</v>
      </c>
      <c r="W34" s="6">
        <v>45322</v>
      </c>
      <c r="X34">
        <v>-834976760000</v>
      </c>
      <c r="Y34">
        <v>706524630000</v>
      </c>
      <c r="Z34">
        <v>123619490000</v>
      </c>
      <c r="AA34">
        <v>104.95</v>
      </c>
      <c r="AB34">
        <v>133308</v>
      </c>
      <c r="AC34">
        <v>398119</v>
      </c>
      <c r="AE34">
        <f t="shared" si="0"/>
        <v>45322</v>
      </c>
      <c r="AF34">
        <f t="shared" si="1"/>
        <v>-834976.76</v>
      </c>
      <c r="AG34">
        <f t="shared" si="2"/>
        <v>706524.63</v>
      </c>
      <c r="AH34">
        <f t="shared" si="3"/>
        <v>123619.49</v>
      </c>
    </row>
    <row r="35" spans="2:34" ht="13.5" thickBot="1">
      <c r="B35" s="19" t="s">
        <v>95</v>
      </c>
      <c r="D35" s="17" t="s">
        <v>46</v>
      </c>
      <c r="E35" s="46">
        <f ca="1">IF(ISERROR(_xll.IMDP("FUT",$C$19,$B35&amp;E$21,$E$4)/1000000),"-",_xll.IMDP("FUT",$C$19,$B35&amp;E$21,$E$4)/1000000)</f>
        <v>18175.86</v>
      </c>
      <c r="F35" s="46">
        <f ca="1">IF(ISERROR(_xll.IMDP("FUT",$C$19,$B35&amp;F$21,$E$4)/1000000),"-",_xll.IMDP("FUT",$C$19,$B35&amp;F$21,$E$4)/1000000)</f>
        <v>18182.259999999998</v>
      </c>
      <c r="G35" s="46">
        <f ca="1">IF(ISERROR(_xll.IMDP("FUT",$C$19,$B35&amp;G$21,$E$4)/1000000),"-",_xll.IMDP("FUT",$C$19,$B35&amp;G$21,$E$4)/1000000)</f>
        <v>6.4</v>
      </c>
      <c r="H35" s="46">
        <f ca="1">IF(ISERROR(_xll.IMDP("FUT",$C$19,$B35&amp;H$21,$E$4)),"-",_xll.IMDP("FUT",$C$19,$B35&amp;H$21,$E$4))</f>
        <v>174</v>
      </c>
      <c r="I35" s="46">
        <f ca="1">IF(ISERROR(_xll.IMDP("FUT",$C$19,$B35&amp;I$21,$E$4)),"-",_xll.IMDP("FUT",$C$19,$B35&amp;I$21,$E$4))</f>
        <v>174</v>
      </c>
      <c r="J35" s="47">
        <f ca="1">IF(ISERROR(_xll.IMDP("FUT",$C$19,$B35&amp;J$21,$E$4)),"-",_xll.IMDP("FUT",$C$19,$B35&amp;J$21,$E$4))</f>
        <v>0</v>
      </c>
      <c r="W35" s="6">
        <v>45321</v>
      </c>
      <c r="X35">
        <v>2241755240000</v>
      </c>
      <c r="Y35">
        <v>-2307629800000</v>
      </c>
      <c r="Z35">
        <v>59160480000</v>
      </c>
      <c r="AA35">
        <v>104.91</v>
      </c>
      <c r="AB35">
        <v>129040</v>
      </c>
      <c r="AC35">
        <v>396408</v>
      </c>
      <c r="AE35">
        <f t="shared" si="0"/>
        <v>45321</v>
      </c>
      <c r="AF35">
        <f t="shared" si="1"/>
        <v>2241755.2400000002</v>
      </c>
      <c r="AG35">
        <f t="shared" si="2"/>
        <v>-2307629.7999999998</v>
      </c>
      <c r="AH35">
        <f t="shared" si="3"/>
        <v>59160.480000000003</v>
      </c>
    </row>
    <row r="36" spans="2:34" ht="14.25" thickTop="1" thickBot="1">
      <c r="D36" s="18" t="s">
        <v>47</v>
      </c>
      <c r="E36" s="48">
        <f t="shared" ref="E36:J36" ca="1" si="4">SUM(E24:E26,E35)</f>
        <v>8380495.1200000001</v>
      </c>
      <c r="F36" s="48">
        <f t="shared" ca="1" si="4"/>
        <v>8380495.1199999992</v>
      </c>
      <c r="G36" s="48">
        <f t="shared" ca="1" si="4"/>
        <v>-1.396980309209539E-10</v>
      </c>
      <c r="H36" s="48">
        <f t="shared" ca="1" si="4"/>
        <v>80221</v>
      </c>
      <c r="I36" s="48">
        <f t="shared" ca="1" si="4"/>
        <v>80221</v>
      </c>
      <c r="J36" s="49">
        <f t="shared" ca="1" si="4"/>
        <v>0</v>
      </c>
      <c r="W36" s="6">
        <v>45320</v>
      </c>
      <c r="X36">
        <v>-634094950000</v>
      </c>
      <c r="Y36">
        <v>601713300000</v>
      </c>
      <c r="Z36">
        <v>23580130000</v>
      </c>
      <c r="AA36">
        <v>104.79</v>
      </c>
      <c r="AB36">
        <v>91049</v>
      </c>
      <c r="AC36">
        <v>393101</v>
      </c>
      <c r="AE36">
        <f t="shared" si="0"/>
        <v>45320</v>
      </c>
      <c r="AF36">
        <f t="shared" si="1"/>
        <v>-634094.94999999995</v>
      </c>
      <c r="AG36">
        <f t="shared" si="2"/>
        <v>601713.30000000005</v>
      </c>
      <c r="AH36">
        <f t="shared" si="3"/>
        <v>23580.13</v>
      </c>
    </row>
    <row r="37" spans="2:34" ht="6.75" customHeight="1" thickBot="1">
      <c r="W37" s="6">
        <v>45317</v>
      </c>
      <c r="X37">
        <v>-448317500000</v>
      </c>
      <c r="Y37">
        <v>449785750000</v>
      </c>
      <c r="Z37">
        <v>-1469730000</v>
      </c>
      <c r="AA37">
        <v>104.96</v>
      </c>
      <c r="AB37">
        <v>89051</v>
      </c>
      <c r="AC37">
        <v>381088</v>
      </c>
      <c r="AE37">
        <f t="shared" si="0"/>
        <v>45317</v>
      </c>
      <c r="AF37">
        <f t="shared" si="1"/>
        <v>-448317.5</v>
      </c>
      <c r="AG37">
        <f t="shared" si="2"/>
        <v>449785.75</v>
      </c>
      <c r="AH37">
        <f t="shared" si="3"/>
        <v>-1469.73</v>
      </c>
    </row>
    <row r="38" spans="2:34" ht="13.5" thickBot="1">
      <c r="D38" s="7" t="s">
        <v>77</v>
      </c>
      <c r="E38" s="8" t="s">
        <v>81</v>
      </c>
      <c r="F38" s="8" t="s">
        <v>75</v>
      </c>
      <c r="G38" s="34" t="s">
        <v>76</v>
      </c>
      <c r="H38" s="30" t="s">
        <v>79</v>
      </c>
      <c r="I38" s="8" t="s">
        <v>82</v>
      </c>
      <c r="J38" s="9" t="s">
        <v>80</v>
      </c>
      <c r="W38" s="6">
        <v>45316</v>
      </c>
      <c r="X38">
        <v>140387280000</v>
      </c>
      <c r="Y38">
        <v>-131455840000</v>
      </c>
      <c r="Z38">
        <v>-11650110000</v>
      </c>
      <c r="AA38">
        <v>104.81</v>
      </c>
      <c r="AB38">
        <v>108016</v>
      </c>
      <c r="AC38">
        <v>376852</v>
      </c>
      <c r="AE38">
        <f t="shared" si="0"/>
        <v>45316</v>
      </c>
      <c r="AF38">
        <f t="shared" si="1"/>
        <v>140387.28</v>
      </c>
      <c r="AG38">
        <f t="shared" si="2"/>
        <v>-131455.84</v>
      </c>
      <c r="AH38">
        <f t="shared" si="3"/>
        <v>-11650.11</v>
      </c>
    </row>
    <row r="39" spans="2:34" ht="15" customHeight="1">
      <c r="D39" s="27">
        <f t="shared" ref="D39:D58" si="5">AE23</f>
        <v>45341</v>
      </c>
      <c r="E39" s="28">
        <f t="shared" ref="E39:E58" si="6">AF23</f>
        <v>-1556951.32</v>
      </c>
      <c r="F39" s="28">
        <f t="shared" ref="F39:F58" si="7">AG23</f>
        <v>1543779.76</v>
      </c>
      <c r="G39" s="35">
        <f t="shared" ref="G39:G58" si="8">AH23</f>
        <v>13165.16</v>
      </c>
      <c r="H39" s="31">
        <f t="shared" ref="H39:H58" si="9">AA23</f>
        <v>104.51</v>
      </c>
      <c r="I39" s="28">
        <f t="shared" ref="I39:I58" si="10">AB23</f>
        <v>80221</v>
      </c>
      <c r="J39" s="29">
        <f t="shared" ref="J39:J58" si="11">AC23</f>
        <v>405670</v>
      </c>
      <c r="W39" s="6">
        <v>45315</v>
      </c>
      <c r="X39">
        <v>-199660870000</v>
      </c>
      <c r="Y39">
        <v>213710410000</v>
      </c>
      <c r="Z39">
        <v>-8388500000</v>
      </c>
      <c r="AA39">
        <v>104.83</v>
      </c>
      <c r="AB39">
        <v>99698</v>
      </c>
      <c r="AC39">
        <v>380691</v>
      </c>
      <c r="AE39">
        <f t="shared" si="0"/>
        <v>45315</v>
      </c>
      <c r="AF39">
        <f t="shared" si="1"/>
        <v>-199660.87</v>
      </c>
      <c r="AG39">
        <f t="shared" si="2"/>
        <v>213710.41</v>
      </c>
      <c r="AH39">
        <f t="shared" si="3"/>
        <v>-8388.5</v>
      </c>
    </row>
    <row r="40" spans="2:34">
      <c r="D40" s="22">
        <f t="shared" si="5"/>
        <v>45338</v>
      </c>
      <c r="E40" s="14">
        <f t="shared" si="6"/>
        <v>-548304.76</v>
      </c>
      <c r="F40" s="14">
        <f t="shared" si="7"/>
        <v>566892.97</v>
      </c>
      <c r="G40" s="36">
        <f t="shared" si="8"/>
        <v>-12118.35</v>
      </c>
      <c r="H40" s="32">
        <f t="shared" si="9"/>
        <v>104.46</v>
      </c>
      <c r="I40" s="14">
        <f t="shared" si="10"/>
        <v>104907</v>
      </c>
      <c r="J40" s="23">
        <f t="shared" si="11"/>
        <v>404051</v>
      </c>
      <c r="W40" s="6">
        <v>45314</v>
      </c>
      <c r="X40">
        <v>334856040000</v>
      </c>
      <c r="Y40">
        <v>-350586700000</v>
      </c>
      <c r="Z40">
        <v>15732380000</v>
      </c>
      <c r="AA40">
        <v>104.88</v>
      </c>
      <c r="AB40">
        <v>110467</v>
      </c>
      <c r="AC40">
        <v>376073</v>
      </c>
      <c r="AE40">
        <f t="shared" si="0"/>
        <v>45314</v>
      </c>
      <c r="AF40">
        <f t="shared" si="1"/>
        <v>334856.03999999998</v>
      </c>
      <c r="AG40">
        <f t="shared" si="2"/>
        <v>-350586.7</v>
      </c>
      <c r="AH40">
        <f t="shared" si="3"/>
        <v>15732.38</v>
      </c>
    </row>
    <row r="41" spans="2:34">
      <c r="D41" s="22">
        <f t="shared" si="5"/>
        <v>45337</v>
      </c>
      <c r="E41" s="14">
        <f t="shared" si="6"/>
        <v>-300363.71999999997</v>
      </c>
      <c r="F41" s="14">
        <f t="shared" si="7"/>
        <v>171601.89</v>
      </c>
      <c r="G41" s="36">
        <f t="shared" si="8"/>
        <v>92183.27</v>
      </c>
      <c r="H41" s="32">
        <f t="shared" si="9"/>
        <v>104.45</v>
      </c>
      <c r="I41" s="14">
        <f t="shared" si="10"/>
        <v>156463</v>
      </c>
      <c r="J41" s="23">
        <f t="shared" si="11"/>
        <v>407364</v>
      </c>
      <c r="W41" s="6">
        <v>45313</v>
      </c>
      <c r="X41">
        <v>-867922630000</v>
      </c>
      <c r="Y41">
        <v>887021350000</v>
      </c>
      <c r="Z41">
        <v>-19095490000</v>
      </c>
      <c r="AA41">
        <v>104.89</v>
      </c>
      <c r="AB41">
        <v>98739</v>
      </c>
      <c r="AC41">
        <v>373154</v>
      </c>
      <c r="AE41">
        <f t="shared" si="0"/>
        <v>45313</v>
      </c>
      <c r="AF41">
        <f t="shared" si="1"/>
        <v>-867922.63</v>
      </c>
      <c r="AG41">
        <f t="shared" si="2"/>
        <v>887021.35</v>
      </c>
      <c r="AH41">
        <f t="shared" si="3"/>
        <v>-19095.490000000002</v>
      </c>
    </row>
    <row r="42" spans="2:34">
      <c r="D42" s="22">
        <f t="shared" si="5"/>
        <v>45336</v>
      </c>
      <c r="E42" s="14">
        <f t="shared" si="6"/>
        <v>2077250.05</v>
      </c>
      <c r="F42" s="14">
        <f t="shared" si="7"/>
        <v>-1845430.54</v>
      </c>
      <c r="G42" s="36">
        <f t="shared" si="8"/>
        <v>-196756.3</v>
      </c>
      <c r="H42" s="32">
        <f t="shared" si="9"/>
        <v>104.43</v>
      </c>
      <c r="I42" s="14">
        <f t="shared" si="10"/>
        <v>213090</v>
      </c>
      <c r="J42" s="23">
        <f t="shared" si="11"/>
        <v>399375</v>
      </c>
      <c r="W42" s="6">
        <v>45310</v>
      </c>
      <c r="X42">
        <v>661957100000</v>
      </c>
      <c r="Y42">
        <v>-679984860000</v>
      </c>
      <c r="Z42">
        <v>12368710000</v>
      </c>
      <c r="AA42">
        <v>104.8</v>
      </c>
      <c r="AB42">
        <v>109013</v>
      </c>
      <c r="AC42">
        <v>378449</v>
      </c>
      <c r="AE42">
        <f t="shared" si="0"/>
        <v>45310</v>
      </c>
      <c r="AF42">
        <f t="shared" si="1"/>
        <v>661957.1</v>
      </c>
      <c r="AG42">
        <f t="shared" si="2"/>
        <v>-679984.86</v>
      </c>
      <c r="AH42">
        <f t="shared" si="3"/>
        <v>12368.71</v>
      </c>
    </row>
    <row r="43" spans="2:34">
      <c r="D43" s="22">
        <f t="shared" si="5"/>
        <v>45335</v>
      </c>
      <c r="E43" s="14">
        <f t="shared" si="6"/>
        <v>1432627.56</v>
      </c>
      <c r="F43" s="14">
        <f t="shared" si="7"/>
        <v>-1465085.88</v>
      </c>
      <c r="G43" s="36">
        <f t="shared" si="8"/>
        <v>32454.31</v>
      </c>
      <c r="H43" s="32">
        <f t="shared" si="9"/>
        <v>104.64</v>
      </c>
      <c r="I43" s="14">
        <f t="shared" si="10"/>
        <v>147682</v>
      </c>
      <c r="J43" s="23">
        <f t="shared" si="11"/>
        <v>410303</v>
      </c>
      <c r="W43" s="6">
        <v>45309</v>
      </c>
      <c r="X43">
        <v>210880580000</v>
      </c>
      <c r="Y43">
        <v>-230831580000</v>
      </c>
      <c r="Z43">
        <v>25631340000</v>
      </c>
      <c r="AA43">
        <v>104.9</v>
      </c>
      <c r="AB43">
        <v>137530</v>
      </c>
      <c r="AC43">
        <v>385288</v>
      </c>
      <c r="AE43">
        <f t="shared" si="0"/>
        <v>45309</v>
      </c>
      <c r="AF43">
        <f t="shared" si="1"/>
        <v>210880.58</v>
      </c>
      <c r="AG43">
        <f t="shared" si="2"/>
        <v>-230831.58</v>
      </c>
      <c r="AH43">
        <f t="shared" si="3"/>
        <v>25631.34</v>
      </c>
    </row>
    <row r="44" spans="2:34">
      <c r="D44" s="22">
        <f t="shared" si="5"/>
        <v>45330</v>
      </c>
      <c r="E44" s="14">
        <f t="shared" si="6"/>
        <v>-84366.38</v>
      </c>
      <c r="F44" s="14">
        <f t="shared" si="7"/>
        <v>86032.75</v>
      </c>
      <c r="G44" s="36">
        <f t="shared" si="8"/>
        <v>4827.79</v>
      </c>
      <c r="H44" s="32">
        <f t="shared" si="9"/>
        <v>104.78</v>
      </c>
      <c r="I44" s="14">
        <f t="shared" si="10"/>
        <v>75657</v>
      </c>
      <c r="J44" s="23">
        <f t="shared" si="11"/>
        <v>409772</v>
      </c>
      <c r="W44" s="6">
        <v>45308</v>
      </c>
      <c r="X44">
        <v>263614090000</v>
      </c>
      <c r="Y44">
        <v>-276002270000</v>
      </c>
      <c r="Z44">
        <v>12385200000</v>
      </c>
      <c r="AA44">
        <v>104.92</v>
      </c>
      <c r="AB44">
        <v>146504</v>
      </c>
      <c r="AC44">
        <v>389878</v>
      </c>
      <c r="AE44">
        <f t="shared" si="0"/>
        <v>45308</v>
      </c>
      <c r="AF44">
        <f t="shared" si="1"/>
        <v>263614.09000000003</v>
      </c>
      <c r="AG44">
        <f t="shared" si="2"/>
        <v>-276002.27</v>
      </c>
      <c r="AH44">
        <f t="shared" si="3"/>
        <v>12385.2</v>
      </c>
    </row>
    <row r="45" spans="2:34">
      <c r="D45" s="22">
        <f t="shared" si="5"/>
        <v>45329</v>
      </c>
      <c r="E45" s="14">
        <f t="shared" si="6"/>
        <v>324518.94</v>
      </c>
      <c r="F45" s="14">
        <f t="shared" si="7"/>
        <v>-358694.34</v>
      </c>
      <c r="G45" s="36">
        <f t="shared" si="8"/>
        <v>21175.88</v>
      </c>
      <c r="H45" s="32">
        <f t="shared" si="9"/>
        <v>104.84</v>
      </c>
      <c r="I45" s="14">
        <f t="shared" si="10"/>
        <v>83356</v>
      </c>
      <c r="J45" s="23">
        <f t="shared" si="11"/>
        <v>405088</v>
      </c>
      <c r="W45" s="6">
        <v>45307</v>
      </c>
      <c r="X45">
        <v>-233076450000</v>
      </c>
      <c r="Y45">
        <v>238219960000</v>
      </c>
      <c r="Z45">
        <v>-732080000</v>
      </c>
      <c r="AA45">
        <v>105.05</v>
      </c>
      <c r="AB45">
        <v>122662</v>
      </c>
      <c r="AC45">
        <v>386508</v>
      </c>
      <c r="AE45">
        <f t="shared" si="0"/>
        <v>45307</v>
      </c>
      <c r="AF45">
        <f t="shared" si="1"/>
        <v>-233076.45</v>
      </c>
      <c r="AG45">
        <f t="shared" si="2"/>
        <v>238219.96</v>
      </c>
      <c r="AH45">
        <f t="shared" si="3"/>
        <v>-732.08</v>
      </c>
    </row>
    <row r="46" spans="2:34">
      <c r="D46" s="22">
        <f t="shared" si="5"/>
        <v>45328</v>
      </c>
      <c r="E46" s="14">
        <f t="shared" si="6"/>
        <v>194568.04</v>
      </c>
      <c r="F46" s="14">
        <f t="shared" si="7"/>
        <v>-236567.36</v>
      </c>
      <c r="G46" s="36">
        <f t="shared" si="8"/>
        <v>55008.87</v>
      </c>
      <c r="H46" s="32">
        <f t="shared" si="9"/>
        <v>104.85</v>
      </c>
      <c r="I46" s="14">
        <f t="shared" si="10"/>
        <v>128166</v>
      </c>
      <c r="J46" s="23">
        <f t="shared" si="11"/>
        <v>414569</v>
      </c>
      <c r="W46" s="6">
        <v>45306</v>
      </c>
      <c r="X46">
        <v>-141400970000</v>
      </c>
      <c r="Y46">
        <v>126783170000</v>
      </c>
      <c r="Z46">
        <v>9990760000</v>
      </c>
      <c r="AA46">
        <v>105.17</v>
      </c>
      <c r="AB46">
        <v>89314</v>
      </c>
      <c r="AC46">
        <v>392492</v>
      </c>
      <c r="AE46">
        <f t="shared" si="0"/>
        <v>45306</v>
      </c>
      <c r="AF46">
        <f t="shared" si="1"/>
        <v>-141400.97</v>
      </c>
      <c r="AG46">
        <f t="shared" si="2"/>
        <v>126783.17</v>
      </c>
      <c r="AH46">
        <f t="shared" si="3"/>
        <v>9990.76</v>
      </c>
    </row>
    <row r="47" spans="2:34">
      <c r="D47" s="22">
        <f t="shared" si="5"/>
        <v>45327</v>
      </c>
      <c r="E47" s="14">
        <f t="shared" si="6"/>
        <v>1131372.22</v>
      </c>
      <c r="F47" s="14">
        <f t="shared" si="7"/>
        <v>-1148654.8500000001</v>
      </c>
      <c r="G47" s="36">
        <f t="shared" si="8"/>
        <v>7433.5</v>
      </c>
      <c r="H47" s="32">
        <f t="shared" si="9"/>
        <v>104.78</v>
      </c>
      <c r="I47" s="14">
        <f t="shared" si="10"/>
        <v>164661</v>
      </c>
      <c r="J47" s="23">
        <f t="shared" si="11"/>
        <v>408578</v>
      </c>
      <c r="W47" s="6">
        <v>45303</v>
      </c>
      <c r="X47">
        <v>-591714980000</v>
      </c>
      <c r="Y47">
        <v>593192500000</v>
      </c>
      <c r="Z47">
        <v>-1475640000</v>
      </c>
      <c r="AA47">
        <v>105.16</v>
      </c>
      <c r="AB47">
        <v>108612</v>
      </c>
      <c r="AC47">
        <v>388115</v>
      </c>
      <c r="AE47">
        <f t="shared" si="0"/>
        <v>45303</v>
      </c>
      <c r="AF47">
        <f t="shared" si="1"/>
        <v>-591714.98</v>
      </c>
      <c r="AG47">
        <f t="shared" si="2"/>
        <v>593192.5</v>
      </c>
      <c r="AH47">
        <f t="shared" si="3"/>
        <v>-1475.64</v>
      </c>
    </row>
    <row r="48" spans="2:34">
      <c r="D48" s="22">
        <f t="shared" si="5"/>
        <v>45324</v>
      </c>
      <c r="E48" s="14">
        <f t="shared" si="6"/>
        <v>-890760.49</v>
      </c>
      <c r="F48" s="14">
        <f t="shared" si="7"/>
        <v>876583.6</v>
      </c>
      <c r="G48" s="36">
        <f t="shared" si="8"/>
        <v>23839.49</v>
      </c>
      <c r="H48" s="32">
        <f t="shared" si="9"/>
        <v>105.03</v>
      </c>
      <c r="I48" s="14">
        <f t="shared" si="10"/>
        <v>131484</v>
      </c>
      <c r="J48" s="23">
        <f t="shared" si="11"/>
        <v>409915</v>
      </c>
      <c r="W48" s="6">
        <v>45302</v>
      </c>
      <c r="X48">
        <v>-536289300000</v>
      </c>
      <c r="Y48">
        <v>572328750000</v>
      </c>
      <c r="Z48">
        <v>-36036140000</v>
      </c>
      <c r="AA48">
        <v>105.07</v>
      </c>
      <c r="AB48">
        <v>164780</v>
      </c>
      <c r="AC48">
        <v>381065</v>
      </c>
      <c r="AE48">
        <f t="shared" si="0"/>
        <v>45302</v>
      </c>
      <c r="AF48">
        <f t="shared" si="1"/>
        <v>-536289.30000000005</v>
      </c>
      <c r="AG48">
        <f t="shared" si="2"/>
        <v>572328.75</v>
      </c>
      <c r="AH48">
        <f t="shared" si="3"/>
        <v>-36036.14</v>
      </c>
    </row>
    <row r="49" spans="4:34">
      <c r="D49" s="22">
        <f t="shared" si="5"/>
        <v>45323</v>
      </c>
      <c r="E49" s="14">
        <f t="shared" si="6"/>
        <v>-590533.57999999996</v>
      </c>
      <c r="F49" s="14">
        <f t="shared" si="7"/>
        <v>481685.11</v>
      </c>
      <c r="G49" s="36">
        <f t="shared" si="8"/>
        <v>95843.98</v>
      </c>
      <c r="H49" s="32">
        <f t="shared" si="9"/>
        <v>104.93</v>
      </c>
      <c r="I49" s="14">
        <f t="shared" si="10"/>
        <v>142379</v>
      </c>
      <c r="J49" s="23">
        <f t="shared" si="11"/>
        <v>406559</v>
      </c>
      <c r="W49" s="6">
        <v>45301</v>
      </c>
      <c r="X49">
        <v>120341830000</v>
      </c>
      <c r="Y49">
        <v>-122028700000</v>
      </c>
      <c r="Z49">
        <v>-2726020000</v>
      </c>
      <c r="AA49">
        <v>104.95</v>
      </c>
      <c r="AB49">
        <v>108017</v>
      </c>
      <c r="AC49">
        <v>379868</v>
      </c>
      <c r="AE49">
        <f t="shared" si="0"/>
        <v>45301</v>
      </c>
      <c r="AF49">
        <f t="shared" si="1"/>
        <v>120341.83</v>
      </c>
      <c r="AG49">
        <f t="shared" si="2"/>
        <v>-122028.7</v>
      </c>
      <c r="AH49">
        <f t="shared" si="3"/>
        <v>-2726.02</v>
      </c>
    </row>
    <row r="50" spans="4:34">
      <c r="D50" s="22">
        <f t="shared" si="5"/>
        <v>45322</v>
      </c>
      <c r="E50" s="14">
        <f t="shared" si="6"/>
        <v>-834976.76</v>
      </c>
      <c r="F50" s="14">
        <f t="shared" si="7"/>
        <v>706524.63</v>
      </c>
      <c r="G50" s="36">
        <f t="shared" si="8"/>
        <v>123619.49</v>
      </c>
      <c r="H50" s="32">
        <f t="shared" si="9"/>
        <v>104.95</v>
      </c>
      <c r="I50" s="14">
        <f t="shared" si="10"/>
        <v>133308</v>
      </c>
      <c r="J50" s="23">
        <f t="shared" si="11"/>
        <v>398119</v>
      </c>
      <c r="W50" s="6">
        <v>45300</v>
      </c>
      <c r="X50">
        <v>-217144130000</v>
      </c>
      <c r="Y50">
        <v>226900810000</v>
      </c>
      <c r="Z50">
        <v>-9757440000</v>
      </c>
      <c r="AA50">
        <v>104.99</v>
      </c>
      <c r="AB50">
        <v>85785</v>
      </c>
      <c r="AC50">
        <v>379841</v>
      </c>
      <c r="AE50">
        <f t="shared" si="0"/>
        <v>45300</v>
      </c>
      <c r="AF50">
        <f t="shared" si="1"/>
        <v>-217144.13</v>
      </c>
      <c r="AG50">
        <f t="shared" si="2"/>
        <v>226900.81</v>
      </c>
      <c r="AH50">
        <f t="shared" si="3"/>
        <v>-9757.44</v>
      </c>
    </row>
    <row r="51" spans="4:34">
      <c r="D51" s="22">
        <f t="shared" si="5"/>
        <v>45321</v>
      </c>
      <c r="E51" s="14">
        <f t="shared" si="6"/>
        <v>2241755.2400000002</v>
      </c>
      <c r="F51" s="14">
        <f t="shared" si="7"/>
        <v>-2307629.7999999998</v>
      </c>
      <c r="G51" s="36">
        <f t="shared" si="8"/>
        <v>59160.480000000003</v>
      </c>
      <c r="H51" s="32">
        <f t="shared" si="9"/>
        <v>104.91</v>
      </c>
      <c r="I51" s="14">
        <f t="shared" si="10"/>
        <v>129040</v>
      </c>
      <c r="J51" s="23">
        <f t="shared" si="11"/>
        <v>396408</v>
      </c>
      <c r="W51" s="6">
        <v>45299</v>
      </c>
      <c r="X51">
        <v>-236785200000</v>
      </c>
      <c r="Y51">
        <v>228847100000</v>
      </c>
      <c r="Z51">
        <v>12344510000</v>
      </c>
      <c r="AA51">
        <v>104.84</v>
      </c>
      <c r="AB51">
        <v>110045</v>
      </c>
      <c r="AC51">
        <v>369700</v>
      </c>
      <c r="AE51">
        <f t="shared" si="0"/>
        <v>45299</v>
      </c>
      <c r="AF51">
        <f t="shared" si="1"/>
        <v>-236785.2</v>
      </c>
      <c r="AG51">
        <f t="shared" si="2"/>
        <v>228847.1</v>
      </c>
      <c r="AH51">
        <f t="shared" si="3"/>
        <v>12344.51</v>
      </c>
    </row>
    <row r="52" spans="4:34">
      <c r="D52" s="22">
        <f t="shared" si="5"/>
        <v>45320</v>
      </c>
      <c r="E52" s="14">
        <f t="shared" si="6"/>
        <v>-634094.94999999995</v>
      </c>
      <c r="F52" s="14">
        <f t="shared" si="7"/>
        <v>601713.30000000005</v>
      </c>
      <c r="G52" s="36">
        <f t="shared" si="8"/>
        <v>23580.13</v>
      </c>
      <c r="H52" s="32">
        <f t="shared" si="9"/>
        <v>104.79</v>
      </c>
      <c r="I52" s="14">
        <f t="shared" si="10"/>
        <v>91049</v>
      </c>
      <c r="J52" s="23">
        <f t="shared" si="11"/>
        <v>393101</v>
      </c>
      <c r="W52" s="6">
        <v>45296</v>
      </c>
      <c r="X52">
        <v>503871700000</v>
      </c>
      <c r="Y52">
        <v>-1079899690000</v>
      </c>
      <c r="Z52">
        <v>571621150000</v>
      </c>
      <c r="AA52">
        <v>104.85</v>
      </c>
      <c r="AB52">
        <v>141949</v>
      </c>
      <c r="AC52">
        <v>383149</v>
      </c>
      <c r="AE52">
        <f t="shared" si="0"/>
        <v>45296</v>
      </c>
      <c r="AF52">
        <f t="shared" si="1"/>
        <v>503871.7</v>
      </c>
      <c r="AG52">
        <f t="shared" si="2"/>
        <v>-1079899.69</v>
      </c>
      <c r="AH52">
        <f t="shared" si="3"/>
        <v>571621.15</v>
      </c>
    </row>
    <row r="53" spans="4:34">
      <c r="D53" s="22">
        <f t="shared" si="5"/>
        <v>45317</v>
      </c>
      <c r="E53" s="14">
        <f t="shared" si="6"/>
        <v>-448317.5</v>
      </c>
      <c r="F53" s="14">
        <f t="shared" si="7"/>
        <v>449785.75</v>
      </c>
      <c r="G53" s="36">
        <f t="shared" si="8"/>
        <v>-1469.73</v>
      </c>
      <c r="H53" s="32">
        <f t="shared" si="9"/>
        <v>104.96</v>
      </c>
      <c r="I53" s="14">
        <f t="shared" si="10"/>
        <v>89051</v>
      </c>
      <c r="J53" s="23">
        <f t="shared" si="11"/>
        <v>381088</v>
      </c>
    </row>
    <row r="54" spans="4:34">
      <c r="D54" s="22">
        <f t="shared" si="5"/>
        <v>45316</v>
      </c>
      <c r="E54" s="14">
        <f t="shared" si="6"/>
        <v>140387.28</v>
      </c>
      <c r="F54" s="14">
        <f t="shared" si="7"/>
        <v>-131455.84</v>
      </c>
      <c r="G54" s="36">
        <f t="shared" si="8"/>
        <v>-11650.11</v>
      </c>
      <c r="H54" s="32">
        <f t="shared" si="9"/>
        <v>104.81</v>
      </c>
      <c r="I54" s="14">
        <f t="shared" si="10"/>
        <v>108016</v>
      </c>
      <c r="J54" s="23">
        <f t="shared" si="11"/>
        <v>376852</v>
      </c>
    </row>
    <row r="55" spans="4:34">
      <c r="D55" s="22">
        <f t="shared" si="5"/>
        <v>45315</v>
      </c>
      <c r="E55" s="14">
        <f t="shared" si="6"/>
        <v>-199660.87</v>
      </c>
      <c r="F55" s="14">
        <f t="shared" si="7"/>
        <v>213710.41</v>
      </c>
      <c r="G55" s="36">
        <f t="shared" si="8"/>
        <v>-8388.5</v>
      </c>
      <c r="H55" s="32">
        <f t="shared" si="9"/>
        <v>104.83</v>
      </c>
      <c r="I55" s="14">
        <f t="shared" si="10"/>
        <v>99698</v>
      </c>
      <c r="J55" s="23">
        <f t="shared" si="11"/>
        <v>380691</v>
      </c>
    </row>
    <row r="56" spans="4:34">
      <c r="D56" s="22">
        <f t="shared" si="5"/>
        <v>45314</v>
      </c>
      <c r="E56" s="14">
        <f t="shared" si="6"/>
        <v>334856.03999999998</v>
      </c>
      <c r="F56" s="14">
        <f t="shared" si="7"/>
        <v>-350586.7</v>
      </c>
      <c r="G56" s="36">
        <f t="shared" si="8"/>
        <v>15732.38</v>
      </c>
      <c r="H56" s="32">
        <f t="shared" si="9"/>
        <v>104.88</v>
      </c>
      <c r="I56" s="14">
        <f t="shared" si="10"/>
        <v>110467</v>
      </c>
      <c r="J56" s="23">
        <f t="shared" si="11"/>
        <v>376073</v>
      </c>
    </row>
    <row r="57" spans="4:34">
      <c r="D57" s="22">
        <f t="shared" si="5"/>
        <v>45313</v>
      </c>
      <c r="E57" s="14">
        <f t="shared" si="6"/>
        <v>-867922.63</v>
      </c>
      <c r="F57" s="14">
        <f t="shared" si="7"/>
        <v>887021.35</v>
      </c>
      <c r="G57" s="36">
        <f t="shared" si="8"/>
        <v>-19095.490000000002</v>
      </c>
      <c r="H57" s="32">
        <f t="shared" si="9"/>
        <v>104.89</v>
      </c>
      <c r="I57" s="14">
        <f t="shared" si="10"/>
        <v>98739</v>
      </c>
      <c r="J57" s="23">
        <f t="shared" si="11"/>
        <v>373154</v>
      </c>
    </row>
    <row r="58" spans="4:34" ht="13.5" thickBot="1">
      <c r="D58" s="24">
        <f t="shared" si="5"/>
        <v>45310</v>
      </c>
      <c r="E58" s="25">
        <f t="shared" si="6"/>
        <v>661957.1</v>
      </c>
      <c r="F58" s="25">
        <f t="shared" si="7"/>
        <v>-679984.86</v>
      </c>
      <c r="G58" s="37">
        <f t="shared" si="8"/>
        <v>12368.71</v>
      </c>
      <c r="H58" s="33">
        <f t="shared" si="9"/>
        <v>104.8</v>
      </c>
      <c r="I58" s="25">
        <f t="shared" si="10"/>
        <v>109013</v>
      </c>
      <c r="J58" s="26">
        <f t="shared" si="11"/>
        <v>378449</v>
      </c>
    </row>
    <row r="59" spans="4:34">
      <c r="D59" s="6"/>
    </row>
  </sheetData>
  <mergeCells count="3">
    <mergeCell ref="E22:G22"/>
    <mergeCell ref="H22:J22"/>
    <mergeCell ref="D22:D23"/>
  </mergeCells>
  <phoneticPr fontId="1" type="noConversion"/>
  <conditionalFormatting sqref="G24:G35 J24:J35">
    <cfRule type="cellIs" dxfId="2" priority="12" operator="lessThan">
      <formula>0</formula>
    </cfRule>
    <cfRule type="cellIs" dxfId="1" priority="13" operator="greaterThan">
      <formula>0</formula>
    </cfRule>
    <cfRule type="cellIs" dxfId="0" priority="14" operator="equal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Drop Down 1">
              <controlPr defaultSize="0" autoLine="0" autoPict="0">
                <anchor moveWithCells="1">
                  <from>
                    <xdr:col>3</xdr:col>
                    <xdr:colOff>9525</xdr:colOff>
                    <xdr:row>18</xdr:row>
                    <xdr:rowOff>9525</xdr:rowOff>
                  </from>
                  <to>
                    <xdr:col>4</xdr:col>
                    <xdr:colOff>457200</xdr:colOff>
                    <xdr:row>19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선물시장종합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Snow Jung</cp:lastModifiedBy>
  <dcterms:created xsi:type="dcterms:W3CDTF">2015-10-02T06:54:12Z</dcterms:created>
  <dcterms:modified xsi:type="dcterms:W3CDTF">2024-02-20T07:46:31Z</dcterms:modified>
</cp:coreProperties>
</file>