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8240" windowHeight="10755" tabRatio="751"/>
  </bookViews>
  <sheets>
    <sheet name="재무상태표" sheetId="2" r:id="rId1"/>
    <sheet name="포괄손익계산서" sheetId="3" r:id="rId2"/>
    <sheet name="현금흐름표" sheetId="4" r:id="rId3"/>
    <sheet name="자본변동표" sheetId="5" r:id="rId4"/>
  </sheets>
  <calcPr calcId="145621"/>
</workbook>
</file>

<file path=xl/calcChain.xml><?xml version="1.0" encoding="utf-8"?>
<calcChain xmlns="http://schemas.openxmlformats.org/spreadsheetml/2006/main">
  <c r="F3" i="2" l="1"/>
  <c r="F3" i="3" l="1"/>
  <c r="I4" i="5"/>
  <c r="I3" i="5"/>
  <c r="I2" i="5"/>
  <c r="C2" i="5"/>
  <c r="I4" i="4"/>
  <c r="I3" i="4"/>
  <c r="I2" i="4"/>
  <c r="C2" i="4"/>
  <c r="I4" i="3"/>
  <c r="I3" i="3"/>
  <c r="I2" i="3"/>
  <c r="C2" i="3"/>
  <c r="F2" i="2"/>
  <c r="F2" i="3" s="1"/>
  <c r="C3" i="2"/>
  <c r="B6" i="2"/>
  <c r="C3" i="5" l="1"/>
  <c r="C3" i="4"/>
  <c r="C3" i="3"/>
  <c r="F2" i="5"/>
  <c r="F3" i="5"/>
  <c r="F2" i="4"/>
  <c r="F3" i="4"/>
  <c r="B7" i="3"/>
  <c r="B7" i="5"/>
  <c r="B7" i="4"/>
</calcChain>
</file>

<file path=xl/comments1.xml><?xml version="1.0" encoding="utf-8"?>
<comments xmlns="http://schemas.openxmlformats.org/spreadsheetml/2006/main">
  <authors>
    <author>infomax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연결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개별
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누적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순
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연속
</t>
        </r>
        <r>
          <rPr>
            <sz val="9"/>
            <color indexed="81"/>
            <rFont val="Tahoma"/>
            <family val="2"/>
          </rPr>
          <t>1
2
3
4</t>
        </r>
      </text>
    </comment>
  </commentList>
</comments>
</file>

<file path=xl/comments2.xml><?xml version="1.0" encoding="utf-8"?>
<comments xmlns="http://schemas.openxmlformats.org/spreadsheetml/2006/main">
  <authors>
    <author>infomax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연결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개별
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누적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순
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연속
</t>
        </r>
        <r>
          <rPr>
            <sz val="9"/>
            <color indexed="81"/>
            <rFont val="Tahoma"/>
            <family val="2"/>
          </rPr>
          <t>1
2
3
4</t>
        </r>
      </text>
    </comment>
  </commentList>
</comments>
</file>

<file path=xl/comments3.xml><?xml version="1.0" encoding="utf-8"?>
<comments xmlns="http://schemas.openxmlformats.org/spreadsheetml/2006/main">
  <authors>
    <author>infomax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연결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개별
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누적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순
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연속
</t>
        </r>
        <r>
          <rPr>
            <sz val="9"/>
            <color indexed="81"/>
            <rFont val="Tahoma"/>
            <family val="2"/>
          </rPr>
          <t>1
2
3
4</t>
        </r>
      </text>
    </comment>
  </commentList>
</comments>
</file>

<file path=xl/comments4.xml><?xml version="1.0" encoding="utf-8"?>
<comments xmlns="http://schemas.openxmlformats.org/spreadsheetml/2006/main">
  <authors>
    <author>infomax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연결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개별
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1 : </t>
        </r>
        <r>
          <rPr>
            <sz val="9"/>
            <color indexed="81"/>
            <rFont val="돋움"/>
            <family val="3"/>
            <charset val="129"/>
          </rPr>
          <t xml:space="preserve">누적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순
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연속
</t>
        </r>
        <r>
          <rPr>
            <sz val="9"/>
            <color indexed="81"/>
            <rFont val="Tahoma"/>
            <family val="2"/>
          </rPr>
          <t>1
2
3
4</t>
        </r>
      </text>
    </comment>
  </commentList>
</comments>
</file>

<file path=xl/sharedStrings.xml><?xml version="1.0" encoding="utf-8"?>
<sst xmlns="http://schemas.openxmlformats.org/spreadsheetml/2006/main" count="162" uniqueCount="139">
  <si>
    <t>자산</t>
  </si>
  <si>
    <t>현금및현금성자산</t>
  </si>
  <si>
    <t>금융자산</t>
  </si>
  <si>
    <t>파생상품자산</t>
  </si>
  <si>
    <t>대출채권</t>
  </si>
  <si>
    <t>기타자산</t>
  </si>
  <si>
    <t>유형자산</t>
  </si>
  <si>
    <t>투자부동산</t>
  </si>
  <si>
    <t>비업무용자산</t>
  </si>
  <si>
    <t>영업권</t>
  </si>
  <si>
    <t>무형자산</t>
  </si>
  <si>
    <t>이연법인세자산</t>
  </si>
  <si>
    <t>당기법인세자산</t>
  </si>
  <si>
    <t>기타금융업자산</t>
  </si>
  <si>
    <t>자본</t>
  </si>
  <si>
    <t>상장자본금</t>
  </si>
  <si>
    <t>신종자본증권</t>
  </si>
  <si>
    <t>자본잉여금</t>
  </si>
  <si>
    <t>기타자본</t>
  </si>
  <si>
    <t>기타포괄손익누계액</t>
  </si>
  <si>
    <t>이익잉여금(결손금)</t>
  </si>
  <si>
    <t>부채</t>
  </si>
  <si>
    <t>비예수부채</t>
  </si>
  <si>
    <t>금융부채</t>
  </si>
  <si>
    <t>파생상품부채</t>
  </si>
  <si>
    <t>차입금</t>
  </si>
  <si>
    <t>사채</t>
  </si>
  <si>
    <t>기타금융업부채</t>
  </si>
  <si>
    <t>기타충당부채</t>
  </si>
  <si>
    <t>당기법인세부채</t>
  </si>
  <si>
    <t>종업원급여충당부채</t>
  </si>
  <si>
    <t>기타부채</t>
  </si>
  <si>
    <t>이연법인세부채</t>
  </si>
  <si>
    <t>예수부채</t>
  </si>
  <si>
    <t>시작일</t>
    <phoneticPr fontId="2" type="noConversion"/>
  </si>
  <si>
    <t>종료일</t>
    <phoneticPr fontId="2" type="noConversion"/>
  </si>
  <si>
    <t>연결기준</t>
    <phoneticPr fontId="2" type="noConversion"/>
  </si>
  <si>
    <t>누적기준</t>
    <phoneticPr fontId="2" type="noConversion"/>
  </si>
  <si>
    <t>일자</t>
    <phoneticPr fontId="2" type="noConversion"/>
  </si>
  <si>
    <t>분기</t>
    <phoneticPr fontId="2" type="noConversion"/>
  </si>
  <si>
    <t>매출액(영업수익)</t>
  </si>
  <si>
    <t>매출원가(영업비용)</t>
  </si>
  <si>
    <t>매출총이익</t>
  </si>
  <si>
    <t>판매비와 관리비</t>
  </si>
  <si>
    <t>급여</t>
  </si>
  <si>
    <t>감가상각비(포괄손익계산서)</t>
  </si>
  <si>
    <t>기타무형자산상각비(포괄손익계산서)</t>
  </si>
  <si>
    <t>연구개발비</t>
  </si>
  <si>
    <t>영업이익</t>
  </si>
  <si>
    <t>이자수익</t>
  </si>
  <si>
    <t>배당금수익</t>
  </si>
  <si>
    <t>외환거래이익(포괄손익계산서)</t>
  </si>
  <si>
    <t>금융자산처분이익</t>
  </si>
  <si>
    <t>금융자산평가이익</t>
  </si>
  <si>
    <t>파생상품이익</t>
  </si>
  <si>
    <t>이자비용</t>
  </si>
  <si>
    <t>외환거래손실(포괄손익계산서)</t>
  </si>
  <si>
    <t>금융자산처분손실</t>
  </si>
  <si>
    <t>금융자산평가손실</t>
  </si>
  <si>
    <t>파생상품손실</t>
  </si>
  <si>
    <t>종속기업공동지배기업관계기업손익</t>
  </si>
  <si>
    <t>법인세비용차감전순이익</t>
  </si>
  <si>
    <t>법인세비용</t>
  </si>
  <si>
    <t>계속영업이익</t>
  </si>
  <si>
    <t>당기순이익(포괄손익계산서)</t>
  </si>
  <si>
    <t>당기순이익지배기업주주지분</t>
  </si>
  <si>
    <t>기타포괄손익(포괄손익계산서)</t>
  </si>
  <si>
    <t>총포괄손익</t>
  </si>
  <si>
    <t>총포괄손익지배기업주주지분</t>
  </si>
  <si>
    <t>주당순손익</t>
  </si>
  <si>
    <t>희석주당순손익</t>
  </si>
  <si>
    <t>영업활동으로인한현금흐름</t>
  </si>
  <si>
    <t>당기순손익</t>
  </si>
  <si>
    <t>현금유출이없는비용등가산</t>
  </si>
  <si>
    <t>감가상각비(현금흐름표)</t>
  </si>
  <si>
    <t>기타무형자산상각비(현금흐름표)</t>
  </si>
  <si>
    <t>외환거래손실(현금흐름표)</t>
  </si>
  <si>
    <t>자산처분손실</t>
  </si>
  <si>
    <t>(현금유입이없는수익등차감)</t>
  </si>
  <si>
    <t>외환거래이익(현금흐름표)</t>
  </si>
  <si>
    <t>자산처분이익</t>
  </si>
  <si>
    <t>영업활동으로인한자산부채변동</t>
  </si>
  <si>
    <t>자산의감소</t>
  </si>
  <si>
    <t>부채의증가</t>
  </si>
  <si>
    <t>영업활동으로인한현금흐름(간접법)</t>
  </si>
  <si>
    <t>영업에서창출된현금흐름</t>
  </si>
  <si>
    <t>이자수입</t>
  </si>
  <si>
    <t>이자지급(-)</t>
  </si>
  <si>
    <t>배당금수입</t>
  </si>
  <si>
    <t>영업활동배당금지급(-)</t>
  </si>
  <si>
    <t>법인세환입</t>
  </si>
  <si>
    <t>법인세납부(-)</t>
  </si>
  <si>
    <t>투자활동으로인한현금흐름</t>
  </si>
  <si>
    <t>투자활동으로인한현금유입액</t>
  </si>
  <si>
    <t>유형자산의감소</t>
  </si>
  <si>
    <t>무형자산의감소</t>
  </si>
  <si>
    <t>(투자활동으로인한현금유출액)</t>
  </si>
  <si>
    <t>유형자산의증가</t>
  </si>
  <si>
    <t>무형자산의증가</t>
  </si>
  <si>
    <t>재무활동으로인한현금흐름</t>
  </si>
  <si>
    <t>재무활동으로인한현금유입액</t>
  </si>
  <si>
    <t>사채의증가</t>
  </si>
  <si>
    <t>차입금의증가</t>
  </si>
  <si>
    <t>(재무활동으로인한현금유출액)</t>
  </si>
  <si>
    <t>사채의감소</t>
  </si>
  <si>
    <t>차입금의감소</t>
  </si>
  <si>
    <t>재무활동배당금지급(-)</t>
  </si>
  <si>
    <t>현금및현금성자산의증가</t>
  </si>
  <si>
    <t>기초현금및현금성자산</t>
  </si>
  <si>
    <t>기말현금및현금성자산</t>
  </si>
  <si>
    <t>기말자본금</t>
  </si>
  <si>
    <t>기초자본금</t>
  </si>
  <si>
    <t>유상증자</t>
  </si>
  <si>
    <t>무상증자</t>
  </si>
  <si>
    <t>주식매수선택권</t>
  </si>
  <si>
    <t>전환사채</t>
  </si>
  <si>
    <t>신주인수권부사채</t>
  </si>
  <si>
    <t>기말자본잉여금</t>
  </si>
  <si>
    <t>기말기타자본</t>
  </si>
  <si>
    <t>기말기타포괄손익누계액</t>
  </si>
  <si>
    <t>기말이익잉여금</t>
  </si>
  <si>
    <t>처분후이익잉여금</t>
  </si>
  <si>
    <t>(중간배당)</t>
  </si>
  <si>
    <t>기타포괄손익(자본변동표)</t>
  </si>
  <si>
    <t>당기순이익(자본변동표)</t>
  </si>
  <si>
    <t>기말비지배주주지분</t>
  </si>
  <si>
    <t>합계(자본변동표)</t>
  </si>
  <si>
    <t>종목코드</t>
    <phoneticPr fontId="2" type="noConversion"/>
  </si>
  <si>
    <t>종목명</t>
    <phoneticPr fontId="2" type="noConversion"/>
  </si>
  <si>
    <t>분기</t>
    <phoneticPr fontId="2" type="noConversion"/>
  </si>
  <si>
    <t>연결</t>
    <phoneticPr fontId="2" type="noConversion"/>
  </si>
  <si>
    <t>누적</t>
    <phoneticPr fontId="2" type="noConversion"/>
  </si>
  <si>
    <t>000660</t>
    <phoneticPr fontId="2" type="noConversion"/>
  </si>
  <si>
    <t>연결</t>
    <phoneticPr fontId="2" type="noConversion"/>
  </si>
  <si>
    <t>개별</t>
    <phoneticPr fontId="2" type="noConversion"/>
  </si>
  <si>
    <t>누적</t>
    <phoneticPr fontId="2" type="noConversion"/>
  </si>
  <si>
    <t>순</t>
    <phoneticPr fontId="2" type="noConversion"/>
  </si>
  <si>
    <t>연속</t>
  </si>
  <si>
    <t>연속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</si>
</sst>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/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" borderId="5" applyNumberFormat="0" applyFont="0" applyAlignment="0" applyProtection="0">
      <alignment vertical="center"/>
    </xf>
  </cellStyleXfs>
  <cellXfs count="36">
    <xf numFmtId="0" fontId="0" fillId="0" borderId="0" xfId="0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14" fontId="6" fillId="4" borderId="1" xfId="0" applyNumberFormat="1" applyFont="1" applyFill="1" applyBorder="1" applyAlignment="1">
      <alignment horizontal="center" vertical="center"/>
    </xf>
    <xf numFmtId="14" fontId="6" fillId="4" borderId="1" xfId="1" applyNumberFormat="1" applyFont="1" applyFill="1" applyBorder="1" applyAlignment="1">
      <alignment horizontal="center" vertical="center"/>
    </xf>
    <xf numFmtId="49" fontId="0" fillId="2" borderId="2" xfId="0" applyNumberFormat="1" applyFill="1" applyBorder="1">
      <alignment vertical="center"/>
    </xf>
    <xf numFmtId="41" fontId="0" fillId="0" borderId="2" xfId="1" applyFont="1" applyBorder="1">
      <alignment vertical="center"/>
    </xf>
    <xf numFmtId="0" fontId="0" fillId="0" borderId="2" xfId="0" applyBorder="1">
      <alignment vertical="center"/>
    </xf>
    <xf numFmtId="49" fontId="0" fillId="2" borderId="3" xfId="0" applyNumberFormat="1" applyFill="1" applyBorder="1">
      <alignment vertical="center"/>
    </xf>
    <xf numFmtId="41" fontId="0" fillId="0" borderId="3" xfId="1" applyFont="1" applyBorder="1">
      <alignment vertical="center"/>
    </xf>
    <xf numFmtId="0" fontId="0" fillId="0" borderId="3" xfId="0" applyBorder="1">
      <alignment vertical="center"/>
    </xf>
    <xf numFmtId="0" fontId="0" fillId="0" borderId="4" xfId="0" applyFill="1" applyBorder="1">
      <alignment vertical="center"/>
    </xf>
    <xf numFmtId="49" fontId="8" fillId="0" borderId="7" xfId="1" applyNumberFormat="1" applyFont="1" applyFill="1" applyBorder="1" applyAlignment="1">
      <alignment horizontal="center" vertical="center"/>
    </xf>
    <xf numFmtId="41" fontId="8" fillId="0" borderId="8" xfId="1" applyFont="1" applyFill="1" applyBorder="1" applyAlignment="1">
      <alignment horizontal="center" vertical="center"/>
    </xf>
    <xf numFmtId="0" fontId="6" fillId="6" borderId="6" xfId="0" applyFont="1" applyFill="1" applyBorder="1">
      <alignment vertical="center"/>
    </xf>
    <xf numFmtId="14" fontId="8" fillId="0" borderId="7" xfId="1" applyNumberFormat="1" applyFont="1" applyFill="1" applyBorder="1" applyAlignment="1">
      <alignment horizontal="center" vertical="center"/>
    </xf>
    <xf numFmtId="14" fontId="8" fillId="0" borderId="9" xfId="1" applyNumberFormat="1" applyFont="1" applyFill="1" applyBorder="1" applyAlignment="1">
      <alignment horizontal="center" vertical="center"/>
    </xf>
    <xf numFmtId="49" fontId="8" fillId="0" borderId="8" xfId="1" applyNumberFormat="1" applyFont="1" applyFill="1" applyBorder="1" applyAlignment="1">
      <alignment horizontal="center" vertical="center"/>
    </xf>
    <xf numFmtId="41" fontId="8" fillId="0" borderId="9" xfId="1" applyFont="1" applyFill="1" applyBorder="1" applyAlignment="1">
      <alignment horizontal="center" vertical="center"/>
    </xf>
    <xf numFmtId="49" fontId="8" fillId="3" borderId="10" xfId="1" applyNumberFormat="1" applyFont="1" applyFill="1" applyBorder="1" applyAlignment="1">
      <alignment horizontal="center" vertical="center"/>
    </xf>
    <xf numFmtId="41" fontId="8" fillId="3" borderId="11" xfId="1" applyFont="1" applyFill="1" applyBorder="1" applyAlignment="1">
      <alignment horizontal="center" vertical="center"/>
    </xf>
    <xf numFmtId="14" fontId="8" fillId="3" borderId="7" xfId="1" applyNumberFormat="1" applyFont="1" applyFill="1" applyBorder="1" applyAlignment="1">
      <alignment horizontal="center" vertical="center"/>
    </xf>
    <xf numFmtId="14" fontId="8" fillId="3" borderId="9" xfId="1" applyNumberFormat="1" applyFont="1" applyFill="1" applyBorder="1" applyAlignment="1">
      <alignment horizontal="center" vertical="center"/>
    </xf>
    <xf numFmtId="49" fontId="8" fillId="3" borderId="8" xfId="1" applyNumberFormat="1" applyFont="1" applyFill="1" applyBorder="1" applyAlignment="1">
      <alignment horizontal="center" vertical="center"/>
    </xf>
    <xf numFmtId="49" fontId="8" fillId="3" borderId="7" xfId="1" applyNumberFormat="1" applyFont="1" applyFill="1" applyBorder="1" applyAlignment="1">
      <alignment horizontal="center" vertical="center"/>
    </xf>
    <xf numFmtId="41" fontId="8" fillId="3" borderId="9" xfId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7" fillId="5" borderId="5" xfId="2" applyFont="1" applyAlignment="1">
      <alignment horizontal="center" vertical="center"/>
    </xf>
    <xf numFmtId="0" fontId="0" fillId="0" borderId="3" xfId="1" applyNumberFormat="1" applyFont="1" applyBorder="1">
      <alignment vertical="center"/>
    </xf>
    <xf numFmtId="0" fontId="0" fillId="0" borderId="2" xfId="1" applyNumberFormat="1" applyFont="1" applyBorder="1">
      <alignment vertical="center"/>
    </xf>
    <xf numFmtId="0" fontId="0" fillId="0" borderId="0" xfId="1" applyNumberFormat="1" applyFont="1">
      <alignment vertical="center"/>
    </xf>
    <xf numFmtId="41" fontId="9" fillId="0" borderId="0" xfId="1" applyFont="1">
      <alignment vertical="center"/>
    </xf>
  </cellXfs>
  <cellStyles count="3">
    <cellStyle name="메모" xfId="2" builtinId="10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336699"/>
      <color rgb="FF216787"/>
      <color rgb="FFFCFFD7"/>
      <color rgb="FF0D85AF"/>
      <color rgb="FFF8F9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x1.HjeD1</stp>
        <stp>144</stp>
        <stp>2361298</stp>
        <tr r="B7" s="3"/>
      </tp>
      <tp>
        <v>0</v>
        <stp/>
        <stp>H</stp>
        <stp>x3.HjeD1</stp>
        <stp>145</stp>
        <stp>2361298</stp>
        <tr r="B7" s="5"/>
      </tp>
      <tp>
        <v>0</v>
        <stp/>
        <stp>H</stp>
        <stp>x2.HjeD1</stp>
        <stp>143</stp>
        <stp>2361298</stp>
        <tr r="B6" s="2"/>
      </tp>
      <tp>
        <v>0</v>
        <stp/>
        <stp>H</stp>
        <stp>x4.HjeD1</stp>
        <stp>146</stp>
        <stp>2361298</stp>
        <tr r="B7" s="4"/>
      </tp>
      <tp t="s">
        <v>SK하이닉스</v>
        <stp/>
        <stp>P</stp>
        <stp>0</stp>
        <stp>STK</stp>
        <stp>000660</stp>
        <stp>한글종목명</stp>
        <stp/>
        <stp/>
        <tr r="C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44"/>
  <sheetViews>
    <sheetView showGridLines="0" tabSelected="1" workbookViewId="0"/>
  </sheetViews>
  <sheetFormatPr defaultRowHeight="13.5" customHeight="1" x14ac:dyDescent="0.25"/>
  <cols>
    <col min="1" max="1" width="1.7109375" style="3" customWidth="1"/>
    <col min="2" max="2" width="19.42578125" bestFit="1" customWidth="1"/>
    <col min="3" max="3" width="18.140625" style="2" customWidth="1"/>
    <col min="4" max="21" width="17.28515625" style="2" bestFit="1" customWidth="1"/>
    <col min="22" max="42" width="16.28515625" style="2" bestFit="1" customWidth="1"/>
    <col min="43" max="3600" width="12.5703125" bestFit="1" customWidth="1"/>
  </cols>
  <sheetData>
    <row r="1" spans="1:42" ht="15" customHeight="1" x14ac:dyDescent="0.25">
      <c r="B1" s="5"/>
      <c r="C1" s="6"/>
    </row>
    <row r="2" spans="1:42" ht="15" customHeight="1" x14ac:dyDescent="0.25">
      <c r="A2" s="4"/>
      <c r="B2" s="18" t="s">
        <v>127</v>
      </c>
      <c r="C2" s="23" t="s">
        <v>132</v>
      </c>
      <c r="E2" s="18" t="s">
        <v>34</v>
      </c>
      <c r="F2" s="25">
        <f ca="1">TODAY()-3650</f>
        <v>39970</v>
      </c>
      <c r="H2" s="18" t="s">
        <v>36</v>
      </c>
      <c r="I2" s="28" t="s">
        <v>130</v>
      </c>
      <c r="J2" s="35"/>
      <c r="K2" s="35" t="s">
        <v>133</v>
      </c>
      <c r="L2" s="35" t="s">
        <v>135</v>
      </c>
      <c r="M2" s="35" t="s">
        <v>138</v>
      </c>
    </row>
    <row r="3" spans="1:42" ht="15" customHeight="1" x14ac:dyDescent="0.25">
      <c r="A3" s="4"/>
      <c r="B3" s="18" t="s">
        <v>128</v>
      </c>
      <c r="C3" s="24" t="str">
        <f>_xll.IMDP("STK",$C$2,"한글종목명")</f>
        <v>SK하이닉스</v>
      </c>
      <c r="E3" s="18" t="s">
        <v>35</v>
      </c>
      <c r="F3" s="26">
        <f ca="1">EOMONTH(TODAY(),-1)</f>
        <v>43616</v>
      </c>
      <c r="H3" s="18" t="s">
        <v>37</v>
      </c>
      <c r="I3" s="29" t="s">
        <v>131</v>
      </c>
      <c r="J3" s="35"/>
      <c r="K3" s="35" t="s">
        <v>134</v>
      </c>
      <c r="L3" s="35" t="s">
        <v>136</v>
      </c>
      <c r="M3" s="35">
        <v>1</v>
      </c>
    </row>
    <row r="4" spans="1:42" ht="15" customHeight="1" x14ac:dyDescent="0.25">
      <c r="C4" s="1"/>
      <c r="E4"/>
      <c r="F4"/>
      <c r="H4" s="18" t="s">
        <v>129</v>
      </c>
      <c r="I4" s="27" t="s">
        <v>137</v>
      </c>
      <c r="J4" s="35"/>
      <c r="K4" s="35"/>
      <c r="L4" s="35"/>
      <c r="M4" s="35">
        <v>2</v>
      </c>
    </row>
    <row r="5" spans="1:42" ht="15" customHeight="1" x14ac:dyDescent="0.25">
      <c r="J5" s="35"/>
      <c r="K5" s="35"/>
      <c r="L5" s="35"/>
      <c r="M5" s="35">
        <v>3</v>
      </c>
    </row>
    <row r="6" spans="1:42" ht="15" customHeight="1" x14ac:dyDescent="0.25">
      <c r="A6" s="4"/>
      <c r="B6" s="31" t="str">
        <f ca="1">_xll.IMDH("STK",$C$2,B7:B41,$F$2,$F$3,9999,"Per=일,sort=D,real=true,Bizday=0,Quote=종가,Pos=11,Orient=H,Cons="&amp;$I$2&amp;",Comp="&amp;$I$3&amp;",Trai="&amp;I4&amp;",Title="&amp;$C$3&amp;",DtFmt=1,TmFmt=1,unit=true")</f>
        <v>SK하이닉스</v>
      </c>
      <c r="J6" s="35"/>
      <c r="K6" s="35"/>
      <c r="L6" s="35"/>
      <c r="M6" s="35">
        <v>4</v>
      </c>
    </row>
    <row r="7" spans="1:42" s="7" customFormat="1" ht="15" customHeight="1" x14ac:dyDescent="0.25">
      <c r="A7" s="4"/>
      <c r="B7" s="7" t="s">
        <v>38</v>
      </c>
      <c r="C7" s="8">
        <v>43555</v>
      </c>
      <c r="D7" s="8">
        <v>43465</v>
      </c>
      <c r="E7" s="8">
        <v>43373</v>
      </c>
      <c r="F7" s="8">
        <v>43281</v>
      </c>
      <c r="G7" s="8">
        <v>43190</v>
      </c>
      <c r="H7" s="8">
        <v>43100</v>
      </c>
      <c r="I7" s="8">
        <v>43008</v>
      </c>
      <c r="J7" s="8">
        <v>42916</v>
      </c>
      <c r="K7" s="8">
        <v>42825</v>
      </c>
      <c r="L7" s="8">
        <v>42735</v>
      </c>
      <c r="M7" s="8">
        <v>42643</v>
      </c>
      <c r="N7" s="8">
        <v>42551</v>
      </c>
      <c r="O7" s="8">
        <v>42460</v>
      </c>
      <c r="P7" s="8">
        <v>42369</v>
      </c>
      <c r="Q7" s="8">
        <v>42277</v>
      </c>
      <c r="R7" s="8">
        <v>42185</v>
      </c>
      <c r="S7" s="8">
        <v>42094</v>
      </c>
      <c r="T7" s="8">
        <v>42004</v>
      </c>
      <c r="U7" s="8">
        <v>41912</v>
      </c>
      <c r="V7" s="8">
        <v>41820</v>
      </c>
      <c r="W7" s="8">
        <v>41729</v>
      </c>
      <c r="X7" s="8">
        <v>41639</v>
      </c>
      <c r="Y7" s="8">
        <v>41547</v>
      </c>
      <c r="Z7" s="8">
        <v>41455</v>
      </c>
      <c r="AA7" s="8">
        <v>41364</v>
      </c>
      <c r="AB7" s="8">
        <v>41274</v>
      </c>
      <c r="AC7" s="8">
        <v>41182</v>
      </c>
      <c r="AD7" s="8">
        <v>41090</v>
      </c>
      <c r="AE7" s="8">
        <v>40999</v>
      </c>
      <c r="AF7" s="8">
        <v>40908</v>
      </c>
      <c r="AG7" s="8">
        <v>40816</v>
      </c>
      <c r="AH7" s="8">
        <v>40724</v>
      </c>
      <c r="AI7" s="8">
        <v>40633</v>
      </c>
      <c r="AJ7" s="8">
        <v>40543</v>
      </c>
      <c r="AK7" s="8">
        <v>40178</v>
      </c>
      <c r="AL7" s="8"/>
      <c r="AM7" s="8"/>
      <c r="AN7" s="8"/>
      <c r="AO7" s="8"/>
      <c r="AP7" s="8"/>
    </row>
    <row r="8" spans="1:42" s="14" customFormat="1" ht="15" customHeight="1" x14ac:dyDescent="0.25">
      <c r="A8" s="4"/>
      <c r="B8" s="12" t="s">
        <v>0</v>
      </c>
      <c r="C8" s="13">
        <v>65131501000</v>
      </c>
      <c r="D8" s="13">
        <v>63658335000</v>
      </c>
      <c r="E8" s="13">
        <v>57377252000</v>
      </c>
      <c r="F8" s="13">
        <v>53257080000</v>
      </c>
      <c r="G8" s="13">
        <v>49125123000</v>
      </c>
      <c r="H8" s="13">
        <v>45418464000</v>
      </c>
      <c r="I8" s="13">
        <v>40730453000</v>
      </c>
      <c r="J8" s="13">
        <v>37501577000</v>
      </c>
      <c r="K8" s="13">
        <v>34319500000</v>
      </c>
      <c r="L8" s="13">
        <v>32216026000</v>
      </c>
      <c r="M8" s="13">
        <v>29166995000</v>
      </c>
      <c r="N8" s="13">
        <v>29329452000</v>
      </c>
      <c r="O8" s="13">
        <v>29797655000</v>
      </c>
      <c r="P8" s="13">
        <v>29677906000</v>
      </c>
      <c r="Q8" s="13">
        <v>29342140000</v>
      </c>
      <c r="R8" s="13">
        <v>28463705000</v>
      </c>
      <c r="S8" s="13">
        <v>27392913000</v>
      </c>
      <c r="T8" s="13">
        <v>26883278000</v>
      </c>
      <c r="U8" s="13">
        <v>24081215000</v>
      </c>
      <c r="V8" s="13">
        <v>22556707000</v>
      </c>
      <c r="W8" s="13">
        <v>22065739000</v>
      </c>
      <c r="X8" s="13">
        <v>20797298000</v>
      </c>
      <c r="Y8" s="13">
        <v>20537290000</v>
      </c>
      <c r="Z8" s="13">
        <v>20275395000</v>
      </c>
      <c r="AA8" s="13">
        <v>19058214000</v>
      </c>
      <c r="AB8" s="13">
        <v>18648693000</v>
      </c>
      <c r="AC8" s="13">
        <v>19221984000</v>
      </c>
      <c r="AD8" s="13">
        <v>19835172000</v>
      </c>
      <c r="AE8" s="13">
        <v>19264360000</v>
      </c>
      <c r="AF8" s="13">
        <v>17238148000</v>
      </c>
      <c r="AG8" s="13">
        <v>18041596000</v>
      </c>
      <c r="AH8" s="13">
        <v>17515937000</v>
      </c>
      <c r="AI8" s="13">
        <v>17376877000</v>
      </c>
      <c r="AJ8" s="13">
        <v>17412117000</v>
      </c>
      <c r="AK8" s="13">
        <v>16303533398</v>
      </c>
      <c r="AL8" s="13"/>
      <c r="AM8" s="13"/>
      <c r="AN8" s="13"/>
      <c r="AO8" s="13"/>
      <c r="AP8" s="13"/>
    </row>
    <row r="9" spans="1:42" s="11" customFormat="1" ht="15" customHeight="1" x14ac:dyDescent="0.25">
      <c r="A9" s="4"/>
      <c r="B9" s="9" t="s">
        <v>1</v>
      </c>
      <c r="C9" s="10">
        <v>1152257000</v>
      </c>
      <c r="D9" s="10">
        <v>2349319000</v>
      </c>
      <c r="E9" s="10">
        <v>2340357000</v>
      </c>
      <c r="F9" s="10">
        <v>1187928000</v>
      </c>
      <c r="G9" s="10">
        <v>3477358000</v>
      </c>
      <c r="H9" s="10">
        <v>2949991000</v>
      </c>
      <c r="I9" s="10">
        <v>1123119000</v>
      </c>
      <c r="J9" s="10">
        <v>1326003000</v>
      </c>
      <c r="K9" s="10">
        <v>2162786000</v>
      </c>
      <c r="L9" s="10">
        <v>613786000</v>
      </c>
      <c r="M9" s="10">
        <v>1214703000</v>
      </c>
      <c r="N9" s="10">
        <v>987448000</v>
      </c>
      <c r="O9" s="10">
        <v>946946000</v>
      </c>
      <c r="P9" s="10">
        <v>1175719000</v>
      </c>
      <c r="Q9" s="10">
        <v>510632000</v>
      </c>
      <c r="R9" s="10">
        <v>650081000</v>
      </c>
      <c r="S9" s="10">
        <v>342269000</v>
      </c>
      <c r="T9" s="10">
        <v>436761000</v>
      </c>
      <c r="U9" s="10">
        <v>377645000</v>
      </c>
      <c r="V9" s="10">
        <v>591243000</v>
      </c>
      <c r="W9" s="10">
        <v>319961000</v>
      </c>
      <c r="X9" s="10">
        <v>631867000</v>
      </c>
      <c r="Y9" s="10">
        <v>600784000</v>
      </c>
      <c r="Z9" s="10">
        <v>504748000</v>
      </c>
      <c r="AA9" s="10">
        <v>741111000</v>
      </c>
      <c r="AB9" s="10">
        <v>658387000</v>
      </c>
      <c r="AC9" s="10">
        <v>605655000</v>
      </c>
      <c r="AD9" s="10">
        <v>1719419000</v>
      </c>
      <c r="AE9" s="10">
        <v>2691104000</v>
      </c>
      <c r="AF9" s="10">
        <v>1243788000</v>
      </c>
      <c r="AG9" s="10">
        <v>1407276000</v>
      </c>
      <c r="AH9" s="10">
        <v>747956000</v>
      </c>
      <c r="AI9" s="10">
        <v>1416033000</v>
      </c>
      <c r="AJ9" s="10">
        <v>1253226000</v>
      </c>
      <c r="AK9" s="10">
        <v>1209110638</v>
      </c>
      <c r="AL9" s="10"/>
      <c r="AM9" s="10"/>
      <c r="AN9" s="10"/>
      <c r="AO9" s="10"/>
      <c r="AP9" s="10"/>
    </row>
    <row r="10" spans="1:42" s="11" customFormat="1" ht="15" customHeight="1" x14ac:dyDescent="0.25">
      <c r="A10" s="4"/>
      <c r="B10" s="9" t="s">
        <v>2</v>
      </c>
      <c r="C10" s="10">
        <v>1004681000</v>
      </c>
      <c r="D10" s="10">
        <v>556787000</v>
      </c>
      <c r="E10" s="10">
        <v>7370835000</v>
      </c>
      <c r="F10" s="10">
        <v>7311680000</v>
      </c>
      <c r="G10" s="10">
        <v>4859383000</v>
      </c>
      <c r="H10" s="10">
        <v>5662146000</v>
      </c>
      <c r="I10" s="10">
        <v>5260235000</v>
      </c>
      <c r="J10" s="10">
        <v>3962952000</v>
      </c>
      <c r="K10" s="10">
        <v>2867025000</v>
      </c>
      <c r="L10" s="10">
        <v>3679248000</v>
      </c>
      <c r="M10" s="10">
        <v>2530612000</v>
      </c>
      <c r="N10" s="10">
        <v>2596811000</v>
      </c>
      <c r="O10" s="10">
        <v>3457593000</v>
      </c>
      <c r="P10" s="10">
        <v>3757228000</v>
      </c>
      <c r="Q10" s="10">
        <v>3736305000</v>
      </c>
      <c r="R10" s="10">
        <v>3695968000</v>
      </c>
      <c r="S10" s="10">
        <v>4043550000</v>
      </c>
      <c r="T10" s="10">
        <v>3756354000</v>
      </c>
      <c r="U10" s="10">
        <v>3487021000</v>
      </c>
      <c r="V10" s="10">
        <v>2693737000</v>
      </c>
      <c r="W10" s="10">
        <v>3021128000</v>
      </c>
      <c r="X10" s="10">
        <v>2570451000</v>
      </c>
      <c r="Y10" s="10">
        <v>2552837000</v>
      </c>
      <c r="Z10" s="10">
        <v>2005280000</v>
      </c>
      <c r="AA10" s="10">
        <v>1280850000</v>
      </c>
      <c r="AB10" s="10">
        <v>1179504000</v>
      </c>
      <c r="AC10" s="10">
        <v>1252349000</v>
      </c>
      <c r="AD10" s="10">
        <v>1332527000</v>
      </c>
      <c r="AE10" s="10">
        <v>780419000</v>
      </c>
      <c r="AF10" s="10">
        <v>693851000</v>
      </c>
      <c r="AG10" s="10">
        <v>641256000</v>
      </c>
      <c r="AH10" s="10">
        <v>1093167000</v>
      </c>
      <c r="AI10" s="10">
        <v>750659000</v>
      </c>
      <c r="AJ10" s="10">
        <v>1020382000</v>
      </c>
      <c r="AK10" s="10">
        <v>342552198</v>
      </c>
      <c r="AL10" s="10"/>
      <c r="AM10" s="10"/>
      <c r="AN10" s="10"/>
      <c r="AO10" s="10"/>
      <c r="AP10" s="10"/>
    </row>
    <row r="11" spans="1:42" s="11" customFormat="1" ht="15" customHeight="1" x14ac:dyDescent="0.25">
      <c r="A11" s="4"/>
      <c r="B11" s="9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157000</v>
      </c>
      <c r="X11" s="10">
        <v>272000</v>
      </c>
      <c r="Y11" s="10"/>
      <c r="Z11" s="10">
        <v>300000</v>
      </c>
      <c r="AA11" s="10"/>
      <c r="AB11" s="10">
        <v>198000</v>
      </c>
      <c r="AC11" s="10"/>
      <c r="AD11" s="10">
        <v>487000</v>
      </c>
      <c r="AE11" s="10"/>
      <c r="AF11" s="10">
        <v>3114000</v>
      </c>
      <c r="AG11" s="10">
        <v>603000</v>
      </c>
      <c r="AH11" s="10">
        <v>4953000</v>
      </c>
      <c r="AI11" s="10">
        <v>7914000</v>
      </c>
      <c r="AJ11" s="10">
        <v>7695000</v>
      </c>
      <c r="AK11" s="10"/>
      <c r="AL11" s="10"/>
      <c r="AM11" s="10"/>
      <c r="AN11" s="10"/>
      <c r="AO11" s="10"/>
      <c r="AP11" s="10"/>
    </row>
    <row r="12" spans="1:42" s="11" customFormat="1" ht="15" customHeight="1" x14ac:dyDescent="0.25">
      <c r="A12" s="4"/>
      <c r="B12" s="9" t="s">
        <v>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 s="11" customFormat="1" ht="15" customHeight="1" x14ac:dyDescent="0.25">
      <c r="A13" s="4"/>
      <c r="B13" s="9" t="s">
        <v>5</v>
      </c>
      <c r="C13" s="10">
        <v>2480415000</v>
      </c>
      <c r="D13" s="10">
        <v>1347949000</v>
      </c>
      <c r="E13" s="10">
        <v>1279524000</v>
      </c>
      <c r="F13" s="10">
        <v>1251006000</v>
      </c>
      <c r="G13" s="10">
        <v>1392787000</v>
      </c>
      <c r="H13" s="10">
        <v>1273743000</v>
      </c>
      <c r="I13" s="10">
        <v>1087742000</v>
      </c>
      <c r="J13" s="10">
        <v>1007978000</v>
      </c>
      <c r="K13" s="10">
        <v>973803000</v>
      </c>
      <c r="L13" s="10">
        <v>969755000</v>
      </c>
      <c r="M13" s="10">
        <v>844257000</v>
      </c>
      <c r="N13" s="10">
        <v>960537000</v>
      </c>
      <c r="O13" s="10">
        <v>945906000</v>
      </c>
      <c r="P13" s="10">
        <v>919459000</v>
      </c>
      <c r="Q13" s="10">
        <v>822660000</v>
      </c>
      <c r="R13" s="10">
        <v>813782000</v>
      </c>
      <c r="S13" s="10">
        <v>856173000</v>
      </c>
      <c r="T13" s="10">
        <v>865907000</v>
      </c>
      <c r="U13" s="10">
        <v>536166000</v>
      </c>
      <c r="V13" s="10">
        <v>552994000</v>
      </c>
      <c r="W13" s="10">
        <v>555436000</v>
      </c>
      <c r="X13" s="10">
        <v>507205000</v>
      </c>
      <c r="Y13" s="10">
        <v>433516000</v>
      </c>
      <c r="Z13" s="10">
        <v>293513000</v>
      </c>
      <c r="AA13" s="10">
        <v>316027000</v>
      </c>
      <c r="AB13" s="10">
        <v>324368000</v>
      </c>
      <c r="AC13" s="10">
        <v>387301000</v>
      </c>
      <c r="AD13" s="10">
        <v>324005000</v>
      </c>
      <c r="AE13" s="10">
        <v>354418000</v>
      </c>
      <c r="AF13" s="10">
        <v>249164000</v>
      </c>
      <c r="AG13" s="10">
        <v>303432000</v>
      </c>
      <c r="AH13" s="10">
        <v>280464000</v>
      </c>
      <c r="AI13" s="10">
        <v>242727000</v>
      </c>
      <c r="AJ13" s="10">
        <v>226479000</v>
      </c>
      <c r="AK13" s="10">
        <v>571473670</v>
      </c>
      <c r="AL13" s="10"/>
      <c r="AM13" s="10"/>
      <c r="AN13" s="10"/>
      <c r="AO13" s="10"/>
      <c r="AP13" s="10"/>
    </row>
    <row r="14" spans="1:42" s="11" customFormat="1" ht="15" customHeight="1" x14ac:dyDescent="0.25">
      <c r="A14" s="4"/>
      <c r="B14" s="9" t="s">
        <v>6</v>
      </c>
      <c r="C14" s="10">
        <v>36385101000</v>
      </c>
      <c r="D14" s="10">
        <v>34952617000</v>
      </c>
      <c r="E14" s="10">
        <v>31259492000</v>
      </c>
      <c r="F14" s="10">
        <v>29311297000</v>
      </c>
      <c r="G14" s="10">
        <v>27364769000</v>
      </c>
      <c r="H14" s="10">
        <v>24062601000</v>
      </c>
      <c r="I14" s="10">
        <v>21977158000</v>
      </c>
      <c r="J14" s="10">
        <v>21395285000</v>
      </c>
      <c r="K14" s="10">
        <v>19856004000</v>
      </c>
      <c r="L14" s="10">
        <v>18777402000</v>
      </c>
      <c r="M14" s="10">
        <v>17888583000</v>
      </c>
      <c r="N14" s="10">
        <v>17936788000</v>
      </c>
      <c r="O14" s="10">
        <v>17666499000</v>
      </c>
      <c r="P14" s="10">
        <v>16966252000</v>
      </c>
      <c r="Q14" s="10">
        <v>16819082000</v>
      </c>
      <c r="R14" s="10">
        <v>16084135000</v>
      </c>
      <c r="S14" s="10">
        <v>15147835000</v>
      </c>
      <c r="T14" s="10">
        <v>14090334000</v>
      </c>
      <c r="U14" s="10">
        <v>13536397000</v>
      </c>
      <c r="V14" s="10">
        <v>13262740000</v>
      </c>
      <c r="W14" s="10">
        <v>12854615000</v>
      </c>
      <c r="X14" s="10">
        <v>12129797000</v>
      </c>
      <c r="Y14" s="10">
        <v>11950509000</v>
      </c>
      <c r="Z14" s="10">
        <v>11899593000</v>
      </c>
      <c r="AA14" s="10">
        <v>11598526000</v>
      </c>
      <c r="AB14" s="10">
        <v>11586192000</v>
      </c>
      <c r="AC14" s="10">
        <v>12112035000</v>
      </c>
      <c r="AD14" s="10">
        <v>12008981000</v>
      </c>
      <c r="AE14" s="10">
        <v>11224263000</v>
      </c>
      <c r="AF14" s="10">
        <v>10899308000</v>
      </c>
      <c r="AG14" s="10">
        <v>11163051000</v>
      </c>
      <c r="AH14" s="10">
        <v>10872414000</v>
      </c>
      <c r="AI14" s="10">
        <v>10623721000</v>
      </c>
      <c r="AJ14" s="10">
        <v>10590580000</v>
      </c>
      <c r="AK14" s="10">
        <v>10143005769</v>
      </c>
      <c r="AL14" s="10"/>
      <c r="AM14" s="10"/>
      <c r="AN14" s="10"/>
      <c r="AO14" s="10"/>
      <c r="AP14" s="10"/>
    </row>
    <row r="15" spans="1:42" s="11" customFormat="1" ht="15" customHeight="1" x14ac:dyDescent="0.25">
      <c r="A15" s="4"/>
      <c r="B15" s="9" t="s">
        <v>7</v>
      </c>
      <c r="C15" s="10">
        <v>1384000</v>
      </c>
      <c r="D15" s="10">
        <v>1400000</v>
      </c>
      <c r="E15" s="10">
        <v>1416000</v>
      </c>
      <c r="F15" s="10">
        <v>2415000</v>
      </c>
      <c r="G15" s="10">
        <v>2442000</v>
      </c>
      <c r="H15" s="10">
        <v>2468000</v>
      </c>
      <c r="I15" s="10">
        <v>2494000</v>
      </c>
      <c r="J15" s="10">
        <v>2521000</v>
      </c>
      <c r="K15" s="10">
        <v>2547000</v>
      </c>
      <c r="L15" s="10">
        <v>2573000</v>
      </c>
      <c r="M15" s="10">
        <v>2600000</v>
      </c>
      <c r="N15" s="10">
        <v>2626000</v>
      </c>
      <c r="O15" s="10">
        <v>2653000</v>
      </c>
      <c r="P15" s="10">
        <v>2679000</v>
      </c>
      <c r="Q15" s="10">
        <v>2705000</v>
      </c>
      <c r="R15" s="10">
        <v>27795000</v>
      </c>
      <c r="S15" s="10">
        <v>28126000</v>
      </c>
      <c r="T15" s="10">
        <v>28456000</v>
      </c>
      <c r="U15" s="10">
        <v>26295000</v>
      </c>
      <c r="V15" s="10">
        <v>26602000</v>
      </c>
      <c r="W15" s="10">
        <v>26909000</v>
      </c>
      <c r="X15" s="10">
        <v>28609000</v>
      </c>
      <c r="Y15" s="10">
        <v>28929000</v>
      </c>
      <c r="Z15" s="10">
        <v>29249000</v>
      </c>
      <c r="AA15" s="10">
        <v>29568000</v>
      </c>
      <c r="AB15" s="10">
        <v>29888000</v>
      </c>
      <c r="AC15" s="10">
        <v>30208000</v>
      </c>
      <c r="AD15" s="10">
        <v>30528000</v>
      </c>
      <c r="AE15" s="10">
        <v>30848000</v>
      </c>
      <c r="AF15" s="10">
        <v>31168000</v>
      </c>
      <c r="AG15" s="10">
        <v>36116000</v>
      </c>
      <c r="AH15" s="10">
        <v>36445000</v>
      </c>
      <c r="AI15" s="10">
        <v>36858000</v>
      </c>
      <c r="AJ15" s="10">
        <v>37186000</v>
      </c>
      <c r="AK15" s="10">
        <v>162415720</v>
      </c>
      <c r="AL15" s="10"/>
      <c r="AM15" s="10"/>
      <c r="AN15" s="10"/>
      <c r="AO15" s="10"/>
      <c r="AP15" s="10"/>
    </row>
    <row r="16" spans="1:42" s="11" customFormat="1" ht="15" customHeight="1" x14ac:dyDescent="0.25">
      <c r="A16" s="4"/>
      <c r="B16" s="9" t="s">
        <v>8</v>
      </c>
      <c r="C16" s="10">
        <v>-16000</v>
      </c>
      <c r="D16" s="10">
        <v>-16000</v>
      </c>
      <c r="E16" s="10">
        <v>-999000</v>
      </c>
      <c r="F16" s="10">
        <v>-27000</v>
      </c>
      <c r="G16" s="10">
        <v>-16000</v>
      </c>
      <c r="H16" s="10">
        <v>-16000</v>
      </c>
      <c r="I16" s="10">
        <v>-27000</v>
      </c>
      <c r="J16" s="10">
        <v>-27000</v>
      </c>
      <c r="K16" s="10">
        <v>-26000</v>
      </c>
      <c r="L16" s="10">
        <v>-26000</v>
      </c>
      <c r="M16" s="10">
        <v>-27000</v>
      </c>
      <c r="N16" s="10">
        <v>-26000</v>
      </c>
      <c r="O16" s="10">
        <v>-26000</v>
      </c>
      <c r="P16" s="10">
        <v>-27000</v>
      </c>
      <c r="Q16" s="10">
        <v>-27000</v>
      </c>
      <c r="R16" s="10">
        <v>-27000</v>
      </c>
      <c r="S16" s="10">
        <v>-27000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spans="1:42" s="11" customFormat="1" ht="15" customHeight="1" x14ac:dyDescent="0.25">
      <c r="A17" s="4"/>
      <c r="B17" s="9" t="s">
        <v>9</v>
      </c>
      <c r="C17" s="10"/>
      <c r="D17" s="10">
        <v>709811000</v>
      </c>
      <c r="E17" s="10"/>
      <c r="F17" s="10"/>
      <c r="G17" s="10"/>
      <c r="H17" s="10">
        <v>695073000</v>
      </c>
      <c r="I17" s="10"/>
      <c r="J17" s="10"/>
      <c r="K17" s="10"/>
      <c r="L17" s="10">
        <v>730204000</v>
      </c>
      <c r="M17" s="10"/>
      <c r="N17" s="10"/>
      <c r="O17" s="10"/>
      <c r="P17" s="10">
        <v>720755000</v>
      </c>
      <c r="Q17" s="10"/>
      <c r="R17" s="10"/>
      <c r="S17" s="10"/>
      <c r="T17" s="10">
        <v>704185000</v>
      </c>
      <c r="U17" s="10"/>
      <c r="V17" s="10"/>
      <c r="W17" s="10"/>
      <c r="X17" s="10">
        <v>632311000</v>
      </c>
      <c r="Y17" s="10"/>
      <c r="Z17" s="10"/>
      <c r="AA17" s="10"/>
      <c r="AB17" s="10">
        <v>633170000</v>
      </c>
      <c r="AC17" s="10"/>
      <c r="AD17" s="10"/>
      <c r="AE17" s="10"/>
      <c r="AF17" s="10">
        <v>386450000</v>
      </c>
      <c r="AG17" s="10">
        <v>386450000</v>
      </c>
      <c r="AH17" s="10">
        <v>386450000</v>
      </c>
      <c r="AI17" s="10">
        <v>386450000</v>
      </c>
      <c r="AJ17" s="10">
        <v>386450000</v>
      </c>
      <c r="AK17" s="10">
        <v>2083467423</v>
      </c>
      <c r="AL17" s="10"/>
      <c r="AM17" s="10"/>
      <c r="AN17" s="10"/>
      <c r="AO17" s="10"/>
      <c r="AP17" s="10"/>
    </row>
    <row r="18" spans="1:42" s="11" customFormat="1" ht="15" customHeight="1" x14ac:dyDescent="0.25">
      <c r="A18" s="4"/>
      <c r="B18" s="9" t="s">
        <v>10</v>
      </c>
      <c r="C18" s="10">
        <v>2611595000</v>
      </c>
      <c r="D18" s="10">
        <v>1968959000</v>
      </c>
      <c r="E18" s="10">
        <v>2469187000</v>
      </c>
      <c r="F18" s="10">
        <v>2408291000</v>
      </c>
      <c r="G18" s="10">
        <v>2304852000</v>
      </c>
      <c r="H18" s="10">
        <v>1552217000</v>
      </c>
      <c r="I18" s="10">
        <v>2236944000</v>
      </c>
      <c r="J18" s="10">
        <v>2162731000</v>
      </c>
      <c r="K18" s="10">
        <v>2002619000</v>
      </c>
      <c r="L18" s="10">
        <v>1185387000</v>
      </c>
      <c r="M18" s="10">
        <v>1805666000</v>
      </c>
      <c r="N18" s="10">
        <v>1760564000</v>
      </c>
      <c r="O18" s="10">
        <v>1735514000</v>
      </c>
      <c r="P18" s="10">
        <v>984141000</v>
      </c>
      <c r="Q18" s="10">
        <v>1618504000</v>
      </c>
      <c r="R18" s="10">
        <v>1519467000</v>
      </c>
      <c r="S18" s="10">
        <v>1401266000</v>
      </c>
      <c r="T18" s="10">
        <v>632495000</v>
      </c>
      <c r="U18" s="10">
        <v>1255777000</v>
      </c>
      <c r="V18" s="10">
        <v>1205087000</v>
      </c>
      <c r="W18" s="10">
        <v>1124984000</v>
      </c>
      <c r="X18" s="10">
        <v>478092000</v>
      </c>
      <c r="Y18" s="10">
        <v>1055582000</v>
      </c>
      <c r="Z18" s="10">
        <v>1051617000</v>
      </c>
      <c r="AA18" s="10">
        <v>1017329000</v>
      </c>
      <c r="AB18" s="10">
        <v>350460000</v>
      </c>
      <c r="AC18" s="10">
        <v>999169000</v>
      </c>
      <c r="AD18" s="10">
        <v>712028000</v>
      </c>
      <c r="AE18" s="10">
        <v>702410000</v>
      </c>
      <c r="AF18" s="10">
        <v>321198000</v>
      </c>
      <c r="AG18" s="10">
        <v>321640000</v>
      </c>
      <c r="AH18" s="10">
        <v>289966000</v>
      </c>
      <c r="AI18" s="10">
        <v>242898000</v>
      </c>
      <c r="AJ18" s="10">
        <v>217203000</v>
      </c>
      <c r="AK18" s="10">
        <v>75507773</v>
      </c>
      <c r="AL18" s="10"/>
      <c r="AM18" s="10"/>
      <c r="AN18" s="10"/>
      <c r="AO18" s="10"/>
      <c r="AP18" s="10"/>
    </row>
    <row r="19" spans="1:42" s="11" customFormat="1" ht="15" customHeight="1" x14ac:dyDescent="0.25">
      <c r="A19" s="4"/>
      <c r="B19" s="9" t="s">
        <v>11</v>
      </c>
      <c r="C19" s="10">
        <v>552484000</v>
      </c>
      <c r="D19" s="10">
        <v>544016000</v>
      </c>
      <c r="E19" s="10">
        <v>637326000</v>
      </c>
      <c r="F19" s="10">
        <v>638571000</v>
      </c>
      <c r="G19" s="10">
        <v>610667000</v>
      </c>
      <c r="H19" s="10">
        <v>599783000</v>
      </c>
      <c r="I19" s="10">
        <v>781408000</v>
      </c>
      <c r="J19" s="10">
        <v>777879000</v>
      </c>
      <c r="K19" s="10">
        <v>773398000</v>
      </c>
      <c r="L19" s="10">
        <v>792368000</v>
      </c>
      <c r="M19" s="10">
        <v>385394000</v>
      </c>
      <c r="N19" s="10">
        <v>397852000</v>
      </c>
      <c r="O19" s="10">
        <v>359385000</v>
      </c>
      <c r="P19" s="10">
        <v>361204000</v>
      </c>
      <c r="Q19" s="10">
        <v>305156000</v>
      </c>
      <c r="R19" s="10">
        <v>291223000</v>
      </c>
      <c r="S19" s="10">
        <v>279923000</v>
      </c>
      <c r="T19" s="10">
        <v>272102000</v>
      </c>
      <c r="U19" s="10">
        <v>223738000</v>
      </c>
      <c r="V19" s="10">
        <v>210797000</v>
      </c>
      <c r="W19" s="10">
        <v>203016000</v>
      </c>
      <c r="X19" s="10">
        <v>198570000</v>
      </c>
      <c r="Y19" s="10">
        <v>227747000</v>
      </c>
      <c r="Z19" s="10">
        <v>302011000</v>
      </c>
      <c r="AA19" s="10">
        <v>360312000</v>
      </c>
      <c r="AB19" s="10">
        <v>378366000</v>
      </c>
      <c r="AC19" s="10">
        <v>315355000</v>
      </c>
      <c r="AD19" s="10">
        <v>317072000</v>
      </c>
      <c r="AE19" s="10">
        <v>316970000</v>
      </c>
      <c r="AF19" s="10">
        <v>315718000</v>
      </c>
      <c r="AG19" s="10">
        <v>446909000</v>
      </c>
      <c r="AH19" s="10">
        <v>439140000</v>
      </c>
      <c r="AI19" s="10">
        <v>441544000</v>
      </c>
      <c r="AJ19" s="10">
        <v>388773000</v>
      </c>
      <c r="AK19" s="10">
        <v>258837717</v>
      </c>
      <c r="AL19" s="10"/>
      <c r="AM19" s="10"/>
      <c r="AN19" s="10"/>
      <c r="AO19" s="10"/>
      <c r="AP19" s="10"/>
    </row>
    <row r="20" spans="1:42" s="11" customFormat="1" ht="15" customHeight="1" x14ac:dyDescent="0.25">
      <c r="A20" s="4"/>
      <c r="B20" s="9" t="s">
        <v>12</v>
      </c>
      <c r="C20" s="10">
        <v>8926000</v>
      </c>
      <c r="D20" s="10">
        <v>22252000</v>
      </c>
      <c r="E20" s="10">
        <v>1663000</v>
      </c>
      <c r="F20" s="10">
        <v>515000</v>
      </c>
      <c r="G20" s="10">
        <v>421000</v>
      </c>
      <c r="H20" s="10">
        <v>1305000</v>
      </c>
      <c r="I20" s="10">
        <v>1665000</v>
      </c>
      <c r="J20" s="10">
        <v>885000</v>
      </c>
      <c r="K20" s="10">
        <v>611000</v>
      </c>
      <c r="L20" s="10">
        <v>489000</v>
      </c>
      <c r="M20" s="10">
        <v>1015000</v>
      </c>
      <c r="N20" s="10">
        <v>536000</v>
      </c>
      <c r="O20" s="10">
        <v>361000</v>
      </c>
      <c r="P20" s="10">
        <v>1394000</v>
      </c>
      <c r="Q20" s="10">
        <v>1717000</v>
      </c>
      <c r="R20" s="10">
        <v>1453000</v>
      </c>
      <c r="S20" s="10">
        <v>1524000</v>
      </c>
      <c r="T20" s="10">
        <v>1629000</v>
      </c>
      <c r="U20" s="10">
        <v>1824000</v>
      </c>
      <c r="V20" s="10">
        <v>1342000</v>
      </c>
      <c r="W20" s="10">
        <v>1521000</v>
      </c>
      <c r="X20" s="10">
        <v>9242000</v>
      </c>
      <c r="Y20" s="10">
        <v>18695000</v>
      </c>
      <c r="Z20" s="10">
        <v>4834000</v>
      </c>
      <c r="AA20" s="10">
        <v>1271000</v>
      </c>
      <c r="AB20" s="10">
        <v>12719000</v>
      </c>
      <c r="AC20" s="10"/>
      <c r="AD20" s="10"/>
      <c r="AE20" s="10"/>
      <c r="AF20" s="10">
        <v>10642000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2" s="11" customFormat="1" ht="15" customHeight="1" x14ac:dyDescent="0.25">
      <c r="A21" s="4"/>
      <c r="B21" s="9" t="s">
        <v>13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 s="11" customFormat="1" ht="15" customHeight="1" x14ac:dyDescent="0.25">
      <c r="A22" s="4"/>
      <c r="B22" s="9" t="s">
        <v>14</v>
      </c>
      <c r="C22" s="10">
        <v>47166007000</v>
      </c>
      <c r="D22" s="10">
        <v>46852331000</v>
      </c>
      <c r="E22" s="10">
        <v>43488826000</v>
      </c>
      <c r="F22" s="10">
        <v>40777676000</v>
      </c>
      <c r="G22" s="10">
        <v>36378486000</v>
      </c>
      <c r="H22" s="10">
        <v>33820919000</v>
      </c>
      <c r="I22" s="10">
        <v>30904498000</v>
      </c>
      <c r="J22" s="10">
        <v>27763784000</v>
      </c>
      <c r="K22" s="10">
        <v>25168919000</v>
      </c>
      <c r="L22" s="10">
        <v>24023530000</v>
      </c>
      <c r="M22" s="10">
        <v>22004580000</v>
      </c>
      <c r="N22" s="10">
        <v>21700822000</v>
      </c>
      <c r="O22" s="10">
        <v>21464689000</v>
      </c>
      <c r="P22" s="10">
        <v>21387703000</v>
      </c>
      <c r="Q22" s="10">
        <v>20766327000</v>
      </c>
      <c r="R22" s="10">
        <v>20295553000</v>
      </c>
      <c r="S22" s="10">
        <v>19125736000</v>
      </c>
      <c r="T22" s="10">
        <v>18036303000</v>
      </c>
      <c r="U22" s="10">
        <v>16290275000</v>
      </c>
      <c r="V22" s="10">
        <v>14609986000</v>
      </c>
      <c r="W22" s="10">
        <v>13852376000</v>
      </c>
      <c r="X22" s="10">
        <v>13066859000</v>
      </c>
      <c r="Y22" s="10">
        <v>12313704000</v>
      </c>
      <c r="Z22" s="10">
        <v>11157690000</v>
      </c>
      <c r="AA22" s="10">
        <v>10043546000</v>
      </c>
      <c r="AB22" s="10">
        <v>9739442000</v>
      </c>
      <c r="AC22" s="10">
        <v>9786442000</v>
      </c>
      <c r="AD22" s="10">
        <v>9859602000</v>
      </c>
      <c r="AE22" s="10">
        <v>9898248000</v>
      </c>
      <c r="AF22" s="10">
        <v>7875271000</v>
      </c>
      <c r="AG22" s="10">
        <v>8266462000</v>
      </c>
      <c r="AH22" s="10">
        <v>8558728000</v>
      </c>
      <c r="AI22" s="10">
        <v>8099989000</v>
      </c>
      <c r="AJ22" s="10">
        <v>7907576000</v>
      </c>
      <c r="AK22" s="10">
        <v>5919278463</v>
      </c>
      <c r="AL22" s="10"/>
      <c r="AM22" s="10"/>
      <c r="AN22" s="10"/>
      <c r="AO22" s="10"/>
      <c r="AP22" s="10"/>
    </row>
    <row r="23" spans="1:42" s="11" customFormat="1" ht="15" customHeight="1" x14ac:dyDescent="0.25">
      <c r="A23" s="4"/>
      <c r="B23" s="9" t="s">
        <v>15</v>
      </c>
      <c r="C23" s="10">
        <v>3657652000</v>
      </c>
      <c r="D23" s="10">
        <v>3657652000</v>
      </c>
      <c r="E23" s="10">
        <v>3657652000</v>
      </c>
      <c r="F23" s="10">
        <v>3657652000</v>
      </c>
      <c r="G23" s="10">
        <v>3657652000</v>
      </c>
      <c r="H23" s="10">
        <v>3657652000</v>
      </c>
      <c r="I23" s="10">
        <v>3657652000</v>
      </c>
      <c r="J23" s="10">
        <v>3657652000</v>
      </c>
      <c r="K23" s="10">
        <v>3657652000</v>
      </c>
      <c r="L23" s="10">
        <v>3657652000</v>
      </c>
      <c r="M23" s="10">
        <v>3657652000</v>
      </c>
      <c r="N23" s="10">
        <v>3657652000</v>
      </c>
      <c r="O23" s="10">
        <v>3657652000</v>
      </c>
      <c r="P23" s="10">
        <v>3657652000</v>
      </c>
      <c r="Q23" s="10">
        <v>3657652000</v>
      </c>
      <c r="R23" s="10">
        <v>3657652000</v>
      </c>
      <c r="S23" s="10">
        <v>3657652000</v>
      </c>
      <c r="T23" s="10">
        <v>3657652000</v>
      </c>
      <c r="U23" s="10">
        <v>3649675000</v>
      </c>
      <c r="V23" s="10">
        <v>3598249000</v>
      </c>
      <c r="W23" s="10">
        <v>3568645000</v>
      </c>
      <c r="X23" s="10">
        <v>3568645000</v>
      </c>
      <c r="Y23" s="10">
        <v>3568645000</v>
      </c>
      <c r="Z23" s="10">
        <v>3491225000</v>
      </c>
      <c r="AA23" s="10">
        <v>3488467000</v>
      </c>
      <c r="AB23" s="10">
        <v>3488419000</v>
      </c>
      <c r="AC23" s="10">
        <v>3488252000</v>
      </c>
      <c r="AD23" s="10">
        <v>3488252000</v>
      </c>
      <c r="AE23" s="10">
        <v>3487768000</v>
      </c>
      <c r="AF23" s="10">
        <v>2978498000</v>
      </c>
      <c r="AG23" s="10">
        <v>2978498000</v>
      </c>
      <c r="AH23" s="10">
        <v>2978498000</v>
      </c>
      <c r="AI23" s="10">
        <v>2971195000</v>
      </c>
      <c r="AJ23" s="10">
        <v>2969023000</v>
      </c>
      <c r="AK23" s="10">
        <v>2965833030</v>
      </c>
      <c r="AL23" s="10"/>
      <c r="AM23" s="10"/>
      <c r="AN23" s="10"/>
      <c r="AO23" s="10"/>
      <c r="AP23" s="10"/>
    </row>
    <row r="24" spans="1:42" s="11" customFormat="1" ht="15" customHeight="1" x14ac:dyDescent="0.25">
      <c r="A24" s="4"/>
      <c r="B24" s="9" t="s">
        <v>16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s="11" customFormat="1" ht="15" customHeight="1" x14ac:dyDescent="0.25">
      <c r="A25" s="4"/>
      <c r="B25" s="9" t="s">
        <v>17</v>
      </c>
      <c r="C25" s="10">
        <v>4143736000</v>
      </c>
      <c r="D25" s="10">
        <v>4143736000</v>
      </c>
      <c r="E25" s="10">
        <v>4143736000</v>
      </c>
      <c r="F25" s="10">
        <v>4143736000</v>
      </c>
      <c r="G25" s="10">
        <v>4143736000</v>
      </c>
      <c r="H25" s="10">
        <v>4143736000</v>
      </c>
      <c r="I25" s="10">
        <v>4143736000</v>
      </c>
      <c r="J25" s="10">
        <v>4143736000</v>
      </c>
      <c r="K25" s="10">
        <v>4143736000</v>
      </c>
      <c r="L25" s="10">
        <v>4143736000</v>
      </c>
      <c r="M25" s="10">
        <v>4143736000</v>
      </c>
      <c r="N25" s="10">
        <v>4143736000</v>
      </c>
      <c r="O25" s="10">
        <v>4143736000</v>
      </c>
      <c r="P25" s="10">
        <v>4143736000</v>
      </c>
      <c r="Q25" s="10">
        <v>4143736000</v>
      </c>
      <c r="R25" s="10">
        <v>4143736000</v>
      </c>
      <c r="S25" s="10">
        <v>4143736000</v>
      </c>
      <c r="T25" s="10">
        <v>4143736000</v>
      </c>
      <c r="U25" s="10">
        <v>4081272000</v>
      </c>
      <c r="V25" s="10">
        <v>3646702000</v>
      </c>
      <c r="W25" s="10">
        <v>3406083000</v>
      </c>
      <c r="X25" s="10">
        <v>3406083000</v>
      </c>
      <c r="Y25" s="10">
        <v>3406148000</v>
      </c>
      <c r="Z25" s="10">
        <v>3066076000</v>
      </c>
      <c r="AA25" s="10">
        <v>3054075000</v>
      </c>
      <c r="AB25" s="10">
        <v>3053874000</v>
      </c>
      <c r="AC25" s="10">
        <v>3049173000</v>
      </c>
      <c r="AD25" s="10">
        <v>3049248000</v>
      </c>
      <c r="AE25" s="10">
        <v>3045857000</v>
      </c>
      <c r="AF25" s="10">
        <v>1229052000</v>
      </c>
      <c r="AG25" s="10">
        <v>1230979000</v>
      </c>
      <c r="AH25" s="10">
        <v>1230979000</v>
      </c>
      <c r="AI25" s="10">
        <v>1203046000</v>
      </c>
      <c r="AJ25" s="10">
        <v>1193100000</v>
      </c>
      <c r="AK25" s="10">
        <v>1303527701</v>
      </c>
      <c r="AL25" s="10"/>
      <c r="AM25" s="10"/>
      <c r="AN25" s="10"/>
      <c r="AO25" s="10"/>
      <c r="AP25" s="10"/>
    </row>
    <row r="26" spans="1:42" s="11" customFormat="1" ht="15" customHeight="1" x14ac:dyDescent="0.25">
      <c r="A26" s="4"/>
      <c r="B26" s="9" t="s">
        <v>18</v>
      </c>
      <c r="C26" s="10">
        <v>-2506133000</v>
      </c>
      <c r="D26" s="10">
        <v>-2506451000</v>
      </c>
      <c r="E26" s="10">
        <v>-2506748000</v>
      </c>
      <c r="F26" s="10">
        <v>-770531000</v>
      </c>
      <c r="G26" s="10">
        <v>-770825000</v>
      </c>
      <c r="H26" s="10">
        <v>-771100000</v>
      </c>
      <c r="I26" s="10">
        <v>-771365000</v>
      </c>
      <c r="J26" s="10">
        <v>-771629000</v>
      </c>
      <c r="K26" s="10">
        <v>-771890000</v>
      </c>
      <c r="L26" s="10">
        <v>-771913000</v>
      </c>
      <c r="M26" s="10">
        <v>-771913000</v>
      </c>
      <c r="N26" s="10">
        <v>-771913000</v>
      </c>
      <c r="O26" s="10">
        <v>-771913000</v>
      </c>
      <c r="P26" s="10">
        <v>-771913000</v>
      </c>
      <c r="Q26" s="10">
        <v>-753647000</v>
      </c>
      <c r="R26" s="10">
        <v>-24000</v>
      </c>
      <c r="S26" s="10">
        <v>-24000</v>
      </c>
      <c r="T26" s="10">
        <v>-24000</v>
      </c>
      <c r="U26" s="10">
        <v>-24000</v>
      </c>
      <c r="V26" s="10">
        <v>-24000</v>
      </c>
      <c r="W26" s="10"/>
      <c r="X26" s="10"/>
      <c r="Y26" s="10"/>
      <c r="Z26" s="10"/>
      <c r="AA26" s="10"/>
      <c r="AB26" s="10"/>
      <c r="AC26" s="10">
        <v>4100000</v>
      </c>
      <c r="AD26" s="10">
        <v>4101000</v>
      </c>
      <c r="AE26" s="10">
        <v>5762000</v>
      </c>
      <c r="AF26" s="10">
        <v>5762000</v>
      </c>
      <c r="AG26" s="10">
        <v>5762000</v>
      </c>
      <c r="AH26" s="10">
        <v>5762000</v>
      </c>
      <c r="AI26" s="10">
        <v>5762000</v>
      </c>
      <c r="AJ26" s="10">
        <v>5762000</v>
      </c>
      <c r="AK26" s="10">
        <v>5768977</v>
      </c>
      <c r="AL26" s="10"/>
      <c r="AM26" s="10"/>
      <c r="AN26" s="10"/>
      <c r="AO26" s="10"/>
      <c r="AP26" s="10"/>
    </row>
    <row r="27" spans="1:42" s="11" customFormat="1" ht="15" customHeight="1" x14ac:dyDescent="0.25">
      <c r="A27" s="4"/>
      <c r="B27" s="9" t="s">
        <v>19</v>
      </c>
      <c r="C27" s="10">
        <v>-239859000</v>
      </c>
      <c r="D27" s="10">
        <v>-482819000</v>
      </c>
      <c r="E27" s="10">
        <v>-503817000</v>
      </c>
      <c r="F27" s="10">
        <v>-265781000</v>
      </c>
      <c r="G27" s="10">
        <v>-342468000</v>
      </c>
      <c r="H27" s="10">
        <v>-502264000</v>
      </c>
      <c r="I27" s="10">
        <v>-184564000</v>
      </c>
      <c r="J27" s="10">
        <v>-273810000</v>
      </c>
      <c r="K27" s="10">
        <v>-403951000</v>
      </c>
      <c r="L27" s="10">
        <v>-79103000</v>
      </c>
      <c r="M27" s="10">
        <v>-355501000</v>
      </c>
      <c r="N27" s="10">
        <v>-64363000</v>
      </c>
      <c r="O27" s="10">
        <v>-16611000</v>
      </c>
      <c r="P27" s="10">
        <v>-1600000</v>
      </c>
      <c r="Q27" s="10">
        <v>212891000</v>
      </c>
      <c r="R27" s="10">
        <v>35334000</v>
      </c>
      <c r="S27" s="10">
        <v>-27757000</v>
      </c>
      <c r="T27" s="10">
        <v>-41815000</v>
      </c>
      <c r="U27" s="10">
        <v>-212561000</v>
      </c>
      <c r="V27" s="10">
        <v>-311877000</v>
      </c>
      <c r="W27" s="10">
        <v>-125534000</v>
      </c>
      <c r="X27" s="10">
        <v>-108807000</v>
      </c>
      <c r="Y27" s="10">
        <v>-57240000</v>
      </c>
      <c r="Z27" s="10">
        <v>162184000</v>
      </c>
      <c r="AA27" s="10">
        <v>9642000</v>
      </c>
      <c r="AB27" s="10">
        <v>-115402000</v>
      </c>
      <c r="AC27" s="10">
        <v>13086000</v>
      </c>
      <c r="AD27" s="10">
        <v>87763000</v>
      </c>
      <c r="AE27" s="10">
        <v>75355000</v>
      </c>
      <c r="AF27" s="10">
        <v>107107000</v>
      </c>
      <c r="AG27" s="10">
        <v>128474000</v>
      </c>
      <c r="AH27" s="10">
        <v>-141242000</v>
      </c>
      <c r="AI27" s="10">
        <v>-93749000</v>
      </c>
      <c r="AJ27" s="10">
        <v>-23261000</v>
      </c>
      <c r="AK27" s="10">
        <v>171315813</v>
      </c>
      <c r="AL27" s="10"/>
      <c r="AM27" s="10"/>
      <c r="AN27" s="10"/>
      <c r="AO27" s="10"/>
      <c r="AP27" s="10"/>
    </row>
    <row r="28" spans="1:42" s="11" customFormat="1" ht="15" customHeight="1" x14ac:dyDescent="0.25">
      <c r="A28" s="4"/>
      <c r="B28" s="9" t="s">
        <v>20</v>
      </c>
      <c r="C28" s="10">
        <v>42104440000</v>
      </c>
      <c r="D28" s="10">
        <v>42033601000</v>
      </c>
      <c r="E28" s="10">
        <v>38693194000</v>
      </c>
      <c r="F28" s="10">
        <v>34006624000</v>
      </c>
      <c r="G28" s="10">
        <v>29683733000</v>
      </c>
      <c r="H28" s="10">
        <v>27287256000</v>
      </c>
      <c r="I28" s="10">
        <v>24051224000</v>
      </c>
      <c r="J28" s="10">
        <v>21001186000</v>
      </c>
      <c r="K28" s="10">
        <v>18536781000</v>
      </c>
      <c r="L28" s="10">
        <v>17066583000</v>
      </c>
      <c r="M28" s="10">
        <v>15326660000</v>
      </c>
      <c r="N28" s="10">
        <v>14732047000</v>
      </c>
      <c r="O28" s="10">
        <v>14448057000</v>
      </c>
      <c r="P28" s="10">
        <v>14358988000</v>
      </c>
      <c r="Q28" s="10">
        <v>13505758000</v>
      </c>
      <c r="R28" s="10">
        <v>12459056000</v>
      </c>
      <c r="S28" s="10">
        <v>11352618000</v>
      </c>
      <c r="T28" s="10">
        <v>10276904000</v>
      </c>
      <c r="U28" s="10">
        <v>8772307000</v>
      </c>
      <c r="V28" s="10">
        <v>7677012000</v>
      </c>
      <c r="W28" s="10">
        <v>7003836000</v>
      </c>
      <c r="X28" s="10">
        <v>6201322000</v>
      </c>
      <c r="Y28" s="10">
        <v>5396824000</v>
      </c>
      <c r="Z28" s="10">
        <v>4438631000</v>
      </c>
      <c r="AA28" s="10">
        <v>3491844000</v>
      </c>
      <c r="AB28" s="10">
        <v>3313265000</v>
      </c>
      <c r="AC28" s="10">
        <v>3232602000</v>
      </c>
      <c r="AD28" s="10">
        <v>3230970000</v>
      </c>
      <c r="AE28" s="10">
        <v>3284131000</v>
      </c>
      <c r="AF28" s="10">
        <v>3555323000</v>
      </c>
      <c r="AG28" s="10">
        <v>3923160000</v>
      </c>
      <c r="AH28" s="10">
        <v>4484268000</v>
      </c>
      <c r="AI28" s="10">
        <v>4013194000</v>
      </c>
      <c r="AJ28" s="10">
        <v>3761299000</v>
      </c>
      <c r="AK28" s="10">
        <v>1005936494</v>
      </c>
      <c r="AL28" s="10"/>
      <c r="AM28" s="10"/>
      <c r="AN28" s="10"/>
      <c r="AO28" s="10"/>
      <c r="AP28" s="10"/>
    </row>
    <row r="29" spans="1:42" s="11" customFormat="1" ht="15" customHeight="1" x14ac:dyDescent="0.25">
      <c r="A29" s="4"/>
      <c r="B29" s="9" t="s">
        <v>21</v>
      </c>
      <c r="C29" s="10">
        <v>17965494000</v>
      </c>
      <c r="D29" s="10">
        <v>16806004000</v>
      </c>
      <c r="E29" s="10">
        <v>13888426000</v>
      </c>
      <c r="F29" s="10">
        <v>12479404000</v>
      </c>
      <c r="G29" s="10">
        <v>12746637000</v>
      </c>
      <c r="H29" s="10">
        <v>11597545000</v>
      </c>
      <c r="I29" s="10">
        <v>9825955000</v>
      </c>
      <c r="J29" s="10">
        <v>9737793000</v>
      </c>
      <c r="K29" s="10">
        <v>9150581000</v>
      </c>
      <c r="L29" s="10">
        <v>8192496000</v>
      </c>
      <c r="M29" s="10">
        <v>7162415000</v>
      </c>
      <c r="N29" s="10">
        <v>7628630000</v>
      </c>
      <c r="O29" s="10">
        <v>8332966000</v>
      </c>
      <c r="P29" s="10">
        <v>8290203000</v>
      </c>
      <c r="Q29" s="10">
        <v>8575813000</v>
      </c>
      <c r="R29" s="10">
        <v>8168152000</v>
      </c>
      <c r="S29" s="10">
        <v>8267177000</v>
      </c>
      <c r="T29" s="10">
        <v>8846975000</v>
      </c>
      <c r="U29" s="10">
        <v>7790940000</v>
      </c>
      <c r="V29" s="10">
        <v>7946721000</v>
      </c>
      <c r="W29" s="10">
        <v>8213363000</v>
      </c>
      <c r="X29" s="10">
        <v>7730439000</v>
      </c>
      <c r="Y29" s="10">
        <v>8223586000</v>
      </c>
      <c r="Z29" s="10">
        <v>9117705000</v>
      </c>
      <c r="AA29" s="10">
        <v>9014668000</v>
      </c>
      <c r="AB29" s="10">
        <v>8909251000</v>
      </c>
      <c r="AC29" s="10">
        <v>9435542000</v>
      </c>
      <c r="AD29" s="10">
        <v>9975570000</v>
      </c>
      <c r="AE29" s="10">
        <v>9366112000</v>
      </c>
      <c r="AF29" s="10">
        <v>9362877000</v>
      </c>
      <c r="AG29" s="10">
        <v>9775134000</v>
      </c>
      <c r="AH29" s="10">
        <v>8957209000</v>
      </c>
      <c r="AI29" s="10">
        <v>9276888000</v>
      </c>
      <c r="AJ29" s="10">
        <v>9504541000</v>
      </c>
      <c r="AK29" s="10">
        <v>10384254935</v>
      </c>
      <c r="AL29" s="10"/>
      <c r="AM29" s="10"/>
      <c r="AN29" s="10"/>
      <c r="AO29" s="10"/>
      <c r="AP29" s="10"/>
    </row>
    <row r="30" spans="1:42" s="11" customFormat="1" ht="15" customHeight="1" x14ac:dyDescent="0.25">
      <c r="A30" s="4"/>
      <c r="B30" s="9" t="s">
        <v>22</v>
      </c>
      <c r="C30" s="10">
        <v>1159490000</v>
      </c>
      <c r="D30" s="10">
        <v>2917578000</v>
      </c>
      <c r="E30" s="10">
        <v>1409022000</v>
      </c>
      <c r="F30" s="10">
        <v>-267233000</v>
      </c>
      <c r="G30" s="10">
        <v>1159490000</v>
      </c>
      <c r="H30" s="10">
        <v>2917578000</v>
      </c>
      <c r="I30" s="10">
        <v>88162000</v>
      </c>
      <c r="J30" s="10">
        <v>-267233000</v>
      </c>
      <c r="K30" s="10">
        <v>1149092000</v>
      </c>
      <c r="L30" s="10">
        <v>1771590000</v>
      </c>
      <c r="M30" s="10">
        <v>88162000</v>
      </c>
      <c r="N30" s="10">
        <v>587212000</v>
      </c>
      <c r="O30" s="10">
        <v>958085000</v>
      </c>
      <c r="P30" s="10">
        <v>1030081000</v>
      </c>
      <c r="Q30" s="10">
        <v>1030081000</v>
      </c>
      <c r="R30" s="10">
        <v>1030081000</v>
      </c>
      <c r="S30" s="10">
        <v>1030081000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s="11" customFormat="1" ht="15" customHeight="1" x14ac:dyDescent="0.25">
      <c r="A31" s="4"/>
      <c r="B31" s="9" t="s">
        <v>23</v>
      </c>
      <c r="C31" s="10">
        <v>1153848000</v>
      </c>
      <c r="D31" s="10"/>
      <c r="E31" s="10"/>
      <c r="F31" s="10"/>
      <c r="G31" s="10"/>
      <c r="H31" s="10"/>
      <c r="I31" s="10"/>
      <c r="J31" s="10">
        <v>100000</v>
      </c>
      <c r="K31" s="10">
        <v>189000</v>
      </c>
      <c r="L31" s="10">
        <v>288000</v>
      </c>
      <c r="M31" s="10">
        <v>435000</v>
      </c>
      <c r="N31" s="10">
        <v>564000</v>
      </c>
      <c r="O31" s="10">
        <v>624000</v>
      </c>
      <c r="P31" s="10">
        <v>683000</v>
      </c>
      <c r="Q31" s="10">
        <v>854000</v>
      </c>
      <c r="R31" s="10">
        <v>855000</v>
      </c>
      <c r="S31" s="10">
        <v>956000</v>
      </c>
      <c r="T31" s="10">
        <v>738000</v>
      </c>
      <c r="U31" s="10">
        <v>24831000</v>
      </c>
      <c r="V31" s="10">
        <v>212896000</v>
      </c>
      <c r="W31" s="10">
        <v>91534000</v>
      </c>
      <c r="X31" s="10">
        <v>109288000</v>
      </c>
      <c r="Y31" s="10">
        <v>47314000</v>
      </c>
      <c r="Z31" s="10">
        <v>51240000</v>
      </c>
      <c r="AA31" s="10">
        <v>44632000</v>
      </c>
      <c r="AB31" s="10">
        <v>18635000</v>
      </c>
      <c r="AC31" s="10">
        <v>11087000</v>
      </c>
      <c r="AD31" s="10">
        <v>14000000</v>
      </c>
      <c r="AE31" s="10">
        <v>81832000</v>
      </c>
      <c r="AF31" s="10">
        <v>46474000</v>
      </c>
      <c r="AG31" s="10">
        <v>58381000</v>
      </c>
      <c r="AH31" s="10">
        <v>88203000</v>
      </c>
      <c r="AI31" s="10">
        <v>121581000</v>
      </c>
      <c r="AJ31" s="10">
        <v>59768000</v>
      </c>
      <c r="AK31" s="10">
        <v>96198115</v>
      </c>
      <c r="AL31" s="10"/>
      <c r="AM31" s="10"/>
      <c r="AN31" s="10"/>
      <c r="AO31" s="10"/>
      <c r="AP31" s="10"/>
    </row>
    <row r="32" spans="1:42" s="11" customFormat="1" ht="15" customHeight="1" x14ac:dyDescent="0.25">
      <c r="A32" s="4"/>
      <c r="B32" s="9" t="s">
        <v>24</v>
      </c>
      <c r="C32" s="10"/>
      <c r="D32" s="10"/>
      <c r="E32" s="10"/>
      <c r="F32" s="10"/>
      <c r="G32" s="10"/>
      <c r="H32" s="10"/>
      <c r="I32" s="10"/>
      <c r="J32" s="10">
        <v>100000</v>
      </c>
      <c r="K32" s="10">
        <v>189000</v>
      </c>
      <c r="L32" s="10">
        <v>288000</v>
      </c>
      <c r="M32" s="10"/>
      <c r="N32" s="10">
        <v>564000</v>
      </c>
      <c r="O32" s="10">
        <v>624000</v>
      </c>
      <c r="P32" s="10">
        <v>683000</v>
      </c>
      <c r="Q32" s="10"/>
      <c r="R32" s="10">
        <v>855000</v>
      </c>
      <c r="S32" s="10">
        <v>956000</v>
      </c>
      <c r="T32" s="10">
        <v>738000</v>
      </c>
      <c r="U32" s="10">
        <v>24831000</v>
      </c>
      <c r="V32" s="10">
        <v>212896000</v>
      </c>
      <c r="W32" s="10">
        <v>91534000</v>
      </c>
      <c r="X32" s="10">
        <v>109288000</v>
      </c>
      <c r="Y32" s="10">
        <v>47314000</v>
      </c>
      <c r="Z32" s="10">
        <v>51240000</v>
      </c>
      <c r="AA32" s="10">
        <v>44632000</v>
      </c>
      <c r="AB32" s="10">
        <v>18635000</v>
      </c>
      <c r="AC32" s="10">
        <v>11087000</v>
      </c>
      <c r="AD32" s="10">
        <v>14000000</v>
      </c>
      <c r="AE32" s="10">
        <v>81832000</v>
      </c>
      <c r="AF32" s="10">
        <v>46474000</v>
      </c>
      <c r="AG32" s="10">
        <v>58381000</v>
      </c>
      <c r="AH32" s="10">
        <v>88203000</v>
      </c>
      <c r="AI32" s="10">
        <v>121581000</v>
      </c>
      <c r="AJ32" s="10">
        <v>59768000</v>
      </c>
      <c r="AK32" s="10">
        <v>33309115</v>
      </c>
      <c r="AL32" s="10"/>
      <c r="AM32" s="10"/>
      <c r="AN32" s="10"/>
      <c r="AO32" s="10"/>
      <c r="AP32" s="10"/>
    </row>
    <row r="33" spans="1:42" s="11" customFormat="1" ht="15" customHeight="1" x14ac:dyDescent="0.25">
      <c r="A33" s="4"/>
      <c r="B33" s="9" t="s">
        <v>25</v>
      </c>
      <c r="C33" s="10">
        <v>3537650000</v>
      </c>
      <c r="D33" s="10">
        <v>2747354000</v>
      </c>
      <c r="E33" s="10">
        <v>2420553000</v>
      </c>
      <c r="F33" s="10">
        <v>3280040000</v>
      </c>
      <c r="G33" s="10">
        <v>3343293000</v>
      </c>
      <c r="H33" s="10">
        <v>2273019000</v>
      </c>
      <c r="I33" s="10">
        <v>2466932000</v>
      </c>
      <c r="J33" s="10">
        <v>2534132000</v>
      </c>
      <c r="K33" s="10">
        <v>2200378000</v>
      </c>
      <c r="L33" s="10">
        <v>2095737000</v>
      </c>
      <c r="M33" s="10">
        <v>1936416000</v>
      </c>
      <c r="N33" s="10">
        <v>2092149000</v>
      </c>
      <c r="O33" s="10">
        <v>3554149000</v>
      </c>
      <c r="P33" s="10">
        <v>1659951000</v>
      </c>
      <c r="Q33" s="10">
        <v>2109905000</v>
      </c>
      <c r="R33" s="10">
        <v>2997889000</v>
      </c>
      <c r="S33" s="10">
        <v>2746106000</v>
      </c>
      <c r="T33" s="10">
        <v>1996937000</v>
      </c>
      <c r="U33" s="10">
        <v>2001156000</v>
      </c>
      <c r="V33" s="10">
        <v>1571455000</v>
      </c>
      <c r="W33" s="10">
        <v>1992748000</v>
      </c>
      <c r="X33" s="10">
        <v>1868162000</v>
      </c>
      <c r="Y33" s="10">
        <v>2587034000</v>
      </c>
      <c r="Z33" s="10">
        <v>2880668000</v>
      </c>
      <c r="AA33" s="10">
        <v>3153573000</v>
      </c>
      <c r="AB33" s="10">
        <v>3322416000</v>
      </c>
      <c r="AC33" s="10">
        <v>3338377000</v>
      </c>
      <c r="AD33" s="10">
        <v>3201301000</v>
      </c>
      <c r="AE33" s="10">
        <v>2569761000</v>
      </c>
      <c r="AF33" s="10">
        <v>2898982000</v>
      </c>
      <c r="AG33" s="10">
        <v>3011092000</v>
      </c>
      <c r="AH33" s="10">
        <v>2142449000</v>
      </c>
      <c r="AI33" s="10">
        <v>2538750000</v>
      </c>
      <c r="AJ33" s="10">
        <v>2283665000</v>
      </c>
      <c r="AK33" s="10">
        <v>3570599152</v>
      </c>
      <c r="AL33" s="10"/>
      <c r="AM33" s="10"/>
      <c r="AN33" s="10"/>
      <c r="AO33" s="10"/>
      <c r="AP33" s="10"/>
    </row>
    <row r="34" spans="1:42" s="11" customFormat="1" ht="15" customHeight="1" x14ac:dyDescent="0.25">
      <c r="A34" s="4"/>
      <c r="B34" s="9" t="s">
        <v>26</v>
      </c>
      <c r="C34" s="10">
        <v>1506366000</v>
      </c>
      <c r="D34" s="10">
        <v>1506068000</v>
      </c>
      <c r="E34" s="10">
        <v>1505770000</v>
      </c>
      <c r="F34" s="10">
        <v>1166912000</v>
      </c>
      <c r="G34" s="10"/>
      <c r="H34" s="10">
        <v>1317157000</v>
      </c>
      <c r="I34" s="10">
        <v>1386757000</v>
      </c>
      <c r="J34" s="10">
        <v>1386447000</v>
      </c>
      <c r="K34" s="10">
        <v>1465935000</v>
      </c>
      <c r="L34" s="10">
        <v>1535381000</v>
      </c>
      <c r="M34" s="10">
        <v>1534980000</v>
      </c>
      <c r="N34" s="10">
        <v>1734349000</v>
      </c>
      <c r="O34" s="10"/>
      <c r="P34" s="10">
        <v>1293220000</v>
      </c>
      <c r="Q34" s="10">
        <v>1116049000</v>
      </c>
      <c r="R34" s="10">
        <v>760316000</v>
      </c>
      <c r="S34" s="10"/>
      <c r="T34" s="10">
        <v>1156967000</v>
      </c>
      <c r="U34" s="10">
        <v>1151849000</v>
      </c>
      <c r="V34" s="10">
        <v>1147971000</v>
      </c>
      <c r="W34" s="10">
        <v>1763072000</v>
      </c>
      <c r="X34" s="10">
        <v>1983180000</v>
      </c>
      <c r="Y34" s="10">
        <v>1955857000</v>
      </c>
      <c r="Z34" s="10">
        <v>1992245000</v>
      </c>
      <c r="AA34" s="10">
        <v>1455415000</v>
      </c>
      <c r="AB34" s="10">
        <v>1457110000</v>
      </c>
      <c r="AC34" s="10">
        <v>1455380000</v>
      </c>
      <c r="AD34" s="10">
        <v>2040125000</v>
      </c>
      <c r="AE34" s="10">
        <v>2458812000</v>
      </c>
      <c r="AF34" s="10">
        <v>2463215000</v>
      </c>
      <c r="AG34" s="10">
        <v>2576480000</v>
      </c>
      <c r="AH34" s="10">
        <v>2101121000</v>
      </c>
      <c r="AI34" s="10">
        <v>1877179000</v>
      </c>
      <c r="AJ34" s="10">
        <v>1704706000</v>
      </c>
      <c r="AK34" s="10">
        <v>1931176000</v>
      </c>
      <c r="AL34" s="10"/>
      <c r="AM34" s="10"/>
      <c r="AN34" s="10"/>
      <c r="AO34" s="10"/>
      <c r="AP34" s="10"/>
    </row>
    <row r="35" spans="1:42" s="11" customFormat="1" ht="15" customHeight="1" x14ac:dyDescent="0.25">
      <c r="A35" s="4"/>
      <c r="B35" s="9" t="s">
        <v>27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s="11" customFormat="1" ht="15" customHeight="1" x14ac:dyDescent="0.25">
      <c r="A36" s="4"/>
      <c r="B36" s="9" t="s">
        <v>28</v>
      </c>
      <c r="C36" s="10">
        <v>3115000</v>
      </c>
      <c r="D36" s="10">
        <v>9873000</v>
      </c>
      <c r="E36" s="10">
        <v>43152000</v>
      </c>
      <c r="F36" s="10">
        <v>3611000</v>
      </c>
      <c r="G36" s="10">
        <v>63540000</v>
      </c>
      <c r="H36" s="10">
        <v>43939000</v>
      </c>
      <c r="I36" s="10">
        <v>66622000</v>
      </c>
      <c r="J36" s="10">
        <v>50872000</v>
      </c>
      <c r="K36" s="10">
        <v>59082000</v>
      </c>
      <c r="L36" s="10">
        <v>42822000</v>
      </c>
      <c r="M36" s="10">
        <v>33425000</v>
      </c>
      <c r="N36" s="10">
        <v>29047000</v>
      </c>
      <c r="O36" s="10">
        <v>27851000</v>
      </c>
      <c r="P36" s="10">
        <v>25276000</v>
      </c>
      <c r="Q36" s="10">
        <v>31520000</v>
      </c>
      <c r="R36" s="10">
        <v>30714000</v>
      </c>
      <c r="S36" s="10">
        <v>26637000</v>
      </c>
      <c r="T36" s="10">
        <v>25932000</v>
      </c>
      <c r="U36" s="10">
        <v>23582000</v>
      </c>
      <c r="V36" s="10">
        <v>25056000</v>
      </c>
      <c r="W36" s="10">
        <v>46926000</v>
      </c>
      <c r="X36" s="10">
        <v>52584000</v>
      </c>
      <c r="Y36" s="10">
        <v>97067000</v>
      </c>
      <c r="Z36" s="10">
        <v>42582000</v>
      </c>
      <c r="AA36" s="10">
        <v>346985000</v>
      </c>
      <c r="AB36" s="10">
        <v>330615000</v>
      </c>
      <c r="AC36" s="10">
        <v>382118000</v>
      </c>
      <c r="AD36" s="10">
        <v>414184000</v>
      </c>
      <c r="AE36" s="10">
        <v>380702000</v>
      </c>
      <c r="AF36" s="10">
        <v>353467000</v>
      </c>
      <c r="AG36" s="10">
        <v>412102000</v>
      </c>
      <c r="AH36" s="10">
        <v>367666000</v>
      </c>
      <c r="AI36" s="10">
        <v>487875000</v>
      </c>
      <c r="AJ36" s="10">
        <v>532123000</v>
      </c>
      <c r="AK36" s="10"/>
      <c r="AL36" s="10"/>
      <c r="AM36" s="10"/>
      <c r="AN36" s="10"/>
      <c r="AO36" s="10"/>
      <c r="AP36" s="10"/>
    </row>
    <row r="37" spans="1:42" s="11" customFormat="1" ht="15" customHeight="1" x14ac:dyDescent="0.25">
      <c r="A37" s="4"/>
      <c r="B37" s="9" t="s">
        <v>29</v>
      </c>
      <c r="C37" s="10">
        <v>2906381000</v>
      </c>
      <c r="D37" s="10">
        <v>4555670000</v>
      </c>
      <c r="E37" s="10">
        <v>3377828000</v>
      </c>
      <c r="F37" s="10">
        <v>2751896000</v>
      </c>
      <c r="G37" s="10">
        <v>2508545000</v>
      </c>
      <c r="H37" s="10">
        <v>2385876000</v>
      </c>
      <c r="I37" s="10">
        <v>1620360000</v>
      </c>
      <c r="J37" s="10">
        <v>1054780000</v>
      </c>
      <c r="K37" s="10">
        <v>685800000</v>
      </c>
      <c r="L37" s="10">
        <v>374666000</v>
      </c>
      <c r="M37" s="10">
        <v>81437000</v>
      </c>
      <c r="N37" s="10">
        <v>237084000</v>
      </c>
      <c r="O37" s="10">
        <v>476896000</v>
      </c>
      <c r="P37" s="10">
        <v>627260000</v>
      </c>
      <c r="Q37" s="10">
        <v>466194000</v>
      </c>
      <c r="R37" s="10">
        <v>565970000</v>
      </c>
      <c r="S37" s="10">
        <v>671356000</v>
      </c>
      <c r="T37" s="10">
        <v>583529000</v>
      </c>
      <c r="U37" s="10">
        <v>262846000</v>
      </c>
      <c r="V37" s="10">
        <v>362752000</v>
      </c>
      <c r="W37" s="10">
        <v>175607000</v>
      </c>
      <c r="X37" s="10">
        <v>12084000</v>
      </c>
      <c r="Y37" s="10">
        <v>7426000</v>
      </c>
      <c r="Z37" s="10">
        <v>10541000</v>
      </c>
      <c r="AA37" s="10">
        <v>21509000</v>
      </c>
      <c r="AB37" s="10">
        <v>13368000</v>
      </c>
      <c r="AC37" s="10">
        <v>9109000</v>
      </c>
      <c r="AD37" s="10">
        <v>13347000</v>
      </c>
      <c r="AE37" s="10">
        <v>9868000</v>
      </c>
      <c r="AF37" s="10">
        <v>11170000</v>
      </c>
      <c r="AG37" s="10">
        <v>16155000</v>
      </c>
      <c r="AH37" s="10">
        <v>4969000</v>
      </c>
      <c r="AI37" s="10">
        <v>14106000</v>
      </c>
      <c r="AJ37" s="10">
        <v>8588000</v>
      </c>
      <c r="AK37" s="10">
        <v>4417663</v>
      </c>
      <c r="AL37" s="10"/>
      <c r="AM37" s="10"/>
      <c r="AN37" s="10"/>
      <c r="AO37" s="10"/>
      <c r="AP37" s="10"/>
    </row>
    <row r="38" spans="1:42" s="11" customFormat="1" ht="15" customHeight="1" x14ac:dyDescent="0.25">
      <c r="A38" s="4"/>
      <c r="B38" s="9" t="s">
        <v>30</v>
      </c>
      <c r="C38" s="10">
        <v>139763000</v>
      </c>
      <c r="D38" s="10">
        <v>79790000</v>
      </c>
      <c r="E38" s="10">
        <v>214321000</v>
      </c>
      <c r="F38" s="10">
        <v>164582000</v>
      </c>
      <c r="G38" s="10">
        <v>114089000</v>
      </c>
      <c r="H38" s="10">
        <v>70056000</v>
      </c>
      <c r="I38" s="10">
        <v>504147000</v>
      </c>
      <c r="J38" s="10">
        <v>452266000</v>
      </c>
      <c r="K38" s="10">
        <v>416061000</v>
      </c>
      <c r="L38" s="10">
        <v>368371000</v>
      </c>
      <c r="M38" s="10">
        <v>670875000</v>
      </c>
      <c r="N38" s="10">
        <v>632332000</v>
      </c>
      <c r="O38" s="10">
        <v>589647000</v>
      </c>
      <c r="P38" s="10">
        <v>546126000</v>
      </c>
      <c r="Q38" s="10">
        <v>644100000</v>
      </c>
      <c r="R38" s="10">
        <v>605301000</v>
      </c>
      <c r="S38" s="10">
        <v>566263000</v>
      </c>
      <c r="T38" s="10">
        <v>524814000</v>
      </c>
      <c r="U38" s="10">
        <v>778304000</v>
      </c>
      <c r="V38" s="10">
        <v>748543000</v>
      </c>
      <c r="W38" s="10">
        <v>716230000</v>
      </c>
      <c r="X38" s="10">
        <v>687020000</v>
      </c>
      <c r="Y38" s="10">
        <v>689263000</v>
      </c>
      <c r="Z38" s="10">
        <v>661563000</v>
      </c>
      <c r="AA38" s="10">
        <v>633883000</v>
      </c>
      <c r="AB38" s="10">
        <v>615431000</v>
      </c>
      <c r="AC38" s="10">
        <v>511563000</v>
      </c>
      <c r="AD38" s="10">
        <v>503486000</v>
      </c>
      <c r="AE38" s="10">
        <v>505914000</v>
      </c>
      <c r="AF38" s="10">
        <v>493268000</v>
      </c>
      <c r="AG38" s="10">
        <v>423553000</v>
      </c>
      <c r="AH38" s="10">
        <v>412257000</v>
      </c>
      <c r="AI38" s="10">
        <v>396051000</v>
      </c>
      <c r="AJ38" s="10">
        <v>386369000</v>
      </c>
      <c r="AK38" s="10">
        <v>351844804</v>
      </c>
      <c r="AL38" s="10"/>
      <c r="AM38" s="10"/>
      <c r="AN38" s="10"/>
      <c r="AO38" s="10"/>
      <c r="AP38" s="10"/>
    </row>
    <row r="39" spans="1:42" s="11" customFormat="1" ht="15" customHeight="1" x14ac:dyDescent="0.25">
      <c r="A39" s="4"/>
      <c r="B39" s="9" t="s">
        <v>31</v>
      </c>
      <c r="C39" s="10">
        <v>16797000</v>
      </c>
      <c r="D39" s="10">
        <v>21559000</v>
      </c>
      <c r="E39" s="10">
        <v>97627000</v>
      </c>
      <c r="F39" s="10">
        <v>114333000</v>
      </c>
      <c r="G39" s="10">
        <v>66223000</v>
      </c>
      <c r="H39" s="10">
        <v>15825000</v>
      </c>
      <c r="I39" s="10">
        <v>10864000</v>
      </c>
      <c r="J39" s="10">
        <v>9037000</v>
      </c>
      <c r="K39" s="10">
        <v>9354000</v>
      </c>
      <c r="L39" s="10">
        <v>6337000</v>
      </c>
      <c r="M39" s="10">
        <v>7472000</v>
      </c>
      <c r="N39" s="10">
        <v>6832000</v>
      </c>
      <c r="O39" s="10">
        <v>5693000</v>
      </c>
      <c r="P39" s="10">
        <v>7249000</v>
      </c>
      <c r="Q39" s="10">
        <v>5712000</v>
      </c>
      <c r="R39" s="10">
        <v>2453000</v>
      </c>
      <c r="S39" s="10">
        <v>2119000</v>
      </c>
      <c r="T39" s="10">
        <v>3167000</v>
      </c>
      <c r="U39" s="10">
        <v>5447000</v>
      </c>
      <c r="V39" s="10">
        <v>3209000</v>
      </c>
      <c r="W39" s="10">
        <v>4275000</v>
      </c>
      <c r="X39" s="10">
        <v>5284000</v>
      </c>
      <c r="Y39" s="10">
        <v>8615000</v>
      </c>
      <c r="Z39" s="10">
        <v>9033000</v>
      </c>
      <c r="AA39" s="10">
        <v>11756000</v>
      </c>
      <c r="AB39" s="10">
        <v>5197000</v>
      </c>
      <c r="AC39" s="10">
        <v>17845000</v>
      </c>
      <c r="AD39" s="10">
        <v>18701000</v>
      </c>
      <c r="AE39" s="10">
        <v>40070000</v>
      </c>
      <c r="AF39" s="10">
        <v>18956000</v>
      </c>
      <c r="AG39" s="10">
        <v>67593000</v>
      </c>
      <c r="AH39" s="10">
        <v>95592000</v>
      </c>
      <c r="AI39" s="10">
        <v>156472000</v>
      </c>
      <c r="AJ39" s="10">
        <v>293134000</v>
      </c>
      <c r="AK39" s="10">
        <v>559123552</v>
      </c>
      <c r="AL39" s="10"/>
      <c r="AM39" s="10"/>
      <c r="AN39" s="10"/>
      <c r="AO39" s="10"/>
      <c r="AP39" s="10"/>
    </row>
    <row r="40" spans="1:42" s="11" customFormat="1" ht="15" customHeight="1" x14ac:dyDescent="0.25">
      <c r="A40" s="4"/>
      <c r="B40" s="9" t="s">
        <v>32</v>
      </c>
      <c r="C40" s="10">
        <v>6224000</v>
      </c>
      <c r="D40" s="10">
        <v>6597000</v>
      </c>
      <c r="E40" s="10">
        <v>2229000</v>
      </c>
      <c r="F40" s="10">
        <v>2548000</v>
      </c>
      <c r="G40" s="10">
        <v>2708000</v>
      </c>
      <c r="H40" s="10">
        <v>5554000</v>
      </c>
      <c r="I40" s="10">
        <v>5156000</v>
      </c>
      <c r="J40" s="10">
        <v>3806000</v>
      </c>
      <c r="K40" s="10">
        <v>4034000</v>
      </c>
      <c r="L40" s="10">
        <v>4732000</v>
      </c>
      <c r="M40" s="10">
        <v>5146000</v>
      </c>
      <c r="N40" s="10">
        <v>6110000</v>
      </c>
      <c r="O40" s="10">
        <v>6946000</v>
      </c>
      <c r="P40" s="10">
        <v>7582000</v>
      </c>
      <c r="Q40" s="10">
        <v>2754000</v>
      </c>
      <c r="R40" s="10">
        <v>1915000</v>
      </c>
      <c r="S40" s="10">
        <v>2212000</v>
      </c>
      <c r="T40" s="10">
        <v>3463000</v>
      </c>
      <c r="U40" s="10">
        <v>2784000</v>
      </c>
      <c r="V40" s="10">
        <v>3009000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s="11" customFormat="1" ht="15" customHeight="1" x14ac:dyDescent="0.25">
      <c r="A41" s="4"/>
      <c r="B41" s="9" t="s">
        <v>33</v>
      </c>
      <c r="C41" s="10">
        <v>-373000</v>
      </c>
      <c r="D41" s="10">
        <v>4368000</v>
      </c>
      <c r="E41" s="10">
        <v>-319000</v>
      </c>
      <c r="F41" s="10">
        <v>-160000</v>
      </c>
      <c r="G41" s="10">
        <v>-373000</v>
      </c>
      <c r="H41" s="10">
        <v>4368000</v>
      </c>
      <c r="I41" s="10">
        <v>1350000</v>
      </c>
      <c r="J41" s="10">
        <v>-160000</v>
      </c>
      <c r="K41" s="10">
        <v>-2846000</v>
      </c>
      <c r="L41" s="10">
        <v>398000</v>
      </c>
      <c r="M41" s="10">
        <v>1350000</v>
      </c>
      <c r="N41" s="10">
        <v>-228000</v>
      </c>
      <c r="O41" s="10">
        <v>-698000</v>
      </c>
      <c r="P41" s="10">
        <v>-414000</v>
      </c>
      <c r="Q41" s="10">
        <v>-414000</v>
      </c>
      <c r="R41" s="10">
        <v>-414000</v>
      </c>
      <c r="S41" s="10">
        <v>-414000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3.5" customHeight="1" x14ac:dyDescent="0.25">
      <c r="A42" s="4"/>
    </row>
    <row r="43" spans="1:42" ht="13.5" customHeight="1" x14ac:dyDescent="0.25">
      <c r="A43" s="4"/>
    </row>
    <row r="44" spans="1:42" ht="13.5" customHeight="1" x14ac:dyDescent="0.25">
      <c r="A44" s="4"/>
    </row>
  </sheetData>
  <phoneticPr fontId="2" type="noConversion"/>
  <dataValidations count="3">
    <dataValidation type="list" allowBlank="1" showInputMessage="1" showErrorMessage="1" sqref="I2">
      <formula1>$K$2:$K$3</formula1>
    </dataValidation>
    <dataValidation type="list" allowBlank="1" showInputMessage="1" showErrorMessage="1" sqref="I3">
      <formula1>$L$2:$L$3</formula1>
    </dataValidation>
    <dataValidation type="list" allowBlank="1" showInputMessage="1" showErrorMessage="1" sqref="I4">
      <formula1>$M$2:$M$6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41"/>
  <sheetViews>
    <sheetView showGridLines="0" workbookViewId="0"/>
  </sheetViews>
  <sheetFormatPr defaultRowHeight="13.5" x14ac:dyDescent="0.25"/>
  <cols>
    <col min="1" max="1" width="1.7109375" style="3" customWidth="1"/>
    <col min="2" max="2" width="32.7109375" customWidth="1"/>
    <col min="3" max="3" width="18.140625" style="2" customWidth="1"/>
    <col min="4" max="21" width="17.28515625" style="2" bestFit="1" customWidth="1"/>
    <col min="22" max="42" width="16.28515625" style="2" bestFit="1" customWidth="1"/>
    <col min="43" max="3600" width="12.5703125" bestFit="1" customWidth="1"/>
  </cols>
  <sheetData>
    <row r="1" spans="1:42" ht="15" customHeight="1" x14ac:dyDescent="0.25"/>
    <row r="2" spans="1:42" ht="15" customHeight="1" x14ac:dyDescent="0.25">
      <c r="B2" s="30" t="s">
        <v>127</v>
      </c>
      <c r="C2" s="16" t="str">
        <f>재무상태표!C2</f>
        <v>000660</v>
      </c>
      <c r="E2" s="30" t="s">
        <v>34</v>
      </c>
      <c r="F2" s="19">
        <f ca="1">재무상태표!F2</f>
        <v>39970</v>
      </c>
      <c r="H2" s="30" t="s">
        <v>36</v>
      </c>
      <c r="I2" s="16" t="str">
        <f>재무상태표!I2</f>
        <v>연결</v>
      </c>
    </row>
    <row r="3" spans="1:42" ht="15" customHeight="1" x14ac:dyDescent="0.25">
      <c r="B3" s="30" t="s">
        <v>128</v>
      </c>
      <c r="C3" s="17" t="str">
        <f>재무상태표!C3</f>
        <v>SK하이닉스</v>
      </c>
      <c r="E3" s="30" t="s">
        <v>35</v>
      </c>
      <c r="F3" s="20">
        <f ca="1">재무상태표!F3</f>
        <v>43616</v>
      </c>
      <c r="H3" s="30" t="s">
        <v>37</v>
      </c>
      <c r="I3" s="22" t="str">
        <f>재무상태표!I3</f>
        <v>누적</v>
      </c>
    </row>
    <row r="4" spans="1:42" ht="15" customHeight="1" x14ac:dyDescent="0.25">
      <c r="C4" s="1"/>
      <c r="E4"/>
      <c r="F4"/>
      <c r="H4" s="30" t="s">
        <v>39</v>
      </c>
      <c r="I4" s="21" t="str">
        <f>재무상태표!I4</f>
        <v>연속</v>
      </c>
    </row>
    <row r="5" spans="1:42" ht="15" customHeight="1" x14ac:dyDescent="0.25">
      <c r="C5" s="1"/>
    </row>
    <row r="6" spans="1:42" ht="15" customHeight="1" x14ac:dyDescent="0.25"/>
    <row r="7" spans="1:42" ht="15" customHeight="1" x14ac:dyDescent="0.25">
      <c r="A7" s="4"/>
      <c r="B7" s="31" t="str">
        <f ca="1">_xll.IMDH("STK",$C$2,B8:B39,$F$2,$F$3,9999,"Per=일,sort=D,real=true,Bizday=0,Quote=종가,Pos=11,Orient=H,Cons="&amp;$I$2&amp;",Comp="&amp;$I$3&amp;",Trai="&amp;I4&amp;",Title="&amp;$C$3&amp;",DtFmt=1,TmFmt=1,unit=true")</f>
        <v>SK하이닉스</v>
      </c>
    </row>
    <row r="8" spans="1:42" s="7" customFormat="1" ht="15" customHeight="1" x14ac:dyDescent="0.25">
      <c r="A8" s="4"/>
      <c r="B8" s="7" t="s">
        <v>38</v>
      </c>
      <c r="C8" s="8">
        <v>43555</v>
      </c>
      <c r="D8" s="8">
        <v>43465</v>
      </c>
      <c r="E8" s="8">
        <v>43373</v>
      </c>
      <c r="F8" s="8">
        <v>43281</v>
      </c>
      <c r="G8" s="8">
        <v>43190</v>
      </c>
      <c r="H8" s="8">
        <v>43100</v>
      </c>
      <c r="I8" s="8">
        <v>43008</v>
      </c>
      <c r="J8" s="8">
        <v>42916</v>
      </c>
      <c r="K8" s="8">
        <v>42825</v>
      </c>
      <c r="L8" s="8">
        <v>42735</v>
      </c>
      <c r="M8" s="8">
        <v>42643</v>
      </c>
      <c r="N8" s="8">
        <v>42551</v>
      </c>
      <c r="O8" s="8">
        <v>42460</v>
      </c>
      <c r="P8" s="8">
        <v>42369</v>
      </c>
      <c r="Q8" s="8">
        <v>42277</v>
      </c>
      <c r="R8" s="8">
        <v>42185</v>
      </c>
      <c r="S8" s="8">
        <v>42094</v>
      </c>
      <c r="T8" s="8">
        <v>42004</v>
      </c>
      <c r="U8" s="8">
        <v>41912</v>
      </c>
      <c r="V8" s="8">
        <v>41820</v>
      </c>
      <c r="W8" s="8">
        <v>41729</v>
      </c>
      <c r="X8" s="8">
        <v>41639</v>
      </c>
      <c r="Y8" s="8">
        <v>41547</v>
      </c>
      <c r="Z8" s="8">
        <v>41455</v>
      </c>
      <c r="AA8" s="8">
        <v>41364</v>
      </c>
      <c r="AB8" s="8">
        <v>41274</v>
      </c>
      <c r="AC8" s="8">
        <v>41182</v>
      </c>
      <c r="AD8" s="8">
        <v>41090</v>
      </c>
      <c r="AE8" s="8">
        <v>40999</v>
      </c>
      <c r="AF8" s="8">
        <v>40908</v>
      </c>
      <c r="AG8" s="8">
        <v>40816</v>
      </c>
      <c r="AH8" s="8">
        <v>40724</v>
      </c>
      <c r="AI8" s="8">
        <v>40633</v>
      </c>
      <c r="AJ8" s="8">
        <v>40543</v>
      </c>
      <c r="AK8" s="8">
        <v>40451</v>
      </c>
      <c r="AL8" s="8">
        <v>40359</v>
      </c>
      <c r="AM8" s="8">
        <v>40268</v>
      </c>
      <c r="AN8" s="8">
        <v>40178</v>
      </c>
      <c r="AO8" s="8"/>
      <c r="AP8" s="8"/>
    </row>
    <row r="9" spans="1:42" s="14" customFormat="1" ht="15" customHeight="1" x14ac:dyDescent="0.25">
      <c r="A9" s="4"/>
      <c r="B9" s="12" t="s">
        <v>40</v>
      </c>
      <c r="C9" s="13">
        <v>6772655000</v>
      </c>
      <c r="D9" s="13">
        <v>40445066000</v>
      </c>
      <c r="E9" s="13">
        <v>30506985000</v>
      </c>
      <c r="F9" s="13">
        <v>19090197000</v>
      </c>
      <c r="G9" s="13">
        <v>8719691000</v>
      </c>
      <c r="H9" s="13">
        <v>30109434000</v>
      </c>
      <c r="I9" s="13">
        <v>21081881000</v>
      </c>
      <c r="J9" s="13">
        <v>12981796000</v>
      </c>
      <c r="K9" s="13">
        <v>6289518000</v>
      </c>
      <c r="L9" s="13">
        <v>17197975000</v>
      </c>
      <c r="M9" s="13">
        <v>11840289000</v>
      </c>
      <c r="N9" s="13">
        <v>7596644000</v>
      </c>
      <c r="O9" s="13">
        <v>3655717000</v>
      </c>
      <c r="P9" s="13">
        <v>18797998000</v>
      </c>
      <c r="Q9" s="13">
        <v>14381954000</v>
      </c>
      <c r="R9" s="13">
        <v>9456920000</v>
      </c>
      <c r="S9" s="13">
        <v>4818341000</v>
      </c>
      <c r="T9" s="13">
        <v>17125566000</v>
      </c>
      <c r="U9" s="13">
        <v>11977634000</v>
      </c>
      <c r="V9" s="13">
        <v>7665565000</v>
      </c>
      <c r="W9" s="13">
        <v>3742690000</v>
      </c>
      <c r="X9" s="13">
        <v>14165102000</v>
      </c>
      <c r="Y9" s="13">
        <v>10797415000</v>
      </c>
      <c r="Z9" s="13">
        <v>6713794000</v>
      </c>
      <c r="AA9" s="13">
        <v>2781147000</v>
      </c>
      <c r="AB9" s="13">
        <v>10162210000</v>
      </c>
      <c r="AC9" s="13">
        <v>7443823000</v>
      </c>
      <c r="AD9" s="13">
        <v>5020341000</v>
      </c>
      <c r="AE9" s="13">
        <v>2388389000</v>
      </c>
      <c r="AF9" s="13">
        <v>10395811000</v>
      </c>
      <c r="AG9" s="13">
        <v>7842652000</v>
      </c>
      <c r="AH9" s="13">
        <v>5551547000</v>
      </c>
      <c r="AI9" s="13">
        <v>2793185000</v>
      </c>
      <c r="AJ9" s="13">
        <v>12106090000</v>
      </c>
      <c r="AK9" s="13">
        <v>9355422000</v>
      </c>
      <c r="AL9" s="13">
        <v>6103829000</v>
      </c>
      <c r="AM9" s="13">
        <v>2823913000</v>
      </c>
      <c r="AN9" s="13">
        <v>7906350018</v>
      </c>
      <c r="AO9" s="13"/>
      <c r="AP9" s="13"/>
    </row>
    <row r="10" spans="1:42" s="11" customFormat="1" ht="15" customHeight="1" x14ac:dyDescent="0.25">
      <c r="A10" s="4"/>
      <c r="B10" s="9" t="s">
        <v>41</v>
      </c>
      <c r="C10" s="10">
        <v>4092455000</v>
      </c>
      <c r="D10" s="10">
        <v>15180838000</v>
      </c>
      <c r="E10" s="10">
        <v>11017081000</v>
      </c>
      <c r="F10" s="10">
        <v>7145457000</v>
      </c>
      <c r="G10" s="10">
        <v>3383214000</v>
      </c>
      <c r="H10" s="10">
        <v>12701843000</v>
      </c>
      <c r="I10" s="10">
        <v>9241783000</v>
      </c>
      <c r="J10" s="10">
        <v>5843626000</v>
      </c>
      <c r="K10" s="10">
        <v>2984822000</v>
      </c>
      <c r="L10" s="10">
        <v>10787139000</v>
      </c>
      <c r="M10" s="10">
        <v>7819077000</v>
      </c>
      <c r="N10" s="10">
        <v>5026789000</v>
      </c>
      <c r="O10" s="10">
        <v>2337672000</v>
      </c>
      <c r="P10" s="10">
        <v>10515353000</v>
      </c>
      <c r="Q10" s="10">
        <v>7848686000</v>
      </c>
      <c r="R10" s="10">
        <v>5052677000</v>
      </c>
      <c r="S10" s="10">
        <v>2529949000</v>
      </c>
      <c r="T10" s="10">
        <v>9461725000</v>
      </c>
      <c r="U10" s="10">
        <v>6733182000</v>
      </c>
      <c r="V10" s="10">
        <v>4356467000</v>
      </c>
      <c r="W10" s="10">
        <v>2110422000</v>
      </c>
      <c r="X10" s="10">
        <v>8864587000</v>
      </c>
      <c r="Y10" s="10">
        <v>6848384000</v>
      </c>
      <c r="Z10" s="10">
        <v>4469109000</v>
      </c>
      <c r="AA10" s="10">
        <v>2018229000</v>
      </c>
      <c r="AB10" s="10">
        <v>8550989000</v>
      </c>
      <c r="AC10" s="10">
        <v>6347051000</v>
      </c>
      <c r="AD10" s="10">
        <v>4332796000</v>
      </c>
      <c r="AE10" s="10">
        <v>2178386000</v>
      </c>
      <c r="AF10" s="10">
        <v>8704921000</v>
      </c>
      <c r="AG10" s="10">
        <v>6422073000</v>
      </c>
      <c r="AH10" s="10">
        <v>4239394000</v>
      </c>
      <c r="AI10" s="10">
        <v>2112379000</v>
      </c>
      <c r="AJ10" s="10">
        <v>7643517000</v>
      </c>
      <c r="AK10" s="10">
        <v>5544659000</v>
      </c>
      <c r="AL10" s="10">
        <v>3606564000</v>
      </c>
      <c r="AM10" s="10">
        <v>1708758000</v>
      </c>
      <c r="AN10" s="10">
        <v>6279821110</v>
      </c>
      <c r="AO10" s="10"/>
      <c r="AP10" s="10"/>
    </row>
    <row r="11" spans="1:42" s="11" customFormat="1" ht="15" customHeight="1" x14ac:dyDescent="0.25">
      <c r="A11" s="4"/>
      <c r="B11" s="9" t="s">
        <v>42</v>
      </c>
      <c r="C11" s="10">
        <v>2680200000</v>
      </c>
      <c r="D11" s="10">
        <v>25264228000</v>
      </c>
      <c r="E11" s="10">
        <v>19489904000</v>
      </c>
      <c r="F11" s="10">
        <v>11944740000</v>
      </c>
      <c r="G11" s="10">
        <v>5336477000</v>
      </c>
      <c r="H11" s="10">
        <v>17407591000</v>
      </c>
      <c r="I11" s="10">
        <v>11840098000</v>
      </c>
      <c r="J11" s="10">
        <v>7138170000</v>
      </c>
      <c r="K11" s="10">
        <v>3304696000</v>
      </c>
      <c r="L11" s="10">
        <v>6410836000</v>
      </c>
      <c r="M11" s="10">
        <v>4021212000</v>
      </c>
      <c r="N11" s="10">
        <v>2569855000</v>
      </c>
      <c r="O11" s="10">
        <v>1318045000</v>
      </c>
      <c r="P11" s="10">
        <v>8282645000</v>
      </c>
      <c r="Q11" s="10">
        <v>6533268000</v>
      </c>
      <c r="R11" s="10">
        <v>4404243000</v>
      </c>
      <c r="S11" s="10">
        <v>2288392000</v>
      </c>
      <c r="T11" s="10">
        <v>7663841000</v>
      </c>
      <c r="U11" s="10">
        <v>5244452000</v>
      </c>
      <c r="V11" s="10">
        <v>3309098000</v>
      </c>
      <c r="W11" s="10">
        <v>1632268000</v>
      </c>
      <c r="X11" s="10">
        <v>5300515000</v>
      </c>
      <c r="Y11" s="10">
        <v>3949031000</v>
      </c>
      <c r="Z11" s="10">
        <v>2244685000</v>
      </c>
      <c r="AA11" s="10">
        <v>762918000</v>
      </c>
      <c r="AB11" s="10">
        <v>1611221000</v>
      </c>
      <c r="AC11" s="10">
        <v>1096772000</v>
      </c>
      <c r="AD11" s="10">
        <v>687545000</v>
      </c>
      <c r="AE11" s="10">
        <v>210003000</v>
      </c>
      <c r="AF11" s="10">
        <v>1690890000</v>
      </c>
      <c r="AG11" s="10">
        <v>1420579000</v>
      </c>
      <c r="AH11" s="10">
        <v>1312153000</v>
      </c>
      <c r="AI11" s="10">
        <v>680806000</v>
      </c>
      <c r="AJ11" s="10">
        <v>4462573000</v>
      </c>
      <c r="AK11" s="10">
        <v>3810763000</v>
      </c>
      <c r="AL11" s="10">
        <v>2497265000</v>
      </c>
      <c r="AM11" s="10">
        <v>1115155000</v>
      </c>
      <c r="AN11" s="10">
        <v>1626528908</v>
      </c>
      <c r="AO11" s="10"/>
      <c r="AP11" s="10"/>
    </row>
    <row r="12" spans="1:42" s="11" customFormat="1" ht="15" customHeight="1" x14ac:dyDescent="0.25">
      <c r="A12" s="4"/>
      <c r="B12" s="9" t="s">
        <v>43</v>
      </c>
      <c r="C12" s="10">
        <v>1313710000</v>
      </c>
      <c r="D12" s="10">
        <v>4420478000</v>
      </c>
      <c r="E12" s="10">
        <v>3076229000</v>
      </c>
      <c r="F12" s="10">
        <v>2003485000</v>
      </c>
      <c r="G12" s="10">
        <v>969139000</v>
      </c>
      <c r="H12" s="10">
        <v>3686265000</v>
      </c>
      <c r="I12" s="10">
        <v>2584606000</v>
      </c>
      <c r="J12" s="10">
        <v>1619871000</v>
      </c>
      <c r="K12" s="10">
        <v>837097000</v>
      </c>
      <c r="L12" s="10">
        <v>3134090000</v>
      </c>
      <c r="M12" s="10">
        <v>2280605000</v>
      </c>
      <c r="N12" s="10">
        <v>1555204000</v>
      </c>
      <c r="O12" s="10">
        <v>756247000</v>
      </c>
      <c r="P12" s="10">
        <v>2946545000</v>
      </c>
      <c r="Q12" s="10">
        <v>2186043000</v>
      </c>
      <c r="R12" s="10">
        <v>1440233000</v>
      </c>
      <c r="S12" s="10">
        <v>699862000</v>
      </c>
      <c r="T12" s="10">
        <v>2554375000</v>
      </c>
      <c r="U12" s="10">
        <v>1802145000</v>
      </c>
      <c r="V12" s="10">
        <v>1167965000</v>
      </c>
      <c r="W12" s="10">
        <v>575002000</v>
      </c>
      <c r="X12" s="10">
        <v>1920730000</v>
      </c>
      <c r="Y12" s="10">
        <v>1353997000</v>
      </c>
      <c r="Z12" s="10">
        <v>814131000</v>
      </c>
      <c r="AA12" s="10">
        <v>445967000</v>
      </c>
      <c r="AB12" s="10">
        <v>1838570000</v>
      </c>
      <c r="AC12" s="10">
        <v>1379093000</v>
      </c>
      <c r="AD12" s="10">
        <v>945843000</v>
      </c>
      <c r="AE12" s="10">
        <v>473548000</v>
      </c>
      <c r="AF12" s="10">
        <v>1321795000</v>
      </c>
      <c r="AG12" s="10">
        <v>1122919000</v>
      </c>
      <c r="AH12" s="10">
        <v>722667000</v>
      </c>
      <c r="AI12" s="10">
        <v>348469000</v>
      </c>
      <c r="AJ12" s="10">
        <v>1461172000</v>
      </c>
      <c r="AK12" s="10">
        <v>1133122000</v>
      </c>
      <c r="AL12" s="10">
        <v>749018000</v>
      </c>
      <c r="AM12" s="10">
        <v>355290000</v>
      </c>
      <c r="AN12" s="10">
        <v>1434559682</v>
      </c>
      <c r="AO12" s="10"/>
      <c r="AP12" s="10"/>
    </row>
    <row r="13" spans="1:42" s="11" customFormat="1" ht="15" customHeight="1" x14ac:dyDescent="0.25">
      <c r="A13" s="4"/>
      <c r="B13" s="9" t="s">
        <v>44</v>
      </c>
      <c r="C13" s="10">
        <v>147407000</v>
      </c>
      <c r="D13" s="10">
        <v>564923000</v>
      </c>
      <c r="E13" s="10">
        <v>383647000</v>
      </c>
      <c r="F13" s="10">
        <v>256711000</v>
      </c>
      <c r="G13" s="10">
        <v>135533000</v>
      </c>
      <c r="H13" s="10">
        <v>467824000</v>
      </c>
      <c r="I13" s="10">
        <v>345671000</v>
      </c>
      <c r="J13" s="10">
        <v>221020000</v>
      </c>
      <c r="K13" s="10">
        <v>126021000</v>
      </c>
      <c r="L13" s="10">
        <v>348571000</v>
      </c>
      <c r="M13" s="10">
        <v>245218000</v>
      </c>
      <c r="N13" s="10">
        <v>155149000</v>
      </c>
      <c r="O13" s="10">
        <v>82993000</v>
      </c>
      <c r="P13" s="10">
        <v>385281000</v>
      </c>
      <c r="Q13" s="10">
        <v>304253000</v>
      </c>
      <c r="R13" s="10">
        <v>205351000</v>
      </c>
      <c r="S13" s="10">
        <v>99591000</v>
      </c>
      <c r="T13" s="10">
        <v>351318000</v>
      </c>
      <c r="U13" s="10">
        <v>248108000</v>
      </c>
      <c r="V13" s="10">
        <v>159348000</v>
      </c>
      <c r="W13" s="10">
        <v>78174000</v>
      </c>
      <c r="X13" s="10">
        <v>265137000</v>
      </c>
      <c r="Y13" s="10">
        <v>194324000</v>
      </c>
      <c r="Z13" s="10">
        <v>129179000</v>
      </c>
      <c r="AA13" s="10">
        <v>51017000</v>
      </c>
      <c r="AB13" s="10">
        <v>211210000</v>
      </c>
      <c r="AC13" s="10">
        <v>155307000</v>
      </c>
      <c r="AD13" s="10">
        <v>110209000</v>
      </c>
      <c r="AE13" s="10">
        <v>57801000</v>
      </c>
      <c r="AF13" s="10">
        <v>178193000</v>
      </c>
      <c r="AG13" s="10">
        <v>131511000</v>
      </c>
      <c r="AH13" s="10">
        <v>87027000</v>
      </c>
      <c r="AI13" s="10">
        <v>37731000</v>
      </c>
      <c r="AJ13" s="10">
        <v>196587000</v>
      </c>
      <c r="AK13" s="10">
        <v>142484000</v>
      </c>
      <c r="AL13" s="10">
        <v>91271000</v>
      </c>
      <c r="AM13" s="10">
        <v>34852000</v>
      </c>
      <c r="AN13" s="10">
        <v>125954134</v>
      </c>
      <c r="AO13" s="10"/>
      <c r="AP13" s="10"/>
    </row>
    <row r="14" spans="1:42" s="11" customFormat="1" ht="15" customHeight="1" x14ac:dyDescent="0.25">
      <c r="A14" s="4"/>
      <c r="B14" s="9" t="s">
        <v>45</v>
      </c>
      <c r="C14" s="10">
        <v>43714000</v>
      </c>
      <c r="D14" s="10">
        <v>130229000</v>
      </c>
      <c r="E14" s="10">
        <v>90695000</v>
      </c>
      <c r="F14" s="10">
        <v>57887000</v>
      </c>
      <c r="G14" s="10">
        <v>28749000</v>
      </c>
      <c r="H14" s="10">
        <v>96153000</v>
      </c>
      <c r="I14" s="10">
        <v>70119000</v>
      </c>
      <c r="J14" s="10">
        <v>45945000</v>
      </c>
      <c r="K14" s="10">
        <v>22498000</v>
      </c>
      <c r="L14" s="10">
        <v>82461000</v>
      </c>
      <c r="M14" s="10">
        <v>60505000</v>
      </c>
      <c r="N14" s="10">
        <v>41273000</v>
      </c>
      <c r="O14" s="10">
        <v>22695000</v>
      </c>
      <c r="P14" s="10">
        <v>89879000</v>
      </c>
      <c r="Q14" s="10">
        <v>64331000</v>
      </c>
      <c r="R14" s="10">
        <v>41043000</v>
      </c>
      <c r="S14" s="10">
        <v>19995000</v>
      </c>
      <c r="T14" s="10">
        <v>58608000</v>
      </c>
      <c r="U14" s="10">
        <v>41067000</v>
      </c>
      <c r="V14" s="10">
        <v>25829000</v>
      </c>
      <c r="W14" s="10">
        <v>14087000</v>
      </c>
      <c r="X14" s="10">
        <v>51240000</v>
      </c>
      <c r="Y14" s="10">
        <v>38953000</v>
      </c>
      <c r="Z14" s="10">
        <v>25662000</v>
      </c>
      <c r="AA14" s="10">
        <v>12825000</v>
      </c>
      <c r="AB14" s="10">
        <v>55602000</v>
      </c>
      <c r="AC14" s="10">
        <v>42248000</v>
      </c>
      <c r="AD14" s="10">
        <v>28234000</v>
      </c>
      <c r="AE14" s="10">
        <v>12987000</v>
      </c>
      <c r="AF14" s="10">
        <v>55528000</v>
      </c>
      <c r="AG14" s="10">
        <v>42095000</v>
      </c>
      <c r="AH14" s="10">
        <v>28291000</v>
      </c>
      <c r="AI14" s="10">
        <v>14206000</v>
      </c>
      <c r="AJ14" s="10">
        <v>56435000</v>
      </c>
      <c r="AK14" s="10">
        <v>42193000</v>
      </c>
      <c r="AL14" s="10">
        <v>29014000</v>
      </c>
      <c r="AM14" s="10">
        <v>14322000</v>
      </c>
      <c r="AN14" s="10">
        <v>57877094</v>
      </c>
      <c r="AO14" s="10"/>
      <c r="AP14" s="10"/>
    </row>
    <row r="15" spans="1:42" s="11" customFormat="1" ht="15" customHeight="1" x14ac:dyDescent="0.25">
      <c r="A15" s="4"/>
      <c r="B15" s="9" t="s">
        <v>46</v>
      </c>
      <c r="C15" s="10">
        <v>196784000</v>
      </c>
      <c r="D15" s="10">
        <v>442389000</v>
      </c>
      <c r="E15" s="10">
        <v>330949000</v>
      </c>
      <c r="F15" s="10">
        <v>220922000</v>
      </c>
      <c r="G15" s="10">
        <v>110962000</v>
      </c>
      <c r="H15" s="10">
        <v>348519000</v>
      </c>
      <c r="I15" s="10">
        <v>237846000</v>
      </c>
      <c r="J15" s="10">
        <v>132949000</v>
      </c>
      <c r="K15" s="10">
        <v>66105000</v>
      </c>
      <c r="L15" s="10">
        <v>282392000</v>
      </c>
      <c r="M15" s="10">
        <v>217758000</v>
      </c>
      <c r="N15" s="10">
        <v>167854000</v>
      </c>
      <c r="O15" s="10">
        <v>85239000</v>
      </c>
      <c r="P15" s="10">
        <v>239227000</v>
      </c>
      <c r="Q15" s="10">
        <v>158013000</v>
      </c>
      <c r="R15" s="10">
        <v>99041000</v>
      </c>
      <c r="S15" s="10">
        <v>57991000</v>
      </c>
      <c r="T15" s="10">
        <v>169844000</v>
      </c>
      <c r="U15" s="10">
        <v>124152000</v>
      </c>
      <c r="V15" s="10">
        <v>85064000</v>
      </c>
      <c r="W15" s="10">
        <v>48933000</v>
      </c>
      <c r="X15" s="10">
        <v>155313000</v>
      </c>
      <c r="Y15" s="10">
        <v>105267000</v>
      </c>
      <c r="Z15" s="10">
        <v>75152000</v>
      </c>
      <c r="AA15" s="10">
        <v>44756000</v>
      </c>
      <c r="AB15" s="10">
        <v>145154000</v>
      </c>
      <c r="AC15" s="10">
        <v>93253000</v>
      </c>
      <c r="AD15" s="10">
        <v>57769000</v>
      </c>
      <c r="AE15" s="10">
        <v>30556000</v>
      </c>
      <c r="AF15" s="10">
        <v>65018000</v>
      </c>
      <c r="AG15" s="10">
        <v>34551000</v>
      </c>
      <c r="AH15" s="10">
        <v>18294000</v>
      </c>
      <c r="AI15" s="10">
        <v>9138000</v>
      </c>
      <c r="AJ15" s="10">
        <v>18503000</v>
      </c>
      <c r="AK15" s="10">
        <v>11164000</v>
      </c>
      <c r="AL15" s="10">
        <v>7346000</v>
      </c>
      <c r="AM15" s="10">
        <v>3545000</v>
      </c>
      <c r="AN15" s="10">
        <v>52996583</v>
      </c>
      <c r="AO15" s="10"/>
      <c r="AP15" s="10"/>
    </row>
    <row r="16" spans="1:42" s="11" customFormat="1" ht="15" customHeight="1" x14ac:dyDescent="0.25">
      <c r="A16" s="4"/>
      <c r="B16" s="9" t="s">
        <v>47</v>
      </c>
      <c r="C16" s="10">
        <v>653973000</v>
      </c>
      <c r="D16" s="10">
        <v>2284000000</v>
      </c>
      <c r="E16" s="10">
        <v>1589573000</v>
      </c>
      <c r="F16" s="10">
        <v>1031360000</v>
      </c>
      <c r="G16" s="10">
        <v>512389000</v>
      </c>
      <c r="H16" s="10">
        <v>1975386000</v>
      </c>
      <c r="I16" s="10">
        <v>1389797000</v>
      </c>
      <c r="J16" s="10">
        <v>866977000</v>
      </c>
      <c r="K16" s="10">
        <v>451231000</v>
      </c>
      <c r="L16" s="10">
        <v>1744711000</v>
      </c>
      <c r="M16" s="10">
        <v>1279160000</v>
      </c>
      <c r="N16" s="10">
        <v>871602000</v>
      </c>
      <c r="O16" s="10">
        <v>420742000</v>
      </c>
      <c r="P16" s="10">
        <v>1620324000</v>
      </c>
      <c r="Q16" s="10">
        <v>1208131000</v>
      </c>
      <c r="R16" s="10">
        <v>798279000</v>
      </c>
      <c r="S16" s="10">
        <v>392067000</v>
      </c>
      <c r="T16" s="10">
        <v>1409530000</v>
      </c>
      <c r="U16" s="10">
        <v>1008129000</v>
      </c>
      <c r="V16" s="10">
        <v>650662000</v>
      </c>
      <c r="W16" s="10">
        <v>314244000</v>
      </c>
      <c r="X16" s="10">
        <v>968804000</v>
      </c>
      <c r="Y16" s="10">
        <v>669962000</v>
      </c>
      <c r="Z16" s="10">
        <v>351827000</v>
      </c>
      <c r="AA16" s="10">
        <v>234317000</v>
      </c>
      <c r="AB16" s="10">
        <v>975057000</v>
      </c>
      <c r="AC16" s="10">
        <v>751829000</v>
      </c>
      <c r="AD16" s="10">
        <v>520491000</v>
      </c>
      <c r="AE16" s="10">
        <v>263823000</v>
      </c>
      <c r="AF16" s="10">
        <v>609729000</v>
      </c>
      <c r="AG16" s="10">
        <v>617349000</v>
      </c>
      <c r="AH16" s="10">
        <v>395566000</v>
      </c>
      <c r="AI16" s="10">
        <v>191963000</v>
      </c>
      <c r="AJ16" s="10">
        <v>801627000</v>
      </c>
      <c r="AK16" s="10">
        <v>642724000</v>
      </c>
      <c r="AL16" s="10">
        <v>417661000</v>
      </c>
      <c r="AM16" s="10">
        <v>194643000</v>
      </c>
      <c r="AN16" s="10">
        <v>798701565</v>
      </c>
      <c r="AO16" s="10"/>
      <c r="AP16" s="10"/>
    </row>
    <row r="17" spans="1:42" s="11" customFormat="1" ht="15" customHeight="1" x14ac:dyDescent="0.25">
      <c r="A17" s="4"/>
      <c r="B17" s="9" t="s">
        <v>48</v>
      </c>
      <c r="C17" s="10">
        <v>1366490000</v>
      </c>
      <c r="D17" s="10">
        <v>20843750000</v>
      </c>
      <c r="E17" s="10">
        <v>16413675000</v>
      </c>
      <c r="F17" s="10">
        <v>9941255000</v>
      </c>
      <c r="G17" s="10">
        <v>4367338000</v>
      </c>
      <c r="H17" s="10">
        <v>13721326000</v>
      </c>
      <c r="I17" s="10">
        <v>9255492000</v>
      </c>
      <c r="J17" s="10">
        <v>5518299000</v>
      </c>
      <c r="K17" s="10">
        <v>2467599000</v>
      </c>
      <c r="L17" s="10">
        <v>3276746000</v>
      </c>
      <c r="M17" s="10">
        <v>1740607000</v>
      </c>
      <c r="N17" s="10">
        <v>1014651000</v>
      </c>
      <c r="O17" s="10">
        <v>561798000</v>
      </c>
      <c r="P17" s="10">
        <v>5336100000</v>
      </c>
      <c r="Q17" s="10">
        <v>4347225000</v>
      </c>
      <c r="R17" s="10">
        <v>2964010000</v>
      </c>
      <c r="S17" s="10">
        <v>1588530000</v>
      </c>
      <c r="T17" s="10">
        <v>5109466000</v>
      </c>
      <c r="U17" s="10">
        <v>3442307000</v>
      </c>
      <c r="V17" s="10">
        <v>2141133000</v>
      </c>
      <c r="W17" s="10">
        <v>1057266000</v>
      </c>
      <c r="X17" s="10">
        <v>3379785000</v>
      </c>
      <c r="Y17" s="10">
        <v>2595034000</v>
      </c>
      <c r="Z17" s="10">
        <v>1430554000</v>
      </c>
      <c r="AA17" s="10">
        <v>316951000</v>
      </c>
      <c r="AB17" s="10">
        <v>-227349000</v>
      </c>
      <c r="AC17" s="10">
        <v>-282321000</v>
      </c>
      <c r="AD17" s="10">
        <v>-258298000</v>
      </c>
      <c r="AE17" s="10">
        <v>-263545000</v>
      </c>
      <c r="AF17" s="10">
        <v>369095000</v>
      </c>
      <c r="AG17" s="10">
        <v>492959000</v>
      </c>
      <c r="AH17" s="10">
        <v>769718000</v>
      </c>
      <c r="AI17" s="10">
        <v>322829000</v>
      </c>
      <c r="AJ17" s="10">
        <v>2975271000</v>
      </c>
      <c r="AK17" s="10">
        <v>2681586000</v>
      </c>
      <c r="AL17" s="10">
        <v>1757724000</v>
      </c>
      <c r="AM17" s="10">
        <v>741762000</v>
      </c>
      <c r="AN17" s="10">
        <v>191969226</v>
      </c>
      <c r="AO17" s="10"/>
      <c r="AP17" s="10"/>
    </row>
    <row r="18" spans="1:42" s="11" customFormat="1" ht="15" customHeight="1" x14ac:dyDescent="0.25">
      <c r="A18" s="4"/>
      <c r="B18" s="9" t="s">
        <v>49</v>
      </c>
      <c r="C18" s="10">
        <v>11306000</v>
      </c>
      <c r="D18" s="10">
        <v>62478000</v>
      </c>
      <c r="E18" s="10">
        <v>53791000</v>
      </c>
      <c r="F18" s="10">
        <v>43193000</v>
      </c>
      <c r="G18" s="10">
        <v>27282000</v>
      </c>
      <c r="H18" s="10">
        <v>54275000</v>
      </c>
      <c r="I18" s="10">
        <v>33983000</v>
      </c>
      <c r="J18" s="10">
        <v>19352000</v>
      </c>
      <c r="K18" s="10">
        <v>9513000</v>
      </c>
      <c r="L18" s="10">
        <v>34174000</v>
      </c>
      <c r="M18" s="10">
        <v>26185000</v>
      </c>
      <c r="N18" s="10">
        <v>19198000</v>
      </c>
      <c r="O18" s="10">
        <v>11605000</v>
      </c>
      <c r="P18" s="10">
        <v>40715000</v>
      </c>
      <c r="Q18" s="10">
        <v>29554000</v>
      </c>
      <c r="R18" s="10">
        <v>17687000</v>
      </c>
      <c r="S18" s="10">
        <v>8964000</v>
      </c>
      <c r="T18" s="10">
        <v>52122000</v>
      </c>
      <c r="U18" s="10">
        <v>39808000</v>
      </c>
      <c r="V18" s="10">
        <v>27996000</v>
      </c>
      <c r="W18" s="10">
        <v>16273000</v>
      </c>
      <c r="X18" s="10">
        <v>66410000</v>
      </c>
      <c r="Y18" s="10">
        <v>45659000</v>
      </c>
      <c r="Z18" s="10">
        <v>25538000</v>
      </c>
      <c r="AA18" s="10">
        <v>12528000</v>
      </c>
      <c r="AB18" s="10">
        <v>80154000</v>
      </c>
      <c r="AC18" s="10">
        <v>68136000</v>
      </c>
      <c r="AD18" s="10">
        <v>48061000</v>
      </c>
      <c r="AE18" s="10">
        <v>21957000</v>
      </c>
      <c r="AF18" s="10">
        <v>56470000</v>
      </c>
      <c r="AG18" s="10">
        <v>42465000</v>
      </c>
      <c r="AH18" s="10">
        <v>28475000</v>
      </c>
      <c r="AI18" s="10">
        <v>13400000</v>
      </c>
      <c r="AJ18" s="10">
        <v>67708000</v>
      </c>
      <c r="AK18" s="10">
        <v>49648000</v>
      </c>
      <c r="AL18" s="10">
        <v>31903000</v>
      </c>
      <c r="AM18" s="10">
        <v>12016000</v>
      </c>
      <c r="AN18" s="10">
        <v>29977103</v>
      </c>
      <c r="AO18" s="10"/>
      <c r="AP18" s="10"/>
    </row>
    <row r="19" spans="1:42" s="11" customFormat="1" ht="15" customHeight="1" x14ac:dyDescent="0.25">
      <c r="A19" s="4"/>
      <c r="B19" s="9" t="s">
        <v>50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 s="11" customFormat="1" ht="15" customHeight="1" x14ac:dyDescent="0.25">
      <c r="A20" s="4"/>
      <c r="B20" s="9" t="s">
        <v>51</v>
      </c>
      <c r="C20" s="10">
        <v>320219000</v>
      </c>
      <c r="D20" s="10">
        <v>1386287000</v>
      </c>
      <c r="E20" s="10">
        <v>1091720000</v>
      </c>
      <c r="F20" s="10">
        <v>945807000</v>
      </c>
      <c r="G20" s="10">
        <v>207561000</v>
      </c>
      <c r="H20" s="10">
        <v>893047000</v>
      </c>
      <c r="I20" s="10">
        <v>672703000</v>
      </c>
      <c r="J20" s="10">
        <v>470406000</v>
      </c>
      <c r="K20" s="10">
        <v>364869000</v>
      </c>
      <c r="L20" s="10">
        <v>762747000</v>
      </c>
      <c r="M20" s="10">
        <v>584337000</v>
      </c>
      <c r="N20" s="10">
        <v>358349000</v>
      </c>
      <c r="O20" s="10">
        <v>282096000</v>
      </c>
      <c r="P20" s="10">
        <v>766981000</v>
      </c>
      <c r="Q20" s="10">
        <v>616575000</v>
      </c>
      <c r="R20" s="10">
        <v>316041000</v>
      </c>
      <c r="S20" s="10">
        <v>176172000</v>
      </c>
      <c r="T20" s="10">
        <v>576577000</v>
      </c>
      <c r="U20" s="10">
        <v>357656000</v>
      </c>
      <c r="V20" s="10">
        <v>239419000</v>
      </c>
      <c r="W20" s="10">
        <v>92986000</v>
      </c>
      <c r="X20" s="10">
        <v>485411000</v>
      </c>
      <c r="Y20" s="10">
        <v>370146000</v>
      </c>
      <c r="Z20" s="10">
        <v>270794000</v>
      </c>
      <c r="AA20" s="10">
        <v>127893000</v>
      </c>
      <c r="AB20" s="10">
        <v>598986000</v>
      </c>
      <c r="AC20" s="10">
        <v>375645000</v>
      </c>
      <c r="AD20" s="10">
        <v>227404000</v>
      </c>
      <c r="AE20" s="10">
        <v>159837000</v>
      </c>
      <c r="AF20" s="10">
        <v>532684000</v>
      </c>
      <c r="AG20" s="10">
        <v>471867000</v>
      </c>
      <c r="AH20" s="10">
        <v>349958000</v>
      </c>
      <c r="AI20" s="10">
        <v>186129000</v>
      </c>
      <c r="AJ20" s="10">
        <v>716815000</v>
      </c>
      <c r="AK20" s="10">
        <v>597312000</v>
      </c>
      <c r="AL20" s="10">
        <v>392370000</v>
      </c>
      <c r="AM20" s="10">
        <v>249074000</v>
      </c>
      <c r="AN20" s="10">
        <v>892699611</v>
      </c>
      <c r="AO20" s="10"/>
      <c r="AP20" s="10"/>
    </row>
    <row r="21" spans="1:42" s="11" customFormat="1" ht="15" customHeight="1" x14ac:dyDescent="0.25">
      <c r="A21" s="4"/>
      <c r="B21" s="9" t="s">
        <v>52</v>
      </c>
      <c r="C21" s="10">
        <v>6042000</v>
      </c>
      <c r="D21" s="10">
        <v>41853000</v>
      </c>
      <c r="E21" s="10">
        <v>19122000</v>
      </c>
      <c r="F21" s="10">
        <v>7548000</v>
      </c>
      <c r="G21" s="10">
        <v>3842000</v>
      </c>
      <c r="H21" s="10">
        <v>46832000</v>
      </c>
      <c r="I21" s="10">
        <v>39572000</v>
      </c>
      <c r="J21" s="10">
        <v>5261000</v>
      </c>
      <c r="K21" s="10">
        <v>2731000</v>
      </c>
      <c r="L21" s="10">
        <v>15348000</v>
      </c>
      <c r="M21" s="10">
        <v>11532000</v>
      </c>
      <c r="N21" s="10">
        <v>9265000</v>
      </c>
      <c r="O21" s="10">
        <v>4792000</v>
      </c>
      <c r="P21" s="10">
        <v>33814000</v>
      </c>
      <c r="Q21" s="10">
        <v>28365000</v>
      </c>
      <c r="R21" s="10">
        <v>20522000</v>
      </c>
      <c r="S21" s="10">
        <v>13424000</v>
      </c>
      <c r="T21" s="10">
        <v>38547000</v>
      </c>
      <c r="U21" s="10">
        <v>27482000</v>
      </c>
      <c r="V21" s="10">
        <v>10444000</v>
      </c>
      <c r="W21" s="10">
        <v>220000</v>
      </c>
      <c r="X21" s="10">
        <v>205000</v>
      </c>
      <c r="Y21" s="10">
        <v>205000</v>
      </c>
      <c r="Z21" s="10"/>
      <c r="AA21" s="10">
        <v>86000</v>
      </c>
      <c r="AB21" s="10">
        <v>5944000</v>
      </c>
      <c r="AC21" s="10">
        <v>5875000</v>
      </c>
      <c r="AD21" s="10"/>
      <c r="AE21" s="10">
        <v>5872000</v>
      </c>
      <c r="AF21" s="10"/>
      <c r="AG21" s="10"/>
      <c r="AH21" s="10"/>
      <c r="AI21" s="10"/>
      <c r="AJ21" s="10">
        <v>617000</v>
      </c>
      <c r="AK21" s="10"/>
      <c r="AL21" s="10"/>
      <c r="AM21" s="10"/>
      <c r="AN21" s="10">
        <v>413140</v>
      </c>
      <c r="AO21" s="10"/>
      <c r="AP21" s="10"/>
    </row>
    <row r="22" spans="1:42" s="11" customFormat="1" ht="15" customHeight="1" x14ac:dyDescent="0.25">
      <c r="A22" s="4"/>
      <c r="B22" s="9" t="s">
        <v>53</v>
      </c>
      <c r="C22" s="10">
        <v>20737000</v>
      </c>
      <c r="D22" s="10">
        <v>199201000</v>
      </c>
      <c r="E22" s="10">
        <v>9578000</v>
      </c>
      <c r="F22" s="10">
        <v>4828000</v>
      </c>
      <c r="G22" s="10">
        <v>1104000</v>
      </c>
      <c r="H22" s="10">
        <v>1399000</v>
      </c>
      <c r="I22" s="10">
        <v>2937000</v>
      </c>
      <c r="J22" s="10">
        <v>1735000</v>
      </c>
      <c r="K22" s="10">
        <v>434000</v>
      </c>
      <c r="L22" s="10">
        <v>1133000</v>
      </c>
      <c r="M22" s="10">
        <v>690000</v>
      </c>
      <c r="N22" s="10">
        <v>932000</v>
      </c>
      <c r="O22" s="10">
        <v>1862000</v>
      </c>
      <c r="P22" s="10">
        <v>2280000</v>
      </c>
      <c r="Q22" s="10">
        <v>3404000</v>
      </c>
      <c r="R22" s="10">
        <v>4694000</v>
      </c>
      <c r="S22" s="10">
        <v>487000</v>
      </c>
      <c r="T22" s="10">
        <v>6921000</v>
      </c>
      <c r="U22" s="10">
        <v>4725000</v>
      </c>
      <c r="V22" s="10">
        <v>2899000</v>
      </c>
      <c r="W22" s="10">
        <v>6082000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s="11" customFormat="1" ht="15" customHeight="1" x14ac:dyDescent="0.25">
      <c r="A23" s="4"/>
      <c r="B23" s="9" t="s">
        <v>54</v>
      </c>
      <c r="C23" s="10"/>
      <c r="D23" s="10"/>
      <c r="E23" s="10"/>
      <c r="F23" s="10"/>
      <c r="G23" s="10"/>
      <c r="H23" s="10">
        <v>902000</v>
      </c>
      <c r="I23" s="10">
        <v>902000</v>
      </c>
      <c r="J23" s="10">
        <v>598000</v>
      </c>
      <c r="K23" s="10">
        <v>302000</v>
      </c>
      <c r="L23" s="10">
        <v>1472000</v>
      </c>
      <c r="M23" s="10">
        <v>1124000</v>
      </c>
      <c r="N23" s="10">
        <v>704000</v>
      </c>
      <c r="O23" s="10">
        <v>346000</v>
      </c>
      <c r="P23" s="10">
        <v>1697000</v>
      </c>
      <c r="Q23" s="10">
        <v>1376000</v>
      </c>
      <c r="R23" s="10">
        <v>989000</v>
      </c>
      <c r="S23" s="10">
        <v>560000</v>
      </c>
      <c r="T23" s="10">
        <v>3170000</v>
      </c>
      <c r="U23" s="10">
        <v>2529000</v>
      </c>
      <c r="V23" s="10">
        <v>1517000</v>
      </c>
      <c r="W23" s="10">
        <v>16149000</v>
      </c>
      <c r="X23" s="10">
        <v>6163000</v>
      </c>
      <c r="Y23" s="10">
        <v>5556000</v>
      </c>
      <c r="Z23" s="10">
        <v>1880000</v>
      </c>
      <c r="AA23" s="10">
        <v>1124000</v>
      </c>
      <c r="AB23" s="10">
        <v>4409000</v>
      </c>
      <c r="AC23" s="10">
        <v>4744000</v>
      </c>
      <c r="AD23" s="10">
        <v>2704000</v>
      </c>
      <c r="AE23" s="10">
        <v>8704000</v>
      </c>
      <c r="AF23" s="10">
        <v>41111000</v>
      </c>
      <c r="AG23" s="10">
        <v>39870000</v>
      </c>
      <c r="AH23" s="10">
        <v>20820000</v>
      </c>
      <c r="AI23" s="10">
        <v>9804000</v>
      </c>
      <c r="AJ23" s="10">
        <v>80695000</v>
      </c>
      <c r="AK23" s="10">
        <v>78076000</v>
      </c>
      <c r="AL23" s="10">
        <v>40421000</v>
      </c>
      <c r="AM23" s="10">
        <v>13226000</v>
      </c>
      <c r="AN23" s="10">
        <v>19738000</v>
      </c>
      <c r="AO23" s="10"/>
      <c r="AP23" s="10"/>
    </row>
    <row r="24" spans="1:42" s="11" customFormat="1" ht="15" customHeight="1" x14ac:dyDescent="0.25">
      <c r="A24" s="4"/>
      <c r="B24" s="9" t="s">
        <v>55</v>
      </c>
      <c r="C24" s="10">
        <v>41070000</v>
      </c>
      <c r="D24" s="10">
        <v>94635000</v>
      </c>
      <c r="E24" s="10">
        <v>65781000</v>
      </c>
      <c r="F24" s="10">
        <v>42377000</v>
      </c>
      <c r="G24" s="10">
        <v>24891000</v>
      </c>
      <c r="H24" s="10">
        <v>123918000</v>
      </c>
      <c r="I24" s="10">
        <v>96330000</v>
      </c>
      <c r="J24" s="10">
        <v>64026000</v>
      </c>
      <c r="K24" s="10">
        <v>29575000</v>
      </c>
      <c r="L24" s="10">
        <v>120122000</v>
      </c>
      <c r="M24" s="10">
        <v>96836000</v>
      </c>
      <c r="N24" s="10">
        <v>64741000</v>
      </c>
      <c r="O24" s="10">
        <v>33669000</v>
      </c>
      <c r="P24" s="10">
        <v>118505000</v>
      </c>
      <c r="Q24" s="10">
        <v>85931000</v>
      </c>
      <c r="R24" s="10">
        <v>52917000</v>
      </c>
      <c r="S24" s="10">
        <v>26011000</v>
      </c>
      <c r="T24" s="10">
        <v>170363000</v>
      </c>
      <c r="U24" s="10">
        <v>142552000</v>
      </c>
      <c r="V24" s="10">
        <v>102903000</v>
      </c>
      <c r="W24" s="10">
        <v>53340000</v>
      </c>
      <c r="X24" s="10">
        <v>256623000</v>
      </c>
      <c r="Y24" s="10">
        <v>200558000</v>
      </c>
      <c r="Z24" s="10">
        <v>136894000</v>
      </c>
      <c r="AA24" s="10">
        <v>67880000</v>
      </c>
      <c r="AB24" s="10">
        <v>317926000</v>
      </c>
      <c r="AC24" s="10">
        <v>242345000</v>
      </c>
      <c r="AD24" s="10">
        <v>162415000</v>
      </c>
      <c r="AE24" s="10">
        <v>81528000</v>
      </c>
      <c r="AF24" s="10">
        <v>310397000</v>
      </c>
      <c r="AG24" s="10">
        <v>229930000</v>
      </c>
      <c r="AH24" s="10">
        <v>161081000</v>
      </c>
      <c r="AI24" s="10">
        <v>79865000</v>
      </c>
      <c r="AJ24" s="10">
        <v>346377000</v>
      </c>
      <c r="AK24" s="10">
        <v>264573000</v>
      </c>
      <c r="AL24" s="10">
        <v>180650000</v>
      </c>
      <c r="AM24" s="10">
        <v>87594000</v>
      </c>
      <c r="AN24" s="10">
        <v>433576400</v>
      </c>
      <c r="AO24" s="10"/>
      <c r="AP24" s="10"/>
    </row>
    <row r="25" spans="1:42" s="11" customFormat="1" ht="15" customHeight="1" x14ac:dyDescent="0.25">
      <c r="A25" s="4"/>
      <c r="B25" s="9" t="s">
        <v>56</v>
      </c>
      <c r="C25" s="10">
        <v>206772000</v>
      </c>
      <c r="D25" s="10">
        <v>1046217000</v>
      </c>
      <c r="E25" s="10">
        <v>863835000</v>
      </c>
      <c r="F25" s="10">
        <v>635241000</v>
      </c>
      <c r="G25" s="10">
        <v>288387000</v>
      </c>
      <c r="H25" s="10">
        <v>1124628000</v>
      </c>
      <c r="I25" s="10">
        <v>642441000</v>
      </c>
      <c r="J25" s="10">
        <v>515514000</v>
      </c>
      <c r="K25" s="10">
        <v>437366000</v>
      </c>
      <c r="L25" s="10">
        <v>724681000</v>
      </c>
      <c r="M25" s="10">
        <v>592097000</v>
      </c>
      <c r="N25" s="10">
        <v>381624000</v>
      </c>
      <c r="O25" s="10">
        <v>258389000</v>
      </c>
      <c r="P25" s="10">
        <v>709350000</v>
      </c>
      <c r="Q25" s="10">
        <v>598769000</v>
      </c>
      <c r="R25" s="10">
        <v>267588000</v>
      </c>
      <c r="S25" s="10">
        <v>152226000</v>
      </c>
      <c r="T25" s="10">
        <v>448060000</v>
      </c>
      <c r="U25" s="10">
        <v>283795000</v>
      </c>
      <c r="V25" s="10">
        <v>227612000</v>
      </c>
      <c r="W25" s="10">
        <v>102765000</v>
      </c>
      <c r="X25" s="10">
        <v>391071000</v>
      </c>
      <c r="Y25" s="10">
        <v>335362000</v>
      </c>
      <c r="Z25" s="10">
        <v>334147000</v>
      </c>
      <c r="AA25" s="10">
        <v>162079000</v>
      </c>
      <c r="AB25" s="10">
        <v>335468000</v>
      </c>
      <c r="AC25" s="10">
        <v>245869000</v>
      </c>
      <c r="AD25" s="10">
        <v>178437000</v>
      </c>
      <c r="AE25" s="10">
        <v>83947000</v>
      </c>
      <c r="AF25" s="10">
        <v>551750000</v>
      </c>
      <c r="AG25" s="10">
        <v>579625000</v>
      </c>
      <c r="AH25" s="10">
        <v>208078000</v>
      </c>
      <c r="AI25" s="10">
        <v>107734000</v>
      </c>
      <c r="AJ25" s="10">
        <v>654166000</v>
      </c>
      <c r="AK25" s="10">
        <v>544746000</v>
      </c>
      <c r="AL25" s="10">
        <v>473067000</v>
      </c>
      <c r="AM25" s="10">
        <v>114603000</v>
      </c>
      <c r="AN25" s="10"/>
      <c r="AO25" s="10"/>
      <c r="AP25" s="10"/>
    </row>
    <row r="26" spans="1:42" s="11" customFormat="1" ht="15" customHeight="1" x14ac:dyDescent="0.25">
      <c r="A26" s="4"/>
      <c r="B26" s="9" t="s">
        <v>57</v>
      </c>
      <c r="C26" s="10"/>
      <c r="D26" s="10"/>
      <c r="E26" s="10"/>
      <c r="F26" s="10"/>
      <c r="G26" s="10"/>
      <c r="H26" s="10">
        <v>158000</v>
      </c>
      <c r="I26" s="10">
        <v>1000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3500000</v>
      </c>
      <c r="U26" s="10">
        <v>3500000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s="11" customFormat="1" ht="15" customHeight="1" x14ac:dyDescent="0.25">
      <c r="A27" s="4"/>
      <c r="B27" s="9" t="s">
        <v>58</v>
      </c>
      <c r="C27" s="10">
        <v>13000</v>
      </c>
      <c r="D27" s="10">
        <v>1282000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s="11" customFormat="1" ht="15" customHeight="1" x14ac:dyDescent="0.25">
      <c r="A28" s="4"/>
      <c r="B28" s="9" t="s">
        <v>59</v>
      </c>
      <c r="C28" s="10"/>
      <c r="D28" s="10"/>
      <c r="E28" s="10"/>
      <c r="F28" s="10"/>
      <c r="G28" s="10"/>
      <c r="H28" s="10">
        <v>913000</v>
      </c>
      <c r="I28" s="10">
        <v>913000</v>
      </c>
      <c r="J28" s="10">
        <v>609000</v>
      </c>
      <c r="K28" s="10">
        <v>308000</v>
      </c>
      <c r="L28" s="10">
        <v>1525000</v>
      </c>
      <c r="M28" s="10">
        <v>1218000</v>
      </c>
      <c r="N28" s="10">
        <v>812000</v>
      </c>
      <c r="O28" s="10">
        <v>406000</v>
      </c>
      <c r="P28" s="10">
        <v>2058000</v>
      </c>
      <c r="Q28" s="10">
        <v>1797000</v>
      </c>
      <c r="R28" s="10">
        <v>1291000</v>
      </c>
      <c r="S28" s="10">
        <v>885000</v>
      </c>
      <c r="T28" s="10">
        <v>174924000</v>
      </c>
      <c r="U28" s="10">
        <v>174523000</v>
      </c>
      <c r="V28" s="10">
        <v>187861000</v>
      </c>
      <c r="W28" s="10">
        <v>352000</v>
      </c>
      <c r="X28" s="10">
        <v>99635000</v>
      </c>
      <c r="Y28" s="10">
        <v>36924000</v>
      </c>
      <c r="Z28" s="10">
        <v>39353000</v>
      </c>
      <c r="AA28" s="10">
        <v>28255000</v>
      </c>
      <c r="AB28" s="10">
        <v>18730000</v>
      </c>
      <c r="AC28" s="10">
        <v>11214000</v>
      </c>
      <c r="AD28" s="10">
        <v>7002000</v>
      </c>
      <c r="AE28" s="10">
        <v>37864000</v>
      </c>
      <c r="AF28" s="10">
        <v>19714000</v>
      </c>
      <c r="AG28" s="10">
        <v>31160000</v>
      </c>
      <c r="AH28" s="10">
        <v>40374000</v>
      </c>
      <c r="AI28" s="10">
        <v>65666000</v>
      </c>
      <c r="AJ28" s="10">
        <v>5385000</v>
      </c>
      <c r="AK28" s="10">
        <v>5920000</v>
      </c>
      <c r="AL28" s="10">
        <v>7929000</v>
      </c>
      <c r="AM28" s="10">
        <v>749000</v>
      </c>
      <c r="AN28" s="10">
        <v>14257094</v>
      </c>
      <c r="AO28" s="10"/>
      <c r="AP28" s="10"/>
    </row>
    <row r="29" spans="1:42" s="11" customFormat="1" ht="15" customHeight="1" x14ac:dyDescent="0.25">
      <c r="A29" s="4"/>
      <c r="B29" s="9" t="s">
        <v>60</v>
      </c>
      <c r="C29" s="10">
        <v>4426000</v>
      </c>
      <c r="D29" s="10">
        <v>13007000</v>
      </c>
      <c r="E29" s="10">
        <v>11451000</v>
      </c>
      <c r="F29" s="10">
        <v>8472000</v>
      </c>
      <c r="G29" s="10">
        <v>4526000</v>
      </c>
      <c r="H29" s="10">
        <v>12367000</v>
      </c>
      <c r="I29" s="10">
        <v>8027000</v>
      </c>
      <c r="J29" s="10">
        <v>4503000</v>
      </c>
      <c r="K29" s="10">
        <v>-227000</v>
      </c>
      <c r="L29" s="10">
        <v>22752000</v>
      </c>
      <c r="M29" s="10">
        <v>16600000</v>
      </c>
      <c r="N29" s="10">
        <v>14181000</v>
      </c>
      <c r="O29" s="10">
        <v>3071000</v>
      </c>
      <c r="P29" s="10">
        <v>24642000</v>
      </c>
      <c r="Q29" s="10">
        <v>18510000</v>
      </c>
      <c r="R29" s="10">
        <v>10270000</v>
      </c>
      <c r="S29" s="10">
        <v>5695000</v>
      </c>
      <c r="T29" s="10">
        <v>23145000</v>
      </c>
      <c r="U29" s="10">
        <v>15967000</v>
      </c>
      <c r="V29" s="10">
        <v>13710000</v>
      </c>
      <c r="W29" s="10">
        <v>388000</v>
      </c>
      <c r="X29" s="10">
        <v>19256000</v>
      </c>
      <c r="Y29" s="10">
        <v>13369000</v>
      </c>
      <c r="Z29" s="10">
        <v>7703000</v>
      </c>
      <c r="AA29" s="10">
        <v>3614000</v>
      </c>
      <c r="AB29" s="10">
        <v>16713000</v>
      </c>
      <c r="AC29" s="10">
        <v>11036000</v>
      </c>
      <c r="AD29" s="10">
        <v>6959000</v>
      </c>
      <c r="AE29" s="10">
        <v>6543000</v>
      </c>
      <c r="AF29" s="10">
        <v>10533000</v>
      </c>
      <c r="AG29" s="10">
        <v>7274000</v>
      </c>
      <c r="AH29" s="10">
        <v>5802000</v>
      </c>
      <c r="AI29" s="10">
        <v>2519000</v>
      </c>
      <c r="AJ29" s="10">
        <v>2120000</v>
      </c>
      <c r="AK29" s="10">
        <v>2460000</v>
      </c>
      <c r="AL29" s="10">
        <v>78000</v>
      </c>
      <c r="AM29" s="10">
        <v>1052000</v>
      </c>
      <c r="AN29" s="10">
        <v>6101643</v>
      </c>
      <c r="AO29" s="10"/>
      <c r="AP29" s="10"/>
    </row>
    <row r="30" spans="1:42" s="11" customFormat="1" ht="15" customHeight="1" x14ac:dyDescent="0.25">
      <c r="A30" s="4"/>
      <c r="B30" s="9" t="s">
        <v>61</v>
      </c>
      <c r="C30" s="10">
        <v>1479547000</v>
      </c>
      <c r="D30" s="10">
        <v>21341030000</v>
      </c>
      <c r="E30" s="10">
        <v>16629519000</v>
      </c>
      <c r="F30" s="10">
        <v>10194284000</v>
      </c>
      <c r="G30" s="10">
        <v>4290810000</v>
      </c>
      <c r="H30" s="10">
        <v>13439566000</v>
      </c>
      <c r="I30" s="10">
        <v>9282319000</v>
      </c>
      <c r="J30" s="10">
        <v>5439462000</v>
      </c>
      <c r="K30" s="10">
        <v>2370143000</v>
      </c>
      <c r="L30" s="10">
        <v>3216454000</v>
      </c>
      <c r="M30" s="10">
        <v>1645362000</v>
      </c>
      <c r="N30" s="10">
        <v>941198000</v>
      </c>
      <c r="O30" s="10">
        <v>557990000</v>
      </c>
      <c r="P30" s="10">
        <v>5269121000</v>
      </c>
      <c r="Q30" s="10">
        <v>4291991000</v>
      </c>
      <c r="R30" s="10">
        <v>2980329000</v>
      </c>
      <c r="S30" s="10">
        <v>1602080000</v>
      </c>
      <c r="T30" s="10">
        <v>5047670000</v>
      </c>
      <c r="U30" s="10">
        <v>3142405000</v>
      </c>
      <c r="V30" s="10">
        <v>1827480000</v>
      </c>
      <c r="W30" s="10">
        <v>969489000</v>
      </c>
      <c r="X30" s="10">
        <v>3074925000</v>
      </c>
      <c r="Y30" s="10">
        <v>2240765000</v>
      </c>
      <c r="Z30" s="10">
        <v>1221018000</v>
      </c>
      <c r="AA30" s="10">
        <v>208217000</v>
      </c>
      <c r="AB30" s="10">
        <v>-199301000</v>
      </c>
      <c r="AC30" s="10">
        <v>-309719000</v>
      </c>
      <c r="AD30" s="10">
        <v>-314903000</v>
      </c>
      <c r="AE30" s="10">
        <v>-271028000</v>
      </c>
      <c r="AF30" s="10">
        <v>45147000</v>
      </c>
      <c r="AG30" s="10">
        <v>202373000</v>
      </c>
      <c r="AH30" s="10">
        <v>753893000</v>
      </c>
      <c r="AI30" s="10">
        <v>281418000</v>
      </c>
      <c r="AJ30" s="10">
        <v>2666382000</v>
      </c>
      <c r="AK30" s="10">
        <v>2567881000</v>
      </c>
      <c r="AL30" s="10">
        <v>1534388000</v>
      </c>
      <c r="AM30" s="10">
        <v>814802000</v>
      </c>
      <c r="AN30" s="10">
        <v>-370820974</v>
      </c>
      <c r="AO30" s="10"/>
      <c r="AP30" s="10"/>
    </row>
    <row r="31" spans="1:42" s="11" customFormat="1" ht="15" customHeight="1" x14ac:dyDescent="0.25">
      <c r="A31" s="4"/>
      <c r="B31" s="9" t="s">
        <v>62</v>
      </c>
      <c r="C31" s="10">
        <v>377417000</v>
      </c>
      <c r="D31" s="10">
        <v>5801046000</v>
      </c>
      <c r="E31" s="10">
        <v>4487454000</v>
      </c>
      <c r="F31" s="10">
        <v>2744413000</v>
      </c>
      <c r="G31" s="10">
        <v>1169481000</v>
      </c>
      <c r="H31" s="10">
        <v>2797347000</v>
      </c>
      <c r="I31" s="10">
        <v>1859600000</v>
      </c>
      <c r="J31" s="10">
        <v>1072273000</v>
      </c>
      <c r="K31" s="10">
        <v>471465000</v>
      </c>
      <c r="L31" s="10">
        <v>255971000</v>
      </c>
      <c r="M31" s="10">
        <v>313453000</v>
      </c>
      <c r="N31" s="10">
        <v>207040000</v>
      </c>
      <c r="O31" s="10">
        <v>109964000</v>
      </c>
      <c r="P31" s="10">
        <v>945526000</v>
      </c>
      <c r="Q31" s="10">
        <v>839763000</v>
      </c>
      <c r="R31" s="10">
        <v>576463000</v>
      </c>
      <c r="S31" s="10">
        <v>306624000</v>
      </c>
      <c r="T31" s="10">
        <v>852501000</v>
      </c>
      <c r="U31" s="10">
        <v>571320000</v>
      </c>
      <c r="V31" s="10">
        <v>351476000</v>
      </c>
      <c r="W31" s="10">
        <v>167235000</v>
      </c>
      <c r="X31" s="10">
        <v>202068000</v>
      </c>
      <c r="Y31" s="10">
        <v>157055000</v>
      </c>
      <c r="Z31" s="10">
        <v>95545000</v>
      </c>
      <c r="AA31" s="10">
        <v>29504000</v>
      </c>
      <c r="AB31" s="10">
        <v>-40506000</v>
      </c>
      <c r="AC31" s="10">
        <v>12770000</v>
      </c>
      <c r="AD31" s="10">
        <v>9627000</v>
      </c>
      <c r="AE31" s="10">
        <v>195000</v>
      </c>
      <c r="AF31" s="10">
        <v>101118000</v>
      </c>
      <c r="AG31" s="10">
        <v>18456000</v>
      </c>
      <c r="AH31" s="10">
        <v>7356000</v>
      </c>
      <c r="AI31" s="10">
        <v>7878000</v>
      </c>
      <c r="AJ31" s="10">
        <v>68807000</v>
      </c>
      <c r="AK31" s="10">
        <v>308000</v>
      </c>
      <c r="AL31" s="10">
        <v>7612000</v>
      </c>
      <c r="AM31" s="10">
        <v>6703000</v>
      </c>
      <c r="AN31" s="10">
        <v>-38176877</v>
      </c>
      <c r="AO31" s="10"/>
      <c r="AP31" s="10"/>
    </row>
    <row r="32" spans="1:42" s="11" customFormat="1" ht="15" customHeight="1" x14ac:dyDescent="0.25">
      <c r="A32" s="4"/>
      <c r="B32" s="9" t="s">
        <v>63</v>
      </c>
      <c r="C32" s="10">
        <v>1102130000</v>
      </c>
      <c r="D32" s="10">
        <v>15539984000</v>
      </c>
      <c r="E32" s="10">
        <v>12142065000</v>
      </c>
      <c r="F32" s="10">
        <v>7449871000</v>
      </c>
      <c r="G32" s="10">
        <v>3121329000</v>
      </c>
      <c r="H32" s="10">
        <v>10642219000</v>
      </c>
      <c r="I32" s="10">
        <v>7422719000</v>
      </c>
      <c r="J32" s="10">
        <v>4367189000</v>
      </c>
      <c r="K32" s="10">
        <v>1898678000</v>
      </c>
      <c r="L32" s="10">
        <v>2960483000</v>
      </c>
      <c r="M32" s="10">
        <v>1331909000</v>
      </c>
      <c r="N32" s="10">
        <v>734158000</v>
      </c>
      <c r="O32" s="10">
        <v>448026000</v>
      </c>
      <c r="P32" s="10">
        <v>4323595000</v>
      </c>
      <c r="Q32" s="10">
        <v>3452228000</v>
      </c>
      <c r="R32" s="10">
        <v>2403866000</v>
      </c>
      <c r="S32" s="10">
        <v>1295456000</v>
      </c>
      <c r="T32" s="10">
        <v>4195169000</v>
      </c>
      <c r="U32" s="10">
        <v>2571085000</v>
      </c>
      <c r="V32" s="10">
        <v>1476004000</v>
      </c>
      <c r="W32" s="10">
        <v>802254000</v>
      </c>
      <c r="X32" s="10">
        <v>2872857000</v>
      </c>
      <c r="Y32" s="10">
        <v>2083710000</v>
      </c>
      <c r="Z32" s="10">
        <v>1125473000</v>
      </c>
      <c r="AA32" s="10">
        <v>178713000</v>
      </c>
      <c r="AB32" s="10">
        <v>-158795000</v>
      </c>
      <c r="AC32" s="10">
        <v>-322489000</v>
      </c>
      <c r="AD32" s="10">
        <v>-324530000</v>
      </c>
      <c r="AE32" s="10">
        <v>-271223000</v>
      </c>
      <c r="AF32" s="10">
        <v>-55971000</v>
      </c>
      <c r="AG32" s="10">
        <v>183917000</v>
      </c>
      <c r="AH32" s="10">
        <v>746537000</v>
      </c>
      <c r="AI32" s="10">
        <v>273540000</v>
      </c>
      <c r="AJ32" s="10">
        <v>2597575000</v>
      </c>
      <c r="AK32" s="10">
        <v>2567573000</v>
      </c>
      <c r="AL32" s="10">
        <v>1526776000</v>
      </c>
      <c r="AM32" s="10">
        <v>808099000</v>
      </c>
      <c r="AN32" s="10">
        <v>-332644097</v>
      </c>
      <c r="AO32" s="10"/>
      <c r="AP32" s="10"/>
    </row>
    <row r="33" spans="1:42" s="11" customFormat="1" ht="15" customHeight="1" x14ac:dyDescent="0.25">
      <c r="A33" s="4"/>
      <c r="B33" s="9" t="s">
        <v>64</v>
      </c>
      <c r="C33" s="10">
        <v>1102130000</v>
      </c>
      <c r="D33" s="10">
        <v>15539984000</v>
      </c>
      <c r="E33" s="10">
        <v>12142065000</v>
      </c>
      <c r="F33" s="10">
        <v>7449871000</v>
      </c>
      <c r="G33" s="10">
        <v>3121329000</v>
      </c>
      <c r="H33" s="10">
        <v>10642219000</v>
      </c>
      <c r="I33" s="10">
        <v>7422719000</v>
      </c>
      <c r="J33" s="10">
        <v>4367189000</v>
      </c>
      <c r="K33" s="10">
        <v>1898678000</v>
      </c>
      <c r="L33" s="10">
        <v>2960483000</v>
      </c>
      <c r="M33" s="10">
        <v>1331909000</v>
      </c>
      <c r="N33" s="10">
        <v>734158000</v>
      </c>
      <c r="O33" s="10">
        <v>448026000</v>
      </c>
      <c r="P33" s="10">
        <v>4323595000</v>
      </c>
      <c r="Q33" s="10">
        <v>3452228000</v>
      </c>
      <c r="R33" s="10">
        <v>2403866000</v>
      </c>
      <c r="S33" s="10">
        <v>1295456000</v>
      </c>
      <c r="T33" s="10">
        <v>4195169000</v>
      </c>
      <c r="U33" s="10">
        <v>2571085000</v>
      </c>
      <c r="V33" s="10">
        <v>1476004000</v>
      </c>
      <c r="W33" s="10">
        <v>802254000</v>
      </c>
      <c r="X33" s="10">
        <v>2872857000</v>
      </c>
      <c r="Y33" s="10">
        <v>2083710000</v>
      </c>
      <c r="Z33" s="10">
        <v>1125473000</v>
      </c>
      <c r="AA33" s="10">
        <v>178713000</v>
      </c>
      <c r="AB33" s="10">
        <v>-158795000</v>
      </c>
      <c r="AC33" s="10">
        <v>-322489000</v>
      </c>
      <c r="AD33" s="10">
        <v>-324530000</v>
      </c>
      <c r="AE33" s="10">
        <v>-271223000</v>
      </c>
      <c r="AF33" s="10">
        <v>-55971000</v>
      </c>
      <c r="AG33" s="10">
        <v>183917000</v>
      </c>
      <c r="AH33" s="10">
        <v>746537000</v>
      </c>
      <c r="AI33" s="10">
        <v>273540000</v>
      </c>
      <c r="AJ33" s="10">
        <v>2597575000</v>
      </c>
      <c r="AK33" s="10">
        <v>2567573000</v>
      </c>
      <c r="AL33" s="10">
        <v>1526776000</v>
      </c>
      <c r="AM33" s="10">
        <v>808099000</v>
      </c>
      <c r="AN33" s="10">
        <v>-332644097</v>
      </c>
      <c r="AO33" s="10"/>
      <c r="AP33" s="10"/>
    </row>
    <row r="34" spans="1:42" s="11" customFormat="1" ht="15" customHeight="1" x14ac:dyDescent="0.25">
      <c r="A34" s="4"/>
      <c r="B34" s="9" t="s">
        <v>65</v>
      </c>
      <c r="C34" s="10">
        <v>1102753000</v>
      </c>
      <c r="D34" s="10">
        <v>15540111000</v>
      </c>
      <c r="E34" s="10">
        <v>12143821000</v>
      </c>
      <c r="F34" s="10">
        <v>7450200000</v>
      </c>
      <c r="G34" s="10">
        <v>3120254000</v>
      </c>
      <c r="H34" s="10">
        <v>10641512000</v>
      </c>
      <c r="I34" s="10">
        <v>7420763000</v>
      </c>
      <c r="J34" s="10">
        <v>4366515000</v>
      </c>
      <c r="K34" s="10">
        <v>1897969000</v>
      </c>
      <c r="L34" s="10">
        <v>2953774000</v>
      </c>
      <c r="M34" s="10">
        <v>1327109000</v>
      </c>
      <c r="N34" s="10">
        <v>730335000</v>
      </c>
      <c r="O34" s="10">
        <v>444194000</v>
      </c>
      <c r="P34" s="10">
        <v>4322356000</v>
      </c>
      <c r="Q34" s="10">
        <v>3452106000</v>
      </c>
      <c r="R34" s="10">
        <v>2403799000</v>
      </c>
      <c r="S34" s="10">
        <v>1295730000</v>
      </c>
      <c r="T34" s="10">
        <v>4195456000</v>
      </c>
      <c r="U34" s="10">
        <v>2571059000</v>
      </c>
      <c r="V34" s="10">
        <v>1475739000</v>
      </c>
      <c r="W34" s="10">
        <v>802538000</v>
      </c>
      <c r="X34" s="10">
        <v>2872470000</v>
      </c>
      <c r="Y34" s="10">
        <v>2083680000</v>
      </c>
      <c r="Z34" s="10">
        <v>1125401000</v>
      </c>
      <c r="AA34" s="10">
        <v>178595000</v>
      </c>
      <c r="AB34" s="10">
        <v>-158886000</v>
      </c>
      <c r="AC34" s="10">
        <v>-322392000</v>
      </c>
      <c r="AD34" s="10">
        <v>-324278000</v>
      </c>
      <c r="AE34" s="10">
        <v>-271119000</v>
      </c>
      <c r="AF34" s="10">
        <v>-56641000</v>
      </c>
      <c r="AG34" s="10">
        <v>183252000</v>
      </c>
      <c r="AH34" s="10">
        <v>744352000</v>
      </c>
      <c r="AI34" s="10">
        <v>273264000</v>
      </c>
      <c r="AJ34" s="10">
        <v>2620962000</v>
      </c>
      <c r="AK34" s="10">
        <v>2601945000</v>
      </c>
      <c r="AL34" s="10">
        <v>1547697000</v>
      </c>
      <c r="AM34" s="10">
        <v>819633000</v>
      </c>
      <c r="AN34" s="10"/>
      <c r="AO34" s="10"/>
      <c r="AP34" s="10"/>
    </row>
    <row r="35" spans="1:42" s="11" customFormat="1" ht="15" customHeight="1" x14ac:dyDescent="0.25">
      <c r="A35" s="4"/>
      <c r="B35" s="9" t="s">
        <v>66</v>
      </c>
      <c r="C35" s="10">
        <v>237231000</v>
      </c>
      <c r="D35" s="10">
        <v>-67219000</v>
      </c>
      <c r="E35" s="10">
        <v>-32508000</v>
      </c>
      <c r="F35" s="10">
        <v>212319000</v>
      </c>
      <c r="G35" s="10">
        <v>141965000</v>
      </c>
      <c r="H35" s="10">
        <v>-422042000</v>
      </c>
      <c r="I35" s="10">
        <v>-118698000</v>
      </c>
      <c r="J35" s="10">
        <v>-203618000</v>
      </c>
      <c r="K35" s="10">
        <v>-329711000</v>
      </c>
      <c r="L35" s="10">
        <v>28844000</v>
      </c>
      <c r="M35" s="10">
        <v>-361532000</v>
      </c>
      <c r="N35" s="10">
        <v>-67539000</v>
      </c>
      <c r="O35" s="10">
        <v>-17589000</v>
      </c>
      <c r="P35" s="10">
        <v>18095000</v>
      </c>
      <c r="Q35" s="10">
        <v>249820000</v>
      </c>
      <c r="R35" s="10">
        <v>73785000</v>
      </c>
      <c r="S35" s="10">
        <v>12377000</v>
      </c>
      <c r="T35" s="10">
        <v>-52361000</v>
      </c>
      <c r="U35" s="10">
        <v>-103864000</v>
      </c>
      <c r="V35" s="10">
        <v>-203076000</v>
      </c>
      <c r="W35" s="10">
        <v>-16737000</v>
      </c>
      <c r="X35" s="10">
        <v>22125000</v>
      </c>
      <c r="Y35" s="10">
        <v>58122000</v>
      </c>
      <c r="Z35" s="10">
        <v>277767000</v>
      </c>
      <c r="AA35" s="10">
        <v>125142000</v>
      </c>
      <c r="AB35" s="10">
        <v>-305601000</v>
      </c>
      <c r="AC35" s="10">
        <v>-94379000</v>
      </c>
      <c r="AD35" s="10">
        <v>-19358000</v>
      </c>
      <c r="AE35" s="10">
        <v>-31799000</v>
      </c>
      <c r="AF35" s="10">
        <v>68850000</v>
      </c>
      <c r="AG35" s="10">
        <v>149969000</v>
      </c>
      <c r="AH35" s="10">
        <v>-121057000</v>
      </c>
      <c r="AI35" s="10">
        <v>-71727000</v>
      </c>
      <c r="AJ35" s="10">
        <v>-103395000</v>
      </c>
      <c r="AK35" s="10">
        <v>-48846000</v>
      </c>
      <c r="AL35" s="10">
        <v>77598000</v>
      </c>
      <c r="AM35" s="10">
        <v>-96931000</v>
      </c>
      <c r="AN35" s="10"/>
      <c r="AO35" s="10"/>
      <c r="AP35" s="10"/>
    </row>
    <row r="36" spans="1:42" s="11" customFormat="1" ht="15" customHeight="1" x14ac:dyDescent="0.25">
      <c r="A36" s="4"/>
      <c r="B36" s="9" t="s">
        <v>67</v>
      </c>
      <c r="C36" s="10">
        <v>1339361000</v>
      </c>
      <c r="D36" s="10">
        <v>15472765000</v>
      </c>
      <c r="E36" s="10">
        <v>12109557000</v>
      </c>
      <c r="F36" s="10">
        <v>7662190000</v>
      </c>
      <c r="G36" s="10">
        <v>3263294000</v>
      </c>
      <c r="H36" s="10">
        <v>10220177000</v>
      </c>
      <c r="I36" s="10">
        <v>7304021000</v>
      </c>
      <c r="J36" s="10">
        <v>4163571000</v>
      </c>
      <c r="K36" s="10">
        <v>1568967000</v>
      </c>
      <c r="L36" s="10">
        <v>2989327000</v>
      </c>
      <c r="M36" s="10">
        <v>970377000</v>
      </c>
      <c r="N36" s="10">
        <v>666619000</v>
      </c>
      <c r="O36" s="10">
        <v>430437000</v>
      </c>
      <c r="P36" s="10">
        <v>4341690000</v>
      </c>
      <c r="Q36" s="10">
        <v>3702048000</v>
      </c>
      <c r="R36" s="10">
        <v>2477651000</v>
      </c>
      <c r="S36" s="10">
        <v>1307833000</v>
      </c>
      <c r="T36" s="10">
        <v>4142808000</v>
      </c>
      <c r="U36" s="10">
        <v>2467221000</v>
      </c>
      <c r="V36" s="10">
        <v>1272928000</v>
      </c>
      <c r="W36" s="10">
        <v>785517000</v>
      </c>
      <c r="X36" s="10">
        <v>2894982000</v>
      </c>
      <c r="Y36" s="10">
        <v>2141832000</v>
      </c>
      <c r="Z36" s="10">
        <v>1403240000</v>
      </c>
      <c r="AA36" s="10">
        <v>303855000</v>
      </c>
      <c r="AB36" s="10">
        <v>-464396000</v>
      </c>
      <c r="AC36" s="10">
        <v>-416868000</v>
      </c>
      <c r="AD36" s="10">
        <v>-343888000</v>
      </c>
      <c r="AE36" s="10">
        <v>-303022000</v>
      </c>
      <c r="AF36" s="10">
        <v>12879000</v>
      </c>
      <c r="AG36" s="10">
        <v>333886000</v>
      </c>
      <c r="AH36" s="10">
        <v>625480000</v>
      </c>
      <c r="AI36" s="10">
        <v>201813000</v>
      </c>
      <c r="AJ36" s="10">
        <v>2494180000</v>
      </c>
      <c r="AK36" s="10">
        <v>2518727000</v>
      </c>
      <c r="AL36" s="10">
        <v>1604374000</v>
      </c>
      <c r="AM36" s="10">
        <v>711168000</v>
      </c>
      <c r="AN36" s="10"/>
      <c r="AO36" s="10"/>
      <c r="AP36" s="10"/>
    </row>
    <row r="37" spans="1:42" s="11" customFormat="1" ht="15" customHeight="1" x14ac:dyDescent="0.25">
      <c r="A37" s="4"/>
      <c r="B37" s="9" t="s">
        <v>68</v>
      </c>
      <c r="C37" s="10">
        <v>1339802000</v>
      </c>
      <c r="D37" s="10">
        <v>15471792000</v>
      </c>
      <c r="E37" s="10">
        <v>12110387000</v>
      </c>
      <c r="F37" s="10">
        <v>7661853000</v>
      </c>
      <c r="G37" s="10">
        <v>3262275000</v>
      </c>
      <c r="H37" s="10">
        <v>10221113000</v>
      </c>
      <c r="I37" s="10">
        <v>7302781000</v>
      </c>
      <c r="J37" s="10">
        <v>4163497000</v>
      </c>
      <c r="K37" s="10">
        <v>1568951000</v>
      </c>
      <c r="L37" s="10">
        <v>2982703000</v>
      </c>
      <c r="M37" s="10">
        <v>966382000</v>
      </c>
      <c r="N37" s="10">
        <v>662907000</v>
      </c>
      <c r="O37" s="10">
        <v>426669000</v>
      </c>
      <c r="P37" s="10">
        <v>4340700000</v>
      </c>
      <c r="Q37" s="10">
        <v>3701961000</v>
      </c>
      <c r="R37" s="10">
        <v>2477702000</v>
      </c>
      <c r="S37" s="10">
        <v>1308172000</v>
      </c>
      <c r="T37" s="10">
        <v>4142574000</v>
      </c>
      <c r="U37" s="10">
        <v>2467231000</v>
      </c>
      <c r="V37" s="10">
        <v>1272620000</v>
      </c>
      <c r="W37" s="10">
        <v>785787000</v>
      </c>
      <c r="X37" s="10">
        <v>2894652000</v>
      </c>
      <c r="Y37" s="10">
        <v>2141791000</v>
      </c>
      <c r="Z37" s="10">
        <v>1402952000</v>
      </c>
      <c r="AA37" s="10">
        <v>303623000</v>
      </c>
      <c r="AB37" s="10">
        <v>-464267000</v>
      </c>
      <c r="AC37" s="10">
        <v>-416673000</v>
      </c>
      <c r="AD37" s="10">
        <v>-343627000</v>
      </c>
      <c r="AE37" s="10">
        <v>-302868000</v>
      </c>
      <c r="AF37" s="10">
        <v>12947000</v>
      </c>
      <c r="AG37" s="10">
        <v>333895000</v>
      </c>
      <c r="AH37" s="10">
        <v>626670000</v>
      </c>
      <c r="AI37" s="10">
        <v>202926000</v>
      </c>
      <c r="AJ37" s="10">
        <v>2524853000</v>
      </c>
      <c r="AK37" s="10">
        <v>2551598000</v>
      </c>
      <c r="AL37" s="10">
        <v>1611765000</v>
      </c>
      <c r="AM37" s="10">
        <v>737275000</v>
      </c>
      <c r="AN37" s="10"/>
      <c r="AO37" s="10"/>
      <c r="AP37" s="10"/>
    </row>
    <row r="38" spans="1:42" s="11" customFormat="1" ht="15" customHeight="1" x14ac:dyDescent="0.25">
      <c r="A38" s="4"/>
      <c r="B38" s="9" t="s">
        <v>69</v>
      </c>
      <c r="C38" s="10">
        <v>1612</v>
      </c>
      <c r="D38" s="10">
        <v>22255</v>
      </c>
      <c r="E38" s="10">
        <v>17272</v>
      </c>
      <c r="F38" s="10">
        <v>10553</v>
      </c>
      <c r="G38" s="10">
        <v>4420</v>
      </c>
      <c r="H38" s="10">
        <v>15073</v>
      </c>
      <c r="I38" s="10">
        <v>10511</v>
      </c>
      <c r="J38" s="10">
        <v>6185</v>
      </c>
      <c r="K38" s="10">
        <v>2688</v>
      </c>
      <c r="L38" s="10">
        <v>4184</v>
      </c>
      <c r="M38" s="10">
        <v>1880</v>
      </c>
      <c r="N38" s="10">
        <v>1034</v>
      </c>
      <c r="O38" s="10">
        <v>629</v>
      </c>
      <c r="P38" s="10">
        <v>6002</v>
      </c>
      <c r="Q38" s="10">
        <v>4762</v>
      </c>
      <c r="R38" s="10">
        <v>3302</v>
      </c>
      <c r="S38" s="10">
        <v>1780</v>
      </c>
      <c r="T38" s="10">
        <v>5842</v>
      </c>
      <c r="U38" s="10">
        <v>3596</v>
      </c>
      <c r="V38" s="10">
        <v>2063</v>
      </c>
      <c r="W38" s="10">
        <v>1130</v>
      </c>
      <c r="X38" s="10">
        <v>4045</v>
      </c>
      <c r="Y38" s="10">
        <v>2934</v>
      </c>
      <c r="Z38" s="10">
        <v>1620</v>
      </c>
      <c r="AA38" s="10">
        <v>257</v>
      </c>
      <c r="AB38" s="10">
        <v>-233</v>
      </c>
      <c r="AC38" s="10">
        <v>-476</v>
      </c>
      <c r="AD38" s="10">
        <v>-484</v>
      </c>
      <c r="AE38" s="10">
        <v>-420</v>
      </c>
      <c r="AF38" s="10">
        <v>-96</v>
      </c>
      <c r="AG38" s="10">
        <v>309</v>
      </c>
      <c r="AH38" s="10">
        <v>1257</v>
      </c>
      <c r="AI38" s="10">
        <v>463</v>
      </c>
      <c r="AJ38" s="10">
        <v>4440</v>
      </c>
      <c r="AK38" s="10"/>
      <c r="AL38" s="10">
        <v>2622</v>
      </c>
      <c r="AM38" s="10">
        <v>1390</v>
      </c>
      <c r="AN38" s="10"/>
      <c r="AO38" s="10"/>
      <c r="AP38" s="10"/>
    </row>
    <row r="39" spans="1:42" s="11" customFormat="1" ht="15" customHeight="1" x14ac:dyDescent="0.25">
      <c r="A39" s="4"/>
      <c r="B39" s="9" t="s">
        <v>70</v>
      </c>
      <c r="C39" s="10"/>
      <c r="D39" s="10">
        <v>22252</v>
      </c>
      <c r="E39" s="10">
        <v>17270</v>
      </c>
      <c r="F39" s="10">
        <v>10551</v>
      </c>
      <c r="G39" s="10">
        <v>4419</v>
      </c>
      <c r="H39" s="10">
        <v>15072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1104</v>
      </c>
      <c r="X39" s="10"/>
      <c r="Y39" s="10"/>
      <c r="Z39" s="10">
        <v>1606</v>
      </c>
      <c r="AA39" s="10"/>
      <c r="AB39" s="10"/>
      <c r="AC39" s="10"/>
      <c r="AD39" s="10"/>
      <c r="AE39" s="10"/>
      <c r="AF39" s="10"/>
      <c r="AG39" s="10"/>
      <c r="AH39" s="10">
        <v>1246</v>
      </c>
      <c r="AI39" s="10">
        <v>462</v>
      </c>
      <c r="AJ39" s="10">
        <v>4171</v>
      </c>
      <c r="AK39" s="10"/>
      <c r="AL39" s="10">
        <v>2500</v>
      </c>
      <c r="AM39" s="10">
        <v>1305</v>
      </c>
      <c r="AN39" s="10"/>
      <c r="AO39" s="10"/>
      <c r="AP39" s="10"/>
    </row>
    <row r="40" spans="1:42" x14ac:dyDescent="0.25">
      <c r="A40" s="4"/>
    </row>
    <row r="41" spans="1:42" x14ac:dyDescent="0.25">
      <c r="A41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49"/>
  <sheetViews>
    <sheetView showGridLines="0" workbookViewId="0"/>
  </sheetViews>
  <sheetFormatPr defaultRowHeight="13.5" x14ac:dyDescent="0.25"/>
  <cols>
    <col min="1" max="1" width="1.7109375" style="3" customWidth="1"/>
    <col min="2" max="2" width="30.5703125" customWidth="1"/>
    <col min="3" max="3" width="18.140625" style="2" customWidth="1"/>
    <col min="4" max="21" width="17.28515625" style="2" bestFit="1" customWidth="1"/>
    <col min="22" max="42" width="16.28515625" style="2" bestFit="1" customWidth="1"/>
    <col min="43" max="3600" width="12.5703125" bestFit="1" customWidth="1"/>
  </cols>
  <sheetData>
    <row r="1" spans="1:42" ht="15" customHeight="1" x14ac:dyDescent="0.25"/>
    <row r="2" spans="1:42" ht="15" customHeight="1" x14ac:dyDescent="0.25">
      <c r="B2" s="18" t="s">
        <v>127</v>
      </c>
      <c r="C2" s="16" t="str">
        <f>재무상태표!C2</f>
        <v>000660</v>
      </c>
      <c r="E2" s="18" t="s">
        <v>34</v>
      </c>
      <c r="F2" s="19">
        <f ca="1">재무상태표!F2</f>
        <v>39970</v>
      </c>
      <c r="H2" s="18" t="s">
        <v>36</v>
      </c>
      <c r="I2" s="16" t="str">
        <f>재무상태표!I2</f>
        <v>연결</v>
      </c>
    </row>
    <row r="3" spans="1:42" ht="15" customHeight="1" x14ac:dyDescent="0.25">
      <c r="B3" s="18" t="s">
        <v>128</v>
      </c>
      <c r="C3" s="17" t="str">
        <f>재무상태표!C3</f>
        <v>SK하이닉스</v>
      </c>
      <c r="E3" s="18" t="s">
        <v>35</v>
      </c>
      <c r="F3" s="20">
        <f ca="1">재무상태표!F3</f>
        <v>43616</v>
      </c>
      <c r="H3" s="18" t="s">
        <v>37</v>
      </c>
      <c r="I3" s="22" t="str">
        <f>재무상태표!I3</f>
        <v>누적</v>
      </c>
    </row>
    <row r="4" spans="1:42" ht="15" customHeight="1" x14ac:dyDescent="0.25">
      <c r="C4" s="1"/>
      <c r="E4"/>
      <c r="F4"/>
      <c r="H4" s="18" t="s">
        <v>39</v>
      </c>
      <c r="I4" s="21" t="str">
        <f>재무상태표!I4</f>
        <v>연속</v>
      </c>
    </row>
    <row r="5" spans="1:42" ht="15" customHeight="1" x14ac:dyDescent="0.25">
      <c r="C5" s="1"/>
    </row>
    <row r="6" spans="1:42" ht="15" customHeight="1" x14ac:dyDescent="0.25"/>
    <row r="7" spans="1:42" ht="15" customHeight="1" x14ac:dyDescent="0.25">
      <c r="B7" s="31" t="str">
        <f ca="1">_xll.IMDH("STK",$C$2,B8:B47,$F$2,$F$3,9999,"Per=일,sort=D,real=true,Bizday=0,Quote=종가,Pos=11,Orient=H,Cons="&amp;$I$2&amp;",Comp="&amp;$I$3&amp;",Trai="&amp;I4&amp;",Title="&amp;$C$3&amp;",DtFmt=1,TmFmt=1,unit=true")</f>
        <v>SK하이닉스</v>
      </c>
    </row>
    <row r="8" spans="1:42" s="7" customFormat="1" ht="15" customHeight="1" x14ac:dyDescent="0.25">
      <c r="A8" s="15"/>
      <c r="B8" s="7" t="s">
        <v>38</v>
      </c>
      <c r="C8" s="8">
        <v>43555</v>
      </c>
      <c r="D8" s="8">
        <v>43465</v>
      </c>
      <c r="E8" s="8">
        <v>43373</v>
      </c>
      <c r="F8" s="8">
        <v>43281</v>
      </c>
      <c r="G8" s="8">
        <v>43190</v>
      </c>
      <c r="H8" s="8">
        <v>43100</v>
      </c>
      <c r="I8" s="8">
        <v>43008</v>
      </c>
      <c r="J8" s="8">
        <v>42916</v>
      </c>
      <c r="K8" s="8">
        <v>42825</v>
      </c>
      <c r="L8" s="8">
        <v>42735</v>
      </c>
      <c r="M8" s="8">
        <v>42643</v>
      </c>
      <c r="N8" s="8">
        <v>42551</v>
      </c>
      <c r="O8" s="8">
        <v>42460</v>
      </c>
      <c r="P8" s="8">
        <v>42369</v>
      </c>
      <c r="Q8" s="8">
        <v>42277</v>
      </c>
      <c r="R8" s="8">
        <v>42185</v>
      </c>
      <c r="S8" s="8">
        <v>42094</v>
      </c>
      <c r="T8" s="8">
        <v>42004</v>
      </c>
      <c r="U8" s="8">
        <v>41912</v>
      </c>
      <c r="V8" s="8">
        <v>41820</v>
      </c>
      <c r="W8" s="8">
        <v>41729</v>
      </c>
      <c r="X8" s="8">
        <v>41639</v>
      </c>
      <c r="Y8" s="8">
        <v>41547</v>
      </c>
      <c r="Z8" s="8">
        <v>41455</v>
      </c>
      <c r="AA8" s="8">
        <v>41364</v>
      </c>
      <c r="AB8" s="8">
        <v>41274</v>
      </c>
      <c r="AC8" s="8">
        <v>41182</v>
      </c>
      <c r="AD8" s="8">
        <v>41090</v>
      </c>
      <c r="AE8" s="8">
        <v>40999</v>
      </c>
      <c r="AF8" s="8">
        <v>40908</v>
      </c>
      <c r="AG8" s="8">
        <v>40816</v>
      </c>
      <c r="AH8" s="8">
        <v>40724</v>
      </c>
      <c r="AI8" s="8">
        <v>40633</v>
      </c>
      <c r="AJ8" s="8">
        <v>40543</v>
      </c>
      <c r="AK8" s="8">
        <v>40451</v>
      </c>
      <c r="AL8" s="8">
        <v>40359</v>
      </c>
      <c r="AM8" s="8">
        <v>40268</v>
      </c>
      <c r="AN8" s="8">
        <v>40178</v>
      </c>
      <c r="AO8" s="8"/>
      <c r="AP8" s="8"/>
    </row>
    <row r="9" spans="1:42" s="14" customFormat="1" ht="15" customHeight="1" x14ac:dyDescent="0.25">
      <c r="A9" s="4"/>
      <c r="B9" s="12" t="s">
        <v>71</v>
      </c>
      <c r="C9" s="13">
        <v>2630762000</v>
      </c>
      <c r="D9" s="13">
        <v>22227199000</v>
      </c>
      <c r="E9" s="13">
        <v>15256517000</v>
      </c>
      <c r="F9" s="13">
        <v>8168263000</v>
      </c>
      <c r="G9" s="13">
        <v>4523576000</v>
      </c>
      <c r="H9" s="13">
        <v>14690614000</v>
      </c>
      <c r="I9" s="13">
        <v>9904080000</v>
      </c>
      <c r="J9" s="13">
        <v>6104122000</v>
      </c>
      <c r="K9" s="13">
        <v>2820020000</v>
      </c>
      <c r="L9" s="13">
        <v>5548922000</v>
      </c>
      <c r="M9" s="13">
        <v>3569159000</v>
      </c>
      <c r="N9" s="13">
        <v>1932535000</v>
      </c>
      <c r="O9" s="13">
        <v>649699000</v>
      </c>
      <c r="P9" s="13">
        <v>9319520000</v>
      </c>
      <c r="Q9" s="13">
        <v>6876195000</v>
      </c>
      <c r="R9" s="13">
        <v>4686390000</v>
      </c>
      <c r="S9" s="13">
        <v>2537650000</v>
      </c>
      <c r="T9" s="13">
        <v>5866691000</v>
      </c>
      <c r="U9" s="13">
        <v>4645022000</v>
      </c>
      <c r="V9" s="13">
        <v>3019859000</v>
      </c>
      <c r="W9" s="13">
        <v>1210525000</v>
      </c>
      <c r="X9" s="13">
        <v>6372056000</v>
      </c>
      <c r="Y9" s="13">
        <v>4652778000</v>
      </c>
      <c r="Z9" s="13">
        <v>2468869000</v>
      </c>
      <c r="AA9" s="13">
        <v>945760000</v>
      </c>
      <c r="AB9" s="13">
        <v>2211651000</v>
      </c>
      <c r="AC9" s="13">
        <v>1598458000</v>
      </c>
      <c r="AD9" s="13">
        <v>1229771000</v>
      </c>
      <c r="AE9" s="13">
        <v>743813000</v>
      </c>
      <c r="AF9" s="13">
        <v>2855960000</v>
      </c>
      <c r="AG9" s="13">
        <v>2120218000</v>
      </c>
      <c r="AH9" s="13">
        <v>1513460000</v>
      </c>
      <c r="AI9" s="13">
        <v>593830000</v>
      </c>
      <c r="AJ9" s="13">
        <v>5883541000</v>
      </c>
      <c r="AK9" s="13">
        <v>4775081000</v>
      </c>
      <c r="AL9" s="13">
        <v>2758648000</v>
      </c>
      <c r="AM9" s="13">
        <v>1559511000</v>
      </c>
      <c r="AN9" s="13">
        <v>1340381596</v>
      </c>
      <c r="AO9" s="13"/>
      <c r="AP9" s="13"/>
    </row>
    <row r="10" spans="1:42" s="11" customFormat="1" ht="15" customHeight="1" x14ac:dyDescent="0.25">
      <c r="A10" s="4"/>
      <c r="B10" s="9" t="s">
        <v>72</v>
      </c>
      <c r="C10" s="10">
        <v>1102130000</v>
      </c>
      <c r="D10" s="10">
        <v>15539984000</v>
      </c>
      <c r="E10" s="10">
        <v>12142065000</v>
      </c>
      <c r="F10" s="10">
        <v>7449871000</v>
      </c>
      <c r="G10" s="10">
        <v>3121329000</v>
      </c>
      <c r="H10" s="10">
        <v>10642219000</v>
      </c>
      <c r="I10" s="10">
        <v>7422719000</v>
      </c>
      <c r="J10" s="10">
        <v>4367189000</v>
      </c>
      <c r="K10" s="10">
        <v>1898678000</v>
      </c>
      <c r="L10" s="10">
        <v>2960483000</v>
      </c>
      <c r="M10" s="10">
        <v>1331909000</v>
      </c>
      <c r="N10" s="10">
        <v>734158000</v>
      </c>
      <c r="O10" s="10">
        <v>448026000</v>
      </c>
      <c r="P10" s="10">
        <v>4323595000</v>
      </c>
      <c r="Q10" s="10">
        <v>3452228000</v>
      </c>
      <c r="R10" s="10">
        <v>2403866000</v>
      </c>
      <c r="S10" s="10">
        <v>1295456000</v>
      </c>
      <c r="T10" s="10">
        <v>4195169000</v>
      </c>
      <c r="U10" s="10">
        <v>2571085000</v>
      </c>
      <c r="V10" s="10">
        <v>1476004000</v>
      </c>
      <c r="W10" s="10">
        <v>802254000</v>
      </c>
      <c r="X10" s="10">
        <v>2872857000</v>
      </c>
      <c r="Y10" s="10">
        <v>2083710000</v>
      </c>
      <c r="Z10" s="10"/>
      <c r="AA10" s="10">
        <v>178713000</v>
      </c>
      <c r="AB10" s="10"/>
      <c r="AC10" s="10"/>
      <c r="AD10" s="10"/>
      <c r="AE10" s="10"/>
      <c r="AF10" s="10"/>
      <c r="AG10" s="10"/>
      <c r="AH10" s="10"/>
      <c r="AI10" s="10"/>
      <c r="AJ10" s="10">
        <v>2656476000</v>
      </c>
      <c r="AK10" s="10"/>
      <c r="AL10" s="10"/>
      <c r="AM10" s="10"/>
      <c r="AN10" s="10">
        <v>-332644097</v>
      </c>
      <c r="AO10" s="10"/>
      <c r="AP10" s="10"/>
    </row>
    <row r="11" spans="1:42" s="11" customFormat="1" ht="15" customHeight="1" x14ac:dyDescent="0.25">
      <c r="A11" s="4"/>
      <c r="B11" s="9" t="s">
        <v>73</v>
      </c>
      <c r="C11" s="10">
        <v>2601834000</v>
      </c>
      <c r="D11" s="10">
        <v>12765682000</v>
      </c>
      <c r="E11" s="10">
        <v>9614998000</v>
      </c>
      <c r="F11" s="10">
        <v>6233342000</v>
      </c>
      <c r="G11" s="10">
        <v>2789866000</v>
      </c>
      <c r="H11" s="10">
        <v>8382948000</v>
      </c>
      <c r="I11" s="10">
        <v>5823638000</v>
      </c>
      <c r="J11" s="10">
        <v>3665343000</v>
      </c>
      <c r="K11" s="10">
        <v>1858327000</v>
      </c>
      <c r="L11" s="10">
        <v>5178758000</v>
      </c>
      <c r="M11" s="10">
        <v>3943425000</v>
      </c>
      <c r="N11" s="10">
        <v>2640049000</v>
      </c>
      <c r="O11" s="10">
        <v>1393412000</v>
      </c>
      <c r="P11" s="10">
        <v>5343635000</v>
      </c>
      <c r="Q11" s="10">
        <v>4196466000</v>
      </c>
      <c r="R11" s="10">
        <v>2668200000</v>
      </c>
      <c r="S11" s="10">
        <v>1360873000</v>
      </c>
      <c r="T11" s="10">
        <v>4911828000</v>
      </c>
      <c r="U11" s="10">
        <v>3643135000</v>
      </c>
      <c r="V11" s="10">
        <v>2461057000</v>
      </c>
      <c r="W11" s="10">
        <v>1149647000</v>
      </c>
      <c r="X11" s="10">
        <v>3897330000</v>
      </c>
      <c r="Y11" s="10">
        <v>2947829000</v>
      </c>
      <c r="Z11" s="10">
        <v>1956706000</v>
      </c>
      <c r="AA11" s="10">
        <v>1039480000</v>
      </c>
      <c r="AB11" s="10">
        <v>3690178000</v>
      </c>
      <c r="AC11" s="10">
        <v>2761886000</v>
      </c>
      <c r="AD11" s="10">
        <v>1868571000</v>
      </c>
      <c r="AE11" s="10">
        <v>986446000</v>
      </c>
      <c r="AF11" s="10">
        <v>3981991000</v>
      </c>
      <c r="AG11" s="10">
        <v>3183581000</v>
      </c>
      <c r="AH11" s="10">
        <v>1961983000</v>
      </c>
      <c r="AI11" s="10">
        <v>1043929000</v>
      </c>
      <c r="AJ11" s="10">
        <v>3857362000</v>
      </c>
      <c r="AK11" s="10">
        <v>2791720000</v>
      </c>
      <c r="AL11" s="10">
        <v>1925281000</v>
      </c>
      <c r="AM11" s="10">
        <v>901118000</v>
      </c>
      <c r="AN11" s="10">
        <v>3607740348</v>
      </c>
      <c r="AO11" s="10"/>
      <c r="AP11" s="10"/>
    </row>
    <row r="12" spans="1:42" s="11" customFormat="1" ht="15" customHeight="1" x14ac:dyDescent="0.25">
      <c r="A12" s="4"/>
      <c r="B12" s="9" t="s">
        <v>74</v>
      </c>
      <c r="C12" s="10">
        <v>1816877000</v>
      </c>
      <c r="D12" s="10">
        <v>5904240000</v>
      </c>
      <c r="E12" s="10">
        <v>4285230000</v>
      </c>
      <c r="F12" s="10">
        <v>2763874000</v>
      </c>
      <c r="G12" s="10">
        <v>1318856000</v>
      </c>
      <c r="H12" s="10">
        <v>4618881000</v>
      </c>
      <c r="I12" s="10">
        <v>3408766000</v>
      </c>
      <c r="J12" s="10">
        <v>2220348000</v>
      </c>
      <c r="K12" s="10">
        <v>1086730000</v>
      </c>
      <c r="L12" s="10">
        <v>4133886000</v>
      </c>
      <c r="M12" s="10">
        <v>3065956000</v>
      </c>
      <c r="N12" s="10">
        <v>2018478000</v>
      </c>
      <c r="O12" s="10">
        <v>984498000</v>
      </c>
      <c r="P12" s="10">
        <v>3695158000</v>
      </c>
      <c r="Q12" s="10">
        <v>2726911000</v>
      </c>
      <c r="R12" s="10">
        <v>1785228000</v>
      </c>
      <c r="S12" s="10">
        <v>880494000</v>
      </c>
      <c r="T12" s="10">
        <v>3269705000</v>
      </c>
      <c r="U12" s="10">
        <v>2406024000</v>
      </c>
      <c r="V12" s="10">
        <v>1572095000</v>
      </c>
      <c r="W12" s="10">
        <v>774622000</v>
      </c>
      <c r="X12" s="10">
        <v>2922245000</v>
      </c>
      <c r="Y12" s="10">
        <v>2185037000</v>
      </c>
      <c r="Z12" s="10">
        <v>1454323000</v>
      </c>
      <c r="AA12" s="10">
        <v>727324000</v>
      </c>
      <c r="AB12" s="10">
        <v>3057856000</v>
      </c>
      <c r="AC12" s="10">
        <v>2306118000</v>
      </c>
      <c r="AD12" s="10">
        <v>1550971000</v>
      </c>
      <c r="AE12" s="10">
        <v>808376000</v>
      </c>
      <c r="AF12" s="10">
        <v>3401222000</v>
      </c>
      <c r="AG12" s="10">
        <v>2570616000</v>
      </c>
      <c r="AH12" s="10">
        <v>1687353000</v>
      </c>
      <c r="AI12" s="10">
        <v>837497000</v>
      </c>
      <c r="AJ12" s="10">
        <v>3128028000</v>
      </c>
      <c r="AK12" s="10">
        <v>2295490000</v>
      </c>
      <c r="AL12" s="10">
        <v>1445910000</v>
      </c>
      <c r="AM12" s="10">
        <v>736376000</v>
      </c>
      <c r="AN12" s="10">
        <v>2654166260</v>
      </c>
      <c r="AO12" s="10"/>
      <c r="AP12" s="10"/>
    </row>
    <row r="13" spans="1:42" s="11" customFormat="1" ht="15" customHeight="1" x14ac:dyDescent="0.25">
      <c r="A13" s="4"/>
      <c r="B13" s="9" t="s">
        <v>75</v>
      </c>
      <c r="C13" s="10">
        <v>221098000</v>
      </c>
      <c r="D13" s="10">
        <v>524095000</v>
      </c>
      <c r="E13" s="10">
        <v>389993000</v>
      </c>
      <c r="F13" s="10">
        <v>259590000</v>
      </c>
      <c r="G13" s="10">
        <v>129801000</v>
      </c>
      <c r="H13" s="10">
        <v>407354000</v>
      </c>
      <c r="I13" s="10">
        <v>279087000</v>
      </c>
      <c r="J13" s="10">
        <v>158692000</v>
      </c>
      <c r="K13" s="10">
        <v>78408000</v>
      </c>
      <c r="L13" s="10">
        <v>322569000</v>
      </c>
      <c r="M13" s="10">
        <v>247027000</v>
      </c>
      <c r="N13" s="10">
        <v>186600000</v>
      </c>
      <c r="O13" s="10">
        <v>94168000</v>
      </c>
      <c r="P13" s="10">
        <v>258078000</v>
      </c>
      <c r="Q13" s="10">
        <v>170803000</v>
      </c>
      <c r="R13" s="10">
        <v>107007000</v>
      </c>
      <c r="S13" s="10">
        <v>61682000</v>
      </c>
      <c r="T13" s="10">
        <v>174275000</v>
      </c>
      <c r="U13" s="10">
        <v>126186000</v>
      </c>
      <c r="V13" s="10">
        <v>85882000</v>
      </c>
      <c r="W13" s="10">
        <v>49864000</v>
      </c>
      <c r="X13" s="10">
        <v>156276000</v>
      </c>
      <c r="Y13" s="10">
        <v>105989000</v>
      </c>
      <c r="Z13" s="10">
        <v>75636000</v>
      </c>
      <c r="AA13" s="10">
        <v>45002000</v>
      </c>
      <c r="AB13" s="10">
        <v>145698000</v>
      </c>
      <c r="AC13" s="10">
        <v>93710000</v>
      </c>
      <c r="AD13" s="10">
        <v>58066000</v>
      </c>
      <c r="AE13" s="10">
        <v>30703000</v>
      </c>
      <c r="AF13" s="10">
        <v>65692000</v>
      </c>
      <c r="AG13" s="10">
        <v>35075000</v>
      </c>
      <c r="AH13" s="10">
        <v>18671000</v>
      </c>
      <c r="AI13" s="10">
        <v>9331000</v>
      </c>
      <c r="AJ13" s="10">
        <v>21195000</v>
      </c>
      <c r="AK13" s="10">
        <v>11883000</v>
      </c>
      <c r="AL13" s="10">
        <v>8405000</v>
      </c>
      <c r="AM13" s="10">
        <v>4101000</v>
      </c>
      <c r="AN13" s="10">
        <v>53146467</v>
      </c>
      <c r="AO13" s="10"/>
      <c r="AP13" s="10"/>
    </row>
    <row r="14" spans="1:42" s="11" customFormat="1" ht="15" customHeight="1" x14ac:dyDescent="0.25">
      <c r="A14" s="4"/>
      <c r="B14" s="9" t="s">
        <v>76</v>
      </c>
      <c r="C14" s="10">
        <v>85781000</v>
      </c>
      <c r="D14" s="10">
        <v>181210000</v>
      </c>
      <c r="E14" s="10">
        <v>188233000</v>
      </c>
      <c r="F14" s="10">
        <v>276398000</v>
      </c>
      <c r="G14" s="10">
        <v>94235000</v>
      </c>
      <c r="H14" s="10">
        <v>246316000</v>
      </c>
      <c r="I14" s="10">
        <v>40526000</v>
      </c>
      <c r="J14" s="10">
        <v>55474000</v>
      </c>
      <c r="K14" s="10">
        <v>141582000</v>
      </c>
      <c r="L14" s="10">
        <v>116500000</v>
      </c>
      <c r="M14" s="10">
        <v>77408000</v>
      </c>
      <c r="N14" s="10">
        <v>63359000</v>
      </c>
      <c r="O14" s="10">
        <v>128106000</v>
      </c>
      <c r="P14" s="10">
        <v>143768000</v>
      </c>
      <c r="Q14" s="10">
        <v>210792000</v>
      </c>
      <c r="R14" s="10">
        <v>61878000</v>
      </c>
      <c r="S14" s="10">
        <v>46997000</v>
      </c>
      <c r="T14" s="10">
        <v>116726000</v>
      </c>
      <c r="U14" s="10">
        <v>64045000</v>
      </c>
      <c r="V14" s="10">
        <v>49287000</v>
      </c>
      <c r="W14" s="10">
        <v>43412000</v>
      </c>
      <c r="X14" s="10">
        <v>24415000</v>
      </c>
      <c r="Y14" s="10">
        <v>60091000</v>
      </c>
      <c r="Z14" s="10">
        <v>184342000</v>
      </c>
      <c r="AA14" s="10">
        <v>111265000</v>
      </c>
      <c r="AB14" s="10">
        <v>24597000</v>
      </c>
      <c r="AC14" s="10">
        <v>26329000</v>
      </c>
      <c r="AD14" s="10">
        <v>30532000</v>
      </c>
      <c r="AE14" s="10">
        <v>9749000</v>
      </c>
      <c r="AF14" s="10">
        <v>75810000</v>
      </c>
      <c r="AG14" s="10">
        <v>280777000</v>
      </c>
      <c r="AH14" s="10">
        <v>27332000</v>
      </c>
      <c r="AI14" s="10">
        <v>32419000</v>
      </c>
      <c r="AJ14" s="10">
        <v>51059000</v>
      </c>
      <c r="AK14" s="10">
        <v>94346000</v>
      </c>
      <c r="AL14" s="10">
        <v>209677000</v>
      </c>
      <c r="AM14" s="10">
        <v>26447000</v>
      </c>
      <c r="AN14" s="10">
        <v>34626817</v>
      </c>
      <c r="AO14" s="10"/>
      <c r="AP14" s="10"/>
    </row>
    <row r="15" spans="1:42" s="11" customFormat="1" ht="15" customHeight="1" x14ac:dyDescent="0.25">
      <c r="A15" s="4"/>
      <c r="B15" s="9" t="s">
        <v>77</v>
      </c>
      <c r="C15" s="10">
        <v>3675000</v>
      </c>
      <c r="D15" s="10">
        <v>65283000</v>
      </c>
      <c r="E15" s="10">
        <v>62173000</v>
      </c>
      <c r="F15" s="10">
        <v>56097000</v>
      </c>
      <c r="G15" s="10">
        <v>4542000</v>
      </c>
      <c r="H15" s="10">
        <v>15101000</v>
      </c>
      <c r="I15" s="10">
        <v>10210000</v>
      </c>
      <c r="J15" s="10">
        <v>8525000</v>
      </c>
      <c r="K15" s="10">
        <v>6482000</v>
      </c>
      <c r="L15" s="10">
        <v>11784000</v>
      </c>
      <c r="M15" s="10">
        <v>9180000</v>
      </c>
      <c r="N15" s="10">
        <v>6555000</v>
      </c>
      <c r="O15" s="10"/>
      <c r="P15" s="10"/>
      <c r="Q15" s="10">
        <v>21697000</v>
      </c>
      <c r="R15" s="10">
        <v>6163000</v>
      </c>
      <c r="S15" s="10"/>
      <c r="T15" s="10"/>
      <c r="U15" s="10">
        <v>12755000</v>
      </c>
      <c r="V15" s="10">
        <v>9353000</v>
      </c>
      <c r="W15" s="10"/>
      <c r="X15" s="10"/>
      <c r="Y15" s="10"/>
      <c r="Z15" s="10"/>
      <c r="AA15" s="10"/>
      <c r="AB15" s="10"/>
      <c r="AC15" s="10"/>
      <c r="AD15" s="10">
        <v>4490000</v>
      </c>
      <c r="AE15" s="10">
        <v>2217000</v>
      </c>
      <c r="AF15" s="10">
        <v>15343000</v>
      </c>
      <c r="AG15" s="10">
        <v>12703000</v>
      </c>
      <c r="AH15" s="10">
        <v>1596000</v>
      </c>
      <c r="AI15" s="10">
        <v>856000</v>
      </c>
      <c r="AJ15" s="10">
        <v>47970000</v>
      </c>
      <c r="AK15" s="10">
        <v>40008000</v>
      </c>
      <c r="AL15" s="10">
        <v>37476000</v>
      </c>
      <c r="AM15" s="10">
        <v>25038000</v>
      </c>
      <c r="AN15" s="10">
        <v>39947782</v>
      </c>
      <c r="AO15" s="10"/>
      <c r="AP15" s="10"/>
    </row>
    <row r="16" spans="1:42" s="11" customFormat="1" ht="15" customHeight="1" x14ac:dyDescent="0.25">
      <c r="A16" s="4"/>
      <c r="B16" s="9" t="s">
        <v>78</v>
      </c>
      <c r="C16" s="10">
        <v>192514000</v>
      </c>
      <c r="D16" s="10">
        <v>483731000</v>
      </c>
      <c r="E16" s="10">
        <v>193980000</v>
      </c>
      <c r="F16" s="10">
        <v>520281000</v>
      </c>
      <c r="G16" s="10">
        <v>87475000</v>
      </c>
      <c r="H16" s="10">
        <v>461770000</v>
      </c>
      <c r="I16" s="10">
        <v>326977000</v>
      </c>
      <c r="J16" s="10">
        <v>243567000</v>
      </c>
      <c r="K16" s="10">
        <v>239649000</v>
      </c>
      <c r="L16" s="10">
        <v>193414000</v>
      </c>
      <c r="M16" s="10">
        <v>247526000</v>
      </c>
      <c r="N16" s="10">
        <v>106800000</v>
      </c>
      <c r="O16" s="10">
        <v>133297000</v>
      </c>
      <c r="P16" s="10">
        <v>142246000</v>
      </c>
      <c r="Q16" s="10">
        <v>174508000</v>
      </c>
      <c r="R16" s="10">
        <v>136270000</v>
      </c>
      <c r="S16" s="10">
        <v>77551000</v>
      </c>
      <c r="T16" s="10">
        <v>144306000</v>
      </c>
      <c r="U16" s="10">
        <v>206290000</v>
      </c>
      <c r="V16" s="10">
        <v>142915000</v>
      </c>
      <c r="W16" s="10">
        <v>49885000</v>
      </c>
      <c r="X16" s="10">
        <v>179841000</v>
      </c>
      <c r="Y16" s="10">
        <v>140687000</v>
      </c>
      <c r="Z16" s="10">
        <v>105816000</v>
      </c>
      <c r="AA16" s="10">
        <v>67122000</v>
      </c>
      <c r="AB16" s="10">
        <v>308212000</v>
      </c>
      <c r="AC16" s="10">
        <v>183196000</v>
      </c>
      <c r="AD16" s="10">
        <v>89762000</v>
      </c>
      <c r="AE16" s="10">
        <v>103476000</v>
      </c>
      <c r="AF16" s="10">
        <v>134815000</v>
      </c>
      <c r="AG16" s="10">
        <v>193947000</v>
      </c>
      <c r="AH16" s="10">
        <v>199104000</v>
      </c>
      <c r="AI16" s="10">
        <v>137954000</v>
      </c>
      <c r="AJ16" s="10">
        <v>339832000</v>
      </c>
      <c r="AK16" s="10">
        <v>339340000</v>
      </c>
      <c r="AL16" s="10">
        <v>168617000</v>
      </c>
      <c r="AM16" s="10">
        <v>208390000</v>
      </c>
      <c r="AN16" s="10">
        <v>1041075277</v>
      </c>
      <c r="AO16" s="10"/>
      <c r="AP16" s="10"/>
    </row>
    <row r="17" spans="1:42" s="11" customFormat="1" ht="15" customHeight="1" x14ac:dyDescent="0.25">
      <c r="A17" s="4"/>
      <c r="B17" s="9" t="s">
        <v>79</v>
      </c>
      <c r="C17" s="10">
        <v>149801000</v>
      </c>
      <c r="D17" s="10">
        <v>126094000</v>
      </c>
      <c r="E17" s="10">
        <v>69563000</v>
      </c>
      <c r="F17" s="10">
        <v>442996000</v>
      </c>
      <c r="G17" s="10">
        <v>44953000</v>
      </c>
      <c r="H17" s="10">
        <v>310978000</v>
      </c>
      <c r="I17" s="10">
        <v>213079000</v>
      </c>
      <c r="J17" s="10">
        <v>203227000</v>
      </c>
      <c r="K17" s="10">
        <v>224970000</v>
      </c>
      <c r="L17" s="10">
        <v>106840000</v>
      </c>
      <c r="M17" s="10">
        <v>188256000</v>
      </c>
      <c r="N17" s="10">
        <v>61045000</v>
      </c>
      <c r="O17" s="10">
        <v>117009000</v>
      </c>
      <c r="P17" s="10">
        <v>58658000</v>
      </c>
      <c r="Q17" s="10">
        <v>80959000</v>
      </c>
      <c r="R17" s="10">
        <v>78682000</v>
      </c>
      <c r="S17" s="10">
        <v>51535000</v>
      </c>
      <c r="T17" s="10">
        <v>79678000</v>
      </c>
      <c r="U17" s="10">
        <v>115348000</v>
      </c>
      <c r="V17" s="10">
        <v>86339000</v>
      </c>
      <c r="W17" s="10">
        <v>17427000</v>
      </c>
      <c r="X17" s="10">
        <v>94175000</v>
      </c>
      <c r="Y17" s="10">
        <v>81659000</v>
      </c>
      <c r="Z17" s="10">
        <v>72575000</v>
      </c>
      <c r="AA17" s="10">
        <v>50390000</v>
      </c>
      <c r="AB17" s="10">
        <v>211345000</v>
      </c>
      <c r="AC17" s="10">
        <v>104024000</v>
      </c>
      <c r="AD17" s="10">
        <v>34742000</v>
      </c>
      <c r="AE17" s="10">
        <v>71741000</v>
      </c>
      <c r="AF17" s="10">
        <v>46380000</v>
      </c>
      <c r="AG17" s="10">
        <v>132381000</v>
      </c>
      <c r="AH17" s="10">
        <v>164244000</v>
      </c>
      <c r="AI17" s="10">
        <v>121218000</v>
      </c>
      <c r="AJ17" s="10">
        <v>127834000</v>
      </c>
      <c r="AK17" s="10">
        <v>146480000</v>
      </c>
      <c r="AL17" s="10">
        <v>70807000</v>
      </c>
      <c r="AM17" s="10">
        <v>164896000</v>
      </c>
      <c r="AN17" s="10">
        <v>287521342</v>
      </c>
      <c r="AO17" s="10"/>
      <c r="AP17" s="10"/>
    </row>
    <row r="18" spans="1:42" s="11" customFormat="1" ht="15" customHeight="1" x14ac:dyDescent="0.25">
      <c r="A18" s="4"/>
      <c r="B18" s="9" t="s">
        <v>80</v>
      </c>
      <c r="C18" s="10">
        <v>202000</v>
      </c>
      <c r="D18" s="10">
        <v>44907000</v>
      </c>
      <c r="E18" s="10">
        <v>30723000</v>
      </c>
      <c r="F18" s="10">
        <v>13492000</v>
      </c>
      <c r="G18" s="10">
        <v>6016000</v>
      </c>
      <c r="H18" s="10">
        <v>66997000</v>
      </c>
      <c r="I18" s="10">
        <v>29379000</v>
      </c>
      <c r="J18" s="10">
        <v>9489000</v>
      </c>
      <c r="K18" s="10">
        <v>2000000</v>
      </c>
      <c r="L18" s="10">
        <v>13167000</v>
      </c>
      <c r="M18" s="10">
        <v>4263000</v>
      </c>
      <c r="N18" s="10">
        <v>2179000</v>
      </c>
      <c r="O18" s="10"/>
      <c r="P18" s="10"/>
      <c r="Q18" s="10">
        <v>13716000</v>
      </c>
      <c r="R18" s="10">
        <v>4415000</v>
      </c>
      <c r="S18" s="10"/>
      <c r="T18" s="10"/>
      <c r="U18" s="10">
        <v>2960000</v>
      </c>
      <c r="V18" s="10">
        <v>1527000</v>
      </c>
      <c r="W18" s="10"/>
      <c r="X18" s="10"/>
      <c r="Y18" s="10"/>
      <c r="Z18" s="10"/>
      <c r="AA18" s="10"/>
      <c r="AB18" s="10"/>
      <c r="AC18" s="10"/>
      <c r="AD18" s="10">
        <v>1265000</v>
      </c>
      <c r="AE18" s="10">
        <v>131000</v>
      </c>
      <c r="AF18" s="10">
        <v>24445000</v>
      </c>
      <c r="AG18" s="10">
        <v>16613000</v>
      </c>
      <c r="AH18" s="10">
        <v>6385000</v>
      </c>
      <c r="AI18" s="10">
        <v>3336000</v>
      </c>
      <c r="AJ18" s="10">
        <v>39043000</v>
      </c>
      <c r="AK18" s="10">
        <v>36523000</v>
      </c>
      <c r="AL18" s="10">
        <v>30990000</v>
      </c>
      <c r="AM18" s="10">
        <v>16501000</v>
      </c>
      <c r="AN18" s="10">
        <v>129583874</v>
      </c>
      <c r="AO18" s="10"/>
      <c r="AP18" s="10"/>
    </row>
    <row r="19" spans="1:42" s="11" customFormat="1" ht="15" customHeight="1" x14ac:dyDescent="0.25">
      <c r="A19" s="4"/>
      <c r="B19" s="9" t="s">
        <v>81</v>
      </c>
      <c r="C19" s="10">
        <v>-832216000</v>
      </c>
      <c r="D19" s="10">
        <v>-1996918000</v>
      </c>
      <c r="E19" s="10">
        <v>-3310899000</v>
      </c>
      <c r="F19" s="10">
        <v>-2611903000</v>
      </c>
      <c r="G19" s="10">
        <v>-248040000</v>
      </c>
      <c r="H19" s="10">
        <v>-3190136000</v>
      </c>
      <c r="I19" s="10">
        <v>-2347248000</v>
      </c>
      <c r="J19" s="10">
        <v>-1260689000</v>
      </c>
      <c r="K19" s="10">
        <v>-509710000</v>
      </c>
      <c r="L19" s="10">
        <v>-1459046000</v>
      </c>
      <c r="M19" s="10">
        <v>-515493000</v>
      </c>
      <c r="N19" s="10">
        <v>-678112000</v>
      </c>
      <c r="O19" s="10">
        <v>-778993000</v>
      </c>
      <c r="P19" s="10">
        <v>832283000</v>
      </c>
      <c r="Q19" s="10">
        <v>419760000</v>
      </c>
      <c r="R19" s="10">
        <v>379753000</v>
      </c>
      <c r="S19" s="10">
        <v>187822000</v>
      </c>
      <c r="T19" s="10">
        <v>-2657462000</v>
      </c>
      <c r="U19" s="10">
        <v>-1128097000</v>
      </c>
      <c r="V19" s="10">
        <v>-725836000</v>
      </c>
      <c r="W19" s="10">
        <v>-673732000</v>
      </c>
      <c r="X19" s="10">
        <v>-68793000</v>
      </c>
      <c r="Y19" s="10">
        <v>-125447000</v>
      </c>
      <c r="Z19" s="10">
        <v>-532336000</v>
      </c>
      <c r="AA19" s="10">
        <v>-161015000</v>
      </c>
      <c r="AB19" s="10">
        <v>-761771000</v>
      </c>
      <c r="AC19" s="10">
        <v>-507249000</v>
      </c>
      <c r="AD19" s="10">
        <v>-132933000</v>
      </c>
      <c r="AE19" s="10">
        <v>164300000</v>
      </c>
      <c r="AF19" s="10">
        <v>-812458000</v>
      </c>
      <c r="AG19" s="10">
        <v>-929065000</v>
      </c>
      <c r="AH19" s="10">
        <v>-907768000</v>
      </c>
      <c r="AI19" s="10">
        <v>-574074000</v>
      </c>
      <c r="AJ19" s="10">
        <v>-30163000</v>
      </c>
      <c r="AK19" s="10">
        <v>-63280000</v>
      </c>
      <c r="AL19" s="10">
        <v>-405882000</v>
      </c>
      <c r="AM19" s="10">
        <v>93558000</v>
      </c>
      <c r="AN19" s="10">
        <v>-893639378</v>
      </c>
      <c r="AO19" s="10"/>
      <c r="AP19" s="10"/>
    </row>
    <row r="20" spans="1:42" s="11" customFormat="1" ht="15" customHeight="1" x14ac:dyDescent="0.25">
      <c r="A20" s="4"/>
      <c r="B20" s="9" t="s">
        <v>82</v>
      </c>
      <c r="C20" s="10">
        <v>387023000</v>
      </c>
      <c r="D20" s="10">
        <v>-2390169000</v>
      </c>
      <c r="E20" s="10">
        <v>-3107089000</v>
      </c>
      <c r="F20" s="10">
        <v>-1901734000</v>
      </c>
      <c r="G20" s="10">
        <v>-590246000</v>
      </c>
      <c r="H20" s="10">
        <v>-3938403000</v>
      </c>
      <c r="I20" s="10">
        <v>-2762952000</v>
      </c>
      <c r="J20" s="10">
        <v>-1649330000</v>
      </c>
      <c r="K20" s="10">
        <v>-617012000</v>
      </c>
      <c r="L20" s="10">
        <v>-574563000</v>
      </c>
      <c r="M20" s="10">
        <v>140629000</v>
      </c>
      <c r="N20" s="10">
        <v>76960000</v>
      </c>
      <c r="O20" s="10">
        <v>-1663000</v>
      </c>
      <c r="P20" s="10">
        <v>1392175000</v>
      </c>
      <c r="Q20" s="10">
        <v>972293000</v>
      </c>
      <c r="R20" s="10">
        <v>890428000</v>
      </c>
      <c r="S20" s="10">
        <v>810217000</v>
      </c>
      <c r="T20" s="10">
        <v>-2706700000</v>
      </c>
      <c r="U20" s="10">
        <v>-1102339000</v>
      </c>
      <c r="V20" s="10">
        <v>-617534000</v>
      </c>
      <c r="W20" s="10">
        <v>-378143000</v>
      </c>
      <c r="X20" s="10">
        <v>-399216000</v>
      </c>
      <c r="Y20" s="10">
        <v>-251216000</v>
      </c>
      <c r="Z20" s="10">
        <v>-584438000</v>
      </c>
      <c r="AA20" s="10">
        <v>-101276000</v>
      </c>
      <c r="AB20" s="10">
        <v>-588168000</v>
      </c>
      <c r="AC20" s="10">
        <v>-465548000</v>
      </c>
      <c r="AD20" s="10">
        <v>-302951000</v>
      </c>
      <c r="AE20" s="10">
        <v>-162838000</v>
      </c>
      <c r="AF20" s="10">
        <v>237267000</v>
      </c>
      <c r="AG20" s="10">
        <v>171509000</v>
      </c>
      <c r="AH20" s="10">
        <v>-188819000</v>
      </c>
      <c r="AI20" s="10">
        <v>-41486000</v>
      </c>
      <c r="AJ20" s="10">
        <v>-274355000</v>
      </c>
      <c r="AK20" s="10">
        <v>-590697000</v>
      </c>
      <c r="AL20" s="10">
        <v>-503007000</v>
      </c>
      <c r="AM20" s="10">
        <v>-138167000</v>
      </c>
      <c r="AN20" s="10">
        <v>-769210632</v>
      </c>
      <c r="AO20" s="10"/>
      <c r="AP20" s="10"/>
    </row>
    <row r="21" spans="1:42" s="11" customFormat="1" ht="15" customHeight="1" x14ac:dyDescent="0.25">
      <c r="A21" s="4"/>
      <c r="B21" s="9" t="s">
        <v>83</v>
      </c>
      <c r="C21" s="10">
        <v>-1219239000</v>
      </c>
      <c r="D21" s="10">
        <v>393251000</v>
      </c>
      <c r="E21" s="10">
        <v>-203810000</v>
      </c>
      <c r="F21" s="10">
        <v>-710169000</v>
      </c>
      <c r="G21" s="10">
        <v>342206000</v>
      </c>
      <c r="H21" s="10">
        <v>748267000</v>
      </c>
      <c r="I21" s="10">
        <v>415704000</v>
      </c>
      <c r="J21" s="10">
        <v>388641000</v>
      </c>
      <c r="K21" s="10">
        <v>107302000</v>
      </c>
      <c r="L21" s="10">
        <v>-884483000</v>
      </c>
      <c r="M21" s="10">
        <v>-656122000</v>
      </c>
      <c r="N21" s="10">
        <v>-755072000</v>
      </c>
      <c r="O21" s="10">
        <v>-777330000</v>
      </c>
      <c r="P21" s="10">
        <v>-559892000</v>
      </c>
      <c r="Q21" s="10">
        <v>-552533000</v>
      </c>
      <c r="R21" s="10">
        <v>-510675000</v>
      </c>
      <c r="S21" s="10">
        <v>-622395000</v>
      </c>
      <c r="T21" s="10">
        <v>49238000</v>
      </c>
      <c r="U21" s="10">
        <v>-25758000</v>
      </c>
      <c r="V21" s="10">
        <v>-108302000</v>
      </c>
      <c r="W21" s="10">
        <v>-295589000</v>
      </c>
      <c r="X21" s="10">
        <v>330423000</v>
      </c>
      <c r="Y21" s="10">
        <v>221807000</v>
      </c>
      <c r="Z21" s="10">
        <v>11227000</v>
      </c>
      <c r="AA21" s="10">
        <v>-68560000</v>
      </c>
      <c r="AB21" s="10">
        <v>-98234000</v>
      </c>
      <c r="AC21" s="10">
        <v>45222000</v>
      </c>
      <c r="AD21" s="10">
        <v>185871000</v>
      </c>
      <c r="AE21" s="10">
        <v>320346000</v>
      </c>
      <c r="AF21" s="10">
        <v>-899824000</v>
      </c>
      <c r="AG21" s="10">
        <v>-680185000</v>
      </c>
      <c r="AH21" s="10">
        <v>-718949000</v>
      </c>
      <c r="AI21" s="10">
        <v>-532588000</v>
      </c>
      <c r="AJ21" s="10">
        <v>206133000</v>
      </c>
      <c r="AK21" s="10">
        <v>527417000</v>
      </c>
      <c r="AL21" s="10">
        <v>97125000</v>
      </c>
      <c r="AM21" s="10">
        <v>231725000</v>
      </c>
      <c r="AN21" s="10">
        <v>-124428746</v>
      </c>
      <c r="AO21" s="10"/>
      <c r="AP21" s="10"/>
    </row>
    <row r="22" spans="1:42" s="11" customFormat="1" ht="15" customHeight="1" x14ac:dyDescent="0.25">
      <c r="A22" s="4"/>
      <c r="B22" s="9" t="s">
        <v>84</v>
      </c>
      <c r="C22" s="10">
        <v>2630762000</v>
      </c>
      <c r="D22" s="10">
        <v>22227199000</v>
      </c>
      <c r="E22" s="10">
        <v>15256517000</v>
      </c>
      <c r="F22" s="10">
        <v>8168263000</v>
      </c>
      <c r="G22" s="10">
        <v>4523576000</v>
      </c>
      <c r="H22" s="10">
        <v>14690614000</v>
      </c>
      <c r="I22" s="10">
        <v>9904080000</v>
      </c>
      <c r="J22" s="10">
        <v>6104122000</v>
      </c>
      <c r="K22" s="10">
        <v>2820020000</v>
      </c>
      <c r="L22" s="10">
        <v>5548922000</v>
      </c>
      <c r="M22" s="10">
        <v>3569159000</v>
      </c>
      <c r="N22" s="10">
        <v>1932535000</v>
      </c>
      <c r="O22" s="10">
        <v>649699000</v>
      </c>
      <c r="P22" s="10">
        <v>9319520000</v>
      </c>
      <c r="Q22" s="10">
        <v>6876195000</v>
      </c>
      <c r="R22" s="10">
        <v>4686390000</v>
      </c>
      <c r="S22" s="10">
        <v>2537650000</v>
      </c>
      <c r="T22" s="10">
        <v>5866691000</v>
      </c>
      <c r="U22" s="10">
        <v>4645022000</v>
      </c>
      <c r="V22" s="10">
        <v>3019859000</v>
      </c>
      <c r="W22" s="10">
        <v>1210525000</v>
      </c>
      <c r="X22" s="10">
        <v>6372056000</v>
      </c>
      <c r="Y22" s="10">
        <v>4652778000</v>
      </c>
      <c r="Z22" s="10">
        <v>2468869000</v>
      </c>
      <c r="AA22" s="10">
        <v>945760000</v>
      </c>
      <c r="AB22" s="10">
        <v>2211651000</v>
      </c>
      <c r="AC22" s="10">
        <v>1598458000</v>
      </c>
      <c r="AD22" s="10">
        <v>1229771000</v>
      </c>
      <c r="AE22" s="10">
        <v>743813000</v>
      </c>
      <c r="AF22" s="10">
        <v>2855960000</v>
      </c>
      <c r="AG22" s="10">
        <v>2120218000</v>
      </c>
      <c r="AH22" s="10">
        <v>1513460000</v>
      </c>
      <c r="AI22" s="10">
        <v>593830000</v>
      </c>
      <c r="AJ22" s="10">
        <v>5883541000</v>
      </c>
      <c r="AK22" s="10">
        <v>4775081000</v>
      </c>
      <c r="AL22" s="10">
        <v>2758648000</v>
      </c>
      <c r="AM22" s="10">
        <v>1559511000</v>
      </c>
      <c r="AN22" s="10">
        <v>1340381596</v>
      </c>
      <c r="AO22" s="10"/>
      <c r="AP22" s="10"/>
    </row>
    <row r="23" spans="1:42" s="11" customFormat="1" ht="15" customHeight="1" x14ac:dyDescent="0.25">
      <c r="A23" s="4"/>
      <c r="B23" s="9" t="s">
        <v>85</v>
      </c>
      <c r="C23" s="10">
        <v>2679234000</v>
      </c>
      <c r="D23" s="10">
        <v>25825017000</v>
      </c>
      <c r="E23" s="10">
        <v>18252184000</v>
      </c>
      <c r="F23" s="10">
        <v>10551029000</v>
      </c>
      <c r="G23" s="10">
        <v>5575680000</v>
      </c>
      <c r="H23" s="10">
        <v>15373261000</v>
      </c>
      <c r="I23" s="10">
        <v>10572132000</v>
      </c>
      <c r="J23" s="10">
        <v>6528276000</v>
      </c>
      <c r="K23" s="10">
        <v>3007646000</v>
      </c>
      <c r="L23" s="10">
        <v>6486781000</v>
      </c>
      <c r="M23" s="10">
        <v>4512315000</v>
      </c>
      <c r="N23" s="10">
        <v>2589295000</v>
      </c>
      <c r="O23" s="10">
        <v>929148000</v>
      </c>
      <c r="P23" s="10">
        <v>10357267000</v>
      </c>
      <c r="Q23" s="10">
        <v>7893946000</v>
      </c>
      <c r="R23" s="10">
        <v>5315549000</v>
      </c>
      <c r="S23" s="10">
        <v>2766600000</v>
      </c>
      <c r="T23" s="10">
        <v>6305229000</v>
      </c>
      <c r="U23" s="10">
        <v>4879833000</v>
      </c>
      <c r="V23" s="10">
        <v>3068310000</v>
      </c>
      <c r="W23" s="10">
        <v>1228284000</v>
      </c>
      <c r="X23" s="10">
        <v>6521553000</v>
      </c>
      <c r="Y23" s="10">
        <v>4765405000</v>
      </c>
      <c r="Z23" s="10">
        <v>2539572000</v>
      </c>
      <c r="AA23" s="10">
        <v>990056000</v>
      </c>
      <c r="AB23" s="10">
        <v>2420894000</v>
      </c>
      <c r="AC23" s="10">
        <v>1761722000</v>
      </c>
      <c r="AD23" s="10">
        <v>1330973000</v>
      </c>
      <c r="AE23" s="10">
        <v>776242000</v>
      </c>
      <c r="AF23" s="10">
        <v>3079865000</v>
      </c>
      <c r="AG23" s="10">
        <v>2262942000</v>
      </c>
      <c r="AH23" s="10">
        <v>1609004000</v>
      </c>
      <c r="AI23" s="10">
        <v>613319000</v>
      </c>
      <c r="AJ23" s="10">
        <v>6153749000</v>
      </c>
      <c r="AK23" s="10">
        <v>4956981000</v>
      </c>
      <c r="AL23" s="10">
        <v>2885170000</v>
      </c>
      <c r="AM23" s="10">
        <v>1601088000</v>
      </c>
      <c r="AN23" s="10"/>
      <c r="AO23" s="10"/>
      <c r="AP23" s="10"/>
    </row>
    <row r="24" spans="1:42" s="11" customFormat="1" ht="15" customHeight="1" x14ac:dyDescent="0.25">
      <c r="A24" s="4"/>
      <c r="B24" s="9" t="s">
        <v>86</v>
      </c>
      <c r="C24" s="10">
        <v>7158000</v>
      </c>
      <c r="D24" s="10">
        <v>81323000</v>
      </c>
      <c r="E24" s="10">
        <v>73561000</v>
      </c>
      <c r="F24" s="10">
        <v>64078000</v>
      </c>
      <c r="G24" s="10">
        <v>28192000</v>
      </c>
      <c r="H24" s="10">
        <v>41680000</v>
      </c>
      <c r="I24" s="10">
        <v>22329000</v>
      </c>
      <c r="J24" s="10">
        <v>13112000</v>
      </c>
      <c r="K24" s="10">
        <v>2619000</v>
      </c>
      <c r="L24" s="10">
        <v>42895000</v>
      </c>
      <c r="M24" s="10">
        <v>36356000</v>
      </c>
      <c r="N24" s="10">
        <v>25494000</v>
      </c>
      <c r="O24" s="10">
        <v>13147000</v>
      </c>
      <c r="P24" s="10">
        <v>51610000</v>
      </c>
      <c r="Q24" s="10">
        <v>43282000</v>
      </c>
      <c r="R24" s="10">
        <v>30319000</v>
      </c>
      <c r="S24" s="10">
        <v>27595000</v>
      </c>
      <c r="T24" s="10">
        <v>35658000</v>
      </c>
      <c r="U24" s="10">
        <v>32973000</v>
      </c>
      <c r="V24" s="10">
        <v>22053000</v>
      </c>
      <c r="W24" s="10">
        <v>17132000</v>
      </c>
      <c r="X24" s="10">
        <v>58888000</v>
      </c>
      <c r="Y24" s="10">
        <v>39111000</v>
      </c>
      <c r="Z24" s="10">
        <v>27068000</v>
      </c>
      <c r="AA24" s="10">
        <v>7169000</v>
      </c>
      <c r="AB24" s="10">
        <v>81931000</v>
      </c>
      <c r="AC24" s="10">
        <v>64086000</v>
      </c>
      <c r="AD24" s="10">
        <v>44769000</v>
      </c>
      <c r="AE24" s="10">
        <v>15303000</v>
      </c>
      <c r="AF24" s="10">
        <v>68107000</v>
      </c>
      <c r="AG24" s="10">
        <v>49458000</v>
      </c>
      <c r="AH24" s="10">
        <v>28744000</v>
      </c>
      <c r="AI24" s="10">
        <v>19174000</v>
      </c>
      <c r="AJ24" s="10">
        <v>67732000</v>
      </c>
      <c r="AK24" s="10">
        <v>36557000</v>
      </c>
      <c r="AL24" s="10">
        <v>22921000</v>
      </c>
      <c r="AM24" s="10">
        <v>7474000</v>
      </c>
      <c r="AN24" s="10"/>
      <c r="AO24" s="10"/>
      <c r="AP24" s="10"/>
    </row>
    <row r="25" spans="1:42" s="11" customFormat="1" ht="15" customHeight="1" x14ac:dyDescent="0.25">
      <c r="A25" s="4"/>
      <c r="B25" s="9" t="s">
        <v>87</v>
      </c>
      <c r="C25" s="10">
        <v>-39580000</v>
      </c>
      <c r="D25" s="10">
        <v>-126029000</v>
      </c>
      <c r="E25" s="10">
        <v>-90820000</v>
      </c>
      <c r="F25" s="10">
        <v>-58974000</v>
      </c>
      <c r="G25" s="10">
        <v>-30195000</v>
      </c>
      <c r="H25" s="10">
        <v>-120332000</v>
      </c>
      <c r="I25" s="10">
        <v>-92061000</v>
      </c>
      <c r="J25" s="10">
        <v>-60946000</v>
      </c>
      <c r="K25" s="10">
        <v>-29920000</v>
      </c>
      <c r="L25" s="10">
        <v>-125818000</v>
      </c>
      <c r="M25" s="10">
        <v>-97338000</v>
      </c>
      <c r="N25" s="10">
        <v>-64474000</v>
      </c>
      <c r="O25" s="10">
        <v>-30631000</v>
      </c>
      <c r="P25" s="10">
        <v>-124304000</v>
      </c>
      <c r="Q25" s="10">
        <v>-92651000</v>
      </c>
      <c r="R25" s="10">
        <v>-63775000</v>
      </c>
      <c r="S25" s="10">
        <v>-36742000</v>
      </c>
      <c r="T25" s="10">
        <v>-151551000</v>
      </c>
      <c r="U25" s="10">
        <v>-115432000</v>
      </c>
      <c r="V25" s="10">
        <v>-81196000</v>
      </c>
      <c r="W25" s="10">
        <v>-39137000</v>
      </c>
      <c r="X25" s="10">
        <v>-199553000</v>
      </c>
      <c r="Y25" s="10">
        <v>-152043000</v>
      </c>
      <c r="Z25" s="10">
        <v>-103102000</v>
      </c>
      <c r="AA25" s="10">
        <v>-50738000</v>
      </c>
      <c r="AB25" s="10">
        <v>-275169000</v>
      </c>
      <c r="AC25" s="10">
        <v>-219075000</v>
      </c>
      <c r="AD25" s="10">
        <v>-145930000</v>
      </c>
      <c r="AE25" s="10">
        <v>-41311000</v>
      </c>
      <c r="AF25" s="10">
        <v>-275866000</v>
      </c>
      <c r="AG25" s="10">
        <v>-189160000</v>
      </c>
      <c r="AH25" s="10">
        <v>-122061000</v>
      </c>
      <c r="AI25" s="10">
        <v>-36868000</v>
      </c>
      <c r="AJ25" s="10">
        <v>-334144000</v>
      </c>
      <c r="AK25" s="10">
        <v>-217960000</v>
      </c>
      <c r="AL25" s="10">
        <v>-149320000</v>
      </c>
      <c r="AM25" s="10">
        <v>-49142000</v>
      </c>
      <c r="AN25" s="10"/>
      <c r="AO25" s="10"/>
      <c r="AP25" s="10"/>
    </row>
    <row r="26" spans="1:42" s="11" customFormat="1" ht="15" customHeight="1" x14ac:dyDescent="0.25">
      <c r="A26" s="4"/>
      <c r="B26" s="9" t="s">
        <v>88</v>
      </c>
      <c r="C26" s="10">
        <v>42000</v>
      </c>
      <c r="D26" s="10">
        <v>15258000</v>
      </c>
      <c r="E26" s="10">
        <v>15099000</v>
      </c>
      <c r="F26" s="10">
        <v>15099000</v>
      </c>
      <c r="G26" s="10">
        <v>346000</v>
      </c>
      <c r="H26" s="10">
        <v>14841000</v>
      </c>
      <c r="I26" s="10"/>
      <c r="J26" s="10">
        <v>14841000</v>
      </c>
      <c r="K26" s="10"/>
      <c r="L26" s="10">
        <v>20744000</v>
      </c>
      <c r="M26" s="10">
        <v>20744000</v>
      </c>
      <c r="N26" s="10">
        <v>20744000</v>
      </c>
      <c r="O26" s="10">
        <v>18000</v>
      </c>
      <c r="P26" s="10">
        <v>17045000</v>
      </c>
      <c r="Q26" s="10">
        <v>16836000</v>
      </c>
      <c r="R26" s="10">
        <v>16781000</v>
      </c>
      <c r="S26" s="10">
        <v>995000</v>
      </c>
      <c r="T26" s="10">
        <v>17134000</v>
      </c>
      <c r="U26" s="10">
        <v>17106000</v>
      </c>
      <c r="V26" s="10">
        <v>15959000</v>
      </c>
      <c r="W26" s="10">
        <v>4000</v>
      </c>
      <c r="X26" s="10">
        <v>17414000</v>
      </c>
      <c r="Y26" s="10">
        <v>17414000</v>
      </c>
      <c r="Z26" s="10">
        <v>16450000</v>
      </c>
      <c r="AA26" s="10">
        <v>1362000</v>
      </c>
      <c r="AB26" s="10">
        <v>12098000</v>
      </c>
      <c r="AC26" s="10">
        <v>12098000</v>
      </c>
      <c r="AD26" s="10">
        <v>12098000</v>
      </c>
      <c r="AE26" s="10">
        <v>1000</v>
      </c>
      <c r="AF26" s="10">
        <v>8883000</v>
      </c>
      <c r="AG26" s="10">
        <v>8883000</v>
      </c>
      <c r="AH26" s="10">
        <v>8883000</v>
      </c>
      <c r="AI26" s="10"/>
      <c r="AJ26" s="10"/>
      <c r="AK26" s="10">
        <v>687000</v>
      </c>
      <c r="AL26" s="10">
        <v>187000</v>
      </c>
      <c r="AM26" s="10"/>
      <c r="AN26" s="10"/>
      <c r="AO26" s="10"/>
      <c r="AP26" s="10"/>
    </row>
    <row r="27" spans="1:42" s="11" customFormat="1" ht="15" customHeight="1" x14ac:dyDescent="0.25">
      <c r="A27" s="4"/>
      <c r="B27" s="9" t="s">
        <v>89</v>
      </c>
      <c r="C27" s="10"/>
      <c r="D27" s="10"/>
      <c r="E27" s="10"/>
      <c r="F27" s="10"/>
      <c r="G27" s="10"/>
      <c r="H27" s="10"/>
      <c r="I27" s="10">
        <v>-613161000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s="11" customFormat="1" ht="15" customHeight="1" x14ac:dyDescent="0.25">
      <c r="A28" s="4"/>
      <c r="B28" s="9" t="s">
        <v>90</v>
      </c>
      <c r="C28" s="10"/>
      <c r="D28" s="10"/>
      <c r="E28" s="10"/>
      <c r="F28" s="10"/>
      <c r="G28" s="10"/>
      <c r="H28" s="10"/>
      <c r="I28" s="10">
        <v>14841000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4242000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>
        <v>91000</v>
      </c>
      <c r="AN28" s="10"/>
      <c r="AO28" s="10"/>
      <c r="AP28" s="10"/>
    </row>
    <row r="29" spans="1:42" s="11" customFormat="1" ht="15" customHeight="1" x14ac:dyDescent="0.25">
      <c r="A29" s="4"/>
      <c r="B29" s="9" t="s">
        <v>91</v>
      </c>
      <c r="C29" s="10">
        <v>-16092000</v>
      </c>
      <c r="D29" s="10">
        <v>-3568370000</v>
      </c>
      <c r="E29" s="10">
        <v>-2993507000</v>
      </c>
      <c r="F29" s="10">
        <v>-2402969000</v>
      </c>
      <c r="G29" s="10">
        <v>-1050447000</v>
      </c>
      <c r="H29" s="10">
        <v>-618836000</v>
      </c>
      <c r="I29" s="10"/>
      <c r="J29" s="10">
        <v>-391161000</v>
      </c>
      <c r="K29" s="10">
        <v>-160325000</v>
      </c>
      <c r="L29" s="10">
        <v>-875680000</v>
      </c>
      <c r="M29" s="10">
        <v>-902918000</v>
      </c>
      <c r="N29" s="10">
        <v>-638524000</v>
      </c>
      <c r="O29" s="10">
        <v>-261983000</v>
      </c>
      <c r="P29" s="10">
        <v>-982098000</v>
      </c>
      <c r="Q29" s="10">
        <v>-985218000</v>
      </c>
      <c r="R29" s="10">
        <v>-612484000</v>
      </c>
      <c r="S29" s="10">
        <v>-220798000</v>
      </c>
      <c r="T29" s="10">
        <v>-339779000</v>
      </c>
      <c r="U29" s="10">
        <v>-169458000</v>
      </c>
      <c r="V29" s="10">
        <v>-5267000</v>
      </c>
      <c r="W29" s="10"/>
      <c r="X29" s="10">
        <v>-26246000</v>
      </c>
      <c r="Y29" s="10">
        <v>-17109000</v>
      </c>
      <c r="Z29" s="10">
        <v>-11119000</v>
      </c>
      <c r="AA29" s="10">
        <v>-2089000</v>
      </c>
      <c r="AB29" s="10">
        <v>-28103000</v>
      </c>
      <c r="AC29" s="10">
        <v>-20373000</v>
      </c>
      <c r="AD29" s="10">
        <v>-12139000</v>
      </c>
      <c r="AE29" s="10">
        <v>-6422000</v>
      </c>
      <c r="AF29" s="10">
        <v>-25029000</v>
      </c>
      <c r="AG29" s="10">
        <v>-11905000</v>
      </c>
      <c r="AH29" s="10">
        <v>-11110000</v>
      </c>
      <c r="AI29" s="10">
        <v>-1795000</v>
      </c>
      <c r="AJ29" s="10">
        <v>-3796000</v>
      </c>
      <c r="AK29" s="10">
        <v>-1184000</v>
      </c>
      <c r="AL29" s="10">
        <v>-310000</v>
      </c>
      <c r="AM29" s="10"/>
      <c r="AN29" s="10"/>
      <c r="AO29" s="10"/>
      <c r="AP29" s="10"/>
    </row>
    <row r="30" spans="1:42" s="11" customFormat="1" ht="15" customHeight="1" x14ac:dyDescent="0.25">
      <c r="A30" s="4"/>
      <c r="B30" s="9" t="s">
        <v>92</v>
      </c>
      <c r="C30" s="10">
        <v>-4655347000</v>
      </c>
      <c r="D30" s="10">
        <v>-21428749000</v>
      </c>
      <c r="E30" s="10">
        <v>-14172714000</v>
      </c>
      <c r="F30" s="10">
        <v>-10364680000</v>
      </c>
      <c r="G30" s="10">
        <v>-3709452000</v>
      </c>
      <c r="H30" s="10">
        <v>-11919162000</v>
      </c>
      <c r="I30" s="10">
        <v>-9048646000</v>
      </c>
      <c r="J30" s="10">
        <v>-5381034000</v>
      </c>
      <c r="K30" s="10">
        <v>-1396667000</v>
      </c>
      <c r="L30" s="10">
        <v>-6230451000</v>
      </c>
      <c r="M30" s="10">
        <v>-3629309000</v>
      </c>
      <c r="N30" s="10">
        <v>-2326760000</v>
      </c>
      <c r="O30" s="10">
        <v>-1470668000</v>
      </c>
      <c r="P30" s="10">
        <v>-7125530000</v>
      </c>
      <c r="Q30" s="10">
        <v>-5786577000</v>
      </c>
      <c r="R30" s="10">
        <v>-3798284000</v>
      </c>
      <c r="S30" s="10">
        <v>-2027076000</v>
      </c>
      <c r="T30" s="10">
        <v>-6087827000</v>
      </c>
      <c r="U30" s="10">
        <v>-4910042000</v>
      </c>
      <c r="V30" s="10">
        <v>-2861433000</v>
      </c>
      <c r="W30" s="10">
        <v>-1713446000</v>
      </c>
      <c r="X30" s="10">
        <v>-4892125000</v>
      </c>
      <c r="Y30" s="10">
        <v>-3919118000</v>
      </c>
      <c r="Z30" s="10">
        <v>-2203539000</v>
      </c>
      <c r="AA30" s="10">
        <v>-648671000</v>
      </c>
      <c r="AB30" s="10">
        <v>-4698379000</v>
      </c>
      <c r="AC30" s="10">
        <v>-4326710000</v>
      </c>
      <c r="AD30" s="10">
        <v>-2689162000</v>
      </c>
      <c r="AE30" s="10">
        <v>-1263249000</v>
      </c>
      <c r="AF30" s="10">
        <v>-3389264000</v>
      </c>
      <c r="AG30" s="10">
        <v>-2660803000</v>
      </c>
      <c r="AH30" s="10">
        <v>-2241514000</v>
      </c>
      <c r="AI30" s="10">
        <v>-713805000</v>
      </c>
      <c r="AJ30" s="10">
        <v>-4683472000</v>
      </c>
      <c r="AK30" s="10">
        <v>-3827594000</v>
      </c>
      <c r="AL30" s="10">
        <v>-2661291000</v>
      </c>
      <c r="AM30" s="10">
        <v>-1145943000</v>
      </c>
      <c r="AN30" s="10">
        <v>-1004420937</v>
      </c>
      <c r="AO30" s="10"/>
      <c r="AP30" s="10"/>
    </row>
    <row r="31" spans="1:42" s="11" customFormat="1" ht="15" customHeight="1" x14ac:dyDescent="0.25">
      <c r="A31" s="4"/>
      <c r="B31" s="9" t="s">
        <v>93</v>
      </c>
      <c r="C31" s="10">
        <v>460481000</v>
      </c>
      <c r="D31" s="10">
        <v>4355092000</v>
      </c>
      <c r="E31" s="10">
        <v>4428322000</v>
      </c>
      <c r="F31" s="10">
        <v>3983569000</v>
      </c>
      <c r="G31" s="10">
        <v>1310645000</v>
      </c>
      <c r="H31" s="10">
        <v>934647000</v>
      </c>
      <c r="I31" s="10">
        <v>4307524000</v>
      </c>
      <c r="J31" s="10">
        <v>261177000</v>
      </c>
      <c r="K31" s="10">
        <v>821569000</v>
      </c>
      <c r="L31" s="10">
        <v>292796000</v>
      </c>
      <c r="M31" s="10">
        <v>5378915000</v>
      </c>
      <c r="N31" s="10">
        <v>1192585000</v>
      </c>
      <c r="O31" s="10">
        <v>320899000</v>
      </c>
      <c r="P31" s="10">
        <v>304312000</v>
      </c>
      <c r="Q31" s="10">
        <v>9671496000</v>
      </c>
      <c r="R31" s="10">
        <v>7297299000</v>
      </c>
      <c r="S31" s="10">
        <v>4173648000</v>
      </c>
      <c r="T31" s="10">
        <v>529382000</v>
      </c>
      <c r="U31" s="10">
        <v>16454063000</v>
      </c>
      <c r="V31" s="10">
        <v>9209374000</v>
      </c>
      <c r="W31" s="10">
        <v>3890098000</v>
      </c>
      <c r="X31" s="10">
        <v>3979936000</v>
      </c>
      <c r="Y31" s="10">
        <v>2162776000</v>
      </c>
      <c r="Z31" s="10">
        <v>1202436000</v>
      </c>
      <c r="AA31" s="10">
        <v>365161000</v>
      </c>
      <c r="AB31" s="10">
        <v>2817096000</v>
      </c>
      <c r="AC31" s="10">
        <v>1776568000</v>
      </c>
      <c r="AD31" s="10">
        <v>1045627000</v>
      </c>
      <c r="AE31" s="10">
        <v>495213000</v>
      </c>
      <c r="AF31" s="10">
        <v>2730055000</v>
      </c>
      <c r="AG31" s="10">
        <v>2198424000</v>
      </c>
      <c r="AH31" s="10">
        <v>1362864000</v>
      </c>
      <c r="AI31" s="10">
        <v>910185000</v>
      </c>
      <c r="AJ31" s="10">
        <v>128129000</v>
      </c>
      <c r="AK31" s="10">
        <v>186509000</v>
      </c>
      <c r="AL31" s="10">
        <v>488175000</v>
      </c>
      <c r="AM31" s="10">
        <v>125499000</v>
      </c>
      <c r="AN31" s="10">
        <v>315505706</v>
      </c>
      <c r="AO31" s="10"/>
      <c r="AP31" s="10"/>
    </row>
    <row r="32" spans="1:42" s="11" customFormat="1" ht="15" customHeight="1" x14ac:dyDescent="0.25">
      <c r="A32" s="4"/>
      <c r="B32" s="9" t="s">
        <v>94</v>
      </c>
      <c r="C32" s="10">
        <v>323000</v>
      </c>
      <c r="D32" s="10">
        <v>131754000</v>
      </c>
      <c r="E32" s="10">
        <v>122757000</v>
      </c>
      <c r="F32" s="10">
        <v>16696000</v>
      </c>
      <c r="G32" s="10">
        <v>5971000</v>
      </c>
      <c r="H32" s="10">
        <v>244897000</v>
      </c>
      <c r="I32" s="10">
        <v>221136000</v>
      </c>
      <c r="J32" s="10">
        <v>9757000</v>
      </c>
      <c r="K32" s="10">
        <v>2125000</v>
      </c>
      <c r="L32" s="10">
        <v>162120000</v>
      </c>
      <c r="M32" s="10">
        <v>109806000</v>
      </c>
      <c r="N32" s="10">
        <v>5437000</v>
      </c>
      <c r="O32" s="10">
        <v>2436000</v>
      </c>
      <c r="P32" s="10">
        <v>220097000</v>
      </c>
      <c r="Q32" s="10">
        <v>161780000</v>
      </c>
      <c r="R32" s="10">
        <v>62862000</v>
      </c>
      <c r="S32" s="10">
        <v>3479000</v>
      </c>
      <c r="T32" s="10">
        <v>198959000</v>
      </c>
      <c r="U32" s="10">
        <v>136708000</v>
      </c>
      <c r="V32" s="10">
        <v>74607000</v>
      </c>
      <c r="W32" s="10">
        <v>26575000</v>
      </c>
      <c r="X32" s="10">
        <v>15509000</v>
      </c>
      <c r="Y32" s="10">
        <v>13640000</v>
      </c>
      <c r="Z32" s="10">
        <v>10954000</v>
      </c>
      <c r="AA32" s="10">
        <v>9553000</v>
      </c>
      <c r="AB32" s="10">
        <v>35809000</v>
      </c>
      <c r="AC32" s="10">
        <v>35006000</v>
      </c>
      <c r="AD32" s="10">
        <v>25919000</v>
      </c>
      <c r="AE32" s="10">
        <v>19884000</v>
      </c>
      <c r="AF32" s="10">
        <v>14371000</v>
      </c>
      <c r="AG32" s="10">
        <v>4789000</v>
      </c>
      <c r="AH32" s="10">
        <v>5085000</v>
      </c>
      <c r="AI32" s="10">
        <v>249000</v>
      </c>
      <c r="AJ32" s="10">
        <v>127688000</v>
      </c>
      <c r="AK32" s="10">
        <v>45047000</v>
      </c>
      <c r="AL32" s="10">
        <v>74010000</v>
      </c>
      <c r="AM32" s="10">
        <v>13999000</v>
      </c>
      <c r="AN32" s="10">
        <v>278713718</v>
      </c>
      <c r="AO32" s="10"/>
      <c r="AP32" s="10"/>
    </row>
    <row r="33" spans="1:42" s="11" customFormat="1" ht="15" customHeight="1" x14ac:dyDescent="0.25">
      <c r="A33" s="4"/>
      <c r="B33" s="9" t="s">
        <v>95</v>
      </c>
      <c r="C33" s="10">
        <v>183000</v>
      </c>
      <c r="D33" s="10">
        <v>2532000</v>
      </c>
      <c r="E33" s="10">
        <v>2532000</v>
      </c>
      <c r="F33" s="10">
        <v>2532000</v>
      </c>
      <c r="G33" s="10"/>
      <c r="H33" s="10">
        <v>3249000</v>
      </c>
      <c r="I33" s="10">
        <v>985000</v>
      </c>
      <c r="J33" s="10">
        <v>985000</v>
      </c>
      <c r="K33" s="10"/>
      <c r="L33" s="10">
        <v>1585000</v>
      </c>
      <c r="M33" s="10">
        <v>1577000</v>
      </c>
      <c r="N33" s="10">
        <v>1577000</v>
      </c>
      <c r="O33" s="10">
        <v>238000</v>
      </c>
      <c r="P33" s="10">
        <v>7963000</v>
      </c>
      <c r="Q33" s="10">
        <v>431000</v>
      </c>
      <c r="R33" s="10">
        <v>406000</v>
      </c>
      <c r="S33" s="10">
        <v>155000</v>
      </c>
      <c r="T33" s="10">
        <v>286000</v>
      </c>
      <c r="U33" s="10">
        <v>185000</v>
      </c>
      <c r="V33" s="10">
        <v>17000</v>
      </c>
      <c r="W33" s="10"/>
      <c r="X33" s="10">
        <v>200000</v>
      </c>
      <c r="Y33" s="10">
        <v>200000</v>
      </c>
      <c r="Z33" s="10">
        <v>200000</v>
      </c>
      <c r="AA33" s="10">
        <v>200000</v>
      </c>
      <c r="AB33" s="10">
        <v>1226000</v>
      </c>
      <c r="AC33" s="10">
        <v>4000</v>
      </c>
      <c r="AD33" s="10">
        <v>4000</v>
      </c>
      <c r="AE33" s="10">
        <v>4000</v>
      </c>
      <c r="AF33" s="10">
        <v>13946000</v>
      </c>
      <c r="AG33" s="10">
        <v>13903000</v>
      </c>
      <c r="AH33" s="10">
        <v>29000</v>
      </c>
      <c r="AI33" s="10">
        <v>5000</v>
      </c>
      <c r="AJ33" s="10"/>
      <c r="AK33" s="10">
        <v>62000</v>
      </c>
      <c r="AL33" s="10">
        <v>62000</v>
      </c>
      <c r="AM33" s="10"/>
      <c r="AN33" s="10">
        <v>260561</v>
      </c>
      <c r="AO33" s="10"/>
      <c r="AP33" s="10"/>
    </row>
    <row r="34" spans="1:42" s="11" customFormat="1" ht="15" customHeight="1" x14ac:dyDescent="0.25">
      <c r="A34" s="4"/>
      <c r="B34" s="9" t="s">
        <v>96</v>
      </c>
      <c r="C34" s="10">
        <v>5115828000</v>
      </c>
      <c r="D34" s="10">
        <v>25783841000</v>
      </c>
      <c r="E34" s="10">
        <v>18601036000</v>
      </c>
      <c r="F34" s="10">
        <v>14348249000</v>
      </c>
      <c r="G34" s="10">
        <v>5020097000</v>
      </c>
      <c r="H34" s="10">
        <v>12853809000</v>
      </c>
      <c r="I34" s="10">
        <v>13356170000</v>
      </c>
      <c r="J34" s="10">
        <v>5642211000</v>
      </c>
      <c r="K34" s="10">
        <v>2218236000</v>
      </c>
      <c r="L34" s="10">
        <v>6523247000</v>
      </c>
      <c r="M34" s="10">
        <v>9008224000</v>
      </c>
      <c r="N34" s="10">
        <v>3519345000</v>
      </c>
      <c r="O34" s="10">
        <v>1791567000</v>
      </c>
      <c r="P34" s="10">
        <v>7429842000</v>
      </c>
      <c r="Q34" s="10">
        <v>15458073000</v>
      </c>
      <c r="R34" s="10">
        <v>11095583000</v>
      </c>
      <c r="S34" s="10">
        <v>6200724000</v>
      </c>
      <c r="T34" s="10">
        <v>6617209000</v>
      </c>
      <c r="U34" s="10">
        <v>21364105000</v>
      </c>
      <c r="V34" s="10">
        <v>12070807000</v>
      </c>
      <c r="W34" s="10">
        <v>5603544000</v>
      </c>
      <c r="X34" s="10">
        <v>8872061000</v>
      </c>
      <c r="Y34" s="10">
        <v>6081894000</v>
      </c>
      <c r="Z34" s="10">
        <v>3405975000</v>
      </c>
      <c r="AA34" s="10">
        <v>1013832000</v>
      </c>
      <c r="AB34" s="10">
        <v>7515475000</v>
      </c>
      <c r="AC34" s="10">
        <v>6103278000</v>
      </c>
      <c r="AD34" s="10">
        <v>3734789000</v>
      </c>
      <c r="AE34" s="10">
        <v>1758462000</v>
      </c>
      <c r="AF34" s="10">
        <v>6119319000</v>
      </c>
      <c r="AG34" s="10">
        <v>4859227000</v>
      </c>
      <c r="AH34" s="10">
        <v>3604378000</v>
      </c>
      <c r="AI34" s="10">
        <v>1623990000</v>
      </c>
      <c r="AJ34" s="10">
        <v>4811601000</v>
      </c>
      <c r="AK34" s="10">
        <v>4014103000</v>
      </c>
      <c r="AL34" s="10">
        <v>3149466000</v>
      </c>
      <c r="AM34" s="10">
        <v>1271442000</v>
      </c>
      <c r="AN34" s="10">
        <v>1319926643</v>
      </c>
      <c r="AO34" s="10"/>
      <c r="AP34" s="10"/>
    </row>
    <row r="35" spans="1:42" s="11" customFormat="1" ht="15" customHeight="1" x14ac:dyDescent="0.25">
      <c r="A35" s="4"/>
      <c r="B35" s="9" t="s">
        <v>97</v>
      </c>
      <c r="C35" s="10">
        <v>4349571000</v>
      </c>
      <c r="D35" s="10">
        <v>16036146000</v>
      </c>
      <c r="E35" s="10">
        <v>11757688000</v>
      </c>
      <c r="F35" s="10">
        <v>8458983000</v>
      </c>
      <c r="G35" s="10">
        <v>4317223000</v>
      </c>
      <c r="H35" s="10">
        <v>9128303000</v>
      </c>
      <c r="I35" s="10">
        <v>6852671000</v>
      </c>
      <c r="J35" s="10">
        <v>4683431000</v>
      </c>
      <c r="K35" s="10">
        <v>2018470000</v>
      </c>
      <c r="L35" s="10">
        <v>5956354000</v>
      </c>
      <c r="M35" s="10">
        <v>4600747000</v>
      </c>
      <c r="N35" s="10">
        <v>3254017000</v>
      </c>
      <c r="O35" s="10">
        <v>1649520000</v>
      </c>
      <c r="P35" s="10">
        <v>6774625000</v>
      </c>
      <c r="Q35" s="10">
        <v>5591862000</v>
      </c>
      <c r="R35" s="10">
        <v>3662230000</v>
      </c>
      <c r="S35" s="10">
        <v>1628365000</v>
      </c>
      <c r="T35" s="10">
        <v>4800722000</v>
      </c>
      <c r="U35" s="10">
        <v>3964835000</v>
      </c>
      <c r="V35" s="10">
        <v>2711828000</v>
      </c>
      <c r="W35" s="10">
        <v>1230914000</v>
      </c>
      <c r="X35" s="10">
        <v>3205797000</v>
      </c>
      <c r="Y35" s="10">
        <v>2370781000</v>
      </c>
      <c r="Z35" s="10">
        <v>1265973000</v>
      </c>
      <c r="AA35" s="10">
        <v>497484000</v>
      </c>
      <c r="AB35" s="10">
        <v>3772879000</v>
      </c>
      <c r="AC35" s="10">
        <v>3319569000</v>
      </c>
      <c r="AD35" s="10">
        <v>1919626000</v>
      </c>
      <c r="AE35" s="10">
        <v>1185377000</v>
      </c>
      <c r="AF35" s="10">
        <v>3568238000</v>
      </c>
      <c r="AG35" s="10">
        <v>2915507000</v>
      </c>
      <c r="AH35" s="10">
        <v>2066038000</v>
      </c>
      <c r="AI35" s="10">
        <v>937222000</v>
      </c>
      <c r="AJ35" s="10">
        <v>3391910000</v>
      </c>
      <c r="AK35" s="10">
        <v>2529220000</v>
      </c>
      <c r="AL35" s="10">
        <v>1418169000</v>
      </c>
      <c r="AM35" s="10">
        <v>676377000</v>
      </c>
      <c r="AN35" s="10">
        <v>1012625674</v>
      </c>
      <c r="AO35" s="10"/>
      <c r="AP35" s="10"/>
    </row>
    <row r="36" spans="1:42" s="11" customFormat="1" ht="15" customHeight="1" x14ac:dyDescent="0.25">
      <c r="A36" s="4"/>
      <c r="B36" s="9" t="s">
        <v>98</v>
      </c>
      <c r="C36" s="10">
        <v>148436000</v>
      </c>
      <c r="D36" s="10">
        <v>933139000</v>
      </c>
      <c r="E36" s="10">
        <v>613359000</v>
      </c>
      <c r="F36" s="10">
        <v>414471000</v>
      </c>
      <c r="G36" s="10">
        <v>192226000</v>
      </c>
      <c r="H36" s="10">
        <v>784911000</v>
      </c>
      <c r="I36" s="10">
        <v>622245000</v>
      </c>
      <c r="J36" s="10">
        <v>429713000</v>
      </c>
      <c r="K36" s="10">
        <v>194297000</v>
      </c>
      <c r="L36" s="10">
        <v>530375000</v>
      </c>
      <c r="M36" s="10">
        <v>375594000</v>
      </c>
      <c r="N36" s="10">
        <v>247797000</v>
      </c>
      <c r="O36" s="10">
        <v>129651000</v>
      </c>
      <c r="P36" s="10">
        <v>623743000</v>
      </c>
      <c r="Q36" s="10">
        <v>416664000</v>
      </c>
      <c r="R36" s="10">
        <v>286945000</v>
      </c>
      <c r="S36" s="10">
        <v>125580000</v>
      </c>
      <c r="T36" s="10">
        <v>336291000</v>
      </c>
      <c r="U36" s="10">
        <v>216349000</v>
      </c>
      <c r="V36" s="10">
        <v>137628000</v>
      </c>
      <c r="W36" s="10">
        <v>64887000</v>
      </c>
      <c r="X36" s="10">
        <v>301496000</v>
      </c>
      <c r="Y36" s="10">
        <v>189507000</v>
      </c>
      <c r="Z36" s="10">
        <v>129958000</v>
      </c>
      <c r="AA36" s="10">
        <v>69513000</v>
      </c>
      <c r="AB36" s="10">
        <v>159072000</v>
      </c>
      <c r="AC36" s="10">
        <v>108911000</v>
      </c>
      <c r="AD36" s="10">
        <v>66404000</v>
      </c>
      <c r="AE36" s="10">
        <v>27637000</v>
      </c>
      <c r="AF36" s="10">
        <v>176111000</v>
      </c>
      <c r="AG36" s="10">
        <v>143599000</v>
      </c>
      <c r="AH36" s="10">
        <v>93022000</v>
      </c>
      <c r="AI36" s="10">
        <v>35861000</v>
      </c>
      <c r="AJ36" s="10">
        <v>151856000</v>
      </c>
      <c r="AK36" s="10">
        <v>55914000</v>
      </c>
      <c r="AL36" s="10">
        <v>42143000</v>
      </c>
      <c r="AM36" s="10">
        <v>16986000</v>
      </c>
      <c r="AN36" s="10">
        <v>22217143</v>
      </c>
      <c r="AO36" s="10"/>
      <c r="AP36" s="10"/>
    </row>
    <row r="37" spans="1:42" s="11" customFormat="1" ht="15" customHeight="1" x14ac:dyDescent="0.25">
      <c r="A37" s="4"/>
      <c r="B37" s="9" t="s">
        <v>99</v>
      </c>
      <c r="C37" s="10">
        <v>807047000</v>
      </c>
      <c r="D37" s="10">
        <v>-1395317000</v>
      </c>
      <c r="E37" s="10">
        <v>-1691367000</v>
      </c>
      <c r="F37" s="10">
        <v>410215000</v>
      </c>
      <c r="G37" s="10">
        <v>-301005000</v>
      </c>
      <c r="H37" s="10">
        <v>-351906000</v>
      </c>
      <c r="I37" s="10">
        <v>-362299000</v>
      </c>
      <c r="J37" s="10">
        <v>-22657000</v>
      </c>
      <c r="K37" s="10">
        <v>177535000</v>
      </c>
      <c r="L37" s="10">
        <v>116876000</v>
      </c>
      <c r="M37" s="10">
        <v>135246000</v>
      </c>
      <c r="N37" s="10">
        <v>211580000</v>
      </c>
      <c r="O37" s="10">
        <v>615154000</v>
      </c>
      <c r="P37" s="10">
        <v>-1462257000</v>
      </c>
      <c r="Q37" s="10">
        <v>-1033290000</v>
      </c>
      <c r="R37" s="10">
        <v>-681781000</v>
      </c>
      <c r="S37" s="10">
        <v>-607329000</v>
      </c>
      <c r="T37" s="10">
        <v>28343000</v>
      </c>
      <c r="U37" s="10">
        <v>14181000</v>
      </c>
      <c r="V37" s="10">
        <v>-185857000</v>
      </c>
      <c r="W37" s="10">
        <v>189835000</v>
      </c>
      <c r="X37" s="10">
        <v>-1499989000</v>
      </c>
      <c r="Y37" s="10">
        <v>-786490000</v>
      </c>
      <c r="Z37" s="10">
        <v>-428021000</v>
      </c>
      <c r="AA37" s="10">
        <v>-220761000</v>
      </c>
      <c r="AB37" s="10">
        <v>1917122000</v>
      </c>
      <c r="AC37" s="10">
        <v>2093463000</v>
      </c>
      <c r="AD37" s="10">
        <v>1936372000</v>
      </c>
      <c r="AE37" s="10">
        <v>1969254000</v>
      </c>
      <c r="AF37" s="10">
        <v>519133000</v>
      </c>
      <c r="AG37" s="10">
        <v>691654000</v>
      </c>
      <c r="AH37" s="10">
        <v>235182000</v>
      </c>
      <c r="AI37" s="10">
        <v>291563000</v>
      </c>
      <c r="AJ37" s="10">
        <v>-1140424000</v>
      </c>
      <c r="AK37" s="10">
        <v>-1258769000</v>
      </c>
      <c r="AL37" s="10">
        <v>-107522000</v>
      </c>
      <c r="AM37" s="10">
        <v>-252906000</v>
      </c>
      <c r="AN37" s="10">
        <v>354500854</v>
      </c>
      <c r="AO37" s="10"/>
      <c r="AP37" s="10"/>
    </row>
    <row r="38" spans="1:42" s="11" customFormat="1" ht="15" customHeight="1" x14ac:dyDescent="0.25">
      <c r="A38" s="4"/>
      <c r="B38" s="9" t="s">
        <v>100</v>
      </c>
      <c r="C38" s="10">
        <v>983810000</v>
      </c>
      <c r="D38" s="10">
        <v>3125721000</v>
      </c>
      <c r="E38" s="10">
        <v>2407194000</v>
      </c>
      <c r="F38" s="10">
        <v>2063692000</v>
      </c>
      <c r="G38" s="10">
        <v>298732000</v>
      </c>
      <c r="H38" s="10">
        <v>782330000</v>
      </c>
      <c r="I38" s="10">
        <v>752944000</v>
      </c>
      <c r="J38" s="10">
        <v>697115000</v>
      </c>
      <c r="K38" s="10">
        <v>344893000</v>
      </c>
      <c r="L38" s="10">
        <v>2080343000</v>
      </c>
      <c r="M38" s="10">
        <v>2081562000</v>
      </c>
      <c r="N38" s="10">
        <v>1881493000</v>
      </c>
      <c r="O38" s="10">
        <v>1421133000</v>
      </c>
      <c r="P38" s="10">
        <v>3933056000</v>
      </c>
      <c r="Q38" s="10">
        <v>3502025000</v>
      </c>
      <c r="R38" s="10">
        <v>1854550000</v>
      </c>
      <c r="S38" s="10">
        <v>883054000</v>
      </c>
      <c r="T38" s="10">
        <v>3848816000</v>
      </c>
      <c r="U38" s="10">
        <v>2541874000</v>
      </c>
      <c r="V38" s="10">
        <v>1889955000</v>
      </c>
      <c r="W38" s="10">
        <v>1347321000</v>
      </c>
      <c r="X38" s="10">
        <v>3528687000</v>
      </c>
      <c r="Y38" s="10">
        <v>2801959000</v>
      </c>
      <c r="Z38" s="10">
        <v>2032139000</v>
      </c>
      <c r="AA38" s="10">
        <v>1217425000</v>
      </c>
      <c r="AB38" s="10">
        <v>9294794000</v>
      </c>
      <c r="AC38" s="10">
        <v>7655902000</v>
      </c>
      <c r="AD38" s="10">
        <v>5820561000</v>
      </c>
      <c r="AE38" s="10">
        <v>3418164000</v>
      </c>
      <c r="AF38" s="10">
        <v>2434510000</v>
      </c>
      <c r="AG38" s="10">
        <v>2287691000</v>
      </c>
      <c r="AH38" s="10">
        <v>1376131000</v>
      </c>
      <c r="AI38" s="10">
        <v>641424000</v>
      </c>
      <c r="AJ38" s="10">
        <v>1187488000</v>
      </c>
      <c r="AK38" s="10">
        <v>1147709000</v>
      </c>
      <c r="AL38" s="10">
        <v>983304000</v>
      </c>
      <c r="AM38" s="10">
        <v>86136000</v>
      </c>
      <c r="AN38" s="10">
        <v>1302814713</v>
      </c>
      <c r="AO38" s="10"/>
      <c r="AP38" s="10"/>
    </row>
    <row r="39" spans="1:42" s="11" customFormat="1" ht="15" customHeight="1" x14ac:dyDescent="0.25">
      <c r="A39" s="4"/>
      <c r="B39" s="9" t="s">
        <v>101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>
        <v>857473000</v>
      </c>
      <c r="AK39" s="10"/>
      <c r="AL39" s="10"/>
      <c r="AM39" s="10"/>
      <c r="AN39" s="10">
        <v>199161222</v>
      </c>
      <c r="AO39" s="10"/>
      <c r="AP39" s="10"/>
    </row>
    <row r="40" spans="1:42" s="11" customFormat="1" ht="15" customHeight="1" x14ac:dyDescent="0.25">
      <c r="A40" s="4"/>
      <c r="B40" s="9" t="s">
        <v>102</v>
      </c>
      <c r="C40" s="10">
        <v>983810000</v>
      </c>
      <c r="D40" s="10">
        <v>3125721000</v>
      </c>
      <c r="E40" s="10">
        <v>2407194000</v>
      </c>
      <c r="F40" s="10">
        <v>2063692000</v>
      </c>
      <c r="G40" s="10">
        <v>298732000</v>
      </c>
      <c r="H40" s="10">
        <v>782330000</v>
      </c>
      <c r="I40" s="10">
        <v>752944000</v>
      </c>
      <c r="J40" s="10">
        <v>697115000</v>
      </c>
      <c r="K40" s="10">
        <v>344893000</v>
      </c>
      <c r="L40" s="10">
        <v>2080343000</v>
      </c>
      <c r="M40" s="10">
        <v>2081562000</v>
      </c>
      <c r="N40" s="10">
        <v>1881493000</v>
      </c>
      <c r="O40" s="10">
        <v>1421133000</v>
      </c>
      <c r="P40" s="10">
        <v>3933056000</v>
      </c>
      <c r="Q40" s="10">
        <v>3502025000</v>
      </c>
      <c r="R40" s="10">
        <v>1854550000</v>
      </c>
      <c r="S40" s="10">
        <v>883054000</v>
      </c>
      <c r="T40" s="10">
        <v>3848816000</v>
      </c>
      <c r="U40" s="10">
        <v>2541874000</v>
      </c>
      <c r="V40" s="10">
        <v>1889955000</v>
      </c>
      <c r="W40" s="10">
        <v>1347321000</v>
      </c>
      <c r="X40" s="10">
        <v>3528687000</v>
      </c>
      <c r="Y40" s="10">
        <v>2801959000</v>
      </c>
      <c r="Z40" s="10">
        <v>2032139000</v>
      </c>
      <c r="AA40" s="10">
        <v>1217425000</v>
      </c>
      <c r="AB40" s="10">
        <v>6966003000</v>
      </c>
      <c r="AC40" s="10">
        <v>5327800000</v>
      </c>
      <c r="AD40" s="10">
        <v>3492459000</v>
      </c>
      <c r="AE40" s="10">
        <v>1092187000</v>
      </c>
      <c r="AF40" s="10">
        <v>2434510000</v>
      </c>
      <c r="AG40" s="10">
        <v>2287691000</v>
      </c>
      <c r="AH40" s="10">
        <v>1376131000</v>
      </c>
      <c r="AI40" s="10">
        <v>641424000</v>
      </c>
      <c r="AJ40" s="10">
        <v>1187488000</v>
      </c>
      <c r="AK40" s="10">
        <v>1147679000</v>
      </c>
      <c r="AL40" s="10">
        <v>983274000</v>
      </c>
      <c r="AM40" s="10">
        <v>86123000</v>
      </c>
      <c r="AN40" s="10">
        <v>14114000</v>
      </c>
      <c r="AO40" s="10"/>
      <c r="AP40" s="10"/>
    </row>
    <row r="41" spans="1:42" s="11" customFormat="1" ht="15" customHeight="1" x14ac:dyDescent="0.25">
      <c r="A41" s="4"/>
      <c r="B41" s="9" t="s">
        <v>103</v>
      </c>
      <c r="C41" s="10">
        <v>176763000</v>
      </c>
      <c r="D41" s="10">
        <v>3815036000</v>
      </c>
      <c r="E41" s="10">
        <v>3392559000</v>
      </c>
      <c r="F41" s="10">
        <v>947475000</v>
      </c>
      <c r="G41" s="10">
        <v>599737000</v>
      </c>
      <c r="H41" s="10">
        <v>710635000</v>
      </c>
      <c r="I41" s="10">
        <v>691642000</v>
      </c>
      <c r="J41" s="10">
        <v>296171000</v>
      </c>
      <c r="K41" s="10">
        <v>167358000</v>
      </c>
      <c r="L41" s="10">
        <v>1610466000</v>
      </c>
      <c r="M41" s="10">
        <v>1593315000</v>
      </c>
      <c r="N41" s="10">
        <v>1316912000</v>
      </c>
      <c r="O41" s="10">
        <v>805979000</v>
      </c>
      <c r="P41" s="10">
        <v>5176912000</v>
      </c>
      <c r="Q41" s="10">
        <v>4316914000</v>
      </c>
      <c r="R41" s="10">
        <v>2317930000</v>
      </c>
      <c r="S41" s="10">
        <v>1490383000</v>
      </c>
      <c r="T41" s="10">
        <v>3820473000</v>
      </c>
      <c r="U41" s="10">
        <v>2527693000</v>
      </c>
      <c r="V41" s="10">
        <v>2075812000</v>
      </c>
      <c r="W41" s="10">
        <v>1157486000</v>
      </c>
      <c r="X41" s="10">
        <v>5028676000</v>
      </c>
      <c r="Y41" s="10">
        <v>3588449000</v>
      </c>
      <c r="Z41" s="10">
        <v>2460160000</v>
      </c>
      <c r="AA41" s="10">
        <v>1438186000</v>
      </c>
      <c r="AB41" s="10">
        <v>7377672000</v>
      </c>
      <c r="AC41" s="10">
        <v>5562439000</v>
      </c>
      <c r="AD41" s="10">
        <v>3884189000</v>
      </c>
      <c r="AE41" s="10">
        <v>1448910000</v>
      </c>
      <c r="AF41" s="10">
        <v>1826836000</v>
      </c>
      <c r="AG41" s="10">
        <v>1507496000</v>
      </c>
      <c r="AH41" s="10">
        <v>1052408000</v>
      </c>
      <c r="AI41" s="10">
        <v>349861000</v>
      </c>
      <c r="AJ41" s="10">
        <v>2327912000</v>
      </c>
      <c r="AK41" s="10">
        <v>2406478000</v>
      </c>
      <c r="AL41" s="10">
        <v>1090826000</v>
      </c>
      <c r="AM41" s="10">
        <v>339042000</v>
      </c>
      <c r="AN41" s="10">
        <v>948313859</v>
      </c>
      <c r="AO41" s="10"/>
      <c r="AP41" s="10"/>
    </row>
    <row r="42" spans="1:42" s="11" customFormat="1" ht="15" customHeight="1" x14ac:dyDescent="0.25">
      <c r="A42" s="4"/>
      <c r="B42" s="9" t="s">
        <v>104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s="11" customFormat="1" ht="15" customHeight="1" x14ac:dyDescent="0.25">
      <c r="A43" s="4"/>
      <c r="B43" s="9" t="s">
        <v>105</v>
      </c>
      <c r="C43" s="10">
        <v>109224000</v>
      </c>
      <c r="D43" s="10">
        <v>2078522000</v>
      </c>
      <c r="E43" s="10">
        <v>1656045000</v>
      </c>
      <c r="F43" s="10">
        <v>947475000</v>
      </c>
      <c r="G43" s="10">
        <v>599737000</v>
      </c>
      <c r="H43" s="10">
        <v>710635000</v>
      </c>
      <c r="I43" s="10">
        <v>691642000</v>
      </c>
      <c r="J43" s="10">
        <v>296171000</v>
      </c>
      <c r="K43" s="10">
        <v>167358000</v>
      </c>
      <c r="L43" s="10">
        <v>1610466000</v>
      </c>
      <c r="M43" s="10">
        <v>1593315000</v>
      </c>
      <c r="N43" s="10">
        <v>1316912000</v>
      </c>
      <c r="O43" s="10">
        <v>805979000</v>
      </c>
      <c r="P43" s="10">
        <v>4405023000</v>
      </c>
      <c r="Q43" s="10">
        <v>3563291000</v>
      </c>
      <c r="R43" s="10">
        <v>2317930000</v>
      </c>
      <c r="S43" s="10">
        <v>1490383000</v>
      </c>
      <c r="T43" s="10">
        <v>3820449000</v>
      </c>
      <c r="U43" s="10">
        <v>2527669000</v>
      </c>
      <c r="V43" s="10">
        <v>2075788000</v>
      </c>
      <c r="W43" s="10">
        <v>1157486000</v>
      </c>
      <c r="X43" s="10">
        <v>5028676000</v>
      </c>
      <c r="Y43" s="10">
        <v>3588449000</v>
      </c>
      <c r="Z43" s="10">
        <v>2460160000</v>
      </c>
      <c r="AA43" s="10">
        <v>1438186000</v>
      </c>
      <c r="AB43" s="10">
        <v>7377491000</v>
      </c>
      <c r="AC43" s="10">
        <v>5562258000</v>
      </c>
      <c r="AD43" s="10">
        <v>3884189000</v>
      </c>
      <c r="AE43" s="10">
        <v>1448910000</v>
      </c>
      <c r="AF43" s="10">
        <v>1826595000</v>
      </c>
      <c r="AG43" s="10">
        <v>1507496000</v>
      </c>
      <c r="AH43" s="10">
        <v>1052408000</v>
      </c>
      <c r="AI43" s="10">
        <v>349620000</v>
      </c>
      <c r="AJ43" s="10">
        <v>3231747000</v>
      </c>
      <c r="AK43" s="10">
        <v>1899306000</v>
      </c>
      <c r="AL43" s="10">
        <v>1090826000</v>
      </c>
      <c r="AM43" s="10">
        <v>339042000</v>
      </c>
      <c r="AN43" s="10">
        <v>591046217</v>
      </c>
      <c r="AO43" s="10"/>
      <c r="AP43" s="10"/>
    </row>
    <row r="44" spans="1:42" s="11" customFormat="1" ht="15" customHeight="1" x14ac:dyDescent="0.25">
      <c r="A44" s="4"/>
      <c r="B44" s="9" t="s">
        <v>106</v>
      </c>
      <c r="C44" s="10"/>
      <c r="D44" s="10">
        <v>-706002000</v>
      </c>
      <c r="E44" s="10">
        <v>-706002000</v>
      </c>
      <c r="F44" s="10">
        <v>-706002000</v>
      </c>
      <c r="G44" s="10"/>
      <c r="H44" s="10">
        <v>-423601000</v>
      </c>
      <c r="I44" s="10">
        <v>-423601000</v>
      </c>
      <c r="J44" s="10">
        <v>-423601000</v>
      </c>
      <c r="K44" s="10"/>
      <c r="L44" s="10">
        <v>-353001000</v>
      </c>
      <c r="M44" s="10">
        <v>-353001000</v>
      </c>
      <c r="N44" s="10">
        <v>-353001000</v>
      </c>
      <c r="O44" s="10"/>
      <c r="P44" s="10">
        <v>-218401000</v>
      </c>
      <c r="Q44" s="10">
        <v>-218401000</v>
      </c>
      <c r="R44" s="10">
        <v>-218401000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-88541000</v>
      </c>
      <c r="AG44" s="10">
        <v>-88541000</v>
      </c>
      <c r="AH44" s="10">
        <v>-88541000</v>
      </c>
      <c r="AI44" s="10"/>
      <c r="AJ44" s="10"/>
      <c r="AK44" s="10"/>
      <c r="AL44" s="10"/>
      <c r="AM44" s="10"/>
      <c r="AN44" s="10"/>
      <c r="AO44" s="10"/>
      <c r="AP44" s="10"/>
    </row>
    <row r="45" spans="1:42" s="11" customFormat="1" ht="15" customHeight="1" x14ac:dyDescent="0.25">
      <c r="A45" s="4"/>
      <c r="B45" s="9" t="s">
        <v>107</v>
      </c>
      <c r="C45" s="10">
        <v>-1197062000</v>
      </c>
      <c r="D45" s="10">
        <v>-600672000</v>
      </c>
      <c r="E45" s="10">
        <v>-609634000</v>
      </c>
      <c r="F45" s="10">
        <v>-1762063000</v>
      </c>
      <c r="G45" s="10">
        <v>527367000</v>
      </c>
      <c r="H45" s="10">
        <v>2336205000</v>
      </c>
      <c r="I45" s="10">
        <v>509333000</v>
      </c>
      <c r="J45" s="10">
        <v>712217000</v>
      </c>
      <c r="K45" s="10">
        <v>1549000000</v>
      </c>
      <c r="L45" s="10">
        <v>-561933000</v>
      </c>
      <c r="M45" s="10">
        <v>38984000</v>
      </c>
      <c r="N45" s="10">
        <v>-188271000</v>
      </c>
      <c r="O45" s="10">
        <v>-228773000</v>
      </c>
      <c r="P45" s="10">
        <v>738958000</v>
      </c>
      <c r="Q45" s="10">
        <v>73871000</v>
      </c>
      <c r="R45" s="10">
        <v>213320000</v>
      </c>
      <c r="S45" s="10">
        <v>-94492000</v>
      </c>
      <c r="T45" s="10">
        <v>-195106000</v>
      </c>
      <c r="U45" s="10">
        <v>-254222000</v>
      </c>
      <c r="V45" s="10">
        <v>-40624000</v>
      </c>
      <c r="W45" s="10">
        <v>-311906000</v>
      </c>
      <c r="X45" s="10">
        <v>-26520000</v>
      </c>
      <c r="Y45" s="10">
        <v>-57603000</v>
      </c>
      <c r="Z45" s="10">
        <v>-153639000</v>
      </c>
      <c r="AA45" s="10">
        <v>82724000</v>
      </c>
      <c r="AB45" s="10">
        <v>-585401000</v>
      </c>
      <c r="AC45" s="10">
        <v>-638133000</v>
      </c>
      <c r="AD45" s="10">
        <v>475631000</v>
      </c>
      <c r="AE45" s="10">
        <v>1447316000</v>
      </c>
      <c r="AF45" s="10">
        <v>-9438000</v>
      </c>
      <c r="AG45" s="10">
        <v>154050000</v>
      </c>
      <c r="AH45" s="10">
        <v>-505270000</v>
      </c>
      <c r="AI45" s="10">
        <v>162807000</v>
      </c>
      <c r="AJ45" s="10">
        <v>40870000</v>
      </c>
      <c r="AK45" s="10">
        <v>-312948000</v>
      </c>
      <c r="AL45" s="10">
        <v>-10676000</v>
      </c>
      <c r="AM45" s="10">
        <v>154261000</v>
      </c>
      <c r="AN45" s="10">
        <v>682246476</v>
      </c>
      <c r="AO45" s="10"/>
      <c r="AP45" s="10"/>
    </row>
    <row r="46" spans="1:42" s="11" customFormat="1" ht="15" customHeight="1" x14ac:dyDescent="0.25">
      <c r="A46" s="4"/>
      <c r="B46" s="9" t="s">
        <v>108</v>
      </c>
      <c r="C46" s="10">
        <v>2349319000</v>
      </c>
      <c r="D46" s="10">
        <v>2949991000</v>
      </c>
      <c r="E46" s="10">
        <v>2949991000</v>
      </c>
      <c r="F46" s="10">
        <v>2949991000</v>
      </c>
      <c r="G46" s="10">
        <v>2949991000</v>
      </c>
      <c r="H46" s="10">
        <v>613786000</v>
      </c>
      <c r="I46" s="10">
        <v>613786000</v>
      </c>
      <c r="J46" s="10">
        <v>613786000</v>
      </c>
      <c r="K46" s="10">
        <v>613786000</v>
      </c>
      <c r="L46" s="10">
        <v>1175719000</v>
      </c>
      <c r="M46" s="10">
        <v>1175719000</v>
      </c>
      <c r="N46" s="10">
        <v>1175719000</v>
      </c>
      <c r="O46" s="10">
        <v>1175719000</v>
      </c>
      <c r="P46" s="10">
        <v>436761000</v>
      </c>
      <c r="Q46" s="10">
        <v>436761000</v>
      </c>
      <c r="R46" s="10">
        <v>436761000</v>
      </c>
      <c r="S46" s="10">
        <v>436761000</v>
      </c>
      <c r="T46" s="10">
        <v>631867000</v>
      </c>
      <c r="U46" s="10">
        <v>631867000</v>
      </c>
      <c r="V46" s="10">
        <v>631867000</v>
      </c>
      <c r="W46" s="10">
        <v>631867000</v>
      </c>
      <c r="X46" s="10">
        <v>658387000</v>
      </c>
      <c r="Y46" s="10">
        <v>658387000</v>
      </c>
      <c r="Z46" s="10">
        <v>658387000</v>
      </c>
      <c r="AA46" s="10">
        <v>658387000</v>
      </c>
      <c r="AB46" s="10">
        <v>1243788000</v>
      </c>
      <c r="AC46" s="10">
        <v>1243788000</v>
      </c>
      <c r="AD46" s="10">
        <v>1243788000</v>
      </c>
      <c r="AE46" s="10">
        <v>1243788000</v>
      </c>
      <c r="AF46" s="10">
        <v>1253226000</v>
      </c>
      <c r="AG46" s="10">
        <v>1253226000</v>
      </c>
      <c r="AH46" s="10">
        <v>1253226000</v>
      </c>
      <c r="AI46" s="10">
        <v>1253226000</v>
      </c>
      <c r="AJ46" s="10">
        <v>1212356000</v>
      </c>
      <c r="AK46" s="10">
        <v>1212356000</v>
      </c>
      <c r="AL46" s="10">
        <v>1212356000</v>
      </c>
      <c r="AM46" s="10">
        <v>1212356000</v>
      </c>
      <c r="AN46" s="10">
        <v>526864162</v>
      </c>
      <c r="AO46" s="10"/>
      <c r="AP46" s="10"/>
    </row>
    <row r="47" spans="1:42" s="11" customFormat="1" ht="15" customHeight="1" x14ac:dyDescent="0.25">
      <c r="A47" s="4"/>
      <c r="B47" s="9" t="s">
        <v>109</v>
      </c>
      <c r="C47" s="10">
        <v>1152257000</v>
      </c>
      <c r="D47" s="10">
        <v>2349319000</v>
      </c>
      <c r="E47" s="10">
        <v>2340357000</v>
      </c>
      <c r="F47" s="10">
        <v>1187928000</v>
      </c>
      <c r="G47" s="10">
        <v>3477358000</v>
      </c>
      <c r="H47" s="10">
        <v>2949991000</v>
      </c>
      <c r="I47" s="10">
        <v>1123119000</v>
      </c>
      <c r="J47" s="10">
        <v>1326003000</v>
      </c>
      <c r="K47" s="10">
        <v>2162786000</v>
      </c>
      <c r="L47" s="10">
        <v>613786000</v>
      </c>
      <c r="M47" s="10">
        <v>1214703000</v>
      </c>
      <c r="N47" s="10">
        <v>987448000</v>
      </c>
      <c r="O47" s="10">
        <v>946946000</v>
      </c>
      <c r="P47" s="10">
        <v>1175719000</v>
      </c>
      <c r="Q47" s="10">
        <v>510632000</v>
      </c>
      <c r="R47" s="10">
        <v>650081000</v>
      </c>
      <c r="S47" s="10">
        <v>342269000</v>
      </c>
      <c r="T47" s="10">
        <v>436761000</v>
      </c>
      <c r="U47" s="10">
        <v>377645000</v>
      </c>
      <c r="V47" s="10">
        <v>591243000</v>
      </c>
      <c r="W47" s="10">
        <v>319961000</v>
      </c>
      <c r="X47" s="10">
        <v>631867000</v>
      </c>
      <c r="Y47" s="10">
        <v>600784000</v>
      </c>
      <c r="Z47" s="10">
        <v>504748000</v>
      </c>
      <c r="AA47" s="10">
        <v>741111000</v>
      </c>
      <c r="AB47" s="10">
        <v>658387000</v>
      </c>
      <c r="AC47" s="10">
        <v>605655000</v>
      </c>
      <c r="AD47" s="10">
        <v>1719419000</v>
      </c>
      <c r="AE47" s="10">
        <v>2691104000</v>
      </c>
      <c r="AF47" s="10">
        <v>1243788000</v>
      </c>
      <c r="AG47" s="10">
        <v>1407276000</v>
      </c>
      <c r="AH47" s="10">
        <v>747956000</v>
      </c>
      <c r="AI47" s="10">
        <v>1416033000</v>
      </c>
      <c r="AJ47" s="10">
        <v>1253226000</v>
      </c>
      <c r="AK47" s="10">
        <v>899408000</v>
      </c>
      <c r="AL47" s="10">
        <v>1201680000</v>
      </c>
      <c r="AM47" s="10">
        <v>1366617000</v>
      </c>
      <c r="AN47" s="10">
        <v>1209110638</v>
      </c>
      <c r="AO47" s="10"/>
      <c r="AP47" s="10"/>
    </row>
    <row r="48" spans="1:42" x14ac:dyDescent="0.25">
      <c r="A48" s="4"/>
    </row>
    <row r="49" spans="1:1" x14ac:dyDescent="0.25">
      <c r="A49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46"/>
  <sheetViews>
    <sheetView showGridLines="0" workbookViewId="0"/>
  </sheetViews>
  <sheetFormatPr defaultRowHeight="13.5" x14ac:dyDescent="0.25"/>
  <cols>
    <col min="1" max="1" width="1.7109375" style="3" customWidth="1"/>
    <col min="2" max="2" width="24.85546875" bestFit="1" customWidth="1"/>
    <col min="3" max="3" width="18.140625" style="2" customWidth="1"/>
    <col min="4" max="21" width="17.28515625" style="2" bestFit="1" customWidth="1"/>
    <col min="22" max="42" width="16.28515625" style="2" bestFit="1" customWidth="1"/>
    <col min="43" max="3600" width="12.5703125" bestFit="1" customWidth="1"/>
  </cols>
  <sheetData>
    <row r="1" spans="1:42" ht="15" customHeight="1" x14ac:dyDescent="0.25">
      <c r="B1" s="5"/>
    </row>
    <row r="2" spans="1:42" ht="15" customHeight="1" x14ac:dyDescent="0.25">
      <c r="B2" s="18" t="s">
        <v>127</v>
      </c>
      <c r="C2" s="16" t="str">
        <f>재무상태표!C2</f>
        <v>000660</v>
      </c>
      <c r="E2" s="18" t="s">
        <v>34</v>
      </c>
      <c r="F2" s="19">
        <f ca="1">재무상태표!F2</f>
        <v>39970</v>
      </c>
      <c r="H2" s="18" t="s">
        <v>36</v>
      </c>
      <c r="I2" s="16" t="str">
        <f>재무상태표!I2</f>
        <v>연결</v>
      </c>
    </row>
    <row r="3" spans="1:42" ht="15" customHeight="1" x14ac:dyDescent="0.25">
      <c r="B3" s="18" t="s">
        <v>128</v>
      </c>
      <c r="C3" s="17" t="str">
        <f>재무상태표!C3</f>
        <v>SK하이닉스</v>
      </c>
      <c r="E3" s="18" t="s">
        <v>35</v>
      </c>
      <c r="F3" s="20">
        <f ca="1">재무상태표!F3</f>
        <v>43616</v>
      </c>
      <c r="H3" s="18" t="s">
        <v>37</v>
      </c>
      <c r="I3" s="22" t="str">
        <f>재무상태표!I3</f>
        <v>누적</v>
      </c>
    </row>
    <row r="4" spans="1:42" ht="15" customHeight="1" x14ac:dyDescent="0.25">
      <c r="C4" s="1"/>
      <c r="H4" s="18" t="s">
        <v>39</v>
      </c>
      <c r="I4" s="21" t="str">
        <f>재무상태표!I4</f>
        <v>연속</v>
      </c>
    </row>
    <row r="5" spans="1:42" ht="15" customHeight="1" x14ac:dyDescent="0.25">
      <c r="A5" s="4"/>
      <c r="C5" s="1"/>
    </row>
    <row r="6" spans="1:42" ht="15" customHeight="1" x14ac:dyDescent="0.25">
      <c r="A6" s="4"/>
    </row>
    <row r="7" spans="1:42" ht="15" customHeight="1" x14ac:dyDescent="0.25">
      <c r="A7" s="4"/>
      <c r="B7" s="31" t="str">
        <f ca="1">_xll.IMDH("STK",$C$2,B8:B25,$F$2,$F$3,9999,"Per=일,sort=D,real=true,Bizday=0,Quote=종가,Pos=11,Orient=H,Cons="&amp;$I$2&amp;",Comp="&amp;$I$3&amp;",Trai="&amp;I4&amp;",Title="&amp;$C$3&amp;",DtFmt=1,TmFmt=1,unit=true")</f>
        <v>SK하이닉스</v>
      </c>
    </row>
    <row r="8" spans="1:42" s="7" customFormat="1" ht="15" customHeight="1" x14ac:dyDescent="0.25">
      <c r="A8" s="4"/>
      <c r="B8" s="7" t="s">
        <v>38</v>
      </c>
      <c r="C8" s="8">
        <v>43555</v>
      </c>
      <c r="D8" s="8">
        <v>43465</v>
      </c>
      <c r="E8" s="8">
        <v>43373</v>
      </c>
      <c r="F8" s="8">
        <v>43281</v>
      </c>
      <c r="G8" s="8">
        <v>43190</v>
      </c>
      <c r="H8" s="8">
        <v>43100</v>
      </c>
      <c r="I8" s="8">
        <v>43008</v>
      </c>
      <c r="J8" s="8">
        <v>42916</v>
      </c>
      <c r="K8" s="8">
        <v>42825</v>
      </c>
      <c r="L8" s="8">
        <v>42735</v>
      </c>
      <c r="M8" s="8">
        <v>42643</v>
      </c>
      <c r="N8" s="8">
        <v>42551</v>
      </c>
      <c r="O8" s="8">
        <v>42460</v>
      </c>
      <c r="P8" s="8">
        <v>42369</v>
      </c>
      <c r="Q8" s="8">
        <v>42277</v>
      </c>
      <c r="R8" s="8">
        <v>42185</v>
      </c>
      <c r="S8" s="8">
        <v>42094</v>
      </c>
      <c r="T8" s="8">
        <v>42004</v>
      </c>
      <c r="U8" s="8">
        <v>41912</v>
      </c>
      <c r="V8" s="8">
        <v>41820</v>
      </c>
      <c r="W8" s="8">
        <v>41729</v>
      </c>
      <c r="X8" s="8">
        <v>41639</v>
      </c>
      <c r="Y8" s="8">
        <v>41547</v>
      </c>
      <c r="Z8" s="8">
        <v>41455</v>
      </c>
      <c r="AA8" s="8">
        <v>41364</v>
      </c>
      <c r="AB8" s="8">
        <v>41274</v>
      </c>
      <c r="AC8" s="8">
        <v>41182</v>
      </c>
      <c r="AD8" s="8">
        <v>41090</v>
      </c>
      <c r="AE8" s="8">
        <v>40999</v>
      </c>
      <c r="AF8" s="8">
        <v>40908</v>
      </c>
      <c r="AG8" s="8">
        <v>40816</v>
      </c>
      <c r="AH8" s="8">
        <v>40724</v>
      </c>
      <c r="AI8" s="8">
        <v>40633</v>
      </c>
      <c r="AJ8" s="8">
        <v>40543</v>
      </c>
      <c r="AK8" s="8">
        <v>40178</v>
      </c>
      <c r="AL8" s="8"/>
      <c r="AM8" s="8"/>
      <c r="AN8" s="8"/>
      <c r="AO8" s="8"/>
      <c r="AP8" s="8"/>
    </row>
    <row r="9" spans="1:42" s="14" customFormat="1" ht="15" customHeight="1" x14ac:dyDescent="0.25">
      <c r="A9" s="4"/>
      <c r="B9" s="12" t="s">
        <v>110</v>
      </c>
      <c r="C9" s="13">
        <v>3657652000</v>
      </c>
      <c r="D9" s="13">
        <v>3657652000</v>
      </c>
      <c r="E9" s="32">
        <v>3657652000</v>
      </c>
      <c r="F9" s="32">
        <v>3657652000</v>
      </c>
      <c r="G9" s="13">
        <v>3657652000</v>
      </c>
      <c r="H9" s="13">
        <v>3657652000</v>
      </c>
      <c r="I9" s="13">
        <v>3657652000</v>
      </c>
      <c r="J9" s="13">
        <v>3657652000</v>
      </c>
      <c r="K9" s="13">
        <v>3657652000</v>
      </c>
      <c r="L9" s="13">
        <v>3657652000</v>
      </c>
      <c r="M9" s="13">
        <v>3657652000</v>
      </c>
      <c r="N9" s="13">
        <v>3657652000</v>
      </c>
      <c r="O9" s="13">
        <v>3657652000</v>
      </c>
      <c r="P9" s="13">
        <v>3657652000</v>
      </c>
      <c r="Q9" s="13">
        <v>3657652000</v>
      </c>
      <c r="R9" s="13">
        <v>3657652000</v>
      </c>
      <c r="S9" s="13">
        <v>3657652000</v>
      </c>
      <c r="T9" s="13">
        <v>3657652000</v>
      </c>
      <c r="U9" s="13">
        <v>3649675000</v>
      </c>
      <c r="V9" s="13">
        <v>3598249000</v>
      </c>
      <c r="W9" s="13">
        <v>3568645000</v>
      </c>
      <c r="X9" s="13">
        <v>3568645000</v>
      </c>
      <c r="Y9" s="13">
        <v>3568645000</v>
      </c>
      <c r="Z9" s="13">
        <v>3491225000</v>
      </c>
      <c r="AA9" s="13">
        <v>3488467000</v>
      </c>
      <c r="AB9" s="13">
        <v>3488419000</v>
      </c>
      <c r="AC9" s="13">
        <v>3488252000</v>
      </c>
      <c r="AD9" s="13">
        <v>3488252000</v>
      </c>
      <c r="AE9" s="13">
        <v>3487768000</v>
      </c>
      <c r="AF9" s="13">
        <v>2978498000</v>
      </c>
      <c r="AG9" s="13">
        <v>2978498000</v>
      </c>
      <c r="AH9" s="13">
        <v>2978498000</v>
      </c>
      <c r="AI9" s="13">
        <v>2971195000</v>
      </c>
      <c r="AJ9" s="13">
        <v>2969023000</v>
      </c>
      <c r="AK9" s="13">
        <v>2965833030</v>
      </c>
      <c r="AL9" s="13"/>
      <c r="AM9" s="13"/>
      <c r="AN9" s="13"/>
      <c r="AO9" s="13"/>
      <c r="AP9" s="13"/>
    </row>
    <row r="10" spans="1:42" s="11" customFormat="1" ht="15" customHeight="1" x14ac:dyDescent="0.25">
      <c r="A10" s="4"/>
      <c r="B10" s="9" t="s">
        <v>111</v>
      </c>
      <c r="C10" s="10">
        <v>3657652000</v>
      </c>
      <c r="D10" s="10">
        <v>3657652000</v>
      </c>
      <c r="E10" s="33">
        <v>3657652000</v>
      </c>
      <c r="F10" s="33">
        <v>3657652000</v>
      </c>
      <c r="G10" s="10">
        <v>3657652000</v>
      </c>
      <c r="H10" s="10">
        <v>3657652000</v>
      </c>
      <c r="I10" s="10">
        <v>3657652000</v>
      </c>
      <c r="J10" s="10">
        <v>3657652000</v>
      </c>
      <c r="K10" s="10">
        <v>3657652000</v>
      </c>
      <c r="L10" s="10">
        <v>3657652000</v>
      </c>
      <c r="M10" s="10">
        <v>3657652000</v>
      </c>
      <c r="N10" s="10">
        <v>3657652000</v>
      </c>
      <c r="O10" s="10">
        <v>3657652000</v>
      </c>
      <c r="P10" s="10">
        <v>3657652000</v>
      </c>
      <c r="Q10" s="10">
        <v>3657652000</v>
      </c>
      <c r="R10" s="10">
        <v>3657652000</v>
      </c>
      <c r="S10" s="10">
        <v>3657652000</v>
      </c>
      <c r="T10" s="10">
        <v>3568645000</v>
      </c>
      <c r="U10" s="10">
        <v>3568645000</v>
      </c>
      <c r="V10" s="10">
        <v>3568645000</v>
      </c>
      <c r="W10" s="10">
        <v>3568645000</v>
      </c>
      <c r="X10" s="10">
        <v>3488419000</v>
      </c>
      <c r="Y10" s="10">
        <v>3488419000</v>
      </c>
      <c r="Z10" s="10">
        <v>3488419000</v>
      </c>
      <c r="AA10" s="10">
        <v>3488419000</v>
      </c>
      <c r="AB10" s="10">
        <v>2978498000</v>
      </c>
      <c r="AC10" s="10">
        <v>2978498000</v>
      </c>
      <c r="AD10" s="10">
        <v>2978498000</v>
      </c>
      <c r="AE10" s="10">
        <v>2978498000</v>
      </c>
      <c r="AF10" s="10">
        <v>2969023000</v>
      </c>
      <c r="AG10" s="10">
        <v>2969023000</v>
      </c>
      <c r="AH10" s="10">
        <v>2969023000</v>
      </c>
      <c r="AI10" s="10">
        <v>2969023000</v>
      </c>
      <c r="AJ10" s="10">
        <v>2965833000</v>
      </c>
      <c r="AK10" s="10">
        <v>2315654175</v>
      </c>
      <c r="AL10" s="10"/>
      <c r="AM10" s="10"/>
      <c r="AN10" s="10"/>
      <c r="AO10" s="10"/>
      <c r="AP10" s="10"/>
    </row>
    <row r="11" spans="1:42" s="11" customFormat="1" ht="15" customHeight="1" x14ac:dyDescent="0.25">
      <c r="A11" s="4"/>
      <c r="B11" s="9" t="s">
        <v>112</v>
      </c>
      <c r="C11" s="10"/>
      <c r="D11" s="10"/>
      <c r="E11" s="33"/>
      <c r="F11" s="3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>
        <v>509250000</v>
      </c>
      <c r="AC11" s="10">
        <v>509250000</v>
      </c>
      <c r="AD11" s="10">
        <v>509250000</v>
      </c>
      <c r="AE11" s="10">
        <v>509250000</v>
      </c>
      <c r="AF11" s="10"/>
      <c r="AG11" s="10"/>
      <c r="AH11" s="10"/>
      <c r="AI11" s="10"/>
      <c r="AJ11" s="10"/>
      <c r="AK11" s="10">
        <v>650000000</v>
      </c>
      <c r="AL11" s="10"/>
      <c r="AM11" s="10"/>
      <c r="AN11" s="10"/>
      <c r="AO11" s="10"/>
      <c r="AP11" s="10"/>
    </row>
    <row r="12" spans="1:42" s="11" customFormat="1" ht="15" customHeight="1" x14ac:dyDescent="0.25">
      <c r="A12" s="4"/>
      <c r="B12" s="9" t="s">
        <v>113</v>
      </c>
      <c r="C12" s="10"/>
      <c r="D12" s="10"/>
      <c r="E12" s="33"/>
      <c r="F12" s="3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 s="11" customFormat="1" ht="15" customHeight="1" x14ac:dyDescent="0.25">
      <c r="A13" s="4"/>
      <c r="B13" s="9" t="s">
        <v>114</v>
      </c>
      <c r="C13" s="10"/>
      <c r="D13" s="10"/>
      <c r="E13" s="33"/>
      <c r="F13" s="3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619000</v>
      </c>
      <c r="AC13" s="10">
        <v>468000</v>
      </c>
      <c r="AD13" s="10">
        <v>468000</v>
      </c>
      <c r="AE13" s="10"/>
      <c r="AF13" s="10"/>
      <c r="AG13" s="10"/>
      <c r="AH13" s="10"/>
      <c r="AI13" s="10"/>
      <c r="AJ13" s="10">
        <v>13000</v>
      </c>
      <c r="AK13" s="10">
        <v>133000</v>
      </c>
      <c r="AL13" s="10"/>
      <c r="AM13" s="10"/>
      <c r="AN13" s="10"/>
      <c r="AO13" s="10"/>
      <c r="AP13" s="10"/>
    </row>
    <row r="14" spans="1:42" s="11" customFormat="1" ht="15" customHeight="1" x14ac:dyDescent="0.25">
      <c r="A14" s="4"/>
      <c r="B14" s="9" t="s">
        <v>115</v>
      </c>
      <c r="C14" s="10"/>
      <c r="D14" s="10"/>
      <c r="E14" s="33"/>
      <c r="F14" s="3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82214000</v>
      </c>
      <c r="U14" s="10">
        <v>74237000</v>
      </c>
      <c r="V14" s="10">
        <v>22811000</v>
      </c>
      <c r="W14" s="10"/>
      <c r="X14" s="10">
        <v>80226000</v>
      </c>
      <c r="Y14" s="10">
        <v>80226000</v>
      </c>
      <c r="Z14" s="10">
        <v>2806000</v>
      </c>
      <c r="AA14" s="10">
        <v>48000</v>
      </c>
      <c r="AB14" s="10">
        <v>52000</v>
      </c>
      <c r="AC14" s="10">
        <v>36000</v>
      </c>
      <c r="AD14" s="10">
        <v>36000</v>
      </c>
      <c r="AE14" s="10">
        <v>20000</v>
      </c>
      <c r="AF14" s="10">
        <v>9475000</v>
      </c>
      <c r="AG14" s="10">
        <v>9475000</v>
      </c>
      <c r="AH14" s="10">
        <v>9475000</v>
      </c>
      <c r="AI14" s="10">
        <v>2172000</v>
      </c>
      <c r="AJ14" s="10">
        <v>3177000</v>
      </c>
      <c r="AK14" s="10">
        <v>45855</v>
      </c>
      <c r="AL14" s="10"/>
      <c r="AM14" s="10"/>
      <c r="AN14" s="10"/>
      <c r="AO14" s="10"/>
      <c r="AP14" s="10"/>
    </row>
    <row r="15" spans="1:42" s="11" customFormat="1" ht="15" customHeight="1" x14ac:dyDescent="0.25">
      <c r="A15" s="4"/>
      <c r="B15" s="9" t="s">
        <v>116</v>
      </c>
      <c r="C15" s="10"/>
      <c r="D15" s="10"/>
      <c r="E15" s="33"/>
      <c r="F15" s="3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s="11" customFormat="1" ht="15" customHeight="1" x14ac:dyDescent="0.25">
      <c r="A16" s="4"/>
      <c r="B16" s="9" t="s">
        <v>117</v>
      </c>
      <c r="C16" s="10">
        <v>4143736000</v>
      </c>
      <c r="D16" s="10">
        <v>4143736000</v>
      </c>
      <c r="E16" s="33">
        <v>4143736000</v>
      </c>
      <c r="F16" s="33">
        <v>4143736000</v>
      </c>
      <c r="G16" s="10">
        <v>4143736000</v>
      </c>
      <c r="H16" s="10">
        <v>4143736000</v>
      </c>
      <c r="I16" s="10">
        <v>4143736000</v>
      </c>
      <c r="J16" s="10">
        <v>4143736000</v>
      </c>
      <c r="K16" s="10">
        <v>4143736000</v>
      </c>
      <c r="L16" s="10">
        <v>4143736000</v>
      </c>
      <c r="M16" s="10">
        <v>4143736000</v>
      </c>
      <c r="N16" s="10">
        <v>4143736000</v>
      </c>
      <c r="O16" s="10">
        <v>4143736000</v>
      </c>
      <c r="P16" s="10">
        <v>4143736000</v>
      </c>
      <c r="Q16" s="10">
        <v>4143736000</v>
      </c>
      <c r="R16" s="10">
        <v>4143736000</v>
      </c>
      <c r="S16" s="10">
        <v>4143736000</v>
      </c>
      <c r="T16" s="10">
        <v>4143736000</v>
      </c>
      <c r="U16" s="10">
        <v>4081272000</v>
      </c>
      <c r="V16" s="10">
        <v>3646702000</v>
      </c>
      <c r="W16" s="10">
        <v>3406083000</v>
      </c>
      <c r="X16" s="10">
        <v>3406083000</v>
      </c>
      <c r="Y16" s="10">
        <v>3406148000</v>
      </c>
      <c r="Z16" s="10">
        <v>3066076000</v>
      </c>
      <c r="AA16" s="10">
        <v>3054075000</v>
      </c>
      <c r="AB16" s="10">
        <v>3053874000</v>
      </c>
      <c r="AC16" s="10">
        <v>3049173000</v>
      </c>
      <c r="AD16" s="10">
        <v>3049248000</v>
      </c>
      <c r="AE16" s="10">
        <v>3045857000</v>
      </c>
      <c r="AF16" s="10">
        <v>1229052000</v>
      </c>
      <c r="AG16" s="10">
        <v>1230979000</v>
      </c>
      <c r="AH16" s="10">
        <v>1230979000</v>
      </c>
      <c r="AI16" s="10">
        <v>1203046000</v>
      </c>
      <c r="AJ16" s="10">
        <v>1193100000</v>
      </c>
      <c r="AK16" s="10">
        <v>1303527701</v>
      </c>
      <c r="AL16" s="10"/>
      <c r="AM16" s="10"/>
      <c r="AN16" s="10"/>
      <c r="AO16" s="10"/>
      <c r="AP16" s="10"/>
    </row>
    <row r="17" spans="1:42" s="11" customFormat="1" ht="15" customHeight="1" x14ac:dyDescent="0.25">
      <c r="A17" s="4"/>
      <c r="B17" s="9" t="s">
        <v>118</v>
      </c>
      <c r="C17" s="10">
        <v>-2506133000</v>
      </c>
      <c r="D17" s="10">
        <v>-2506451000</v>
      </c>
      <c r="E17" s="33">
        <v>-2506748000</v>
      </c>
      <c r="F17" s="33">
        <v>-770531000</v>
      </c>
      <c r="G17" s="10">
        <v>-770825000</v>
      </c>
      <c r="H17" s="10">
        <v>-771100000</v>
      </c>
      <c r="I17" s="10">
        <v>-771365000</v>
      </c>
      <c r="J17" s="10">
        <v>-771629000</v>
      </c>
      <c r="K17" s="10">
        <v>-771890000</v>
      </c>
      <c r="L17" s="10">
        <v>-771913000</v>
      </c>
      <c r="M17" s="10">
        <v>-771913000</v>
      </c>
      <c r="N17" s="10">
        <v>-771913000</v>
      </c>
      <c r="O17" s="10">
        <v>-771913000</v>
      </c>
      <c r="P17" s="10">
        <v>-771913000</v>
      </c>
      <c r="Q17" s="10">
        <v>-753647000</v>
      </c>
      <c r="R17" s="10">
        <v>-24000</v>
      </c>
      <c r="S17" s="10">
        <v>-24000</v>
      </c>
      <c r="T17" s="10">
        <v>-24000</v>
      </c>
      <c r="U17" s="10">
        <v>-24000</v>
      </c>
      <c r="V17" s="10">
        <v>-24000</v>
      </c>
      <c r="W17" s="10"/>
      <c r="X17" s="10"/>
      <c r="Y17" s="10"/>
      <c r="Z17" s="10"/>
      <c r="AA17" s="10"/>
      <c r="AB17" s="10"/>
      <c r="AC17" s="10">
        <v>4100000</v>
      </c>
      <c r="AD17" s="10">
        <v>4101000</v>
      </c>
      <c r="AE17" s="10">
        <v>5762000</v>
      </c>
      <c r="AF17" s="10">
        <v>5762000</v>
      </c>
      <c r="AG17" s="10">
        <v>5762000</v>
      </c>
      <c r="AH17" s="10">
        <v>5762000</v>
      </c>
      <c r="AI17" s="10">
        <v>5762000</v>
      </c>
      <c r="AJ17" s="10">
        <v>5762000</v>
      </c>
      <c r="AK17" s="10">
        <v>5768977</v>
      </c>
      <c r="AL17" s="10"/>
      <c r="AM17" s="10"/>
      <c r="AN17" s="10"/>
      <c r="AO17" s="10"/>
      <c r="AP17" s="10"/>
    </row>
    <row r="18" spans="1:42" s="11" customFormat="1" ht="15" customHeight="1" x14ac:dyDescent="0.25">
      <c r="A18" s="4"/>
      <c r="B18" s="9" t="s">
        <v>119</v>
      </c>
      <c r="C18" s="10">
        <v>-239859000</v>
      </c>
      <c r="D18" s="10">
        <v>-482819000</v>
      </c>
      <c r="E18" s="33">
        <v>-503817000</v>
      </c>
      <c r="F18" s="33">
        <v>-265781000</v>
      </c>
      <c r="G18" s="10">
        <v>-342468000</v>
      </c>
      <c r="H18" s="10">
        <v>-502264000</v>
      </c>
      <c r="I18" s="10">
        <v>-184564000</v>
      </c>
      <c r="J18" s="10">
        <v>-273810000</v>
      </c>
      <c r="K18" s="10">
        <v>-403951000</v>
      </c>
      <c r="L18" s="10">
        <v>-79103000</v>
      </c>
      <c r="M18" s="10">
        <v>-355501000</v>
      </c>
      <c r="N18" s="10">
        <v>-64363000</v>
      </c>
      <c r="O18" s="10">
        <v>-16611000</v>
      </c>
      <c r="P18" s="10">
        <v>-1600000</v>
      </c>
      <c r="Q18" s="10">
        <v>212891000</v>
      </c>
      <c r="R18" s="10">
        <v>35334000</v>
      </c>
      <c r="S18" s="10">
        <v>-27757000</v>
      </c>
      <c r="T18" s="10">
        <v>-41815000</v>
      </c>
      <c r="U18" s="10">
        <v>-212561000</v>
      </c>
      <c r="V18" s="10">
        <v>-311877000</v>
      </c>
      <c r="W18" s="10">
        <v>-125534000</v>
      </c>
      <c r="X18" s="10">
        <v>-108807000</v>
      </c>
      <c r="Y18" s="10">
        <v>-57240000</v>
      </c>
      <c r="Z18" s="10">
        <v>162184000</v>
      </c>
      <c r="AA18" s="10">
        <v>9642000</v>
      </c>
      <c r="AB18" s="10">
        <v>-115402000</v>
      </c>
      <c r="AC18" s="10">
        <v>13086000</v>
      </c>
      <c r="AD18" s="10">
        <v>87763000</v>
      </c>
      <c r="AE18" s="10">
        <v>75355000</v>
      </c>
      <c r="AF18" s="10">
        <v>107107000</v>
      </c>
      <c r="AG18" s="10">
        <v>128474000</v>
      </c>
      <c r="AH18" s="10">
        <v>-141242000</v>
      </c>
      <c r="AI18" s="10">
        <v>-93749000</v>
      </c>
      <c r="AJ18" s="10">
        <v>-23261000</v>
      </c>
      <c r="AK18" s="10">
        <v>171315813</v>
      </c>
      <c r="AL18" s="10"/>
      <c r="AM18" s="10"/>
      <c r="AN18" s="10"/>
      <c r="AO18" s="10"/>
      <c r="AP18" s="10"/>
    </row>
    <row r="19" spans="1:42" s="11" customFormat="1" ht="15" customHeight="1" x14ac:dyDescent="0.25">
      <c r="A19" s="4"/>
      <c r="B19" s="9" t="s">
        <v>120</v>
      </c>
      <c r="C19" s="10">
        <v>42104440000</v>
      </c>
      <c r="D19" s="10">
        <v>42033601000</v>
      </c>
      <c r="E19" s="33">
        <v>38693194000</v>
      </c>
      <c r="F19" s="33">
        <v>34006624000</v>
      </c>
      <c r="G19" s="10">
        <v>29683733000</v>
      </c>
      <c r="H19" s="10">
        <v>27287256000</v>
      </c>
      <c r="I19" s="10">
        <v>24051224000</v>
      </c>
      <c r="J19" s="10">
        <v>21001186000</v>
      </c>
      <c r="K19" s="10">
        <v>18536781000</v>
      </c>
      <c r="L19" s="10">
        <v>17066583000</v>
      </c>
      <c r="M19" s="10">
        <v>15326660000</v>
      </c>
      <c r="N19" s="10">
        <v>14732047000</v>
      </c>
      <c r="O19" s="10">
        <v>14448057000</v>
      </c>
      <c r="P19" s="10">
        <v>14358988000</v>
      </c>
      <c r="Q19" s="10">
        <v>13505758000</v>
      </c>
      <c r="R19" s="10">
        <v>12459056000</v>
      </c>
      <c r="S19" s="10">
        <v>11352618000</v>
      </c>
      <c r="T19" s="10">
        <v>10276904000</v>
      </c>
      <c r="U19" s="10">
        <v>8772307000</v>
      </c>
      <c r="V19" s="10">
        <v>7677012000</v>
      </c>
      <c r="W19" s="10">
        <v>7003836000</v>
      </c>
      <c r="X19" s="10">
        <v>6201322000</v>
      </c>
      <c r="Y19" s="10">
        <v>5396824000</v>
      </c>
      <c r="Z19" s="10">
        <v>4438631000</v>
      </c>
      <c r="AA19" s="10">
        <v>3491844000</v>
      </c>
      <c r="AB19" s="10">
        <v>3313265000</v>
      </c>
      <c r="AC19" s="10">
        <v>3232602000</v>
      </c>
      <c r="AD19" s="10">
        <v>3230970000</v>
      </c>
      <c r="AE19" s="10">
        <v>3284131000</v>
      </c>
      <c r="AF19" s="10">
        <v>3555323000</v>
      </c>
      <c r="AG19" s="10">
        <v>3923160000</v>
      </c>
      <c r="AH19" s="10">
        <v>4484268000</v>
      </c>
      <c r="AI19" s="10">
        <v>4013194000</v>
      </c>
      <c r="AJ19" s="10">
        <v>3761299000</v>
      </c>
      <c r="AK19" s="10">
        <v>1005936494</v>
      </c>
      <c r="AL19" s="10"/>
      <c r="AM19" s="10"/>
      <c r="AN19" s="10"/>
      <c r="AO19" s="10"/>
      <c r="AP19" s="10"/>
    </row>
    <row r="20" spans="1:42" s="11" customFormat="1" ht="15" customHeight="1" x14ac:dyDescent="0.25">
      <c r="A20" s="4"/>
      <c r="B20" s="9" t="s">
        <v>121</v>
      </c>
      <c r="C20" s="10">
        <v>41007598000</v>
      </c>
      <c r="D20" s="10">
        <v>26570519000</v>
      </c>
      <c r="E20" s="33">
        <v>26570519000</v>
      </c>
      <c r="F20" s="33">
        <v>26570519000</v>
      </c>
      <c r="G20" s="10">
        <v>26570519000</v>
      </c>
      <c r="H20" s="10">
        <v>16642982000</v>
      </c>
      <c r="I20" s="10">
        <v>16642982000</v>
      </c>
      <c r="J20" s="10">
        <v>16642982000</v>
      </c>
      <c r="K20" s="10">
        <v>16642982000</v>
      </c>
      <c r="L20" s="10">
        <v>14005987000</v>
      </c>
      <c r="M20" s="10">
        <v>14005987000</v>
      </c>
      <c r="N20" s="10">
        <v>14005987000</v>
      </c>
      <c r="O20" s="10">
        <v>14005987000</v>
      </c>
      <c r="P20" s="10">
        <v>10058503000</v>
      </c>
      <c r="Q20" s="10">
        <v>10058503000</v>
      </c>
      <c r="R20" s="10">
        <v>10058503000</v>
      </c>
      <c r="S20" s="10">
        <v>10058503000</v>
      </c>
      <c r="T20" s="10">
        <v>6201322000</v>
      </c>
      <c r="U20" s="10">
        <v>6201322000</v>
      </c>
      <c r="V20" s="10">
        <v>6201322000</v>
      </c>
      <c r="W20" s="10">
        <v>6201322000</v>
      </c>
      <c r="X20" s="10">
        <v>3313265000</v>
      </c>
      <c r="Y20" s="10">
        <v>3313265000</v>
      </c>
      <c r="Z20" s="10">
        <v>3313265000</v>
      </c>
      <c r="AA20" s="10">
        <v>3313265000</v>
      </c>
      <c r="AB20" s="10">
        <v>3555323000</v>
      </c>
      <c r="AC20" s="10">
        <v>3555323000</v>
      </c>
      <c r="AD20" s="10">
        <v>3555323000</v>
      </c>
      <c r="AE20" s="10">
        <v>3555323000</v>
      </c>
      <c r="AF20" s="10">
        <v>3672758000</v>
      </c>
      <c r="AG20" s="10">
        <v>3739962000</v>
      </c>
      <c r="AH20" s="10">
        <v>3739962000</v>
      </c>
      <c r="AI20" s="10">
        <v>3739947000</v>
      </c>
      <c r="AJ20" s="10">
        <v>1201918000</v>
      </c>
      <c r="AK20" s="10">
        <v>1356062983</v>
      </c>
      <c r="AL20" s="10"/>
      <c r="AM20" s="10"/>
      <c r="AN20" s="10"/>
      <c r="AO20" s="10"/>
      <c r="AP20" s="10"/>
    </row>
    <row r="21" spans="1:42" s="11" customFormat="1" ht="15" customHeight="1" x14ac:dyDescent="0.25">
      <c r="A21" s="4"/>
      <c r="B21" s="9" t="s">
        <v>122</v>
      </c>
      <c r="C21" s="10"/>
      <c r="D21" s="10"/>
      <c r="E21" s="33"/>
      <c r="F21" s="33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 s="11" customFormat="1" ht="15" customHeight="1" x14ac:dyDescent="0.25">
      <c r="A22" s="4"/>
      <c r="B22" s="9" t="s">
        <v>123</v>
      </c>
      <c r="C22" s="10"/>
      <c r="D22" s="10"/>
      <c r="E22" s="33"/>
      <c r="F22" s="3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15587000</v>
      </c>
      <c r="Y22" s="10">
        <v>-51000</v>
      </c>
      <c r="Z22" s="10">
        <v>-35000</v>
      </c>
      <c r="AA22" s="10"/>
      <c r="AB22" s="10">
        <v>-82872000</v>
      </c>
      <c r="AC22" s="10"/>
      <c r="AD22" s="10"/>
      <c r="AE22" s="10">
        <v>3000</v>
      </c>
      <c r="AF22" s="10"/>
      <c r="AG22" s="10">
        <v>-39000</v>
      </c>
      <c r="AH22" s="10">
        <v>-31000</v>
      </c>
      <c r="AI22" s="10">
        <v>-17000</v>
      </c>
      <c r="AJ22" s="10"/>
      <c r="AK22" s="10"/>
      <c r="AL22" s="10"/>
      <c r="AM22" s="10"/>
      <c r="AN22" s="10"/>
      <c r="AO22" s="10"/>
      <c r="AP22" s="10"/>
    </row>
    <row r="23" spans="1:42" s="11" customFormat="1" ht="15" customHeight="1" x14ac:dyDescent="0.25">
      <c r="A23" s="4"/>
      <c r="B23" s="9" t="s">
        <v>124</v>
      </c>
      <c r="C23" s="10">
        <v>1102753000</v>
      </c>
      <c r="D23" s="10">
        <v>15540111000</v>
      </c>
      <c r="E23" s="33">
        <v>12143821000</v>
      </c>
      <c r="F23" s="33">
        <v>7450200000</v>
      </c>
      <c r="G23" s="10">
        <v>3120254000</v>
      </c>
      <c r="H23" s="10">
        <v>10641512000</v>
      </c>
      <c r="I23" s="10">
        <v>7420763000</v>
      </c>
      <c r="J23" s="10">
        <v>4366515000</v>
      </c>
      <c r="K23" s="10">
        <v>1897969000</v>
      </c>
      <c r="L23" s="10">
        <v>2953774000</v>
      </c>
      <c r="M23" s="10">
        <v>1327109000</v>
      </c>
      <c r="N23" s="10">
        <v>730335000</v>
      </c>
      <c r="O23" s="10">
        <v>444194000</v>
      </c>
      <c r="P23" s="10">
        <v>4322356000</v>
      </c>
      <c r="Q23" s="10">
        <v>3452106000</v>
      </c>
      <c r="R23" s="10">
        <v>2403799000</v>
      </c>
      <c r="S23" s="10">
        <v>1295730000</v>
      </c>
      <c r="T23" s="10">
        <v>4195456000</v>
      </c>
      <c r="U23" s="10">
        <v>2571059000</v>
      </c>
      <c r="V23" s="10">
        <v>1475739000</v>
      </c>
      <c r="W23" s="10">
        <v>802538000</v>
      </c>
      <c r="X23" s="10">
        <v>2872470000</v>
      </c>
      <c r="Y23" s="10">
        <v>2083680000</v>
      </c>
      <c r="Z23" s="10">
        <v>1125401000</v>
      </c>
      <c r="AA23" s="10">
        <v>178595000</v>
      </c>
      <c r="AB23" s="10">
        <v>-158886000</v>
      </c>
      <c r="AC23" s="10">
        <v>-322392000</v>
      </c>
      <c r="AD23" s="10">
        <v>-324278000</v>
      </c>
      <c r="AE23" s="10">
        <v>-271119000</v>
      </c>
      <c r="AF23" s="10">
        <v>-56641000</v>
      </c>
      <c r="AG23" s="10">
        <v>183252000</v>
      </c>
      <c r="AH23" s="10">
        <v>744352000</v>
      </c>
      <c r="AI23" s="10">
        <v>273264000</v>
      </c>
      <c r="AJ23" s="10">
        <v>2620962000</v>
      </c>
      <c r="AK23" s="10">
        <v>-347785270</v>
      </c>
      <c r="AL23" s="10"/>
      <c r="AM23" s="10"/>
      <c r="AN23" s="10"/>
      <c r="AO23" s="10"/>
      <c r="AP23" s="10"/>
    </row>
    <row r="24" spans="1:42" s="11" customFormat="1" ht="15" customHeight="1" x14ac:dyDescent="0.25">
      <c r="A24" s="4"/>
      <c r="B24" s="9" t="s">
        <v>125</v>
      </c>
      <c r="C24" s="10">
        <v>6171000</v>
      </c>
      <c r="D24" s="10">
        <v>6612000</v>
      </c>
      <c r="E24" s="33">
        <v>4809000</v>
      </c>
      <c r="F24" s="33">
        <v>5976000</v>
      </c>
      <c r="G24" s="10">
        <v>6658000</v>
      </c>
      <c r="H24" s="10">
        <v>5639000</v>
      </c>
      <c r="I24" s="10">
        <v>7815000</v>
      </c>
      <c r="J24" s="10">
        <v>6649000</v>
      </c>
      <c r="K24" s="10">
        <v>6591000</v>
      </c>
      <c r="L24" s="10">
        <v>6575000</v>
      </c>
      <c r="M24" s="10">
        <v>3946000</v>
      </c>
      <c r="N24" s="10">
        <v>3663000</v>
      </c>
      <c r="O24" s="10">
        <v>3768000</v>
      </c>
      <c r="P24" s="10">
        <v>840000</v>
      </c>
      <c r="Q24" s="10">
        <v>-63000</v>
      </c>
      <c r="R24" s="10">
        <v>-201000</v>
      </c>
      <c r="S24" s="10">
        <v>-489000</v>
      </c>
      <c r="T24" s="10">
        <v>-150000</v>
      </c>
      <c r="U24" s="10">
        <v>-394000</v>
      </c>
      <c r="V24" s="10">
        <v>-76000</v>
      </c>
      <c r="W24" s="10">
        <v>-654000</v>
      </c>
      <c r="X24" s="10">
        <v>-384000</v>
      </c>
      <c r="Y24" s="10">
        <v>-673000</v>
      </c>
      <c r="Z24" s="10">
        <v>-426000</v>
      </c>
      <c r="AA24" s="10">
        <v>-482000</v>
      </c>
      <c r="AB24" s="10">
        <v>-714000</v>
      </c>
      <c r="AC24" s="10">
        <v>-771000</v>
      </c>
      <c r="AD24" s="10">
        <v>-732000</v>
      </c>
      <c r="AE24" s="10">
        <v>-625000</v>
      </c>
      <c r="AF24" s="10">
        <v>-471000</v>
      </c>
      <c r="AG24" s="10">
        <v>-411000</v>
      </c>
      <c r="AH24" s="10">
        <v>463000</v>
      </c>
      <c r="AI24" s="10">
        <v>541000</v>
      </c>
      <c r="AJ24" s="10">
        <v>1653000</v>
      </c>
      <c r="AK24" s="10"/>
      <c r="AL24" s="10"/>
      <c r="AM24" s="10"/>
      <c r="AN24" s="10"/>
      <c r="AO24" s="10"/>
      <c r="AP24" s="10"/>
    </row>
    <row r="25" spans="1:42" s="11" customFormat="1" ht="15" customHeight="1" x14ac:dyDescent="0.25">
      <c r="A25" s="4"/>
      <c r="B25" s="9" t="s">
        <v>126</v>
      </c>
      <c r="C25" s="10">
        <v>47166007000</v>
      </c>
      <c r="D25" s="10">
        <v>46852331000</v>
      </c>
      <c r="E25" s="33">
        <v>43488826000</v>
      </c>
      <c r="F25" s="33">
        <v>40777676000</v>
      </c>
      <c r="G25" s="10">
        <v>36378486000</v>
      </c>
      <c r="H25" s="10">
        <v>33820919000</v>
      </c>
      <c r="I25" s="10">
        <v>30904498000</v>
      </c>
      <c r="J25" s="10">
        <v>27763784000</v>
      </c>
      <c r="K25" s="10">
        <v>25168919000</v>
      </c>
      <c r="L25" s="10">
        <v>24023530000</v>
      </c>
      <c r="M25" s="10">
        <v>22004580000</v>
      </c>
      <c r="N25" s="10">
        <v>21700822000</v>
      </c>
      <c r="O25" s="10">
        <v>21464689000</v>
      </c>
      <c r="P25" s="10">
        <v>21387703000</v>
      </c>
      <c r="Q25" s="10">
        <v>20766327000</v>
      </c>
      <c r="R25" s="10">
        <v>20295553000</v>
      </c>
      <c r="S25" s="10">
        <v>19125736000</v>
      </c>
      <c r="T25" s="10">
        <v>18036303000</v>
      </c>
      <c r="U25" s="10">
        <v>16290275000</v>
      </c>
      <c r="V25" s="10">
        <v>14609986000</v>
      </c>
      <c r="W25" s="10">
        <v>13852376000</v>
      </c>
      <c r="X25" s="10">
        <v>13066859000</v>
      </c>
      <c r="Y25" s="10">
        <v>12313704000</v>
      </c>
      <c r="Z25" s="10">
        <v>11157690000</v>
      </c>
      <c r="AA25" s="10">
        <v>10043546000</v>
      </c>
      <c r="AB25" s="10">
        <v>9739442000</v>
      </c>
      <c r="AC25" s="10">
        <v>9786442000</v>
      </c>
      <c r="AD25" s="10">
        <v>9859602000</v>
      </c>
      <c r="AE25" s="10">
        <v>9898248000</v>
      </c>
      <c r="AF25" s="10">
        <v>7875271000</v>
      </c>
      <c r="AG25" s="10">
        <v>8266462000</v>
      </c>
      <c r="AH25" s="10">
        <v>8558728000</v>
      </c>
      <c r="AI25" s="10">
        <v>8099989000</v>
      </c>
      <c r="AJ25" s="10">
        <v>7907576000</v>
      </c>
      <c r="AK25" s="10"/>
      <c r="AL25" s="10"/>
      <c r="AM25" s="10"/>
      <c r="AN25" s="10"/>
      <c r="AO25" s="10"/>
      <c r="AP25" s="10"/>
    </row>
    <row r="26" spans="1:42" x14ac:dyDescent="0.25">
      <c r="A26" s="4"/>
      <c r="E26" s="34"/>
      <c r="F26" s="34"/>
    </row>
    <row r="27" spans="1:42" x14ac:dyDescent="0.25">
      <c r="A27" s="4"/>
      <c r="E27" s="34"/>
      <c r="F27" s="34"/>
    </row>
    <row r="28" spans="1:42" x14ac:dyDescent="0.25">
      <c r="A28" s="4"/>
      <c r="E28" s="34"/>
      <c r="F28" s="34"/>
    </row>
    <row r="29" spans="1:42" x14ac:dyDescent="0.25">
      <c r="A29" s="4"/>
      <c r="E29" s="34"/>
      <c r="F29" s="34"/>
    </row>
    <row r="30" spans="1:42" x14ac:dyDescent="0.25">
      <c r="A30" s="4"/>
      <c r="E30" s="34"/>
      <c r="F30" s="34"/>
    </row>
    <row r="31" spans="1:42" x14ac:dyDescent="0.25">
      <c r="A31" s="4"/>
      <c r="E31" s="34"/>
      <c r="F31" s="34"/>
    </row>
    <row r="32" spans="1:42" x14ac:dyDescent="0.25">
      <c r="A32" s="4"/>
      <c r="E32" s="34"/>
      <c r="F32" s="34"/>
    </row>
    <row r="33" spans="1:6" x14ac:dyDescent="0.25">
      <c r="A33" s="4"/>
      <c r="E33" s="34"/>
      <c r="F33" s="34"/>
    </row>
    <row r="34" spans="1:6" x14ac:dyDescent="0.25">
      <c r="E34" s="34"/>
      <c r="F34" s="34"/>
    </row>
    <row r="35" spans="1:6" x14ac:dyDescent="0.25">
      <c r="E35" s="34"/>
      <c r="F35" s="34"/>
    </row>
    <row r="36" spans="1:6" x14ac:dyDescent="0.25">
      <c r="E36" s="34"/>
      <c r="F36" s="34"/>
    </row>
    <row r="37" spans="1:6" x14ac:dyDescent="0.25">
      <c r="E37" s="34"/>
      <c r="F37" s="34"/>
    </row>
    <row r="38" spans="1:6" x14ac:dyDescent="0.25">
      <c r="E38" s="34"/>
      <c r="F38" s="34"/>
    </row>
    <row r="39" spans="1:6" x14ac:dyDescent="0.25">
      <c r="E39" s="34"/>
      <c r="F39" s="34"/>
    </row>
    <row r="40" spans="1:6" x14ac:dyDescent="0.25">
      <c r="E40" s="34"/>
      <c r="F40" s="34"/>
    </row>
    <row r="41" spans="1:6" x14ac:dyDescent="0.25">
      <c r="E41" s="34"/>
      <c r="F41" s="34"/>
    </row>
    <row r="42" spans="1:6" x14ac:dyDescent="0.25">
      <c r="E42" s="34"/>
      <c r="F42" s="34"/>
    </row>
    <row r="43" spans="1:6" x14ac:dyDescent="0.25">
      <c r="E43" s="34"/>
      <c r="F43" s="34"/>
    </row>
    <row r="44" spans="1:6" x14ac:dyDescent="0.25">
      <c r="E44" s="34"/>
      <c r="F44" s="34"/>
    </row>
    <row r="45" spans="1:6" x14ac:dyDescent="0.25">
      <c r="E45" s="34"/>
      <c r="F45" s="34"/>
    </row>
    <row r="46" spans="1:6" x14ac:dyDescent="0.25">
      <c r="E46" s="34"/>
      <c r="F46" s="34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재무상태표</vt:lpstr>
      <vt:lpstr>포괄손익계산서</vt:lpstr>
      <vt:lpstr>현금흐름표</vt:lpstr>
      <vt:lpstr>자본변동표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2015-05-07T05:32:23Z</dcterms:created>
  <dcterms:modified xsi:type="dcterms:W3CDTF">2019-06-04T07:40:53Z</dcterms:modified>
</cp:coreProperties>
</file>