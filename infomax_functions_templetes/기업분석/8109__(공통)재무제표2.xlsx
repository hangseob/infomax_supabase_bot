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Works\0승환\새 폴더 (3)\"/>
    </mc:Choice>
  </mc:AlternateContent>
  <xr:revisionPtr revIDLastSave="0" documentId="13_ncr:1_{688351CA-DA95-4ABF-B4FA-1B5A181C60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무비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G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M5" i="1" l="1"/>
  <c r="L4" i="1"/>
  <c r="N5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9" i="1"/>
  <c r="J51" i="1"/>
  <c r="AS46" i="1" l="1"/>
  <c r="AO46" i="1"/>
  <c r="AK46" i="1"/>
  <c r="AG46" i="1"/>
  <c r="AC46" i="1"/>
  <c r="Y46" i="1"/>
  <c r="U46" i="1"/>
  <c r="Q46" i="1"/>
  <c r="M46" i="1"/>
  <c r="AQ46" i="1"/>
  <c r="AL46" i="1"/>
  <c r="AF46" i="1"/>
  <c r="AA46" i="1"/>
  <c r="V46" i="1"/>
  <c r="P46" i="1"/>
  <c r="K46" i="1"/>
  <c r="AP46" i="1"/>
  <c r="AJ46" i="1"/>
  <c r="AE46" i="1"/>
  <c r="Z46" i="1"/>
  <c r="T46" i="1"/>
  <c r="O46" i="1"/>
  <c r="AN46" i="1"/>
  <c r="AI46" i="1"/>
  <c r="AD46" i="1"/>
  <c r="X46" i="1"/>
  <c r="S46" i="1"/>
  <c r="N46" i="1"/>
  <c r="AR46" i="1"/>
  <c r="AM46" i="1"/>
  <c r="AH46" i="1"/>
  <c r="AB46" i="1"/>
  <c r="W46" i="1"/>
  <c r="R46" i="1"/>
  <c r="L46" i="1"/>
  <c r="AS42" i="1"/>
  <c r="AO42" i="1"/>
  <c r="AK42" i="1"/>
  <c r="AG42" i="1"/>
  <c r="AC42" i="1"/>
  <c r="Y42" i="1"/>
  <c r="U42" i="1"/>
  <c r="Q42" i="1"/>
  <c r="M42" i="1"/>
  <c r="AR42" i="1"/>
  <c r="AM42" i="1"/>
  <c r="AH42" i="1"/>
  <c r="AQ42" i="1"/>
  <c r="AL42" i="1"/>
  <c r="AF42" i="1"/>
  <c r="AA42" i="1"/>
  <c r="V42" i="1"/>
  <c r="P42" i="1"/>
  <c r="K42" i="1"/>
  <c r="AP42" i="1"/>
  <c r="AJ42" i="1"/>
  <c r="AE42" i="1"/>
  <c r="Z42" i="1"/>
  <c r="T42" i="1"/>
  <c r="O42" i="1"/>
  <c r="AN42" i="1"/>
  <c r="AI42" i="1"/>
  <c r="AD42" i="1"/>
  <c r="X42" i="1"/>
  <c r="S42" i="1"/>
  <c r="N42" i="1"/>
  <c r="AB42" i="1"/>
  <c r="W42" i="1"/>
  <c r="R42" i="1"/>
  <c r="L42" i="1"/>
  <c r="AS38" i="1"/>
  <c r="AO38" i="1"/>
  <c r="AK38" i="1"/>
  <c r="AG38" i="1"/>
  <c r="AC38" i="1"/>
  <c r="Y38" i="1"/>
  <c r="U38" i="1"/>
  <c r="AR38" i="1"/>
  <c r="AM38" i="1"/>
  <c r="AH38" i="1"/>
  <c r="AB38" i="1"/>
  <c r="W38" i="1"/>
  <c r="R38" i="1"/>
  <c r="N38" i="1"/>
  <c r="AQ38" i="1"/>
  <c r="AL38" i="1"/>
  <c r="AF38" i="1"/>
  <c r="AA38" i="1"/>
  <c r="V38" i="1"/>
  <c r="Q38" i="1"/>
  <c r="M38" i="1"/>
  <c r="AP38" i="1"/>
  <c r="AJ38" i="1"/>
  <c r="AE38" i="1"/>
  <c r="Z38" i="1"/>
  <c r="T38" i="1"/>
  <c r="P38" i="1"/>
  <c r="L38" i="1"/>
  <c r="AN38" i="1"/>
  <c r="S38" i="1"/>
  <c r="AI38" i="1"/>
  <c r="O38" i="1"/>
  <c r="AD38" i="1"/>
  <c r="K38" i="1"/>
  <c r="X38" i="1"/>
  <c r="AP34" i="1"/>
  <c r="AL34" i="1"/>
  <c r="AH34" i="1"/>
  <c r="AD34" i="1"/>
  <c r="Z34" i="1"/>
  <c r="V34" i="1"/>
  <c r="R34" i="1"/>
  <c r="N34" i="1"/>
  <c r="AS34" i="1"/>
  <c r="AO34" i="1"/>
  <c r="AK34" i="1"/>
  <c r="AG34" i="1"/>
  <c r="AC34" i="1"/>
  <c r="Y34" i="1"/>
  <c r="U34" i="1"/>
  <c r="Q34" i="1"/>
  <c r="M34" i="1"/>
  <c r="AR34" i="1"/>
  <c r="AN34" i="1"/>
  <c r="AJ34" i="1"/>
  <c r="AF34" i="1"/>
  <c r="AB34" i="1"/>
  <c r="X34" i="1"/>
  <c r="T34" i="1"/>
  <c r="P34" i="1"/>
  <c r="L34" i="1"/>
  <c r="AQ34" i="1"/>
  <c r="AM34" i="1"/>
  <c r="AI34" i="1"/>
  <c r="AE34" i="1"/>
  <c r="AA34" i="1"/>
  <c r="W34" i="1"/>
  <c r="S34" i="1"/>
  <c r="O34" i="1"/>
  <c r="K34" i="1"/>
  <c r="AP30" i="1"/>
  <c r="AL30" i="1"/>
  <c r="AH30" i="1"/>
  <c r="AD30" i="1"/>
  <c r="Z30" i="1"/>
  <c r="V30" i="1"/>
  <c r="R30" i="1"/>
  <c r="N30" i="1"/>
  <c r="AR30" i="1"/>
  <c r="AM30" i="1"/>
  <c r="AG30" i="1"/>
  <c r="AB30" i="1"/>
  <c r="W30" i="1"/>
  <c r="Q30" i="1"/>
  <c r="L30" i="1"/>
  <c r="AQ30" i="1"/>
  <c r="AK30" i="1"/>
  <c r="AF30" i="1"/>
  <c r="AA30" i="1"/>
  <c r="U30" i="1"/>
  <c r="P30" i="1"/>
  <c r="K30" i="1"/>
  <c r="AO30" i="1"/>
  <c r="AJ30" i="1"/>
  <c r="AE30" i="1"/>
  <c r="Y30" i="1"/>
  <c r="T30" i="1"/>
  <c r="O30" i="1"/>
  <c r="AS30" i="1"/>
  <c r="AN30" i="1"/>
  <c r="AI30" i="1"/>
  <c r="AC30" i="1"/>
  <c r="X30" i="1"/>
  <c r="S30" i="1"/>
  <c r="M30" i="1"/>
  <c r="AQ22" i="1"/>
  <c r="AM22" i="1"/>
  <c r="AI22" i="1"/>
  <c r="AE22" i="1"/>
  <c r="AA22" i="1"/>
  <c r="W22" i="1"/>
  <c r="S22" i="1"/>
  <c r="O22" i="1"/>
  <c r="K22" i="1"/>
  <c r="AP22" i="1"/>
  <c r="AL22" i="1"/>
  <c r="AH22" i="1"/>
  <c r="AD22" i="1"/>
  <c r="Z22" i="1"/>
  <c r="V22" i="1"/>
  <c r="R22" i="1"/>
  <c r="N22" i="1"/>
  <c r="AR22" i="1"/>
  <c r="AN22" i="1"/>
  <c r="AJ22" i="1"/>
  <c r="AF22" i="1"/>
  <c r="AB22" i="1"/>
  <c r="X22" i="1"/>
  <c r="T22" i="1"/>
  <c r="P22" i="1"/>
  <c r="L22" i="1"/>
  <c r="AS22" i="1"/>
  <c r="AC22" i="1"/>
  <c r="M22" i="1"/>
  <c r="AO22" i="1"/>
  <c r="Y22" i="1"/>
  <c r="AK22" i="1"/>
  <c r="U22" i="1"/>
  <c r="AG22" i="1"/>
  <c r="Q22" i="1"/>
  <c r="AQ18" i="1"/>
  <c r="AM18" i="1"/>
  <c r="AI18" i="1"/>
  <c r="AE18" i="1"/>
  <c r="AA18" i="1"/>
  <c r="W18" i="1"/>
  <c r="S18" i="1"/>
  <c r="O18" i="1"/>
  <c r="K18" i="1"/>
  <c r="AP18" i="1"/>
  <c r="AK18" i="1"/>
  <c r="AF18" i="1"/>
  <c r="Z18" i="1"/>
  <c r="U18" i="1"/>
  <c r="P18" i="1"/>
  <c r="AO18" i="1"/>
  <c r="AJ18" i="1"/>
  <c r="AD18" i="1"/>
  <c r="Y18" i="1"/>
  <c r="T18" i="1"/>
  <c r="N18" i="1"/>
  <c r="AS18" i="1"/>
  <c r="AN18" i="1"/>
  <c r="AH18" i="1"/>
  <c r="AC18" i="1"/>
  <c r="X18" i="1"/>
  <c r="R18" i="1"/>
  <c r="M18" i="1"/>
  <c r="AR18" i="1"/>
  <c r="AL18" i="1"/>
  <c r="AG18" i="1"/>
  <c r="AB18" i="1"/>
  <c r="V18" i="1"/>
  <c r="Q18" i="1"/>
  <c r="L18" i="1"/>
  <c r="AQ9" i="1"/>
  <c r="AM9" i="1"/>
  <c r="AI9" i="1"/>
  <c r="AE9" i="1"/>
  <c r="AA9" i="1"/>
  <c r="W9" i="1"/>
  <c r="S9" i="1"/>
  <c r="O9" i="1"/>
  <c r="K9" i="1"/>
  <c r="AP9" i="1"/>
  <c r="AL9" i="1"/>
  <c r="AH9" i="1"/>
  <c r="AD9" i="1"/>
  <c r="Z9" i="1"/>
  <c r="V9" i="1"/>
  <c r="R9" i="1"/>
  <c r="N9" i="1"/>
  <c r="AS9" i="1"/>
  <c r="AO9" i="1"/>
  <c r="AR9" i="1"/>
  <c r="AN9" i="1"/>
  <c r="AJ9" i="1"/>
  <c r="AF9" i="1"/>
  <c r="AB9" i="1"/>
  <c r="X9" i="1"/>
  <c r="T9" i="1"/>
  <c r="P9" i="1"/>
  <c r="L9" i="1"/>
  <c r="AK9" i="1"/>
  <c r="U9" i="1"/>
  <c r="AG9" i="1"/>
  <c r="Q9" i="1"/>
  <c r="AC9" i="1"/>
  <c r="M9" i="1"/>
  <c r="Y9" i="1"/>
  <c r="AQ44" i="1"/>
  <c r="AM44" i="1"/>
  <c r="AI44" i="1"/>
  <c r="AE44" i="1"/>
  <c r="AA44" i="1"/>
  <c r="W44" i="1"/>
  <c r="S44" i="1"/>
  <c r="O44" i="1"/>
  <c r="K44" i="1"/>
  <c r="AR44" i="1"/>
  <c r="AL44" i="1"/>
  <c r="AG44" i="1"/>
  <c r="AB44" i="1"/>
  <c r="V44" i="1"/>
  <c r="Q44" i="1"/>
  <c r="L44" i="1"/>
  <c r="AP44" i="1"/>
  <c r="AK44" i="1"/>
  <c r="AF44" i="1"/>
  <c r="Z44" i="1"/>
  <c r="U44" i="1"/>
  <c r="P44" i="1"/>
  <c r="AO44" i="1"/>
  <c r="AJ44" i="1"/>
  <c r="AD44" i="1"/>
  <c r="Y44" i="1"/>
  <c r="T44" i="1"/>
  <c r="N44" i="1"/>
  <c r="AS44" i="1"/>
  <c r="AN44" i="1"/>
  <c r="AH44" i="1"/>
  <c r="AC44" i="1"/>
  <c r="X44" i="1"/>
  <c r="R44" i="1"/>
  <c r="M44" i="1"/>
  <c r="AQ40" i="1"/>
  <c r="AM40" i="1"/>
  <c r="AI40" i="1"/>
  <c r="AE40" i="1"/>
  <c r="AA40" i="1"/>
  <c r="W40" i="1"/>
  <c r="S40" i="1"/>
  <c r="O40" i="1"/>
  <c r="K40" i="1"/>
  <c r="AR40" i="1"/>
  <c r="AL40" i="1"/>
  <c r="AG40" i="1"/>
  <c r="AB40" i="1"/>
  <c r="V40" i="1"/>
  <c r="Q40" i="1"/>
  <c r="L40" i="1"/>
  <c r="AP40" i="1"/>
  <c r="AK40" i="1"/>
  <c r="AF40" i="1"/>
  <c r="Z40" i="1"/>
  <c r="U40" i="1"/>
  <c r="P40" i="1"/>
  <c r="AO40" i="1"/>
  <c r="AJ40" i="1"/>
  <c r="AD40" i="1"/>
  <c r="Y40" i="1"/>
  <c r="T40" i="1"/>
  <c r="N40" i="1"/>
  <c r="AH40" i="1"/>
  <c r="M40" i="1"/>
  <c r="AC40" i="1"/>
  <c r="AS40" i="1"/>
  <c r="X40" i="1"/>
  <c r="AN40" i="1"/>
  <c r="R40" i="1"/>
  <c r="AR36" i="1"/>
  <c r="AN36" i="1"/>
  <c r="AJ36" i="1"/>
  <c r="AF36" i="1"/>
  <c r="AB36" i="1"/>
  <c r="X36" i="1"/>
  <c r="T36" i="1"/>
  <c r="P36" i="1"/>
  <c r="L36" i="1"/>
  <c r="AP36" i="1"/>
  <c r="AL36" i="1"/>
  <c r="AH36" i="1"/>
  <c r="AD36" i="1"/>
  <c r="Z36" i="1"/>
  <c r="V36" i="1"/>
  <c r="R36" i="1"/>
  <c r="N36" i="1"/>
  <c r="AO36" i="1"/>
  <c r="AG36" i="1"/>
  <c r="Y36" i="1"/>
  <c r="Q36" i="1"/>
  <c r="AM36" i="1"/>
  <c r="AE36" i="1"/>
  <c r="W36" i="1"/>
  <c r="O36" i="1"/>
  <c r="AS36" i="1"/>
  <c r="AK36" i="1"/>
  <c r="AC36" i="1"/>
  <c r="U36" i="1"/>
  <c r="M36" i="1"/>
  <c r="AQ36" i="1"/>
  <c r="AI36" i="1"/>
  <c r="AA36" i="1"/>
  <c r="S36" i="1"/>
  <c r="K36" i="1"/>
  <c r="AR32" i="1"/>
  <c r="AN32" i="1"/>
  <c r="AJ32" i="1"/>
  <c r="AF32" i="1"/>
  <c r="AB32" i="1"/>
  <c r="X32" i="1"/>
  <c r="T32" i="1"/>
  <c r="P32" i="1"/>
  <c r="L32" i="1"/>
  <c r="AQ32" i="1"/>
  <c r="AM32" i="1"/>
  <c r="AI32" i="1"/>
  <c r="AE32" i="1"/>
  <c r="AA32" i="1"/>
  <c r="AS32" i="1"/>
  <c r="AO32" i="1"/>
  <c r="AK32" i="1"/>
  <c r="AG32" i="1"/>
  <c r="AC32" i="1"/>
  <c r="Y32" i="1"/>
  <c r="U32" i="1"/>
  <c r="AL32" i="1"/>
  <c r="W32" i="1"/>
  <c r="Q32" i="1"/>
  <c r="K32" i="1"/>
  <c r="AH32" i="1"/>
  <c r="V32" i="1"/>
  <c r="O32" i="1"/>
  <c r="AD32" i="1"/>
  <c r="S32" i="1"/>
  <c r="N32" i="1"/>
  <c r="AP32" i="1"/>
  <c r="Z32" i="1"/>
  <c r="R32" i="1"/>
  <c r="M32" i="1"/>
  <c r="AR28" i="1"/>
  <c r="AN28" i="1"/>
  <c r="AJ28" i="1"/>
  <c r="AF28" i="1"/>
  <c r="AB28" i="1"/>
  <c r="X28" i="1"/>
  <c r="T28" i="1"/>
  <c r="P28" i="1"/>
  <c r="AS28" i="1"/>
  <c r="AM28" i="1"/>
  <c r="AH28" i="1"/>
  <c r="AC28" i="1"/>
  <c r="W28" i="1"/>
  <c r="R28" i="1"/>
  <c r="M28" i="1"/>
  <c r="AQ28" i="1"/>
  <c r="AL28" i="1"/>
  <c r="AG28" i="1"/>
  <c r="AA28" i="1"/>
  <c r="V28" i="1"/>
  <c r="Q28" i="1"/>
  <c r="L28" i="1"/>
  <c r="AP28" i="1"/>
  <c r="AK28" i="1"/>
  <c r="AE28" i="1"/>
  <c r="Z28" i="1"/>
  <c r="U28" i="1"/>
  <c r="O28" i="1"/>
  <c r="K28" i="1"/>
  <c r="AO28" i="1"/>
  <c r="AI28" i="1"/>
  <c r="AD28" i="1"/>
  <c r="Y28" i="1"/>
  <c r="S28" i="1"/>
  <c r="N28" i="1"/>
  <c r="AS24" i="1"/>
  <c r="AO24" i="1"/>
  <c r="AK24" i="1"/>
  <c r="AG24" i="1"/>
  <c r="AC24" i="1"/>
  <c r="Y24" i="1"/>
  <c r="U24" i="1"/>
  <c r="Q24" i="1"/>
  <c r="M24" i="1"/>
  <c r="AR24" i="1"/>
  <c r="AN24" i="1"/>
  <c r="AJ24" i="1"/>
  <c r="AF24" i="1"/>
  <c r="AB24" i="1"/>
  <c r="X24" i="1"/>
  <c r="T24" i="1"/>
  <c r="P24" i="1"/>
  <c r="L24" i="1"/>
  <c r="AQ24" i="1"/>
  <c r="AM24" i="1"/>
  <c r="AI24" i="1"/>
  <c r="AE24" i="1"/>
  <c r="AA24" i="1"/>
  <c r="W24" i="1"/>
  <c r="S24" i="1"/>
  <c r="O24" i="1"/>
  <c r="K24" i="1"/>
  <c r="AP24" i="1"/>
  <c r="AL24" i="1"/>
  <c r="AH24" i="1"/>
  <c r="AD24" i="1"/>
  <c r="Z24" i="1"/>
  <c r="V24" i="1"/>
  <c r="R24" i="1"/>
  <c r="N24" i="1"/>
  <c r="AS20" i="1"/>
  <c r="AO20" i="1"/>
  <c r="AK20" i="1"/>
  <c r="AG20" i="1"/>
  <c r="AC20" i="1"/>
  <c r="Y20" i="1"/>
  <c r="U20" i="1"/>
  <c r="Q20" i="1"/>
  <c r="M20" i="1"/>
  <c r="AP20" i="1"/>
  <c r="AJ20" i="1"/>
  <c r="AE20" i="1"/>
  <c r="Z20" i="1"/>
  <c r="T20" i="1"/>
  <c r="O20" i="1"/>
  <c r="AN20" i="1"/>
  <c r="AI20" i="1"/>
  <c r="AD20" i="1"/>
  <c r="X20" i="1"/>
  <c r="S20" i="1"/>
  <c r="N20" i="1"/>
  <c r="AR20" i="1"/>
  <c r="AM20" i="1"/>
  <c r="AH20" i="1"/>
  <c r="AB20" i="1"/>
  <c r="W20" i="1"/>
  <c r="R20" i="1"/>
  <c r="L20" i="1"/>
  <c r="AQ20" i="1"/>
  <c r="AL20" i="1"/>
  <c r="AF20" i="1"/>
  <c r="AA20" i="1"/>
  <c r="V20" i="1"/>
  <c r="P20" i="1"/>
  <c r="K20" i="1"/>
  <c r="AS16" i="1"/>
  <c r="AO16" i="1"/>
  <c r="AK16" i="1"/>
  <c r="AG16" i="1"/>
  <c r="AC16" i="1"/>
  <c r="Y16" i="1"/>
  <c r="U16" i="1"/>
  <c r="Q16" i="1"/>
  <c r="M16" i="1"/>
  <c r="AQ16" i="1"/>
  <c r="AL16" i="1"/>
  <c r="AF16" i="1"/>
  <c r="AA16" i="1"/>
  <c r="V16" i="1"/>
  <c r="P16" i="1"/>
  <c r="K16" i="1"/>
  <c r="AP16" i="1"/>
  <c r="AJ16" i="1"/>
  <c r="AE16" i="1"/>
  <c r="Z16" i="1"/>
  <c r="T16" i="1"/>
  <c r="O16" i="1"/>
  <c r="AN16" i="1"/>
  <c r="AI16" i="1"/>
  <c r="AD16" i="1"/>
  <c r="X16" i="1"/>
  <c r="S16" i="1"/>
  <c r="N16" i="1"/>
  <c r="AR16" i="1"/>
  <c r="AM16" i="1"/>
  <c r="AH16" i="1"/>
  <c r="AB16" i="1"/>
  <c r="W16" i="1"/>
  <c r="R16" i="1"/>
  <c r="L16" i="1"/>
  <c r="AS12" i="1"/>
  <c r="AO12" i="1"/>
  <c r="AK12" i="1"/>
  <c r="AG12" i="1"/>
  <c r="AC12" i="1"/>
  <c r="Y12" i="1"/>
  <c r="U12" i="1"/>
  <c r="AR12" i="1"/>
  <c r="AM12" i="1"/>
  <c r="AH12" i="1"/>
  <c r="AB12" i="1"/>
  <c r="W12" i="1"/>
  <c r="R12" i="1"/>
  <c r="N12" i="1"/>
  <c r="AQ12" i="1"/>
  <c r="AL12" i="1"/>
  <c r="AF12" i="1"/>
  <c r="AA12" i="1"/>
  <c r="V12" i="1"/>
  <c r="Q12" i="1"/>
  <c r="M12" i="1"/>
  <c r="AP12" i="1"/>
  <c r="AJ12" i="1"/>
  <c r="AE12" i="1"/>
  <c r="Z12" i="1"/>
  <c r="T12" i="1"/>
  <c r="P12" i="1"/>
  <c r="L12" i="1"/>
  <c r="AN12" i="1"/>
  <c r="AI12" i="1"/>
  <c r="AD12" i="1"/>
  <c r="X12" i="1"/>
  <c r="S12" i="1"/>
  <c r="O12" i="1"/>
  <c r="K12" i="1"/>
  <c r="AP47" i="1"/>
  <c r="AL47" i="1"/>
  <c r="AH47" i="1"/>
  <c r="AD47" i="1"/>
  <c r="Z47" i="1"/>
  <c r="V47" i="1"/>
  <c r="R47" i="1"/>
  <c r="N47" i="1"/>
  <c r="AS47" i="1"/>
  <c r="AN47" i="1"/>
  <c r="AI47" i="1"/>
  <c r="AC47" i="1"/>
  <c r="X47" i="1"/>
  <c r="S47" i="1"/>
  <c r="M47" i="1"/>
  <c r="AR47" i="1"/>
  <c r="AM47" i="1"/>
  <c r="AG47" i="1"/>
  <c r="AB47" i="1"/>
  <c r="W47" i="1"/>
  <c r="Q47" i="1"/>
  <c r="L47" i="1"/>
  <c r="AQ47" i="1"/>
  <c r="AK47" i="1"/>
  <c r="AF47" i="1"/>
  <c r="AA47" i="1"/>
  <c r="U47" i="1"/>
  <c r="P47" i="1"/>
  <c r="K47" i="1"/>
  <c r="AO47" i="1"/>
  <c r="AJ47" i="1"/>
  <c r="AE47" i="1"/>
  <c r="Y47" i="1"/>
  <c r="T47" i="1"/>
  <c r="O47" i="1"/>
  <c r="AP43" i="1"/>
  <c r="AL43" i="1"/>
  <c r="AH43" i="1"/>
  <c r="AD43" i="1"/>
  <c r="Z43" i="1"/>
  <c r="V43" i="1"/>
  <c r="R43" i="1"/>
  <c r="N43" i="1"/>
  <c r="AO43" i="1"/>
  <c r="AJ43" i="1"/>
  <c r="AE43" i="1"/>
  <c r="Y43" i="1"/>
  <c r="T43" i="1"/>
  <c r="O43" i="1"/>
  <c r="AS43" i="1"/>
  <c r="AN43" i="1"/>
  <c r="AI43" i="1"/>
  <c r="AC43" i="1"/>
  <c r="X43" i="1"/>
  <c r="S43" i="1"/>
  <c r="M43" i="1"/>
  <c r="AR43" i="1"/>
  <c r="AM43" i="1"/>
  <c r="AG43" i="1"/>
  <c r="AB43" i="1"/>
  <c r="W43" i="1"/>
  <c r="Q43" i="1"/>
  <c r="L43" i="1"/>
  <c r="AQ43" i="1"/>
  <c r="AK43" i="1"/>
  <c r="AF43" i="1"/>
  <c r="AA43" i="1"/>
  <c r="U43" i="1"/>
  <c r="P43" i="1"/>
  <c r="K43" i="1"/>
  <c r="AP39" i="1"/>
  <c r="AL39" i="1"/>
  <c r="AH39" i="1"/>
  <c r="AD39" i="1"/>
  <c r="Z39" i="1"/>
  <c r="V39" i="1"/>
  <c r="R39" i="1"/>
  <c r="N39" i="1"/>
  <c r="AO39" i="1"/>
  <c r="AJ39" i="1"/>
  <c r="AE39" i="1"/>
  <c r="Y39" i="1"/>
  <c r="T39" i="1"/>
  <c r="O39" i="1"/>
  <c r="AS39" i="1"/>
  <c r="AN39" i="1"/>
  <c r="AI39" i="1"/>
  <c r="AC39" i="1"/>
  <c r="X39" i="1"/>
  <c r="S39" i="1"/>
  <c r="M39" i="1"/>
  <c r="AR39" i="1"/>
  <c r="AM39" i="1"/>
  <c r="AG39" i="1"/>
  <c r="AB39" i="1"/>
  <c r="W39" i="1"/>
  <c r="Q39" i="1"/>
  <c r="L39" i="1"/>
  <c r="AA39" i="1"/>
  <c r="AQ39" i="1"/>
  <c r="U39" i="1"/>
  <c r="AK39" i="1"/>
  <c r="P39" i="1"/>
  <c r="AF39" i="1"/>
  <c r="K39" i="1"/>
  <c r="AQ35" i="1"/>
  <c r="AS35" i="1"/>
  <c r="AR35" i="1"/>
  <c r="AM35" i="1"/>
  <c r="AI35" i="1"/>
  <c r="AE35" i="1"/>
  <c r="AA35" i="1"/>
  <c r="W35" i="1"/>
  <c r="S35" i="1"/>
  <c r="O35" i="1"/>
  <c r="K35" i="1"/>
  <c r="AP35" i="1"/>
  <c r="AL35" i="1"/>
  <c r="AH35" i="1"/>
  <c r="AD35" i="1"/>
  <c r="Z35" i="1"/>
  <c r="V35" i="1"/>
  <c r="R35" i="1"/>
  <c r="N35" i="1"/>
  <c r="AO35" i="1"/>
  <c r="AK35" i="1"/>
  <c r="AG35" i="1"/>
  <c r="AC35" i="1"/>
  <c r="Y35" i="1"/>
  <c r="U35" i="1"/>
  <c r="Q35" i="1"/>
  <c r="M35" i="1"/>
  <c r="AN35" i="1"/>
  <c r="AJ35" i="1"/>
  <c r="AF35" i="1"/>
  <c r="AB35" i="1"/>
  <c r="X35" i="1"/>
  <c r="T35" i="1"/>
  <c r="P35" i="1"/>
  <c r="L35" i="1"/>
  <c r="AQ31" i="1"/>
  <c r="AM31" i="1"/>
  <c r="AI31" i="1"/>
  <c r="AE31" i="1"/>
  <c r="AA31" i="1"/>
  <c r="W31" i="1"/>
  <c r="S31" i="1"/>
  <c r="O31" i="1"/>
  <c r="K31" i="1"/>
  <c r="AO31" i="1"/>
  <c r="AJ31" i="1"/>
  <c r="AD31" i="1"/>
  <c r="Y31" i="1"/>
  <c r="T31" i="1"/>
  <c r="N31" i="1"/>
  <c r="AS31" i="1"/>
  <c r="AN31" i="1"/>
  <c r="AH31" i="1"/>
  <c r="AC31" i="1"/>
  <c r="X31" i="1"/>
  <c r="R31" i="1"/>
  <c r="M31" i="1"/>
  <c r="AR31" i="1"/>
  <c r="AL31" i="1"/>
  <c r="AG31" i="1"/>
  <c r="AB31" i="1"/>
  <c r="V31" i="1"/>
  <c r="Q31" i="1"/>
  <c r="L31" i="1"/>
  <c r="AP31" i="1"/>
  <c r="AK31" i="1"/>
  <c r="AF31" i="1"/>
  <c r="Z31" i="1"/>
  <c r="U31" i="1"/>
  <c r="P31" i="1"/>
  <c r="AR27" i="1"/>
  <c r="AN27" i="1"/>
  <c r="AJ27" i="1"/>
  <c r="AF27" i="1"/>
  <c r="AB27" i="1"/>
  <c r="X27" i="1"/>
  <c r="T27" i="1"/>
  <c r="P27" i="1"/>
  <c r="L27" i="1"/>
  <c r="AQ27" i="1"/>
  <c r="AM27" i="1"/>
  <c r="AI27" i="1"/>
  <c r="AE27" i="1"/>
  <c r="AA27" i="1"/>
  <c r="W27" i="1"/>
  <c r="S27" i="1"/>
  <c r="O27" i="1"/>
  <c r="K27" i="1"/>
  <c r="AP27" i="1"/>
  <c r="AL27" i="1"/>
  <c r="AH27" i="1"/>
  <c r="AD27" i="1"/>
  <c r="Z27" i="1"/>
  <c r="V27" i="1"/>
  <c r="R27" i="1"/>
  <c r="N27" i="1"/>
  <c r="AS27" i="1"/>
  <c r="AO27" i="1"/>
  <c r="AK27" i="1"/>
  <c r="AG27" i="1"/>
  <c r="AC27" i="1"/>
  <c r="Y27" i="1"/>
  <c r="U27" i="1"/>
  <c r="Q27" i="1"/>
  <c r="M27" i="1"/>
  <c r="AR23" i="1"/>
  <c r="AN23" i="1"/>
  <c r="AJ23" i="1"/>
  <c r="AF23" i="1"/>
  <c r="AB23" i="1"/>
  <c r="X23" i="1"/>
  <c r="T23" i="1"/>
  <c r="P23" i="1"/>
  <c r="L23" i="1"/>
  <c r="AQ23" i="1"/>
  <c r="AM23" i="1"/>
  <c r="AI23" i="1"/>
  <c r="AE23" i="1"/>
  <c r="AA23" i="1"/>
  <c r="W23" i="1"/>
  <c r="S23" i="1"/>
  <c r="O23" i="1"/>
  <c r="K23" i="1"/>
  <c r="AP23" i="1"/>
  <c r="AL23" i="1"/>
  <c r="AH23" i="1"/>
  <c r="AD23" i="1"/>
  <c r="AS23" i="1"/>
  <c r="AO23" i="1"/>
  <c r="AK23" i="1"/>
  <c r="AG23" i="1"/>
  <c r="AC23" i="1"/>
  <c r="Y23" i="1"/>
  <c r="U23" i="1"/>
  <c r="Q23" i="1"/>
  <c r="M23" i="1"/>
  <c r="Z23" i="1"/>
  <c r="V23" i="1"/>
  <c r="R23" i="1"/>
  <c r="N23" i="1"/>
  <c r="AR19" i="1"/>
  <c r="AN19" i="1"/>
  <c r="AJ19" i="1"/>
  <c r="AF19" i="1"/>
  <c r="AB19" i="1"/>
  <c r="X19" i="1"/>
  <c r="T19" i="1"/>
  <c r="P19" i="1"/>
  <c r="L19" i="1"/>
  <c r="AS19" i="1"/>
  <c r="AM19" i="1"/>
  <c r="AH19" i="1"/>
  <c r="AC19" i="1"/>
  <c r="W19" i="1"/>
  <c r="R19" i="1"/>
  <c r="M19" i="1"/>
  <c r="AQ19" i="1"/>
  <c r="AL19" i="1"/>
  <c r="AG19" i="1"/>
  <c r="AA19" i="1"/>
  <c r="V19" i="1"/>
  <c r="Q19" i="1"/>
  <c r="K19" i="1"/>
  <c r="AP19" i="1"/>
  <c r="AK19" i="1"/>
  <c r="AE19" i="1"/>
  <c r="Z19" i="1"/>
  <c r="U19" i="1"/>
  <c r="O19" i="1"/>
  <c r="AO19" i="1"/>
  <c r="AI19" i="1"/>
  <c r="AD19" i="1"/>
  <c r="Y19" i="1"/>
  <c r="S19" i="1"/>
  <c r="N19" i="1"/>
  <c r="AR15" i="1"/>
  <c r="AN15" i="1"/>
  <c r="AJ15" i="1"/>
  <c r="AF15" i="1"/>
  <c r="AB15" i="1"/>
  <c r="X15" i="1"/>
  <c r="T15" i="1"/>
  <c r="P15" i="1"/>
  <c r="L15" i="1"/>
  <c r="AO15" i="1"/>
  <c r="AI15" i="1"/>
  <c r="AD15" i="1"/>
  <c r="Y15" i="1"/>
  <c r="S15" i="1"/>
  <c r="N15" i="1"/>
  <c r="AS15" i="1"/>
  <c r="AM15" i="1"/>
  <c r="AH15" i="1"/>
  <c r="AC15" i="1"/>
  <c r="W15" i="1"/>
  <c r="R15" i="1"/>
  <c r="M15" i="1"/>
  <c r="AQ15" i="1"/>
  <c r="AL15" i="1"/>
  <c r="AG15" i="1"/>
  <c r="AA15" i="1"/>
  <c r="V15" i="1"/>
  <c r="Q15" i="1"/>
  <c r="K15" i="1"/>
  <c r="AP15" i="1"/>
  <c r="AK15" i="1"/>
  <c r="AE15" i="1"/>
  <c r="Z15" i="1"/>
  <c r="U15" i="1"/>
  <c r="O15" i="1"/>
  <c r="AS11" i="1"/>
  <c r="AO11" i="1"/>
  <c r="AK11" i="1"/>
  <c r="AG11" i="1"/>
  <c r="AC11" i="1"/>
  <c r="Y11" i="1"/>
  <c r="U11" i="1"/>
  <c r="Q11" i="1"/>
  <c r="M11" i="1"/>
  <c r="AR11" i="1"/>
  <c r="AN11" i="1"/>
  <c r="AJ11" i="1"/>
  <c r="AF11" i="1"/>
  <c r="AB11" i="1"/>
  <c r="X11" i="1"/>
  <c r="T11" i="1"/>
  <c r="P11" i="1"/>
  <c r="L11" i="1"/>
  <c r="AQ11" i="1"/>
  <c r="AM11" i="1"/>
  <c r="AI11" i="1"/>
  <c r="AE11" i="1"/>
  <c r="AA11" i="1"/>
  <c r="W11" i="1"/>
  <c r="S11" i="1"/>
  <c r="O11" i="1"/>
  <c r="K11" i="1"/>
  <c r="AP11" i="1"/>
  <c r="AL11" i="1"/>
  <c r="AH11" i="1"/>
  <c r="AD11" i="1"/>
  <c r="Z11" i="1"/>
  <c r="V11" i="1"/>
  <c r="R11" i="1"/>
  <c r="N11" i="1"/>
  <c r="AQ26" i="1"/>
  <c r="AM26" i="1"/>
  <c r="AI26" i="1"/>
  <c r="AE26" i="1"/>
  <c r="AA26" i="1"/>
  <c r="W26" i="1"/>
  <c r="S26" i="1"/>
  <c r="O26" i="1"/>
  <c r="K26" i="1"/>
  <c r="AP26" i="1"/>
  <c r="AL26" i="1"/>
  <c r="AH26" i="1"/>
  <c r="AD26" i="1"/>
  <c r="Z26" i="1"/>
  <c r="V26" i="1"/>
  <c r="R26" i="1"/>
  <c r="N26" i="1"/>
  <c r="AS26" i="1"/>
  <c r="AO26" i="1"/>
  <c r="AK26" i="1"/>
  <c r="AG26" i="1"/>
  <c r="AC26" i="1"/>
  <c r="Y26" i="1"/>
  <c r="U26" i="1"/>
  <c r="Q26" i="1"/>
  <c r="M26" i="1"/>
  <c r="AR26" i="1"/>
  <c r="AN26" i="1"/>
  <c r="AJ26" i="1"/>
  <c r="AF26" i="1"/>
  <c r="AB26" i="1"/>
  <c r="X26" i="1"/>
  <c r="T26" i="1"/>
  <c r="P26" i="1"/>
  <c r="L26" i="1"/>
  <c r="AQ14" i="1"/>
  <c r="AM14" i="1"/>
  <c r="AI14" i="1"/>
  <c r="AE14" i="1"/>
  <c r="AA14" i="1"/>
  <c r="W14" i="1"/>
  <c r="S14" i="1"/>
  <c r="O14" i="1"/>
  <c r="K14" i="1"/>
  <c r="AR14" i="1"/>
  <c r="AL14" i="1"/>
  <c r="AG14" i="1"/>
  <c r="AB14" i="1"/>
  <c r="V14" i="1"/>
  <c r="Q14" i="1"/>
  <c r="L14" i="1"/>
  <c r="AP14" i="1"/>
  <c r="AK14" i="1"/>
  <c r="AF14" i="1"/>
  <c r="Z14" i="1"/>
  <c r="U14" i="1"/>
  <c r="P14" i="1"/>
  <c r="AO14" i="1"/>
  <c r="AJ14" i="1"/>
  <c r="AD14" i="1"/>
  <c r="Y14" i="1"/>
  <c r="T14" i="1"/>
  <c r="N14" i="1"/>
  <c r="AS14" i="1"/>
  <c r="AN14" i="1"/>
  <c r="AH14" i="1"/>
  <c r="AC14" i="1"/>
  <c r="X14" i="1"/>
  <c r="R14" i="1"/>
  <c r="M14" i="1"/>
  <c r="AR10" i="1"/>
  <c r="AN10" i="1"/>
  <c r="AJ10" i="1"/>
  <c r="AF10" i="1"/>
  <c r="AB10" i="1"/>
  <c r="X10" i="1"/>
  <c r="T10" i="1"/>
  <c r="P10" i="1"/>
  <c r="L10" i="1"/>
  <c r="AQ10" i="1"/>
  <c r="AM10" i="1"/>
  <c r="AI10" i="1"/>
  <c r="AE10" i="1"/>
  <c r="AA10" i="1"/>
  <c r="W10" i="1"/>
  <c r="S10" i="1"/>
  <c r="O10" i="1"/>
  <c r="K10" i="1"/>
  <c r="AP10" i="1"/>
  <c r="AL10" i="1"/>
  <c r="AH10" i="1"/>
  <c r="AD10" i="1"/>
  <c r="Z10" i="1"/>
  <c r="V10" i="1"/>
  <c r="R10" i="1"/>
  <c r="N10" i="1"/>
  <c r="AS10" i="1"/>
  <c r="AO10" i="1"/>
  <c r="AK10" i="1"/>
  <c r="AG10" i="1"/>
  <c r="AC10" i="1"/>
  <c r="Y10" i="1"/>
  <c r="U10" i="1"/>
  <c r="Q10" i="1"/>
  <c r="M10" i="1"/>
  <c r="AR45" i="1"/>
  <c r="AN45" i="1"/>
  <c r="AJ45" i="1"/>
  <c r="AF45" i="1"/>
  <c r="AB45" i="1"/>
  <c r="X45" i="1"/>
  <c r="T45" i="1"/>
  <c r="P45" i="1"/>
  <c r="L45" i="1"/>
  <c r="AO45" i="1"/>
  <c r="AI45" i="1"/>
  <c r="AD45" i="1"/>
  <c r="Y45" i="1"/>
  <c r="S45" i="1"/>
  <c r="N45" i="1"/>
  <c r="AS45" i="1"/>
  <c r="AM45" i="1"/>
  <c r="AH45" i="1"/>
  <c r="AC45" i="1"/>
  <c r="W45" i="1"/>
  <c r="R45" i="1"/>
  <c r="M45" i="1"/>
  <c r="AQ45" i="1"/>
  <c r="AL45" i="1"/>
  <c r="AG45" i="1"/>
  <c r="AA45" i="1"/>
  <c r="V45" i="1"/>
  <c r="Q45" i="1"/>
  <c r="K45" i="1"/>
  <c r="AP45" i="1"/>
  <c r="AK45" i="1"/>
  <c r="AE45" i="1"/>
  <c r="Z45" i="1"/>
  <c r="U45" i="1"/>
  <c r="O45" i="1"/>
  <c r="AR41" i="1"/>
  <c r="AN41" i="1"/>
  <c r="AJ41" i="1"/>
  <c r="AF41" i="1"/>
  <c r="AB41" i="1"/>
  <c r="X41" i="1"/>
  <c r="T41" i="1"/>
  <c r="P41" i="1"/>
  <c r="L41" i="1"/>
  <c r="AO41" i="1"/>
  <c r="AI41" i="1"/>
  <c r="AD41" i="1"/>
  <c r="Y41" i="1"/>
  <c r="S41" i="1"/>
  <c r="N41" i="1"/>
  <c r="AS41" i="1"/>
  <c r="AM41" i="1"/>
  <c r="AH41" i="1"/>
  <c r="AC41" i="1"/>
  <c r="W41" i="1"/>
  <c r="R41" i="1"/>
  <c r="M41" i="1"/>
  <c r="AQ41" i="1"/>
  <c r="AL41" i="1"/>
  <c r="AG41" i="1"/>
  <c r="AA41" i="1"/>
  <c r="V41" i="1"/>
  <c r="Q41" i="1"/>
  <c r="K41" i="1"/>
  <c r="AP41" i="1"/>
  <c r="U41" i="1"/>
  <c r="AK41" i="1"/>
  <c r="O41" i="1"/>
  <c r="AE41" i="1"/>
  <c r="Z41" i="1"/>
  <c r="AS37" i="1"/>
  <c r="AO37" i="1"/>
  <c r="AK37" i="1"/>
  <c r="AG37" i="1"/>
  <c r="AC37" i="1"/>
  <c r="Y37" i="1"/>
  <c r="U37" i="1"/>
  <c r="Q37" i="1"/>
  <c r="M37" i="1"/>
  <c r="AR37" i="1"/>
  <c r="AN37" i="1"/>
  <c r="AQ37" i="1"/>
  <c r="AM37" i="1"/>
  <c r="AI37" i="1"/>
  <c r="AE37" i="1"/>
  <c r="AA37" i="1"/>
  <c r="W37" i="1"/>
  <c r="S37" i="1"/>
  <c r="O37" i="1"/>
  <c r="K37" i="1"/>
  <c r="AL37" i="1"/>
  <c r="AD37" i="1"/>
  <c r="V37" i="1"/>
  <c r="N37" i="1"/>
  <c r="AJ37" i="1"/>
  <c r="AB37" i="1"/>
  <c r="T37" i="1"/>
  <c r="L37" i="1"/>
  <c r="AH37" i="1"/>
  <c r="Z37" i="1"/>
  <c r="R37" i="1"/>
  <c r="AP37" i="1"/>
  <c r="AF37" i="1"/>
  <c r="X37" i="1"/>
  <c r="P37" i="1"/>
  <c r="AS33" i="1"/>
  <c r="AO33" i="1"/>
  <c r="AK33" i="1"/>
  <c r="AG33" i="1"/>
  <c r="AC33" i="1"/>
  <c r="Y33" i="1"/>
  <c r="U33" i="1"/>
  <c r="Q33" i="1"/>
  <c r="M33" i="1"/>
  <c r="AR33" i="1"/>
  <c r="AN33" i="1"/>
  <c r="AJ33" i="1"/>
  <c r="AF33" i="1"/>
  <c r="AB33" i="1"/>
  <c r="X33" i="1"/>
  <c r="T33" i="1"/>
  <c r="P33" i="1"/>
  <c r="L33" i="1"/>
  <c r="AQ33" i="1"/>
  <c r="AM33" i="1"/>
  <c r="AP33" i="1"/>
  <c r="AL33" i="1"/>
  <c r="AH33" i="1"/>
  <c r="AD33" i="1"/>
  <c r="Z33" i="1"/>
  <c r="V33" i="1"/>
  <c r="R33" i="1"/>
  <c r="N33" i="1"/>
  <c r="AI33" i="1"/>
  <c r="S33" i="1"/>
  <c r="AE33" i="1"/>
  <c r="O33" i="1"/>
  <c r="AA33" i="1"/>
  <c r="K33" i="1"/>
  <c r="W33" i="1"/>
  <c r="AS29" i="1"/>
  <c r="AO29" i="1"/>
  <c r="AK29" i="1"/>
  <c r="AG29" i="1"/>
  <c r="AC29" i="1"/>
  <c r="Y29" i="1"/>
  <c r="U29" i="1"/>
  <c r="Q29" i="1"/>
  <c r="M29" i="1"/>
  <c r="AP29" i="1"/>
  <c r="AJ29" i="1"/>
  <c r="AE29" i="1"/>
  <c r="Z29" i="1"/>
  <c r="T29" i="1"/>
  <c r="O29" i="1"/>
  <c r="AN29" i="1"/>
  <c r="AI29" i="1"/>
  <c r="AD29" i="1"/>
  <c r="X29" i="1"/>
  <c r="S29" i="1"/>
  <c r="N29" i="1"/>
  <c r="AR29" i="1"/>
  <c r="AM29" i="1"/>
  <c r="AH29" i="1"/>
  <c r="AB29" i="1"/>
  <c r="W29" i="1"/>
  <c r="R29" i="1"/>
  <c r="L29" i="1"/>
  <c r="AQ29" i="1"/>
  <c r="AL29" i="1"/>
  <c r="AF29" i="1"/>
  <c r="AA29" i="1"/>
  <c r="V29" i="1"/>
  <c r="P29" i="1"/>
  <c r="K29" i="1"/>
  <c r="AP25" i="1"/>
  <c r="AL25" i="1"/>
  <c r="AH25" i="1"/>
  <c r="AD25" i="1"/>
  <c r="Z25" i="1"/>
  <c r="V25" i="1"/>
  <c r="R25" i="1"/>
  <c r="N25" i="1"/>
  <c r="AS25" i="1"/>
  <c r="AO25" i="1"/>
  <c r="AK25" i="1"/>
  <c r="AG25" i="1"/>
  <c r="AC25" i="1"/>
  <c r="Y25" i="1"/>
  <c r="U25" i="1"/>
  <c r="Q25" i="1"/>
  <c r="M25" i="1"/>
  <c r="AR25" i="1"/>
  <c r="AN25" i="1"/>
  <c r="AJ25" i="1"/>
  <c r="AF25" i="1"/>
  <c r="AB25" i="1"/>
  <c r="X25" i="1"/>
  <c r="T25" i="1"/>
  <c r="P25" i="1"/>
  <c r="L25" i="1"/>
  <c r="AQ25" i="1"/>
  <c r="AM25" i="1"/>
  <c r="AI25" i="1"/>
  <c r="AE25" i="1"/>
  <c r="AA25" i="1"/>
  <c r="W25" i="1"/>
  <c r="S25" i="1"/>
  <c r="O25" i="1"/>
  <c r="K25" i="1"/>
  <c r="AP21" i="1"/>
  <c r="AL21" i="1"/>
  <c r="AH21" i="1"/>
  <c r="AD21" i="1"/>
  <c r="Z21" i="1"/>
  <c r="V21" i="1"/>
  <c r="R21" i="1"/>
  <c r="N21" i="1"/>
  <c r="AS21" i="1"/>
  <c r="AO21" i="1"/>
  <c r="AK21" i="1"/>
  <c r="AG21" i="1"/>
  <c r="AC21" i="1"/>
  <c r="Y21" i="1"/>
  <c r="U21" i="1"/>
  <c r="Q21" i="1"/>
  <c r="AQ21" i="1"/>
  <c r="AM21" i="1"/>
  <c r="AI21" i="1"/>
  <c r="AE21" i="1"/>
  <c r="AA21" i="1"/>
  <c r="W21" i="1"/>
  <c r="AF21" i="1"/>
  <c r="S21" i="1"/>
  <c r="L21" i="1"/>
  <c r="AR21" i="1"/>
  <c r="AB21" i="1"/>
  <c r="P21" i="1"/>
  <c r="K21" i="1"/>
  <c r="AN21" i="1"/>
  <c r="X21" i="1"/>
  <c r="O21" i="1"/>
  <c r="AJ21" i="1"/>
  <c r="T21" i="1"/>
  <c r="M21" i="1"/>
  <c r="AP17" i="1"/>
  <c r="AL17" i="1"/>
  <c r="AH17" i="1"/>
  <c r="AD17" i="1"/>
  <c r="Z17" i="1"/>
  <c r="V17" i="1"/>
  <c r="R17" i="1"/>
  <c r="N17" i="1"/>
  <c r="AS17" i="1"/>
  <c r="AN17" i="1"/>
  <c r="AI17" i="1"/>
  <c r="AC17" i="1"/>
  <c r="X17" i="1"/>
  <c r="S17" i="1"/>
  <c r="M17" i="1"/>
  <c r="AR17" i="1"/>
  <c r="AM17" i="1"/>
  <c r="AG17" i="1"/>
  <c r="AB17" i="1"/>
  <c r="W17" i="1"/>
  <c r="Q17" i="1"/>
  <c r="L17" i="1"/>
  <c r="AQ17" i="1"/>
  <c r="AK17" i="1"/>
  <c r="AF17" i="1"/>
  <c r="AA17" i="1"/>
  <c r="U17" i="1"/>
  <c r="P17" i="1"/>
  <c r="K17" i="1"/>
  <c r="AO17" i="1"/>
  <c r="AJ17" i="1"/>
  <c r="AE17" i="1"/>
  <c r="Y17" i="1"/>
  <c r="T17" i="1"/>
  <c r="O17" i="1"/>
  <c r="AP13" i="1"/>
  <c r="AL13" i="1"/>
  <c r="AH13" i="1"/>
  <c r="AD13" i="1"/>
  <c r="Z13" i="1"/>
  <c r="V13" i="1"/>
  <c r="R13" i="1"/>
  <c r="N13" i="1"/>
  <c r="AO13" i="1"/>
  <c r="AJ13" i="1"/>
  <c r="AE13" i="1"/>
  <c r="Y13" i="1"/>
  <c r="T13" i="1"/>
  <c r="O13" i="1"/>
  <c r="AS13" i="1"/>
  <c r="AN13" i="1"/>
  <c r="AI13" i="1"/>
  <c r="AC13" i="1"/>
  <c r="X13" i="1"/>
  <c r="S13" i="1"/>
  <c r="M13" i="1"/>
  <c r="AR13" i="1"/>
  <c r="AM13" i="1"/>
  <c r="AG13" i="1"/>
  <c r="AB13" i="1"/>
  <c r="W13" i="1"/>
  <c r="Q13" i="1"/>
  <c r="L13" i="1"/>
  <c r="AQ13" i="1"/>
  <c r="AK13" i="1"/>
  <c r="AF13" i="1"/>
  <c r="AA13" i="1"/>
  <c r="U13" i="1"/>
  <c r="P13" i="1"/>
  <c r="K13" i="1"/>
</calcChain>
</file>

<file path=xl/sharedStrings.xml><?xml version="1.0" encoding="utf-8"?>
<sst xmlns="http://schemas.openxmlformats.org/spreadsheetml/2006/main" count="218" uniqueCount="178">
  <si>
    <t>재무상태표</t>
  </si>
  <si>
    <t>포괄손익계산서</t>
  </si>
  <si>
    <t>현금흐름표</t>
  </si>
  <si>
    <t>자본변동표</t>
  </si>
  <si>
    <t>재무비율</t>
  </si>
  <si>
    <t>자산</t>
  </si>
  <si>
    <t>매출액(영업수익)</t>
  </si>
  <si>
    <t>영업활동으로인한현금흐름</t>
  </si>
  <si>
    <t>기말자본금</t>
  </si>
  <si>
    <t>총자산증가율</t>
  </si>
  <si>
    <t>현금및현금성자산</t>
  </si>
  <si>
    <t>매출원가(영업비용)</t>
  </si>
  <si>
    <t>당기순손익</t>
  </si>
  <si>
    <t>기초자본금</t>
  </si>
  <si>
    <t>유형자산증가율</t>
  </si>
  <si>
    <t>금융자산</t>
  </si>
  <si>
    <t>매출총이익</t>
  </si>
  <si>
    <t>현금유출이없는비용등가산</t>
  </si>
  <si>
    <t>유상증자</t>
  </si>
  <si>
    <t>부채총계증가율</t>
  </si>
  <si>
    <t>파생상품자산</t>
  </si>
  <si>
    <t>판매비와 관리비</t>
  </si>
  <si>
    <t>감가상각비(현금흐름표)</t>
  </si>
  <si>
    <t>무상증자</t>
  </si>
  <si>
    <t>차입금증가율</t>
  </si>
  <si>
    <t>대출채권</t>
  </si>
  <si>
    <t>급여</t>
  </si>
  <si>
    <t>기타무형자산상각비(현금흐름표)</t>
  </si>
  <si>
    <t>주식매수선택권</t>
  </si>
  <si>
    <t>자기자본증가율</t>
  </si>
  <si>
    <t>기타자산</t>
  </si>
  <si>
    <t>감가상각비(포괄손익계산서)</t>
  </si>
  <si>
    <t>외환거래손실(현금흐름표)</t>
  </si>
  <si>
    <t>전환사채</t>
  </si>
  <si>
    <t>매출액(영업수익)증가율</t>
  </si>
  <si>
    <t>유형자산</t>
  </si>
  <si>
    <t>기타무형자산상각비(포괄손익계산서)</t>
  </si>
  <si>
    <t>자산처분손실</t>
  </si>
  <si>
    <t>신주인수권부사채</t>
  </si>
  <si>
    <t>매출원가(영업비용)증가율</t>
  </si>
  <si>
    <t>투자부동산</t>
  </si>
  <si>
    <t>연구개발비</t>
  </si>
  <si>
    <t>(현금유입이없는수익등차감)</t>
  </si>
  <si>
    <t>기말자본잉여금</t>
  </si>
  <si>
    <t>영업이익증가율(보고서기재)</t>
  </si>
  <si>
    <t>비업무용자산</t>
  </si>
  <si>
    <t>영업이익</t>
  </si>
  <si>
    <t>외환거래이익(현금흐름표)</t>
  </si>
  <si>
    <t>기말기타자본</t>
  </si>
  <si>
    <t>순이익증가율</t>
  </si>
  <si>
    <t>영업권</t>
  </si>
  <si>
    <t>이자수익</t>
  </si>
  <si>
    <t>자산처분이익</t>
  </si>
  <si>
    <t>기말기타포괄손익누계액</t>
  </si>
  <si>
    <t>EPS증가율</t>
  </si>
  <si>
    <t>무형자산</t>
  </si>
  <si>
    <t>배당금수익</t>
  </si>
  <si>
    <t>영업활동으로인한자산부채변동</t>
  </si>
  <si>
    <t>기말이익잉여금</t>
  </si>
  <si>
    <t>희석EPS증가율</t>
  </si>
  <si>
    <t>이연법인세자산</t>
  </si>
  <si>
    <t>외환거래이익(포괄손익계산서)</t>
  </si>
  <si>
    <t>자산의감소</t>
  </si>
  <si>
    <t>처분후이익잉여금</t>
  </si>
  <si>
    <t>영업활동으로인한현금흐름증가율</t>
  </si>
  <si>
    <t>당기법인세자산</t>
  </si>
  <si>
    <t>금융자산처분이익</t>
  </si>
  <si>
    <t>부채의증가</t>
  </si>
  <si>
    <t>(중간배당)</t>
  </si>
  <si>
    <t>투자활동으로인한현금흐름증가율</t>
  </si>
  <si>
    <t>기타금융업자산</t>
  </si>
  <si>
    <t>금융자산평가이익</t>
  </si>
  <si>
    <t>영업활동으로인한현금흐름(간접법)</t>
  </si>
  <si>
    <t>기타포괄손익(자본변동표)</t>
  </si>
  <si>
    <t>재무활동으로인한현금흐름증가율</t>
  </si>
  <si>
    <t>자본</t>
  </si>
  <si>
    <t>파생상품이익</t>
  </si>
  <si>
    <t>영업에서창출된현금흐름</t>
  </si>
  <si>
    <t>당기순이익(자본변동표)</t>
  </si>
  <si>
    <t>기말현금증가율</t>
  </si>
  <si>
    <t>상장자본금</t>
  </si>
  <si>
    <t>이자비용</t>
  </si>
  <si>
    <t>이자수입</t>
  </si>
  <si>
    <t>기말비지배주주지분</t>
  </si>
  <si>
    <t>ROE</t>
  </si>
  <si>
    <t>신종자본증권</t>
  </si>
  <si>
    <t>외환거래손실(포괄손익계산서)</t>
  </si>
  <si>
    <t>이자지급(-)</t>
  </si>
  <si>
    <t>합계(자본변동표)</t>
  </si>
  <si>
    <t>ROA</t>
  </si>
  <si>
    <t>자본잉여금</t>
  </si>
  <si>
    <t>금융자산처분손실</t>
  </si>
  <si>
    <t>배당금수입</t>
  </si>
  <si>
    <t>총자산영업이익률</t>
  </si>
  <si>
    <t>기타자본</t>
  </si>
  <si>
    <t>금융자산평가손실</t>
  </si>
  <si>
    <t>영업활동배당금지급(-)</t>
  </si>
  <si>
    <t>자기자본영업이익률</t>
  </si>
  <si>
    <t>기타포괄손익누계액</t>
  </si>
  <si>
    <t>파생상품손실</t>
  </si>
  <si>
    <t>법인세환입</t>
  </si>
  <si>
    <t>자본금영업이익률</t>
  </si>
  <si>
    <t>이익잉여금(결손금)</t>
  </si>
  <si>
    <t>종속기업공동지배기업관계기업손익</t>
  </si>
  <si>
    <t>법인세납부(-)</t>
  </si>
  <si>
    <t>자본금순이익률</t>
  </si>
  <si>
    <t>부채</t>
  </si>
  <si>
    <t>법인세비용차감전순이익</t>
  </si>
  <si>
    <t>투자활동으로인한현금흐름</t>
  </si>
  <si>
    <t>영업이익률</t>
  </si>
  <si>
    <t>비예수부채</t>
  </si>
  <si>
    <t>법인세비용</t>
  </si>
  <si>
    <t>투자활동으로인한현금유입액</t>
  </si>
  <si>
    <t>적립금비율</t>
  </si>
  <si>
    <t>금융부채</t>
  </si>
  <si>
    <t>계속영업이익</t>
  </si>
  <si>
    <t>유형자산의감소</t>
  </si>
  <si>
    <t>유형자산구성비율</t>
  </si>
  <si>
    <t>파생상품부채</t>
  </si>
  <si>
    <t>당기순이익(포괄손익계산서)</t>
  </si>
  <si>
    <t>무형자산의감소</t>
  </si>
  <si>
    <t>타인자본구성비율</t>
  </si>
  <si>
    <t>차입금</t>
  </si>
  <si>
    <t>당기순이익지배기업주주지분</t>
  </si>
  <si>
    <t>(투자활동으로인한현금유출액)</t>
  </si>
  <si>
    <t>자기자본비율</t>
  </si>
  <si>
    <t>사채</t>
  </si>
  <si>
    <t>기타포괄손익(포괄손익계산서)</t>
  </si>
  <si>
    <t>유형자산의증가</t>
  </si>
  <si>
    <t>차입금비율</t>
  </si>
  <si>
    <t>기타금융업부채</t>
  </si>
  <si>
    <t>총포괄손익</t>
  </si>
  <si>
    <t>무형자산의증가</t>
  </si>
  <si>
    <t>차입금의존도</t>
  </si>
  <si>
    <t>기타충당부채</t>
  </si>
  <si>
    <t>총포괄손익지배기업주주지분</t>
  </si>
  <si>
    <t>재무활동으로인한현금흐름</t>
  </si>
  <si>
    <t>유보율</t>
  </si>
  <si>
    <t>당기법인세부채</t>
  </si>
  <si>
    <t>주당순손익</t>
  </si>
  <si>
    <t>재무활동으로인한현금유입액</t>
  </si>
  <si>
    <t>총자산회전율</t>
  </si>
  <si>
    <t>종업원급여충당부채</t>
  </si>
  <si>
    <t>희석주당순손익</t>
  </si>
  <si>
    <t>사채의증가</t>
  </si>
  <si>
    <t>타인자본회전율</t>
  </si>
  <si>
    <t>기타부채</t>
  </si>
  <si>
    <t>차입금의증가</t>
  </si>
  <si>
    <t>이연법인세부채</t>
  </si>
  <si>
    <t>(재무활동으로인한현금유출액)</t>
  </si>
  <si>
    <t>예수부채</t>
  </si>
  <si>
    <t>사채의감소</t>
  </si>
  <si>
    <t>차입금의감소</t>
  </si>
  <si>
    <t>재무활동배당금지급(-)</t>
  </si>
  <si>
    <t>현금및현금성자산의증가</t>
  </si>
  <si>
    <t>기초현금및현금성자산</t>
  </si>
  <si>
    <t>연결기준</t>
  </si>
  <si>
    <t>연결</t>
  </si>
  <si>
    <t>누적</t>
  </si>
  <si>
    <t>연속</t>
  </si>
  <si>
    <t>누적기준</t>
  </si>
  <si>
    <t>개별</t>
  </si>
  <si>
    <t>순</t>
  </si>
  <si>
    <t>분기</t>
  </si>
  <si>
    <t>일자</t>
    <phoneticPr fontId="2" type="noConversion"/>
  </si>
  <si>
    <t>기말현금및현금성자산</t>
    <phoneticPr fontId="2" type="noConversion"/>
  </si>
  <si>
    <t>시작일</t>
    <phoneticPr fontId="2" type="noConversion"/>
  </si>
  <si>
    <t>재무제표</t>
    <phoneticPr fontId="2" type="noConversion"/>
  </si>
  <si>
    <t>천원</t>
    <phoneticPr fontId="2" type="noConversion"/>
  </si>
  <si>
    <t>백만원</t>
    <phoneticPr fontId="2" type="noConversion"/>
  </si>
  <si>
    <t>억원</t>
    <phoneticPr fontId="2" type="noConversion"/>
  </si>
  <si>
    <t>십억원</t>
    <phoneticPr fontId="2" type="noConversion"/>
  </si>
  <si>
    <t>단위:</t>
    <phoneticPr fontId="2" type="noConversion"/>
  </si>
  <si>
    <t>기준시점</t>
    <phoneticPr fontId="2" type="noConversion"/>
  </si>
  <si>
    <t>수정 가능한 영역</t>
    <phoneticPr fontId="2" type="noConversion"/>
  </si>
  <si>
    <t>일자</t>
    <phoneticPr fontId="2" type="noConversion"/>
  </si>
  <si>
    <t>TRUE</t>
    <phoneticPr fontId="2" type="noConversion"/>
  </si>
  <si>
    <t>005930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</si>
</sst>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_);[Red]\(#,##0.0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8CADD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49" fontId="10" fillId="0" borderId="0" xfId="0" applyNumberFormat="1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176" fontId="6" fillId="0" borderId="1" xfId="1" applyNumberFormat="1" applyFont="1" applyBorder="1">
      <alignment vertical="center"/>
    </xf>
    <xf numFmtId="49" fontId="7" fillId="0" borderId="0" xfId="0" applyNumberFormat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14" fontId="9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6" fillId="4" borderId="0" xfId="0" applyFont="1" applyFill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7" fillId="4" borderId="1" xfId="0" quotePrefix="1" applyNumberFormat="1" applyFont="1" applyFill="1" applyBorder="1" applyAlignment="1">
      <alignment horizontal="center" vertical="center"/>
    </xf>
    <xf numFmtId="0" fontId="8" fillId="3" borderId="0" xfId="0" applyFont="1" applyFill="1">
      <alignment vertical="center"/>
    </xf>
  </cellXfs>
  <cellStyles count="2">
    <cellStyle name="쉼표 [0]" xfId="1" builtinId="6"/>
    <cellStyle name="표준" xfId="0" builtinId="0"/>
  </cellStyles>
  <dxfs count="1"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8CADD4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>삼성전자</v>
        <stp/>
        <stp>P</stp>
        <stp>0</stp>
        <stp>STK</stp>
        <stp>005930</stp>
        <stp>한글종목명</stp>
        <stp/>
        <stp/>
        <tr r="L4" s="1"/>
      </tp>
      <tp t="e">
        <v>#N/A</v>
        <stp/>
        <stp>H</stp>
        <stp>x1.2nOF</stp>
        <stp>30</stp>
        <stp>922220</stp>
        <tr r="J5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5" fmlaLink="$B$8" fmlaRange="$B$9:$B$13" noThreeD="1" sel="1" val="0"/>
</file>

<file path=xl/ctrlProps/ctrlProp2.xml><?xml version="1.0" encoding="utf-8"?>
<formControlPr xmlns="http://schemas.microsoft.com/office/spreadsheetml/2009/9/main" objectType="Drop" dropStyle="combo" dx="15" fmlaLink="$G$1" fmlaRange="$E$1:$E$4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5</xdr:row>
          <xdr:rowOff>57150</xdr:rowOff>
        </xdr:from>
        <xdr:to>
          <xdr:col>9</xdr:col>
          <xdr:colOff>1790700</xdr:colOff>
          <xdr:row>6</xdr:row>
          <xdr:rowOff>123825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</xdr:row>
          <xdr:rowOff>0</xdr:rowOff>
        </xdr:from>
        <xdr:to>
          <xdr:col>10</xdr:col>
          <xdr:colOff>1000125</xdr:colOff>
          <xdr:row>6</xdr:row>
          <xdr:rowOff>19050</xdr:rowOff>
        </xdr:to>
        <xdr:sp macro="" textlink="">
          <xdr:nvSpPr>
            <xdr:cNvPr id="1084" name="Drop Down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TY91"/>
  <sheetViews>
    <sheetView showGridLines="0" tabSelected="1" topLeftCell="I1" zoomScale="85" zoomScaleNormal="85" workbookViewId="0">
      <selection activeCell="W33" sqref="W33"/>
    </sheetView>
  </sheetViews>
  <sheetFormatPr defaultRowHeight="16.5" zeroHeight="1" x14ac:dyDescent="0.3"/>
  <cols>
    <col min="1" max="8" width="9" hidden="1" customWidth="1"/>
    <col min="9" max="9" width="1" customWidth="1"/>
    <col min="10" max="10" width="36.875" customWidth="1"/>
    <col min="11" max="45" width="17.25" customWidth="1"/>
  </cols>
  <sheetData>
    <row r="1" spans="1:10009" s="8" customFormat="1" ht="4.5" customHeight="1" x14ac:dyDescent="0.3">
      <c r="A1" s="4" t="s">
        <v>157</v>
      </c>
      <c r="B1" s="4" t="s">
        <v>158</v>
      </c>
      <c r="C1" s="4" t="s">
        <v>159</v>
      </c>
      <c r="D1" s="4"/>
      <c r="E1" s="4" t="s">
        <v>168</v>
      </c>
      <c r="F1" s="4">
        <v>1</v>
      </c>
      <c r="G1" s="4">
        <v>2</v>
      </c>
      <c r="H1" s="4"/>
      <c r="I1" s="4"/>
      <c r="T1" s="9"/>
    </row>
    <row r="2" spans="1:10009" s="8" customFormat="1" ht="26.25" x14ac:dyDescent="0.3">
      <c r="A2" s="4" t="s">
        <v>161</v>
      </c>
      <c r="B2" s="4" t="s">
        <v>162</v>
      </c>
      <c r="C2" s="4">
        <v>1</v>
      </c>
      <c r="D2" s="4"/>
      <c r="E2" s="4" t="s">
        <v>169</v>
      </c>
      <c r="F2" s="4">
        <v>1000</v>
      </c>
      <c r="G2" s="4">
        <f>INDEX($F$1:$F$4, $G$1)</f>
        <v>1000</v>
      </c>
      <c r="H2" s="4"/>
      <c r="I2" s="4"/>
      <c r="J2" s="22" t="s">
        <v>167</v>
      </c>
      <c r="K2" s="22"/>
      <c r="L2" s="22"/>
      <c r="M2" s="22"/>
      <c r="N2" s="22"/>
      <c r="O2" s="22"/>
      <c r="P2" s="22"/>
      <c r="Q2" s="22"/>
      <c r="R2" s="22"/>
      <c r="S2" s="22"/>
      <c r="T2" s="9"/>
    </row>
    <row r="3" spans="1:10009" s="8" customFormat="1" ht="13.5" x14ac:dyDescent="0.3">
      <c r="A3" s="4"/>
      <c r="B3" s="4"/>
      <c r="C3" s="4">
        <v>2</v>
      </c>
      <c r="D3" s="4"/>
      <c r="E3" s="4" t="s">
        <v>170</v>
      </c>
      <c r="F3" s="4">
        <v>100000</v>
      </c>
      <c r="G3" s="4"/>
      <c r="H3" s="4"/>
      <c r="I3" s="4"/>
      <c r="T3" s="9"/>
    </row>
    <row r="4" spans="1:10009" s="8" customFormat="1" ht="16.5" customHeight="1" x14ac:dyDescent="0.3">
      <c r="A4" s="4"/>
      <c r="B4" s="4"/>
      <c r="C4" s="4">
        <v>3</v>
      </c>
      <c r="D4" s="4"/>
      <c r="E4" s="4" t="s">
        <v>171</v>
      </c>
      <c r="F4" s="4">
        <v>1000000</v>
      </c>
      <c r="G4" s="4"/>
      <c r="H4" s="4"/>
      <c r="I4" s="4"/>
      <c r="K4" s="17" t="s">
        <v>174</v>
      </c>
      <c r="L4" s="7" t="str">
        <f>_xll.IMDP("STK",$L$5,"한글종목명")</f>
        <v>삼성전자</v>
      </c>
      <c r="M4" s="7" t="s">
        <v>173</v>
      </c>
      <c r="N4" s="7" t="s">
        <v>166</v>
      </c>
      <c r="O4" s="7" t="s">
        <v>156</v>
      </c>
      <c r="P4" s="7" t="s">
        <v>160</v>
      </c>
      <c r="Q4" s="7" t="s">
        <v>163</v>
      </c>
      <c r="T4" s="9"/>
    </row>
    <row r="5" spans="1:10009" s="8" customFormat="1" ht="16.5" customHeight="1" x14ac:dyDescent="0.3">
      <c r="A5" s="4"/>
      <c r="B5" s="4"/>
      <c r="C5" s="4">
        <v>4</v>
      </c>
      <c r="D5" s="4"/>
      <c r="E5" s="4"/>
      <c r="F5" s="4"/>
      <c r="G5" s="4"/>
      <c r="H5" s="4"/>
      <c r="I5" s="4"/>
      <c r="L5" s="21" t="s">
        <v>177</v>
      </c>
      <c r="M5" s="13">
        <f>K8</f>
        <v>44834</v>
      </c>
      <c r="N5" s="18">
        <f ca="1">EOMONTH(TODAY(),-26)</f>
        <v>44165</v>
      </c>
      <c r="O5" s="19" t="s">
        <v>157</v>
      </c>
      <c r="P5" s="20" t="s">
        <v>158</v>
      </c>
      <c r="Q5" s="19" t="s">
        <v>159</v>
      </c>
      <c r="T5" s="9"/>
    </row>
    <row r="6" spans="1:10009" s="8" customFormat="1" ht="13.5" x14ac:dyDescent="0.3">
      <c r="A6" s="4"/>
      <c r="B6" s="4"/>
      <c r="C6" s="4"/>
      <c r="D6" s="4"/>
      <c r="E6" s="4"/>
      <c r="F6" s="4"/>
      <c r="G6" s="4"/>
      <c r="H6" s="4"/>
      <c r="I6" s="4"/>
      <c r="J6" s="10" t="s">
        <v>172</v>
      </c>
    </row>
    <row r="7" spans="1:10009" s="8" customFormat="1" ht="13.5" x14ac:dyDescent="0.3">
      <c r="A7" s="4"/>
      <c r="B7" s="4"/>
      <c r="C7" s="4"/>
      <c r="D7" s="4"/>
      <c r="E7" s="4"/>
      <c r="F7" s="4"/>
      <c r="G7" s="4"/>
      <c r="H7" s="4"/>
      <c r="I7" s="4"/>
    </row>
    <row r="8" spans="1:10009" s="14" customFormat="1" x14ac:dyDescent="0.3">
      <c r="A8" s="1"/>
      <c r="B8" s="1">
        <v>1</v>
      </c>
      <c r="C8" s="1"/>
      <c r="D8" s="1" t="s">
        <v>0</v>
      </c>
      <c r="E8" s="1" t="s">
        <v>1</v>
      </c>
      <c r="F8" s="1" t="s">
        <v>2</v>
      </c>
      <c r="G8" s="1" t="s">
        <v>3</v>
      </c>
      <c r="H8" s="1"/>
      <c r="I8" s="1"/>
      <c r="J8" s="7" t="s">
        <v>164</v>
      </c>
      <c r="K8" s="11">
        <f>IF(K$52&lt;&gt;"", K$52,"")</f>
        <v>44834</v>
      </c>
      <c r="L8" s="11">
        <f t="shared" ref="L8:AS8" si="0">IF(L$52&lt;&gt;"", L$52,"")</f>
        <v>44742</v>
      </c>
      <c r="M8" s="11">
        <f t="shared" si="0"/>
        <v>44651</v>
      </c>
      <c r="N8" s="11">
        <f t="shared" si="0"/>
        <v>44561</v>
      </c>
      <c r="O8" s="11">
        <f t="shared" si="0"/>
        <v>44469</v>
      </c>
      <c r="P8" s="11">
        <f t="shared" si="0"/>
        <v>44377</v>
      </c>
      <c r="Q8" s="11">
        <f t="shared" si="0"/>
        <v>44286</v>
      </c>
      <c r="R8" s="11">
        <f t="shared" si="0"/>
        <v>44196</v>
      </c>
      <c r="S8" s="11" t="str">
        <f t="shared" si="0"/>
        <v/>
      </c>
      <c r="T8" s="11" t="str">
        <f t="shared" si="0"/>
        <v/>
      </c>
      <c r="U8" s="11" t="str">
        <f t="shared" si="0"/>
        <v/>
      </c>
      <c r="V8" s="11" t="str">
        <f t="shared" si="0"/>
        <v/>
      </c>
      <c r="W8" s="11" t="str">
        <f t="shared" si="0"/>
        <v/>
      </c>
      <c r="X8" s="11" t="str">
        <f t="shared" si="0"/>
        <v/>
      </c>
      <c r="Y8" s="11" t="str">
        <f t="shared" si="0"/>
        <v/>
      </c>
      <c r="Z8" s="11" t="str">
        <f t="shared" si="0"/>
        <v/>
      </c>
      <c r="AA8" s="11" t="str">
        <f t="shared" si="0"/>
        <v/>
      </c>
      <c r="AB8" s="11" t="str">
        <f t="shared" si="0"/>
        <v/>
      </c>
      <c r="AC8" s="11" t="str">
        <f t="shared" si="0"/>
        <v/>
      </c>
      <c r="AD8" s="11" t="str">
        <f t="shared" si="0"/>
        <v/>
      </c>
      <c r="AE8" s="11" t="str">
        <f t="shared" si="0"/>
        <v/>
      </c>
      <c r="AF8" s="11" t="str">
        <f t="shared" si="0"/>
        <v/>
      </c>
      <c r="AG8" s="11" t="str">
        <f t="shared" si="0"/>
        <v/>
      </c>
      <c r="AH8" s="11" t="str">
        <f t="shared" si="0"/>
        <v/>
      </c>
      <c r="AI8" s="11" t="str">
        <f t="shared" si="0"/>
        <v/>
      </c>
      <c r="AJ8" s="11" t="str">
        <f t="shared" si="0"/>
        <v/>
      </c>
      <c r="AK8" s="11" t="str">
        <f t="shared" si="0"/>
        <v/>
      </c>
      <c r="AL8" s="11" t="str">
        <f t="shared" si="0"/>
        <v/>
      </c>
      <c r="AM8" s="11" t="str">
        <f t="shared" si="0"/>
        <v/>
      </c>
      <c r="AN8" s="11" t="str">
        <f t="shared" si="0"/>
        <v/>
      </c>
      <c r="AO8" s="11" t="str">
        <f t="shared" si="0"/>
        <v/>
      </c>
      <c r="AP8" s="11" t="str">
        <f t="shared" si="0"/>
        <v/>
      </c>
      <c r="AQ8" s="11" t="str">
        <f t="shared" si="0"/>
        <v/>
      </c>
      <c r="AR8" s="11" t="str">
        <f t="shared" si="0"/>
        <v/>
      </c>
      <c r="AS8" s="11" t="str">
        <f t="shared" si="0"/>
        <v/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/>
      <c r="QC8" s="15"/>
      <c r="QD8" s="15"/>
      <c r="QE8" s="15"/>
      <c r="QF8" s="15"/>
      <c r="QG8" s="15"/>
      <c r="QH8" s="15"/>
      <c r="QI8" s="15"/>
      <c r="QJ8" s="15"/>
      <c r="QK8" s="15"/>
      <c r="QL8" s="15"/>
      <c r="QM8" s="15"/>
      <c r="QN8" s="15"/>
      <c r="QO8" s="15"/>
      <c r="QP8" s="15"/>
      <c r="QQ8" s="15"/>
      <c r="QR8" s="15"/>
      <c r="QS8" s="15"/>
      <c r="QT8" s="15"/>
      <c r="QU8" s="15"/>
      <c r="QV8" s="15"/>
      <c r="QW8" s="15"/>
      <c r="QX8" s="15"/>
      <c r="QY8" s="15"/>
      <c r="QZ8" s="15"/>
      <c r="RA8" s="15"/>
      <c r="RB8" s="15"/>
      <c r="RC8" s="15"/>
      <c r="RD8" s="15"/>
      <c r="RE8" s="15"/>
      <c r="RF8" s="15"/>
      <c r="RG8" s="15"/>
      <c r="RH8" s="15"/>
      <c r="RI8" s="15"/>
      <c r="RJ8" s="15"/>
      <c r="RK8" s="15"/>
      <c r="RL8" s="15"/>
      <c r="RM8" s="15"/>
      <c r="RN8" s="15"/>
      <c r="RO8" s="15"/>
      <c r="RP8" s="15"/>
      <c r="RQ8" s="15"/>
      <c r="RR8" s="15"/>
      <c r="RS8" s="15"/>
      <c r="RT8" s="15"/>
      <c r="RU8" s="15"/>
      <c r="RV8" s="15"/>
      <c r="RW8" s="15"/>
      <c r="RX8" s="15"/>
      <c r="RY8" s="15"/>
      <c r="RZ8" s="15"/>
      <c r="SA8" s="15"/>
      <c r="SB8" s="15"/>
      <c r="SC8" s="15"/>
      <c r="SD8" s="15"/>
      <c r="SE8" s="15"/>
      <c r="SF8" s="15"/>
      <c r="SG8" s="15"/>
      <c r="SH8" s="15"/>
      <c r="SI8" s="15"/>
      <c r="SJ8" s="15"/>
      <c r="SK8" s="15"/>
      <c r="SL8" s="15"/>
      <c r="SM8" s="15"/>
      <c r="SN8" s="15"/>
      <c r="SO8" s="15"/>
      <c r="SP8" s="15"/>
      <c r="SQ8" s="15"/>
      <c r="SR8" s="15"/>
      <c r="SS8" s="15"/>
      <c r="ST8" s="15"/>
      <c r="SU8" s="15"/>
      <c r="SV8" s="15"/>
      <c r="SW8" s="15"/>
      <c r="SX8" s="15"/>
      <c r="SY8" s="15"/>
      <c r="SZ8" s="15"/>
      <c r="TA8" s="15"/>
      <c r="TB8" s="15"/>
      <c r="TC8" s="15"/>
      <c r="TD8" s="15"/>
      <c r="TE8" s="15"/>
      <c r="TF8" s="15"/>
      <c r="TG8" s="15"/>
      <c r="TH8" s="15"/>
      <c r="TI8" s="15"/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/>
      <c r="ALY8" s="15"/>
      <c r="ALZ8" s="15"/>
      <c r="AMA8" s="15"/>
      <c r="AMB8" s="15"/>
      <c r="AMC8" s="15"/>
      <c r="AMD8" s="15"/>
      <c r="AME8" s="15"/>
      <c r="AMF8" s="15"/>
      <c r="AMG8" s="15"/>
      <c r="AMH8" s="15"/>
      <c r="AMI8" s="15"/>
      <c r="AMJ8" s="15"/>
      <c r="AMK8" s="15"/>
      <c r="AML8" s="15"/>
      <c r="AMM8" s="15"/>
      <c r="AMN8" s="15"/>
      <c r="AMO8" s="15"/>
      <c r="AMP8" s="15"/>
      <c r="AMQ8" s="15"/>
      <c r="AMR8" s="15"/>
      <c r="AMS8" s="15"/>
      <c r="AMT8" s="15"/>
      <c r="AMU8" s="15"/>
      <c r="AMV8" s="15"/>
      <c r="AMW8" s="15"/>
      <c r="AMX8" s="15"/>
      <c r="AMY8" s="15"/>
      <c r="AMZ8" s="15"/>
      <c r="ANA8" s="15"/>
      <c r="ANB8" s="15"/>
      <c r="ANC8" s="15"/>
      <c r="AND8" s="15"/>
      <c r="ANE8" s="15"/>
      <c r="ANF8" s="15"/>
      <c r="ANG8" s="15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15"/>
      <c r="BEG8" s="15"/>
      <c r="BEH8" s="15"/>
      <c r="BEI8" s="15"/>
      <c r="BEJ8" s="15"/>
      <c r="BEK8" s="15"/>
      <c r="BEL8" s="15"/>
      <c r="BEM8" s="15"/>
      <c r="BEN8" s="15"/>
      <c r="BEO8" s="15"/>
      <c r="BEP8" s="15"/>
      <c r="BEQ8" s="15"/>
      <c r="BER8" s="15"/>
      <c r="BES8" s="15"/>
      <c r="BET8" s="15"/>
      <c r="BEU8" s="15"/>
      <c r="BEV8" s="15"/>
      <c r="BEW8" s="15"/>
      <c r="BEX8" s="15"/>
      <c r="BEY8" s="15"/>
      <c r="BEZ8" s="15"/>
      <c r="BFA8" s="15"/>
      <c r="BFB8" s="15"/>
      <c r="BFC8" s="15"/>
      <c r="BFD8" s="15"/>
      <c r="BFE8" s="15"/>
      <c r="BFF8" s="15"/>
      <c r="BFG8" s="15"/>
      <c r="BFH8" s="15"/>
      <c r="BFI8" s="15"/>
      <c r="BFJ8" s="15"/>
      <c r="BFK8" s="15"/>
      <c r="BFL8" s="15"/>
      <c r="BFM8" s="15"/>
      <c r="BFN8" s="15"/>
      <c r="BFO8" s="15"/>
      <c r="BFP8" s="15"/>
      <c r="BFQ8" s="15"/>
      <c r="BFR8" s="15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15"/>
      <c r="BXR8" s="15"/>
      <c r="BXS8" s="15"/>
      <c r="BXT8" s="15"/>
      <c r="BXU8" s="15"/>
      <c r="BXV8" s="15"/>
      <c r="BXW8" s="15"/>
      <c r="BXX8" s="15"/>
      <c r="BXY8" s="15"/>
      <c r="BXZ8" s="15"/>
      <c r="BYA8" s="15"/>
      <c r="BYB8" s="15"/>
      <c r="BYC8" s="15"/>
      <c r="BYD8" s="15"/>
      <c r="BYE8" s="15"/>
      <c r="BYF8" s="15"/>
      <c r="BYG8" s="15"/>
      <c r="BYH8" s="15"/>
      <c r="BYI8" s="15"/>
      <c r="BYJ8" s="15"/>
      <c r="BYK8" s="15"/>
      <c r="BYL8" s="15"/>
      <c r="BYM8" s="15"/>
      <c r="BYN8" s="15"/>
      <c r="BYO8" s="15"/>
      <c r="BYP8" s="15"/>
      <c r="BYQ8" s="15"/>
      <c r="BYR8" s="15"/>
      <c r="BYS8" s="15"/>
      <c r="BYT8" s="15"/>
      <c r="BYU8" s="15"/>
      <c r="BYV8" s="15"/>
      <c r="BYW8" s="15"/>
      <c r="BYX8" s="15"/>
      <c r="BYY8" s="15"/>
      <c r="BYZ8" s="15"/>
      <c r="BZA8" s="15"/>
      <c r="BZB8" s="15"/>
      <c r="BZC8" s="15"/>
      <c r="BZD8" s="15"/>
      <c r="BZE8" s="15"/>
      <c r="BZF8" s="15"/>
      <c r="BZG8" s="15"/>
      <c r="BZH8" s="15"/>
      <c r="BZI8" s="15"/>
      <c r="BZJ8" s="15"/>
      <c r="BZK8" s="15"/>
      <c r="BZL8" s="15"/>
      <c r="BZM8" s="15"/>
      <c r="BZN8" s="15"/>
      <c r="BZO8" s="15"/>
      <c r="BZP8" s="15"/>
      <c r="BZQ8" s="15"/>
      <c r="BZR8" s="15"/>
      <c r="BZS8" s="15"/>
      <c r="BZT8" s="15"/>
      <c r="BZU8" s="15"/>
      <c r="BZV8" s="15"/>
      <c r="BZW8" s="15"/>
      <c r="BZX8" s="15"/>
      <c r="BZY8" s="15"/>
      <c r="BZZ8" s="15"/>
      <c r="CAA8" s="15"/>
      <c r="CAB8" s="15"/>
      <c r="CAC8" s="15"/>
      <c r="CAD8" s="15"/>
      <c r="CAE8" s="15"/>
      <c r="CAF8" s="15"/>
      <c r="CAG8" s="15"/>
      <c r="CAH8" s="15"/>
      <c r="CAI8" s="15"/>
      <c r="CAJ8" s="15"/>
      <c r="CAK8" s="15"/>
      <c r="CAL8" s="15"/>
      <c r="CAM8" s="15"/>
      <c r="CAN8" s="15"/>
      <c r="CAO8" s="15"/>
      <c r="CAP8" s="15"/>
      <c r="CAQ8" s="15"/>
      <c r="CAR8" s="15"/>
      <c r="CAS8" s="15"/>
      <c r="CAT8" s="15"/>
      <c r="CAU8" s="15"/>
      <c r="CAV8" s="15"/>
      <c r="CAW8" s="15"/>
      <c r="CAX8" s="15"/>
      <c r="CAY8" s="15"/>
      <c r="CAZ8" s="15"/>
      <c r="CBA8" s="15"/>
      <c r="CBB8" s="15"/>
      <c r="CBC8" s="15"/>
      <c r="CBD8" s="15"/>
      <c r="CBE8" s="15"/>
      <c r="CBF8" s="15"/>
      <c r="CBG8" s="15"/>
      <c r="CBH8" s="15"/>
      <c r="CBI8" s="15"/>
      <c r="CBJ8" s="15"/>
      <c r="CBK8" s="15"/>
      <c r="CBL8" s="15"/>
      <c r="CBM8" s="15"/>
      <c r="CBN8" s="15"/>
      <c r="CBO8" s="15"/>
      <c r="CBP8" s="15"/>
      <c r="CBQ8" s="15"/>
      <c r="CBR8" s="15"/>
      <c r="CBS8" s="15"/>
      <c r="CBT8" s="15"/>
      <c r="CBU8" s="15"/>
      <c r="CBV8" s="15"/>
      <c r="CBW8" s="15"/>
      <c r="CBX8" s="15"/>
      <c r="CBY8" s="15"/>
      <c r="CBZ8" s="15"/>
      <c r="CCA8" s="15"/>
      <c r="CCB8" s="15"/>
      <c r="CCC8" s="15"/>
      <c r="CCD8" s="15"/>
      <c r="CCE8" s="15"/>
      <c r="CCF8" s="15"/>
      <c r="CCG8" s="15"/>
      <c r="CCH8" s="15"/>
      <c r="CCI8" s="15"/>
      <c r="CCJ8" s="15"/>
      <c r="CCK8" s="15"/>
      <c r="CCL8" s="15"/>
      <c r="CCM8" s="15"/>
      <c r="CCN8" s="15"/>
      <c r="CCO8" s="15"/>
      <c r="CCP8" s="15"/>
      <c r="CCQ8" s="15"/>
      <c r="CCR8" s="15"/>
      <c r="CCS8" s="15"/>
      <c r="CCT8" s="15"/>
      <c r="CCU8" s="15"/>
      <c r="CCV8" s="15"/>
      <c r="CCW8" s="15"/>
      <c r="CCX8" s="15"/>
      <c r="CCY8" s="15"/>
      <c r="CCZ8" s="15"/>
      <c r="CDA8" s="15"/>
      <c r="CDB8" s="15"/>
      <c r="CDC8" s="15"/>
      <c r="CDD8" s="15"/>
      <c r="CDE8" s="15"/>
      <c r="CDF8" s="15"/>
      <c r="CDG8" s="15"/>
      <c r="CDH8" s="15"/>
      <c r="CDI8" s="15"/>
      <c r="CDJ8" s="15"/>
      <c r="CDK8" s="15"/>
      <c r="CDL8" s="15"/>
      <c r="CDM8" s="15"/>
      <c r="CDN8" s="15"/>
      <c r="CDO8" s="15"/>
      <c r="CDP8" s="15"/>
      <c r="CDQ8" s="15"/>
      <c r="CDR8" s="15"/>
      <c r="CDS8" s="15"/>
      <c r="CDT8" s="15"/>
      <c r="CDU8" s="15"/>
      <c r="CDV8" s="15"/>
      <c r="CDW8" s="15"/>
      <c r="CDX8" s="15"/>
      <c r="CDY8" s="15"/>
      <c r="CDZ8" s="15"/>
      <c r="CEA8" s="15"/>
      <c r="CEB8" s="15"/>
      <c r="CEC8" s="15"/>
      <c r="CED8" s="15"/>
      <c r="CEE8" s="15"/>
      <c r="CEF8" s="15"/>
      <c r="CEG8" s="15"/>
      <c r="CEH8" s="15"/>
      <c r="CEI8" s="15"/>
      <c r="CEJ8" s="15"/>
      <c r="CEK8" s="15"/>
      <c r="CEL8" s="15"/>
      <c r="CEM8" s="15"/>
      <c r="CEN8" s="15"/>
      <c r="CEO8" s="15"/>
      <c r="CEP8" s="15"/>
      <c r="CEQ8" s="15"/>
      <c r="CER8" s="15"/>
      <c r="CES8" s="15"/>
      <c r="CET8" s="15"/>
      <c r="CEU8" s="15"/>
      <c r="CEV8" s="15"/>
      <c r="CEW8" s="15"/>
      <c r="CEX8" s="15"/>
      <c r="CEY8" s="15"/>
      <c r="CEZ8" s="15"/>
      <c r="CFA8" s="15"/>
      <c r="CFB8" s="15"/>
      <c r="CFC8" s="15"/>
      <c r="CFD8" s="15"/>
      <c r="CFE8" s="15"/>
      <c r="CFF8" s="15"/>
      <c r="CFG8" s="15"/>
      <c r="CFH8" s="15"/>
      <c r="CFI8" s="15"/>
      <c r="CFJ8" s="15"/>
      <c r="CFK8" s="15"/>
      <c r="CFL8" s="15"/>
      <c r="CFM8" s="15"/>
      <c r="CFN8" s="15"/>
      <c r="CFO8" s="15"/>
      <c r="CFP8" s="15"/>
      <c r="CFQ8" s="15"/>
      <c r="CFR8" s="15"/>
      <c r="CFS8" s="15"/>
      <c r="CFT8" s="15"/>
      <c r="CFU8" s="15"/>
      <c r="CFV8" s="15"/>
      <c r="CFW8" s="15"/>
      <c r="CFX8" s="15"/>
      <c r="CFY8" s="15"/>
      <c r="CFZ8" s="15"/>
      <c r="CGA8" s="15"/>
      <c r="CGB8" s="15"/>
      <c r="CGC8" s="15"/>
      <c r="CGD8" s="15"/>
      <c r="CGE8" s="15"/>
      <c r="CGF8" s="15"/>
      <c r="CGG8" s="15"/>
      <c r="CGH8" s="15"/>
      <c r="CGI8" s="15"/>
      <c r="CGJ8" s="15"/>
      <c r="CGK8" s="15"/>
      <c r="CGL8" s="15"/>
      <c r="CGM8" s="15"/>
      <c r="CGN8" s="15"/>
      <c r="CGO8" s="15"/>
      <c r="CGP8" s="15"/>
      <c r="CGQ8" s="15"/>
      <c r="CGR8" s="15"/>
      <c r="CGS8" s="15"/>
      <c r="CGT8" s="15"/>
      <c r="CGU8" s="15"/>
      <c r="CGV8" s="15"/>
      <c r="CGW8" s="15"/>
      <c r="CGX8" s="15"/>
      <c r="CGY8" s="15"/>
      <c r="CGZ8" s="15"/>
      <c r="CHA8" s="15"/>
      <c r="CHB8" s="15"/>
      <c r="CHC8" s="15"/>
      <c r="CHD8" s="15"/>
      <c r="CHE8" s="15"/>
      <c r="CHF8" s="15"/>
      <c r="CHG8" s="15"/>
      <c r="CHH8" s="15"/>
      <c r="CHI8" s="15"/>
      <c r="CHJ8" s="15"/>
      <c r="CHK8" s="15"/>
      <c r="CHL8" s="15"/>
      <c r="CHM8" s="15"/>
      <c r="CHN8" s="15"/>
      <c r="CHO8" s="15"/>
      <c r="CHP8" s="15"/>
      <c r="CHQ8" s="15"/>
      <c r="CHR8" s="15"/>
      <c r="CHS8" s="15"/>
      <c r="CHT8" s="15"/>
      <c r="CHU8" s="15"/>
      <c r="CHV8" s="15"/>
      <c r="CHW8" s="15"/>
      <c r="CHX8" s="15"/>
      <c r="CHY8" s="15"/>
      <c r="CHZ8" s="15"/>
      <c r="CIA8" s="15"/>
      <c r="CIB8" s="15"/>
      <c r="CIC8" s="15"/>
      <c r="CID8" s="15"/>
      <c r="CIE8" s="15"/>
      <c r="CIF8" s="15"/>
      <c r="CIG8" s="15"/>
      <c r="CIH8" s="15"/>
      <c r="CII8" s="15"/>
      <c r="CIJ8" s="15"/>
      <c r="CIK8" s="15"/>
      <c r="CIL8" s="15"/>
      <c r="CIM8" s="15"/>
      <c r="CIN8" s="15"/>
      <c r="CIO8" s="15"/>
      <c r="CIP8" s="15"/>
      <c r="CIQ8" s="15"/>
      <c r="CIR8" s="15"/>
      <c r="CIS8" s="15"/>
      <c r="CIT8" s="15"/>
      <c r="CIU8" s="15"/>
      <c r="CIV8" s="15"/>
      <c r="CIW8" s="15"/>
      <c r="CIX8" s="15"/>
      <c r="CIY8" s="15"/>
      <c r="CIZ8" s="15"/>
      <c r="CJA8" s="15"/>
      <c r="CJB8" s="15"/>
      <c r="CJC8" s="15"/>
      <c r="CJD8" s="15"/>
      <c r="CJE8" s="15"/>
      <c r="CJF8" s="15"/>
      <c r="CJG8" s="15"/>
      <c r="CJH8" s="15"/>
      <c r="CJI8" s="15"/>
      <c r="CJJ8" s="15"/>
      <c r="CJK8" s="15"/>
      <c r="CJL8" s="15"/>
      <c r="CJM8" s="15"/>
      <c r="CJN8" s="15"/>
      <c r="CJO8" s="15"/>
      <c r="CJP8" s="15"/>
      <c r="CJQ8" s="15"/>
      <c r="CJR8" s="15"/>
      <c r="CJS8" s="15"/>
      <c r="CJT8" s="15"/>
      <c r="CJU8" s="15"/>
      <c r="CJV8" s="15"/>
      <c r="CJW8" s="15"/>
      <c r="CJX8" s="15"/>
      <c r="CJY8" s="15"/>
      <c r="CJZ8" s="15"/>
      <c r="CKA8" s="15"/>
      <c r="CKB8" s="15"/>
      <c r="CKC8" s="15"/>
      <c r="CKD8" s="15"/>
      <c r="CKE8" s="15"/>
      <c r="CKF8" s="15"/>
      <c r="CKG8" s="15"/>
      <c r="CKH8" s="15"/>
      <c r="CKI8" s="15"/>
      <c r="CKJ8" s="15"/>
      <c r="CKK8" s="15"/>
      <c r="CKL8" s="15"/>
      <c r="CKM8" s="15"/>
      <c r="CKN8" s="15"/>
      <c r="CKO8" s="15"/>
      <c r="CKP8" s="15"/>
      <c r="CKQ8" s="15"/>
      <c r="CKR8" s="15"/>
      <c r="CKS8" s="15"/>
      <c r="CKT8" s="15"/>
      <c r="CKU8" s="15"/>
      <c r="CKV8" s="15"/>
      <c r="CKW8" s="15"/>
      <c r="CKX8" s="15"/>
      <c r="CKY8" s="15"/>
      <c r="CKZ8" s="15"/>
      <c r="CLA8" s="15"/>
      <c r="CLB8" s="15"/>
      <c r="CLC8" s="15"/>
      <c r="CLD8" s="15"/>
      <c r="CLE8" s="15"/>
      <c r="CLF8" s="15"/>
      <c r="CLG8" s="15"/>
      <c r="CLH8" s="15"/>
      <c r="CLI8" s="15"/>
      <c r="CLJ8" s="15"/>
      <c r="CLK8" s="15"/>
      <c r="CLL8" s="15"/>
      <c r="CLM8" s="15"/>
      <c r="CLN8" s="15"/>
      <c r="CLO8" s="15"/>
      <c r="CLP8" s="15"/>
      <c r="CLQ8" s="15"/>
      <c r="CLR8" s="15"/>
      <c r="CLS8" s="15"/>
      <c r="CLT8" s="15"/>
      <c r="CLU8" s="15"/>
      <c r="CLV8" s="15"/>
      <c r="CLW8" s="15"/>
      <c r="CLX8" s="15"/>
      <c r="CLY8" s="15"/>
      <c r="CLZ8" s="15"/>
      <c r="CMA8" s="15"/>
      <c r="CMB8" s="15"/>
      <c r="CMC8" s="15"/>
      <c r="CMD8" s="15"/>
      <c r="CME8" s="15"/>
      <c r="CMF8" s="15"/>
      <c r="CMG8" s="15"/>
      <c r="CMH8" s="15"/>
      <c r="CMI8" s="15"/>
      <c r="CMJ8" s="15"/>
      <c r="CMK8" s="15"/>
      <c r="CML8" s="15"/>
      <c r="CMM8" s="15"/>
      <c r="CMN8" s="15"/>
      <c r="CMO8" s="15"/>
      <c r="CMP8" s="15"/>
      <c r="CMQ8" s="15"/>
      <c r="CMR8" s="15"/>
      <c r="CMS8" s="15"/>
      <c r="CMT8" s="15"/>
      <c r="CMU8" s="15"/>
      <c r="CMV8" s="15"/>
      <c r="CMW8" s="15"/>
      <c r="CMX8" s="15"/>
      <c r="CMY8" s="15"/>
      <c r="CMZ8" s="15"/>
      <c r="CNA8" s="15"/>
      <c r="CNB8" s="15"/>
      <c r="CNC8" s="15"/>
      <c r="CND8" s="15"/>
      <c r="CNE8" s="15"/>
      <c r="CNF8" s="15"/>
      <c r="CNG8" s="15"/>
      <c r="CNH8" s="15"/>
      <c r="CNI8" s="15"/>
      <c r="CNJ8" s="15"/>
      <c r="CNK8" s="15"/>
      <c r="CNL8" s="15"/>
      <c r="CNM8" s="15"/>
      <c r="CNN8" s="15"/>
      <c r="CNO8" s="15"/>
      <c r="CNP8" s="15"/>
      <c r="CNQ8" s="15"/>
      <c r="CNR8" s="15"/>
      <c r="CNS8" s="15"/>
      <c r="CNT8" s="15"/>
      <c r="CNU8" s="15"/>
      <c r="CNV8" s="15"/>
      <c r="CNW8" s="15"/>
      <c r="CNX8" s="15"/>
      <c r="CNY8" s="15"/>
      <c r="CNZ8" s="15"/>
      <c r="COA8" s="15"/>
      <c r="COB8" s="15"/>
      <c r="COC8" s="15"/>
      <c r="COD8" s="15"/>
      <c r="COE8" s="15"/>
      <c r="COF8" s="15"/>
      <c r="COG8" s="15"/>
      <c r="COH8" s="15"/>
      <c r="COI8" s="15"/>
      <c r="COJ8" s="15"/>
      <c r="COK8" s="15"/>
      <c r="COL8" s="15"/>
      <c r="COM8" s="15"/>
      <c r="CON8" s="15"/>
      <c r="COO8" s="15"/>
      <c r="COP8" s="15"/>
      <c r="COQ8" s="15"/>
      <c r="COR8" s="15"/>
      <c r="COS8" s="15"/>
      <c r="COT8" s="15"/>
      <c r="COU8" s="15"/>
      <c r="COV8" s="15"/>
      <c r="COW8" s="15"/>
      <c r="COX8" s="15"/>
      <c r="COY8" s="15"/>
      <c r="COZ8" s="15"/>
      <c r="CPA8" s="15"/>
      <c r="CPB8" s="15"/>
      <c r="CPC8" s="15"/>
      <c r="CPD8" s="15"/>
      <c r="CPE8" s="15"/>
      <c r="CPF8" s="15"/>
      <c r="CPG8" s="15"/>
      <c r="CPH8" s="15"/>
      <c r="CPI8" s="15"/>
      <c r="CPJ8" s="15"/>
      <c r="CPK8" s="15"/>
      <c r="CPL8" s="15"/>
      <c r="CPM8" s="15"/>
      <c r="CPN8" s="15"/>
      <c r="CPO8" s="15"/>
      <c r="CPP8" s="15"/>
      <c r="CPQ8" s="15"/>
      <c r="CPR8" s="15"/>
      <c r="CPS8" s="15"/>
      <c r="CPT8" s="15"/>
      <c r="CPU8" s="15"/>
      <c r="CPV8" s="15"/>
      <c r="CPW8" s="15"/>
      <c r="CPX8" s="15"/>
      <c r="CPY8" s="15"/>
      <c r="CPZ8" s="15"/>
      <c r="CQA8" s="15"/>
      <c r="CQB8" s="15"/>
      <c r="CQC8" s="15"/>
      <c r="CQD8" s="15"/>
      <c r="CQE8" s="15"/>
      <c r="CQF8" s="15"/>
      <c r="CQG8" s="15"/>
      <c r="CQH8" s="15"/>
      <c r="CQI8" s="15"/>
      <c r="CQJ8" s="15"/>
      <c r="CQK8" s="15"/>
      <c r="CQL8" s="15"/>
      <c r="CQM8" s="15"/>
      <c r="CQN8" s="15"/>
      <c r="CQO8" s="15"/>
      <c r="CQP8" s="15"/>
      <c r="CQQ8" s="15"/>
      <c r="CQR8" s="15"/>
      <c r="CQS8" s="15"/>
      <c r="CQT8" s="15"/>
      <c r="CQU8" s="15"/>
      <c r="CQV8" s="15"/>
      <c r="CQW8" s="15"/>
      <c r="CQX8" s="15"/>
      <c r="CQY8" s="15"/>
      <c r="CQZ8" s="15"/>
      <c r="CRA8" s="15"/>
      <c r="CRB8" s="15"/>
      <c r="CRC8" s="15"/>
      <c r="CRD8" s="15"/>
      <c r="CRE8" s="15"/>
      <c r="CRF8" s="15"/>
      <c r="CRG8" s="15"/>
      <c r="CRH8" s="15"/>
      <c r="CRI8" s="15"/>
      <c r="CRJ8" s="15"/>
      <c r="CRK8" s="15"/>
      <c r="CRL8" s="15"/>
      <c r="CRM8" s="15"/>
      <c r="CRN8" s="15"/>
      <c r="CRO8" s="15"/>
      <c r="CRP8" s="15"/>
      <c r="CRQ8" s="15"/>
      <c r="CRR8" s="15"/>
      <c r="CRS8" s="15"/>
      <c r="CRT8" s="15"/>
      <c r="CRU8" s="15"/>
      <c r="CRV8" s="15"/>
      <c r="CRW8" s="15"/>
      <c r="CRX8" s="15"/>
      <c r="CRY8" s="15"/>
      <c r="CRZ8" s="15"/>
      <c r="CSA8" s="15"/>
      <c r="CSB8" s="15"/>
      <c r="CSC8" s="15"/>
      <c r="CSD8" s="15"/>
      <c r="CSE8" s="15"/>
      <c r="CSF8" s="15"/>
      <c r="CSG8" s="15"/>
      <c r="CSH8" s="15"/>
      <c r="CSI8" s="15"/>
      <c r="CSJ8" s="15"/>
      <c r="CSK8" s="15"/>
      <c r="CSL8" s="15"/>
      <c r="CSM8" s="15"/>
      <c r="CSN8" s="15"/>
      <c r="CSO8" s="15"/>
      <c r="CSP8" s="15"/>
      <c r="CSQ8" s="15"/>
      <c r="CSR8" s="15"/>
      <c r="CSS8" s="15"/>
      <c r="CST8" s="15"/>
      <c r="CSU8" s="15"/>
      <c r="CSV8" s="15"/>
      <c r="CSW8" s="15"/>
      <c r="CSX8" s="15"/>
      <c r="CSY8" s="15"/>
      <c r="CSZ8" s="15"/>
      <c r="CTA8" s="15"/>
      <c r="CTB8" s="15"/>
      <c r="CTC8" s="15"/>
      <c r="CTD8" s="15"/>
      <c r="CTE8" s="15"/>
      <c r="CTF8" s="15"/>
      <c r="CTG8" s="15"/>
      <c r="CTH8" s="15"/>
      <c r="CTI8" s="15"/>
      <c r="CTJ8" s="15"/>
      <c r="CTK8" s="15"/>
      <c r="CTL8" s="15"/>
      <c r="CTM8" s="15"/>
      <c r="CTN8" s="15"/>
      <c r="CTO8" s="15"/>
      <c r="CTP8" s="15"/>
      <c r="CTQ8" s="15"/>
      <c r="CTR8" s="15"/>
      <c r="CTS8" s="15"/>
      <c r="CTT8" s="15"/>
      <c r="CTU8" s="15"/>
      <c r="CTV8" s="15"/>
      <c r="CTW8" s="15"/>
      <c r="CTX8" s="15"/>
      <c r="CTY8" s="15"/>
      <c r="CTZ8" s="15"/>
      <c r="CUA8" s="15"/>
      <c r="CUB8" s="15"/>
      <c r="CUC8" s="15"/>
      <c r="CUD8" s="15"/>
      <c r="CUE8" s="15"/>
      <c r="CUF8" s="15"/>
      <c r="CUG8" s="15"/>
      <c r="CUH8" s="15"/>
      <c r="CUI8" s="15"/>
      <c r="CUJ8" s="15"/>
      <c r="CUK8" s="15"/>
      <c r="CUL8" s="15"/>
      <c r="CUM8" s="15"/>
      <c r="CUN8" s="15"/>
      <c r="CUO8" s="15"/>
      <c r="CUP8" s="15"/>
      <c r="CUQ8" s="15"/>
      <c r="CUR8" s="15"/>
      <c r="CUS8" s="15"/>
      <c r="CUT8" s="15"/>
      <c r="CUU8" s="15"/>
      <c r="CUV8" s="15"/>
      <c r="CUW8" s="15"/>
      <c r="CUX8" s="15"/>
      <c r="CUY8" s="15"/>
      <c r="CUZ8" s="15"/>
      <c r="CVA8" s="15"/>
      <c r="CVB8" s="15"/>
      <c r="CVC8" s="15"/>
      <c r="CVD8" s="15"/>
      <c r="CVE8" s="15"/>
      <c r="CVF8" s="15"/>
      <c r="CVG8" s="15"/>
      <c r="CVH8" s="15"/>
      <c r="CVI8" s="15"/>
      <c r="CVJ8" s="15"/>
      <c r="CVK8" s="15"/>
      <c r="CVL8" s="15"/>
      <c r="CVM8" s="15"/>
      <c r="CVN8" s="15"/>
      <c r="CVO8" s="15"/>
      <c r="CVP8" s="15"/>
      <c r="CVQ8" s="15"/>
      <c r="CVR8" s="15"/>
      <c r="CVS8" s="15"/>
      <c r="CVT8" s="15"/>
      <c r="CVU8" s="15"/>
      <c r="CVV8" s="15"/>
      <c r="CVW8" s="15"/>
      <c r="CVX8" s="15"/>
      <c r="CVY8" s="15"/>
      <c r="CVZ8" s="15"/>
      <c r="CWA8" s="15"/>
      <c r="CWB8" s="15"/>
      <c r="CWC8" s="15"/>
      <c r="CWD8" s="15"/>
      <c r="CWE8" s="15"/>
      <c r="CWF8" s="15"/>
      <c r="CWG8" s="15"/>
      <c r="CWH8" s="15"/>
      <c r="CWI8" s="15"/>
      <c r="CWJ8" s="15"/>
      <c r="CWK8" s="15"/>
      <c r="CWL8" s="15"/>
      <c r="CWM8" s="15"/>
      <c r="CWN8" s="15"/>
      <c r="CWO8" s="15"/>
      <c r="CWP8" s="15"/>
      <c r="CWQ8" s="15"/>
      <c r="CWR8" s="15"/>
      <c r="CWS8" s="15"/>
      <c r="CWT8" s="15"/>
      <c r="CWU8" s="15"/>
      <c r="CWV8" s="15"/>
      <c r="CWW8" s="15"/>
      <c r="CWX8" s="15"/>
      <c r="CWY8" s="15"/>
      <c r="CWZ8" s="15"/>
      <c r="CXA8" s="15"/>
      <c r="CXB8" s="15"/>
      <c r="CXC8" s="15"/>
      <c r="CXD8" s="15"/>
      <c r="CXE8" s="15"/>
      <c r="CXF8" s="15"/>
      <c r="CXG8" s="15"/>
      <c r="CXH8" s="15"/>
      <c r="CXI8" s="15"/>
      <c r="CXJ8" s="15"/>
      <c r="CXK8" s="15"/>
      <c r="CXL8" s="15"/>
      <c r="CXM8" s="15"/>
      <c r="CXN8" s="15"/>
      <c r="CXO8" s="15"/>
      <c r="CXP8" s="15"/>
      <c r="CXQ8" s="15"/>
      <c r="CXR8" s="15"/>
      <c r="CXS8" s="15"/>
      <c r="CXT8" s="15"/>
      <c r="CXU8" s="15"/>
      <c r="CXV8" s="15"/>
      <c r="CXW8" s="15"/>
      <c r="CXX8" s="15"/>
      <c r="CXY8" s="15"/>
      <c r="CXZ8" s="15"/>
      <c r="CYA8" s="15"/>
      <c r="CYB8" s="15"/>
      <c r="CYC8" s="15"/>
      <c r="CYD8" s="15"/>
      <c r="CYE8" s="15"/>
      <c r="CYF8" s="15"/>
      <c r="CYG8" s="15"/>
      <c r="CYH8" s="15"/>
      <c r="CYI8" s="15"/>
      <c r="CYJ8" s="15"/>
      <c r="CYK8" s="15"/>
      <c r="CYL8" s="15"/>
      <c r="CYM8" s="15"/>
      <c r="CYN8" s="15"/>
      <c r="CYO8" s="15"/>
      <c r="CYP8" s="15"/>
      <c r="CYQ8" s="15"/>
      <c r="CYR8" s="15"/>
      <c r="CYS8" s="15"/>
      <c r="CYT8" s="15"/>
      <c r="CYU8" s="15"/>
      <c r="CYV8" s="15"/>
      <c r="CYW8" s="15"/>
      <c r="CYX8" s="15"/>
      <c r="CYY8" s="15"/>
      <c r="CYZ8" s="15"/>
      <c r="CZA8" s="15"/>
      <c r="CZB8" s="15"/>
      <c r="CZC8" s="15"/>
      <c r="CZD8" s="15"/>
      <c r="CZE8" s="15"/>
      <c r="CZF8" s="15"/>
      <c r="CZG8" s="15"/>
      <c r="CZH8" s="15"/>
      <c r="CZI8" s="15"/>
      <c r="CZJ8" s="15"/>
      <c r="CZK8" s="15"/>
      <c r="CZL8" s="15"/>
      <c r="CZM8" s="15"/>
      <c r="CZN8" s="15"/>
      <c r="CZO8" s="15"/>
      <c r="CZP8" s="15"/>
      <c r="CZQ8" s="15"/>
      <c r="CZR8" s="15"/>
      <c r="CZS8" s="15"/>
      <c r="CZT8" s="15"/>
      <c r="CZU8" s="15"/>
      <c r="CZV8" s="15"/>
      <c r="CZW8" s="15"/>
      <c r="CZX8" s="15"/>
      <c r="CZY8" s="15"/>
      <c r="CZZ8" s="15"/>
      <c r="DAA8" s="15"/>
      <c r="DAB8" s="15"/>
      <c r="DAC8" s="15"/>
      <c r="DAD8" s="15"/>
      <c r="DAE8" s="15"/>
      <c r="DAF8" s="15"/>
      <c r="DAG8" s="15"/>
      <c r="DAH8" s="15"/>
      <c r="DAI8" s="15"/>
      <c r="DAJ8" s="15"/>
      <c r="DAK8" s="15"/>
      <c r="DAL8" s="15"/>
      <c r="DAM8" s="15"/>
      <c r="DAN8" s="15"/>
      <c r="DAO8" s="15"/>
      <c r="DAP8" s="15"/>
      <c r="DAQ8" s="15"/>
      <c r="DAR8" s="15"/>
      <c r="DAS8" s="15"/>
      <c r="DAT8" s="15"/>
      <c r="DAU8" s="15"/>
      <c r="DAV8" s="15"/>
      <c r="DAW8" s="15"/>
      <c r="DAX8" s="15"/>
      <c r="DAY8" s="15"/>
      <c r="DAZ8" s="15"/>
      <c r="DBA8" s="15"/>
      <c r="DBB8" s="15"/>
      <c r="DBC8" s="15"/>
      <c r="DBD8" s="15"/>
      <c r="DBE8" s="15"/>
      <c r="DBF8" s="15"/>
      <c r="DBG8" s="15"/>
      <c r="DBH8" s="15"/>
      <c r="DBI8" s="15"/>
      <c r="DBJ8" s="15"/>
      <c r="DBK8" s="15"/>
      <c r="DBL8" s="15"/>
      <c r="DBM8" s="15"/>
      <c r="DBN8" s="15"/>
      <c r="DBO8" s="15"/>
      <c r="DBP8" s="15"/>
      <c r="DBQ8" s="15"/>
      <c r="DBR8" s="15"/>
      <c r="DBS8" s="15"/>
      <c r="DBT8" s="15"/>
      <c r="DBU8" s="15"/>
      <c r="DBV8" s="15"/>
      <c r="DBW8" s="15"/>
      <c r="DBX8" s="15"/>
      <c r="DBY8" s="15"/>
      <c r="DBZ8" s="15"/>
      <c r="DCA8" s="15"/>
      <c r="DCB8" s="15"/>
      <c r="DCC8" s="15"/>
      <c r="DCD8" s="15"/>
      <c r="DCE8" s="15"/>
      <c r="DCF8" s="15"/>
      <c r="DCG8" s="15"/>
      <c r="DCH8" s="15"/>
      <c r="DCI8" s="15"/>
      <c r="DCJ8" s="15"/>
      <c r="DCK8" s="15"/>
      <c r="DCL8" s="15"/>
      <c r="DCM8" s="15"/>
      <c r="DCN8" s="15"/>
      <c r="DCO8" s="15"/>
      <c r="DCP8" s="15"/>
      <c r="DCQ8" s="15"/>
      <c r="DCR8" s="15"/>
      <c r="DCS8" s="15"/>
      <c r="DCT8" s="15"/>
      <c r="DCU8" s="15"/>
      <c r="DCV8" s="15"/>
      <c r="DCW8" s="15"/>
      <c r="DCX8" s="15"/>
      <c r="DCY8" s="15"/>
      <c r="DCZ8" s="15"/>
      <c r="DDA8" s="15"/>
      <c r="DDB8" s="15"/>
      <c r="DDC8" s="15"/>
      <c r="DDD8" s="15"/>
      <c r="DDE8" s="15"/>
      <c r="DDF8" s="15"/>
      <c r="DDG8" s="15"/>
      <c r="DDH8" s="15"/>
      <c r="DDI8" s="15"/>
      <c r="DDJ8" s="15"/>
      <c r="DDK8" s="15"/>
      <c r="DDL8" s="15"/>
      <c r="DDM8" s="15"/>
      <c r="DDN8" s="15"/>
      <c r="DDO8" s="15"/>
      <c r="DDP8" s="15"/>
      <c r="DDQ8" s="15"/>
      <c r="DDR8" s="15"/>
      <c r="DDS8" s="15"/>
      <c r="DDT8" s="15"/>
      <c r="DDU8" s="15"/>
      <c r="DDV8" s="15"/>
      <c r="DDW8" s="15"/>
      <c r="DDX8" s="15"/>
      <c r="DDY8" s="15"/>
      <c r="DDZ8" s="15"/>
      <c r="DEA8" s="15"/>
      <c r="DEB8" s="15"/>
      <c r="DEC8" s="15"/>
      <c r="DED8" s="15"/>
      <c r="DEE8" s="15"/>
      <c r="DEF8" s="15"/>
      <c r="DEG8" s="15"/>
      <c r="DEH8" s="15"/>
      <c r="DEI8" s="15"/>
      <c r="DEJ8" s="15"/>
      <c r="DEK8" s="15"/>
      <c r="DEL8" s="15"/>
      <c r="DEM8" s="15"/>
      <c r="DEN8" s="15"/>
      <c r="DEO8" s="15"/>
      <c r="DEP8" s="15"/>
      <c r="DEQ8" s="15"/>
      <c r="DER8" s="15"/>
      <c r="DES8" s="15"/>
      <c r="DET8" s="15"/>
      <c r="DEU8" s="15"/>
      <c r="DEV8" s="15"/>
      <c r="DEW8" s="15"/>
      <c r="DEX8" s="15"/>
      <c r="DEY8" s="15"/>
      <c r="DEZ8" s="15"/>
      <c r="DFA8" s="15"/>
      <c r="DFB8" s="15"/>
      <c r="DFC8" s="15"/>
      <c r="DFD8" s="15"/>
      <c r="DFE8" s="15"/>
      <c r="DFF8" s="15"/>
      <c r="DFG8" s="15"/>
      <c r="DFH8" s="15"/>
      <c r="DFI8" s="15"/>
      <c r="DFJ8" s="15"/>
      <c r="DFK8" s="15"/>
      <c r="DFL8" s="15"/>
      <c r="DFM8" s="15"/>
      <c r="DFN8" s="15"/>
      <c r="DFO8" s="15"/>
      <c r="DFP8" s="15"/>
      <c r="DFQ8" s="15"/>
      <c r="DFR8" s="15"/>
      <c r="DFS8" s="15"/>
      <c r="DFT8" s="15"/>
      <c r="DFU8" s="15"/>
      <c r="DFV8" s="15"/>
      <c r="DFW8" s="15"/>
      <c r="DFX8" s="15"/>
      <c r="DFY8" s="15"/>
      <c r="DFZ8" s="15"/>
      <c r="DGA8" s="15"/>
      <c r="DGB8" s="15"/>
      <c r="DGC8" s="15"/>
      <c r="DGD8" s="15"/>
      <c r="DGE8" s="15"/>
      <c r="DGF8" s="15"/>
      <c r="DGG8" s="15"/>
      <c r="DGH8" s="15"/>
      <c r="DGI8" s="15"/>
      <c r="DGJ8" s="15"/>
      <c r="DGK8" s="15"/>
      <c r="DGL8" s="15"/>
      <c r="DGM8" s="15"/>
      <c r="DGN8" s="15"/>
      <c r="DGO8" s="15"/>
      <c r="DGP8" s="15"/>
      <c r="DGQ8" s="15"/>
      <c r="DGR8" s="15"/>
      <c r="DGS8" s="15"/>
      <c r="DGT8" s="15"/>
      <c r="DGU8" s="15"/>
      <c r="DGV8" s="15"/>
      <c r="DGW8" s="15"/>
      <c r="DGX8" s="15"/>
      <c r="DGY8" s="15"/>
      <c r="DGZ8" s="15"/>
      <c r="DHA8" s="15"/>
      <c r="DHB8" s="15"/>
      <c r="DHC8" s="15"/>
      <c r="DHD8" s="15"/>
      <c r="DHE8" s="15"/>
      <c r="DHF8" s="15"/>
      <c r="DHG8" s="15"/>
      <c r="DHH8" s="15"/>
      <c r="DHI8" s="15"/>
      <c r="DHJ8" s="15"/>
      <c r="DHK8" s="15"/>
      <c r="DHL8" s="15"/>
      <c r="DHM8" s="15"/>
      <c r="DHN8" s="15"/>
      <c r="DHO8" s="15"/>
      <c r="DHP8" s="15"/>
      <c r="DHQ8" s="15"/>
      <c r="DHR8" s="15"/>
      <c r="DHS8" s="15"/>
      <c r="DHT8" s="15"/>
      <c r="DHU8" s="15"/>
      <c r="DHV8" s="15"/>
      <c r="DHW8" s="15"/>
      <c r="DHX8" s="15"/>
      <c r="DHY8" s="15"/>
      <c r="DHZ8" s="15"/>
      <c r="DIA8" s="15"/>
      <c r="DIB8" s="15"/>
      <c r="DIC8" s="15"/>
      <c r="DID8" s="15"/>
      <c r="DIE8" s="15"/>
      <c r="DIF8" s="15"/>
      <c r="DIG8" s="15"/>
      <c r="DIH8" s="15"/>
      <c r="DII8" s="15"/>
      <c r="DIJ8" s="15"/>
      <c r="DIK8" s="15"/>
      <c r="DIL8" s="15"/>
      <c r="DIM8" s="15"/>
      <c r="DIN8" s="15"/>
      <c r="DIO8" s="15"/>
      <c r="DIP8" s="15"/>
      <c r="DIQ8" s="15"/>
      <c r="DIR8" s="15"/>
      <c r="DIS8" s="15"/>
      <c r="DIT8" s="15"/>
      <c r="DIU8" s="15"/>
      <c r="DIV8" s="15"/>
      <c r="DIW8" s="15"/>
      <c r="DIX8" s="15"/>
      <c r="DIY8" s="15"/>
      <c r="DIZ8" s="15"/>
      <c r="DJA8" s="15"/>
      <c r="DJB8" s="15"/>
      <c r="DJC8" s="15"/>
      <c r="DJD8" s="15"/>
      <c r="DJE8" s="15"/>
      <c r="DJF8" s="15"/>
      <c r="DJG8" s="15"/>
      <c r="DJH8" s="15"/>
      <c r="DJI8" s="15"/>
      <c r="DJJ8" s="15"/>
      <c r="DJK8" s="15"/>
      <c r="DJL8" s="15"/>
      <c r="DJM8" s="15"/>
      <c r="DJN8" s="15"/>
      <c r="DJO8" s="15"/>
      <c r="DJP8" s="15"/>
      <c r="DJQ8" s="15"/>
      <c r="DJR8" s="15"/>
      <c r="DJS8" s="15"/>
      <c r="DJT8" s="15"/>
      <c r="DJU8" s="15"/>
      <c r="DJV8" s="15"/>
      <c r="DJW8" s="15"/>
      <c r="DJX8" s="15"/>
      <c r="DJY8" s="15"/>
      <c r="DJZ8" s="15"/>
      <c r="DKA8" s="15"/>
      <c r="DKB8" s="15"/>
      <c r="DKC8" s="15"/>
      <c r="DKD8" s="15"/>
      <c r="DKE8" s="15"/>
      <c r="DKF8" s="15"/>
      <c r="DKG8" s="15"/>
      <c r="DKH8" s="15"/>
      <c r="DKI8" s="15"/>
      <c r="DKJ8" s="15"/>
      <c r="DKK8" s="15"/>
      <c r="DKL8" s="15"/>
      <c r="DKM8" s="15"/>
      <c r="DKN8" s="15"/>
      <c r="DKO8" s="15"/>
      <c r="DKP8" s="15"/>
      <c r="DKQ8" s="15"/>
      <c r="DKR8" s="15"/>
      <c r="DKS8" s="15"/>
      <c r="DKT8" s="15"/>
      <c r="DKU8" s="15"/>
      <c r="DKV8" s="15"/>
      <c r="DKW8" s="15"/>
      <c r="DKX8" s="15"/>
      <c r="DKY8" s="15"/>
      <c r="DKZ8" s="15"/>
      <c r="DLA8" s="15"/>
      <c r="DLB8" s="15"/>
      <c r="DLC8" s="15"/>
      <c r="DLD8" s="15"/>
      <c r="DLE8" s="15"/>
      <c r="DLF8" s="15"/>
      <c r="DLG8" s="15"/>
      <c r="DLH8" s="15"/>
      <c r="DLI8" s="15"/>
      <c r="DLJ8" s="15"/>
      <c r="DLK8" s="15"/>
      <c r="DLL8" s="15"/>
      <c r="DLM8" s="15"/>
      <c r="DLN8" s="15"/>
      <c r="DLO8" s="15"/>
      <c r="DLP8" s="15"/>
      <c r="DLQ8" s="15"/>
      <c r="DLR8" s="15"/>
      <c r="DLS8" s="15"/>
      <c r="DLT8" s="15"/>
      <c r="DLU8" s="15"/>
      <c r="DLV8" s="15"/>
      <c r="DLW8" s="15"/>
      <c r="DLX8" s="15"/>
      <c r="DLY8" s="15"/>
      <c r="DLZ8" s="15"/>
      <c r="DMA8" s="15"/>
      <c r="DMB8" s="15"/>
      <c r="DMC8" s="15"/>
      <c r="DMD8" s="15"/>
      <c r="DME8" s="15"/>
      <c r="DMF8" s="15"/>
      <c r="DMG8" s="15"/>
      <c r="DMH8" s="15"/>
      <c r="DMI8" s="15"/>
      <c r="DMJ8" s="15"/>
      <c r="DMK8" s="15"/>
      <c r="DML8" s="15"/>
      <c r="DMM8" s="15"/>
      <c r="DMN8" s="15"/>
      <c r="DMO8" s="15"/>
      <c r="DMP8" s="15"/>
      <c r="DMQ8" s="15"/>
      <c r="DMR8" s="15"/>
      <c r="DMS8" s="15"/>
      <c r="DMT8" s="15"/>
      <c r="DMU8" s="15"/>
      <c r="DMV8" s="15"/>
      <c r="DMW8" s="15"/>
      <c r="DMX8" s="15"/>
      <c r="DMY8" s="15"/>
      <c r="DMZ8" s="15"/>
      <c r="DNA8" s="15"/>
      <c r="DNB8" s="15"/>
      <c r="DNC8" s="15"/>
      <c r="DND8" s="15"/>
      <c r="DNE8" s="15"/>
      <c r="DNF8" s="15"/>
      <c r="DNG8" s="15"/>
      <c r="DNH8" s="15"/>
      <c r="DNI8" s="15"/>
      <c r="DNJ8" s="15"/>
      <c r="DNK8" s="15"/>
      <c r="DNL8" s="15"/>
      <c r="DNM8" s="15"/>
      <c r="DNN8" s="15"/>
      <c r="DNO8" s="15"/>
      <c r="DNP8" s="15"/>
      <c r="DNQ8" s="15"/>
      <c r="DNR8" s="15"/>
      <c r="DNS8" s="15"/>
      <c r="DNT8" s="15"/>
      <c r="DNU8" s="15"/>
      <c r="DNV8" s="15"/>
      <c r="DNW8" s="15"/>
      <c r="DNX8" s="15"/>
      <c r="DNY8" s="15"/>
      <c r="DNZ8" s="15"/>
      <c r="DOA8" s="15"/>
      <c r="DOB8" s="15"/>
      <c r="DOC8" s="15"/>
      <c r="DOD8" s="15"/>
      <c r="DOE8" s="15"/>
      <c r="DOF8" s="15"/>
      <c r="DOG8" s="15"/>
      <c r="DOH8" s="15"/>
      <c r="DOI8" s="15"/>
      <c r="DOJ8" s="15"/>
      <c r="DOK8" s="15"/>
      <c r="DOL8" s="15"/>
      <c r="DOM8" s="15"/>
      <c r="DON8" s="15"/>
      <c r="DOO8" s="15"/>
      <c r="DOP8" s="15"/>
      <c r="DOQ8" s="15"/>
      <c r="DOR8" s="15"/>
      <c r="DOS8" s="15"/>
      <c r="DOT8" s="15"/>
      <c r="DOU8" s="15"/>
      <c r="DOV8" s="15"/>
      <c r="DOW8" s="15"/>
      <c r="DOX8" s="15"/>
      <c r="DOY8" s="15"/>
      <c r="DOZ8" s="15"/>
      <c r="DPA8" s="15"/>
      <c r="DPB8" s="15"/>
      <c r="DPC8" s="15"/>
      <c r="DPD8" s="15"/>
      <c r="DPE8" s="15"/>
      <c r="DPF8" s="15"/>
      <c r="DPG8" s="15"/>
      <c r="DPH8" s="15"/>
      <c r="DPI8" s="15"/>
      <c r="DPJ8" s="15"/>
      <c r="DPK8" s="15"/>
      <c r="DPL8" s="15"/>
      <c r="DPM8" s="15"/>
      <c r="DPN8" s="15"/>
      <c r="DPO8" s="15"/>
      <c r="DPP8" s="15"/>
      <c r="DPQ8" s="15"/>
      <c r="DPR8" s="15"/>
      <c r="DPS8" s="15"/>
      <c r="DPT8" s="15"/>
      <c r="DPU8" s="15"/>
      <c r="DPV8" s="15"/>
      <c r="DPW8" s="15"/>
      <c r="DPX8" s="15"/>
      <c r="DPY8" s="15"/>
      <c r="DPZ8" s="15"/>
      <c r="DQA8" s="15"/>
      <c r="DQB8" s="15"/>
      <c r="DQC8" s="15"/>
      <c r="DQD8" s="15"/>
      <c r="DQE8" s="15"/>
      <c r="DQF8" s="15"/>
      <c r="DQG8" s="15"/>
      <c r="DQH8" s="15"/>
      <c r="DQI8" s="15"/>
      <c r="DQJ8" s="15"/>
      <c r="DQK8" s="15"/>
      <c r="DQL8" s="15"/>
      <c r="DQM8" s="15"/>
      <c r="DQN8" s="15"/>
      <c r="DQO8" s="15"/>
      <c r="DQP8" s="15"/>
      <c r="DQQ8" s="15"/>
      <c r="DQR8" s="15"/>
      <c r="DQS8" s="15"/>
      <c r="DQT8" s="15"/>
      <c r="DQU8" s="15"/>
      <c r="DQV8" s="15"/>
      <c r="DQW8" s="15"/>
      <c r="DQX8" s="15"/>
      <c r="DQY8" s="15"/>
      <c r="DQZ8" s="15"/>
      <c r="DRA8" s="15"/>
      <c r="DRB8" s="15"/>
      <c r="DRC8" s="15"/>
      <c r="DRD8" s="15"/>
      <c r="DRE8" s="15"/>
      <c r="DRF8" s="15"/>
      <c r="DRG8" s="15"/>
      <c r="DRH8" s="15"/>
      <c r="DRI8" s="15"/>
      <c r="DRJ8" s="15"/>
      <c r="DRK8" s="15"/>
      <c r="DRL8" s="15"/>
      <c r="DRM8" s="15"/>
      <c r="DRN8" s="15"/>
      <c r="DRO8" s="15"/>
      <c r="DRP8" s="15"/>
      <c r="DRQ8" s="15"/>
      <c r="DRR8" s="15"/>
      <c r="DRS8" s="15"/>
      <c r="DRT8" s="15"/>
      <c r="DRU8" s="15"/>
      <c r="DRV8" s="15"/>
      <c r="DRW8" s="15"/>
      <c r="DRX8" s="15"/>
      <c r="DRY8" s="15"/>
      <c r="DRZ8" s="15"/>
      <c r="DSA8" s="15"/>
      <c r="DSB8" s="15"/>
      <c r="DSC8" s="15"/>
      <c r="DSD8" s="15"/>
      <c r="DSE8" s="15"/>
      <c r="DSF8" s="15"/>
      <c r="DSG8" s="15"/>
      <c r="DSH8" s="15"/>
      <c r="DSI8" s="15"/>
      <c r="DSJ8" s="15"/>
      <c r="DSK8" s="15"/>
      <c r="DSL8" s="15"/>
      <c r="DSM8" s="15"/>
      <c r="DSN8" s="15"/>
      <c r="DSO8" s="15"/>
      <c r="DSP8" s="15"/>
      <c r="DSQ8" s="15"/>
      <c r="DSR8" s="15"/>
      <c r="DSS8" s="15"/>
      <c r="DST8" s="15"/>
      <c r="DSU8" s="15"/>
      <c r="DSV8" s="15"/>
      <c r="DSW8" s="15"/>
      <c r="DSX8" s="15"/>
      <c r="DSY8" s="15"/>
      <c r="DSZ8" s="15"/>
      <c r="DTA8" s="15"/>
      <c r="DTB8" s="15"/>
      <c r="DTC8" s="15"/>
      <c r="DTD8" s="15"/>
      <c r="DTE8" s="15"/>
      <c r="DTF8" s="15"/>
      <c r="DTG8" s="15"/>
      <c r="DTH8" s="15"/>
      <c r="DTI8" s="15"/>
      <c r="DTJ8" s="15"/>
      <c r="DTK8" s="15"/>
      <c r="DTL8" s="15"/>
      <c r="DTM8" s="15"/>
      <c r="DTN8" s="15"/>
      <c r="DTO8" s="15"/>
      <c r="DTP8" s="15"/>
      <c r="DTQ8" s="15"/>
      <c r="DTR8" s="15"/>
      <c r="DTS8" s="15"/>
      <c r="DTT8" s="15"/>
      <c r="DTU8" s="15"/>
      <c r="DTV8" s="15"/>
      <c r="DTW8" s="15"/>
      <c r="DTX8" s="15"/>
      <c r="DTY8" s="15"/>
      <c r="DTZ8" s="15"/>
      <c r="DUA8" s="15"/>
      <c r="DUB8" s="15"/>
      <c r="DUC8" s="15"/>
      <c r="DUD8" s="15"/>
      <c r="DUE8" s="15"/>
      <c r="DUF8" s="15"/>
      <c r="DUG8" s="15"/>
      <c r="DUH8" s="15"/>
      <c r="DUI8" s="15"/>
      <c r="DUJ8" s="15"/>
      <c r="DUK8" s="15"/>
      <c r="DUL8" s="15"/>
      <c r="DUM8" s="15"/>
      <c r="DUN8" s="15"/>
      <c r="DUO8" s="15"/>
      <c r="DUP8" s="15"/>
      <c r="DUQ8" s="15"/>
      <c r="DUR8" s="15"/>
      <c r="DUS8" s="15"/>
      <c r="DUT8" s="15"/>
      <c r="DUU8" s="15"/>
      <c r="DUV8" s="15"/>
      <c r="DUW8" s="15"/>
      <c r="DUX8" s="15"/>
      <c r="DUY8" s="15"/>
      <c r="DUZ8" s="15"/>
      <c r="DVA8" s="15"/>
      <c r="DVB8" s="15"/>
      <c r="DVC8" s="15"/>
      <c r="DVD8" s="15"/>
      <c r="DVE8" s="15"/>
      <c r="DVF8" s="15"/>
      <c r="DVG8" s="15"/>
      <c r="DVH8" s="15"/>
      <c r="DVI8" s="15"/>
      <c r="DVJ8" s="15"/>
      <c r="DVK8" s="15"/>
      <c r="DVL8" s="15"/>
      <c r="DVM8" s="15"/>
      <c r="DVN8" s="15"/>
      <c r="DVO8" s="15"/>
      <c r="DVP8" s="15"/>
      <c r="DVQ8" s="15"/>
      <c r="DVR8" s="15"/>
      <c r="DVS8" s="15"/>
      <c r="DVT8" s="15"/>
      <c r="DVU8" s="15"/>
      <c r="DVV8" s="15"/>
      <c r="DVW8" s="15"/>
      <c r="DVX8" s="15"/>
      <c r="DVY8" s="15"/>
      <c r="DVZ8" s="15"/>
      <c r="DWA8" s="15"/>
      <c r="DWB8" s="15"/>
      <c r="DWC8" s="15"/>
      <c r="DWD8" s="15"/>
      <c r="DWE8" s="15"/>
      <c r="DWF8" s="15"/>
      <c r="DWG8" s="15"/>
      <c r="DWH8" s="15"/>
      <c r="DWI8" s="15"/>
      <c r="DWJ8" s="15"/>
      <c r="DWK8" s="15"/>
      <c r="DWL8" s="15"/>
      <c r="DWM8" s="15"/>
      <c r="DWN8" s="15"/>
      <c r="DWO8" s="15"/>
      <c r="DWP8" s="15"/>
      <c r="DWQ8" s="15"/>
      <c r="DWR8" s="15"/>
      <c r="DWS8" s="15"/>
      <c r="DWT8" s="15"/>
      <c r="DWU8" s="15"/>
      <c r="DWV8" s="15"/>
      <c r="DWW8" s="15"/>
      <c r="DWX8" s="15"/>
      <c r="DWY8" s="15"/>
      <c r="DWZ8" s="15"/>
      <c r="DXA8" s="15"/>
      <c r="DXB8" s="15"/>
      <c r="DXC8" s="15"/>
      <c r="DXD8" s="15"/>
      <c r="DXE8" s="15"/>
      <c r="DXF8" s="15"/>
      <c r="DXG8" s="15"/>
      <c r="DXH8" s="15"/>
      <c r="DXI8" s="15"/>
      <c r="DXJ8" s="15"/>
      <c r="DXK8" s="15"/>
      <c r="DXL8" s="15"/>
      <c r="DXM8" s="15"/>
      <c r="DXN8" s="15"/>
      <c r="DXO8" s="15"/>
      <c r="DXP8" s="15"/>
      <c r="DXQ8" s="15"/>
      <c r="DXR8" s="15"/>
      <c r="DXS8" s="15"/>
      <c r="DXT8" s="15"/>
      <c r="DXU8" s="15"/>
      <c r="DXV8" s="15"/>
      <c r="DXW8" s="15"/>
      <c r="DXX8" s="15"/>
      <c r="DXY8" s="15"/>
      <c r="DXZ8" s="15"/>
      <c r="DYA8" s="15"/>
      <c r="DYB8" s="15"/>
      <c r="DYC8" s="15"/>
      <c r="DYD8" s="15"/>
      <c r="DYE8" s="15"/>
      <c r="DYF8" s="15"/>
      <c r="DYG8" s="15"/>
      <c r="DYH8" s="15"/>
      <c r="DYI8" s="15"/>
      <c r="DYJ8" s="15"/>
      <c r="DYK8" s="15"/>
      <c r="DYL8" s="15"/>
      <c r="DYM8" s="15"/>
      <c r="DYN8" s="15"/>
      <c r="DYO8" s="15"/>
      <c r="DYP8" s="15"/>
      <c r="DYQ8" s="15"/>
      <c r="DYR8" s="15"/>
      <c r="DYS8" s="15"/>
      <c r="DYT8" s="15"/>
      <c r="DYU8" s="15"/>
      <c r="DYV8" s="15"/>
      <c r="DYW8" s="15"/>
      <c r="DYX8" s="15"/>
      <c r="DYY8" s="15"/>
      <c r="DYZ8" s="15"/>
      <c r="DZA8" s="15"/>
      <c r="DZB8" s="15"/>
      <c r="DZC8" s="15"/>
      <c r="DZD8" s="15"/>
      <c r="DZE8" s="15"/>
      <c r="DZF8" s="15"/>
      <c r="DZG8" s="15"/>
      <c r="DZH8" s="15"/>
      <c r="DZI8" s="15"/>
      <c r="DZJ8" s="15"/>
      <c r="DZK8" s="15"/>
      <c r="DZL8" s="15"/>
      <c r="DZM8" s="15"/>
      <c r="DZN8" s="15"/>
      <c r="DZO8" s="15"/>
      <c r="DZP8" s="15"/>
      <c r="DZQ8" s="15"/>
      <c r="DZR8" s="15"/>
      <c r="DZS8" s="15"/>
      <c r="DZT8" s="15"/>
      <c r="DZU8" s="15"/>
      <c r="DZV8" s="15"/>
      <c r="DZW8" s="15"/>
      <c r="DZX8" s="15"/>
      <c r="DZY8" s="15"/>
      <c r="DZZ8" s="15"/>
      <c r="EAA8" s="15"/>
      <c r="EAB8" s="15"/>
      <c r="EAC8" s="15"/>
      <c r="EAD8" s="15"/>
      <c r="EAE8" s="15"/>
      <c r="EAF8" s="15"/>
      <c r="EAG8" s="15"/>
      <c r="EAH8" s="15"/>
      <c r="EAI8" s="15"/>
      <c r="EAJ8" s="15"/>
      <c r="EAK8" s="15"/>
      <c r="EAL8" s="15"/>
      <c r="EAM8" s="15"/>
      <c r="EAN8" s="15"/>
      <c r="EAO8" s="15"/>
      <c r="EAP8" s="15"/>
      <c r="EAQ8" s="15"/>
      <c r="EAR8" s="15"/>
      <c r="EAS8" s="15"/>
      <c r="EAT8" s="15"/>
      <c r="EAU8" s="15"/>
      <c r="EAV8" s="15"/>
      <c r="EAW8" s="15"/>
      <c r="EAX8" s="15"/>
      <c r="EAY8" s="15"/>
      <c r="EAZ8" s="15"/>
      <c r="EBA8" s="15"/>
      <c r="EBB8" s="15"/>
      <c r="EBC8" s="15"/>
      <c r="EBD8" s="15"/>
      <c r="EBE8" s="15"/>
      <c r="EBF8" s="15"/>
      <c r="EBG8" s="15"/>
      <c r="EBH8" s="15"/>
      <c r="EBI8" s="15"/>
      <c r="EBJ8" s="15"/>
      <c r="EBK8" s="15"/>
      <c r="EBL8" s="15"/>
      <c r="EBM8" s="15"/>
      <c r="EBN8" s="15"/>
      <c r="EBO8" s="15"/>
      <c r="EBP8" s="15"/>
      <c r="EBQ8" s="15"/>
      <c r="EBR8" s="15"/>
      <c r="EBS8" s="15"/>
      <c r="EBT8" s="15"/>
      <c r="EBU8" s="15"/>
      <c r="EBV8" s="15"/>
      <c r="EBW8" s="15"/>
      <c r="EBX8" s="15"/>
      <c r="EBY8" s="15"/>
      <c r="EBZ8" s="15"/>
      <c r="ECA8" s="15"/>
      <c r="ECB8" s="15"/>
      <c r="ECC8" s="15"/>
      <c r="ECD8" s="15"/>
      <c r="ECE8" s="15"/>
      <c r="ECF8" s="15"/>
      <c r="ECG8" s="15"/>
      <c r="ECH8" s="15"/>
      <c r="ECI8" s="15"/>
      <c r="ECJ8" s="15"/>
      <c r="ECK8" s="15"/>
      <c r="ECL8" s="15"/>
      <c r="ECM8" s="15"/>
      <c r="ECN8" s="15"/>
      <c r="ECO8" s="15"/>
      <c r="ECP8" s="15"/>
      <c r="ECQ8" s="15"/>
      <c r="ECR8" s="15"/>
      <c r="ECS8" s="15"/>
      <c r="ECT8" s="15"/>
      <c r="ECU8" s="15"/>
      <c r="ECV8" s="15"/>
      <c r="ECW8" s="15"/>
      <c r="ECX8" s="15"/>
      <c r="ECY8" s="15"/>
      <c r="ECZ8" s="15"/>
      <c r="EDA8" s="15"/>
      <c r="EDB8" s="15"/>
      <c r="EDC8" s="15"/>
      <c r="EDD8" s="15"/>
      <c r="EDE8" s="15"/>
      <c r="EDF8" s="15"/>
      <c r="EDG8" s="15"/>
      <c r="EDH8" s="15"/>
      <c r="EDI8" s="15"/>
      <c r="EDJ8" s="15"/>
      <c r="EDK8" s="15"/>
      <c r="EDL8" s="15"/>
      <c r="EDM8" s="15"/>
      <c r="EDN8" s="15"/>
      <c r="EDO8" s="15"/>
      <c r="EDP8" s="15"/>
      <c r="EDQ8" s="15"/>
      <c r="EDR8" s="15"/>
      <c r="EDS8" s="15"/>
      <c r="EDT8" s="15"/>
      <c r="EDU8" s="15"/>
      <c r="EDV8" s="15"/>
      <c r="EDW8" s="15"/>
      <c r="EDX8" s="15"/>
      <c r="EDY8" s="15"/>
      <c r="EDZ8" s="15"/>
      <c r="EEA8" s="15"/>
      <c r="EEB8" s="15"/>
      <c r="EEC8" s="15"/>
      <c r="EED8" s="15"/>
      <c r="EEE8" s="15"/>
      <c r="EEF8" s="15"/>
      <c r="EEG8" s="15"/>
      <c r="EEH8" s="15"/>
      <c r="EEI8" s="15"/>
      <c r="EEJ8" s="15"/>
      <c r="EEK8" s="15"/>
      <c r="EEL8" s="15"/>
      <c r="EEM8" s="15"/>
      <c r="EEN8" s="15"/>
      <c r="EEO8" s="15"/>
      <c r="EEP8" s="15"/>
      <c r="EEQ8" s="15"/>
      <c r="EER8" s="15"/>
      <c r="EES8" s="15"/>
      <c r="EET8" s="15"/>
      <c r="EEU8" s="15"/>
      <c r="EEV8" s="15"/>
      <c r="EEW8" s="15"/>
      <c r="EEX8" s="15"/>
      <c r="EEY8" s="15"/>
      <c r="EEZ8" s="15"/>
      <c r="EFA8" s="15"/>
      <c r="EFB8" s="15"/>
      <c r="EFC8" s="15"/>
      <c r="EFD8" s="15"/>
      <c r="EFE8" s="15"/>
      <c r="EFF8" s="15"/>
      <c r="EFG8" s="15"/>
      <c r="EFH8" s="15"/>
      <c r="EFI8" s="15"/>
      <c r="EFJ8" s="15"/>
      <c r="EFK8" s="15"/>
      <c r="EFL8" s="15"/>
      <c r="EFM8" s="15"/>
      <c r="EFN8" s="15"/>
      <c r="EFO8" s="15"/>
      <c r="EFP8" s="15"/>
      <c r="EFQ8" s="15"/>
      <c r="EFR8" s="15"/>
      <c r="EFS8" s="15"/>
      <c r="EFT8" s="15"/>
      <c r="EFU8" s="15"/>
      <c r="EFV8" s="15"/>
      <c r="EFW8" s="15"/>
      <c r="EFX8" s="15"/>
      <c r="EFY8" s="15"/>
      <c r="EFZ8" s="15"/>
      <c r="EGA8" s="15"/>
      <c r="EGB8" s="15"/>
      <c r="EGC8" s="15"/>
      <c r="EGD8" s="15"/>
      <c r="EGE8" s="15"/>
      <c r="EGF8" s="15"/>
      <c r="EGG8" s="15"/>
      <c r="EGH8" s="15"/>
      <c r="EGI8" s="15"/>
      <c r="EGJ8" s="15"/>
      <c r="EGK8" s="15"/>
      <c r="EGL8" s="15"/>
      <c r="EGM8" s="15"/>
      <c r="EGN8" s="15"/>
      <c r="EGO8" s="15"/>
      <c r="EGP8" s="15"/>
      <c r="EGQ8" s="15"/>
      <c r="EGR8" s="15"/>
      <c r="EGS8" s="15"/>
      <c r="EGT8" s="15"/>
      <c r="EGU8" s="15"/>
      <c r="EGV8" s="15"/>
      <c r="EGW8" s="15"/>
      <c r="EGX8" s="15"/>
      <c r="EGY8" s="15"/>
      <c r="EGZ8" s="15"/>
      <c r="EHA8" s="15"/>
      <c r="EHB8" s="15"/>
      <c r="EHC8" s="15"/>
      <c r="EHD8" s="15"/>
      <c r="EHE8" s="15"/>
      <c r="EHF8" s="15"/>
      <c r="EHG8" s="15"/>
      <c r="EHH8" s="15"/>
      <c r="EHI8" s="15"/>
      <c r="EHJ8" s="15"/>
      <c r="EHK8" s="15"/>
      <c r="EHL8" s="15"/>
      <c r="EHM8" s="15"/>
      <c r="EHN8" s="15"/>
      <c r="EHO8" s="15"/>
      <c r="EHP8" s="15"/>
      <c r="EHQ8" s="15"/>
      <c r="EHR8" s="15"/>
      <c r="EHS8" s="15"/>
      <c r="EHT8" s="15"/>
      <c r="EHU8" s="15"/>
      <c r="EHV8" s="15"/>
      <c r="EHW8" s="15"/>
      <c r="EHX8" s="15"/>
      <c r="EHY8" s="15"/>
      <c r="EHZ8" s="15"/>
      <c r="EIA8" s="15"/>
      <c r="EIB8" s="15"/>
      <c r="EIC8" s="15"/>
      <c r="EID8" s="15"/>
      <c r="EIE8" s="15"/>
      <c r="EIF8" s="15"/>
      <c r="EIG8" s="15"/>
      <c r="EIH8" s="15"/>
      <c r="EII8" s="15"/>
      <c r="EIJ8" s="15"/>
      <c r="EIK8" s="15"/>
      <c r="EIL8" s="15"/>
      <c r="EIM8" s="15"/>
      <c r="EIN8" s="15"/>
      <c r="EIO8" s="15"/>
      <c r="EIP8" s="15"/>
      <c r="EIQ8" s="15"/>
      <c r="EIR8" s="15"/>
      <c r="EIS8" s="15"/>
      <c r="EIT8" s="15"/>
      <c r="EIU8" s="15"/>
      <c r="EIV8" s="15"/>
      <c r="EIW8" s="15"/>
      <c r="EIX8" s="15"/>
      <c r="EIY8" s="15"/>
      <c r="EIZ8" s="15"/>
      <c r="EJA8" s="15"/>
      <c r="EJB8" s="15"/>
      <c r="EJC8" s="15"/>
      <c r="EJD8" s="15"/>
      <c r="EJE8" s="15"/>
      <c r="EJF8" s="15"/>
      <c r="EJG8" s="15"/>
      <c r="EJH8" s="15"/>
      <c r="EJI8" s="15"/>
      <c r="EJJ8" s="15"/>
      <c r="EJK8" s="15"/>
      <c r="EJL8" s="15"/>
      <c r="EJM8" s="15"/>
      <c r="EJN8" s="15"/>
      <c r="EJO8" s="15"/>
      <c r="EJP8" s="15"/>
      <c r="EJQ8" s="15"/>
      <c r="EJR8" s="15"/>
      <c r="EJS8" s="15"/>
      <c r="EJT8" s="15"/>
      <c r="EJU8" s="15"/>
      <c r="EJV8" s="15"/>
      <c r="EJW8" s="15"/>
      <c r="EJX8" s="15"/>
      <c r="EJY8" s="15"/>
      <c r="EJZ8" s="15"/>
      <c r="EKA8" s="15"/>
      <c r="EKB8" s="15"/>
      <c r="EKC8" s="15"/>
      <c r="EKD8" s="15"/>
      <c r="EKE8" s="15"/>
      <c r="EKF8" s="15"/>
      <c r="EKG8" s="15"/>
      <c r="EKH8" s="15"/>
      <c r="EKI8" s="15"/>
      <c r="EKJ8" s="15"/>
      <c r="EKK8" s="15"/>
      <c r="EKL8" s="15"/>
      <c r="EKM8" s="15"/>
      <c r="EKN8" s="15"/>
      <c r="EKO8" s="15"/>
      <c r="EKP8" s="15"/>
      <c r="EKQ8" s="15"/>
      <c r="EKR8" s="15"/>
      <c r="EKS8" s="15"/>
      <c r="EKT8" s="15"/>
      <c r="EKU8" s="15"/>
      <c r="EKV8" s="15"/>
      <c r="EKW8" s="15"/>
      <c r="EKX8" s="15"/>
      <c r="EKY8" s="15"/>
      <c r="EKZ8" s="15"/>
      <c r="ELA8" s="15"/>
      <c r="ELB8" s="15"/>
      <c r="ELC8" s="15"/>
      <c r="ELD8" s="15"/>
      <c r="ELE8" s="15"/>
      <c r="ELF8" s="15"/>
      <c r="ELG8" s="15"/>
      <c r="ELH8" s="15"/>
      <c r="ELI8" s="15"/>
      <c r="ELJ8" s="15"/>
      <c r="ELK8" s="15"/>
      <c r="ELL8" s="15"/>
      <c r="ELM8" s="15"/>
      <c r="ELN8" s="15"/>
      <c r="ELO8" s="15"/>
      <c r="ELP8" s="15"/>
      <c r="ELQ8" s="15"/>
      <c r="ELR8" s="15"/>
      <c r="ELS8" s="15"/>
      <c r="ELT8" s="15"/>
      <c r="ELU8" s="15"/>
      <c r="ELV8" s="15"/>
      <c r="ELW8" s="15"/>
      <c r="ELX8" s="15"/>
      <c r="ELY8" s="15"/>
      <c r="ELZ8" s="15"/>
      <c r="EMA8" s="15"/>
      <c r="EMB8" s="15"/>
      <c r="EMC8" s="15"/>
      <c r="EMD8" s="15"/>
      <c r="EME8" s="15"/>
      <c r="EMF8" s="15"/>
      <c r="EMG8" s="15"/>
      <c r="EMH8" s="15"/>
      <c r="EMI8" s="15"/>
      <c r="EMJ8" s="15"/>
      <c r="EMK8" s="15"/>
      <c r="EML8" s="15"/>
      <c r="EMM8" s="15"/>
      <c r="EMN8" s="15"/>
      <c r="EMO8" s="15"/>
      <c r="EMP8" s="15"/>
      <c r="EMQ8" s="15"/>
      <c r="EMR8" s="15"/>
      <c r="EMS8" s="15"/>
      <c r="EMT8" s="15"/>
      <c r="EMU8" s="15"/>
      <c r="EMV8" s="15"/>
      <c r="EMW8" s="15"/>
      <c r="EMX8" s="15"/>
      <c r="EMY8" s="15"/>
      <c r="EMZ8" s="15"/>
      <c r="ENA8" s="15"/>
      <c r="ENB8" s="15"/>
      <c r="ENC8" s="15"/>
      <c r="END8" s="15"/>
      <c r="ENE8" s="15"/>
      <c r="ENF8" s="15"/>
      <c r="ENG8" s="15"/>
      <c r="ENH8" s="15"/>
      <c r="ENI8" s="15"/>
      <c r="ENJ8" s="15"/>
      <c r="ENK8" s="15"/>
      <c r="ENL8" s="15"/>
      <c r="ENM8" s="15"/>
      <c r="ENN8" s="15"/>
      <c r="ENO8" s="15"/>
      <c r="ENP8" s="15"/>
      <c r="ENQ8" s="15"/>
      <c r="ENR8" s="15"/>
      <c r="ENS8" s="15"/>
      <c r="ENT8" s="15"/>
      <c r="ENU8" s="15"/>
      <c r="ENV8" s="15"/>
      <c r="ENW8" s="15"/>
      <c r="ENX8" s="15"/>
      <c r="ENY8" s="15"/>
      <c r="ENZ8" s="15"/>
      <c r="EOA8" s="15"/>
      <c r="EOB8" s="15"/>
      <c r="EOC8" s="15"/>
      <c r="EOD8" s="15"/>
      <c r="EOE8" s="15"/>
      <c r="EOF8" s="15"/>
      <c r="EOG8" s="15"/>
      <c r="EOH8" s="15"/>
      <c r="EOI8" s="15"/>
      <c r="EOJ8" s="15"/>
      <c r="EOK8" s="15"/>
      <c r="EOL8" s="15"/>
      <c r="EOM8" s="15"/>
      <c r="EON8" s="15"/>
      <c r="EOO8" s="15"/>
      <c r="EOP8" s="15"/>
      <c r="EOQ8" s="15"/>
      <c r="EOR8" s="15"/>
      <c r="EOS8" s="15"/>
      <c r="EOT8" s="15"/>
      <c r="EOU8" s="15"/>
      <c r="EOV8" s="15"/>
      <c r="EOW8" s="15"/>
      <c r="EOX8" s="15"/>
      <c r="EOY8" s="15"/>
      <c r="EOZ8" s="15"/>
      <c r="EPA8" s="15"/>
      <c r="EPB8" s="15"/>
      <c r="EPC8" s="15"/>
      <c r="EPD8" s="15"/>
      <c r="EPE8" s="15"/>
      <c r="EPF8" s="15"/>
      <c r="EPG8" s="15"/>
      <c r="EPH8" s="15"/>
      <c r="EPI8" s="15"/>
      <c r="EPJ8" s="15"/>
      <c r="EPK8" s="15"/>
      <c r="EPL8" s="15"/>
      <c r="EPM8" s="15"/>
      <c r="EPN8" s="15"/>
      <c r="EPO8" s="15"/>
      <c r="EPP8" s="15"/>
      <c r="EPQ8" s="15"/>
      <c r="EPR8" s="15"/>
      <c r="EPS8" s="15"/>
      <c r="EPT8" s="15"/>
      <c r="EPU8" s="15"/>
      <c r="EPV8" s="15"/>
      <c r="EPW8" s="15"/>
      <c r="EPX8" s="15"/>
      <c r="EPY8" s="15"/>
      <c r="EPZ8" s="15"/>
      <c r="EQA8" s="15"/>
      <c r="EQB8" s="15"/>
      <c r="EQC8" s="15"/>
      <c r="EQD8" s="15"/>
      <c r="EQE8" s="15"/>
      <c r="EQF8" s="15"/>
      <c r="EQG8" s="15"/>
      <c r="EQH8" s="15"/>
      <c r="EQI8" s="15"/>
      <c r="EQJ8" s="15"/>
      <c r="EQK8" s="15"/>
      <c r="EQL8" s="15"/>
      <c r="EQM8" s="15"/>
      <c r="EQN8" s="15"/>
      <c r="EQO8" s="15"/>
      <c r="EQP8" s="15"/>
      <c r="EQQ8" s="15"/>
      <c r="EQR8" s="15"/>
      <c r="EQS8" s="15"/>
      <c r="EQT8" s="15"/>
      <c r="EQU8" s="15"/>
      <c r="EQV8" s="15"/>
      <c r="EQW8" s="15"/>
      <c r="EQX8" s="15"/>
      <c r="EQY8" s="15"/>
      <c r="EQZ8" s="15"/>
      <c r="ERA8" s="15"/>
      <c r="ERB8" s="15"/>
      <c r="ERC8" s="15"/>
      <c r="ERD8" s="15"/>
      <c r="ERE8" s="15"/>
      <c r="ERF8" s="15"/>
      <c r="ERG8" s="15"/>
      <c r="ERH8" s="15"/>
      <c r="ERI8" s="15"/>
      <c r="ERJ8" s="15"/>
      <c r="ERK8" s="15"/>
      <c r="ERL8" s="15"/>
      <c r="ERM8" s="15"/>
      <c r="ERN8" s="15"/>
      <c r="ERO8" s="15"/>
      <c r="ERP8" s="15"/>
      <c r="ERQ8" s="15"/>
      <c r="ERR8" s="15"/>
      <c r="ERS8" s="15"/>
      <c r="ERT8" s="15"/>
      <c r="ERU8" s="15"/>
      <c r="ERV8" s="15"/>
      <c r="ERW8" s="15"/>
      <c r="ERX8" s="15"/>
      <c r="ERY8" s="15"/>
      <c r="ERZ8" s="15"/>
      <c r="ESA8" s="15"/>
      <c r="ESB8" s="15"/>
      <c r="ESC8" s="15"/>
      <c r="ESD8" s="15"/>
      <c r="ESE8" s="15"/>
      <c r="ESF8" s="15"/>
      <c r="ESG8" s="15"/>
      <c r="ESH8" s="15"/>
      <c r="ESI8" s="15"/>
      <c r="ESJ8" s="15"/>
      <c r="ESK8" s="15"/>
      <c r="ESL8" s="15"/>
      <c r="ESM8" s="15"/>
      <c r="ESN8" s="15"/>
      <c r="ESO8" s="15"/>
      <c r="ESP8" s="15"/>
      <c r="ESQ8" s="15"/>
      <c r="ESR8" s="15"/>
      <c r="ESS8" s="15"/>
      <c r="EST8" s="15"/>
      <c r="ESU8" s="15"/>
      <c r="ESV8" s="15"/>
      <c r="ESW8" s="15"/>
      <c r="ESX8" s="15"/>
      <c r="ESY8" s="15"/>
      <c r="ESZ8" s="15"/>
      <c r="ETA8" s="15"/>
      <c r="ETB8" s="15"/>
      <c r="ETC8" s="15"/>
      <c r="ETD8" s="15"/>
      <c r="ETE8" s="15"/>
      <c r="ETF8" s="15"/>
      <c r="ETG8" s="15"/>
      <c r="ETH8" s="15"/>
      <c r="ETI8" s="15"/>
      <c r="ETJ8" s="15"/>
      <c r="ETK8" s="15"/>
      <c r="ETL8" s="15"/>
      <c r="ETM8" s="15"/>
      <c r="ETN8" s="15"/>
      <c r="ETO8" s="15"/>
      <c r="ETP8" s="15"/>
      <c r="ETQ8" s="15"/>
      <c r="ETR8" s="15"/>
      <c r="ETS8" s="15"/>
      <c r="ETT8" s="15"/>
      <c r="ETU8" s="15"/>
      <c r="ETV8" s="15"/>
      <c r="ETW8" s="15"/>
      <c r="ETX8" s="15"/>
      <c r="ETY8" s="15"/>
      <c r="ETZ8" s="15"/>
      <c r="EUA8" s="15"/>
      <c r="EUB8" s="15"/>
      <c r="EUC8" s="15"/>
      <c r="EUD8" s="15"/>
      <c r="EUE8" s="15"/>
      <c r="EUF8" s="15"/>
      <c r="EUG8" s="15"/>
      <c r="EUH8" s="15"/>
      <c r="EUI8" s="15"/>
      <c r="EUJ8" s="15"/>
      <c r="EUK8" s="15"/>
      <c r="EUL8" s="15"/>
      <c r="EUM8" s="15"/>
      <c r="EUN8" s="15"/>
      <c r="EUO8" s="15"/>
      <c r="EUP8" s="15"/>
      <c r="EUQ8" s="15"/>
      <c r="EUR8" s="15"/>
      <c r="EUS8" s="15"/>
      <c r="EUT8" s="15"/>
      <c r="EUU8" s="15"/>
      <c r="EUV8" s="15"/>
      <c r="EUW8" s="15"/>
      <c r="EUX8" s="15"/>
      <c r="EUY8" s="15"/>
      <c r="EUZ8" s="15"/>
      <c r="EVA8" s="15"/>
      <c r="EVB8" s="15"/>
      <c r="EVC8" s="15"/>
      <c r="EVD8" s="15"/>
      <c r="EVE8" s="15"/>
      <c r="EVF8" s="15"/>
      <c r="EVG8" s="15"/>
      <c r="EVH8" s="15"/>
      <c r="EVI8" s="15"/>
      <c r="EVJ8" s="15"/>
      <c r="EVK8" s="15"/>
      <c r="EVL8" s="15"/>
      <c r="EVM8" s="15"/>
      <c r="EVN8" s="15"/>
      <c r="EVO8" s="15"/>
      <c r="EVP8" s="15"/>
      <c r="EVQ8" s="15"/>
      <c r="EVR8" s="15"/>
      <c r="EVS8" s="15"/>
      <c r="EVT8" s="15"/>
      <c r="EVU8" s="15"/>
      <c r="EVV8" s="15"/>
      <c r="EVW8" s="15"/>
      <c r="EVX8" s="15"/>
      <c r="EVY8" s="15"/>
      <c r="EVZ8" s="15"/>
      <c r="EWA8" s="15"/>
      <c r="EWB8" s="15"/>
      <c r="EWC8" s="15"/>
      <c r="EWD8" s="15"/>
      <c r="EWE8" s="15"/>
      <c r="EWF8" s="15"/>
      <c r="EWG8" s="15"/>
      <c r="EWH8" s="15"/>
      <c r="EWI8" s="15"/>
      <c r="EWJ8" s="15"/>
      <c r="EWK8" s="15"/>
      <c r="EWL8" s="15"/>
      <c r="EWM8" s="15"/>
      <c r="EWN8" s="15"/>
      <c r="EWO8" s="15"/>
      <c r="EWP8" s="15"/>
      <c r="EWQ8" s="15"/>
      <c r="EWR8" s="15"/>
      <c r="EWS8" s="15"/>
      <c r="EWT8" s="15"/>
      <c r="EWU8" s="15"/>
      <c r="EWV8" s="15"/>
      <c r="EWW8" s="15"/>
      <c r="EWX8" s="15"/>
      <c r="EWY8" s="15"/>
      <c r="EWZ8" s="15"/>
      <c r="EXA8" s="15"/>
      <c r="EXB8" s="15"/>
      <c r="EXC8" s="15"/>
      <c r="EXD8" s="15"/>
      <c r="EXE8" s="15"/>
      <c r="EXF8" s="15"/>
      <c r="EXG8" s="15"/>
      <c r="EXH8" s="15"/>
      <c r="EXI8" s="15"/>
      <c r="EXJ8" s="15"/>
      <c r="EXK8" s="15"/>
      <c r="EXL8" s="15"/>
      <c r="EXM8" s="15"/>
      <c r="EXN8" s="15"/>
      <c r="EXO8" s="15"/>
      <c r="EXP8" s="15"/>
      <c r="EXQ8" s="15"/>
      <c r="EXR8" s="15"/>
      <c r="EXS8" s="15"/>
      <c r="EXT8" s="15"/>
      <c r="EXU8" s="15"/>
      <c r="EXV8" s="15"/>
      <c r="EXW8" s="15"/>
      <c r="EXX8" s="15"/>
      <c r="EXY8" s="15"/>
      <c r="EXZ8" s="15"/>
      <c r="EYA8" s="15"/>
      <c r="EYB8" s="15"/>
      <c r="EYC8" s="15"/>
      <c r="EYD8" s="15"/>
      <c r="EYE8" s="15"/>
      <c r="EYF8" s="15"/>
      <c r="EYG8" s="15"/>
      <c r="EYH8" s="15"/>
      <c r="EYI8" s="15"/>
      <c r="EYJ8" s="15"/>
      <c r="EYK8" s="15"/>
      <c r="EYL8" s="15"/>
      <c r="EYM8" s="15"/>
      <c r="EYN8" s="15"/>
      <c r="EYO8" s="15"/>
      <c r="EYP8" s="15"/>
      <c r="EYQ8" s="15"/>
      <c r="EYR8" s="15"/>
      <c r="EYS8" s="15"/>
      <c r="EYT8" s="15"/>
      <c r="EYU8" s="15"/>
      <c r="EYV8" s="15"/>
      <c r="EYW8" s="15"/>
      <c r="EYX8" s="15"/>
      <c r="EYY8" s="15"/>
      <c r="EYZ8" s="15"/>
      <c r="EZA8" s="15"/>
      <c r="EZB8" s="15"/>
      <c r="EZC8" s="15"/>
      <c r="EZD8" s="15"/>
      <c r="EZE8" s="15"/>
      <c r="EZF8" s="15"/>
      <c r="EZG8" s="15"/>
      <c r="EZH8" s="15"/>
      <c r="EZI8" s="15"/>
      <c r="EZJ8" s="15"/>
      <c r="EZK8" s="15"/>
      <c r="EZL8" s="15"/>
      <c r="EZM8" s="15"/>
      <c r="EZN8" s="15"/>
      <c r="EZO8" s="15"/>
      <c r="EZP8" s="15"/>
      <c r="EZQ8" s="15"/>
      <c r="EZR8" s="15"/>
      <c r="EZS8" s="15"/>
      <c r="EZT8" s="15"/>
      <c r="EZU8" s="15"/>
      <c r="EZV8" s="15"/>
      <c r="EZW8" s="15"/>
      <c r="EZX8" s="15"/>
      <c r="EZY8" s="15"/>
      <c r="EZZ8" s="15"/>
      <c r="FAA8" s="15"/>
      <c r="FAB8" s="15"/>
      <c r="FAC8" s="15"/>
      <c r="FAD8" s="15"/>
      <c r="FAE8" s="15"/>
      <c r="FAF8" s="15"/>
      <c r="FAG8" s="15"/>
      <c r="FAH8" s="15"/>
      <c r="FAI8" s="15"/>
      <c r="FAJ8" s="15"/>
      <c r="FAK8" s="15"/>
      <c r="FAL8" s="15"/>
      <c r="FAM8" s="15"/>
      <c r="FAN8" s="15"/>
      <c r="FAO8" s="15"/>
      <c r="FAP8" s="15"/>
      <c r="FAQ8" s="15"/>
      <c r="FAR8" s="15"/>
      <c r="FAS8" s="15"/>
      <c r="FAT8" s="15"/>
      <c r="FAU8" s="15"/>
      <c r="FAV8" s="15"/>
      <c r="FAW8" s="15"/>
      <c r="FAX8" s="15"/>
      <c r="FAY8" s="15"/>
      <c r="FAZ8" s="15"/>
      <c r="FBA8" s="15"/>
      <c r="FBB8" s="15"/>
      <c r="FBC8" s="15"/>
      <c r="FBD8" s="15"/>
      <c r="FBE8" s="15"/>
      <c r="FBF8" s="15"/>
      <c r="FBG8" s="15"/>
      <c r="FBH8" s="15"/>
      <c r="FBI8" s="15"/>
      <c r="FBJ8" s="15"/>
      <c r="FBK8" s="15"/>
      <c r="FBL8" s="15"/>
      <c r="FBM8" s="15"/>
      <c r="FBN8" s="15"/>
      <c r="FBO8" s="15"/>
      <c r="FBP8" s="15"/>
      <c r="FBQ8" s="15"/>
      <c r="FBR8" s="15"/>
      <c r="FBS8" s="15"/>
      <c r="FBT8" s="15"/>
      <c r="FBU8" s="15"/>
      <c r="FBV8" s="15"/>
      <c r="FBW8" s="15"/>
      <c r="FBX8" s="15"/>
      <c r="FBY8" s="15"/>
      <c r="FBZ8" s="15"/>
      <c r="FCA8" s="15"/>
      <c r="FCB8" s="15"/>
      <c r="FCC8" s="15"/>
      <c r="FCD8" s="15"/>
      <c r="FCE8" s="15"/>
      <c r="FCF8" s="15"/>
      <c r="FCG8" s="15"/>
      <c r="FCH8" s="15"/>
      <c r="FCI8" s="15"/>
      <c r="FCJ8" s="15"/>
      <c r="FCK8" s="15"/>
      <c r="FCL8" s="15"/>
      <c r="FCM8" s="15"/>
      <c r="FCN8" s="15"/>
      <c r="FCO8" s="15"/>
      <c r="FCP8" s="15"/>
      <c r="FCQ8" s="15"/>
      <c r="FCR8" s="15"/>
      <c r="FCS8" s="15"/>
      <c r="FCT8" s="15"/>
      <c r="FCU8" s="15"/>
      <c r="FCV8" s="15"/>
      <c r="FCW8" s="15"/>
      <c r="FCX8" s="15"/>
      <c r="FCY8" s="15"/>
      <c r="FCZ8" s="15"/>
      <c r="FDA8" s="15"/>
      <c r="FDB8" s="15"/>
      <c r="FDC8" s="15"/>
      <c r="FDD8" s="15"/>
      <c r="FDE8" s="15"/>
      <c r="FDF8" s="15"/>
      <c r="FDG8" s="15"/>
      <c r="FDH8" s="15"/>
      <c r="FDI8" s="15"/>
      <c r="FDJ8" s="15"/>
      <c r="FDK8" s="15"/>
      <c r="FDL8" s="15"/>
      <c r="FDM8" s="15"/>
      <c r="FDN8" s="15"/>
      <c r="FDO8" s="15"/>
      <c r="FDP8" s="15"/>
      <c r="FDQ8" s="15"/>
      <c r="FDR8" s="15"/>
      <c r="FDS8" s="15"/>
      <c r="FDT8" s="15"/>
      <c r="FDU8" s="15"/>
      <c r="FDV8" s="15"/>
      <c r="FDW8" s="15"/>
      <c r="FDX8" s="15"/>
      <c r="FDY8" s="15"/>
      <c r="FDZ8" s="15"/>
      <c r="FEA8" s="15"/>
      <c r="FEB8" s="15"/>
      <c r="FEC8" s="15"/>
      <c r="FED8" s="15"/>
      <c r="FEE8" s="15"/>
      <c r="FEF8" s="15"/>
      <c r="FEG8" s="15"/>
      <c r="FEH8" s="15"/>
      <c r="FEI8" s="15"/>
      <c r="FEJ8" s="15"/>
      <c r="FEK8" s="15"/>
      <c r="FEL8" s="15"/>
      <c r="FEM8" s="15"/>
      <c r="FEN8" s="15"/>
      <c r="FEO8" s="15"/>
      <c r="FEP8" s="15"/>
      <c r="FEQ8" s="15"/>
      <c r="FER8" s="15"/>
      <c r="FES8" s="15"/>
      <c r="FET8" s="15"/>
      <c r="FEU8" s="15"/>
      <c r="FEV8" s="15"/>
      <c r="FEW8" s="15"/>
      <c r="FEX8" s="15"/>
      <c r="FEY8" s="15"/>
      <c r="FEZ8" s="15"/>
      <c r="FFA8" s="15"/>
      <c r="FFB8" s="15"/>
      <c r="FFC8" s="15"/>
      <c r="FFD8" s="15"/>
      <c r="FFE8" s="15"/>
      <c r="FFF8" s="15"/>
      <c r="FFG8" s="15"/>
      <c r="FFH8" s="15"/>
      <c r="FFI8" s="15"/>
      <c r="FFJ8" s="15"/>
      <c r="FFK8" s="15"/>
      <c r="FFL8" s="15"/>
      <c r="FFM8" s="15"/>
      <c r="FFN8" s="15"/>
      <c r="FFO8" s="15"/>
      <c r="FFP8" s="15"/>
      <c r="FFQ8" s="15"/>
      <c r="FFR8" s="15"/>
      <c r="FFS8" s="15"/>
      <c r="FFT8" s="15"/>
      <c r="FFU8" s="15"/>
      <c r="FFV8" s="15"/>
      <c r="FFW8" s="15"/>
      <c r="FFX8" s="15"/>
      <c r="FFY8" s="15"/>
      <c r="FFZ8" s="15"/>
      <c r="FGA8" s="15"/>
      <c r="FGB8" s="15"/>
      <c r="FGC8" s="15"/>
      <c r="FGD8" s="15"/>
      <c r="FGE8" s="15"/>
      <c r="FGF8" s="15"/>
      <c r="FGG8" s="15"/>
      <c r="FGH8" s="15"/>
      <c r="FGI8" s="15"/>
      <c r="FGJ8" s="15"/>
      <c r="FGK8" s="15"/>
      <c r="FGL8" s="15"/>
      <c r="FGM8" s="15"/>
      <c r="FGN8" s="15"/>
      <c r="FGO8" s="15"/>
      <c r="FGP8" s="15"/>
      <c r="FGQ8" s="15"/>
      <c r="FGR8" s="15"/>
      <c r="FGS8" s="15"/>
      <c r="FGT8" s="15"/>
      <c r="FGU8" s="15"/>
      <c r="FGV8" s="15"/>
      <c r="FGW8" s="15"/>
      <c r="FGX8" s="15"/>
      <c r="FGY8" s="15"/>
      <c r="FGZ8" s="15"/>
      <c r="FHA8" s="15"/>
      <c r="FHB8" s="15"/>
      <c r="FHC8" s="15"/>
      <c r="FHD8" s="15"/>
      <c r="FHE8" s="15"/>
      <c r="FHF8" s="15"/>
      <c r="FHG8" s="15"/>
      <c r="FHH8" s="15"/>
      <c r="FHI8" s="15"/>
      <c r="FHJ8" s="15"/>
      <c r="FHK8" s="15"/>
      <c r="FHL8" s="15"/>
      <c r="FHM8" s="15"/>
      <c r="FHN8" s="15"/>
      <c r="FHO8" s="15"/>
      <c r="FHP8" s="15"/>
      <c r="FHQ8" s="15"/>
      <c r="FHR8" s="15"/>
      <c r="FHS8" s="15"/>
      <c r="FHT8" s="15"/>
      <c r="FHU8" s="15"/>
      <c r="FHV8" s="15"/>
      <c r="FHW8" s="15"/>
      <c r="FHX8" s="15"/>
      <c r="FHY8" s="15"/>
      <c r="FHZ8" s="15"/>
      <c r="FIA8" s="15"/>
      <c r="FIB8" s="15"/>
      <c r="FIC8" s="15"/>
      <c r="FID8" s="15"/>
      <c r="FIE8" s="15"/>
      <c r="FIF8" s="15"/>
      <c r="FIG8" s="15"/>
      <c r="FIH8" s="15"/>
      <c r="FII8" s="15"/>
      <c r="FIJ8" s="15"/>
      <c r="FIK8" s="15"/>
      <c r="FIL8" s="15"/>
      <c r="FIM8" s="15"/>
      <c r="FIN8" s="15"/>
      <c r="FIO8" s="15"/>
      <c r="FIP8" s="15"/>
      <c r="FIQ8" s="15"/>
      <c r="FIR8" s="15"/>
      <c r="FIS8" s="15"/>
      <c r="FIT8" s="15"/>
      <c r="FIU8" s="15"/>
      <c r="FIV8" s="15"/>
      <c r="FIW8" s="15"/>
      <c r="FIX8" s="15"/>
      <c r="FIY8" s="15"/>
      <c r="FIZ8" s="15"/>
      <c r="FJA8" s="15"/>
      <c r="FJB8" s="15"/>
      <c r="FJC8" s="15"/>
      <c r="FJD8" s="15"/>
      <c r="FJE8" s="15"/>
      <c r="FJF8" s="15"/>
      <c r="FJG8" s="15"/>
      <c r="FJH8" s="15"/>
      <c r="FJI8" s="15"/>
      <c r="FJJ8" s="15"/>
      <c r="FJK8" s="15"/>
      <c r="FJL8" s="15"/>
      <c r="FJM8" s="15"/>
      <c r="FJN8" s="15"/>
      <c r="FJO8" s="15"/>
      <c r="FJP8" s="15"/>
      <c r="FJQ8" s="15"/>
      <c r="FJR8" s="15"/>
      <c r="FJS8" s="15"/>
      <c r="FJT8" s="15"/>
      <c r="FJU8" s="15"/>
      <c r="FJV8" s="15"/>
      <c r="FJW8" s="15"/>
      <c r="FJX8" s="15"/>
      <c r="FJY8" s="15"/>
      <c r="FJZ8" s="15"/>
      <c r="FKA8" s="15"/>
      <c r="FKB8" s="15"/>
      <c r="FKC8" s="15"/>
      <c r="FKD8" s="15"/>
      <c r="FKE8" s="15"/>
      <c r="FKF8" s="15"/>
      <c r="FKG8" s="15"/>
      <c r="FKH8" s="15"/>
      <c r="FKI8" s="15"/>
      <c r="FKJ8" s="15"/>
      <c r="FKK8" s="15"/>
      <c r="FKL8" s="15"/>
      <c r="FKM8" s="15"/>
      <c r="FKN8" s="15"/>
      <c r="FKO8" s="15"/>
      <c r="FKP8" s="15"/>
      <c r="FKQ8" s="15"/>
      <c r="FKR8" s="15"/>
      <c r="FKS8" s="15"/>
      <c r="FKT8" s="15"/>
      <c r="FKU8" s="15"/>
      <c r="FKV8" s="15"/>
      <c r="FKW8" s="15"/>
      <c r="FKX8" s="15"/>
      <c r="FKY8" s="15"/>
      <c r="FKZ8" s="15"/>
      <c r="FLA8" s="15"/>
      <c r="FLB8" s="15"/>
      <c r="FLC8" s="15"/>
      <c r="FLD8" s="15"/>
      <c r="FLE8" s="15"/>
      <c r="FLF8" s="15"/>
      <c r="FLG8" s="15"/>
      <c r="FLH8" s="15"/>
      <c r="FLI8" s="15"/>
      <c r="FLJ8" s="15"/>
      <c r="FLK8" s="15"/>
      <c r="FLL8" s="15"/>
      <c r="FLM8" s="15"/>
      <c r="FLN8" s="15"/>
      <c r="FLO8" s="15"/>
      <c r="FLP8" s="15"/>
      <c r="FLQ8" s="15"/>
      <c r="FLR8" s="15"/>
      <c r="FLS8" s="15"/>
      <c r="FLT8" s="15"/>
      <c r="FLU8" s="15"/>
      <c r="FLV8" s="15"/>
      <c r="FLW8" s="15"/>
      <c r="FLX8" s="15"/>
      <c r="FLY8" s="15"/>
      <c r="FLZ8" s="15"/>
      <c r="FMA8" s="15"/>
      <c r="FMB8" s="15"/>
      <c r="FMC8" s="15"/>
      <c r="FMD8" s="15"/>
      <c r="FME8" s="15"/>
      <c r="FMF8" s="15"/>
      <c r="FMG8" s="15"/>
      <c r="FMH8" s="15"/>
      <c r="FMI8" s="15"/>
      <c r="FMJ8" s="15"/>
      <c r="FMK8" s="15"/>
      <c r="FML8" s="15"/>
      <c r="FMM8" s="15"/>
      <c r="FMN8" s="15"/>
      <c r="FMO8" s="15"/>
      <c r="FMP8" s="15"/>
      <c r="FMQ8" s="15"/>
      <c r="FMR8" s="15"/>
      <c r="FMS8" s="15"/>
      <c r="FMT8" s="15"/>
      <c r="FMU8" s="15"/>
      <c r="FMV8" s="15"/>
      <c r="FMW8" s="15"/>
      <c r="FMX8" s="15"/>
      <c r="FMY8" s="15"/>
      <c r="FMZ8" s="15"/>
      <c r="FNA8" s="15"/>
      <c r="FNB8" s="15"/>
      <c r="FNC8" s="15"/>
      <c r="FND8" s="15"/>
      <c r="FNE8" s="15"/>
      <c r="FNF8" s="15"/>
      <c r="FNG8" s="15"/>
      <c r="FNH8" s="15"/>
      <c r="FNI8" s="15"/>
      <c r="FNJ8" s="15"/>
      <c r="FNK8" s="15"/>
      <c r="FNL8" s="15"/>
      <c r="FNM8" s="15"/>
      <c r="FNN8" s="15"/>
      <c r="FNO8" s="15"/>
      <c r="FNP8" s="15"/>
      <c r="FNQ8" s="15"/>
      <c r="FNR8" s="15"/>
      <c r="FNS8" s="15"/>
      <c r="FNT8" s="15"/>
      <c r="FNU8" s="15"/>
      <c r="FNV8" s="15"/>
      <c r="FNW8" s="15"/>
      <c r="FNX8" s="15"/>
      <c r="FNY8" s="15"/>
      <c r="FNZ8" s="15"/>
      <c r="FOA8" s="15"/>
      <c r="FOB8" s="15"/>
      <c r="FOC8" s="15"/>
      <c r="FOD8" s="15"/>
      <c r="FOE8" s="15"/>
      <c r="FOF8" s="15"/>
      <c r="FOG8" s="15"/>
      <c r="FOH8" s="15"/>
      <c r="FOI8" s="15"/>
      <c r="FOJ8" s="15"/>
      <c r="FOK8" s="15"/>
      <c r="FOL8" s="15"/>
      <c r="FOM8" s="15"/>
      <c r="FON8" s="15"/>
      <c r="FOO8" s="15"/>
      <c r="FOP8" s="15"/>
      <c r="FOQ8" s="15"/>
      <c r="FOR8" s="15"/>
      <c r="FOS8" s="15"/>
      <c r="FOT8" s="15"/>
      <c r="FOU8" s="15"/>
      <c r="FOV8" s="15"/>
      <c r="FOW8" s="15"/>
      <c r="FOX8" s="15"/>
      <c r="FOY8" s="15"/>
      <c r="FOZ8" s="15"/>
      <c r="FPA8" s="15"/>
      <c r="FPB8" s="15"/>
      <c r="FPC8" s="15"/>
      <c r="FPD8" s="15"/>
      <c r="FPE8" s="15"/>
      <c r="FPF8" s="15"/>
      <c r="FPG8" s="15"/>
      <c r="FPH8" s="15"/>
      <c r="FPI8" s="15"/>
      <c r="FPJ8" s="15"/>
      <c r="FPK8" s="15"/>
      <c r="FPL8" s="15"/>
      <c r="FPM8" s="15"/>
      <c r="FPN8" s="15"/>
      <c r="FPO8" s="15"/>
      <c r="FPP8" s="15"/>
      <c r="FPQ8" s="15"/>
      <c r="FPR8" s="15"/>
      <c r="FPS8" s="15"/>
      <c r="FPT8" s="15"/>
      <c r="FPU8" s="15"/>
      <c r="FPV8" s="15"/>
      <c r="FPW8" s="15"/>
      <c r="FPX8" s="15"/>
      <c r="FPY8" s="15"/>
      <c r="FPZ8" s="15"/>
      <c r="FQA8" s="15"/>
      <c r="FQB8" s="15"/>
      <c r="FQC8" s="15"/>
      <c r="FQD8" s="15"/>
      <c r="FQE8" s="15"/>
      <c r="FQF8" s="15"/>
      <c r="FQG8" s="15"/>
      <c r="FQH8" s="15"/>
      <c r="FQI8" s="15"/>
      <c r="FQJ8" s="15"/>
      <c r="FQK8" s="15"/>
      <c r="FQL8" s="15"/>
      <c r="FQM8" s="15"/>
      <c r="FQN8" s="15"/>
      <c r="FQO8" s="15"/>
      <c r="FQP8" s="15"/>
      <c r="FQQ8" s="15"/>
      <c r="FQR8" s="15"/>
      <c r="FQS8" s="15"/>
      <c r="FQT8" s="15"/>
      <c r="FQU8" s="15"/>
      <c r="FQV8" s="15"/>
      <c r="FQW8" s="15"/>
      <c r="FQX8" s="15"/>
      <c r="FQY8" s="15"/>
      <c r="FQZ8" s="15"/>
      <c r="FRA8" s="15"/>
      <c r="FRB8" s="15"/>
      <c r="FRC8" s="15"/>
      <c r="FRD8" s="15"/>
      <c r="FRE8" s="15"/>
      <c r="FRF8" s="15"/>
      <c r="FRG8" s="15"/>
      <c r="FRH8" s="15"/>
      <c r="FRI8" s="15"/>
      <c r="FRJ8" s="15"/>
      <c r="FRK8" s="15"/>
      <c r="FRL8" s="15"/>
      <c r="FRM8" s="15"/>
      <c r="FRN8" s="15"/>
      <c r="FRO8" s="15"/>
      <c r="FRP8" s="15"/>
      <c r="FRQ8" s="15"/>
      <c r="FRR8" s="15"/>
      <c r="FRS8" s="15"/>
      <c r="FRT8" s="15"/>
      <c r="FRU8" s="15"/>
      <c r="FRV8" s="15"/>
      <c r="FRW8" s="15"/>
      <c r="FRX8" s="15"/>
      <c r="FRY8" s="15"/>
      <c r="FRZ8" s="15"/>
      <c r="FSA8" s="15"/>
      <c r="FSB8" s="15"/>
      <c r="FSC8" s="15"/>
      <c r="FSD8" s="15"/>
      <c r="FSE8" s="15"/>
      <c r="FSF8" s="15"/>
      <c r="FSG8" s="15"/>
      <c r="FSH8" s="15"/>
      <c r="FSI8" s="15"/>
      <c r="FSJ8" s="15"/>
      <c r="FSK8" s="15"/>
      <c r="FSL8" s="15"/>
      <c r="FSM8" s="15"/>
      <c r="FSN8" s="15"/>
      <c r="FSO8" s="15"/>
      <c r="FSP8" s="15"/>
      <c r="FSQ8" s="15"/>
      <c r="FSR8" s="15"/>
      <c r="FSS8" s="15"/>
      <c r="FST8" s="15"/>
      <c r="FSU8" s="15"/>
      <c r="FSV8" s="15"/>
      <c r="FSW8" s="15"/>
      <c r="FSX8" s="15"/>
      <c r="FSY8" s="15"/>
      <c r="FSZ8" s="15"/>
      <c r="FTA8" s="15"/>
      <c r="FTB8" s="15"/>
      <c r="FTC8" s="15"/>
      <c r="FTD8" s="15"/>
      <c r="FTE8" s="15"/>
      <c r="FTF8" s="15"/>
      <c r="FTG8" s="15"/>
      <c r="FTH8" s="15"/>
      <c r="FTI8" s="15"/>
      <c r="FTJ8" s="15"/>
      <c r="FTK8" s="15"/>
      <c r="FTL8" s="15"/>
      <c r="FTM8" s="15"/>
      <c r="FTN8" s="15"/>
      <c r="FTO8" s="15"/>
      <c r="FTP8" s="15"/>
      <c r="FTQ8" s="15"/>
      <c r="FTR8" s="15"/>
      <c r="FTS8" s="15"/>
      <c r="FTT8" s="15"/>
      <c r="FTU8" s="15"/>
      <c r="FTV8" s="15"/>
      <c r="FTW8" s="15"/>
      <c r="FTX8" s="15"/>
      <c r="FTY8" s="15"/>
      <c r="FTZ8" s="15"/>
      <c r="FUA8" s="15"/>
      <c r="FUB8" s="15"/>
      <c r="FUC8" s="15"/>
      <c r="FUD8" s="15"/>
      <c r="FUE8" s="15"/>
      <c r="FUF8" s="15"/>
      <c r="FUG8" s="15"/>
      <c r="FUH8" s="15"/>
      <c r="FUI8" s="15"/>
      <c r="FUJ8" s="15"/>
      <c r="FUK8" s="15"/>
      <c r="FUL8" s="15"/>
      <c r="FUM8" s="15"/>
      <c r="FUN8" s="15"/>
      <c r="FUO8" s="15"/>
      <c r="FUP8" s="15"/>
      <c r="FUQ8" s="15"/>
      <c r="FUR8" s="15"/>
      <c r="FUS8" s="15"/>
      <c r="FUT8" s="15"/>
      <c r="FUU8" s="15"/>
      <c r="FUV8" s="15"/>
      <c r="FUW8" s="15"/>
      <c r="FUX8" s="15"/>
      <c r="FUY8" s="15"/>
      <c r="FUZ8" s="15"/>
      <c r="FVA8" s="15"/>
      <c r="FVB8" s="15"/>
      <c r="FVC8" s="15"/>
      <c r="FVD8" s="15"/>
      <c r="FVE8" s="15"/>
      <c r="FVF8" s="15"/>
      <c r="FVG8" s="15"/>
      <c r="FVH8" s="15"/>
      <c r="FVI8" s="15"/>
      <c r="FVJ8" s="15"/>
      <c r="FVK8" s="15"/>
      <c r="FVL8" s="15"/>
      <c r="FVM8" s="15"/>
      <c r="FVN8" s="15"/>
      <c r="FVO8" s="15"/>
      <c r="FVP8" s="15"/>
      <c r="FVQ8" s="15"/>
      <c r="FVR8" s="15"/>
      <c r="FVS8" s="15"/>
      <c r="FVT8" s="15"/>
      <c r="FVU8" s="15"/>
      <c r="FVV8" s="15"/>
      <c r="FVW8" s="15"/>
      <c r="FVX8" s="15"/>
      <c r="FVY8" s="15"/>
      <c r="FVZ8" s="15"/>
      <c r="FWA8" s="15"/>
      <c r="FWB8" s="15"/>
      <c r="FWC8" s="15"/>
      <c r="FWD8" s="15"/>
      <c r="FWE8" s="15"/>
      <c r="FWF8" s="15"/>
      <c r="FWG8" s="15"/>
      <c r="FWH8" s="15"/>
      <c r="FWI8" s="15"/>
      <c r="FWJ8" s="15"/>
      <c r="FWK8" s="15"/>
      <c r="FWL8" s="15"/>
      <c r="FWM8" s="15"/>
      <c r="FWN8" s="15"/>
      <c r="FWO8" s="15"/>
      <c r="FWP8" s="15"/>
      <c r="FWQ8" s="15"/>
      <c r="FWR8" s="15"/>
      <c r="FWS8" s="15"/>
      <c r="FWT8" s="15"/>
      <c r="FWU8" s="15"/>
      <c r="FWV8" s="15"/>
      <c r="FWW8" s="15"/>
      <c r="FWX8" s="15"/>
      <c r="FWY8" s="15"/>
      <c r="FWZ8" s="15"/>
      <c r="FXA8" s="15"/>
      <c r="FXB8" s="15"/>
      <c r="FXC8" s="15"/>
      <c r="FXD8" s="15"/>
      <c r="FXE8" s="15"/>
      <c r="FXF8" s="15"/>
      <c r="FXG8" s="15"/>
      <c r="FXH8" s="15"/>
      <c r="FXI8" s="15"/>
      <c r="FXJ8" s="15"/>
      <c r="FXK8" s="15"/>
      <c r="FXL8" s="15"/>
      <c r="FXM8" s="15"/>
      <c r="FXN8" s="15"/>
      <c r="FXO8" s="15"/>
      <c r="FXP8" s="15"/>
      <c r="FXQ8" s="15"/>
      <c r="FXR8" s="15"/>
      <c r="FXS8" s="15"/>
      <c r="FXT8" s="15"/>
      <c r="FXU8" s="15"/>
      <c r="FXV8" s="15"/>
      <c r="FXW8" s="15"/>
      <c r="FXX8" s="15"/>
      <c r="FXY8" s="15"/>
      <c r="FXZ8" s="15"/>
      <c r="FYA8" s="15"/>
      <c r="FYB8" s="15"/>
      <c r="FYC8" s="15"/>
      <c r="FYD8" s="15"/>
      <c r="FYE8" s="15"/>
      <c r="FYF8" s="15"/>
      <c r="FYG8" s="15"/>
      <c r="FYH8" s="15"/>
      <c r="FYI8" s="15"/>
      <c r="FYJ8" s="15"/>
      <c r="FYK8" s="15"/>
      <c r="FYL8" s="15"/>
      <c r="FYM8" s="15"/>
      <c r="FYN8" s="15"/>
      <c r="FYO8" s="15"/>
      <c r="FYP8" s="15"/>
      <c r="FYQ8" s="15"/>
      <c r="FYR8" s="15"/>
      <c r="FYS8" s="15"/>
      <c r="FYT8" s="15"/>
      <c r="FYU8" s="15"/>
      <c r="FYV8" s="15"/>
      <c r="FYW8" s="15"/>
      <c r="FYX8" s="15"/>
      <c r="FYY8" s="15"/>
      <c r="FYZ8" s="15"/>
      <c r="FZA8" s="15"/>
      <c r="FZB8" s="15"/>
      <c r="FZC8" s="15"/>
      <c r="FZD8" s="15"/>
      <c r="FZE8" s="15"/>
      <c r="FZF8" s="15"/>
      <c r="FZG8" s="15"/>
      <c r="FZH8" s="15"/>
      <c r="FZI8" s="15"/>
      <c r="FZJ8" s="15"/>
      <c r="FZK8" s="15"/>
      <c r="FZL8" s="15"/>
      <c r="FZM8" s="15"/>
      <c r="FZN8" s="15"/>
      <c r="FZO8" s="15"/>
      <c r="FZP8" s="15"/>
      <c r="FZQ8" s="15"/>
      <c r="FZR8" s="15"/>
      <c r="FZS8" s="15"/>
      <c r="FZT8" s="15"/>
      <c r="FZU8" s="15"/>
      <c r="FZV8" s="15"/>
      <c r="FZW8" s="15"/>
      <c r="FZX8" s="15"/>
      <c r="FZY8" s="15"/>
      <c r="FZZ8" s="15"/>
      <c r="GAA8" s="15"/>
      <c r="GAB8" s="15"/>
      <c r="GAC8" s="15"/>
      <c r="GAD8" s="15"/>
      <c r="GAE8" s="15"/>
      <c r="GAF8" s="15"/>
      <c r="GAG8" s="15"/>
      <c r="GAH8" s="15"/>
      <c r="GAI8" s="15"/>
      <c r="GAJ8" s="15"/>
      <c r="GAK8" s="15"/>
      <c r="GAL8" s="15"/>
      <c r="GAM8" s="15"/>
      <c r="GAN8" s="15"/>
      <c r="GAO8" s="15"/>
      <c r="GAP8" s="15"/>
      <c r="GAQ8" s="15"/>
      <c r="GAR8" s="15"/>
      <c r="GAS8" s="15"/>
      <c r="GAT8" s="15"/>
      <c r="GAU8" s="15"/>
      <c r="GAV8" s="15"/>
      <c r="GAW8" s="15"/>
      <c r="GAX8" s="15"/>
      <c r="GAY8" s="15"/>
      <c r="GAZ8" s="15"/>
      <c r="GBA8" s="15"/>
      <c r="GBB8" s="15"/>
      <c r="GBC8" s="15"/>
      <c r="GBD8" s="15"/>
      <c r="GBE8" s="15"/>
      <c r="GBF8" s="15"/>
      <c r="GBG8" s="15"/>
      <c r="GBH8" s="15"/>
      <c r="GBI8" s="15"/>
      <c r="GBJ8" s="15"/>
      <c r="GBK8" s="15"/>
      <c r="GBL8" s="15"/>
      <c r="GBM8" s="15"/>
      <c r="GBN8" s="15"/>
      <c r="GBO8" s="15"/>
      <c r="GBP8" s="15"/>
      <c r="GBQ8" s="15"/>
      <c r="GBR8" s="15"/>
      <c r="GBS8" s="15"/>
      <c r="GBT8" s="15"/>
      <c r="GBU8" s="15"/>
      <c r="GBV8" s="15"/>
      <c r="GBW8" s="15"/>
      <c r="GBX8" s="15"/>
      <c r="GBY8" s="15"/>
      <c r="GBZ8" s="15"/>
      <c r="GCA8" s="15"/>
      <c r="GCB8" s="15"/>
      <c r="GCC8" s="15"/>
      <c r="GCD8" s="15"/>
      <c r="GCE8" s="15"/>
      <c r="GCF8" s="15"/>
      <c r="GCG8" s="15"/>
      <c r="GCH8" s="15"/>
      <c r="GCI8" s="15"/>
      <c r="GCJ8" s="15"/>
      <c r="GCK8" s="15"/>
      <c r="GCL8" s="15"/>
      <c r="GCM8" s="15"/>
      <c r="GCN8" s="15"/>
      <c r="GCO8" s="15"/>
      <c r="GCP8" s="15"/>
      <c r="GCQ8" s="15"/>
      <c r="GCR8" s="15"/>
      <c r="GCS8" s="15"/>
      <c r="GCT8" s="15"/>
      <c r="GCU8" s="15"/>
      <c r="GCV8" s="15"/>
      <c r="GCW8" s="15"/>
      <c r="GCX8" s="15"/>
      <c r="GCY8" s="15"/>
      <c r="GCZ8" s="15"/>
      <c r="GDA8" s="15"/>
      <c r="GDB8" s="15"/>
      <c r="GDC8" s="15"/>
      <c r="GDD8" s="15"/>
      <c r="GDE8" s="15"/>
      <c r="GDF8" s="15"/>
      <c r="GDG8" s="15"/>
      <c r="GDH8" s="15"/>
      <c r="GDI8" s="15"/>
      <c r="GDJ8" s="15"/>
      <c r="GDK8" s="15"/>
      <c r="GDL8" s="15"/>
      <c r="GDM8" s="15"/>
      <c r="GDN8" s="15"/>
      <c r="GDO8" s="15"/>
      <c r="GDP8" s="15"/>
      <c r="GDQ8" s="15"/>
      <c r="GDR8" s="15"/>
      <c r="GDS8" s="15"/>
      <c r="GDT8" s="15"/>
      <c r="GDU8" s="15"/>
      <c r="GDV8" s="15"/>
      <c r="GDW8" s="15"/>
      <c r="GDX8" s="15"/>
      <c r="GDY8" s="15"/>
      <c r="GDZ8" s="15"/>
      <c r="GEA8" s="15"/>
      <c r="GEB8" s="15"/>
      <c r="GEC8" s="15"/>
      <c r="GED8" s="15"/>
      <c r="GEE8" s="15"/>
      <c r="GEF8" s="15"/>
      <c r="GEG8" s="15"/>
      <c r="GEH8" s="15"/>
      <c r="GEI8" s="15"/>
      <c r="GEJ8" s="15"/>
      <c r="GEK8" s="15"/>
      <c r="GEL8" s="15"/>
      <c r="GEM8" s="15"/>
      <c r="GEN8" s="15"/>
      <c r="GEO8" s="15"/>
      <c r="GEP8" s="15"/>
      <c r="GEQ8" s="15"/>
      <c r="GER8" s="15"/>
      <c r="GES8" s="15"/>
      <c r="GET8" s="15"/>
      <c r="GEU8" s="15"/>
      <c r="GEV8" s="15"/>
      <c r="GEW8" s="15"/>
      <c r="GEX8" s="15"/>
      <c r="GEY8" s="15"/>
      <c r="GEZ8" s="15"/>
      <c r="GFA8" s="15"/>
      <c r="GFB8" s="15"/>
      <c r="GFC8" s="15"/>
      <c r="GFD8" s="15"/>
      <c r="GFE8" s="15"/>
      <c r="GFF8" s="15"/>
      <c r="GFG8" s="15"/>
      <c r="GFH8" s="15"/>
      <c r="GFI8" s="15"/>
      <c r="GFJ8" s="15"/>
      <c r="GFK8" s="15"/>
      <c r="GFL8" s="15"/>
      <c r="GFM8" s="15"/>
      <c r="GFN8" s="15"/>
      <c r="GFO8" s="15"/>
      <c r="GFP8" s="15"/>
      <c r="GFQ8" s="15"/>
      <c r="GFR8" s="15"/>
      <c r="GFS8" s="15"/>
      <c r="GFT8" s="15"/>
      <c r="GFU8" s="15"/>
      <c r="GFV8" s="15"/>
      <c r="GFW8" s="15"/>
      <c r="GFX8" s="15"/>
      <c r="GFY8" s="15"/>
      <c r="GFZ8" s="15"/>
      <c r="GGA8" s="15"/>
      <c r="GGB8" s="15"/>
      <c r="GGC8" s="15"/>
      <c r="GGD8" s="15"/>
      <c r="GGE8" s="15"/>
      <c r="GGF8" s="15"/>
      <c r="GGG8" s="15"/>
      <c r="GGH8" s="15"/>
      <c r="GGI8" s="15"/>
      <c r="GGJ8" s="15"/>
      <c r="GGK8" s="15"/>
      <c r="GGL8" s="15"/>
      <c r="GGM8" s="15"/>
      <c r="GGN8" s="15"/>
      <c r="GGO8" s="15"/>
      <c r="GGP8" s="15"/>
      <c r="GGQ8" s="15"/>
      <c r="GGR8" s="15"/>
      <c r="GGS8" s="15"/>
      <c r="GGT8" s="15"/>
      <c r="GGU8" s="15"/>
      <c r="GGV8" s="15"/>
      <c r="GGW8" s="15"/>
      <c r="GGX8" s="15"/>
      <c r="GGY8" s="15"/>
      <c r="GGZ8" s="15"/>
      <c r="GHA8" s="15"/>
      <c r="GHB8" s="15"/>
      <c r="GHC8" s="15"/>
      <c r="GHD8" s="15"/>
      <c r="GHE8" s="15"/>
      <c r="GHF8" s="15"/>
      <c r="GHG8" s="15"/>
      <c r="GHH8" s="15"/>
      <c r="GHI8" s="15"/>
      <c r="GHJ8" s="15"/>
      <c r="GHK8" s="15"/>
      <c r="GHL8" s="15"/>
      <c r="GHM8" s="15"/>
      <c r="GHN8" s="15"/>
      <c r="GHO8" s="15"/>
      <c r="GHP8" s="15"/>
      <c r="GHQ8" s="15"/>
      <c r="GHR8" s="15"/>
      <c r="GHS8" s="15"/>
      <c r="GHT8" s="15"/>
      <c r="GHU8" s="15"/>
      <c r="GHV8" s="15"/>
      <c r="GHW8" s="15"/>
      <c r="GHX8" s="15"/>
      <c r="GHY8" s="15"/>
      <c r="GHZ8" s="15"/>
      <c r="GIA8" s="15"/>
      <c r="GIB8" s="15"/>
      <c r="GIC8" s="15"/>
      <c r="GID8" s="15"/>
      <c r="GIE8" s="15"/>
      <c r="GIF8" s="15"/>
      <c r="GIG8" s="15"/>
      <c r="GIH8" s="15"/>
      <c r="GII8" s="15"/>
      <c r="GIJ8" s="15"/>
      <c r="GIK8" s="15"/>
      <c r="GIL8" s="15"/>
      <c r="GIM8" s="15"/>
      <c r="GIN8" s="15"/>
      <c r="GIO8" s="15"/>
      <c r="GIP8" s="15"/>
      <c r="GIQ8" s="15"/>
      <c r="GIR8" s="15"/>
      <c r="GIS8" s="15"/>
      <c r="GIT8" s="15"/>
      <c r="GIU8" s="15"/>
      <c r="GIV8" s="15"/>
      <c r="GIW8" s="15"/>
      <c r="GIX8" s="15"/>
      <c r="GIY8" s="15"/>
      <c r="GIZ8" s="15"/>
      <c r="GJA8" s="15"/>
      <c r="GJB8" s="15"/>
      <c r="GJC8" s="15"/>
      <c r="GJD8" s="15"/>
      <c r="GJE8" s="15"/>
      <c r="GJF8" s="15"/>
      <c r="GJG8" s="15"/>
      <c r="GJH8" s="15"/>
      <c r="GJI8" s="15"/>
      <c r="GJJ8" s="15"/>
      <c r="GJK8" s="15"/>
      <c r="GJL8" s="15"/>
      <c r="GJM8" s="15"/>
      <c r="GJN8" s="15"/>
      <c r="GJO8" s="15"/>
      <c r="GJP8" s="15"/>
      <c r="GJQ8" s="15"/>
      <c r="GJR8" s="15"/>
      <c r="GJS8" s="15"/>
      <c r="GJT8" s="15"/>
      <c r="GJU8" s="15"/>
      <c r="GJV8" s="15"/>
      <c r="GJW8" s="15"/>
      <c r="GJX8" s="15"/>
      <c r="GJY8" s="15"/>
      <c r="GJZ8" s="15"/>
      <c r="GKA8" s="15"/>
      <c r="GKB8" s="15"/>
      <c r="GKC8" s="15"/>
      <c r="GKD8" s="15"/>
      <c r="GKE8" s="15"/>
      <c r="GKF8" s="15"/>
      <c r="GKG8" s="15"/>
      <c r="GKH8" s="15"/>
      <c r="GKI8" s="15"/>
      <c r="GKJ8" s="15"/>
      <c r="GKK8" s="15"/>
      <c r="GKL8" s="15"/>
      <c r="GKM8" s="15"/>
      <c r="GKN8" s="15"/>
      <c r="GKO8" s="15"/>
      <c r="GKP8" s="15"/>
      <c r="GKQ8" s="15"/>
      <c r="GKR8" s="15"/>
      <c r="GKS8" s="15"/>
      <c r="GKT8" s="15"/>
      <c r="GKU8" s="15"/>
      <c r="GKV8" s="15"/>
      <c r="GKW8" s="15"/>
      <c r="GKX8" s="15"/>
      <c r="GKY8" s="15"/>
      <c r="GKZ8" s="15"/>
      <c r="GLA8" s="15"/>
      <c r="GLB8" s="15"/>
      <c r="GLC8" s="15"/>
      <c r="GLD8" s="15"/>
      <c r="GLE8" s="15"/>
      <c r="GLF8" s="15"/>
      <c r="GLG8" s="15"/>
      <c r="GLH8" s="15"/>
      <c r="GLI8" s="15"/>
      <c r="GLJ8" s="15"/>
      <c r="GLK8" s="15"/>
      <c r="GLL8" s="15"/>
      <c r="GLM8" s="15"/>
      <c r="GLN8" s="15"/>
      <c r="GLO8" s="15"/>
      <c r="GLP8" s="15"/>
      <c r="GLQ8" s="15"/>
      <c r="GLR8" s="15"/>
      <c r="GLS8" s="15"/>
      <c r="GLT8" s="15"/>
      <c r="GLU8" s="15"/>
      <c r="GLV8" s="15"/>
      <c r="GLW8" s="15"/>
      <c r="GLX8" s="15"/>
      <c r="GLY8" s="15"/>
      <c r="GLZ8" s="15"/>
      <c r="GMA8" s="15"/>
      <c r="GMB8" s="15"/>
      <c r="GMC8" s="15"/>
      <c r="GMD8" s="15"/>
      <c r="GME8" s="15"/>
      <c r="GMF8" s="15"/>
      <c r="GMG8" s="15"/>
      <c r="GMH8" s="15"/>
      <c r="GMI8" s="15"/>
      <c r="GMJ8" s="15"/>
      <c r="GMK8" s="15"/>
      <c r="GML8" s="15"/>
      <c r="GMM8" s="15"/>
      <c r="GMN8" s="15"/>
      <c r="GMO8" s="15"/>
      <c r="GMP8" s="15"/>
      <c r="GMQ8" s="15"/>
      <c r="GMR8" s="15"/>
      <c r="GMS8" s="15"/>
      <c r="GMT8" s="15"/>
      <c r="GMU8" s="15"/>
      <c r="GMV8" s="15"/>
      <c r="GMW8" s="15"/>
      <c r="GMX8" s="15"/>
      <c r="GMY8" s="15"/>
      <c r="GMZ8" s="15"/>
      <c r="GNA8" s="15"/>
      <c r="GNB8" s="15"/>
      <c r="GNC8" s="15"/>
      <c r="GND8" s="15"/>
      <c r="GNE8" s="15"/>
      <c r="GNF8" s="15"/>
      <c r="GNG8" s="15"/>
      <c r="GNH8" s="15"/>
      <c r="GNI8" s="15"/>
      <c r="GNJ8" s="15"/>
      <c r="GNK8" s="15"/>
      <c r="GNL8" s="15"/>
      <c r="GNM8" s="15"/>
      <c r="GNN8" s="15"/>
      <c r="GNO8" s="15"/>
      <c r="GNP8" s="15"/>
      <c r="GNQ8" s="15"/>
      <c r="GNR8" s="15"/>
      <c r="GNS8" s="15"/>
      <c r="GNT8" s="15"/>
      <c r="GNU8" s="15"/>
      <c r="GNV8" s="15"/>
      <c r="GNW8" s="15"/>
      <c r="GNX8" s="15"/>
      <c r="GNY8" s="15"/>
      <c r="GNZ8" s="15"/>
      <c r="GOA8" s="15"/>
      <c r="GOB8" s="15"/>
      <c r="GOC8" s="15"/>
      <c r="GOD8" s="15"/>
      <c r="GOE8" s="15"/>
      <c r="GOF8" s="15"/>
      <c r="GOG8" s="15"/>
      <c r="GOH8" s="15"/>
      <c r="GOI8" s="15"/>
      <c r="GOJ8" s="15"/>
      <c r="GOK8" s="15"/>
      <c r="GOL8" s="15"/>
      <c r="GOM8" s="15"/>
      <c r="GON8" s="15"/>
      <c r="GOO8" s="15"/>
      <c r="GOP8" s="15"/>
      <c r="GOQ8" s="15"/>
      <c r="GOR8" s="15"/>
      <c r="GOS8" s="15"/>
      <c r="GOT8" s="15"/>
      <c r="GOU8" s="15"/>
      <c r="GOV8" s="15"/>
      <c r="GOW8" s="15"/>
      <c r="GOX8" s="15"/>
      <c r="GOY8" s="15"/>
      <c r="GOZ8" s="15"/>
      <c r="GPA8" s="15"/>
      <c r="GPB8" s="15"/>
      <c r="GPC8" s="15"/>
      <c r="GPD8" s="15"/>
      <c r="GPE8" s="15"/>
      <c r="GPF8" s="15"/>
      <c r="GPG8" s="15"/>
      <c r="GPH8" s="15"/>
      <c r="GPI8" s="15"/>
      <c r="GPJ8" s="15"/>
      <c r="GPK8" s="15"/>
      <c r="GPL8" s="15"/>
      <c r="GPM8" s="15"/>
      <c r="GPN8" s="15"/>
      <c r="GPO8" s="15"/>
      <c r="GPP8" s="15"/>
      <c r="GPQ8" s="15"/>
      <c r="GPR8" s="15"/>
      <c r="GPS8" s="15"/>
      <c r="GPT8" s="15"/>
      <c r="GPU8" s="15"/>
      <c r="GPV8" s="15"/>
      <c r="GPW8" s="15"/>
      <c r="GPX8" s="15"/>
      <c r="GPY8" s="15"/>
      <c r="GPZ8" s="15"/>
      <c r="GQA8" s="15"/>
      <c r="GQB8" s="15"/>
      <c r="GQC8" s="15"/>
      <c r="GQD8" s="15"/>
      <c r="GQE8" s="15"/>
      <c r="GQF8" s="15"/>
      <c r="GQG8" s="15"/>
      <c r="GQH8" s="15"/>
      <c r="GQI8" s="15"/>
      <c r="GQJ8" s="15"/>
      <c r="GQK8" s="15"/>
      <c r="GQL8" s="15"/>
      <c r="GQM8" s="15"/>
      <c r="GQN8" s="15"/>
      <c r="GQO8" s="15"/>
      <c r="GQP8" s="15"/>
      <c r="GQQ8" s="15"/>
      <c r="GQR8" s="15"/>
      <c r="GQS8" s="15"/>
      <c r="GQT8" s="15"/>
      <c r="GQU8" s="15"/>
      <c r="GQV8" s="15"/>
      <c r="GQW8" s="15"/>
      <c r="GQX8" s="15"/>
      <c r="GQY8" s="15"/>
      <c r="GQZ8" s="15"/>
      <c r="GRA8" s="15"/>
      <c r="GRB8" s="15"/>
      <c r="GRC8" s="15"/>
      <c r="GRD8" s="15"/>
      <c r="GRE8" s="15"/>
      <c r="GRF8" s="15"/>
      <c r="GRG8" s="15"/>
      <c r="GRH8" s="15"/>
      <c r="GRI8" s="15"/>
      <c r="GRJ8" s="15"/>
      <c r="GRK8" s="15"/>
      <c r="GRL8" s="15"/>
      <c r="GRM8" s="15"/>
      <c r="GRN8" s="15"/>
      <c r="GRO8" s="15"/>
      <c r="GRP8" s="15"/>
      <c r="GRQ8" s="15"/>
      <c r="GRR8" s="15"/>
      <c r="GRS8" s="15"/>
      <c r="GRT8" s="15"/>
      <c r="GRU8" s="15"/>
      <c r="GRV8" s="15"/>
      <c r="GRW8" s="15"/>
      <c r="GRX8" s="15"/>
      <c r="GRY8" s="15"/>
      <c r="GRZ8" s="15"/>
      <c r="GSA8" s="15"/>
      <c r="GSB8" s="15"/>
      <c r="GSC8" s="15"/>
      <c r="GSD8" s="15"/>
      <c r="GSE8" s="15"/>
      <c r="GSF8" s="15"/>
      <c r="GSG8" s="15"/>
      <c r="GSH8" s="15"/>
      <c r="GSI8" s="15"/>
      <c r="GSJ8" s="15"/>
      <c r="GSK8" s="15"/>
      <c r="GSL8" s="15"/>
      <c r="GSM8" s="15"/>
      <c r="GSN8" s="15"/>
      <c r="GSO8" s="15"/>
      <c r="GSP8" s="15"/>
      <c r="GSQ8" s="15"/>
      <c r="GSR8" s="15"/>
      <c r="GSS8" s="15"/>
      <c r="GST8" s="15"/>
      <c r="GSU8" s="15"/>
      <c r="GSV8" s="15"/>
      <c r="GSW8" s="15"/>
      <c r="GSX8" s="15"/>
      <c r="GSY8" s="15"/>
      <c r="GSZ8" s="15"/>
      <c r="GTA8" s="15"/>
      <c r="GTB8" s="15"/>
      <c r="GTC8" s="15"/>
      <c r="GTD8" s="15"/>
      <c r="GTE8" s="15"/>
      <c r="GTF8" s="15"/>
      <c r="GTG8" s="15"/>
      <c r="GTH8" s="15"/>
      <c r="GTI8" s="15"/>
      <c r="GTJ8" s="15"/>
      <c r="GTK8" s="15"/>
      <c r="GTL8" s="15"/>
      <c r="GTM8" s="15"/>
      <c r="GTN8" s="15"/>
      <c r="GTO8" s="15"/>
      <c r="GTP8" s="15"/>
      <c r="GTQ8" s="15"/>
      <c r="GTR8" s="15"/>
      <c r="GTS8" s="15"/>
      <c r="GTT8" s="15"/>
      <c r="GTU8" s="15"/>
      <c r="GTV8" s="15"/>
      <c r="GTW8" s="15"/>
      <c r="GTX8" s="15"/>
      <c r="GTY8" s="15"/>
      <c r="GTZ8" s="15"/>
      <c r="GUA8" s="15"/>
      <c r="GUB8" s="15"/>
      <c r="GUC8" s="15"/>
      <c r="GUD8" s="15"/>
      <c r="GUE8" s="15"/>
      <c r="GUF8" s="15"/>
      <c r="GUG8" s="15"/>
      <c r="GUH8" s="15"/>
      <c r="GUI8" s="15"/>
      <c r="GUJ8" s="15"/>
      <c r="GUK8" s="15"/>
      <c r="GUL8" s="15"/>
      <c r="GUM8" s="15"/>
      <c r="GUN8" s="15"/>
      <c r="GUO8" s="15"/>
      <c r="GUP8" s="15"/>
      <c r="GUQ8" s="15"/>
      <c r="GUR8" s="15"/>
      <c r="GUS8" s="15"/>
      <c r="GUT8" s="15"/>
      <c r="GUU8" s="15"/>
      <c r="GUV8" s="15"/>
      <c r="GUW8" s="15"/>
      <c r="GUX8" s="15"/>
      <c r="GUY8" s="15"/>
      <c r="GUZ8" s="15"/>
      <c r="GVA8" s="15"/>
      <c r="GVB8" s="15"/>
      <c r="GVC8" s="15"/>
      <c r="GVD8" s="15"/>
      <c r="GVE8" s="15"/>
      <c r="GVF8" s="15"/>
      <c r="GVG8" s="15"/>
      <c r="GVH8" s="15"/>
      <c r="GVI8" s="15"/>
      <c r="GVJ8" s="15"/>
      <c r="GVK8" s="15"/>
      <c r="GVL8" s="15"/>
      <c r="GVM8" s="15"/>
      <c r="GVN8" s="15"/>
      <c r="GVO8" s="15"/>
      <c r="GVP8" s="15"/>
      <c r="GVQ8" s="15"/>
      <c r="GVR8" s="15"/>
      <c r="GVS8" s="15"/>
      <c r="GVT8" s="15"/>
      <c r="GVU8" s="15"/>
      <c r="GVV8" s="15"/>
      <c r="GVW8" s="15"/>
      <c r="GVX8" s="15"/>
      <c r="GVY8" s="15"/>
      <c r="GVZ8" s="15"/>
      <c r="GWA8" s="15"/>
      <c r="GWB8" s="15"/>
      <c r="GWC8" s="15"/>
      <c r="GWD8" s="15"/>
      <c r="GWE8" s="15"/>
      <c r="GWF8" s="15"/>
      <c r="GWG8" s="15"/>
      <c r="GWH8" s="15"/>
      <c r="GWI8" s="15"/>
      <c r="GWJ8" s="15"/>
      <c r="GWK8" s="15"/>
      <c r="GWL8" s="15"/>
      <c r="GWM8" s="15"/>
      <c r="GWN8" s="15"/>
      <c r="GWO8" s="15"/>
      <c r="GWP8" s="15"/>
      <c r="GWQ8" s="15"/>
      <c r="GWR8" s="15"/>
      <c r="GWS8" s="15"/>
      <c r="GWT8" s="15"/>
      <c r="GWU8" s="15"/>
      <c r="GWV8" s="15"/>
      <c r="GWW8" s="15"/>
      <c r="GWX8" s="15"/>
      <c r="GWY8" s="15"/>
      <c r="GWZ8" s="15"/>
      <c r="GXA8" s="15"/>
      <c r="GXB8" s="15"/>
      <c r="GXC8" s="15"/>
      <c r="GXD8" s="15"/>
      <c r="GXE8" s="15"/>
      <c r="GXF8" s="15"/>
      <c r="GXG8" s="15"/>
      <c r="GXH8" s="15"/>
      <c r="GXI8" s="15"/>
      <c r="GXJ8" s="15"/>
      <c r="GXK8" s="15"/>
      <c r="GXL8" s="15"/>
      <c r="GXM8" s="15"/>
      <c r="GXN8" s="15"/>
      <c r="GXO8" s="15"/>
      <c r="GXP8" s="15"/>
      <c r="GXQ8" s="15"/>
      <c r="GXR8" s="15"/>
      <c r="GXS8" s="15"/>
      <c r="GXT8" s="15"/>
      <c r="GXU8" s="15"/>
      <c r="GXV8" s="15"/>
      <c r="GXW8" s="15"/>
      <c r="GXX8" s="15"/>
      <c r="GXY8" s="15"/>
      <c r="GXZ8" s="15"/>
      <c r="GYA8" s="15"/>
      <c r="GYB8" s="15"/>
      <c r="GYC8" s="15"/>
      <c r="GYD8" s="15"/>
      <c r="GYE8" s="15"/>
      <c r="GYF8" s="15"/>
      <c r="GYG8" s="15"/>
      <c r="GYH8" s="15"/>
      <c r="GYI8" s="15"/>
      <c r="GYJ8" s="15"/>
      <c r="GYK8" s="15"/>
      <c r="GYL8" s="15"/>
      <c r="GYM8" s="15"/>
      <c r="GYN8" s="15"/>
      <c r="GYO8" s="15"/>
      <c r="GYP8" s="15"/>
      <c r="GYQ8" s="15"/>
      <c r="GYR8" s="15"/>
      <c r="GYS8" s="15"/>
      <c r="GYT8" s="15"/>
      <c r="GYU8" s="15"/>
      <c r="GYV8" s="15"/>
      <c r="GYW8" s="15"/>
      <c r="GYX8" s="15"/>
      <c r="GYY8" s="15"/>
      <c r="GYZ8" s="15"/>
      <c r="GZA8" s="15"/>
      <c r="GZB8" s="15"/>
      <c r="GZC8" s="15"/>
      <c r="GZD8" s="15"/>
      <c r="GZE8" s="15"/>
      <c r="GZF8" s="15"/>
      <c r="GZG8" s="15"/>
      <c r="GZH8" s="15"/>
      <c r="GZI8" s="15"/>
      <c r="GZJ8" s="15"/>
      <c r="GZK8" s="15"/>
      <c r="GZL8" s="15"/>
      <c r="GZM8" s="15"/>
      <c r="GZN8" s="15"/>
      <c r="GZO8" s="15"/>
      <c r="GZP8" s="15"/>
      <c r="GZQ8" s="15"/>
      <c r="GZR8" s="15"/>
      <c r="GZS8" s="15"/>
      <c r="GZT8" s="15"/>
      <c r="GZU8" s="15"/>
      <c r="GZV8" s="15"/>
      <c r="GZW8" s="15"/>
      <c r="GZX8" s="15"/>
      <c r="GZY8" s="15"/>
      <c r="GZZ8" s="15"/>
      <c r="HAA8" s="15"/>
      <c r="HAB8" s="15"/>
      <c r="HAC8" s="15"/>
      <c r="HAD8" s="15"/>
      <c r="HAE8" s="15"/>
      <c r="HAF8" s="15"/>
      <c r="HAG8" s="15"/>
      <c r="HAH8" s="15"/>
      <c r="HAI8" s="15"/>
      <c r="HAJ8" s="15"/>
      <c r="HAK8" s="15"/>
      <c r="HAL8" s="15"/>
      <c r="HAM8" s="15"/>
      <c r="HAN8" s="15"/>
      <c r="HAO8" s="15"/>
      <c r="HAP8" s="15"/>
      <c r="HAQ8" s="15"/>
      <c r="HAR8" s="15"/>
      <c r="HAS8" s="15"/>
      <c r="HAT8" s="15"/>
      <c r="HAU8" s="15"/>
      <c r="HAV8" s="15"/>
      <c r="HAW8" s="15"/>
      <c r="HAX8" s="15"/>
      <c r="HAY8" s="15"/>
      <c r="HAZ8" s="15"/>
      <c r="HBA8" s="15"/>
      <c r="HBB8" s="15"/>
      <c r="HBC8" s="15"/>
      <c r="HBD8" s="15"/>
      <c r="HBE8" s="15"/>
      <c r="HBF8" s="15"/>
      <c r="HBG8" s="15"/>
      <c r="HBH8" s="15"/>
      <c r="HBI8" s="15"/>
      <c r="HBJ8" s="15"/>
      <c r="HBK8" s="15"/>
      <c r="HBL8" s="15"/>
      <c r="HBM8" s="15"/>
      <c r="HBN8" s="15"/>
      <c r="HBO8" s="15"/>
      <c r="HBP8" s="15"/>
      <c r="HBQ8" s="15"/>
      <c r="HBR8" s="15"/>
      <c r="HBS8" s="15"/>
      <c r="HBT8" s="15"/>
      <c r="HBU8" s="15"/>
      <c r="HBV8" s="15"/>
      <c r="HBW8" s="15"/>
      <c r="HBX8" s="15"/>
      <c r="HBY8" s="15"/>
      <c r="HBZ8" s="15"/>
      <c r="HCA8" s="15"/>
      <c r="HCB8" s="15"/>
      <c r="HCC8" s="15"/>
      <c r="HCD8" s="15"/>
      <c r="HCE8" s="15"/>
      <c r="HCF8" s="15"/>
      <c r="HCG8" s="15"/>
      <c r="HCH8" s="15"/>
      <c r="HCI8" s="15"/>
      <c r="HCJ8" s="15"/>
      <c r="HCK8" s="15"/>
      <c r="HCL8" s="15"/>
      <c r="HCM8" s="15"/>
      <c r="HCN8" s="15"/>
      <c r="HCO8" s="15"/>
      <c r="HCP8" s="15"/>
      <c r="HCQ8" s="15"/>
      <c r="HCR8" s="15"/>
      <c r="HCS8" s="15"/>
      <c r="HCT8" s="15"/>
      <c r="HCU8" s="15"/>
      <c r="HCV8" s="15"/>
      <c r="HCW8" s="15"/>
      <c r="HCX8" s="15"/>
      <c r="HCY8" s="15"/>
      <c r="HCZ8" s="15"/>
      <c r="HDA8" s="15"/>
      <c r="HDB8" s="15"/>
      <c r="HDC8" s="15"/>
      <c r="HDD8" s="15"/>
      <c r="HDE8" s="15"/>
      <c r="HDF8" s="15"/>
      <c r="HDG8" s="15"/>
      <c r="HDH8" s="15"/>
      <c r="HDI8" s="15"/>
      <c r="HDJ8" s="15"/>
      <c r="HDK8" s="15"/>
      <c r="HDL8" s="15"/>
      <c r="HDM8" s="15"/>
      <c r="HDN8" s="15"/>
      <c r="HDO8" s="15"/>
      <c r="HDP8" s="15"/>
      <c r="HDQ8" s="15"/>
      <c r="HDR8" s="15"/>
      <c r="HDS8" s="15"/>
      <c r="HDT8" s="15"/>
      <c r="HDU8" s="15"/>
      <c r="HDV8" s="15"/>
      <c r="HDW8" s="15"/>
      <c r="HDX8" s="15"/>
      <c r="HDY8" s="15"/>
      <c r="HDZ8" s="15"/>
      <c r="HEA8" s="15"/>
      <c r="HEB8" s="15"/>
      <c r="HEC8" s="15"/>
      <c r="HED8" s="15"/>
      <c r="HEE8" s="15"/>
      <c r="HEF8" s="15"/>
      <c r="HEG8" s="15"/>
      <c r="HEH8" s="15"/>
      <c r="HEI8" s="15"/>
      <c r="HEJ8" s="15"/>
      <c r="HEK8" s="15"/>
      <c r="HEL8" s="15"/>
      <c r="HEM8" s="15"/>
      <c r="HEN8" s="15"/>
      <c r="HEO8" s="15"/>
      <c r="HEP8" s="15"/>
      <c r="HEQ8" s="15"/>
      <c r="HER8" s="15"/>
      <c r="HES8" s="15"/>
      <c r="HET8" s="15"/>
      <c r="HEU8" s="15"/>
      <c r="HEV8" s="15"/>
      <c r="HEW8" s="15"/>
      <c r="HEX8" s="15"/>
      <c r="HEY8" s="15"/>
      <c r="HEZ8" s="15"/>
      <c r="HFA8" s="15"/>
      <c r="HFB8" s="15"/>
      <c r="HFC8" s="15"/>
      <c r="HFD8" s="15"/>
      <c r="HFE8" s="15"/>
      <c r="HFF8" s="15"/>
      <c r="HFG8" s="15"/>
      <c r="HFH8" s="15"/>
      <c r="HFI8" s="15"/>
      <c r="HFJ8" s="15"/>
      <c r="HFK8" s="15"/>
      <c r="HFL8" s="15"/>
      <c r="HFM8" s="15"/>
      <c r="HFN8" s="15"/>
      <c r="HFO8" s="15"/>
      <c r="HFP8" s="15"/>
      <c r="HFQ8" s="15"/>
      <c r="HFR8" s="15"/>
      <c r="HFS8" s="15"/>
      <c r="HFT8" s="15"/>
      <c r="HFU8" s="15"/>
      <c r="HFV8" s="15"/>
      <c r="HFW8" s="15"/>
      <c r="HFX8" s="15"/>
      <c r="HFY8" s="15"/>
      <c r="HFZ8" s="15"/>
      <c r="HGA8" s="15"/>
      <c r="HGB8" s="15"/>
      <c r="HGC8" s="15"/>
      <c r="HGD8" s="15"/>
      <c r="HGE8" s="15"/>
      <c r="HGF8" s="15"/>
      <c r="HGG8" s="15"/>
      <c r="HGH8" s="15"/>
      <c r="HGI8" s="15"/>
      <c r="HGJ8" s="15"/>
      <c r="HGK8" s="15"/>
      <c r="HGL8" s="15"/>
      <c r="HGM8" s="15"/>
      <c r="HGN8" s="15"/>
      <c r="HGO8" s="15"/>
      <c r="HGP8" s="15"/>
      <c r="HGQ8" s="15"/>
      <c r="HGR8" s="15"/>
      <c r="HGS8" s="15"/>
      <c r="HGT8" s="15"/>
      <c r="HGU8" s="15"/>
      <c r="HGV8" s="15"/>
      <c r="HGW8" s="15"/>
      <c r="HGX8" s="15"/>
      <c r="HGY8" s="15"/>
      <c r="HGZ8" s="15"/>
      <c r="HHA8" s="15"/>
      <c r="HHB8" s="15"/>
      <c r="HHC8" s="15"/>
      <c r="HHD8" s="15"/>
      <c r="HHE8" s="15"/>
      <c r="HHF8" s="15"/>
      <c r="HHG8" s="15"/>
      <c r="HHH8" s="15"/>
      <c r="HHI8" s="15"/>
      <c r="HHJ8" s="15"/>
      <c r="HHK8" s="15"/>
      <c r="HHL8" s="15"/>
      <c r="HHM8" s="15"/>
      <c r="HHN8" s="15"/>
      <c r="HHO8" s="15"/>
      <c r="HHP8" s="15"/>
      <c r="HHQ8" s="15"/>
      <c r="HHR8" s="15"/>
      <c r="HHS8" s="15"/>
      <c r="HHT8" s="15"/>
      <c r="HHU8" s="15"/>
      <c r="HHV8" s="15"/>
      <c r="HHW8" s="15"/>
      <c r="HHX8" s="15"/>
      <c r="HHY8" s="15"/>
      <c r="HHZ8" s="15"/>
      <c r="HIA8" s="15"/>
      <c r="HIB8" s="15"/>
      <c r="HIC8" s="15"/>
      <c r="HID8" s="15"/>
      <c r="HIE8" s="15"/>
      <c r="HIF8" s="15"/>
      <c r="HIG8" s="15"/>
      <c r="HIH8" s="15"/>
      <c r="HII8" s="15"/>
      <c r="HIJ8" s="15"/>
      <c r="HIK8" s="15"/>
      <c r="HIL8" s="15"/>
      <c r="HIM8" s="15"/>
      <c r="HIN8" s="15"/>
      <c r="HIO8" s="15"/>
      <c r="HIP8" s="15"/>
      <c r="HIQ8" s="15"/>
      <c r="HIR8" s="15"/>
      <c r="HIS8" s="15"/>
      <c r="HIT8" s="15"/>
      <c r="HIU8" s="15"/>
      <c r="HIV8" s="15"/>
      <c r="HIW8" s="15"/>
      <c r="HIX8" s="15"/>
      <c r="HIY8" s="15"/>
      <c r="HIZ8" s="15"/>
      <c r="HJA8" s="15"/>
      <c r="HJB8" s="15"/>
      <c r="HJC8" s="15"/>
      <c r="HJD8" s="15"/>
      <c r="HJE8" s="15"/>
      <c r="HJF8" s="15"/>
      <c r="HJG8" s="15"/>
      <c r="HJH8" s="15"/>
      <c r="HJI8" s="15"/>
      <c r="HJJ8" s="15"/>
      <c r="HJK8" s="15"/>
      <c r="HJL8" s="15"/>
      <c r="HJM8" s="15"/>
      <c r="HJN8" s="15"/>
      <c r="HJO8" s="15"/>
      <c r="HJP8" s="15"/>
      <c r="HJQ8" s="15"/>
      <c r="HJR8" s="15"/>
      <c r="HJS8" s="15"/>
      <c r="HJT8" s="15"/>
      <c r="HJU8" s="15"/>
      <c r="HJV8" s="15"/>
      <c r="HJW8" s="15"/>
      <c r="HJX8" s="15"/>
      <c r="HJY8" s="15"/>
      <c r="HJZ8" s="15"/>
      <c r="HKA8" s="15"/>
      <c r="HKB8" s="15"/>
      <c r="HKC8" s="15"/>
      <c r="HKD8" s="15"/>
      <c r="HKE8" s="15"/>
      <c r="HKF8" s="15"/>
      <c r="HKG8" s="15"/>
      <c r="HKH8" s="15"/>
      <c r="HKI8" s="15"/>
      <c r="HKJ8" s="15"/>
      <c r="HKK8" s="15"/>
      <c r="HKL8" s="15"/>
      <c r="HKM8" s="15"/>
      <c r="HKN8" s="15"/>
      <c r="HKO8" s="15"/>
      <c r="HKP8" s="15"/>
      <c r="HKQ8" s="15"/>
      <c r="HKR8" s="15"/>
      <c r="HKS8" s="15"/>
      <c r="HKT8" s="15"/>
      <c r="HKU8" s="15"/>
      <c r="HKV8" s="15"/>
      <c r="HKW8" s="15"/>
      <c r="HKX8" s="15"/>
      <c r="HKY8" s="15"/>
      <c r="HKZ8" s="15"/>
      <c r="HLA8" s="15"/>
      <c r="HLB8" s="15"/>
      <c r="HLC8" s="15"/>
      <c r="HLD8" s="15"/>
      <c r="HLE8" s="15"/>
      <c r="HLF8" s="15"/>
      <c r="HLG8" s="15"/>
      <c r="HLH8" s="15"/>
      <c r="HLI8" s="15"/>
      <c r="HLJ8" s="15"/>
      <c r="HLK8" s="15"/>
      <c r="HLL8" s="15"/>
      <c r="HLM8" s="15"/>
      <c r="HLN8" s="15"/>
      <c r="HLO8" s="15"/>
      <c r="HLP8" s="15"/>
      <c r="HLQ8" s="15"/>
      <c r="HLR8" s="15"/>
      <c r="HLS8" s="15"/>
      <c r="HLT8" s="15"/>
      <c r="HLU8" s="15"/>
      <c r="HLV8" s="15"/>
      <c r="HLW8" s="15"/>
      <c r="HLX8" s="15"/>
      <c r="HLY8" s="15"/>
      <c r="HLZ8" s="15"/>
      <c r="HMA8" s="15"/>
      <c r="HMB8" s="15"/>
      <c r="HMC8" s="15"/>
      <c r="HMD8" s="15"/>
      <c r="HME8" s="15"/>
      <c r="HMF8" s="15"/>
      <c r="HMG8" s="15"/>
      <c r="HMH8" s="15"/>
      <c r="HMI8" s="15"/>
      <c r="HMJ8" s="15"/>
      <c r="HMK8" s="15"/>
      <c r="HML8" s="15"/>
      <c r="HMM8" s="15"/>
      <c r="HMN8" s="15"/>
      <c r="HMO8" s="15"/>
      <c r="HMP8" s="15"/>
      <c r="HMQ8" s="15"/>
      <c r="HMR8" s="15"/>
      <c r="HMS8" s="15"/>
      <c r="HMT8" s="15"/>
      <c r="HMU8" s="15"/>
      <c r="HMV8" s="15"/>
      <c r="HMW8" s="15"/>
      <c r="HMX8" s="15"/>
      <c r="HMY8" s="15"/>
      <c r="HMZ8" s="15"/>
      <c r="HNA8" s="15"/>
      <c r="HNB8" s="15"/>
      <c r="HNC8" s="15"/>
      <c r="HND8" s="15"/>
      <c r="HNE8" s="15"/>
      <c r="HNF8" s="15"/>
      <c r="HNG8" s="15"/>
      <c r="HNH8" s="15"/>
      <c r="HNI8" s="15"/>
      <c r="HNJ8" s="15"/>
      <c r="HNK8" s="15"/>
      <c r="HNL8" s="15"/>
      <c r="HNM8" s="15"/>
      <c r="HNN8" s="15"/>
      <c r="HNO8" s="15"/>
      <c r="HNP8" s="15"/>
      <c r="HNQ8" s="15"/>
      <c r="HNR8" s="15"/>
      <c r="HNS8" s="15"/>
      <c r="HNT8" s="15"/>
      <c r="HNU8" s="15"/>
      <c r="HNV8" s="15"/>
      <c r="HNW8" s="15"/>
      <c r="HNX8" s="15"/>
      <c r="HNY8" s="15"/>
      <c r="HNZ8" s="15"/>
      <c r="HOA8" s="15"/>
      <c r="HOB8" s="15"/>
      <c r="HOC8" s="15"/>
      <c r="HOD8" s="15"/>
      <c r="HOE8" s="15"/>
      <c r="HOF8" s="15"/>
      <c r="HOG8" s="15"/>
      <c r="HOH8" s="15"/>
      <c r="HOI8" s="15"/>
      <c r="HOJ8" s="15"/>
      <c r="HOK8" s="15"/>
      <c r="HOL8" s="15"/>
      <c r="HOM8" s="15"/>
      <c r="HON8" s="15"/>
      <c r="HOO8" s="15"/>
      <c r="HOP8" s="15"/>
      <c r="HOQ8" s="15"/>
      <c r="HOR8" s="15"/>
      <c r="HOS8" s="15"/>
      <c r="HOT8" s="15"/>
      <c r="HOU8" s="15"/>
      <c r="HOV8" s="15"/>
      <c r="HOW8" s="15"/>
      <c r="HOX8" s="15"/>
      <c r="HOY8" s="15"/>
      <c r="HOZ8" s="15"/>
      <c r="HPA8" s="15"/>
      <c r="HPB8" s="15"/>
      <c r="HPC8" s="15"/>
      <c r="HPD8" s="15"/>
      <c r="HPE8" s="15"/>
      <c r="HPF8" s="15"/>
      <c r="HPG8" s="15"/>
      <c r="HPH8" s="15"/>
      <c r="HPI8" s="15"/>
      <c r="HPJ8" s="15"/>
      <c r="HPK8" s="15"/>
      <c r="HPL8" s="15"/>
      <c r="HPM8" s="15"/>
      <c r="HPN8" s="15"/>
      <c r="HPO8" s="15"/>
      <c r="HPP8" s="15"/>
      <c r="HPQ8" s="15"/>
      <c r="HPR8" s="15"/>
      <c r="HPS8" s="15"/>
      <c r="HPT8" s="15"/>
      <c r="HPU8" s="15"/>
      <c r="HPV8" s="15"/>
      <c r="HPW8" s="15"/>
      <c r="HPX8" s="15"/>
      <c r="HPY8" s="15"/>
      <c r="HPZ8" s="15"/>
      <c r="HQA8" s="15"/>
      <c r="HQB8" s="15"/>
      <c r="HQC8" s="15"/>
      <c r="HQD8" s="15"/>
      <c r="HQE8" s="15"/>
      <c r="HQF8" s="15"/>
      <c r="HQG8" s="15"/>
      <c r="HQH8" s="15"/>
      <c r="HQI8" s="15"/>
      <c r="HQJ8" s="15"/>
      <c r="HQK8" s="15"/>
      <c r="HQL8" s="15"/>
      <c r="HQM8" s="15"/>
      <c r="HQN8" s="15"/>
      <c r="HQO8" s="15"/>
      <c r="HQP8" s="15"/>
      <c r="HQQ8" s="15"/>
      <c r="HQR8" s="15"/>
      <c r="HQS8" s="15"/>
      <c r="HQT8" s="15"/>
      <c r="HQU8" s="15"/>
      <c r="HQV8" s="15"/>
      <c r="HQW8" s="15"/>
      <c r="HQX8" s="15"/>
      <c r="HQY8" s="15"/>
      <c r="HQZ8" s="15"/>
      <c r="HRA8" s="15"/>
      <c r="HRB8" s="15"/>
      <c r="HRC8" s="15"/>
      <c r="HRD8" s="15"/>
      <c r="HRE8" s="15"/>
      <c r="HRF8" s="15"/>
      <c r="HRG8" s="15"/>
      <c r="HRH8" s="15"/>
      <c r="HRI8" s="15"/>
      <c r="HRJ8" s="15"/>
      <c r="HRK8" s="15"/>
      <c r="HRL8" s="15"/>
      <c r="HRM8" s="15"/>
      <c r="HRN8" s="15"/>
      <c r="HRO8" s="15"/>
      <c r="HRP8" s="15"/>
      <c r="HRQ8" s="15"/>
      <c r="HRR8" s="15"/>
      <c r="HRS8" s="15"/>
      <c r="HRT8" s="15"/>
      <c r="HRU8" s="15"/>
      <c r="HRV8" s="15"/>
      <c r="HRW8" s="15"/>
      <c r="HRX8" s="15"/>
      <c r="HRY8" s="15"/>
      <c r="HRZ8" s="15"/>
      <c r="HSA8" s="15"/>
      <c r="HSB8" s="15"/>
      <c r="HSC8" s="15"/>
      <c r="HSD8" s="15"/>
      <c r="HSE8" s="15"/>
      <c r="HSF8" s="15"/>
      <c r="HSG8" s="15"/>
      <c r="HSH8" s="15"/>
      <c r="HSI8" s="15"/>
      <c r="HSJ8" s="15"/>
      <c r="HSK8" s="15"/>
      <c r="HSL8" s="15"/>
      <c r="HSM8" s="15"/>
      <c r="HSN8" s="15"/>
      <c r="HSO8" s="15"/>
      <c r="HSP8" s="15"/>
      <c r="HSQ8" s="15"/>
      <c r="HSR8" s="15"/>
      <c r="HSS8" s="15"/>
      <c r="HST8" s="15"/>
      <c r="HSU8" s="15"/>
      <c r="HSV8" s="15"/>
      <c r="HSW8" s="15"/>
      <c r="HSX8" s="15"/>
      <c r="HSY8" s="15"/>
      <c r="HSZ8" s="15"/>
      <c r="HTA8" s="15"/>
      <c r="HTB8" s="15"/>
      <c r="HTC8" s="15"/>
      <c r="HTD8" s="15"/>
      <c r="HTE8" s="15"/>
      <c r="HTF8" s="15"/>
      <c r="HTG8" s="15"/>
      <c r="HTH8" s="15"/>
      <c r="HTI8" s="15"/>
      <c r="HTJ8" s="15"/>
      <c r="HTK8" s="15"/>
      <c r="HTL8" s="15"/>
      <c r="HTM8" s="15"/>
      <c r="HTN8" s="15"/>
      <c r="HTO8" s="15"/>
      <c r="HTP8" s="15"/>
      <c r="HTQ8" s="15"/>
      <c r="HTR8" s="15"/>
      <c r="HTS8" s="15"/>
      <c r="HTT8" s="15"/>
      <c r="HTU8" s="15"/>
      <c r="HTV8" s="15"/>
      <c r="HTW8" s="15"/>
      <c r="HTX8" s="15"/>
      <c r="HTY8" s="15"/>
      <c r="HTZ8" s="15"/>
      <c r="HUA8" s="15"/>
      <c r="HUB8" s="15"/>
      <c r="HUC8" s="15"/>
      <c r="HUD8" s="15"/>
      <c r="HUE8" s="15"/>
      <c r="HUF8" s="15"/>
      <c r="HUG8" s="15"/>
      <c r="HUH8" s="15"/>
      <c r="HUI8" s="15"/>
      <c r="HUJ8" s="15"/>
      <c r="HUK8" s="15"/>
      <c r="HUL8" s="15"/>
      <c r="HUM8" s="15"/>
      <c r="HUN8" s="15"/>
      <c r="HUO8" s="15"/>
      <c r="HUP8" s="15"/>
      <c r="HUQ8" s="15"/>
      <c r="HUR8" s="15"/>
      <c r="HUS8" s="15"/>
      <c r="HUT8" s="15"/>
      <c r="HUU8" s="15"/>
      <c r="HUV8" s="15"/>
      <c r="HUW8" s="15"/>
      <c r="HUX8" s="15"/>
      <c r="HUY8" s="15"/>
      <c r="HUZ8" s="15"/>
      <c r="HVA8" s="15"/>
      <c r="HVB8" s="15"/>
      <c r="HVC8" s="15"/>
      <c r="HVD8" s="15"/>
      <c r="HVE8" s="15"/>
      <c r="HVF8" s="15"/>
      <c r="HVG8" s="15"/>
      <c r="HVH8" s="15"/>
      <c r="HVI8" s="15"/>
      <c r="HVJ8" s="15"/>
      <c r="HVK8" s="15"/>
      <c r="HVL8" s="15"/>
      <c r="HVM8" s="15"/>
      <c r="HVN8" s="15"/>
      <c r="HVO8" s="15"/>
      <c r="HVP8" s="15"/>
      <c r="HVQ8" s="15"/>
      <c r="HVR8" s="15"/>
      <c r="HVS8" s="15"/>
      <c r="HVT8" s="15"/>
      <c r="HVU8" s="15"/>
      <c r="HVV8" s="15"/>
      <c r="HVW8" s="15"/>
      <c r="HVX8" s="15"/>
      <c r="HVY8" s="15"/>
      <c r="HVZ8" s="15"/>
      <c r="HWA8" s="15"/>
      <c r="HWB8" s="15"/>
      <c r="HWC8" s="15"/>
      <c r="HWD8" s="15"/>
      <c r="HWE8" s="15"/>
      <c r="HWF8" s="15"/>
      <c r="HWG8" s="15"/>
      <c r="HWH8" s="15"/>
      <c r="HWI8" s="15"/>
      <c r="HWJ8" s="15"/>
      <c r="HWK8" s="15"/>
      <c r="HWL8" s="15"/>
      <c r="HWM8" s="15"/>
      <c r="HWN8" s="15"/>
      <c r="HWO8" s="15"/>
      <c r="HWP8" s="15"/>
      <c r="HWQ8" s="15"/>
      <c r="HWR8" s="15"/>
      <c r="HWS8" s="15"/>
      <c r="HWT8" s="15"/>
      <c r="HWU8" s="15"/>
      <c r="HWV8" s="15"/>
      <c r="HWW8" s="15"/>
      <c r="HWX8" s="15"/>
      <c r="HWY8" s="15"/>
      <c r="HWZ8" s="15"/>
      <c r="HXA8" s="15"/>
      <c r="HXB8" s="15"/>
      <c r="HXC8" s="15"/>
      <c r="HXD8" s="15"/>
      <c r="HXE8" s="15"/>
      <c r="HXF8" s="15"/>
      <c r="HXG8" s="15"/>
      <c r="HXH8" s="15"/>
      <c r="HXI8" s="15"/>
      <c r="HXJ8" s="15"/>
      <c r="HXK8" s="15"/>
      <c r="HXL8" s="15"/>
      <c r="HXM8" s="15"/>
      <c r="HXN8" s="15"/>
      <c r="HXO8" s="15"/>
      <c r="HXP8" s="15"/>
      <c r="HXQ8" s="15"/>
      <c r="HXR8" s="15"/>
      <c r="HXS8" s="15"/>
      <c r="HXT8" s="15"/>
      <c r="HXU8" s="15"/>
      <c r="HXV8" s="15"/>
      <c r="HXW8" s="15"/>
      <c r="HXX8" s="15"/>
      <c r="HXY8" s="15"/>
      <c r="HXZ8" s="15"/>
      <c r="HYA8" s="15"/>
      <c r="HYB8" s="15"/>
      <c r="HYC8" s="15"/>
      <c r="HYD8" s="15"/>
      <c r="HYE8" s="15"/>
      <c r="HYF8" s="15"/>
      <c r="HYG8" s="15"/>
      <c r="HYH8" s="15"/>
      <c r="HYI8" s="15"/>
      <c r="HYJ8" s="15"/>
      <c r="HYK8" s="15"/>
      <c r="HYL8" s="15"/>
      <c r="HYM8" s="15"/>
      <c r="HYN8" s="15"/>
      <c r="HYO8" s="15"/>
      <c r="HYP8" s="15"/>
      <c r="HYQ8" s="15"/>
      <c r="HYR8" s="15"/>
      <c r="HYS8" s="15"/>
      <c r="HYT8" s="15"/>
      <c r="HYU8" s="15"/>
      <c r="HYV8" s="15"/>
      <c r="HYW8" s="15"/>
      <c r="HYX8" s="15"/>
      <c r="HYY8" s="15"/>
      <c r="HYZ8" s="15"/>
      <c r="HZA8" s="15"/>
      <c r="HZB8" s="15"/>
      <c r="HZC8" s="15"/>
      <c r="HZD8" s="15"/>
      <c r="HZE8" s="15"/>
      <c r="HZF8" s="15"/>
      <c r="HZG8" s="15"/>
      <c r="HZH8" s="15"/>
      <c r="HZI8" s="15"/>
      <c r="HZJ8" s="15"/>
      <c r="HZK8" s="15"/>
      <c r="HZL8" s="15"/>
      <c r="HZM8" s="15"/>
      <c r="HZN8" s="15"/>
      <c r="HZO8" s="15"/>
      <c r="HZP8" s="15"/>
      <c r="HZQ8" s="15"/>
      <c r="HZR8" s="15"/>
      <c r="HZS8" s="15"/>
      <c r="HZT8" s="15"/>
      <c r="HZU8" s="15"/>
      <c r="HZV8" s="15"/>
      <c r="HZW8" s="15"/>
      <c r="HZX8" s="15"/>
      <c r="HZY8" s="15"/>
      <c r="HZZ8" s="15"/>
      <c r="IAA8" s="15"/>
      <c r="IAB8" s="15"/>
      <c r="IAC8" s="15"/>
      <c r="IAD8" s="15"/>
      <c r="IAE8" s="15"/>
      <c r="IAF8" s="15"/>
      <c r="IAG8" s="15"/>
      <c r="IAH8" s="15"/>
      <c r="IAI8" s="15"/>
      <c r="IAJ8" s="15"/>
      <c r="IAK8" s="15"/>
      <c r="IAL8" s="15"/>
      <c r="IAM8" s="15"/>
      <c r="IAN8" s="15"/>
      <c r="IAO8" s="15"/>
      <c r="IAP8" s="15"/>
      <c r="IAQ8" s="15"/>
      <c r="IAR8" s="15"/>
      <c r="IAS8" s="15"/>
      <c r="IAT8" s="15"/>
      <c r="IAU8" s="15"/>
      <c r="IAV8" s="15"/>
      <c r="IAW8" s="15"/>
      <c r="IAX8" s="15"/>
      <c r="IAY8" s="15"/>
      <c r="IAZ8" s="15"/>
      <c r="IBA8" s="15"/>
      <c r="IBB8" s="15"/>
      <c r="IBC8" s="15"/>
      <c r="IBD8" s="15"/>
      <c r="IBE8" s="15"/>
      <c r="IBF8" s="15"/>
      <c r="IBG8" s="15"/>
      <c r="IBH8" s="15"/>
      <c r="IBI8" s="15"/>
      <c r="IBJ8" s="15"/>
      <c r="IBK8" s="15"/>
      <c r="IBL8" s="15"/>
      <c r="IBM8" s="15"/>
      <c r="IBN8" s="15"/>
      <c r="IBO8" s="15"/>
      <c r="IBP8" s="15"/>
      <c r="IBQ8" s="15"/>
      <c r="IBR8" s="15"/>
      <c r="IBS8" s="15"/>
      <c r="IBT8" s="15"/>
      <c r="IBU8" s="15"/>
      <c r="IBV8" s="15"/>
      <c r="IBW8" s="15"/>
      <c r="IBX8" s="15"/>
      <c r="IBY8" s="15"/>
      <c r="IBZ8" s="15"/>
      <c r="ICA8" s="15"/>
      <c r="ICB8" s="15"/>
      <c r="ICC8" s="15"/>
      <c r="ICD8" s="15"/>
      <c r="ICE8" s="15"/>
      <c r="ICF8" s="15"/>
      <c r="ICG8" s="15"/>
      <c r="ICH8" s="15"/>
      <c r="ICI8" s="15"/>
      <c r="ICJ8" s="15"/>
      <c r="ICK8" s="15"/>
      <c r="ICL8" s="15"/>
      <c r="ICM8" s="15"/>
      <c r="ICN8" s="15"/>
      <c r="ICO8" s="15"/>
      <c r="ICP8" s="15"/>
      <c r="ICQ8" s="15"/>
      <c r="ICR8" s="15"/>
      <c r="ICS8" s="15"/>
      <c r="ICT8" s="15"/>
      <c r="ICU8" s="15"/>
      <c r="ICV8" s="15"/>
      <c r="ICW8" s="15"/>
      <c r="ICX8" s="15"/>
      <c r="ICY8" s="15"/>
      <c r="ICZ8" s="15"/>
      <c r="IDA8" s="15"/>
      <c r="IDB8" s="15"/>
      <c r="IDC8" s="15"/>
      <c r="IDD8" s="15"/>
      <c r="IDE8" s="15"/>
      <c r="IDF8" s="15"/>
      <c r="IDG8" s="15"/>
      <c r="IDH8" s="15"/>
      <c r="IDI8" s="15"/>
      <c r="IDJ8" s="15"/>
      <c r="IDK8" s="15"/>
      <c r="IDL8" s="15"/>
      <c r="IDM8" s="15"/>
      <c r="IDN8" s="15"/>
      <c r="IDO8" s="15"/>
      <c r="IDP8" s="15"/>
      <c r="IDQ8" s="15"/>
      <c r="IDR8" s="15"/>
      <c r="IDS8" s="15"/>
      <c r="IDT8" s="15"/>
      <c r="IDU8" s="15"/>
      <c r="IDV8" s="15"/>
      <c r="IDW8" s="15"/>
      <c r="IDX8" s="15"/>
      <c r="IDY8" s="15"/>
      <c r="IDZ8" s="15"/>
      <c r="IEA8" s="15"/>
      <c r="IEB8" s="15"/>
      <c r="IEC8" s="15"/>
      <c r="IED8" s="15"/>
      <c r="IEE8" s="15"/>
      <c r="IEF8" s="15"/>
      <c r="IEG8" s="15"/>
      <c r="IEH8" s="15"/>
      <c r="IEI8" s="15"/>
      <c r="IEJ8" s="15"/>
      <c r="IEK8" s="15"/>
      <c r="IEL8" s="15"/>
      <c r="IEM8" s="15"/>
      <c r="IEN8" s="15"/>
      <c r="IEO8" s="15"/>
      <c r="IEP8" s="15"/>
      <c r="IEQ8" s="15"/>
      <c r="IER8" s="15"/>
      <c r="IES8" s="15"/>
      <c r="IET8" s="15"/>
      <c r="IEU8" s="15"/>
      <c r="IEV8" s="15"/>
      <c r="IEW8" s="15"/>
      <c r="IEX8" s="15"/>
      <c r="IEY8" s="15"/>
      <c r="IEZ8" s="15"/>
      <c r="IFA8" s="15"/>
      <c r="IFB8" s="15"/>
      <c r="IFC8" s="15"/>
      <c r="IFD8" s="15"/>
      <c r="IFE8" s="15"/>
      <c r="IFF8" s="15"/>
      <c r="IFG8" s="15"/>
      <c r="IFH8" s="15"/>
      <c r="IFI8" s="15"/>
      <c r="IFJ8" s="15"/>
      <c r="IFK8" s="15"/>
      <c r="IFL8" s="15"/>
      <c r="IFM8" s="15"/>
      <c r="IFN8" s="15"/>
      <c r="IFO8" s="15"/>
      <c r="IFP8" s="15"/>
      <c r="IFQ8" s="15"/>
      <c r="IFR8" s="15"/>
      <c r="IFS8" s="15"/>
      <c r="IFT8" s="15"/>
      <c r="IFU8" s="15"/>
      <c r="IFV8" s="15"/>
      <c r="IFW8" s="15"/>
      <c r="IFX8" s="15"/>
      <c r="IFY8" s="15"/>
      <c r="IFZ8" s="15"/>
      <c r="IGA8" s="15"/>
      <c r="IGB8" s="15"/>
      <c r="IGC8" s="15"/>
      <c r="IGD8" s="15"/>
      <c r="IGE8" s="15"/>
      <c r="IGF8" s="15"/>
      <c r="IGG8" s="15"/>
      <c r="IGH8" s="15"/>
      <c r="IGI8" s="15"/>
      <c r="IGJ8" s="15"/>
      <c r="IGK8" s="15"/>
      <c r="IGL8" s="15"/>
      <c r="IGM8" s="15"/>
      <c r="IGN8" s="15"/>
      <c r="IGO8" s="15"/>
      <c r="IGP8" s="15"/>
      <c r="IGQ8" s="15"/>
      <c r="IGR8" s="15"/>
      <c r="IGS8" s="15"/>
      <c r="IGT8" s="15"/>
      <c r="IGU8" s="15"/>
      <c r="IGV8" s="15"/>
      <c r="IGW8" s="15"/>
      <c r="IGX8" s="15"/>
      <c r="IGY8" s="15"/>
      <c r="IGZ8" s="15"/>
      <c r="IHA8" s="15"/>
      <c r="IHB8" s="15"/>
      <c r="IHC8" s="15"/>
      <c r="IHD8" s="15"/>
      <c r="IHE8" s="15"/>
      <c r="IHF8" s="15"/>
      <c r="IHG8" s="15"/>
      <c r="IHH8" s="15"/>
      <c r="IHI8" s="15"/>
      <c r="IHJ8" s="15"/>
      <c r="IHK8" s="15"/>
      <c r="IHL8" s="15"/>
      <c r="IHM8" s="15"/>
      <c r="IHN8" s="15"/>
      <c r="IHO8" s="15"/>
      <c r="IHP8" s="15"/>
      <c r="IHQ8" s="15"/>
      <c r="IHR8" s="15"/>
      <c r="IHS8" s="15"/>
      <c r="IHT8" s="15"/>
      <c r="IHU8" s="15"/>
      <c r="IHV8" s="15"/>
      <c r="IHW8" s="15"/>
      <c r="IHX8" s="15"/>
      <c r="IHY8" s="15"/>
      <c r="IHZ8" s="15"/>
      <c r="IIA8" s="15"/>
      <c r="IIB8" s="15"/>
      <c r="IIC8" s="15"/>
      <c r="IID8" s="15"/>
      <c r="IIE8" s="15"/>
      <c r="IIF8" s="15"/>
      <c r="IIG8" s="15"/>
      <c r="IIH8" s="15"/>
      <c r="III8" s="15"/>
      <c r="IIJ8" s="15"/>
      <c r="IIK8" s="15"/>
      <c r="IIL8" s="15"/>
      <c r="IIM8" s="15"/>
      <c r="IIN8" s="15"/>
      <c r="IIO8" s="15"/>
      <c r="IIP8" s="15"/>
      <c r="IIQ8" s="15"/>
      <c r="IIR8" s="15"/>
      <c r="IIS8" s="15"/>
      <c r="IIT8" s="15"/>
      <c r="IIU8" s="15"/>
      <c r="IIV8" s="15"/>
      <c r="IIW8" s="15"/>
      <c r="IIX8" s="15"/>
      <c r="IIY8" s="15"/>
      <c r="IIZ8" s="15"/>
      <c r="IJA8" s="15"/>
      <c r="IJB8" s="15"/>
      <c r="IJC8" s="15"/>
      <c r="IJD8" s="15"/>
      <c r="IJE8" s="15"/>
      <c r="IJF8" s="15"/>
      <c r="IJG8" s="15"/>
      <c r="IJH8" s="15"/>
      <c r="IJI8" s="15"/>
      <c r="IJJ8" s="15"/>
      <c r="IJK8" s="15"/>
      <c r="IJL8" s="15"/>
      <c r="IJM8" s="15"/>
      <c r="IJN8" s="15"/>
      <c r="IJO8" s="15"/>
      <c r="IJP8" s="15"/>
      <c r="IJQ8" s="15"/>
      <c r="IJR8" s="15"/>
      <c r="IJS8" s="15"/>
      <c r="IJT8" s="15"/>
      <c r="IJU8" s="15"/>
      <c r="IJV8" s="15"/>
      <c r="IJW8" s="15"/>
      <c r="IJX8" s="15"/>
      <c r="IJY8" s="15"/>
      <c r="IJZ8" s="15"/>
      <c r="IKA8" s="15"/>
      <c r="IKB8" s="15"/>
      <c r="IKC8" s="15"/>
      <c r="IKD8" s="15"/>
      <c r="IKE8" s="15"/>
      <c r="IKF8" s="15"/>
      <c r="IKG8" s="15"/>
      <c r="IKH8" s="15"/>
      <c r="IKI8" s="15"/>
      <c r="IKJ8" s="15"/>
      <c r="IKK8" s="15"/>
      <c r="IKL8" s="15"/>
      <c r="IKM8" s="15"/>
      <c r="IKN8" s="15"/>
      <c r="IKO8" s="15"/>
      <c r="IKP8" s="15"/>
      <c r="IKQ8" s="15"/>
      <c r="IKR8" s="15"/>
      <c r="IKS8" s="15"/>
      <c r="IKT8" s="15"/>
      <c r="IKU8" s="15"/>
      <c r="IKV8" s="15"/>
      <c r="IKW8" s="15"/>
      <c r="IKX8" s="15"/>
      <c r="IKY8" s="15"/>
      <c r="IKZ8" s="15"/>
      <c r="ILA8" s="15"/>
      <c r="ILB8" s="15"/>
      <c r="ILC8" s="15"/>
      <c r="ILD8" s="15"/>
      <c r="ILE8" s="15"/>
      <c r="ILF8" s="15"/>
      <c r="ILG8" s="15"/>
      <c r="ILH8" s="15"/>
      <c r="ILI8" s="15"/>
      <c r="ILJ8" s="15"/>
      <c r="ILK8" s="15"/>
      <c r="ILL8" s="15"/>
      <c r="ILM8" s="15"/>
      <c r="ILN8" s="15"/>
      <c r="ILO8" s="15"/>
      <c r="ILP8" s="15"/>
      <c r="ILQ8" s="15"/>
      <c r="ILR8" s="15"/>
      <c r="ILS8" s="15"/>
      <c r="ILT8" s="15"/>
      <c r="ILU8" s="15"/>
      <c r="ILV8" s="15"/>
      <c r="ILW8" s="15"/>
      <c r="ILX8" s="15"/>
      <c r="ILY8" s="15"/>
      <c r="ILZ8" s="15"/>
      <c r="IMA8" s="15"/>
      <c r="IMB8" s="15"/>
      <c r="IMC8" s="15"/>
      <c r="IMD8" s="15"/>
      <c r="IME8" s="15"/>
      <c r="IMF8" s="15"/>
      <c r="IMG8" s="15"/>
      <c r="IMH8" s="15"/>
      <c r="IMI8" s="15"/>
      <c r="IMJ8" s="15"/>
      <c r="IMK8" s="15"/>
      <c r="IML8" s="15"/>
      <c r="IMM8" s="15"/>
      <c r="IMN8" s="15"/>
      <c r="IMO8" s="15"/>
      <c r="IMP8" s="15"/>
      <c r="IMQ8" s="15"/>
      <c r="IMR8" s="15"/>
      <c r="IMS8" s="15"/>
      <c r="IMT8" s="15"/>
      <c r="IMU8" s="15"/>
      <c r="IMV8" s="15"/>
      <c r="IMW8" s="15"/>
      <c r="IMX8" s="15"/>
      <c r="IMY8" s="15"/>
      <c r="IMZ8" s="15"/>
      <c r="INA8" s="15"/>
      <c r="INB8" s="15"/>
      <c r="INC8" s="15"/>
      <c r="IND8" s="15"/>
      <c r="INE8" s="15"/>
      <c r="INF8" s="15"/>
      <c r="ING8" s="15"/>
      <c r="INH8" s="15"/>
      <c r="INI8" s="15"/>
      <c r="INJ8" s="15"/>
      <c r="INK8" s="15"/>
      <c r="INL8" s="15"/>
      <c r="INM8" s="15"/>
      <c r="INN8" s="15"/>
      <c r="INO8" s="15"/>
      <c r="INP8" s="15"/>
      <c r="INQ8" s="15"/>
      <c r="INR8" s="15"/>
      <c r="INS8" s="15"/>
      <c r="INT8" s="15"/>
      <c r="INU8" s="15"/>
      <c r="INV8" s="15"/>
      <c r="INW8" s="15"/>
      <c r="INX8" s="15"/>
      <c r="INY8" s="15"/>
      <c r="INZ8" s="15"/>
      <c r="IOA8" s="15"/>
      <c r="IOB8" s="15"/>
      <c r="IOC8" s="15"/>
      <c r="IOD8" s="15"/>
      <c r="IOE8" s="15"/>
      <c r="IOF8" s="15"/>
      <c r="IOG8" s="15"/>
      <c r="IOH8" s="15"/>
      <c r="IOI8" s="15"/>
      <c r="IOJ8" s="15"/>
      <c r="IOK8" s="15"/>
      <c r="IOL8" s="15"/>
      <c r="IOM8" s="15"/>
      <c r="ION8" s="15"/>
      <c r="IOO8" s="15"/>
      <c r="IOP8" s="15"/>
      <c r="IOQ8" s="15"/>
      <c r="IOR8" s="15"/>
      <c r="IOS8" s="15"/>
      <c r="IOT8" s="15"/>
      <c r="IOU8" s="15"/>
      <c r="IOV8" s="15"/>
      <c r="IOW8" s="15"/>
      <c r="IOX8" s="15"/>
      <c r="IOY8" s="15"/>
      <c r="IOZ8" s="15"/>
      <c r="IPA8" s="15"/>
      <c r="IPB8" s="15"/>
      <c r="IPC8" s="15"/>
      <c r="IPD8" s="15"/>
      <c r="IPE8" s="15"/>
      <c r="IPF8" s="15"/>
      <c r="IPG8" s="15"/>
      <c r="IPH8" s="15"/>
      <c r="IPI8" s="15"/>
      <c r="IPJ8" s="15"/>
      <c r="IPK8" s="15"/>
      <c r="IPL8" s="15"/>
      <c r="IPM8" s="15"/>
      <c r="IPN8" s="15"/>
      <c r="IPO8" s="15"/>
      <c r="IPP8" s="15"/>
      <c r="IPQ8" s="15"/>
      <c r="IPR8" s="15"/>
      <c r="IPS8" s="15"/>
      <c r="IPT8" s="15"/>
      <c r="IPU8" s="15"/>
      <c r="IPV8" s="15"/>
      <c r="IPW8" s="15"/>
      <c r="IPX8" s="15"/>
      <c r="IPY8" s="15"/>
      <c r="IPZ8" s="15"/>
      <c r="IQA8" s="15"/>
      <c r="IQB8" s="15"/>
      <c r="IQC8" s="15"/>
      <c r="IQD8" s="15"/>
      <c r="IQE8" s="15"/>
      <c r="IQF8" s="15"/>
      <c r="IQG8" s="15"/>
      <c r="IQH8" s="15"/>
      <c r="IQI8" s="15"/>
      <c r="IQJ8" s="15"/>
      <c r="IQK8" s="15"/>
      <c r="IQL8" s="15"/>
      <c r="IQM8" s="15"/>
      <c r="IQN8" s="15"/>
      <c r="IQO8" s="15"/>
      <c r="IQP8" s="15"/>
      <c r="IQQ8" s="15"/>
      <c r="IQR8" s="15"/>
      <c r="IQS8" s="15"/>
      <c r="IQT8" s="15"/>
      <c r="IQU8" s="15"/>
      <c r="IQV8" s="15"/>
      <c r="IQW8" s="15"/>
      <c r="IQX8" s="15"/>
      <c r="IQY8" s="15"/>
      <c r="IQZ8" s="15"/>
      <c r="IRA8" s="15"/>
      <c r="IRB8" s="15"/>
      <c r="IRC8" s="15"/>
      <c r="IRD8" s="15"/>
      <c r="IRE8" s="15"/>
      <c r="IRF8" s="15"/>
      <c r="IRG8" s="15"/>
      <c r="IRH8" s="15"/>
      <c r="IRI8" s="15"/>
      <c r="IRJ8" s="15"/>
      <c r="IRK8" s="15"/>
      <c r="IRL8" s="15"/>
      <c r="IRM8" s="15"/>
      <c r="IRN8" s="15"/>
      <c r="IRO8" s="15"/>
      <c r="IRP8" s="15"/>
      <c r="IRQ8" s="15"/>
      <c r="IRR8" s="15"/>
      <c r="IRS8" s="15"/>
      <c r="IRT8" s="15"/>
      <c r="IRU8" s="15"/>
      <c r="IRV8" s="15"/>
      <c r="IRW8" s="15"/>
      <c r="IRX8" s="15"/>
      <c r="IRY8" s="15"/>
      <c r="IRZ8" s="15"/>
      <c r="ISA8" s="15"/>
      <c r="ISB8" s="15"/>
      <c r="ISC8" s="15"/>
      <c r="ISD8" s="15"/>
      <c r="ISE8" s="15"/>
      <c r="ISF8" s="15"/>
      <c r="ISG8" s="15"/>
      <c r="ISH8" s="15"/>
      <c r="ISI8" s="15"/>
      <c r="ISJ8" s="15"/>
      <c r="ISK8" s="15"/>
      <c r="ISL8" s="15"/>
      <c r="ISM8" s="15"/>
      <c r="ISN8" s="15"/>
      <c r="ISO8" s="15"/>
      <c r="ISP8" s="15"/>
      <c r="ISQ8" s="15"/>
      <c r="ISR8" s="15"/>
      <c r="ISS8" s="15"/>
      <c r="IST8" s="15"/>
      <c r="ISU8" s="15"/>
      <c r="ISV8" s="15"/>
      <c r="ISW8" s="15"/>
      <c r="ISX8" s="15"/>
      <c r="ISY8" s="15"/>
      <c r="ISZ8" s="15"/>
      <c r="ITA8" s="15"/>
      <c r="ITB8" s="15"/>
      <c r="ITC8" s="15"/>
      <c r="ITD8" s="15"/>
      <c r="ITE8" s="15"/>
      <c r="ITF8" s="15"/>
      <c r="ITG8" s="15"/>
      <c r="ITH8" s="15"/>
      <c r="ITI8" s="15"/>
      <c r="ITJ8" s="15"/>
      <c r="ITK8" s="15"/>
      <c r="ITL8" s="15"/>
      <c r="ITM8" s="15"/>
      <c r="ITN8" s="15"/>
      <c r="ITO8" s="15"/>
      <c r="ITP8" s="15"/>
      <c r="ITQ8" s="15"/>
      <c r="ITR8" s="15"/>
      <c r="ITS8" s="15"/>
      <c r="ITT8" s="15"/>
      <c r="ITU8" s="15"/>
      <c r="ITV8" s="15"/>
      <c r="ITW8" s="15"/>
      <c r="ITX8" s="15"/>
      <c r="ITY8" s="15"/>
      <c r="ITZ8" s="15"/>
      <c r="IUA8" s="15"/>
      <c r="IUB8" s="15"/>
      <c r="IUC8" s="15"/>
      <c r="IUD8" s="15"/>
      <c r="IUE8" s="15"/>
      <c r="IUF8" s="15"/>
      <c r="IUG8" s="15"/>
      <c r="IUH8" s="15"/>
      <c r="IUI8" s="15"/>
      <c r="IUJ8" s="15"/>
      <c r="IUK8" s="15"/>
      <c r="IUL8" s="15"/>
      <c r="IUM8" s="15"/>
      <c r="IUN8" s="15"/>
      <c r="IUO8" s="15"/>
      <c r="IUP8" s="15"/>
      <c r="IUQ8" s="15"/>
      <c r="IUR8" s="15"/>
      <c r="IUS8" s="15"/>
      <c r="IUT8" s="15"/>
      <c r="IUU8" s="15"/>
      <c r="IUV8" s="15"/>
      <c r="IUW8" s="15"/>
      <c r="IUX8" s="15"/>
      <c r="IUY8" s="15"/>
      <c r="IUZ8" s="15"/>
      <c r="IVA8" s="15"/>
      <c r="IVB8" s="15"/>
      <c r="IVC8" s="15"/>
      <c r="IVD8" s="15"/>
      <c r="IVE8" s="15"/>
      <c r="IVF8" s="15"/>
      <c r="IVG8" s="15"/>
      <c r="IVH8" s="15"/>
      <c r="IVI8" s="15"/>
      <c r="IVJ8" s="15"/>
      <c r="IVK8" s="15"/>
      <c r="IVL8" s="15"/>
      <c r="IVM8" s="15"/>
      <c r="IVN8" s="15"/>
      <c r="IVO8" s="15"/>
      <c r="IVP8" s="15"/>
      <c r="IVQ8" s="15"/>
      <c r="IVR8" s="15"/>
      <c r="IVS8" s="15"/>
      <c r="IVT8" s="15"/>
      <c r="IVU8" s="15"/>
      <c r="IVV8" s="15"/>
      <c r="IVW8" s="15"/>
      <c r="IVX8" s="15"/>
      <c r="IVY8" s="15"/>
      <c r="IVZ8" s="15"/>
      <c r="IWA8" s="15"/>
      <c r="IWB8" s="15"/>
      <c r="IWC8" s="15"/>
      <c r="IWD8" s="15"/>
      <c r="IWE8" s="15"/>
      <c r="IWF8" s="15"/>
      <c r="IWG8" s="15"/>
      <c r="IWH8" s="15"/>
      <c r="IWI8" s="15"/>
      <c r="IWJ8" s="15"/>
      <c r="IWK8" s="15"/>
      <c r="IWL8" s="15"/>
      <c r="IWM8" s="15"/>
      <c r="IWN8" s="15"/>
      <c r="IWO8" s="15"/>
      <c r="IWP8" s="15"/>
      <c r="IWQ8" s="15"/>
      <c r="IWR8" s="15"/>
      <c r="IWS8" s="15"/>
      <c r="IWT8" s="15"/>
      <c r="IWU8" s="15"/>
      <c r="IWV8" s="15"/>
      <c r="IWW8" s="15"/>
      <c r="IWX8" s="15"/>
      <c r="IWY8" s="15"/>
      <c r="IWZ8" s="15"/>
      <c r="IXA8" s="15"/>
      <c r="IXB8" s="15"/>
      <c r="IXC8" s="15"/>
      <c r="IXD8" s="15"/>
      <c r="IXE8" s="15"/>
      <c r="IXF8" s="15"/>
      <c r="IXG8" s="15"/>
      <c r="IXH8" s="15"/>
      <c r="IXI8" s="15"/>
      <c r="IXJ8" s="15"/>
      <c r="IXK8" s="15"/>
      <c r="IXL8" s="15"/>
      <c r="IXM8" s="15"/>
      <c r="IXN8" s="15"/>
      <c r="IXO8" s="15"/>
      <c r="IXP8" s="15"/>
      <c r="IXQ8" s="15"/>
      <c r="IXR8" s="15"/>
      <c r="IXS8" s="15"/>
      <c r="IXT8" s="15"/>
      <c r="IXU8" s="15"/>
      <c r="IXV8" s="15"/>
      <c r="IXW8" s="15"/>
      <c r="IXX8" s="15"/>
      <c r="IXY8" s="15"/>
      <c r="IXZ8" s="15"/>
      <c r="IYA8" s="15"/>
      <c r="IYB8" s="15"/>
      <c r="IYC8" s="15"/>
      <c r="IYD8" s="15"/>
      <c r="IYE8" s="15"/>
      <c r="IYF8" s="15"/>
      <c r="IYG8" s="15"/>
      <c r="IYH8" s="15"/>
      <c r="IYI8" s="15"/>
      <c r="IYJ8" s="15"/>
      <c r="IYK8" s="15"/>
      <c r="IYL8" s="15"/>
      <c r="IYM8" s="15"/>
      <c r="IYN8" s="15"/>
      <c r="IYO8" s="15"/>
      <c r="IYP8" s="15"/>
      <c r="IYQ8" s="15"/>
      <c r="IYR8" s="15"/>
      <c r="IYS8" s="15"/>
      <c r="IYT8" s="15"/>
      <c r="IYU8" s="15"/>
      <c r="IYV8" s="15"/>
      <c r="IYW8" s="15"/>
      <c r="IYX8" s="15"/>
      <c r="IYY8" s="15"/>
      <c r="IYZ8" s="15"/>
      <c r="IZA8" s="15"/>
      <c r="IZB8" s="15"/>
      <c r="IZC8" s="15"/>
      <c r="IZD8" s="15"/>
      <c r="IZE8" s="15"/>
      <c r="IZF8" s="15"/>
      <c r="IZG8" s="15"/>
      <c r="IZH8" s="15"/>
      <c r="IZI8" s="15"/>
      <c r="IZJ8" s="15"/>
      <c r="IZK8" s="15"/>
      <c r="IZL8" s="15"/>
      <c r="IZM8" s="15"/>
      <c r="IZN8" s="15"/>
      <c r="IZO8" s="15"/>
      <c r="IZP8" s="15"/>
      <c r="IZQ8" s="15"/>
      <c r="IZR8" s="15"/>
      <c r="IZS8" s="15"/>
      <c r="IZT8" s="15"/>
      <c r="IZU8" s="15"/>
      <c r="IZV8" s="15"/>
      <c r="IZW8" s="15"/>
      <c r="IZX8" s="15"/>
      <c r="IZY8" s="15"/>
      <c r="IZZ8" s="15"/>
      <c r="JAA8" s="15"/>
      <c r="JAB8" s="15"/>
      <c r="JAC8" s="15"/>
      <c r="JAD8" s="15"/>
      <c r="JAE8" s="15"/>
      <c r="JAF8" s="15"/>
      <c r="JAG8" s="15"/>
      <c r="JAH8" s="15"/>
      <c r="JAI8" s="15"/>
      <c r="JAJ8" s="15"/>
      <c r="JAK8" s="15"/>
      <c r="JAL8" s="15"/>
      <c r="JAM8" s="15"/>
      <c r="JAN8" s="15"/>
      <c r="JAO8" s="15"/>
      <c r="JAP8" s="15"/>
      <c r="JAQ8" s="15"/>
      <c r="JAR8" s="15"/>
      <c r="JAS8" s="15"/>
      <c r="JAT8" s="15"/>
      <c r="JAU8" s="15"/>
      <c r="JAV8" s="15"/>
      <c r="JAW8" s="15"/>
      <c r="JAX8" s="15"/>
      <c r="JAY8" s="15"/>
      <c r="JAZ8" s="15"/>
      <c r="JBA8" s="15"/>
      <c r="JBB8" s="15"/>
      <c r="JBC8" s="15"/>
      <c r="JBD8" s="15"/>
      <c r="JBE8" s="15"/>
      <c r="JBF8" s="15"/>
      <c r="JBG8" s="15"/>
      <c r="JBH8" s="15"/>
      <c r="JBI8" s="15"/>
      <c r="JBJ8" s="15"/>
      <c r="JBK8" s="15"/>
      <c r="JBL8" s="15"/>
      <c r="JBM8" s="15"/>
      <c r="JBN8" s="15"/>
      <c r="JBO8" s="15"/>
      <c r="JBP8" s="15"/>
      <c r="JBQ8" s="15"/>
      <c r="JBR8" s="15"/>
      <c r="JBS8" s="15"/>
      <c r="JBT8" s="15"/>
      <c r="JBU8" s="15"/>
      <c r="JBV8" s="15"/>
      <c r="JBW8" s="15"/>
      <c r="JBX8" s="15"/>
      <c r="JBY8" s="15"/>
      <c r="JBZ8" s="15"/>
      <c r="JCA8" s="15"/>
      <c r="JCB8" s="15"/>
      <c r="JCC8" s="15"/>
      <c r="JCD8" s="15"/>
      <c r="JCE8" s="15"/>
      <c r="JCF8" s="15"/>
      <c r="JCG8" s="15"/>
      <c r="JCH8" s="15"/>
      <c r="JCI8" s="15"/>
      <c r="JCJ8" s="15"/>
      <c r="JCK8" s="15"/>
      <c r="JCL8" s="15"/>
      <c r="JCM8" s="15"/>
      <c r="JCN8" s="15"/>
      <c r="JCO8" s="15"/>
      <c r="JCP8" s="15"/>
      <c r="JCQ8" s="15"/>
      <c r="JCR8" s="15"/>
      <c r="JCS8" s="15"/>
      <c r="JCT8" s="15"/>
      <c r="JCU8" s="15"/>
      <c r="JCV8" s="15"/>
      <c r="JCW8" s="15"/>
      <c r="JCX8" s="15"/>
      <c r="JCY8" s="15"/>
      <c r="JCZ8" s="15"/>
      <c r="JDA8" s="15"/>
      <c r="JDB8" s="15"/>
      <c r="JDC8" s="15"/>
      <c r="JDD8" s="15"/>
      <c r="JDE8" s="15"/>
      <c r="JDF8" s="15"/>
      <c r="JDG8" s="15"/>
      <c r="JDH8" s="15"/>
      <c r="JDI8" s="15"/>
      <c r="JDJ8" s="15"/>
      <c r="JDK8" s="15"/>
      <c r="JDL8" s="15"/>
      <c r="JDM8" s="15"/>
      <c r="JDN8" s="15"/>
      <c r="JDO8" s="15"/>
      <c r="JDP8" s="15"/>
      <c r="JDQ8" s="15"/>
      <c r="JDR8" s="15"/>
      <c r="JDS8" s="15"/>
      <c r="JDT8" s="15"/>
      <c r="JDU8" s="15"/>
      <c r="JDV8" s="15"/>
      <c r="JDW8" s="15"/>
      <c r="JDX8" s="15"/>
      <c r="JDY8" s="15"/>
      <c r="JDZ8" s="15"/>
      <c r="JEA8" s="15"/>
      <c r="JEB8" s="15"/>
      <c r="JEC8" s="15"/>
      <c r="JED8" s="15"/>
      <c r="JEE8" s="15"/>
      <c r="JEF8" s="15"/>
      <c r="JEG8" s="15"/>
      <c r="JEH8" s="15"/>
      <c r="JEI8" s="15"/>
      <c r="JEJ8" s="15"/>
      <c r="JEK8" s="15"/>
      <c r="JEL8" s="15"/>
      <c r="JEM8" s="15"/>
      <c r="JEN8" s="15"/>
      <c r="JEO8" s="15"/>
      <c r="JEP8" s="15"/>
      <c r="JEQ8" s="15"/>
      <c r="JER8" s="15"/>
      <c r="JES8" s="15"/>
      <c r="JET8" s="15"/>
      <c r="JEU8" s="15"/>
      <c r="JEV8" s="15"/>
      <c r="JEW8" s="15"/>
      <c r="JEX8" s="15"/>
      <c r="JEY8" s="15"/>
      <c r="JEZ8" s="15"/>
      <c r="JFA8" s="15"/>
      <c r="JFB8" s="15"/>
      <c r="JFC8" s="15"/>
      <c r="JFD8" s="15"/>
      <c r="JFE8" s="15"/>
      <c r="JFF8" s="15"/>
      <c r="JFG8" s="15"/>
      <c r="JFH8" s="15"/>
      <c r="JFI8" s="15"/>
      <c r="JFJ8" s="15"/>
      <c r="JFK8" s="15"/>
      <c r="JFL8" s="15"/>
      <c r="JFM8" s="15"/>
      <c r="JFN8" s="15"/>
      <c r="JFO8" s="15"/>
      <c r="JFP8" s="15"/>
      <c r="JFQ8" s="15"/>
      <c r="JFR8" s="15"/>
      <c r="JFS8" s="15"/>
      <c r="JFT8" s="15"/>
      <c r="JFU8" s="15"/>
      <c r="JFV8" s="15"/>
      <c r="JFW8" s="15"/>
      <c r="JFX8" s="15"/>
      <c r="JFY8" s="15"/>
      <c r="JFZ8" s="15"/>
      <c r="JGA8" s="15"/>
      <c r="JGB8" s="15"/>
      <c r="JGC8" s="15"/>
      <c r="JGD8" s="15"/>
      <c r="JGE8" s="15"/>
      <c r="JGF8" s="15"/>
      <c r="JGG8" s="15"/>
      <c r="JGH8" s="15"/>
      <c r="JGI8" s="15"/>
      <c r="JGJ8" s="15"/>
      <c r="JGK8" s="15"/>
      <c r="JGL8" s="15"/>
      <c r="JGM8" s="15"/>
      <c r="JGN8" s="15"/>
      <c r="JGO8" s="15"/>
      <c r="JGP8" s="15"/>
      <c r="JGQ8" s="15"/>
      <c r="JGR8" s="15"/>
      <c r="JGS8" s="15"/>
      <c r="JGT8" s="15"/>
      <c r="JGU8" s="15"/>
      <c r="JGV8" s="15"/>
      <c r="JGW8" s="15"/>
      <c r="JGX8" s="15"/>
      <c r="JGY8" s="15"/>
      <c r="JGZ8" s="15"/>
      <c r="JHA8" s="15"/>
      <c r="JHB8" s="15"/>
      <c r="JHC8" s="15"/>
      <c r="JHD8" s="15"/>
      <c r="JHE8" s="15"/>
      <c r="JHF8" s="15"/>
      <c r="JHG8" s="15"/>
      <c r="JHH8" s="15"/>
      <c r="JHI8" s="15"/>
      <c r="JHJ8" s="15"/>
      <c r="JHK8" s="15"/>
      <c r="JHL8" s="15"/>
      <c r="JHM8" s="15"/>
      <c r="JHN8" s="15"/>
      <c r="JHO8" s="15"/>
      <c r="JHP8" s="15"/>
      <c r="JHQ8" s="15"/>
      <c r="JHR8" s="15"/>
      <c r="JHS8" s="15"/>
      <c r="JHT8" s="15"/>
      <c r="JHU8" s="15"/>
      <c r="JHV8" s="15"/>
      <c r="JHW8" s="15"/>
      <c r="JHX8" s="15"/>
      <c r="JHY8" s="15"/>
      <c r="JHZ8" s="15"/>
      <c r="JIA8" s="15"/>
      <c r="JIB8" s="15"/>
      <c r="JIC8" s="15"/>
      <c r="JID8" s="15"/>
      <c r="JIE8" s="15"/>
      <c r="JIF8" s="15"/>
      <c r="JIG8" s="15"/>
      <c r="JIH8" s="15"/>
      <c r="JII8" s="15"/>
      <c r="JIJ8" s="15"/>
      <c r="JIK8" s="15"/>
      <c r="JIL8" s="15"/>
      <c r="JIM8" s="15"/>
      <c r="JIN8" s="15"/>
      <c r="JIO8" s="15"/>
      <c r="JIP8" s="15"/>
      <c r="JIQ8" s="15"/>
      <c r="JIR8" s="15"/>
      <c r="JIS8" s="15"/>
      <c r="JIT8" s="15"/>
      <c r="JIU8" s="15"/>
      <c r="JIV8" s="15"/>
      <c r="JIW8" s="15"/>
      <c r="JIX8" s="15"/>
      <c r="JIY8" s="15"/>
      <c r="JIZ8" s="15"/>
      <c r="JJA8" s="15"/>
      <c r="JJB8" s="15"/>
      <c r="JJC8" s="15"/>
      <c r="JJD8" s="15"/>
      <c r="JJE8" s="15"/>
      <c r="JJF8" s="15"/>
      <c r="JJG8" s="15"/>
      <c r="JJH8" s="15"/>
      <c r="JJI8" s="15"/>
      <c r="JJJ8" s="15"/>
      <c r="JJK8" s="15"/>
      <c r="JJL8" s="15"/>
      <c r="JJM8" s="15"/>
      <c r="JJN8" s="15"/>
      <c r="JJO8" s="15"/>
      <c r="JJP8" s="15"/>
      <c r="JJQ8" s="15"/>
      <c r="JJR8" s="15"/>
      <c r="JJS8" s="15"/>
      <c r="JJT8" s="15"/>
      <c r="JJU8" s="15"/>
      <c r="JJV8" s="15"/>
      <c r="JJW8" s="15"/>
      <c r="JJX8" s="15"/>
      <c r="JJY8" s="15"/>
      <c r="JJZ8" s="15"/>
      <c r="JKA8" s="15"/>
      <c r="JKB8" s="15"/>
      <c r="JKC8" s="15"/>
      <c r="JKD8" s="15"/>
      <c r="JKE8" s="15"/>
      <c r="JKF8" s="15"/>
      <c r="JKG8" s="15"/>
      <c r="JKH8" s="15"/>
      <c r="JKI8" s="15"/>
      <c r="JKJ8" s="15"/>
      <c r="JKK8" s="15"/>
      <c r="JKL8" s="15"/>
      <c r="JKM8" s="15"/>
      <c r="JKN8" s="15"/>
      <c r="JKO8" s="15"/>
      <c r="JKP8" s="15"/>
      <c r="JKQ8" s="15"/>
      <c r="JKR8" s="15"/>
      <c r="JKS8" s="15"/>
      <c r="JKT8" s="15"/>
      <c r="JKU8" s="15"/>
      <c r="JKV8" s="15"/>
      <c r="JKW8" s="15"/>
      <c r="JKX8" s="15"/>
      <c r="JKY8" s="15"/>
      <c r="JKZ8" s="15"/>
      <c r="JLA8" s="15"/>
      <c r="JLB8" s="15"/>
      <c r="JLC8" s="15"/>
      <c r="JLD8" s="15"/>
      <c r="JLE8" s="15"/>
      <c r="JLF8" s="15"/>
      <c r="JLG8" s="15"/>
      <c r="JLH8" s="15"/>
      <c r="JLI8" s="15"/>
      <c r="JLJ8" s="15"/>
      <c r="JLK8" s="15"/>
      <c r="JLL8" s="15"/>
      <c r="JLM8" s="15"/>
      <c r="JLN8" s="15"/>
      <c r="JLO8" s="15"/>
      <c r="JLP8" s="15"/>
      <c r="JLQ8" s="15"/>
      <c r="JLR8" s="15"/>
      <c r="JLS8" s="15"/>
      <c r="JLT8" s="15"/>
      <c r="JLU8" s="15"/>
      <c r="JLV8" s="15"/>
      <c r="JLW8" s="15"/>
      <c r="JLX8" s="15"/>
      <c r="JLY8" s="15"/>
      <c r="JLZ8" s="15"/>
      <c r="JMA8" s="15"/>
      <c r="JMB8" s="15"/>
      <c r="JMC8" s="15"/>
      <c r="JMD8" s="15"/>
      <c r="JME8" s="15"/>
      <c r="JMF8" s="15"/>
      <c r="JMG8" s="15"/>
      <c r="JMH8" s="15"/>
      <c r="JMI8" s="15"/>
      <c r="JMJ8" s="15"/>
      <c r="JMK8" s="15"/>
      <c r="JML8" s="15"/>
      <c r="JMM8" s="15"/>
      <c r="JMN8" s="15"/>
      <c r="JMO8" s="15"/>
      <c r="JMP8" s="15"/>
      <c r="JMQ8" s="15"/>
      <c r="JMR8" s="15"/>
      <c r="JMS8" s="15"/>
      <c r="JMT8" s="15"/>
      <c r="JMU8" s="15"/>
      <c r="JMV8" s="15"/>
      <c r="JMW8" s="15"/>
      <c r="JMX8" s="15"/>
      <c r="JMY8" s="15"/>
      <c r="JMZ8" s="15"/>
      <c r="JNA8" s="15"/>
      <c r="JNB8" s="15"/>
      <c r="JNC8" s="15"/>
      <c r="JND8" s="15"/>
      <c r="JNE8" s="15"/>
      <c r="JNF8" s="15"/>
      <c r="JNG8" s="15"/>
      <c r="JNH8" s="15"/>
      <c r="JNI8" s="15"/>
      <c r="JNJ8" s="15"/>
      <c r="JNK8" s="15"/>
      <c r="JNL8" s="15"/>
      <c r="JNM8" s="15"/>
      <c r="JNN8" s="15"/>
      <c r="JNO8" s="15"/>
      <c r="JNP8" s="15"/>
      <c r="JNQ8" s="15"/>
      <c r="JNR8" s="15"/>
      <c r="JNS8" s="15"/>
      <c r="JNT8" s="15"/>
      <c r="JNU8" s="15"/>
      <c r="JNV8" s="15"/>
      <c r="JNW8" s="15"/>
      <c r="JNX8" s="15"/>
      <c r="JNY8" s="15"/>
      <c r="JNZ8" s="15"/>
      <c r="JOA8" s="15"/>
      <c r="JOB8" s="15"/>
      <c r="JOC8" s="15"/>
      <c r="JOD8" s="15"/>
      <c r="JOE8" s="15"/>
      <c r="JOF8" s="15"/>
      <c r="JOG8" s="15"/>
      <c r="JOH8" s="15"/>
      <c r="JOI8" s="15"/>
      <c r="JOJ8" s="15"/>
      <c r="JOK8" s="15"/>
      <c r="JOL8" s="15"/>
      <c r="JOM8" s="15"/>
      <c r="JON8" s="15"/>
      <c r="JOO8" s="15"/>
      <c r="JOP8" s="15"/>
      <c r="JOQ8" s="15"/>
      <c r="JOR8" s="15"/>
      <c r="JOS8" s="15"/>
      <c r="JOT8" s="15"/>
      <c r="JOU8" s="15"/>
      <c r="JOV8" s="15"/>
      <c r="JOW8" s="15"/>
      <c r="JOX8" s="15"/>
      <c r="JOY8" s="15"/>
      <c r="JOZ8" s="15"/>
      <c r="JPA8" s="15"/>
      <c r="JPB8" s="15"/>
      <c r="JPC8" s="15"/>
      <c r="JPD8" s="15"/>
      <c r="JPE8" s="15"/>
      <c r="JPF8" s="15"/>
      <c r="JPG8" s="15"/>
      <c r="JPH8" s="15"/>
      <c r="JPI8" s="15"/>
      <c r="JPJ8" s="15"/>
      <c r="JPK8" s="15"/>
      <c r="JPL8" s="15"/>
      <c r="JPM8" s="15"/>
      <c r="JPN8" s="15"/>
      <c r="JPO8" s="15"/>
      <c r="JPP8" s="15"/>
      <c r="JPQ8" s="15"/>
      <c r="JPR8" s="15"/>
      <c r="JPS8" s="15"/>
      <c r="JPT8" s="15"/>
      <c r="JPU8" s="15"/>
      <c r="JPV8" s="15"/>
      <c r="JPW8" s="15"/>
      <c r="JPX8" s="15"/>
      <c r="JPY8" s="15"/>
      <c r="JPZ8" s="15"/>
      <c r="JQA8" s="15"/>
      <c r="JQB8" s="15"/>
      <c r="JQC8" s="15"/>
      <c r="JQD8" s="15"/>
      <c r="JQE8" s="15"/>
      <c r="JQF8" s="15"/>
      <c r="JQG8" s="15"/>
      <c r="JQH8" s="15"/>
      <c r="JQI8" s="15"/>
      <c r="JQJ8" s="15"/>
      <c r="JQK8" s="15"/>
      <c r="JQL8" s="15"/>
      <c r="JQM8" s="15"/>
      <c r="JQN8" s="15"/>
      <c r="JQO8" s="15"/>
      <c r="JQP8" s="15"/>
      <c r="JQQ8" s="15"/>
      <c r="JQR8" s="15"/>
      <c r="JQS8" s="15"/>
      <c r="JQT8" s="15"/>
      <c r="JQU8" s="15"/>
      <c r="JQV8" s="15"/>
      <c r="JQW8" s="15"/>
      <c r="JQX8" s="15"/>
      <c r="JQY8" s="15"/>
      <c r="JQZ8" s="15"/>
      <c r="JRA8" s="15"/>
      <c r="JRB8" s="15"/>
      <c r="JRC8" s="15"/>
      <c r="JRD8" s="15"/>
      <c r="JRE8" s="15"/>
      <c r="JRF8" s="15"/>
      <c r="JRG8" s="15"/>
      <c r="JRH8" s="15"/>
      <c r="JRI8" s="15"/>
      <c r="JRJ8" s="15"/>
      <c r="JRK8" s="15"/>
      <c r="JRL8" s="15"/>
      <c r="JRM8" s="15"/>
      <c r="JRN8" s="15"/>
      <c r="JRO8" s="15"/>
      <c r="JRP8" s="15"/>
      <c r="JRQ8" s="15"/>
      <c r="JRR8" s="15"/>
      <c r="JRS8" s="15"/>
      <c r="JRT8" s="15"/>
      <c r="JRU8" s="15"/>
      <c r="JRV8" s="15"/>
      <c r="JRW8" s="15"/>
      <c r="JRX8" s="15"/>
      <c r="JRY8" s="15"/>
      <c r="JRZ8" s="15"/>
      <c r="JSA8" s="15"/>
      <c r="JSB8" s="15"/>
      <c r="JSC8" s="15"/>
      <c r="JSD8" s="15"/>
      <c r="JSE8" s="15"/>
      <c r="JSF8" s="15"/>
      <c r="JSG8" s="15"/>
      <c r="JSH8" s="15"/>
      <c r="JSI8" s="15"/>
      <c r="JSJ8" s="15"/>
      <c r="JSK8" s="15"/>
      <c r="JSL8" s="15"/>
      <c r="JSM8" s="15"/>
      <c r="JSN8" s="15"/>
      <c r="JSO8" s="15"/>
      <c r="JSP8" s="15"/>
      <c r="JSQ8" s="15"/>
      <c r="JSR8" s="15"/>
      <c r="JSS8" s="15"/>
      <c r="JST8" s="15"/>
      <c r="JSU8" s="15"/>
      <c r="JSV8" s="15"/>
      <c r="JSW8" s="15"/>
      <c r="JSX8" s="15"/>
      <c r="JSY8" s="15"/>
      <c r="JSZ8" s="15"/>
      <c r="JTA8" s="15"/>
      <c r="JTB8" s="15"/>
      <c r="JTC8" s="15"/>
      <c r="JTD8" s="15"/>
      <c r="JTE8" s="15"/>
      <c r="JTF8" s="15"/>
      <c r="JTG8" s="15"/>
      <c r="JTH8" s="15"/>
      <c r="JTI8" s="15"/>
      <c r="JTJ8" s="15"/>
      <c r="JTK8" s="15"/>
      <c r="JTL8" s="15"/>
      <c r="JTM8" s="15"/>
      <c r="JTN8" s="15"/>
      <c r="JTO8" s="15"/>
      <c r="JTP8" s="15"/>
      <c r="JTQ8" s="15"/>
      <c r="JTR8" s="15"/>
      <c r="JTS8" s="15"/>
      <c r="JTT8" s="15"/>
      <c r="JTU8" s="15"/>
      <c r="JTV8" s="15"/>
      <c r="JTW8" s="15"/>
      <c r="JTX8" s="15"/>
      <c r="JTY8" s="15"/>
      <c r="JTZ8" s="15"/>
      <c r="JUA8" s="15"/>
      <c r="JUB8" s="15"/>
      <c r="JUC8" s="15"/>
      <c r="JUD8" s="15"/>
      <c r="JUE8" s="15"/>
      <c r="JUF8" s="15"/>
      <c r="JUG8" s="15"/>
      <c r="JUH8" s="15"/>
      <c r="JUI8" s="15"/>
      <c r="JUJ8" s="15"/>
      <c r="JUK8" s="15"/>
      <c r="JUL8" s="15"/>
      <c r="JUM8" s="15"/>
      <c r="JUN8" s="15"/>
      <c r="JUO8" s="15"/>
      <c r="JUP8" s="15"/>
      <c r="JUQ8" s="15"/>
      <c r="JUR8" s="15"/>
      <c r="JUS8" s="15"/>
      <c r="JUT8" s="15"/>
      <c r="JUU8" s="15"/>
      <c r="JUV8" s="15"/>
      <c r="JUW8" s="15"/>
      <c r="JUX8" s="15"/>
      <c r="JUY8" s="15"/>
      <c r="JUZ8" s="15"/>
      <c r="JVA8" s="15"/>
      <c r="JVB8" s="15"/>
      <c r="JVC8" s="15"/>
      <c r="JVD8" s="15"/>
      <c r="JVE8" s="15"/>
      <c r="JVF8" s="15"/>
      <c r="JVG8" s="15"/>
      <c r="JVH8" s="15"/>
      <c r="JVI8" s="15"/>
      <c r="JVJ8" s="15"/>
      <c r="JVK8" s="15"/>
      <c r="JVL8" s="15"/>
      <c r="JVM8" s="15"/>
      <c r="JVN8" s="15"/>
      <c r="JVO8" s="15"/>
      <c r="JVP8" s="15"/>
      <c r="JVQ8" s="15"/>
      <c r="JVR8" s="15"/>
      <c r="JVS8" s="15"/>
      <c r="JVT8" s="15"/>
      <c r="JVU8" s="15"/>
      <c r="JVV8" s="15"/>
      <c r="JVW8" s="15"/>
      <c r="JVX8" s="15"/>
      <c r="JVY8" s="15"/>
      <c r="JVZ8" s="15"/>
      <c r="JWA8" s="15"/>
      <c r="JWB8" s="15"/>
      <c r="JWC8" s="15"/>
      <c r="JWD8" s="15"/>
      <c r="JWE8" s="15"/>
      <c r="JWF8" s="15"/>
      <c r="JWG8" s="15"/>
      <c r="JWH8" s="15"/>
      <c r="JWI8" s="15"/>
      <c r="JWJ8" s="15"/>
      <c r="JWK8" s="15"/>
      <c r="JWL8" s="15"/>
      <c r="JWM8" s="15"/>
      <c r="JWN8" s="15"/>
      <c r="JWO8" s="15"/>
      <c r="JWP8" s="15"/>
      <c r="JWQ8" s="15"/>
      <c r="JWR8" s="15"/>
      <c r="JWS8" s="15"/>
      <c r="JWT8" s="15"/>
      <c r="JWU8" s="15"/>
      <c r="JWV8" s="15"/>
      <c r="JWW8" s="15"/>
      <c r="JWX8" s="15"/>
      <c r="JWY8" s="15"/>
      <c r="JWZ8" s="15"/>
      <c r="JXA8" s="15"/>
      <c r="JXB8" s="15"/>
      <c r="JXC8" s="15"/>
      <c r="JXD8" s="15"/>
      <c r="JXE8" s="15"/>
      <c r="JXF8" s="15"/>
      <c r="JXG8" s="15"/>
      <c r="JXH8" s="15"/>
      <c r="JXI8" s="15"/>
      <c r="JXJ8" s="15"/>
      <c r="JXK8" s="15"/>
      <c r="JXL8" s="15"/>
      <c r="JXM8" s="15"/>
      <c r="JXN8" s="15"/>
      <c r="JXO8" s="15"/>
      <c r="JXP8" s="15"/>
      <c r="JXQ8" s="15"/>
      <c r="JXR8" s="15"/>
      <c r="JXS8" s="15"/>
      <c r="JXT8" s="15"/>
      <c r="JXU8" s="15"/>
      <c r="JXV8" s="15"/>
      <c r="JXW8" s="15"/>
      <c r="JXX8" s="15"/>
      <c r="JXY8" s="15"/>
      <c r="JXZ8" s="15"/>
      <c r="JYA8" s="15"/>
      <c r="JYB8" s="15"/>
      <c r="JYC8" s="15"/>
      <c r="JYD8" s="15"/>
      <c r="JYE8" s="15"/>
      <c r="JYF8" s="15"/>
      <c r="JYG8" s="15"/>
      <c r="JYH8" s="15"/>
      <c r="JYI8" s="15"/>
      <c r="JYJ8" s="15"/>
      <c r="JYK8" s="15"/>
      <c r="JYL8" s="15"/>
      <c r="JYM8" s="15"/>
      <c r="JYN8" s="15"/>
      <c r="JYO8" s="15"/>
      <c r="JYP8" s="15"/>
      <c r="JYQ8" s="15"/>
      <c r="JYR8" s="15"/>
      <c r="JYS8" s="15"/>
      <c r="JYT8" s="15"/>
      <c r="JYU8" s="15"/>
      <c r="JYV8" s="15"/>
      <c r="JYW8" s="15"/>
      <c r="JYX8" s="15"/>
      <c r="JYY8" s="15"/>
      <c r="JYZ8" s="15"/>
      <c r="JZA8" s="15"/>
      <c r="JZB8" s="15"/>
      <c r="JZC8" s="15"/>
      <c r="JZD8" s="15"/>
      <c r="JZE8" s="15"/>
      <c r="JZF8" s="15"/>
      <c r="JZG8" s="15"/>
      <c r="JZH8" s="15"/>
      <c r="JZI8" s="15"/>
      <c r="JZJ8" s="15"/>
      <c r="JZK8" s="15"/>
      <c r="JZL8" s="15"/>
      <c r="JZM8" s="15"/>
      <c r="JZN8" s="15"/>
      <c r="JZO8" s="15"/>
      <c r="JZP8" s="15"/>
      <c r="JZQ8" s="15"/>
      <c r="JZR8" s="15"/>
      <c r="JZS8" s="15"/>
      <c r="JZT8" s="15"/>
      <c r="JZU8" s="15"/>
      <c r="JZV8" s="15"/>
      <c r="JZW8" s="15"/>
      <c r="JZX8" s="15"/>
      <c r="JZY8" s="15"/>
      <c r="JZZ8" s="15"/>
      <c r="KAA8" s="15"/>
      <c r="KAB8" s="15"/>
      <c r="KAC8" s="15"/>
      <c r="KAD8" s="15"/>
      <c r="KAE8" s="15"/>
      <c r="KAF8" s="15"/>
      <c r="KAG8" s="15"/>
      <c r="KAH8" s="15"/>
      <c r="KAI8" s="15"/>
      <c r="KAJ8" s="15"/>
      <c r="KAK8" s="15"/>
      <c r="KAL8" s="15"/>
      <c r="KAM8" s="15"/>
      <c r="KAN8" s="15"/>
      <c r="KAO8" s="15"/>
      <c r="KAP8" s="15"/>
      <c r="KAQ8" s="15"/>
      <c r="KAR8" s="15"/>
      <c r="KAS8" s="15"/>
      <c r="KAT8" s="15"/>
      <c r="KAU8" s="15"/>
      <c r="KAV8" s="15"/>
      <c r="KAW8" s="15"/>
      <c r="KAX8" s="15"/>
      <c r="KAY8" s="15"/>
      <c r="KAZ8" s="15"/>
      <c r="KBA8" s="15"/>
      <c r="KBB8" s="15"/>
      <c r="KBC8" s="15"/>
      <c r="KBD8" s="15"/>
      <c r="KBE8" s="15"/>
      <c r="KBF8" s="15"/>
      <c r="KBG8" s="15"/>
      <c r="KBH8" s="15"/>
      <c r="KBI8" s="15"/>
      <c r="KBJ8" s="15"/>
      <c r="KBK8" s="15"/>
      <c r="KBL8" s="15"/>
      <c r="KBM8" s="15"/>
      <c r="KBN8" s="15"/>
      <c r="KBO8" s="15"/>
      <c r="KBP8" s="15"/>
      <c r="KBQ8" s="15"/>
      <c r="KBR8" s="15"/>
      <c r="KBS8" s="15"/>
      <c r="KBT8" s="15"/>
      <c r="KBU8" s="15"/>
      <c r="KBV8" s="15"/>
      <c r="KBW8" s="15"/>
      <c r="KBX8" s="15"/>
      <c r="KBY8" s="15"/>
      <c r="KBZ8" s="15"/>
      <c r="KCA8" s="15"/>
      <c r="KCB8" s="15"/>
      <c r="KCC8" s="15"/>
      <c r="KCD8" s="15"/>
      <c r="KCE8" s="15"/>
      <c r="KCF8" s="15"/>
      <c r="KCG8" s="15"/>
      <c r="KCH8" s="15"/>
      <c r="KCI8" s="15"/>
      <c r="KCJ8" s="15"/>
      <c r="KCK8" s="15"/>
      <c r="KCL8" s="15"/>
      <c r="KCM8" s="15"/>
      <c r="KCN8" s="15"/>
      <c r="KCO8" s="15"/>
      <c r="KCP8" s="15"/>
      <c r="KCQ8" s="15"/>
      <c r="KCR8" s="15"/>
      <c r="KCS8" s="15"/>
      <c r="KCT8" s="15"/>
      <c r="KCU8" s="15"/>
      <c r="KCV8" s="15"/>
      <c r="KCW8" s="15"/>
      <c r="KCX8" s="15"/>
      <c r="KCY8" s="15"/>
      <c r="KCZ8" s="15"/>
      <c r="KDA8" s="15"/>
      <c r="KDB8" s="15"/>
      <c r="KDC8" s="15"/>
      <c r="KDD8" s="15"/>
      <c r="KDE8" s="15"/>
      <c r="KDF8" s="15"/>
      <c r="KDG8" s="15"/>
      <c r="KDH8" s="15"/>
      <c r="KDI8" s="15"/>
      <c r="KDJ8" s="15"/>
      <c r="KDK8" s="15"/>
      <c r="KDL8" s="15"/>
      <c r="KDM8" s="15"/>
      <c r="KDN8" s="15"/>
      <c r="KDO8" s="15"/>
      <c r="KDP8" s="15"/>
      <c r="KDQ8" s="15"/>
      <c r="KDR8" s="15"/>
      <c r="KDS8" s="15"/>
      <c r="KDT8" s="15"/>
      <c r="KDU8" s="15"/>
      <c r="KDV8" s="15"/>
      <c r="KDW8" s="15"/>
      <c r="KDX8" s="15"/>
      <c r="KDY8" s="15"/>
      <c r="KDZ8" s="15"/>
      <c r="KEA8" s="15"/>
      <c r="KEB8" s="15"/>
      <c r="KEC8" s="15"/>
      <c r="KED8" s="15"/>
      <c r="KEE8" s="15"/>
      <c r="KEF8" s="15"/>
      <c r="KEG8" s="15"/>
      <c r="KEH8" s="15"/>
      <c r="KEI8" s="15"/>
      <c r="KEJ8" s="15"/>
      <c r="KEK8" s="15"/>
      <c r="KEL8" s="15"/>
      <c r="KEM8" s="15"/>
      <c r="KEN8" s="15"/>
      <c r="KEO8" s="15"/>
      <c r="KEP8" s="15"/>
      <c r="KEQ8" s="15"/>
      <c r="KER8" s="15"/>
      <c r="KES8" s="15"/>
      <c r="KET8" s="15"/>
      <c r="KEU8" s="15"/>
      <c r="KEV8" s="15"/>
      <c r="KEW8" s="15"/>
      <c r="KEX8" s="15"/>
      <c r="KEY8" s="15"/>
      <c r="KEZ8" s="15"/>
      <c r="KFA8" s="15"/>
      <c r="KFB8" s="15"/>
      <c r="KFC8" s="15"/>
      <c r="KFD8" s="15"/>
      <c r="KFE8" s="15"/>
      <c r="KFF8" s="15"/>
      <c r="KFG8" s="15"/>
      <c r="KFH8" s="15"/>
      <c r="KFI8" s="15"/>
      <c r="KFJ8" s="15"/>
      <c r="KFK8" s="15"/>
      <c r="KFL8" s="15"/>
      <c r="KFM8" s="15"/>
      <c r="KFN8" s="15"/>
      <c r="KFO8" s="15"/>
      <c r="KFP8" s="15"/>
      <c r="KFQ8" s="15"/>
      <c r="KFR8" s="15"/>
      <c r="KFS8" s="15"/>
      <c r="KFT8" s="15"/>
      <c r="KFU8" s="15"/>
      <c r="KFV8" s="15"/>
      <c r="KFW8" s="15"/>
      <c r="KFX8" s="15"/>
      <c r="KFY8" s="15"/>
      <c r="KFZ8" s="15"/>
      <c r="KGA8" s="15"/>
      <c r="KGB8" s="15"/>
      <c r="KGC8" s="15"/>
      <c r="KGD8" s="15"/>
      <c r="KGE8" s="15"/>
      <c r="KGF8" s="15"/>
      <c r="KGG8" s="15"/>
      <c r="KGH8" s="15"/>
      <c r="KGI8" s="15"/>
      <c r="KGJ8" s="15"/>
      <c r="KGK8" s="15"/>
      <c r="KGL8" s="15"/>
      <c r="KGM8" s="15"/>
      <c r="KGN8" s="15"/>
      <c r="KGO8" s="15"/>
      <c r="KGP8" s="15"/>
      <c r="KGQ8" s="15"/>
      <c r="KGR8" s="15"/>
      <c r="KGS8" s="15"/>
      <c r="KGT8" s="15"/>
      <c r="KGU8" s="15"/>
      <c r="KGV8" s="15"/>
      <c r="KGW8" s="15"/>
      <c r="KGX8" s="15"/>
      <c r="KGY8" s="15"/>
      <c r="KGZ8" s="15"/>
      <c r="KHA8" s="15"/>
      <c r="KHB8" s="15"/>
      <c r="KHC8" s="15"/>
      <c r="KHD8" s="15"/>
      <c r="KHE8" s="15"/>
      <c r="KHF8" s="15"/>
      <c r="KHG8" s="15"/>
      <c r="KHH8" s="15"/>
      <c r="KHI8" s="15"/>
      <c r="KHJ8" s="15"/>
      <c r="KHK8" s="15"/>
      <c r="KHL8" s="15"/>
      <c r="KHM8" s="15"/>
      <c r="KHN8" s="15"/>
      <c r="KHO8" s="15"/>
      <c r="KHP8" s="15"/>
      <c r="KHQ8" s="15"/>
      <c r="KHR8" s="15"/>
      <c r="KHS8" s="15"/>
      <c r="KHT8" s="15"/>
      <c r="KHU8" s="15"/>
      <c r="KHV8" s="15"/>
      <c r="KHW8" s="15"/>
      <c r="KHX8" s="15"/>
      <c r="KHY8" s="15"/>
      <c r="KHZ8" s="15"/>
      <c r="KIA8" s="15"/>
      <c r="KIB8" s="15"/>
      <c r="KIC8" s="15"/>
      <c r="KID8" s="15"/>
      <c r="KIE8" s="15"/>
      <c r="KIF8" s="15"/>
      <c r="KIG8" s="15"/>
      <c r="KIH8" s="15"/>
      <c r="KII8" s="15"/>
      <c r="KIJ8" s="15"/>
      <c r="KIK8" s="15"/>
      <c r="KIL8" s="15"/>
      <c r="KIM8" s="15"/>
      <c r="KIN8" s="15"/>
      <c r="KIO8" s="15"/>
      <c r="KIP8" s="15"/>
      <c r="KIQ8" s="15"/>
      <c r="KIR8" s="15"/>
      <c r="KIS8" s="15"/>
      <c r="KIT8" s="15"/>
      <c r="KIU8" s="15"/>
      <c r="KIV8" s="15"/>
      <c r="KIW8" s="15"/>
      <c r="KIX8" s="15"/>
      <c r="KIY8" s="15"/>
      <c r="KIZ8" s="15"/>
      <c r="KJA8" s="15"/>
      <c r="KJB8" s="15"/>
      <c r="KJC8" s="15"/>
      <c r="KJD8" s="15"/>
      <c r="KJE8" s="15"/>
      <c r="KJF8" s="15"/>
      <c r="KJG8" s="15"/>
      <c r="KJH8" s="15"/>
      <c r="KJI8" s="15"/>
      <c r="KJJ8" s="15"/>
      <c r="KJK8" s="15"/>
      <c r="KJL8" s="15"/>
      <c r="KJM8" s="15"/>
      <c r="KJN8" s="15"/>
      <c r="KJO8" s="15"/>
      <c r="KJP8" s="15"/>
      <c r="KJQ8" s="15"/>
      <c r="KJR8" s="15"/>
      <c r="KJS8" s="15"/>
      <c r="KJT8" s="15"/>
      <c r="KJU8" s="15"/>
      <c r="KJV8" s="15"/>
      <c r="KJW8" s="15"/>
      <c r="KJX8" s="15"/>
      <c r="KJY8" s="15"/>
      <c r="KJZ8" s="15"/>
      <c r="KKA8" s="15"/>
      <c r="KKB8" s="15"/>
      <c r="KKC8" s="15"/>
      <c r="KKD8" s="15"/>
      <c r="KKE8" s="15"/>
      <c r="KKF8" s="15"/>
      <c r="KKG8" s="15"/>
      <c r="KKH8" s="15"/>
      <c r="KKI8" s="15"/>
      <c r="KKJ8" s="15"/>
      <c r="KKK8" s="15"/>
      <c r="KKL8" s="15"/>
      <c r="KKM8" s="15"/>
      <c r="KKN8" s="15"/>
      <c r="KKO8" s="15"/>
      <c r="KKP8" s="15"/>
      <c r="KKQ8" s="15"/>
      <c r="KKR8" s="15"/>
      <c r="KKS8" s="15"/>
      <c r="KKT8" s="15"/>
      <c r="KKU8" s="15"/>
      <c r="KKV8" s="15"/>
      <c r="KKW8" s="15"/>
      <c r="KKX8" s="15"/>
      <c r="KKY8" s="15"/>
      <c r="KKZ8" s="15"/>
      <c r="KLA8" s="15"/>
      <c r="KLB8" s="15"/>
      <c r="KLC8" s="15"/>
      <c r="KLD8" s="15"/>
      <c r="KLE8" s="15"/>
      <c r="KLF8" s="15"/>
      <c r="KLG8" s="15"/>
      <c r="KLH8" s="15"/>
      <c r="KLI8" s="15"/>
      <c r="KLJ8" s="15"/>
      <c r="KLK8" s="15"/>
      <c r="KLL8" s="15"/>
      <c r="KLM8" s="15"/>
      <c r="KLN8" s="15"/>
      <c r="KLO8" s="15"/>
      <c r="KLP8" s="15"/>
      <c r="KLQ8" s="15"/>
      <c r="KLR8" s="15"/>
      <c r="KLS8" s="15"/>
      <c r="KLT8" s="15"/>
      <c r="KLU8" s="15"/>
      <c r="KLV8" s="15"/>
      <c r="KLW8" s="15"/>
      <c r="KLX8" s="15"/>
      <c r="KLY8" s="15"/>
      <c r="KLZ8" s="15"/>
      <c r="KMA8" s="15"/>
      <c r="KMB8" s="15"/>
      <c r="KMC8" s="15"/>
      <c r="KMD8" s="15"/>
      <c r="KME8" s="15"/>
      <c r="KMF8" s="15"/>
      <c r="KMG8" s="15"/>
      <c r="KMH8" s="15"/>
      <c r="KMI8" s="15"/>
      <c r="KMJ8" s="15"/>
      <c r="KMK8" s="15"/>
      <c r="KML8" s="15"/>
      <c r="KMM8" s="15"/>
      <c r="KMN8" s="15"/>
      <c r="KMO8" s="15"/>
      <c r="KMP8" s="15"/>
      <c r="KMQ8" s="15"/>
      <c r="KMR8" s="15"/>
      <c r="KMS8" s="15"/>
      <c r="KMT8" s="15"/>
      <c r="KMU8" s="15"/>
      <c r="KMV8" s="15"/>
      <c r="KMW8" s="15"/>
      <c r="KMX8" s="15"/>
      <c r="KMY8" s="15"/>
      <c r="KMZ8" s="15"/>
      <c r="KNA8" s="15"/>
      <c r="KNB8" s="15"/>
      <c r="KNC8" s="15"/>
      <c r="KND8" s="15"/>
      <c r="KNE8" s="15"/>
      <c r="KNF8" s="15"/>
      <c r="KNG8" s="15"/>
      <c r="KNH8" s="15"/>
      <c r="KNI8" s="15"/>
      <c r="KNJ8" s="15"/>
      <c r="KNK8" s="15"/>
      <c r="KNL8" s="15"/>
      <c r="KNM8" s="15"/>
      <c r="KNN8" s="15"/>
      <c r="KNO8" s="15"/>
      <c r="KNP8" s="15"/>
      <c r="KNQ8" s="15"/>
      <c r="KNR8" s="15"/>
      <c r="KNS8" s="15"/>
      <c r="KNT8" s="15"/>
      <c r="KNU8" s="15"/>
      <c r="KNV8" s="15"/>
      <c r="KNW8" s="15"/>
      <c r="KNX8" s="15"/>
      <c r="KNY8" s="15"/>
      <c r="KNZ8" s="15"/>
      <c r="KOA8" s="15"/>
      <c r="KOB8" s="15"/>
      <c r="KOC8" s="15"/>
      <c r="KOD8" s="15"/>
      <c r="KOE8" s="15"/>
      <c r="KOF8" s="15"/>
      <c r="KOG8" s="15"/>
      <c r="KOH8" s="15"/>
      <c r="KOI8" s="15"/>
      <c r="KOJ8" s="15"/>
      <c r="KOK8" s="15"/>
      <c r="KOL8" s="15"/>
      <c r="KOM8" s="15"/>
      <c r="KON8" s="15"/>
      <c r="KOO8" s="15"/>
      <c r="KOP8" s="15"/>
      <c r="KOQ8" s="15"/>
      <c r="KOR8" s="15"/>
      <c r="KOS8" s="15"/>
      <c r="KOT8" s="15"/>
      <c r="KOU8" s="15"/>
      <c r="KOV8" s="15"/>
      <c r="KOW8" s="15"/>
      <c r="KOX8" s="15"/>
      <c r="KOY8" s="15"/>
      <c r="KOZ8" s="15"/>
      <c r="KPA8" s="15"/>
      <c r="KPB8" s="15"/>
      <c r="KPC8" s="15"/>
      <c r="KPD8" s="15"/>
      <c r="KPE8" s="15"/>
      <c r="KPF8" s="15"/>
      <c r="KPG8" s="15"/>
      <c r="KPH8" s="15"/>
      <c r="KPI8" s="15"/>
      <c r="KPJ8" s="15"/>
      <c r="KPK8" s="15"/>
      <c r="KPL8" s="15"/>
      <c r="KPM8" s="15"/>
      <c r="KPN8" s="15"/>
      <c r="KPO8" s="15"/>
      <c r="KPP8" s="15"/>
      <c r="KPQ8" s="15"/>
      <c r="KPR8" s="15"/>
      <c r="KPS8" s="15"/>
      <c r="KPT8" s="15"/>
      <c r="KPU8" s="15"/>
      <c r="KPV8" s="15"/>
      <c r="KPW8" s="15"/>
      <c r="KPX8" s="15"/>
      <c r="KPY8" s="15"/>
      <c r="KPZ8" s="15"/>
      <c r="KQA8" s="15"/>
      <c r="KQB8" s="15"/>
      <c r="KQC8" s="15"/>
      <c r="KQD8" s="15"/>
      <c r="KQE8" s="15"/>
      <c r="KQF8" s="15"/>
      <c r="KQG8" s="15"/>
      <c r="KQH8" s="15"/>
      <c r="KQI8" s="15"/>
      <c r="KQJ8" s="15"/>
      <c r="KQK8" s="15"/>
      <c r="KQL8" s="15"/>
      <c r="KQM8" s="15"/>
      <c r="KQN8" s="15"/>
      <c r="KQO8" s="15"/>
      <c r="KQP8" s="15"/>
      <c r="KQQ8" s="15"/>
      <c r="KQR8" s="15"/>
      <c r="KQS8" s="15"/>
      <c r="KQT8" s="15"/>
      <c r="KQU8" s="15"/>
      <c r="KQV8" s="15"/>
      <c r="KQW8" s="15"/>
      <c r="KQX8" s="15"/>
      <c r="KQY8" s="15"/>
      <c r="KQZ8" s="15"/>
      <c r="KRA8" s="15"/>
      <c r="KRB8" s="15"/>
      <c r="KRC8" s="15"/>
      <c r="KRD8" s="15"/>
      <c r="KRE8" s="15"/>
      <c r="KRF8" s="15"/>
      <c r="KRG8" s="15"/>
      <c r="KRH8" s="15"/>
      <c r="KRI8" s="15"/>
      <c r="KRJ8" s="15"/>
      <c r="KRK8" s="15"/>
      <c r="KRL8" s="15"/>
      <c r="KRM8" s="15"/>
      <c r="KRN8" s="15"/>
      <c r="KRO8" s="15"/>
      <c r="KRP8" s="15"/>
      <c r="KRQ8" s="15"/>
      <c r="KRR8" s="15"/>
      <c r="KRS8" s="15"/>
      <c r="KRT8" s="15"/>
      <c r="KRU8" s="15"/>
      <c r="KRV8" s="15"/>
      <c r="KRW8" s="15"/>
      <c r="KRX8" s="15"/>
      <c r="KRY8" s="15"/>
      <c r="KRZ8" s="15"/>
      <c r="KSA8" s="15"/>
      <c r="KSB8" s="15"/>
      <c r="KSC8" s="15"/>
      <c r="KSD8" s="15"/>
      <c r="KSE8" s="15"/>
      <c r="KSF8" s="15"/>
      <c r="KSG8" s="15"/>
      <c r="KSH8" s="15"/>
      <c r="KSI8" s="15"/>
      <c r="KSJ8" s="15"/>
      <c r="KSK8" s="15"/>
      <c r="KSL8" s="15"/>
      <c r="KSM8" s="15"/>
      <c r="KSN8" s="15"/>
      <c r="KSO8" s="15"/>
      <c r="KSP8" s="15"/>
      <c r="KSQ8" s="15"/>
      <c r="KSR8" s="15"/>
      <c r="KSS8" s="15"/>
      <c r="KST8" s="15"/>
      <c r="KSU8" s="15"/>
      <c r="KSV8" s="15"/>
      <c r="KSW8" s="15"/>
      <c r="KSX8" s="15"/>
      <c r="KSY8" s="15"/>
      <c r="KSZ8" s="15"/>
      <c r="KTA8" s="15"/>
      <c r="KTB8" s="15"/>
      <c r="KTC8" s="15"/>
      <c r="KTD8" s="15"/>
      <c r="KTE8" s="15"/>
      <c r="KTF8" s="15"/>
      <c r="KTG8" s="15"/>
      <c r="KTH8" s="15"/>
      <c r="KTI8" s="15"/>
      <c r="KTJ8" s="15"/>
      <c r="KTK8" s="15"/>
      <c r="KTL8" s="15"/>
      <c r="KTM8" s="15"/>
      <c r="KTN8" s="15"/>
      <c r="KTO8" s="15"/>
      <c r="KTP8" s="15"/>
      <c r="KTQ8" s="15"/>
      <c r="KTR8" s="15"/>
      <c r="KTS8" s="15"/>
      <c r="KTT8" s="15"/>
      <c r="KTU8" s="15"/>
      <c r="KTV8" s="15"/>
      <c r="KTW8" s="15"/>
      <c r="KTX8" s="15"/>
      <c r="KTY8" s="15"/>
      <c r="KTZ8" s="15"/>
      <c r="KUA8" s="15"/>
      <c r="KUB8" s="15"/>
      <c r="KUC8" s="15"/>
      <c r="KUD8" s="15"/>
      <c r="KUE8" s="15"/>
      <c r="KUF8" s="15"/>
      <c r="KUG8" s="15"/>
      <c r="KUH8" s="15"/>
      <c r="KUI8" s="15"/>
      <c r="KUJ8" s="15"/>
      <c r="KUK8" s="15"/>
      <c r="KUL8" s="15"/>
      <c r="KUM8" s="15"/>
      <c r="KUN8" s="15"/>
      <c r="KUO8" s="15"/>
      <c r="KUP8" s="15"/>
      <c r="KUQ8" s="15"/>
      <c r="KUR8" s="15"/>
      <c r="KUS8" s="15"/>
      <c r="KUT8" s="15"/>
      <c r="KUU8" s="15"/>
      <c r="KUV8" s="15"/>
      <c r="KUW8" s="15"/>
      <c r="KUX8" s="15"/>
      <c r="KUY8" s="15"/>
      <c r="KUZ8" s="15"/>
      <c r="KVA8" s="15"/>
      <c r="KVB8" s="15"/>
      <c r="KVC8" s="15"/>
      <c r="KVD8" s="15"/>
      <c r="KVE8" s="15"/>
      <c r="KVF8" s="15"/>
      <c r="KVG8" s="15"/>
      <c r="KVH8" s="15"/>
      <c r="KVI8" s="15"/>
      <c r="KVJ8" s="15"/>
      <c r="KVK8" s="15"/>
      <c r="KVL8" s="15"/>
      <c r="KVM8" s="15"/>
      <c r="KVN8" s="15"/>
      <c r="KVO8" s="15"/>
      <c r="KVP8" s="15"/>
      <c r="KVQ8" s="15"/>
      <c r="KVR8" s="15"/>
      <c r="KVS8" s="15"/>
      <c r="KVT8" s="15"/>
      <c r="KVU8" s="15"/>
      <c r="KVV8" s="15"/>
      <c r="KVW8" s="15"/>
      <c r="KVX8" s="15"/>
      <c r="KVY8" s="15"/>
      <c r="KVZ8" s="15"/>
      <c r="KWA8" s="15"/>
      <c r="KWB8" s="15"/>
      <c r="KWC8" s="15"/>
      <c r="KWD8" s="15"/>
      <c r="KWE8" s="15"/>
      <c r="KWF8" s="15"/>
      <c r="KWG8" s="15"/>
      <c r="KWH8" s="15"/>
      <c r="KWI8" s="15"/>
      <c r="KWJ8" s="15"/>
      <c r="KWK8" s="15"/>
      <c r="KWL8" s="15"/>
      <c r="KWM8" s="15"/>
      <c r="KWN8" s="15"/>
      <c r="KWO8" s="15"/>
      <c r="KWP8" s="15"/>
      <c r="KWQ8" s="15"/>
      <c r="KWR8" s="15"/>
      <c r="KWS8" s="15"/>
      <c r="KWT8" s="15"/>
      <c r="KWU8" s="15"/>
      <c r="KWV8" s="15"/>
      <c r="KWW8" s="15"/>
      <c r="KWX8" s="15"/>
      <c r="KWY8" s="15"/>
      <c r="KWZ8" s="15"/>
      <c r="KXA8" s="15"/>
      <c r="KXB8" s="15"/>
      <c r="KXC8" s="15"/>
      <c r="KXD8" s="15"/>
      <c r="KXE8" s="15"/>
      <c r="KXF8" s="15"/>
      <c r="KXG8" s="15"/>
      <c r="KXH8" s="15"/>
      <c r="KXI8" s="15"/>
      <c r="KXJ8" s="15"/>
      <c r="KXK8" s="15"/>
      <c r="KXL8" s="15"/>
      <c r="KXM8" s="15"/>
      <c r="KXN8" s="15"/>
      <c r="KXO8" s="15"/>
      <c r="KXP8" s="15"/>
      <c r="KXQ8" s="15"/>
      <c r="KXR8" s="15"/>
      <c r="KXS8" s="15"/>
      <c r="KXT8" s="15"/>
      <c r="KXU8" s="15"/>
      <c r="KXV8" s="15"/>
      <c r="KXW8" s="15"/>
      <c r="KXX8" s="15"/>
      <c r="KXY8" s="15"/>
      <c r="KXZ8" s="15"/>
      <c r="KYA8" s="15"/>
      <c r="KYB8" s="15"/>
      <c r="KYC8" s="15"/>
      <c r="KYD8" s="15"/>
      <c r="KYE8" s="15"/>
      <c r="KYF8" s="15"/>
      <c r="KYG8" s="15"/>
      <c r="KYH8" s="15"/>
      <c r="KYI8" s="15"/>
      <c r="KYJ8" s="15"/>
      <c r="KYK8" s="15"/>
      <c r="KYL8" s="15"/>
      <c r="KYM8" s="15"/>
      <c r="KYN8" s="15"/>
      <c r="KYO8" s="15"/>
      <c r="KYP8" s="15"/>
      <c r="KYQ8" s="15"/>
      <c r="KYR8" s="15"/>
      <c r="KYS8" s="15"/>
      <c r="KYT8" s="15"/>
      <c r="KYU8" s="15"/>
      <c r="KYV8" s="15"/>
      <c r="KYW8" s="15"/>
      <c r="KYX8" s="15"/>
      <c r="KYY8" s="15"/>
      <c r="KYZ8" s="15"/>
      <c r="KZA8" s="15"/>
      <c r="KZB8" s="15"/>
      <c r="KZC8" s="15"/>
      <c r="KZD8" s="15"/>
      <c r="KZE8" s="15"/>
      <c r="KZF8" s="15"/>
      <c r="KZG8" s="15"/>
      <c r="KZH8" s="15"/>
      <c r="KZI8" s="15"/>
      <c r="KZJ8" s="15"/>
      <c r="KZK8" s="15"/>
      <c r="KZL8" s="15"/>
      <c r="KZM8" s="15"/>
      <c r="KZN8" s="15"/>
      <c r="KZO8" s="15"/>
      <c r="KZP8" s="15"/>
      <c r="KZQ8" s="15"/>
      <c r="KZR8" s="15"/>
      <c r="KZS8" s="15"/>
      <c r="KZT8" s="15"/>
      <c r="KZU8" s="15"/>
      <c r="KZV8" s="15"/>
      <c r="KZW8" s="15"/>
      <c r="KZX8" s="15"/>
      <c r="KZY8" s="15"/>
      <c r="KZZ8" s="15"/>
      <c r="LAA8" s="15"/>
      <c r="LAB8" s="15"/>
      <c r="LAC8" s="15"/>
      <c r="LAD8" s="15"/>
      <c r="LAE8" s="15"/>
      <c r="LAF8" s="15"/>
      <c r="LAG8" s="15"/>
      <c r="LAH8" s="15"/>
      <c r="LAI8" s="15"/>
      <c r="LAJ8" s="15"/>
      <c r="LAK8" s="15"/>
      <c r="LAL8" s="15"/>
      <c r="LAM8" s="15"/>
      <c r="LAN8" s="15"/>
      <c r="LAO8" s="15"/>
      <c r="LAP8" s="15"/>
      <c r="LAQ8" s="15"/>
      <c r="LAR8" s="15"/>
      <c r="LAS8" s="15"/>
      <c r="LAT8" s="15"/>
      <c r="LAU8" s="15"/>
      <c r="LAV8" s="15"/>
      <c r="LAW8" s="15"/>
      <c r="LAX8" s="15"/>
      <c r="LAY8" s="15"/>
      <c r="LAZ8" s="15"/>
      <c r="LBA8" s="15"/>
      <c r="LBB8" s="15"/>
      <c r="LBC8" s="15"/>
      <c r="LBD8" s="15"/>
      <c r="LBE8" s="15"/>
      <c r="LBF8" s="15"/>
      <c r="LBG8" s="15"/>
      <c r="LBH8" s="15"/>
      <c r="LBI8" s="15"/>
      <c r="LBJ8" s="15"/>
      <c r="LBK8" s="15"/>
      <c r="LBL8" s="15"/>
      <c r="LBM8" s="15"/>
      <c r="LBN8" s="15"/>
      <c r="LBO8" s="15"/>
      <c r="LBP8" s="15"/>
      <c r="LBQ8" s="15"/>
      <c r="LBR8" s="15"/>
      <c r="LBS8" s="15"/>
      <c r="LBT8" s="15"/>
      <c r="LBU8" s="15"/>
      <c r="LBV8" s="15"/>
      <c r="LBW8" s="15"/>
      <c r="LBX8" s="15"/>
      <c r="LBY8" s="15"/>
      <c r="LBZ8" s="15"/>
      <c r="LCA8" s="15"/>
      <c r="LCB8" s="15"/>
      <c r="LCC8" s="15"/>
      <c r="LCD8" s="15"/>
      <c r="LCE8" s="15"/>
      <c r="LCF8" s="15"/>
      <c r="LCG8" s="15"/>
      <c r="LCH8" s="15"/>
      <c r="LCI8" s="15"/>
      <c r="LCJ8" s="15"/>
      <c r="LCK8" s="15"/>
      <c r="LCL8" s="15"/>
      <c r="LCM8" s="15"/>
      <c r="LCN8" s="15"/>
      <c r="LCO8" s="15"/>
      <c r="LCP8" s="15"/>
      <c r="LCQ8" s="15"/>
      <c r="LCR8" s="15"/>
      <c r="LCS8" s="15"/>
      <c r="LCT8" s="15"/>
      <c r="LCU8" s="15"/>
      <c r="LCV8" s="15"/>
      <c r="LCW8" s="15"/>
      <c r="LCX8" s="15"/>
      <c r="LCY8" s="15"/>
      <c r="LCZ8" s="15"/>
      <c r="LDA8" s="15"/>
      <c r="LDB8" s="15"/>
      <c r="LDC8" s="15"/>
      <c r="LDD8" s="15"/>
      <c r="LDE8" s="15"/>
      <c r="LDF8" s="15"/>
      <c r="LDG8" s="15"/>
      <c r="LDH8" s="15"/>
      <c r="LDI8" s="15"/>
      <c r="LDJ8" s="15"/>
      <c r="LDK8" s="15"/>
      <c r="LDL8" s="15"/>
      <c r="LDM8" s="15"/>
      <c r="LDN8" s="15"/>
      <c r="LDO8" s="15"/>
      <c r="LDP8" s="15"/>
      <c r="LDQ8" s="15"/>
      <c r="LDR8" s="15"/>
      <c r="LDS8" s="15"/>
      <c r="LDT8" s="15"/>
      <c r="LDU8" s="15"/>
      <c r="LDV8" s="15"/>
      <c r="LDW8" s="15"/>
      <c r="LDX8" s="15"/>
      <c r="LDY8" s="15"/>
      <c r="LDZ8" s="15"/>
      <c r="LEA8" s="15"/>
      <c r="LEB8" s="15"/>
      <c r="LEC8" s="15"/>
      <c r="LED8" s="15"/>
      <c r="LEE8" s="15"/>
      <c r="LEF8" s="15"/>
      <c r="LEG8" s="15"/>
      <c r="LEH8" s="15"/>
      <c r="LEI8" s="15"/>
      <c r="LEJ8" s="15"/>
      <c r="LEK8" s="15"/>
      <c r="LEL8" s="15"/>
      <c r="LEM8" s="15"/>
      <c r="LEN8" s="15"/>
      <c r="LEO8" s="15"/>
      <c r="LEP8" s="15"/>
      <c r="LEQ8" s="15"/>
      <c r="LER8" s="15"/>
      <c r="LES8" s="15"/>
      <c r="LET8" s="15"/>
      <c r="LEU8" s="15"/>
      <c r="LEV8" s="15"/>
      <c r="LEW8" s="15"/>
      <c r="LEX8" s="15"/>
      <c r="LEY8" s="15"/>
      <c r="LEZ8" s="15"/>
      <c r="LFA8" s="15"/>
      <c r="LFB8" s="15"/>
      <c r="LFC8" s="15"/>
      <c r="LFD8" s="15"/>
      <c r="LFE8" s="15"/>
      <c r="LFF8" s="15"/>
      <c r="LFG8" s="15"/>
      <c r="LFH8" s="15"/>
      <c r="LFI8" s="15"/>
      <c r="LFJ8" s="15"/>
      <c r="LFK8" s="15"/>
      <c r="LFL8" s="15"/>
      <c r="LFM8" s="15"/>
      <c r="LFN8" s="15"/>
      <c r="LFO8" s="15"/>
      <c r="LFP8" s="15"/>
      <c r="LFQ8" s="15"/>
      <c r="LFR8" s="15"/>
      <c r="LFS8" s="15"/>
      <c r="LFT8" s="15"/>
      <c r="LFU8" s="15"/>
      <c r="LFV8" s="15"/>
      <c r="LFW8" s="15"/>
      <c r="LFX8" s="15"/>
      <c r="LFY8" s="15"/>
      <c r="LFZ8" s="15"/>
      <c r="LGA8" s="15"/>
      <c r="LGB8" s="15"/>
      <c r="LGC8" s="15"/>
      <c r="LGD8" s="15"/>
      <c r="LGE8" s="15"/>
      <c r="LGF8" s="15"/>
      <c r="LGG8" s="15"/>
      <c r="LGH8" s="15"/>
      <c r="LGI8" s="15"/>
      <c r="LGJ8" s="15"/>
      <c r="LGK8" s="15"/>
      <c r="LGL8" s="15"/>
      <c r="LGM8" s="15"/>
      <c r="LGN8" s="15"/>
      <c r="LGO8" s="15"/>
      <c r="LGP8" s="15"/>
      <c r="LGQ8" s="15"/>
      <c r="LGR8" s="15"/>
      <c r="LGS8" s="15"/>
      <c r="LGT8" s="15"/>
      <c r="LGU8" s="15"/>
      <c r="LGV8" s="15"/>
      <c r="LGW8" s="15"/>
      <c r="LGX8" s="15"/>
      <c r="LGY8" s="15"/>
      <c r="LGZ8" s="15"/>
      <c r="LHA8" s="15"/>
      <c r="LHB8" s="15"/>
      <c r="LHC8" s="15"/>
      <c r="LHD8" s="15"/>
      <c r="LHE8" s="15"/>
      <c r="LHF8" s="15"/>
      <c r="LHG8" s="15"/>
      <c r="LHH8" s="15"/>
      <c r="LHI8" s="15"/>
      <c r="LHJ8" s="15"/>
      <c r="LHK8" s="15"/>
      <c r="LHL8" s="15"/>
      <c r="LHM8" s="15"/>
      <c r="LHN8" s="15"/>
      <c r="LHO8" s="15"/>
      <c r="LHP8" s="15"/>
      <c r="LHQ8" s="15"/>
      <c r="LHR8" s="15"/>
      <c r="LHS8" s="15"/>
      <c r="LHT8" s="15"/>
      <c r="LHU8" s="15"/>
      <c r="LHV8" s="15"/>
      <c r="LHW8" s="15"/>
      <c r="LHX8" s="15"/>
      <c r="LHY8" s="15"/>
      <c r="LHZ8" s="15"/>
      <c r="LIA8" s="15"/>
      <c r="LIB8" s="15"/>
      <c r="LIC8" s="15"/>
      <c r="LID8" s="15"/>
      <c r="LIE8" s="15"/>
      <c r="LIF8" s="15"/>
      <c r="LIG8" s="15"/>
      <c r="LIH8" s="15"/>
      <c r="LII8" s="15"/>
      <c r="LIJ8" s="15"/>
      <c r="LIK8" s="15"/>
      <c r="LIL8" s="15"/>
      <c r="LIM8" s="15"/>
      <c r="LIN8" s="15"/>
      <c r="LIO8" s="15"/>
      <c r="LIP8" s="15"/>
      <c r="LIQ8" s="15"/>
      <c r="LIR8" s="15"/>
      <c r="LIS8" s="15"/>
      <c r="LIT8" s="15"/>
      <c r="LIU8" s="15"/>
      <c r="LIV8" s="15"/>
      <c r="LIW8" s="15"/>
      <c r="LIX8" s="15"/>
      <c r="LIY8" s="15"/>
      <c r="LIZ8" s="15"/>
      <c r="LJA8" s="15"/>
      <c r="LJB8" s="15"/>
      <c r="LJC8" s="15"/>
      <c r="LJD8" s="15"/>
      <c r="LJE8" s="15"/>
      <c r="LJF8" s="15"/>
      <c r="LJG8" s="15"/>
      <c r="LJH8" s="15"/>
      <c r="LJI8" s="15"/>
      <c r="LJJ8" s="15"/>
      <c r="LJK8" s="15"/>
      <c r="LJL8" s="15"/>
      <c r="LJM8" s="15"/>
      <c r="LJN8" s="15"/>
      <c r="LJO8" s="15"/>
      <c r="LJP8" s="15"/>
      <c r="LJQ8" s="15"/>
      <c r="LJR8" s="15"/>
      <c r="LJS8" s="15"/>
      <c r="LJT8" s="15"/>
      <c r="LJU8" s="15"/>
      <c r="LJV8" s="15"/>
      <c r="LJW8" s="15"/>
      <c r="LJX8" s="15"/>
      <c r="LJY8" s="15"/>
      <c r="LJZ8" s="15"/>
      <c r="LKA8" s="15"/>
      <c r="LKB8" s="15"/>
      <c r="LKC8" s="15"/>
      <c r="LKD8" s="15"/>
      <c r="LKE8" s="15"/>
      <c r="LKF8" s="15"/>
      <c r="LKG8" s="15"/>
      <c r="LKH8" s="15"/>
      <c r="LKI8" s="15"/>
      <c r="LKJ8" s="15"/>
      <c r="LKK8" s="15"/>
      <c r="LKL8" s="15"/>
      <c r="LKM8" s="15"/>
      <c r="LKN8" s="15"/>
      <c r="LKO8" s="15"/>
      <c r="LKP8" s="15"/>
      <c r="LKQ8" s="15"/>
      <c r="LKR8" s="15"/>
      <c r="LKS8" s="15"/>
      <c r="LKT8" s="15"/>
      <c r="LKU8" s="15"/>
      <c r="LKV8" s="15"/>
      <c r="LKW8" s="15"/>
      <c r="LKX8" s="15"/>
      <c r="LKY8" s="15"/>
      <c r="LKZ8" s="15"/>
      <c r="LLA8" s="15"/>
      <c r="LLB8" s="15"/>
      <c r="LLC8" s="15"/>
      <c r="LLD8" s="15"/>
      <c r="LLE8" s="15"/>
      <c r="LLF8" s="15"/>
      <c r="LLG8" s="15"/>
      <c r="LLH8" s="15"/>
      <c r="LLI8" s="15"/>
      <c r="LLJ8" s="15"/>
      <c r="LLK8" s="15"/>
      <c r="LLL8" s="15"/>
      <c r="LLM8" s="15"/>
      <c r="LLN8" s="15"/>
      <c r="LLO8" s="15"/>
      <c r="LLP8" s="15"/>
      <c r="LLQ8" s="15"/>
      <c r="LLR8" s="15"/>
      <c r="LLS8" s="15"/>
      <c r="LLT8" s="15"/>
      <c r="LLU8" s="15"/>
      <c r="LLV8" s="15"/>
      <c r="LLW8" s="15"/>
      <c r="LLX8" s="15"/>
      <c r="LLY8" s="15"/>
      <c r="LLZ8" s="15"/>
      <c r="LMA8" s="15"/>
      <c r="LMB8" s="15"/>
      <c r="LMC8" s="15"/>
      <c r="LMD8" s="15"/>
      <c r="LME8" s="15"/>
      <c r="LMF8" s="15"/>
      <c r="LMG8" s="15"/>
      <c r="LMH8" s="15"/>
      <c r="LMI8" s="15"/>
      <c r="LMJ8" s="15"/>
      <c r="LMK8" s="15"/>
      <c r="LML8" s="15"/>
      <c r="LMM8" s="15"/>
      <c r="LMN8" s="15"/>
      <c r="LMO8" s="15"/>
      <c r="LMP8" s="15"/>
      <c r="LMQ8" s="15"/>
      <c r="LMR8" s="15"/>
      <c r="LMS8" s="15"/>
      <c r="LMT8" s="15"/>
      <c r="LMU8" s="15"/>
      <c r="LMV8" s="15"/>
      <c r="LMW8" s="15"/>
      <c r="LMX8" s="15"/>
      <c r="LMY8" s="15"/>
      <c r="LMZ8" s="15"/>
      <c r="LNA8" s="15"/>
      <c r="LNB8" s="15"/>
      <c r="LNC8" s="15"/>
      <c r="LND8" s="15"/>
      <c r="LNE8" s="15"/>
      <c r="LNF8" s="15"/>
      <c r="LNG8" s="15"/>
      <c r="LNH8" s="15"/>
      <c r="LNI8" s="15"/>
      <c r="LNJ8" s="15"/>
      <c r="LNK8" s="15"/>
      <c r="LNL8" s="15"/>
      <c r="LNM8" s="15"/>
      <c r="LNN8" s="15"/>
      <c r="LNO8" s="15"/>
      <c r="LNP8" s="15"/>
      <c r="LNQ8" s="15"/>
      <c r="LNR8" s="15"/>
      <c r="LNS8" s="15"/>
      <c r="LNT8" s="15"/>
      <c r="LNU8" s="15"/>
      <c r="LNV8" s="15"/>
      <c r="LNW8" s="15"/>
      <c r="LNX8" s="15"/>
      <c r="LNY8" s="15"/>
      <c r="LNZ8" s="15"/>
      <c r="LOA8" s="15"/>
      <c r="LOB8" s="15"/>
      <c r="LOC8" s="15"/>
      <c r="LOD8" s="15"/>
      <c r="LOE8" s="15"/>
      <c r="LOF8" s="15"/>
      <c r="LOG8" s="15"/>
      <c r="LOH8" s="15"/>
      <c r="LOI8" s="15"/>
      <c r="LOJ8" s="15"/>
      <c r="LOK8" s="15"/>
      <c r="LOL8" s="15"/>
      <c r="LOM8" s="15"/>
      <c r="LON8" s="15"/>
      <c r="LOO8" s="15"/>
      <c r="LOP8" s="15"/>
      <c r="LOQ8" s="15"/>
      <c r="LOR8" s="15"/>
      <c r="LOS8" s="15"/>
      <c r="LOT8" s="15"/>
      <c r="LOU8" s="15"/>
      <c r="LOV8" s="15"/>
      <c r="LOW8" s="15"/>
      <c r="LOX8" s="15"/>
      <c r="LOY8" s="15"/>
      <c r="LOZ8" s="15"/>
      <c r="LPA8" s="15"/>
      <c r="LPB8" s="15"/>
      <c r="LPC8" s="15"/>
      <c r="LPD8" s="15"/>
      <c r="LPE8" s="15"/>
      <c r="LPF8" s="15"/>
      <c r="LPG8" s="15"/>
      <c r="LPH8" s="15"/>
      <c r="LPI8" s="15"/>
      <c r="LPJ8" s="15"/>
      <c r="LPK8" s="15"/>
      <c r="LPL8" s="15"/>
      <c r="LPM8" s="15"/>
      <c r="LPN8" s="15"/>
      <c r="LPO8" s="15"/>
      <c r="LPP8" s="15"/>
      <c r="LPQ8" s="15"/>
      <c r="LPR8" s="15"/>
      <c r="LPS8" s="15"/>
      <c r="LPT8" s="15"/>
      <c r="LPU8" s="15"/>
      <c r="LPV8" s="15"/>
      <c r="LPW8" s="15"/>
      <c r="LPX8" s="15"/>
      <c r="LPY8" s="15"/>
      <c r="LPZ8" s="15"/>
      <c r="LQA8" s="15"/>
      <c r="LQB8" s="15"/>
      <c r="LQC8" s="15"/>
      <c r="LQD8" s="15"/>
      <c r="LQE8" s="15"/>
      <c r="LQF8" s="15"/>
      <c r="LQG8" s="15"/>
      <c r="LQH8" s="15"/>
      <c r="LQI8" s="15"/>
      <c r="LQJ8" s="15"/>
      <c r="LQK8" s="15"/>
      <c r="LQL8" s="15"/>
      <c r="LQM8" s="15"/>
      <c r="LQN8" s="15"/>
      <c r="LQO8" s="15"/>
      <c r="LQP8" s="15"/>
      <c r="LQQ8" s="15"/>
      <c r="LQR8" s="15"/>
      <c r="LQS8" s="15"/>
      <c r="LQT8" s="15"/>
      <c r="LQU8" s="15"/>
      <c r="LQV8" s="15"/>
      <c r="LQW8" s="15"/>
      <c r="LQX8" s="15"/>
      <c r="LQY8" s="15"/>
      <c r="LQZ8" s="15"/>
      <c r="LRA8" s="15"/>
      <c r="LRB8" s="15"/>
      <c r="LRC8" s="15"/>
      <c r="LRD8" s="15"/>
      <c r="LRE8" s="15"/>
      <c r="LRF8" s="15"/>
      <c r="LRG8" s="15"/>
      <c r="LRH8" s="15"/>
      <c r="LRI8" s="15"/>
      <c r="LRJ8" s="15"/>
      <c r="LRK8" s="15"/>
      <c r="LRL8" s="15"/>
      <c r="LRM8" s="15"/>
      <c r="LRN8" s="15"/>
      <c r="LRO8" s="15"/>
      <c r="LRP8" s="15"/>
      <c r="LRQ8" s="15"/>
      <c r="LRR8" s="15"/>
      <c r="LRS8" s="15"/>
      <c r="LRT8" s="15"/>
      <c r="LRU8" s="15"/>
      <c r="LRV8" s="15"/>
      <c r="LRW8" s="15"/>
      <c r="LRX8" s="15"/>
      <c r="LRY8" s="15"/>
      <c r="LRZ8" s="15"/>
      <c r="LSA8" s="15"/>
      <c r="LSB8" s="15"/>
      <c r="LSC8" s="15"/>
      <c r="LSD8" s="15"/>
      <c r="LSE8" s="15"/>
      <c r="LSF8" s="15"/>
      <c r="LSG8" s="15"/>
      <c r="LSH8" s="15"/>
      <c r="LSI8" s="15"/>
      <c r="LSJ8" s="15"/>
      <c r="LSK8" s="15"/>
      <c r="LSL8" s="15"/>
      <c r="LSM8" s="15"/>
      <c r="LSN8" s="15"/>
      <c r="LSO8" s="15"/>
      <c r="LSP8" s="15"/>
      <c r="LSQ8" s="15"/>
      <c r="LSR8" s="15"/>
      <c r="LSS8" s="15"/>
      <c r="LST8" s="15"/>
      <c r="LSU8" s="15"/>
      <c r="LSV8" s="15"/>
      <c r="LSW8" s="15"/>
      <c r="LSX8" s="15"/>
      <c r="LSY8" s="15"/>
      <c r="LSZ8" s="15"/>
      <c r="LTA8" s="15"/>
      <c r="LTB8" s="15"/>
      <c r="LTC8" s="15"/>
      <c r="LTD8" s="15"/>
      <c r="LTE8" s="15"/>
      <c r="LTF8" s="15"/>
      <c r="LTG8" s="15"/>
      <c r="LTH8" s="15"/>
      <c r="LTI8" s="15"/>
      <c r="LTJ8" s="15"/>
      <c r="LTK8" s="15"/>
      <c r="LTL8" s="15"/>
      <c r="LTM8" s="15"/>
      <c r="LTN8" s="15"/>
      <c r="LTO8" s="15"/>
      <c r="LTP8" s="15"/>
      <c r="LTQ8" s="15"/>
      <c r="LTR8" s="15"/>
      <c r="LTS8" s="15"/>
      <c r="LTT8" s="15"/>
      <c r="LTU8" s="15"/>
      <c r="LTV8" s="15"/>
      <c r="LTW8" s="15"/>
      <c r="LTX8" s="15"/>
      <c r="LTY8" s="15"/>
      <c r="LTZ8" s="15"/>
      <c r="LUA8" s="15"/>
      <c r="LUB8" s="15"/>
      <c r="LUC8" s="15"/>
      <c r="LUD8" s="15"/>
      <c r="LUE8" s="15"/>
      <c r="LUF8" s="15"/>
      <c r="LUG8" s="15"/>
      <c r="LUH8" s="15"/>
      <c r="LUI8" s="15"/>
      <c r="LUJ8" s="15"/>
      <c r="LUK8" s="15"/>
      <c r="LUL8" s="15"/>
      <c r="LUM8" s="15"/>
      <c r="LUN8" s="15"/>
      <c r="LUO8" s="15"/>
      <c r="LUP8" s="15"/>
      <c r="LUQ8" s="15"/>
      <c r="LUR8" s="15"/>
      <c r="LUS8" s="15"/>
      <c r="LUT8" s="15"/>
      <c r="LUU8" s="15"/>
      <c r="LUV8" s="15"/>
      <c r="LUW8" s="15"/>
      <c r="LUX8" s="15"/>
      <c r="LUY8" s="15"/>
      <c r="LUZ8" s="15"/>
      <c r="LVA8" s="15"/>
      <c r="LVB8" s="15"/>
      <c r="LVC8" s="15"/>
      <c r="LVD8" s="15"/>
      <c r="LVE8" s="15"/>
      <c r="LVF8" s="15"/>
      <c r="LVG8" s="15"/>
      <c r="LVH8" s="15"/>
      <c r="LVI8" s="15"/>
      <c r="LVJ8" s="15"/>
      <c r="LVK8" s="15"/>
      <c r="LVL8" s="15"/>
      <c r="LVM8" s="15"/>
      <c r="LVN8" s="15"/>
      <c r="LVO8" s="15"/>
      <c r="LVP8" s="15"/>
      <c r="LVQ8" s="15"/>
      <c r="LVR8" s="15"/>
      <c r="LVS8" s="15"/>
      <c r="LVT8" s="15"/>
      <c r="LVU8" s="15"/>
      <c r="LVV8" s="15"/>
      <c r="LVW8" s="15"/>
      <c r="LVX8" s="15"/>
      <c r="LVY8" s="15"/>
      <c r="LVZ8" s="15"/>
      <c r="LWA8" s="15"/>
      <c r="LWB8" s="15"/>
      <c r="LWC8" s="15"/>
      <c r="LWD8" s="15"/>
      <c r="LWE8" s="15"/>
      <c r="LWF8" s="15"/>
      <c r="LWG8" s="15"/>
      <c r="LWH8" s="15"/>
      <c r="LWI8" s="15"/>
      <c r="LWJ8" s="15"/>
      <c r="LWK8" s="15"/>
      <c r="LWL8" s="15"/>
      <c r="LWM8" s="15"/>
      <c r="LWN8" s="15"/>
      <c r="LWO8" s="15"/>
      <c r="LWP8" s="15"/>
      <c r="LWQ8" s="15"/>
      <c r="LWR8" s="15"/>
      <c r="LWS8" s="15"/>
      <c r="LWT8" s="15"/>
      <c r="LWU8" s="15"/>
      <c r="LWV8" s="15"/>
      <c r="LWW8" s="15"/>
      <c r="LWX8" s="15"/>
      <c r="LWY8" s="15"/>
      <c r="LWZ8" s="15"/>
      <c r="LXA8" s="15"/>
      <c r="LXB8" s="15"/>
      <c r="LXC8" s="15"/>
      <c r="LXD8" s="15"/>
      <c r="LXE8" s="15"/>
      <c r="LXF8" s="15"/>
      <c r="LXG8" s="15"/>
      <c r="LXH8" s="15"/>
      <c r="LXI8" s="15"/>
      <c r="LXJ8" s="15"/>
      <c r="LXK8" s="15"/>
      <c r="LXL8" s="15"/>
      <c r="LXM8" s="15"/>
      <c r="LXN8" s="15"/>
      <c r="LXO8" s="15"/>
      <c r="LXP8" s="15"/>
      <c r="LXQ8" s="15"/>
      <c r="LXR8" s="15"/>
      <c r="LXS8" s="15"/>
      <c r="LXT8" s="15"/>
      <c r="LXU8" s="15"/>
      <c r="LXV8" s="15"/>
      <c r="LXW8" s="15"/>
      <c r="LXX8" s="15"/>
      <c r="LXY8" s="15"/>
      <c r="LXZ8" s="15"/>
      <c r="LYA8" s="15"/>
      <c r="LYB8" s="15"/>
      <c r="LYC8" s="15"/>
      <c r="LYD8" s="15"/>
      <c r="LYE8" s="15"/>
      <c r="LYF8" s="15"/>
      <c r="LYG8" s="15"/>
      <c r="LYH8" s="15"/>
      <c r="LYI8" s="15"/>
      <c r="LYJ8" s="15"/>
      <c r="LYK8" s="15"/>
      <c r="LYL8" s="15"/>
      <c r="LYM8" s="15"/>
      <c r="LYN8" s="15"/>
      <c r="LYO8" s="15"/>
      <c r="LYP8" s="15"/>
      <c r="LYQ8" s="15"/>
      <c r="LYR8" s="15"/>
      <c r="LYS8" s="15"/>
      <c r="LYT8" s="15"/>
      <c r="LYU8" s="15"/>
      <c r="LYV8" s="15"/>
      <c r="LYW8" s="15"/>
      <c r="LYX8" s="15"/>
      <c r="LYY8" s="15"/>
      <c r="LYZ8" s="15"/>
      <c r="LZA8" s="15"/>
      <c r="LZB8" s="15"/>
      <c r="LZC8" s="15"/>
      <c r="LZD8" s="15"/>
      <c r="LZE8" s="15"/>
      <c r="LZF8" s="15"/>
      <c r="LZG8" s="15"/>
      <c r="LZH8" s="15"/>
      <c r="LZI8" s="15"/>
      <c r="LZJ8" s="15"/>
      <c r="LZK8" s="15"/>
      <c r="LZL8" s="15"/>
      <c r="LZM8" s="15"/>
      <c r="LZN8" s="15"/>
      <c r="LZO8" s="15"/>
      <c r="LZP8" s="15"/>
      <c r="LZQ8" s="15"/>
      <c r="LZR8" s="15"/>
      <c r="LZS8" s="15"/>
      <c r="LZT8" s="15"/>
      <c r="LZU8" s="15"/>
      <c r="LZV8" s="15"/>
      <c r="LZW8" s="15"/>
      <c r="LZX8" s="15"/>
      <c r="LZY8" s="15"/>
      <c r="LZZ8" s="15"/>
      <c r="MAA8" s="15"/>
      <c r="MAB8" s="15"/>
      <c r="MAC8" s="15"/>
      <c r="MAD8" s="15"/>
      <c r="MAE8" s="15"/>
      <c r="MAF8" s="15"/>
      <c r="MAG8" s="15"/>
      <c r="MAH8" s="15"/>
      <c r="MAI8" s="15"/>
      <c r="MAJ8" s="15"/>
      <c r="MAK8" s="15"/>
      <c r="MAL8" s="15"/>
      <c r="MAM8" s="15"/>
      <c r="MAN8" s="15"/>
      <c r="MAO8" s="15"/>
      <c r="MAP8" s="15"/>
      <c r="MAQ8" s="15"/>
      <c r="MAR8" s="15"/>
      <c r="MAS8" s="15"/>
      <c r="MAT8" s="15"/>
      <c r="MAU8" s="15"/>
      <c r="MAV8" s="15"/>
      <c r="MAW8" s="15"/>
      <c r="MAX8" s="15"/>
      <c r="MAY8" s="15"/>
      <c r="MAZ8" s="15"/>
      <c r="MBA8" s="15"/>
      <c r="MBB8" s="15"/>
      <c r="MBC8" s="15"/>
      <c r="MBD8" s="15"/>
      <c r="MBE8" s="15"/>
      <c r="MBF8" s="15"/>
      <c r="MBG8" s="15"/>
      <c r="MBH8" s="15"/>
      <c r="MBI8" s="15"/>
      <c r="MBJ8" s="15"/>
      <c r="MBK8" s="15"/>
      <c r="MBL8" s="15"/>
      <c r="MBM8" s="15"/>
      <c r="MBN8" s="15"/>
      <c r="MBO8" s="15"/>
      <c r="MBP8" s="15"/>
      <c r="MBQ8" s="15"/>
      <c r="MBR8" s="15"/>
      <c r="MBS8" s="15"/>
      <c r="MBT8" s="15"/>
      <c r="MBU8" s="15"/>
      <c r="MBV8" s="15"/>
      <c r="MBW8" s="15"/>
      <c r="MBX8" s="15"/>
      <c r="MBY8" s="15"/>
      <c r="MBZ8" s="15"/>
      <c r="MCA8" s="15"/>
      <c r="MCB8" s="15"/>
      <c r="MCC8" s="15"/>
      <c r="MCD8" s="15"/>
      <c r="MCE8" s="15"/>
      <c r="MCF8" s="15"/>
      <c r="MCG8" s="15"/>
      <c r="MCH8" s="15"/>
      <c r="MCI8" s="15"/>
      <c r="MCJ8" s="15"/>
      <c r="MCK8" s="15"/>
      <c r="MCL8" s="15"/>
      <c r="MCM8" s="15"/>
      <c r="MCN8" s="15"/>
      <c r="MCO8" s="15"/>
      <c r="MCP8" s="15"/>
      <c r="MCQ8" s="15"/>
      <c r="MCR8" s="15"/>
      <c r="MCS8" s="15"/>
      <c r="MCT8" s="15"/>
      <c r="MCU8" s="15"/>
      <c r="MCV8" s="15"/>
      <c r="MCW8" s="15"/>
      <c r="MCX8" s="15"/>
      <c r="MCY8" s="15"/>
      <c r="MCZ8" s="15"/>
      <c r="MDA8" s="15"/>
      <c r="MDB8" s="15"/>
      <c r="MDC8" s="15"/>
      <c r="MDD8" s="15"/>
      <c r="MDE8" s="15"/>
      <c r="MDF8" s="15"/>
      <c r="MDG8" s="15"/>
      <c r="MDH8" s="15"/>
      <c r="MDI8" s="15"/>
      <c r="MDJ8" s="15"/>
      <c r="MDK8" s="15"/>
      <c r="MDL8" s="15"/>
      <c r="MDM8" s="15"/>
      <c r="MDN8" s="15"/>
      <c r="MDO8" s="15"/>
      <c r="MDP8" s="15"/>
      <c r="MDQ8" s="15"/>
      <c r="MDR8" s="15"/>
      <c r="MDS8" s="15"/>
      <c r="MDT8" s="15"/>
      <c r="MDU8" s="15"/>
      <c r="MDV8" s="15"/>
      <c r="MDW8" s="15"/>
      <c r="MDX8" s="15"/>
      <c r="MDY8" s="15"/>
      <c r="MDZ8" s="15"/>
      <c r="MEA8" s="15"/>
      <c r="MEB8" s="15"/>
      <c r="MEC8" s="15"/>
      <c r="MED8" s="15"/>
      <c r="MEE8" s="15"/>
      <c r="MEF8" s="15"/>
      <c r="MEG8" s="15"/>
      <c r="MEH8" s="15"/>
      <c r="MEI8" s="15"/>
      <c r="MEJ8" s="15"/>
      <c r="MEK8" s="15"/>
      <c r="MEL8" s="15"/>
      <c r="MEM8" s="15"/>
      <c r="MEN8" s="15"/>
      <c r="MEO8" s="15"/>
      <c r="MEP8" s="15"/>
      <c r="MEQ8" s="15"/>
      <c r="MER8" s="15"/>
      <c r="MES8" s="15"/>
      <c r="MET8" s="15"/>
      <c r="MEU8" s="15"/>
      <c r="MEV8" s="15"/>
      <c r="MEW8" s="15"/>
      <c r="MEX8" s="15"/>
      <c r="MEY8" s="15"/>
      <c r="MEZ8" s="15"/>
      <c r="MFA8" s="15"/>
      <c r="MFB8" s="15"/>
      <c r="MFC8" s="15"/>
      <c r="MFD8" s="15"/>
      <c r="MFE8" s="15"/>
      <c r="MFF8" s="15"/>
      <c r="MFG8" s="15"/>
      <c r="MFH8" s="15"/>
      <c r="MFI8" s="15"/>
      <c r="MFJ8" s="15"/>
      <c r="MFK8" s="15"/>
      <c r="MFL8" s="15"/>
      <c r="MFM8" s="15"/>
      <c r="MFN8" s="15"/>
      <c r="MFO8" s="15"/>
      <c r="MFP8" s="15"/>
      <c r="MFQ8" s="15"/>
      <c r="MFR8" s="15"/>
      <c r="MFS8" s="15"/>
      <c r="MFT8" s="15"/>
      <c r="MFU8" s="15"/>
      <c r="MFV8" s="15"/>
      <c r="MFW8" s="15"/>
      <c r="MFX8" s="15"/>
      <c r="MFY8" s="15"/>
      <c r="MFZ8" s="15"/>
      <c r="MGA8" s="15"/>
      <c r="MGB8" s="15"/>
      <c r="MGC8" s="15"/>
      <c r="MGD8" s="15"/>
      <c r="MGE8" s="15"/>
      <c r="MGF8" s="15"/>
      <c r="MGG8" s="15"/>
      <c r="MGH8" s="15"/>
      <c r="MGI8" s="15"/>
      <c r="MGJ8" s="15"/>
      <c r="MGK8" s="15"/>
      <c r="MGL8" s="15"/>
      <c r="MGM8" s="15"/>
      <c r="MGN8" s="15"/>
      <c r="MGO8" s="15"/>
      <c r="MGP8" s="15"/>
      <c r="MGQ8" s="15"/>
      <c r="MGR8" s="15"/>
      <c r="MGS8" s="15"/>
      <c r="MGT8" s="15"/>
      <c r="MGU8" s="15"/>
      <c r="MGV8" s="15"/>
      <c r="MGW8" s="15"/>
      <c r="MGX8" s="15"/>
      <c r="MGY8" s="15"/>
      <c r="MGZ8" s="15"/>
      <c r="MHA8" s="15"/>
      <c r="MHB8" s="15"/>
      <c r="MHC8" s="15"/>
      <c r="MHD8" s="15"/>
      <c r="MHE8" s="15"/>
      <c r="MHF8" s="15"/>
      <c r="MHG8" s="15"/>
      <c r="MHH8" s="15"/>
      <c r="MHI8" s="15"/>
      <c r="MHJ8" s="15"/>
      <c r="MHK8" s="15"/>
      <c r="MHL8" s="15"/>
      <c r="MHM8" s="15"/>
      <c r="MHN8" s="15"/>
      <c r="MHO8" s="15"/>
      <c r="MHP8" s="15"/>
      <c r="MHQ8" s="15"/>
      <c r="MHR8" s="15"/>
      <c r="MHS8" s="15"/>
      <c r="MHT8" s="15"/>
      <c r="MHU8" s="15"/>
      <c r="MHV8" s="15"/>
      <c r="MHW8" s="15"/>
      <c r="MHX8" s="15"/>
      <c r="MHY8" s="15"/>
      <c r="MHZ8" s="15"/>
      <c r="MIA8" s="15"/>
      <c r="MIB8" s="15"/>
      <c r="MIC8" s="15"/>
      <c r="MID8" s="15"/>
      <c r="MIE8" s="15"/>
      <c r="MIF8" s="15"/>
      <c r="MIG8" s="15"/>
      <c r="MIH8" s="15"/>
      <c r="MII8" s="15"/>
      <c r="MIJ8" s="15"/>
      <c r="MIK8" s="15"/>
      <c r="MIL8" s="15"/>
      <c r="MIM8" s="15"/>
      <c r="MIN8" s="15"/>
      <c r="MIO8" s="15"/>
      <c r="MIP8" s="15"/>
      <c r="MIQ8" s="15"/>
      <c r="MIR8" s="15"/>
      <c r="MIS8" s="15"/>
      <c r="MIT8" s="15"/>
      <c r="MIU8" s="15"/>
      <c r="MIV8" s="15"/>
      <c r="MIW8" s="15"/>
      <c r="MIX8" s="15"/>
      <c r="MIY8" s="15"/>
      <c r="MIZ8" s="15"/>
      <c r="MJA8" s="15"/>
      <c r="MJB8" s="15"/>
      <c r="MJC8" s="15"/>
      <c r="MJD8" s="15"/>
      <c r="MJE8" s="15"/>
      <c r="MJF8" s="15"/>
      <c r="MJG8" s="15"/>
      <c r="MJH8" s="15"/>
      <c r="MJI8" s="15"/>
      <c r="MJJ8" s="15"/>
      <c r="MJK8" s="15"/>
      <c r="MJL8" s="15"/>
      <c r="MJM8" s="15"/>
      <c r="MJN8" s="15"/>
      <c r="MJO8" s="15"/>
      <c r="MJP8" s="15"/>
      <c r="MJQ8" s="15"/>
      <c r="MJR8" s="15"/>
      <c r="MJS8" s="15"/>
      <c r="MJT8" s="15"/>
      <c r="MJU8" s="15"/>
      <c r="MJV8" s="15"/>
      <c r="MJW8" s="15"/>
      <c r="MJX8" s="15"/>
      <c r="MJY8" s="15"/>
      <c r="MJZ8" s="15"/>
      <c r="MKA8" s="15"/>
      <c r="MKB8" s="15"/>
      <c r="MKC8" s="15"/>
      <c r="MKD8" s="15"/>
      <c r="MKE8" s="15"/>
      <c r="MKF8" s="15"/>
      <c r="MKG8" s="15"/>
      <c r="MKH8" s="15"/>
      <c r="MKI8" s="15"/>
      <c r="MKJ8" s="15"/>
      <c r="MKK8" s="15"/>
      <c r="MKL8" s="15"/>
      <c r="MKM8" s="15"/>
      <c r="MKN8" s="15"/>
      <c r="MKO8" s="15"/>
      <c r="MKP8" s="15"/>
      <c r="MKQ8" s="15"/>
      <c r="MKR8" s="15"/>
      <c r="MKS8" s="15"/>
      <c r="MKT8" s="15"/>
      <c r="MKU8" s="15"/>
      <c r="MKV8" s="15"/>
      <c r="MKW8" s="15"/>
      <c r="MKX8" s="15"/>
      <c r="MKY8" s="15"/>
      <c r="MKZ8" s="15"/>
      <c r="MLA8" s="15"/>
      <c r="MLB8" s="15"/>
      <c r="MLC8" s="15"/>
      <c r="MLD8" s="15"/>
      <c r="MLE8" s="15"/>
      <c r="MLF8" s="15"/>
      <c r="MLG8" s="15"/>
      <c r="MLH8" s="15"/>
      <c r="MLI8" s="15"/>
      <c r="MLJ8" s="15"/>
      <c r="MLK8" s="15"/>
      <c r="MLL8" s="15"/>
      <c r="MLM8" s="15"/>
      <c r="MLN8" s="15"/>
      <c r="MLO8" s="15"/>
      <c r="MLP8" s="15"/>
      <c r="MLQ8" s="15"/>
      <c r="MLR8" s="15"/>
      <c r="MLS8" s="15"/>
      <c r="MLT8" s="15"/>
      <c r="MLU8" s="15"/>
      <c r="MLV8" s="15"/>
      <c r="MLW8" s="15"/>
      <c r="MLX8" s="15"/>
      <c r="MLY8" s="15"/>
      <c r="MLZ8" s="15"/>
      <c r="MMA8" s="15"/>
      <c r="MMB8" s="15"/>
      <c r="MMC8" s="15"/>
      <c r="MMD8" s="15"/>
      <c r="MME8" s="15"/>
      <c r="MMF8" s="15"/>
      <c r="MMG8" s="15"/>
      <c r="MMH8" s="15"/>
      <c r="MMI8" s="15"/>
      <c r="MMJ8" s="15"/>
      <c r="MMK8" s="15"/>
      <c r="MML8" s="15"/>
      <c r="MMM8" s="15"/>
      <c r="MMN8" s="15"/>
      <c r="MMO8" s="15"/>
      <c r="MMP8" s="15"/>
      <c r="MMQ8" s="15"/>
      <c r="MMR8" s="15"/>
      <c r="MMS8" s="15"/>
      <c r="MMT8" s="15"/>
      <c r="MMU8" s="15"/>
      <c r="MMV8" s="15"/>
      <c r="MMW8" s="15"/>
      <c r="MMX8" s="15"/>
      <c r="MMY8" s="15"/>
      <c r="MMZ8" s="15"/>
      <c r="MNA8" s="15"/>
      <c r="MNB8" s="15"/>
      <c r="MNC8" s="15"/>
      <c r="MND8" s="15"/>
      <c r="MNE8" s="15"/>
      <c r="MNF8" s="15"/>
      <c r="MNG8" s="15"/>
      <c r="MNH8" s="15"/>
      <c r="MNI8" s="15"/>
      <c r="MNJ8" s="15"/>
      <c r="MNK8" s="15"/>
      <c r="MNL8" s="15"/>
      <c r="MNM8" s="15"/>
      <c r="MNN8" s="15"/>
      <c r="MNO8" s="15"/>
      <c r="MNP8" s="15"/>
      <c r="MNQ8" s="15"/>
      <c r="MNR8" s="15"/>
      <c r="MNS8" s="15"/>
      <c r="MNT8" s="15"/>
      <c r="MNU8" s="15"/>
      <c r="MNV8" s="15"/>
      <c r="MNW8" s="15"/>
      <c r="MNX8" s="15"/>
      <c r="MNY8" s="15"/>
      <c r="MNZ8" s="15"/>
      <c r="MOA8" s="15"/>
      <c r="MOB8" s="15"/>
      <c r="MOC8" s="15"/>
      <c r="MOD8" s="15"/>
      <c r="MOE8" s="15"/>
      <c r="MOF8" s="15"/>
      <c r="MOG8" s="15"/>
      <c r="MOH8" s="15"/>
      <c r="MOI8" s="15"/>
      <c r="MOJ8" s="15"/>
      <c r="MOK8" s="15"/>
      <c r="MOL8" s="15"/>
      <c r="MOM8" s="15"/>
      <c r="MON8" s="15"/>
      <c r="MOO8" s="15"/>
      <c r="MOP8" s="15"/>
      <c r="MOQ8" s="15"/>
      <c r="MOR8" s="15"/>
      <c r="MOS8" s="15"/>
      <c r="MOT8" s="15"/>
      <c r="MOU8" s="15"/>
      <c r="MOV8" s="15"/>
      <c r="MOW8" s="15"/>
      <c r="MOX8" s="15"/>
      <c r="MOY8" s="15"/>
      <c r="MOZ8" s="15"/>
      <c r="MPA8" s="15"/>
      <c r="MPB8" s="15"/>
      <c r="MPC8" s="15"/>
      <c r="MPD8" s="15"/>
      <c r="MPE8" s="15"/>
      <c r="MPF8" s="15"/>
      <c r="MPG8" s="15"/>
      <c r="MPH8" s="15"/>
      <c r="MPI8" s="15"/>
      <c r="MPJ8" s="15"/>
      <c r="MPK8" s="15"/>
      <c r="MPL8" s="15"/>
      <c r="MPM8" s="15"/>
      <c r="MPN8" s="15"/>
      <c r="MPO8" s="15"/>
      <c r="MPP8" s="15"/>
      <c r="MPQ8" s="15"/>
      <c r="MPR8" s="15"/>
      <c r="MPS8" s="15"/>
      <c r="MPT8" s="15"/>
      <c r="MPU8" s="15"/>
      <c r="MPV8" s="15"/>
      <c r="MPW8" s="15"/>
      <c r="MPX8" s="15"/>
      <c r="MPY8" s="15"/>
      <c r="MPZ8" s="15"/>
      <c r="MQA8" s="15"/>
      <c r="MQB8" s="15"/>
      <c r="MQC8" s="15"/>
      <c r="MQD8" s="15"/>
      <c r="MQE8" s="15"/>
      <c r="MQF8" s="15"/>
      <c r="MQG8" s="15"/>
      <c r="MQH8" s="15"/>
      <c r="MQI8" s="15"/>
      <c r="MQJ8" s="15"/>
      <c r="MQK8" s="15"/>
      <c r="MQL8" s="15"/>
      <c r="MQM8" s="15"/>
      <c r="MQN8" s="15"/>
      <c r="MQO8" s="15"/>
      <c r="MQP8" s="15"/>
      <c r="MQQ8" s="15"/>
      <c r="MQR8" s="15"/>
      <c r="MQS8" s="15"/>
      <c r="MQT8" s="15"/>
      <c r="MQU8" s="15"/>
      <c r="MQV8" s="15"/>
      <c r="MQW8" s="15"/>
      <c r="MQX8" s="15"/>
      <c r="MQY8" s="15"/>
      <c r="MQZ8" s="15"/>
      <c r="MRA8" s="15"/>
      <c r="MRB8" s="15"/>
      <c r="MRC8" s="15"/>
      <c r="MRD8" s="15"/>
      <c r="MRE8" s="15"/>
      <c r="MRF8" s="15"/>
      <c r="MRG8" s="15"/>
      <c r="MRH8" s="15"/>
      <c r="MRI8" s="15"/>
      <c r="MRJ8" s="15"/>
      <c r="MRK8" s="15"/>
      <c r="MRL8" s="15"/>
      <c r="MRM8" s="15"/>
      <c r="MRN8" s="15"/>
      <c r="MRO8" s="15"/>
      <c r="MRP8" s="15"/>
      <c r="MRQ8" s="15"/>
      <c r="MRR8" s="15"/>
      <c r="MRS8" s="15"/>
      <c r="MRT8" s="15"/>
      <c r="MRU8" s="15"/>
      <c r="MRV8" s="15"/>
      <c r="MRW8" s="15"/>
      <c r="MRX8" s="15"/>
      <c r="MRY8" s="15"/>
      <c r="MRZ8" s="15"/>
      <c r="MSA8" s="15"/>
      <c r="MSB8" s="15"/>
      <c r="MSC8" s="15"/>
      <c r="MSD8" s="15"/>
      <c r="MSE8" s="15"/>
      <c r="MSF8" s="15"/>
      <c r="MSG8" s="15"/>
      <c r="MSH8" s="15"/>
      <c r="MSI8" s="15"/>
      <c r="MSJ8" s="15"/>
      <c r="MSK8" s="15"/>
      <c r="MSL8" s="15"/>
      <c r="MSM8" s="15"/>
      <c r="MSN8" s="15"/>
      <c r="MSO8" s="15"/>
      <c r="MSP8" s="15"/>
      <c r="MSQ8" s="15"/>
      <c r="MSR8" s="15"/>
      <c r="MSS8" s="15"/>
      <c r="MST8" s="15"/>
      <c r="MSU8" s="15"/>
      <c r="MSV8" s="15"/>
      <c r="MSW8" s="15"/>
      <c r="MSX8" s="15"/>
      <c r="MSY8" s="15"/>
      <c r="MSZ8" s="15"/>
      <c r="MTA8" s="15"/>
      <c r="MTB8" s="15"/>
      <c r="MTC8" s="15"/>
      <c r="MTD8" s="15"/>
      <c r="MTE8" s="15"/>
      <c r="MTF8" s="15"/>
      <c r="MTG8" s="15"/>
      <c r="MTH8" s="15"/>
      <c r="MTI8" s="15"/>
      <c r="MTJ8" s="15"/>
      <c r="MTK8" s="15"/>
      <c r="MTL8" s="15"/>
      <c r="MTM8" s="15"/>
      <c r="MTN8" s="15"/>
      <c r="MTO8" s="15"/>
      <c r="MTP8" s="15"/>
      <c r="MTQ8" s="15"/>
      <c r="MTR8" s="15"/>
      <c r="MTS8" s="15"/>
      <c r="MTT8" s="15"/>
      <c r="MTU8" s="15"/>
      <c r="MTV8" s="15"/>
      <c r="MTW8" s="15"/>
      <c r="MTX8" s="15"/>
      <c r="MTY8" s="15"/>
      <c r="MTZ8" s="15"/>
      <c r="MUA8" s="15"/>
      <c r="MUB8" s="15"/>
      <c r="MUC8" s="15"/>
      <c r="MUD8" s="15"/>
      <c r="MUE8" s="15"/>
      <c r="MUF8" s="15"/>
      <c r="MUG8" s="15"/>
      <c r="MUH8" s="15"/>
      <c r="MUI8" s="15"/>
      <c r="MUJ8" s="15"/>
      <c r="MUK8" s="15"/>
      <c r="MUL8" s="15"/>
      <c r="MUM8" s="15"/>
      <c r="MUN8" s="15"/>
      <c r="MUO8" s="15"/>
      <c r="MUP8" s="15"/>
      <c r="MUQ8" s="15"/>
      <c r="MUR8" s="15"/>
      <c r="MUS8" s="15"/>
      <c r="MUT8" s="15"/>
      <c r="MUU8" s="15"/>
      <c r="MUV8" s="15"/>
      <c r="MUW8" s="15"/>
      <c r="MUX8" s="15"/>
      <c r="MUY8" s="15"/>
      <c r="MUZ8" s="15"/>
      <c r="MVA8" s="15"/>
      <c r="MVB8" s="15"/>
      <c r="MVC8" s="15"/>
      <c r="MVD8" s="15"/>
      <c r="MVE8" s="15"/>
      <c r="MVF8" s="15"/>
      <c r="MVG8" s="15"/>
      <c r="MVH8" s="15"/>
      <c r="MVI8" s="15"/>
      <c r="MVJ8" s="15"/>
      <c r="MVK8" s="15"/>
      <c r="MVL8" s="15"/>
      <c r="MVM8" s="15"/>
      <c r="MVN8" s="15"/>
      <c r="MVO8" s="15"/>
      <c r="MVP8" s="15"/>
      <c r="MVQ8" s="15"/>
      <c r="MVR8" s="15"/>
      <c r="MVS8" s="15"/>
      <c r="MVT8" s="15"/>
      <c r="MVU8" s="15"/>
      <c r="MVV8" s="15"/>
      <c r="MVW8" s="15"/>
      <c r="MVX8" s="15"/>
      <c r="MVY8" s="15"/>
      <c r="MVZ8" s="15"/>
      <c r="MWA8" s="15"/>
      <c r="MWB8" s="15"/>
      <c r="MWC8" s="15"/>
      <c r="MWD8" s="15"/>
      <c r="MWE8" s="15"/>
      <c r="MWF8" s="15"/>
      <c r="MWG8" s="15"/>
      <c r="MWH8" s="15"/>
      <c r="MWI8" s="15"/>
      <c r="MWJ8" s="15"/>
      <c r="MWK8" s="15"/>
      <c r="MWL8" s="15"/>
      <c r="MWM8" s="15"/>
      <c r="MWN8" s="15"/>
      <c r="MWO8" s="15"/>
      <c r="MWP8" s="15"/>
      <c r="MWQ8" s="15"/>
      <c r="MWR8" s="15"/>
      <c r="MWS8" s="15"/>
      <c r="MWT8" s="15"/>
      <c r="MWU8" s="15"/>
      <c r="MWV8" s="15"/>
      <c r="MWW8" s="15"/>
      <c r="MWX8" s="15"/>
      <c r="MWY8" s="15"/>
      <c r="MWZ8" s="15"/>
      <c r="MXA8" s="15"/>
      <c r="MXB8" s="15"/>
      <c r="MXC8" s="15"/>
      <c r="MXD8" s="15"/>
      <c r="MXE8" s="15"/>
      <c r="MXF8" s="15"/>
      <c r="MXG8" s="15"/>
      <c r="MXH8" s="15"/>
      <c r="MXI8" s="15"/>
      <c r="MXJ8" s="15"/>
      <c r="MXK8" s="15"/>
      <c r="MXL8" s="15"/>
      <c r="MXM8" s="15"/>
      <c r="MXN8" s="15"/>
      <c r="MXO8" s="15"/>
      <c r="MXP8" s="15"/>
      <c r="MXQ8" s="15"/>
      <c r="MXR8" s="15"/>
      <c r="MXS8" s="15"/>
      <c r="MXT8" s="15"/>
      <c r="MXU8" s="15"/>
      <c r="MXV8" s="15"/>
      <c r="MXW8" s="15"/>
      <c r="MXX8" s="15"/>
      <c r="MXY8" s="15"/>
      <c r="MXZ8" s="15"/>
      <c r="MYA8" s="15"/>
      <c r="MYB8" s="15"/>
      <c r="MYC8" s="15"/>
      <c r="MYD8" s="15"/>
      <c r="MYE8" s="15"/>
      <c r="MYF8" s="15"/>
      <c r="MYG8" s="15"/>
      <c r="MYH8" s="15"/>
      <c r="MYI8" s="15"/>
      <c r="MYJ8" s="15"/>
      <c r="MYK8" s="15"/>
      <c r="MYL8" s="15"/>
      <c r="MYM8" s="15"/>
      <c r="MYN8" s="15"/>
      <c r="MYO8" s="15"/>
      <c r="MYP8" s="15"/>
      <c r="MYQ8" s="15"/>
      <c r="MYR8" s="15"/>
      <c r="MYS8" s="15"/>
      <c r="MYT8" s="15"/>
      <c r="MYU8" s="15"/>
      <c r="MYV8" s="15"/>
      <c r="MYW8" s="15"/>
      <c r="MYX8" s="15"/>
      <c r="MYY8" s="15"/>
      <c r="MYZ8" s="15"/>
      <c r="MZA8" s="15"/>
      <c r="MZB8" s="15"/>
      <c r="MZC8" s="15"/>
      <c r="MZD8" s="15"/>
      <c r="MZE8" s="15"/>
      <c r="MZF8" s="15"/>
      <c r="MZG8" s="15"/>
      <c r="MZH8" s="15"/>
      <c r="MZI8" s="15"/>
      <c r="MZJ8" s="15"/>
      <c r="MZK8" s="15"/>
      <c r="MZL8" s="15"/>
      <c r="MZM8" s="15"/>
      <c r="MZN8" s="15"/>
      <c r="MZO8" s="15"/>
      <c r="MZP8" s="15"/>
      <c r="MZQ8" s="15"/>
      <c r="MZR8" s="15"/>
      <c r="MZS8" s="15"/>
      <c r="MZT8" s="15"/>
      <c r="MZU8" s="15"/>
      <c r="MZV8" s="15"/>
      <c r="MZW8" s="15"/>
      <c r="MZX8" s="15"/>
      <c r="MZY8" s="15"/>
      <c r="MZZ8" s="15"/>
      <c r="NAA8" s="15"/>
      <c r="NAB8" s="15"/>
      <c r="NAC8" s="15"/>
      <c r="NAD8" s="15"/>
      <c r="NAE8" s="15"/>
      <c r="NAF8" s="15"/>
      <c r="NAG8" s="15"/>
      <c r="NAH8" s="15"/>
      <c r="NAI8" s="15"/>
      <c r="NAJ8" s="15"/>
      <c r="NAK8" s="15"/>
      <c r="NAL8" s="15"/>
      <c r="NAM8" s="15"/>
      <c r="NAN8" s="15"/>
      <c r="NAO8" s="15"/>
      <c r="NAP8" s="15"/>
      <c r="NAQ8" s="15"/>
      <c r="NAR8" s="15"/>
      <c r="NAS8" s="15"/>
      <c r="NAT8" s="15"/>
      <c r="NAU8" s="15"/>
      <c r="NAV8" s="15"/>
      <c r="NAW8" s="15"/>
      <c r="NAX8" s="15"/>
      <c r="NAY8" s="15"/>
      <c r="NAZ8" s="15"/>
      <c r="NBA8" s="15"/>
      <c r="NBB8" s="15"/>
      <c r="NBC8" s="15"/>
      <c r="NBD8" s="15"/>
      <c r="NBE8" s="15"/>
      <c r="NBF8" s="15"/>
      <c r="NBG8" s="15"/>
      <c r="NBH8" s="15"/>
      <c r="NBI8" s="15"/>
      <c r="NBJ8" s="15"/>
      <c r="NBK8" s="15"/>
      <c r="NBL8" s="15"/>
      <c r="NBM8" s="15"/>
      <c r="NBN8" s="15"/>
      <c r="NBO8" s="15"/>
      <c r="NBP8" s="15"/>
      <c r="NBQ8" s="15"/>
      <c r="NBR8" s="15"/>
      <c r="NBS8" s="15"/>
      <c r="NBT8" s="15"/>
      <c r="NBU8" s="15"/>
      <c r="NBV8" s="15"/>
      <c r="NBW8" s="15"/>
      <c r="NBX8" s="15"/>
      <c r="NBY8" s="15"/>
      <c r="NBZ8" s="15"/>
      <c r="NCA8" s="15"/>
      <c r="NCB8" s="15"/>
      <c r="NCC8" s="15"/>
      <c r="NCD8" s="15"/>
      <c r="NCE8" s="15"/>
      <c r="NCF8" s="15"/>
      <c r="NCG8" s="15"/>
      <c r="NCH8" s="15"/>
      <c r="NCI8" s="15"/>
      <c r="NCJ8" s="15"/>
      <c r="NCK8" s="15"/>
      <c r="NCL8" s="15"/>
      <c r="NCM8" s="15"/>
      <c r="NCN8" s="15"/>
      <c r="NCO8" s="15"/>
      <c r="NCP8" s="15"/>
      <c r="NCQ8" s="15"/>
      <c r="NCR8" s="15"/>
      <c r="NCS8" s="15"/>
      <c r="NCT8" s="15"/>
      <c r="NCU8" s="15"/>
      <c r="NCV8" s="15"/>
      <c r="NCW8" s="15"/>
      <c r="NCX8" s="15"/>
      <c r="NCY8" s="15"/>
      <c r="NCZ8" s="15"/>
      <c r="NDA8" s="15"/>
      <c r="NDB8" s="15"/>
      <c r="NDC8" s="15"/>
      <c r="NDD8" s="15"/>
      <c r="NDE8" s="15"/>
      <c r="NDF8" s="15"/>
      <c r="NDG8" s="15"/>
      <c r="NDH8" s="15"/>
      <c r="NDI8" s="15"/>
      <c r="NDJ8" s="15"/>
      <c r="NDK8" s="15"/>
      <c r="NDL8" s="15"/>
      <c r="NDM8" s="15"/>
      <c r="NDN8" s="15"/>
      <c r="NDO8" s="15"/>
      <c r="NDP8" s="15"/>
      <c r="NDQ8" s="15"/>
      <c r="NDR8" s="15"/>
      <c r="NDS8" s="15"/>
      <c r="NDT8" s="15"/>
      <c r="NDU8" s="15"/>
      <c r="NDV8" s="15"/>
      <c r="NDW8" s="15"/>
      <c r="NDX8" s="15"/>
      <c r="NDY8" s="15"/>
      <c r="NDZ8" s="15"/>
      <c r="NEA8" s="15"/>
      <c r="NEB8" s="15"/>
      <c r="NEC8" s="15"/>
      <c r="NED8" s="15"/>
      <c r="NEE8" s="15"/>
      <c r="NEF8" s="15"/>
      <c r="NEG8" s="15"/>
      <c r="NEH8" s="15"/>
      <c r="NEI8" s="15"/>
      <c r="NEJ8" s="15"/>
      <c r="NEK8" s="15"/>
      <c r="NEL8" s="15"/>
      <c r="NEM8" s="15"/>
      <c r="NEN8" s="15"/>
      <c r="NEO8" s="15"/>
      <c r="NEP8" s="15"/>
      <c r="NEQ8" s="15"/>
      <c r="NER8" s="15"/>
      <c r="NES8" s="15"/>
      <c r="NET8" s="15"/>
      <c r="NEU8" s="15"/>
      <c r="NEV8" s="15"/>
      <c r="NEW8" s="15"/>
      <c r="NEX8" s="15"/>
      <c r="NEY8" s="15"/>
      <c r="NEZ8" s="15"/>
      <c r="NFA8" s="15"/>
      <c r="NFB8" s="15"/>
      <c r="NFC8" s="15"/>
      <c r="NFD8" s="15"/>
      <c r="NFE8" s="15"/>
      <c r="NFF8" s="15"/>
      <c r="NFG8" s="15"/>
      <c r="NFH8" s="15"/>
      <c r="NFI8" s="15"/>
      <c r="NFJ8" s="15"/>
      <c r="NFK8" s="15"/>
      <c r="NFL8" s="15"/>
      <c r="NFM8" s="15"/>
      <c r="NFN8" s="15"/>
      <c r="NFO8" s="15"/>
      <c r="NFP8" s="15"/>
      <c r="NFQ8" s="15"/>
      <c r="NFR8" s="15"/>
      <c r="NFS8" s="15"/>
      <c r="NFT8" s="15"/>
      <c r="NFU8" s="15"/>
      <c r="NFV8" s="15"/>
      <c r="NFW8" s="15"/>
      <c r="NFX8" s="15"/>
      <c r="NFY8" s="15"/>
      <c r="NFZ8" s="15"/>
      <c r="NGA8" s="15"/>
      <c r="NGB8" s="15"/>
      <c r="NGC8" s="15"/>
      <c r="NGD8" s="15"/>
      <c r="NGE8" s="15"/>
      <c r="NGF8" s="15"/>
      <c r="NGG8" s="15"/>
      <c r="NGH8" s="15"/>
      <c r="NGI8" s="15"/>
      <c r="NGJ8" s="15"/>
      <c r="NGK8" s="15"/>
      <c r="NGL8" s="15"/>
      <c r="NGM8" s="15"/>
      <c r="NGN8" s="15"/>
      <c r="NGO8" s="15"/>
      <c r="NGP8" s="15"/>
      <c r="NGQ8" s="15"/>
      <c r="NGR8" s="15"/>
      <c r="NGS8" s="15"/>
      <c r="NGT8" s="15"/>
      <c r="NGU8" s="15"/>
      <c r="NGV8" s="15"/>
      <c r="NGW8" s="15"/>
      <c r="NGX8" s="15"/>
      <c r="NGY8" s="15"/>
      <c r="NGZ8" s="15"/>
      <c r="NHA8" s="15"/>
      <c r="NHB8" s="15"/>
      <c r="NHC8" s="15"/>
      <c r="NHD8" s="15"/>
      <c r="NHE8" s="15"/>
      <c r="NHF8" s="15"/>
      <c r="NHG8" s="15"/>
      <c r="NHH8" s="15"/>
      <c r="NHI8" s="15"/>
      <c r="NHJ8" s="15"/>
      <c r="NHK8" s="15"/>
      <c r="NHL8" s="15"/>
      <c r="NHM8" s="15"/>
      <c r="NHN8" s="15"/>
      <c r="NHO8" s="15"/>
      <c r="NHP8" s="15"/>
      <c r="NHQ8" s="15"/>
      <c r="NHR8" s="15"/>
      <c r="NHS8" s="15"/>
      <c r="NHT8" s="15"/>
      <c r="NHU8" s="15"/>
      <c r="NHV8" s="15"/>
      <c r="NHW8" s="15"/>
      <c r="NHX8" s="15"/>
      <c r="NHY8" s="15"/>
      <c r="NHZ8" s="15"/>
      <c r="NIA8" s="15"/>
      <c r="NIB8" s="15"/>
      <c r="NIC8" s="15"/>
      <c r="NID8" s="15"/>
      <c r="NIE8" s="15"/>
      <c r="NIF8" s="15"/>
      <c r="NIG8" s="15"/>
      <c r="NIH8" s="15"/>
      <c r="NII8" s="15"/>
      <c r="NIJ8" s="15"/>
      <c r="NIK8" s="15"/>
      <c r="NIL8" s="15"/>
      <c r="NIM8" s="15"/>
      <c r="NIN8" s="15"/>
      <c r="NIO8" s="15"/>
      <c r="NIP8" s="15"/>
      <c r="NIQ8" s="15"/>
      <c r="NIR8" s="15"/>
      <c r="NIS8" s="15"/>
      <c r="NIT8" s="15"/>
      <c r="NIU8" s="15"/>
      <c r="NIV8" s="15"/>
      <c r="NIW8" s="15"/>
      <c r="NIX8" s="15"/>
      <c r="NIY8" s="15"/>
      <c r="NIZ8" s="15"/>
      <c r="NJA8" s="15"/>
      <c r="NJB8" s="15"/>
      <c r="NJC8" s="15"/>
      <c r="NJD8" s="15"/>
      <c r="NJE8" s="15"/>
      <c r="NJF8" s="15"/>
      <c r="NJG8" s="15"/>
      <c r="NJH8" s="15"/>
      <c r="NJI8" s="15"/>
      <c r="NJJ8" s="15"/>
      <c r="NJK8" s="15"/>
      <c r="NJL8" s="15"/>
      <c r="NJM8" s="15"/>
      <c r="NJN8" s="15"/>
      <c r="NJO8" s="15"/>
      <c r="NJP8" s="15"/>
      <c r="NJQ8" s="15"/>
      <c r="NJR8" s="15"/>
      <c r="NJS8" s="15"/>
      <c r="NJT8" s="15"/>
      <c r="NJU8" s="15"/>
      <c r="NJV8" s="15"/>
      <c r="NJW8" s="15"/>
      <c r="NJX8" s="15"/>
      <c r="NJY8" s="15"/>
      <c r="NJZ8" s="15"/>
      <c r="NKA8" s="15"/>
      <c r="NKB8" s="15"/>
      <c r="NKC8" s="15"/>
      <c r="NKD8" s="15"/>
      <c r="NKE8" s="15"/>
      <c r="NKF8" s="15"/>
      <c r="NKG8" s="15"/>
      <c r="NKH8" s="15"/>
      <c r="NKI8" s="15"/>
      <c r="NKJ8" s="15"/>
      <c r="NKK8" s="15"/>
      <c r="NKL8" s="15"/>
      <c r="NKM8" s="15"/>
      <c r="NKN8" s="15"/>
      <c r="NKO8" s="15"/>
      <c r="NKP8" s="15"/>
      <c r="NKQ8" s="15"/>
      <c r="NKR8" s="15"/>
      <c r="NKS8" s="15"/>
      <c r="NKT8" s="15"/>
      <c r="NKU8" s="15"/>
      <c r="NKV8" s="15"/>
      <c r="NKW8" s="15"/>
      <c r="NKX8" s="15"/>
      <c r="NKY8" s="15"/>
      <c r="NKZ8" s="15"/>
      <c r="NLA8" s="15"/>
      <c r="NLB8" s="15"/>
      <c r="NLC8" s="15"/>
      <c r="NLD8" s="15"/>
      <c r="NLE8" s="15"/>
      <c r="NLF8" s="15"/>
      <c r="NLG8" s="15"/>
      <c r="NLH8" s="15"/>
      <c r="NLI8" s="15"/>
      <c r="NLJ8" s="15"/>
      <c r="NLK8" s="15"/>
      <c r="NLL8" s="15"/>
      <c r="NLM8" s="15"/>
      <c r="NLN8" s="15"/>
      <c r="NLO8" s="15"/>
      <c r="NLP8" s="15"/>
      <c r="NLQ8" s="15"/>
      <c r="NLR8" s="15"/>
      <c r="NLS8" s="15"/>
      <c r="NLT8" s="15"/>
      <c r="NLU8" s="15"/>
      <c r="NLV8" s="15"/>
      <c r="NLW8" s="15"/>
      <c r="NLX8" s="15"/>
      <c r="NLY8" s="15"/>
      <c r="NLZ8" s="15"/>
      <c r="NMA8" s="15"/>
      <c r="NMB8" s="15"/>
      <c r="NMC8" s="15"/>
      <c r="NMD8" s="15"/>
      <c r="NME8" s="15"/>
      <c r="NMF8" s="15"/>
      <c r="NMG8" s="15"/>
      <c r="NMH8" s="15"/>
      <c r="NMI8" s="15"/>
      <c r="NMJ8" s="15"/>
      <c r="NMK8" s="15"/>
      <c r="NML8" s="15"/>
      <c r="NMM8" s="15"/>
      <c r="NMN8" s="15"/>
      <c r="NMO8" s="15"/>
      <c r="NMP8" s="15"/>
      <c r="NMQ8" s="15"/>
      <c r="NMR8" s="15"/>
      <c r="NMS8" s="15"/>
      <c r="NMT8" s="15"/>
      <c r="NMU8" s="15"/>
      <c r="NMV8" s="15"/>
      <c r="NMW8" s="15"/>
      <c r="NMX8" s="15"/>
      <c r="NMY8" s="15"/>
      <c r="NMZ8" s="15"/>
      <c r="NNA8" s="15"/>
      <c r="NNB8" s="15"/>
      <c r="NNC8" s="15"/>
      <c r="NND8" s="15"/>
      <c r="NNE8" s="15"/>
      <c r="NNF8" s="15"/>
      <c r="NNG8" s="15"/>
      <c r="NNH8" s="15"/>
      <c r="NNI8" s="15"/>
      <c r="NNJ8" s="15"/>
      <c r="NNK8" s="15"/>
      <c r="NNL8" s="15"/>
      <c r="NNM8" s="15"/>
      <c r="NNN8" s="15"/>
      <c r="NNO8" s="15"/>
      <c r="NNP8" s="15"/>
      <c r="NNQ8" s="15"/>
      <c r="NNR8" s="15"/>
      <c r="NNS8" s="15"/>
      <c r="NNT8" s="15"/>
      <c r="NNU8" s="15"/>
      <c r="NNV8" s="15"/>
      <c r="NNW8" s="15"/>
      <c r="NNX8" s="15"/>
      <c r="NNY8" s="15"/>
      <c r="NNZ8" s="15"/>
      <c r="NOA8" s="15"/>
      <c r="NOB8" s="15"/>
      <c r="NOC8" s="15"/>
      <c r="NOD8" s="15"/>
      <c r="NOE8" s="15"/>
      <c r="NOF8" s="15"/>
      <c r="NOG8" s="15"/>
      <c r="NOH8" s="15"/>
      <c r="NOI8" s="15"/>
      <c r="NOJ8" s="15"/>
      <c r="NOK8" s="15"/>
      <c r="NOL8" s="15"/>
      <c r="NOM8" s="15"/>
      <c r="NON8" s="15"/>
      <c r="NOO8" s="15"/>
      <c r="NOP8" s="15"/>
      <c r="NOQ8" s="15"/>
      <c r="NOR8" s="15"/>
      <c r="NOS8" s="15"/>
      <c r="NOT8" s="15"/>
      <c r="NOU8" s="15"/>
      <c r="NOV8" s="15"/>
      <c r="NOW8" s="15"/>
      <c r="NOX8" s="15"/>
      <c r="NOY8" s="15"/>
      <c r="NOZ8" s="15"/>
      <c r="NPA8" s="15"/>
      <c r="NPB8" s="15"/>
      <c r="NPC8" s="15"/>
      <c r="NPD8" s="15"/>
      <c r="NPE8" s="15"/>
      <c r="NPF8" s="15"/>
      <c r="NPG8" s="15"/>
      <c r="NPH8" s="15"/>
      <c r="NPI8" s="15"/>
      <c r="NPJ8" s="15"/>
      <c r="NPK8" s="15"/>
      <c r="NPL8" s="15"/>
      <c r="NPM8" s="15"/>
      <c r="NPN8" s="15"/>
      <c r="NPO8" s="15"/>
      <c r="NPP8" s="15"/>
      <c r="NPQ8" s="15"/>
      <c r="NPR8" s="15"/>
      <c r="NPS8" s="15"/>
      <c r="NPT8" s="15"/>
      <c r="NPU8" s="15"/>
      <c r="NPV8" s="15"/>
      <c r="NPW8" s="15"/>
      <c r="NPX8" s="15"/>
      <c r="NPY8" s="15"/>
      <c r="NPZ8" s="15"/>
      <c r="NQA8" s="15"/>
      <c r="NQB8" s="15"/>
      <c r="NQC8" s="15"/>
      <c r="NQD8" s="15"/>
      <c r="NQE8" s="15"/>
      <c r="NQF8" s="15"/>
      <c r="NQG8" s="15"/>
      <c r="NQH8" s="15"/>
      <c r="NQI8" s="15"/>
      <c r="NQJ8" s="15"/>
      <c r="NQK8" s="15"/>
      <c r="NQL8" s="15"/>
      <c r="NQM8" s="15"/>
      <c r="NQN8" s="15"/>
      <c r="NQO8" s="15"/>
      <c r="NQP8" s="15"/>
      <c r="NQQ8" s="15"/>
      <c r="NQR8" s="15"/>
      <c r="NQS8" s="15"/>
      <c r="NQT8" s="15"/>
      <c r="NQU8" s="15"/>
      <c r="NQV8" s="15"/>
      <c r="NQW8" s="15"/>
      <c r="NQX8" s="15"/>
      <c r="NQY8" s="15"/>
      <c r="NQZ8" s="15"/>
      <c r="NRA8" s="15"/>
      <c r="NRB8" s="15"/>
      <c r="NRC8" s="15"/>
      <c r="NRD8" s="15"/>
      <c r="NRE8" s="15"/>
      <c r="NRF8" s="15"/>
      <c r="NRG8" s="15"/>
      <c r="NRH8" s="15"/>
      <c r="NRI8" s="15"/>
      <c r="NRJ8" s="15"/>
      <c r="NRK8" s="15"/>
      <c r="NRL8" s="15"/>
      <c r="NRM8" s="15"/>
      <c r="NRN8" s="15"/>
      <c r="NRO8" s="15"/>
      <c r="NRP8" s="15"/>
      <c r="NRQ8" s="15"/>
      <c r="NRR8" s="15"/>
      <c r="NRS8" s="15"/>
      <c r="NRT8" s="15"/>
      <c r="NRU8" s="15"/>
      <c r="NRV8" s="15"/>
      <c r="NRW8" s="15"/>
      <c r="NRX8" s="15"/>
      <c r="NRY8" s="15"/>
      <c r="NRZ8" s="15"/>
      <c r="NSA8" s="15"/>
      <c r="NSB8" s="15"/>
      <c r="NSC8" s="15"/>
      <c r="NSD8" s="15"/>
      <c r="NSE8" s="15"/>
      <c r="NSF8" s="15"/>
      <c r="NSG8" s="15"/>
      <c r="NSH8" s="15"/>
      <c r="NSI8" s="15"/>
      <c r="NSJ8" s="15"/>
      <c r="NSK8" s="15"/>
      <c r="NSL8" s="15"/>
      <c r="NSM8" s="15"/>
      <c r="NSN8" s="15"/>
      <c r="NSO8" s="15"/>
      <c r="NSP8" s="15"/>
      <c r="NSQ8" s="15"/>
      <c r="NSR8" s="15"/>
      <c r="NSS8" s="15"/>
      <c r="NST8" s="15"/>
      <c r="NSU8" s="15"/>
      <c r="NSV8" s="15"/>
      <c r="NSW8" s="15"/>
      <c r="NSX8" s="15"/>
      <c r="NSY8" s="15"/>
      <c r="NSZ8" s="15"/>
      <c r="NTA8" s="15"/>
      <c r="NTB8" s="15"/>
      <c r="NTC8" s="15"/>
      <c r="NTD8" s="15"/>
      <c r="NTE8" s="15"/>
      <c r="NTF8" s="15"/>
      <c r="NTG8" s="15"/>
      <c r="NTH8" s="15"/>
      <c r="NTI8" s="15"/>
      <c r="NTJ8" s="15"/>
      <c r="NTK8" s="15"/>
      <c r="NTL8" s="15"/>
      <c r="NTM8" s="15"/>
      <c r="NTN8" s="15"/>
      <c r="NTO8" s="15"/>
      <c r="NTP8" s="15"/>
      <c r="NTQ8" s="15"/>
      <c r="NTR8" s="15"/>
      <c r="NTS8" s="15"/>
      <c r="NTT8" s="15"/>
      <c r="NTU8" s="15"/>
      <c r="NTV8" s="15"/>
      <c r="NTW8" s="15"/>
      <c r="NTX8" s="15"/>
      <c r="NTY8" s="15"/>
    </row>
    <row r="9" spans="1:10009" s="14" customFormat="1" x14ac:dyDescent="0.3">
      <c r="A9" s="4"/>
      <c r="B9" s="3" t="s">
        <v>0</v>
      </c>
      <c r="C9" s="3">
        <v>1</v>
      </c>
      <c r="D9" s="6" t="s">
        <v>176</v>
      </c>
      <c r="E9" s="6" t="s">
        <v>176</v>
      </c>
      <c r="F9" s="6" t="s">
        <v>176</v>
      </c>
      <c r="G9" s="6" t="s">
        <v>176</v>
      </c>
      <c r="H9" s="4" t="str">
        <f>INDEX($D$9:$G$47,$C9,$B$8)</f>
        <v>TRUE</v>
      </c>
      <c r="I9" s="4"/>
      <c r="J9" s="12" t="str">
        <f t="shared" ref="J9:J47" si="1">IF(INDEX($D$53:$H$91,$C53,$B$8)=0,"",INDEX($D$53:$H$91,$C53,$B$8))</f>
        <v>자산</v>
      </c>
      <c r="K9" s="5">
        <f>IF( $J9&lt;&gt;"", IF(K53=0, "", K53/$G$2), "")</f>
        <v>470278409</v>
      </c>
      <c r="L9" s="5">
        <f t="shared" ref="L9:AS9" si="2">IF( $J9&lt;&gt;"", IF(L53=0, "", L53/$G$2), "")</f>
        <v>448040650</v>
      </c>
      <c r="M9" s="5">
        <f t="shared" si="2"/>
        <v>439326959</v>
      </c>
      <c r="N9" s="5">
        <f t="shared" si="2"/>
        <v>426621158</v>
      </c>
      <c r="O9" s="5">
        <f t="shared" si="2"/>
        <v>410420718</v>
      </c>
      <c r="P9" s="5">
        <f t="shared" si="2"/>
        <v>384777669</v>
      </c>
      <c r="Q9" s="5">
        <f t="shared" si="2"/>
        <v>392826274</v>
      </c>
      <c r="R9" s="5">
        <f t="shared" si="2"/>
        <v>378235718</v>
      </c>
      <c r="S9" s="5" t="str">
        <f t="shared" si="2"/>
        <v/>
      </c>
      <c r="T9" s="5" t="str">
        <f t="shared" si="2"/>
        <v/>
      </c>
      <c r="U9" s="5" t="str">
        <f t="shared" si="2"/>
        <v/>
      </c>
      <c r="V9" s="5" t="str">
        <f t="shared" si="2"/>
        <v/>
      </c>
      <c r="W9" s="5" t="str">
        <f t="shared" si="2"/>
        <v/>
      </c>
      <c r="X9" s="5" t="str">
        <f t="shared" si="2"/>
        <v/>
      </c>
      <c r="Y9" s="5" t="str">
        <f t="shared" si="2"/>
        <v/>
      </c>
      <c r="Z9" s="5" t="str">
        <f t="shared" si="2"/>
        <v/>
      </c>
      <c r="AA9" s="5" t="str">
        <f t="shared" si="2"/>
        <v/>
      </c>
      <c r="AB9" s="5" t="str">
        <f t="shared" si="2"/>
        <v/>
      </c>
      <c r="AC9" s="5" t="str">
        <f t="shared" si="2"/>
        <v/>
      </c>
      <c r="AD9" s="5" t="str">
        <f t="shared" si="2"/>
        <v/>
      </c>
      <c r="AE9" s="5" t="str">
        <f t="shared" si="2"/>
        <v/>
      </c>
      <c r="AF9" s="5" t="str">
        <f t="shared" si="2"/>
        <v/>
      </c>
      <c r="AG9" s="5" t="str">
        <f t="shared" si="2"/>
        <v/>
      </c>
      <c r="AH9" s="5" t="str">
        <f t="shared" si="2"/>
        <v/>
      </c>
      <c r="AI9" s="5" t="str">
        <f t="shared" si="2"/>
        <v/>
      </c>
      <c r="AJ9" s="5" t="str">
        <f t="shared" si="2"/>
        <v/>
      </c>
      <c r="AK9" s="5" t="str">
        <f t="shared" si="2"/>
        <v/>
      </c>
      <c r="AL9" s="5" t="str">
        <f t="shared" si="2"/>
        <v/>
      </c>
      <c r="AM9" s="5" t="str">
        <f t="shared" si="2"/>
        <v/>
      </c>
      <c r="AN9" s="5" t="str">
        <f t="shared" si="2"/>
        <v/>
      </c>
      <c r="AO9" s="5" t="str">
        <f t="shared" si="2"/>
        <v/>
      </c>
      <c r="AP9" s="5" t="str">
        <f t="shared" si="2"/>
        <v/>
      </c>
      <c r="AQ9" s="5" t="str">
        <f t="shared" si="2"/>
        <v/>
      </c>
      <c r="AR9" s="5" t="str">
        <f t="shared" si="2"/>
        <v/>
      </c>
      <c r="AS9" s="5" t="str">
        <f t="shared" si="2"/>
        <v/>
      </c>
    </row>
    <row r="10" spans="1:10009" s="14" customFormat="1" x14ac:dyDescent="0.3">
      <c r="A10" s="4"/>
      <c r="B10" s="3" t="s">
        <v>1</v>
      </c>
      <c r="C10" s="3">
        <v>2</v>
      </c>
      <c r="D10" s="2"/>
      <c r="E10" s="6" t="s">
        <v>176</v>
      </c>
      <c r="F10" s="2"/>
      <c r="G10" s="2"/>
      <c r="H10" s="4">
        <f t="shared" ref="H10:H47" si="3">INDEX($D$9:$G$47,$C10,$B$8)</f>
        <v>0</v>
      </c>
      <c r="I10" s="4"/>
      <c r="J10" s="12" t="str">
        <f t="shared" si="1"/>
        <v>현금및현금성자산</v>
      </c>
      <c r="K10" s="5">
        <f t="shared" ref="K10:AS10" si="4">IF( $J10&lt;&gt;"", IF(K54=0, "", K54/$G$2), "")</f>
        <v>44515421</v>
      </c>
      <c r="L10" s="5">
        <f t="shared" si="4"/>
        <v>39583141</v>
      </c>
      <c r="M10" s="5">
        <f t="shared" si="4"/>
        <v>48944982</v>
      </c>
      <c r="N10" s="5">
        <f t="shared" si="4"/>
        <v>39031415</v>
      </c>
      <c r="O10" s="5">
        <f t="shared" si="4"/>
        <v>32675040</v>
      </c>
      <c r="P10" s="5">
        <f t="shared" si="4"/>
        <v>30683788</v>
      </c>
      <c r="Q10" s="5">
        <f t="shared" si="4"/>
        <v>41039591</v>
      </c>
      <c r="R10" s="5">
        <f t="shared" si="4"/>
        <v>29382578</v>
      </c>
      <c r="S10" s="5" t="str">
        <f t="shared" si="4"/>
        <v/>
      </c>
      <c r="T10" s="5" t="str">
        <f t="shared" si="4"/>
        <v/>
      </c>
      <c r="U10" s="5" t="str">
        <f t="shared" si="4"/>
        <v/>
      </c>
      <c r="V10" s="5" t="str">
        <f t="shared" si="4"/>
        <v/>
      </c>
      <c r="W10" s="5" t="str">
        <f t="shared" si="4"/>
        <v/>
      </c>
      <c r="X10" s="5" t="str">
        <f t="shared" si="4"/>
        <v/>
      </c>
      <c r="Y10" s="5" t="str">
        <f t="shared" si="4"/>
        <v/>
      </c>
      <c r="Z10" s="5" t="str">
        <f t="shared" si="4"/>
        <v/>
      </c>
      <c r="AA10" s="5" t="str">
        <f t="shared" si="4"/>
        <v/>
      </c>
      <c r="AB10" s="5" t="str">
        <f t="shared" si="4"/>
        <v/>
      </c>
      <c r="AC10" s="5" t="str">
        <f t="shared" si="4"/>
        <v/>
      </c>
      <c r="AD10" s="5" t="str">
        <f t="shared" si="4"/>
        <v/>
      </c>
      <c r="AE10" s="5" t="str">
        <f t="shared" si="4"/>
        <v/>
      </c>
      <c r="AF10" s="5" t="str">
        <f t="shared" si="4"/>
        <v/>
      </c>
      <c r="AG10" s="5" t="str">
        <f t="shared" si="4"/>
        <v/>
      </c>
      <c r="AH10" s="5" t="str">
        <f t="shared" si="4"/>
        <v/>
      </c>
      <c r="AI10" s="5" t="str">
        <f t="shared" si="4"/>
        <v/>
      </c>
      <c r="AJ10" s="5" t="str">
        <f t="shared" si="4"/>
        <v/>
      </c>
      <c r="AK10" s="5" t="str">
        <f t="shared" si="4"/>
        <v/>
      </c>
      <c r="AL10" s="5" t="str">
        <f t="shared" si="4"/>
        <v/>
      </c>
      <c r="AM10" s="5" t="str">
        <f t="shared" si="4"/>
        <v/>
      </c>
      <c r="AN10" s="5" t="str">
        <f t="shared" si="4"/>
        <v/>
      </c>
      <c r="AO10" s="5" t="str">
        <f t="shared" si="4"/>
        <v/>
      </c>
      <c r="AP10" s="5" t="str">
        <f t="shared" si="4"/>
        <v/>
      </c>
      <c r="AQ10" s="5" t="str">
        <f t="shared" si="4"/>
        <v/>
      </c>
      <c r="AR10" s="5" t="str">
        <f t="shared" si="4"/>
        <v/>
      </c>
      <c r="AS10" s="5" t="str">
        <f t="shared" si="4"/>
        <v/>
      </c>
    </row>
    <row r="11" spans="1:10009" s="14" customFormat="1" x14ac:dyDescent="0.3">
      <c r="A11" s="4"/>
      <c r="B11" s="3" t="s">
        <v>2</v>
      </c>
      <c r="C11" s="3">
        <v>3</v>
      </c>
      <c r="D11" s="2"/>
      <c r="E11" s="6" t="s">
        <v>176</v>
      </c>
      <c r="F11" s="2"/>
      <c r="G11" s="2"/>
      <c r="H11" s="4">
        <f t="shared" si="3"/>
        <v>0</v>
      </c>
      <c r="I11" s="4"/>
      <c r="J11" s="12" t="str">
        <f t="shared" si="1"/>
        <v>금융자산</v>
      </c>
      <c r="K11" s="5">
        <f t="shared" ref="K11:AS11" si="5">IF( $J11&lt;&gt;"", IF(K55=0, "", K55/$G$2), "")</f>
        <v>83646807</v>
      </c>
      <c r="L11" s="5">
        <f t="shared" si="5"/>
        <v>84428822</v>
      </c>
      <c r="M11" s="5">
        <f t="shared" si="5"/>
        <v>75121426</v>
      </c>
      <c r="N11" s="5">
        <f t="shared" si="5"/>
        <v>81708986</v>
      </c>
      <c r="O11" s="5">
        <f t="shared" si="5"/>
        <v>85077401</v>
      </c>
      <c r="P11" s="5">
        <f t="shared" si="5"/>
        <v>77777032</v>
      </c>
      <c r="Q11" s="5">
        <f t="shared" si="5"/>
        <v>87159273</v>
      </c>
      <c r="R11" s="5">
        <f t="shared" si="5"/>
        <v>92441703</v>
      </c>
      <c r="S11" s="5" t="str">
        <f t="shared" si="5"/>
        <v/>
      </c>
      <c r="T11" s="5" t="str">
        <f t="shared" si="5"/>
        <v/>
      </c>
      <c r="U11" s="5" t="str">
        <f t="shared" si="5"/>
        <v/>
      </c>
      <c r="V11" s="5" t="str">
        <f t="shared" si="5"/>
        <v/>
      </c>
      <c r="W11" s="5" t="str">
        <f t="shared" si="5"/>
        <v/>
      </c>
      <c r="X11" s="5" t="str">
        <f t="shared" si="5"/>
        <v/>
      </c>
      <c r="Y11" s="5" t="str">
        <f t="shared" si="5"/>
        <v/>
      </c>
      <c r="Z11" s="5" t="str">
        <f t="shared" si="5"/>
        <v/>
      </c>
      <c r="AA11" s="5" t="str">
        <f t="shared" si="5"/>
        <v/>
      </c>
      <c r="AB11" s="5" t="str">
        <f t="shared" si="5"/>
        <v/>
      </c>
      <c r="AC11" s="5" t="str">
        <f t="shared" si="5"/>
        <v/>
      </c>
      <c r="AD11" s="5" t="str">
        <f t="shared" si="5"/>
        <v/>
      </c>
      <c r="AE11" s="5" t="str">
        <f t="shared" si="5"/>
        <v/>
      </c>
      <c r="AF11" s="5" t="str">
        <f t="shared" si="5"/>
        <v/>
      </c>
      <c r="AG11" s="5" t="str">
        <f t="shared" si="5"/>
        <v/>
      </c>
      <c r="AH11" s="5" t="str">
        <f t="shared" si="5"/>
        <v/>
      </c>
      <c r="AI11" s="5" t="str">
        <f t="shared" si="5"/>
        <v/>
      </c>
      <c r="AJ11" s="5" t="str">
        <f t="shared" si="5"/>
        <v/>
      </c>
      <c r="AK11" s="5" t="str">
        <f t="shared" si="5"/>
        <v/>
      </c>
      <c r="AL11" s="5" t="str">
        <f t="shared" si="5"/>
        <v/>
      </c>
      <c r="AM11" s="5" t="str">
        <f t="shared" si="5"/>
        <v/>
      </c>
      <c r="AN11" s="5" t="str">
        <f t="shared" si="5"/>
        <v/>
      </c>
      <c r="AO11" s="5" t="str">
        <f t="shared" si="5"/>
        <v/>
      </c>
      <c r="AP11" s="5" t="str">
        <f t="shared" si="5"/>
        <v/>
      </c>
      <c r="AQ11" s="5" t="str">
        <f t="shared" si="5"/>
        <v/>
      </c>
      <c r="AR11" s="5" t="str">
        <f t="shared" si="5"/>
        <v/>
      </c>
      <c r="AS11" s="5" t="str">
        <f t="shared" si="5"/>
        <v/>
      </c>
    </row>
    <row r="12" spans="1:10009" s="14" customFormat="1" x14ac:dyDescent="0.3">
      <c r="A12" s="4"/>
      <c r="B12" s="3" t="s">
        <v>3</v>
      </c>
      <c r="C12" s="3">
        <v>4</v>
      </c>
      <c r="D12" s="2"/>
      <c r="E12" s="6" t="s">
        <v>176</v>
      </c>
      <c r="F12" s="2"/>
      <c r="G12" s="2"/>
      <c r="H12" s="4">
        <f t="shared" si="3"/>
        <v>0</v>
      </c>
      <c r="I12" s="4"/>
      <c r="J12" s="12" t="str">
        <f t="shared" si="1"/>
        <v>파생상품자산</v>
      </c>
      <c r="K12" s="5" t="str">
        <f t="shared" ref="K12:AS12" si="6">IF( $J12&lt;&gt;"", IF(K56=0, "", K56/$G$2), "")</f>
        <v/>
      </c>
      <c r="L12" s="5" t="str">
        <f t="shared" si="6"/>
        <v/>
      </c>
      <c r="M12" s="5" t="str">
        <f t="shared" si="6"/>
        <v/>
      </c>
      <c r="N12" s="5" t="str">
        <f t="shared" si="6"/>
        <v/>
      </c>
      <c r="O12" s="5" t="str">
        <f t="shared" si="6"/>
        <v/>
      </c>
      <c r="P12" s="5" t="str">
        <f t="shared" si="6"/>
        <v/>
      </c>
      <c r="Q12" s="5" t="str">
        <f t="shared" si="6"/>
        <v/>
      </c>
      <c r="R12" s="5" t="str">
        <f t="shared" si="6"/>
        <v/>
      </c>
      <c r="S12" s="5" t="str">
        <f t="shared" si="6"/>
        <v/>
      </c>
      <c r="T12" s="5" t="str">
        <f t="shared" si="6"/>
        <v/>
      </c>
      <c r="U12" s="5" t="str">
        <f t="shared" si="6"/>
        <v/>
      </c>
      <c r="V12" s="5" t="str">
        <f t="shared" si="6"/>
        <v/>
      </c>
      <c r="W12" s="5" t="str">
        <f t="shared" si="6"/>
        <v/>
      </c>
      <c r="X12" s="5" t="str">
        <f t="shared" si="6"/>
        <v/>
      </c>
      <c r="Y12" s="5" t="str">
        <f t="shared" si="6"/>
        <v/>
      </c>
      <c r="Z12" s="5" t="str">
        <f t="shared" si="6"/>
        <v/>
      </c>
      <c r="AA12" s="5" t="str">
        <f t="shared" si="6"/>
        <v/>
      </c>
      <c r="AB12" s="5" t="str">
        <f t="shared" si="6"/>
        <v/>
      </c>
      <c r="AC12" s="5" t="str">
        <f t="shared" si="6"/>
        <v/>
      </c>
      <c r="AD12" s="5" t="str">
        <f t="shared" si="6"/>
        <v/>
      </c>
      <c r="AE12" s="5" t="str">
        <f t="shared" si="6"/>
        <v/>
      </c>
      <c r="AF12" s="5" t="str">
        <f t="shared" si="6"/>
        <v/>
      </c>
      <c r="AG12" s="5" t="str">
        <f t="shared" si="6"/>
        <v/>
      </c>
      <c r="AH12" s="5" t="str">
        <f t="shared" si="6"/>
        <v/>
      </c>
      <c r="AI12" s="5" t="str">
        <f t="shared" si="6"/>
        <v/>
      </c>
      <c r="AJ12" s="5" t="str">
        <f t="shared" si="6"/>
        <v/>
      </c>
      <c r="AK12" s="5" t="str">
        <f t="shared" si="6"/>
        <v/>
      </c>
      <c r="AL12" s="5" t="str">
        <f t="shared" si="6"/>
        <v/>
      </c>
      <c r="AM12" s="5" t="str">
        <f t="shared" si="6"/>
        <v/>
      </c>
      <c r="AN12" s="5" t="str">
        <f t="shared" si="6"/>
        <v/>
      </c>
      <c r="AO12" s="5" t="str">
        <f t="shared" si="6"/>
        <v/>
      </c>
      <c r="AP12" s="5" t="str">
        <f t="shared" si="6"/>
        <v/>
      </c>
      <c r="AQ12" s="5" t="str">
        <f t="shared" si="6"/>
        <v/>
      </c>
      <c r="AR12" s="5" t="str">
        <f t="shared" si="6"/>
        <v/>
      </c>
      <c r="AS12" s="5" t="str">
        <f t="shared" si="6"/>
        <v/>
      </c>
    </row>
    <row r="13" spans="1:10009" s="14" customFormat="1" x14ac:dyDescent="0.3">
      <c r="A13" s="4"/>
      <c r="B13" s="3" t="s">
        <v>4</v>
      </c>
      <c r="C13" s="3">
        <v>5</v>
      </c>
      <c r="D13" s="2"/>
      <c r="E13" s="2"/>
      <c r="F13" s="2"/>
      <c r="G13" s="2"/>
      <c r="H13" s="4">
        <f t="shared" si="3"/>
        <v>0</v>
      </c>
      <c r="I13" s="4"/>
      <c r="J13" s="12" t="str">
        <f t="shared" si="1"/>
        <v>대출채권</v>
      </c>
      <c r="K13" s="5" t="str">
        <f t="shared" ref="K13:AS13" si="7">IF( $J13&lt;&gt;"", IF(K57=0, "", K57/$G$2), "")</f>
        <v/>
      </c>
      <c r="L13" s="5" t="str">
        <f t="shared" si="7"/>
        <v/>
      </c>
      <c r="M13" s="5" t="str">
        <f t="shared" si="7"/>
        <v/>
      </c>
      <c r="N13" s="5" t="str">
        <f t="shared" si="7"/>
        <v/>
      </c>
      <c r="O13" s="5" t="str">
        <f t="shared" si="7"/>
        <v/>
      </c>
      <c r="P13" s="5" t="str">
        <f t="shared" si="7"/>
        <v/>
      </c>
      <c r="Q13" s="5" t="str">
        <f t="shared" si="7"/>
        <v/>
      </c>
      <c r="R13" s="5" t="str">
        <f t="shared" si="7"/>
        <v/>
      </c>
      <c r="S13" s="5" t="str">
        <f t="shared" si="7"/>
        <v/>
      </c>
      <c r="T13" s="5" t="str">
        <f t="shared" si="7"/>
        <v/>
      </c>
      <c r="U13" s="5" t="str">
        <f t="shared" si="7"/>
        <v/>
      </c>
      <c r="V13" s="5" t="str">
        <f t="shared" si="7"/>
        <v/>
      </c>
      <c r="W13" s="5" t="str">
        <f t="shared" si="7"/>
        <v/>
      </c>
      <c r="X13" s="5" t="str">
        <f t="shared" si="7"/>
        <v/>
      </c>
      <c r="Y13" s="5" t="str">
        <f t="shared" si="7"/>
        <v/>
      </c>
      <c r="Z13" s="5" t="str">
        <f t="shared" si="7"/>
        <v/>
      </c>
      <c r="AA13" s="5" t="str">
        <f t="shared" si="7"/>
        <v/>
      </c>
      <c r="AB13" s="5" t="str">
        <f t="shared" si="7"/>
        <v/>
      </c>
      <c r="AC13" s="5" t="str">
        <f t="shared" si="7"/>
        <v/>
      </c>
      <c r="AD13" s="5" t="str">
        <f t="shared" si="7"/>
        <v/>
      </c>
      <c r="AE13" s="5" t="str">
        <f t="shared" si="7"/>
        <v/>
      </c>
      <c r="AF13" s="5" t="str">
        <f t="shared" si="7"/>
        <v/>
      </c>
      <c r="AG13" s="5" t="str">
        <f t="shared" si="7"/>
        <v/>
      </c>
      <c r="AH13" s="5" t="str">
        <f t="shared" si="7"/>
        <v/>
      </c>
      <c r="AI13" s="5" t="str">
        <f t="shared" si="7"/>
        <v/>
      </c>
      <c r="AJ13" s="5" t="str">
        <f t="shared" si="7"/>
        <v/>
      </c>
      <c r="AK13" s="5" t="str">
        <f t="shared" si="7"/>
        <v/>
      </c>
      <c r="AL13" s="5" t="str">
        <f t="shared" si="7"/>
        <v/>
      </c>
      <c r="AM13" s="5" t="str">
        <f t="shared" si="7"/>
        <v/>
      </c>
      <c r="AN13" s="5" t="str">
        <f t="shared" si="7"/>
        <v/>
      </c>
      <c r="AO13" s="5" t="str">
        <f t="shared" si="7"/>
        <v/>
      </c>
      <c r="AP13" s="5" t="str">
        <f t="shared" si="7"/>
        <v/>
      </c>
      <c r="AQ13" s="5" t="str">
        <f t="shared" si="7"/>
        <v/>
      </c>
      <c r="AR13" s="5" t="str">
        <f t="shared" si="7"/>
        <v/>
      </c>
      <c r="AS13" s="5" t="str">
        <f t="shared" si="7"/>
        <v/>
      </c>
    </row>
    <row r="14" spans="1:10009" s="14" customFormat="1" x14ac:dyDescent="0.3">
      <c r="A14" s="4"/>
      <c r="B14" s="4"/>
      <c r="C14" s="3">
        <v>6</v>
      </c>
      <c r="D14" s="2"/>
      <c r="E14" s="2"/>
      <c r="F14" s="2"/>
      <c r="G14" s="2"/>
      <c r="H14" s="4">
        <f t="shared" si="3"/>
        <v>0</v>
      </c>
      <c r="I14" s="4"/>
      <c r="J14" s="12" t="str">
        <f t="shared" si="1"/>
        <v>기타자산</v>
      </c>
      <c r="K14" s="5">
        <f t="shared" ref="K14:AS14" si="8">IF( $J14&lt;&gt;"", IF(K58=0, "", K58/$G$2), "")</f>
        <v>19792757</v>
      </c>
      <c r="L14" s="5">
        <f t="shared" si="8"/>
        <v>18069477</v>
      </c>
      <c r="M14" s="5">
        <f t="shared" si="8"/>
        <v>18397154</v>
      </c>
      <c r="N14" s="5">
        <f t="shared" si="8"/>
        <v>15798606</v>
      </c>
      <c r="O14" s="5">
        <f t="shared" si="8"/>
        <v>14388455</v>
      </c>
      <c r="P14" s="5">
        <f t="shared" si="8"/>
        <v>13636592</v>
      </c>
      <c r="Q14" s="5">
        <f t="shared" si="8"/>
        <v>13086892</v>
      </c>
      <c r="R14" s="5">
        <f t="shared" si="8"/>
        <v>12002390</v>
      </c>
      <c r="S14" s="5" t="str">
        <f t="shared" si="8"/>
        <v/>
      </c>
      <c r="T14" s="5" t="str">
        <f t="shared" si="8"/>
        <v/>
      </c>
      <c r="U14" s="5" t="str">
        <f t="shared" si="8"/>
        <v/>
      </c>
      <c r="V14" s="5" t="str">
        <f t="shared" si="8"/>
        <v/>
      </c>
      <c r="W14" s="5" t="str">
        <f t="shared" si="8"/>
        <v/>
      </c>
      <c r="X14" s="5" t="str">
        <f t="shared" si="8"/>
        <v/>
      </c>
      <c r="Y14" s="5" t="str">
        <f t="shared" si="8"/>
        <v/>
      </c>
      <c r="Z14" s="5" t="str">
        <f t="shared" si="8"/>
        <v/>
      </c>
      <c r="AA14" s="5" t="str">
        <f t="shared" si="8"/>
        <v/>
      </c>
      <c r="AB14" s="5" t="str">
        <f t="shared" si="8"/>
        <v/>
      </c>
      <c r="AC14" s="5" t="str">
        <f t="shared" si="8"/>
        <v/>
      </c>
      <c r="AD14" s="5" t="str">
        <f t="shared" si="8"/>
        <v/>
      </c>
      <c r="AE14" s="5" t="str">
        <f t="shared" si="8"/>
        <v/>
      </c>
      <c r="AF14" s="5" t="str">
        <f t="shared" si="8"/>
        <v/>
      </c>
      <c r="AG14" s="5" t="str">
        <f t="shared" si="8"/>
        <v/>
      </c>
      <c r="AH14" s="5" t="str">
        <f t="shared" si="8"/>
        <v/>
      </c>
      <c r="AI14" s="5" t="str">
        <f t="shared" si="8"/>
        <v/>
      </c>
      <c r="AJ14" s="5" t="str">
        <f t="shared" si="8"/>
        <v/>
      </c>
      <c r="AK14" s="5" t="str">
        <f t="shared" si="8"/>
        <v/>
      </c>
      <c r="AL14" s="5" t="str">
        <f t="shared" si="8"/>
        <v/>
      </c>
      <c r="AM14" s="5" t="str">
        <f t="shared" si="8"/>
        <v/>
      </c>
      <c r="AN14" s="5" t="str">
        <f t="shared" si="8"/>
        <v/>
      </c>
      <c r="AO14" s="5" t="str">
        <f t="shared" si="8"/>
        <v/>
      </c>
      <c r="AP14" s="5" t="str">
        <f t="shared" si="8"/>
        <v/>
      </c>
      <c r="AQ14" s="5" t="str">
        <f t="shared" si="8"/>
        <v/>
      </c>
      <c r="AR14" s="5" t="str">
        <f t="shared" si="8"/>
        <v/>
      </c>
      <c r="AS14" s="5" t="str">
        <f t="shared" si="8"/>
        <v/>
      </c>
    </row>
    <row r="15" spans="1:10009" s="14" customFormat="1" x14ac:dyDescent="0.3">
      <c r="A15" s="4"/>
      <c r="B15" s="4"/>
      <c r="C15" s="3">
        <v>7</v>
      </c>
      <c r="D15" s="2"/>
      <c r="E15" s="2"/>
      <c r="F15" s="2"/>
      <c r="G15" s="2"/>
      <c r="H15" s="4">
        <f t="shared" si="3"/>
        <v>0</v>
      </c>
      <c r="I15" s="4"/>
      <c r="J15" s="12" t="str">
        <f t="shared" si="1"/>
        <v>유형자산</v>
      </c>
      <c r="K15" s="5">
        <f t="shared" ref="K15:AS15" si="9">IF( $J15&lt;&gt;"", IF(K59=0, "", K59/$G$2), "")</f>
        <v>160343568</v>
      </c>
      <c r="L15" s="5">
        <f t="shared" si="9"/>
        <v>154254576</v>
      </c>
      <c r="M15" s="5">
        <f t="shared" si="9"/>
        <v>149618019</v>
      </c>
      <c r="N15" s="5">
        <f t="shared" si="9"/>
        <v>149928539</v>
      </c>
      <c r="O15" s="5">
        <f t="shared" si="9"/>
        <v>143029384</v>
      </c>
      <c r="P15" s="5">
        <f t="shared" si="9"/>
        <v>139389862</v>
      </c>
      <c r="Q15" s="5">
        <f t="shared" si="9"/>
        <v>132747712</v>
      </c>
      <c r="R15" s="5">
        <f t="shared" si="9"/>
        <v>128952892</v>
      </c>
      <c r="S15" s="5" t="str">
        <f t="shared" si="9"/>
        <v/>
      </c>
      <c r="T15" s="5" t="str">
        <f t="shared" si="9"/>
        <v/>
      </c>
      <c r="U15" s="5" t="str">
        <f t="shared" si="9"/>
        <v/>
      </c>
      <c r="V15" s="5" t="str">
        <f t="shared" si="9"/>
        <v/>
      </c>
      <c r="W15" s="5" t="str">
        <f t="shared" si="9"/>
        <v/>
      </c>
      <c r="X15" s="5" t="str">
        <f t="shared" si="9"/>
        <v/>
      </c>
      <c r="Y15" s="5" t="str">
        <f t="shared" si="9"/>
        <v/>
      </c>
      <c r="Z15" s="5" t="str">
        <f t="shared" si="9"/>
        <v/>
      </c>
      <c r="AA15" s="5" t="str">
        <f t="shared" si="9"/>
        <v/>
      </c>
      <c r="AB15" s="5" t="str">
        <f t="shared" si="9"/>
        <v/>
      </c>
      <c r="AC15" s="5" t="str">
        <f t="shared" si="9"/>
        <v/>
      </c>
      <c r="AD15" s="5" t="str">
        <f t="shared" si="9"/>
        <v/>
      </c>
      <c r="AE15" s="5" t="str">
        <f t="shared" si="9"/>
        <v/>
      </c>
      <c r="AF15" s="5" t="str">
        <f t="shared" si="9"/>
        <v/>
      </c>
      <c r="AG15" s="5" t="str">
        <f t="shared" si="9"/>
        <v/>
      </c>
      <c r="AH15" s="5" t="str">
        <f t="shared" si="9"/>
        <v/>
      </c>
      <c r="AI15" s="5" t="str">
        <f t="shared" si="9"/>
        <v/>
      </c>
      <c r="AJ15" s="5" t="str">
        <f t="shared" si="9"/>
        <v/>
      </c>
      <c r="AK15" s="5" t="str">
        <f t="shared" si="9"/>
        <v/>
      </c>
      <c r="AL15" s="5" t="str">
        <f t="shared" si="9"/>
        <v/>
      </c>
      <c r="AM15" s="5" t="str">
        <f t="shared" si="9"/>
        <v/>
      </c>
      <c r="AN15" s="5" t="str">
        <f t="shared" si="9"/>
        <v/>
      </c>
      <c r="AO15" s="5" t="str">
        <f t="shared" si="9"/>
        <v/>
      </c>
      <c r="AP15" s="5" t="str">
        <f t="shared" si="9"/>
        <v/>
      </c>
      <c r="AQ15" s="5" t="str">
        <f t="shared" si="9"/>
        <v/>
      </c>
      <c r="AR15" s="5" t="str">
        <f t="shared" si="9"/>
        <v/>
      </c>
      <c r="AS15" s="5" t="str">
        <f t="shared" si="9"/>
        <v/>
      </c>
    </row>
    <row r="16" spans="1:10009" s="14" customFormat="1" x14ac:dyDescent="0.3">
      <c r="A16" s="4"/>
      <c r="B16" s="4"/>
      <c r="C16" s="3">
        <v>8</v>
      </c>
      <c r="D16" s="2"/>
      <c r="E16" s="2"/>
      <c r="F16" s="2"/>
      <c r="G16" s="6" t="s">
        <v>176</v>
      </c>
      <c r="H16" s="4">
        <f t="shared" si="3"/>
        <v>0</v>
      </c>
      <c r="I16" s="4"/>
      <c r="J16" s="12" t="str">
        <f t="shared" si="1"/>
        <v>투자부동산</v>
      </c>
      <c r="K16" s="5" t="str">
        <f t="shared" ref="K16:AS16" si="10">IF( $J16&lt;&gt;"", IF(K60=0, "", K60/$G$2), "")</f>
        <v/>
      </c>
      <c r="L16" s="5" t="str">
        <f t="shared" si="10"/>
        <v/>
      </c>
      <c r="M16" s="5" t="str">
        <f t="shared" si="10"/>
        <v/>
      </c>
      <c r="N16" s="5" t="str">
        <f t="shared" si="10"/>
        <v/>
      </c>
      <c r="O16" s="5" t="str">
        <f t="shared" si="10"/>
        <v/>
      </c>
      <c r="P16" s="5" t="str">
        <f t="shared" si="10"/>
        <v/>
      </c>
      <c r="Q16" s="5" t="str">
        <f t="shared" si="10"/>
        <v/>
      </c>
      <c r="R16" s="5" t="str">
        <f t="shared" si="10"/>
        <v/>
      </c>
      <c r="S16" s="5" t="str">
        <f t="shared" si="10"/>
        <v/>
      </c>
      <c r="T16" s="5" t="str">
        <f t="shared" si="10"/>
        <v/>
      </c>
      <c r="U16" s="5" t="str">
        <f t="shared" si="10"/>
        <v/>
      </c>
      <c r="V16" s="5" t="str">
        <f t="shared" si="10"/>
        <v/>
      </c>
      <c r="W16" s="5" t="str">
        <f t="shared" si="10"/>
        <v/>
      </c>
      <c r="X16" s="5" t="str">
        <f t="shared" si="10"/>
        <v/>
      </c>
      <c r="Y16" s="5" t="str">
        <f t="shared" si="10"/>
        <v/>
      </c>
      <c r="Z16" s="5" t="str">
        <f t="shared" si="10"/>
        <v/>
      </c>
      <c r="AA16" s="5" t="str">
        <f t="shared" si="10"/>
        <v/>
      </c>
      <c r="AB16" s="5" t="str">
        <f t="shared" si="10"/>
        <v/>
      </c>
      <c r="AC16" s="5" t="str">
        <f t="shared" si="10"/>
        <v/>
      </c>
      <c r="AD16" s="5" t="str">
        <f t="shared" si="10"/>
        <v/>
      </c>
      <c r="AE16" s="5" t="str">
        <f t="shared" si="10"/>
        <v/>
      </c>
      <c r="AF16" s="5" t="str">
        <f t="shared" si="10"/>
        <v/>
      </c>
      <c r="AG16" s="5" t="str">
        <f t="shared" si="10"/>
        <v/>
      </c>
      <c r="AH16" s="5" t="str">
        <f t="shared" si="10"/>
        <v/>
      </c>
      <c r="AI16" s="5" t="str">
        <f t="shared" si="10"/>
        <v/>
      </c>
      <c r="AJ16" s="5" t="str">
        <f t="shared" si="10"/>
        <v/>
      </c>
      <c r="AK16" s="5" t="str">
        <f t="shared" si="10"/>
        <v/>
      </c>
      <c r="AL16" s="5" t="str">
        <f t="shared" si="10"/>
        <v/>
      </c>
      <c r="AM16" s="5" t="str">
        <f t="shared" si="10"/>
        <v/>
      </c>
      <c r="AN16" s="5" t="str">
        <f t="shared" si="10"/>
        <v/>
      </c>
      <c r="AO16" s="5" t="str">
        <f t="shared" si="10"/>
        <v/>
      </c>
      <c r="AP16" s="5" t="str">
        <f t="shared" si="10"/>
        <v/>
      </c>
      <c r="AQ16" s="5" t="str">
        <f t="shared" si="10"/>
        <v/>
      </c>
      <c r="AR16" s="5" t="str">
        <f t="shared" si="10"/>
        <v/>
      </c>
      <c r="AS16" s="5" t="str">
        <f t="shared" si="10"/>
        <v/>
      </c>
    </row>
    <row r="17" spans="1:45" s="14" customFormat="1" x14ac:dyDescent="0.3">
      <c r="A17" s="4"/>
      <c r="B17" s="4"/>
      <c r="C17" s="3">
        <v>9</v>
      </c>
      <c r="D17" s="2"/>
      <c r="E17" s="6" t="s">
        <v>176</v>
      </c>
      <c r="F17" s="2"/>
      <c r="G17" s="6" t="s">
        <v>176</v>
      </c>
      <c r="H17" s="4">
        <f t="shared" si="3"/>
        <v>0</v>
      </c>
      <c r="I17" s="4"/>
      <c r="J17" s="12" t="str">
        <f t="shared" si="1"/>
        <v>비업무용자산</v>
      </c>
      <c r="K17" s="5" t="str">
        <f t="shared" ref="K17:AS17" si="11">IF( $J17&lt;&gt;"", IF(K61=0, "", K61/$G$2), "")</f>
        <v/>
      </c>
      <c r="L17" s="5" t="str">
        <f t="shared" si="11"/>
        <v/>
      </c>
      <c r="M17" s="5" t="str">
        <f t="shared" si="11"/>
        <v/>
      </c>
      <c r="N17" s="5" t="str">
        <f t="shared" si="11"/>
        <v/>
      </c>
      <c r="O17" s="5" t="str">
        <f t="shared" si="11"/>
        <v/>
      </c>
      <c r="P17" s="5" t="str">
        <f t="shared" si="11"/>
        <v/>
      </c>
      <c r="Q17" s="5" t="str">
        <f t="shared" si="11"/>
        <v/>
      </c>
      <c r="R17" s="5" t="str">
        <f t="shared" si="11"/>
        <v/>
      </c>
      <c r="S17" s="5" t="str">
        <f t="shared" si="11"/>
        <v/>
      </c>
      <c r="T17" s="5" t="str">
        <f t="shared" si="11"/>
        <v/>
      </c>
      <c r="U17" s="5" t="str">
        <f t="shared" si="11"/>
        <v/>
      </c>
      <c r="V17" s="5" t="str">
        <f t="shared" si="11"/>
        <v/>
      </c>
      <c r="W17" s="5" t="str">
        <f t="shared" si="11"/>
        <v/>
      </c>
      <c r="X17" s="5" t="str">
        <f t="shared" si="11"/>
        <v/>
      </c>
      <c r="Y17" s="5" t="str">
        <f t="shared" si="11"/>
        <v/>
      </c>
      <c r="Z17" s="5" t="str">
        <f t="shared" si="11"/>
        <v/>
      </c>
      <c r="AA17" s="5" t="str">
        <f t="shared" si="11"/>
        <v/>
      </c>
      <c r="AB17" s="5" t="str">
        <f t="shared" si="11"/>
        <v/>
      </c>
      <c r="AC17" s="5" t="str">
        <f t="shared" si="11"/>
        <v/>
      </c>
      <c r="AD17" s="5" t="str">
        <f t="shared" si="11"/>
        <v/>
      </c>
      <c r="AE17" s="5" t="str">
        <f t="shared" si="11"/>
        <v/>
      </c>
      <c r="AF17" s="5" t="str">
        <f t="shared" si="11"/>
        <v/>
      </c>
      <c r="AG17" s="5" t="str">
        <f t="shared" si="11"/>
        <v/>
      </c>
      <c r="AH17" s="5" t="str">
        <f t="shared" si="11"/>
        <v/>
      </c>
      <c r="AI17" s="5" t="str">
        <f t="shared" si="11"/>
        <v/>
      </c>
      <c r="AJ17" s="5" t="str">
        <f t="shared" si="11"/>
        <v/>
      </c>
      <c r="AK17" s="5" t="str">
        <f t="shared" si="11"/>
        <v/>
      </c>
      <c r="AL17" s="5" t="str">
        <f t="shared" si="11"/>
        <v/>
      </c>
      <c r="AM17" s="5" t="str">
        <f t="shared" si="11"/>
        <v/>
      </c>
      <c r="AN17" s="5" t="str">
        <f t="shared" si="11"/>
        <v/>
      </c>
      <c r="AO17" s="5" t="str">
        <f t="shared" si="11"/>
        <v/>
      </c>
      <c r="AP17" s="5" t="str">
        <f t="shared" si="11"/>
        <v/>
      </c>
      <c r="AQ17" s="5" t="str">
        <f t="shared" si="11"/>
        <v/>
      </c>
      <c r="AR17" s="5" t="str">
        <f t="shared" si="11"/>
        <v/>
      </c>
      <c r="AS17" s="5" t="str">
        <f t="shared" si="11"/>
        <v/>
      </c>
    </row>
    <row r="18" spans="1:45" s="14" customFormat="1" x14ac:dyDescent="0.3">
      <c r="A18" s="4"/>
      <c r="B18" s="4"/>
      <c r="C18" s="3">
        <v>10</v>
      </c>
      <c r="D18" s="2"/>
      <c r="E18" s="2"/>
      <c r="F18" s="2"/>
      <c r="G18" s="6" t="s">
        <v>176</v>
      </c>
      <c r="H18" s="4">
        <f t="shared" si="3"/>
        <v>0</v>
      </c>
      <c r="I18" s="4"/>
      <c r="J18" s="12" t="str">
        <f t="shared" si="1"/>
        <v>영업권</v>
      </c>
      <c r="K18" s="5" t="str">
        <f t="shared" ref="K18:AS18" si="12">IF( $J18&lt;&gt;"", IF(K62=0, "", K62/$G$2), "")</f>
        <v/>
      </c>
      <c r="L18" s="5" t="str">
        <f t="shared" si="12"/>
        <v/>
      </c>
      <c r="M18" s="5" t="str">
        <f t="shared" si="12"/>
        <v/>
      </c>
      <c r="N18" s="5">
        <f t="shared" si="12"/>
        <v>5844259</v>
      </c>
      <c r="O18" s="5" t="str">
        <f t="shared" si="12"/>
        <v/>
      </c>
      <c r="P18" s="5" t="str">
        <f t="shared" si="12"/>
        <v/>
      </c>
      <c r="Q18" s="5" t="str">
        <f t="shared" si="12"/>
        <v/>
      </c>
      <c r="R18" s="5">
        <f t="shared" si="12"/>
        <v>5673642</v>
      </c>
      <c r="S18" s="5" t="str">
        <f t="shared" si="12"/>
        <v/>
      </c>
      <c r="T18" s="5" t="str">
        <f t="shared" si="12"/>
        <v/>
      </c>
      <c r="U18" s="5" t="str">
        <f t="shared" si="12"/>
        <v/>
      </c>
      <c r="V18" s="5" t="str">
        <f t="shared" si="12"/>
        <v/>
      </c>
      <c r="W18" s="5" t="str">
        <f t="shared" si="12"/>
        <v/>
      </c>
      <c r="X18" s="5" t="str">
        <f t="shared" si="12"/>
        <v/>
      </c>
      <c r="Y18" s="5" t="str">
        <f t="shared" si="12"/>
        <v/>
      </c>
      <c r="Z18" s="5" t="str">
        <f t="shared" si="12"/>
        <v/>
      </c>
      <c r="AA18" s="5" t="str">
        <f t="shared" si="12"/>
        <v/>
      </c>
      <c r="AB18" s="5" t="str">
        <f t="shared" si="12"/>
        <v/>
      </c>
      <c r="AC18" s="5" t="str">
        <f t="shared" si="12"/>
        <v/>
      </c>
      <c r="AD18" s="5" t="str">
        <f t="shared" si="12"/>
        <v/>
      </c>
      <c r="AE18" s="5" t="str">
        <f t="shared" si="12"/>
        <v/>
      </c>
      <c r="AF18" s="5" t="str">
        <f t="shared" si="12"/>
        <v/>
      </c>
      <c r="AG18" s="5" t="str">
        <f t="shared" si="12"/>
        <v/>
      </c>
      <c r="AH18" s="5" t="str">
        <f t="shared" si="12"/>
        <v/>
      </c>
      <c r="AI18" s="5" t="str">
        <f t="shared" si="12"/>
        <v/>
      </c>
      <c r="AJ18" s="5" t="str">
        <f t="shared" si="12"/>
        <v/>
      </c>
      <c r="AK18" s="5" t="str">
        <f t="shared" si="12"/>
        <v/>
      </c>
      <c r="AL18" s="5" t="str">
        <f t="shared" si="12"/>
        <v/>
      </c>
      <c r="AM18" s="5" t="str">
        <f t="shared" si="12"/>
        <v/>
      </c>
      <c r="AN18" s="5" t="str">
        <f t="shared" si="12"/>
        <v/>
      </c>
      <c r="AO18" s="5" t="str">
        <f t="shared" si="12"/>
        <v/>
      </c>
      <c r="AP18" s="5" t="str">
        <f t="shared" si="12"/>
        <v/>
      </c>
      <c r="AQ18" s="5" t="str">
        <f t="shared" si="12"/>
        <v/>
      </c>
      <c r="AR18" s="5" t="str">
        <f t="shared" si="12"/>
        <v/>
      </c>
      <c r="AS18" s="5" t="str">
        <f t="shared" si="12"/>
        <v/>
      </c>
    </row>
    <row r="19" spans="1:45" s="14" customFormat="1" x14ac:dyDescent="0.3">
      <c r="A19" s="4"/>
      <c r="B19" s="4"/>
      <c r="C19" s="3">
        <v>11</v>
      </c>
      <c r="D19" s="2"/>
      <c r="E19" s="2"/>
      <c r="F19" s="6" t="s">
        <v>176</v>
      </c>
      <c r="G19" s="6" t="s">
        <v>176</v>
      </c>
      <c r="H19" s="4">
        <f t="shared" si="3"/>
        <v>0</v>
      </c>
      <c r="I19" s="4"/>
      <c r="J19" s="12" t="str">
        <f t="shared" si="1"/>
        <v>무형자산</v>
      </c>
      <c r="K19" s="5">
        <f t="shared" ref="K19:AS19" si="13">IF( $J19&lt;&gt;"", IF(K63=0, "", K63/$G$2), "")</f>
        <v>21484857</v>
      </c>
      <c r="L19" s="5">
        <f t="shared" si="13"/>
        <v>20096926</v>
      </c>
      <c r="M19" s="5">
        <f t="shared" si="13"/>
        <v>20010694</v>
      </c>
      <c r="N19" s="5">
        <f t="shared" si="13"/>
        <v>14391985</v>
      </c>
      <c r="O19" s="5">
        <f t="shared" si="13"/>
        <v>20753637</v>
      </c>
      <c r="P19" s="5">
        <f t="shared" si="13"/>
        <v>20747013</v>
      </c>
      <c r="Q19" s="5">
        <f t="shared" si="13"/>
        <v>18386683</v>
      </c>
      <c r="R19" s="5">
        <f t="shared" si="13"/>
        <v>12794860</v>
      </c>
      <c r="S19" s="5" t="str">
        <f t="shared" si="13"/>
        <v/>
      </c>
      <c r="T19" s="5" t="str">
        <f t="shared" si="13"/>
        <v/>
      </c>
      <c r="U19" s="5" t="str">
        <f t="shared" si="13"/>
        <v/>
      </c>
      <c r="V19" s="5" t="str">
        <f t="shared" si="13"/>
        <v/>
      </c>
      <c r="W19" s="5" t="str">
        <f t="shared" si="13"/>
        <v/>
      </c>
      <c r="X19" s="5" t="str">
        <f t="shared" si="13"/>
        <v/>
      </c>
      <c r="Y19" s="5" t="str">
        <f t="shared" si="13"/>
        <v/>
      </c>
      <c r="Z19" s="5" t="str">
        <f t="shared" si="13"/>
        <v/>
      </c>
      <c r="AA19" s="5" t="str">
        <f t="shared" si="13"/>
        <v/>
      </c>
      <c r="AB19" s="5" t="str">
        <f t="shared" si="13"/>
        <v/>
      </c>
      <c r="AC19" s="5" t="str">
        <f t="shared" si="13"/>
        <v/>
      </c>
      <c r="AD19" s="5" t="str">
        <f t="shared" si="13"/>
        <v/>
      </c>
      <c r="AE19" s="5" t="str">
        <f t="shared" si="13"/>
        <v/>
      </c>
      <c r="AF19" s="5" t="str">
        <f t="shared" si="13"/>
        <v/>
      </c>
      <c r="AG19" s="5" t="str">
        <f t="shared" si="13"/>
        <v/>
      </c>
      <c r="AH19" s="5" t="str">
        <f t="shared" si="13"/>
        <v/>
      </c>
      <c r="AI19" s="5" t="str">
        <f t="shared" si="13"/>
        <v/>
      </c>
      <c r="AJ19" s="5" t="str">
        <f t="shared" si="13"/>
        <v/>
      </c>
      <c r="AK19" s="5" t="str">
        <f t="shared" si="13"/>
        <v/>
      </c>
      <c r="AL19" s="5" t="str">
        <f t="shared" si="13"/>
        <v/>
      </c>
      <c r="AM19" s="5" t="str">
        <f t="shared" si="13"/>
        <v/>
      </c>
      <c r="AN19" s="5" t="str">
        <f t="shared" si="13"/>
        <v/>
      </c>
      <c r="AO19" s="5" t="str">
        <f t="shared" si="13"/>
        <v/>
      </c>
      <c r="AP19" s="5" t="str">
        <f t="shared" si="13"/>
        <v/>
      </c>
      <c r="AQ19" s="5" t="str">
        <f t="shared" si="13"/>
        <v/>
      </c>
      <c r="AR19" s="5" t="str">
        <f t="shared" si="13"/>
        <v/>
      </c>
      <c r="AS19" s="5" t="str">
        <f t="shared" si="13"/>
        <v/>
      </c>
    </row>
    <row r="20" spans="1:45" s="14" customFormat="1" x14ac:dyDescent="0.3">
      <c r="A20" s="4"/>
      <c r="B20" s="4"/>
      <c r="C20" s="3">
        <v>12</v>
      </c>
      <c r="D20" s="2"/>
      <c r="E20" s="2"/>
      <c r="F20" s="2"/>
      <c r="G20" s="2"/>
      <c r="H20" s="4">
        <f t="shared" si="3"/>
        <v>0</v>
      </c>
      <c r="I20" s="4"/>
      <c r="J20" s="12" t="str">
        <f t="shared" si="1"/>
        <v>이연법인세자산</v>
      </c>
      <c r="K20" s="5">
        <f t="shared" ref="K20:AS20" si="14">IF( $J20&lt;&gt;"", IF(K64=0, "", K64/$G$2), "")</f>
        <v>5488163</v>
      </c>
      <c r="L20" s="5">
        <f t="shared" si="14"/>
        <v>5114332</v>
      </c>
      <c r="M20" s="5">
        <f t="shared" si="14"/>
        <v>4178984</v>
      </c>
      <c r="N20" s="5">
        <f t="shared" si="14"/>
        <v>4261214</v>
      </c>
      <c r="O20" s="5">
        <f t="shared" si="14"/>
        <v>3928050</v>
      </c>
      <c r="P20" s="5">
        <f t="shared" si="14"/>
        <v>4128472</v>
      </c>
      <c r="Q20" s="5">
        <f t="shared" si="14"/>
        <v>4087139</v>
      </c>
      <c r="R20" s="5">
        <f t="shared" si="14"/>
        <v>4275000</v>
      </c>
      <c r="S20" s="5" t="str">
        <f t="shared" si="14"/>
        <v/>
      </c>
      <c r="T20" s="5" t="str">
        <f t="shared" si="14"/>
        <v/>
      </c>
      <c r="U20" s="5" t="str">
        <f t="shared" si="14"/>
        <v/>
      </c>
      <c r="V20" s="5" t="str">
        <f t="shared" si="14"/>
        <v/>
      </c>
      <c r="W20" s="5" t="str">
        <f t="shared" si="14"/>
        <v/>
      </c>
      <c r="X20" s="5" t="str">
        <f t="shared" si="14"/>
        <v/>
      </c>
      <c r="Y20" s="5" t="str">
        <f t="shared" si="14"/>
        <v/>
      </c>
      <c r="Z20" s="5" t="str">
        <f t="shared" si="14"/>
        <v/>
      </c>
      <c r="AA20" s="5" t="str">
        <f t="shared" si="14"/>
        <v/>
      </c>
      <c r="AB20" s="5" t="str">
        <f t="shared" si="14"/>
        <v/>
      </c>
      <c r="AC20" s="5" t="str">
        <f t="shared" si="14"/>
        <v/>
      </c>
      <c r="AD20" s="5" t="str">
        <f t="shared" si="14"/>
        <v/>
      </c>
      <c r="AE20" s="5" t="str">
        <f t="shared" si="14"/>
        <v/>
      </c>
      <c r="AF20" s="5" t="str">
        <f t="shared" si="14"/>
        <v/>
      </c>
      <c r="AG20" s="5" t="str">
        <f t="shared" si="14"/>
        <v/>
      </c>
      <c r="AH20" s="5" t="str">
        <f t="shared" si="14"/>
        <v/>
      </c>
      <c r="AI20" s="5" t="str">
        <f t="shared" si="14"/>
        <v/>
      </c>
      <c r="AJ20" s="5" t="str">
        <f t="shared" si="14"/>
        <v/>
      </c>
      <c r="AK20" s="5" t="str">
        <f t="shared" si="14"/>
        <v/>
      </c>
      <c r="AL20" s="5" t="str">
        <f t="shared" si="14"/>
        <v/>
      </c>
      <c r="AM20" s="5" t="str">
        <f t="shared" si="14"/>
        <v/>
      </c>
      <c r="AN20" s="5" t="str">
        <f t="shared" si="14"/>
        <v/>
      </c>
      <c r="AO20" s="5" t="str">
        <f t="shared" si="14"/>
        <v/>
      </c>
      <c r="AP20" s="5" t="str">
        <f t="shared" si="14"/>
        <v/>
      </c>
      <c r="AQ20" s="5" t="str">
        <f t="shared" si="14"/>
        <v/>
      </c>
      <c r="AR20" s="5" t="str">
        <f t="shared" si="14"/>
        <v/>
      </c>
      <c r="AS20" s="5" t="str">
        <f t="shared" si="14"/>
        <v/>
      </c>
    </row>
    <row r="21" spans="1:45" s="14" customFormat="1" x14ac:dyDescent="0.3">
      <c r="A21" s="4"/>
      <c r="B21" s="4"/>
      <c r="C21" s="3">
        <v>13</v>
      </c>
      <c r="D21" s="2"/>
      <c r="E21" s="2"/>
      <c r="F21" s="2"/>
      <c r="G21" s="2"/>
      <c r="H21" s="4">
        <f t="shared" si="3"/>
        <v>0</v>
      </c>
      <c r="I21" s="4"/>
      <c r="J21" s="12" t="str">
        <f t="shared" si="1"/>
        <v>당기법인세자산</v>
      </c>
      <c r="K21" s="5" t="str">
        <f t="shared" ref="K21:AS21" si="15">IF( $J21&lt;&gt;"", IF(K65=0, "", K65/$G$2), "")</f>
        <v/>
      </c>
      <c r="L21" s="5" t="str">
        <f t="shared" si="15"/>
        <v/>
      </c>
      <c r="M21" s="5" t="str">
        <f t="shared" si="15"/>
        <v/>
      </c>
      <c r="N21" s="5" t="str">
        <f t="shared" si="15"/>
        <v/>
      </c>
      <c r="O21" s="5" t="str">
        <f t="shared" si="15"/>
        <v/>
      </c>
      <c r="P21" s="5" t="str">
        <f t="shared" si="15"/>
        <v/>
      </c>
      <c r="Q21" s="5" t="str">
        <f t="shared" si="15"/>
        <v/>
      </c>
      <c r="R21" s="5" t="str">
        <f t="shared" si="15"/>
        <v/>
      </c>
      <c r="S21" s="5" t="str">
        <f t="shared" si="15"/>
        <v/>
      </c>
      <c r="T21" s="5" t="str">
        <f t="shared" si="15"/>
        <v/>
      </c>
      <c r="U21" s="5" t="str">
        <f t="shared" si="15"/>
        <v/>
      </c>
      <c r="V21" s="5" t="str">
        <f t="shared" si="15"/>
        <v/>
      </c>
      <c r="W21" s="5" t="str">
        <f t="shared" si="15"/>
        <v/>
      </c>
      <c r="X21" s="5" t="str">
        <f t="shared" si="15"/>
        <v/>
      </c>
      <c r="Y21" s="5" t="str">
        <f t="shared" si="15"/>
        <v/>
      </c>
      <c r="Z21" s="5" t="str">
        <f t="shared" si="15"/>
        <v/>
      </c>
      <c r="AA21" s="5" t="str">
        <f t="shared" si="15"/>
        <v/>
      </c>
      <c r="AB21" s="5" t="str">
        <f t="shared" si="15"/>
        <v/>
      </c>
      <c r="AC21" s="5" t="str">
        <f t="shared" si="15"/>
        <v/>
      </c>
      <c r="AD21" s="5" t="str">
        <f t="shared" si="15"/>
        <v/>
      </c>
      <c r="AE21" s="5" t="str">
        <f t="shared" si="15"/>
        <v/>
      </c>
      <c r="AF21" s="5" t="str">
        <f t="shared" si="15"/>
        <v/>
      </c>
      <c r="AG21" s="5" t="str">
        <f t="shared" si="15"/>
        <v/>
      </c>
      <c r="AH21" s="5" t="str">
        <f t="shared" si="15"/>
        <v/>
      </c>
      <c r="AI21" s="5" t="str">
        <f t="shared" si="15"/>
        <v/>
      </c>
      <c r="AJ21" s="5" t="str">
        <f t="shared" si="15"/>
        <v/>
      </c>
      <c r="AK21" s="5" t="str">
        <f t="shared" si="15"/>
        <v/>
      </c>
      <c r="AL21" s="5" t="str">
        <f t="shared" si="15"/>
        <v/>
      </c>
      <c r="AM21" s="5" t="str">
        <f t="shared" si="15"/>
        <v/>
      </c>
      <c r="AN21" s="5" t="str">
        <f t="shared" si="15"/>
        <v/>
      </c>
      <c r="AO21" s="5" t="str">
        <f t="shared" si="15"/>
        <v/>
      </c>
      <c r="AP21" s="5" t="str">
        <f t="shared" si="15"/>
        <v/>
      </c>
      <c r="AQ21" s="5" t="str">
        <f t="shared" si="15"/>
        <v/>
      </c>
      <c r="AR21" s="5" t="str">
        <f t="shared" si="15"/>
        <v/>
      </c>
      <c r="AS21" s="5" t="str">
        <f t="shared" si="15"/>
        <v/>
      </c>
    </row>
    <row r="22" spans="1:45" s="14" customFormat="1" x14ac:dyDescent="0.3">
      <c r="A22" s="4"/>
      <c r="B22" s="4"/>
      <c r="C22" s="3">
        <v>14</v>
      </c>
      <c r="D22" s="2"/>
      <c r="E22" s="2"/>
      <c r="F22" s="6" t="s">
        <v>176</v>
      </c>
      <c r="G22" s="2"/>
      <c r="H22" s="4">
        <f t="shared" si="3"/>
        <v>0</v>
      </c>
      <c r="I22" s="4"/>
      <c r="J22" s="12" t="str">
        <f t="shared" si="1"/>
        <v>기타금융업자산</v>
      </c>
      <c r="K22" s="5" t="str">
        <f t="shared" ref="K22:AS22" si="16">IF( $J22&lt;&gt;"", IF(K66=0, "", K66/$G$2), "")</f>
        <v/>
      </c>
      <c r="L22" s="5" t="str">
        <f t="shared" si="16"/>
        <v/>
      </c>
      <c r="M22" s="5" t="str">
        <f t="shared" si="16"/>
        <v/>
      </c>
      <c r="N22" s="5" t="str">
        <f t="shared" si="16"/>
        <v/>
      </c>
      <c r="O22" s="5" t="str">
        <f t="shared" si="16"/>
        <v/>
      </c>
      <c r="P22" s="5" t="str">
        <f t="shared" si="16"/>
        <v/>
      </c>
      <c r="Q22" s="5" t="str">
        <f t="shared" si="16"/>
        <v/>
      </c>
      <c r="R22" s="5" t="str">
        <f t="shared" si="16"/>
        <v/>
      </c>
      <c r="S22" s="5" t="str">
        <f t="shared" si="16"/>
        <v/>
      </c>
      <c r="T22" s="5" t="str">
        <f t="shared" si="16"/>
        <v/>
      </c>
      <c r="U22" s="5" t="str">
        <f t="shared" si="16"/>
        <v/>
      </c>
      <c r="V22" s="5" t="str">
        <f t="shared" si="16"/>
        <v/>
      </c>
      <c r="W22" s="5" t="str">
        <f t="shared" si="16"/>
        <v/>
      </c>
      <c r="X22" s="5" t="str">
        <f t="shared" si="16"/>
        <v/>
      </c>
      <c r="Y22" s="5" t="str">
        <f t="shared" si="16"/>
        <v/>
      </c>
      <c r="Z22" s="5" t="str">
        <f t="shared" si="16"/>
        <v/>
      </c>
      <c r="AA22" s="5" t="str">
        <f t="shared" si="16"/>
        <v/>
      </c>
      <c r="AB22" s="5" t="str">
        <f t="shared" si="16"/>
        <v/>
      </c>
      <c r="AC22" s="5" t="str">
        <f t="shared" si="16"/>
        <v/>
      </c>
      <c r="AD22" s="5" t="str">
        <f t="shared" si="16"/>
        <v/>
      </c>
      <c r="AE22" s="5" t="str">
        <f t="shared" si="16"/>
        <v/>
      </c>
      <c r="AF22" s="5" t="str">
        <f t="shared" si="16"/>
        <v/>
      </c>
      <c r="AG22" s="5" t="str">
        <f t="shared" si="16"/>
        <v/>
      </c>
      <c r="AH22" s="5" t="str">
        <f t="shared" si="16"/>
        <v/>
      </c>
      <c r="AI22" s="5" t="str">
        <f t="shared" si="16"/>
        <v/>
      </c>
      <c r="AJ22" s="5" t="str">
        <f t="shared" si="16"/>
        <v/>
      </c>
      <c r="AK22" s="5" t="str">
        <f t="shared" si="16"/>
        <v/>
      </c>
      <c r="AL22" s="5" t="str">
        <f t="shared" si="16"/>
        <v/>
      </c>
      <c r="AM22" s="5" t="str">
        <f t="shared" si="16"/>
        <v/>
      </c>
      <c r="AN22" s="5" t="str">
        <f t="shared" si="16"/>
        <v/>
      </c>
      <c r="AO22" s="5" t="str">
        <f t="shared" si="16"/>
        <v/>
      </c>
      <c r="AP22" s="5" t="str">
        <f t="shared" si="16"/>
        <v/>
      </c>
      <c r="AQ22" s="5" t="str">
        <f t="shared" si="16"/>
        <v/>
      </c>
      <c r="AR22" s="5" t="str">
        <f t="shared" si="16"/>
        <v/>
      </c>
      <c r="AS22" s="5" t="str">
        <f t="shared" si="16"/>
        <v/>
      </c>
    </row>
    <row r="23" spans="1:45" s="14" customFormat="1" x14ac:dyDescent="0.3">
      <c r="A23" s="4"/>
      <c r="B23" s="4"/>
      <c r="C23" s="3">
        <v>15</v>
      </c>
      <c r="D23" s="6" t="s">
        <v>176</v>
      </c>
      <c r="E23" s="2"/>
      <c r="F23" s="2"/>
      <c r="G23" s="2"/>
      <c r="H23" s="4" t="str">
        <f t="shared" si="3"/>
        <v>TRUE</v>
      </c>
      <c r="I23" s="4"/>
      <c r="J23" s="12" t="str">
        <f t="shared" si="1"/>
        <v>자본</v>
      </c>
      <c r="K23" s="5">
        <f t="shared" ref="K23:AS23" si="17">IF( $J23&lt;&gt;"", IF(K67=0, "", K67/$G$2), "")</f>
        <v>344906889</v>
      </c>
      <c r="L23" s="5">
        <f t="shared" si="17"/>
        <v>327906664</v>
      </c>
      <c r="M23" s="5">
        <f t="shared" si="17"/>
        <v>315290919</v>
      </c>
      <c r="N23" s="5">
        <f t="shared" si="17"/>
        <v>304899931</v>
      </c>
      <c r="O23" s="5">
        <f t="shared" si="17"/>
        <v>296766118</v>
      </c>
      <c r="P23" s="5">
        <f t="shared" si="17"/>
        <v>282324266</v>
      </c>
      <c r="Q23" s="5">
        <f t="shared" si="17"/>
        <v>274268591</v>
      </c>
      <c r="R23" s="5">
        <f t="shared" si="17"/>
        <v>275948016</v>
      </c>
      <c r="S23" s="5" t="str">
        <f t="shared" si="17"/>
        <v/>
      </c>
      <c r="T23" s="5" t="str">
        <f t="shared" si="17"/>
        <v/>
      </c>
      <c r="U23" s="5" t="str">
        <f t="shared" si="17"/>
        <v/>
      </c>
      <c r="V23" s="5" t="str">
        <f t="shared" si="17"/>
        <v/>
      </c>
      <c r="W23" s="5" t="str">
        <f t="shared" si="17"/>
        <v/>
      </c>
      <c r="X23" s="5" t="str">
        <f t="shared" si="17"/>
        <v/>
      </c>
      <c r="Y23" s="5" t="str">
        <f t="shared" si="17"/>
        <v/>
      </c>
      <c r="Z23" s="5" t="str">
        <f t="shared" si="17"/>
        <v/>
      </c>
      <c r="AA23" s="5" t="str">
        <f t="shared" si="17"/>
        <v/>
      </c>
      <c r="AB23" s="5" t="str">
        <f t="shared" si="17"/>
        <v/>
      </c>
      <c r="AC23" s="5" t="str">
        <f t="shared" si="17"/>
        <v/>
      </c>
      <c r="AD23" s="5" t="str">
        <f t="shared" si="17"/>
        <v/>
      </c>
      <c r="AE23" s="5" t="str">
        <f t="shared" si="17"/>
        <v/>
      </c>
      <c r="AF23" s="5" t="str">
        <f t="shared" si="17"/>
        <v/>
      </c>
      <c r="AG23" s="5" t="str">
        <f t="shared" si="17"/>
        <v/>
      </c>
      <c r="AH23" s="5" t="str">
        <f t="shared" si="17"/>
        <v/>
      </c>
      <c r="AI23" s="5" t="str">
        <f t="shared" si="17"/>
        <v/>
      </c>
      <c r="AJ23" s="5" t="str">
        <f t="shared" si="17"/>
        <v/>
      </c>
      <c r="AK23" s="5" t="str">
        <f t="shared" si="17"/>
        <v/>
      </c>
      <c r="AL23" s="5" t="str">
        <f t="shared" si="17"/>
        <v/>
      </c>
      <c r="AM23" s="5" t="str">
        <f t="shared" si="17"/>
        <v/>
      </c>
      <c r="AN23" s="5" t="str">
        <f t="shared" si="17"/>
        <v/>
      </c>
      <c r="AO23" s="5" t="str">
        <f t="shared" si="17"/>
        <v/>
      </c>
      <c r="AP23" s="5" t="str">
        <f t="shared" si="17"/>
        <v/>
      </c>
      <c r="AQ23" s="5" t="str">
        <f t="shared" si="17"/>
        <v/>
      </c>
      <c r="AR23" s="5" t="str">
        <f t="shared" si="17"/>
        <v/>
      </c>
      <c r="AS23" s="5" t="str">
        <f t="shared" si="17"/>
        <v/>
      </c>
    </row>
    <row r="24" spans="1:45" s="14" customFormat="1" x14ac:dyDescent="0.3">
      <c r="A24" s="4"/>
      <c r="B24" s="4"/>
      <c r="C24" s="3">
        <v>16</v>
      </c>
      <c r="D24" s="2"/>
      <c r="E24" s="2"/>
      <c r="F24" s="2"/>
      <c r="G24" s="6" t="s">
        <v>176</v>
      </c>
      <c r="H24" s="4">
        <f t="shared" si="3"/>
        <v>0</v>
      </c>
      <c r="I24" s="4"/>
      <c r="J24" s="12" t="str">
        <f t="shared" si="1"/>
        <v>상장자본금</v>
      </c>
      <c r="K24" s="5">
        <f t="shared" ref="K24:AS24" si="18">IF( $J24&lt;&gt;"", IF(K68=0, "", K68/$G$2), "")</f>
        <v>897514</v>
      </c>
      <c r="L24" s="5">
        <f t="shared" si="18"/>
        <v>897514</v>
      </c>
      <c r="M24" s="5">
        <f t="shared" si="18"/>
        <v>897514</v>
      </c>
      <c r="N24" s="5">
        <f t="shared" si="18"/>
        <v>897514</v>
      </c>
      <c r="O24" s="5">
        <f t="shared" si="18"/>
        <v>897514</v>
      </c>
      <c r="P24" s="5">
        <f t="shared" si="18"/>
        <v>897514</v>
      </c>
      <c r="Q24" s="5">
        <f t="shared" si="18"/>
        <v>897514</v>
      </c>
      <c r="R24" s="5">
        <f t="shared" si="18"/>
        <v>897514</v>
      </c>
      <c r="S24" s="5" t="str">
        <f t="shared" si="18"/>
        <v/>
      </c>
      <c r="T24" s="5" t="str">
        <f t="shared" si="18"/>
        <v/>
      </c>
      <c r="U24" s="5" t="str">
        <f t="shared" si="18"/>
        <v/>
      </c>
      <c r="V24" s="5" t="str">
        <f t="shared" si="18"/>
        <v/>
      </c>
      <c r="W24" s="5" t="str">
        <f t="shared" si="18"/>
        <v/>
      </c>
      <c r="X24" s="5" t="str">
        <f t="shared" si="18"/>
        <v/>
      </c>
      <c r="Y24" s="5" t="str">
        <f t="shared" si="18"/>
        <v/>
      </c>
      <c r="Z24" s="5" t="str">
        <f t="shared" si="18"/>
        <v/>
      </c>
      <c r="AA24" s="5" t="str">
        <f t="shared" si="18"/>
        <v/>
      </c>
      <c r="AB24" s="5" t="str">
        <f t="shared" si="18"/>
        <v/>
      </c>
      <c r="AC24" s="5" t="str">
        <f t="shared" si="18"/>
        <v/>
      </c>
      <c r="AD24" s="5" t="str">
        <f t="shared" si="18"/>
        <v/>
      </c>
      <c r="AE24" s="5" t="str">
        <f t="shared" si="18"/>
        <v/>
      </c>
      <c r="AF24" s="5" t="str">
        <f t="shared" si="18"/>
        <v/>
      </c>
      <c r="AG24" s="5" t="str">
        <f t="shared" si="18"/>
        <v/>
      </c>
      <c r="AH24" s="5" t="str">
        <f t="shared" si="18"/>
        <v/>
      </c>
      <c r="AI24" s="5" t="str">
        <f t="shared" si="18"/>
        <v/>
      </c>
      <c r="AJ24" s="5" t="str">
        <f t="shared" si="18"/>
        <v/>
      </c>
      <c r="AK24" s="5" t="str">
        <f t="shared" si="18"/>
        <v/>
      </c>
      <c r="AL24" s="5" t="str">
        <f t="shared" si="18"/>
        <v/>
      </c>
      <c r="AM24" s="5" t="str">
        <f t="shared" si="18"/>
        <v/>
      </c>
      <c r="AN24" s="5" t="str">
        <f t="shared" si="18"/>
        <v/>
      </c>
      <c r="AO24" s="5" t="str">
        <f t="shared" si="18"/>
        <v/>
      </c>
      <c r="AP24" s="5" t="str">
        <f t="shared" si="18"/>
        <v/>
      </c>
      <c r="AQ24" s="5" t="str">
        <f t="shared" si="18"/>
        <v/>
      </c>
      <c r="AR24" s="5" t="str">
        <f t="shared" si="18"/>
        <v/>
      </c>
      <c r="AS24" s="5" t="str">
        <f t="shared" si="18"/>
        <v/>
      </c>
    </row>
    <row r="25" spans="1:45" s="14" customFormat="1" x14ac:dyDescent="0.3">
      <c r="A25" s="4"/>
      <c r="B25" s="4"/>
      <c r="C25" s="3">
        <v>17</v>
      </c>
      <c r="D25" s="2"/>
      <c r="E25" s="2"/>
      <c r="F25" s="2"/>
      <c r="G25" s="6" t="s">
        <v>176</v>
      </c>
      <c r="H25" s="4">
        <f t="shared" si="3"/>
        <v>0</v>
      </c>
      <c r="I25" s="4"/>
      <c r="J25" s="12" t="str">
        <f t="shared" si="1"/>
        <v>신종자본증권</v>
      </c>
      <c r="K25" s="5" t="str">
        <f t="shared" ref="K25:AS25" si="19">IF( $J25&lt;&gt;"", IF(K69=0, "", K69/$G$2), "")</f>
        <v/>
      </c>
      <c r="L25" s="5" t="str">
        <f t="shared" si="19"/>
        <v/>
      </c>
      <c r="M25" s="5" t="str">
        <f t="shared" si="19"/>
        <v/>
      </c>
      <c r="N25" s="5" t="str">
        <f t="shared" si="19"/>
        <v/>
      </c>
      <c r="O25" s="5" t="str">
        <f t="shared" si="19"/>
        <v/>
      </c>
      <c r="P25" s="5" t="str">
        <f t="shared" si="19"/>
        <v/>
      </c>
      <c r="Q25" s="5" t="str">
        <f t="shared" si="19"/>
        <v/>
      </c>
      <c r="R25" s="5" t="str">
        <f t="shared" si="19"/>
        <v/>
      </c>
      <c r="S25" s="5" t="str">
        <f t="shared" si="19"/>
        <v/>
      </c>
      <c r="T25" s="5" t="str">
        <f t="shared" si="19"/>
        <v/>
      </c>
      <c r="U25" s="5" t="str">
        <f t="shared" si="19"/>
        <v/>
      </c>
      <c r="V25" s="5" t="str">
        <f t="shared" si="19"/>
        <v/>
      </c>
      <c r="W25" s="5" t="str">
        <f t="shared" si="19"/>
        <v/>
      </c>
      <c r="X25" s="5" t="str">
        <f t="shared" si="19"/>
        <v/>
      </c>
      <c r="Y25" s="5" t="str">
        <f t="shared" si="19"/>
        <v/>
      </c>
      <c r="Z25" s="5" t="str">
        <f t="shared" si="19"/>
        <v/>
      </c>
      <c r="AA25" s="5" t="str">
        <f t="shared" si="19"/>
        <v/>
      </c>
      <c r="AB25" s="5" t="str">
        <f t="shared" si="19"/>
        <v/>
      </c>
      <c r="AC25" s="5" t="str">
        <f t="shared" si="19"/>
        <v/>
      </c>
      <c r="AD25" s="5" t="str">
        <f t="shared" si="19"/>
        <v/>
      </c>
      <c r="AE25" s="5" t="str">
        <f t="shared" si="19"/>
        <v/>
      </c>
      <c r="AF25" s="5" t="str">
        <f t="shared" si="19"/>
        <v/>
      </c>
      <c r="AG25" s="5" t="str">
        <f t="shared" si="19"/>
        <v/>
      </c>
      <c r="AH25" s="5" t="str">
        <f t="shared" si="19"/>
        <v/>
      </c>
      <c r="AI25" s="5" t="str">
        <f t="shared" si="19"/>
        <v/>
      </c>
      <c r="AJ25" s="5" t="str">
        <f t="shared" si="19"/>
        <v/>
      </c>
      <c r="AK25" s="5" t="str">
        <f t="shared" si="19"/>
        <v/>
      </c>
      <c r="AL25" s="5" t="str">
        <f t="shared" si="19"/>
        <v/>
      </c>
      <c r="AM25" s="5" t="str">
        <f t="shared" si="19"/>
        <v/>
      </c>
      <c r="AN25" s="5" t="str">
        <f t="shared" si="19"/>
        <v/>
      </c>
      <c r="AO25" s="5" t="str">
        <f t="shared" si="19"/>
        <v/>
      </c>
      <c r="AP25" s="5" t="str">
        <f t="shared" si="19"/>
        <v/>
      </c>
      <c r="AQ25" s="5" t="str">
        <f t="shared" si="19"/>
        <v/>
      </c>
      <c r="AR25" s="5" t="str">
        <f t="shared" si="19"/>
        <v/>
      </c>
      <c r="AS25" s="5" t="str">
        <f t="shared" si="19"/>
        <v/>
      </c>
    </row>
    <row r="26" spans="1:45" s="14" customFormat="1" x14ac:dyDescent="0.3">
      <c r="A26" s="4"/>
      <c r="B26" s="4"/>
      <c r="C26" s="3">
        <v>18</v>
      </c>
      <c r="D26" s="2"/>
      <c r="E26" s="2"/>
      <c r="F26" s="2"/>
      <c r="G26" s="4"/>
      <c r="H26" s="4">
        <f t="shared" si="3"/>
        <v>0</v>
      </c>
      <c r="I26" s="4"/>
      <c r="J26" s="12" t="str">
        <f t="shared" si="1"/>
        <v>자본잉여금</v>
      </c>
      <c r="K26" s="5">
        <f t="shared" ref="K26:AS26" si="20">IF( $J26&lt;&gt;"", IF(K70=0, "", K70/$G$2), "")</f>
        <v>4403893</v>
      </c>
      <c r="L26" s="5">
        <f t="shared" si="20"/>
        <v>4403893</v>
      </c>
      <c r="M26" s="5">
        <f t="shared" si="20"/>
        <v>4403893</v>
      </c>
      <c r="N26" s="5">
        <f t="shared" si="20"/>
        <v>4403893</v>
      </c>
      <c r="O26" s="5">
        <f t="shared" si="20"/>
        <v>4403893</v>
      </c>
      <c r="P26" s="5">
        <f t="shared" si="20"/>
        <v>4403893</v>
      </c>
      <c r="Q26" s="5">
        <f t="shared" si="20"/>
        <v>4403893</v>
      </c>
      <c r="R26" s="5">
        <f t="shared" si="20"/>
        <v>4403893</v>
      </c>
      <c r="S26" s="5" t="str">
        <f t="shared" si="20"/>
        <v/>
      </c>
      <c r="T26" s="5" t="str">
        <f t="shared" si="20"/>
        <v/>
      </c>
      <c r="U26" s="5" t="str">
        <f t="shared" si="20"/>
        <v/>
      </c>
      <c r="V26" s="5" t="str">
        <f t="shared" si="20"/>
        <v/>
      </c>
      <c r="W26" s="5" t="str">
        <f t="shared" si="20"/>
        <v/>
      </c>
      <c r="X26" s="5" t="str">
        <f t="shared" si="20"/>
        <v/>
      </c>
      <c r="Y26" s="5" t="str">
        <f t="shared" si="20"/>
        <v/>
      </c>
      <c r="Z26" s="5" t="str">
        <f t="shared" si="20"/>
        <v/>
      </c>
      <c r="AA26" s="5" t="str">
        <f t="shared" si="20"/>
        <v/>
      </c>
      <c r="AB26" s="5" t="str">
        <f t="shared" si="20"/>
        <v/>
      </c>
      <c r="AC26" s="5" t="str">
        <f t="shared" si="20"/>
        <v/>
      </c>
      <c r="AD26" s="5" t="str">
        <f t="shared" si="20"/>
        <v/>
      </c>
      <c r="AE26" s="5" t="str">
        <f t="shared" si="20"/>
        <v/>
      </c>
      <c r="AF26" s="5" t="str">
        <f t="shared" si="20"/>
        <v/>
      </c>
      <c r="AG26" s="5" t="str">
        <f t="shared" si="20"/>
        <v/>
      </c>
      <c r="AH26" s="5" t="str">
        <f t="shared" si="20"/>
        <v/>
      </c>
      <c r="AI26" s="5" t="str">
        <f t="shared" si="20"/>
        <v/>
      </c>
      <c r="AJ26" s="5" t="str">
        <f t="shared" si="20"/>
        <v/>
      </c>
      <c r="AK26" s="5" t="str">
        <f t="shared" si="20"/>
        <v/>
      </c>
      <c r="AL26" s="5" t="str">
        <f t="shared" si="20"/>
        <v/>
      </c>
      <c r="AM26" s="5" t="str">
        <f t="shared" si="20"/>
        <v/>
      </c>
      <c r="AN26" s="5" t="str">
        <f t="shared" si="20"/>
        <v/>
      </c>
      <c r="AO26" s="5" t="str">
        <f t="shared" si="20"/>
        <v/>
      </c>
      <c r="AP26" s="5" t="str">
        <f t="shared" si="20"/>
        <v/>
      </c>
      <c r="AQ26" s="5" t="str">
        <f t="shared" si="20"/>
        <v/>
      </c>
      <c r="AR26" s="5" t="str">
        <f t="shared" si="20"/>
        <v/>
      </c>
      <c r="AS26" s="5" t="str">
        <f t="shared" si="20"/>
        <v/>
      </c>
    </row>
    <row r="27" spans="1:45" s="14" customFormat="1" x14ac:dyDescent="0.3">
      <c r="A27" s="4"/>
      <c r="B27" s="4"/>
      <c r="C27" s="3">
        <v>19</v>
      </c>
      <c r="D27" s="2"/>
      <c r="E27" s="2"/>
      <c r="F27" s="2"/>
      <c r="G27" s="4"/>
      <c r="H27" s="4">
        <f t="shared" si="3"/>
        <v>0</v>
      </c>
      <c r="I27" s="4"/>
      <c r="J27" s="12" t="str">
        <f t="shared" si="1"/>
        <v>기타자본</v>
      </c>
      <c r="K27" s="5">
        <f t="shared" ref="K27:AS27" si="21">IF( $J27&lt;&gt;"", IF(K71=0, "", K71/$G$2), "")</f>
        <v>87649</v>
      </c>
      <c r="L27" s="5">
        <f t="shared" si="21"/>
        <v>94672</v>
      </c>
      <c r="M27" s="5">
        <f t="shared" si="21"/>
        <v>93105</v>
      </c>
      <c r="N27" s="5">
        <f t="shared" si="21"/>
        <v>86763</v>
      </c>
      <c r="O27" s="5">
        <f t="shared" si="21"/>
        <v>68543</v>
      </c>
      <c r="P27" s="5">
        <f t="shared" si="21"/>
        <v>54258</v>
      </c>
      <c r="Q27" s="5">
        <f t="shared" si="21"/>
        <v>55815</v>
      </c>
      <c r="R27" s="5">
        <f t="shared" si="21"/>
        <v>26726</v>
      </c>
      <c r="S27" s="5" t="str">
        <f t="shared" si="21"/>
        <v/>
      </c>
      <c r="T27" s="5" t="str">
        <f t="shared" si="21"/>
        <v/>
      </c>
      <c r="U27" s="5" t="str">
        <f t="shared" si="21"/>
        <v/>
      </c>
      <c r="V27" s="5" t="str">
        <f t="shared" si="21"/>
        <v/>
      </c>
      <c r="W27" s="5" t="str">
        <f t="shared" si="21"/>
        <v/>
      </c>
      <c r="X27" s="5" t="str">
        <f t="shared" si="21"/>
        <v/>
      </c>
      <c r="Y27" s="5" t="str">
        <f t="shared" si="21"/>
        <v/>
      </c>
      <c r="Z27" s="5" t="str">
        <f t="shared" si="21"/>
        <v/>
      </c>
      <c r="AA27" s="5" t="str">
        <f t="shared" si="21"/>
        <v/>
      </c>
      <c r="AB27" s="5" t="str">
        <f t="shared" si="21"/>
        <v/>
      </c>
      <c r="AC27" s="5" t="str">
        <f t="shared" si="21"/>
        <v/>
      </c>
      <c r="AD27" s="5" t="str">
        <f t="shared" si="21"/>
        <v/>
      </c>
      <c r="AE27" s="5" t="str">
        <f t="shared" si="21"/>
        <v/>
      </c>
      <c r="AF27" s="5" t="str">
        <f t="shared" si="21"/>
        <v/>
      </c>
      <c r="AG27" s="5" t="str">
        <f t="shared" si="21"/>
        <v/>
      </c>
      <c r="AH27" s="5" t="str">
        <f t="shared" si="21"/>
        <v/>
      </c>
      <c r="AI27" s="5" t="str">
        <f t="shared" si="21"/>
        <v/>
      </c>
      <c r="AJ27" s="5" t="str">
        <f t="shared" si="21"/>
        <v/>
      </c>
      <c r="AK27" s="5" t="str">
        <f t="shared" si="21"/>
        <v/>
      </c>
      <c r="AL27" s="5" t="str">
        <f t="shared" si="21"/>
        <v/>
      </c>
      <c r="AM27" s="5" t="str">
        <f t="shared" si="21"/>
        <v/>
      </c>
      <c r="AN27" s="5" t="str">
        <f t="shared" si="21"/>
        <v/>
      </c>
      <c r="AO27" s="5" t="str">
        <f t="shared" si="21"/>
        <v/>
      </c>
      <c r="AP27" s="5" t="str">
        <f t="shared" si="21"/>
        <v/>
      </c>
      <c r="AQ27" s="5" t="str">
        <f t="shared" si="21"/>
        <v/>
      </c>
      <c r="AR27" s="5" t="str">
        <f t="shared" si="21"/>
        <v/>
      </c>
      <c r="AS27" s="5" t="str">
        <f t="shared" si="21"/>
        <v/>
      </c>
    </row>
    <row r="28" spans="1:45" s="14" customFormat="1" x14ac:dyDescent="0.3">
      <c r="A28" s="4"/>
      <c r="B28" s="4"/>
      <c r="C28" s="3">
        <v>20</v>
      </c>
      <c r="D28" s="2"/>
      <c r="E28" s="2"/>
      <c r="F28" s="2"/>
      <c r="G28" s="4"/>
      <c r="H28" s="4">
        <f t="shared" si="3"/>
        <v>0</v>
      </c>
      <c r="I28" s="4"/>
      <c r="J28" s="12" t="str">
        <f t="shared" si="1"/>
        <v>기타포괄손익누계액</v>
      </c>
      <c r="K28" s="5">
        <f t="shared" ref="K28:AS28" si="22">IF( $J28&lt;&gt;"", IF(K72=0, "", K72/$G$2), "")</f>
        <v>13190848</v>
      </c>
      <c r="L28" s="5">
        <f t="shared" si="22"/>
        <v>3217748</v>
      </c>
      <c r="M28" s="5">
        <f t="shared" si="22"/>
        <v>-745794</v>
      </c>
      <c r="N28" s="5">
        <f t="shared" si="22"/>
        <v>-2215236</v>
      </c>
      <c r="O28" s="5">
        <f t="shared" si="22"/>
        <v>-1865734</v>
      </c>
      <c r="P28" s="5">
        <f t="shared" si="22"/>
        <v>-6280324</v>
      </c>
      <c r="Q28" s="5">
        <f t="shared" si="22"/>
        <v>-5656110</v>
      </c>
      <c r="R28" s="5">
        <f t="shared" si="22"/>
        <v>-8726013</v>
      </c>
      <c r="S28" s="5" t="str">
        <f t="shared" si="22"/>
        <v/>
      </c>
      <c r="T28" s="5" t="str">
        <f t="shared" si="22"/>
        <v/>
      </c>
      <c r="U28" s="5" t="str">
        <f t="shared" si="22"/>
        <v/>
      </c>
      <c r="V28" s="5" t="str">
        <f t="shared" si="22"/>
        <v/>
      </c>
      <c r="W28" s="5" t="str">
        <f t="shared" si="22"/>
        <v/>
      </c>
      <c r="X28" s="5" t="str">
        <f t="shared" si="22"/>
        <v/>
      </c>
      <c r="Y28" s="5" t="str">
        <f t="shared" si="22"/>
        <v/>
      </c>
      <c r="Z28" s="5" t="str">
        <f t="shared" si="22"/>
        <v/>
      </c>
      <c r="AA28" s="5" t="str">
        <f t="shared" si="22"/>
        <v/>
      </c>
      <c r="AB28" s="5" t="str">
        <f t="shared" si="22"/>
        <v/>
      </c>
      <c r="AC28" s="5" t="str">
        <f t="shared" si="22"/>
        <v/>
      </c>
      <c r="AD28" s="5" t="str">
        <f t="shared" si="22"/>
        <v/>
      </c>
      <c r="AE28" s="5" t="str">
        <f t="shared" si="22"/>
        <v/>
      </c>
      <c r="AF28" s="5" t="str">
        <f t="shared" si="22"/>
        <v/>
      </c>
      <c r="AG28" s="5" t="str">
        <f t="shared" si="22"/>
        <v/>
      </c>
      <c r="AH28" s="5" t="str">
        <f t="shared" si="22"/>
        <v/>
      </c>
      <c r="AI28" s="5" t="str">
        <f t="shared" si="22"/>
        <v/>
      </c>
      <c r="AJ28" s="5" t="str">
        <f t="shared" si="22"/>
        <v/>
      </c>
      <c r="AK28" s="5" t="str">
        <f t="shared" si="22"/>
        <v/>
      </c>
      <c r="AL28" s="5" t="str">
        <f t="shared" si="22"/>
        <v/>
      </c>
      <c r="AM28" s="5" t="str">
        <f t="shared" si="22"/>
        <v/>
      </c>
      <c r="AN28" s="5" t="str">
        <f t="shared" si="22"/>
        <v/>
      </c>
      <c r="AO28" s="5" t="str">
        <f t="shared" si="22"/>
        <v/>
      </c>
      <c r="AP28" s="5" t="str">
        <f t="shared" si="22"/>
        <v/>
      </c>
      <c r="AQ28" s="5" t="str">
        <f t="shared" si="22"/>
        <v/>
      </c>
      <c r="AR28" s="5" t="str">
        <f t="shared" si="22"/>
        <v/>
      </c>
      <c r="AS28" s="5" t="str">
        <f t="shared" si="22"/>
        <v/>
      </c>
    </row>
    <row r="29" spans="1:45" s="14" customFormat="1" x14ac:dyDescent="0.3">
      <c r="A29" s="4"/>
      <c r="B29" s="4"/>
      <c r="C29" s="3">
        <v>21</v>
      </c>
      <c r="D29" s="2"/>
      <c r="E29" s="6" t="s">
        <v>176</v>
      </c>
      <c r="F29" s="2"/>
      <c r="G29" s="4"/>
      <c r="H29" s="4">
        <f t="shared" si="3"/>
        <v>0</v>
      </c>
      <c r="I29" s="4"/>
      <c r="J29" s="12" t="str">
        <f t="shared" si="1"/>
        <v>이익잉여금(결손금)</v>
      </c>
      <c r="K29" s="5">
        <f t="shared" ref="K29:AS29" si="23">IF( $J29&lt;&gt;"", IF(K73=0, "", K73/$G$2), "")</f>
        <v>316890272</v>
      </c>
      <c r="L29" s="5">
        <f t="shared" si="23"/>
        <v>310216785</v>
      </c>
      <c r="M29" s="5">
        <f t="shared" si="23"/>
        <v>301743152</v>
      </c>
      <c r="N29" s="5">
        <f t="shared" si="23"/>
        <v>293064763</v>
      </c>
      <c r="O29" s="5">
        <f t="shared" si="23"/>
        <v>284826992</v>
      </c>
      <c r="P29" s="5">
        <f t="shared" si="23"/>
        <v>275085185</v>
      </c>
      <c r="Q29" s="5">
        <f t="shared" si="23"/>
        <v>266066142</v>
      </c>
      <c r="R29" s="5">
        <f t="shared" si="23"/>
        <v>271068211</v>
      </c>
      <c r="S29" s="5" t="str">
        <f t="shared" si="23"/>
        <v/>
      </c>
      <c r="T29" s="5" t="str">
        <f t="shared" si="23"/>
        <v/>
      </c>
      <c r="U29" s="5" t="str">
        <f t="shared" si="23"/>
        <v/>
      </c>
      <c r="V29" s="5" t="str">
        <f t="shared" si="23"/>
        <v/>
      </c>
      <c r="W29" s="5" t="str">
        <f t="shared" si="23"/>
        <v/>
      </c>
      <c r="X29" s="5" t="str">
        <f t="shared" si="23"/>
        <v/>
      </c>
      <c r="Y29" s="5" t="str">
        <f t="shared" si="23"/>
        <v/>
      </c>
      <c r="Z29" s="5" t="str">
        <f t="shared" si="23"/>
        <v/>
      </c>
      <c r="AA29" s="5" t="str">
        <f t="shared" si="23"/>
        <v/>
      </c>
      <c r="AB29" s="5" t="str">
        <f t="shared" si="23"/>
        <v/>
      </c>
      <c r="AC29" s="5" t="str">
        <f t="shared" si="23"/>
        <v/>
      </c>
      <c r="AD29" s="5" t="str">
        <f t="shared" si="23"/>
        <v/>
      </c>
      <c r="AE29" s="5" t="str">
        <f t="shared" si="23"/>
        <v/>
      </c>
      <c r="AF29" s="5" t="str">
        <f t="shared" si="23"/>
        <v/>
      </c>
      <c r="AG29" s="5" t="str">
        <f t="shared" si="23"/>
        <v/>
      </c>
      <c r="AH29" s="5" t="str">
        <f t="shared" si="23"/>
        <v/>
      </c>
      <c r="AI29" s="5" t="str">
        <f t="shared" si="23"/>
        <v/>
      </c>
      <c r="AJ29" s="5" t="str">
        <f t="shared" si="23"/>
        <v/>
      </c>
      <c r="AK29" s="5" t="str">
        <f t="shared" si="23"/>
        <v/>
      </c>
      <c r="AL29" s="5" t="str">
        <f t="shared" si="23"/>
        <v/>
      </c>
      <c r="AM29" s="5" t="str">
        <f t="shared" si="23"/>
        <v/>
      </c>
      <c r="AN29" s="5" t="str">
        <f t="shared" si="23"/>
        <v/>
      </c>
      <c r="AO29" s="5" t="str">
        <f t="shared" si="23"/>
        <v/>
      </c>
      <c r="AP29" s="5" t="str">
        <f t="shared" si="23"/>
        <v/>
      </c>
      <c r="AQ29" s="5" t="str">
        <f t="shared" si="23"/>
        <v/>
      </c>
      <c r="AR29" s="5" t="str">
        <f t="shared" si="23"/>
        <v/>
      </c>
      <c r="AS29" s="5" t="str">
        <f t="shared" si="23"/>
        <v/>
      </c>
    </row>
    <row r="30" spans="1:45" s="14" customFormat="1" x14ac:dyDescent="0.3">
      <c r="A30" s="4"/>
      <c r="B30" s="4"/>
      <c r="C30" s="3">
        <v>22</v>
      </c>
      <c r="D30" s="6" t="s">
        <v>176</v>
      </c>
      <c r="E30" s="6" t="s">
        <v>176</v>
      </c>
      <c r="F30" s="6" t="s">
        <v>176</v>
      </c>
      <c r="G30" s="4"/>
      <c r="H30" s="4" t="str">
        <f t="shared" si="3"/>
        <v>TRUE</v>
      </c>
      <c r="I30" s="4"/>
      <c r="J30" s="12" t="str">
        <f t="shared" si="1"/>
        <v>부채</v>
      </c>
      <c r="K30" s="5">
        <f t="shared" ref="K30:AS30" si="24">IF( $J30&lt;&gt;"", IF(K74=0, "", K74/$G$2), "")</f>
        <v>125371520</v>
      </c>
      <c r="L30" s="5">
        <f t="shared" si="24"/>
        <v>120133986</v>
      </c>
      <c r="M30" s="5">
        <f t="shared" si="24"/>
        <v>124036040</v>
      </c>
      <c r="N30" s="5">
        <f t="shared" si="24"/>
        <v>121721227</v>
      </c>
      <c r="O30" s="5">
        <f t="shared" si="24"/>
        <v>113654600</v>
      </c>
      <c r="P30" s="5">
        <f t="shared" si="24"/>
        <v>102453403</v>
      </c>
      <c r="Q30" s="5">
        <f t="shared" si="24"/>
        <v>118557683</v>
      </c>
      <c r="R30" s="5">
        <f t="shared" si="24"/>
        <v>102287702</v>
      </c>
      <c r="S30" s="5" t="str">
        <f t="shared" si="24"/>
        <v/>
      </c>
      <c r="T30" s="5" t="str">
        <f t="shared" si="24"/>
        <v/>
      </c>
      <c r="U30" s="5" t="str">
        <f t="shared" si="24"/>
        <v/>
      </c>
      <c r="V30" s="5" t="str">
        <f t="shared" si="24"/>
        <v/>
      </c>
      <c r="W30" s="5" t="str">
        <f t="shared" si="24"/>
        <v/>
      </c>
      <c r="X30" s="5" t="str">
        <f t="shared" si="24"/>
        <v/>
      </c>
      <c r="Y30" s="5" t="str">
        <f t="shared" si="24"/>
        <v/>
      </c>
      <c r="Z30" s="5" t="str">
        <f t="shared" si="24"/>
        <v/>
      </c>
      <c r="AA30" s="5" t="str">
        <f t="shared" si="24"/>
        <v/>
      </c>
      <c r="AB30" s="5" t="str">
        <f t="shared" si="24"/>
        <v/>
      </c>
      <c r="AC30" s="5" t="str">
        <f t="shared" si="24"/>
        <v/>
      </c>
      <c r="AD30" s="5" t="str">
        <f t="shared" si="24"/>
        <v/>
      </c>
      <c r="AE30" s="5" t="str">
        <f t="shared" si="24"/>
        <v/>
      </c>
      <c r="AF30" s="5" t="str">
        <f t="shared" si="24"/>
        <v/>
      </c>
      <c r="AG30" s="5" t="str">
        <f t="shared" si="24"/>
        <v/>
      </c>
      <c r="AH30" s="5" t="str">
        <f t="shared" si="24"/>
        <v/>
      </c>
      <c r="AI30" s="5" t="str">
        <f t="shared" si="24"/>
        <v/>
      </c>
      <c r="AJ30" s="5" t="str">
        <f t="shared" si="24"/>
        <v/>
      </c>
      <c r="AK30" s="5" t="str">
        <f t="shared" si="24"/>
        <v/>
      </c>
      <c r="AL30" s="5" t="str">
        <f t="shared" si="24"/>
        <v/>
      </c>
      <c r="AM30" s="5" t="str">
        <f t="shared" si="24"/>
        <v/>
      </c>
      <c r="AN30" s="5" t="str">
        <f t="shared" si="24"/>
        <v/>
      </c>
      <c r="AO30" s="5" t="str">
        <f t="shared" si="24"/>
        <v/>
      </c>
      <c r="AP30" s="5" t="str">
        <f t="shared" si="24"/>
        <v/>
      </c>
      <c r="AQ30" s="5" t="str">
        <f t="shared" si="24"/>
        <v/>
      </c>
      <c r="AR30" s="5" t="str">
        <f t="shared" si="24"/>
        <v/>
      </c>
      <c r="AS30" s="5" t="str">
        <f t="shared" si="24"/>
        <v/>
      </c>
    </row>
    <row r="31" spans="1:45" s="14" customFormat="1" x14ac:dyDescent="0.3">
      <c r="A31" s="4"/>
      <c r="B31" s="4"/>
      <c r="C31" s="3">
        <v>23</v>
      </c>
      <c r="D31" s="2"/>
      <c r="E31" s="6" t="s">
        <v>176</v>
      </c>
      <c r="F31" s="2"/>
      <c r="G31" s="4"/>
      <c r="H31" s="4">
        <f t="shared" si="3"/>
        <v>0</v>
      </c>
      <c r="I31" s="4"/>
      <c r="J31" s="12" t="str">
        <f t="shared" si="1"/>
        <v>비예수부채</v>
      </c>
      <c r="K31" s="5">
        <f t="shared" ref="K31:AS31" si="25">IF( $J31&lt;&gt;"", IF(K75=0, "", K75/$G$2), "")</f>
        <v>5237534</v>
      </c>
      <c r="L31" s="5">
        <f t="shared" si="25"/>
        <v>-3902054</v>
      </c>
      <c r="M31" s="5">
        <f t="shared" si="25"/>
        <v>2314813</v>
      </c>
      <c r="N31" s="5">
        <f t="shared" si="25"/>
        <v>8066627</v>
      </c>
      <c r="O31" s="5">
        <f t="shared" si="25"/>
        <v>5237534</v>
      </c>
      <c r="P31" s="5">
        <f t="shared" si="25"/>
        <v>-3902054</v>
      </c>
      <c r="Q31" s="5">
        <f t="shared" si="25"/>
        <v>2314813</v>
      </c>
      <c r="R31" s="5">
        <f t="shared" si="25"/>
        <v>8066627</v>
      </c>
      <c r="S31" s="5" t="str">
        <f t="shared" si="25"/>
        <v/>
      </c>
      <c r="T31" s="5" t="str">
        <f t="shared" si="25"/>
        <v/>
      </c>
      <c r="U31" s="5" t="str">
        <f t="shared" si="25"/>
        <v/>
      </c>
      <c r="V31" s="5" t="str">
        <f t="shared" si="25"/>
        <v/>
      </c>
      <c r="W31" s="5" t="str">
        <f t="shared" si="25"/>
        <v/>
      </c>
      <c r="X31" s="5" t="str">
        <f t="shared" si="25"/>
        <v/>
      </c>
      <c r="Y31" s="5" t="str">
        <f t="shared" si="25"/>
        <v/>
      </c>
      <c r="Z31" s="5" t="str">
        <f t="shared" si="25"/>
        <v/>
      </c>
      <c r="AA31" s="5" t="str">
        <f t="shared" si="25"/>
        <v/>
      </c>
      <c r="AB31" s="5" t="str">
        <f t="shared" si="25"/>
        <v/>
      </c>
      <c r="AC31" s="5" t="str">
        <f t="shared" si="25"/>
        <v/>
      </c>
      <c r="AD31" s="5" t="str">
        <f t="shared" si="25"/>
        <v/>
      </c>
      <c r="AE31" s="5" t="str">
        <f t="shared" si="25"/>
        <v/>
      </c>
      <c r="AF31" s="5" t="str">
        <f t="shared" si="25"/>
        <v/>
      </c>
      <c r="AG31" s="5" t="str">
        <f t="shared" si="25"/>
        <v/>
      </c>
      <c r="AH31" s="5" t="str">
        <f t="shared" si="25"/>
        <v/>
      </c>
      <c r="AI31" s="5" t="str">
        <f t="shared" si="25"/>
        <v/>
      </c>
      <c r="AJ31" s="5" t="str">
        <f t="shared" si="25"/>
        <v/>
      </c>
      <c r="AK31" s="5" t="str">
        <f t="shared" si="25"/>
        <v/>
      </c>
      <c r="AL31" s="5" t="str">
        <f t="shared" si="25"/>
        <v/>
      </c>
      <c r="AM31" s="5" t="str">
        <f t="shared" si="25"/>
        <v/>
      </c>
      <c r="AN31" s="5" t="str">
        <f t="shared" si="25"/>
        <v/>
      </c>
      <c r="AO31" s="5" t="str">
        <f t="shared" si="25"/>
        <v/>
      </c>
      <c r="AP31" s="5" t="str">
        <f t="shared" si="25"/>
        <v/>
      </c>
      <c r="AQ31" s="5" t="str">
        <f t="shared" si="25"/>
        <v/>
      </c>
      <c r="AR31" s="5" t="str">
        <f t="shared" si="25"/>
        <v/>
      </c>
      <c r="AS31" s="5" t="str">
        <f t="shared" si="25"/>
        <v/>
      </c>
    </row>
    <row r="32" spans="1:45" s="14" customFormat="1" x14ac:dyDescent="0.3">
      <c r="A32" s="4"/>
      <c r="B32" s="4"/>
      <c r="C32" s="3">
        <v>24</v>
      </c>
      <c r="D32" s="2"/>
      <c r="E32" s="6" t="s">
        <v>176</v>
      </c>
      <c r="F32" s="2"/>
      <c r="G32" s="4"/>
      <c r="H32" s="4">
        <f t="shared" si="3"/>
        <v>0</v>
      </c>
      <c r="I32" s="4"/>
      <c r="J32" s="12" t="str">
        <f t="shared" si="1"/>
        <v>금융부채</v>
      </c>
      <c r="K32" s="5">
        <f t="shared" ref="K32:AS32" si="26">IF( $J32&lt;&gt;"", IF(K76=0, "", K76/$G$2), "")</f>
        <v>3167448</v>
      </c>
      <c r="L32" s="5">
        <f t="shared" si="26"/>
        <v>2934708</v>
      </c>
      <c r="M32" s="5">
        <f t="shared" si="26"/>
        <v>2778207</v>
      </c>
      <c r="N32" s="5">
        <f t="shared" si="26"/>
        <v>2864656</v>
      </c>
      <c r="O32" s="5">
        <f t="shared" si="26"/>
        <v>2166741</v>
      </c>
      <c r="P32" s="5">
        <f t="shared" si="26"/>
        <v>2152273</v>
      </c>
      <c r="Q32" s="5">
        <f t="shared" si="26"/>
        <v>2123829</v>
      </c>
      <c r="R32" s="5">
        <f t="shared" si="26"/>
        <v>1999716</v>
      </c>
      <c r="S32" s="5" t="str">
        <f t="shared" si="26"/>
        <v/>
      </c>
      <c r="T32" s="5" t="str">
        <f t="shared" si="26"/>
        <v/>
      </c>
      <c r="U32" s="5" t="str">
        <f t="shared" si="26"/>
        <v/>
      </c>
      <c r="V32" s="5" t="str">
        <f t="shared" si="26"/>
        <v/>
      </c>
      <c r="W32" s="5" t="str">
        <f t="shared" si="26"/>
        <v/>
      </c>
      <c r="X32" s="5" t="str">
        <f t="shared" si="26"/>
        <v/>
      </c>
      <c r="Y32" s="5" t="str">
        <f t="shared" si="26"/>
        <v/>
      </c>
      <c r="Z32" s="5" t="str">
        <f t="shared" si="26"/>
        <v/>
      </c>
      <c r="AA32" s="5" t="str">
        <f t="shared" si="26"/>
        <v/>
      </c>
      <c r="AB32" s="5" t="str">
        <f t="shared" si="26"/>
        <v/>
      </c>
      <c r="AC32" s="5" t="str">
        <f t="shared" si="26"/>
        <v/>
      </c>
      <c r="AD32" s="5" t="str">
        <f t="shared" si="26"/>
        <v/>
      </c>
      <c r="AE32" s="5" t="str">
        <f t="shared" si="26"/>
        <v/>
      </c>
      <c r="AF32" s="5" t="str">
        <f t="shared" si="26"/>
        <v/>
      </c>
      <c r="AG32" s="5" t="str">
        <f t="shared" si="26"/>
        <v/>
      </c>
      <c r="AH32" s="5" t="str">
        <f t="shared" si="26"/>
        <v/>
      </c>
      <c r="AI32" s="5" t="str">
        <f t="shared" si="26"/>
        <v/>
      </c>
      <c r="AJ32" s="5" t="str">
        <f t="shared" si="26"/>
        <v/>
      </c>
      <c r="AK32" s="5" t="str">
        <f t="shared" si="26"/>
        <v/>
      </c>
      <c r="AL32" s="5" t="str">
        <f t="shared" si="26"/>
        <v/>
      </c>
      <c r="AM32" s="5" t="str">
        <f t="shared" si="26"/>
        <v/>
      </c>
      <c r="AN32" s="5" t="str">
        <f t="shared" si="26"/>
        <v/>
      </c>
      <c r="AO32" s="5" t="str">
        <f t="shared" si="26"/>
        <v/>
      </c>
      <c r="AP32" s="5" t="str">
        <f t="shared" si="26"/>
        <v/>
      </c>
      <c r="AQ32" s="5" t="str">
        <f t="shared" si="26"/>
        <v/>
      </c>
      <c r="AR32" s="5" t="str">
        <f t="shared" si="26"/>
        <v/>
      </c>
      <c r="AS32" s="5" t="str">
        <f t="shared" si="26"/>
        <v/>
      </c>
    </row>
    <row r="33" spans="1:45" s="14" customFormat="1" x14ac:dyDescent="0.3">
      <c r="A33" s="4"/>
      <c r="B33" s="4"/>
      <c r="C33" s="3">
        <v>25</v>
      </c>
      <c r="D33" s="2"/>
      <c r="E33" s="6" t="s">
        <v>176</v>
      </c>
      <c r="F33" s="2"/>
      <c r="G33" s="4"/>
      <c r="H33" s="4">
        <f t="shared" si="3"/>
        <v>0</v>
      </c>
      <c r="I33" s="4"/>
      <c r="J33" s="12" t="str">
        <f t="shared" si="1"/>
        <v>파생상품부채</v>
      </c>
      <c r="K33" s="5" t="str">
        <f t="shared" ref="K33:AS33" si="27">IF( $J33&lt;&gt;"", IF(K77=0, "", K77/$G$2), "")</f>
        <v/>
      </c>
      <c r="L33" s="5" t="str">
        <f t="shared" si="27"/>
        <v/>
      </c>
      <c r="M33" s="5" t="str">
        <f t="shared" si="27"/>
        <v/>
      </c>
      <c r="N33" s="5" t="str">
        <f t="shared" si="27"/>
        <v/>
      </c>
      <c r="O33" s="5" t="str">
        <f t="shared" si="27"/>
        <v/>
      </c>
      <c r="P33" s="5" t="str">
        <f t="shared" si="27"/>
        <v/>
      </c>
      <c r="Q33" s="5" t="str">
        <f t="shared" si="27"/>
        <v/>
      </c>
      <c r="R33" s="5" t="str">
        <f t="shared" si="27"/>
        <v/>
      </c>
      <c r="S33" s="5" t="str">
        <f t="shared" si="27"/>
        <v/>
      </c>
      <c r="T33" s="5" t="str">
        <f t="shared" si="27"/>
        <v/>
      </c>
      <c r="U33" s="5" t="str">
        <f t="shared" si="27"/>
        <v/>
      </c>
      <c r="V33" s="5" t="str">
        <f t="shared" si="27"/>
        <v/>
      </c>
      <c r="W33" s="5" t="str">
        <f t="shared" si="27"/>
        <v/>
      </c>
      <c r="X33" s="5" t="str">
        <f t="shared" si="27"/>
        <v/>
      </c>
      <c r="Y33" s="5" t="str">
        <f t="shared" si="27"/>
        <v/>
      </c>
      <c r="Z33" s="5" t="str">
        <f t="shared" si="27"/>
        <v/>
      </c>
      <c r="AA33" s="5" t="str">
        <f t="shared" si="27"/>
        <v/>
      </c>
      <c r="AB33" s="5" t="str">
        <f t="shared" si="27"/>
        <v/>
      </c>
      <c r="AC33" s="5" t="str">
        <f t="shared" si="27"/>
        <v/>
      </c>
      <c r="AD33" s="5" t="str">
        <f t="shared" si="27"/>
        <v/>
      </c>
      <c r="AE33" s="5" t="str">
        <f t="shared" si="27"/>
        <v/>
      </c>
      <c r="AF33" s="5" t="str">
        <f t="shared" si="27"/>
        <v/>
      </c>
      <c r="AG33" s="5" t="str">
        <f t="shared" si="27"/>
        <v/>
      </c>
      <c r="AH33" s="5" t="str">
        <f t="shared" si="27"/>
        <v/>
      </c>
      <c r="AI33" s="5" t="str">
        <f t="shared" si="27"/>
        <v/>
      </c>
      <c r="AJ33" s="5" t="str">
        <f t="shared" si="27"/>
        <v/>
      </c>
      <c r="AK33" s="5" t="str">
        <f t="shared" si="27"/>
        <v/>
      </c>
      <c r="AL33" s="5" t="str">
        <f t="shared" si="27"/>
        <v/>
      </c>
      <c r="AM33" s="5" t="str">
        <f t="shared" si="27"/>
        <v/>
      </c>
      <c r="AN33" s="5" t="str">
        <f t="shared" si="27"/>
        <v/>
      </c>
      <c r="AO33" s="5" t="str">
        <f t="shared" si="27"/>
        <v/>
      </c>
      <c r="AP33" s="5" t="str">
        <f t="shared" si="27"/>
        <v/>
      </c>
      <c r="AQ33" s="5" t="str">
        <f t="shared" si="27"/>
        <v/>
      </c>
      <c r="AR33" s="5" t="str">
        <f t="shared" si="27"/>
        <v/>
      </c>
      <c r="AS33" s="5" t="str">
        <f t="shared" si="27"/>
        <v/>
      </c>
    </row>
    <row r="34" spans="1:45" s="14" customFormat="1" x14ac:dyDescent="0.3">
      <c r="A34" s="4"/>
      <c r="B34" s="4"/>
      <c r="C34" s="3">
        <v>26</v>
      </c>
      <c r="D34" s="2"/>
      <c r="E34" s="6" t="s">
        <v>176</v>
      </c>
      <c r="F34" s="2"/>
      <c r="G34" s="4"/>
      <c r="H34" s="4">
        <f t="shared" si="3"/>
        <v>0</v>
      </c>
      <c r="I34" s="4"/>
      <c r="J34" s="12" t="str">
        <f t="shared" si="1"/>
        <v>차입금</v>
      </c>
      <c r="K34" s="5">
        <f t="shared" ref="K34:AS34" si="28">IF( $J34&lt;&gt;"", IF(K78=0, "", K78/$G$2), "")</f>
        <v>7624643</v>
      </c>
      <c r="L34" s="5">
        <f t="shared" si="28"/>
        <v>12997688</v>
      </c>
      <c r="M34" s="5">
        <f t="shared" si="28"/>
        <v>13888389</v>
      </c>
      <c r="N34" s="5">
        <f t="shared" si="28"/>
        <v>13689293</v>
      </c>
      <c r="O34" s="5">
        <f t="shared" si="28"/>
        <v>17283881</v>
      </c>
      <c r="P34" s="5">
        <f t="shared" si="28"/>
        <v>15040124</v>
      </c>
      <c r="Q34" s="5">
        <f t="shared" si="28"/>
        <v>16148220</v>
      </c>
      <c r="R34" s="5">
        <f t="shared" si="28"/>
        <v>18553145</v>
      </c>
      <c r="S34" s="5" t="str">
        <f t="shared" si="28"/>
        <v/>
      </c>
      <c r="T34" s="5" t="str">
        <f t="shared" si="28"/>
        <v/>
      </c>
      <c r="U34" s="5" t="str">
        <f t="shared" si="28"/>
        <v/>
      </c>
      <c r="V34" s="5" t="str">
        <f t="shared" si="28"/>
        <v/>
      </c>
      <c r="W34" s="5" t="str">
        <f t="shared" si="28"/>
        <v/>
      </c>
      <c r="X34" s="5" t="str">
        <f t="shared" si="28"/>
        <v/>
      </c>
      <c r="Y34" s="5" t="str">
        <f t="shared" si="28"/>
        <v/>
      </c>
      <c r="Z34" s="5" t="str">
        <f t="shared" si="28"/>
        <v/>
      </c>
      <c r="AA34" s="5" t="str">
        <f t="shared" si="28"/>
        <v/>
      </c>
      <c r="AB34" s="5" t="str">
        <f t="shared" si="28"/>
        <v/>
      </c>
      <c r="AC34" s="5" t="str">
        <f t="shared" si="28"/>
        <v/>
      </c>
      <c r="AD34" s="5" t="str">
        <f t="shared" si="28"/>
        <v/>
      </c>
      <c r="AE34" s="5" t="str">
        <f t="shared" si="28"/>
        <v/>
      </c>
      <c r="AF34" s="5" t="str">
        <f t="shared" si="28"/>
        <v/>
      </c>
      <c r="AG34" s="5" t="str">
        <f t="shared" si="28"/>
        <v/>
      </c>
      <c r="AH34" s="5" t="str">
        <f t="shared" si="28"/>
        <v/>
      </c>
      <c r="AI34" s="5" t="str">
        <f t="shared" si="28"/>
        <v/>
      </c>
      <c r="AJ34" s="5" t="str">
        <f t="shared" si="28"/>
        <v/>
      </c>
      <c r="AK34" s="5" t="str">
        <f t="shared" si="28"/>
        <v/>
      </c>
      <c r="AL34" s="5" t="str">
        <f t="shared" si="28"/>
        <v/>
      </c>
      <c r="AM34" s="5" t="str">
        <f t="shared" si="28"/>
        <v/>
      </c>
      <c r="AN34" s="5" t="str">
        <f t="shared" si="28"/>
        <v/>
      </c>
      <c r="AO34" s="5" t="str">
        <f t="shared" si="28"/>
        <v/>
      </c>
      <c r="AP34" s="5" t="str">
        <f t="shared" si="28"/>
        <v/>
      </c>
      <c r="AQ34" s="5" t="str">
        <f t="shared" si="28"/>
        <v/>
      </c>
      <c r="AR34" s="5" t="str">
        <f t="shared" si="28"/>
        <v/>
      </c>
      <c r="AS34" s="5" t="str">
        <f t="shared" si="28"/>
        <v/>
      </c>
    </row>
    <row r="35" spans="1:45" s="14" customFormat="1" x14ac:dyDescent="0.3">
      <c r="A35" s="4"/>
      <c r="B35" s="4"/>
      <c r="C35" s="3">
        <v>27</v>
      </c>
      <c r="D35" s="2"/>
      <c r="E35" s="6" t="s">
        <v>176</v>
      </c>
      <c r="F35" s="2"/>
      <c r="G35" s="4"/>
      <c r="H35" s="4">
        <f t="shared" si="3"/>
        <v>0</v>
      </c>
      <c r="I35" s="4"/>
      <c r="J35" s="12" t="str">
        <f t="shared" si="1"/>
        <v>사채</v>
      </c>
      <c r="K35" s="5">
        <f t="shared" ref="K35:AS35" si="29">IF( $J35&lt;&gt;"", IF(K79=0, "", K79/$G$2), "")</f>
        <v>609790</v>
      </c>
      <c r="L35" s="5">
        <f t="shared" si="29"/>
        <v>553783</v>
      </c>
      <c r="M35" s="5">
        <f t="shared" si="29"/>
        <v>518856</v>
      </c>
      <c r="N35" s="5">
        <f t="shared" si="29"/>
        <v>508232</v>
      </c>
      <c r="O35" s="5">
        <f t="shared" si="29"/>
        <v>514096</v>
      </c>
      <c r="P35" s="5">
        <f t="shared" si="29"/>
        <v>490459</v>
      </c>
      <c r="Q35" s="5">
        <f t="shared" si="29"/>
        <v>962755</v>
      </c>
      <c r="R35" s="5">
        <f t="shared" si="29"/>
        <v>948137</v>
      </c>
      <c r="S35" s="5" t="str">
        <f t="shared" si="29"/>
        <v/>
      </c>
      <c r="T35" s="5" t="str">
        <f t="shared" si="29"/>
        <v/>
      </c>
      <c r="U35" s="5" t="str">
        <f t="shared" si="29"/>
        <v/>
      </c>
      <c r="V35" s="5" t="str">
        <f t="shared" si="29"/>
        <v/>
      </c>
      <c r="W35" s="5" t="str">
        <f t="shared" si="29"/>
        <v/>
      </c>
      <c r="X35" s="5" t="str">
        <f t="shared" si="29"/>
        <v/>
      </c>
      <c r="Y35" s="5" t="str">
        <f t="shared" si="29"/>
        <v/>
      </c>
      <c r="Z35" s="5" t="str">
        <f t="shared" si="29"/>
        <v/>
      </c>
      <c r="AA35" s="5" t="str">
        <f t="shared" si="29"/>
        <v/>
      </c>
      <c r="AB35" s="5" t="str">
        <f t="shared" si="29"/>
        <v/>
      </c>
      <c r="AC35" s="5" t="str">
        <f t="shared" si="29"/>
        <v/>
      </c>
      <c r="AD35" s="5" t="str">
        <f t="shared" si="29"/>
        <v/>
      </c>
      <c r="AE35" s="5" t="str">
        <f t="shared" si="29"/>
        <v/>
      </c>
      <c r="AF35" s="5" t="str">
        <f t="shared" si="29"/>
        <v/>
      </c>
      <c r="AG35" s="5" t="str">
        <f t="shared" si="29"/>
        <v/>
      </c>
      <c r="AH35" s="5" t="str">
        <f t="shared" si="29"/>
        <v/>
      </c>
      <c r="AI35" s="5" t="str">
        <f t="shared" si="29"/>
        <v/>
      </c>
      <c r="AJ35" s="5" t="str">
        <f t="shared" si="29"/>
        <v/>
      </c>
      <c r="AK35" s="5" t="str">
        <f t="shared" si="29"/>
        <v/>
      </c>
      <c r="AL35" s="5" t="str">
        <f t="shared" si="29"/>
        <v/>
      </c>
      <c r="AM35" s="5" t="str">
        <f t="shared" si="29"/>
        <v/>
      </c>
      <c r="AN35" s="5" t="str">
        <f t="shared" si="29"/>
        <v/>
      </c>
      <c r="AO35" s="5" t="str">
        <f t="shared" si="29"/>
        <v/>
      </c>
      <c r="AP35" s="5" t="str">
        <f t="shared" si="29"/>
        <v/>
      </c>
      <c r="AQ35" s="5" t="str">
        <f t="shared" si="29"/>
        <v/>
      </c>
      <c r="AR35" s="5" t="str">
        <f t="shared" si="29"/>
        <v/>
      </c>
      <c r="AS35" s="5" t="str">
        <f t="shared" si="29"/>
        <v/>
      </c>
    </row>
    <row r="36" spans="1:45" s="14" customFormat="1" x14ac:dyDescent="0.3">
      <c r="A36" s="4"/>
      <c r="B36" s="4"/>
      <c r="C36" s="3">
        <v>28</v>
      </c>
      <c r="D36" s="2"/>
      <c r="E36" s="6" t="s">
        <v>176</v>
      </c>
      <c r="F36" s="2"/>
      <c r="G36" s="4"/>
      <c r="H36" s="4">
        <f t="shared" si="3"/>
        <v>0</v>
      </c>
      <c r="I36" s="4"/>
      <c r="J36" s="12" t="str">
        <f t="shared" si="1"/>
        <v>기타금융업부채</v>
      </c>
      <c r="K36" s="5" t="str">
        <f t="shared" ref="K36:AS36" si="30">IF( $J36&lt;&gt;"", IF(K80=0, "", K80/$G$2), "")</f>
        <v/>
      </c>
      <c r="L36" s="5" t="str">
        <f t="shared" si="30"/>
        <v/>
      </c>
      <c r="M36" s="5" t="str">
        <f t="shared" si="30"/>
        <v/>
      </c>
      <c r="N36" s="5" t="str">
        <f t="shared" si="30"/>
        <v/>
      </c>
      <c r="O36" s="5" t="str">
        <f t="shared" si="30"/>
        <v/>
      </c>
      <c r="P36" s="5" t="str">
        <f t="shared" si="30"/>
        <v/>
      </c>
      <c r="Q36" s="5" t="str">
        <f t="shared" si="30"/>
        <v/>
      </c>
      <c r="R36" s="5" t="str">
        <f t="shared" si="30"/>
        <v/>
      </c>
      <c r="S36" s="5" t="str">
        <f t="shared" si="30"/>
        <v/>
      </c>
      <c r="T36" s="5" t="str">
        <f t="shared" si="30"/>
        <v/>
      </c>
      <c r="U36" s="5" t="str">
        <f t="shared" si="30"/>
        <v/>
      </c>
      <c r="V36" s="5" t="str">
        <f t="shared" si="30"/>
        <v/>
      </c>
      <c r="W36" s="5" t="str">
        <f t="shared" si="30"/>
        <v/>
      </c>
      <c r="X36" s="5" t="str">
        <f t="shared" si="30"/>
        <v/>
      </c>
      <c r="Y36" s="5" t="str">
        <f t="shared" si="30"/>
        <v/>
      </c>
      <c r="Z36" s="5" t="str">
        <f t="shared" si="30"/>
        <v/>
      </c>
      <c r="AA36" s="5" t="str">
        <f t="shared" si="30"/>
        <v/>
      </c>
      <c r="AB36" s="5" t="str">
        <f t="shared" si="30"/>
        <v/>
      </c>
      <c r="AC36" s="5" t="str">
        <f t="shared" si="30"/>
        <v/>
      </c>
      <c r="AD36" s="5" t="str">
        <f t="shared" si="30"/>
        <v/>
      </c>
      <c r="AE36" s="5" t="str">
        <f t="shared" si="30"/>
        <v/>
      </c>
      <c r="AF36" s="5" t="str">
        <f t="shared" si="30"/>
        <v/>
      </c>
      <c r="AG36" s="5" t="str">
        <f t="shared" si="30"/>
        <v/>
      </c>
      <c r="AH36" s="5" t="str">
        <f t="shared" si="30"/>
        <v/>
      </c>
      <c r="AI36" s="5" t="str">
        <f t="shared" si="30"/>
        <v/>
      </c>
      <c r="AJ36" s="5" t="str">
        <f t="shared" si="30"/>
        <v/>
      </c>
      <c r="AK36" s="5" t="str">
        <f t="shared" si="30"/>
        <v/>
      </c>
      <c r="AL36" s="5" t="str">
        <f t="shared" si="30"/>
        <v/>
      </c>
      <c r="AM36" s="5" t="str">
        <f t="shared" si="30"/>
        <v/>
      </c>
      <c r="AN36" s="5" t="str">
        <f t="shared" si="30"/>
        <v/>
      </c>
      <c r="AO36" s="5" t="str">
        <f t="shared" si="30"/>
        <v/>
      </c>
      <c r="AP36" s="5" t="str">
        <f t="shared" si="30"/>
        <v/>
      </c>
      <c r="AQ36" s="5" t="str">
        <f t="shared" si="30"/>
        <v/>
      </c>
      <c r="AR36" s="5" t="str">
        <f t="shared" si="30"/>
        <v/>
      </c>
      <c r="AS36" s="5" t="str">
        <f t="shared" si="30"/>
        <v/>
      </c>
    </row>
    <row r="37" spans="1:45" s="14" customFormat="1" x14ac:dyDescent="0.3">
      <c r="A37" s="4"/>
      <c r="B37" s="4"/>
      <c r="C37" s="3">
        <v>29</v>
      </c>
      <c r="D37" s="2"/>
      <c r="E37" s="6" t="s">
        <v>176</v>
      </c>
      <c r="F37" s="6" t="s">
        <v>176</v>
      </c>
      <c r="G37" s="4"/>
      <c r="H37" s="4">
        <f t="shared" si="3"/>
        <v>0</v>
      </c>
      <c r="I37" s="4"/>
      <c r="J37" s="12" t="str">
        <f t="shared" si="1"/>
        <v>기타충당부채</v>
      </c>
      <c r="K37" s="5">
        <f t="shared" ref="K37:AS37" si="31">IF( $J37&lt;&gt;"", IF(K81=0, "", K81/$G$2), "")</f>
        <v>8333136</v>
      </c>
      <c r="L37" s="5">
        <f t="shared" si="31"/>
        <v>8274021</v>
      </c>
      <c r="M37" s="5">
        <f t="shared" si="31"/>
        <v>8160427</v>
      </c>
      <c r="N37" s="5">
        <f t="shared" si="31"/>
        <v>7679866</v>
      </c>
      <c r="O37" s="5">
        <f t="shared" si="31"/>
        <v>7116931</v>
      </c>
      <c r="P37" s="5">
        <f t="shared" si="31"/>
        <v>5797776</v>
      </c>
      <c r="Q37" s="5">
        <f t="shared" si="31"/>
        <v>5622530</v>
      </c>
      <c r="R37" s="5">
        <f t="shared" si="31"/>
        <v>5400991</v>
      </c>
      <c r="S37" s="5" t="str">
        <f t="shared" si="31"/>
        <v/>
      </c>
      <c r="T37" s="5" t="str">
        <f t="shared" si="31"/>
        <v/>
      </c>
      <c r="U37" s="5" t="str">
        <f t="shared" si="31"/>
        <v/>
      </c>
      <c r="V37" s="5" t="str">
        <f t="shared" si="31"/>
        <v/>
      </c>
      <c r="W37" s="5" t="str">
        <f t="shared" si="31"/>
        <v/>
      </c>
      <c r="X37" s="5" t="str">
        <f t="shared" si="31"/>
        <v/>
      </c>
      <c r="Y37" s="5" t="str">
        <f t="shared" si="31"/>
        <v/>
      </c>
      <c r="Z37" s="5" t="str">
        <f t="shared" si="31"/>
        <v/>
      </c>
      <c r="AA37" s="5" t="str">
        <f t="shared" si="31"/>
        <v/>
      </c>
      <c r="AB37" s="5" t="str">
        <f t="shared" si="31"/>
        <v/>
      </c>
      <c r="AC37" s="5" t="str">
        <f t="shared" si="31"/>
        <v/>
      </c>
      <c r="AD37" s="5" t="str">
        <f t="shared" si="31"/>
        <v/>
      </c>
      <c r="AE37" s="5" t="str">
        <f t="shared" si="31"/>
        <v/>
      </c>
      <c r="AF37" s="5" t="str">
        <f t="shared" si="31"/>
        <v/>
      </c>
      <c r="AG37" s="5" t="str">
        <f t="shared" si="31"/>
        <v/>
      </c>
      <c r="AH37" s="5" t="str">
        <f t="shared" si="31"/>
        <v/>
      </c>
      <c r="AI37" s="5" t="str">
        <f t="shared" si="31"/>
        <v/>
      </c>
      <c r="AJ37" s="5" t="str">
        <f t="shared" si="31"/>
        <v/>
      </c>
      <c r="AK37" s="5" t="str">
        <f t="shared" si="31"/>
        <v/>
      </c>
      <c r="AL37" s="5" t="str">
        <f t="shared" si="31"/>
        <v/>
      </c>
      <c r="AM37" s="5" t="str">
        <f t="shared" si="31"/>
        <v/>
      </c>
      <c r="AN37" s="5" t="str">
        <f t="shared" si="31"/>
        <v/>
      </c>
      <c r="AO37" s="5" t="str">
        <f t="shared" si="31"/>
        <v/>
      </c>
      <c r="AP37" s="5" t="str">
        <f t="shared" si="31"/>
        <v/>
      </c>
      <c r="AQ37" s="5" t="str">
        <f t="shared" si="31"/>
        <v/>
      </c>
      <c r="AR37" s="5" t="str">
        <f t="shared" si="31"/>
        <v/>
      </c>
      <c r="AS37" s="5" t="str">
        <f t="shared" si="31"/>
        <v/>
      </c>
    </row>
    <row r="38" spans="1:45" s="14" customFormat="1" x14ac:dyDescent="0.3">
      <c r="A38" s="4"/>
      <c r="B38" s="4"/>
      <c r="C38" s="3">
        <v>30</v>
      </c>
      <c r="D38" s="2"/>
      <c r="E38" s="6" t="s">
        <v>176</v>
      </c>
      <c r="F38" s="2"/>
      <c r="G38" s="4"/>
      <c r="H38" s="4">
        <f t="shared" si="3"/>
        <v>0</v>
      </c>
      <c r="I38" s="4"/>
      <c r="J38" s="12" t="str">
        <f t="shared" si="1"/>
        <v>당기법인세부채</v>
      </c>
      <c r="K38" s="5">
        <f t="shared" ref="K38:AS38" si="32">IF( $J38&lt;&gt;"", IF(K82=0, "", K82/$G$2), "")</f>
        <v>4280632</v>
      </c>
      <c r="L38" s="5">
        <f t="shared" si="32"/>
        <v>6067653</v>
      </c>
      <c r="M38" s="5">
        <f t="shared" si="32"/>
        <v>7193754</v>
      </c>
      <c r="N38" s="5">
        <f t="shared" si="32"/>
        <v>6749149</v>
      </c>
      <c r="O38" s="5">
        <f t="shared" si="32"/>
        <v>4380143</v>
      </c>
      <c r="P38" s="5">
        <f t="shared" si="32"/>
        <v>4230979</v>
      </c>
      <c r="Q38" s="5">
        <f t="shared" si="32"/>
        <v>4457647</v>
      </c>
      <c r="R38" s="5">
        <f t="shared" si="32"/>
        <v>4430272</v>
      </c>
      <c r="S38" s="5" t="str">
        <f t="shared" si="32"/>
        <v/>
      </c>
      <c r="T38" s="5" t="str">
        <f t="shared" si="32"/>
        <v/>
      </c>
      <c r="U38" s="5" t="str">
        <f t="shared" si="32"/>
        <v/>
      </c>
      <c r="V38" s="5" t="str">
        <f t="shared" si="32"/>
        <v/>
      </c>
      <c r="W38" s="5" t="str">
        <f t="shared" si="32"/>
        <v/>
      </c>
      <c r="X38" s="5" t="str">
        <f t="shared" si="32"/>
        <v/>
      </c>
      <c r="Y38" s="5" t="str">
        <f t="shared" si="32"/>
        <v/>
      </c>
      <c r="Z38" s="5" t="str">
        <f t="shared" si="32"/>
        <v/>
      </c>
      <c r="AA38" s="5" t="str">
        <f t="shared" si="32"/>
        <v/>
      </c>
      <c r="AB38" s="5" t="str">
        <f t="shared" si="32"/>
        <v/>
      </c>
      <c r="AC38" s="5" t="str">
        <f t="shared" si="32"/>
        <v/>
      </c>
      <c r="AD38" s="5" t="str">
        <f t="shared" si="32"/>
        <v/>
      </c>
      <c r="AE38" s="5" t="str">
        <f t="shared" si="32"/>
        <v/>
      </c>
      <c r="AF38" s="5" t="str">
        <f t="shared" si="32"/>
        <v/>
      </c>
      <c r="AG38" s="5" t="str">
        <f t="shared" si="32"/>
        <v/>
      </c>
      <c r="AH38" s="5" t="str">
        <f t="shared" si="32"/>
        <v/>
      </c>
      <c r="AI38" s="5" t="str">
        <f t="shared" si="32"/>
        <v/>
      </c>
      <c r="AJ38" s="5" t="str">
        <f t="shared" si="32"/>
        <v/>
      </c>
      <c r="AK38" s="5" t="str">
        <f t="shared" si="32"/>
        <v/>
      </c>
      <c r="AL38" s="5" t="str">
        <f t="shared" si="32"/>
        <v/>
      </c>
      <c r="AM38" s="5" t="str">
        <f t="shared" si="32"/>
        <v/>
      </c>
      <c r="AN38" s="5" t="str">
        <f t="shared" si="32"/>
        <v/>
      </c>
      <c r="AO38" s="5" t="str">
        <f t="shared" si="32"/>
        <v/>
      </c>
      <c r="AP38" s="5" t="str">
        <f t="shared" si="32"/>
        <v/>
      </c>
      <c r="AQ38" s="5" t="str">
        <f t="shared" si="32"/>
        <v/>
      </c>
      <c r="AR38" s="5" t="str">
        <f t="shared" si="32"/>
        <v/>
      </c>
      <c r="AS38" s="5" t="str">
        <f t="shared" si="32"/>
        <v/>
      </c>
    </row>
    <row r="39" spans="1:45" s="14" customFormat="1" x14ac:dyDescent="0.3">
      <c r="A39" s="4"/>
      <c r="B39" s="4"/>
      <c r="C39" s="3">
        <v>31</v>
      </c>
      <c r="D39" s="2"/>
      <c r="E39" s="6" t="s">
        <v>176</v>
      </c>
      <c r="F39" s="2"/>
      <c r="G39" s="4"/>
      <c r="H39" s="4">
        <f t="shared" si="3"/>
        <v>0</v>
      </c>
      <c r="I39" s="4"/>
      <c r="J39" s="12" t="str">
        <f t="shared" si="1"/>
        <v>종업원급여충당부채</v>
      </c>
      <c r="K39" s="5">
        <f t="shared" ref="K39:AS39" si="33">IF( $J39&lt;&gt;"", IF(K83=0, "", K83/$G$2), "")</f>
        <v>575745</v>
      </c>
      <c r="L39" s="5">
        <f t="shared" si="33"/>
        <v>517143</v>
      </c>
      <c r="M39" s="5">
        <f t="shared" si="33"/>
        <v>476903</v>
      </c>
      <c r="N39" s="5">
        <f t="shared" si="33"/>
        <v>465884</v>
      </c>
      <c r="O39" s="5">
        <f t="shared" si="33"/>
        <v>558019</v>
      </c>
      <c r="P39" s="5">
        <f t="shared" si="33"/>
        <v>516297</v>
      </c>
      <c r="Q39" s="5">
        <f t="shared" si="33"/>
        <v>489469</v>
      </c>
      <c r="R39" s="5">
        <f t="shared" si="33"/>
        <v>464458</v>
      </c>
      <c r="S39" s="5" t="str">
        <f t="shared" si="33"/>
        <v/>
      </c>
      <c r="T39" s="5" t="str">
        <f t="shared" si="33"/>
        <v/>
      </c>
      <c r="U39" s="5" t="str">
        <f t="shared" si="33"/>
        <v/>
      </c>
      <c r="V39" s="5" t="str">
        <f t="shared" si="33"/>
        <v/>
      </c>
      <c r="W39" s="5" t="str">
        <f t="shared" si="33"/>
        <v/>
      </c>
      <c r="X39" s="5" t="str">
        <f t="shared" si="33"/>
        <v/>
      </c>
      <c r="Y39" s="5" t="str">
        <f t="shared" si="33"/>
        <v/>
      </c>
      <c r="Z39" s="5" t="str">
        <f t="shared" si="33"/>
        <v/>
      </c>
      <c r="AA39" s="5" t="str">
        <f t="shared" si="33"/>
        <v/>
      </c>
      <c r="AB39" s="5" t="str">
        <f t="shared" si="33"/>
        <v/>
      </c>
      <c r="AC39" s="5" t="str">
        <f t="shared" si="33"/>
        <v/>
      </c>
      <c r="AD39" s="5" t="str">
        <f t="shared" si="33"/>
        <v/>
      </c>
      <c r="AE39" s="5" t="str">
        <f t="shared" si="33"/>
        <v/>
      </c>
      <c r="AF39" s="5" t="str">
        <f t="shared" si="33"/>
        <v/>
      </c>
      <c r="AG39" s="5" t="str">
        <f t="shared" si="33"/>
        <v/>
      </c>
      <c r="AH39" s="5" t="str">
        <f t="shared" si="33"/>
        <v/>
      </c>
      <c r="AI39" s="5" t="str">
        <f t="shared" si="33"/>
        <v/>
      </c>
      <c r="AJ39" s="5" t="str">
        <f t="shared" si="33"/>
        <v/>
      </c>
      <c r="AK39" s="5" t="str">
        <f t="shared" si="33"/>
        <v/>
      </c>
      <c r="AL39" s="5" t="str">
        <f t="shared" si="33"/>
        <v/>
      </c>
      <c r="AM39" s="5" t="str">
        <f t="shared" si="33"/>
        <v/>
      </c>
      <c r="AN39" s="5" t="str">
        <f t="shared" si="33"/>
        <v/>
      </c>
      <c r="AO39" s="5" t="str">
        <f t="shared" si="33"/>
        <v/>
      </c>
      <c r="AP39" s="5" t="str">
        <f t="shared" si="33"/>
        <v/>
      </c>
      <c r="AQ39" s="5" t="str">
        <f t="shared" si="33"/>
        <v/>
      </c>
      <c r="AR39" s="5" t="str">
        <f t="shared" si="33"/>
        <v/>
      </c>
      <c r="AS39" s="5" t="str">
        <f t="shared" si="33"/>
        <v/>
      </c>
    </row>
    <row r="40" spans="1:45" s="14" customFormat="1" x14ac:dyDescent="0.3">
      <c r="A40" s="4"/>
      <c r="B40" s="4"/>
      <c r="C40" s="3">
        <v>32</v>
      </c>
      <c r="D40" s="2"/>
      <c r="E40" s="4"/>
      <c r="F40" s="2"/>
      <c r="G40" s="4"/>
      <c r="H40" s="4">
        <f t="shared" si="3"/>
        <v>0</v>
      </c>
      <c r="I40" s="4"/>
      <c r="J40" s="12" t="str">
        <f t="shared" si="1"/>
        <v>기타부채</v>
      </c>
      <c r="K40" s="5">
        <f t="shared" ref="K40:AS40" si="34">IF( $J40&lt;&gt;"", IF(K84=0, "", K84/$G$2), "")</f>
        <v>4810416</v>
      </c>
      <c r="L40" s="5">
        <f t="shared" si="34"/>
        <v>4396946</v>
      </c>
      <c r="M40" s="5">
        <f t="shared" si="34"/>
        <v>4412637</v>
      </c>
      <c r="N40" s="5">
        <f t="shared" si="34"/>
        <v>3984234</v>
      </c>
      <c r="O40" s="5">
        <f t="shared" si="34"/>
        <v>3808773</v>
      </c>
      <c r="P40" s="5">
        <f t="shared" si="34"/>
        <v>4141141</v>
      </c>
      <c r="Q40" s="5">
        <f t="shared" si="34"/>
        <v>4934413</v>
      </c>
      <c r="R40" s="5">
        <f t="shared" si="34"/>
        <v>3998999</v>
      </c>
      <c r="S40" s="5" t="str">
        <f t="shared" si="34"/>
        <v/>
      </c>
      <c r="T40" s="5" t="str">
        <f t="shared" si="34"/>
        <v/>
      </c>
      <c r="U40" s="5" t="str">
        <f t="shared" si="34"/>
        <v/>
      </c>
      <c r="V40" s="5" t="str">
        <f t="shared" si="34"/>
        <v/>
      </c>
      <c r="W40" s="5" t="str">
        <f t="shared" si="34"/>
        <v/>
      </c>
      <c r="X40" s="5" t="str">
        <f t="shared" si="34"/>
        <v/>
      </c>
      <c r="Y40" s="5" t="str">
        <f t="shared" si="34"/>
        <v/>
      </c>
      <c r="Z40" s="5" t="str">
        <f t="shared" si="34"/>
        <v/>
      </c>
      <c r="AA40" s="5" t="str">
        <f t="shared" si="34"/>
        <v/>
      </c>
      <c r="AB40" s="5" t="str">
        <f t="shared" si="34"/>
        <v/>
      </c>
      <c r="AC40" s="5" t="str">
        <f t="shared" si="34"/>
        <v/>
      </c>
      <c r="AD40" s="5" t="str">
        <f t="shared" si="34"/>
        <v/>
      </c>
      <c r="AE40" s="5" t="str">
        <f t="shared" si="34"/>
        <v/>
      </c>
      <c r="AF40" s="5" t="str">
        <f t="shared" si="34"/>
        <v/>
      </c>
      <c r="AG40" s="5" t="str">
        <f t="shared" si="34"/>
        <v/>
      </c>
      <c r="AH40" s="5" t="str">
        <f t="shared" si="34"/>
        <v/>
      </c>
      <c r="AI40" s="5" t="str">
        <f t="shared" si="34"/>
        <v/>
      </c>
      <c r="AJ40" s="5" t="str">
        <f t="shared" si="34"/>
        <v/>
      </c>
      <c r="AK40" s="5" t="str">
        <f t="shared" si="34"/>
        <v/>
      </c>
      <c r="AL40" s="5" t="str">
        <f t="shared" si="34"/>
        <v/>
      </c>
      <c r="AM40" s="5" t="str">
        <f t="shared" si="34"/>
        <v/>
      </c>
      <c r="AN40" s="5" t="str">
        <f t="shared" si="34"/>
        <v/>
      </c>
      <c r="AO40" s="5" t="str">
        <f t="shared" si="34"/>
        <v/>
      </c>
      <c r="AP40" s="5" t="str">
        <f t="shared" si="34"/>
        <v/>
      </c>
      <c r="AQ40" s="5" t="str">
        <f t="shared" si="34"/>
        <v/>
      </c>
      <c r="AR40" s="5" t="str">
        <f t="shared" si="34"/>
        <v/>
      </c>
      <c r="AS40" s="5" t="str">
        <f t="shared" si="34"/>
        <v/>
      </c>
    </row>
    <row r="41" spans="1:45" s="14" customFormat="1" x14ac:dyDescent="0.3">
      <c r="A41" s="4"/>
      <c r="B41" s="4"/>
      <c r="C41" s="3">
        <v>33</v>
      </c>
      <c r="D41" s="2"/>
      <c r="E41" s="4"/>
      <c r="F41" s="2"/>
      <c r="G41" s="4"/>
      <c r="H41" s="4">
        <f t="shared" si="3"/>
        <v>0</v>
      </c>
      <c r="I41" s="4"/>
      <c r="J41" s="12" t="str">
        <f t="shared" si="1"/>
        <v>이연법인세부채</v>
      </c>
      <c r="K41" s="5">
        <f t="shared" ref="K41:AS41" si="35">IF( $J41&lt;&gt;"", IF(K85=0, "", K85/$G$2), "")</f>
        <v>28896279</v>
      </c>
      <c r="L41" s="5">
        <f t="shared" si="35"/>
        <v>26341382</v>
      </c>
      <c r="M41" s="5">
        <f t="shared" si="35"/>
        <v>23705374</v>
      </c>
      <c r="N41" s="5">
        <f t="shared" si="35"/>
        <v>23198205</v>
      </c>
      <c r="O41" s="5">
        <f t="shared" si="35"/>
        <v>22487982</v>
      </c>
      <c r="P41" s="5">
        <f t="shared" si="35"/>
        <v>20561350</v>
      </c>
      <c r="Q41" s="5">
        <f t="shared" si="35"/>
        <v>20206147</v>
      </c>
      <c r="R41" s="5">
        <f t="shared" si="35"/>
        <v>18810845</v>
      </c>
      <c r="S41" s="5" t="str">
        <f t="shared" si="35"/>
        <v/>
      </c>
      <c r="T41" s="5" t="str">
        <f t="shared" si="35"/>
        <v/>
      </c>
      <c r="U41" s="5" t="str">
        <f t="shared" si="35"/>
        <v/>
      </c>
      <c r="V41" s="5" t="str">
        <f t="shared" si="35"/>
        <v/>
      </c>
      <c r="W41" s="5" t="str">
        <f t="shared" si="35"/>
        <v/>
      </c>
      <c r="X41" s="5" t="str">
        <f t="shared" si="35"/>
        <v/>
      </c>
      <c r="Y41" s="5" t="str">
        <f t="shared" si="35"/>
        <v/>
      </c>
      <c r="Z41" s="5" t="str">
        <f t="shared" si="35"/>
        <v/>
      </c>
      <c r="AA41" s="5" t="str">
        <f t="shared" si="35"/>
        <v/>
      </c>
      <c r="AB41" s="5" t="str">
        <f t="shared" si="35"/>
        <v/>
      </c>
      <c r="AC41" s="5" t="str">
        <f t="shared" si="35"/>
        <v/>
      </c>
      <c r="AD41" s="5" t="str">
        <f t="shared" si="35"/>
        <v/>
      </c>
      <c r="AE41" s="5" t="str">
        <f t="shared" si="35"/>
        <v/>
      </c>
      <c r="AF41" s="5" t="str">
        <f t="shared" si="35"/>
        <v/>
      </c>
      <c r="AG41" s="5" t="str">
        <f t="shared" si="35"/>
        <v/>
      </c>
      <c r="AH41" s="5" t="str">
        <f t="shared" si="35"/>
        <v/>
      </c>
      <c r="AI41" s="5" t="str">
        <f t="shared" si="35"/>
        <v/>
      </c>
      <c r="AJ41" s="5" t="str">
        <f t="shared" si="35"/>
        <v/>
      </c>
      <c r="AK41" s="5" t="str">
        <f t="shared" si="35"/>
        <v/>
      </c>
      <c r="AL41" s="5" t="str">
        <f t="shared" si="35"/>
        <v/>
      </c>
      <c r="AM41" s="5" t="str">
        <f t="shared" si="35"/>
        <v/>
      </c>
      <c r="AN41" s="5" t="str">
        <f t="shared" si="35"/>
        <v/>
      </c>
      <c r="AO41" s="5" t="str">
        <f t="shared" si="35"/>
        <v/>
      </c>
      <c r="AP41" s="5" t="str">
        <f t="shared" si="35"/>
        <v/>
      </c>
      <c r="AQ41" s="5" t="str">
        <f t="shared" si="35"/>
        <v/>
      </c>
      <c r="AR41" s="5" t="str">
        <f t="shared" si="35"/>
        <v/>
      </c>
      <c r="AS41" s="5" t="str">
        <f t="shared" si="35"/>
        <v/>
      </c>
    </row>
    <row r="42" spans="1:45" s="14" customFormat="1" x14ac:dyDescent="0.3">
      <c r="A42" s="4"/>
      <c r="B42" s="4"/>
      <c r="C42" s="3">
        <v>34</v>
      </c>
      <c r="D42" s="2"/>
      <c r="E42" s="4"/>
      <c r="F42" s="2"/>
      <c r="G42" s="4"/>
      <c r="H42" s="4">
        <f t="shared" si="3"/>
        <v>0</v>
      </c>
      <c r="I42" s="4"/>
      <c r="J42" s="12" t="str">
        <f t="shared" si="1"/>
        <v>예수부채</v>
      </c>
      <c r="K42" s="5">
        <f t="shared" ref="K42:AS42" si="36">IF( $J42&lt;&gt;"", IF(K86=0, "", K86/$G$2), "")</f>
        <v>2554897</v>
      </c>
      <c r="L42" s="5">
        <f t="shared" si="36"/>
        <v>2636008</v>
      </c>
      <c r="M42" s="5">
        <f t="shared" si="36"/>
        <v>507169</v>
      </c>
      <c r="N42" s="5">
        <f t="shared" si="36"/>
        <v>710223</v>
      </c>
      <c r="O42" s="5">
        <f t="shared" si="36"/>
        <v>2554897</v>
      </c>
      <c r="P42" s="5">
        <f t="shared" si="36"/>
        <v>2636008</v>
      </c>
      <c r="Q42" s="5">
        <f t="shared" si="36"/>
        <v>507169</v>
      </c>
      <c r="R42" s="5">
        <f t="shared" si="36"/>
        <v>710223</v>
      </c>
      <c r="S42" s="5" t="str">
        <f t="shared" si="36"/>
        <v/>
      </c>
      <c r="T42" s="5" t="str">
        <f t="shared" si="36"/>
        <v/>
      </c>
      <c r="U42" s="5" t="str">
        <f t="shared" si="36"/>
        <v/>
      </c>
      <c r="V42" s="5" t="str">
        <f t="shared" si="36"/>
        <v/>
      </c>
      <c r="W42" s="5" t="str">
        <f t="shared" si="36"/>
        <v/>
      </c>
      <c r="X42" s="5" t="str">
        <f t="shared" si="36"/>
        <v/>
      </c>
      <c r="Y42" s="5" t="str">
        <f t="shared" si="36"/>
        <v/>
      </c>
      <c r="Z42" s="5" t="str">
        <f t="shared" si="36"/>
        <v/>
      </c>
      <c r="AA42" s="5" t="str">
        <f t="shared" si="36"/>
        <v/>
      </c>
      <c r="AB42" s="5" t="str">
        <f t="shared" si="36"/>
        <v/>
      </c>
      <c r="AC42" s="5" t="str">
        <f t="shared" si="36"/>
        <v/>
      </c>
      <c r="AD42" s="5" t="str">
        <f t="shared" si="36"/>
        <v/>
      </c>
      <c r="AE42" s="5" t="str">
        <f t="shared" si="36"/>
        <v/>
      </c>
      <c r="AF42" s="5" t="str">
        <f t="shared" si="36"/>
        <v/>
      </c>
      <c r="AG42" s="5" t="str">
        <f t="shared" si="36"/>
        <v/>
      </c>
      <c r="AH42" s="5" t="str">
        <f t="shared" si="36"/>
        <v/>
      </c>
      <c r="AI42" s="5" t="str">
        <f t="shared" si="36"/>
        <v/>
      </c>
      <c r="AJ42" s="5" t="str">
        <f t="shared" si="36"/>
        <v/>
      </c>
      <c r="AK42" s="5" t="str">
        <f t="shared" si="36"/>
        <v/>
      </c>
      <c r="AL42" s="5" t="str">
        <f t="shared" si="36"/>
        <v/>
      </c>
      <c r="AM42" s="5" t="str">
        <f t="shared" si="36"/>
        <v/>
      </c>
      <c r="AN42" s="5" t="str">
        <f t="shared" si="36"/>
        <v/>
      </c>
      <c r="AO42" s="5" t="str">
        <f t="shared" si="36"/>
        <v/>
      </c>
      <c r="AP42" s="5" t="str">
        <f t="shared" si="36"/>
        <v/>
      </c>
      <c r="AQ42" s="5" t="str">
        <f t="shared" si="36"/>
        <v/>
      </c>
      <c r="AR42" s="5" t="str">
        <f t="shared" si="36"/>
        <v/>
      </c>
      <c r="AS42" s="5" t="str">
        <f t="shared" si="36"/>
        <v/>
      </c>
    </row>
    <row r="43" spans="1:45" s="14" customFormat="1" x14ac:dyDescent="0.3">
      <c r="A43" s="4"/>
      <c r="B43" s="4"/>
      <c r="C43" s="3">
        <v>35</v>
      </c>
      <c r="D43" s="4"/>
      <c r="E43" s="4"/>
      <c r="F43" s="2"/>
      <c r="G43" s="4"/>
      <c r="H43" s="4">
        <f t="shared" si="3"/>
        <v>0</v>
      </c>
      <c r="I43" s="4"/>
      <c r="J43" s="12" t="str">
        <f t="shared" si="1"/>
        <v/>
      </c>
      <c r="K43" s="5" t="str">
        <f t="shared" ref="K43:AS43" si="37">IF( $J43&lt;&gt;"", IF(K87=0, "", K87/$G$2), "")</f>
        <v/>
      </c>
      <c r="L43" s="5" t="str">
        <f t="shared" si="37"/>
        <v/>
      </c>
      <c r="M43" s="5" t="str">
        <f t="shared" si="37"/>
        <v/>
      </c>
      <c r="N43" s="5" t="str">
        <f t="shared" si="37"/>
        <v/>
      </c>
      <c r="O43" s="5" t="str">
        <f t="shared" si="37"/>
        <v/>
      </c>
      <c r="P43" s="5" t="str">
        <f t="shared" si="37"/>
        <v/>
      </c>
      <c r="Q43" s="5" t="str">
        <f t="shared" si="37"/>
        <v/>
      </c>
      <c r="R43" s="5" t="str">
        <f t="shared" si="37"/>
        <v/>
      </c>
      <c r="S43" s="5" t="str">
        <f t="shared" si="37"/>
        <v/>
      </c>
      <c r="T43" s="5" t="str">
        <f t="shared" si="37"/>
        <v/>
      </c>
      <c r="U43" s="5" t="str">
        <f t="shared" si="37"/>
        <v/>
      </c>
      <c r="V43" s="5" t="str">
        <f t="shared" si="37"/>
        <v/>
      </c>
      <c r="W43" s="5" t="str">
        <f t="shared" si="37"/>
        <v/>
      </c>
      <c r="X43" s="5" t="str">
        <f t="shared" si="37"/>
        <v/>
      </c>
      <c r="Y43" s="5" t="str">
        <f t="shared" si="37"/>
        <v/>
      </c>
      <c r="Z43" s="5" t="str">
        <f t="shared" si="37"/>
        <v/>
      </c>
      <c r="AA43" s="5" t="str">
        <f t="shared" si="37"/>
        <v/>
      </c>
      <c r="AB43" s="5" t="str">
        <f t="shared" si="37"/>
        <v/>
      </c>
      <c r="AC43" s="5" t="str">
        <f t="shared" si="37"/>
        <v/>
      </c>
      <c r="AD43" s="5" t="str">
        <f t="shared" si="37"/>
        <v/>
      </c>
      <c r="AE43" s="5" t="str">
        <f t="shared" si="37"/>
        <v/>
      </c>
      <c r="AF43" s="5" t="str">
        <f t="shared" si="37"/>
        <v/>
      </c>
      <c r="AG43" s="5" t="str">
        <f t="shared" si="37"/>
        <v/>
      </c>
      <c r="AH43" s="5" t="str">
        <f t="shared" si="37"/>
        <v/>
      </c>
      <c r="AI43" s="5" t="str">
        <f t="shared" si="37"/>
        <v/>
      </c>
      <c r="AJ43" s="5" t="str">
        <f t="shared" si="37"/>
        <v/>
      </c>
      <c r="AK43" s="5" t="str">
        <f t="shared" si="37"/>
        <v/>
      </c>
      <c r="AL43" s="5" t="str">
        <f t="shared" si="37"/>
        <v/>
      </c>
      <c r="AM43" s="5" t="str">
        <f t="shared" si="37"/>
        <v/>
      </c>
      <c r="AN43" s="5" t="str">
        <f t="shared" si="37"/>
        <v/>
      </c>
      <c r="AO43" s="5" t="str">
        <f t="shared" si="37"/>
        <v/>
      </c>
      <c r="AP43" s="5" t="str">
        <f t="shared" si="37"/>
        <v/>
      </c>
      <c r="AQ43" s="5" t="str">
        <f t="shared" si="37"/>
        <v/>
      </c>
      <c r="AR43" s="5" t="str">
        <f t="shared" si="37"/>
        <v/>
      </c>
      <c r="AS43" s="5" t="str">
        <f t="shared" si="37"/>
        <v/>
      </c>
    </row>
    <row r="44" spans="1:45" s="14" customFormat="1" x14ac:dyDescent="0.3">
      <c r="A44" s="4"/>
      <c r="B44" s="4"/>
      <c r="C44" s="3">
        <v>36</v>
      </c>
      <c r="D44" s="4"/>
      <c r="E44" s="4"/>
      <c r="F44" s="2"/>
      <c r="G44" s="4"/>
      <c r="H44" s="4">
        <f t="shared" si="3"/>
        <v>0</v>
      </c>
      <c r="I44" s="4"/>
      <c r="J44" s="12" t="str">
        <f t="shared" si="1"/>
        <v/>
      </c>
      <c r="K44" s="5" t="str">
        <f t="shared" ref="K44:AS44" si="38">IF( $J44&lt;&gt;"", IF(K88=0, "", K88/$G$2), "")</f>
        <v/>
      </c>
      <c r="L44" s="5" t="str">
        <f t="shared" si="38"/>
        <v/>
      </c>
      <c r="M44" s="5" t="str">
        <f t="shared" si="38"/>
        <v/>
      </c>
      <c r="N44" s="5" t="str">
        <f t="shared" si="38"/>
        <v/>
      </c>
      <c r="O44" s="5" t="str">
        <f t="shared" si="38"/>
        <v/>
      </c>
      <c r="P44" s="5" t="str">
        <f t="shared" si="38"/>
        <v/>
      </c>
      <c r="Q44" s="5" t="str">
        <f t="shared" si="38"/>
        <v/>
      </c>
      <c r="R44" s="5" t="str">
        <f t="shared" si="38"/>
        <v/>
      </c>
      <c r="S44" s="5" t="str">
        <f t="shared" si="38"/>
        <v/>
      </c>
      <c r="T44" s="5" t="str">
        <f t="shared" si="38"/>
        <v/>
      </c>
      <c r="U44" s="5" t="str">
        <f t="shared" si="38"/>
        <v/>
      </c>
      <c r="V44" s="5" t="str">
        <f t="shared" si="38"/>
        <v/>
      </c>
      <c r="W44" s="5" t="str">
        <f t="shared" si="38"/>
        <v/>
      </c>
      <c r="X44" s="5" t="str">
        <f t="shared" si="38"/>
        <v/>
      </c>
      <c r="Y44" s="5" t="str">
        <f t="shared" si="38"/>
        <v/>
      </c>
      <c r="Z44" s="5" t="str">
        <f t="shared" si="38"/>
        <v/>
      </c>
      <c r="AA44" s="5" t="str">
        <f t="shared" si="38"/>
        <v/>
      </c>
      <c r="AB44" s="5" t="str">
        <f t="shared" si="38"/>
        <v/>
      </c>
      <c r="AC44" s="5" t="str">
        <f t="shared" si="38"/>
        <v/>
      </c>
      <c r="AD44" s="5" t="str">
        <f t="shared" si="38"/>
        <v/>
      </c>
      <c r="AE44" s="5" t="str">
        <f t="shared" si="38"/>
        <v/>
      </c>
      <c r="AF44" s="5" t="str">
        <f t="shared" si="38"/>
        <v/>
      </c>
      <c r="AG44" s="5" t="str">
        <f t="shared" si="38"/>
        <v/>
      </c>
      <c r="AH44" s="5" t="str">
        <f t="shared" si="38"/>
        <v/>
      </c>
      <c r="AI44" s="5" t="str">
        <f t="shared" si="38"/>
        <v/>
      </c>
      <c r="AJ44" s="5" t="str">
        <f t="shared" si="38"/>
        <v/>
      </c>
      <c r="AK44" s="5" t="str">
        <f t="shared" si="38"/>
        <v/>
      </c>
      <c r="AL44" s="5" t="str">
        <f t="shared" si="38"/>
        <v/>
      </c>
      <c r="AM44" s="5" t="str">
        <f t="shared" si="38"/>
        <v/>
      </c>
      <c r="AN44" s="5" t="str">
        <f t="shared" si="38"/>
        <v/>
      </c>
      <c r="AO44" s="5" t="str">
        <f t="shared" si="38"/>
        <v/>
      </c>
      <c r="AP44" s="5" t="str">
        <f t="shared" si="38"/>
        <v/>
      </c>
      <c r="AQ44" s="5" t="str">
        <f t="shared" si="38"/>
        <v/>
      </c>
      <c r="AR44" s="5" t="str">
        <f t="shared" si="38"/>
        <v/>
      </c>
      <c r="AS44" s="5" t="str">
        <f t="shared" si="38"/>
        <v/>
      </c>
    </row>
    <row r="45" spans="1:45" s="14" customFormat="1" x14ac:dyDescent="0.3">
      <c r="A45" s="4"/>
      <c r="B45" s="4"/>
      <c r="C45" s="3">
        <v>37</v>
      </c>
      <c r="D45" s="4"/>
      <c r="E45" s="4"/>
      <c r="F45" s="6" t="s">
        <v>176</v>
      </c>
      <c r="G45" s="4"/>
      <c r="H45" s="4">
        <f t="shared" si="3"/>
        <v>0</v>
      </c>
      <c r="I45" s="4"/>
      <c r="J45" s="12" t="str">
        <f t="shared" si="1"/>
        <v/>
      </c>
      <c r="K45" s="5" t="str">
        <f t="shared" ref="K45:AS45" si="39">IF( $J45&lt;&gt;"", IF(K89=0, "", K89/$G$2), "")</f>
        <v/>
      </c>
      <c r="L45" s="5" t="str">
        <f t="shared" si="39"/>
        <v/>
      </c>
      <c r="M45" s="5" t="str">
        <f t="shared" si="39"/>
        <v/>
      </c>
      <c r="N45" s="5" t="str">
        <f t="shared" si="39"/>
        <v/>
      </c>
      <c r="O45" s="5" t="str">
        <f t="shared" si="39"/>
        <v/>
      </c>
      <c r="P45" s="5" t="str">
        <f t="shared" si="39"/>
        <v/>
      </c>
      <c r="Q45" s="5" t="str">
        <f t="shared" si="39"/>
        <v/>
      </c>
      <c r="R45" s="5" t="str">
        <f t="shared" si="39"/>
        <v/>
      </c>
      <c r="S45" s="5" t="str">
        <f t="shared" si="39"/>
        <v/>
      </c>
      <c r="T45" s="5" t="str">
        <f t="shared" si="39"/>
        <v/>
      </c>
      <c r="U45" s="5" t="str">
        <f t="shared" si="39"/>
        <v/>
      </c>
      <c r="V45" s="5" t="str">
        <f t="shared" si="39"/>
        <v/>
      </c>
      <c r="W45" s="5" t="str">
        <f t="shared" si="39"/>
        <v/>
      </c>
      <c r="X45" s="5" t="str">
        <f t="shared" si="39"/>
        <v/>
      </c>
      <c r="Y45" s="5" t="str">
        <f t="shared" si="39"/>
        <v/>
      </c>
      <c r="Z45" s="5" t="str">
        <f t="shared" si="39"/>
        <v/>
      </c>
      <c r="AA45" s="5" t="str">
        <f t="shared" si="39"/>
        <v/>
      </c>
      <c r="AB45" s="5" t="str">
        <f t="shared" si="39"/>
        <v/>
      </c>
      <c r="AC45" s="5" t="str">
        <f t="shared" si="39"/>
        <v/>
      </c>
      <c r="AD45" s="5" t="str">
        <f t="shared" si="39"/>
        <v/>
      </c>
      <c r="AE45" s="5" t="str">
        <f t="shared" si="39"/>
        <v/>
      </c>
      <c r="AF45" s="5" t="str">
        <f t="shared" si="39"/>
        <v/>
      </c>
      <c r="AG45" s="5" t="str">
        <f t="shared" si="39"/>
        <v/>
      </c>
      <c r="AH45" s="5" t="str">
        <f t="shared" si="39"/>
        <v/>
      </c>
      <c r="AI45" s="5" t="str">
        <f t="shared" si="39"/>
        <v/>
      </c>
      <c r="AJ45" s="5" t="str">
        <f t="shared" si="39"/>
        <v/>
      </c>
      <c r="AK45" s="5" t="str">
        <f t="shared" si="39"/>
        <v/>
      </c>
      <c r="AL45" s="5" t="str">
        <f t="shared" si="39"/>
        <v/>
      </c>
      <c r="AM45" s="5" t="str">
        <f t="shared" si="39"/>
        <v/>
      </c>
      <c r="AN45" s="5" t="str">
        <f t="shared" si="39"/>
        <v/>
      </c>
      <c r="AO45" s="5" t="str">
        <f t="shared" si="39"/>
        <v/>
      </c>
      <c r="AP45" s="5" t="str">
        <f t="shared" si="39"/>
        <v/>
      </c>
      <c r="AQ45" s="5" t="str">
        <f t="shared" si="39"/>
        <v/>
      </c>
      <c r="AR45" s="5" t="str">
        <f t="shared" si="39"/>
        <v/>
      </c>
      <c r="AS45" s="5" t="str">
        <f t="shared" si="39"/>
        <v/>
      </c>
    </row>
    <row r="46" spans="1:45" s="14" customFormat="1" x14ac:dyDescent="0.3">
      <c r="A46" s="4"/>
      <c r="B46" s="4"/>
      <c r="C46" s="3">
        <v>38</v>
      </c>
      <c r="D46" s="4"/>
      <c r="E46" s="4"/>
      <c r="F46" s="6" t="s">
        <v>176</v>
      </c>
      <c r="G46" s="4"/>
      <c r="H46" s="4">
        <f t="shared" si="3"/>
        <v>0</v>
      </c>
      <c r="I46" s="4"/>
      <c r="J46" s="12" t="str">
        <f t="shared" si="1"/>
        <v/>
      </c>
      <c r="K46" s="5" t="str">
        <f t="shared" ref="K46:AS46" si="40">IF( $J46&lt;&gt;"", IF(K90=0, "", K90/$G$2), "")</f>
        <v/>
      </c>
      <c r="L46" s="5" t="str">
        <f t="shared" si="40"/>
        <v/>
      </c>
      <c r="M46" s="5" t="str">
        <f t="shared" si="40"/>
        <v/>
      </c>
      <c r="N46" s="5" t="str">
        <f t="shared" si="40"/>
        <v/>
      </c>
      <c r="O46" s="5" t="str">
        <f t="shared" si="40"/>
        <v/>
      </c>
      <c r="P46" s="5" t="str">
        <f t="shared" si="40"/>
        <v/>
      </c>
      <c r="Q46" s="5" t="str">
        <f t="shared" si="40"/>
        <v/>
      </c>
      <c r="R46" s="5" t="str">
        <f t="shared" si="40"/>
        <v/>
      </c>
      <c r="S46" s="5" t="str">
        <f t="shared" si="40"/>
        <v/>
      </c>
      <c r="T46" s="5" t="str">
        <f t="shared" si="40"/>
        <v/>
      </c>
      <c r="U46" s="5" t="str">
        <f t="shared" si="40"/>
        <v/>
      </c>
      <c r="V46" s="5" t="str">
        <f t="shared" si="40"/>
        <v/>
      </c>
      <c r="W46" s="5" t="str">
        <f t="shared" si="40"/>
        <v/>
      </c>
      <c r="X46" s="5" t="str">
        <f t="shared" si="40"/>
        <v/>
      </c>
      <c r="Y46" s="5" t="str">
        <f t="shared" si="40"/>
        <v/>
      </c>
      <c r="Z46" s="5" t="str">
        <f t="shared" si="40"/>
        <v/>
      </c>
      <c r="AA46" s="5" t="str">
        <f t="shared" si="40"/>
        <v/>
      </c>
      <c r="AB46" s="5" t="str">
        <f t="shared" si="40"/>
        <v/>
      </c>
      <c r="AC46" s="5" t="str">
        <f t="shared" si="40"/>
        <v/>
      </c>
      <c r="AD46" s="5" t="str">
        <f t="shared" si="40"/>
        <v/>
      </c>
      <c r="AE46" s="5" t="str">
        <f t="shared" si="40"/>
        <v/>
      </c>
      <c r="AF46" s="5" t="str">
        <f t="shared" si="40"/>
        <v/>
      </c>
      <c r="AG46" s="5" t="str">
        <f t="shared" si="40"/>
        <v/>
      </c>
      <c r="AH46" s="5" t="str">
        <f t="shared" si="40"/>
        <v/>
      </c>
      <c r="AI46" s="5" t="str">
        <f t="shared" si="40"/>
        <v/>
      </c>
      <c r="AJ46" s="5" t="str">
        <f t="shared" si="40"/>
        <v/>
      </c>
      <c r="AK46" s="5" t="str">
        <f t="shared" si="40"/>
        <v/>
      </c>
      <c r="AL46" s="5" t="str">
        <f t="shared" si="40"/>
        <v/>
      </c>
      <c r="AM46" s="5" t="str">
        <f t="shared" si="40"/>
        <v/>
      </c>
      <c r="AN46" s="5" t="str">
        <f t="shared" si="40"/>
        <v/>
      </c>
      <c r="AO46" s="5" t="str">
        <f t="shared" si="40"/>
        <v/>
      </c>
      <c r="AP46" s="5" t="str">
        <f t="shared" si="40"/>
        <v/>
      </c>
      <c r="AQ46" s="5" t="str">
        <f t="shared" si="40"/>
        <v/>
      </c>
      <c r="AR46" s="5" t="str">
        <f t="shared" si="40"/>
        <v/>
      </c>
      <c r="AS46" s="5" t="str">
        <f t="shared" si="40"/>
        <v/>
      </c>
    </row>
    <row r="47" spans="1:45" s="14" customFormat="1" x14ac:dyDescent="0.3">
      <c r="A47" s="4"/>
      <c r="B47" s="4"/>
      <c r="C47" s="3">
        <v>39</v>
      </c>
      <c r="D47" s="4"/>
      <c r="E47" s="4"/>
      <c r="F47" s="6" t="s">
        <v>176</v>
      </c>
      <c r="G47" s="4"/>
      <c r="H47" s="4">
        <f t="shared" si="3"/>
        <v>0</v>
      </c>
      <c r="I47" s="4"/>
      <c r="J47" s="12" t="str">
        <f t="shared" si="1"/>
        <v/>
      </c>
      <c r="K47" s="5" t="str">
        <f t="shared" ref="K47:AS47" si="41">IF( $J47&lt;&gt;"", IF(K91=0, "", K91/$G$2), "")</f>
        <v/>
      </c>
      <c r="L47" s="5" t="str">
        <f t="shared" si="41"/>
        <v/>
      </c>
      <c r="M47" s="5" t="str">
        <f t="shared" si="41"/>
        <v/>
      </c>
      <c r="N47" s="5" t="str">
        <f t="shared" si="41"/>
        <v/>
      </c>
      <c r="O47" s="5" t="str">
        <f t="shared" si="41"/>
        <v/>
      </c>
      <c r="P47" s="5" t="str">
        <f t="shared" si="41"/>
        <v/>
      </c>
      <c r="Q47" s="5" t="str">
        <f t="shared" si="41"/>
        <v/>
      </c>
      <c r="R47" s="5" t="str">
        <f t="shared" si="41"/>
        <v/>
      </c>
      <c r="S47" s="5" t="str">
        <f t="shared" si="41"/>
        <v/>
      </c>
      <c r="T47" s="5" t="str">
        <f t="shared" si="41"/>
        <v/>
      </c>
      <c r="U47" s="5" t="str">
        <f t="shared" si="41"/>
        <v/>
      </c>
      <c r="V47" s="5" t="str">
        <f t="shared" si="41"/>
        <v/>
      </c>
      <c r="W47" s="5" t="str">
        <f t="shared" si="41"/>
        <v/>
      </c>
      <c r="X47" s="5" t="str">
        <f t="shared" si="41"/>
        <v/>
      </c>
      <c r="Y47" s="5" t="str">
        <f t="shared" si="41"/>
        <v/>
      </c>
      <c r="Z47" s="5" t="str">
        <f t="shared" si="41"/>
        <v/>
      </c>
      <c r="AA47" s="5" t="str">
        <f t="shared" si="41"/>
        <v/>
      </c>
      <c r="AB47" s="5" t="str">
        <f t="shared" si="41"/>
        <v/>
      </c>
      <c r="AC47" s="5" t="str">
        <f t="shared" si="41"/>
        <v/>
      </c>
      <c r="AD47" s="5" t="str">
        <f t="shared" si="41"/>
        <v/>
      </c>
      <c r="AE47" s="5" t="str">
        <f t="shared" si="41"/>
        <v/>
      </c>
      <c r="AF47" s="5" t="str">
        <f t="shared" si="41"/>
        <v/>
      </c>
      <c r="AG47" s="5" t="str">
        <f t="shared" si="41"/>
        <v/>
      </c>
      <c r="AH47" s="5" t="str">
        <f t="shared" si="41"/>
        <v/>
      </c>
      <c r="AI47" s="5" t="str">
        <f t="shared" si="41"/>
        <v/>
      </c>
      <c r="AJ47" s="5" t="str">
        <f t="shared" si="41"/>
        <v/>
      </c>
      <c r="AK47" s="5" t="str">
        <f t="shared" si="41"/>
        <v/>
      </c>
      <c r="AL47" s="5" t="str">
        <f t="shared" si="41"/>
        <v/>
      </c>
      <c r="AM47" s="5" t="str">
        <f t="shared" si="41"/>
        <v/>
      </c>
      <c r="AN47" s="5" t="str">
        <f t="shared" si="41"/>
        <v/>
      </c>
      <c r="AO47" s="5" t="str">
        <f t="shared" si="41"/>
        <v/>
      </c>
      <c r="AP47" s="5" t="str">
        <f t="shared" si="41"/>
        <v/>
      </c>
      <c r="AQ47" s="5" t="str">
        <f t="shared" si="41"/>
        <v/>
      </c>
      <c r="AR47" s="5" t="str">
        <f t="shared" si="41"/>
        <v/>
      </c>
      <c r="AS47" s="5" t="str">
        <f t="shared" si="41"/>
        <v/>
      </c>
    </row>
    <row r="48" spans="1:45" s="14" customFormat="1" x14ac:dyDescent="0.3">
      <c r="A48" s="4"/>
      <c r="B48" s="4"/>
      <c r="C48" s="4"/>
      <c r="D48" s="4"/>
      <c r="E48" s="4"/>
      <c r="F48" s="4"/>
      <c r="G48" s="4"/>
      <c r="H48" s="4"/>
      <c r="I48" s="4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pans="1:10009" s="14" customFormat="1" x14ac:dyDescent="0.3">
      <c r="A49" s="4"/>
      <c r="B49" s="4"/>
      <c r="C49" s="4"/>
      <c r="D49" s="4"/>
      <c r="E49" s="4"/>
      <c r="F49" s="4"/>
      <c r="G49" s="4"/>
      <c r="H49" s="4"/>
      <c r="I49" s="4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 spans="1:10009" s="14" customFormat="1" x14ac:dyDescent="0.3">
      <c r="A50" s="4"/>
      <c r="B50" s="4"/>
      <c r="C50" s="4"/>
      <c r="D50" s="4"/>
      <c r="E50" s="4"/>
      <c r="F50" s="4"/>
      <c r="G50" s="4"/>
      <c r="H50" s="4"/>
      <c r="I50" s="4"/>
      <c r="J50" s="9"/>
      <c r="K50" s="9"/>
      <c r="L50" s="9"/>
      <c r="M50" s="9"/>
      <c r="N50" s="9"/>
      <c r="O50" s="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 spans="1:10009" hidden="1" x14ac:dyDescent="0.3">
      <c r="J51" t="str">
        <f ca="1">_xll.IMDH("STK",$L$5,$J$52:$J$91,$N$5,TODAY(),9999,"Per=분기,sort=D,real=true,Bizday=0,Quote=종가,Pos=11,Orient=H,Cons="&amp;$O$5&amp;",Comp="&amp;$P$5&amp;",Trai="&amp;$Q$5&amp;",DtFmt=1,TmFmt=1,unit=true,title="&amp;$L$5&amp;"")</f>
        <v>005930</v>
      </c>
    </row>
    <row r="52" spans="1:10009" hidden="1" x14ac:dyDescent="0.3">
      <c r="J52" t="s">
        <v>175</v>
      </c>
      <c r="K52" s="16">
        <v>44834</v>
      </c>
      <c r="L52" s="16">
        <v>44742</v>
      </c>
      <c r="M52" s="16">
        <v>44651</v>
      </c>
      <c r="N52" s="16">
        <v>44561</v>
      </c>
      <c r="O52" s="16">
        <v>44469</v>
      </c>
      <c r="P52" s="16">
        <v>44377</v>
      </c>
      <c r="Q52" s="16">
        <v>44286</v>
      </c>
      <c r="R52" s="16">
        <v>44196</v>
      </c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16"/>
      <c r="PF52" s="16"/>
      <c r="PG52" s="16"/>
      <c r="PH52" s="16"/>
      <c r="PI52" s="16"/>
      <c r="PJ52" s="16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  <c r="UY52" s="16"/>
      <c r="UZ52" s="16"/>
      <c r="VA52" s="16"/>
      <c r="VB52" s="16"/>
      <c r="VC52" s="16"/>
      <c r="VD52" s="16"/>
      <c r="VE52" s="16"/>
      <c r="VF52" s="16"/>
      <c r="VG52" s="16"/>
      <c r="VH52" s="16"/>
      <c r="VI52" s="16"/>
      <c r="VJ52" s="16"/>
      <c r="VK52" s="16"/>
      <c r="VL52" s="16"/>
      <c r="VM52" s="16"/>
      <c r="VN52" s="16"/>
      <c r="VO52" s="16"/>
      <c r="VP52" s="16"/>
      <c r="VQ52" s="16"/>
      <c r="VR52" s="16"/>
      <c r="VS52" s="16"/>
      <c r="VT52" s="16"/>
      <c r="VU52" s="16"/>
      <c r="VV52" s="16"/>
      <c r="VW52" s="16"/>
      <c r="VX52" s="16"/>
      <c r="VY52" s="16"/>
      <c r="VZ52" s="16"/>
      <c r="WA52" s="16"/>
      <c r="WB52" s="16"/>
      <c r="WC52" s="16"/>
      <c r="WD52" s="16"/>
      <c r="WE52" s="16"/>
      <c r="WF52" s="16"/>
      <c r="WG52" s="16"/>
      <c r="WH52" s="16"/>
      <c r="WI52" s="16"/>
      <c r="WJ52" s="16"/>
      <c r="WK52" s="16"/>
      <c r="WL52" s="16"/>
      <c r="WM52" s="16"/>
      <c r="WN52" s="16"/>
      <c r="WO52" s="16"/>
      <c r="WP52" s="16"/>
      <c r="WQ52" s="16"/>
      <c r="WR52" s="16"/>
      <c r="WS52" s="16"/>
      <c r="WT52" s="16"/>
      <c r="WU52" s="16"/>
      <c r="WV52" s="16"/>
      <c r="WW52" s="16"/>
      <c r="WX52" s="16"/>
      <c r="WY52" s="16"/>
      <c r="WZ52" s="16"/>
      <c r="XA52" s="16"/>
      <c r="XB52" s="16"/>
      <c r="XC52" s="16"/>
      <c r="XD52" s="16"/>
      <c r="XE52" s="16"/>
      <c r="XF52" s="16"/>
      <c r="XG52" s="16"/>
      <c r="XH52" s="16"/>
      <c r="XI52" s="16"/>
      <c r="XJ52" s="16"/>
      <c r="XK52" s="16"/>
      <c r="XL52" s="16"/>
      <c r="XM52" s="16"/>
      <c r="XN52" s="16"/>
      <c r="XO52" s="16"/>
      <c r="XP52" s="16"/>
      <c r="XQ52" s="16"/>
      <c r="XR52" s="16"/>
      <c r="XS52" s="16"/>
      <c r="XT52" s="16"/>
      <c r="XU52" s="16"/>
      <c r="XV52" s="16"/>
      <c r="XW52" s="16"/>
      <c r="XX52" s="16"/>
      <c r="XY52" s="16"/>
      <c r="XZ52" s="16"/>
      <c r="YA52" s="16"/>
      <c r="YB52" s="16"/>
      <c r="YC52" s="16"/>
      <c r="YD52" s="16"/>
      <c r="YE52" s="16"/>
      <c r="YF52" s="16"/>
      <c r="YG52" s="16"/>
      <c r="YH52" s="16"/>
      <c r="YI52" s="16"/>
      <c r="YJ52" s="16"/>
      <c r="YK52" s="16"/>
      <c r="YL52" s="16"/>
      <c r="YM52" s="16"/>
      <c r="YN52" s="16"/>
      <c r="YO52" s="16"/>
      <c r="YP52" s="16"/>
      <c r="YQ52" s="16"/>
      <c r="YR52" s="16"/>
      <c r="YS52" s="16"/>
      <c r="YT52" s="16"/>
      <c r="YU52" s="16"/>
      <c r="YV52" s="16"/>
      <c r="YW52" s="16"/>
      <c r="YX52" s="16"/>
      <c r="YY52" s="16"/>
      <c r="YZ52" s="16"/>
      <c r="ZA52" s="16"/>
      <c r="ZB52" s="16"/>
      <c r="ZC52" s="16"/>
      <c r="ZD52" s="16"/>
      <c r="ZE52" s="16"/>
      <c r="ZF52" s="16"/>
      <c r="ZG52" s="16"/>
      <c r="ZH52" s="16"/>
      <c r="ZI52" s="16"/>
      <c r="ZJ52" s="16"/>
      <c r="ZK52" s="16"/>
      <c r="ZL52" s="16"/>
      <c r="ZM52" s="16"/>
      <c r="ZN52" s="16"/>
      <c r="ZO52" s="16"/>
      <c r="ZP52" s="16"/>
      <c r="ZQ52" s="16"/>
      <c r="ZR52" s="16"/>
      <c r="ZS52" s="16"/>
      <c r="ZT52" s="16"/>
      <c r="ZU52" s="16"/>
      <c r="ZV52" s="16"/>
      <c r="ZW52" s="16"/>
      <c r="ZX52" s="16"/>
      <c r="ZY52" s="16"/>
      <c r="ZZ52" s="16"/>
      <c r="AAA52" s="16"/>
      <c r="AAB52" s="16"/>
      <c r="AAC52" s="16"/>
      <c r="AAD52" s="16"/>
      <c r="AAE52" s="16"/>
      <c r="AAF52" s="16"/>
      <c r="AAG52" s="16"/>
      <c r="AAH52" s="16"/>
      <c r="AAI52" s="16"/>
      <c r="AAJ52" s="16"/>
      <c r="AAK52" s="16"/>
      <c r="AAL52" s="16"/>
      <c r="AAM52" s="16"/>
      <c r="AAN52" s="16"/>
      <c r="AAO52" s="16"/>
      <c r="AAP52" s="16"/>
      <c r="AAQ52" s="16"/>
      <c r="AAR52" s="16"/>
      <c r="AAS52" s="16"/>
      <c r="AAT52" s="16"/>
      <c r="AAU52" s="16"/>
      <c r="AAV52" s="16"/>
      <c r="AAW52" s="16"/>
      <c r="AAX52" s="16"/>
      <c r="AAY52" s="16"/>
      <c r="AAZ52" s="16"/>
      <c r="ABA52" s="16"/>
      <c r="ABB52" s="16"/>
      <c r="ABC52" s="16"/>
      <c r="ABD52" s="16"/>
      <c r="ABE52" s="16"/>
      <c r="ABF52" s="16"/>
      <c r="ABG52" s="16"/>
      <c r="ABH52" s="16"/>
      <c r="ABI52" s="16"/>
      <c r="ABJ52" s="16"/>
      <c r="ABK52" s="16"/>
      <c r="ABL52" s="16"/>
      <c r="ABM52" s="16"/>
      <c r="ABN52" s="16"/>
      <c r="ABO52" s="16"/>
      <c r="ABP52" s="16"/>
      <c r="ABQ52" s="16"/>
      <c r="ABR52" s="16"/>
      <c r="ABS52" s="16"/>
      <c r="ABT52" s="16"/>
      <c r="ABU52" s="16"/>
      <c r="ABV52" s="16"/>
      <c r="ABW52" s="16"/>
      <c r="ABX52" s="16"/>
      <c r="ABY52" s="16"/>
      <c r="ABZ52" s="16"/>
      <c r="ACA52" s="16"/>
      <c r="ACB52" s="16"/>
      <c r="ACC52" s="16"/>
      <c r="ACD52" s="16"/>
      <c r="ACE52" s="16"/>
      <c r="ACF52" s="16"/>
      <c r="ACG52" s="16"/>
      <c r="ACH52" s="16"/>
      <c r="ACI52" s="16"/>
      <c r="ACJ52" s="16"/>
      <c r="ACK52" s="16"/>
      <c r="ACL52" s="16"/>
      <c r="ACM52" s="16"/>
      <c r="ACN52" s="16"/>
      <c r="ACO52" s="16"/>
      <c r="ACP52" s="16"/>
      <c r="ACQ52" s="16"/>
      <c r="ACR52" s="16"/>
      <c r="ACS52" s="16"/>
      <c r="ACT52" s="16"/>
      <c r="ACU52" s="16"/>
      <c r="ACV52" s="16"/>
      <c r="ACW52" s="16"/>
      <c r="ACX52" s="16"/>
      <c r="ACY52" s="16"/>
      <c r="ACZ52" s="16"/>
      <c r="ADA52" s="16"/>
      <c r="ADB52" s="16"/>
      <c r="ADC52" s="16"/>
      <c r="ADD52" s="16"/>
      <c r="ADE52" s="16"/>
      <c r="ADF52" s="16"/>
      <c r="ADG52" s="16"/>
      <c r="ADH52" s="16"/>
      <c r="ADI52" s="16"/>
      <c r="ADJ52" s="16"/>
      <c r="ADK52" s="16"/>
      <c r="ADL52" s="16"/>
      <c r="ADM52" s="16"/>
      <c r="ADN52" s="16"/>
      <c r="ADO52" s="16"/>
      <c r="ADP52" s="16"/>
      <c r="ADQ52" s="16"/>
      <c r="ADR52" s="16"/>
      <c r="ADS52" s="16"/>
      <c r="ADT52" s="16"/>
      <c r="ADU52" s="16"/>
      <c r="ADV52" s="16"/>
      <c r="ADW52" s="16"/>
      <c r="ADX52" s="16"/>
      <c r="ADY52" s="16"/>
      <c r="ADZ52" s="16"/>
      <c r="AEA52" s="16"/>
      <c r="AEB52" s="16"/>
      <c r="AEC52" s="16"/>
      <c r="AED52" s="16"/>
      <c r="AEE52" s="16"/>
      <c r="AEF52" s="16"/>
      <c r="AEG52" s="16"/>
      <c r="AEH52" s="16"/>
      <c r="AEI52" s="16"/>
      <c r="AEJ52" s="16"/>
      <c r="AEK52" s="16"/>
      <c r="AEL52" s="16"/>
      <c r="AEM52" s="16"/>
      <c r="AEN52" s="16"/>
      <c r="AEO52" s="16"/>
      <c r="AEP52" s="16"/>
      <c r="AEQ52" s="16"/>
      <c r="AER52" s="16"/>
      <c r="AES52" s="16"/>
      <c r="AET52" s="16"/>
      <c r="AEU52" s="16"/>
      <c r="AEV52" s="16"/>
      <c r="AEW52" s="16"/>
      <c r="AEX52" s="16"/>
      <c r="AEY52" s="16"/>
      <c r="AEZ52" s="16"/>
      <c r="AFA52" s="16"/>
      <c r="AFB52" s="16"/>
      <c r="AFC52" s="16"/>
      <c r="AFD52" s="16"/>
      <c r="AFE52" s="16"/>
      <c r="AFF52" s="16"/>
      <c r="AFG52" s="16"/>
      <c r="AFH52" s="16"/>
      <c r="AFI52" s="16"/>
      <c r="AFJ52" s="16"/>
      <c r="AFK52" s="16"/>
      <c r="AFL52" s="16"/>
      <c r="AFM52" s="16"/>
      <c r="AFN52" s="16"/>
      <c r="AFO52" s="16"/>
      <c r="AFP52" s="16"/>
      <c r="AFQ52" s="16"/>
      <c r="AFR52" s="16"/>
      <c r="AFS52" s="16"/>
      <c r="AFT52" s="16"/>
      <c r="AFU52" s="16"/>
      <c r="AFV52" s="16"/>
      <c r="AFW52" s="16"/>
      <c r="AFX52" s="16"/>
      <c r="AFY52" s="16"/>
      <c r="AFZ52" s="16"/>
      <c r="AGA52" s="16"/>
      <c r="AGB52" s="16"/>
      <c r="AGC52" s="16"/>
      <c r="AGD52" s="16"/>
      <c r="AGE52" s="16"/>
      <c r="AGF52" s="16"/>
      <c r="AGG52" s="16"/>
      <c r="AGH52" s="16"/>
      <c r="AGI52" s="16"/>
      <c r="AGJ52" s="16"/>
      <c r="AGK52" s="16"/>
      <c r="AGL52" s="16"/>
      <c r="AGM52" s="16"/>
      <c r="AGN52" s="16"/>
      <c r="AGO52" s="16"/>
      <c r="AGP52" s="16"/>
      <c r="AGQ52" s="16"/>
      <c r="AGR52" s="16"/>
      <c r="AGS52" s="16"/>
      <c r="AGT52" s="16"/>
      <c r="AGU52" s="16"/>
      <c r="AGV52" s="16"/>
      <c r="AGW52" s="16"/>
      <c r="AGX52" s="16"/>
      <c r="AGY52" s="16"/>
      <c r="AGZ52" s="16"/>
      <c r="AHA52" s="16"/>
      <c r="AHB52" s="16"/>
      <c r="AHC52" s="16"/>
      <c r="AHD52" s="16"/>
      <c r="AHE52" s="16"/>
      <c r="AHF52" s="16"/>
      <c r="AHG52" s="16"/>
      <c r="AHH52" s="16"/>
      <c r="AHI52" s="16"/>
      <c r="AHJ52" s="16"/>
      <c r="AHK52" s="16"/>
      <c r="AHL52" s="16"/>
      <c r="AHM52" s="16"/>
      <c r="AHN52" s="16"/>
      <c r="AHO52" s="16"/>
      <c r="AHP52" s="16"/>
      <c r="AHQ52" s="16"/>
      <c r="AHR52" s="16"/>
      <c r="AHS52" s="16"/>
      <c r="AHT52" s="16"/>
      <c r="AHU52" s="16"/>
      <c r="AHV52" s="16"/>
      <c r="AHW52" s="16"/>
      <c r="AHX52" s="16"/>
      <c r="AHY52" s="16"/>
      <c r="AHZ52" s="16"/>
      <c r="AIA52" s="16"/>
      <c r="AIB52" s="16"/>
      <c r="AIC52" s="16"/>
      <c r="AID52" s="16"/>
      <c r="AIE52" s="16"/>
      <c r="AIF52" s="16"/>
      <c r="AIG52" s="16"/>
      <c r="AIH52" s="16"/>
      <c r="AII52" s="16"/>
      <c r="AIJ52" s="16"/>
      <c r="AIK52" s="16"/>
      <c r="AIL52" s="16"/>
      <c r="AIM52" s="16"/>
      <c r="AIN52" s="16"/>
      <c r="AIO52" s="16"/>
      <c r="AIP52" s="16"/>
      <c r="AIQ52" s="16"/>
      <c r="AIR52" s="16"/>
      <c r="AIS52" s="16"/>
      <c r="AIT52" s="16"/>
      <c r="AIU52" s="16"/>
      <c r="AIV52" s="16"/>
      <c r="AIW52" s="16"/>
      <c r="AIX52" s="16"/>
      <c r="AIY52" s="16"/>
      <c r="AIZ52" s="16"/>
      <c r="AJA52" s="16"/>
      <c r="AJB52" s="16"/>
      <c r="AJC52" s="16"/>
      <c r="AJD52" s="16"/>
      <c r="AJE52" s="16"/>
      <c r="AJF52" s="16"/>
      <c r="AJG52" s="16"/>
      <c r="AJH52" s="16"/>
      <c r="AJI52" s="16"/>
      <c r="AJJ52" s="16"/>
      <c r="AJK52" s="16"/>
      <c r="AJL52" s="16"/>
      <c r="AJM52" s="16"/>
      <c r="AJN52" s="16"/>
      <c r="AJO52" s="16"/>
      <c r="AJP52" s="16"/>
      <c r="AJQ52" s="16"/>
      <c r="AJR52" s="16"/>
      <c r="AJS52" s="16"/>
      <c r="AJT52" s="16"/>
      <c r="AJU52" s="16"/>
      <c r="AJV52" s="16"/>
      <c r="AJW52" s="16"/>
      <c r="AJX52" s="16"/>
      <c r="AJY52" s="16"/>
      <c r="AJZ52" s="16"/>
      <c r="AKA52" s="16"/>
      <c r="AKB52" s="16"/>
      <c r="AKC52" s="16"/>
      <c r="AKD52" s="16"/>
      <c r="AKE52" s="16"/>
      <c r="AKF52" s="16"/>
      <c r="AKG52" s="16"/>
      <c r="AKH52" s="16"/>
      <c r="AKI52" s="16"/>
      <c r="AKJ52" s="16"/>
      <c r="AKK52" s="16"/>
      <c r="AKL52" s="16"/>
      <c r="AKM52" s="16"/>
      <c r="AKN52" s="16"/>
      <c r="AKO52" s="16"/>
      <c r="AKP52" s="16"/>
      <c r="AKQ52" s="16"/>
      <c r="AKR52" s="16"/>
      <c r="AKS52" s="16"/>
      <c r="AKT52" s="16"/>
      <c r="AKU52" s="16"/>
      <c r="AKV52" s="16"/>
      <c r="AKW52" s="16"/>
      <c r="AKX52" s="16"/>
      <c r="AKY52" s="16"/>
      <c r="AKZ52" s="16"/>
      <c r="ALA52" s="16"/>
      <c r="ALB52" s="16"/>
      <c r="ALC52" s="16"/>
      <c r="ALD52" s="16"/>
      <c r="ALE52" s="16"/>
      <c r="ALF52" s="16"/>
      <c r="ALG52" s="16"/>
      <c r="ALH52" s="16"/>
      <c r="ALI52" s="16"/>
      <c r="ALJ52" s="16"/>
      <c r="ALK52" s="16"/>
      <c r="ALL52" s="16"/>
      <c r="ALM52" s="16"/>
      <c r="ALN52" s="16"/>
      <c r="ALO52" s="16"/>
      <c r="ALP52" s="16"/>
      <c r="ALQ52" s="16"/>
      <c r="ALR52" s="16"/>
      <c r="ALS52" s="16"/>
      <c r="ALT52" s="16"/>
      <c r="ALU52" s="16"/>
      <c r="ALV52" s="16"/>
      <c r="ALW52" s="16"/>
      <c r="ALX52" s="16"/>
      <c r="ALY52" s="16"/>
      <c r="ALZ52" s="16"/>
      <c r="AMA52" s="16"/>
      <c r="AMB52" s="16"/>
      <c r="AMC52" s="16"/>
      <c r="AMD52" s="16"/>
      <c r="AME52" s="16"/>
      <c r="AMF52" s="16"/>
      <c r="AMG52" s="16"/>
      <c r="AMH52" s="16"/>
      <c r="AMI52" s="16"/>
      <c r="AMJ52" s="16"/>
      <c r="AMK52" s="16"/>
      <c r="AML52" s="16"/>
      <c r="AMM52" s="16"/>
      <c r="AMN52" s="16"/>
      <c r="AMO52" s="16"/>
      <c r="AMP52" s="16"/>
      <c r="AMQ52" s="16"/>
      <c r="AMR52" s="16"/>
      <c r="AMS52" s="16"/>
      <c r="AMT52" s="16"/>
      <c r="AMU52" s="16"/>
      <c r="AMV52" s="16"/>
      <c r="AMW52" s="16"/>
      <c r="AMX52" s="16"/>
      <c r="AMY52" s="16"/>
      <c r="AMZ52" s="16"/>
      <c r="ANA52" s="16"/>
      <c r="ANB52" s="16"/>
      <c r="ANC52" s="16"/>
      <c r="AND52" s="16"/>
      <c r="ANE52" s="16"/>
      <c r="ANF52" s="16"/>
      <c r="ANG52" s="16"/>
      <c r="ANH52" s="16"/>
      <c r="ANI52" s="16"/>
      <c r="ANJ52" s="16"/>
      <c r="ANK52" s="16"/>
      <c r="ANL52" s="16"/>
      <c r="ANM52" s="16"/>
      <c r="ANN52" s="16"/>
      <c r="ANO52" s="16"/>
      <c r="ANP52" s="16"/>
      <c r="ANQ52" s="16"/>
      <c r="ANR52" s="16"/>
      <c r="ANS52" s="16"/>
      <c r="ANT52" s="16"/>
      <c r="ANU52" s="16"/>
      <c r="ANV52" s="16"/>
      <c r="ANW52" s="16"/>
      <c r="ANX52" s="16"/>
      <c r="ANY52" s="16"/>
      <c r="ANZ52" s="16"/>
      <c r="AOA52" s="16"/>
      <c r="AOB52" s="16"/>
      <c r="AOC52" s="16"/>
      <c r="AOD52" s="16"/>
      <c r="AOE52" s="16"/>
      <c r="AOF52" s="16"/>
      <c r="AOG52" s="16"/>
      <c r="AOH52" s="16"/>
      <c r="AOI52" s="16"/>
      <c r="AOJ52" s="16"/>
      <c r="AOK52" s="16"/>
      <c r="AOL52" s="16"/>
      <c r="AOM52" s="16"/>
      <c r="AON52" s="16"/>
      <c r="AOO52" s="16"/>
      <c r="AOP52" s="16"/>
      <c r="AOQ52" s="16"/>
      <c r="AOR52" s="16"/>
      <c r="AOS52" s="16"/>
      <c r="AOT52" s="16"/>
      <c r="AOU52" s="16"/>
      <c r="AOV52" s="16"/>
      <c r="AOW52" s="16"/>
      <c r="AOX52" s="16"/>
      <c r="AOY52" s="16"/>
      <c r="AOZ52" s="16"/>
      <c r="APA52" s="16"/>
      <c r="APB52" s="16"/>
      <c r="APC52" s="16"/>
      <c r="APD52" s="16"/>
      <c r="APE52" s="16"/>
      <c r="APF52" s="16"/>
      <c r="APG52" s="16"/>
      <c r="APH52" s="16"/>
      <c r="API52" s="16"/>
      <c r="APJ52" s="16"/>
      <c r="APK52" s="16"/>
      <c r="APL52" s="16"/>
      <c r="APM52" s="16"/>
      <c r="APN52" s="16"/>
      <c r="APO52" s="16"/>
      <c r="APP52" s="16"/>
      <c r="APQ52" s="16"/>
      <c r="APR52" s="16"/>
      <c r="APS52" s="16"/>
      <c r="APT52" s="16"/>
      <c r="APU52" s="16"/>
      <c r="APV52" s="16"/>
      <c r="APW52" s="16"/>
      <c r="APX52" s="16"/>
      <c r="APY52" s="16"/>
      <c r="APZ52" s="16"/>
      <c r="AQA52" s="16"/>
      <c r="AQB52" s="16"/>
      <c r="AQC52" s="16"/>
      <c r="AQD52" s="16"/>
      <c r="AQE52" s="16"/>
      <c r="AQF52" s="16"/>
      <c r="AQG52" s="16"/>
      <c r="AQH52" s="16"/>
      <c r="AQI52" s="16"/>
      <c r="AQJ52" s="16"/>
      <c r="AQK52" s="16"/>
      <c r="AQL52" s="16"/>
      <c r="AQM52" s="16"/>
      <c r="AQN52" s="16"/>
      <c r="AQO52" s="16"/>
      <c r="AQP52" s="16"/>
      <c r="AQQ52" s="16"/>
      <c r="AQR52" s="16"/>
      <c r="AQS52" s="16"/>
      <c r="AQT52" s="16"/>
      <c r="AQU52" s="16"/>
      <c r="AQV52" s="16"/>
      <c r="AQW52" s="16"/>
      <c r="AQX52" s="16"/>
      <c r="AQY52" s="16"/>
      <c r="AQZ52" s="16"/>
      <c r="ARA52" s="16"/>
      <c r="ARB52" s="16"/>
      <c r="ARC52" s="16"/>
      <c r="ARD52" s="16"/>
      <c r="ARE52" s="16"/>
      <c r="ARF52" s="16"/>
      <c r="ARG52" s="16"/>
      <c r="ARH52" s="16"/>
      <c r="ARI52" s="16"/>
      <c r="ARJ52" s="16"/>
      <c r="ARK52" s="16"/>
      <c r="ARL52" s="16"/>
      <c r="ARM52" s="16"/>
      <c r="ARN52" s="16"/>
      <c r="ARO52" s="16"/>
      <c r="ARP52" s="16"/>
      <c r="ARQ52" s="16"/>
      <c r="ARR52" s="16"/>
      <c r="ARS52" s="16"/>
      <c r="ART52" s="16"/>
      <c r="ARU52" s="16"/>
      <c r="ARV52" s="16"/>
      <c r="ARW52" s="16"/>
      <c r="ARX52" s="16"/>
      <c r="ARY52" s="16"/>
      <c r="ARZ52" s="16"/>
      <c r="ASA52" s="16"/>
      <c r="ASB52" s="16"/>
      <c r="ASC52" s="16"/>
      <c r="ASD52" s="16"/>
      <c r="ASE52" s="16"/>
      <c r="ASF52" s="16"/>
      <c r="ASG52" s="16"/>
      <c r="ASH52" s="16"/>
      <c r="ASI52" s="16"/>
      <c r="ASJ52" s="16"/>
      <c r="ASK52" s="16"/>
      <c r="ASL52" s="16"/>
      <c r="ASM52" s="16"/>
      <c r="ASN52" s="16"/>
      <c r="ASO52" s="16"/>
      <c r="ASP52" s="16"/>
      <c r="ASQ52" s="16"/>
      <c r="ASR52" s="16"/>
      <c r="ASS52" s="16"/>
      <c r="AST52" s="16"/>
      <c r="ASU52" s="16"/>
      <c r="ASV52" s="16"/>
      <c r="ASW52" s="16"/>
      <c r="ASX52" s="16"/>
      <c r="ASY52" s="16"/>
      <c r="ASZ52" s="16"/>
      <c r="ATA52" s="16"/>
      <c r="ATB52" s="16"/>
      <c r="ATC52" s="16"/>
      <c r="ATD52" s="16"/>
      <c r="ATE52" s="16"/>
      <c r="ATF52" s="16"/>
      <c r="ATG52" s="16"/>
      <c r="ATH52" s="16"/>
      <c r="ATI52" s="16"/>
      <c r="ATJ52" s="16"/>
      <c r="ATK52" s="16"/>
      <c r="ATL52" s="16"/>
      <c r="ATM52" s="16"/>
      <c r="ATN52" s="16"/>
      <c r="ATO52" s="16"/>
      <c r="ATP52" s="16"/>
      <c r="ATQ52" s="16"/>
      <c r="ATR52" s="16"/>
      <c r="ATS52" s="16"/>
      <c r="ATT52" s="16"/>
      <c r="ATU52" s="16"/>
      <c r="ATV52" s="16"/>
      <c r="ATW52" s="16"/>
      <c r="ATX52" s="16"/>
      <c r="ATY52" s="16"/>
      <c r="ATZ52" s="16"/>
      <c r="AUA52" s="16"/>
      <c r="AUB52" s="16"/>
      <c r="AUC52" s="16"/>
      <c r="AUD52" s="16"/>
      <c r="AUE52" s="16"/>
      <c r="AUF52" s="16"/>
      <c r="AUG52" s="16"/>
      <c r="AUH52" s="16"/>
      <c r="AUI52" s="16"/>
      <c r="AUJ52" s="16"/>
      <c r="AUK52" s="16"/>
      <c r="AUL52" s="16"/>
      <c r="AUM52" s="16"/>
      <c r="AUN52" s="16"/>
      <c r="AUO52" s="16"/>
      <c r="AUP52" s="16"/>
      <c r="AUQ52" s="16"/>
      <c r="AUR52" s="16"/>
      <c r="AUS52" s="16"/>
      <c r="AUT52" s="16"/>
      <c r="AUU52" s="16"/>
      <c r="AUV52" s="16"/>
      <c r="AUW52" s="16"/>
      <c r="AUX52" s="16"/>
      <c r="AUY52" s="16"/>
      <c r="AUZ52" s="16"/>
      <c r="AVA52" s="16"/>
      <c r="AVB52" s="16"/>
      <c r="AVC52" s="16"/>
      <c r="AVD52" s="16"/>
      <c r="AVE52" s="16"/>
      <c r="AVF52" s="16"/>
      <c r="AVG52" s="16"/>
      <c r="AVH52" s="16"/>
      <c r="AVI52" s="16"/>
      <c r="AVJ52" s="16"/>
      <c r="AVK52" s="16"/>
      <c r="AVL52" s="16"/>
      <c r="AVM52" s="16"/>
      <c r="AVN52" s="16"/>
      <c r="AVO52" s="16"/>
      <c r="AVP52" s="16"/>
      <c r="AVQ52" s="16"/>
      <c r="AVR52" s="16"/>
      <c r="AVS52" s="16"/>
      <c r="AVT52" s="16"/>
      <c r="AVU52" s="16"/>
      <c r="AVV52" s="16"/>
      <c r="AVW52" s="16"/>
      <c r="AVX52" s="16"/>
      <c r="AVY52" s="16"/>
      <c r="AVZ52" s="16"/>
      <c r="AWA52" s="16"/>
      <c r="AWB52" s="16"/>
      <c r="AWC52" s="16"/>
      <c r="AWD52" s="16"/>
      <c r="AWE52" s="16"/>
      <c r="AWF52" s="16"/>
      <c r="AWG52" s="16"/>
      <c r="AWH52" s="16"/>
      <c r="AWI52" s="16"/>
      <c r="AWJ52" s="16"/>
      <c r="AWK52" s="16"/>
      <c r="AWL52" s="16"/>
      <c r="AWM52" s="16"/>
      <c r="AWN52" s="16"/>
      <c r="AWO52" s="16"/>
      <c r="AWP52" s="16"/>
      <c r="AWQ52" s="16"/>
      <c r="AWR52" s="16"/>
      <c r="AWS52" s="16"/>
      <c r="AWT52" s="16"/>
      <c r="AWU52" s="16"/>
      <c r="AWV52" s="16"/>
      <c r="AWW52" s="16"/>
      <c r="AWX52" s="16"/>
      <c r="AWY52" s="16"/>
      <c r="AWZ52" s="16"/>
      <c r="AXA52" s="16"/>
      <c r="AXB52" s="16"/>
      <c r="AXC52" s="16"/>
      <c r="AXD52" s="16"/>
      <c r="AXE52" s="16"/>
      <c r="AXF52" s="16"/>
      <c r="AXG52" s="16"/>
      <c r="AXH52" s="16"/>
      <c r="AXI52" s="16"/>
      <c r="AXJ52" s="16"/>
      <c r="AXK52" s="16"/>
      <c r="AXL52" s="16"/>
      <c r="AXM52" s="16"/>
      <c r="AXN52" s="16"/>
      <c r="AXO52" s="16"/>
      <c r="AXP52" s="16"/>
      <c r="AXQ52" s="16"/>
      <c r="AXR52" s="16"/>
      <c r="AXS52" s="16"/>
      <c r="AXT52" s="16"/>
      <c r="AXU52" s="16"/>
      <c r="AXV52" s="16"/>
      <c r="AXW52" s="16"/>
      <c r="AXX52" s="16"/>
      <c r="AXY52" s="16"/>
      <c r="AXZ52" s="16"/>
      <c r="AYA52" s="16"/>
      <c r="AYB52" s="16"/>
      <c r="AYC52" s="16"/>
      <c r="AYD52" s="16"/>
      <c r="AYE52" s="16"/>
      <c r="AYF52" s="16"/>
      <c r="AYG52" s="16"/>
      <c r="AYH52" s="16"/>
      <c r="AYI52" s="16"/>
      <c r="AYJ52" s="16"/>
      <c r="AYK52" s="16"/>
      <c r="AYL52" s="16"/>
      <c r="AYM52" s="16"/>
      <c r="AYN52" s="16"/>
      <c r="AYO52" s="16"/>
      <c r="AYP52" s="16"/>
      <c r="AYQ52" s="16"/>
      <c r="AYR52" s="16"/>
      <c r="AYS52" s="16"/>
      <c r="AYT52" s="16"/>
      <c r="AYU52" s="16"/>
      <c r="AYV52" s="16"/>
      <c r="AYW52" s="16"/>
      <c r="AYX52" s="16"/>
      <c r="AYY52" s="16"/>
      <c r="AYZ52" s="16"/>
      <c r="AZA52" s="16"/>
      <c r="AZB52" s="16"/>
      <c r="AZC52" s="16"/>
      <c r="AZD52" s="16"/>
      <c r="AZE52" s="16"/>
      <c r="AZF52" s="16"/>
      <c r="AZG52" s="16"/>
      <c r="AZH52" s="16"/>
      <c r="AZI52" s="16"/>
      <c r="AZJ52" s="16"/>
      <c r="AZK52" s="16"/>
      <c r="AZL52" s="16"/>
      <c r="AZM52" s="16"/>
      <c r="AZN52" s="16"/>
      <c r="AZO52" s="16"/>
      <c r="AZP52" s="16"/>
      <c r="AZQ52" s="16"/>
      <c r="AZR52" s="16"/>
      <c r="AZS52" s="16"/>
      <c r="AZT52" s="16"/>
      <c r="AZU52" s="16"/>
      <c r="AZV52" s="16"/>
      <c r="AZW52" s="16"/>
      <c r="AZX52" s="16"/>
      <c r="AZY52" s="16"/>
      <c r="AZZ52" s="16"/>
      <c r="BAA52" s="16"/>
      <c r="BAB52" s="16"/>
      <c r="BAC52" s="16"/>
      <c r="BAD52" s="16"/>
      <c r="BAE52" s="16"/>
      <c r="BAF52" s="16"/>
      <c r="BAG52" s="16"/>
      <c r="BAH52" s="16"/>
      <c r="BAI52" s="16"/>
      <c r="BAJ52" s="16"/>
      <c r="BAK52" s="16"/>
      <c r="BAL52" s="16"/>
      <c r="BAM52" s="16"/>
      <c r="BAN52" s="16"/>
      <c r="BAO52" s="16"/>
      <c r="BAP52" s="16"/>
      <c r="BAQ52" s="16"/>
      <c r="BAR52" s="16"/>
      <c r="BAS52" s="16"/>
      <c r="BAT52" s="16"/>
      <c r="BAU52" s="16"/>
      <c r="BAV52" s="16"/>
      <c r="BAW52" s="16"/>
      <c r="BAX52" s="16"/>
      <c r="BAY52" s="16"/>
      <c r="BAZ52" s="16"/>
      <c r="BBA52" s="16"/>
      <c r="BBB52" s="16"/>
      <c r="BBC52" s="16"/>
      <c r="BBD52" s="16"/>
      <c r="BBE52" s="16"/>
      <c r="BBF52" s="16"/>
      <c r="BBG52" s="16"/>
      <c r="BBH52" s="16"/>
      <c r="BBI52" s="16"/>
      <c r="BBJ52" s="16"/>
      <c r="BBK52" s="16"/>
      <c r="BBL52" s="16"/>
      <c r="BBM52" s="16"/>
      <c r="BBN52" s="16"/>
      <c r="BBO52" s="16"/>
      <c r="BBP52" s="16"/>
      <c r="BBQ52" s="16"/>
      <c r="BBR52" s="16"/>
      <c r="BBS52" s="16"/>
      <c r="BBT52" s="16"/>
      <c r="BBU52" s="16"/>
      <c r="BBV52" s="16"/>
      <c r="BBW52" s="16"/>
      <c r="BBX52" s="16"/>
      <c r="BBY52" s="16"/>
      <c r="BBZ52" s="16"/>
      <c r="BCA52" s="16"/>
      <c r="BCB52" s="16"/>
      <c r="BCC52" s="16"/>
      <c r="BCD52" s="16"/>
      <c r="BCE52" s="16"/>
      <c r="BCF52" s="16"/>
      <c r="BCG52" s="16"/>
      <c r="BCH52" s="16"/>
      <c r="BCI52" s="16"/>
      <c r="BCJ52" s="16"/>
      <c r="BCK52" s="16"/>
      <c r="BCL52" s="16"/>
      <c r="BCM52" s="16"/>
      <c r="BCN52" s="16"/>
      <c r="BCO52" s="16"/>
      <c r="BCP52" s="16"/>
      <c r="BCQ52" s="16"/>
      <c r="BCR52" s="16"/>
      <c r="BCS52" s="16"/>
      <c r="BCT52" s="16"/>
      <c r="BCU52" s="16"/>
      <c r="BCV52" s="16"/>
      <c r="BCW52" s="16"/>
      <c r="BCX52" s="16"/>
      <c r="BCY52" s="16"/>
      <c r="BCZ52" s="16"/>
      <c r="BDA52" s="16"/>
      <c r="BDB52" s="16"/>
      <c r="BDC52" s="16"/>
      <c r="BDD52" s="16"/>
      <c r="BDE52" s="16"/>
      <c r="BDF52" s="16"/>
      <c r="BDG52" s="16"/>
      <c r="BDH52" s="16"/>
      <c r="BDI52" s="16"/>
      <c r="BDJ52" s="16"/>
      <c r="BDK52" s="16"/>
      <c r="BDL52" s="16"/>
      <c r="BDM52" s="16"/>
      <c r="BDN52" s="16"/>
      <c r="BDO52" s="16"/>
      <c r="BDP52" s="16"/>
      <c r="BDQ52" s="16"/>
      <c r="BDR52" s="16"/>
      <c r="BDS52" s="16"/>
      <c r="BDT52" s="16"/>
      <c r="BDU52" s="16"/>
      <c r="BDV52" s="16"/>
      <c r="BDW52" s="16"/>
      <c r="BDX52" s="16"/>
      <c r="BDY52" s="16"/>
      <c r="BDZ52" s="16"/>
      <c r="BEA52" s="16"/>
      <c r="BEB52" s="16"/>
      <c r="BEC52" s="16"/>
      <c r="BED52" s="16"/>
      <c r="BEE52" s="16"/>
      <c r="BEF52" s="16"/>
      <c r="BEG52" s="16"/>
      <c r="BEH52" s="16"/>
      <c r="BEI52" s="16"/>
      <c r="BEJ52" s="16"/>
      <c r="BEK52" s="16"/>
      <c r="BEL52" s="16"/>
      <c r="BEM52" s="16"/>
      <c r="BEN52" s="16"/>
      <c r="BEO52" s="16"/>
      <c r="BEP52" s="16"/>
      <c r="BEQ52" s="16"/>
      <c r="BER52" s="16"/>
      <c r="BES52" s="16"/>
      <c r="BET52" s="16"/>
      <c r="BEU52" s="16"/>
      <c r="BEV52" s="16"/>
      <c r="BEW52" s="16"/>
      <c r="BEX52" s="16"/>
      <c r="BEY52" s="16"/>
      <c r="BEZ52" s="16"/>
      <c r="BFA52" s="16"/>
      <c r="BFB52" s="16"/>
      <c r="BFC52" s="16"/>
      <c r="BFD52" s="16"/>
      <c r="BFE52" s="16"/>
      <c r="BFF52" s="16"/>
      <c r="BFG52" s="16"/>
      <c r="BFH52" s="16"/>
      <c r="BFI52" s="16"/>
      <c r="BFJ52" s="16"/>
      <c r="BFK52" s="16"/>
      <c r="BFL52" s="16"/>
      <c r="BFM52" s="16"/>
      <c r="BFN52" s="16"/>
      <c r="BFO52" s="16"/>
      <c r="BFP52" s="16"/>
      <c r="BFQ52" s="16"/>
      <c r="BFR52" s="16"/>
      <c r="BFS52" s="16"/>
      <c r="BFT52" s="16"/>
      <c r="BFU52" s="16"/>
      <c r="BFV52" s="16"/>
      <c r="BFW52" s="16"/>
      <c r="BFX52" s="16"/>
      <c r="BFY52" s="16"/>
      <c r="BFZ52" s="16"/>
      <c r="BGA52" s="16"/>
      <c r="BGB52" s="16"/>
      <c r="BGC52" s="16"/>
      <c r="BGD52" s="16"/>
      <c r="BGE52" s="16"/>
      <c r="BGF52" s="16"/>
      <c r="BGG52" s="16"/>
      <c r="BGH52" s="16"/>
      <c r="BGI52" s="16"/>
      <c r="BGJ52" s="16"/>
      <c r="BGK52" s="16"/>
      <c r="BGL52" s="16"/>
      <c r="BGM52" s="16"/>
      <c r="BGN52" s="16"/>
      <c r="BGO52" s="16"/>
      <c r="BGP52" s="16"/>
      <c r="BGQ52" s="16"/>
      <c r="BGR52" s="16"/>
      <c r="BGS52" s="16"/>
      <c r="BGT52" s="16"/>
      <c r="BGU52" s="16"/>
      <c r="BGV52" s="16"/>
      <c r="BGW52" s="16"/>
      <c r="BGX52" s="16"/>
      <c r="BGY52" s="16"/>
      <c r="BGZ52" s="16"/>
      <c r="BHA52" s="16"/>
      <c r="BHB52" s="16"/>
      <c r="BHC52" s="16"/>
      <c r="BHD52" s="16"/>
      <c r="BHE52" s="16"/>
      <c r="BHF52" s="16"/>
      <c r="BHG52" s="16"/>
      <c r="BHH52" s="16"/>
      <c r="BHI52" s="16"/>
      <c r="BHJ52" s="16"/>
      <c r="BHK52" s="16"/>
      <c r="BHL52" s="16"/>
      <c r="BHM52" s="16"/>
      <c r="BHN52" s="16"/>
      <c r="BHO52" s="16"/>
      <c r="BHP52" s="16"/>
      <c r="BHQ52" s="16"/>
      <c r="BHR52" s="16"/>
      <c r="BHS52" s="16"/>
      <c r="BHT52" s="16"/>
      <c r="BHU52" s="16"/>
      <c r="BHV52" s="16"/>
      <c r="BHW52" s="16"/>
      <c r="BHX52" s="16"/>
      <c r="BHY52" s="16"/>
      <c r="BHZ52" s="16"/>
      <c r="BIA52" s="16"/>
      <c r="BIB52" s="16"/>
      <c r="BIC52" s="16"/>
      <c r="BID52" s="16"/>
      <c r="BIE52" s="16"/>
      <c r="BIF52" s="16"/>
      <c r="BIG52" s="16"/>
      <c r="BIH52" s="16"/>
      <c r="BII52" s="16"/>
      <c r="BIJ52" s="16"/>
      <c r="BIK52" s="16"/>
      <c r="BIL52" s="16"/>
      <c r="BIM52" s="16"/>
      <c r="BIN52" s="16"/>
      <c r="BIO52" s="16"/>
      <c r="BIP52" s="16"/>
      <c r="BIQ52" s="16"/>
      <c r="BIR52" s="16"/>
      <c r="BIS52" s="16"/>
      <c r="BIT52" s="16"/>
      <c r="BIU52" s="16"/>
      <c r="BIV52" s="16"/>
      <c r="BIW52" s="16"/>
      <c r="BIX52" s="16"/>
      <c r="BIY52" s="16"/>
      <c r="BIZ52" s="16"/>
      <c r="BJA52" s="16"/>
      <c r="BJB52" s="16"/>
      <c r="BJC52" s="16"/>
      <c r="BJD52" s="16"/>
      <c r="BJE52" s="16"/>
      <c r="BJF52" s="16"/>
      <c r="BJG52" s="16"/>
      <c r="BJH52" s="16"/>
      <c r="BJI52" s="16"/>
      <c r="BJJ52" s="16"/>
      <c r="BJK52" s="16"/>
      <c r="BJL52" s="16"/>
      <c r="BJM52" s="16"/>
      <c r="BJN52" s="16"/>
      <c r="BJO52" s="16"/>
      <c r="BJP52" s="16"/>
      <c r="BJQ52" s="16"/>
      <c r="BJR52" s="16"/>
      <c r="BJS52" s="16"/>
      <c r="BJT52" s="16"/>
      <c r="BJU52" s="16"/>
      <c r="BJV52" s="16"/>
      <c r="BJW52" s="16"/>
      <c r="BJX52" s="16"/>
      <c r="BJY52" s="16"/>
      <c r="BJZ52" s="16"/>
      <c r="BKA52" s="16"/>
      <c r="BKB52" s="16"/>
      <c r="BKC52" s="16"/>
      <c r="BKD52" s="16"/>
      <c r="BKE52" s="16"/>
      <c r="BKF52" s="16"/>
      <c r="BKG52" s="16"/>
      <c r="BKH52" s="16"/>
      <c r="BKI52" s="16"/>
      <c r="BKJ52" s="16"/>
      <c r="BKK52" s="16"/>
      <c r="BKL52" s="16"/>
      <c r="BKM52" s="16"/>
      <c r="BKN52" s="16"/>
      <c r="BKO52" s="16"/>
      <c r="BKP52" s="16"/>
      <c r="BKQ52" s="16"/>
      <c r="BKR52" s="16"/>
      <c r="BKS52" s="16"/>
      <c r="BKT52" s="16"/>
      <c r="BKU52" s="16"/>
      <c r="BKV52" s="16"/>
      <c r="BKW52" s="16"/>
      <c r="BKX52" s="16"/>
      <c r="BKY52" s="16"/>
      <c r="BKZ52" s="16"/>
      <c r="BLA52" s="16"/>
      <c r="BLB52" s="16"/>
      <c r="BLC52" s="16"/>
      <c r="BLD52" s="16"/>
      <c r="BLE52" s="16"/>
      <c r="BLF52" s="16"/>
      <c r="BLG52" s="16"/>
      <c r="BLH52" s="16"/>
      <c r="BLI52" s="16"/>
      <c r="BLJ52" s="16"/>
      <c r="BLK52" s="16"/>
      <c r="BLL52" s="16"/>
      <c r="BLM52" s="16"/>
      <c r="BLN52" s="16"/>
      <c r="BLO52" s="16"/>
      <c r="BLP52" s="16"/>
      <c r="BLQ52" s="16"/>
      <c r="BLR52" s="16"/>
      <c r="BLS52" s="16"/>
      <c r="BLT52" s="16"/>
      <c r="BLU52" s="16"/>
      <c r="BLV52" s="16"/>
      <c r="BLW52" s="16"/>
      <c r="BLX52" s="16"/>
      <c r="BLY52" s="16"/>
      <c r="BLZ52" s="16"/>
      <c r="BMA52" s="16"/>
      <c r="BMB52" s="16"/>
      <c r="BMC52" s="16"/>
      <c r="BMD52" s="16"/>
      <c r="BME52" s="16"/>
      <c r="BMF52" s="16"/>
      <c r="BMG52" s="16"/>
      <c r="BMH52" s="16"/>
      <c r="BMI52" s="16"/>
      <c r="BMJ52" s="16"/>
      <c r="BMK52" s="16"/>
      <c r="BML52" s="16"/>
      <c r="BMM52" s="16"/>
      <c r="BMN52" s="16"/>
      <c r="BMO52" s="16"/>
      <c r="BMP52" s="16"/>
      <c r="BMQ52" s="16"/>
      <c r="BMR52" s="16"/>
      <c r="BMS52" s="16"/>
      <c r="BMT52" s="16"/>
      <c r="BMU52" s="16"/>
      <c r="BMV52" s="16"/>
      <c r="BMW52" s="16"/>
      <c r="BMX52" s="16"/>
      <c r="BMY52" s="16"/>
      <c r="BMZ52" s="16"/>
      <c r="BNA52" s="16"/>
      <c r="BNB52" s="16"/>
      <c r="BNC52" s="16"/>
      <c r="BND52" s="16"/>
      <c r="BNE52" s="16"/>
      <c r="BNF52" s="16"/>
      <c r="BNG52" s="16"/>
      <c r="BNH52" s="16"/>
      <c r="BNI52" s="16"/>
      <c r="BNJ52" s="16"/>
      <c r="BNK52" s="16"/>
      <c r="BNL52" s="16"/>
      <c r="BNM52" s="16"/>
      <c r="BNN52" s="16"/>
      <c r="BNO52" s="16"/>
      <c r="BNP52" s="16"/>
      <c r="BNQ52" s="16"/>
      <c r="BNR52" s="16"/>
      <c r="BNS52" s="16"/>
      <c r="BNT52" s="16"/>
      <c r="BNU52" s="16"/>
      <c r="BNV52" s="16"/>
      <c r="BNW52" s="16"/>
      <c r="BNX52" s="16"/>
      <c r="BNY52" s="16"/>
      <c r="BNZ52" s="16"/>
      <c r="BOA52" s="16"/>
      <c r="BOB52" s="16"/>
      <c r="BOC52" s="16"/>
      <c r="BOD52" s="16"/>
      <c r="BOE52" s="16"/>
      <c r="BOF52" s="16"/>
      <c r="BOG52" s="16"/>
      <c r="BOH52" s="16"/>
      <c r="BOI52" s="16"/>
      <c r="BOJ52" s="16"/>
      <c r="BOK52" s="16"/>
      <c r="BOL52" s="16"/>
      <c r="BOM52" s="16"/>
      <c r="BON52" s="16"/>
      <c r="BOO52" s="16"/>
      <c r="BOP52" s="16"/>
      <c r="BOQ52" s="16"/>
      <c r="BOR52" s="16"/>
      <c r="BOS52" s="16"/>
      <c r="BOT52" s="16"/>
      <c r="BOU52" s="16"/>
      <c r="BOV52" s="16"/>
      <c r="BOW52" s="16"/>
      <c r="BOX52" s="16"/>
      <c r="BOY52" s="16"/>
      <c r="BOZ52" s="16"/>
      <c r="BPA52" s="16"/>
      <c r="BPB52" s="16"/>
      <c r="BPC52" s="16"/>
      <c r="BPD52" s="16"/>
      <c r="BPE52" s="16"/>
      <c r="BPF52" s="16"/>
      <c r="BPG52" s="16"/>
      <c r="BPH52" s="16"/>
      <c r="BPI52" s="16"/>
      <c r="BPJ52" s="16"/>
      <c r="BPK52" s="16"/>
      <c r="BPL52" s="16"/>
      <c r="BPM52" s="16"/>
      <c r="BPN52" s="16"/>
      <c r="BPO52" s="16"/>
      <c r="BPP52" s="16"/>
      <c r="BPQ52" s="16"/>
      <c r="BPR52" s="16"/>
      <c r="BPS52" s="16"/>
      <c r="BPT52" s="16"/>
      <c r="BPU52" s="16"/>
      <c r="BPV52" s="16"/>
      <c r="BPW52" s="16"/>
      <c r="BPX52" s="16"/>
      <c r="BPY52" s="16"/>
      <c r="BPZ52" s="16"/>
      <c r="BQA52" s="16"/>
      <c r="BQB52" s="16"/>
      <c r="BQC52" s="16"/>
      <c r="BQD52" s="16"/>
      <c r="BQE52" s="16"/>
      <c r="BQF52" s="16"/>
      <c r="BQG52" s="16"/>
      <c r="BQH52" s="16"/>
      <c r="BQI52" s="16"/>
      <c r="BQJ52" s="16"/>
      <c r="BQK52" s="16"/>
      <c r="BQL52" s="16"/>
      <c r="BQM52" s="16"/>
      <c r="BQN52" s="16"/>
      <c r="BQO52" s="16"/>
      <c r="BQP52" s="16"/>
      <c r="BQQ52" s="16"/>
      <c r="BQR52" s="16"/>
      <c r="BQS52" s="16"/>
      <c r="BQT52" s="16"/>
      <c r="BQU52" s="16"/>
      <c r="BQV52" s="16"/>
      <c r="BQW52" s="16"/>
      <c r="BQX52" s="16"/>
      <c r="BQY52" s="16"/>
      <c r="BQZ52" s="16"/>
      <c r="BRA52" s="16"/>
      <c r="BRB52" s="16"/>
      <c r="BRC52" s="16"/>
      <c r="BRD52" s="16"/>
      <c r="BRE52" s="16"/>
      <c r="BRF52" s="16"/>
      <c r="BRG52" s="16"/>
      <c r="BRH52" s="16"/>
      <c r="BRI52" s="16"/>
      <c r="BRJ52" s="16"/>
      <c r="BRK52" s="16"/>
      <c r="BRL52" s="16"/>
      <c r="BRM52" s="16"/>
      <c r="BRN52" s="16"/>
      <c r="BRO52" s="16"/>
      <c r="BRP52" s="16"/>
      <c r="BRQ52" s="16"/>
      <c r="BRR52" s="16"/>
      <c r="BRS52" s="16"/>
      <c r="BRT52" s="16"/>
      <c r="BRU52" s="16"/>
      <c r="BRV52" s="16"/>
      <c r="BRW52" s="16"/>
      <c r="BRX52" s="16"/>
      <c r="BRY52" s="16"/>
      <c r="BRZ52" s="16"/>
      <c r="BSA52" s="16"/>
      <c r="BSB52" s="16"/>
      <c r="BSC52" s="16"/>
      <c r="BSD52" s="16"/>
      <c r="BSE52" s="16"/>
      <c r="BSF52" s="16"/>
      <c r="BSG52" s="16"/>
      <c r="BSH52" s="16"/>
      <c r="BSI52" s="16"/>
      <c r="BSJ52" s="16"/>
      <c r="BSK52" s="16"/>
      <c r="BSL52" s="16"/>
      <c r="BSM52" s="16"/>
      <c r="BSN52" s="16"/>
      <c r="BSO52" s="16"/>
      <c r="BSP52" s="16"/>
      <c r="BSQ52" s="16"/>
      <c r="BSR52" s="16"/>
      <c r="BSS52" s="16"/>
      <c r="BST52" s="16"/>
      <c r="BSU52" s="16"/>
      <c r="BSV52" s="16"/>
      <c r="BSW52" s="16"/>
      <c r="BSX52" s="16"/>
      <c r="BSY52" s="16"/>
      <c r="BSZ52" s="16"/>
      <c r="BTA52" s="16"/>
      <c r="BTB52" s="16"/>
      <c r="BTC52" s="16"/>
      <c r="BTD52" s="16"/>
      <c r="BTE52" s="16"/>
      <c r="BTF52" s="16"/>
      <c r="BTG52" s="16"/>
      <c r="BTH52" s="16"/>
      <c r="BTI52" s="16"/>
      <c r="BTJ52" s="16"/>
      <c r="BTK52" s="16"/>
      <c r="BTL52" s="16"/>
      <c r="BTM52" s="16"/>
      <c r="BTN52" s="16"/>
      <c r="BTO52" s="16"/>
      <c r="BTP52" s="16"/>
      <c r="BTQ52" s="16"/>
      <c r="BTR52" s="16"/>
      <c r="BTS52" s="16"/>
      <c r="BTT52" s="16"/>
      <c r="BTU52" s="16"/>
      <c r="BTV52" s="16"/>
      <c r="BTW52" s="16"/>
      <c r="BTX52" s="16"/>
      <c r="BTY52" s="16"/>
      <c r="BTZ52" s="16"/>
      <c r="BUA52" s="16"/>
      <c r="BUB52" s="16"/>
      <c r="BUC52" s="16"/>
      <c r="BUD52" s="16"/>
      <c r="BUE52" s="16"/>
      <c r="BUF52" s="16"/>
      <c r="BUG52" s="16"/>
      <c r="BUH52" s="16"/>
      <c r="BUI52" s="16"/>
      <c r="BUJ52" s="16"/>
      <c r="BUK52" s="16"/>
      <c r="BUL52" s="16"/>
      <c r="BUM52" s="16"/>
      <c r="BUN52" s="16"/>
      <c r="BUO52" s="16"/>
      <c r="BUP52" s="16"/>
      <c r="BUQ52" s="16"/>
      <c r="BUR52" s="16"/>
      <c r="BUS52" s="16"/>
      <c r="BUT52" s="16"/>
      <c r="BUU52" s="16"/>
      <c r="BUV52" s="16"/>
      <c r="BUW52" s="16"/>
      <c r="BUX52" s="16"/>
      <c r="BUY52" s="16"/>
      <c r="BUZ52" s="16"/>
      <c r="BVA52" s="16"/>
      <c r="BVB52" s="16"/>
      <c r="BVC52" s="16"/>
      <c r="BVD52" s="16"/>
      <c r="BVE52" s="16"/>
      <c r="BVF52" s="16"/>
      <c r="BVG52" s="16"/>
      <c r="BVH52" s="16"/>
      <c r="BVI52" s="16"/>
      <c r="BVJ52" s="16"/>
      <c r="BVK52" s="16"/>
      <c r="BVL52" s="16"/>
      <c r="BVM52" s="16"/>
      <c r="BVN52" s="16"/>
      <c r="BVO52" s="16"/>
      <c r="BVP52" s="16"/>
      <c r="BVQ52" s="16"/>
      <c r="BVR52" s="16"/>
      <c r="BVS52" s="16"/>
      <c r="BVT52" s="16"/>
      <c r="BVU52" s="16"/>
      <c r="BVV52" s="16"/>
      <c r="BVW52" s="16"/>
      <c r="BVX52" s="16"/>
      <c r="BVY52" s="16"/>
      <c r="BVZ52" s="16"/>
      <c r="BWA52" s="16"/>
      <c r="BWB52" s="16"/>
      <c r="BWC52" s="16"/>
      <c r="BWD52" s="16"/>
      <c r="BWE52" s="16"/>
      <c r="BWF52" s="16"/>
      <c r="BWG52" s="16"/>
      <c r="BWH52" s="16"/>
      <c r="BWI52" s="16"/>
      <c r="BWJ52" s="16"/>
      <c r="BWK52" s="16"/>
      <c r="BWL52" s="16"/>
      <c r="BWM52" s="16"/>
      <c r="BWN52" s="16"/>
      <c r="BWO52" s="16"/>
      <c r="BWP52" s="16"/>
      <c r="BWQ52" s="16"/>
      <c r="BWR52" s="16"/>
      <c r="BWS52" s="16"/>
      <c r="BWT52" s="16"/>
      <c r="BWU52" s="16"/>
      <c r="BWV52" s="16"/>
      <c r="BWW52" s="16"/>
      <c r="BWX52" s="16"/>
      <c r="BWY52" s="16"/>
      <c r="BWZ52" s="16"/>
      <c r="BXA52" s="16"/>
      <c r="BXB52" s="16"/>
      <c r="BXC52" s="16"/>
      <c r="BXD52" s="16"/>
      <c r="BXE52" s="16"/>
      <c r="BXF52" s="16"/>
      <c r="BXG52" s="16"/>
      <c r="BXH52" s="16"/>
      <c r="BXI52" s="16"/>
      <c r="BXJ52" s="16"/>
      <c r="BXK52" s="16"/>
      <c r="BXL52" s="16"/>
      <c r="BXM52" s="16"/>
      <c r="BXN52" s="16"/>
      <c r="BXO52" s="16"/>
      <c r="BXP52" s="16"/>
      <c r="BXQ52" s="16"/>
      <c r="BXR52" s="16"/>
      <c r="BXS52" s="16"/>
      <c r="BXT52" s="16"/>
      <c r="BXU52" s="16"/>
      <c r="BXV52" s="16"/>
      <c r="BXW52" s="16"/>
      <c r="BXX52" s="16"/>
      <c r="BXY52" s="16"/>
      <c r="BXZ52" s="16"/>
      <c r="BYA52" s="16"/>
      <c r="BYB52" s="16"/>
      <c r="BYC52" s="16"/>
      <c r="BYD52" s="16"/>
      <c r="BYE52" s="16"/>
      <c r="BYF52" s="16"/>
      <c r="BYG52" s="16"/>
      <c r="BYH52" s="16"/>
      <c r="BYI52" s="16"/>
      <c r="BYJ52" s="16"/>
      <c r="BYK52" s="16"/>
      <c r="BYL52" s="16"/>
      <c r="BYM52" s="16"/>
      <c r="BYN52" s="16"/>
      <c r="BYO52" s="16"/>
      <c r="BYP52" s="16"/>
      <c r="BYQ52" s="16"/>
      <c r="BYR52" s="16"/>
      <c r="BYS52" s="16"/>
      <c r="BYT52" s="16"/>
      <c r="BYU52" s="16"/>
      <c r="BYV52" s="16"/>
      <c r="BYW52" s="16"/>
      <c r="BYX52" s="16"/>
      <c r="BYY52" s="16"/>
      <c r="BYZ52" s="16"/>
      <c r="BZA52" s="16"/>
      <c r="BZB52" s="16"/>
      <c r="BZC52" s="16"/>
      <c r="BZD52" s="16"/>
      <c r="BZE52" s="16"/>
      <c r="BZF52" s="16"/>
      <c r="BZG52" s="16"/>
      <c r="BZH52" s="16"/>
      <c r="BZI52" s="16"/>
      <c r="BZJ52" s="16"/>
      <c r="BZK52" s="16"/>
      <c r="BZL52" s="16"/>
      <c r="BZM52" s="16"/>
      <c r="BZN52" s="16"/>
      <c r="BZO52" s="16"/>
      <c r="BZP52" s="16"/>
      <c r="BZQ52" s="16"/>
      <c r="BZR52" s="16"/>
      <c r="BZS52" s="16"/>
      <c r="BZT52" s="16"/>
      <c r="BZU52" s="16"/>
      <c r="BZV52" s="16"/>
      <c r="BZW52" s="16"/>
      <c r="BZX52" s="16"/>
      <c r="BZY52" s="16"/>
      <c r="BZZ52" s="16"/>
      <c r="CAA52" s="16"/>
      <c r="CAB52" s="16"/>
      <c r="CAC52" s="16"/>
      <c r="CAD52" s="16"/>
      <c r="CAE52" s="16"/>
      <c r="CAF52" s="16"/>
      <c r="CAG52" s="16"/>
      <c r="CAH52" s="16"/>
      <c r="CAI52" s="16"/>
      <c r="CAJ52" s="16"/>
      <c r="CAK52" s="16"/>
      <c r="CAL52" s="16"/>
      <c r="CAM52" s="16"/>
      <c r="CAN52" s="16"/>
      <c r="CAO52" s="16"/>
      <c r="CAP52" s="16"/>
      <c r="CAQ52" s="16"/>
      <c r="CAR52" s="16"/>
      <c r="CAS52" s="16"/>
      <c r="CAT52" s="16"/>
      <c r="CAU52" s="16"/>
      <c r="CAV52" s="16"/>
      <c r="CAW52" s="16"/>
      <c r="CAX52" s="16"/>
      <c r="CAY52" s="16"/>
      <c r="CAZ52" s="16"/>
      <c r="CBA52" s="16"/>
      <c r="CBB52" s="16"/>
      <c r="CBC52" s="16"/>
      <c r="CBD52" s="16"/>
      <c r="CBE52" s="16"/>
      <c r="CBF52" s="16"/>
      <c r="CBG52" s="16"/>
      <c r="CBH52" s="16"/>
      <c r="CBI52" s="16"/>
      <c r="CBJ52" s="16"/>
      <c r="CBK52" s="16"/>
      <c r="CBL52" s="16"/>
      <c r="CBM52" s="16"/>
      <c r="CBN52" s="16"/>
      <c r="CBO52" s="16"/>
      <c r="CBP52" s="16"/>
      <c r="CBQ52" s="16"/>
      <c r="CBR52" s="16"/>
      <c r="CBS52" s="16"/>
      <c r="CBT52" s="16"/>
      <c r="CBU52" s="16"/>
      <c r="CBV52" s="16"/>
      <c r="CBW52" s="16"/>
      <c r="CBX52" s="16"/>
      <c r="CBY52" s="16"/>
      <c r="CBZ52" s="16"/>
      <c r="CCA52" s="16"/>
      <c r="CCB52" s="16"/>
      <c r="CCC52" s="16"/>
      <c r="CCD52" s="16"/>
      <c r="CCE52" s="16"/>
      <c r="CCF52" s="16"/>
      <c r="CCG52" s="16"/>
      <c r="CCH52" s="16"/>
      <c r="CCI52" s="16"/>
      <c r="CCJ52" s="16"/>
      <c r="CCK52" s="16"/>
      <c r="CCL52" s="16"/>
      <c r="CCM52" s="16"/>
      <c r="CCN52" s="16"/>
      <c r="CCO52" s="16"/>
      <c r="CCP52" s="16"/>
      <c r="CCQ52" s="16"/>
      <c r="CCR52" s="16"/>
      <c r="CCS52" s="16"/>
      <c r="CCT52" s="16"/>
      <c r="CCU52" s="16"/>
      <c r="CCV52" s="16"/>
      <c r="CCW52" s="16"/>
      <c r="CCX52" s="16"/>
      <c r="CCY52" s="16"/>
      <c r="CCZ52" s="16"/>
      <c r="CDA52" s="16"/>
      <c r="CDB52" s="16"/>
      <c r="CDC52" s="16"/>
      <c r="CDD52" s="16"/>
      <c r="CDE52" s="16"/>
      <c r="CDF52" s="16"/>
      <c r="CDG52" s="16"/>
      <c r="CDH52" s="16"/>
      <c r="CDI52" s="16"/>
      <c r="CDJ52" s="16"/>
      <c r="CDK52" s="16"/>
      <c r="CDL52" s="16"/>
      <c r="CDM52" s="16"/>
      <c r="CDN52" s="16"/>
      <c r="CDO52" s="16"/>
      <c r="CDP52" s="16"/>
      <c r="CDQ52" s="16"/>
      <c r="CDR52" s="16"/>
      <c r="CDS52" s="16"/>
      <c r="CDT52" s="16"/>
      <c r="CDU52" s="16"/>
      <c r="CDV52" s="16"/>
      <c r="CDW52" s="16"/>
      <c r="CDX52" s="16"/>
      <c r="CDY52" s="16"/>
      <c r="CDZ52" s="16"/>
      <c r="CEA52" s="16"/>
      <c r="CEB52" s="16"/>
      <c r="CEC52" s="16"/>
      <c r="CED52" s="16"/>
      <c r="CEE52" s="16"/>
      <c r="CEF52" s="16"/>
      <c r="CEG52" s="16"/>
      <c r="CEH52" s="16"/>
      <c r="CEI52" s="16"/>
      <c r="CEJ52" s="16"/>
      <c r="CEK52" s="16"/>
      <c r="CEL52" s="16"/>
      <c r="CEM52" s="16"/>
      <c r="CEN52" s="16"/>
      <c r="CEO52" s="16"/>
      <c r="CEP52" s="16"/>
      <c r="CEQ52" s="16"/>
      <c r="CER52" s="16"/>
      <c r="CES52" s="16"/>
      <c r="CET52" s="16"/>
      <c r="CEU52" s="16"/>
      <c r="CEV52" s="16"/>
      <c r="CEW52" s="16"/>
      <c r="CEX52" s="16"/>
      <c r="CEY52" s="16"/>
      <c r="CEZ52" s="16"/>
      <c r="CFA52" s="16"/>
      <c r="CFB52" s="16"/>
      <c r="CFC52" s="16"/>
      <c r="CFD52" s="16"/>
      <c r="CFE52" s="16"/>
      <c r="CFF52" s="16"/>
      <c r="CFG52" s="16"/>
      <c r="CFH52" s="16"/>
      <c r="CFI52" s="16"/>
      <c r="CFJ52" s="16"/>
      <c r="CFK52" s="16"/>
      <c r="CFL52" s="16"/>
      <c r="CFM52" s="16"/>
      <c r="CFN52" s="16"/>
      <c r="CFO52" s="16"/>
      <c r="CFP52" s="16"/>
      <c r="CFQ52" s="16"/>
      <c r="CFR52" s="16"/>
      <c r="CFS52" s="16"/>
      <c r="CFT52" s="16"/>
      <c r="CFU52" s="16"/>
      <c r="CFV52" s="16"/>
      <c r="CFW52" s="16"/>
      <c r="CFX52" s="16"/>
      <c r="CFY52" s="16"/>
      <c r="CFZ52" s="16"/>
      <c r="CGA52" s="16"/>
      <c r="CGB52" s="16"/>
      <c r="CGC52" s="16"/>
      <c r="CGD52" s="16"/>
      <c r="CGE52" s="16"/>
      <c r="CGF52" s="16"/>
      <c r="CGG52" s="16"/>
      <c r="CGH52" s="16"/>
      <c r="CGI52" s="16"/>
      <c r="CGJ52" s="16"/>
      <c r="CGK52" s="16"/>
      <c r="CGL52" s="16"/>
      <c r="CGM52" s="16"/>
      <c r="CGN52" s="16"/>
      <c r="CGO52" s="16"/>
      <c r="CGP52" s="16"/>
      <c r="CGQ52" s="16"/>
      <c r="CGR52" s="16"/>
      <c r="CGS52" s="16"/>
      <c r="CGT52" s="16"/>
      <c r="CGU52" s="16"/>
      <c r="CGV52" s="16"/>
      <c r="CGW52" s="16"/>
      <c r="CGX52" s="16"/>
      <c r="CGY52" s="16"/>
      <c r="CGZ52" s="16"/>
      <c r="CHA52" s="16"/>
      <c r="CHB52" s="16"/>
      <c r="CHC52" s="16"/>
      <c r="CHD52" s="16"/>
      <c r="CHE52" s="16"/>
      <c r="CHF52" s="16"/>
      <c r="CHG52" s="16"/>
      <c r="CHH52" s="16"/>
      <c r="CHI52" s="16"/>
      <c r="CHJ52" s="16"/>
      <c r="CHK52" s="16"/>
      <c r="CHL52" s="16"/>
      <c r="CHM52" s="16"/>
      <c r="CHN52" s="16"/>
      <c r="CHO52" s="16"/>
      <c r="CHP52" s="16"/>
      <c r="CHQ52" s="16"/>
      <c r="CHR52" s="16"/>
      <c r="CHS52" s="16"/>
      <c r="CHT52" s="16"/>
      <c r="CHU52" s="16"/>
      <c r="CHV52" s="16"/>
      <c r="CHW52" s="16"/>
      <c r="CHX52" s="16"/>
      <c r="CHY52" s="16"/>
      <c r="CHZ52" s="16"/>
      <c r="CIA52" s="16"/>
      <c r="CIB52" s="16"/>
      <c r="CIC52" s="16"/>
      <c r="CID52" s="16"/>
      <c r="CIE52" s="16"/>
      <c r="CIF52" s="16"/>
      <c r="CIG52" s="16"/>
      <c r="CIH52" s="16"/>
      <c r="CII52" s="16"/>
      <c r="CIJ52" s="16"/>
      <c r="CIK52" s="16"/>
      <c r="CIL52" s="16"/>
      <c r="CIM52" s="16"/>
      <c r="CIN52" s="16"/>
      <c r="CIO52" s="16"/>
      <c r="CIP52" s="16"/>
      <c r="CIQ52" s="16"/>
      <c r="CIR52" s="16"/>
      <c r="CIS52" s="16"/>
      <c r="CIT52" s="16"/>
      <c r="CIU52" s="16"/>
      <c r="CIV52" s="16"/>
      <c r="CIW52" s="16"/>
      <c r="CIX52" s="16"/>
      <c r="CIY52" s="16"/>
      <c r="CIZ52" s="16"/>
      <c r="CJA52" s="16"/>
      <c r="CJB52" s="16"/>
      <c r="CJC52" s="16"/>
      <c r="CJD52" s="16"/>
      <c r="CJE52" s="16"/>
      <c r="CJF52" s="16"/>
      <c r="CJG52" s="16"/>
      <c r="CJH52" s="16"/>
      <c r="CJI52" s="16"/>
      <c r="CJJ52" s="16"/>
      <c r="CJK52" s="16"/>
      <c r="CJL52" s="16"/>
      <c r="CJM52" s="16"/>
      <c r="CJN52" s="16"/>
      <c r="CJO52" s="16"/>
      <c r="CJP52" s="16"/>
      <c r="CJQ52" s="16"/>
      <c r="CJR52" s="16"/>
      <c r="CJS52" s="16"/>
      <c r="CJT52" s="16"/>
      <c r="CJU52" s="16"/>
      <c r="CJV52" s="16"/>
      <c r="CJW52" s="16"/>
      <c r="CJX52" s="16"/>
      <c r="CJY52" s="16"/>
      <c r="CJZ52" s="16"/>
      <c r="CKA52" s="16"/>
      <c r="CKB52" s="16"/>
      <c r="CKC52" s="16"/>
      <c r="CKD52" s="16"/>
      <c r="CKE52" s="16"/>
      <c r="CKF52" s="16"/>
      <c r="CKG52" s="16"/>
      <c r="CKH52" s="16"/>
      <c r="CKI52" s="16"/>
      <c r="CKJ52" s="16"/>
      <c r="CKK52" s="16"/>
      <c r="CKL52" s="16"/>
      <c r="CKM52" s="16"/>
      <c r="CKN52" s="16"/>
      <c r="CKO52" s="16"/>
      <c r="CKP52" s="16"/>
      <c r="CKQ52" s="16"/>
      <c r="CKR52" s="16"/>
      <c r="CKS52" s="16"/>
      <c r="CKT52" s="16"/>
      <c r="CKU52" s="16"/>
      <c r="CKV52" s="16"/>
      <c r="CKW52" s="16"/>
      <c r="CKX52" s="16"/>
      <c r="CKY52" s="16"/>
      <c r="CKZ52" s="16"/>
      <c r="CLA52" s="16"/>
      <c r="CLB52" s="16"/>
      <c r="CLC52" s="16"/>
      <c r="CLD52" s="16"/>
      <c r="CLE52" s="16"/>
      <c r="CLF52" s="16"/>
      <c r="CLG52" s="16"/>
      <c r="CLH52" s="16"/>
      <c r="CLI52" s="16"/>
      <c r="CLJ52" s="16"/>
      <c r="CLK52" s="16"/>
      <c r="CLL52" s="16"/>
      <c r="CLM52" s="16"/>
      <c r="CLN52" s="16"/>
      <c r="CLO52" s="16"/>
      <c r="CLP52" s="16"/>
      <c r="CLQ52" s="16"/>
      <c r="CLR52" s="16"/>
      <c r="CLS52" s="16"/>
      <c r="CLT52" s="16"/>
      <c r="CLU52" s="16"/>
      <c r="CLV52" s="16"/>
      <c r="CLW52" s="16"/>
      <c r="CLX52" s="16"/>
      <c r="CLY52" s="16"/>
      <c r="CLZ52" s="16"/>
      <c r="CMA52" s="16"/>
      <c r="CMB52" s="16"/>
      <c r="CMC52" s="16"/>
      <c r="CMD52" s="16"/>
      <c r="CME52" s="16"/>
      <c r="CMF52" s="16"/>
      <c r="CMG52" s="16"/>
      <c r="CMH52" s="16"/>
      <c r="CMI52" s="16"/>
      <c r="CMJ52" s="16"/>
      <c r="CMK52" s="16"/>
      <c r="CML52" s="16"/>
      <c r="CMM52" s="16"/>
      <c r="CMN52" s="16"/>
      <c r="CMO52" s="16"/>
      <c r="CMP52" s="16"/>
      <c r="CMQ52" s="16"/>
      <c r="CMR52" s="16"/>
      <c r="CMS52" s="16"/>
      <c r="CMT52" s="16"/>
      <c r="CMU52" s="16"/>
      <c r="CMV52" s="16"/>
      <c r="CMW52" s="16"/>
      <c r="CMX52" s="16"/>
      <c r="CMY52" s="16"/>
      <c r="CMZ52" s="16"/>
      <c r="CNA52" s="16"/>
      <c r="CNB52" s="16"/>
      <c r="CNC52" s="16"/>
      <c r="CND52" s="16"/>
      <c r="CNE52" s="16"/>
      <c r="CNF52" s="16"/>
      <c r="CNG52" s="16"/>
      <c r="CNH52" s="16"/>
      <c r="CNI52" s="16"/>
      <c r="CNJ52" s="16"/>
      <c r="CNK52" s="16"/>
      <c r="CNL52" s="16"/>
      <c r="CNM52" s="16"/>
      <c r="CNN52" s="16"/>
      <c r="CNO52" s="16"/>
      <c r="CNP52" s="16"/>
      <c r="CNQ52" s="16"/>
      <c r="CNR52" s="16"/>
      <c r="CNS52" s="16"/>
      <c r="CNT52" s="16"/>
      <c r="CNU52" s="16"/>
      <c r="CNV52" s="16"/>
      <c r="CNW52" s="16"/>
      <c r="CNX52" s="16"/>
      <c r="CNY52" s="16"/>
      <c r="CNZ52" s="16"/>
      <c r="COA52" s="16"/>
      <c r="COB52" s="16"/>
      <c r="COC52" s="16"/>
      <c r="COD52" s="16"/>
      <c r="COE52" s="16"/>
      <c r="COF52" s="16"/>
      <c r="COG52" s="16"/>
      <c r="COH52" s="16"/>
      <c r="COI52" s="16"/>
      <c r="COJ52" s="16"/>
      <c r="COK52" s="16"/>
      <c r="COL52" s="16"/>
      <c r="COM52" s="16"/>
      <c r="CON52" s="16"/>
      <c r="COO52" s="16"/>
      <c r="COP52" s="16"/>
      <c r="COQ52" s="16"/>
      <c r="COR52" s="16"/>
      <c r="COS52" s="16"/>
      <c r="COT52" s="16"/>
      <c r="COU52" s="16"/>
      <c r="COV52" s="16"/>
      <c r="COW52" s="16"/>
      <c r="COX52" s="16"/>
      <c r="COY52" s="16"/>
      <c r="COZ52" s="16"/>
      <c r="CPA52" s="16"/>
      <c r="CPB52" s="16"/>
      <c r="CPC52" s="16"/>
      <c r="CPD52" s="16"/>
      <c r="CPE52" s="16"/>
      <c r="CPF52" s="16"/>
      <c r="CPG52" s="16"/>
      <c r="CPH52" s="16"/>
      <c r="CPI52" s="16"/>
      <c r="CPJ52" s="16"/>
      <c r="CPK52" s="16"/>
      <c r="CPL52" s="16"/>
      <c r="CPM52" s="16"/>
      <c r="CPN52" s="16"/>
      <c r="CPO52" s="16"/>
      <c r="CPP52" s="16"/>
      <c r="CPQ52" s="16"/>
      <c r="CPR52" s="16"/>
      <c r="CPS52" s="16"/>
      <c r="CPT52" s="16"/>
      <c r="CPU52" s="16"/>
      <c r="CPV52" s="16"/>
      <c r="CPW52" s="16"/>
      <c r="CPX52" s="16"/>
      <c r="CPY52" s="16"/>
      <c r="CPZ52" s="16"/>
      <c r="CQA52" s="16"/>
      <c r="CQB52" s="16"/>
      <c r="CQC52" s="16"/>
      <c r="CQD52" s="16"/>
      <c r="CQE52" s="16"/>
      <c r="CQF52" s="16"/>
      <c r="CQG52" s="16"/>
      <c r="CQH52" s="16"/>
      <c r="CQI52" s="16"/>
      <c r="CQJ52" s="16"/>
      <c r="CQK52" s="16"/>
      <c r="CQL52" s="16"/>
      <c r="CQM52" s="16"/>
      <c r="CQN52" s="16"/>
      <c r="CQO52" s="16"/>
      <c r="CQP52" s="16"/>
      <c r="CQQ52" s="16"/>
      <c r="CQR52" s="16"/>
      <c r="CQS52" s="16"/>
      <c r="CQT52" s="16"/>
      <c r="CQU52" s="16"/>
      <c r="CQV52" s="16"/>
      <c r="CQW52" s="16"/>
      <c r="CQX52" s="16"/>
      <c r="CQY52" s="16"/>
      <c r="CQZ52" s="16"/>
      <c r="CRA52" s="16"/>
      <c r="CRB52" s="16"/>
      <c r="CRC52" s="16"/>
      <c r="CRD52" s="16"/>
      <c r="CRE52" s="16"/>
      <c r="CRF52" s="16"/>
      <c r="CRG52" s="16"/>
      <c r="CRH52" s="16"/>
      <c r="CRI52" s="16"/>
      <c r="CRJ52" s="16"/>
      <c r="CRK52" s="16"/>
      <c r="CRL52" s="16"/>
      <c r="CRM52" s="16"/>
      <c r="CRN52" s="16"/>
      <c r="CRO52" s="16"/>
      <c r="CRP52" s="16"/>
      <c r="CRQ52" s="16"/>
      <c r="CRR52" s="16"/>
      <c r="CRS52" s="16"/>
      <c r="CRT52" s="16"/>
      <c r="CRU52" s="16"/>
      <c r="CRV52" s="16"/>
      <c r="CRW52" s="16"/>
      <c r="CRX52" s="16"/>
      <c r="CRY52" s="16"/>
      <c r="CRZ52" s="16"/>
      <c r="CSA52" s="16"/>
      <c r="CSB52" s="16"/>
      <c r="CSC52" s="16"/>
      <c r="CSD52" s="16"/>
      <c r="CSE52" s="16"/>
      <c r="CSF52" s="16"/>
      <c r="CSG52" s="16"/>
      <c r="CSH52" s="16"/>
      <c r="CSI52" s="16"/>
      <c r="CSJ52" s="16"/>
      <c r="CSK52" s="16"/>
      <c r="CSL52" s="16"/>
      <c r="CSM52" s="16"/>
      <c r="CSN52" s="16"/>
      <c r="CSO52" s="16"/>
      <c r="CSP52" s="16"/>
      <c r="CSQ52" s="16"/>
      <c r="CSR52" s="16"/>
      <c r="CSS52" s="16"/>
      <c r="CST52" s="16"/>
      <c r="CSU52" s="16"/>
      <c r="CSV52" s="16"/>
      <c r="CSW52" s="16"/>
      <c r="CSX52" s="16"/>
      <c r="CSY52" s="16"/>
      <c r="CSZ52" s="16"/>
      <c r="CTA52" s="16"/>
      <c r="CTB52" s="16"/>
      <c r="CTC52" s="16"/>
      <c r="CTD52" s="16"/>
      <c r="CTE52" s="16"/>
      <c r="CTF52" s="16"/>
      <c r="CTG52" s="16"/>
      <c r="CTH52" s="16"/>
      <c r="CTI52" s="16"/>
      <c r="CTJ52" s="16"/>
      <c r="CTK52" s="16"/>
      <c r="CTL52" s="16"/>
      <c r="CTM52" s="16"/>
      <c r="CTN52" s="16"/>
      <c r="CTO52" s="16"/>
      <c r="CTP52" s="16"/>
      <c r="CTQ52" s="16"/>
      <c r="CTR52" s="16"/>
      <c r="CTS52" s="16"/>
      <c r="CTT52" s="16"/>
      <c r="CTU52" s="16"/>
      <c r="CTV52" s="16"/>
      <c r="CTW52" s="16"/>
      <c r="CTX52" s="16"/>
      <c r="CTY52" s="16"/>
      <c r="CTZ52" s="16"/>
      <c r="CUA52" s="16"/>
      <c r="CUB52" s="16"/>
      <c r="CUC52" s="16"/>
      <c r="CUD52" s="16"/>
      <c r="CUE52" s="16"/>
      <c r="CUF52" s="16"/>
      <c r="CUG52" s="16"/>
      <c r="CUH52" s="16"/>
      <c r="CUI52" s="16"/>
      <c r="CUJ52" s="16"/>
      <c r="CUK52" s="16"/>
      <c r="CUL52" s="16"/>
      <c r="CUM52" s="16"/>
      <c r="CUN52" s="16"/>
      <c r="CUO52" s="16"/>
      <c r="CUP52" s="16"/>
      <c r="CUQ52" s="16"/>
      <c r="CUR52" s="16"/>
      <c r="CUS52" s="16"/>
      <c r="CUT52" s="16"/>
      <c r="CUU52" s="16"/>
      <c r="CUV52" s="16"/>
      <c r="CUW52" s="16"/>
      <c r="CUX52" s="16"/>
      <c r="CUY52" s="16"/>
      <c r="CUZ52" s="16"/>
      <c r="CVA52" s="16"/>
      <c r="CVB52" s="16"/>
      <c r="CVC52" s="16"/>
      <c r="CVD52" s="16"/>
      <c r="CVE52" s="16"/>
      <c r="CVF52" s="16"/>
      <c r="CVG52" s="16"/>
      <c r="CVH52" s="16"/>
      <c r="CVI52" s="16"/>
      <c r="CVJ52" s="16"/>
      <c r="CVK52" s="16"/>
      <c r="CVL52" s="16"/>
      <c r="CVM52" s="16"/>
      <c r="CVN52" s="16"/>
      <c r="CVO52" s="16"/>
      <c r="CVP52" s="16"/>
      <c r="CVQ52" s="16"/>
      <c r="CVR52" s="16"/>
      <c r="CVS52" s="16"/>
      <c r="CVT52" s="16"/>
      <c r="CVU52" s="16"/>
      <c r="CVV52" s="16"/>
      <c r="CVW52" s="16"/>
      <c r="CVX52" s="16"/>
      <c r="CVY52" s="16"/>
      <c r="CVZ52" s="16"/>
      <c r="CWA52" s="16"/>
      <c r="CWB52" s="16"/>
      <c r="CWC52" s="16"/>
      <c r="CWD52" s="16"/>
      <c r="CWE52" s="16"/>
      <c r="CWF52" s="16"/>
      <c r="CWG52" s="16"/>
      <c r="CWH52" s="16"/>
      <c r="CWI52" s="16"/>
      <c r="CWJ52" s="16"/>
      <c r="CWK52" s="16"/>
      <c r="CWL52" s="16"/>
      <c r="CWM52" s="16"/>
      <c r="CWN52" s="16"/>
      <c r="CWO52" s="16"/>
      <c r="CWP52" s="16"/>
      <c r="CWQ52" s="16"/>
      <c r="CWR52" s="16"/>
      <c r="CWS52" s="16"/>
      <c r="CWT52" s="16"/>
      <c r="CWU52" s="16"/>
      <c r="CWV52" s="16"/>
      <c r="CWW52" s="16"/>
      <c r="CWX52" s="16"/>
      <c r="CWY52" s="16"/>
      <c r="CWZ52" s="16"/>
      <c r="CXA52" s="16"/>
      <c r="CXB52" s="16"/>
      <c r="CXC52" s="16"/>
      <c r="CXD52" s="16"/>
      <c r="CXE52" s="16"/>
      <c r="CXF52" s="16"/>
      <c r="CXG52" s="16"/>
      <c r="CXH52" s="16"/>
      <c r="CXI52" s="16"/>
      <c r="CXJ52" s="16"/>
      <c r="CXK52" s="16"/>
      <c r="CXL52" s="16"/>
      <c r="CXM52" s="16"/>
      <c r="CXN52" s="16"/>
      <c r="CXO52" s="16"/>
      <c r="CXP52" s="16"/>
      <c r="CXQ52" s="16"/>
      <c r="CXR52" s="16"/>
      <c r="CXS52" s="16"/>
      <c r="CXT52" s="16"/>
      <c r="CXU52" s="16"/>
      <c r="CXV52" s="16"/>
      <c r="CXW52" s="16"/>
      <c r="CXX52" s="16"/>
      <c r="CXY52" s="16"/>
      <c r="CXZ52" s="16"/>
      <c r="CYA52" s="16"/>
      <c r="CYB52" s="16"/>
      <c r="CYC52" s="16"/>
      <c r="CYD52" s="16"/>
      <c r="CYE52" s="16"/>
      <c r="CYF52" s="16"/>
      <c r="CYG52" s="16"/>
      <c r="CYH52" s="16"/>
      <c r="CYI52" s="16"/>
      <c r="CYJ52" s="16"/>
      <c r="CYK52" s="16"/>
      <c r="CYL52" s="16"/>
      <c r="CYM52" s="16"/>
      <c r="CYN52" s="16"/>
      <c r="CYO52" s="16"/>
      <c r="CYP52" s="16"/>
      <c r="CYQ52" s="16"/>
      <c r="CYR52" s="16"/>
      <c r="CYS52" s="16"/>
      <c r="CYT52" s="16"/>
      <c r="CYU52" s="16"/>
      <c r="CYV52" s="16"/>
      <c r="CYW52" s="16"/>
      <c r="CYX52" s="16"/>
      <c r="CYY52" s="16"/>
      <c r="CYZ52" s="16"/>
      <c r="CZA52" s="16"/>
      <c r="CZB52" s="16"/>
      <c r="CZC52" s="16"/>
      <c r="CZD52" s="16"/>
      <c r="CZE52" s="16"/>
      <c r="CZF52" s="16"/>
      <c r="CZG52" s="16"/>
      <c r="CZH52" s="16"/>
      <c r="CZI52" s="16"/>
      <c r="CZJ52" s="16"/>
      <c r="CZK52" s="16"/>
      <c r="CZL52" s="16"/>
      <c r="CZM52" s="16"/>
      <c r="CZN52" s="16"/>
      <c r="CZO52" s="16"/>
      <c r="CZP52" s="16"/>
      <c r="CZQ52" s="16"/>
      <c r="CZR52" s="16"/>
      <c r="CZS52" s="16"/>
      <c r="CZT52" s="16"/>
      <c r="CZU52" s="16"/>
      <c r="CZV52" s="16"/>
      <c r="CZW52" s="16"/>
      <c r="CZX52" s="16"/>
      <c r="CZY52" s="16"/>
      <c r="CZZ52" s="16"/>
      <c r="DAA52" s="16"/>
      <c r="DAB52" s="16"/>
      <c r="DAC52" s="16"/>
      <c r="DAD52" s="16"/>
      <c r="DAE52" s="16"/>
      <c r="DAF52" s="16"/>
      <c r="DAG52" s="16"/>
      <c r="DAH52" s="16"/>
      <c r="DAI52" s="16"/>
      <c r="DAJ52" s="16"/>
      <c r="DAK52" s="16"/>
      <c r="DAL52" s="16"/>
      <c r="DAM52" s="16"/>
      <c r="DAN52" s="16"/>
      <c r="DAO52" s="16"/>
      <c r="DAP52" s="16"/>
      <c r="DAQ52" s="16"/>
      <c r="DAR52" s="16"/>
      <c r="DAS52" s="16"/>
      <c r="DAT52" s="16"/>
      <c r="DAU52" s="16"/>
      <c r="DAV52" s="16"/>
      <c r="DAW52" s="16"/>
      <c r="DAX52" s="16"/>
      <c r="DAY52" s="16"/>
      <c r="DAZ52" s="16"/>
      <c r="DBA52" s="16"/>
      <c r="DBB52" s="16"/>
      <c r="DBC52" s="16"/>
      <c r="DBD52" s="16"/>
      <c r="DBE52" s="16"/>
      <c r="DBF52" s="16"/>
      <c r="DBG52" s="16"/>
      <c r="DBH52" s="16"/>
      <c r="DBI52" s="16"/>
      <c r="DBJ52" s="16"/>
      <c r="DBK52" s="16"/>
      <c r="DBL52" s="16"/>
      <c r="DBM52" s="16"/>
      <c r="DBN52" s="16"/>
      <c r="DBO52" s="16"/>
      <c r="DBP52" s="16"/>
      <c r="DBQ52" s="16"/>
      <c r="DBR52" s="16"/>
      <c r="DBS52" s="16"/>
      <c r="DBT52" s="16"/>
      <c r="DBU52" s="16"/>
      <c r="DBV52" s="16"/>
      <c r="DBW52" s="16"/>
      <c r="DBX52" s="16"/>
      <c r="DBY52" s="16"/>
      <c r="DBZ52" s="16"/>
      <c r="DCA52" s="16"/>
      <c r="DCB52" s="16"/>
      <c r="DCC52" s="16"/>
      <c r="DCD52" s="16"/>
      <c r="DCE52" s="16"/>
      <c r="DCF52" s="16"/>
      <c r="DCG52" s="16"/>
      <c r="DCH52" s="16"/>
      <c r="DCI52" s="16"/>
      <c r="DCJ52" s="16"/>
      <c r="DCK52" s="16"/>
      <c r="DCL52" s="16"/>
      <c r="DCM52" s="16"/>
      <c r="DCN52" s="16"/>
      <c r="DCO52" s="16"/>
      <c r="DCP52" s="16"/>
      <c r="DCQ52" s="16"/>
      <c r="DCR52" s="16"/>
      <c r="DCS52" s="16"/>
      <c r="DCT52" s="16"/>
      <c r="DCU52" s="16"/>
      <c r="DCV52" s="16"/>
      <c r="DCW52" s="16"/>
      <c r="DCX52" s="16"/>
      <c r="DCY52" s="16"/>
      <c r="DCZ52" s="16"/>
      <c r="DDA52" s="16"/>
      <c r="DDB52" s="16"/>
      <c r="DDC52" s="16"/>
      <c r="DDD52" s="16"/>
      <c r="DDE52" s="16"/>
      <c r="DDF52" s="16"/>
      <c r="DDG52" s="16"/>
      <c r="DDH52" s="16"/>
      <c r="DDI52" s="16"/>
      <c r="DDJ52" s="16"/>
      <c r="DDK52" s="16"/>
      <c r="DDL52" s="16"/>
      <c r="DDM52" s="16"/>
      <c r="DDN52" s="16"/>
      <c r="DDO52" s="16"/>
      <c r="DDP52" s="16"/>
      <c r="DDQ52" s="16"/>
      <c r="DDR52" s="16"/>
      <c r="DDS52" s="16"/>
      <c r="DDT52" s="16"/>
      <c r="DDU52" s="16"/>
      <c r="DDV52" s="16"/>
      <c r="DDW52" s="16"/>
      <c r="DDX52" s="16"/>
      <c r="DDY52" s="16"/>
      <c r="DDZ52" s="16"/>
      <c r="DEA52" s="16"/>
      <c r="DEB52" s="16"/>
      <c r="DEC52" s="16"/>
      <c r="DED52" s="16"/>
      <c r="DEE52" s="16"/>
      <c r="DEF52" s="16"/>
      <c r="DEG52" s="16"/>
      <c r="DEH52" s="16"/>
      <c r="DEI52" s="16"/>
      <c r="DEJ52" s="16"/>
      <c r="DEK52" s="16"/>
      <c r="DEL52" s="16"/>
      <c r="DEM52" s="16"/>
      <c r="DEN52" s="16"/>
      <c r="DEO52" s="16"/>
      <c r="DEP52" s="16"/>
      <c r="DEQ52" s="16"/>
      <c r="DER52" s="16"/>
      <c r="DES52" s="16"/>
      <c r="DET52" s="16"/>
      <c r="DEU52" s="16"/>
      <c r="DEV52" s="16"/>
      <c r="DEW52" s="16"/>
      <c r="DEX52" s="16"/>
      <c r="DEY52" s="16"/>
      <c r="DEZ52" s="16"/>
      <c r="DFA52" s="16"/>
      <c r="DFB52" s="16"/>
      <c r="DFC52" s="16"/>
      <c r="DFD52" s="16"/>
      <c r="DFE52" s="16"/>
      <c r="DFF52" s="16"/>
      <c r="DFG52" s="16"/>
      <c r="DFH52" s="16"/>
      <c r="DFI52" s="16"/>
      <c r="DFJ52" s="16"/>
      <c r="DFK52" s="16"/>
      <c r="DFL52" s="16"/>
      <c r="DFM52" s="16"/>
      <c r="DFN52" s="16"/>
      <c r="DFO52" s="16"/>
      <c r="DFP52" s="16"/>
      <c r="DFQ52" s="16"/>
      <c r="DFR52" s="16"/>
      <c r="DFS52" s="16"/>
      <c r="DFT52" s="16"/>
      <c r="DFU52" s="16"/>
      <c r="DFV52" s="16"/>
      <c r="DFW52" s="16"/>
      <c r="DFX52" s="16"/>
      <c r="DFY52" s="16"/>
      <c r="DFZ52" s="16"/>
      <c r="DGA52" s="16"/>
      <c r="DGB52" s="16"/>
      <c r="DGC52" s="16"/>
      <c r="DGD52" s="16"/>
      <c r="DGE52" s="16"/>
      <c r="DGF52" s="16"/>
      <c r="DGG52" s="16"/>
      <c r="DGH52" s="16"/>
      <c r="DGI52" s="16"/>
      <c r="DGJ52" s="16"/>
      <c r="DGK52" s="16"/>
      <c r="DGL52" s="16"/>
      <c r="DGM52" s="16"/>
      <c r="DGN52" s="16"/>
      <c r="DGO52" s="16"/>
      <c r="DGP52" s="16"/>
      <c r="DGQ52" s="16"/>
      <c r="DGR52" s="16"/>
      <c r="DGS52" s="16"/>
      <c r="DGT52" s="16"/>
      <c r="DGU52" s="16"/>
      <c r="DGV52" s="16"/>
      <c r="DGW52" s="16"/>
      <c r="DGX52" s="16"/>
      <c r="DGY52" s="16"/>
      <c r="DGZ52" s="16"/>
      <c r="DHA52" s="16"/>
      <c r="DHB52" s="16"/>
      <c r="DHC52" s="16"/>
      <c r="DHD52" s="16"/>
      <c r="DHE52" s="16"/>
      <c r="DHF52" s="16"/>
      <c r="DHG52" s="16"/>
      <c r="DHH52" s="16"/>
      <c r="DHI52" s="16"/>
      <c r="DHJ52" s="16"/>
      <c r="DHK52" s="16"/>
      <c r="DHL52" s="16"/>
      <c r="DHM52" s="16"/>
      <c r="DHN52" s="16"/>
      <c r="DHO52" s="16"/>
      <c r="DHP52" s="16"/>
      <c r="DHQ52" s="16"/>
      <c r="DHR52" s="16"/>
      <c r="DHS52" s="16"/>
      <c r="DHT52" s="16"/>
      <c r="DHU52" s="16"/>
      <c r="DHV52" s="16"/>
      <c r="DHW52" s="16"/>
      <c r="DHX52" s="16"/>
      <c r="DHY52" s="16"/>
      <c r="DHZ52" s="16"/>
      <c r="DIA52" s="16"/>
      <c r="DIB52" s="16"/>
      <c r="DIC52" s="16"/>
      <c r="DID52" s="16"/>
      <c r="DIE52" s="16"/>
      <c r="DIF52" s="16"/>
      <c r="DIG52" s="16"/>
      <c r="DIH52" s="16"/>
      <c r="DII52" s="16"/>
      <c r="DIJ52" s="16"/>
      <c r="DIK52" s="16"/>
      <c r="DIL52" s="16"/>
      <c r="DIM52" s="16"/>
      <c r="DIN52" s="16"/>
      <c r="DIO52" s="16"/>
      <c r="DIP52" s="16"/>
      <c r="DIQ52" s="16"/>
      <c r="DIR52" s="16"/>
      <c r="DIS52" s="16"/>
      <c r="DIT52" s="16"/>
      <c r="DIU52" s="16"/>
      <c r="DIV52" s="16"/>
      <c r="DIW52" s="16"/>
      <c r="DIX52" s="16"/>
      <c r="DIY52" s="16"/>
      <c r="DIZ52" s="16"/>
      <c r="DJA52" s="16"/>
      <c r="DJB52" s="16"/>
      <c r="DJC52" s="16"/>
      <c r="DJD52" s="16"/>
      <c r="DJE52" s="16"/>
      <c r="DJF52" s="16"/>
      <c r="DJG52" s="16"/>
      <c r="DJH52" s="16"/>
      <c r="DJI52" s="16"/>
      <c r="DJJ52" s="16"/>
      <c r="DJK52" s="16"/>
      <c r="DJL52" s="16"/>
      <c r="DJM52" s="16"/>
      <c r="DJN52" s="16"/>
      <c r="DJO52" s="16"/>
      <c r="DJP52" s="16"/>
      <c r="DJQ52" s="16"/>
      <c r="DJR52" s="16"/>
      <c r="DJS52" s="16"/>
      <c r="DJT52" s="16"/>
      <c r="DJU52" s="16"/>
      <c r="DJV52" s="16"/>
      <c r="DJW52" s="16"/>
      <c r="DJX52" s="16"/>
      <c r="DJY52" s="16"/>
      <c r="DJZ52" s="16"/>
      <c r="DKA52" s="16"/>
      <c r="DKB52" s="16"/>
      <c r="DKC52" s="16"/>
      <c r="DKD52" s="16"/>
      <c r="DKE52" s="16"/>
      <c r="DKF52" s="16"/>
      <c r="DKG52" s="16"/>
      <c r="DKH52" s="16"/>
      <c r="DKI52" s="16"/>
      <c r="DKJ52" s="16"/>
      <c r="DKK52" s="16"/>
      <c r="DKL52" s="16"/>
      <c r="DKM52" s="16"/>
      <c r="DKN52" s="16"/>
      <c r="DKO52" s="16"/>
      <c r="DKP52" s="16"/>
      <c r="DKQ52" s="16"/>
      <c r="DKR52" s="16"/>
      <c r="DKS52" s="16"/>
      <c r="DKT52" s="16"/>
      <c r="DKU52" s="16"/>
      <c r="DKV52" s="16"/>
      <c r="DKW52" s="16"/>
      <c r="DKX52" s="16"/>
      <c r="DKY52" s="16"/>
      <c r="DKZ52" s="16"/>
      <c r="DLA52" s="16"/>
      <c r="DLB52" s="16"/>
      <c r="DLC52" s="16"/>
      <c r="DLD52" s="16"/>
      <c r="DLE52" s="16"/>
      <c r="DLF52" s="16"/>
      <c r="DLG52" s="16"/>
      <c r="DLH52" s="16"/>
      <c r="DLI52" s="16"/>
      <c r="DLJ52" s="16"/>
      <c r="DLK52" s="16"/>
      <c r="DLL52" s="16"/>
      <c r="DLM52" s="16"/>
      <c r="DLN52" s="16"/>
      <c r="DLO52" s="16"/>
      <c r="DLP52" s="16"/>
      <c r="DLQ52" s="16"/>
      <c r="DLR52" s="16"/>
      <c r="DLS52" s="16"/>
      <c r="DLT52" s="16"/>
      <c r="DLU52" s="16"/>
      <c r="DLV52" s="16"/>
      <c r="DLW52" s="16"/>
      <c r="DLX52" s="16"/>
      <c r="DLY52" s="16"/>
      <c r="DLZ52" s="16"/>
      <c r="DMA52" s="16"/>
      <c r="DMB52" s="16"/>
      <c r="DMC52" s="16"/>
      <c r="DMD52" s="16"/>
      <c r="DME52" s="16"/>
      <c r="DMF52" s="16"/>
      <c r="DMG52" s="16"/>
      <c r="DMH52" s="16"/>
      <c r="DMI52" s="16"/>
      <c r="DMJ52" s="16"/>
      <c r="DMK52" s="16"/>
      <c r="DML52" s="16"/>
      <c r="DMM52" s="16"/>
      <c r="DMN52" s="16"/>
      <c r="DMO52" s="16"/>
      <c r="DMP52" s="16"/>
      <c r="DMQ52" s="16"/>
      <c r="DMR52" s="16"/>
      <c r="DMS52" s="16"/>
      <c r="DMT52" s="16"/>
      <c r="DMU52" s="16"/>
      <c r="DMV52" s="16"/>
      <c r="DMW52" s="16"/>
      <c r="DMX52" s="16"/>
      <c r="DMY52" s="16"/>
      <c r="DMZ52" s="16"/>
      <c r="DNA52" s="16"/>
      <c r="DNB52" s="16"/>
      <c r="DNC52" s="16"/>
      <c r="DND52" s="16"/>
      <c r="DNE52" s="16"/>
      <c r="DNF52" s="16"/>
      <c r="DNG52" s="16"/>
      <c r="DNH52" s="16"/>
      <c r="DNI52" s="16"/>
      <c r="DNJ52" s="16"/>
      <c r="DNK52" s="16"/>
      <c r="DNL52" s="16"/>
      <c r="DNM52" s="16"/>
      <c r="DNN52" s="16"/>
      <c r="DNO52" s="16"/>
      <c r="DNP52" s="16"/>
      <c r="DNQ52" s="16"/>
      <c r="DNR52" s="16"/>
      <c r="DNS52" s="16"/>
      <c r="DNT52" s="16"/>
      <c r="DNU52" s="16"/>
      <c r="DNV52" s="16"/>
      <c r="DNW52" s="16"/>
      <c r="DNX52" s="16"/>
      <c r="DNY52" s="16"/>
      <c r="DNZ52" s="16"/>
      <c r="DOA52" s="16"/>
      <c r="DOB52" s="16"/>
      <c r="DOC52" s="16"/>
      <c r="DOD52" s="16"/>
      <c r="DOE52" s="16"/>
      <c r="DOF52" s="16"/>
      <c r="DOG52" s="16"/>
      <c r="DOH52" s="16"/>
      <c r="DOI52" s="16"/>
      <c r="DOJ52" s="16"/>
      <c r="DOK52" s="16"/>
      <c r="DOL52" s="16"/>
      <c r="DOM52" s="16"/>
      <c r="DON52" s="16"/>
      <c r="DOO52" s="16"/>
      <c r="DOP52" s="16"/>
      <c r="DOQ52" s="16"/>
      <c r="DOR52" s="16"/>
      <c r="DOS52" s="16"/>
      <c r="DOT52" s="16"/>
      <c r="DOU52" s="16"/>
      <c r="DOV52" s="16"/>
      <c r="DOW52" s="16"/>
      <c r="DOX52" s="16"/>
      <c r="DOY52" s="16"/>
      <c r="DOZ52" s="16"/>
      <c r="DPA52" s="16"/>
      <c r="DPB52" s="16"/>
      <c r="DPC52" s="16"/>
      <c r="DPD52" s="16"/>
      <c r="DPE52" s="16"/>
      <c r="DPF52" s="16"/>
      <c r="DPG52" s="16"/>
      <c r="DPH52" s="16"/>
      <c r="DPI52" s="16"/>
      <c r="DPJ52" s="16"/>
      <c r="DPK52" s="16"/>
      <c r="DPL52" s="16"/>
      <c r="DPM52" s="16"/>
      <c r="DPN52" s="16"/>
      <c r="DPO52" s="16"/>
      <c r="DPP52" s="16"/>
      <c r="DPQ52" s="16"/>
      <c r="DPR52" s="16"/>
      <c r="DPS52" s="16"/>
      <c r="DPT52" s="16"/>
      <c r="DPU52" s="16"/>
      <c r="DPV52" s="16"/>
      <c r="DPW52" s="16"/>
      <c r="DPX52" s="16"/>
      <c r="DPY52" s="16"/>
      <c r="DPZ52" s="16"/>
      <c r="DQA52" s="16"/>
      <c r="DQB52" s="16"/>
      <c r="DQC52" s="16"/>
      <c r="DQD52" s="16"/>
      <c r="DQE52" s="16"/>
      <c r="DQF52" s="16"/>
      <c r="DQG52" s="16"/>
      <c r="DQH52" s="16"/>
      <c r="DQI52" s="16"/>
      <c r="DQJ52" s="16"/>
      <c r="DQK52" s="16"/>
      <c r="DQL52" s="16"/>
      <c r="DQM52" s="16"/>
      <c r="DQN52" s="16"/>
      <c r="DQO52" s="16"/>
      <c r="DQP52" s="16"/>
      <c r="DQQ52" s="16"/>
      <c r="DQR52" s="16"/>
      <c r="DQS52" s="16"/>
      <c r="DQT52" s="16"/>
      <c r="DQU52" s="16"/>
      <c r="DQV52" s="16"/>
      <c r="DQW52" s="16"/>
      <c r="DQX52" s="16"/>
      <c r="DQY52" s="16"/>
      <c r="DQZ52" s="16"/>
      <c r="DRA52" s="16"/>
      <c r="DRB52" s="16"/>
      <c r="DRC52" s="16"/>
      <c r="DRD52" s="16"/>
      <c r="DRE52" s="16"/>
      <c r="DRF52" s="16"/>
      <c r="DRG52" s="16"/>
      <c r="DRH52" s="16"/>
      <c r="DRI52" s="16"/>
      <c r="DRJ52" s="16"/>
      <c r="DRK52" s="16"/>
      <c r="DRL52" s="16"/>
      <c r="DRM52" s="16"/>
      <c r="DRN52" s="16"/>
      <c r="DRO52" s="16"/>
      <c r="DRP52" s="16"/>
      <c r="DRQ52" s="16"/>
      <c r="DRR52" s="16"/>
      <c r="DRS52" s="16"/>
      <c r="DRT52" s="16"/>
      <c r="DRU52" s="16"/>
      <c r="DRV52" s="16"/>
      <c r="DRW52" s="16"/>
      <c r="DRX52" s="16"/>
      <c r="DRY52" s="16"/>
      <c r="DRZ52" s="16"/>
      <c r="DSA52" s="16"/>
      <c r="DSB52" s="16"/>
      <c r="DSC52" s="16"/>
      <c r="DSD52" s="16"/>
      <c r="DSE52" s="16"/>
      <c r="DSF52" s="16"/>
      <c r="DSG52" s="16"/>
      <c r="DSH52" s="16"/>
      <c r="DSI52" s="16"/>
      <c r="DSJ52" s="16"/>
      <c r="DSK52" s="16"/>
      <c r="DSL52" s="16"/>
      <c r="DSM52" s="16"/>
      <c r="DSN52" s="16"/>
      <c r="DSO52" s="16"/>
      <c r="DSP52" s="16"/>
      <c r="DSQ52" s="16"/>
      <c r="DSR52" s="16"/>
      <c r="DSS52" s="16"/>
      <c r="DST52" s="16"/>
      <c r="DSU52" s="16"/>
      <c r="DSV52" s="16"/>
      <c r="DSW52" s="16"/>
      <c r="DSX52" s="16"/>
      <c r="DSY52" s="16"/>
      <c r="DSZ52" s="16"/>
      <c r="DTA52" s="16"/>
      <c r="DTB52" s="16"/>
      <c r="DTC52" s="16"/>
      <c r="DTD52" s="16"/>
      <c r="DTE52" s="16"/>
      <c r="DTF52" s="16"/>
      <c r="DTG52" s="16"/>
      <c r="DTH52" s="16"/>
      <c r="DTI52" s="16"/>
      <c r="DTJ52" s="16"/>
      <c r="DTK52" s="16"/>
      <c r="DTL52" s="16"/>
      <c r="DTM52" s="16"/>
      <c r="DTN52" s="16"/>
      <c r="DTO52" s="16"/>
      <c r="DTP52" s="16"/>
      <c r="DTQ52" s="16"/>
      <c r="DTR52" s="16"/>
      <c r="DTS52" s="16"/>
      <c r="DTT52" s="16"/>
      <c r="DTU52" s="16"/>
      <c r="DTV52" s="16"/>
      <c r="DTW52" s="16"/>
      <c r="DTX52" s="16"/>
      <c r="DTY52" s="16"/>
      <c r="DTZ52" s="16"/>
      <c r="DUA52" s="16"/>
      <c r="DUB52" s="16"/>
      <c r="DUC52" s="16"/>
      <c r="DUD52" s="16"/>
      <c r="DUE52" s="16"/>
      <c r="DUF52" s="16"/>
      <c r="DUG52" s="16"/>
      <c r="DUH52" s="16"/>
      <c r="DUI52" s="16"/>
      <c r="DUJ52" s="16"/>
      <c r="DUK52" s="16"/>
      <c r="DUL52" s="16"/>
      <c r="DUM52" s="16"/>
      <c r="DUN52" s="16"/>
      <c r="DUO52" s="16"/>
      <c r="DUP52" s="16"/>
      <c r="DUQ52" s="16"/>
      <c r="DUR52" s="16"/>
      <c r="DUS52" s="16"/>
      <c r="DUT52" s="16"/>
      <c r="DUU52" s="16"/>
      <c r="DUV52" s="16"/>
      <c r="DUW52" s="16"/>
      <c r="DUX52" s="16"/>
      <c r="DUY52" s="16"/>
      <c r="DUZ52" s="16"/>
      <c r="DVA52" s="16"/>
      <c r="DVB52" s="16"/>
      <c r="DVC52" s="16"/>
      <c r="DVD52" s="16"/>
      <c r="DVE52" s="16"/>
      <c r="DVF52" s="16"/>
      <c r="DVG52" s="16"/>
      <c r="DVH52" s="16"/>
      <c r="DVI52" s="16"/>
      <c r="DVJ52" s="16"/>
      <c r="DVK52" s="16"/>
      <c r="DVL52" s="16"/>
      <c r="DVM52" s="16"/>
      <c r="DVN52" s="16"/>
      <c r="DVO52" s="16"/>
      <c r="DVP52" s="16"/>
      <c r="DVQ52" s="16"/>
      <c r="DVR52" s="16"/>
      <c r="DVS52" s="16"/>
      <c r="DVT52" s="16"/>
      <c r="DVU52" s="16"/>
      <c r="DVV52" s="16"/>
      <c r="DVW52" s="16"/>
      <c r="DVX52" s="16"/>
      <c r="DVY52" s="16"/>
      <c r="DVZ52" s="16"/>
      <c r="DWA52" s="16"/>
      <c r="DWB52" s="16"/>
      <c r="DWC52" s="16"/>
      <c r="DWD52" s="16"/>
      <c r="DWE52" s="16"/>
      <c r="DWF52" s="16"/>
      <c r="DWG52" s="16"/>
      <c r="DWH52" s="16"/>
      <c r="DWI52" s="16"/>
      <c r="DWJ52" s="16"/>
      <c r="DWK52" s="16"/>
      <c r="DWL52" s="16"/>
      <c r="DWM52" s="16"/>
      <c r="DWN52" s="16"/>
      <c r="DWO52" s="16"/>
      <c r="DWP52" s="16"/>
      <c r="DWQ52" s="16"/>
      <c r="DWR52" s="16"/>
      <c r="DWS52" s="16"/>
      <c r="DWT52" s="16"/>
      <c r="DWU52" s="16"/>
      <c r="DWV52" s="16"/>
      <c r="DWW52" s="16"/>
      <c r="DWX52" s="16"/>
      <c r="DWY52" s="16"/>
      <c r="DWZ52" s="16"/>
      <c r="DXA52" s="16"/>
      <c r="DXB52" s="16"/>
      <c r="DXC52" s="16"/>
      <c r="DXD52" s="16"/>
      <c r="DXE52" s="16"/>
      <c r="DXF52" s="16"/>
      <c r="DXG52" s="16"/>
      <c r="DXH52" s="16"/>
      <c r="DXI52" s="16"/>
      <c r="DXJ52" s="16"/>
      <c r="DXK52" s="16"/>
      <c r="DXL52" s="16"/>
      <c r="DXM52" s="16"/>
      <c r="DXN52" s="16"/>
      <c r="DXO52" s="16"/>
      <c r="DXP52" s="16"/>
      <c r="DXQ52" s="16"/>
      <c r="DXR52" s="16"/>
      <c r="DXS52" s="16"/>
      <c r="DXT52" s="16"/>
      <c r="DXU52" s="16"/>
      <c r="DXV52" s="16"/>
      <c r="DXW52" s="16"/>
      <c r="DXX52" s="16"/>
      <c r="DXY52" s="16"/>
      <c r="DXZ52" s="16"/>
      <c r="DYA52" s="16"/>
      <c r="DYB52" s="16"/>
      <c r="DYC52" s="16"/>
      <c r="DYD52" s="16"/>
      <c r="DYE52" s="16"/>
      <c r="DYF52" s="16"/>
      <c r="DYG52" s="16"/>
      <c r="DYH52" s="16"/>
      <c r="DYI52" s="16"/>
      <c r="DYJ52" s="16"/>
      <c r="DYK52" s="16"/>
      <c r="DYL52" s="16"/>
      <c r="DYM52" s="16"/>
      <c r="DYN52" s="16"/>
      <c r="DYO52" s="16"/>
      <c r="DYP52" s="16"/>
      <c r="DYQ52" s="16"/>
      <c r="DYR52" s="16"/>
      <c r="DYS52" s="16"/>
      <c r="DYT52" s="16"/>
      <c r="DYU52" s="16"/>
      <c r="DYV52" s="16"/>
      <c r="DYW52" s="16"/>
      <c r="DYX52" s="16"/>
      <c r="DYY52" s="16"/>
      <c r="DYZ52" s="16"/>
      <c r="DZA52" s="16"/>
      <c r="DZB52" s="16"/>
      <c r="DZC52" s="16"/>
      <c r="DZD52" s="16"/>
      <c r="DZE52" s="16"/>
      <c r="DZF52" s="16"/>
      <c r="DZG52" s="16"/>
      <c r="DZH52" s="16"/>
      <c r="DZI52" s="16"/>
      <c r="DZJ52" s="16"/>
      <c r="DZK52" s="16"/>
      <c r="DZL52" s="16"/>
      <c r="DZM52" s="16"/>
      <c r="DZN52" s="16"/>
      <c r="DZO52" s="16"/>
      <c r="DZP52" s="16"/>
      <c r="DZQ52" s="16"/>
      <c r="DZR52" s="16"/>
      <c r="DZS52" s="16"/>
      <c r="DZT52" s="16"/>
      <c r="DZU52" s="16"/>
      <c r="DZV52" s="16"/>
      <c r="DZW52" s="16"/>
      <c r="DZX52" s="16"/>
      <c r="DZY52" s="16"/>
      <c r="DZZ52" s="16"/>
      <c r="EAA52" s="16"/>
      <c r="EAB52" s="16"/>
      <c r="EAC52" s="16"/>
      <c r="EAD52" s="16"/>
      <c r="EAE52" s="16"/>
      <c r="EAF52" s="16"/>
      <c r="EAG52" s="16"/>
      <c r="EAH52" s="16"/>
      <c r="EAI52" s="16"/>
      <c r="EAJ52" s="16"/>
      <c r="EAK52" s="16"/>
      <c r="EAL52" s="16"/>
      <c r="EAM52" s="16"/>
      <c r="EAN52" s="16"/>
      <c r="EAO52" s="16"/>
      <c r="EAP52" s="16"/>
      <c r="EAQ52" s="16"/>
      <c r="EAR52" s="16"/>
      <c r="EAS52" s="16"/>
      <c r="EAT52" s="16"/>
      <c r="EAU52" s="16"/>
      <c r="EAV52" s="16"/>
      <c r="EAW52" s="16"/>
      <c r="EAX52" s="16"/>
      <c r="EAY52" s="16"/>
      <c r="EAZ52" s="16"/>
      <c r="EBA52" s="16"/>
      <c r="EBB52" s="16"/>
      <c r="EBC52" s="16"/>
      <c r="EBD52" s="16"/>
      <c r="EBE52" s="16"/>
      <c r="EBF52" s="16"/>
      <c r="EBG52" s="16"/>
      <c r="EBH52" s="16"/>
      <c r="EBI52" s="16"/>
      <c r="EBJ52" s="16"/>
      <c r="EBK52" s="16"/>
      <c r="EBL52" s="16"/>
      <c r="EBM52" s="16"/>
      <c r="EBN52" s="16"/>
      <c r="EBO52" s="16"/>
      <c r="EBP52" s="16"/>
      <c r="EBQ52" s="16"/>
      <c r="EBR52" s="16"/>
      <c r="EBS52" s="16"/>
      <c r="EBT52" s="16"/>
      <c r="EBU52" s="16"/>
      <c r="EBV52" s="16"/>
      <c r="EBW52" s="16"/>
      <c r="EBX52" s="16"/>
      <c r="EBY52" s="16"/>
      <c r="EBZ52" s="16"/>
      <c r="ECA52" s="16"/>
      <c r="ECB52" s="16"/>
      <c r="ECC52" s="16"/>
      <c r="ECD52" s="16"/>
      <c r="ECE52" s="16"/>
      <c r="ECF52" s="16"/>
      <c r="ECG52" s="16"/>
      <c r="ECH52" s="16"/>
      <c r="ECI52" s="16"/>
      <c r="ECJ52" s="16"/>
      <c r="ECK52" s="16"/>
      <c r="ECL52" s="16"/>
      <c r="ECM52" s="16"/>
      <c r="ECN52" s="16"/>
      <c r="ECO52" s="16"/>
      <c r="ECP52" s="16"/>
      <c r="ECQ52" s="16"/>
      <c r="ECR52" s="16"/>
      <c r="ECS52" s="16"/>
      <c r="ECT52" s="16"/>
      <c r="ECU52" s="16"/>
      <c r="ECV52" s="16"/>
      <c r="ECW52" s="16"/>
      <c r="ECX52" s="16"/>
      <c r="ECY52" s="16"/>
      <c r="ECZ52" s="16"/>
      <c r="EDA52" s="16"/>
      <c r="EDB52" s="16"/>
      <c r="EDC52" s="16"/>
      <c r="EDD52" s="16"/>
      <c r="EDE52" s="16"/>
      <c r="EDF52" s="16"/>
      <c r="EDG52" s="16"/>
      <c r="EDH52" s="16"/>
      <c r="EDI52" s="16"/>
      <c r="EDJ52" s="16"/>
      <c r="EDK52" s="16"/>
      <c r="EDL52" s="16"/>
      <c r="EDM52" s="16"/>
      <c r="EDN52" s="16"/>
      <c r="EDO52" s="16"/>
      <c r="EDP52" s="16"/>
      <c r="EDQ52" s="16"/>
      <c r="EDR52" s="16"/>
      <c r="EDS52" s="16"/>
      <c r="EDT52" s="16"/>
      <c r="EDU52" s="16"/>
      <c r="EDV52" s="16"/>
      <c r="EDW52" s="16"/>
      <c r="EDX52" s="16"/>
      <c r="EDY52" s="16"/>
      <c r="EDZ52" s="16"/>
      <c r="EEA52" s="16"/>
      <c r="EEB52" s="16"/>
      <c r="EEC52" s="16"/>
      <c r="EED52" s="16"/>
      <c r="EEE52" s="16"/>
      <c r="EEF52" s="16"/>
      <c r="EEG52" s="16"/>
      <c r="EEH52" s="16"/>
      <c r="EEI52" s="16"/>
      <c r="EEJ52" s="16"/>
      <c r="EEK52" s="16"/>
      <c r="EEL52" s="16"/>
      <c r="EEM52" s="16"/>
      <c r="EEN52" s="16"/>
      <c r="EEO52" s="16"/>
      <c r="EEP52" s="16"/>
      <c r="EEQ52" s="16"/>
      <c r="EER52" s="16"/>
      <c r="EES52" s="16"/>
      <c r="EET52" s="16"/>
      <c r="EEU52" s="16"/>
      <c r="EEV52" s="16"/>
      <c r="EEW52" s="16"/>
      <c r="EEX52" s="16"/>
      <c r="EEY52" s="16"/>
      <c r="EEZ52" s="16"/>
      <c r="EFA52" s="16"/>
      <c r="EFB52" s="16"/>
      <c r="EFC52" s="16"/>
      <c r="EFD52" s="16"/>
      <c r="EFE52" s="16"/>
      <c r="EFF52" s="16"/>
      <c r="EFG52" s="16"/>
      <c r="EFH52" s="16"/>
      <c r="EFI52" s="16"/>
      <c r="EFJ52" s="16"/>
      <c r="EFK52" s="16"/>
      <c r="EFL52" s="16"/>
      <c r="EFM52" s="16"/>
      <c r="EFN52" s="16"/>
      <c r="EFO52" s="16"/>
      <c r="EFP52" s="16"/>
      <c r="EFQ52" s="16"/>
      <c r="EFR52" s="16"/>
      <c r="EFS52" s="16"/>
      <c r="EFT52" s="16"/>
      <c r="EFU52" s="16"/>
      <c r="EFV52" s="16"/>
      <c r="EFW52" s="16"/>
      <c r="EFX52" s="16"/>
      <c r="EFY52" s="16"/>
      <c r="EFZ52" s="16"/>
      <c r="EGA52" s="16"/>
      <c r="EGB52" s="16"/>
      <c r="EGC52" s="16"/>
      <c r="EGD52" s="16"/>
      <c r="EGE52" s="16"/>
      <c r="EGF52" s="16"/>
      <c r="EGG52" s="16"/>
      <c r="EGH52" s="16"/>
      <c r="EGI52" s="16"/>
      <c r="EGJ52" s="16"/>
      <c r="EGK52" s="16"/>
      <c r="EGL52" s="16"/>
      <c r="EGM52" s="16"/>
      <c r="EGN52" s="16"/>
      <c r="EGO52" s="16"/>
      <c r="EGP52" s="16"/>
      <c r="EGQ52" s="16"/>
      <c r="EGR52" s="16"/>
      <c r="EGS52" s="16"/>
      <c r="EGT52" s="16"/>
      <c r="EGU52" s="16"/>
      <c r="EGV52" s="16"/>
      <c r="EGW52" s="16"/>
      <c r="EGX52" s="16"/>
      <c r="EGY52" s="16"/>
      <c r="EGZ52" s="16"/>
      <c r="EHA52" s="16"/>
      <c r="EHB52" s="16"/>
      <c r="EHC52" s="16"/>
      <c r="EHD52" s="16"/>
      <c r="EHE52" s="16"/>
      <c r="EHF52" s="16"/>
      <c r="EHG52" s="16"/>
      <c r="EHH52" s="16"/>
      <c r="EHI52" s="16"/>
      <c r="EHJ52" s="16"/>
      <c r="EHK52" s="16"/>
      <c r="EHL52" s="16"/>
      <c r="EHM52" s="16"/>
      <c r="EHN52" s="16"/>
      <c r="EHO52" s="16"/>
      <c r="EHP52" s="16"/>
      <c r="EHQ52" s="16"/>
      <c r="EHR52" s="16"/>
      <c r="EHS52" s="16"/>
      <c r="EHT52" s="16"/>
      <c r="EHU52" s="16"/>
      <c r="EHV52" s="16"/>
      <c r="EHW52" s="16"/>
      <c r="EHX52" s="16"/>
      <c r="EHY52" s="16"/>
      <c r="EHZ52" s="16"/>
      <c r="EIA52" s="16"/>
      <c r="EIB52" s="16"/>
      <c r="EIC52" s="16"/>
      <c r="EID52" s="16"/>
      <c r="EIE52" s="16"/>
      <c r="EIF52" s="16"/>
      <c r="EIG52" s="16"/>
      <c r="EIH52" s="16"/>
      <c r="EII52" s="16"/>
      <c r="EIJ52" s="16"/>
      <c r="EIK52" s="16"/>
      <c r="EIL52" s="16"/>
      <c r="EIM52" s="16"/>
      <c r="EIN52" s="16"/>
      <c r="EIO52" s="16"/>
      <c r="EIP52" s="16"/>
      <c r="EIQ52" s="16"/>
      <c r="EIR52" s="16"/>
      <c r="EIS52" s="16"/>
      <c r="EIT52" s="16"/>
      <c r="EIU52" s="16"/>
      <c r="EIV52" s="16"/>
      <c r="EIW52" s="16"/>
      <c r="EIX52" s="16"/>
      <c r="EIY52" s="16"/>
      <c r="EIZ52" s="16"/>
      <c r="EJA52" s="16"/>
      <c r="EJB52" s="16"/>
      <c r="EJC52" s="16"/>
      <c r="EJD52" s="16"/>
      <c r="EJE52" s="16"/>
      <c r="EJF52" s="16"/>
      <c r="EJG52" s="16"/>
      <c r="EJH52" s="16"/>
      <c r="EJI52" s="16"/>
      <c r="EJJ52" s="16"/>
      <c r="EJK52" s="16"/>
      <c r="EJL52" s="16"/>
      <c r="EJM52" s="16"/>
      <c r="EJN52" s="16"/>
      <c r="EJO52" s="16"/>
      <c r="EJP52" s="16"/>
      <c r="EJQ52" s="16"/>
      <c r="EJR52" s="16"/>
      <c r="EJS52" s="16"/>
      <c r="EJT52" s="16"/>
      <c r="EJU52" s="16"/>
      <c r="EJV52" s="16"/>
      <c r="EJW52" s="16"/>
      <c r="EJX52" s="16"/>
      <c r="EJY52" s="16"/>
      <c r="EJZ52" s="16"/>
      <c r="EKA52" s="16"/>
      <c r="EKB52" s="16"/>
      <c r="EKC52" s="16"/>
      <c r="EKD52" s="16"/>
      <c r="EKE52" s="16"/>
      <c r="EKF52" s="16"/>
      <c r="EKG52" s="16"/>
      <c r="EKH52" s="16"/>
      <c r="EKI52" s="16"/>
      <c r="EKJ52" s="16"/>
      <c r="EKK52" s="16"/>
      <c r="EKL52" s="16"/>
      <c r="EKM52" s="16"/>
      <c r="EKN52" s="16"/>
      <c r="EKO52" s="16"/>
      <c r="EKP52" s="16"/>
      <c r="EKQ52" s="16"/>
      <c r="EKR52" s="16"/>
      <c r="EKS52" s="16"/>
      <c r="EKT52" s="16"/>
      <c r="EKU52" s="16"/>
      <c r="EKV52" s="16"/>
      <c r="EKW52" s="16"/>
      <c r="EKX52" s="16"/>
      <c r="EKY52" s="16"/>
      <c r="EKZ52" s="16"/>
      <c r="ELA52" s="16"/>
      <c r="ELB52" s="16"/>
      <c r="ELC52" s="16"/>
      <c r="ELD52" s="16"/>
      <c r="ELE52" s="16"/>
      <c r="ELF52" s="16"/>
      <c r="ELG52" s="16"/>
      <c r="ELH52" s="16"/>
      <c r="ELI52" s="16"/>
      <c r="ELJ52" s="16"/>
      <c r="ELK52" s="16"/>
      <c r="ELL52" s="16"/>
      <c r="ELM52" s="16"/>
      <c r="ELN52" s="16"/>
      <c r="ELO52" s="16"/>
      <c r="ELP52" s="16"/>
      <c r="ELQ52" s="16"/>
      <c r="ELR52" s="16"/>
      <c r="ELS52" s="16"/>
      <c r="ELT52" s="16"/>
      <c r="ELU52" s="16"/>
      <c r="ELV52" s="16"/>
      <c r="ELW52" s="16"/>
      <c r="ELX52" s="16"/>
      <c r="ELY52" s="16"/>
      <c r="ELZ52" s="16"/>
      <c r="EMA52" s="16"/>
      <c r="EMB52" s="16"/>
      <c r="EMC52" s="16"/>
      <c r="EMD52" s="16"/>
      <c r="EME52" s="16"/>
      <c r="EMF52" s="16"/>
      <c r="EMG52" s="16"/>
      <c r="EMH52" s="16"/>
      <c r="EMI52" s="16"/>
      <c r="EMJ52" s="16"/>
      <c r="EMK52" s="16"/>
      <c r="EML52" s="16"/>
      <c r="EMM52" s="16"/>
      <c r="EMN52" s="16"/>
      <c r="EMO52" s="16"/>
      <c r="EMP52" s="16"/>
      <c r="EMQ52" s="16"/>
      <c r="EMR52" s="16"/>
      <c r="EMS52" s="16"/>
      <c r="EMT52" s="16"/>
      <c r="EMU52" s="16"/>
      <c r="EMV52" s="16"/>
      <c r="EMW52" s="16"/>
      <c r="EMX52" s="16"/>
      <c r="EMY52" s="16"/>
      <c r="EMZ52" s="16"/>
      <c r="ENA52" s="16"/>
      <c r="ENB52" s="16"/>
      <c r="ENC52" s="16"/>
      <c r="END52" s="16"/>
      <c r="ENE52" s="16"/>
      <c r="ENF52" s="16"/>
      <c r="ENG52" s="16"/>
      <c r="ENH52" s="16"/>
      <c r="ENI52" s="16"/>
      <c r="ENJ52" s="16"/>
      <c r="ENK52" s="16"/>
      <c r="ENL52" s="16"/>
      <c r="ENM52" s="16"/>
      <c r="ENN52" s="16"/>
      <c r="ENO52" s="16"/>
      <c r="ENP52" s="16"/>
      <c r="ENQ52" s="16"/>
      <c r="ENR52" s="16"/>
      <c r="ENS52" s="16"/>
      <c r="ENT52" s="16"/>
      <c r="ENU52" s="16"/>
      <c r="ENV52" s="16"/>
      <c r="ENW52" s="16"/>
      <c r="ENX52" s="16"/>
      <c r="ENY52" s="16"/>
      <c r="ENZ52" s="16"/>
      <c r="EOA52" s="16"/>
      <c r="EOB52" s="16"/>
      <c r="EOC52" s="16"/>
      <c r="EOD52" s="16"/>
      <c r="EOE52" s="16"/>
      <c r="EOF52" s="16"/>
      <c r="EOG52" s="16"/>
      <c r="EOH52" s="16"/>
      <c r="EOI52" s="16"/>
      <c r="EOJ52" s="16"/>
      <c r="EOK52" s="16"/>
      <c r="EOL52" s="16"/>
      <c r="EOM52" s="16"/>
      <c r="EON52" s="16"/>
      <c r="EOO52" s="16"/>
      <c r="EOP52" s="16"/>
      <c r="EOQ52" s="16"/>
      <c r="EOR52" s="16"/>
      <c r="EOS52" s="16"/>
      <c r="EOT52" s="16"/>
      <c r="EOU52" s="16"/>
      <c r="EOV52" s="16"/>
      <c r="EOW52" s="16"/>
      <c r="EOX52" s="16"/>
      <c r="EOY52" s="16"/>
      <c r="EOZ52" s="16"/>
      <c r="EPA52" s="16"/>
      <c r="EPB52" s="16"/>
      <c r="EPC52" s="16"/>
      <c r="EPD52" s="16"/>
      <c r="EPE52" s="16"/>
      <c r="EPF52" s="16"/>
      <c r="EPG52" s="16"/>
      <c r="EPH52" s="16"/>
      <c r="EPI52" s="16"/>
      <c r="EPJ52" s="16"/>
      <c r="EPK52" s="16"/>
      <c r="EPL52" s="16"/>
      <c r="EPM52" s="16"/>
      <c r="EPN52" s="16"/>
      <c r="EPO52" s="16"/>
      <c r="EPP52" s="16"/>
      <c r="EPQ52" s="16"/>
      <c r="EPR52" s="16"/>
      <c r="EPS52" s="16"/>
      <c r="EPT52" s="16"/>
      <c r="EPU52" s="16"/>
      <c r="EPV52" s="16"/>
      <c r="EPW52" s="16"/>
      <c r="EPX52" s="16"/>
      <c r="EPY52" s="16"/>
      <c r="EPZ52" s="16"/>
      <c r="EQA52" s="16"/>
      <c r="EQB52" s="16"/>
      <c r="EQC52" s="16"/>
      <c r="EQD52" s="16"/>
      <c r="EQE52" s="16"/>
      <c r="EQF52" s="16"/>
      <c r="EQG52" s="16"/>
      <c r="EQH52" s="16"/>
      <c r="EQI52" s="16"/>
      <c r="EQJ52" s="16"/>
      <c r="EQK52" s="16"/>
      <c r="EQL52" s="16"/>
      <c r="EQM52" s="16"/>
      <c r="EQN52" s="16"/>
      <c r="EQO52" s="16"/>
      <c r="EQP52" s="16"/>
      <c r="EQQ52" s="16"/>
      <c r="EQR52" s="16"/>
      <c r="EQS52" s="16"/>
      <c r="EQT52" s="16"/>
      <c r="EQU52" s="16"/>
      <c r="EQV52" s="16"/>
      <c r="EQW52" s="16"/>
      <c r="EQX52" s="16"/>
      <c r="EQY52" s="16"/>
      <c r="EQZ52" s="16"/>
      <c r="ERA52" s="16"/>
      <c r="ERB52" s="16"/>
      <c r="ERC52" s="16"/>
      <c r="ERD52" s="16"/>
      <c r="ERE52" s="16"/>
      <c r="ERF52" s="16"/>
      <c r="ERG52" s="16"/>
      <c r="ERH52" s="16"/>
      <c r="ERI52" s="16"/>
      <c r="ERJ52" s="16"/>
      <c r="ERK52" s="16"/>
      <c r="ERL52" s="16"/>
      <c r="ERM52" s="16"/>
      <c r="ERN52" s="16"/>
      <c r="ERO52" s="16"/>
      <c r="ERP52" s="16"/>
      <c r="ERQ52" s="16"/>
      <c r="ERR52" s="16"/>
      <c r="ERS52" s="16"/>
      <c r="ERT52" s="16"/>
      <c r="ERU52" s="16"/>
      <c r="ERV52" s="16"/>
      <c r="ERW52" s="16"/>
      <c r="ERX52" s="16"/>
      <c r="ERY52" s="16"/>
      <c r="ERZ52" s="16"/>
      <c r="ESA52" s="16"/>
      <c r="ESB52" s="16"/>
      <c r="ESC52" s="16"/>
      <c r="ESD52" s="16"/>
      <c r="ESE52" s="16"/>
      <c r="ESF52" s="16"/>
      <c r="ESG52" s="16"/>
      <c r="ESH52" s="16"/>
      <c r="ESI52" s="16"/>
      <c r="ESJ52" s="16"/>
      <c r="ESK52" s="16"/>
      <c r="ESL52" s="16"/>
      <c r="ESM52" s="16"/>
      <c r="ESN52" s="16"/>
      <c r="ESO52" s="16"/>
      <c r="ESP52" s="16"/>
      <c r="ESQ52" s="16"/>
      <c r="ESR52" s="16"/>
      <c r="ESS52" s="16"/>
      <c r="EST52" s="16"/>
      <c r="ESU52" s="16"/>
      <c r="ESV52" s="16"/>
      <c r="ESW52" s="16"/>
      <c r="ESX52" s="16"/>
      <c r="ESY52" s="16"/>
      <c r="ESZ52" s="16"/>
      <c r="ETA52" s="16"/>
      <c r="ETB52" s="16"/>
      <c r="ETC52" s="16"/>
      <c r="ETD52" s="16"/>
      <c r="ETE52" s="16"/>
      <c r="ETF52" s="16"/>
      <c r="ETG52" s="16"/>
      <c r="ETH52" s="16"/>
      <c r="ETI52" s="16"/>
      <c r="ETJ52" s="16"/>
      <c r="ETK52" s="16"/>
      <c r="ETL52" s="16"/>
      <c r="ETM52" s="16"/>
      <c r="ETN52" s="16"/>
      <c r="ETO52" s="16"/>
      <c r="ETP52" s="16"/>
      <c r="ETQ52" s="16"/>
      <c r="ETR52" s="16"/>
      <c r="ETS52" s="16"/>
      <c r="ETT52" s="16"/>
      <c r="ETU52" s="16"/>
      <c r="ETV52" s="16"/>
      <c r="ETW52" s="16"/>
      <c r="ETX52" s="16"/>
      <c r="ETY52" s="16"/>
      <c r="ETZ52" s="16"/>
      <c r="EUA52" s="16"/>
      <c r="EUB52" s="16"/>
      <c r="EUC52" s="16"/>
      <c r="EUD52" s="16"/>
      <c r="EUE52" s="16"/>
      <c r="EUF52" s="16"/>
      <c r="EUG52" s="16"/>
      <c r="EUH52" s="16"/>
      <c r="EUI52" s="16"/>
      <c r="EUJ52" s="16"/>
      <c r="EUK52" s="16"/>
      <c r="EUL52" s="16"/>
      <c r="EUM52" s="16"/>
      <c r="EUN52" s="16"/>
      <c r="EUO52" s="16"/>
      <c r="EUP52" s="16"/>
      <c r="EUQ52" s="16"/>
      <c r="EUR52" s="16"/>
      <c r="EUS52" s="16"/>
      <c r="EUT52" s="16"/>
      <c r="EUU52" s="16"/>
      <c r="EUV52" s="16"/>
      <c r="EUW52" s="16"/>
      <c r="EUX52" s="16"/>
      <c r="EUY52" s="16"/>
      <c r="EUZ52" s="16"/>
      <c r="EVA52" s="16"/>
      <c r="EVB52" s="16"/>
      <c r="EVC52" s="16"/>
      <c r="EVD52" s="16"/>
      <c r="EVE52" s="16"/>
      <c r="EVF52" s="16"/>
      <c r="EVG52" s="16"/>
      <c r="EVH52" s="16"/>
      <c r="EVI52" s="16"/>
      <c r="EVJ52" s="16"/>
      <c r="EVK52" s="16"/>
      <c r="EVL52" s="16"/>
      <c r="EVM52" s="16"/>
      <c r="EVN52" s="16"/>
      <c r="EVO52" s="16"/>
      <c r="EVP52" s="16"/>
      <c r="EVQ52" s="16"/>
      <c r="EVR52" s="16"/>
      <c r="EVS52" s="16"/>
      <c r="EVT52" s="16"/>
      <c r="EVU52" s="16"/>
      <c r="EVV52" s="16"/>
      <c r="EVW52" s="16"/>
      <c r="EVX52" s="16"/>
      <c r="EVY52" s="16"/>
      <c r="EVZ52" s="16"/>
      <c r="EWA52" s="16"/>
      <c r="EWB52" s="16"/>
      <c r="EWC52" s="16"/>
      <c r="EWD52" s="16"/>
      <c r="EWE52" s="16"/>
      <c r="EWF52" s="16"/>
      <c r="EWG52" s="16"/>
      <c r="EWH52" s="16"/>
      <c r="EWI52" s="16"/>
      <c r="EWJ52" s="16"/>
      <c r="EWK52" s="16"/>
      <c r="EWL52" s="16"/>
      <c r="EWM52" s="16"/>
      <c r="EWN52" s="16"/>
      <c r="EWO52" s="16"/>
      <c r="EWP52" s="16"/>
      <c r="EWQ52" s="16"/>
      <c r="EWR52" s="16"/>
      <c r="EWS52" s="16"/>
      <c r="EWT52" s="16"/>
      <c r="EWU52" s="16"/>
      <c r="EWV52" s="16"/>
      <c r="EWW52" s="16"/>
      <c r="EWX52" s="16"/>
      <c r="EWY52" s="16"/>
      <c r="EWZ52" s="16"/>
      <c r="EXA52" s="16"/>
      <c r="EXB52" s="16"/>
      <c r="EXC52" s="16"/>
      <c r="EXD52" s="16"/>
      <c r="EXE52" s="16"/>
      <c r="EXF52" s="16"/>
      <c r="EXG52" s="16"/>
      <c r="EXH52" s="16"/>
      <c r="EXI52" s="16"/>
      <c r="EXJ52" s="16"/>
      <c r="EXK52" s="16"/>
      <c r="EXL52" s="16"/>
      <c r="EXM52" s="16"/>
      <c r="EXN52" s="16"/>
      <c r="EXO52" s="16"/>
      <c r="EXP52" s="16"/>
      <c r="EXQ52" s="16"/>
      <c r="EXR52" s="16"/>
      <c r="EXS52" s="16"/>
      <c r="EXT52" s="16"/>
      <c r="EXU52" s="16"/>
      <c r="EXV52" s="16"/>
      <c r="EXW52" s="16"/>
      <c r="EXX52" s="16"/>
      <c r="EXY52" s="16"/>
      <c r="EXZ52" s="16"/>
      <c r="EYA52" s="16"/>
      <c r="EYB52" s="16"/>
      <c r="EYC52" s="16"/>
      <c r="EYD52" s="16"/>
      <c r="EYE52" s="16"/>
      <c r="EYF52" s="16"/>
      <c r="EYG52" s="16"/>
      <c r="EYH52" s="16"/>
      <c r="EYI52" s="16"/>
      <c r="EYJ52" s="16"/>
      <c r="EYK52" s="16"/>
      <c r="EYL52" s="16"/>
      <c r="EYM52" s="16"/>
      <c r="EYN52" s="16"/>
      <c r="EYO52" s="16"/>
      <c r="EYP52" s="16"/>
      <c r="EYQ52" s="16"/>
      <c r="EYR52" s="16"/>
      <c r="EYS52" s="16"/>
      <c r="EYT52" s="16"/>
      <c r="EYU52" s="16"/>
      <c r="EYV52" s="16"/>
      <c r="EYW52" s="16"/>
      <c r="EYX52" s="16"/>
      <c r="EYY52" s="16"/>
      <c r="EYZ52" s="16"/>
      <c r="EZA52" s="16"/>
      <c r="EZB52" s="16"/>
      <c r="EZC52" s="16"/>
      <c r="EZD52" s="16"/>
      <c r="EZE52" s="16"/>
      <c r="EZF52" s="16"/>
      <c r="EZG52" s="16"/>
      <c r="EZH52" s="16"/>
      <c r="EZI52" s="16"/>
      <c r="EZJ52" s="16"/>
      <c r="EZK52" s="16"/>
      <c r="EZL52" s="16"/>
      <c r="EZM52" s="16"/>
      <c r="EZN52" s="16"/>
      <c r="EZO52" s="16"/>
      <c r="EZP52" s="16"/>
      <c r="EZQ52" s="16"/>
      <c r="EZR52" s="16"/>
      <c r="EZS52" s="16"/>
      <c r="EZT52" s="16"/>
      <c r="EZU52" s="16"/>
      <c r="EZV52" s="16"/>
      <c r="EZW52" s="16"/>
      <c r="EZX52" s="16"/>
      <c r="EZY52" s="16"/>
      <c r="EZZ52" s="16"/>
      <c r="FAA52" s="16"/>
      <c r="FAB52" s="16"/>
      <c r="FAC52" s="16"/>
      <c r="FAD52" s="16"/>
      <c r="FAE52" s="16"/>
      <c r="FAF52" s="16"/>
      <c r="FAG52" s="16"/>
      <c r="FAH52" s="16"/>
      <c r="FAI52" s="16"/>
      <c r="FAJ52" s="16"/>
      <c r="FAK52" s="16"/>
      <c r="FAL52" s="16"/>
      <c r="FAM52" s="16"/>
      <c r="FAN52" s="16"/>
      <c r="FAO52" s="16"/>
      <c r="FAP52" s="16"/>
      <c r="FAQ52" s="16"/>
      <c r="FAR52" s="16"/>
      <c r="FAS52" s="16"/>
      <c r="FAT52" s="16"/>
      <c r="FAU52" s="16"/>
      <c r="FAV52" s="16"/>
      <c r="FAW52" s="16"/>
      <c r="FAX52" s="16"/>
      <c r="FAY52" s="16"/>
      <c r="FAZ52" s="16"/>
      <c r="FBA52" s="16"/>
      <c r="FBB52" s="16"/>
      <c r="FBC52" s="16"/>
      <c r="FBD52" s="16"/>
      <c r="FBE52" s="16"/>
      <c r="FBF52" s="16"/>
      <c r="FBG52" s="16"/>
      <c r="FBH52" s="16"/>
      <c r="FBI52" s="16"/>
      <c r="FBJ52" s="16"/>
      <c r="FBK52" s="16"/>
      <c r="FBL52" s="16"/>
      <c r="FBM52" s="16"/>
      <c r="FBN52" s="16"/>
      <c r="FBO52" s="16"/>
      <c r="FBP52" s="16"/>
      <c r="FBQ52" s="16"/>
      <c r="FBR52" s="16"/>
      <c r="FBS52" s="16"/>
      <c r="FBT52" s="16"/>
      <c r="FBU52" s="16"/>
      <c r="FBV52" s="16"/>
      <c r="FBW52" s="16"/>
      <c r="FBX52" s="16"/>
      <c r="FBY52" s="16"/>
      <c r="FBZ52" s="16"/>
      <c r="FCA52" s="16"/>
      <c r="FCB52" s="16"/>
      <c r="FCC52" s="16"/>
      <c r="FCD52" s="16"/>
      <c r="FCE52" s="16"/>
      <c r="FCF52" s="16"/>
      <c r="FCG52" s="16"/>
      <c r="FCH52" s="16"/>
      <c r="FCI52" s="16"/>
      <c r="FCJ52" s="16"/>
      <c r="FCK52" s="16"/>
      <c r="FCL52" s="16"/>
      <c r="FCM52" s="16"/>
      <c r="FCN52" s="16"/>
      <c r="FCO52" s="16"/>
      <c r="FCP52" s="16"/>
      <c r="FCQ52" s="16"/>
      <c r="FCR52" s="16"/>
      <c r="FCS52" s="16"/>
      <c r="FCT52" s="16"/>
      <c r="FCU52" s="16"/>
      <c r="FCV52" s="16"/>
      <c r="FCW52" s="16"/>
      <c r="FCX52" s="16"/>
      <c r="FCY52" s="16"/>
      <c r="FCZ52" s="16"/>
      <c r="FDA52" s="16"/>
      <c r="FDB52" s="16"/>
      <c r="FDC52" s="16"/>
      <c r="FDD52" s="16"/>
      <c r="FDE52" s="16"/>
      <c r="FDF52" s="16"/>
      <c r="FDG52" s="16"/>
      <c r="FDH52" s="16"/>
      <c r="FDI52" s="16"/>
      <c r="FDJ52" s="16"/>
      <c r="FDK52" s="16"/>
      <c r="FDL52" s="16"/>
      <c r="FDM52" s="16"/>
      <c r="FDN52" s="16"/>
      <c r="FDO52" s="16"/>
      <c r="FDP52" s="16"/>
      <c r="FDQ52" s="16"/>
      <c r="FDR52" s="16"/>
      <c r="FDS52" s="16"/>
      <c r="FDT52" s="16"/>
      <c r="FDU52" s="16"/>
      <c r="FDV52" s="16"/>
      <c r="FDW52" s="16"/>
      <c r="FDX52" s="16"/>
      <c r="FDY52" s="16"/>
      <c r="FDZ52" s="16"/>
      <c r="FEA52" s="16"/>
      <c r="FEB52" s="16"/>
      <c r="FEC52" s="16"/>
      <c r="FED52" s="16"/>
      <c r="FEE52" s="16"/>
      <c r="FEF52" s="16"/>
      <c r="FEG52" s="16"/>
      <c r="FEH52" s="16"/>
      <c r="FEI52" s="16"/>
      <c r="FEJ52" s="16"/>
      <c r="FEK52" s="16"/>
      <c r="FEL52" s="16"/>
      <c r="FEM52" s="16"/>
      <c r="FEN52" s="16"/>
      <c r="FEO52" s="16"/>
      <c r="FEP52" s="16"/>
      <c r="FEQ52" s="16"/>
      <c r="FER52" s="16"/>
      <c r="FES52" s="16"/>
      <c r="FET52" s="16"/>
      <c r="FEU52" s="16"/>
      <c r="FEV52" s="16"/>
      <c r="FEW52" s="16"/>
      <c r="FEX52" s="16"/>
      <c r="FEY52" s="16"/>
      <c r="FEZ52" s="16"/>
      <c r="FFA52" s="16"/>
      <c r="FFB52" s="16"/>
      <c r="FFC52" s="16"/>
      <c r="FFD52" s="16"/>
      <c r="FFE52" s="16"/>
      <c r="FFF52" s="16"/>
      <c r="FFG52" s="16"/>
      <c r="FFH52" s="16"/>
      <c r="FFI52" s="16"/>
      <c r="FFJ52" s="16"/>
      <c r="FFK52" s="16"/>
      <c r="FFL52" s="16"/>
      <c r="FFM52" s="16"/>
      <c r="FFN52" s="16"/>
      <c r="FFO52" s="16"/>
      <c r="FFP52" s="16"/>
      <c r="FFQ52" s="16"/>
      <c r="FFR52" s="16"/>
      <c r="FFS52" s="16"/>
      <c r="FFT52" s="16"/>
      <c r="FFU52" s="16"/>
      <c r="FFV52" s="16"/>
      <c r="FFW52" s="16"/>
      <c r="FFX52" s="16"/>
      <c r="FFY52" s="16"/>
      <c r="FFZ52" s="16"/>
      <c r="FGA52" s="16"/>
      <c r="FGB52" s="16"/>
      <c r="FGC52" s="16"/>
      <c r="FGD52" s="16"/>
      <c r="FGE52" s="16"/>
      <c r="FGF52" s="16"/>
      <c r="FGG52" s="16"/>
      <c r="FGH52" s="16"/>
      <c r="FGI52" s="16"/>
      <c r="FGJ52" s="16"/>
      <c r="FGK52" s="16"/>
      <c r="FGL52" s="16"/>
      <c r="FGM52" s="16"/>
      <c r="FGN52" s="16"/>
      <c r="FGO52" s="16"/>
      <c r="FGP52" s="16"/>
      <c r="FGQ52" s="16"/>
      <c r="FGR52" s="16"/>
      <c r="FGS52" s="16"/>
      <c r="FGT52" s="16"/>
      <c r="FGU52" s="16"/>
      <c r="FGV52" s="16"/>
      <c r="FGW52" s="16"/>
      <c r="FGX52" s="16"/>
      <c r="FGY52" s="16"/>
      <c r="FGZ52" s="16"/>
      <c r="FHA52" s="16"/>
      <c r="FHB52" s="16"/>
      <c r="FHC52" s="16"/>
      <c r="FHD52" s="16"/>
      <c r="FHE52" s="16"/>
      <c r="FHF52" s="16"/>
      <c r="FHG52" s="16"/>
      <c r="FHH52" s="16"/>
      <c r="FHI52" s="16"/>
      <c r="FHJ52" s="16"/>
      <c r="FHK52" s="16"/>
      <c r="FHL52" s="16"/>
      <c r="FHM52" s="16"/>
      <c r="FHN52" s="16"/>
      <c r="FHO52" s="16"/>
      <c r="FHP52" s="16"/>
      <c r="FHQ52" s="16"/>
      <c r="FHR52" s="16"/>
      <c r="FHS52" s="16"/>
      <c r="FHT52" s="16"/>
      <c r="FHU52" s="16"/>
      <c r="FHV52" s="16"/>
      <c r="FHW52" s="16"/>
      <c r="FHX52" s="16"/>
      <c r="FHY52" s="16"/>
      <c r="FHZ52" s="16"/>
      <c r="FIA52" s="16"/>
      <c r="FIB52" s="16"/>
      <c r="FIC52" s="16"/>
      <c r="FID52" s="16"/>
      <c r="FIE52" s="16"/>
      <c r="FIF52" s="16"/>
      <c r="FIG52" s="16"/>
      <c r="FIH52" s="16"/>
      <c r="FII52" s="16"/>
      <c r="FIJ52" s="16"/>
      <c r="FIK52" s="16"/>
      <c r="FIL52" s="16"/>
      <c r="FIM52" s="16"/>
      <c r="FIN52" s="16"/>
      <c r="FIO52" s="16"/>
      <c r="FIP52" s="16"/>
      <c r="FIQ52" s="16"/>
      <c r="FIR52" s="16"/>
      <c r="FIS52" s="16"/>
      <c r="FIT52" s="16"/>
      <c r="FIU52" s="16"/>
      <c r="FIV52" s="16"/>
      <c r="FIW52" s="16"/>
      <c r="FIX52" s="16"/>
      <c r="FIY52" s="16"/>
      <c r="FIZ52" s="16"/>
      <c r="FJA52" s="16"/>
      <c r="FJB52" s="16"/>
      <c r="FJC52" s="16"/>
      <c r="FJD52" s="16"/>
      <c r="FJE52" s="16"/>
      <c r="FJF52" s="16"/>
      <c r="FJG52" s="16"/>
      <c r="FJH52" s="16"/>
      <c r="FJI52" s="16"/>
      <c r="FJJ52" s="16"/>
      <c r="FJK52" s="16"/>
      <c r="FJL52" s="16"/>
      <c r="FJM52" s="16"/>
      <c r="FJN52" s="16"/>
      <c r="FJO52" s="16"/>
      <c r="FJP52" s="16"/>
      <c r="FJQ52" s="16"/>
      <c r="FJR52" s="16"/>
      <c r="FJS52" s="16"/>
      <c r="FJT52" s="16"/>
      <c r="FJU52" s="16"/>
      <c r="FJV52" s="16"/>
      <c r="FJW52" s="16"/>
      <c r="FJX52" s="16"/>
      <c r="FJY52" s="16"/>
      <c r="FJZ52" s="16"/>
      <c r="FKA52" s="16"/>
      <c r="FKB52" s="16"/>
      <c r="FKC52" s="16"/>
      <c r="FKD52" s="16"/>
      <c r="FKE52" s="16"/>
      <c r="FKF52" s="16"/>
      <c r="FKG52" s="16"/>
      <c r="FKH52" s="16"/>
      <c r="FKI52" s="16"/>
      <c r="FKJ52" s="16"/>
      <c r="FKK52" s="16"/>
      <c r="FKL52" s="16"/>
      <c r="FKM52" s="16"/>
      <c r="FKN52" s="16"/>
      <c r="FKO52" s="16"/>
      <c r="FKP52" s="16"/>
      <c r="FKQ52" s="16"/>
      <c r="FKR52" s="16"/>
      <c r="FKS52" s="16"/>
      <c r="FKT52" s="16"/>
      <c r="FKU52" s="16"/>
      <c r="FKV52" s="16"/>
      <c r="FKW52" s="16"/>
      <c r="FKX52" s="16"/>
      <c r="FKY52" s="16"/>
      <c r="FKZ52" s="16"/>
      <c r="FLA52" s="16"/>
      <c r="FLB52" s="16"/>
      <c r="FLC52" s="16"/>
      <c r="FLD52" s="16"/>
      <c r="FLE52" s="16"/>
      <c r="FLF52" s="16"/>
      <c r="FLG52" s="16"/>
      <c r="FLH52" s="16"/>
      <c r="FLI52" s="16"/>
      <c r="FLJ52" s="16"/>
      <c r="FLK52" s="16"/>
      <c r="FLL52" s="16"/>
      <c r="FLM52" s="16"/>
      <c r="FLN52" s="16"/>
      <c r="FLO52" s="16"/>
      <c r="FLP52" s="16"/>
      <c r="FLQ52" s="16"/>
      <c r="FLR52" s="16"/>
      <c r="FLS52" s="16"/>
      <c r="FLT52" s="16"/>
      <c r="FLU52" s="16"/>
      <c r="FLV52" s="16"/>
      <c r="FLW52" s="16"/>
      <c r="FLX52" s="16"/>
      <c r="FLY52" s="16"/>
      <c r="FLZ52" s="16"/>
      <c r="FMA52" s="16"/>
      <c r="FMB52" s="16"/>
      <c r="FMC52" s="16"/>
      <c r="FMD52" s="16"/>
      <c r="FME52" s="16"/>
      <c r="FMF52" s="16"/>
      <c r="FMG52" s="16"/>
      <c r="FMH52" s="16"/>
      <c r="FMI52" s="16"/>
      <c r="FMJ52" s="16"/>
      <c r="FMK52" s="16"/>
      <c r="FML52" s="16"/>
      <c r="FMM52" s="16"/>
      <c r="FMN52" s="16"/>
      <c r="FMO52" s="16"/>
      <c r="FMP52" s="16"/>
      <c r="FMQ52" s="16"/>
      <c r="FMR52" s="16"/>
      <c r="FMS52" s="16"/>
      <c r="FMT52" s="16"/>
      <c r="FMU52" s="16"/>
      <c r="FMV52" s="16"/>
      <c r="FMW52" s="16"/>
      <c r="FMX52" s="16"/>
      <c r="FMY52" s="16"/>
      <c r="FMZ52" s="16"/>
      <c r="FNA52" s="16"/>
      <c r="FNB52" s="16"/>
      <c r="FNC52" s="16"/>
      <c r="FND52" s="16"/>
      <c r="FNE52" s="16"/>
      <c r="FNF52" s="16"/>
      <c r="FNG52" s="16"/>
      <c r="FNH52" s="16"/>
      <c r="FNI52" s="16"/>
      <c r="FNJ52" s="16"/>
      <c r="FNK52" s="16"/>
      <c r="FNL52" s="16"/>
      <c r="FNM52" s="16"/>
      <c r="FNN52" s="16"/>
      <c r="FNO52" s="16"/>
      <c r="FNP52" s="16"/>
      <c r="FNQ52" s="16"/>
      <c r="FNR52" s="16"/>
      <c r="FNS52" s="16"/>
      <c r="FNT52" s="16"/>
      <c r="FNU52" s="16"/>
      <c r="FNV52" s="16"/>
      <c r="FNW52" s="16"/>
      <c r="FNX52" s="16"/>
      <c r="FNY52" s="16"/>
      <c r="FNZ52" s="16"/>
      <c r="FOA52" s="16"/>
      <c r="FOB52" s="16"/>
      <c r="FOC52" s="16"/>
      <c r="FOD52" s="16"/>
      <c r="FOE52" s="16"/>
      <c r="FOF52" s="16"/>
      <c r="FOG52" s="16"/>
      <c r="FOH52" s="16"/>
      <c r="FOI52" s="16"/>
      <c r="FOJ52" s="16"/>
      <c r="FOK52" s="16"/>
      <c r="FOL52" s="16"/>
      <c r="FOM52" s="16"/>
      <c r="FON52" s="16"/>
      <c r="FOO52" s="16"/>
      <c r="FOP52" s="16"/>
      <c r="FOQ52" s="16"/>
      <c r="FOR52" s="16"/>
      <c r="FOS52" s="16"/>
      <c r="FOT52" s="16"/>
      <c r="FOU52" s="16"/>
      <c r="FOV52" s="16"/>
      <c r="FOW52" s="16"/>
      <c r="FOX52" s="16"/>
      <c r="FOY52" s="16"/>
      <c r="FOZ52" s="16"/>
      <c r="FPA52" s="16"/>
      <c r="FPB52" s="16"/>
      <c r="FPC52" s="16"/>
      <c r="FPD52" s="16"/>
      <c r="FPE52" s="16"/>
      <c r="FPF52" s="16"/>
      <c r="FPG52" s="16"/>
      <c r="FPH52" s="16"/>
      <c r="FPI52" s="16"/>
      <c r="FPJ52" s="16"/>
      <c r="FPK52" s="16"/>
      <c r="FPL52" s="16"/>
      <c r="FPM52" s="16"/>
      <c r="FPN52" s="16"/>
      <c r="FPO52" s="16"/>
      <c r="FPP52" s="16"/>
      <c r="FPQ52" s="16"/>
      <c r="FPR52" s="16"/>
      <c r="FPS52" s="16"/>
      <c r="FPT52" s="16"/>
      <c r="FPU52" s="16"/>
      <c r="FPV52" s="16"/>
      <c r="FPW52" s="16"/>
      <c r="FPX52" s="16"/>
      <c r="FPY52" s="16"/>
      <c r="FPZ52" s="16"/>
      <c r="FQA52" s="16"/>
      <c r="FQB52" s="16"/>
      <c r="FQC52" s="16"/>
      <c r="FQD52" s="16"/>
      <c r="FQE52" s="16"/>
      <c r="FQF52" s="16"/>
      <c r="FQG52" s="16"/>
      <c r="FQH52" s="16"/>
      <c r="FQI52" s="16"/>
      <c r="FQJ52" s="16"/>
      <c r="FQK52" s="16"/>
      <c r="FQL52" s="16"/>
      <c r="FQM52" s="16"/>
      <c r="FQN52" s="16"/>
      <c r="FQO52" s="16"/>
      <c r="FQP52" s="16"/>
      <c r="FQQ52" s="16"/>
      <c r="FQR52" s="16"/>
      <c r="FQS52" s="16"/>
      <c r="FQT52" s="16"/>
      <c r="FQU52" s="16"/>
      <c r="FQV52" s="16"/>
      <c r="FQW52" s="16"/>
      <c r="FQX52" s="16"/>
      <c r="FQY52" s="16"/>
      <c r="FQZ52" s="16"/>
      <c r="FRA52" s="16"/>
      <c r="FRB52" s="16"/>
      <c r="FRC52" s="16"/>
      <c r="FRD52" s="16"/>
      <c r="FRE52" s="16"/>
      <c r="FRF52" s="16"/>
      <c r="FRG52" s="16"/>
      <c r="FRH52" s="16"/>
      <c r="FRI52" s="16"/>
      <c r="FRJ52" s="16"/>
      <c r="FRK52" s="16"/>
      <c r="FRL52" s="16"/>
      <c r="FRM52" s="16"/>
      <c r="FRN52" s="16"/>
      <c r="FRO52" s="16"/>
      <c r="FRP52" s="16"/>
      <c r="FRQ52" s="16"/>
      <c r="FRR52" s="16"/>
      <c r="FRS52" s="16"/>
      <c r="FRT52" s="16"/>
      <c r="FRU52" s="16"/>
      <c r="FRV52" s="16"/>
      <c r="FRW52" s="16"/>
      <c r="FRX52" s="16"/>
      <c r="FRY52" s="16"/>
      <c r="FRZ52" s="16"/>
      <c r="FSA52" s="16"/>
      <c r="FSB52" s="16"/>
      <c r="FSC52" s="16"/>
      <c r="FSD52" s="16"/>
      <c r="FSE52" s="16"/>
      <c r="FSF52" s="16"/>
      <c r="FSG52" s="16"/>
      <c r="FSH52" s="16"/>
      <c r="FSI52" s="16"/>
      <c r="FSJ52" s="16"/>
      <c r="FSK52" s="16"/>
      <c r="FSL52" s="16"/>
      <c r="FSM52" s="16"/>
      <c r="FSN52" s="16"/>
      <c r="FSO52" s="16"/>
      <c r="FSP52" s="16"/>
      <c r="FSQ52" s="16"/>
      <c r="FSR52" s="16"/>
      <c r="FSS52" s="16"/>
      <c r="FST52" s="16"/>
      <c r="FSU52" s="16"/>
      <c r="FSV52" s="16"/>
      <c r="FSW52" s="16"/>
      <c r="FSX52" s="16"/>
      <c r="FSY52" s="16"/>
      <c r="FSZ52" s="16"/>
      <c r="FTA52" s="16"/>
      <c r="FTB52" s="16"/>
      <c r="FTC52" s="16"/>
      <c r="FTD52" s="16"/>
      <c r="FTE52" s="16"/>
      <c r="FTF52" s="16"/>
      <c r="FTG52" s="16"/>
      <c r="FTH52" s="16"/>
      <c r="FTI52" s="16"/>
      <c r="FTJ52" s="16"/>
      <c r="FTK52" s="16"/>
      <c r="FTL52" s="16"/>
      <c r="FTM52" s="16"/>
      <c r="FTN52" s="16"/>
      <c r="FTO52" s="16"/>
      <c r="FTP52" s="16"/>
      <c r="FTQ52" s="16"/>
      <c r="FTR52" s="16"/>
      <c r="FTS52" s="16"/>
      <c r="FTT52" s="16"/>
      <c r="FTU52" s="16"/>
      <c r="FTV52" s="16"/>
      <c r="FTW52" s="16"/>
      <c r="FTX52" s="16"/>
      <c r="FTY52" s="16"/>
      <c r="FTZ52" s="16"/>
      <c r="FUA52" s="16"/>
      <c r="FUB52" s="16"/>
      <c r="FUC52" s="16"/>
      <c r="FUD52" s="16"/>
      <c r="FUE52" s="16"/>
      <c r="FUF52" s="16"/>
      <c r="FUG52" s="16"/>
      <c r="FUH52" s="16"/>
      <c r="FUI52" s="16"/>
      <c r="FUJ52" s="16"/>
      <c r="FUK52" s="16"/>
      <c r="FUL52" s="16"/>
      <c r="FUM52" s="16"/>
      <c r="FUN52" s="16"/>
      <c r="FUO52" s="16"/>
      <c r="FUP52" s="16"/>
      <c r="FUQ52" s="16"/>
      <c r="FUR52" s="16"/>
      <c r="FUS52" s="16"/>
      <c r="FUT52" s="16"/>
      <c r="FUU52" s="16"/>
      <c r="FUV52" s="16"/>
      <c r="FUW52" s="16"/>
      <c r="FUX52" s="16"/>
      <c r="FUY52" s="16"/>
      <c r="FUZ52" s="16"/>
      <c r="FVA52" s="16"/>
      <c r="FVB52" s="16"/>
      <c r="FVC52" s="16"/>
      <c r="FVD52" s="16"/>
      <c r="FVE52" s="16"/>
      <c r="FVF52" s="16"/>
      <c r="FVG52" s="16"/>
      <c r="FVH52" s="16"/>
      <c r="FVI52" s="16"/>
      <c r="FVJ52" s="16"/>
      <c r="FVK52" s="16"/>
      <c r="FVL52" s="16"/>
      <c r="FVM52" s="16"/>
      <c r="FVN52" s="16"/>
      <c r="FVO52" s="16"/>
      <c r="FVP52" s="16"/>
      <c r="FVQ52" s="16"/>
      <c r="FVR52" s="16"/>
      <c r="FVS52" s="16"/>
      <c r="FVT52" s="16"/>
      <c r="FVU52" s="16"/>
      <c r="FVV52" s="16"/>
      <c r="FVW52" s="16"/>
      <c r="FVX52" s="16"/>
      <c r="FVY52" s="16"/>
      <c r="FVZ52" s="16"/>
      <c r="FWA52" s="16"/>
      <c r="FWB52" s="16"/>
      <c r="FWC52" s="16"/>
      <c r="FWD52" s="16"/>
      <c r="FWE52" s="16"/>
      <c r="FWF52" s="16"/>
      <c r="FWG52" s="16"/>
      <c r="FWH52" s="16"/>
      <c r="FWI52" s="16"/>
      <c r="FWJ52" s="16"/>
      <c r="FWK52" s="16"/>
      <c r="FWL52" s="16"/>
      <c r="FWM52" s="16"/>
      <c r="FWN52" s="16"/>
      <c r="FWO52" s="16"/>
      <c r="FWP52" s="16"/>
      <c r="FWQ52" s="16"/>
      <c r="FWR52" s="16"/>
      <c r="FWS52" s="16"/>
      <c r="FWT52" s="16"/>
      <c r="FWU52" s="16"/>
      <c r="FWV52" s="16"/>
      <c r="FWW52" s="16"/>
      <c r="FWX52" s="16"/>
      <c r="FWY52" s="16"/>
      <c r="FWZ52" s="16"/>
      <c r="FXA52" s="16"/>
      <c r="FXB52" s="16"/>
      <c r="FXC52" s="16"/>
      <c r="FXD52" s="16"/>
      <c r="FXE52" s="16"/>
      <c r="FXF52" s="16"/>
      <c r="FXG52" s="16"/>
      <c r="FXH52" s="16"/>
      <c r="FXI52" s="16"/>
      <c r="FXJ52" s="16"/>
      <c r="FXK52" s="16"/>
      <c r="FXL52" s="16"/>
      <c r="FXM52" s="16"/>
      <c r="FXN52" s="16"/>
      <c r="FXO52" s="16"/>
      <c r="FXP52" s="16"/>
      <c r="FXQ52" s="16"/>
      <c r="FXR52" s="16"/>
      <c r="FXS52" s="16"/>
      <c r="FXT52" s="16"/>
      <c r="FXU52" s="16"/>
      <c r="FXV52" s="16"/>
      <c r="FXW52" s="16"/>
      <c r="FXX52" s="16"/>
      <c r="FXY52" s="16"/>
      <c r="FXZ52" s="16"/>
      <c r="FYA52" s="16"/>
      <c r="FYB52" s="16"/>
      <c r="FYC52" s="16"/>
      <c r="FYD52" s="16"/>
      <c r="FYE52" s="16"/>
      <c r="FYF52" s="16"/>
      <c r="FYG52" s="16"/>
      <c r="FYH52" s="16"/>
      <c r="FYI52" s="16"/>
      <c r="FYJ52" s="16"/>
      <c r="FYK52" s="16"/>
      <c r="FYL52" s="16"/>
      <c r="FYM52" s="16"/>
      <c r="FYN52" s="16"/>
      <c r="FYO52" s="16"/>
      <c r="FYP52" s="16"/>
      <c r="FYQ52" s="16"/>
      <c r="FYR52" s="16"/>
      <c r="FYS52" s="16"/>
      <c r="FYT52" s="16"/>
      <c r="FYU52" s="16"/>
      <c r="FYV52" s="16"/>
      <c r="FYW52" s="16"/>
      <c r="FYX52" s="16"/>
      <c r="FYY52" s="16"/>
      <c r="FYZ52" s="16"/>
      <c r="FZA52" s="16"/>
      <c r="FZB52" s="16"/>
      <c r="FZC52" s="16"/>
      <c r="FZD52" s="16"/>
      <c r="FZE52" s="16"/>
      <c r="FZF52" s="16"/>
      <c r="FZG52" s="16"/>
      <c r="FZH52" s="16"/>
      <c r="FZI52" s="16"/>
      <c r="FZJ52" s="16"/>
      <c r="FZK52" s="16"/>
      <c r="FZL52" s="16"/>
      <c r="FZM52" s="16"/>
      <c r="FZN52" s="16"/>
      <c r="FZO52" s="16"/>
      <c r="FZP52" s="16"/>
      <c r="FZQ52" s="16"/>
      <c r="FZR52" s="16"/>
      <c r="FZS52" s="16"/>
      <c r="FZT52" s="16"/>
      <c r="FZU52" s="16"/>
      <c r="FZV52" s="16"/>
      <c r="FZW52" s="16"/>
      <c r="FZX52" s="16"/>
      <c r="FZY52" s="16"/>
      <c r="FZZ52" s="16"/>
      <c r="GAA52" s="16"/>
      <c r="GAB52" s="16"/>
      <c r="GAC52" s="16"/>
      <c r="GAD52" s="16"/>
      <c r="GAE52" s="16"/>
      <c r="GAF52" s="16"/>
      <c r="GAG52" s="16"/>
      <c r="GAH52" s="16"/>
      <c r="GAI52" s="16"/>
      <c r="GAJ52" s="16"/>
      <c r="GAK52" s="16"/>
      <c r="GAL52" s="16"/>
      <c r="GAM52" s="16"/>
      <c r="GAN52" s="16"/>
      <c r="GAO52" s="16"/>
      <c r="GAP52" s="16"/>
      <c r="GAQ52" s="16"/>
      <c r="GAR52" s="16"/>
      <c r="GAS52" s="16"/>
      <c r="GAT52" s="16"/>
      <c r="GAU52" s="16"/>
      <c r="GAV52" s="16"/>
      <c r="GAW52" s="16"/>
      <c r="GAX52" s="16"/>
      <c r="GAY52" s="16"/>
      <c r="GAZ52" s="16"/>
      <c r="GBA52" s="16"/>
      <c r="GBB52" s="16"/>
      <c r="GBC52" s="16"/>
      <c r="GBD52" s="16"/>
      <c r="GBE52" s="16"/>
      <c r="GBF52" s="16"/>
      <c r="GBG52" s="16"/>
      <c r="GBH52" s="16"/>
      <c r="GBI52" s="16"/>
      <c r="GBJ52" s="16"/>
      <c r="GBK52" s="16"/>
      <c r="GBL52" s="16"/>
      <c r="GBM52" s="16"/>
      <c r="GBN52" s="16"/>
      <c r="GBO52" s="16"/>
      <c r="GBP52" s="16"/>
      <c r="GBQ52" s="16"/>
      <c r="GBR52" s="16"/>
      <c r="GBS52" s="16"/>
      <c r="GBT52" s="16"/>
      <c r="GBU52" s="16"/>
      <c r="GBV52" s="16"/>
      <c r="GBW52" s="16"/>
      <c r="GBX52" s="16"/>
      <c r="GBY52" s="16"/>
      <c r="GBZ52" s="16"/>
      <c r="GCA52" s="16"/>
      <c r="GCB52" s="16"/>
      <c r="GCC52" s="16"/>
      <c r="GCD52" s="16"/>
      <c r="GCE52" s="16"/>
      <c r="GCF52" s="16"/>
      <c r="GCG52" s="16"/>
      <c r="GCH52" s="16"/>
      <c r="GCI52" s="16"/>
      <c r="GCJ52" s="16"/>
      <c r="GCK52" s="16"/>
      <c r="GCL52" s="16"/>
      <c r="GCM52" s="16"/>
      <c r="GCN52" s="16"/>
      <c r="GCO52" s="16"/>
      <c r="GCP52" s="16"/>
      <c r="GCQ52" s="16"/>
      <c r="GCR52" s="16"/>
      <c r="GCS52" s="16"/>
      <c r="GCT52" s="16"/>
      <c r="GCU52" s="16"/>
      <c r="GCV52" s="16"/>
      <c r="GCW52" s="16"/>
      <c r="GCX52" s="16"/>
      <c r="GCY52" s="16"/>
      <c r="GCZ52" s="16"/>
      <c r="GDA52" s="16"/>
      <c r="GDB52" s="16"/>
      <c r="GDC52" s="16"/>
      <c r="GDD52" s="16"/>
      <c r="GDE52" s="16"/>
      <c r="GDF52" s="16"/>
      <c r="GDG52" s="16"/>
      <c r="GDH52" s="16"/>
      <c r="GDI52" s="16"/>
      <c r="GDJ52" s="16"/>
      <c r="GDK52" s="16"/>
      <c r="GDL52" s="16"/>
      <c r="GDM52" s="16"/>
      <c r="GDN52" s="16"/>
      <c r="GDO52" s="16"/>
      <c r="GDP52" s="16"/>
      <c r="GDQ52" s="16"/>
      <c r="GDR52" s="16"/>
      <c r="GDS52" s="16"/>
      <c r="GDT52" s="16"/>
      <c r="GDU52" s="16"/>
      <c r="GDV52" s="16"/>
      <c r="GDW52" s="16"/>
      <c r="GDX52" s="16"/>
      <c r="GDY52" s="16"/>
      <c r="GDZ52" s="16"/>
      <c r="GEA52" s="16"/>
      <c r="GEB52" s="16"/>
      <c r="GEC52" s="16"/>
      <c r="GED52" s="16"/>
      <c r="GEE52" s="16"/>
      <c r="GEF52" s="16"/>
      <c r="GEG52" s="16"/>
      <c r="GEH52" s="16"/>
      <c r="GEI52" s="16"/>
      <c r="GEJ52" s="16"/>
      <c r="GEK52" s="16"/>
      <c r="GEL52" s="16"/>
      <c r="GEM52" s="16"/>
      <c r="GEN52" s="16"/>
      <c r="GEO52" s="16"/>
      <c r="GEP52" s="16"/>
      <c r="GEQ52" s="16"/>
      <c r="GER52" s="16"/>
      <c r="GES52" s="16"/>
      <c r="GET52" s="16"/>
      <c r="GEU52" s="16"/>
      <c r="GEV52" s="16"/>
      <c r="GEW52" s="16"/>
      <c r="GEX52" s="16"/>
      <c r="GEY52" s="16"/>
      <c r="GEZ52" s="16"/>
      <c r="GFA52" s="16"/>
      <c r="GFB52" s="16"/>
      <c r="GFC52" s="16"/>
      <c r="GFD52" s="16"/>
      <c r="GFE52" s="16"/>
      <c r="GFF52" s="16"/>
      <c r="GFG52" s="16"/>
      <c r="GFH52" s="16"/>
      <c r="GFI52" s="16"/>
      <c r="GFJ52" s="16"/>
      <c r="GFK52" s="16"/>
      <c r="GFL52" s="16"/>
      <c r="GFM52" s="16"/>
      <c r="GFN52" s="16"/>
      <c r="GFO52" s="16"/>
      <c r="GFP52" s="16"/>
      <c r="GFQ52" s="16"/>
      <c r="GFR52" s="16"/>
      <c r="GFS52" s="16"/>
      <c r="GFT52" s="16"/>
      <c r="GFU52" s="16"/>
      <c r="GFV52" s="16"/>
      <c r="GFW52" s="16"/>
      <c r="GFX52" s="16"/>
      <c r="GFY52" s="16"/>
      <c r="GFZ52" s="16"/>
      <c r="GGA52" s="16"/>
      <c r="GGB52" s="16"/>
      <c r="GGC52" s="16"/>
      <c r="GGD52" s="16"/>
      <c r="GGE52" s="16"/>
      <c r="GGF52" s="16"/>
      <c r="GGG52" s="16"/>
      <c r="GGH52" s="16"/>
      <c r="GGI52" s="16"/>
      <c r="GGJ52" s="16"/>
      <c r="GGK52" s="16"/>
      <c r="GGL52" s="16"/>
      <c r="GGM52" s="16"/>
      <c r="GGN52" s="16"/>
      <c r="GGO52" s="16"/>
      <c r="GGP52" s="16"/>
      <c r="GGQ52" s="16"/>
      <c r="GGR52" s="16"/>
      <c r="GGS52" s="16"/>
      <c r="GGT52" s="16"/>
      <c r="GGU52" s="16"/>
      <c r="GGV52" s="16"/>
      <c r="GGW52" s="16"/>
      <c r="GGX52" s="16"/>
      <c r="GGY52" s="16"/>
      <c r="GGZ52" s="16"/>
      <c r="GHA52" s="16"/>
      <c r="GHB52" s="16"/>
      <c r="GHC52" s="16"/>
      <c r="GHD52" s="16"/>
      <c r="GHE52" s="16"/>
      <c r="GHF52" s="16"/>
      <c r="GHG52" s="16"/>
      <c r="GHH52" s="16"/>
      <c r="GHI52" s="16"/>
      <c r="GHJ52" s="16"/>
      <c r="GHK52" s="16"/>
      <c r="GHL52" s="16"/>
      <c r="GHM52" s="16"/>
      <c r="GHN52" s="16"/>
      <c r="GHO52" s="16"/>
      <c r="GHP52" s="16"/>
      <c r="GHQ52" s="16"/>
      <c r="GHR52" s="16"/>
      <c r="GHS52" s="16"/>
      <c r="GHT52" s="16"/>
      <c r="GHU52" s="16"/>
      <c r="GHV52" s="16"/>
      <c r="GHW52" s="16"/>
      <c r="GHX52" s="16"/>
      <c r="GHY52" s="16"/>
      <c r="GHZ52" s="16"/>
      <c r="GIA52" s="16"/>
      <c r="GIB52" s="16"/>
      <c r="GIC52" s="16"/>
      <c r="GID52" s="16"/>
      <c r="GIE52" s="16"/>
      <c r="GIF52" s="16"/>
      <c r="GIG52" s="16"/>
      <c r="GIH52" s="16"/>
      <c r="GII52" s="16"/>
      <c r="GIJ52" s="16"/>
      <c r="GIK52" s="16"/>
      <c r="GIL52" s="16"/>
      <c r="GIM52" s="16"/>
      <c r="GIN52" s="16"/>
      <c r="GIO52" s="16"/>
      <c r="GIP52" s="16"/>
      <c r="GIQ52" s="16"/>
      <c r="GIR52" s="16"/>
      <c r="GIS52" s="16"/>
      <c r="GIT52" s="16"/>
      <c r="GIU52" s="16"/>
      <c r="GIV52" s="16"/>
      <c r="GIW52" s="16"/>
      <c r="GIX52" s="16"/>
      <c r="GIY52" s="16"/>
      <c r="GIZ52" s="16"/>
      <c r="GJA52" s="16"/>
      <c r="GJB52" s="16"/>
      <c r="GJC52" s="16"/>
      <c r="GJD52" s="16"/>
      <c r="GJE52" s="16"/>
      <c r="GJF52" s="16"/>
      <c r="GJG52" s="16"/>
      <c r="GJH52" s="16"/>
      <c r="GJI52" s="16"/>
      <c r="GJJ52" s="16"/>
      <c r="GJK52" s="16"/>
      <c r="GJL52" s="16"/>
      <c r="GJM52" s="16"/>
      <c r="GJN52" s="16"/>
      <c r="GJO52" s="16"/>
      <c r="GJP52" s="16"/>
      <c r="GJQ52" s="16"/>
      <c r="GJR52" s="16"/>
      <c r="GJS52" s="16"/>
      <c r="GJT52" s="16"/>
      <c r="GJU52" s="16"/>
      <c r="GJV52" s="16"/>
      <c r="GJW52" s="16"/>
      <c r="GJX52" s="16"/>
      <c r="GJY52" s="16"/>
      <c r="GJZ52" s="16"/>
      <c r="GKA52" s="16"/>
      <c r="GKB52" s="16"/>
      <c r="GKC52" s="16"/>
      <c r="GKD52" s="16"/>
      <c r="GKE52" s="16"/>
      <c r="GKF52" s="16"/>
      <c r="GKG52" s="16"/>
      <c r="GKH52" s="16"/>
      <c r="GKI52" s="16"/>
      <c r="GKJ52" s="16"/>
      <c r="GKK52" s="16"/>
      <c r="GKL52" s="16"/>
      <c r="GKM52" s="16"/>
      <c r="GKN52" s="16"/>
      <c r="GKO52" s="16"/>
      <c r="GKP52" s="16"/>
      <c r="GKQ52" s="16"/>
      <c r="GKR52" s="16"/>
      <c r="GKS52" s="16"/>
      <c r="GKT52" s="16"/>
      <c r="GKU52" s="16"/>
      <c r="GKV52" s="16"/>
      <c r="GKW52" s="16"/>
      <c r="GKX52" s="16"/>
      <c r="GKY52" s="16"/>
      <c r="GKZ52" s="16"/>
      <c r="GLA52" s="16"/>
      <c r="GLB52" s="16"/>
      <c r="GLC52" s="16"/>
      <c r="GLD52" s="16"/>
      <c r="GLE52" s="16"/>
      <c r="GLF52" s="16"/>
      <c r="GLG52" s="16"/>
      <c r="GLH52" s="16"/>
      <c r="GLI52" s="16"/>
      <c r="GLJ52" s="16"/>
      <c r="GLK52" s="16"/>
      <c r="GLL52" s="16"/>
      <c r="GLM52" s="16"/>
      <c r="GLN52" s="16"/>
      <c r="GLO52" s="16"/>
      <c r="GLP52" s="16"/>
      <c r="GLQ52" s="16"/>
      <c r="GLR52" s="16"/>
      <c r="GLS52" s="16"/>
      <c r="GLT52" s="16"/>
      <c r="GLU52" s="16"/>
      <c r="GLV52" s="16"/>
      <c r="GLW52" s="16"/>
      <c r="GLX52" s="16"/>
      <c r="GLY52" s="16"/>
      <c r="GLZ52" s="16"/>
      <c r="GMA52" s="16"/>
      <c r="GMB52" s="16"/>
      <c r="GMC52" s="16"/>
      <c r="GMD52" s="16"/>
      <c r="GME52" s="16"/>
      <c r="GMF52" s="16"/>
      <c r="GMG52" s="16"/>
      <c r="GMH52" s="16"/>
      <c r="GMI52" s="16"/>
      <c r="GMJ52" s="16"/>
      <c r="GMK52" s="16"/>
      <c r="GML52" s="16"/>
      <c r="GMM52" s="16"/>
      <c r="GMN52" s="16"/>
      <c r="GMO52" s="16"/>
      <c r="GMP52" s="16"/>
      <c r="GMQ52" s="16"/>
      <c r="GMR52" s="16"/>
      <c r="GMS52" s="16"/>
      <c r="GMT52" s="16"/>
      <c r="GMU52" s="16"/>
      <c r="GMV52" s="16"/>
      <c r="GMW52" s="16"/>
      <c r="GMX52" s="16"/>
      <c r="GMY52" s="16"/>
      <c r="GMZ52" s="16"/>
      <c r="GNA52" s="16"/>
      <c r="GNB52" s="16"/>
      <c r="GNC52" s="16"/>
      <c r="GND52" s="16"/>
      <c r="GNE52" s="16"/>
      <c r="GNF52" s="16"/>
      <c r="GNG52" s="16"/>
      <c r="GNH52" s="16"/>
      <c r="GNI52" s="16"/>
      <c r="GNJ52" s="16"/>
      <c r="GNK52" s="16"/>
      <c r="GNL52" s="16"/>
      <c r="GNM52" s="16"/>
      <c r="GNN52" s="16"/>
      <c r="GNO52" s="16"/>
      <c r="GNP52" s="16"/>
      <c r="GNQ52" s="16"/>
      <c r="GNR52" s="16"/>
      <c r="GNS52" s="16"/>
      <c r="GNT52" s="16"/>
      <c r="GNU52" s="16"/>
      <c r="GNV52" s="16"/>
      <c r="GNW52" s="16"/>
      <c r="GNX52" s="16"/>
      <c r="GNY52" s="16"/>
      <c r="GNZ52" s="16"/>
      <c r="GOA52" s="16"/>
      <c r="GOB52" s="16"/>
      <c r="GOC52" s="16"/>
      <c r="GOD52" s="16"/>
      <c r="GOE52" s="16"/>
      <c r="GOF52" s="16"/>
      <c r="GOG52" s="16"/>
      <c r="GOH52" s="16"/>
      <c r="GOI52" s="16"/>
      <c r="GOJ52" s="16"/>
      <c r="GOK52" s="16"/>
      <c r="GOL52" s="16"/>
      <c r="GOM52" s="16"/>
      <c r="GON52" s="16"/>
      <c r="GOO52" s="16"/>
      <c r="GOP52" s="16"/>
      <c r="GOQ52" s="16"/>
      <c r="GOR52" s="16"/>
      <c r="GOS52" s="16"/>
      <c r="GOT52" s="16"/>
      <c r="GOU52" s="16"/>
      <c r="GOV52" s="16"/>
      <c r="GOW52" s="16"/>
      <c r="GOX52" s="16"/>
      <c r="GOY52" s="16"/>
      <c r="GOZ52" s="16"/>
      <c r="GPA52" s="16"/>
      <c r="GPB52" s="16"/>
      <c r="GPC52" s="16"/>
      <c r="GPD52" s="16"/>
      <c r="GPE52" s="16"/>
      <c r="GPF52" s="16"/>
      <c r="GPG52" s="16"/>
      <c r="GPH52" s="16"/>
      <c r="GPI52" s="16"/>
      <c r="GPJ52" s="16"/>
      <c r="GPK52" s="16"/>
      <c r="GPL52" s="16"/>
      <c r="GPM52" s="16"/>
      <c r="GPN52" s="16"/>
      <c r="GPO52" s="16"/>
      <c r="GPP52" s="16"/>
      <c r="GPQ52" s="16"/>
      <c r="GPR52" s="16"/>
      <c r="GPS52" s="16"/>
      <c r="GPT52" s="16"/>
      <c r="GPU52" s="16"/>
      <c r="GPV52" s="16"/>
      <c r="GPW52" s="16"/>
      <c r="GPX52" s="16"/>
      <c r="GPY52" s="16"/>
      <c r="GPZ52" s="16"/>
      <c r="GQA52" s="16"/>
      <c r="GQB52" s="16"/>
      <c r="GQC52" s="16"/>
      <c r="GQD52" s="16"/>
      <c r="GQE52" s="16"/>
      <c r="GQF52" s="16"/>
      <c r="GQG52" s="16"/>
      <c r="GQH52" s="16"/>
      <c r="GQI52" s="16"/>
      <c r="GQJ52" s="16"/>
      <c r="GQK52" s="16"/>
      <c r="GQL52" s="16"/>
      <c r="GQM52" s="16"/>
      <c r="GQN52" s="16"/>
      <c r="GQO52" s="16"/>
      <c r="GQP52" s="16"/>
      <c r="GQQ52" s="16"/>
      <c r="GQR52" s="16"/>
      <c r="GQS52" s="16"/>
      <c r="GQT52" s="16"/>
      <c r="GQU52" s="16"/>
      <c r="GQV52" s="16"/>
      <c r="GQW52" s="16"/>
      <c r="GQX52" s="16"/>
      <c r="GQY52" s="16"/>
      <c r="GQZ52" s="16"/>
      <c r="GRA52" s="16"/>
      <c r="GRB52" s="16"/>
      <c r="GRC52" s="16"/>
      <c r="GRD52" s="16"/>
      <c r="GRE52" s="16"/>
      <c r="GRF52" s="16"/>
      <c r="GRG52" s="16"/>
      <c r="GRH52" s="16"/>
      <c r="GRI52" s="16"/>
      <c r="GRJ52" s="16"/>
      <c r="GRK52" s="16"/>
      <c r="GRL52" s="16"/>
      <c r="GRM52" s="16"/>
      <c r="GRN52" s="16"/>
      <c r="GRO52" s="16"/>
      <c r="GRP52" s="16"/>
      <c r="GRQ52" s="16"/>
      <c r="GRR52" s="16"/>
      <c r="GRS52" s="16"/>
      <c r="GRT52" s="16"/>
      <c r="GRU52" s="16"/>
      <c r="GRV52" s="16"/>
      <c r="GRW52" s="16"/>
      <c r="GRX52" s="16"/>
      <c r="GRY52" s="16"/>
      <c r="GRZ52" s="16"/>
      <c r="GSA52" s="16"/>
      <c r="GSB52" s="16"/>
      <c r="GSC52" s="16"/>
      <c r="GSD52" s="16"/>
      <c r="GSE52" s="16"/>
      <c r="GSF52" s="16"/>
      <c r="GSG52" s="16"/>
      <c r="GSH52" s="16"/>
      <c r="GSI52" s="16"/>
      <c r="GSJ52" s="16"/>
      <c r="GSK52" s="16"/>
      <c r="GSL52" s="16"/>
      <c r="GSM52" s="16"/>
      <c r="GSN52" s="16"/>
      <c r="GSO52" s="16"/>
      <c r="GSP52" s="16"/>
      <c r="GSQ52" s="16"/>
      <c r="GSR52" s="16"/>
      <c r="GSS52" s="16"/>
      <c r="GST52" s="16"/>
      <c r="GSU52" s="16"/>
      <c r="GSV52" s="16"/>
      <c r="GSW52" s="16"/>
      <c r="GSX52" s="16"/>
      <c r="GSY52" s="16"/>
      <c r="GSZ52" s="16"/>
      <c r="GTA52" s="16"/>
      <c r="GTB52" s="16"/>
      <c r="GTC52" s="16"/>
      <c r="GTD52" s="16"/>
      <c r="GTE52" s="16"/>
      <c r="GTF52" s="16"/>
      <c r="GTG52" s="16"/>
      <c r="GTH52" s="16"/>
      <c r="GTI52" s="16"/>
      <c r="GTJ52" s="16"/>
      <c r="GTK52" s="16"/>
      <c r="GTL52" s="16"/>
      <c r="GTM52" s="16"/>
      <c r="GTN52" s="16"/>
      <c r="GTO52" s="16"/>
      <c r="GTP52" s="16"/>
      <c r="GTQ52" s="16"/>
      <c r="GTR52" s="16"/>
      <c r="GTS52" s="16"/>
      <c r="GTT52" s="16"/>
      <c r="GTU52" s="16"/>
      <c r="GTV52" s="16"/>
      <c r="GTW52" s="16"/>
      <c r="GTX52" s="16"/>
      <c r="GTY52" s="16"/>
      <c r="GTZ52" s="16"/>
      <c r="GUA52" s="16"/>
      <c r="GUB52" s="16"/>
      <c r="GUC52" s="16"/>
      <c r="GUD52" s="16"/>
      <c r="GUE52" s="16"/>
      <c r="GUF52" s="16"/>
      <c r="GUG52" s="16"/>
      <c r="GUH52" s="16"/>
      <c r="GUI52" s="16"/>
      <c r="GUJ52" s="16"/>
      <c r="GUK52" s="16"/>
      <c r="GUL52" s="16"/>
      <c r="GUM52" s="16"/>
      <c r="GUN52" s="16"/>
      <c r="GUO52" s="16"/>
      <c r="GUP52" s="16"/>
      <c r="GUQ52" s="16"/>
      <c r="GUR52" s="16"/>
      <c r="GUS52" s="16"/>
      <c r="GUT52" s="16"/>
      <c r="GUU52" s="16"/>
      <c r="GUV52" s="16"/>
      <c r="GUW52" s="16"/>
      <c r="GUX52" s="16"/>
      <c r="GUY52" s="16"/>
      <c r="GUZ52" s="16"/>
      <c r="GVA52" s="16"/>
      <c r="GVB52" s="16"/>
      <c r="GVC52" s="16"/>
      <c r="GVD52" s="16"/>
      <c r="GVE52" s="16"/>
      <c r="GVF52" s="16"/>
      <c r="GVG52" s="16"/>
      <c r="GVH52" s="16"/>
      <c r="GVI52" s="16"/>
      <c r="GVJ52" s="16"/>
      <c r="GVK52" s="16"/>
      <c r="GVL52" s="16"/>
      <c r="GVM52" s="16"/>
      <c r="GVN52" s="16"/>
      <c r="GVO52" s="16"/>
      <c r="GVP52" s="16"/>
      <c r="GVQ52" s="16"/>
      <c r="GVR52" s="16"/>
      <c r="GVS52" s="16"/>
      <c r="GVT52" s="16"/>
      <c r="GVU52" s="16"/>
      <c r="GVV52" s="16"/>
      <c r="GVW52" s="16"/>
      <c r="GVX52" s="16"/>
      <c r="GVY52" s="16"/>
      <c r="GVZ52" s="16"/>
      <c r="GWA52" s="16"/>
      <c r="GWB52" s="16"/>
      <c r="GWC52" s="16"/>
      <c r="GWD52" s="16"/>
      <c r="GWE52" s="16"/>
      <c r="GWF52" s="16"/>
      <c r="GWG52" s="16"/>
      <c r="GWH52" s="16"/>
      <c r="GWI52" s="16"/>
      <c r="GWJ52" s="16"/>
      <c r="GWK52" s="16"/>
      <c r="GWL52" s="16"/>
      <c r="GWM52" s="16"/>
      <c r="GWN52" s="16"/>
      <c r="GWO52" s="16"/>
      <c r="GWP52" s="16"/>
      <c r="GWQ52" s="16"/>
      <c r="GWR52" s="16"/>
      <c r="GWS52" s="16"/>
      <c r="GWT52" s="16"/>
      <c r="GWU52" s="16"/>
      <c r="GWV52" s="16"/>
      <c r="GWW52" s="16"/>
      <c r="GWX52" s="16"/>
      <c r="GWY52" s="16"/>
      <c r="GWZ52" s="16"/>
      <c r="GXA52" s="16"/>
      <c r="GXB52" s="16"/>
      <c r="GXC52" s="16"/>
      <c r="GXD52" s="16"/>
      <c r="GXE52" s="16"/>
      <c r="GXF52" s="16"/>
      <c r="GXG52" s="16"/>
      <c r="GXH52" s="16"/>
      <c r="GXI52" s="16"/>
      <c r="GXJ52" s="16"/>
      <c r="GXK52" s="16"/>
      <c r="GXL52" s="16"/>
      <c r="GXM52" s="16"/>
      <c r="GXN52" s="16"/>
      <c r="GXO52" s="16"/>
      <c r="GXP52" s="16"/>
      <c r="GXQ52" s="16"/>
      <c r="GXR52" s="16"/>
      <c r="GXS52" s="16"/>
      <c r="GXT52" s="16"/>
      <c r="GXU52" s="16"/>
      <c r="GXV52" s="16"/>
      <c r="GXW52" s="16"/>
      <c r="GXX52" s="16"/>
      <c r="GXY52" s="16"/>
      <c r="GXZ52" s="16"/>
      <c r="GYA52" s="16"/>
      <c r="GYB52" s="16"/>
      <c r="GYC52" s="16"/>
      <c r="GYD52" s="16"/>
      <c r="GYE52" s="16"/>
      <c r="GYF52" s="16"/>
      <c r="GYG52" s="16"/>
      <c r="GYH52" s="16"/>
      <c r="GYI52" s="16"/>
      <c r="GYJ52" s="16"/>
      <c r="GYK52" s="16"/>
      <c r="GYL52" s="16"/>
      <c r="GYM52" s="16"/>
      <c r="GYN52" s="16"/>
      <c r="GYO52" s="16"/>
      <c r="GYP52" s="16"/>
      <c r="GYQ52" s="16"/>
      <c r="GYR52" s="16"/>
      <c r="GYS52" s="16"/>
      <c r="GYT52" s="16"/>
      <c r="GYU52" s="16"/>
      <c r="GYV52" s="16"/>
      <c r="GYW52" s="16"/>
      <c r="GYX52" s="16"/>
      <c r="GYY52" s="16"/>
      <c r="GYZ52" s="16"/>
      <c r="GZA52" s="16"/>
      <c r="GZB52" s="16"/>
      <c r="GZC52" s="16"/>
      <c r="GZD52" s="16"/>
      <c r="GZE52" s="16"/>
      <c r="GZF52" s="16"/>
      <c r="GZG52" s="16"/>
      <c r="GZH52" s="16"/>
      <c r="GZI52" s="16"/>
      <c r="GZJ52" s="16"/>
      <c r="GZK52" s="16"/>
      <c r="GZL52" s="16"/>
      <c r="GZM52" s="16"/>
      <c r="GZN52" s="16"/>
      <c r="GZO52" s="16"/>
      <c r="GZP52" s="16"/>
      <c r="GZQ52" s="16"/>
      <c r="GZR52" s="16"/>
      <c r="GZS52" s="16"/>
      <c r="GZT52" s="16"/>
      <c r="GZU52" s="16"/>
      <c r="GZV52" s="16"/>
      <c r="GZW52" s="16"/>
      <c r="GZX52" s="16"/>
      <c r="GZY52" s="16"/>
      <c r="GZZ52" s="16"/>
      <c r="HAA52" s="16"/>
      <c r="HAB52" s="16"/>
      <c r="HAC52" s="16"/>
      <c r="HAD52" s="16"/>
      <c r="HAE52" s="16"/>
      <c r="HAF52" s="16"/>
      <c r="HAG52" s="16"/>
      <c r="HAH52" s="16"/>
      <c r="HAI52" s="16"/>
      <c r="HAJ52" s="16"/>
      <c r="HAK52" s="16"/>
      <c r="HAL52" s="16"/>
      <c r="HAM52" s="16"/>
      <c r="HAN52" s="16"/>
      <c r="HAO52" s="16"/>
      <c r="HAP52" s="16"/>
      <c r="HAQ52" s="16"/>
      <c r="HAR52" s="16"/>
      <c r="HAS52" s="16"/>
      <c r="HAT52" s="16"/>
      <c r="HAU52" s="16"/>
      <c r="HAV52" s="16"/>
      <c r="HAW52" s="16"/>
      <c r="HAX52" s="16"/>
      <c r="HAY52" s="16"/>
      <c r="HAZ52" s="16"/>
      <c r="HBA52" s="16"/>
      <c r="HBB52" s="16"/>
      <c r="HBC52" s="16"/>
      <c r="HBD52" s="16"/>
      <c r="HBE52" s="16"/>
      <c r="HBF52" s="16"/>
      <c r="HBG52" s="16"/>
      <c r="HBH52" s="16"/>
      <c r="HBI52" s="16"/>
      <c r="HBJ52" s="16"/>
      <c r="HBK52" s="16"/>
      <c r="HBL52" s="16"/>
      <c r="HBM52" s="16"/>
      <c r="HBN52" s="16"/>
      <c r="HBO52" s="16"/>
      <c r="HBP52" s="16"/>
      <c r="HBQ52" s="16"/>
      <c r="HBR52" s="16"/>
      <c r="HBS52" s="16"/>
      <c r="HBT52" s="16"/>
      <c r="HBU52" s="16"/>
      <c r="HBV52" s="16"/>
      <c r="HBW52" s="16"/>
      <c r="HBX52" s="16"/>
      <c r="HBY52" s="16"/>
      <c r="HBZ52" s="16"/>
      <c r="HCA52" s="16"/>
      <c r="HCB52" s="16"/>
      <c r="HCC52" s="16"/>
      <c r="HCD52" s="16"/>
      <c r="HCE52" s="16"/>
      <c r="HCF52" s="16"/>
      <c r="HCG52" s="16"/>
      <c r="HCH52" s="16"/>
      <c r="HCI52" s="16"/>
      <c r="HCJ52" s="16"/>
      <c r="HCK52" s="16"/>
      <c r="HCL52" s="16"/>
      <c r="HCM52" s="16"/>
      <c r="HCN52" s="16"/>
      <c r="HCO52" s="16"/>
      <c r="HCP52" s="16"/>
      <c r="HCQ52" s="16"/>
      <c r="HCR52" s="16"/>
      <c r="HCS52" s="16"/>
      <c r="HCT52" s="16"/>
      <c r="HCU52" s="16"/>
      <c r="HCV52" s="16"/>
      <c r="HCW52" s="16"/>
      <c r="HCX52" s="16"/>
      <c r="HCY52" s="16"/>
      <c r="HCZ52" s="16"/>
      <c r="HDA52" s="16"/>
      <c r="HDB52" s="16"/>
      <c r="HDC52" s="16"/>
      <c r="HDD52" s="16"/>
      <c r="HDE52" s="16"/>
      <c r="HDF52" s="16"/>
      <c r="HDG52" s="16"/>
      <c r="HDH52" s="16"/>
      <c r="HDI52" s="16"/>
      <c r="HDJ52" s="16"/>
      <c r="HDK52" s="16"/>
      <c r="HDL52" s="16"/>
      <c r="HDM52" s="16"/>
      <c r="HDN52" s="16"/>
      <c r="HDO52" s="16"/>
      <c r="HDP52" s="16"/>
      <c r="HDQ52" s="16"/>
      <c r="HDR52" s="16"/>
      <c r="HDS52" s="16"/>
      <c r="HDT52" s="16"/>
      <c r="HDU52" s="16"/>
      <c r="HDV52" s="16"/>
      <c r="HDW52" s="16"/>
      <c r="HDX52" s="16"/>
      <c r="HDY52" s="16"/>
      <c r="HDZ52" s="16"/>
      <c r="HEA52" s="16"/>
      <c r="HEB52" s="16"/>
      <c r="HEC52" s="16"/>
      <c r="HED52" s="16"/>
      <c r="HEE52" s="16"/>
      <c r="HEF52" s="16"/>
      <c r="HEG52" s="16"/>
      <c r="HEH52" s="16"/>
      <c r="HEI52" s="16"/>
      <c r="HEJ52" s="16"/>
      <c r="HEK52" s="16"/>
      <c r="HEL52" s="16"/>
      <c r="HEM52" s="16"/>
      <c r="HEN52" s="16"/>
      <c r="HEO52" s="16"/>
      <c r="HEP52" s="16"/>
      <c r="HEQ52" s="16"/>
      <c r="HER52" s="16"/>
      <c r="HES52" s="16"/>
      <c r="HET52" s="16"/>
      <c r="HEU52" s="16"/>
      <c r="HEV52" s="16"/>
      <c r="HEW52" s="16"/>
      <c r="HEX52" s="16"/>
      <c r="HEY52" s="16"/>
      <c r="HEZ52" s="16"/>
      <c r="HFA52" s="16"/>
      <c r="HFB52" s="16"/>
      <c r="HFC52" s="16"/>
      <c r="HFD52" s="16"/>
      <c r="HFE52" s="16"/>
      <c r="HFF52" s="16"/>
      <c r="HFG52" s="16"/>
      <c r="HFH52" s="16"/>
      <c r="HFI52" s="16"/>
      <c r="HFJ52" s="16"/>
      <c r="HFK52" s="16"/>
      <c r="HFL52" s="16"/>
      <c r="HFM52" s="16"/>
      <c r="HFN52" s="16"/>
      <c r="HFO52" s="16"/>
      <c r="HFP52" s="16"/>
      <c r="HFQ52" s="16"/>
      <c r="HFR52" s="16"/>
      <c r="HFS52" s="16"/>
      <c r="HFT52" s="16"/>
      <c r="HFU52" s="16"/>
      <c r="HFV52" s="16"/>
      <c r="HFW52" s="16"/>
      <c r="HFX52" s="16"/>
      <c r="HFY52" s="16"/>
      <c r="HFZ52" s="16"/>
      <c r="HGA52" s="16"/>
      <c r="HGB52" s="16"/>
      <c r="HGC52" s="16"/>
      <c r="HGD52" s="16"/>
      <c r="HGE52" s="16"/>
      <c r="HGF52" s="16"/>
      <c r="HGG52" s="16"/>
      <c r="HGH52" s="16"/>
      <c r="HGI52" s="16"/>
      <c r="HGJ52" s="16"/>
      <c r="HGK52" s="16"/>
      <c r="HGL52" s="16"/>
      <c r="HGM52" s="16"/>
      <c r="HGN52" s="16"/>
      <c r="HGO52" s="16"/>
      <c r="HGP52" s="16"/>
      <c r="HGQ52" s="16"/>
      <c r="HGR52" s="16"/>
      <c r="HGS52" s="16"/>
      <c r="HGT52" s="16"/>
      <c r="HGU52" s="16"/>
      <c r="HGV52" s="16"/>
      <c r="HGW52" s="16"/>
      <c r="HGX52" s="16"/>
      <c r="HGY52" s="16"/>
      <c r="HGZ52" s="16"/>
      <c r="HHA52" s="16"/>
      <c r="HHB52" s="16"/>
      <c r="HHC52" s="16"/>
      <c r="HHD52" s="16"/>
      <c r="HHE52" s="16"/>
      <c r="HHF52" s="16"/>
      <c r="HHG52" s="16"/>
      <c r="HHH52" s="16"/>
      <c r="HHI52" s="16"/>
      <c r="HHJ52" s="16"/>
      <c r="HHK52" s="16"/>
      <c r="HHL52" s="16"/>
      <c r="HHM52" s="16"/>
      <c r="HHN52" s="16"/>
      <c r="HHO52" s="16"/>
      <c r="HHP52" s="16"/>
      <c r="HHQ52" s="16"/>
      <c r="HHR52" s="16"/>
      <c r="HHS52" s="16"/>
      <c r="HHT52" s="16"/>
      <c r="HHU52" s="16"/>
      <c r="HHV52" s="16"/>
      <c r="HHW52" s="16"/>
      <c r="HHX52" s="16"/>
      <c r="HHY52" s="16"/>
      <c r="HHZ52" s="16"/>
      <c r="HIA52" s="16"/>
      <c r="HIB52" s="16"/>
      <c r="HIC52" s="16"/>
      <c r="HID52" s="16"/>
      <c r="HIE52" s="16"/>
      <c r="HIF52" s="16"/>
      <c r="HIG52" s="16"/>
      <c r="HIH52" s="16"/>
      <c r="HII52" s="16"/>
      <c r="HIJ52" s="16"/>
      <c r="HIK52" s="16"/>
      <c r="HIL52" s="16"/>
      <c r="HIM52" s="16"/>
      <c r="HIN52" s="16"/>
      <c r="HIO52" s="16"/>
      <c r="HIP52" s="16"/>
      <c r="HIQ52" s="16"/>
      <c r="HIR52" s="16"/>
      <c r="HIS52" s="16"/>
      <c r="HIT52" s="16"/>
      <c r="HIU52" s="16"/>
      <c r="HIV52" s="16"/>
      <c r="HIW52" s="16"/>
      <c r="HIX52" s="16"/>
      <c r="HIY52" s="16"/>
      <c r="HIZ52" s="16"/>
      <c r="HJA52" s="16"/>
      <c r="HJB52" s="16"/>
      <c r="HJC52" s="16"/>
      <c r="HJD52" s="16"/>
      <c r="HJE52" s="16"/>
      <c r="HJF52" s="16"/>
      <c r="HJG52" s="16"/>
      <c r="HJH52" s="16"/>
      <c r="HJI52" s="16"/>
      <c r="HJJ52" s="16"/>
      <c r="HJK52" s="16"/>
      <c r="HJL52" s="16"/>
      <c r="HJM52" s="16"/>
      <c r="HJN52" s="16"/>
      <c r="HJO52" s="16"/>
      <c r="HJP52" s="16"/>
      <c r="HJQ52" s="16"/>
      <c r="HJR52" s="16"/>
      <c r="HJS52" s="16"/>
      <c r="HJT52" s="16"/>
      <c r="HJU52" s="16"/>
      <c r="HJV52" s="16"/>
      <c r="HJW52" s="16"/>
      <c r="HJX52" s="16"/>
      <c r="HJY52" s="16"/>
      <c r="HJZ52" s="16"/>
      <c r="HKA52" s="16"/>
      <c r="HKB52" s="16"/>
      <c r="HKC52" s="16"/>
      <c r="HKD52" s="16"/>
      <c r="HKE52" s="16"/>
      <c r="HKF52" s="16"/>
      <c r="HKG52" s="16"/>
      <c r="HKH52" s="16"/>
      <c r="HKI52" s="16"/>
      <c r="HKJ52" s="16"/>
      <c r="HKK52" s="16"/>
      <c r="HKL52" s="16"/>
      <c r="HKM52" s="16"/>
      <c r="HKN52" s="16"/>
      <c r="HKO52" s="16"/>
      <c r="HKP52" s="16"/>
      <c r="HKQ52" s="16"/>
      <c r="HKR52" s="16"/>
      <c r="HKS52" s="16"/>
      <c r="HKT52" s="16"/>
      <c r="HKU52" s="16"/>
      <c r="HKV52" s="16"/>
      <c r="HKW52" s="16"/>
      <c r="HKX52" s="16"/>
      <c r="HKY52" s="16"/>
      <c r="HKZ52" s="16"/>
      <c r="HLA52" s="16"/>
      <c r="HLB52" s="16"/>
      <c r="HLC52" s="16"/>
      <c r="HLD52" s="16"/>
      <c r="HLE52" s="16"/>
      <c r="HLF52" s="16"/>
      <c r="HLG52" s="16"/>
      <c r="HLH52" s="16"/>
      <c r="HLI52" s="16"/>
      <c r="HLJ52" s="16"/>
      <c r="HLK52" s="16"/>
      <c r="HLL52" s="16"/>
      <c r="HLM52" s="16"/>
      <c r="HLN52" s="16"/>
      <c r="HLO52" s="16"/>
      <c r="HLP52" s="16"/>
      <c r="HLQ52" s="16"/>
      <c r="HLR52" s="16"/>
      <c r="HLS52" s="16"/>
      <c r="HLT52" s="16"/>
      <c r="HLU52" s="16"/>
      <c r="HLV52" s="16"/>
      <c r="HLW52" s="16"/>
      <c r="HLX52" s="16"/>
      <c r="HLY52" s="16"/>
      <c r="HLZ52" s="16"/>
      <c r="HMA52" s="16"/>
      <c r="HMB52" s="16"/>
      <c r="HMC52" s="16"/>
      <c r="HMD52" s="16"/>
      <c r="HME52" s="16"/>
      <c r="HMF52" s="16"/>
      <c r="HMG52" s="16"/>
      <c r="HMH52" s="16"/>
      <c r="HMI52" s="16"/>
      <c r="HMJ52" s="16"/>
      <c r="HMK52" s="16"/>
      <c r="HML52" s="16"/>
      <c r="HMM52" s="16"/>
      <c r="HMN52" s="16"/>
      <c r="HMO52" s="16"/>
      <c r="HMP52" s="16"/>
      <c r="HMQ52" s="16"/>
      <c r="HMR52" s="16"/>
      <c r="HMS52" s="16"/>
      <c r="HMT52" s="16"/>
      <c r="HMU52" s="16"/>
      <c r="HMV52" s="16"/>
      <c r="HMW52" s="16"/>
      <c r="HMX52" s="16"/>
      <c r="HMY52" s="16"/>
      <c r="HMZ52" s="16"/>
      <c r="HNA52" s="16"/>
      <c r="HNB52" s="16"/>
      <c r="HNC52" s="16"/>
      <c r="HND52" s="16"/>
      <c r="HNE52" s="16"/>
      <c r="HNF52" s="16"/>
      <c r="HNG52" s="16"/>
      <c r="HNH52" s="16"/>
      <c r="HNI52" s="16"/>
      <c r="HNJ52" s="16"/>
      <c r="HNK52" s="16"/>
      <c r="HNL52" s="16"/>
      <c r="HNM52" s="16"/>
      <c r="HNN52" s="16"/>
      <c r="HNO52" s="16"/>
      <c r="HNP52" s="16"/>
      <c r="HNQ52" s="16"/>
      <c r="HNR52" s="16"/>
      <c r="HNS52" s="16"/>
      <c r="HNT52" s="16"/>
      <c r="HNU52" s="16"/>
      <c r="HNV52" s="16"/>
      <c r="HNW52" s="16"/>
      <c r="HNX52" s="16"/>
      <c r="HNY52" s="16"/>
      <c r="HNZ52" s="16"/>
      <c r="HOA52" s="16"/>
      <c r="HOB52" s="16"/>
      <c r="HOC52" s="16"/>
      <c r="HOD52" s="16"/>
      <c r="HOE52" s="16"/>
      <c r="HOF52" s="16"/>
      <c r="HOG52" s="16"/>
      <c r="HOH52" s="16"/>
      <c r="HOI52" s="16"/>
      <c r="HOJ52" s="16"/>
      <c r="HOK52" s="16"/>
      <c r="HOL52" s="16"/>
      <c r="HOM52" s="16"/>
      <c r="HON52" s="16"/>
      <c r="HOO52" s="16"/>
      <c r="HOP52" s="16"/>
      <c r="HOQ52" s="16"/>
      <c r="HOR52" s="16"/>
      <c r="HOS52" s="16"/>
      <c r="HOT52" s="16"/>
      <c r="HOU52" s="16"/>
      <c r="HOV52" s="16"/>
      <c r="HOW52" s="16"/>
      <c r="HOX52" s="16"/>
      <c r="HOY52" s="16"/>
      <c r="HOZ52" s="16"/>
      <c r="HPA52" s="16"/>
      <c r="HPB52" s="16"/>
      <c r="HPC52" s="16"/>
      <c r="HPD52" s="16"/>
      <c r="HPE52" s="16"/>
      <c r="HPF52" s="16"/>
      <c r="HPG52" s="16"/>
      <c r="HPH52" s="16"/>
      <c r="HPI52" s="16"/>
      <c r="HPJ52" s="16"/>
      <c r="HPK52" s="16"/>
      <c r="HPL52" s="16"/>
      <c r="HPM52" s="16"/>
      <c r="HPN52" s="16"/>
      <c r="HPO52" s="16"/>
      <c r="HPP52" s="16"/>
      <c r="HPQ52" s="16"/>
      <c r="HPR52" s="16"/>
      <c r="HPS52" s="16"/>
      <c r="HPT52" s="16"/>
      <c r="HPU52" s="16"/>
      <c r="HPV52" s="16"/>
      <c r="HPW52" s="16"/>
      <c r="HPX52" s="16"/>
      <c r="HPY52" s="16"/>
      <c r="HPZ52" s="16"/>
      <c r="HQA52" s="16"/>
      <c r="HQB52" s="16"/>
      <c r="HQC52" s="16"/>
      <c r="HQD52" s="16"/>
      <c r="HQE52" s="16"/>
      <c r="HQF52" s="16"/>
      <c r="HQG52" s="16"/>
      <c r="HQH52" s="16"/>
      <c r="HQI52" s="16"/>
      <c r="HQJ52" s="16"/>
      <c r="HQK52" s="16"/>
      <c r="HQL52" s="16"/>
      <c r="HQM52" s="16"/>
      <c r="HQN52" s="16"/>
      <c r="HQO52" s="16"/>
      <c r="HQP52" s="16"/>
      <c r="HQQ52" s="16"/>
      <c r="HQR52" s="16"/>
      <c r="HQS52" s="16"/>
      <c r="HQT52" s="16"/>
      <c r="HQU52" s="16"/>
      <c r="HQV52" s="16"/>
      <c r="HQW52" s="16"/>
      <c r="HQX52" s="16"/>
      <c r="HQY52" s="16"/>
      <c r="HQZ52" s="16"/>
      <c r="HRA52" s="16"/>
      <c r="HRB52" s="16"/>
      <c r="HRC52" s="16"/>
      <c r="HRD52" s="16"/>
      <c r="HRE52" s="16"/>
      <c r="HRF52" s="16"/>
      <c r="HRG52" s="16"/>
      <c r="HRH52" s="16"/>
      <c r="HRI52" s="16"/>
      <c r="HRJ52" s="16"/>
      <c r="HRK52" s="16"/>
      <c r="HRL52" s="16"/>
      <c r="HRM52" s="16"/>
      <c r="HRN52" s="16"/>
      <c r="HRO52" s="16"/>
      <c r="HRP52" s="16"/>
      <c r="HRQ52" s="16"/>
      <c r="HRR52" s="16"/>
      <c r="HRS52" s="16"/>
      <c r="HRT52" s="16"/>
      <c r="HRU52" s="16"/>
      <c r="HRV52" s="16"/>
      <c r="HRW52" s="16"/>
      <c r="HRX52" s="16"/>
      <c r="HRY52" s="16"/>
      <c r="HRZ52" s="16"/>
      <c r="HSA52" s="16"/>
      <c r="HSB52" s="16"/>
      <c r="HSC52" s="16"/>
      <c r="HSD52" s="16"/>
      <c r="HSE52" s="16"/>
      <c r="HSF52" s="16"/>
      <c r="HSG52" s="16"/>
      <c r="HSH52" s="16"/>
      <c r="HSI52" s="16"/>
      <c r="HSJ52" s="16"/>
      <c r="HSK52" s="16"/>
      <c r="HSL52" s="16"/>
      <c r="HSM52" s="16"/>
      <c r="HSN52" s="16"/>
      <c r="HSO52" s="16"/>
      <c r="HSP52" s="16"/>
      <c r="HSQ52" s="16"/>
      <c r="HSR52" s="16"/>
      <c r="HSS52" s="16"/>
      <c r="HST52" s="16"/>
      <c r="HSU52" s="16"/>
      <c r="HSV52" s="16"/>
      <c r="HSW52" s="16"/>
      <c r="HSX52" s="16"/>
      <c r="HSY52" s="16"/>
      <c r="HSZ52" s="16"/>
      <c r="HTA52" s="16"/>
      <c r="HTB52" s="16"/>
      <c r="HTC52" s="16"/>
      <c r="HTD52" s="16"/>
      <c r="HTE52" s="16"/>
      <c r="HTF52" s="16"/>
      <c r="HTG52" s="16"/>
      <c r="HTH52" s="16"/>
      <c r="HTI52" s="16"/>
      <c r="HTJ52" s="16"/>
      <c r="HTK52" s="16"/>
      <c r="HTL52" s="16"/>
      <c r="HTM52" s="16"/>
      <c r="HTN52" s="16"/>
      <c r="HTO52" s="16"/>
      <c r="HTP52" s="16"/>
      <c r="HTQ52" s="16"/>
      <c r="HTR52" s="16"/>
      <c r="HTS52" s="16"/>
      <c r="HTT52" s="16"/>
      <c r="HTU52" s="16"/>
      <c r="HTV52" s="16"/>
      <c r="HTW52" s="16"/>
      <c r="HTX52" s="16"/>
      <c r="HTY52" s="16"/>
      <c r="HTZ52" s="16"/>
      <c r="HUA52" s="16"/>
      <c r="HUB52" s="16"/>
      <c r="HUC52" s="16"/>
      <c r="HUD52" s="16"/>
      <c r="HUE52" s="16"/>
      <c r="HUF52" s="16"/>
      <c r="HUG52" s="16"/>
      <c r="HUH52" s="16"/>
      <c r="HUI52" s="16"/>
      <c r="HUJ52" s="16"/>
      <c r="HUK52" s="16"/>
      <c r="HUL52" s="16"/>
      <c r="HUM52" s="16"/>
      <c r="HUN52" s="16"/>
      <c r="HUO52" s="16"/>
      <c r="HUP52" s="16"/>
      <c r="HUQ52" s="16"/>
      <c r="HUR52" s="16"/>
      <c r="HUS52" s="16"/>
      <c r="HUT52" s="16"/>
      <c r="HUU52" s="16"/>
      <c r="HUV52" s="16"/>
      <c r="HUW52" s="16"/>
      <c r="HUX52" s="16"/>
      <c r="HUY52" s="16"/>
      <c r="HUZ52" s="16"/>
      <c r="HVA52" s="16"/>
      <c r="HVB52" s="16"/>
      <c r="HVC52" s="16"/>
      <c r="HVD52" s="16"/>
      <c r="HVE52" s="16"/>
      <c r="HVF52" s="16"/>
      <c r="HVG52" s="16"/>
      <c r="HVH52" s="16"/>
      <c r="HVI52" s="16"/>
      <c r="HVJ52" s="16"/>
      <c r="HVK52" s="16"/>
      <c r="HVL52" s="16"/>
      <c r="HVM52" s="16"/>
      <c r="HVN52" s="16"/>
      <c r="HVO52" s="16"/>
      <c r="HVP52" s="16"/>
      <c r="HVQ52" s="16"/>
      <c r="HVR52" s="16"/>
      <c r="HVS52" s="16"/>
      <c r="HVT52" s="16"/>
      <c r="HVU52" s="16"/>
      <c r="HVV52" s="16"/>
      <c r="HVW52" s="16"/>
      <c r="HVX52" s="16"/>
      <c r="HVY52" s="16"/>
      <c r="HVZ52" s="16"/>
      <c r="HWA52" s="16"/>
      <c r="HWB52" s="16"/>
      <c r="HWC52" s="16"/>
      <c r="HWD52" s="16"/>
      <c r="HWE52" s="16"/>
      <c r="HWF52" s="16"/>
      <c r="HWG52" s="16"/>
      <c r="HWH52" s="16"/>
      <c r="HWI52" s="16"/>
      <c r="HWJ52" s="16"/>
      <c r="HWK52" s="16"/>
      <c r="HWL52" s="16"/>
      <c r="HWM52" s="16"/>
      <c r="HWN52" s="16"/>
      <c r="HWO52" s="16"/>
      <c r="HWP52" s="16"/>
      <c r="HWQ52" s="16"/>
      <c r="HWR52" s="16"/>
      <c r="HWS52" s="16"/>
      <c r="HWT52" s="16"/>
      <c r="HWU52" s="16"/>
      <c r="HWV52" s="16"/>
      <c r="HWW52" s="16"/>
      <c r="HWX52" s="16"/>
      <c r="HWY52" s="16"/>
      <c r="HWZ52" s="16"/>
      <c r="HXA52" s="16"/>
      <c r="HXB52" s="16"/>
      <c r="HXC52" s="16"/>
      <c r="HXD52" s="16"/>
      <c r="HXE52" s="16"/>
      <c r="HXF52" s="16"/>
      <c r="HXG52" s="16"/>
      <c r="HXH52" s="16"/>
      <c r="HXI52" s="16"/>
      <c r="HXJ52" s="16"/>
      <c r="HXK52" s="16"/>
      <c r="HXL52" s="16"/>
      <c r="HXM52" s="16"/>
      <c r="HXN52" s="16"/>
      <c r="HXO52" s="16"/>
      <c r="HXP52" s="16"/>
      <c r="HXQ52" s="16"/>
      <c r="HXR52" s="16"/>
      <c r="HXS52" s="16"/>
      <c r="HXT52" s="16"/>
      <c r="HXU52" s="16"/>
      <c r="HXV52" s="16"/>
      <c r="HXW52" s="16"/>
      <c r="HXX52" s="16"/>
      <c r="HXY52" s="16"/>
      <c r="HXZ52" s="16"/>
      <c r="HYA52" s="16"/>
      <c r="HYB52" s="16"/>
      <c r="HYC52" s="16"/>
      <c r="HYD52" s="16"/>
      <c r="HYE52" s="16"/>
      <c r="HYF52" s="16"/>
      <c r="HYG52" s="16"/>
      <c r="HYH52" s="16"/>
      <c r="HYI52" s="16"/>
      <c r="HYJ52" s="16"/>
      <c r="HYK52" s="16"/>
      <c r="HYL52" s="16"/>
      <c r="HYM52" s="16"/>
      <c r="HYN52" s="16"/>
      <c r="HYO52" s="16"/>
      <c r="HYP52" s="16"/>
      <c r="HYQ52" s="16"/>
      <c r="HYR52" s="16"/>
      <c r="HYS52" s="16"/>
      <c r="HYT52" s="16"/>
      <c r="HYU52" s="16"/>
      <c r="HYV52" s="16"/>
      <c r="HYW52" s="16"/>
      <c r="HYX52" s="16"/>
      <c r="HYY52" s="16"/>
      <c r="HYZ52" s="16"/>
      <c r="HZA52" s="16"/>
      <c r="HZB52" s="16"/>
      <c r="HZC52" s="16"/>
      <c r="HZD52" s="16"/>
      <c r="HZE52" s="16"/>
      <c r="HZF52" s="16"/>
      <c r="HZG52" s="16"/>
      <c r="HZH52" s="16"/>
      <c r="HZI52" s="16"/>
      <c r="HZJ52" s="16"/>
      <c r="HZK52" s="16"/>
      <c r="HZL52" s="16"/>
      <c r="HZM52" s="16"/>
      <c r="HZN52" s="16"/>
      <c r="HZO52" s="16"/>
      <c r="HZP52" s="16"/>
      <c r="HZQ52" s="16"/>
      <c r="HZR52" s="16"/>
      <c r="HZS52" s="16"/>
      <c r="HZT52" s="16"/>
      <c r="HZU52" s="16"/>
      <c r="HZV52" s="16"/>
      <c r="HZW52" s="16"/>
      <c r="HZX52" s="16"/>
      <c r="HZY52" s="16"/>
      <c r="HZZ52" s="16"/>
      <c r="IAA52" s="16"/>
      <c r="IAB52" s="16"/>
      <c r="IAC52" s="16"/>
      <c r="IAD52" s="16"/>
      <c r="IAE52" s="16"/>
      <c r="IAF52" s="16"/>
      <c r="IAG52" s="16"/>
      <c r="IAH52" s="16"/>
      <c r="IAI52" s="16"/>
      <c r="IAJ52" s="16"/>
      <c r="IAK52" s="16"/>
      <c r="IAL52" s="16"/>
      <c r="IAM52" s="16"/>
      <c r="IAN52" s="16"/>
      <c r="IAO52" s="16"/>
      <c r="IAP52" s="16"/>
      <c r="IAQ52" s="16"/>
      <c r="IAR52" s="16"/>
      <c r="IAS52" s="16"/>
      <c r="IAT52" s="16"/>
      <c r="IAU52" s="16"/>
      <c r="IAV52" s="16"/>
      <c r="IAW52" s="16"/>
      <c r="IAX52" s="16"/>
      <c r="IAY52" s="16"/>
      <c r="IAZ52" s="16"/>
      <c r="IBA52" s="16"/>
      <c r="IBB52" s="16"/>
      <c r="IBC52" s="16"/>
      <c r="IBD52" s="16"/>
      <c r="IBE52" s="16"/>
      <c r="IBF52" s="16"/>
      <c r="IBG52" s="16"/>
      <c r="IBH52" s="16"/>
      <c r="IBI52" s="16"/>
      <c r="IBJ52" s="16"/>
      <c r="IBK52" s="16"/>
      <c r="IBL52" s="16"/>
      <c r="IBM52" s="16"/>
      <c r="IBN52" s="16"/>
      <c r="IBO52" s="16"/>
      <c r="IBP52" s="16"/>
      <c r="IBQ52" s="16"/>
      <c r="IBR52" s="16"/>
      <c r="IBS52" s="16"/>
      <c r="IBT52" s="16"/>
      <c r="IBU52" s="16"/>
      <c r="IBV52" s="16"/>
      <c r="IBW52" s="16"/>
      <c r="IBX52" s="16"/>
      <c r="IBY52" s="16"/>
      <c r="IBZ52" s="16"/>
      <c r="ICA52" s="16"/>
      <c r="ICB52" s="16"/>
      <c r="ICC52" s="16"/>
      <c r="ICD52" s="16"/>
      <c r="ICE52" s="16"/>
      <c r="ICF52" s="16"/>
      <c r="ICG52" s="16"/>
      <c r="ICH52" s="16"/>
      <c r="ICI52" s="16"/>
      <c r="ICJ52" s="16"/>
      <c r="ICK52" s="16"/>
      <c r="ICL52" s="16"/>
      <c r="ICM52" s="16"/>
      <c r="ICN52" s="16"/>
      <c r="ICO52" s="16"/>
      <c r="ICP52" s="16"/>
      <c r="ICQ52" s="16"/>
      <c r="ICR52" s="16"/>
      <c r="ICS52" s="16"/>
      <c r="ICT52" s="16"/>
      <c r="ICU52" s="16"/>
      <c r="ICV52" s="16"/>
      <c r="ICW52" s="16"/>
      <c r="ICX52" s="16"/>
      <c r="ICY52" s="16"/>
      <c r="ICZ52" s="16"/>
      <c r="IDA52" s="16"/>
      <c r="IDB52" s="16"/>
      <c r="IDC52" s="16"/>
      <c r="IDD52" s="16"/>
      <c r="IDE52" s="16"/>
      <c r="IDF52" s="16"/>
      <c r="IDG52" s="16"/>
      <c r="IDH52" s="16"/>
      <c r="IDI52" s="16"/>
      <c r="IDJ52" s="16"/>
      <c r="IDK52" s="16"/>
      <c r="IDL52" s="16"/>
      <c r="IDM52" s="16"/>
      <c r="IDN52" s="16"/>
      <c r="IDO52" s="16"/>
      <c r="IDP52" s="16"/>
      <c r="IDQ52" s="16"/>
      <c r="IDR52" s="16"/>
      <c r="IDS52" s="16"/>
      <c r="IDT52" s="16"/>
      <c r="IDU52" s="16"/>
      <c r="IDV52" s="16"/>
      <c r="IDW52" s="16"/>
      <c r="IDX52" s="16"/>
      <c r="IDY52" s="16"/>
      <c r="IDZ52" s="16"/>
      <c r="IEA52" s="16"/>
      <c r="IEB52" s="16"/>
      <c r="IEC52" s="16"/>
      <c r="IED52" s="16"/>
      <c r="IEE52" s="16"/>
      <c r="IEF52" s="16"/>
      <c r="IEG52" s="16"/>
      <c r="IEH52" s="16"/>
      <c r="IEI52" s="16"/>
      <c r="IEJ52" s="16"/>
      <c r="IEK52" s="16"/>
      <c r="IEL52" s="16"/>
      <c r="IEM52" s="16"/>
      <c r="IEN52" s="16"/>
      <c r="IEO52" s="16"/>
      <c r="IEP52" s="16"/>
      <c r="IEQ52" s="16"/>
      <c r="IER52" s="16"/>
      <c r="IES52" s="16"/>
      <c r="IET52" s="16"/>
      <c r="IEU52" s="16"/>
      <c r="IEV52" s="16"/>
      <c r="IEW52" s="16"/>
      <c r="IEX52" s="16"/>
      <c r="IEY52" s="16"/>
      <c r="IEZ52" s="16"/>
      <c r="IFA52" s="16"/>
      <c r="IFB52" s="16"/>
      <c r="IFC52" s="16"/>
      <c r="IFD52" s="16"/>
      <c r="IFE52" s="16"/>
      <c r="IFF52" s="16"/>
      <c r="IFG52" s="16"/>
      <c r="IFH52" s="16"/>
      <c r="IFI52" s="16"/>
      <c r="IFJ52" s="16"/>
      <c r="IFK52" s="16"/>
      <c r="IFL52" s="16"/>
      <c r="IFM52" s="16"/>
      <c r="IFN52" s="16"/>
      <c r="IFO52" s="16"/>
      <c r="IFP52" s="16"/>
      <c r="IFQ52" s="16"/>
      <c r="IFR52" s="16"/>
      <c r="IFS52" s="16"/>
      <c r="IFT52" s="16"/>
      <c r="IFU52" s="16"/>
      <c r="IFV52" s="16"/>
      <c r="IFW52" s="16"/>
      <c r="IFX52" s="16"/>
      <c r="IFY52" s="16"/>
      <c r="IFZ52" s="16"/>
      <c r="IGA52" s="16"/>
      <c r="IGB52" s="16"/>
      <c r="IGC52" s="16"/>
      <c r="IGD52" s="16"/>
      <c r="IGE52" s="16"/>
      <c r="IGF52" s="16"/>
      <c r="IGG52" s="16"/>
      <c r="IGH52" s="16"/>
      <c r="IGI52" s="16"/>
      <c r="IGJ52" s="16"/>
      <c r="IGK52" s="16"/>
      <c r="IGL52" s="16"/>
      <c r="IGM52" s="16"/>
      <c r="IGN52" s="16"/>
      <c r="IGO52" s="16"/>
      <c r="IGP52" s="16"/>
      <c r="IGQ52" s="16"/>
      <c r="IGR52" s="16"/>
      <c r="IGS52" s="16"/>
      <c r="IGT52" s="16"/>
      <c r="IGU52" s="16"/>
      <c r="IGV52" s="16"/>
      <c r="IGW52" s="16"/>
      <c r="IGX52" s="16"/>
      <c r="IGY52" s="16"/>
      <c r="IGZ52" s="16"/>
      <c r="IHA52" s="16"/>
      <c r="IHB52" s="16"/>
      <c r="IHC52" s="16"/>
      <c r="IHD52" s="16"/>
      <c r="IHE52" s="16"/>
      <c r="IHF52" s="16"/>
      <c r="IHG52" s="16"/>
      <c r="IHH52" s="16"/>
      <c r="IHI52" s="16"/>
      <c r="IHJ52" s="16"/>
      <c r="IHK52" s="16"/>
      <c r="IHL52" s="16"/>
      <c r="IHM52" s="16"/>
      <c r="IHN52" s="16"/>
      <c r="IHO52" s="16"/>
      <c r="IHP52" s="16"/>
      <c r="IHQ52" s="16"/>
      <c r="IHR52" s="16"/>
      <c r="IHS52" s="16"/>
      <c r="IHT52" s="16"/>
      <c r="IHU52" s="16"/>
      <c r="IHV52" s="16"/>
      <c r="IHW52" s="16"/>
      <c r="IHX52" s="16"/>
      <c r="IHY52" s="16"/>
      <c r="IHZ52" s="16"/>
      <c r="IIA52" s="16"/>
      <c r="IIB52" s="16"/>
      <c r="IIC52" s="16"/>
      <c r="IID52" s="16"/>
      <c r="IIE52" s="16"/>
      <c r="IIF52" s="16"/>
      <c r="IIG52" s="16"/>
      <c r="IIH52" s="16"/>
      <c r="III52" s="16"/>
      <c r="IIJ52" s="16"/>
      <c r="IIK52" s="16"/>
      <c r="IIL52" s="16"/>
      <c r="IIM52" s="16"/>
      <c r="IIN52" s="16"/>
      <c r="IIO52" s="16"/>
      <c r="IIP52" s="16"/>
      <c r="IIQ52" s="16"/>
      <c r="IIR52" s="16"/>
      <c r="IIS52" s="16"/>
      <c r="IIT52" s="16"/>
      <c r="IIU52" s="16"/>
      <c r="IIV52" s="16"/>
      <c r="IIW52" s="16"/>
      <c r="IIX52" s="16"/>
      <c r="IIY52" s="16"/>
      <c r="IIZ52" s="16"/>
      <c r="IJA52" s="16"/>
      <c r="IJB52" s="16"/>
      <c r="IJC52" s="16"/>
      <c r="IJD52" s="16"/>
      <c r="IJE52" s="16"/>
      <c r="IJF52" s="16"/>
      <c r="IJG52" s="16"/>
      <c r="IJH52" s="16"/>
      <c r="IJI52" s="16"/>
      <c r="IJJ52" s="16"/>
      <c r="IJK52" s="16"/>
      <c r="IJL52" s="16"/>
      <c r="IJM52" s="16"/>
      <c r="IJN52" s="16"/>
      <c r="IJO52" s="16"/>
      <c r="IJP52" s="16"/>
      <c r="IJQ52" s="16"/>
      <c r="IJR52" s="16"/>
      <c r="IJS52" s="16"/>
      <c r="IJT52" s="16"/>
      <c r="IJU52" s="16"/>
      <c r="IJV52" s="16"/>
      <c r="IJW52" s="16"/>
      <c r="IJX52" s="16"/>
      <c r="IJY52" s="16"/>
      <c r="IJZ52" s="16"/>
      <c r="IKA52" s="16"/>
      <c r="IKB52" s="16"/>
      <c r="IKC52" s="16"/>
      <c r="IKD52" s="16"/>
      <c r="IKE52" s="16"/>
      <c r="IKF52" s="16"/>
      <c r="IKG52" s="16"/>
      <c r="IKH52" s="16"/>
      <c r="IKI52" s="16"/>
      <c r="IKJ52" s="16"/>
      <c r="IKK52" s="16"/>
      <c r="IKL52" s="16"/>
      <c r="IKM52" s="16"/>
      <c r="IKN52" s="16"/>
      <c r="IKO52" s="16"/>
      <c r="IKP52" s="16"/>
      <c r="IKQ52" s="16"/>
      <c r="IKR52" s="16"/>
      <c r="IKS52" s="16"/>
      <c r="IKT52" s="16"/>
      <c r="IKU52" s="16"/>
      <c r="IKV52" s="16"/>
      <c r="IKW52" s="16"/>
      <c r="IKX52" s="16"/>
      <c r="IKY52" s="16"/>
      <c r="IKZ52" s="16"/>
      <c r="ILA52" s="16"/>
      <c r="ILB52" s="16"/>
      <c r="ILC52" s="16"/>
      <c r="ILD52" s="16"/>
      <c r="ILE52" s="16"/>
      <c r="ILF52" s="16"/>
      <c r="ILG52" s="16"/>
      <c r="ILH52" s="16"/>
      <c r="ILI52" s="16"/>
      <c r="ILJ52" s="16"/>
      <c r="ILK52" s="16"/>
      <c r="ILL52" s="16"/>
      <c r="ILM52" s="16"/>
      <c r="ILN52" s="16"/>
      <c r="ILO52" s="16"/>
      <c r="ILP52" s="16"/>
      <c r="ILQ52" s="16"/>
      <c r="ILR52" s="16"/>
      <c r="ILS52" s="16"/>
      <c r="ILT52" s="16"/>
      <c r="ILU52" s="16"/>
      <c r="ILV52" s="16"/>
      <c r="ILW52" s="16"/>
      <c r="ILX52" s="16"/>
      <c r="ILY52" s="16"/>
      <c r="ILZ52" s="16"/>
      <c r="IMA52" s="16"/>
      <c r="IMB52" s="16"/>
      <c r="IMC52" s="16"/>
      <c r="IMD52" s="16"/>
      <c r="IME52" s="16"/>
      <c r="IMF52" s="16"/>
      <c r="IMG52" s="16"/>
      <c r="IMH52" s="16"/>
      <c r="IMI52" s="16"/>
      <c r="IMJ52" s="16"/>
      <c r="IMK52" s="16"/>
      <c r="IML52" s="16"/>
      <c r="IMM52" s="16"/>
      <c r="IMN52" s="16"/>
      <c r="IMO52" s="16"/>
      <c r="IMP52" s="16"/>
      <c r="IMQ52" s="16"/>
      <c r="IMR52" s="16"/>
      <c r="IMS52" s="16"/>
      <c r="IMT52" s="16"/>
      <c r="IMU52" s="16"/>
      <c r="IMV52" s="16"/>
      <c r="IMW52" s="16"/>
      <c r="IMX52" s="16"/>
      <c r="IMY52" s="16"/>
      <c r="IMZ52" s="16"/>
      <c r="INA52" s="16"/>
      <c r="INB52" s="16"/>
      <c r="INC52" s="16"/>
      <c r="IND52" s="16"/>
      <c r="INE52" s="16"/>
      <c r="INF52" s="16"/>
      <c r="ING52" s="16"/>
      <c r="INH52" s="16"/>
      <c r="INI52" s="16"/>
      <c r="INJ52" s="16"/>
      <c r="INK52" s="16"/>
      <c r="INL52" s="16"/>
      <c r="INM52" s="16"/>
      <c r="INN52" s="16"/>
      <c r="INO52" s="16"/>
      <c r="INP52" s="16"/>
      <c r="INQ52" s="16"/>
      <c r="INR52" s="16"/>
      <c r="INS52" s="16"/>
      <c r="INT52" s="16"/>
      <c r="INU52" s="16"/>
      <c r="INV52" s="16"/>
      <c r="INW52" s="16"/>
      <c r="INX52" s="16"/>
      <c r="INY52" s="16"/>
      <c r="INZ52" s="16"/>
      <c r="IOA52" s="16"/>
      <c r="IOB52" s="16"/>
      <c r="IOC52" s="16"/>
      <c r="IOD52" s="16"/>
      <c r="IOE52" s="16"/>
      <c r="IOF52" s="16"/>
      <c r="IOG52" s="16"/>
      <c r="IOH52" s="16"/>
      <c r="IOI52" s="16"/>
      <c r="IOJ52" s="16"/>
      <c r="IOK52" s="16"/>
      <c r="IOL52" s="16"/>
      <c r="IOM52" s="16"/>
      <c r="ION52" s="16"/>
      <c r="IOO52" s="16"/>
      <c r="IOP52" s="16"/>
      <c r="IOQ52" s="16"/>
      <c r="IOR52" s="16"/>
      <c r="IOS52" s="16"/>
      <c r="IOT52" s="16"/>
      <c r="IOU52" s="16"/>
      <c r="IOV52" s="16"/>
      <c r="IOW52" s="16"/>
      <c r="IOX52" s="16"/>
      <c r="IOY52" s="16"/>
      <c r="IOZ52" s="16"/>
      <c r="IPA52" s="16"/>
      <c r="IPB52" s="16"/>
      <c r="IPC52" s="16"/>
      <c r="IPD52" s="16"/>
      <c r="IPE52" s="16"/>
      <c r="IPF52" s="16"/>
      <c r="IPG52" s="16"/>
      <c r="IPH52" s="16"/>
      <c r="IPI52" s="16"/>
      <c r="IPJ52" s="16"/>
      <c r="IPK52" s="16"/>
      <c r="IPL52" s="16"/>
      <c r="IPM52" s="16"/>
      <c r="IPN52" s="16"/>
      <c r="IPO52" s="16"/>
      <c r="IPP52" s="16"/>
      <c r="IPQ52" s="16"/>
      <c r="IPR52" s="16"/>
      <c r="IPS52" s="16"/>
      <c r="IPT52" s="16"/>
      <c r="IPU52" s="16"/>
      <c r="IPV52" s="16"/>
      <c r="IPW52" s="16"/>
      <c r="IPX52" s="16"/>
      <c r="IPY52" s="16"/>
      <c r="IPZ52" s="16"/>
      <c r="IQA52" s="16"/>
      <c r="IQB52" s="16"/>
      <c r="IQC52" s="16"/>
      <c r="IQD52" s="16"/>
      <c r="IQE52" s="16"/>
      <c r="IQF52" s="16"/>
      <c r="IQG52" s="16"/>
      <c r="IQH52" s="16"/>
      <c r="IQI52" s="16"/>
      <c r="IQJ52" s="16"/>
      <c r="IQK52" s="16"/>
      <c r="IQL52" s="16"/>
      <c r="IQM52" s="16"/>
      <c r="IQN52" s="16"/>
      <c r="IQO52" s="16"/>
      <c r="IQP52" s="16"/>
      <c r="IQQ52" s="16"/>
      <c r="IQR52" s="16"/>
      <c r="IQS52" s="16"/>
      <c r="IQT52" s="16"/>
      <c r="IQU52" s="16"/>
      <c r="IQV52" s="16"/>
      <c r="IQW52" s="16"/>
      <c r="IQX52" s="16"/>
      <c r="IQY52" s="16"/>
      <c r="IQZ52" s="16"/>
      <c r="IRA52" s="16"/>
      <c r="IRB52" s="16"/>
      <c r="IRC52" s="16"/>
      <c r="IRD52" s="16"/>
      <c r="IRE52" s="16"/>
      <c r="IRF52" s="16"/>
      <c r="IRG52" s="16"/>
      <c r="IRH52" s="16"/>
      <c r="IRI52" s="16"/>
      <c r="IRJ52" s="16"/>
      <c r="IRK52" s="16"/>
      <c r="IRL52" s="16"/>
      <c r="IRM52" s="16"/>
      <c r="IRN52" s="16"/>
      <c r="IRO52" s="16"/>
      <c r="IRP52" s="16"/>
      <c r="IRQ52" s="16"/>
      <c r="IRR52" s="16"/>
      <c r="IRS52" s="16"/>
      <c r="IRT52" s="16"/>
      <c r="IRU52" s="16"/>
      <c r="IRV52" s="16"/>
      <c r="IRW52" s="16"/>
      <c r="IRX52" s="16"/>
      <c r="IRY52" s="16"/>
      <c r="IRZ52" s="16"/>
      <c r="ISA52" s="16"/>
      <c r="ISB52" s="16"/>
      <c r="ISC52" s="16"/>
      <c r="ISD52" s="16"/>
      <c r="ISE52" s="16"/>
      <c r="ISF52" s="16"/>
      <c r="ISG52" s="16"/>
      <c r="ISH52" s="16"/>
      <c r="ISI52" s="16"/>
      <c r="ISJ52" s="16"/>
      <c r="ISK52" s="16"/>
      <c r="ISL52" s="16"/>
      <c r="ISM52" s="16"/>
      <c r="ISN52" s="16"/>
      <c r="ISO52" s="16"/>
      <c r="ISP52" s="16"/>
      <c r="ISQ52" s="16"/>
      <c r="ISR52" s="16"/>
      <c r="ISS52" s="16"/>
      <c r="IST52" s="16"/>
      <c r="ISU52" s="16"/>
      <c r="ISV52" s="16"/>
      <c r="ISW52" s="16"/>
      <c r="ISX52" s="16"/>
      <c r="ISY52" s="16"/>
      <c r="ISZ52" s="16"/>
      <c r="ITA52" s="16"/>
      <c r="ITB52" s="16"/>
      <c r="ITC52" s="16"/>
      <c r="ITD52" s="16"/>
      <c r="ITE52" s="16"/>
      <c r="ITF52" s="16"/>
      <c r="ITG52" s="16"/>
      <c r="ITH52" s="16"/>
      <c r="ITI52" s="16"/>
      <c r="ITJ52" s="16"/>
      <c r="ITK52" s="16"/>
      <c r="ITL52" s="16"/>
      <c r="ITM52" s="16"/>
      <c r="ITN52" s="16"/>
      <c r="ITO52" s="16"/>
      <c r="ITP52" s="16"/>
      <c r="ITQ52" s="16"/>
      <c r="ITR52" s="16"/>
      <c r="ITS52" s="16"/>
      <c r="ITT52" s="16"/>
      <c r="ITU52" s="16"/>
      <c r="ITV52" s="16"/>
      <c r="ITW52" s="16"/>
      <c r="ITX52" s="16"/>
      <c r="ITY52" s="16"/>
      <c r="ITZ52" s="16"/>
      <c r="IUA52" s="16"/>
      <c r="IUB52" s="16"/>
      <c r="IUC52" s="16"/>
      <c r="IUD52" s="16"/>
      <c r="IUE52" s="16"/>
      <c r="IUF52" s="16"/>
      <c r="IUG52" s="16"/>
      <c r="IUH52" s="16"/>
      <c r="IUI52" s="16"/>
      <c r="IUJ52" s="16"/>
      <c r="IUK52" s="16"/>
      <c r="IUL52" s="16"/>
      <c r="IUM52" s="16"/>
      <c r="IUN52" s="16"/>
      <c r="IUO52" s="16"/>
      <c r="IUP52" s="16"/>
      <c r="IUQ52" s="16"/>
      <c r="IUR52" s="16"/>
      <c r="IUS52" s="16"/>
      <c r="IUT52" s="16"/>
      <c r="IUU52" s="16"/>
      <c r="IUV52" s="16"/>
      <c r="IUW52" s="16"/>
      <c r="IUX52" s="16"/>
      <c r="IUY52" s="16"/>
      <c r="IUZ52" s="16"/>
      <c r="IVA52" s="16"/>
      <c r="IVB52" s="16"/>
      <c r="IVC52" s="16"/>
      <c r="IVD52" s="16"/>
      <c r="IVE52" s="16"/>
      <c r="IVF52" s="16"/>
      <c r="IVG52" s="16"/>
      <c r="IVH52" s="16"/>
      <c r="IVI52" s="16"/>
      <c r="IVJ52" s="16"/>
      <c r="IVK52" s="16"/>
      <c r="IVL52" s="16"/>
      <c r="IVM52" s="16"/>
      <c r="IVN52" s="16"/>
      <c r="IVO52" s="16"/>
      <c r="IVP52" s="16"/>
      <c r="IVQ52" s="16"/>
      <c r="IVR52" s="16"/>
      <c r="IVS52" s="16"/>
      <c r="IVT52" s="16"/>
      <c r="IVU52" s="16"/>
      <c r="IVV52" s="16"/>
      <c r="IVW52" s="16"/>
      <c r="IVX52" s="16"/>
      <c r="IVY52" s="16"/>
      <c r="IVZ52" s="16"/>
      <c r="IWA52" s="16"/>
      <c r="IWB52" s="16"/>
      <c r="IWC52" s="16"/>
      <c r="IWD52" s="16"/>
      <c r="IWE52" s="16"/>
      <c r="IWF52" s="16"/>
      <c r="IWG52" s="16"/>
      <c r="IWH52" s="16"/>
      <c r="IWI52" s="16"/>
      <c r="IWJ52" s="16"/>
      <c r="IWK52" s="16"/>
      <c r="IWL52" s="16"/>
      <c r="IWM52" s="16"/>
      <c r="IWN52" s="16"/>
      <c r="IWO52" s="16"/>
      <c r="IWP52" s="16"/>
      <c r="IWQ52" s="16"/>
      <c r="IWR52" s="16"/>
      <c r="IWS52" s="16"/>
      <c r="IWT52" s="16"/>
      <c r="IWU52" s="16"/>
      <c r="IWV52" s="16"/>
      <c r="IWW52" s="16"/>
      <c r="IWX52" s="16"/>
      <c r="IWY52" s="16"/>
      <c r="IWZ52" s="16"/>
      <c r="IXA52" s="16"/>
      <c r="IXB52" s="16"/>
      <c r="IXC52" s="16"/>
      <c r="IXD52" s="16"/>
      <c r="IXE52" s="16"/>
      <c r="IXF52" s="16"/>
      <c r="IXG52" s="16"/>
      <c r="IXH52" s="16"/>
      <c r="IXI52" s="16"/>
      <c r="IXJ52" s="16"/>
      <c r="IXK52" s="16"/>
      <c r="IXL52" s="16"/>
      <c r="IXM52" s="16"/>
      <c r="IXN52" s="16"/>
      <c r="IXO52" s="16"/>
      <c r="IXP52" s="16"/>
      <c r="IXQ52" s="16"/>
      <c r="IXR52" s="16"/>
      <c r="IXS52" s="16"/>
      <c r="IXT52" s="16"/>
      <c r="IXU52" s="16"/>
      <c r="IXV52" s="16"/>
      <c r="IXW52" s="16"/>
      <c r="IXX52" s="16"/>
      <c r="IXY52" s="16"/>
      <c r="IXZ52" s="16"/>
      <c r="IYA52" s="16"/>
      <c r="IYB52" s="16"/>
      <c r="IYC52" s="16"/>
      <c r="IYD52" s="16"/>
      <c r="IYE52" s="16"/>
      <c r="IYF52" s="16"/>
      <c r="IYG52" s="16"/>
      <c r="IYH52" s="16"/>
      <c r="IYI52" s="16"/>
      <c r="IYJ52" s="16"/>
      <c r="IYK52" s="16"/>
      <c r="IYL52" s="16"/>
      <c r="IYM52" s="16"/>
      <c r="IYN52" s="16"/>
      <c r="IYO52" s="16"/>
      <c r="IYP52" s="16"/>
      <c r="IYQ52" s="16"/>
      <c r="IYR52" s="16"/>
      <c r="IYS52" s="16"/>
      <c r="IYT52" s="16"/>
      <c r="IYU52" s="16"/>
      <c r="IYV52" s="16"/>
      <c r="IYW52" s="16"/>
      <c r="IYX52" s="16"/>
      <c r="IYY52" s="16"/>
      <c r="IYZ52" s="16"/>
      <c r="IZA52" s="16"/>
      <c r="IZB52" s="16"/>
      <c r="IZC52" s="16"/>
      <c r="IZD52" s="16"/>
      <c r="IZE52" s="16"/>
      <c r="IZF52" s="16"/>
      <c r="IZG52" s="16"/>
      <c r="IZH52" s="16"/>
      <c r="IZI52" s="16"/>
      <c r="IZJ52" s="16"/>
      <c r="IZK52" s="16"/>
      <c r="IZL52" s="16"/>
      <c r="IZM52" s="16"/>
      <c r="IZN52" s="16"/>
      <c r="IZO52" s="16"/>
      <c r="IZP52" s="16"/>
      <c r="IZQ52" s="16"/>
      <c r="IZR52" s="16"/>
      <c r="IZS52" s="16"/>
      <c r="IZT52" s="16"/>
      <c r="IZU52" s="16"/>
      <c r="IZV52" s="16"/>
      <c r="IZW52" s="16"/>
      <c r="IZX52" s="16"/>
      <c r="IZY52" s="16"/>
      <c r="IZZ52" s="16"/>
      <c r="JAA52" s="16"/>
      <c r="JAB52" s="16"/>
      <c r="JAC52" s="16"/>
      <c r="JAD52" s="16"/>
      <c r="JAE52" s="16"/>
      <c r="JAF52" s="16"/>
      <c r="JAG52" s="16"/>
      <c r="JAH52" s="16"/>
      <c r="JAI52" s="16"/>
      <c r="JAJ52" s="16"/>
      <c r="JAK52" s="16"/>
      <c r="JAL52" s="16"/>
      <c r="JAM52" s="16"/>
      <c r="JAN52" s="16"/>
      <c r="JAO52" s="16"/>
      <c r="JAP52" s="16"/>
      <c r="JAQ52" s="16"/>
      <c r="JAR52" s="16"/>
      <c r="JAS52" s="16"/>
      <c r="JAT52" s="16"/>
      <c r="JAU52" s="16"/>
      <c r="JAV52" s="16"/>
      <c r="JAW52" s="16"/>
      <c r="JAX52" s="16"/>
      <c r="JAY52" s="16"/>
      <c r="JAZ52" s="16"/>
      <c r="JBA52" s="16"/>
      <c r="JBB52" s="16"/>
      <c r="JBC52" s="16"/>
      <c r="JBD52" s="16"/>
      <c r="JBE52" s="16"/>
      <c r="JBF52" s="16"/>
      <c r="JBG52" s="16"/>
      <c r="JBH52" s="16"/>
      <c r="JBI52" s="16"/>
      <c r="JBJ52" s="16"/>
      <c r="JBK52" s="16"/>
      <c r="JBL52" s="16"/>
      <c r="JBM52" s="16"/>
      <c r="JBN52" s="16"/>
      <c r="JBO52" s="16"/>
      <c r="JBP52" s="16"/>
      <c r="JBQ52" s="16"/>
      <c r="JBR52" s="16"/>
      <c r="JBS52" s="16"/>
      <c r="JBT52" s="16"/>
      <c r="JBU52" s="16"/>
      <c r="JBV52" s="16"/>
      <c r="JBW52" s="16"/>
      <c r="JBX52" s="16"/>
      <c r="JBY52" s="16"/>
      <c r="JBZ52" s="16"/>
      <c r="JCA52" s="16"/>
      <c r="JCB52" s="16"/>
      <c r="JCC52" s="16"/>
      <c r="JCD52" s="16"/>
      <c r="JCE52" s="16"/>
      <c r="JCF52" s="16"/>
      <c r="JCG52" s="16"/>
      <c r="JCH52" s="16"/>
      <c r="JCI52" s="16"/>
      <c r="JCJ52" s="16"/>
      <c r="JCK52" s="16"/>
      <c r="JCL52" s="16"/>
      <c r="JCM52" s="16"/>
      <c r="JCN52" s="16"/>
      <c r="JCO52" s="16"/>
      <c r="JCP52" s="16"/>
      <c r="JCQ52" s="16"/>
      <c r="JCR52" s="16"/>
      <c r="JCS52" s="16"/>
      <c r="JCT52" s="16"/>
      <c r="JCU52" s="16"/>
      <c r="JCV52" s="16"/>
      <c r="JCW52" s="16"/>
      <c r="JCX52" s="16"/>
      <c r="JCY52" s="16"/>
      <c r="JCZ52" s="16"/>
      <c r="JDA52" s="16"/>
      <c r="JDB52" s="16"/>
      <c r="JDC52" s="16"/>
      <c r="JDD52" s="16"/>
      <c r="JDE52" s="16"/>
      <c r="JDF52" s="16"/>
      <c r="JDG52" s="16"/>
      <c r="JDH52" s="16"/>
      <c r="JDI52" s="16"/>
      <c r="JDJ52" s="16"/>
      <c r="JDK52" s="16"/>
      <c r="JDL52" s="16"/>
      <c r="JDM52" s="16"/>
      <c r="JDN52" s="16"/>
      <c r="JDO52" s="16"/>
      <c r="JDP52" s="16"/>
      <c r="JDQ52" s="16"/>
      <c r="JDR52" s="16"/>
      <c r="JDS52" s="16"/>
      <c r="JDT52" s="16"/>
      <c r="JDU52" s="16"/>
      <c r="JDV52" s="16"/>
      <c r="JDW52" s="16"/>
      <c r="JDX52" s="16"/>
      <c r="JDY52" s="16"/>
      <c r="JDZ52" s="16"/>
      <c r="JEA52" s="16"/>
      <c r="JEB52" s="16"/>
      <c r="JEC52" s="16"/>
      <c r="JED52" s="16"/>
      <c r="JEE52" s="16"/>
      <c r="JEF52" s="16"/>
      <c r="JEG52" s="16"/>
      <c r="JEH52" s="16"/>
      <c r="JEI52" s="16"/>
      <c r="JEJ52" s="16"/>
      <c r="JEK52" s="16"/>
      <c r="JEL52" s="16"/>
      <c r="JEM52" s="16"/>
      <c r="JEN52" s="16"/>
      <c r="JEO52" s="16"/>
      <c r="JEP52" s="16"/>
      <c r="JEQ52" s="16"/>
      <c r="JER52" s="16"/>
      <c r="JES52" s="16"/>
      <c r="JET52" s="16"/>
      <c r="JEU52" s="16"/>
      <c r="JEV52" s="16"/>
      <c r="JEW52" s="16"/>
      <c r="JEX52" s="16"/>
      <c r="JEY52" s="16"/>
      <c r="JEZ52" s="16"/>
      <c r="JFA52" s="16"/>
      <c r="JFB52" s="16"/>
      <c r="JFC52" s="16"/>
      <c r="JFD52" s="16"/>
      <c r="JFE52" s="16"/>
      <c r="JFF52" s="16"/>
      <c r="JFG52" s="16"/>
      <c r="JFH52" s="16"/>
      <c r="JFI52" s="16"/>
      <c r="JFJ52" s="16"/>
      <c r="JFK52" s="16"/>
      <c r="JFL52" s="16"/>
      <c r="JFM52" s="16"/>
      <c r="JFN52" s="16"/>
      <c r="JFO52" s="16"/>
      <c r="JFP52" s="16"/>
      <c r="JFQ52" s="16"/>
      <c r="JFR52" s="16"/>
      <c r="JFS52" s="16"/>
      <c r="JFT52" s="16"/>
      <c r="JFU52" s="16"/>
      <c r="JFV52" s="16"/>
      <c r="JFW52" s="16"/>
      <c r="JFX52" s="16"/>
      <c r="JFY52" s="16"/>
      <c r="JFZ52" s="16"/>
      <c r="JGA52" s="16"/>
      <c r="JGB52" s="16"/>
      <c r="JGC52" s="16"/>
      <c r="JGD52" s="16"/>
      <c r="JGE52" s="16"/>
      <c r="JGF52" s="16"/>
      <c r="JGG52" s="16"/>
      <c r="JGH52" s="16"/>
      <c r="JGI52" s="16"/>
      <c r="JGJ52" s="16"/>
      <c r="JGK52" s="16"/>
      <c r="JGL52" s="16"/>
      <c r="JGM52" s="16"/>
      <c r="JGN52" s="16"/>
      <c r="JGO52" s="16"/>
      <c r="JGP52" s="16"/>
      <c r="JGQ52" s="16"/>
      <c r="JGR52" s="16"/>
      <c r="JGS52" s="16"/>
      <c r="JGT52" s="16"/>
      <c r="JGU52" s="16"/>
      <c r="JGV52" s="16"/>
      <c r="JGW52" s="16"/>
      <c r="JGX52" s="16"/>
      <c r="JGY52" s="16"/>
      <c r="JGZ52" s="16"/>
      <c r="JHA52" s="16"/>
      <c r="JHB52" s="16"/>
      <c r="JHC52" s="16"/>
      <c r="JHD52" s="16"/>
      <c r="JHE52" s="16"/>
      <c r="JHF52" s="16"/>
      <c r="JHG52" s="16"/>
      <c r="JHH52" s="16"/>
      <c r="JHI52" s="16"/>
      <c r="JHJ52" s="16"/>
      <c r="JHK52" s="16"/>
      <c r="JHL52" s="16"/>
      <c r="JHM52" s="16"/>
      <c r="JHN52" s="16"/>
      <c r="JHO52" s="16"/>
      <c r="JHP52" s="16"/>
      <c r="JHQ52" s="16"/>
      <c r="JHR52" s="16"/>
      <c r="JHS52" s="16"/>
      <c r="JHT52" s="16"/>
      <c r="JHU52" s="16"/>
      <c r="JHV52" s="16"/>
      <c r="JHW52" s="16"/>
      <c r="JHX52" s="16"/>
      <c r="JHY52" s="16"/>
      <c r="JHZ52" s="16"/>
      <c r="JIA52" s="16"/>
      <c r="JIB52" s="16"/>
      <c r="JIC52" s="16"/>
      <c r="JID52" s="16"/>
      <c r="JIE52" s="16"/>
      <c r="JIF52" s="16"/>
      <c r="JIG52" s="16"/>
      <c r="JIH52" s="16"/>
      <c r="JII52" s="16"/>
      <c r="JIJ52" s="16"/>
      <c r="JIK52" s="16"/>
      <c r="JIL52" s="16"/>
      <c r="JIM52" s="16"/>
      <c r="JIN52" s="16"/>
      <c r="JIO52" s="16"/>
      <c r="JIP52" s="16"/>
      <c r="JIQ52" s="16"/>
      <c r="JIR52" s="16"/>
      <c r="JIS52" s="16"/>
      <c r="JIT52" s="16"/>
      <c r="JIU52" s="16"/>
      <c r="JIV52" s="16"/>
      <c r="JIW52" s="16"/>
      <c r="JIX52" s="16"/>
      <c r="JIY52" s="16"/>
      <c r="JIZ52" s="16"/>
      <c r="JJA52" s="16"/>
      <c r="JJB52" s="16"/>
      <c r="JJC52" s="16"/>
      <c r="JJD52" s="16"/>
      <c r="JJE52" s="16"/>
      <c r="JJF52" s="16"/>
      <c r="JJG52" s="16"/>
      <c r="JJH52" s="16"/>
      <c r="JJI52" s="16"/>
      <c r="JJJ52" s="16"/>
      <c r="JJK52" s="16"/>
      <c r="JJL52" s="16"/>
      <c r="JJM52" s="16"/>
      <c r="JJN52" s="16"/>
      <c r="JJO52" s="16"/>
      <c r="JJP52" s="16"/>
      <c r="JJQ52" s="16"/>
      <c r="JJR52" s="16"/>
      <c r="JJS52" s="16"/>
      <c r="JJT52" s="16"/>
      <c r="JJU52" s="16"/>
      <c r="JJV52" s="16"/>
      <c r="JJW52" s="16"/>
      <c r="JJX52" s="16"/>
      <c r="JJY52" s="16"/>
      <c r="JJZ52" s="16"/>
      <c r="JKA52" s="16"/>
      <c r="JKB52" s="16"/>
      <c r="JKC52" s="16"/>
      <c r="JKD52" s="16"/>
      <c r="JKE52" s="16"/>
      <c r="JKF52" s="16"/>
      <c r="JKG52" s="16"/>
      <c r="JKH52" s="16"/>
      <c r="JKI52" s="16"/>
      <c r="JKJ52" s="16"/>
      <c r="JKK52" s="16"/>
      <c r="JKL52" s="16"/>
      <c r="JKM52" s="16"/>
      <c r="JKN52" s="16"/>
      <c r="JKO52" s="16"/>
      <c r="JKP52" s="16"/>
      <c r="JKQ52" s="16"/>
      <c r="JKR52" s="16"/>
      <c r="JKS52" s="16"/>
      <c r="JKT52" s="16"/>
      <c r="JKU52" s="16"/>
      <c r="JKV52" s="16"/>
      <c r="JKW52" s="16"/>
      <c r="JKX52" s="16"/>
      <c r="JKY52" s="16"/>
      <c r="JKZ52" s="16"/>
      <c r="JLA52" s="16"/>
      <c r="JLB52" s="16"/>
      <c r="JLC52" s="16"/>
      <c r="JLD52" s="16"/>
      <c r="JLE52" s="16"/>
      <c r="JLF52" s="16"/>
      <c r="JLG52" s="16"/>
      <c r="JLH52" s="16"/>
      <c r="JLI52" s="16"/>
      <c r="JLJ52" s="16"/>
      <c r="JLK52" s="16"/>
      <c r="JLL52" s="16"/>
      <c r="JLM52" s="16"/>
      <c r="JLN52" s="16"/>
      <c r="JLO52" s="16"/>
      <c r="JLP52" s="16"/>
      <c r="JLQ52" s="16"/>
      <c r="JLR52" s="16"/>
      <c r="JLS52" s="16"/>
      <c r="JLT52" s="16"/>
      <c r="JLU52" s="16"/>
      <c r="JLV52" s="16"/>
      <c r="JLW52" s="16"/>
      <c r="JLX52" s="16"/>
      <c r="JLY52" s="16"/>
      <c r="JLZ52" s="16"/>
      <c r="JMA52" s="16"/>
      <c r="JMB52" s="16"/>
      <c r="JMC52" s="16"/>
      <c r="JMD52" s="16"/>
      <c r="JME52" s="16"/>
      <c r="JMF52" s="16"/>
      <c r="JMG52" s="16"/>
      <c r="JMH52" s="16"/>
      <c r="JMI52" s="16"/>
      <c r="JMJ52" s="16"/>
      <c r="JMK52" s="16"/>
      <c r="JML52" s="16"/>
      <c r="JMM52" s="16"/>
      <c r="JMN52" s="16"/>
      <c r="JMO52" s="16"/>
      <c r="JMP52" s="16"/>
      <c r="JMQ52" s="16"/>
      <c r="JMR52" s="16"/>
      <c r="JMS52" s="16"/>
      <c r="JMT52" s="16"/>
      <c r="JMU52" s="16"/>
      <c r="JMV52" s="16"/>
      <c r="JMW52" s="16"/>
      <c r="JMX52" s="16"/>
      <c r="JMY52" s="16"/>
      <c r="JMZ52" s="16"/>
      <c r="JNA52" s="16"/>
      <c r="JNB52" s="16"/>
      <c r="JNC52" s="16"/>
      <c r="JND52" s="16"/>
      <c r="JNE52" s="16"/>
      <c r="JNF52" s="16"/>
      <c r="JNG52" s="16"/>
      <c r="JNH52" s="16"/>
      <c r="JNI52" s="16"/>
      <c r="JNJ52" s="16"/>
      <c r="JNK52" s="16"/>
      <c r="JNL52" s="16"/>
      <c r="JNM52" s="16"/>
      <c r="JNN52" s="16"/>
      <c r="JNO52" s="16"/>
      <c r="JNP52" s="16"/>
      <c r="JNQ52" s="16"/>
      <c r="JNR52" s="16"/>
      <c r="JNS52" s="16"/>
      <c r="JNT52" s="16"/>
      <c r="JNU52" s="16"/>
      <c r="JNV52" s="16"/>
      <c r="JNW52" s="16"/>
      <c r="JNX52" s="16"/>
      <c r="JNY52" s="16"/>
      <c r="JNZ52" s="16"/>
      <c r="JOA52" s="16"/>
      <c r="JOB52" s="16"/>
      <c r="JOC52" s="16"/>
      <c r="JOD52" s="16"/>
      <c r="JOE52" s="16"/>
      <c r="JOF52" s="16"/>
      <c r="JOG52" s="16"/>
      <c r="JOH52" s="16"/>
      <c r="JOI52" s="16"/>
      <c r="JOJ52" s="16"/>
      <c r="JOK52" s="16"/>
      <c r="JOL52" s="16"/>
      <c r="JOM52" s="16"/>
      <c r="JON52" s="16"/>
      <c r="JOO52" s="16"/>
      <c r="JOP52" s="16"/>
      <c r="JOQ52" s="16"/>
      <c r="JOR52" s="16"/>
      <c r="JOS52" s="16"/>
      <c r="JOT52" s="16"/>
      <c r="JOU52" s="16"/>
      <c r="JOV52" s="16"/>
      <c r="JOW52" s="16"/>
      <c r="JOX52" s="16"/>
      <c r="JOY52" s="16"/>
      <c r="JOZ52" s="16"/>
      <c r="JPA52" s="16"/>
      <c r="JPB52" s="16"/>
      <c r="JPC52" s="16"/>
      <c r="JPD52" s="16"/>
      <c r="JPE52" s="16"/>
      <c r="JPF52" s="16"/>
      <c r="JPG52" s="16"/>
      <c r="JPH52" s="16"/>
      <c r="JPI52" s="16"/>
      <c r="JPJ52" s="16"/>
      <c r="JPK52" s="16"/>
      <c r="JPL52" s="16"/>
      <c r="JPM52" s="16"/>
      <c r="JPN52" s="16"/>
      <c r="JPO52" s="16"/>
      <c r="JPP52" s="16"/>
      <c r="JPQ52" s="16"/>
      <c r="JPR52" s="16"/>
      <c r="JPS52" s="16"/>
      <c r="JPT52" s="16"/>
      <c r="JPU52" s="16"/>
      <c r="JPV52" s="16"/>
      <c r="JPW52" s="16"/>
      <c r="JPX52" s="16"/>
      <c r="JPY52" s="16"/>
      <c r="JPZ52" s="16"/>
      <c r="JQA52" s="16"/>
      <c r="JQB52" s="16"/>
      <c r="JQC52" s="16"/>
      <c r="JQD52" s="16"/>
      <c r="JQE52" s="16"/>
      <c r="JQF52" s="16"/>
      <c r="JQG52" s="16"/>
      <c r="JQH52" s="16"/>
      <c r="JQI52" s="16"/>
      <c r="JQJ52" s="16"/>
      <c r="JQK52" s="16"/>
      <c r="JQL52" s="16"/>
      <c r="JQM52" s="16"/>
      <c r="JQN52" s="16"/>
      <c r="JQO52" s="16"/>
      <c r="JQP52" s="16"/>
      <c r="JQQ52" s="16"/>
      <c r="JQR52" s="16"/>
      <c r="JQS52" s="16"/>
      <c r="JQT52" s="16"/>
      <c r="JQU52" s="16"/>
      <c r="JQV52" s="16"/>
      <c r="JQW52" s="16"/>
      <c r="JQX52" s="16"/>
      <c r="JQY52" s="16"/>
      <c r="JQZ52" s="16"/>
      <c r="JRA52" s="16"/>
      <c r="JRB52" s="16"/>
      <c r="JRC52" s="16"/>
      <c r="JRD52" s="16"/>
      <c r="JRE52" s="16"/>
      <c r="JRF52" s="16"/>
      <c r="JRG52" s="16"/>
      <c r="JRH52" s="16"/>
      <c r="JRI52" s="16"/>
      <c r="JRJ52" s="16"/>
      <c r="JRK52" s="16"/>
      <c r="JRL52" s="16"/>
      <c r="JRM52" s="16"/>
      <c r="JRN52" s="16"/>
      <c r="JRO52" s="16"/>
      <c r="JRP52" s="16"/>
      <c r="JRQ52" s="16"/>
      <c r="JRR52" s="16"/>
      <c r="JRS52" s="16"/>
      <c r="JRT52" s="16"/>
      <c r="JRU52" s="16"/>
      <c r="JRV52" s="16"/>
      <c r="JRW52" s="16"/>
      <c r="JRX52" s="16"/>
      <c r="JRY52" s="16"/>
      <c r="JRZ52" s="16"/>
      <c r="JSA52" s="16"/>
      <c r="JSB52" s="16"/>
      <c r="JSC52" s="16"/>
      <c r="JSD52" s="16"/>
      <c r="JSE52" s="16"/>
      <c r="JSF52" s="16"/>
      <c r="JSG52" s="16"/>
      <c r="JSH52" s="16"/>
      <c r="JSI52" s="16"/>
      <c r="JSJ52" s="16"/>
      <c r="JSK52" s="16"/>
      <c r="JSL52" s="16"/>
      <c r="JSM52" s="16"/>
      <c r="JSN52" s="16"/>
      <c r="JSO52" s="16"/>
      <c r="JSP52" s="16"/>
      <c r="JSQ52" s="16"/>
      <c r="JSR52" s="16"/>
      <c r="JSS52" s="16"/>
      <c r="JST52" s="16"/>
      <c r="JSU52" s="16"/>
      <c r="JSV52" s="16"/>
      <c r="JSW52" s="16"/>
      <c r="JSX52" s="16"/>
      <c r="JSY52" s="16"/>
      <c r="JSZ52" s="16"/>
      <c r="JTA52" s="16"/>
      <c r="JTB52" s="16"/>
      <c r="JTC52" s="16"/>
      <c r="JTD52" s="16"/>
      <c r="JTE52" s="16"/>
      <c r="JTF52" s="16"/>
      <c r="JTG52" s="16"/>
      <c r="JTH52" s="16"/>
      <c r="JTI52" s="16"/>
      <c r="JTJ52" s="16"/>
      <c r="JTK52" s="16"/>
      <c r="JTL52" s="16"/>
      <c r="JTM52" s="16"/>
      <c r="JTN52" s="16"/>
      <c r="JTO52" s="16"/>
      <c r="JTP52" s="16"/>
      <c r="JTQ52" s="16"/>
      <c r="JTR52" s="16"/>
      <c r="JTS52" s="16"/>
      <c r="JTT52" s="16"/>
      <c r="JTU52" s="16"/>
      <c r="JTV52" s="16"/>
      <c r="JTW52" s="16"/>
      <c r="JTX52" s="16"/>
      <c r="JTY52" s="16"/>
      <c r="JTZ52" s="16"/>
      <c r="JUA52" s="16"/>
      <c r="JUB52" s="16"/>
      <c r="JUC52" s="16"/>
      <c r="JUD52" s="16"/>
      <c r="JUE52" s="16"/>
      <c r="JUF52" s="16"/>
      <c r="JUG52" s="16"/>
      <c r="JUH52" s="16"/>
      <c r="JUI52" s="16"/>
      <c r="JUJ52" s="16"/>
      <c r="JUK52" s="16"/>
      <c r="JUL52" s="16"/>
      <c r="JUM52" s="16"/>
      <c r="JUN52" s="16"/>
      <c r="JUO52" s="16"/>
      <c r="JUP52" s="16"/>
      <c r="JUQ52" s="16"/>
      <c r="JUR52" s="16"/>
      <c r="JUS52" s="16"/>
      <c r="JUT52" s="16"/>
      <c r="JUU52" s="16"/>
      <c r="JUV52" s="16"/>
      <c r="JUW52" s="16"/>
      <c r="JUX52" s="16"/>
      <c r="JUY52" s="16"/>
      <c r="JUZ52" s="16"/>
      <c r="JVA52" s="16"/>
      <c r="JVB52" s="16"/>
      <c r="JVC52" s="16"/>
      <c r="JVD52" s="16"/>
      <c r="JVE52" s="16"/>
      <c r="JVF52" s="16"/>
      <c r="JVG52" s="16"/>
      <c r="JVH52" s="16"/>
      <c r="JVI52" s="16"/>
      <c r="JVJ52" s="16"/>
      <c r="JVK52" s="16"/>
      <c r="JVL52" s="16"/>
      <c r="JVM52" s="16"/>
      <c r="JVN52" s="16"/>
      <c r="JVO52" s="16"/>
      <c r="JVP52" s="16"/>
      <c r="JVQ52" s="16"/>
      <c r="JVR52" s="16"/>
      <c r="JVS52" s="16"/>
      <c r="JVT52" s="16"/>
      <c r="JVU52" s="16"/>
      <c r="JVV52" s="16"/>
      <c r="JVW52" s="16"/>
      <c r="JVX52" s="16"/>
      <c r="JVY52" s="16"/>
      <c r="JVZ52" s="16"/>
      <c r="JWA52" s="16"/>
      <c r="JWB52" s="16"/>
      <c r="JWC52" s="16"/>
      <c r="JWD52" s="16"/>
      <c r="JWE52" s="16"/>
      <c r="JWF52" s="16"/>
      <c r="JWG52" s="16"/>
      <c r="JWH52" s="16"/>
      <c r="JWI52" s="16"/>
      <c r="JWJ52" s="16"/>
      <c r="JWK52" s="16"/>
      <c r="JWL52" s="16"/>
      <c r="JWM52" s="16"/>
      <c r="JWN52" s="16"/>
      <c r="JWO52" s="16"/>
      <c r="JWP52" s="16"/>
      <c r="JWQ52" s="16"/>
      <c r="JWR52" s="16"/>
      <c r="JWS52" s="16"/>
      <c r="JWT52" s="16"/>
      <c r="JWU52" s="16"/>
      <c r="JWV52" s="16"/>
      <c r="JWW52" s="16"/>
      <c r="JWX52" s="16"/>
      <c r="JWY52" s="16"/>
      <c r="JWZ52" s="16"/>
      <c r="JXA52" s="16"/>
      <c r="JXB52" s="16"/>
      <c r="JXC52" s="16"/>
      <c r="JXD52" s="16"/>
      <c r="JXE52" s="16"/>
      <c r="JXF52" s="16"/>
      <c r="JXG52" s="16"/>
      <c r="JXH52" s="16"/>
      <c r="JXI52" s="16"/>
      <c r="JXJ52" s="16"/>
      <c r="JXK52" s="16"/>
      <c r="JXL52" s="16"/>
      <c r="JXM52" s="16"/>
      <c r="JXN52" s="16"/>
      <c r="JXO52" s="16"/>
      <c r="JXP52" s="16"/>
      <c r="JXQ52" s="16"/>
      <c r="JXR52" s="16"/>
      <c r="JXS52" s="16"/>
      <c r="JXT52" s="16"/>
      <c r="JXU52" s="16"/>
      <c r="JXV52" s="16"/>
      <c r="JXW52" s="16"/>
      <c r="JXX52" s="16"/>
      <c r="JXY52" s="16"/>
      <c r="JXZ52" s="16"/>
      <c r="JYA52" s="16"/>
      <c r="JYB52" s="16"/>
      <c r="JYC52" s="16"/>
      <c r="JYD52" s="16"/>
      <c r="JYE52" s="16"/>
      <c r="JYF52" s="16"/>
      <c r="JYG52" s="16"/>
      <c r="JYH52" s="16"/>
      <c r="JYI52" s="16"/>
      <c r="JYJ52" s="16"/>
      <c r="JYK52" s="16"/>
      <c r="JYL52" s="16"/>
      <c r="JYM52" s="16"/>
      <c r="JYN52" s="16"/>
      <c r="JYO52" s="16"/>
      <c r="JYP52" s="16"/>
      <c r="JYQ52" s="16"/>
      <c r="JYR52" s="16"/>
      <c r="JYS52" s="16"/>
      <c r="JYT52" s="16"/>
      <c r="JYU52" s="16"/>
      <c r="JYV52" s="16"/>
      <c r="JYW52" s="16"/>
      <c r="JYX52" s="16"/>
      <c r="JYY52" s="16"/>
      <c r="JYZ52" s="16"/>
      <c r="JZA52" s="16"/>
      <c r="JZB52" s="16"/>
      <c r="JZC52" s="16"/>
      <c r="JZD52" s="16"/>
      <c r="JZE52" s="16"/>
      <c r="JZF52" s="16"/>
      <c r="JZG52" s="16"/>
      <c r="JZH52" s="16"/>
      <c r="JZI52" s="16"/>
      <c r="JZJ52" s="16"/>
      <c r="JZK52" s="16"/>
      <c r="JZL52" s="16"/>
      <c r="JZM52" s="16"/>
      <c r="JZN52" s="16"/>
      <c r="JZO52" s="16"/>
      <c r="JZP52" s="16"/>
      <c r="JZQ52" s="16"/>
      <c r="JZR52" s="16"/>
      <c r="JZS52" s="16"/>
      <c r="JZT52" s="16"/>
      <c r="JZU52" s="16"/>
      <c r="JZV52" s="16"/>
      <c r="JZW52" s="16"/>
      <c r="JZX52" s="16"/>
      <c r="JZY52" s="16"/>
      <c r="JZZ52" s="16"/>
      <c r="KAA52" s="16"/>
      <c r="KAB52" s="16"/>
      <c r="KAC52" s="16"/>
      <c r="KAD52" s="16"/>
      <c r="KAE52" s="16"/>
      <c r="KAF52" s="16"/>
      <c r="KAG52" s="16"/>
      <c r="KAH52" s="16"/>
      <c r="KAI52" s="16"/>
      <c r="KAJ52" s="16"/>
      <c r="KAK52" s="16"/>
      <c r="KAL52" s="16"/>
      <c r="KAM52" s="16"/>
      <c r="KAN52" s="16"/>
      <c r="KAO52" s="16"/>
      <c r="KAP52" s="16"/>
      <c r="KAQ52" s="16"/>
      <c r="KAR52" s="16"/>
      <c r="KAS52" s="16"/>
      <c r="KAT52" s="16"/>
      <c r="KAU52" s="16"/>
      <c r="KAV52" s="16"/>
      <c r="KAW52" s="16"/>
      <c r="KAX52" s="16"/>
      <c r="KAY52" s="16"/>
      <c r="KAZ52" s="16"/>
      <c r="KBA52" s="16"/>
      <c r="KBB52" s="16"/>
      <c r="KBC52" s="16"/>
      <c r="KBD52" s="16"/>
      <c r="KBE52" s="16"/>
      <c r="KBF52" s="16"/>
      <c r="KBG52" s="16"/>
      <c r="KBH52" s="16"/>
      <c r="KBI52" s="16"/>
      <c r="KBJ52" s="16"/>
      <c r="KBK52" s="16"/>
      <c r="KBL52" s="16"/>
      <c r="KBM52" s="16"/>
      <c r="KBN52" s="16"/>
      <c r="KBO52" s="16"/>
      <c r="KBP52" s="16"/>
      <c r="KBQ52" s="16"/>
      <c r="KBR52" s="16"/>
      <c r="KBS52" s="16"/>
      <c r="KBT52" s="16"/>
      <c r="KBU52" s="16"/>
      <c r="KBV52" s="16"/>
      <c r="KBW52" s="16"/>
      <c r="KBX52" s="16"/>
      <c r="KBY52" s="16"/>
      <c r="KBZ52" s="16"/>
      <c r="KCA52" s="16"/>
      <c r="KCB52" s="16"/>
      <c r="KCC52" s="16"/>
      <c r="KCD52" s="16"/>
      <c r="KCE52" s="16"/>
      <c r="KCF52" s="16"/>
      <c r="KCG52" s="16"/>
      <c r="KCH52" s="16"/>
      <c r="KCI52" s="16"/>
      <c r="KCJ52" s="16"/>
      <c r="KCK52" s="16"/>
      <c r="KCL52" s="16"/>
      <c r="KCM52" s="16"/>
      <c r="KCN52" s="16"/>
      <c r="KCO52" s="16"/>
      <c r="KCP52" s="16"/>
      <c r="KCQ52" s="16"/>
      <c r="KCR52" s="16"/>
      <c r="KCS52" s="16"/>
      <c r="KCT52" s="16"/>
      <c r="KCU52" s="16"/>
      <c r="KCV52" s="16"/>
      <c r="KCW52" s="16"/>
      <c r="KCX52" s="16"/>
      <c r="KCY52" s="16"/>
      <c r="KCZ52" s="16"/>
      <c r="KDA52" s="16"/>
      <c r="KDB52" s="16"/>
      <c r="KDC52" s="16"/>
      <c r="KDD52" s="16"/>
      <c r="KDE52" s="16"/>
      <c r="KDF52" s="16"/>
      <c r="KDG52" s="16"/>
      <c r="KDH52" s="16"/>
      <c r="KDI52" s="16"/>
      <c r="KDJ52" s="16"/>
      <c r="KDK52" s="16"/>
      <c r="KDL52" s="16"/>
      <c r="KDM52" s="16"/>
      <c r="KDN52" s="16"/>
      <c r="KDO52" s="16"/>
      <c r="KDP52" s="16"/>
      <c r="KDQ52" s="16"/>
      <c r="KDR52" s="16"/>
      <c r="KDS52" s="16"/>
      <c r="KDT52" s="16"/>
      <c r="KDU52" s="16"/>
      <c r="KDV52" s="16"/>
      <c r="KDW52" s="16"/>
      <c r="KDX52" s="16"/>
      <c r="KDY52" s="16"/>
      <c r="KDZ52" s="16"/>
      <c r="KEA52" s="16"/>
      <c r="KEB52" s="16"/>
      <c r="KEC52" s="16"/>
      <c r="KED52" s="16"/>
      <c r="KEE52" s="16"/>
      <c r="KEF52" s="16"/>
      <c r="KEG52" s="16"/>
      <c r="KEH52" s="16"/>
      <c r="KEI52" s="16"/>
      <c r="KEJ52" s="16"/>
      <c r="KEK52" s="16"/>
      <c r="KEL52" s="16"/>
      <c r="KEM52" s="16"/>
      <c r="KEN52" s="16"/>
      <c r="KEO52" s="16"/>
      <c r="KEP52" s="16"/>
      <c r="KEQ52" s="16"/>
      <c r="KER52" s="16"/>
      <c r="KES52" s="16"/>
      <c r="KET52" s="16"/>
      <c r="KEU52" s="16"/>
      <c r="KEV52" s="16"/>
      <c r="KEW52" s="16"/>
      <c r="KEX52" s="16"/>
      <c r="KEY52" s="16"/>
      <c r="KEZ52" s="16"/>
      <c r="KFA52" s="16"/>
      <c r="KFB52" s="16"/>
      <c r="KFC52" s="16"/>
      <c r="KFD52" s="16"/>
      <c r="KFE52" s="16"/>
      <c r="KFF52" s="16"/>
      <c r="KFG52" s="16"/>
      <c r="KFH52" s="16"/>
      <c r="KFI52" s="16"/>
      <c r="KFJ52" s="16"/>
      <c r="KFK52" s="16"/>
      <c r="KFL52" s="16"/>
      <c r="KFM52" s="16"/>
      <c r="KFN52" s="16"/>
      <c r="KFO52" s="16"/>
      <c r="KFP52" s="16"/>
      <c r="KFQ52" s="16"/>
      <c r="KFR52" s="16"/>
      <c r="KFS52" s="16"/>
      <c r="KFT52" s="16"/>
      <c r="KFU52" s="16"/>
      <c r="KFV52" s="16"/>
      <c r="KFW52" s="16"/>
      <c r="KFX52" s="16"/>
      <c r="KFY52" s="16"/>
      <c r="KFZ52" s="16"/>
      <c r="KGA52" s="16"/>
      <c r="KGB52" s="16"/>
      <c r="KGC52" s="16"/>
      <c r="KGD52" s="16"/>
      <c r="KGE52" s="16"/>
      <c r="KGF52" s="16"/>
      <c r="KGG52" s="16"/>
      <c r="KGH52" s="16"/>
      <c r="KGI52" s="16"/>
      <c r="KGJ52" s="16"/>
      <c r="KGK52" s="16"/>
      <c r="KGL52" s="16"/>
      <c r="KGM52" s="16"/>
      <c r="KGN52" s="16"/>
      <c r="KGO52" s="16"/>
      <c r="KGP52" s="16"/>
      <c r="KGQ52" s="16"/>
      <c r="KGR52" s="16"/>
      <c r="KGS52" s="16"/>
      <c r="KGT52" s="16"/>
      <c r="KGU52" s="16"/>
      <c r="KGV52" s="16"/>
      <c r="KGW52" s="16"/>
      <c r="KGX52" s="16"/>
      <c r="KGY52" s="16"/>
      <c r="KGZ52" s="16"/>
      <c r="KHA52" s="16"/>
      <c r="KHB52" s="16"/>
      <c r="KHC52" s="16"/>
      <c r="KHD52" s="16"/>
      <c r="KHE52" s="16"/>
      <c r="KHF52" s="16"/>
      <c r="KHG52" s="16"/>
      <c r="KHH52" s="16"/>
      <c r="KHI52" s="16"/>
      <c r="KHJ52" s="16"/>
      <c r="KHK52" s="16"/>
      <c r="KHL52" s="16"/>
      <c r="KHM52" s="16"/>
      <c r="KHN52" s="16"/>
      <c r="KHO52" s="16"/>
      <c r="KHP52" s="16"/>
      <c r="KHQ52" s="16"/>
      <c r="KHR52" s="16"/>
      <c r="KHS52" s="16"/>
      <c r="KHT52" s="16"/>
      <c r="KHU52" s="16"/>
      <c r="KHV52" s="16"/>
      <c r="KHW52" s="16"/>
      <c r="KHX52" s="16"/>
      <c r="KHY52" s="16"/>
      <c r="KHZ52" s="16"/>
      <c r="KIA52" s="16"/>
      <c r="KIB52" s="16"/>
      <c r="KIC52" s="16"/>
      <c r="KID52" s="16"/>
      <c r="KIE52" s="16"/>
      <c r="KIF52" s="16"/>
      <c r="KIG52" s="16"/>
      <c r="KIH52" s="16"/>
      <c r="KII52" s="16"/>
      <c r="KIJ52" s="16"/>
      <c r="KIK52" s="16"/>
      <c r="KIL52" s="16"/>
      <c r="KIM52" s="16"/>
      <c r="KIN52" s="16"/>
      <c r="KIO52" s="16"/>
      <c r="KIP52" s="16"/>
      <c r="KIQ52" s="16"/>
      <c r="KIR52" s="16"/>
      <c r="KIS52" s="16"/>
      <c r="KIT52" s="16"/>
      <c r="KIU52" s="16"/>
      <c r="KIV52" s="16"/>
      <c r="KIW52" s="16"/>
      <c r="KIX52" s="16"/>
      <c r="KIY52" s="16"/>
      <c r="KIZ52" s="16"/>
      <c r="KJA52" s="16"/>
      <c r="KJB52" s="16"/>
      <c r="KJC52" s="16"/>
      <c r="KJD52" s="16"/>
      <c r="KJE52" s="16"/>
      <c r="KJF52" s="16"/>
      <c r="KJG52" s="16"/>
      <c r="KJH52" s="16"/>
      <c r="KJI52" s="16"/>
      <c r="KJJ52" s="16"/>
      <c r="KJK52" s="16"/>
      <c r="KJL52" s="16"/>
      <c r="KJM52" s="16"/>
      <c r="KJN52" s="16"/>
      <c r="KJO52" s="16"/>
      <c r="KJP52" s="16"/>
      <c r="KJQ52" s="16"/>
      <c r="KJR52" s="16"/>
      <c r="KJS52" s="16"/>
      <c r="KJT52" s="16"/>
      <c r="KJU52" s="16"/>
      <c r="KJV52" s="16"/>
      <c r="KJW52" s="16"/>
      <c r="KJX52" s="16"/>
      <c r="KJY52" s="16"/>
      <c r="KJZ52" s="16"/>
      <c r="KKA52" s="16"/>
      <c r="KKB52" s="16"/>
      <c r="KKC52" s="16"/>
      <c r="KKD52" s="16"/>
      <c r="KKE52" s="16"/>
      <c r="KKF52" s="16"/>
      <c r="KKG52" s="16"/>
      <c r="KKH52" s="16"/>
      <c r="KKI52" s="16"/>
      <c r="KKJ52" s="16"/>
      <c r="KKK52" s="16"/>
      <c r="KKL52" s="16"/>
      <c r="KKM52" s="16"/>
      <c r="KKN52" s="16"/>
      <c r="KKO52" s="16"/>
      <c r="KKP52" s="16"/>
      <c r="KKQ52" s="16"/>
      <c r="KKR52" s="16"/>
      <c r="KKS52" s="16"/>
      <c r="KKT52" s="16"/>
      <c r="KKU52" s="16"/>
      <c r="KKV52" s="16"/>
      <c r="KKW52" s="16"/>
      <c r="KKX52" s="16"/>
      <c r="KKY52" s="16"/>
      <c r="KKZ52" s="16"/>
      <c r="KLA52" s="16"/>
      <c r="KLB52" s="16"/>
      <c r="KLC52" s="16"/>
      <c r="KLD52" s="16"/>
      <c r="KLE52" s="16"/>
      <c r="KLF52" s="16"/>
      <c r="KLG52" s="16"/>
      <c r="KLH52" s="16"/>
      <c r="KLI52" s="16"/>
      <c r="KLJ52" s="16"/>
      <c r="KLK52" s="16"/>
      <c r="KLL52" s="16"/>
      <c r="KLM52" s="16"/>
      <c r="KLN52" s="16"/>
      <c r="KLO52" s="16"/>
      <c r="KLP52" s="16"/>
      <c r="KLQ52" s="16"/>
      <c r="KLR52" s="16"/>
      <c r="KLS52" s="16"/>
      <c r="KLT52" s="16"/>
      <c r="KLU52" s="16"/>
      <c r="KLV52" s="16"/>
      <c r="KLW52" s="16"/>
      <c r="KLX52" s="16"/>
      <c r="KLY52" s="16"/>
      <c r="KLZ52" s="16"/>
      <c r="KMA52" s="16"/>
      <c r="KMB52" s="16"/>
      <c r="KMC52" s="16"/>
      <c r="KMD52" s="16"/>
      <c r="KME52" s="16"/>
      <c r="KMF52" s="16"/>
      <c r="KMG52" s="16"/>
      <c r="KMH52" s="16"/>
      <c r="KMI52" s="16"/>
      <c r="KMJ52" s="16"/>
      <c r="KMK52" s="16"/>
      <c r="KML52" s="16"/>
      <c r="KMM52" s="16"/>
      <c r="KMN52" s="16"/>
      <c r="KMO52" s="16"/>
      <c r="KMP52" s="16"/>
      <c r="KMQ52" s="16"/>
      <c r="KMR52" s="16"/>
      <c r="KMS52" s="16"/>
      <c r="KMT52" s="16"/>
      <c r="KMU52" s="16"/>
      <c r="KMV52" s="16"/>
      <c r="KMW52" s="16"/>
      <c r="KMX52" s="16"/>
      <c r="KMY52" s="16"/>
      <c r="KMZ52" s="16"/>
      <c r="KNA52" s="16"/>
      <c r="KNB52" s="16"/>
      <c r="KNC52" s="16"/>
      <c r="KND52" s="16"/>
      <c r="KNE52" s="16"/>
      <c r="KNF52" s="16"/>
      <c r="KNG52" s="16"/>
      <c r="KNH52" s="16"/>
      <c r="KNI52" s="16"/>
      <c r="KNJ52" s="16"/>
      <c r="KNK52" s="16"/>
      <c r="KNL52" s="16"/>
      <c r="KNM52" s="16"/>
      <c r="KNN52" s="16"/>
      <c r="KNO52" s="16"/>
      <c r="KNP52" s="16"/>
      <c r="KNQ52" s="16"/>
      <c r="KNR52" s="16"/>
      <c r="KNS52" s="16"/>
      <c r="KNT52" s="16"/>
      <c r="KNU52" s="16"/>
      <c r="KNV52" s="16"/>
      <c r="KNW52" s="16"/>
      <c r="KNX52" s="16"/>
      <c r="KNY52" s="16"/>
      <c r="KNZ52" s="16"/>
      <c r="KOA52" s="16"/>
      <c r="KOB52" s="16"/>
      <c r="KOC52" s="16"/>
      <c r="KOD52" s="16"/>
      <c r="KOE52" s="16"/>
      <c r="KOF52" s="16"/>
      <c r="KOG52" s="16"/>
      <c r="KOH52" s="16"/>
      <c r="KOI52" s="16"/>
      <c r="KOJ52" s="16"/>
      <c r="KOK52" s="16"/>
      <c r="KOL52" s="16"/>
      <c r="KOM52" s="16"/>
      <c r="KON52" s="16"/>
      <c r="KOO52" s="16"/>
      <c r="KOP52" s="16"/>
      <c r="KOQ52" s="16"/>
      <c r="KOR52" s="16"/>
      <c r="KOS52" s="16"/>
      <c r="KOT52" s="16"/>
      <c r="KOU52" s="16"/>
      <c r="KOV52" s="16"/>
      <c r="KOW52" s="16"/>
      <c r="KOX52" s="16"/>
      <c r="KOY52" s="16"/>
      <c r="KOZ52" s="16"/>
      <c r="KPA52" s="16"/>
      <c r="KPB52" s="16"/>
      <c r="KPC52" s="16"/>
      <c r="KPD52" s="16"/>
      <c r="KPE52" s="16"/>
      <c r="KPF52" s="16"/>
      <c r="KPG52" s="16"/>
      <c r="KPH52" s="16"/>
      <c r="KPI52" s="16"/>
      <c r="KPJ52" s="16"/>
      <c r="KPK52" s="16"/>
      <c r="KPL52" s="16"/>
      <c r="KPM52" s="16"/>
      <c r="KPN52" s="16"/>
      <c r="KPO52" s="16"/>
      <c r="KPP52" s="16"/>
      <c r="KPQ52" s="16"/>
      <c r="KPR52" s="16"/>
      <c r="KPS52" s="16"/>
      <c r="KPT52" s="16"/>
      <c r="KPU52" s="16"/>
      <c r="KPV52" s="16"/>
      <c r="KPW52" s="16"/>
      <c r="KPX52" s="16"/>
      <c r="KPY52" s="16"/>
      <c r="KPZ52" s="16"/>
      <c r="KQA52" s="16"/>
      <c r="KQB52" s="16"/>
      <c r="KQC52" s="16"/>
      <c r="KQD52" s="16"/>
      <c r="KQE52" s="16"/>
      <c r="KQF52" s="16"/>
      <c r="KQG52" s="16"/>
      <c r="KQH52" s="16"/>
      <c r="KQI52" s="16"/>
      <c r="KQJ52" s="16"/>
      <c r="KQK52" s="16"/>
      <c r="KQL52" s="16"/>
      <c r="KQM52" s="16"/>
      <c r="KQN52" s="16"/>
      <c r="KQO52" s="16"/>
      <c r="KQP52" s="16"/>
      <c r="KQQ52" s="16"/>
      <c r="KQR52" s="16"/>
      <c r="KQS52" s="16"/>
      <c r="KQT52" s="16"/>
      <c r="KQU52" s="16"/>
      <c r="KQV52" s="16"/>
      <c r="KQW52" s="16"/>
      <c r="KQX52" s="16"/>
      <c r="KQY52" s="16"/>
      <c r="KQZ52" s="16"/>
      <c r="KRA52" s="16"/>
      <c r="KRB52" s="16"/>
      <c r="KRC52" s="16"/>
      <c r="KRD52" s="16"/>
      <c r="KRE52" s="16"/>
      <c r="KRF52" s="16"/>
      <c r="KRG52" s="16"/>
      <c r="KRH52" s="16"/>
      <c r="KRI52" s="16"/>
      <c r="KRJ52" s="16"/>
      <c r="KRK52" s="16"/>
      <c r="KRL52" s="16"/>
      <c r="KRM52" s="16"/>
      <c r="KRN52" s="16"/>
      <c r="KRO52" s="16"/>
      <c r="KRP52" s="16"/>
      <c r="KRQ52" s="16"/>
      <c r="KRR52" s="16"/>
      <c r="KRS52" s="16"/>
      <c r="KRT52" s="16"/>
      <c r="KRU52" s="16"/>
      <c r="KRV52" s="16"/>
      <c r="KRW52" s="16"/>
      <c r="KRX52" s="16"/>
      <c r="KRY52" s="16"/>
      <c r="KRZ52" s="16"/>
      <c r="KSA52" s="16"/>
      <c r="KSB52" s="16"/>
      <c r="KSC52" s="16"/>
      <c r="KSD52" s="16"/>
      <c r="KSE52" s="16"/>
      <c r="KSF52" s="16"/>
      <c r="KSG52" s="16"/>
      <c r="KSH52" s="16"/>
      <c r="KSI52" s="16"/>
      <c r="KSJ52" s="16"/>
      <c r="KSK52" s="16"/>
      <c r="KSL52" s="16"/>
      <c r="KSM52" s="16"/>
      <c r="KSN52" s="16"/>
      <c r="KSO52" s="16"/>
      <c r="KSP52" s="16"/>
      <c r="KSQ52" s="16"/>
      <c r="KSR52" s="16"/>
      <c r="KSS52" s="16"/>
      <c r="KST52" s="16"/>
      <c r="KSU52" s="16"/>
      <c r="KSV52" s="16"/>
      <c r="KSW52" s="16"/>
      <c r="KSX52" s="16"/>
      <c r="KSY52" s="16"/>
      <c r="KSZ52" s="16"/>
      <c r="KTA52" s="16"/>
      <c r="KTB52" s="16"/>
      <c r="KTC52" s="16"/>
      <c r="KTD52" s="16"/>
      <c r="KTE52" s="16"/>
      <c r="KTF52" s="16"/>
      <c r="KTG52" s="16"/>
      <c r="KTH52" s="16"/>
      <c r="KTI52" s="16"/>
      <c r="KTJ52" s="16"/>
      <c r="KTK52" s="16"/>
      <c r="KTL52" s="16"/>
      <c r="KTM52" s="16"/>
      <c r="KTN52" s="16"/>
      <c r="KTO52" s="16"/>
      <c r="KTP52" s="16"/>
      <c r="KTQ52" s="16"/>
      <c r="KTR52" s="16"/>
      <c r="KTS52" s="16"/>
      <c r="KTT52" s="16"/>
      <c r="KTU52" s="16"/>
      <c r="KTV52" s="16"/>
      <c r="KTW52" s="16"/>
      <c r="KTX52" s="16"/>
      <c r="KTY52" s="16"/>
      <c r="KTZ52" s="16"/>
      <c r="KUA52" s="16"/>
      <c r="KUB52" s="16"/>
      <c r="KUC52" s="16"/>
      <c r="KUD52" s="16"/>
      <c r="KUE52" s="16"/>
      <c r="KUF52" s="16"/>
      <c r="KUG52" s="16"/>
      <c r="KUH52" s="16"/>
      <c r="KUI52" s="16"/>
      <c r="KUJ52" s="16"/>
      <c r="KUK52" s="16"/>
      <c r="KUL52" s="16"/>
      <c r="KUM52" s="16"/>
      <c r="KUN52" s="16"/>
      <c r="KUO52" s="16"/>
      <c r="KUP52" s="16"/>
      <c r="KUQ52" s="16"/>
      <c r="KUR52" s="16"/>
      <c r="KUS52" s="16"/>
      <c r="KUT52" s="16"/>
      <c r="KUU52" s="16"/>
      <c r="KUV52" s="16"/>
      <c r="KUW52" s="16"/>
      <c r="KUX52" s="16"/>
      <c r="KUY52" s="16"/>
      <c r="KUZ52" s="16"/>
      <c r="KVA52" s="16"/>
      <c r="KVB52" s="16"/>
      <c r="KVC52" s="16"/>
      <c r="KVD52" s="16"/>
      <c r="KVE52" s="16"/>
      <c r="KVF52" s="16"/>
      <c r="KVG52" s="16"/>
      <c r="KVH52" s="16"/>
      <c r="KVI52" s="16"/>
      <c r="KVJ52" s="16"/>
      <c r="KVK52" s="16"/>
      <c r="KVL52" s="16"/>
      <c r="KVM52" s="16"/>
      <c r="KVN52" s="16"/>
      <c r="KVO52" s="16"/>
      <c r="KVP52" s="16"/>
      <c r="KVQ52" s="16"/>
      <c r="KVR52" s="16"/>
      <c r="KVS52" s="16"/>
      <c r="KVT52" s="16"/>
      <c r="KVU52" s="16"/>
      <c r="KVV52" s="16"/>
      <c r="KVW52" s="16"/>
      <c r="KVX52" s="16"/>
      <c r="KVY52" s="16"/>
      <c r="KVZ52" s="16"/>
      <c r="KWA52" s="16"/>
      <c r="KWB52" s="16"/>
      <c r="KWC52" s="16"/>
      <c r="KWD52" s="16"/>
      <c r="KWE52" s="16"/>
      <c r="KWF52" s="16"/>
      <c r="KWG52" s="16"/>
      <c r="KWH52" s="16"/>
      <c r="KWI52" s="16"/>
      <c r="KWJ52" s="16"/>
      <c r="KWK52" s="16"/>
      <c r="KWL52" s="16"/>
      <c r="KWM52" s="16"/>
      <c r="KWN52" s="16"/>
      <c r="KWO52" s="16"/>
      <c r="KWP52" s="16"/>
      <c r="KWQ52" s="16"/>
      <c r="KWR52" s="16"/>
      <c r="KWS52" s="16"/>
      <c r="KWT52" s="16"/>
      <c r="KWU52" s="16"/>
      <c r="KWV52" s="16"/>
      <c r="KWW52" s="16"/>
      <c r="KWX52" s="16"/>
      <c r="KWY52" s="16"/>
      <c r="KWZ52" s="16"/>
      <c r="KXA52" s="16"/>
      <c r="KXB52" s="16"/>
      <c r="KXC52" s="16"/>
      <c r="KXD52" s="16"/>
      <c r="KXE52" s="16"/>
      <c r="KXF52" s="16"/>
      <c r="KXG52" s="16"/>
      <c r="KXH52" s="16"/>
      <c r="KXI52" s="16"/>
      <c r="KXJ52" s="16"/>
      <c r="KXK52" s="16"/>
      <c r="KXL52" s="16"/>
      <c r="KXM52" s="16"/>
      <c r="KXN52" s="16"/>
      <c r="KXO52" s="16"/>
      <c r="KXP52" s="16"/>
      <c r="KXQ52" s="16"/>
      <c r="KXR52" s="16"/>
      <c r="KXS52" s="16"/>
      <c r="KXT52" s="16"/>
      <c r="KXU52" s="16"/>
      <c r="KXV52" s="16"/>
      <c r="KXW52" s="16"/>
      <c r="KXX52" s="16"/>
      <c r="KXY52" s="16"/>
      <c r="KXZ52" s="16"/>
      <c r="KYA52" s="16"/>
      <c r="KYB52" s="16"/>
      <c r="KYC52" s="16"/>
      <c r="KYD52" s="16"/>
      <c r="KYE52" s="16"/>
      <c r="KYF52" s="16"/>
      <c r="KYG52" s="16"/>
      <c r="KYH52" s="16"/>
      <c r="KYI52" s="16"/>
      <c r="KYJ52" s="16"/>
      <c r="KYK52" s="16"/>
      <c r="KYL52" s="16"/>
      <c r="KYM52" s="16"/>
      <c r="KYN52" s="16"/>
      <c r="KYO52" s="16"/>
      <c r="KYP52" s="16"/>
      <c r="KYQ52" s="16"/>
      <c r="KYR52" s="16"/>
      <c r="KYS52" s="16"/>
      <c r="KYT52" s="16"/>
      <c r="KYU52" s="16"/>
      <c r="KYV52" s="16"/>
      <c r="KYW52" s="16"/>
      <c r="KYX52" s="16"/>
      <c r="KYY52" s="16"/>
      <c r="KYZ52" s="16"/>
      <c r="KZA52" s="16"/>
      <c r="KZB52" s="16"/>
      <c r="KZC52" s="16"/>
      <c r="KZD52" s="16"/>
      <c r="KZE52" s="16"/>
      <c r="KZF52" s="16"/>
      <c r="KZG52" s="16"/>
      <c r="KZH52" s="16"/>
      <c r="KZI52" s="16"/>
      <c r="KZJ52" s="16"/>
      <c r="KZK52" s="16"/>
      <c r="KZL52" s="16"/>
      <c r="KZM52" s="16"/>
      <c r="KZN52" s="16"/>
      <c r="KZO52" s="16"/>
      <c r="KZP52" s="16"/>
      <c r="KZQ52" s="16"/>
      <c r="KZR52" s="16"/>
      <c r="KZS52" s="16"/>
      <c r="KZT52" s="16"/>
      <c r="KZU52" s="16"/>
      <c r="KZV52" s="16"/>
      <c r="KZW52" s="16"/>
      <c r="KZX52" s="16"/>
      <c r="KZY52" s="16"/>
      <c r="KZZ52" s="16"/>
      <c r="LAA52" s="16"/>
      <c r="LAB52" s="16"/>
      <c r="LAC52" s="16"/>
      <c r="LAD52" s="16"/>
      <c r="LAE52" s="16"/>
      <c r="LAF52" s="16"/>
      <c r="LAG52" s="16"/>
      <c r="LAH52" s="16"/>
      <c r="LAI52" s="16"/>
      <c r="LAJ52" s="16"/>
      <c r="LAK52" s="16"/>
      <c r="LAL52" s="16"/>
      <c r="LAM52" s="16"/>
      <c r="LAN52" s="16"/>
      <c r="LAO52" s="16"/>
      <c r="LAP52" s="16"/>
      <c r="LAQ52" s="16"/>
      <c r="LAR52" s="16"/>
      <c r="LAS52" s="16"/>
      <c r="LAT52" s="16"/>
      <c r="LAU52" s="16"/>
      <c r="LAV52" s="16"/>
      <c r="LAW52" s="16"/>
      <c r="LAX52" s="16"/>
      <c r="LAY52" s="16"/>
      <c r="LAZ52" s="16"/>
      <c r="LBA52" s="16"/>
      <c r="LBB52" s="16"/>
      <c r="LBC52" s="16"/>
      <c r="LBD52" s="16"/>
      <c r="LBE52" s="16"/>
      <c r="LBF52" s="16"/>
      <c r="LBG52" s="16"/>
      <c r="LBH52" s="16"/>
      <c r="LBI52" s="16"/>
      <c r="LBJ52" s="16"/>
      <c r="LBK52" s="16"/>
      <c r="LBL52" s="16"/>
      <c r="LBM52" s="16"/>
      <c r="LBN52" s="16"/>
      <c r="LBO52" s="16"/>
      <c r="LBP52" s="16"/>
      <c r="LBQ52" s="16"/>
      <c r="LBR52" s="16"/>
      <c r="LBS52" s="16"/>
      <c r="LBT52" s="16"/>
      <c r="LBU52" s="16"/>
      <c r="LBV52" s="16"/>
      <c r="LBW52" s="16"/>
      <c r="LBX52" s="16"/>
      <c r="LBY52" s="16"/>
      <c r="LBZ52" s="16"/>
      <c r="LCA52" s="16"/>
      <c r="LCB52" s="16"/>
      <c r="LCC52" s="16"/>
      <c r="LCD52" s="16"/>
      <c r="LCE52" s="16"/>
      <c r="LCF52" s="16"/>
      <c r="LCG52" s="16"/>
      <c r="LCH52" s="16"/>
      <c r="LCI52" s="16"/>
      <c r="LCJ52" s="16"/>
      <c r="LCK52" s="16"/>
      <c r="LCL52" s="16"/>
      <c r="LCM52" s="16"/>
      <c r="LCN52" s="16"/>
      <c r="LCO52" s="16"/>
      <c r="LCP52" s="16"/>
      <c r="LCQ52" s="16"/>
      <c r="LCR52" s="16"/>
      <c r="LCS52" s="16"/>
      <c r="LCT52" s="16"/>
      <c r="LCU52" s="16"/>
      <c r="LCV52" s="16"/>
      <c r="LCW52" s="16"/>
      <c r="LCX52" s="16"/>
      <c r="LCY52" s="16"/>
      <c r="LCZ52" s="16"/>
      <c r="LDA52" s="16"/>
      <c r="LDB52" s="16"/>
      <c r="LDC52" s="16"/>
      <c r="LDD52" s="16"/>
      <c r="LDE52" s="16"/>
      <c r="LDF52" s="16"/>
      <c r="LDG52" s="16"/>
      <c r="LDH52" s="16"/>
      <c r="LDI52" s="16"/>
      <c r="LDJ52" s="16"/>
      <c r="LDK52" s="16"/>
      <c r="LDL52" s="16"/>
      <c r="LDM52" s="16"/>
      <c r="LDN52" s="16"/>
      <c r="LDO52" s="16"/>
      <c r="LDP52" s="16"/>
      <c r="LDQ52" s="16"/>
      <c r="LDR52" s="16"/>
      <c r="LDS52" s="16"/>
      <c r="LDT52" s="16"/>
      <c r="LDU52" s="16"/>
      <c r="LDV52" s="16"/>
      <c r="LDW52" s="16"/>
      <c r="LDX52" s="16"/>
      <c r="LDY52" s="16"/>
      <c r="LDZ52" s="16"/>
      <c r="LEA52" s="16"/>
      <c r="LEB52" s="16"/>
      <c r="LEC52" s="16"/>
      <c r="LED52" s="16"/>
      <c r="LEE52" s="16"/>
      <c r="LEF52" s="16"/>
      <c r="LEG52" s="16"/>
      <c r="LEH52" s="16"/>
      <c r="LEI52" s="16"/>
      <c r="LEJ52" s="16"/>
      <c r="LEK52" s="16"/>
      <c r="LEL52" s="16"/>
      <c r="LEM52" s="16"/>
      <c r="LEN52" s="16"/>
      <c r="LEO52" s="16"/>
      <c r="LEP52" s="16"/>
      <c r="LEQ52" s="16"/>
      <c r="LER52" s="16"/>
      <c r="LES52" s="16"/>
      <c r="LET52" s="16"/>
      <c r="LEU52" s="16"/>
      <c r="LEV52" s="16"/>
      <c r="LEW52" s="16"/>
      <c r="LEX52" s="16"/>
      <c r="LEY52" s="16"/>
      <c r="LEZ52" s="16"/>
      <c r="LFA52" s="16"/>
      <c r="LFB52" s="16"/>
      <c r="LFC52" s="16"/>
      <c r="LFD52" s="16"/>
      <c r="LFE52" s="16"/>
      <c r="LFF52" s="16"/>
      <c r="LFG52" s="16"/>
      <c r="LFH52" s="16"/>
      <c r="LFI52" s="16"/>
      <c r="LFJ52" s="16"/>
      <c r="LFK52" s="16"/>
      <c r="LFL52" s="16"/>
      <c r="LFM52" s="16"/>
      <c r="LFN52" s="16"/>
      <c r="LFO52" s="16"/>
      <c r="LFP52" s="16"/>
      <c r="LFQ52" s="16"/>
      <c r="LFR52" s="16"/>
      <c r="LFS52" s="16"/>
      <c r="LFT52" s="16"/>
      <c r="LFU52" s="16"/>
      <c r="LFV52" s="16"/>
      <c r="LFW52" s="16"/>
      <c r="LFX52" s="16"/>
      <c r="LFY52" s="16"/>
      <c r="LFZ52" s="16"/>
      <c r="LGA52" s="16"/>
      <c r="LGB52" s="16"/>
      <c r="LGC52" s="16"/>
      <c r="LGD52" s="16"/>
      <c r="LGE52" s="16"/>
      <c r="LGF52" s="16"/>
      <c r="LGG52" s="16"/>
      <c r="LGH52" s="16"/>
      <c r="LGI52" s="16"/>
      <c r="LGJ52" s="16"/>
      <c r="LGK52" s="16"/>
      <c r="LGL52" s="16"/>
      <c r="LGM52" s="16"/>
      <c r="LGN52" s="16"/>
      <c r="LGO52" s="16"/>
      <c r="LGP52" s="16"/>
      <c r="LGQ52" s="16"/>
      <c r="LGR52" s="16"/>
      <c r="LGS52" s="16"/>
      <c r="LGT52" s="16"/>
      <c r="LGU52" s="16"/>
      <c r="LGV52" s="16"/>
      <c r="LGW52" s="16"/>
      <c r="LGX52" s="16"/>
      <c r="LGY52" s="16"/>
      <c r="LGZ52" s="16"/>
      <c r="LHA52" s="16"/>
      <c r="LHB52" s="16"/>
      <c r="LHC52" s="16"/>
      <c r="LHD52" s="16"/>
      <c r="LHE52" s="16"/>
      <c r="LHF52" s="16"/>
      <c r="LHG52" s="16"/>
      <c r="LHH52" s="16"/>
      <c r="LHI52" s="16"/>
      <c r="LHJ52" s="16"/>
      <c r="LHK52" s="16"/>
      <c r="LHL52" s="16"/>
      <c r="LHM52" s="16"/>
      <c r="LHN52" s="16"/>
      <c r="LHO52" s="16"/>
      <c r="LHP52" s="16"/>
      <c r="LHQ52" s="16"/>
      <c r="LHR52" s="16"/>
      <c r="LHS52" s="16"/>
      <c r="LHT52" s="16"/>
      <c r="LHU52" s="16"/>
      <c r="LHV52" s="16"/>
      <c r="LHW52" s="16"/>
      <c r="LHX52" s="16"/>
      <c r="LHY52" s="16"/>
      <c r="LHZ52" s="16"/>
      <c r="LIA52" s="16"/>
      <c r="LIB52" s="16"/>
      <c r="LIC52" s="16"/>
      <c r="LID52" s="16"/>
      <c r="LIE52" s="16"/>
      <c r="LIF52" s="16"/>
      <c r="LIG52" s="16"/>
      <c r="LIH52" s="16"/>
      <c r="LII52" s="16"/>
      <c r="LIJ52" s="16"/>
      <c r="LIK52" s="16"/>
      <c r="LIL52" s="16"/>
      <c r="LIM52" s="16"/>
      <c r="LIN52" s="16"/>
      <c r="LIO52" s="16"/>
      <c r="LIP52" s="16"/>
      <c r="LIQ52" s="16"/>
      <c r="LIR52" s="16"/>
      <c r="LIS52" s="16"/>
      <c r="LIT52" s="16"/>
      <c r="LIU52" s="16"/>
      <c r="LIV52" s="16"/>
      <c r="LIW52" s="16"/>
      <c r="LIX52" s="16"/>
      <c r="LIY52" s="16"/>
      <c r="LIZ52" s="16"/>
      <c r="LJA52" s="16"/>
      <c r="LJB52" s="16"/>
      <c r="LJC52" s="16"/>
      <c r="LJD52" s="16"/>
      <c r="LJE52" s="16"/>
      <c r="LJF52" s="16"/>
      <c r="LJG52" s="16"/>
      <c r="LJH52" s="16"/>
      <c r="LJI52" s="16"/>
      <c r="LJJ52" s="16"/>
      <c r="LJK52" s="16"/>
      <c r="LJL52" s="16"/>
      <c r="LJM52" s="16"/>
      <c r="LJN52" s="16"/>
      <c r="LJO52" s="16"/>
      <c r="LJP52" s="16"/>
      <c r="LJQ52" s="16"/>
      <c r="LJR52" s="16"/>
      <c r="LJS52" s="16"/>
      <c r="LJT52" s="16"/>
      <c r="LJU52" s="16"/>
      <c r="LJV52" s="16"/>
      <c r="LJW52" s="16"/>
      <c r="LJX52" s="16"/>
      <c r="LJY52" s="16"/>
      <c r="LJZ52" s="16"/>
      <c r="LKA52" s="16"/>
      <c r="LKB52" s="16"/>
      <c r="LKC52" s="16"/>
      <c r="LKD52" s="16"/>
      <c r="LKE52" s="16"/>
      <c r="LKF52" s="16"/>
      <c r="LKG52" s="16"/>
      <c r="LKH52" s="16"/>
      <c r="LKI52" s="16"/>
      <c r="LKJ52" s="16"/>
      <c r="LKK52" s="16"/>
      <c r="LKL52" s="16"/>
      <c r="LKM52" s="16"/>
      <c r="LKN52" s="16"/>
      <c r="LKO52" s="16"/>
      <c r="LKP52" s="16"/>
      <c r="LKQ52" s="16"/>
      <c r="LKR52" s="16"/>
      <c r="LKS52" s="16"/>
      <c r="LKT52" s="16"/>
      <c r="LKU52" s="16"/>
      <c r="LKV52" s="16"/>
      <c r="LKW52" s="16"/>
      <c r="LKX52" s="16"/>
      <c r="LKY52" s="16"/>
      <c r="LKZ52" s="16"/>
      <c r="LLA52" s="16"/>
      <c r="LLB52" s="16"/>
      <c r="LLC52" s="16"/>
      <c r="LLD52" s="16"/>
      <c r="LLE52" s="16"/>
      <c r="LLF52" s="16"/>
      <c r="LLG52" s="16"/>
      <c r="LLH52" s="16"/>
      <c r="LLI52" s="16"/>
      <c r="LLJ52" s="16"/>
      <c r="LLK52" s="16"/>
      <c r="LLL52" s="16"/>
      <c r="LLM52" s="16"/>
      <c r="LLN52" s="16"/>
      <c r="LLO52" s="16"/>
      <c r="LLP52" s="16"/>
      <c r="LLQ52" s="16"/>
      <c r="LLR52" s="16"/>
      <c r="LLS52" s="16"/>
      <c r="LLT52" s="16"/>
      <c r="LLU52" s="16"/>
      <c r="LLV52" s="16"/>
      <c r="LLW52" s="16"/>
      <c r="LLX52" s="16"/>
      <c r="LLY52" s="16"/>
      <c r="LLZ52" s="16"/>
      <c r="LMA52" s="16"/>
      <c r="LMB52" s="16"/>
      <c r="LMC52" s="16"/>
      <c r="LMD52" s="16"/>
      <c r="LME52" s="16"/>
      <c r="LMF52" s="16"/>
      <c r="LMG52" s="16"/>
      <c r="LMH52" s="16"/>
      <c r="LMI52" s="16"/>
      <c r="LMJ52" s="16"/>
      <c r="LMK52" s="16"/>
      <c r="LML52" s="16"/>
      <c r="LMM52" s="16"/>
      <c r="LMN52" s="16"/>
      <c r="LMO52" s="16"/>
      <c r="LMP52" s="16"/>
      <c r="LMQ52" s="16"/>
      <c r="LMR52" s="16"/>
      <c r="LMS52" s="16"/>
      <c r="LMT52" s="16"/>
      <c r="LMU52" s="16"/>
      <c r="LMV52" s="16"/>
      <c r="LMW52" s="16"/>
      <c r="LMX52" s="16"/>
      <c r="LMY52" s="16"/>
      <c r="LMZ52" s="16"/>
      <c r="LNA52" s="16"/>
      <c r="LNB52" s="16"/>
      <c r="LNC52" s="16"/>
      <c r="LND52" s="16"/>
      <c r="LNE52" s="16"/>
      <c r="LNF52" s="16"/>
      <c r="LNG52" s="16"/>
      <c r="LNH52" s="16"/>
      <c r="LNI52" s="16"/>
      <c r="LNJ52" s="16"/>
      <c r="LNK52" s="16"/>
      <c r="LNL52" s="16"/>
      <c r="LNM52" s="16"/>
      <c r="LNN52" s="16"/>
      <c r="LNO52" s="16"/>
      <c r="LNP52" s="16"/>
      <c r="LNQ52" s="16"/>
      <c r="LNR52" s="16"/>
      <c r="LNS52" s="16"/>
      <c r="LNT52" s="16"/>
      <c r="LNU52" s="16"/>
      <c r="LNV52" s="16"/>
      <c r="LNW52" s="16"/>
      <c r="LNX52" s="16"/>
      <c r="LNY52" s="16"/>
      <c r="LNZ52" s="16"/>
      <c r="LOA52" s="16"/>
      <c r="LOB52" s="16"/>
      <c r="LOC52" s="16"/>
      <c r="LOD52" s="16"/>
      <c r="LOE52" s="16"/>
      <c r="LOF52" s="16"/>
      <c r="LOG52" s="16"/>
      <c r="LOH52" s="16"/>
      <c r="LOI52" s="16"/>
      <c r="LOJ52" s="16"/>
      <c r="LOK52" s="16"/>
      <c r="LOL52" s="16"/>
      <c r="LOM52" s="16"/>
      <c r="LON52" s="16"/>
      <c r="LOO52" s="16"/>
      <c r="LOP52" s="16"/>
      <c r="LOQ52" s="16"/>
      <c r="LOR52" s="16"/>
      <c r="LOS52" s="16"/>
      <c r="LOT52" s="16"/>
      <c r="LOU52" s="16"/>
      <c r="LOV52" s="16"/>
      <c r="LOW52" s="16"/>
      <c r="LOX52" s="16"/>
      <c r="LOY52" s="16"/>
      <c r="LOZ52" s="16"/>
      <c r="LPA52" s="16"/>
      <c r="LPB52" s="16"/>
      <c r="LPC52" s="16"/>
      <c r="LPD52" s="16"/>
      <c r="LPE52" s="16"/>
      <c r="LPF52" s="16"/>
      <c r="LPG52" s="16"/>
      <c r="LPH52" s="16"/>
      <c r="LPI52" s="16"/>
      <c r="LPJ52" s="16"/>
      <c r="LPK52" s="16"/>
      <c r="LPL52" s="16"/>
      <c r="LPM52" s="16"/>
      <c r="LPN52" s="16"/>
      <c r="LPO52" s="16"/>
      <c r="LPP52" s="16"/>
      <c r="LPQ52" s="16"/>
      <c r="LPR52" s="16"/>
      <c r="LPS52" s="16"/>
      <c r="LPT52" s="16"/>
      <c r="LPU52" s="16"/>
      <c r="LPV52" s="16"/>
      <c r="LPW52" s="16"/>
      <c r="LPX52" s="16"/>
      <c r="LPY52" s="16"/>
      <c r="LPZ52" s="16"/>
      <c r="LQA52" s="16"/>
      <c r="LQB52" s="16"/>
      <c r="LQC52" s="16"/>
      <c r="LQD52" s="16"/>
      <c r="LQE52" s="16"/>
      <c r="LQF52" s="16"/>
      <c r="LQG52" s="16"/>
      <c r="LQH52" s="16"/>
      <c r="LQI52" s="16"/>
      <c r="LQJ52" s="16"/>
      <c r="LQK52" s="16"/>
      <c r="LQL52" s="16"/>
      <c r="LQM52" s="16"/>
      <c r="LQN52" s="16"/>
      <c r="LQO52" s="16"/>
      <c r="LQP52" s="16"/>
      <c r="LQQ52" s="16"/>
      <c r="LQR52" s="16"/>
      <c r="LQS52" s="16"/>
      <c r="LQT52" s="16"/>
      <c r="LQU52" s="16"/>
      <c r="LQV52" s="16"/>
      <c r="LQW52" s="16"/>
      <c r="LQX52" s="16"/>
      <c r="LQY52" s="16"/>
      <c r="LQZ52" s="16"/>
      <c r="LRA52" s="16"/>
      <c r="LRB52" s="16"/>
      <c r="LRC52" s="16"/>
      <c r="LRD52" s="16"/>
      <c r="LRE52" s="16"/>
      <c r="LRF52" s="16"/>
      <c r="LRG52" s="16"/>
      <c r="LRH52" s="16"/>
      <c r="LRI52" s="16"/>
      <c r="LRJ52" s="16"/>
      <c r="LRK52" s="16"/>
      <c r="LRL52" s="16"/>
      <c r="LRM52" s="16"/>
      <c r="LRN52" s="16"/>
      <c r="LRO52" s="16"/>
      <c r="LRP52" s="16"/>
      <c r="LRQ52" s="16"/>
      <c r="LRR52" s="16"/>
      <c r="LRS52" s="16"/>
      <c r="LRT52" s="16"/>
      <c r="LRU52" s="16"/>
      <c r="LRV52" s="16"/>
      <c r="LRW52" s="16"/>
      <c r="LRX52" s="16"/>
      <c r="LRY52" s="16"/>
      <c r="LRZ52" s="16"/>
      <c r="LSA52" s="16"/>
      <c r="LSB52" s="16"/>
      <c r="LSC52" s="16"/>
      <c r="LSD52" s="16"/>
      <c r="LSE52" s="16"/>
      <c r="LSF52" s="16"/>
      <c r="LSG52" s="16"/>
      <c r="LSH52" s="16"/>
      <c r="LSI52" s="16"/>
      <c r="LSJ52" s="16"/>
      <c r="LSK52" s="16"/>
      <c r="LSL52" s="16"/>
      <c r="LSM52" s="16"/>
      <c r="LSN52" s="16"/>
      <c r="LSO52" s="16"/>
      <c r="LSP52" s="16"/>
      <c r="LSQ52" s="16"/>
      <c r="LSR52" s="16"/>
      <c r="LSS52" s="16"/>
      <c r="LST52" s="16"/>
      <c r="LSU52" s="16"/>
      <c r="LSV52" s="16"/>
      <c r="LSW52" s="16"/>
      <c r="LSX52" s="16"/>
      <c r="LSY52" s="16"/>
      <c r="LSZ52" s="16"/>
      <c r="LTA52" s="16"/>
      <c r="LTB52" s="16"/>
      <c r="LTC52" s="16"/>
      <c r="LTD52" s="16"/>
      <c r="LTE52" s="16"/>
      <c r="LTF52" s="16"/>
      <c r="LTG52" s="16"/>
      <c r="LTH52" s="16"/>
      <c r="LTI52" s="16"/>
      <c r="LTJ52" s="16"/>
      <c r="LTK52" s="16"/>
      <c r="LTL52" s="16"/>
      <c r="LTM52" s="16"/>
      <c r="LTN52" s="16"/>
      <c r="LTO52" s="16"/>
      <c r="LTP52" s="16"/>
      <c r="LTQ52" s="16"/>
      <c r="LTR52" s="16"/>
      <c r="LTS52" s="16"/>
      <c r="LTT52" s="16"/>
      <c r="LTU52" s="16"/>
      <c r="LTV52" s="16"/>
      <c r="LTW52" s="16"/>
      <c r="LTX52" s="16"/>
      <c r="LTY52" s="16"/>
      <c r="LTZ52" s="16"/>
      <c r="LUA52" s="16"/>
      <c r="LUB52" s="16"/>
      <c r="LUC52" s="16"/>
      <c r="LUD52" s="16"/>
      <c r="LUE52" s="16"/>
      <c r="LUF52" s="16"/>
      <c r="LUG52" s="16"/>
      <c r="LUH52" s="16"/>
      <c r="LUI52" s="16"/>
      <c r="LUJ52" s="16"/>
      <c r="LUK52" s="16"/>
      <c r="LUL52" s="16"/>
      <c r="LUM52" s="16"/>
      <c r="LUN52" s="16"/>
      <c r="LUO52" s="16"/>
      <c r="LUP52" s="16"/>
      <c r="LUQ52" s="16"/>
      <c r="LUR52" s="16"/>
      <c r="LUS52" s="16"/>
      <c r="LUT52" s="16"/>
      <c r="LUU52" s="16"/>
      <c r="LUV52" s="16"/>
      <c r="LUW52" s="16"/>
      <c r="LUX52" s="16"/>
      <c r="LUY52" s="16"/>
      <c r="LUZ52" s="16"/>
      <c r="LVA52" s="16"/>
      <c r="LVB52" s="16"/>
      <c r="LVC52" s="16"/>
      <c r="LVD52" s="16"/>
      <c r="LVE52" s="16"/>
      <c r="LVF52" s="16"/>
      <c r="LVG52" s="16"/>
      <c r="LVH52" s="16"/>
      <c r="LVI52" s="16"/>
      <c r="LVJ52" s="16"/>
      <c r="LVK52" s="16"/>
      <c r="LVL52" s="16"/>
      <c r="LVM52" s="16"/>
      <c r="LVN52" s="16"/>
      <c r="LVO52" s="16"/>
      <c r="LVP52" s="16"/>
      <c r="LVQ52" s="16"/>
      <c r="LVR52" s="16"/>
      <c r="LVS52" s="16"/>
      <c r="LVT52" s="16"/>
      <c r="LVU52" s="16"/>
      <c r="LVV52" s="16"/>
      <c r="LVW52" s="16"/>
      <c r="LVX52" s="16"/>
      <c r="LVY52" s="16"/>
      <c r="LVZ52" s="16"/>
      <c r="LWA52" s="16"/>
      <c r="LWB52" s="16"/>
      <c r="LWC52" s="16"/>
      <c r="LWD52" s="16"/>
      <c r="LWE52" s="16"/>
      <c r="LWF52" s="16"/>
      <c r="LWG52" s="16"/>
      <c r="LWH52" s="16"/>
      <c r="LWI52" s="16"/>
      <c r="LWJ52" s="16"/>
      <c r="LWK52" s="16"/>
      <c r="LWL52" s="16"/>
      <c r="LWM52" s="16"/>
      <c r="LWN52" s="16"/>
      <c r="LWO52" s="16"/>
      <c r="LWP52" s="16"/>
      <c r="LWQ52" s="16"/>
      <c r="LWR52" s="16"/>
      <c r="LWS52" s="16"/>
      <c r="LWT52" s="16"/>
      <c r="LWU52" s="16"/>
      <c r="LWV52" s="16"/>
      <c r="LWW52" s="16"/>
      <c r="LWX52" s="16"/>
      <c r="LWY52" s="16"/>
      <c r="LWZ52" s="16"/>
      <c r="LXA52" s="16"/>
      <c r="LXB52" s="16"/>
      <c r="LXC52" s="16"/>
      <c r="LXD52" s="16"/>
      <c r="LXE52" s="16"/>
      <c r="LXF52" s="16"/>
      <c r="LXG52" s="16"/>
      <c r="LXH52" s="16"/>
      <c r="LXI52" s="16"/>
      <c r="LXJ52" s="16"/>
      <c r="LXK52" s="16"/>
      <c r="LXL52" s="16"/>
      <c r="LXM52" s="16"/>
      <c r="LXN52" s="16"/>
      <c r="LXO52" s="16"/>
      <c r="LXP52" s="16"/>
      <c r="LXQ52" s="16"/>
      <c r="LXR52" s="16"/>
      <c r="LXS52" s="16"/>
      <c r="LXT52" s="16"/>
      <c r="LXU52" s="16"/>
      <c r="LXV52" s="16"/>
      <c r="LXW52" s="16"/>
      <c r="LXX52" s="16"/>
      <c r="LXY52" s="16"/>
      <c r="LXZ52" s="16"/>
      <c r="LYA52" s="16"/>
      <c r="LYB52" s="16"/>
      <c r="LYC52" s="16"/>
      <c r="LYD52" s="16"/>
      <c r="LYE52" s="16"/>
      <c r="LYF52" s="16"/>
      <c r="LYG52" s="16"/>
      <c r="LYH52" s="16"/>
      <c r="LYI52" s="16"/>
      <c r="LYJ52" s="16"/>
      <c r="LYK52" s="16"/>
      <c r="LYL52" s="16"/>
      <c r="LYM52" s="16"/>
      <c r="LYN52" s="16"/>
      <c r="LYO52" s="16"/>
      <c r="LYP52" s="16"/>
      <c r="LYQ52" s="16"/>
      <c r="LYR52" s="16"/>
      <c r="LYS52" s="16"/>
      <c r="LYT52" s="16"/>
      <c r="LYU52" s="16"/>
      <c r="LYV52" s="16"/>
      <c r="LYW52" s="16"/>
      <c r="LYX52" s="16"/>
      <c r="LYY52" s="16"/>
      <c r="LYZ52" s="16"/>
      <c r="LZA52" s="16"/>
      <c r="LZB52" s="16"/>
      <c r="LZC52" s="16"/>
      <c r="LZD52" s="16"/>
      <c r="LZE52" s="16"/>
      <c r="LZF52" s="16"/>
      <c r="LZG52" s="16"/>
      <c r="LZH52" s="16"/>
      <c r="LZI52" s="16"/>
      <c r="LZJ52" s="16"/>
      <c r="LZK52" s="16"/>
      <c r="LZL52" s="16"/>
      <c r="LZM52" s="16"/>
      <c r="LZN52" s="16"/>
      <c r="LZO52" s="16"/>
      <c r="LZP52" s="16"/>
      <c r="LZQ52" s="16"/>
      <c r="LZR52" s="16"/>
      <c r="LZS52" s="16"/>
      <c r="LZT52" s="16"/>
      <c r="LZU52" s="16"/>
      <c r="LZV52" s="16"/>
      <c r="LZW52" s="16"/>
      <c r="LZX52" s="16"/>
      <c r="LZY52" s="16"/>
      <c r="LZZ52" s="16"/>
      <c r="MAA52" s="16"/>
      <c r="MAB52" s="16"/>
      <c r="MAC52" s="16"/>
      <c r="MAD52" s="16"/>
      <c r="MAE52" s="16"/>
      <c r="MAF52" s="16"/>
      <c r="MAG52" s="16"/>
      <c r="MAH52" s="16"/>
      <c r="MAI52" s="16"/>
      <c r="MAJ52" s="16"/>
      <c r="MAK52" s="16"/>
      <c r="MAL52" s="16"/>
      <c r="MAM52" s="16"/>
      <c r="MAN52" s="16"/>
      <c r="MAO52" s="16"/>
      <c r="MAP52" s="16"/>
      <c r="MAQ52" s="16"/>
      <c r="MAR52" s="16"/>
      <c r="MAS52" s="16"/>
      <c r="MAT52" s="16"/>
      <c r="MAU52" s="16"/>
      <c r="MAV52" s="16"/>
      <c r="MAW52" s="16"/>
      <c r="MAX52" s="16"/>
      <c r="MAY52" s="16"/>
      <c r="MAZ52" s="16"/>
      <c r="MBA52" s="16"/>
      <c r="MBB52" s="16"/>
      <c r="MBC52" s="16"/>
      <c r="MBD52" s="16"/>
      <c r="MBE52" s="16"/>
      <c r="MBF52" s="16"/>
      <c r="MBG52" s="16"/>
      <c r="MBH52" s="16"/>
      <c r="MBI52" s="16"/>
      <c r="MBJ52" s="16"/>
      <c r="MBK52" s="16"/>
      <c r="MBL52" s="16"/>
      <c r="MBM52" s="16"/>
      <c r="MBN52" s="16"/>
      <c r="MBO52" s="16"/>
      <c r="MBP52" s="16"/>
      <c r="MBQ52" s="16"/>
      <c r="MBR52" s="16"/>
      <c r="MBS52" s="16"/>
      <c r="MBT52" s="16"/>
      <c r="MBU52" s="16"/>
      <c r="MBV52" s="16"/>
      <c r="MBW52" s="16"/>
      <c r="MBX52" s="16"/>
      <c r="MBY52" s="16"/>
      <c r="MBZ52" s="16"/>
      <c r="MCA52" s="16"/>
      <c r="MCB52" s="16"/>
      <c r="MCC52" s="16"/>
      <c r="MCD52" s="16"/>
      <c r="MCE52" s="16"/>
      <c r="MCF52" s="16"/>
      <c r="MCG52" s="16"/>
      <c r="MCH52" s="16"/>
      <c r="MCI52" s="16"/>
      <c r="MCJ52" s="16"/>
      <c r="MCK52" s="16"/>
      <c r="MCL52" s="16"/>
      <c r="MCM52" s="16"/>
      <c r="MCN52" s="16"/>
      <c r="MCO52" s="16"/>
      <c r="MCP52" s="16"/>
      <c r="MCQ52" s="16"/>
      <c r="MCR52" s="16"/>
      <c r="MCS52" s="16"/>
      <c r="MCT52" s="16"/>
      <c r="MCU52" s="16"/>
      <c r="MCV52" s="16"/>
      <c r="MCW52" s="16"/>
      <c r="MCX52" s="16"/>
      <c r="MCY52" s="16"/>
      <c r="MCZ52" s="16"/>
      <c r="MDA52" s="16"/>
      <c r="MDB52" s="16"/>
      <c r="MDC52" s="16"/>
      <c r="MDD52" s="16"/>
      <c r="MDE52" s="16"/>
      <c r="MDF52" s="16"/>
      <c r="MDG52" s="16"/>
      <c r="MDH52" s="16"/>
      <c r="MDI52" s="16"/>
      <c r="MDJ52" s="16"/>
      <c r="MDK52" s="16"/>
      <c r="MDL52" s="16"/>
      <c r="MDM52" s="16"/>
      <c r="MDN52" s="16"/>
      <c r="MDO52" s="16"/>
      <c r="MDP52" s="16"/>
      <c r="MDQ52" s="16"/>
      <c r="MDR52" s="16"/>
      <c r="MDS52" s="16"/>
      <c r="MDT52" s="16"/>
      <c r="MDU52" s="16"/>
      <c r="MDV52" s="16"/>
      <c r="MDW52" s="16"/>
      <c r="MDX52" s="16"/>
      <c r="MDY52" s="16"/>
      <c r="MDZ52" s="16"/>
      <c r="MEA52" s="16"/>
      <c r="MEB52" s="16"/>
      <c r="MEC52" s="16"/>
      <c r="MED52" s="16"/>
      <c r="MEE52" s="16"/>
      <c r="MEF52" s="16"/>
      <c r="MEG52" s="16"/>
      <c r="MEH52" s="16"/>
      <c r="MEI52" s="16"/>
      <c r="MEJ52" s="16"/>
      <c r="MEK52" s="16"/>
      <c r="MEL52" s="16"/>
      <c r="MEM52" s="16"/>
      <c r="MEN52" s="16"/>
      <c r="MEO52" s="16"/>
      <c r="MEP52" s="16"/>
      <c r="MEQ52" s="16"/>
      <c r="MER52" s="16"/>
      <c r="MES52" s="16"/>
      <c r="MET52" s="16"/>
      <c r="MEU52" s="16"/>
      <c r="MEV52" s="16"/>
      <c r="MEW52" s="16"/>
      <c r="MEX52" s="16"/>
      <c r="MEY52" s="16"/>
      <c r="MEZ52" s="16"/>
      <c r="MFA52" s="16"/>
      <c r="MFB52" s="16"/>
      <c r="MFC52" s="16"/>
      <c r="MFD52" s="16"/>
      <c r="MFE52" s="16"/>
      <c r="MFF52" s="16"/>
      <c r="MFG52" s="16"/>
      <c r="MFH52" s="16"/>
      <c r="MFI52" s="16"/>
      <c r="MFJ52" s="16"/>
      <c r="MFK52" s="16"/>
      <c r="MFL52" s="16"/>
      <c r="MFM52" s="16"/>
      <c r="MFN52" s="16"/>
      <c r="MFO52" s="16"/>
      <c r="MFP52" s="16"/>
      <c r="MFQ52" s="16"/>
      <c r="MFR52" s="16"/>
      <c r="MFS52" s="16"/>
      <c r="MFT52" s="16"/>
      <c r="MFU52" s="16"/>
      <c r="MFV52" s="16"/>
      <c r="MFW52" s="16"/>
      <c r="MFX52" s="16"/>
      <c r="MFY52" s="16"/>
      <c r="MFZ52" s="16"/>
      <c r="MGA52" s="16"/>
      <c r="MGB52" s="16"/>
      <c r="MGC52" s="16"/>
      <c r="MGD52" s="16"/>
      <c r="MGE52" s="16"/>
      <c r="MGF52" s="16"/>
      <c r="MGG52" s="16"/>
      <c r="MGH52" s="16"/>
      <c r="MGI52" s="16"/>
      <c r="MGJ52" s="16"/>
      <c r="MGK52" s="16"/>
      <c r="MGL52" s="16"/>
      <c r="MGM52" s="16"/>
      <c r="MGN52" s="16"/>
      <c r="MGO52" s="16"/>
      <c r="MGP52" s="16"/>
      <c r="MGQ52" s="16"/>
      <c r="MGR52" s="16"/>
      <c r="MGS52" s="16"/>
      <c r="MGT52" s="16"/>
      <c r="MGU52" s="16"/>
      <c r="MGV52" s="16"/>
      <c r="MGW52" s="16"/>
      <c r="MGX52" s="16"/>
      <c r="MGY52" s="16"/>
      <c r="MGZ52" s="16"/>
      <c r="MHA52" s="16"/>
      <c r="MHB52" s="16"/>
      <c r="MHC52" s="16"/>
      <c r="MHD52" s="16"/>
      <c r="MHE52" s="16"/>
      <c r="MHF52" s="16"/>
      <c r="MHG52" s="16"/>
      <c r="MHH52" s="16"/>
      <c r="MHI52" s="16"/>
      <c r="MHJ52" s="16"/>
      <c r="MHK52" s="16"/>
      <c r="MHL52" s="16"/>
      <c r="MHM52" s="16"/>
      <c r="MHN52" s="16"/>
      <c r="MHO52" s="16"/>
      <c r="MHP52" s="16"/>
      <c r="MHQ52" s="16"/>
      <c r="MHR52" s="16"/>
      <c r="MHS52" s="16"/>
      <c r="MHT52" s="16"/>
      <c r="MHU52" s="16"/>
      <c r="MHV52" s="16"/>
      <c r="MHW52" s="16"/>
      <c r="MHX52" s="16"/>
      <c r="MHY52" s="16"/>
      <c r="MHZ52" s="16"/>
      <c r="MIA52" s="16"/>
      <c r="MIB52" s="16"/>
      <c r="MIC52" s="16"/>
      <c r="MID52" s="16"/>
      <c r="MIE52" s="16"/>
      <c r="MIF52" s="16"/>
      <c r="MIG52" s="16"/>
      <c r="MIH52" s="16"/>
      <c r="MII52" s="16"/>
      <c r="MIJ52" s="16"/>
      <c r="MIK52" s="16"/>
      <c r="MIL52" s="16"/>
      <c r="MIM52" s="16"/>
      <c r="MIN52" s="16"/>
      <c r="MIO52" s="16"/>
      <c r="MIP52" s="16"/>
      <c r="MIQ52" s="16"/>
      <c r="MIR52" s="16"/>
      <c r="MIS52" s="16"/>
      <c r="MIT52" s="16"/>
      <c r="MIU52" s="16"/>
      <c r="MIV52" s="16"/>
      <c r="MIW52" s="16"/>
      <c r="MIX52" s="16"/>
      <c r="MIY52" s="16"/>
      <c r="MIZ52" s="16"/>
      <c r="MJA52" s="16"/>
      <c r="MJB52" s="16"/>
      <c r="MJC52" s="16"/>
      <c r="MJD52" s="16"/>
      <c r="MJE52" s="16"/>
      <c r="MJF52" s="16"/>
      <c r="MJG52" s="16"/>
      <c r="MJH52" s="16"/>
      <c r="MJI52" s="16"/>
      <c r="MJJ52" s="16"/>
      <c r="MJK52" s="16"/>
      <c r="MJL52" s="16"/>
      <c r="MJM52" s="16"/>
      <c r="MJN52" s="16"/>
      <c r="MJO52" s="16"/>
      <c r="MJP52" s="16"/>
      <c r="MJQ52" s="16"/>
      <c r="MJR52" s="16"/>
      <c r="MJS52" s="16"/>
      <c r="MJT52" s="16"/>
      <c r="MJU52" s="16"/>
      <c r="MJV52" s="16"/>
      <c r="MJW52" s="16"/>
      <c r="MJX52" s="16"/>
      <c r="MJY52" s="16"/>
      <c r="MJZ52" s="16"/>
      <c r="MKA52" s="16"/>
      <c r="MKB52" s="16"/>
      <c r="MKC52" s="16"/>
      <c r="MKD52" s="16"/>
      <c r="MKE52" s="16"/>
      <c r="MKF52" s="16"/>
      <c r="MKG52" s="16"/>
      <c r="MKH52" s="16"/>
      <c r="MKI52" s="16"/>
      <c r="MKJ52" s="16"/>
      <c r="MKK52" s="16"/>
      <c r="MKL52" s="16"/>
      <c r="MKM52" s="16"/>
      <c r="MKN52" s="16"/>
      <c r="MKO52" s="16"/>
      <c r="MKP52" s="16"/>
      <c r="MKQ52" s="16"/>
      <c r="MKR52" s="16"/>
      <c r="MKS52" s="16"/>
      <c r="MKT52" s="16"/>
      <c r="MKU52" s="16"/>
      <c r="MKV52" s="16"/>
      <c r="MKW52" s="16"/>
      <c r="MKX52" s="16"/>
      <c r="MKY52" s="16"/>
      <c r="MKZ52" s="16"/>
      <c r="MLA52" s="16"/>
      <c r="MLB52" s="16"/>
      <c r="MLC52" s="16"/>
      <c r="MLD52" s="16"/>
      <c r="MLE52" s="16"/>
      <c r="MLF52" s="16"/>
      <c r="MLG52" s="16"/>
      <c r="MLH52" s="16"/>
      <c r="MLI52" s="16"/>
      <c r="MLJ52" s="16"/>
      <c r="MLK52" s="16"/>
      <c r="MLL52" s="16"/>
      <c r="MLM52" s="16"/>
      <c r="MLN52" s="16"/>
      <c r="MLO52" s="16"/>
      <c r="MLP52" s="16"/>
      <c r="MLQ52" s="16"/>
      <c r="MLR52" s="16"/>
      <c r="MLS52" s="16"/>
      <c r="MLT52" s="16"/>
      <c r="MLU52" s="16"/>
      <c r="MLV52" s="16"/>
      <c r="MLW52" s="16"/>
      <c r="MLX52" s="16"/>
      <c r="MLY52" s="16"/>
      <c r="MLZ52" s="16"/>
      <c r="MMA52" s="16"/>
      <c r="MMB52" s="16"/>
      <c r="MMC52" s="16"/>
      <c r="MMD52" s="16"/>
      <c r="MME52" s="16"/>
      <c r="MMF52" s="16"/>
      <c r="MMG52" s="16"/>
      <c r="MMH52" s="16"/>
      <c r="MMI52" s="16"/>
      <c r="MMJ52" s="16"/>
      <c r="MMK52" s="16"/>
      <c r="MML52" s="16"/>
      <c r="MMM52" s="16"/>
      <c r="MMN52" s="16"/>
      <c r="MMO52" s="16"/>
      <c r="MMP52" s="16"/>
      <c r="MMQ52" s="16"/>
      <c r="MMR52" s="16"/>
      <c r="MMS52" s="16"/>
      <c r="MMT52" s="16"/>
      <c r="MMU52" s="16"/>
      <c r="MMV52" s="16"/>
      <c r="MMW52" s="16"/>
      <c r="MMX52" s="16"/>
      <c r="MMY52" s="16"/>
      <c r="MMZ52" s="16"/>
      <c r="MNA52" s="16"/>
      <c r="MNB52" s="16"/>
      <c r="MNC52" s="16"/>
      <c r="MND52" s="16"/>
      <c r="MNE52" s="16"/>
      <c r="MNF52" s="16"/>
      <c r="MNG52" s="16"/>
      <c r="MNH52" s="16"/>
      <c r="MNI52" s="16"/>
      <c r="MNJ52" s="16"/>
      <c r="MNK52" s="16"/>
      <c r="MNL52" s="16"/>
      <c r="MNM52" s="16"/>
      <c r="MNN52" s="16"/>
      <c r="MNO52" s="16"/>
      <c r="MNP52" s="16"/>
      <c r="MNQ52" s="16"/>
      <c r="MNR52" s="16"/>
      <c r="MNS52" s="16"/>
      <c r="MNT52" s="16"/>
      <c r="MNU52" s="16"/>
      <c r="MNV52" s="16"/>
      <c r="MNW52" s="16"/>
      <c r="MNX52" s="16"/>
      <c r="MNY52" s="16"/>
      <c r="MNZ52" s="16"/>
      <c r="MOA52" s="16"/>
      <c r="MOB52" s="16"/>
      <c r="MOC52" s="16"/>
      <c r="MOD52" s="16"/>
      <c r="MOE52" s="16"/>
      <c r="MOF52" s="16"/>
      <c r="MOG52" s="16"/>
      <c r="MOH52" s="16"/>
      <c r="MOI52" s="16"/>
      <c r="MOJ52" s="16"/>
      <c r="MOK52" s="16"/>
      <c r="MOL52" s="16"/>
      <c r="MOM52" s="16"/>
      <c r="MON52" s="16"/>
      <c r="MOO52" s="16"/>
      <c r="MOP52" s="16"/>
      <c r="MOQ52" s="16"/>
      <c r="MOR52" s="16"/>
      <c r="MOS52" s="16"/>
      <c r="MOT52" s="16"/>
      <c r="MOU52" s="16"/>
      <c r="MOV52" s="16"/>
      <c r="MOW52" s="16"/>
      <c r="MOX52" s="16"/>
      <c r="MOY52" s="16"/>
      <c r="MOZ52" s="16"/>
      <c r="MPA52" s="16"/>
      <c r="MPB52" s="16"/>
      <c r="MPC52" s="16"/>
      <c r="MPD52" s="16"/>
      <c r="MPE52" s="16"/>
      <c r="MPF52" s="16"/>
      <c r="MPG52" s="16"/>
      <c r="MPH52" s="16"/>
      <c r="MPI52" s="16"/>
      <c r="MPJ52" s="16"/>
      <c r="MPK52" s="16"/>
      <c r="MPL52" s="16"/>
      <c r="MPM52" s="16"/>
      <c r="MPN52" s="16"/>
      <c r="MPO52" s="16"/>
      <c r="MPP52" s="16"/>
      <c r="MPQ52" s="16"/>
      <c r="MPR52" s="16"/>
      <c r="MPS52" s="16"/>
      <c r="MPT52" s="16"/>
      <c r="MPU52" s="16"/>
      <c r="MPV52" s="16"/>
      <c r="MPW52" s="16"/>
      <c r="MPX52" s="16"/>
      <c r="MPY52" s="16"/>
      <c r="MPZ52" s="16"/>
      <c r="MQA52" s="16"/>
      <c r="MQB52" s="16"/>
      <c r="MQC52" s="16"/>
      <c r="MQD52" s="16"/>
      <c r="MQE52" s="16"/>
      <c r="MQF52" s="16"/>
      <c r="MQG52" s="16"/>
      <c r="MQH52" s="16"/>
      <c r="MQI52" s="16"/>
      <c r="MQJ52" s="16"/>
      <c r="MQK52" s="16"/>
      <c r="MQL52" s="16"/>
      <c r="MQM52" s="16"/>
      <c r="MQN52" s="16"/>
      <c r="MQO52" s="16"/>
      <c r="MQP52" s="16"/>
      <c r="MQQ52" s="16"/>
      <c r="MQR52" s="16"/>
      <c r="MQS52" s="16"/>
      <c r="MQT52" s="16"/>
      <c r="MQU52" s="16"/>
      <c r="MQV52" s="16"/>
      <c r="MQW52" s="16"/>
      <c r="MQX52" s="16"/>
      <c r="MQY52" s="16"/>
      <c r="MQZ52" s="16"/>
      <c r="MRA52" s="16"/>
      <c r="MRB52" s="16"/>
      <c r="MRC52" s="16"/>
      <c r="MRD52" s="16"/>
      <c r="MRE52" s="16"/>
      <c r="MRF52" s="16"/>
      <c r="MRG52" s="16"/>
      <c r="MRH52" s="16"/>
      <c r="MRI52" s="16"/>
      <c r="MRJ52" s="16"/>
      <c r="MRK52" s="16"/>
      <c r="MRL52" s="16"/>
      <c r="MRM52" s="16"/>
      <c r="MRN52" s="16"/>
      <c r="MRO52" s="16"/>
      <c r="MRP52" s="16"/>
      <c r="MRQ52" s="16"/>
      <c r="MRR52" s="16"/>
      <c r="MRS52" s="16"/>
      <c r="MRT52" s="16"/>
      <c r="MRU52" s="16"/>
      <c r="MRV52" s="16"/>
      <c r="MRW52" s="16"/>
      <c r="MRX52" s="16"/>
      <c r="MRY52" s="16"/>
      <c r="MRZ52" s="16"/>
      <c r="MSA52" s="16"/>
      <c r="MSB52" s="16"/>
      <c r="MSC52" s="16"/>
      <c r="MSD52" s="16"/>
      <c r="MSE52" s="16"/>
      <c r="MSF52" s="16"/>
      <c r="MSG52" s="16"/>
      <c r="MSH52" s="16"/>
      <c r="MSI52" s="16"/>
      <c r="MSJ52" s="16"/>
      <c r="MSK52" s="16"/>
      <c r="MSL52" s="16"/>
      <c r="MSM52" s="16"/>
      <c r="MSN52" s="16"/>
      <c r="MSO52" s="16"/>
      <c r="MSP52" s="16"/>
      <c r="MSQ52" s="16"/>
      <c r="MSR52" s="16"/>
      <c r="MSS52" s="16"/>
      <c r="MST52" s="16"/>
      <c r="MSU52" s="16"/>
      <c r="MSV52" s="16"/>
      <c r="MSW52" s="16"/>
      <c r="MSX52" s="16"/>
      <c r="MSY52" s="16"/>
      <c r="MSZ52" s="16"/>
      <c r="MTA52" s="16"/>
      <c r="MTB52" s="16"/>
      <c r="MTC52" s="16"/>
      <c r="MTD52" s="16"/>
      <c r="MTE52" s="16"/>
      <c r="MTF52" s="16"/>
      <c r="MTG52" s="16"/>
      <c r="MTH52" s="16"/>
      <c r="MTI52" s="16"/>
      <c r="MTJ52" s="16"/>
      <c r="MTK52" s="16"/>
      <c r="MTL52" s="16"/>
      <c r="MTM52" s="16"/>
      <c r="MTN52" s="16"/>
      <c r="MTO52" s="16"/>
      <c r="MTP52" s="16"/>
      <c r="MTQ52" s="16"/>
      <c r="MTR52" s="16"/>
      <c r="MTS52" s="16"/>
      <c r="MTT52" s="16"/>
      <c r="MTU52" s="16"/>
      <c r="MTV52" s="16"/>
      <c r="MTW52" s="16"/>
      <c r="MTX52" s="16"/>
      <c r="MTY52" s="16"/>
      <c r="MTZ52" s="16"/>
      <c r="MUA52" s="16"/>
      <c r="MUB52" s="16"/>
      <c r="MUC52" s="16"/>
      <c r="MUD52" s="16"/>
      <c r="MUE52" s="16"/>
      <c r="MUF52" s="16"/>
      <c r="MUG52" s="16"/>
      <c r="MUH52" s="16"/>
      <c r="MUI52" s="16"/>
      <c r="MUJ52" s="16"/>
      <c r="MUK52" s="16"/>
      <c r="MUL52" s="16"/>
      <c r="MUM52" s="16"/>
      <c r="MUN52" s="16"/>
      <c r="MUO52" s="16"/>
      <c r="MUP52" s="16"/>
      <c r="MUQ52" s="16"/>
      <c r="MUR52" s="16"/>
      <c r="MUS52" s="16"/>
      <c r="MUT52" s="16"/>
      <c r="MUU52" s="16"/>
      <c r="MUV52" s="16"/>
      <c r="MUW52" s="16"/>
      <c r="MUX52" s="16"/>
      <c r="MUY52" s="16"/>
      <c r="MUZ52" s="16"/>
      <c r="MVA52" s="16"/>
      <c r="MVB52" s="16"/>
      <c r="MVC52" s="16"/>
      <c r="MVD52" s="16"/>
      <c r="MVE52" s="16"/>
      <c r="MVF52" s="16"/>
      <c r="MVG52" s="16"/>
      <c r="MVH52" s="16"/>
      <c r="MVI52" s="16"/>
      <c r="MVJ52" s="16"/>
      <c r="MVK52" s="16"/>
      <c r="MVL52" s="16"/>
      <c r="MVM52" s="16"/>
      <c r="MVN52" s="16"/>
      <c r="MVO52" s="16"/>
      <c r="MVP52" s="16"/>
      <c r="MVQ52" s="16"/>
      <c r="MVR52" s="16"/>
      <c r="MVS52" s="16"/>
      <c r="MVT52" s="16"/>
      <c r="MVU52" s="16"/>
      <c r="MVV52" s="16"/>
      <c r="MVW52" s="16"/>
      <c r="MVX52" s="16"/>
      <c r="MVY52" s="16"/>
      <c r="MVZ52" s="16"/>
      <c r="MWA52" s="16"/>
      <c r="MWB52" s="16"/>
      <c r="MWC52" s="16"/>
      <c r="MWD52" s="16"/>
      <c r="MWE52" s="16"/>
      <c r="MWF52" s="16"/>
      <c r="MWG52" s="16"/>
      <c r="MWH52" s="16"/>
      <c r="MWI52" s="16"/>
      <c r="MWJ52" s="16"/>
      <c r="MWK52" s="16"/>
      <c r="MWL52" s="16"/>
      <c r="MWM52" s="16"/>
      <c r="MWN52" s="16"/>
      <c r="MWO52" s="16"/>
      <c r="MWP52" s="16"/>
      <c r="MWQ52" s="16"/>
      <c r="MWR52" s="16"/>
      <c r="MWS52" s="16"/>
      <c r="MWT52" s="16"/>
      <c r="MWU52" s="16"/>
      <c r="MWV52" s="16"/>
      <c r="MWW52" s="16"/>
      <c r="MWX52" s="16"/>
      <c r="MWY52" s="16"/>
      <c r="MWZ52" s="16"/>
      <c r="MXA52" s="16"/>
      <c r="MXB52" s="16"/>
      <c r="MXC52" s="16"/>
      <c r="MXD52" s="16"/>
      <c r="MXE52" s="16"/>
      <c r="MXF52" s="16"/>
      <c r="MXG52" s="16"/>
      <c r="MXH52" s="16"/>
      <c r="MXI52" s="16"/>
      <c r="MXJ52" s="16"/>
      <c r="MXK52" s="16"/>
      <c r="MXL52" s="16"/>
      <c r="MXM52" s="16"/>
      <c r="MXN52" s="16"/>
      <c r="MXO52" s="16"/>
      <c r="MXP52" s="16"/>
      <c r="MXQ52" s="16"/>
      <c r="MXR52" s="16"/>
      <c r="MXS52" s="16"/>
      <c r="MXT52" s="16"/>
      <c r="MXU52" s="16"/>
      <c r="MXV52" s="16"/>
      <c r="MXW52" s="16"/>
      <c r="MXX52" s="16"/>
      <c r="MXY52" s="16"/>
      <c r="MXZ52" s="16"/>
      <c r="MYA52" s="16"/>
      <c r="MYB52" s="16"/>
      <c r="MYC52" s="16"/>
      <c r="MYD52" s="16"/>
      <c r="MYE52" s="16"/>
      <c r="MYF52" s="16"/>
      <c r="MYG52" s="16"/>
      <c r="MYH52" s="16"/>
      <c r="MYI52" s="16"/>
      <c r="MYJ52" s="16"/>
      <c r="MYK52" s="16"/>
      <c r="MYL52" s="16"/>
      <c r="MYM52" s="16"/>
      <c r="MYN52" s="16"/>
      <c r="MYO52" s="16"/>
      <c r="MYP52" s="16"/>
      <c r="MYQ52" s="16"/>
      <c r="MYR52" s="16"/>
      <c r="MYS52" s="16"/>
      <c r="MYT52" s="16"/>
      <c r="MYU52" s="16"/>
      <c r="MYV52" s="16"/>
      <c r="MYW52" s="16"/>
      <c r="MYX52" s="16"/>
      <c r="MYY52" s="16"/>
      <c r="MYZ52" s="16"/>
      <c r="MZA52" s="16"/>
      <c r="MZB52" s="16"/>
      <c r="MZC52" s="16"/>
      <c r="MZD52" s="16"/>
      <c r="MZE52" s="16"/>
      <c r="MZF52" s="16"/>
      <c r="MZG52" s="16"/>
      <c r="MZH52" s="16"/>
      <c r="MZI52" s="16"/>
      <c r="MZJ52" s="16"/>
      <c r="MZK52" s="16"/>
      <c r="MZL52" s="16"/>
      <c r="MZM52" s="16"/>
      <c r="MZN52" s="16"/>
      <c r="MZO52" s="16"/>
      <c r="MZP52" s="16"/>
      <c r="MZQ52" s="16"/>
      <c r="MZR52" s="16"/>
      <c r="MZS52" s="16"/>
      <c r="MZT52" s="16"/>
      <c r="MZU52" s="16"/>
      <c r="MZV52" s="16"/>
      <c r="MZW52" s="16"/>
      <c r="MZX52" s="16"/>
      <c r="MZY52" s="16"/>
      <c r="MZZ52" s="16"/>
      <c r="NAA52" s="16"/>
      <c r="NAB52" s="16"/>
      <c r="NAC52" s="16"/>
      <c r="NAD52" s="16"/>
      <c r="NAE52" s="16"/>
      <c r="NAF52" s="16"/>
      <c r="NAG52" s="16"/>
      <c r="NAH52" s="16"/>
      <c r="NAI52" s="16"/>
      <c r="NAJ52" s="16"/>
      <c r="NAK52" s="16"/>
      <c r="NAL52" s="16"/>
      <c r="NAM52" s="16"/>
      <c r="NAN52" s="16"/>
      <c r="NAO52" s="16"/>
      <c r="NAP52" s="16"/>
      <c r="NAQ52" s="16"/>
      <c r="NAR52" s="16"/>
      <c r="NAS52" s="16"/>
      <c r="NAT52" s="16"/>
      <c r="NAU52" s="16"/>
      <c r="NAV52" s="16"/>
      <c r="NAW52" s="16"/>
      <c r="NAX52" s="16"/>
      <c r="NAY52" s="16"/>
      <c r="NAZ52" s="16"/>
      <c r="NBA52" s="16"/>
      <c r="NBB52" s="16"/>
      <c r="NBC52" s="16"/>
      <c r="NBD52" s="16"/>
      <c r="NBE52" s="16"/>
      <c r="NBF52" s="16"/>
      <c r="NBG52" s="16"/>
      <c r="NBH52" s="16"/>
      <c r="NBI52" s="16"/>
      <c r="NBJ52" s="16"/>
      <c r="NBK52" s="16"/>
      <c r="NBL52" s="16"/>
      <c r="NBM52" s="16"/>
      <c r="NBN52" s="16"/>
      <c r="NBO52" s="16"/>
      <c r="NBP52" s="16"/>
      <c r="NBQ52" s="16"/>
      <c r="NBR52" s="16"/>
      <c r="NBS52" s="16"/>
      <c r="NBT52" s="16"/>
      <c r="NBU52" s="16"/>
      <c r="NBV52" s="16"/>
      <c r="NBW52" s="16"/>
      <c r="NBX52" s="16"/>
      <c r="NBY52" s="16"/>
      <c r="NBZ52" s="16"/>
      <c r="NCA52" s="16"/>
      <c r="NCB52" s="16"/>
      <c r="NCC52" s="16"/>
      <c r="NCD52" s="16"/>
      <c r="NCE52" s="16"/>
      <c r="NCF52" s="16"/>
      <c r="NCG52" s="16"/>
      <c r="NCH52" s="16"/>
      <c r="NCI52" s="16"/>
      <c r="NCJ52" s="16"/>
      <c r="NCK52" s="16"/>
      <c r="NCL52" s="16"/>
      <c r="NCM52" s="16"/>
      <c r="NCN52" s="16"/>
      <c r="NCO52" s="16"/>
      <c r="NCP52" s="16"/>
      <c r="NCQ52" s="16"/>
      <c r="NCR52" s="16"/>
      <c r="NCS52" s="16"/>
      <c r="NCT52" s="16"/>
      <c r="NCU52" s="16"/>
      <c r="NCV52" s="16"/>
      <c r="NCW52" s="16"/>
      <c r="NCX52" s="16"/>
      <c r="NCY52" s="16"/>
      <c r="NCZ52" s="16"/>
      <c r="NDA52" s="16"/>
      <c r="NDB52" s="16"/>
      <c r="NDC52" s="16"/>
      <c r="NDD52" s="16"/>
      <c r="NDE52" s="16"/>
      <c r="NDF52" s="16"/>
      <c r="NDG52" s="16"/>
      <c r="NDH52" s="16"/>
      <c r="NDI52" s="16"/>
      <c r="NDJ52" s="16"/>
      <c r="NDK52" s="16"/>
      <c r="NDL52" s="16"/>
      <c r="NDM52" s="16"/>
      <c r="NDN52" s="16"/>
      <c r="NDO52" s="16"/>
      <c r="NDP52" s="16"/>
      <c r="NDQ52" s="16"/>
      <c r="NDR52" s="16"/>
      <c r="NDS52" s="16"/>
      <c r="NDT52" s="16"/>
      <c r="NDU52" s="16"/>
      <c r="NDV52" s="16"/>
      <c r="NDW52" s="16"/>
      <c r="NDX52" s="16"/>
      <c r="NDY52" s="16"/>
      <c r="NDZ52" s="16"/>
      <c r="NEA52" s="16"/>
      <c r="NEB52" s="16"/>
      <c r="NEC52" s="16"/>
      <c r="NED52" s="16"/>
      <c r="NEE52" s="16"/>
      <c r="NEF52" s="16"/>
      <c r="NEG52" s="16"/>
      <c r="NEH52" s="16"/>
      <c r="NEI52" s="16"/>
      <c r="NEJ52" s="16"/>
      <c r="NEK52" s="16"/>
      <c r="NEL52" s="16"/>
      <c r="NEM52" s="16"/>
      <c r="NEN52" s="16"/>
      <c r="NEO52" s="16"/>
      <c r="NEP52" s="16"/>
      <c r="NEQ52" s="16"/>
      <c r="NER52" s="16"/>
      <c r="NES52" s="16"/>
      <c r="NET52" s="16"/>
      <c r="NEU52" s="16"/>
      <c r="NEV52" s="16"/>
      <c r="NEW52" s="16"/>
      <c r="NEX52" s="16"/>
      <c r="NEY52" s="16"/>
      <c r="NEZ52" s="16"/>
      <c r="NFA52" s="16"/>
      <c r="NFB52" s="16"/>
      <c r="NFC52" s="16"/>
      <c r="NFD52" s="16"/>
      <c r="NFE52" s="16"/>
      <c r="NFF52" s="16"/>
      <c r="NFG52" s="16"/>
      <c r="NFH52" s="16"/>
      <c r="NFI52" s="16"/>
      <c r="NFJ52" s="16"/>
      <c r="NFK52" s="16"/>
      <c r="NFL52" s="16"/>
      <c r="NFM52" s="16"/>
      <c r="NFN52" s="16"/>
      <c r="NFO52" s="16"/>
      <c r="NFP52" s="16"/>
      <c r="NFQ52" s="16"/>
      <c r="NFR52" s="16"/>
      <c r="NFS52" s="16"/>
      <c r="NFT52" s="16"/>
      <c r="NFU52" s="16"/>
      <c r="NFV52" s="16"/>
      <c r="NFW52" s="16"/>
      <c r="NFX52" s="16"/>
      <c r="NFY52" s="16"/>
      <c r="NFZ52" s="16"/>
      <c r="NGA52" s="16"/>
      <c r="NGB52" s="16"/>
      <c r="NGC52" s="16"/>
      <c r="NGD52" s="16"/>
      <c r="NGE52" s="16"/>
      <c r="NGF52" s="16"/>
      <c r="NGG52" s="16"/>
      <c r="NGH52" s="16"/>
      <c r="NGI52" s="16"/>
      <c r="NGJ52" s="16"/>
      <c r="NGK52" s="16"/>
      <c r="NGL52" s="16"/>
      <c r="NGM52" s="16"/>
      <c r="NGN52" s="16"/>
      <c r="NGO52" s="16"/>
      <c r="NGP52" s="16"/>
      <c r="NGQ52" s="16"/>
      <c r="NGR52" s="16"/>
      <c r="NGS52" s="16"/>
      <c r="NGT52" s="16"/>
      <c r="NGU52" s="16"/>
      <c r="NGV52" s="16"/>
      <c r="NGW52" s="16"/>
      <c r="NGX52" s="16"/>
      <c r="NGY52" s="16"/>
      <c r="NGZ52" s="16"/>
      <c r="NHA52" s="16"/>
      <c r="NHB52" s="16"/>
      <c r="NHC52" s="16"/>
      <c r="NHD52" s="16"/>
      <c r="NHE52" s="16"/>
      <c r="NHF52" s="16"/>
      <c r="NHG52" s="16"/>
      <c r="NHH52" s="16"/>
      <c r="NHI52" s="16"/>
      <c r="NHJ52" s="16"/>
      <c r="NHK52" s="16"/>
      <c r="NHL52" s="16"/>
      <c r="NHM52" s="16"/>
      <c r="NHN52" s="16"/>
      <c r="NHO52" s="16"/>
      <c r="NHP52" s="16"/>
      <c r="NHQ52" s="16"/>
      <c r="NHR52" s="16"/>
      <c r="NHS52" s="16"/>
      <c r="NHT52" s="16"/>
      <c r="NHU52" s="16"/>
      <c r="NHV52" s="16"/>
      <c r="NHW52" s="16"/>
      <c r="NHX52" s="16"/>
      <c r="NHY52" s="16"/>
      <c r="NHZ52" s="16"/>
      <c r="NIA52" s="16"/>
      <c r="NIB52" s="16"/>
      <c r="NIC52" s="16"/>
      <c r="NID52" s="16"/>
      <c r="NIE52" s="16"/>
      <c r="NIF52" s="16"/>
      <c r="NIG52" s="16"/>
      <c r="NIH52" s="16"/>
      <c r="NII52" s="16"/>
      <c r="NIJ52" s="16"/>
      <c r="NIK52" s="16"/>
      <c r="NIL52" s="16"/>
      <c r="NIM52" s="16"/>
      <c r="NIN52" s="16"/>
      <c r="NIO52" s="16"/>
      <c r="NIP52" s="16"/>
      <c r="NIQ52" s="16"/>
      <c r="NIR52" s="16"/>
      <c r="NIS52" s="16"/>
      <c r="NIT52" s="16"/>
      <c r="NIU52" s="16"/>
      <c r="NIV52" s="16"/>
      <c r="NIW52" s="16"/>
      <c r="NIX52" s="16"/>
      <c r="NIY52" s="16"/>
      <c r="NIZ52" s="16"/>
      <c r="NJA52" s="16"/>
      <c r="NJB52" s="16"/>
      <c r="NJC52" s="16"/>
      <c r="NJD52" s="16"/>
      <c r="NJE52" s="16"/>
      <c r="NJF52" s="16"/>
      <c r="NJG52" s="16"/>
      <c r="NJH52" s="16"/>
      <c r="NJI52" s="16"/>
      <c r="NJJ52" s="16"/>
      <c r="NJK52" s="16"/>
      <c r="NJL52" s="16"/>
      <c r="NJM52" s="16"/>
      <c r="NJN52" s="16"/>
      <c r="NJO52" s="16"/>
      <c r="NJP52" s="16"/>
      <c r="NJQ52" s="16"/>
      <c r="NJR52" s="16"/>
      <c r="NJS52" s="16"/>
      <c r="NJT52" s="16"/>
      <c r="NJU52" s="16"/>
      <c r="NJV52" s="16"/>
      <c r="NJW52" s="16"/>
      <c r="NJX52" s="16"/>
      <c r="NJY52" s="16"/>
      <c r="NJZ52" s="16"/>
      <c r="NKA52" s="16"/>
      <c r="NKB52" s="16"/>
      <c r="NKC52" s="16"/>
      <c r="NKD52" s="16"/>
      <c r="NKE52" s="16"/>
      <c r="NKF52" s="16"/>
      <c r="NKG52" s="16"/>
      <c r="NKH52" s="16"/>
      <c r="NKI52" s="16"/>
      <c r="NKJ52" s="16"/>
      <c r="NKK52" s="16"/>
      <c r="NKL52" s="16"/>
      <c r="NKM52" s="16"/>
      <c r="NKN52" s="16"/>
      <c r="NKO52" s="16"/>
      <c r="NKP52" s="16"/>
      <c r="NKQ52" s="16"/>
      <c r="NKR52" s="16"/>
      <c r="NKS52" s="16"/>
      <c r="NKT52" s="16"/>
      <c r="NKU52" s="16"/>
      <c r="NKV52" s="16"/>
      <c r="NKW52" s="16"/>
      <c r="NKX52" s="16"/>
      <c r="NKY52" s="16"/>
      <c r="NKZ52" s="16"/>
      <c r="NLA52" s="16"/>
      <c r="NLB52" s="16"/>
      <c r="NLC52" s="16"/>
      <c r="NLD52" s="16"/>
      <c r="NLE52" s="16"/>
      <c r="NLF52" s="16"/>
      <c r="NLG52" s="16"/>
      <c r="NLH52" s="16"/>
      <c r="NLI52" s="16"/>
      <c r="NLJ52" s="16"/>
      <c r="NLK52" s="16"/>
      <c r="NLL52" s="16"/>
      <c r="NLM52" s="16"/>
      <c r="NLN52" s="16"/>
      <c r="NLO52" s="16"/>
      <c r="NLP52" s="16"/>
      <c r="NLQ52" s="16"/>
      <c r="NLR52" s="16"/>
      <c r="NLS52" s="16"/>
      <c r="NLT52" s="16"/>
      <c r="NLU52" s="16"/>
      <c r="NLV52" s="16"/>
      <c r="NLW52" s="16"/>
      <c r="NLX52" s="16"/>
      <c r="NLY52" s="16"/>
      <c r="NLZ52" s="16"/>
      <c r="NMA52" s="16"/>
      <c r="NMB52" s="16"/>
      <c r="NMC52" s="16"/>
      <c r="NMD52" s="16"/>
      <c r="NME52" s="16"/>
      <c r="NMF52" s="16"/>
      <c r="NMG52" s="16"/>
      <c r="NMH52" s="16"/>
      <c r="NMI52" s="16"/>
      <c r="NMJ52" s="16"/>
      <c r="NMK52" s="16"/>
      <c r="NML52" s="16"/>
      <c r="NMM52" s="16"/>
      <c r="NMN52" s="16"/>
      <c r="NMO52" s="16"/>
      <c r="NMP52" s="16"/>
      <c r="NMQ52" s="16"/>
      <c r="NMR52" s="16"/>
      <c r="NMS52" s="16"/>
      <c r="NMT52" s="16"/>
      <c r="NMU52" s="16"/>
      <c r="NMV52" s="16"/>
      <c r="NMW52" s="16"/>
      <c r="NMX52" s="16"/>
      <c r="NMY52" s="16"/>
      <c r="NMZ52" s="16"/>
      <c r="NNA52" s="16"/>
      <c r="NNB52" s="16"/>
      <c r="NNC52" s="16"/>
      <c r="NND52" s="16"/>
      <c r="NNE52" s="16"/>
      <c r="NNF52" s="16"/>
      <c r="NNG52" s="16"/>
      <c r="NNH52" s="16"/>
      <c r="NNI52" s="16"/>
      <c r="NNJ52" s="16"/>
      <c r="NNK52" s="16"/>
      <c r="NNL52" s="16"/>
      <c r="NNM52" s="16"/>
      <c r="NNN52" s="16"/>
      <c r="NNO52" s="16"/>
      <c r="NNP52" s="16"/>
      <c r="NNQ52" s="16"/>
      <c r="NNR52" s="16"/>
      <c r="NNS52" s="16"/>
      <c r="NNT52" s="16"/>
      <c r="NNU52" s="16"/>
      <c r="NNV52" s="16"/>
      <c r="NNW52" s="16"/>
      <c r="NNX52" s="16"/>
      <c r="NNY52" s="16"/>
      <c r="NNZ52" s="16"/>
      <c r="NOA52" s="16"/>
      <c r="NOB52" s="16"/>
      <c r="NOC52" s="16"/>
      <c r="NOD52" s="16"/>
      <c r="NOE52" s="16"/>
      <c r="NOF52" s="16"/>
      <c r="NOG52" s="16"/>
      <c r="NOH52" s="16"/>
      <c r="NOI52" s="16"/>
      <c r="NOJ52" s="16"/>
      <c r="NOK52" s="16"/>
      <c r="NOL52" s="16"/>
      <c r="NOM52" s="16"/>
      <c r="NON52" s="16"/>
      <c r="NOO52" s="16"/>
      <c r="NOP52" s="16"/>
      <c r="NOQ52" s="16"/>
      <c r="NOR52" s="16"/>
      <c r="NOS52" s="16"/>
      <c r="NOT52" s="16"/>
      <c r="NOU52" s="16"/>
      <c r="NOV52" s="16"/>
      <c r="NOW52" s="16"/>
      <c r="NOX52" s="16"/>
      <c r="NOY52" s="16"/>
      <c r="NOZ52" s="16"/>
      <c r="NPA52" s="16"/>
      <c r="NPB52" s="16"/>
      <c r="NPC52" s="16"/>
      <c r="NPD52" s="16"/>
      <c r="NPE52" s="16"/>
      <c r="NPF52" s="16"/>
      <c r="NPG52" s="16"/>
      <c r="NPH52" s="16"/>
      <c r="NPI52" s="16"/>
      <c r="NPJ52" s="16"/>
      <c r="NPK52" s="16"/>
      <c r="NPL52" s="16"/>
      <c r="NPM52" s="16"/>
      <c r="NPN52" s="16"/>
      <c r="NPO52" s="16"/>
      <c r="NPP52" s="16"/>
      <c r="NPQ52" s="16"/>
      <c r="NPR52" s="16"/>
      <c r="NPS52" s="16"/>
      <c r="NPT52" s="16"/>
      <c r="NPU52" s="16"/>
      <c r="NPV52" s="16"/>
      <c r="NPW52" s="16"/>
      <c r="NPX52" s="16"/>
      <c r="NPY52" s="16"/>
      <c r="NPZ52" s="16"/>
      <c r="NQA52" s="16"/>
      <c r="NQB52" s="16"/>
      <c r="NQC52" s="16"/>
      <c r="NQD52" s="16"/>
      <c r="NQE52" s="16"/>
      <c r="NQF52" s="16"/>
      <c r="NQG52" s="16"/>
      <c r="NQH52" s="16"/>
      <c r="NQI52" s="16"/>
      <c r="NQJ52" s="16"/>
      <c r="NQK52" s="16"/>
      <c r="NQL52" s="16"/>
      <c r="NQM52" s="16"/>
      <c r="NQN52" s="16"/>
      <c r="NQO52" s="16"/>
      <c r="NQP52" s="16"/>
      <c r="NQQ52" s="16"/>
      <c r="NQR52" s="16"/>
      <c r="NQS52" s="16"/>
      <c r="NQT52" s="16"/>
      <c r="NQU52" s="16"/>
      <c r="NQV52" s="16"/>
      <c r="NQW52" s="16"/>
      <c r="NQX52" s="16"/>
      <c r="NQY52" s="16"/>
      <c r="NQZ52" s="16"/>
      <c r="NRA52" s="16"/>
      <c r="NRB52" s="16"/>
      <c r="NRC52" s="16"/>
      <c r="NRD52" s="16"/>
      <c r="NRE52" s="16"/>
      <c r="NRF52" s="16"/>
      <c r="NRG52" s="16"/>
      <c r="NRH52" s="16"/>
      <c r="NRI52" s="16"/>
      <c r="NRJ52" s="16"/>
      <c r="NRK52" s="16"/>
      <c r="NRL52" s="16"/>
      <c r="NRM52" s="16"/>
      <c r="NRN52" s="16"/>
      <c r="NRO52" s="16"/>
      <c r="NRP52" s="16"/>
      <c r="NRQ52" s="16"/>
      <c r="NRR52" s="16"/>
      <c r="NRS52" s="16"/>
      <c r="NRT52" s="16"/>
      <c r="NRU52" s="16"/>
      <c r="NRV52" s="16"/>
      <c r="NRW52" s="16"/>
      <c r="NRX52" s="16"/>
      <c r="NRY52" s="16"/>
      <c r="NRZ52" s="16"/>
      <c r="NSA52" s="16"/>
      <c r="NSB52" s="16"/>
      <c r="NSC52" s="16"/>
      <c r="NSD52" s="16"/>
      <c r="NSE52" s="16"/>
      <c r="NSF52" s="16"/>
      <c r="NSG52" s="16"/>
      <c r="NSH52" s="16"/>
      <c r="NSI52" s="16"/>
      <c r="NSJ52" s="16"/>
      <c r="NSK52" s="16"/>
      <c r="NSL52" s="16"/>
      <c r="NSM52" s="16"/>
      <c r="NSN52" s="16"/>
      <c r="NSO52" s="16"/>
      <c r="NSP52" s="16"/>
      <c r="NSQ52" s="16"/>
      <c r="NSR52" s="16"/>
      <c r="NSS52" s="16"/>
      <c r="NST52" s="16"/>
      <c r="NSU52" s="16"/>
      <c r="NSV52" s="16"/>
      <c r="NSW52" s="16"/>
      <c r="NSX52" s="16"/>
      <c r="NSY52" s="16"/>
      <c r="NSZ52" s="16"/>
      <c r="NTA52" s="16"/>
      <c r="NTB52" s="16"/>
      <c r="NTC52" s="16"/>
      <c r="NTD52" s="16"/>
      <c r="NTE52" s="16"/>
      <c r="NTF52" s="16"/>
      <c r="NTG52" s="16"/>
      <c r="NTH52" s="16"/>
      <c r="NTI52" s="16"/>
      <c r="NTJ52" s="16"/>
      <c r="NTK52" s="16"/>
      <c r="NTL52" s="16"/>
      <c r="NTM52" s="16"/>
      <c r="NTN52" s="16"/>
      <c r="NTO52" s="16"/>
      <c r="NTP52" s="16"/>
      <c r="NTQ52" s="16"/>
      <c r="NTR52" s="16"/>
      <c r="NTS52" s="16"/>
      <c r="NTT52" s="16"/>
      <c r="NTU52" s="16"/>
      <c r="NTV52" s="16"/>
      <c r="NTW52" s="16"/>
      <c r="NTX52" s="16"/>
      <c r="NTY52" s="16"/>
    </row>
    <row r="53" spans="1:10009" hidden="1" x14ac:dyDescent="0.3">
      <c r="C53">
        <v>1</v>
      </c>
      <c r="D53" t="s">
        <v>5</v>
      </c>
      <c r="E53" t="s">
        <v>6</v>
      </c>
      <c r="F53" t="s">
        <v>7</v>
      </c>
      <c r="G53" t="s">
        <v>8</v>
      </c>
      <c r="H53" t="s">
        <v>9</v>
      </c>
      <c r="J53" t="str">
        <f t="shared" ref="J53:J91" si="42">IF(INDEX($D$53:$H$91,$C53,$B$8)=0,"",INDEX($D$53:$H$91,$C53,$B$8))</f>
        <v>자산</v>
      </c>
      <c r="K53">
        <v>470278409000</v>
      </c>
      <c r="L53">
        <v>448040650000</v>
      </c>
      <c r="M53">
        <v>439326959000</v>
      </c>
      <c r="N53">
        <v>426621158000</v>
      </c>
      <c r="O53">
        <v>410420718000</v>
      </c>
      <c r="P53">
        <v>384777669000</v>
      </c>
      <c r="Q53">
        <v>392826274000</v>
      </c>
      <c r="R53">
        <v>378235718000</v>
      </c>
    </row>
    <row r="54" spans="1:10009" hidden="1" x14ac:dyDescent="0.3">
      <c r="C54">
        <v>2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  <c r="J54" t="str">
        <f t="shared" si="42"/>
        <v>현금및현금성자산</v>
      </c>
      <c r="K54">
        <v>44515421000</v>
      </c>
      <c r="L54">
        <v>39583141000</v>
      </c>
      <c r="M54">
        <v>48944982000</v>
      </c>
      <c r="N54">
        <v>39031415000</v>
      </c>
      <c r="O54">
        <v>32675040000</v>
      </c>
      <c r="P54">
        <v>30683788000</v>
      </c>
      <c r="Q54">
        <v>41039591000</v>
      </c>
      <c r="R54">
        <v>29382578000</v>
      </c>
    </row>
    <row r="55" spans="1:10009" hidden="1" x14ac:dyDescent="0.3"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J55" t="str">
        <f t="shared" si="42"/>
        <v>금융자산</v>
      </c>
      <c r="K55">
        <v>83646807000</v>
      </c>
      <c r="L55">
        <v>84428822000</v>
      </c>
      <c r="M55">
        <v>75121426000</v>
      </c>
      <c r="N55">
        <v>81708986000</v>
      </c>
      <c r="O55">
        <v>85077401000</v>
      </c>
      <c r="P55">
        <v>77777032000</v>
      </c>
      <c r="Q55">
        <v>87159273000</v>
      </c>
      <c r="R55">
        <v>92441703000</v>
      </c>
    </row>
    <row r="56" spans="1:10009" hidden="1" x14ac:dyDescent="0.3">
      <c r="C56">
        <v>4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J56" t="str">
        <f t="shared" si="42"/>
        <v>파생상품자산</v>
      </c>
    </row>
    <row r="57" spans="1:10009" hidden="1" x14ac:dyDescent="0.3">
      <c r="C57">
        <v>5</v>
      </c>
      <c r="D57" t="s">
        <v>25</v>
      </c>
      <c r="E57" t="s">
        <v>26</v>
      </c>
      <c r="F57" t="s">
        <v>27</v>
      </c>
      <c r="G57" t="s">
        <v>28</v>
      </c>
      <c r="H57" t="s">
        <v>29</v>
      </c>
      <c r="J57" t="str">
        <f t="shared" si="42"/>
        <v>대출채권</v>
      </c>
    </row>
    <row r="58" spans="1:10009" hidden="1" x14ac:dyDescent="0.3">
      <c r="C58">
        <v>6</v>
      </c>
      <c r="D58" t="s">
        <v>30</v>
      </c>
      <c r="E58" t="s">
        <v>31</v>
      </c>
      <c r="F58" t="s">
        <v>32</v>
      </c>
      <c r="G58" t="s">
        <v>33</v>
      </c>
      <c r="H58" t="s">
        <v>34</v>
      </c>
      <c r="J58" t="str">
        <f t="shared" si="42"/>
        <v>기타자산</v>
      </c>
      <c r="K58">
        <v>19792757000</v>
      </c>
      <c r="L58">
        <v>18069477000</v>
      </c>
      <c r="M58">
        <v>18397154000</v>
      </c>
      <c r="N58">
        <v>15798606000</v>
      </c>
      <c r="O58">
        <v>14388455000</v>
      </c>
      <c r="P58">
        <v>13636592000</v>
      </c>
      <c r="Q58">
        <v>13086892000</v>
      </c>
      <c r="R58">
        <v>12002390000</v>
      </c>
    </row>
    <row r="59" spans="1:10009" hidden="1" x14ac:dyDescent="0.3">
      <c r="C59">
        <v>7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J59" t="str">
        <f t="shared" si="42"/>
        <v>유형자산</v>
      </c>
      <c r="K59">
        <v>160343568000</v>
      </c>
      <c r="L59">
        <v>154254576000</v>
      </c>
      <c r="M59">
        <v>149618019000</v>
      </c>
      <c r="N59">
        <v>149928539000</v>
      </c>
      <c r="O59">
        <v>143029384000</v>
      </c>
      <c r="P59">
        <v>139389862000</v>
      </c>
      <c r="Q59">
        <v>132747712000</v>
      </c>
      <c r="R59">
        <v>128952892000</v>
      </c>
    </row>
    <row r="60" spans="1:10009" hidden="1" x14ac:dyDescent="0.3">
      <c r="C60">
        <v>8</v>
      </c>
      <c r="D60" t="s">
        <v>40</v>
      </c>
      <c r="E60" t="s">
        <v>41</v>
      </c>
      <c r="F60" t="s">
        <v>42</v>
      </c>
      <c r="G60" t="s">
        <v>43</v>
      </c>
      <c r="H60" t="s">
        <v>44</v>
      </c>
      <c r="J60" t="str">
        <f t="shared" si="42"/>
        <v>투자부동산</v>
      </c>
    </row>
    <row r="61" spans="1:10009" hidden="1" x14ac:dyDescent="0.3">
      <c r="C61">
        <v>9</v>
      </c>
      <c r="D61" t="s">
        <v>45</v>
      </c>
      <c r="E61" t="s">
        <v>46</v>
      </c>
      <c r="F61" t="s">
        <v>47</v>
      </c>
      <c r="G61" t="s">
        <v>48</v>
      </c>
      <c r="H61" t="s">
        <v>49</v>
      </c>
      <c r="J61" t="str">
        <f t="shared" si="42"/>
        <v>비업무용자산</v>
      </c>
    </row>
    <row r="62" spans="1:10009" hidden="1" x14ac:dyDescent="0.3">
      <c r="C62">
        <v>10</v>
      </c>
      <c r="D62" t="s">
        <v>50</v>
      </c>
      <c r="E62" t="s">
        <v>51</v>
      </c>
      <c r="F62" t="s">
        <v>52</v>
      </c>
      <c r="G62" t="s">
        <v>53</v>
      </c>
      <c r="H62" t="s">
        <v>54</v>
      </c>
      <c r="J62" t="str">
        <f t="shared" si="42"/>
        <v>영업권</v>
      </c>
      <c r="N62">
        <v>5844259000</v>
      </c>
      <c r="R62">
        <v>5673642000</v>
      </c>
    </row>
    <row r="63" spans="1:10009" hidden="1" x14ac:dyDescent="0.3">
      <c r="C63">
        <v>11</v>
      </c>
      <c r="D63" t="s">
        <v>55</v>
      </c>
      <c r="E63" t="s">
        <v>56</v>
      </c>
      <c r="F63" t="s">
        <v>57</v>
      </c>
      <c r="G63" t="s">
        <v>58</v>
      </c>
      <c r="H63" t="s">
        <v>59</v>
      </c>
      <c r="J63" t="str">
        <f t="shared" si="42"/>
        <v>무형자산</v>
      </c>
      <c r="K63">
        <v>21484857000</v>
      </c>
      <c r="L63">
        <v>20096926000</v>
      </c>
      <c r="M63">
        <v>20010694000</v>
      </c>
      <c r="N63">
        <v>14391985000</v>
      </c>
      <c r="O63">
        <v>20753637000</v>
      </c>
      <c r="P63">
        <v>20747013000</v>
      </c>
      <c r="Q63">
        <v>18386683000</v>
      </c>
      <c r="R63">
        <v>12794860000</v>
      </c>
    </row>
    <row r="64" spans="1:10009" hidden="1" x14ac:dyDescent="0.3">
      <c r="C64">
        <v>12</v>
      </c>
      <c r="D64" t="s">
        <v>60</v>
      </c>
      <c r="E64" t="s">
        <v>61</v>
      </c>
      <c r="F64" t="s">
        <v>62</v>
      </c>
      <c r="G64" t="s">
        <v>63</v>
      </c>
      <c r="H64" t="s">
        <v>64</v>
      </c>
      <c r="J64" t="str">
        <f t="shared" si="42"/>
        <v>이연법인세자산</v>
      </c>
      <c r="K64">
        <v>5488163000</v>
      </c>
      <c r="L64">
        <v>5114332000</v>
      </c>
      <c r="M64">
        <v>4178984000</v>
      </c>
      <c r="N64">
        <v>4261214000</v>
      </c>
      <c r="O64">
        <v>3928050000</v>
      </c>
      <c r="P64">
        <v>4128472000</v>
      </c>
      <c r="Q64">
        <v>4087139000</v>
      </c>
      <c r="R64">
        <v>4275000000</v>
      </c>
    </row>
    <row r="65" spans="3:18" hidden="1" x14ac:dyDescent="0.3">
      <c r="C65">
        <v>13</v>
      </c>
      <c r="D65" t="s">
        <v>65</v>
      </c>
      <c r="E65" t="s">
        <v>66</v>
      </c>
      <c r="F65" t="s">
        <v>67</v>
      </c>
      <c r="G65" t="s">
        <v>68</v>
      </c>
      <c r="H65" t="s">
        <v>69</v>
      </c>
      <c r="J65" t="str">
        <f t="shared" si="42"/>
        <v>당기법인세자산</v>
      </c>
    </row>
    <row r="66" spans="3:18" hidden="1" x14ac:dyDescent="0.3">
      <c r="C66">
        <v>14</v>
      </c>
      <c r="D66" t="s">
        <v>70</v>
      </c>
      <c r="E66" t="s">
        <v>71</v>
      </c>
      <c r="F66" t="s">
        <v>72</v>
      </c>
      <c r="G66" t="s">
        <v>73</v>
      </c>
      <c r="H66" t="s">
        <v>74</v>
      </c>
      <c r="J66" t="str">
        <f t="shared" si="42"/>
        <v>기타금융업자산</v>
      </c>
    </row>
    <row r="67" spans="3:18" hidden="1" x14ac:dyDescent="0.3">
      <c r="C67">
        <v>15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J67" t="str">
        <f t="shared" si="42"/>
        <v>자본</v>
      </c>
      <c r="K67">
        <v>344906889000</v>
      </c>
      <c r="L67">
        <v>327906664000</v>
      </c>
      <c r="M67">
        <v>315290919000</v>
      </c>
      <c r="N67">
        <v>304899931000</v>
      </c>
      <c r="O67">
        <v>296766118000</v>
      </c>
      <c r="P67">
        <v>282324266000</v>
      </c>
      <c r="Q67">
        <v>274268591000</v>
      </c>
      <c r="R67">
        <v>275948016000</v>
      </c>
    </row>
    <row r="68" spans="3:18" hidden="1" x14ac:dyDescent="0.3">
      <c r="C68">
        <v>16</v>
      </c>
      <c r="D68" t="s">
        <v>80</v>
      </c>
      <c r="E68" t="s">
        <v>81</v>
      </c>
      <c r="F68" t="s">
        <v>82</v>
      </c>
      <c r="G68" t="s">
        <v>83</v>
      </c>
      <c r="H68" t="s">
        <v>84</v>
      </c>
      <c r="J68" t="str">
        <f t="shared" si="42"/>
        <v>상장자본금</v>
      </c>
      <c r="K68">
        <v>897514000</v>
      </c>
      <c r="L68">
        <v>897514000</v>
      </c>
      <c r="M68">
        <v>897514000</v>
      </c>
      <c r="N68">
        <v>897514000</v>
      </c>
      <c r="O68">
        <v>897514000</v>
      </c>
      <c r="P68">
        <v>897514000</v>
      </c>
      <c r="Q68">
        <v>897514000</v>
      </c>
      <c r="R68">
        <v>897514000</v>
      </c>
    </row>
    <row r="69" spans="3:18" hidden="1" x14ac:dyDescent="0.3">
      <c r="C69">
        <v>17</v>
      </c>
      <c r="D69" t="s">
        <v>85</v>
      </c>
      <c r="E69" t="s">
        <v>86</v>
      </c>
      <c r="F69" t="s">
        <v>87</v>
      </c>
      <c r="G69" t="s">
        <v>88</v>
      </c>
      <c r="H69" t="s">
        <v>89</v>
      </c>
      <c r="J69" t="str">
        <f t="shared" si="42"/>
        <v>신종자본증권</v>
      </c>
    </row>
    <row r="70" spans="3:18" hidden="1" x14ac:dyDescent="0.3">
      <c r="C70">
        <v>18</v>
      </c>
      <c r="D70" t="s">
        <v>90</v>
      </c>
      <c r="E70" t="s">
        <v>91</v>
      </c>
      <c r="F70" t="s">
        <v>92</v>
      </c>
      <c r="H70" t="s">
        <v>93</v>
      </c>
      <c r="J70" t="str">
        <f t="shared" si="42"/>
        <v>자본잉여금</v>
      </c>
      <c r="K70">
        <v>4403893000</v>
      </c>
      <c r="L70">
        <v>4403893000</v>
      </c>
      <c r="M70">
        <v>4403893000</v>
      </c>
      <c r="N70">
        <v>4403893000</v>
      </c>
      <c r="O70">
        <v>4403893000</v>
      </c>
      <c r="P70">
        <v>4403893000</v>
      </c>
      <c r="Q70">
        <v>4403893000</v>
      </c>
      <c r="R70">
        <v>4403893000</v>
      </c>
    </row>
    <row r="71" spans="3:18" hidden="1" x14ac:dyDescent="0.3">
      <c r="C71">
        <v>19</v>
      </c>
      <c r="D71" t="s">
        <v>94</v>
      </c>
      <c r="E71" t="s">
        <v>95</v>
      </c>
      <c r="F71" t="s">
        <v>96</v>
      </c>
      <c r="H71" t="s">
        <v>97</v>
      </c>
      <c r="J71" t="str">
        <f t="shared" si="42"/>
        <v>기타자본</v>
      </c>
      <c r="K71">
        <v>87649000</v>
      </c>
      <c r="L71">
        <v>94672000</v>
      </c>
      <c r="M71">
        <v>93105000</v>
      </c>
      <c r="N71">
        <v>86763000</v>
      </c>
      <c r="O71">
        <v>68543000</v>
      </c>
      <c r="P71">
        <v>54258000</v>
      </c>
      <c r="Q71">
        <v>55815000</v>
      </c>
      <c r="R71">
        <v>26726000</v>
      </c>
    </row>
    <row r="72" spans="3:18" hidden="1" x14ac:dyDescent="0.3">
      <c r="C72">
        <v>20</v>
      </c>
      <c r="D72" t="s">
        <v>98</v>
      </c>
      <c r="E72" t="s">
        <v>99</v>
      </c>
      <c r="F72" t="s">
        <v>100</v>
      </c>
      <c r="H72" t="s">
        <v>101</v>
      </c>
      <c r="J72" t="str">
        <f t="shared" si="42"/>
        <v>기타포괄손익누계액</v>
      </c>
      <c r="K72">
        <v>13190848000</v>
      </c>
      <c r="L72">
        <v>3217748000</v>
      </c>
      <c r="M72">
        <v>-745794000</v>
      </c>
      <c r="N72">
        <v>-2215236000</v>
      </c>
      <c r="O72">
        <v>-1865734000</v>
      </c>
      <c r="P72">
        <v>-6280324000</v>
      </c>
      <c r="Q72">
        <v>-5656110000</v>
      </c>
      <c r="R72">
        <v>-8726013000</v>
      </c>
    </row>
    <row r="73" spans="3:18" hidden="1" x14ac:dyDescent="0.3">
      <c r="C73">
        <v>21</v>
      </c>
      <c r="D73" t="s">
        <v>102</v>
      </c>
      <c r="E73" t="s">
        <v>103</v>
      </c>
      <c r="F73" t="s">
        <v>104</v>
      </c>
      <c r="H73" t="s">
        <v>105</v>
      </c>
      <c r="J73" t="str">
        <f t="shared" si="42"/>
        <v>이익잉여금(결손금)</v>
      </c>
      <c r="K73">
        <v>316890272000</v>
      </c>
      <c r="L73">
        <v>310216785000</v>
      </c>
      <c r="M73">
        <v>301743152000</v>
      </c>
      <c r="N73">
        <v>293064763000</v>
      </c>
      <c r="O73">
        <v>284826992000</v>
      </c>
      <c r="P73">
        <v>275085185000</v>
      </c>
      <c r="Q73">
        <v>266066142000</v>
      </c>
      <c r="R73">
        <v>271068211000</v>
      </c>
    </row>
    <row r="74" spans="3:18" hidden="1" x14ac:dyDescent="0.3">
      <c r="C74">
        <v>22</v>
      </c>
      <c r="D74" t="s">
        <v>106</v>
      </c>
      <c r="E74" t="s">
        <v>107</v>
      </c>
      <c r="F74" t="s">
        <v>108</v>
      </c>
      <c r="H74" t="s">
        <v>109</v>
      </c>
      <c r="J74" t="str">
        <f t="shared" si="42"/>
        <v>부채</v>
      </c>
      <c r="K74">
        <v>125371520000</v>
      </c>
      <c r="L74">
        <v>120133986000</v>
      </c>
      <c r="M74">
        <v>124036040000</v>
      </c>
      <c r="N74">
        <v>121721227000</v>
      </c>
      <c r="O74">
        <v>113654600000</v>
      </c>
      <c r="P74">
        <v>102453403000</v>
      </c>
      <c r="Q74">
        <v>118557683000</v>
      </c>
      <c r="R74">
        <v>102287702000</v>
      </c>
    </row>
    <row r="75" spans="3:18" hidden="1" x14ac:dyDescent="0.3">
      <c r="C75">
        <v>23</v>
      </c>
      <c r="D75" t="s">
        <v>110</v>
      </c>
      <c r="E75" t="s">
        <v>111</v>
      </c>
      <c r="F75" t="s">
        <v>112</v>
      </c>
      <c r="H75" t="s">
        <v>113</v>
      </c>
      <c r="J75" t="str">
        <f t="shared" si="42"/>
        <v>비예수부채</v>
      </c>
      <c r="K75">
        <v>5237534000</v>
      </c>
      <c r="L75">
        <v>-3902054000</v>
      </c>
      <c r="M75">
        <v>2314813000</v>
      </c>
      <c r="N75">
        <v>8066627000</v>
      </c>
      <c r="O75">
        <v>5237534000</v>
      </c>
      <c r="P75">
        <v>-3902054000</v>
      </c>
      <c r="Q75">
        <v>2314813000</v>
      </c>
      <c r="R75">
        <v>8066627000</v>
      </c>
    </row>
    <row r="76" spans="3:18" hidden="1" x14ac:dyDescent="0.3">
      <c r="C76">
        <v>24</v>
      </c>
      <c r="D76" t="s">
        <v>114</v>
      </c>
      <c r="E76" t="s">
        <v>115</v>
      </c>
      <c r="F76" t="s">
        <v>116</v>
      </c>
      <c r="H76" t="s">
        <v>117</v>
      </c>
      <c r="J76" t="str">
        <f t="shared" si="42"/>
        <v>금융부채</v>
      </c>
      <c r="K76">
        <v>3167448000</v>
      </c>
      <c r="L76">
        <v>2934708000</v>
      </c>
      <c r="M76">
        <v>2778207000</v>
      </c>
      <c r="N76">
        <v>2864656000</v>
      </c>
      <c r="O76">
        <v>2166741000</v>
      </c>
      <c r="P76">
        <v>2152273000</v>
      </c>
      <c r="Q76">
        <v>2123829000</v>
      </c>
      <c r="R76">
        <v>1999716000</v>
      </c>
    </row>
    <row r="77" spans="3:18" hidden="1" x14ac:dyDescent="0.3">
      <c r="C77">
        <v>25</v>
      </c>
      <c r="D77" t="s">
        <v>118</v>
      </c>
      <c r="E77" t="s">
        <v>119</v>
      </c>
      <c r="F77" t="s">
        <v>120</v>
      </c>
      <c r="H77" t="s">
        <v>121</v>
      </c>
      <c r="J77" t="str">
        <f t="shared" si="42"/>
        <v>파생상품부채</v>
      </c>
    </row>
    <row r="78" spans="3:18" hidden="1" x14ac:dyDescent="0.3">
      <c r="C78">
        <v>26</v>
      </c>
      <c r="D78" t="s">
        <v>122</v>
      </c>
      <c r="E78" t="s">
        <v>123</v>
      </c>
      <c r="F78" t="s">
        <v>124</v>
      </c>
      <c r="H78" t="s">
        <v>125</v>
      </c>
      <c r="J78" t="str">
        <f t="shared" si="42"/>
        <v>차입금</v>
      </c>
      <c r="K78">
        <v>7624643000</v>
      </c>
      <c r="L78">
        <v>12997688000</v>
      </c>
      <c r="M78">
        <v>13888389000</v>
      </c>
      <c r="N78">
        <v>13689293000</v>
      </c>
      <c r="O78">
        <v>17283881000</v>
      </c>
      <c r="P78">
        <v>15040124000</v>
      </c>
      <c r="Q78">
        <v>16148220000</v>
      </c>
      <c r="R78">
        <v>18553145000</v>
      </c>
    </row>
    <row r="79" spans="3:18" hidden="1" x14ac:dyDescent="0.3">
      <c r="C79">
        <v>27</v>
      </c>
      <c r="D79" t="s">
        <v>126</v>
      </c>
      <c r="E79" t="s">
        <v>127</v>
      </c>
      <c r="F79" t="s">
        <v>128</v>
      </c>
      <c r="H79" t="s">
        <v>129</v>
      </c>
      <c r="J79" t="str">
        <f t="shared" si="42"/>
        <v>사채</v>
      </c>
      <c r="K79">
        <v>609790000</v>
      </c>
      <c r="L79">
        <v>553783000</v>
      </c>
      <c r="M79">
        <v>518856000</v>
      </c>
      <c r="N79">
        <v>508232000</v>
      </c>
      <c r="O79">
        <v>514096000</v>
      </c>
      <c r="P79">
        <v>490459000</v>
      </c>
      <c r="Q79">
        <v>962755000</v>
      </c>
      <c r="R79">
        <v>948137000</v>
      </c>
    </row>
    <row r="80" spans="3:18" hidden="1" x14ac:dyDescent="0.3">
      <c r="C80">
        <v>28</v>
      </c>
      <c r="D80" t="s">
        <v>130</v>
      </c>
      <c r="E80" t="s">
        <v>131</v>
      </c>
      <c r="F80" t="s">
        <v>132</v>
      </c>
      <c r="H80" t="s">
        <v>133</v>
      </c>
      <c r="J80" t="str">
        <f t="shared" si="42"/>
        <v>기타금융업부채</v>
      </c>
    </row>
    <row r="81" spans="3:18" hidden="1" x14ac:dyDescent="0.3">
      <c r="C81">
        <v>29</v>
      </c>
      <c r="D81" t="s">
        <v>134</v>
      </c>
      <c r="E81" t="s">
        <v>135</v>
      </c>
      <c r="F81" t="s">
        <v>136</v>
      </c>
      <c r="H81" t="s">
        <v>137</v>
      </c>
      <c r="J81" t="str">
        <f t="shared" si="42"/>
        <v>기타충당부채</v>
      </c>
      <c r="K81">
        <v>8333136000</v>
      </c>
      <c r="L81">
        <v>8274021000</v>
      </c>
      <c r="M81">
        <v>8160427000</v>
      </c>
      <c r="N81">
        <v>7679866000</v>
      </c>
      <c r="O81">
        <v>7116931000</v>
      </c>
      <c r="P81">
        <v>5797776000</v>
      </c>
      <c r="Q81">
        <v>5622530000</v>
      </c>
      <c r="R81">
        <v>5400991000</v>
      </c>
    </row>
    <row r="82" spans="3:18" hidden="1" x14ac:dyDescent="0.3">
      <c r="C82">
        <v>30</v>
      </c>
      <c r="D82" t="s">
        <v>138</v>
      </c>
      <c r="E82" t="s">
        <v>139</v>
      </c>
      <c r="F82" t="s">
        <v>140</v>
      </c>
      <c r="H82" t="s">
        <v>141</v>
      </c>
      <c r="J82" t="str">
        <f t="shared" si="42"/>
        <v>당기법인세부채</v>
      </c>
      <c r="K82">
        <v>4280632000</v>
      </c>
      <c r="L82">
        <v>6067653000</v>
      </c>
      <c r="M82">
        <v>7193754000</v>
      </c>
      <c r="N82">
        <v>6749149000</v>
      </c>
      <c r="O82">
        <v>4380143000</v>
      </c>
      <c r="P82">
        <v>4230979000</v>
      </c>
      <c r="Q82">
        <v>4457647000</v>
      </c>
      <c r="R82">
        <v>4430272000</v>
      </c>
    </row>
    <row r="83" spans="3:18" hidden="1" x14ac:dyDescent="0.3">
      <c r="C83">
        <v>31</v>
      </c>
      <c r="D83" t="s">
        <v>142</v>
      </c>
      <c r="E83" t="s">
        <v>143</v>
      </c>
      <c r="F83" t="s">
        <v>144</v>
      </c>
      <c r="H83" t="s">
        <v>145</v>
      </c>
      <c r="J83" t="str">
        <f t="shared" si="42"/>
        <v>종업원급여충당부채</v>
      </c>
      <c r="K83">
        <v>575745000</v>
      </c>
      <c r="L83">
        <v>517143000</v>
      </c>
      <c r="M83">
        <v>476903000</v>
      </c>
      <c r="N83">
        <v>465884000</v>
      </c>
      <c r="O83">
        <v>558019000</v>
      </c>
      <c r="P83">
        <v>516297000</v>
      </c>
      <c r="Q83">
        <v>489469000</v>
      </c>
      <c r="R83">
        <v>464458000</v>
      </c>
    </row>
    <row r="84" spans="3:18" hidden="1" x14ac:dyDescent="0.3">
      <c r="C84">
        <v>32</v>
      </c>
      <c r="D84" t="s">
        <v>146</v>
      </c>
      <c r="F84" t="s">
        <v>147</v>
      </c>
      <c r="J84" t="str">
        <f t="shared" si="42"/>
        <v>기타부채</v>
      </c>
      <c r="K84">
        <v>4810416000</v>
      </c>
      <c r="L84">
        <v>4396946000</v>
      </c>
      <c r="M84">
        <v>4412637000</v>
      </c>
      <c r="N84">
        <v>3984234000</v>
      </c>
      <c r="O84">
        <v>3808773000</v>
      </c>
      <c r="P84">
        <v>4141141000</v>
      </c>
      <c r="Q84">
        <v>4934413000</v>
      </c>
      <c r="R84">
        <v>3998999000</v>
      </c>
    </row>
    <row r="85" spans="3:18" hidden="1" x14ac:dyDescent="0.3">
      <c r="C85">
        <v>33</v>
      </c>
      <c r="D85" t="s">
        <v>148</v>
      </c>
      <c r="F85" t="s">
        <v>149</v>
      </c>
      <c r="J85" t="str">
        <f t="shared" si="42"/>
        <v>이연법인세부채</v>
      </c>
      <c r="K85">
        <v>28896279000</v>
      </c>
      <c r="L85">
        <v>26341382000</v>
      </c>
      <c r="M85">
        <v>23705374000</v>
      </c>
      <c r="N85">
        <v>23198205000</v>
      </c>
      <c r="O85">
        <v>22487982000</v>
      </c>
      <c r="P85">
        <v>20561350000</v>
      </c>
      <c r="Q85">
        <v>20206147000</v>
      </c>
      <c r="R85">
        <v>18810845000</v>
      </c>
    </row>
    <row r="86" spans="3:18" hidden="1" x14ac:dyDescent="0.3">
      <c r="C86">
        <v>34</v>
      </c>
      <c r="D86" t="s">
        <v>150</v>
      </c>
      <c r="F86" t="s">
        <v>151</v>
      </c>
      <c r="J86" t="str">
        <f t="shared" si="42"/>
        <v>예수부채</v>
      </c>
      <c r="K86">
        <v>2554897000</v>
      </c>
      <c r="L86">
        <v>2636008000</v>
      </c>
      <c r="M86">
        <v>507169000</v>
      </c>
      <c r="N86">
        <v>710223000</v>
      </c>
      <c r="O86">
        <v>2554897000</v>
      </c>
      <c r="P86">
        <v>2636008000</v>
      </c>
      <c r="Q86">
        <v>507169000</v>
      </c>
      <c r="R86">
        <v>710223000</v>
      </c>
    </row>
    <row r="87" spans="3:18" hidden="1" x14ac:dyDescent="0.3">
      <c r="C87">
        <v>35</v>
      </c>
      <c r="F87" t="s">
        <v>152</v>
      </c>
      <c r="J87" t="str">
        <f t="shared" si="42"/>
        <v/>
      </c>
    </row>
    <row r="88" spans="3:18" hidden="1" x14ac:dyDescent="0.3">
      <c r="C88">
        <v>36</v>
      </c>
      <c r="F88" t="s">
        <v>153</v>
      </c>
      <c r="J88" t="str">
        <f t="shared" si="42"/>
        <v/>
      </c>
    </row>
    <row r="89" spans="3:18" hidden="1" x14ac:dyDescent="0.3">
      <c r="C89">
        <v>37</v>
      </c>
      <c r="F89" t="s">
        <v>154</v>
      </c>
      <c r="J89" t="str">
        <f t="shared" si="42"/>
        <v/>
      </c>
    </row>
    <row r="90" spans="3:18" hidden="1" x14ac:dyDescent="0.3">
      <c r="C90">
        <v>38</v>
      </c>
      <c r="F90" t="s">
        <v>155</v>
      </c>
      <c r="J90" t="str">
        <f t="shared" si="42"/>
        <v/>
      </c>
    </row>
    <row r="91" spans="3:18" hidden="1" x14ac:dyDescent="0.3">
      <c r="C91">
        <v>39</v>
      </c>
      <c r="F91" t="s">
        <v>165</v>
      </c>
      <c r="J91" t="str">
        <f t="shared" si="42"/>
        <v/>
      </c>
    </row>
  </sheetData>
  <mergeCells count="1">
    <mergeCell ref="J2:S2"/>
  </mergeCells>
  <phoneticPr fontId="2" type="noConversion"/>
  <conditionalFormatting sqref="J9:AS47">
    <cfRule type="expression" dxfId="0" priority="1">
      <formula>($H9="TRUE")</formula>
    </cfRule>
  </conditionalFormatting>
  <dataValidations count="3">
    <dataValidation type="list" allowBlank="1" showInputMessage="1" showErrorMessage="1" sqref="O5" xr:uid="{00000000-0002-0000-0000-000000000000}">
      <formula1>$A$1:$A$2</formula1>
    </dataValidation>
    <dataValidation type="list" allowBlank="1" showInputMessage="1" showErrorMessage="1" sqref="P5" xr:uid="{00000000-0002-0000-0000-000001000000}">
      <formula1>$B$1:$B$2</formula1>
    </dataValidation>
    <dataValidation type="list" allowBlank="1" showInputMessage="1" showErrorMessage="1" sqref="Q5" xr:uid="{00000000-0002-0000-0000-000002000000}">
      <formula1>$C$1:$C$5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9</xdr:col>
                    <xdr:colOff>19050</xdr:colOff>
                    <xdr:row>5</xdr:row>
                    <xdr:rowOff>57150</xdr:rowOff>
                  </from>
                  <to>
                    <xdr:col>9</xdr:col>
                    <xdr:colOff>1790700</xdr:colOff>
                    <xdr:row>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" name="Drop Down 60">
              <controlPr defaultSize="0" autoLine="0" autoPict="0">
                <anchor moveWithCells="1">
                  <from>
                    <xdr:col>10</xdr:col>
                    <xdr:colOff>9525</xdr:colOff>
                    <xdr:row>5</xdr:row>
                    <xdr:rowOff>0</xdr:rowOff>
                  </from>
                  <to>
                    <xdr:col>10</xdr:col>
                    <xdr:colOff>1000125</xdr:colOff>
                    <xdr:row>6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재무비율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2019-05-23T01:51:34Z</dcterms:created>
  <dcterms:modified xsi:type="dcterms:W3CDTF">2023-01-25T02:30:56Z</dcterms:modified>
</cp:coreProperties>
</file>