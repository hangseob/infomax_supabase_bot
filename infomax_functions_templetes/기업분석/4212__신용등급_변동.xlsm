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870" yWindow="1560" windowWidth="25440" windowHeight="13935"/>
  </bookViews>
  <sheets>
    <sheet name="신용등급" sheetId="1" r:id="rId1"/>
    <sheet name="기관코드" sheetId="3" state="hidden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227" i="1" l="1"/>
  <c r="BZ227" i="1"/>
  <c r="BY227" i="1"/>
  <c r="CA226" i="1"/>
  <c r="BZ226" i="1"/>
  <c r="BY226" i="1"/>
  <c r="CA225" i="1"/>
  <c r="BZ225" i="1"/>
  <c r="BY225" i="1"/>
  <c r="CA224" i="1"/>
  <c r="BZ224" i="1"/>
  <c r="BY224" i="1"/>
  <c r="CA223" i="1"/>
  <c r="BZ223" i="1"/>
  <c r="BY223" i="1"/>
  <c r="CA222" i="1"/>
  <c r="BZ222" i="1"/>
  <c r="BY222" i="1"/>
  <c r="CA221" i="1"/>
  <c r="BZ221" i="1"/>
  <c r="BY221" i="1"/>
  <c r="CA220" i="1"/>
  <c r="BZ220" i="1"/>
  <c r="BY220" i="1"/>
  <c r="CA219" i="1"/>
  <c r="BZ219" i="1"/>
  <c r="BY219" i="1"/>
  <c r="CA218" i="1"/>
  <c r="BZ218" i="1"/>
  <c r="BY218" i="1"/>
  <c r="CA217" i="1"/>
  <c r="BZ217" i="1"/>
  <c r="BY217" i="1"/>
  <c r="CA216" i="1"/>
  <c r="BZ216" i="1"/>
  <c r="BY216" i="1"/>
  <c r="CA215" i="1"/>
  <c r="BZ215" i="1"/>
  <c r="BY215" i="1"/>
  <c r="CA214" i="1"/>
  <c r="BZ214" i="1"/>
  <c r="BY214" i="1"/>
  <c r="CA213" i="1"/>
  <c r="BZ213" i="1"/>
  <c r="BY213" i="1"/>
  <c r="CA212" i="1"/>
  <c r="BZ212" i="1"/>
  <c r="BY212" i="1"/>
  <c r="CA211" i="1"/>
  <c r="BZ211" i="1"/>
  <c r="BY211" i="1"/>
  <c r="CA210" i="1"/>
  <c r="BZ210" i="1"/>
  <c r="BY210" i="1"/>
  <c r="CA209" i="1"/>
  <c r="BZ209" i="1"/>
  <c r="BY209" i="1"/>
  <c r="CA208" i="1"/>
  <c r="BZ208" i="1"/>
  <c r="BY208" i="1"/>
  <c r="CA207" i="1"/>
  <c r="BZ207" i="1"/>
  <c r="BY207" i="1"/>
  <c r="CA206" i="1"/>
  <c r="BZ206" i="1"/>
  <c r="BY206" i="1"/>
  <c r="CA205" i="1"/>
  <c r="BZ205" i="1"/>
  <c r="BY205" i="1"/>
  <c r="CA204" i="1"/>
  <c r="BZ204" i="1"/>
  <c r="BY204" i="1"/>
  <c r="CA203" i="1"/>
  <c r="BZ203" i="1"/>
  <c r="BY203" i="1"/>
  <c r="CA202" i="1"/>
  <c r="BZ202" i="1"/>
  <c r="BY202" i="1"/>
  <c r="CA201" i="1"/>
  <c r="BZ201" i="1"/>
  <c r="BY201" i="1"/>
  <c r="CA200" i="1"/>
  <c r="BZ200" i="1"/>
  <c r="BY200" i="1"/>
  <c r="CA199" i="1"/>
  <c r="BZ199" i="1"/>
  <c r="BY199" i="1"/>
  <c r="CA198" i="1"/>
  <c r="BZ198" i="1"/>
  <c r="BY198" i="1"/>
  <c r="CA197" i="1"/>
  <c r="BZ197" i="1"/>
  <c r="BY197" i="1"/>
  <c r="CA196" i="1"/>
  <c r="BZ196" i="1"/>
  <c r="BY196" i="1"/>
  <c r="CA195" i="1"/>
  <c r="BZ195" i="1"/>
  <c r="BY195" i="1"/>
  <c r="CA194" i="1"/>
  <c r="BZ194" i="1"/>
  <c r="BY194" i="1"/>
  <c r="CA193" i="1"/>
  <c r="BZ193" i="1"/>
  <c r="BY193" i="1"/>
  <c r="CA192" i="1"/>
  <c r="BZ192" i="1"/>
  <c r="BY192" i="1"/>
  <c r="CA191" i="1"/>
  <c r="BZ191" i="1"/>
  <c r="BY191" i="1"/>
  <c r="CA190" i="1"/>
  <c r="BZ190" i="1"/>
  <c r="BY190" i="1"/>
  <c r="CA189" i="1"/>
  <c r="BZ189" i="1"/>
  <c r="BY189" i="1"/>
  <c r="CA188" i="1"/>
  <c r="BZ188" i="1"/>
  <c r="BY188" i="1"/>
  <c r="CA187" i="1"/>
  <c r="BZ187" i="1"/>
  <c r="BY187" i="1"/>
  <c r="CA186" i="1"/>
  <c r="BZ186" i="1"/>
  <c r="BY186" i="1"/>
  <c r="CA185" i="1"/>
  <c r="BZ185" i="1"/>
  <c r="BY185" i="1"/>
  <c r="CA184" i="1"/>
  <c r="BZ184" i="1"/>
  <c r="BY184" i="1"/>
  <c r="CA183" i="1"/>
  <c r="BZ183" i="1"/>
  <c r="BY183" i="1"/>
  <c r="CA182" i="1"/>
  <c r="BZ182" i="1"/>
  <c r="BY182" i="1"/>
  <c r="CA181" i="1"/>
  <c r="BZ181" i="1"/>
  <c r="BY181" i="1"/>
  <c r="CA180" i="1"/>
  <c r="BZ180" i="1"/>
  <c r="BY180" i="1"/>
  <c r="CA179" i="1"/>
  <c r="BZ179" i="1"/>
  <c r="BY179" i="1"/>
  <c r="CA178" i="1"/>
  <c r="BZ178" i="1"/>
  <c r="BY178" i="1"/>
  <c r="CA177" i="1"/>
  <c r="BZ177" i="1"/>
  <c r="BY177" i="1"/>
  <c r="CA176" i="1"/>
  <c r="BZ176" i="1"/>
  <c r="BY176" i="1"/>
  <c r="CA175" i="1"/>
  <c r="BZ175" i="1"/>
  <c r="BY175" i="1"/>
  <c r="CA174" i="1"/>
  <c r="BZ174" i="1"/>
  <c r="BY174" i="1"/>
  <c r="CA173" i="1"/>
  <c r="BZ173" i="1"/>
  <c r="BY173" i="1"/>
  <c r="CA172" i="1"/>
  <c r="BZ172" i="1"/>
  <c r="BY172" i="1"/>
  <c r="CA171" i="1"/>
  <c r="BZ171" i="1"/>
  <c r="BY171" i="1"/>
  <c r="CA170" i="1"/>
  <c r="BZ170" i="1"/>
  <c r="BY170" i="1"/>
  <c r="CA169" i="1"/>
  <c r="BZ169" i="1"/>
  <c r="BY169" i="1"/>
  <c r="CA168" i="1"/>
  <c r="BZ168" i="1"/>
  <c r="BY168" i="1"/>
  <c r="CA167" i="1"/>
  <c r="BZ167" i="1"/>
  <c r="BY167" i="1"/>
  <c r="CA166" i="1"/>
  <c r="BZ166" i="1"/>
  <c r="BY166" i="1"/>
  <c r="CA165" i="1"/>
  <c r="BZ165" i="1"/>
  <c r="BY165" i="1"/>
  <c r="CA164" i="1"/>
  <c r="BZ164" i="1"/>
  <c r="BY164" i="1"/>
  <c r="CA163" i="1"/>
  <c r="BZ163" i="1"/>
  <c r="BY163" i="1"/>
  <c r="CA162" i="1"/>
  <c r="BZ162" i="1"/>
  <c r="BY162" i="1"/>
  <c r="CA161" i="1"/>
  <c r="BZ161" i="1"/>
  <c r="BY161" i="1"/>
  <c r="CA160" i="1"/>
  <c r="BZ160" i="1"/>
  <c r="BY160" i="1"/>
  <c r="CA159" i="1"/>
  <c r="BZ159" i="1"/>
  <c r="BY159" i="1"/>
  <c r="CA158" i="1"/>
  <c r="BZ158" i="1"/>
  <c r="BY158" i="1"/>
  <c r="CA157" i="1"/>
  <c r="BZ157" i="1"/>
  <c r="BY157" i="1"/>
  <c r="CA156" i="1"/>
  <c r="BZ156" i="1"/>
  <c r="BY156" i="1"/>
  <c r="CA155" i="1"/>
  <c r="BZ155" i="1"/>
  <c r="BY155" i="1"/>
  <c r="CA154" i="1"/>
  <c r="BZ154" i="1"/>
  <c r="BY154" i="1"/>
  <c r="CA153" i="1"/>
  <c r="BZ153" i="1"/>
  <c r="BY153" i="1"/>
  <c r="CA152" i="1"/>
  <c r="BZ152" i="1"/>
  <c r="BY152" i="1"/>
  <c r="CA151" i="1"/>
  <c r="BZ151" i="1"/>
  <c r="BY151" i="1"/>
  <c r="CA150" i="1"/>
  <c r="BZ150" i="1"/>
  <c r="BY150" i="1"/>
  <c r="CA149" i="1"/>
  <c r="BZ149" i="1"/>
  <c r="BY149" i="1"/>
  <c r="CA148" i="1"/>
  <c r="BZ148" i="1"/>
  <c r="BY148" i="1"/>
  <c r="CA147" i="1"/>
  <c r="BZ147" i="1"/>
  <c r="BY147" i="1"/>
  <c r="CA146" i="1"/>
  <c r="BZ146" i="1"/>
  <c r="BY146" i="1"/>
  <c r="CA145" i="1"/>
  <c r="BZ145" i="1"/>
  <c r="BY145" i="1"/>
  <c r="CA144" i="1"/>
  <c r="BZ144" i="1"/>
  <c r="BY144" i="1"/>
  <c r="CA143" i="1"/>
  <c r="BZ143" i="1"/>
  <c r="BY143" i="1"/>
  <c r="CA142" i="1"/>
  <c r="BZ142" i="1"/>
  <c r="BY142" i="1"/>
  <c r="CA141" i="1"/>
  <c r="BZ141" i="1"/>
  <c r="BY141" i="1"/>
  <c r="CA140" i="1"/>
  <c r="BZ140" i="1"/>
  <c r="BY140" i="1"/>
  <c r="CA139" i="1"/>
  <c r="BZ139" i="1"/>
  <c r="BY139" i="1"/>
  <c r="CA138" i="1"/>
  <c r="BZ138" i="1"/>
  <c r="BY138" i="1"/>
  <c r="CA137" i="1"/>
  <c r="BZ137" i="1"/>
  <c r="BY137" i="1"/>
  <c r="CA136" i="1"/>
  <c r="BZ136" i="1"/>
  <c r="BY136" i="1"/>
  <c r="CA135" i="1"/>
  <c r="BZ135" i="1"/>
  <c r="BY135" i="1"/>
  <c r="CA134" i="1"/>
  <c r="BZ134" i="1"/>
  <c r="BY134" i="1"/>
  <c r="CA133" i="1"/>
  <c r="BZ133" i="1"/>
  <c r="BY133" i="1"/>
  <c r="CA132" i="1"/>
  <c r="BZ132" i="1"/>
  <c r="BY132" i="1"/>
  <c r="CA131" i="1"/>
  <c r="BZ131" i="1"/>
  <c r="BY131" i="1"/>
  <c r="CA130" i="1"/>
  <c r="BZ130" i="1"/>
  <c r="BY130" i="1"/>
  <c r="CA129" i="1"/>
  <c r="BZ129" i="1"/>
  <c r="BY129" i="1"/>
  <c r="CA128" i="1"/>
  <c r="BZ128" i="1"/>
  <c r="BY128" i="1"/>
  <c r="CA127" i="1"/>
  <c r="BZ127" i="1"/>
  <c r="BY127" i="1"/>
  <c r="CA126" i="1"/>
  <c r="BZ126" i="1"/>
  <c r="BY126" i="1"/>
  <c r="CA125" i="1"/>
  <c r="BZ125" i="1"/>
  <c r="BY125" i="1"/>
  <c r="CA124" i="1"/>
  <c r="BZ124" i="1"/>
  <c r="BY124" i="1"/>
  <c r="CA123" i="1"/>
  <c r="BZ123" i="1"/>
  <c r="BY123" i="1"/>
  <c r="CA122" i="1"/>
  <c r="BZ122" i="1"/>
  <c r="BY122" i="1"/>
  <c r="CA121" i="1"/>
  <c r="BZ121" i="1"/>
  <c r="BY121" i="1"/>
  <c r="CA120" i="1"/>
  <c r="BZ120" i="1"/>
  <c r="BY120" i="1"/>
  <c r="CA119" i="1"/>
  <c r="BZ119" i="1"/>
  <c r="BY119" i="1"/>
  <c r="CA118" i="1"/>
  <c r="BZ118" i="1"/>
  <c r="BY118" i="1"/>
  <c r="CA117" i="1"/>
  <c r="BZ117" i="1"/>
  <c r="BY117" i="1"/>
  <c r="CA116" i="1"/>
  <c r="BZ116" i="1"/>
  <c r="BY116" i="1"/>
  <c r="CA115" i="1"/>
  <c r="BZ115" i="1"/>
  <c r="BY115" i="1"/>
  <c r="CA114" i="1"/>
  <c r="BZ114" i="1"/>
  <c r="BY114" i="1"/>
  <c r="CA113" i="1"/>
  <c r="BZ113" i="1"/>
  <c r="BY113" i="1"/>
  <c r="CA112" i="1"/>
  <c r="BZ112" i="1"/>
  <c r="BY112" i="1"/>
  <c r="CA111" i="1"/>
  <c r="BZ111" i="1"/>
  <c r="BY111" i="1"/>
  <c r="CA110" i="1"/>
  <c r="BZ110" i="1"/>
  <c r="BY110" i="1"/>
  <c r="CA109" i="1"/>
  <c r="BZ109" i="1"/>
  <c r="BY109" i="1"/>
  <c r="CA108" i="1"/>
  <c r="BZ108" i="1"/>
  <c r="BY108" i="1"/>
  <c r="CA107" i="1"/>
  <c r="BZ107" i="1"/>
  <c r="BY107" i="1"/>
  <c r="CA106" i="1"/>
  <c r="BZ106" i="1"/>
  <c r="BY106" i="1"/>
  <c r="CA105" i="1"/>
  <c r="BZ105" i="1"/>
  <c r="BY105" i="1"/>
  <c r="CA104" i="1"/>
  <c r="BZ104" i="1"/>
  <c r="BY104" i="1"/>
  <c r="CA103" i="1"/>
  <c r="BZ103" i="1"/>
  <c r="BY103" i="1"/>
  <c r="CA102" i="1"/>
  <c r="BZ102" i="1"/>
  <c r="BY102" i="1"/>
  <c r="CA101" i="1"/>
  <c r="BZ101" i="1"/>
  <c r="BY101" i="1"/>
  <c r="CA100" i="1"/>
  <c r="BZ100" i="1"/>
  <c r="BY100" i="1"/>
  <c r="CA99" i="1"/>
  <c r="BZ99" i="1"/>
  <c r="BY99" i="1"/>
  <c r="CA98" i="1"/>
  <c r="BZ98" i="1"/>
  <c r="BY98" i="1"/>
  <c r="CA97" i="1"/>
  <c r="BZ97" i="1"/>
  <c r="BY97" i="1"/>
  <c r="CA96" i="1"/>
  <c r="BZ96" i="1"/>
  <c r="BY96" i="1"/>
  <c r="CA95" i="1"/>
  <c r="BZ95" i="1"/>
  <c r="BY95" i="1"/>
  <c r="CA94" i="1"/>
  <c r="BZ94" i="1"/>
  <c r="BY94" i="1"/>
  <c r="CA93" i="1"/>
  <c r="BZ93" i="1"/>
  <c r="BY93" i="1"/>
  <c r="CA92" i="1"/>
  <c r="BZ92" i="1"/>
  <c r="BY92" i="1"/>
  <c r="CA91" i="1"/>
  <c r="BZ91" i="1"/>
  <c r="BY91" i="1"/>
  <c r="CA90" i="1"/>
  <c r="BZ90" i="1"/>
  <c r="BY90" i="1"/>
  <c r="CA89" i="1"/>
  <c r="BZ89" i="1"/>
  <c r="BY89" i="1"/>
  <c r="CA88" i="1"/>
  <c r="BZ88" i="1"/>
  <c r="BY88" i="1"/>
  <c r="CA87" i="1"/>
  <c r="BZ87" i="1"/>
  <c r="BY87" i="1"/>
  <c r="CA86" i="1"/>
  <c r="BZ86" i="1"/>
  <c r="BY86" i="1"/>
  <c r="CA85" i="1"/>
  <c r="BZ85" i="1"/>
  <c r="BY85" i="1"/>
  <c r="CA84" i="1"/>
  <c r="BZ84" i="1"/>
  <c r="BY84" i="1"/>
  <c r="CA83" i="1"/>
  <c r="BZ83" i="1"/>
  <c r="BY83" i="1"/>
  <c r="CA82" i="1"/>
  <c r="BZ82" i="1"/>
  <c r="BY82" i="1"/>
  <c r="CA81" i="1"/>
  <c r="BZ81" i="1"/>
  <c r="BY81" i="1"/>
  <c r="CA80" i="1"/>
  <c r="BZ80" i="1"/>
  <c r="BY80" i="1"/>
  <c r="CA79" i="1"/>
  <c r="BZ79" i="1"/>
  <c r="BY79" i="1"/>
  <c r="CA78" i="1"/>
  <c r="BZ78" i="1"/>
  <c r="BY78" i="1"/>
  <c r="CA77" i="1"/>
  <c r="BZ77" i="1"/>
  <c r="BY77" i="1"/>
  <c r="CA76" i="1"/>
  <c r="BZ76" i="1"/>
  <c r="BY76" i="1"/>
  <c r="CA75" i="1"/>
  <c r="BZ75" i="1"/>
  <c r="BY75" i="1"/>
  <c r="CA74" i="1"/>
  <c r="BZ74" i="1"/>
  <c r="BY74" i="1"/>
  <c r="CA73" i="1"/>
  <c r="BZ73" i="1"/>
  <c r="BY73" i="1"/>
  <c r="CA72" i="1"/>
  <c r="BZ72" i="1"/>
  <c r="BY72" i="1"/>
  <c r="CA71" i="1"/>
  <c r="BZ71" i="1"/>
  <c r="BY71" i="1"/>
  <c r="CA70" i="1"/>
  <c r="BZ70" i="1"/>
  <c r="BY70" i="1"/>
  <c r="CA69" i="1"/>
  <c r="BZ69" i="1"/>
  <c r="BY69" i="1"/>
  <c r="CA68" i="1"/>
  <c r="BZ68" i="1"/>
  <c r="BY68" i="1"/>
  <c r="CA67" i="1"/>
  <c r="BZ67" i="1"/>
  <c r="BY67" i="1"/>
  <c r="CA66" i="1"/>
  <c r="BZ66" i="1"/>
  <c r="BY66" i="1"/>
  <c r="CA65" i="1"/>
  <c r="BZ65" i="1"/>
  <c r="BY65" i="1"/>
  <c r="CA64" i="1"/>
  <c r="BZ64" i="1"/>
  <c r="BY64" i="1"/>
  <c r="CA63" i="1"/>
  <c r="BZ63" i="1"/>
  <c r="BY63" i="1"/>
  <c r="CA62" i="1"/>
  <c r="BZ62" i="1"/>
  <c r="BY62" i="1"/>
  <c r="CA61" i="1"/>
  <c r="BZ61" i="1"/>
  <c r="BY61" i="1"/>
  <c r="CA60" i="1"/>
  <c r="BZ60" i="1"/>
  <c r="BY60" i="1"/>
  <c r="CA59" i="1"/>
  <c r="BZ59" i="1"/>
  <c r="BY59" i="1"/>
  <c r="CA58" i="1"/>
  <c r="BZ58" i="1"/>
  <c r="BY58" i="1"/>
  <c r="CA57" i="1"/>
  <c r="BZ57" i="1"/>
  <c r="BY57" i="1"/>
  <c r="CA56" i="1"/>
  <c r="BZ56" i="1"/>
  <c r="BY56" i="1"/>
  <c r="CA55" i="1"/>
  <c r="BZ55" i="1"/>
  <c r="BY55" i="1"/>
  <c r="CA54" i="1"/>
  <c r="BZ54" i="1"/>
  <c r="BY54" i="1"/>
  <c r="CA53" i="1"/>
  <c r="BZ53" i="1"/>
  <c r="BY53" i="1"/>
  <c r="CA52" i="1"/>
  <c r="BZ52" i="1"/>
  <c r="BY52" i="1"/>
  <c r="CA51" i="1"/>
  <c r="BZ51" i="1"/>
  <c r="BY51" i="1"/>
  <c r="CA50" i="1"/>
  <c r="BZ50" i="1"/>
  <c r="BY50" i="1"/>
  <c r="CA49" i="1"/>
  <c r="BZ49" i="1"/>
  <c r="BY49" i="1"/>
  <c r="CA48" i="1"/>
  <c r="BZ48" i="1"/>
  <c r="BY48" i="1"/>
  <c r="CA47" i="1"/>
  <c r="BZ47" i="1"/>
  <c r="BY47" i="1"/>
  <c r="CA46" i="1"/>
  <c r="BZ46" i="1"/>
  <c r="BY46" i="1"/>
  <c r="CA45" i="1"/>
  <c r="BZ45" i="1"/>
  <c r="BY45" i="1"/>
  <c r="CA44" i="1"/>
  <c r="BZ44" i="1"/>
  <c r="BY44" i="1"/>
  <c r="CA43" i="1"/>
  <c r="BZ43" i="1"/>
  <c r="BY43" i="1"/>
  <c r="CA42" i="1"/>
  <c r="BZ42" i="1"/>
  <c r="BY42" i="1"/>
  <c r="CA41" i="1"/>
  <c r="BZ41" i="1"/>
  <c r="BY41" i="1"/>
  <c r="CA40" i="1"/>
  <c r="BZ40" i="1"/>
  <c r="BY40" i="1"/>
  <c r="CA39" i="1"/>
  <c r="BZ39" i="1"/>
  <c r="BY39" i="1"/>
  <c r="CA38" i="1"/>
  <c r="BZ38" i="1"/>
  <c r="BY38" i="1"/>
  <c r="CA37" i="1"/>
  <c r="BZ37" i="1"/>
  <c r="BY37" i="1"/>
  <c r="CA36" i="1"/>
  <c r="BZ36" i="1"/>
  <c r="BY36" i="1"/>
  <c r="CA35" i="1"/>
  <c r="BZ35" i="1"/>
  <c r="BY35" i="1"/>
  <c r="CA34" i="1"/>
  <c r="BZ34" i="1"/>
  <c r="BY34" i="1"/>
  <c r="CA33" i="1"/>
  <c r="BZ33" i="1"/>
  <c r="BY33" i="1"/>
  <c r="CA32" i="1"/>
  <c r="BZ32" i="1"/>
  <c r="BY32" i="1"/>
  <c r="CA31" i="1"/>
  <c r="BZ31" i="1"/>
  <c r="BY31" i="1"/>
  <c r="CA30" i="1"/>
  <c r="BZ30" i="1"/>
  <c r="BY30" i="1"/>
  <c r="CA29" i="1"/>
  <c r="BZ29" i="1"/>
  <c r="BY29" i="1"/>
  <c r="CA28" i="1"/>
  <c r="BZ28" i="1"/>
  <c r="BY28" i="1"/>
  <c r="AW226" i="1"/>
  <c r="AV226" i="1"/>
  <c r="AU226" i="1"/>
  <c r="AW225" i="1"/>
  <c r="AV225" i="1"/>
  <c r="AU225" i="1"/>
  <c r="AW224" i="1"/>
  <c r="AV224" i="1"/>
  <c r="AU224" i="1"/>
  <c r="AW223" i="1"/>
  <c r="AV223" i="1"/>
  <c r="AU223" i="1"/>
  <c r="AW222" i="1"/>
  <c r="AV222" i="1"/>
  <c r="AU222" i="1"/>
  <c r="AW221" i="1"/>
  <c r="AV221" i="1"/>
  <c r="AU221" i="1"/>
  <c r="AW220" i="1"/>
  <c r="AV220" i="1"/>
  <c r="AU220" i="1"/>
  <c r="AW219" i="1"/>
  <c r="AV219" i="1"/>
  <c r="AU219" i="1"/>
  <c r="AW218" i="1"/>
  <c r="AV218" i="1"/>
  <c r="AU218" i="1"/>
  <c r="AW217" i="1"/>
  <c r="AV217" i="1"/>
  <c r="AU217" i="1"/>
  <c r="AW216" i="1"/>
  <c r="AV216" i="1"/>
  <c r="AU216" i="1"/>
  <c r="AW215" i="1"/>
  <c r="AV215" i="1"/>
  <c r="AU215" i="1"/>
  <c r="AW214" i="1"/>
  <c r="AV214" i="1"/>
  <c r="AU214" i="1"/>
  <c r="AW213" i="1"/>
  <c r="AV213" i="1"/>
  <c r="AU213" i="1"/>
  <c r="AW212" i="1"/>
  <c r="AV212" i="1"/>
  <c r="AU212" i="1"/>
  <c r="AW211" i="1"/>
  <c r="AV211" i="1"/>
  <c r="AU211" i="1"/>
  <c r="AW210" i="1"/>
  <c r="AV210" i="1"/>
  <c r="AU210" i="1"/>
  <c r="AW209" i="1"/>
  <c r="AV209" i="1"/>
  <c r="AU209" i="1"/>
  <c r="AW208" i="1"/>
  <c r="AV208" i="1"/>
  <c r="AU208" i="1"/>
  <c r="AW207" i="1"/>
  <c r="AV207" i="1"/>
  <c r="AU207" i="1"/>
  <c r="AW206" i="1"/>
  <c r="AV206" i="1"/>
  <c r="AU206" i="1"/>
  <c r="AW205" i="1"/>
  <c r="AV205" i="1"/>
  <c r="AU205" i="1"/>
  <c r="AW204" i="1"/>
  <c r="AV204" i="1"/>
  <c r="AU204" i="1"/>
  <c r="AW203" i="1"/>
  <c r="AV203" i="1"/>
  <c r="AU203" i="1"/>
  <c r="AW202" i="1"/>
  <c r="AV202" i="1"/>
  <c r="AU202" i="1"/>
  <c r="AW201" i="1"/>
  <c r="AV201" i="1"/>
  <c r="AU201" i="1"/>
  <c r="AW200" i="1"/>
  <c r="AV200" i="1"/>
  <c r="AU200" i="1"/>
  <c r="AW199" i="1"/>
  <c r="AV199" i="1"/>
  <c r="AU199" i="1"/>
  <c r="AW198" i="1"/>
  <c r="AV198" i="1"/>
  <c r="AU198" i="1"/>
  <c r="AW197" i="1"/>
  <c r="AV197" i="1"/>
  <c r="AU197" i="1"/>
  <c r="AW196" i="1"/>
  <c r="AV196" i="1"/>
  <c r="AU196" i="1"/>
  <c r="AW195" i="1"/>
  <c r="AV195" i="1"/>
  <c r="AU195" i="1"/>
  <c r="AW194" i="1"/>
  <c r="AV194" i="1"/>
  <c r="AU194" i="1"/>
  <c r="AW193" i="1"/>
  <c r="AV193" i="1"/>
  <c r="AU193" i="1"/>
  <c r="AW192" i="1"/>
  <c r="AV192" i="1"/>
  <c r="AU192" i="1"/>
  <c r="AW191" i="1"/>
  <c r="AV191" i="1"/>
  <c r="AU191" i="1"/>
  <c r="AW190" i="1"/>
  <c r="AV190" i="1"/>
  <c r="AU190" i="1"/>
  <c r="AW189" i="1"/>
  <c r="AV189" i="1"/>
  <c r="AU189" i="1"/>
  <c r="AW188" i="1"/>
  <c r="AV188" i="1"/>
  <c r="AU188" i="1"/>
  <c r="AW187" i="1"/>
  <c r="AV187" i="1"/>
  <c r="AU187" i="1"/>
  <c r="AW186" i="1"/>
  <c r="AV186" i="1"/>
  <c r="AU186" i="1"/>
  <c r="AW185" i="1"/>
  <c r="AV185" i="1"/>
  <c r="AU185" i="1"/>
  <c r="AW184" i="1"/>
  <c r="AV184" i="1"/>
  <c r="AU184" i="1"/>
  <c r="AW183" i="1"/>
  <c r="AV183" i="1"/>
  <c r="AU183" i="1"/>
  <c r="AW182" i="1"/>
  <c r="AV182" i="1"/>
  <c r="AU182" i="1"/>
  <c r="AW181" i="1"/>
  <c r="AV181" i="1"/>
  <c r="AU181" i="1"/>
  <c r="AW180" i="1"/>
  <c r="AV180" i="1"/>
  <c r="AU180" i="1"/>
  <c r="AW179" i="1"/>
  <c r="AV179" i="1"/>
  <c r="AU179" i="1"/>
  <c r="AW178" i="1"/>
  <c r="AV178" i="1"/>
  <c r="AU178" i="1"/>
  <c r="AW177" i="1"/>
  <c r="AV177" i="1"/>
  <c r="AU177" i="1"/>
  <c r="AW176" i="1"/>
  <c r="AV176" i="1"/>
  <c r="AU176" i="1"/>
  <c r="AW175" i="1"/>
  <c r="AV175" i="1"/>
  <c r="AU175" i="1"/>
  <c r="AW174" i="1"/>
  <c r="AV174" i="1"/>
  <c r="AU174" i="1"/>
  <c r="AW173" i="1"/>
  <c r="AV173" i="1"/>
  <c r="AU173" i="1"/>
  <c r="AW172" i="1"/>
  <c r="AV172" i="1"/>
  <c r="AU172" i="1"/>
  <c r="AW171" i="1"/>
  <c r="AV171" i="1"/>
  <c r="AU171" i="1"/>
  <c r="AW170" i="1"/>
  <c r="AV170" i="1"/>
  <c r="AU170" i="1"/>
  <c r="AW169" i="1"/>
  <c r="AV169" i="1"/>
  <c r="AU169" i="1"/>
  <c r="AW168" i="1"/>
  <c r="AV168" i="1"/>
  <c r="AU168" i="1"/>
  <c r="AW167" i="1"/>
  <c r="AV167" i="1"/>
  <c r="AU167" i="1"/>
  <c r="AW166" i="1"/>
  <c r="AV166" i="1"/>
  <c r="AU166" i="1"/>
  <c r="AW165" i="1"/>
  <c r="AV165" i="1"/>
  <c r="AU165" i="1"/>
  <c r="AW164" i="1"/>
  <c r="AV164" i="1"/>
  <c r="AU164" i="1"/>
  <c r="AW163" i="1"/>
  <c r="AV163" i="1"/>
  <c r="AU163" i="1"/>
  <c r="AW162" i="1"/>
  <c r="AV162" i="1"/>
  <c r="AU162" i="1"/>
  <c r="AW161" i="1"/>
  <c r="AV161" i="1"/>
  <c r="AU161" i="1"/>
  <c r="AW160" i="1"/>
  <c r="AV160" i="1"/>
  <c r="AU160" i="1"/>
  <c r="AW159" i="1"/>
  <c r="AV159" i="1"/>
  <c r="AU159" i="1"/>
  <c r="AW158" i="1"/>
  <c r="AV158" i="1"/>
  <c r="AU158" i="1"/>
  <c r="AW157" i="1"/>
  <c r="AV157" i="1"/>
  <c r="AU157" i="1"/>
  <c r="AW156" i="1"/>
  <c r="AV156" i="1"/>
  <c r="AU156" i="1"/>
  <c r="AW155" i="1"/>
  <c r="AV155" i="1"/>
  <c r="AU155" i="1"/>
  <c r="AW154" i="1"/>
  <c r="AV154" i="1"/>
  <c r="AU154" i="1"/>
  <c r="AW153" i="1"/>
  <c r="AV153" i="1"/>
  <c r="AU153" i="1"/>
  <c r="AW152" i="1"/>
  <c r="AV152" i="1"/>
  <c r="AU152" i="1"/>
  <c r="AW151" i="1"/>
  <c r="AV151" i="1"/>
  <c r="AU151" i="1"/>
  <c r="AW150" i="1"/>
  <c r="AV150" i="1"/>
  <c r="AU150" i="1"/>
  <c r="AW149" i="1"/>
  <c r="AV149" i="1"/>
  <c r="AU149" i="1"/>
  <c r="AW148" i="1"/>
  <c r="AV148" i="1"/>
  <c r="AU148" i="1"/>
  <c r="AW147" i="1"/>
  <c r="AV147" i="1"/>
  <c r="AU147" i="1"/>
  <c r="AW146" i="1"/>
  <c r="AV146" i="1"/>
  <c r="AU146" i="1"/>
  <c r="AW145" i="1"/>
  <c r="AV145" i="1"/>
  <c r="AU145" i="1"/>
  <c r="AW144" i="1"/>
  <c r="AV144" i="1"/>
  <c r="AU144" i="1"/>
  <c r="AW143" i="1"/>
  <c r="AV143" i="1"/>
  <c r="AU143" i="1"/>
  <c r="AW142" i="1"/>
  <c r="AV142" i="1"/>
  <c r="AU142" i="1"/>
  <c r="AW141" i="1"/>
  <c r="AV141" i="1"/>
  <c r="AU141" i="1"/>
  <c r="AW140" i="1"/>
  <c r="AV140" i="1"/>
  <c r="AU140" i="1"/>
  <c r="AW139" i="1"/>
  <c r="AV139" i="1"/>
  <c r="AU139" i="1"/>
  <c r="AW138" i="1"/>
  <c r="AV138" i="1"/>
  <c r="AU138" i="1"/>
  <c r="AW137" i="1"/>
  <c r="AV137" i="1"/>
  <c r="AU137" i="1"/>
  <c r="AW136" i="1"/>
  <c r="AV136" i="1"/>
  <c r="AU136" i="1"/>
  <c r="AW135" i="1"/>
  <c r="AV135" i="1"/>
  <c r="AU135" i="1"/>
  <c r="AW134" i="1"/>
  <c r="AV134" i="1"/>
  <c r="AU134" i="1"/>
  <c r="AW133" i="1"/>
  <c r="AV133" i="1"/>
  <c r="AU133" i="1"/>
  <c r="AW132" i="1"/>
  <c r="AV132" i="1"/>
  <c r="AU132" i="1"/>
  <c r="AW131" i="1"/>
  <c r="AV131" i="1"/>
  <c r="AU131" i="1"/>
  <c r="AW130" i="1"/>
  <c r="AV130" i="1"/>
  <c r="AU130" i="1"/>
  <c r="AW129" i="1"/>
  <c r="AV129" i="1"/>
  <c r="AU129" i="1"/>
  <c r="AW128" i="1"/>
  <c r="AV128" i="1"/>
  <c r="AU128" i="1"/>
  <c r="AW127" i="1"/>
  <c r="AV127" i="1"/>
  <c r="AU127" i="1"/>
  <c r="AW126" i="1"/>
  <c r="AV126" i="1"/>
  <c r="AU126" i="1"/>
  <c r="AW125" i="1"/>
  <c r="AV125" i="1"/>
  <c r="AU125" i="1"/>
  <c r="AW124" i="1"/>
  <c r="AV124" i="1"/>
  <c r="AU124" i="1"/>
  <c r="AW123" i="1"/>
  <c r="AV123" i="1"/>
  <c r="AU123" i="1"/>
  <c r="AW122" i="1"/>
  <c r="AV122" i="1"/>
  <c r="AU122" i="1"/>
  <c r="AW121" i="1"/>
  <c r="AV121" i="1"/>
  <c r="AU121" i="1"/>
  <c r="AW120" i="1"/>
  <c r="AV120" i="1"/>
  <c r="AU120" i="1"/>
  <c r="AW119" i="1"/>
  <c r="AV119" i="1"/>
  <c r="AU119" i="1"/>
  <c r="AW118" i="1"/>
  <c r="AV118" i="1"/>
  <c r="AU118" i="1"/>
  <c r="AW117" i="1"/>
  <c r="AV117" i="1"/>
  <c r="AU117" i="1"/>
  <c r="AW116" i="1"/>
  <c r="AV116" i="1"/>
  <c r="AU116" i="1"/>
  <c r="AW115" i="1"/>
  <c r="AV115" i="1"/>
  <c r="AU115" i="1"/>
  <c r="AW114" i="1"/>
  <c r="AV114" i="1"/>
  <c r="AU114" i="1"/>
  <c r="AW113" i="1"/>
  <c r="AV113" i="1"/>
  <c r="AU113" i="1"/>
  <c r="AW112" i="1"/>
  <c r="AV112" i="1"/>
  <c r="AU112" i="1"/>
  <c r="AW111" i="1"/>
  <c r="AV111" i="1"/>
  <c r="AU111" i="1"/>
  <c r="AW110" i="1"/>
  <c r="AV110" i="1"/>
  <c r="AU110" i="1"/>
  <c r="AW109" i="1"/>
  <c r="AV109" i="1"/>
  <c r="AU109" i="1"/>
  <c r="AW108" i="1"/>
  <c r="AV108" i="1"/>
  <c r="AU108" i="1"/>
  <c r="AW107" i="1"/>
  <c r="AV107" i="1"/>
  <c r="AU107" i="1"/>
  <c r="AW106" i="1"/>
  <c r="AV106" i="1"/>
  <c r="AU106" i="1"/>
  <c r="AW105" i="1"/>
  <c r="AV105" i="1"/>
  <c r="AU105" i="1"/>
  <c r="AW104" i="1"/>
  <c r="AV104" i="1"/>
  <c r="AU104" i="1"/>
  <c r="AW103" i="1"/>
  <c r="AV103" i="1"/>
  <c r="AU103" i="1"/>
  <c r="AW102" i="1"/>
  <c r="AV102" i="1"/>
  <c r="AU102" i="1"/>
  <c r="AW101" i="1"/>
  <c r="AV101" i="1"/>
  <c r="AU101" i="1"/>
  <c r="AW100" i="1"/>
  <c r="AV100" i="1"/>
  <c r="AU100" i="1"/>
  <c r="AW99" i="1"/>
  <c r="AV99" i="1"/>
  <c r="AU99" i="1"/>
  <c r="AW98" i="1"/>
  <c r="AV98" i="1"/>
  <c r="AU98" i="1"/>
  <c r="AW97" i="1"/>
  <c r="AV97" i="1"/>
  <c r="AU97" i="1"/>
  <c r="AW96" i="1"/>
  <c r="AV96" i="1"/>
  <c r="AU96" i="1"/>
  <c r="AW95" i="1"/>
  <c r="AV95" i="1"/>
  <c r="AU95" i="1"/>
  <c r="AW94" i="1"/>
  <c r="AV94" i="1"/>
  <c r="AU94" i="1"/>
  <c r="AW93" i="1"/>
  <c r="AV93" i="1"/>
  <c r="AU93" i="1"/>
  <c r="AW92" i="1"/>
  <c r="AV92" i="1"/>
  <c r="AU92" i="1"/>
  <c r="AW91" i="1"/>
  <c r="AV91" i="1"/>
  <c r="AU91" i="1"/>
  <c r="AW90" i="1"/>
  <c r="AV90" i="1"/>
  <c r="AU90" i="1"/>
  <c r="AW89" i="1"/>
  <c r="AV89" i="1"/>
  <c r="AU89" i="1"/>
  <c r="AW88" i="1"/>
  <c r="AV88" i="1"/>
  <c r="AU88" i="1"/>
  <c r="AW87" i="1"/>
  <c r="AV87" i="1"/>
  <c r="AU87" i="1"/>
  <c r="AW86" i="1"/>
  <c r="AV86" i="1"/>
  <c r="AU86" i="1"/>
  <c r="AW85" i="1"/>
  <c r="AV85" i="1"/>
  <c r="AU85" i="1"/>
  <c r="AW84" i="1"/>
  <c r="AV84" i="1"/>
  <c r="AU84" i="1"/>
  <c r="AW83" i="1"/>
  <c r="AV83" i="1"/>
  <c r="AU83" i="1"/>
  <c r="AW82" i="1"/>
  <c r="AV82" i="1"/>
  <c r="AU82" i="1"/>
  <c r="AW81" i="1"/>
  <c r="AV81" i="1"/>
  <c r="AU81" i="1"/>
  <c r="AW80" i="1"/>
  <c r="AV80" i="1"/>
  <c r="AU80" i="1"/>
  <c r="AW79" i="1"/>
  <c r="AV79" i="1"/>
  <c r="AU79" i="1"/>
  <c r="AW78" i="1"/>
  <c r="AV78" i="1"/>
  <c r="AU78" i="1"/>
  <c r="AW77" i="1"/>
  <c r="AV77" i="1"/>
  <c r="AU77" i="1"/>
  <c r="AW76" i="1"/>
  <c r="AV76" i="1"/>
  <c r="AU76" i="1"/>
  <c r="AW75" i="1"/>
  <c r="AV75" i="1"/>
  <c r="AU75" i="1"/>
  <c r="AW74" i="1"/>
  <c r="AV74" i="1"/>
  <c r="AU74" i="1"/>
  <c r="AW73" i="1"/>
  <c r="AV73" i="1"/>
  <c r="AU73" i="1"/>
  <c r="AW72" i="1"/>
  <c r="AV72" i="1"/>
  <c r="AU72" i="1"/>
  <c r="AW71" i="1"/>
  <c r="AV71" i="1"/>
  <c r="AU71" i="1"/>
  <c r="AW70" i="1"/>
  <c r="AV70" i="1"/>
  <c r="AU70" i="1"/>
  <c r="AW69" i="1"/>
  <c r="AV69" i="1"/>
  <c r="AU69" i="1"/>
  <c r="AW68" i="1"/>
  <c r="AV68" i="1"/>
  <c r="AU68" i="1"/>
  <c r="AW67" i="1"/>
  <c r="AV67" i="1"/>
  <c r="AU67" i="1"/>
  <c r="AW66" i="1"/>
  <c r="AV66" i="1"/>
  <c r="AU66" i="1"/>
  <c r="AW65" i="1"/>
  <c r="AV65" i="1"/>
  <c r="AU65" i="1"/>
  <c r="AW64" i="1"/>
  <c r="AV64" i="1"/>
  <c r="AU64" i="1"/>
  <c r="AW63" i="1"/>
  <c r="AV63" i="1"/>
  <c r="AU63" i="1"/>
  <c r="AW62" i="1"/>
  <c r="AV62" i="1"/>
  <c r="AU62" i="1"/>
  <c r="AW61" i="1"/>
  <c r="AV61" i="1"/>
  <c r="AU61" i="1"/>
  <c r="AW60" i="1"/>
  <c r="AV60" i="1"/>
  <c r="AU60" i="1"/>
  <c r="AW59" i="1"/>
  <c r="AV59" i="1"/>
  <c r="AU59" i="1"/>
  <c r="AW58" i="1"/>
  <c r="AV58" i="1"/>
  <c r="AU58" i="1"/>
  <c r="AW57" i="1"/>
  <c r="AV57" i="1"/>
  <c r="AU57" i="1"/>
  <c r="AW56" i="1"/>
  <c r="AV56" i="1"/>
  <c r="AU56" i="1"/>
  <c r="AW55" i="1"/>
  <c r="AV55" i="1"/>
  <c r="AU55" i="1"/>
  <c r="AW54" i="1"/>
  <c r="AV54" i="1"/>
  <c r="AU54" i="1"/>
  <c r="AW53" i="1"/>
  <c r="AV53" i="1"/>
  <c r="AU53" i="1"/>
  <c r="AW52" i="1"/>
  <c r="AV52" i="1"/>
  <c r="AU52" i="1"/>
  <c r="AW51" i="1"/>
  <c r="AV51" i="1"/>
  <c r="AU51" i="1"/>
  <c r="AW50" i="1"/>
  <c r="AV50" i="1"/>
  <c r="AU50" i="1"/>
  <c r="AW49" i="1"/>
  <c r="AV49" i="1"/>
  <c r="AU49" i="1"/>
  <c r="AW48" i="1"/>
  <c r="AV48" i="1"/>
  <c r="AU48" i="1"/>
  <c r="AW47" i="1"/>
  <c r="AV47" i="1"/>
  <c r="AU47" i="1"/>
  <c r="AW46" i="1"/>
  <c r="AV46" i="1"/>
  <c r="AU46" i="1"/>
  <c r="AW45" i="1"/>
  <c r="AV45" i="1"/>
  <c r="AU45" i="1"/>
  <c r="AW44" i="1"/>
  <c r="AV44" i="1"/>
  <c r="AU44" i="1"/>
  <c r="AW43" i="1"/>
  <c r="AV43" i="1"/>
  <c r="AU43" i="1"/>
  <c r="AW42" i="1"/>
  <c r="AV42" i="1"/>
  <c r="AU42" i="1"/>
  <c r="AW41" i="1"/>
  <c r="AV41" i="1"/>
  <c r="AU41" i="1"/>
  <c r="AW40" i="1"/>
  <c r="AV40" i="1"/>
  <c r="AU40" i="1"/>
  <c r="AW39" i="1"/>
  <c r="AV39" i="1"/>
  <c r="AU39" i="1"/>
  <c r="AW38" i="1"/>
  <c r="AV38" i="1"/>
  <c r="AU38" i="1"/>
  <c r="AW37" i="1"/>
  <c r="AV37" i="1"/>
  <c r="AU37" i="1"/>
  <c r="AW36" i="1"/>
  <c r="AV36" i="1"/>
  <c r="AU36" i="1"/>
  <c r="AW35" i="1"/>
  <c r="AV35" i="1"/>
  <c r="AU35" i="1"/>
  <c r="AW34" i="1"/>
  <c r="AV34" i="1"/>
  <c r="AU34" i="1"/>
  <c r="AW33" i="1"/>
  <c r="AV33" i="1"/>
  <c r="AU33" i="1"/>
  <c r="AW32" i="1"/>
  <c r="AV32" i="1"/>
  <c r="AU32" i="1"/>
  <c r="AW31" i="1"/>
  <c r="AV31" i="1"/>
  <c r="AU31" i="1"/>
  <c r="AW30" i="1"/>
  <c r="AV30" i="1"/>
  <c r="AU30" i="1"/>
  <c r="AW29" i="1"/>
  <c r="AV29" i="1"/>
  <c r="AU29" i="1"/>
  <c r="AW28" i="1"/>
  <c r="AV28" i="1"/>
  <c r="AU28" i="1"/>
  <c r="AW227" i="1"/>
  <c r="AV227" i="1"/>
  <c r="AU227" i="1"/>
  <c r="BN227" i="1"/>
  <c r="BM227" i="1"/>
  <c r="BL227" i="1"/>
  <c r="BN226" i="1"/>
  <c r="BM226" i="1"/>
  <c r="BL226" i="1"/>
  <c r="BN225" i="1"/>
  <c r="BM225" i="1"/>
  <c r="BL225" i="1"/>
  <c r="BN224" i="1"/>
  <c r="BM224" i="1"/>
  <c r="BL224" i="1"/>
  <c r="BN223" i="1"/>
  <c r="BM223" i="1"/>
  <c r="BL223" i="1"/>
  <c r="BN222" i="1"/>
  <c r="BM222" i="1"/>
  <c r="BL222" i="1"/>
  <c r="BN221" i="1"/>
  <c r="BM221" i="1"/>
  <c r="BL221" i="1"/>
  <c r="BN220" i="1"/>
  <c r="BM220" i="1"/>
  <c r="BL220" i="1"/>
  <c r="BN219" i="1"/>
  <c r="BM219" i="1"/>
  <c r="BL219" i="1"/>
  <c r="BN218" i="1"/>
  <c r="BM218" i="1"/>
  <c r="BL218" i="1"/>
  <c r="BN217" i="1"/>
  <c r="BM217" i="1"/>
  <c r="BL217" i="1"/>
  <c r="BN216" i="1"/>
  <c r="BM216" i="1"/>
  <c r="BL216" i="1"/>
  <c r="BN215" i="1"/>
  <c r="BM215" i="1"/>
  <c r="BL215" i="1"/>
  <c r="BN214" i="1"/>
  <c r="BM214" i="1"/>
  <c r="BL214" i="1"/>
  <c r="BN213" i="1"/>
  <c r="BM213" i="1"/>
  <c r="BL213" i="1"/>
  <c r="BN212" i="1"/>
  <c r="BM212" i="1"/>
  <c r="BL212" i="1"/>
  <c r="BN211" i="1"/>
  <c r="BM211" i="1"/>
  <c r="BL211" i="1"/>
  <c r="BN210" i="1"/>
  <c r="BM210" i="1"/>
  <c r="BL210" i="1"/>
  <c r="BN209" i="1"/>
  <c r="BM209" i="1"/>
  <c r="BL209" i="1"/>
  <c r="BN208" i="1"/>
  <c r="BM208" i="1"/>
  <c r="BL208" i="1"/>
  <c r="BN207" i="1"/>
  <c r="BM207" i="1"/>
  <c r="BL207" i="1"/>
  <c r="BN206" i="1"/>
  <c r="BM206" i="1"/>
  <c r="BL206" i="1"/>
  <c r="BN205" i="1"/>
  <c r="BM205" i="1"/>
  <c r="BL205" i="1"/>
  <c r="BN204" i="1"/>
  <c r="BM204" i="1"/>
  <c r="BL204" i="1"/>
  <c r="BN203" i="1"/>
  <c r="BM203" i="1"/>
  <c r="BL203" i="1"/>
  <c r="BN202" i="1"/>
  <c r="BM202" i="1"/>
  <c r="BL202" i="1"/>
  <c r="BN201" i="1"/>
  <c r="BM201" i="1"/>
  <c r="BL201" i="1"/>
  <c r="BN200" i="1"/>
  <c r="BM200" i="1"/>
  <c r="BL200" i="1"/>
  <c r="BN199" i="1"/>
  <c r="BM199" i="1"/>
  <c r="BL199" i="1"/>
  <c r="BN198" i="1"/>
  <c r="BM198" i="1"/>
  <c r="BL198" i="1"/>
  <c r="BN197" i="1"/>
  <c r="BM197" i="1"/>
  <c r="BL197" i="1"/>
  <c r="BN196" i="1"/>
  <c r="BM196" i="1"/>
  <c r="BL196" i="1"/>
  <c r="BN195" i="1"/>
  <c r="BM195" i="1"/>
  <c r="BL195" i="1"/>
  <c r="BN194" i="1"/>
  <c r="BM194" i="1"/>
  <c r="BL194" i="1"/>
  <c r="BN193" i="1"/>
  <c r="BM193" i="1"/>
  <c r="BL193" i="1"/>
  <c r="BN192" i="1"/>
  <c r="BM192" i="1"/>
  <c r="BL192" i="1"/>
  <c r="BN191" i="1"/>
  <c r="BM191" i="1"/>
  <c r="BL191" i="1"/>
  <c r="BN190" i="1"/>
  <c r="BM190" i="1"/>
  <c r="BL190" i="1"/>
  <c r="BN189" i="1"/>
  <c r="BM189" i="1"/>
  <c r="BL189" i="1"/>
  <c r="BN188" i="1"/>
  <c r="BM188" i="1"/>
  <c r="BL188" i="1"/>
  <c r="BN187" i="1"/>
  <c r="BM187" i="1"/>
  <c r="BL187" i="1"/>
  <c r="BN186" i="1"/>
  <c r="BM186" i="1"/>
  <c r="BL186" i="1"/>
  <c r="BN185" i="1"/>
  <c r="BM185" i="1"/>
  <c r="BL185" i="1"/>
  <c r="BN184" i="1"/>
  <c r="BM184" i="1"/>
  <c r="BL184" i="1"/>
  <c r="BN183" i="1"/>
  <c r="BM183" i="1"/>
  <c r="BL183" i="1"/>
  <c r="BN182" i="1"/>
  <c r="BM182" i="1"/>
  <c r="BL182" i="1"/>
  <c r="BN181" i="1"/>
  <c r="BM181" i="1"/>
  <c r="BL181" i="1"/>
  <c r="BN180" i="1"/>
  <c r="BM180" i="1"/>
  <c r="BL180" i="1"/>
  <c r="BN179" i="1"/>
  <c r="BM179" i="1"/>
  <c r="BL179" i="1"/>
  <c r="BN178" i="1"/>
  <c r="BM178" i="1"/>
  <c r="BL178" i="1"/>
  <c r="BN177" i="1"/>
  <c r="BM177" i="1"/>
  <c r="BL177" i="1"/>
  <c r="BN176" i="1"/>
  <c r="BM176" i="1"/>
  <c r="BL176" i="1"/>
  <c r="BN175" i="1"/>
  <c r="BM175" i="1"/>
  <c r="BL175" i="1"/>
  <c r="BN174" i="1"/>
  <c r="BM174" i="1"/>
  <c r="BL174" i="1"/>
  <c r="BN173" i="1"/>
  <c r="BM173" i="1"/>
  <c r="BL173" i="1"/>
  <c r="BN172" i="1"/>
  <c r="BM172" i="1"/>
  <c r="BL172" i="1"/>
  <c r="BN171" i="1"/>
  <c r="BM171" i="1"/>
  <c r="BL171" i="1"/>
  <c r="BN170" i="1"/>
  <c r="BM170" i="1"/>
  <c r="BL170" i="1"/>
  <c r="BN169" i="1"/>
  <c r="BM169" i="1"/>
  <c r="BL169" i="1"/>
  <c r="BN168" i="1"/>
  <c r="BM168" i="1"/>
  <c r="BL168" i="1"/>
  <c r="BN167" i="1"/>
  <c r="BM167" i="1"/>
  <c r="BL167" i="1"/>
  <c r="BN166" i="1"/>
  <c r="BM166" i="1"/>
  <c r="BL166" i="1"/>
  <c r="BN165" i="1"/>
  <c r="BM165" i="1"/>
  <c r="BL165" i="1"/>
  <c r="BN164" i="1"/>
  <c r="BM164" i="1"/>
  <c r="BL164" i="1"/>
  <c r="BN163" i="1"/>
  <c r="BM163" i="1"/>
  <c r="BL163" i="1"/>
  <c r="BN162" i="1"/>
  <c r="BM162" i="1"/>
  <c r="BL162" i="1"/>
  <c r="BN161" i="1"/>
  <c r="BM161" i="1"/>
  <c r="BL161" i="1"/>
  <c r="BN160" i="1"/>
  <c r="BM160" i="1"/>
  <c r="BL160" i="1"/>
  <c r="BN159" i="1"/>
  <c r="BM159" i="1"/>
  <c r="BL159" i="1"/>
  <c r="BN158" i="1"/>
  <c r="BM158" i="1"/>
  <c r="BL158" i="1"/>
  <c r="BN157" i="1"/>
  <c r="BM157" i="1"/>
  <c r="BL157" i="1"/>
  <c r="BN156" i="1"/>
  <c r="BM156" i="1"/>
  <c r="BL156" i="1"/>
  <c r="BN155" i="1"/>
  <c r="BM155" i="1"/>
  <c r="BL155" i="1"/>
  <c r="BN154" i="1"/>
  <c r="BM154" i="1"/>
  <c r="BL154" i="1"/>
  <c r="BN153" i="1"/>
  <c r="BM153" i="1"/>
  <c r="BL153" i="1"/>
  <c r="BN152" i="1"/>
  <c r="BM152" i="1"/>
  <c r="BL152" i="1"/>
  <c r="BN151" i="1"/>
  <c r="BM151" i="1"/>
  <c r="BL151" i="1"/>
  <c r="BN150" i="1"/>
  <c r="BM150" i="1"/>
  <c r="BL150" i="1"/>
  <c r="BN149" i="1"/>
  <c r="BM149" i="1"/>
  <c r="BL149" i="1"/>
  <c r="BN148" i="1"/>
  <c r="BM148" i="1"/>
  <c r="BL148" i="1"/>
  <c r="BN147" i="1"/>
  <c r="BM147" i="1"/>
  <c r="BL147" i="1"/>
  <c r="BN146" i="1"/>
  <c r="BM146" i="1"/>
  <c r="BL146" i="1"/>
  <c r="BN145" i="1"/>
  <c r="BM145" i="1"/>
  <c r="BL145" i="1"/>
  <c r="BN144" i="1"/>
  <c r="BM144" i="1"/>
  <c r="BL144" i="1"/>
  <c r="BN143" i="1"/>
  <c r="BM143" i="1"/>
  <c r="BL143" i="1"/>
  <c r="BN142" i="1"/>
  <c r="BM142" i="1"/>
  <c r="BL142" i="1"/>
  <c r="BN141" i="1"/>
  <c r="BM141" i="1"/>
  <c r="BL141" i="1"/>
  <c r="BN140" i="1"/>
  <c r="BM140" i="1"/>
  <c r="BL140" i="1"/>
  <c r="BN139" i="1"/>
  <c r="BM139" i="1"/>
  <c r="BL139" i="1"/>
  <c r="BN138" i="1"/>
  <c r="BM138" i="1"/>
  <c r="BL138" i="1"/>
  <c r="BN137" i="1"/>
  <c r="BM137" i="1"/>
  <c r="BL137" i="1"/>
  <c r="BN136" i="1"/>
  <c r="BM136" i="1"/>
  <c r="BL136" i="1"/>
  <c r="BN135" i="1"/>
  <c r="BM135" i="1"/>
  <c r="BL135" i="1"/>
  <c r="BN134" i="1"/>
  <c r="BM134" i="1"/>
  <c r="BL134" i="1"/>
  <c r="BN133" i="1"/>
  <c r="BM133" i="1"/>
  <c r="BL133" i="1"/>
  <c r="BN132" i="1"/>
  <c r="BM132" i="1"/>
  <c r="BL132" i="1"/>
  <c r="BN131" i="1"/>
  <c r="BM131" i="1"/>
  <c r="BL131" i="1"/>
  <c r="BN130" i="1"/>
  <c r="BM130" i="1"/>
  <c r="BL130" i="1"/>
  <c r="BN129" i="1"/>
  <c r="BM129" i="1"/>
  <c r="BL129" i="1"/>
  <c r="BN128" i="1"/>
  <c r="BM128" i="1"/>
  <c r="BL128" i="1"/>
  <c r="BN127" i="1"/>
  <c r="BM127" i="1"/>
  <c r="BL127" i="1"/>
  <c r="BN126" i="1"/>
  <c r="BM126" i="1"/>
  <c r="BL126" i="1"/>
  <c r="BN125" i="1"/>
  <c r="BM125" i="1"/>
  <c r="BL125" i="1"/>
  <c r="BN124" i="1"/>
  <c r="BM124" i="1"/>
  <c r="BL124" i="1"/>
  <c r="BN123" i="1"/>
  <c r="BM123" i="1"/>
  <c r="BL123" i="1"/>
  <c r="BN122" i="1"/>
  <c r="BM122" i="1"/>
  <c r="BL122" i="1"/>
  <c r="BN121" i="1"/>
  <c r="BM121" i="1"/>
  <c r="BL121" i="1"/>
  <c r="BN120" i="1"/>
  <c r="BM120" i="1"/>
  <c r="BL120" i="1"/>
  <c r="BN119" i="1"/>
  <c r="BM119" i="1"/>
  <c r="BL119" i="1"/>
  <c r="BN118" i="1"/>
  <c r="BM118" i="1"/>
  <c r="BL118" i="1"/>
  <c r="BN117" i="1"/>
  <c r="BM117" i="1"/>
  <c r="BL117" i="1"/>
  <c r="BN116" i="1"/>
  <c r="BM116" i="1"/>
  <c r="BL116" i="1"/>
  <c r="BN115" i="1"/>
  <c r="BM115" i="1"/>
  <c r="BL115" i="1"/>
  <c r="BN114" i="1"/>
  <c r="BM114" i="1"/>
  <c r="BL114" i="1"/>
  <c r="BN113" i="1"/>
  <c r="BM113" i="1"/>
  <c r="BL113" i="1"/>
  <c r="BN112" i="1"/>
  <c r="BM112" i="1"/>
  <c r="BL112" i="1"/>
  <c r="BN111" i="1"/>
  <c r="BM111" i="1"/>
  <c r="BL111" i="1"/>
  <c r="BN110" i="1"/>
  <c r="BM110" i="1"/>
  <c r="BL110" i="1"/>
  <c r="BN109" i="1"/>
  <c r="BM109" i="1"/>
  <c r="BL109" i="1"/>
  <c r="BN108" i="1"/>
  <c r="BM108" i="1"/>
  <c r="BL108" i="1"/>
  <c r="BN107" i="1"/>
  <c r="BM107" i="1"/>
  <c r="BL107" i="1"/>
  <c r="BN106" i="1"/>
  <c r="BM106" i="1"/>
  <c r="BL106" i="1"/>
  <c r="BN105" i="1"/>
  <c r="BM105" i="1"/>
  <c r="BL105" i="1"/>
  <c r="BN104" i="1"/>
  <c r="BM104" i="1"/>
  <c r="BL104" i="1"/>
  <c r="BN103" i="1"/>
  <c r="BM103" i="1"/>
  <c r="BL103" i="1"/>
  <c r="BN102" i="1"/>
  <c r="BM102" i="1"/>
  <c r="BL102" i="1"/>
  <c r="BN101" i="1"/>
  <c r="BM101" i="1"/>
  <c r="BL101" i="1"/>
  <c r="BN100" i="1"/>
  <c r="BM100" i="1"/>
  <c r="BL100" i="1"/>
  <c r="BN99" i="1"/>
  <c r="BM99" i="1"/>
  <c r="BL99" i="1"/>
  <c r="BN98" i="1"/>
  <c r="BM98" i="1"/>
  <c r="BL98" i="1"/>
  <c r="BN97" i="1"/>
  <c r="BM97" i="1"/>
  <c r="BL97" i="1"/>
  <c r="BN96" i="1"/>
  <c r="BM96" i="1"/>
  <c r="BL96" i="1"/>
  <c r="BN95" i="1"/>
  <c r="BM95" i="1"/>
  <c r="BL95" i="1"/>
  <c r="BN94" i="1"/>
  <c r="BM94" i="1"/>
  <c r="BL94" i="1"/>
  <c r="BN93" i="1"/>
  <c r="BM93" i="1"/>
  <c r="BL93" i="1"/>
  <c r="BN92" i="1"/>
  <c r="BM92" i="1"/>
  <c r="BL92" i="1"/>
  <c r="BN91" i="1"/>
  <c r="BM91" i="1"/>
  <c r="BL91" i="1"/>
  <c r="BN90" i="1"/>
  <c r="BM90" i="1"/>
  <c r="BL90" i="1"/>
  <c r="BN89" i="1"/>
  <c r="BM89" i="1"/>
  <c r="BL89" i="1"/>
  <c r="BN88" i="1"/>
  <c r="BM88" i="1"/>
  <c r="BL88" i="1"/>
  <c r="BN87" i="1"/>
  <c r="BM87" i="1"/>
  <c r="BL87" i="1"/>
  <c r="BN86" i="1"/>
  <c r="BM86" i="1"/>
  <c r="BL86" i="1"/>
  <c r="BN85" i="1"/>
  <c r="BM85" i="1"/>
  <c r="BL85" i="1"/>
  <c r="BN84" i="1"/>
  <c r="BM84" i="1"/>
  <c r="BL84" i="1"/>
  <c r="BN83" i="1"/>
  <c r="BM83" i="1"/>
  <c r="BL83" i="1"/>
  <c r="BN82" i="1"/>
  <c r="BM82" i="1"/>
  <c r="BL82" i="1"/>
  <c r="BN81" i="1"/>
  <c r="BM81" i="1"/>
  <c r="BL81" i="1"/>
  <c r="BN80" i="1"/>
  <c r="BM80" i="1"/>
  <c r="BL80" i="1"/>
  <c r="BN79" i="1"/>
  <c r="BM79" i="1"/>
  <c r="BL79" i="1"/>
  <c r="BN78" i="1"/>
  <c r="BM78" i="1"/>
  <c r="BL78" i="1"/>
  <c r="BN77" i="1"/>
  <c r="BM77" i="1"/>
  <c r="BL77" i="1"/>
  <c r="BN76" i="1"/>
  <c r="BM76" i="1"/>
  <c r="BL76" i="1"/>
  <c r="BN75" i="1"/>
  <c r="BM75" i="1"/>
  <c r="BL75" i="1"/>
  <c r="BN74" i="1"/>
  <c r="BM74" i="1"/>
  <c r="BL74" i="1"/>
  <c r="BN73" i="1"/>
  <c r="BM73" i="1"/>
  <c r="BL73" i="1"/>
  <c r="BN72" i="1"/>
  <c r="BM72" i="1"/>
  <c r="BL72" i="1"/>
  <c r="BN71" i="1"/>
  <c r="BM71" i="1"/>
  <c r="BL71" i="1"/>
  <c r="BN70" i="1"/>
  <c r="BM70" i="1"/>
  <c r="BL70" i="1"/>
  <c r="BN69" i="1"/>
  <c r="BM69" i="1"/>
  <c r="BL69" i="1"/>
  <c r="BN68" i="1"/>
  <c r="BM68" i="1"/>
  <c r="BL68" i="1"/>
  <c r="BN67" i="1"/>
  <c r="BM67" i="1"/>
  <c r="BL67" i="1"/>
  <c r="BN66" i="1"/>
  <c r="BM66" i="1"/>
  <c r="BL66" i="1"/>
  <c r="BN65" i="1"/>
  <c r="BM65" i="1"/>
  <c r="BL65" i="1"/>
  <c r="BN64" i="1"/>
  <c r="BM64" i="1"/>
  <c r="BL64" i="1"/>
  <c r="BN63" i="1"/>
  <c r="BM63" i="1"/>
  <c r="BL63" i="1"/>
  <c r="BN62" i="1"/>
  <c r="BM62" i="1"/>
  <c r="BL62" i="1"/>
  <c r="BN61" i="1"/>
  <c r="BM61" i="1"/>
  <c r="BL61" i="1"/>
  <c r="BN60" i="1"/>
  <c r="BM60" i="1"/>
  <c r="BL60" i="1"/>
  <c r="BN59" i="1"/>
  <c r="BM59" i="1"/>
  <c r="BL59" i="1"/>
  <c r="BN58" i="1"/>
  <c r="BM58" i="1"/>
  <c r="BL58" i="1"/>
  <c r="BN57" i="1"/>
  <c r="BM57" i="1"/>
  <c r="BL57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D6" i="1" l="1"/>
  <c r="BM56" i="1" l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F5008" i="3" l="1"/>
  <c r="F5007" i="3"/>
  <c r="F5006" i="3"/>
  <c r="F5005" i="3"/>
  <c r="F5004" i="3"/>
  <c r="F5003" i="3"/>
  <c r="F5002" i="3"/>
  <c r="F5001" i="3"/>
  <c r="F5000" i="3"/>
  <c r="F4999" i="3"/>
  <c r="F4998" i="3"/>
  <c r="F4997" i="3"/>
  <c r="F4996" i="3"/>
  <c r="F4995" i="3"/>
  <c r="F4994" i="3"/>
  <c r="F4993" i="3"/>
  <c r="F4992" i="3"/>
  <c r="F4991" i="3"/>
  <c r="F4990" i="3"/>
  <c r="F4989" i="3"/>
  <c r="F4988" i="3"/>
  <c r="F4987" i="3"/>
  <c r="F4986" i="3"/>
  <c r="F4985" i="3"/>
  <c r="F4984" i="3"/>
  <c r="F4983" i="3"/>
  <c r="F4982" i="3"/>
  <c r="F4981" i="3"/>
  <c r="F4980" i="3"/>
  <c r="F4979" i="3"/>
  <c r="F4978" i="3"/>
  <c r="F4977" i="3"/>
  <c r="F4976" i="3"/>
  <c r="F4975" i="3"/>
  <c r="F4974" i="3"/>
  <c r="F4973" i="3"/>
  <c r="F4972" i="3"/>
  <c r="F4971" i="3"/>
  <c r="F4970" i="3"/>
  <c r="F4969" i="3"/>
  <c r="F4968" i="3"/>
  <c r="F4967" i="3"/>
  <c r="F4966" i="3"/>
  <c r="F4965" i="3"/>
  <c r="F4964" i="3"/>
  <c r="F4963" i="3"/>
  <c r="F4962" i="3"/>
  <c r="F4961" i="3"/>
  <c r="F4960" i="3"/>
  <c r="F4959" i="3"/>
  <c r="F4958" i="3"/>
  <c r="F4957" i="3"/>
  <c r="F4956" i="3"/>
  <c r="F4955" i="3"/>
  <c r="F4954" i="3"/>
  <c r="F4953" i="3"/>
  <c r="F4952" i="3"/>
  <c r="F4951" i="3"/>
  <c r="F4950" i="3"/>
  <c r="F4949" i="3"/>
  <c r="F4948" i="3"/>
  <c r="F4947" i="3"/>
  <c r="F4946" i="3"/>
  <c r="F4945" i="3"/>
  <c r="F4944" i="3"/>
  <c r="F4943" i="3"/>
  <c r="F4942" i="3"/>
  <c r="F4941" i="3"/>
  <c r="F4940" i="3"/>
  <c r="F4939" i="3"/>
  <c r="F4938" i="3"/>
  <c r="F4937" i="3"/>
  <c r="F4936" i="3"/>
  <c r="F4935" i="3"/>
  <c r="F4934" i="3"/>
  <c r="F4933" i="3"/>
  <c r="F4932" i="3"/>
  <c r="F4931" i="3"/>
  <c r="F4930" i="3"/>
  <c r="F4929" i="3"/>
  <c r="F4928" i="3"/>
  <c r="F4927" i="3"/>
  <c r="F4926" i="3"/>
  <c r="F4925" i="3"/>
  <c r="F4924" i="3"/>
  <c r="F4923" i="3"/>
  <c r="F4922" i="3"/>
  <c r="F4921" i="3"/>
  <c r="F4920" i="3"/>
  <c r="F4919" i="3"/>
  <c r="F4918" i="3"/>
  <c r="F4917" i="3"/>
  <c r="F4916" i="3"/>
  <c r="F4915" i="3"/>
  <c r="F4914" i="3"/>
  <c r="F4913" i="3"/>
  <c r="F4912" i="3"/>
  <c r="F4911" i="3"/>
  <c r="F4910" i="3"/>
  <c r="F4909" i="3"/>
  <c r="F4908" i="3"/>
  <c r="F4907" i="3"/>
  <c r="F4906" i="3"/>
  <c r="F4905" i="3"/>
  <c r="F4904" i="3"/>
  <c r="F4903" i="3"/>
  <c r="F4902" i="3"/>
  <c r="F4901" i="3"/>
  <c r="F4900" i="3"/>
  <c r="F4899" i="3"/>
  <c r="F4898" i="3"/>
  <c r="F4897" i="3"/>
  <c r="F4896" i="3"/>
  <c r="F4895" i="3"/>
  <c r="F4894" i="3"/>
  <c r="F4893" i="3"/>
  <c r="F4892" i="3"/>
  <c r="F4891" i="3"/>
  <c r="F4890" i="3"/>
  <c r="F4889" i="3"/>
  <c r="F4888" i="3"/>
  <c r="F4887" i="3"/>
  <c r="F4886" i="3"/>
  <c r="F4885" i="3"/>
  <c r="F4884" i="3"/>
  <c r="F4883" i="3"/>
  <c r="F4882" i="3"/>
  <c r="F4881" i="3"/>
  <c r="F4880" i="3"/>
  <c r="F4879" i="3"/>
  <c r="F4878" i="3"/>
  <c r="F4877" i="3"/>
  <c r="F4876" i="3"/>
  <c r="F4875" i="3"/>
  <c r="F4874" i="3"/>
  <c r="F4873" i="3"/>
  <c r="F4872" i="3"/>
  <c r="F4871" i="3"/>
  <c r="F4870" i="3"/>
  <c r="F4869" i="3"/>
  <c r="F4868" i="3"/>
  <c r="F4867" i="3"/>
  <c r="F4866" i="3"/>
  <c r="F4865" i="3"/>
  <c r="F4864" i="3"/>
  <c r="F4863" i="3"/>
  <c r="F4862" i="3"/>
  <c r="F4861" i="3"/>
  <c r="F4860" i="3"/>
  <c r="F4859" i="3"/>
  <c r="F4858" i="3"/>
  <c r="F4857" i="3"/>
  <c r="F4856" i="3"/>
  <c r="F4855" i="3"/>
  <c r="F4854" i="3"/>
  <c r="F4853" i="3"/>
  <c r="F4852" i="3"/>
  <c r="F4851" i="3"/>
  <c r="F4850" i="3"/>
  <c r="F4849" i="3"/>
  <c r="F4848" i="3"/>
  <c r="F4847" i="3"/>
  <c r="F4846" i="3"/>
  <c r="F4845" i="3"/>
  <c r="F4844" i="3"/>
  <c r="F4843" i="3"/>
  <c r="F4842" i="3"/>
  <c r="F4841" i="3"/>
  <c r="F4840" i="3"/>
  <c r="F4839" i="3"/>
  <c r="F4838" i="3"/>
  <c r="F4837" i="3"/>
  <c r="F4836" i="3"/>
  <c r="F4835" i="3"/>
  <c r="F4834" i="3"/>
  <c r="F4833" i="3"/>
  <c r="F4832" i="3"/>
  <c r="F4831" i="3"/>
  <c r="F4830" i="3"/>
  <c r="F4829" i="3"/>
  <c r="F4828" i="3"/>
  <c r="F4827" i="3"/>
  <c r="F4826" i="3"/>
  <c r="F4825" i="3"/>
  <c r="F4824" i="3"/>
  <c r="F4823" i="3"/>
  <c r="F4822" i="3"/>
  <c r="F4821" i="3"/>
  <c r="F4820" i="3"/>
  <c r="F4819" i="3"/>
  <c r="F4818" i="3"/>
  <c r="F4817" i="3"/>
  <c r="F4816" i="3"/>
  <c r="F4815" i="3"/>
  <c r="F4814" i="3"/>
  <c r="F4813" i="3"/>
  <c r="F4812" i="3"/>
  <c r="F4811" i="3"/>
  <c r="F4810" i="3"/>
  <c r="F4809" i="3"/>
  <c r="F4808" i="3"/>
  <c r="F4807" i="3"/>
  <c r="F4806" i="3"/>
  <c r="F4805" i="3"/>
  <c r="F4804" i="3"/>
  <c r="F4803" i="3"/>
  <c r="F4802" i="3"/>
  <c r="F4801" i="3"/>
  <c r="F4800" i="3"/>
  <c r="F4799" i="3"/>
  <c r="F4798" i="3"/>
  <c r="F4797" i="3"/>
  <c r="F4796" i="3"/>
  <c r="F4795" i="3"/>
  <c r="F4794" i="3"/>
  <c r="F4793" i="3"/>
  <c r="F4792" i="3"/>
  <c r="F4791" i="3"/>
  <c r="F4790" i="3"/>
  <c r="F4789" i="3"/>
  <c r="F4788" i="3"/>
  <c r="F4787" i="3"/>
  <c r="F4786" i="3"/>
  <c r="F4785" i="3"/>
  <c r="F4784" i="3"/>
  <c r="F4783" i="3"/>
  <c r="F4782" i="3"/>
  <c r="F4781" i="3"/>
  <c r="F4780" i="3"/>
  <c r="F4779" i="3"/>
  <c r="F4778" i="3"/>
  <c r="F4777" i="3"/>
  <c r="F4776" i="3"/>
  <c r="F4775" i="3"/>
  <c r="F4774" i="3"/>
  <c r="F4773" i="3"/>
  <c r="F4772" i="3"/>
  <c r="F4771" i="3"/>
  <c r="F4770" i="3"/>
  <c r="F4769" i="3"/>
  <c r="F4768" i="3"/>
  <c r="F4767" i="3"/>
  <c r="F4766" i="3"/>
  <c r="F4765" i="3"/>
  <c r="F4764" i="3"/>
  <c r="F4763" i="3"/>
  <c r="F4762" i="3"/>
  <c r="F4761" i="3"/>
  <c r="F4760" i="3"/>
  <c r="F4759" i="3"/>
  <c r="F4758" i="3"/>
  <c r="F4757" i="3"/>
  <c r="F4756" i="3"/>
  <c r="F4755" i="3"/>
  <c r="F4754" i="3"/>
  <c r="F4753" i="3"/>
  <c r="F4752" i="3"/>
  <c r="F4751" i="3"/>
  <c r="F4750" i="3"/>
  <c r="F4749" i="3"/>
  <c r="F4748" i="3"/>
  <c r="F4747" i="3"/>
  <c r="F4746" i="3"/>
  <c r="F4745" i="3"/>
  <c r="F4744" i="3"/>
  <c r="F4743" i="3"/>
  <c r="F4742" i="3"/>
  <c r="F4741" i="3"/>
  <c r="F4740" i="3"/>
  <c r="F4739" i="3"/>
  <c r="F4738" i="3"/>
  <c r="F4737" i="3"/>
  <c r="F4736" i="3"/>
  <c r="F4735" i="3"/>
  <c r="F4734" i="3"/>
  <c r="F4733" i="3"/>
  <c r="F4732" i="3"/>
  <c r="F4731" i="3"/>
  <c r="F4730" i="3"/>
  <c r="F4729" i="3"/>
  <c r="F4728" i="3"/>
  <c r="F4727" i="3"/>
  <c r="F4726" i="3"/>
  <c r="F4725" i="3"/>
  <c r="F4724" i="3"/>
  <c r="F4723" i="3"/>
  <c r="F4722" i="3"/>
  <c r="F4721" i="3"/>
  <c r="F4720" i="3"/>
  <c r="F4719" i="3"/>
  <c r="F4718" i="3"/>
  <c r="F4717" i="3"/>
  <c r="F4716" i="3"/>
  <c r="F4715" i="3"/>
  <c r="F4714" i="3"/>
  <c r="F4713" i="3"/>
  <c r="F4712" i="3"/>
  <c r="F4711" i="3"/>
  <c r="F4710" i="3"/>
  <c r="F4709" i="3"/>
  <c r="F4708" i="3"/>
  <c r="F4707" i="3"/>
  <c r="F4706" i="3"/>
  <c r="F4705" i="3"/>
  <c r="F4704" i="3"/>
  <c r="F4703" i="3"/>
  <c r="F4702" i="3"/>
  <c r="F4701" i="3"/>
  <c r="F4700" i="3"/>
  <c r="F4699" i="3"/>
  <c r="F4698" i="3"/>
  <c r="F4697" i="3"/>
  <c r="F4696" i="3"/>
  <c r="F4695" i="3"/>
  <c r="F4694" i="3"/>
  <c r="F4693" i="3"/>
  <c r="F4692" i="3"/>
  <c r="F4691" i="3"/>
  <c r="F4690" i="3"/>
  <c r="F4689" i="3"/>
  <c r="F4688" i="3"/>
  <c r="F4687" i="3"/>
  <c r="F4686" i="3"/>
  <c r="F4685" i="3"/>
  <c r="F4684" i="3"/>
  <c r="F4683" i="3"/>
  <c r="F4682" i="3"/>
  <c r="F4681" i="3"/>
  <c r="F4680" i="3"/>
  <c r="F4679" i="3"/>
  <c r="F4678" i="3"/>
  <c r="F4677" i="3"/>
  <c r="F4676" i="3"/>
  <c r="F4675" i="3"/>
  <c r="F4674" i="3"/>
  <c r="F4673" i="3"/>
  <c r="F4672" i="3"/>
  <c r="F4671" i="3"/>
  <c r="F4670" i="3"/>
  <c r="F4669" i="3"/>
  <c r="F4668" i="3"/>
  <c r="F4667" i="3"/>
  <c r="F4666" i="3"/>
  <c r="F4665" i="3"/>
  <c r="F4664" i="3"/>
  <c r="F4663" i="3"/>
  <c r="F4662" i="3"/>
  <c r="F4661" i="3"/>
  <c r="F4660" i="3"/>
  <c r="F4659" i="3"/>
  <c r="F4658" i="3"/>
  <c r="F4657" i="3"/>
  <c r="F4656" i="3"/>
  <c r="F4655" i="3"/>
  <c r="F4654" i="3"/>
  <c r="F4653" i="3"/>
  <c r="F4652" i="3"/>
  <c r="F4651" i="3"/>
  <c r="F4650" i="3"/>
  <c r="F4649" i="3"/>
  <c r="F4648" i="3"/>
  <c r="F4647" i="3"/>
  <c r="F4646" i="3"/>
  <c r="F4645" i="3"/>
  <c r="F4644" i="3"/>
  <c r="F4643" i="3"/>
  <c r="F4642" i="3"/>
  <c r="F4641" i="3"/>
  <c r="F4640" i="3"/>
  <c r="F4639" i="3"/>
  <c r="F4638" i="3"/>
  <c r="F4637" i="3"/>
  <c r="F4636" i="3"/>
  <c r="F4635" i="3"/>
  <c r="F4634" i="3"/>
  <c r="F4633" i="3"/>
  <c r="F4632" i="3"/>
  <c r="F4631" i="3"/>
  <c r="F4630" i="3"/>
  <c r="F4629" i="3"/>
  <c r="F4628" i="3"/>
  <c r="F4627" i="3"/>
  <c r="F4626" i="3"/>
  <c r="F4625" i="3"/>
  <c r="F4624" i="3"/>
  <c r="F4623" i="3"/>
  <c r="F4622" i="3"/>
  <c r="F4621" i="3"/>
  <c r="F4620" i="3"/>
  <c r="F4619" i="3"/>
  <c r="F4618" i="3"/>
  <c r="F4617" i="3"/>
  <c r="F4616" i="3"/>
  <c r="F4615" i="3"/>
  <c r="F4614" i="3"/>
  <c r="F4613" i="3"/>
  <c r="F4612" i="3"/>
  <c r="F4611" i="3"/>
  <c r="F4610" i="3"/>
  <c r="F4609" i="3"/>
  <c r="F4608" i="3"/>
  <c r="F4607" i="3"/>
  <c r="F4606" i="3"/>
  <c r="F4605" i="3"/>
  <c r="F4604" i="3"/>
  <c r="F4603" i="3"/>
  <c r="F4602" i="3"/>
  <c r="F4601" i="3"/>
  <c r="F4600" i="3"/>
  <c r="F4599" i="3"/>
  <c r="F4598" i="3"/>
  <c r="F4597" i="3"/>
  <c r="F4596" i="3"/>
  <c r="F4595" i="3"/>
  <c r="F4594" i="3"/>
  <c r="F4593" i="3"/>
  <c r="F4592" i="3"/>
  <c r="F4591" i="3"/>
  <c r="F4590" i="3"/>
  <c r="F4589" i="3"/>
  <c r="F4588" i="3"/>
  <c r="F4587" i="3"/>
  <c r="F4586" i="3"/>
  <c r="F4585" i="3"/>
  <c r="F4584" i="3"/>
  <c r="F4583" i="3"/>
  <c r="F4582" i="3"/>
  <c r="F4581" i="3"/>
  <c r="F4580" i="3"/>
  <c r="F4579" i="3"/>
  <c r="F4578" i="3"/>
  <c r="F4577" i="3"/>
  <c r="F4576" i="3"/>
  <c r="F4575" i="3"/>
  <c r="F4574" i="3"/>
  <c r="F4573" i="3"/>
  <c r="F4572" i="3"/>
  <c r="F4571" i="3"/>
  <c r="F4570" i="3"/>
  <c r="F4569" i="3"/>
  <c r="F4568" i="3"/>
  <c r="F4567" i="3"/>
  <c r="F4566" i="3"/>
  <c r="F4565" i="3"/>
  <c r="F4564" i="3"/>
  <c r="F4563" i="3"/>
  <c r="F4562" i="3"/>
  <c r="F4561" i="3"/>
  <c r="F4560" i="3"/>
  <c r="F4559" i="3"/>
  <c r="F4558" i="3"/>
  <c r="F4557" i="3"/>
  <c r="F4556" i="3"/>
  <c r="F4555" i="3"/>
  <c r="F4554" i="3"/>
  <c r="F4553" i="3"/>
  <c r="F4552" i="3"/>
  <c r="F4551" i="3"/>
  <c r="F4550" i="3"/>
  <c r="F4549" i="3"/>
  <c r="F4548" i="3"/>
  <c r="F4547" i="3"/>
  <c r="F4546" i="3"/>
  <c r="F4545" i="3"/>
  <c r="F4544" i="3"/>
  <c r="F4543" i="3"/>
  <c r="F4542" i="3"/>
  <c r="F4541" i="3"/>
  <c r="F4540" i="3"/>
  <c r="F4539" i="3"/>
  <c r="F4538" i="3"/>
  <c r="F4537" i="3"/>
  <c r="F4536" i="3"/>
  <c r="F4535" i="3"/>
  <c r="F4534" i="3"/>
  <c r="F4533" i="3"/>
  <c r="F4532" i="3"/>
  <c r="F4531" i="3"/>
  <c r="F4530" i="3"/>
  <c r="F4529" i="3"/>
  <c r="F4528" i="3"/>
  <c r="F4527" i="3"/>
  <c r="F4526" i="3"/>
  <c r="F4525" i="3"/>
  <c r="F4524" i="3"/>
  <c r="F4523" i="3"/>
  <c r="F4522" i="3"/>
  <c r="F4521" i="3"/>
  <c r="F4520" i="3"/>
  <c r="F4519" i="3"/>
  <c r="F4518" i="3"/>
  <c r="F4517" i="3"/>
  <c r="F4516" i="3"/>
  <c r="F4515" i="3"/>
  <c r="F4514" i="3"/>
  <c r="F4513" i="3"/>
  <c r="F4512" i="3"/>
  <c r="F4511" i="3"/>
  <c r="F4510" i="3"/>
  <c r="F4509" i="3"/>
  <c r="F4508" i="3"/>
  <c r="F4507" i="3"/>
  <c r="F4506" i="3"/>
  <c r="F4505" i="3"/>
  <c r="F4504" i="3"/>
  <c r="F4503" i="3"/>
  <c r="F4502" i="3"/>
  <c r="F4501" i="3"/>
  <c r="F4500" i="3"/>
  <c r="F4499" i="3"/>
  <c r="F4498" i="3"/>
  <c r="F4497" i="3"/>
  <c r="F4496" i="3"/>
  <c r="F4495" i="3"/>
  <c r="F4494" i="3"/>
  <c r="F4493" i="3"/>
  <c r="F4492" i="3"/>
  <c r="F4491" i="3"/>
  <c r="F4490" i="3"/>
  <c r="F4489" i="3"/>
  <c r="F4488" i="3"/>
  <c r="F4487" i="3"/>
  <c r="F4486" i="3"/>
  <c r="F4485" i="3"/>
  <c r="F4484" i="3"/>
  <c r="F4483" i="3"/>
  <c r="F4482" i="3"/>
  <c r="F4481" i="3"/>
  <c r="F4480" i="3"/>
  <c r="F4479" i="3"/>
  <c r="F4478" i="3"/>
  <c r="F4477" i="3"/>
  <c r="F4476" i="3"/>
  <c r="F4475" i="3"/>
  <c r="F4474" i="3"/>
  <c r="F4473" i="3"/>
  <c r="F4472" i="3"/>
  <c r="F4471" i="3"/>
  <c r="F4470" i="3"/>
  <c r="F4469" i="3"/>
  <c r="F4468" i="3"/>
  <c r="F4467" i="3"/>
  <c r="F4466" i="3"/>
  <c r="F4465" i="3"/>
  <c r="F4464" i="3"/>
  <c r="F4463" i="3"/>
  <c r="F4462" i="3"/>
  <c r="F4461" i="3"/>
  <c r="F4460" i="3"/>
  <c r="F4459" i="3"/>
  <c r="F4458" i="3"/>
  <c r="F4457" i="3"/>
  <c r="F4456" i="3"/>
  <c r="F4455" i="3"/>
  <c r="F4454" i="3"/>
  <c r="F4453" i="3"/>
  <c r="F4452" i="3"/>
  <c r="F4451" i="3"/>
  <c r="F4450" i="3"/>
  <c r="F4449" i="3"/>
  <c r="F4448" i="3"/>
  <c r="F4447" i="3"/>
  <c r="F4446" i="3"/>
  <c r="F4445" i="3"/>
  <c r="F4444" i="3"/>
  <c r="F4443" i="3"/>
  <c r="F4442" i="3"/>
  <c r="F4441" i="3"/>
  <c r="F4440" i="3"/>
  <c r="F4439" i="3"/>
  <c r="F4438" i="3"/>
  <c r="F4437" i="3"/>
  <c r="F4436" i="3"/>
  <c r="F4435" i="3"/>
  <c r="F4434" i="3"/>
  <c r="F4433" i="3"/>
  <c r="F4432" i="3"/>
  <c r="F4431" i="3"/>
  <c r="F4430" i="3"/>
  <c r="F4429" i="3"/>
  <c r="F4428" i="3"/>
  <c r="F4427" i="3"/>
  <c r="F4426" i="3"/>
  <c r="F4425" i="3"/>
  <c r="F4424" i="3"/>
  <c r="F4423" i="3"/>
  <c r="F4422" i="3"/>
  <c r="F4421" i="3"/>
  <c r="F4420" i="3"/>
  <c r="F4419" i="3"/>
  <c r="F4418" i="3"/>
  <c r="F4417" i="3"/>
  <c r="F4416" i="3"/>
  <c r="F4415" i="3"/>
  <c r="F4414" i="3"/>
  <c r="F4413" i="3"/>
  <c r="F4412" i="3"/>
  <c r="F4411" i="3"/>
  <c r="F4410" i="3"/>
  <c r="F4409" i="3"/>
  <c r="F4408" i="3"/>
  <c r="F4407" i="3"/>
  <c r="F4406" i="3"/>
  <c r="F4405" i="3"/>
  <c r="F4404" i="3"/>
  <c r="F4403" i="3"/>
  <c r="F4402" i="3"/>
  <c r="F4401" i="3"/>
  <c r="F4400" i="3"/>
  <c r="F4399" i="3"/>
  <c r="F4398" i="3"/>
  <c r="F4397" i="3"/>
  <c r="F4396" i="3"/>
  <c r="F4395" i="3"/>
  <c r="F4394" i="3"/>
  <c r="F4393" i="3"/>
  <c r="F4392" i="3"/>
  <c r="F4391" i="3"/>
  <c r="F4390" i="3"/>
  <c r="F4389" i="3"/>
  <c r="F4388" i="3"/>
  <c r="F4387" i="3"/>
  <c r="F4386" i="3"/>
  <c r="F4385" i="3"/>
  <c r="F4384" i="3"/>
  <c r="F4383" i="3"/>
  <c r="F4382" i="3"/>
  <c r="F4381" i="3"/>
  <c r="F4380" i="3"/>
  <c r="F4379" i="3"/>
  <c r="F4378" i="3"/>
  <c r="F4377" i="3"/>
  <c r="F4376" i="3"/>
  <c r="F4375" i="3"/>
  <c r="F4374" i="3"/>
  <c r="F4373" i="3"/>
  <c r="F4372" i="3"/>
  <c r="F4371" i="3"/>
  <c r="F4370" i="3"/>
  <c r="F4369" i="3"/>
  <c r="F4368" i="3"/>
  <c r="F4367" i="3"/>
  <c r="F4366" i="3"/>
  <c r="F4365" i="3"/>
  <c r="F4364" i="3"/>
  <c r="F4363" i="3"/>
  <c r="F4362" i="3"/>
  <c r="F4361" i="3"/>
  <c r="F4360" i="3"/>
  <c r="F4359" i="3"/>
  <c r="F4358" i="3"/>
  <c r="F4357" i="3"/>
  <c r="F4356" i="3"/>
  <c r="F4355" i="3"/>
  <c r="F4354" i="3"/>
  <c r="F4353" i="3"/>
  <c r="F4352" i="3"/>
  <c r="F4351" i="3"/>
  <c r="F4350" i="3"/>
  <c r="F4349" i="3"/>
  <c r="F4348" i="3"/>
  <c r="F4347" i="3"/>
  <c r="F4346" i="3"/>
  <c r="F4345" i="3"/>
  <c r="F4344" i="3"/>
  <c r="F4343" i="3"/>
  <c r="F4342" i="3"/>
  <c r="F4341" i="3"/>
  <c r="F4340" i="3"/>
  <c r="F4339" i="3"/>
  <c r="F4338" i="3"/>
  <c r="F4337" i="3"/>
  <c r="F4336" i="3"/>
  <c r="F4335" i="3"/>
  <c r="F4334" i="3"/>
  <c r="F4333" i="3"/>
  <c r="F4332" i="3"/>
  <c r="F4331" i="3"/>
  <c r="F4330" i="3"/>
  <c r="F4329" i="3"/>
  <c r="F4328" i="3"/>
  <c r="F4327" i="3"/>
  <c r="F4326" i="3"/>
  <c r="F4325" i="3"/>
  <c r="F4324" i="3"/>
  <c r="F4323" i="3"/>
  <c r="F4322" i="3"/>
  <c r="F4321" i="3"/>
  <c r="F4320" i="3"/>
  <c r="F4319" i="3"/>
  <c r="F4318" i="3"/>
  <c r="F4317" i="3"/>
  <c r="F4316" i="3"/>
  <c r="F4315" i="3"/>
  <c r="F4314" i="3"/>
  <c r="F4313" i="3"/>
  <c r="F4312" i="3"/>
  <c r="F4311" i="3"/>
  <c r="F4310" i="3"/>
  <c r="F4309" i="3"/>
  <c r="F4308" i="3"/>
  <c r="F4307" i="3"/>
  <c r="F4306" i="3"/>
  <c r="F4305" i="3"/>
  <c r="F4304" i="3"/>
  <c r="F4303" i="3"/>
  <c r="F4302" i="3"/>
  <c r="F4301" i="3"/>
  <c r="F4300" i="3"/>
  <c r="F4299" i="3"/>
  <c r="F4298" i="3"/>
  <c r="F4297" i="3"/>
  <c r="F4296" i="3"/>
  <c r="F4295" i="3"/>
  <c r="F4294" i="3"/>
  <c r="F4293" i="3"/>
  <c r="F4292" i="3"/>
  <c r="F4291" i="3"/>
  <c r="F4290" i="3"/>
  <c r="F4289" i="3"/>
  <c r="F4288" i="3"/>
  <c r="F4287" i="3"/>
  <c r="F4286" i="3"/>
  <c r="F4285" i="3"/>
  <c r="F4284" i="3"/>
  <c r="F4283" i="3"/>
  <c r="F4282" i="3"/>
  <c r="F4281" i="3"/>
  <c r="F4280" i="3"/>
  <c r="F4279" i="3"/>
  <c r="F4278" i="3"/>
  <c r="F4277" i="3"/>
  <c r="F4276" i="3"/>
  <c r="F4275" i="3"/>
  <c r="F4274" i="3"/>
  <c r="F4273" i="3"/>
  <c r="F4272" i="3"/>
  <c r="F4271" i="3"/>
  <c r="F4270" i="3"/>
  <c r="F4269" i="3"/>
  <c r="F4268" i="3"/>
  <c r="F4267" i="3"/>
  <c r="F4266" i="3"/>
  <c r="F4265" i="3"/>
  <c r="F4264" i="3"/>
  <c r="F4263" i="3"/>
  <c r="F4262" i="3"/>
  <c r="F4261" i="3"/>
  <c r="F4260" i="3"/>
  <c r="F4259" i="3"/>
  <c r="F4258" i="3"/>
  <c r="F4257" i="3"/>
  <c r="F4256" i="3"/>
  <c r="F4255" i="3"/>
  <c r="F4254" i="3"/>
  <c r="F4253" i="3"/>
  <c r="F4252" i="3"/>
  <c r="F4251" i="3"/>
  <c r="F4250" i="3"/>
  <c r="F4249" i="3"/>
  <c r="F4248" i="3"/>
  <c r="F4247" i="3"/>
  <c r="F4246" i="3"/>
  <c r="F4245" i="3"/>
  <c r="F4244" i="3"/>
  <c r="F4243" i="3"/>
  <c r="F4242" i="3"/>
  <c r="F4241" i="3"/>
  <c r="F4240" i="3"/>
  <c r="F4239" i="3"/>
  <c r="F4238" i="3"/>
  <c r="F4237" i="3"/>
  <c r="F4236" i="3"/>
  <c r="F4235" i="3"/>
  <c r="F4234" i="3"/>
  <c r="F4233" i="3"/>
  <c r="F4232" i="3"/>
  <c r="F4231" i="3"/>
  <c r="F4230" i="3"/>
  <c r="F4229" i="3"/>
  <c r="F4228" i="3"/>
  <c r="F4227" i="3"/>
  <c r="F4226" i="3"/>
  <c r="F4225" i="3"/>
  <c r="F4224" i="3"/>
  <c r="F4223" i="3"/>
  <c r="F4222" i="3"/>
  <c r="F4221" i="3"/>
  <c r="F4220" i="3"/>
  <c r="F4219" i="3"/>
  <c r="F4218" i="3"/>
  <c r="F4217" i="3"/>
  <c r="F4216" i="3"/>
  <c r="F4215" i="3"/>
  <c r="F4214" i="3"/>
  <c r="F4213" i="3"/>
  <c r="F4212" i="3"/>
  <c r="F4211" i="3"/>
  <c r="F4210" i="3"/>
  <c r="F4209" i="3"/>
  <c r="F4208" i="3"/>
  <c r="F4207" i="3"/>
  <c r="F4206" i="3"/>
  <c r="F4205" i="3"/>
  <c r="F4204" i="3"/>
  <c r="F4203" i="3"/>
  <c r="F4202" i="3"/>
  <c r="F4201" i="3"/>
  <c r="F4200" i="3"/>
  <c r="F4199" i="3"/>
  <c r="F4198" i="3"/>
  <c r="F4197" i="3"/>
  <c r="F4196" i="3"/>
  <c r="F4195" i="3"/>
  <c r="F4194" i="3"/>
  <c r="F4193" i="3"/>
  <c r="F4192" i="3"/>
  <c r="F4191" i="3"/>
  <c r="F4190" i="3"/>
  <c r="F4189" i="3"/>
  <c r="F4188" i="3"/>
  <c r="F4187" i="3"/>
  <c r="F4186" i="3"/>
  <c r="F4185" i="3"/>
  <c r="F4184" i="3"/>
  <c r="F4183" i="3"/>
  <c r="F4182" i="3"/>
  <c r="F4181" i="3"/>
  <c r="F4180" i="3"/>
  <c r="F4179" i="3"/>
  <c r="F4178" i="3"/>
  <c r="F4177" i="3"/>
  <c r="F4176" i="3"/>
  <c r="F4175" i="3"/>
  <c r="F4174" i="3"/>
  <c r="F4173" i="3"/>
  <c r="F4172" i="3"/>
  <c r="F4171" i="3"/>
  <c r="F4170" i="3"/>
  <c r="F4169" i="3"/>
  <c r="F4168" i="3"/>
  <c r="F4167" i="3"/>
  <c r="F4166" i="3"/>
  <c r="F4165" i="3"/>
  <c r="F4164" i="3"/>
  <c r="F4163" i="3"/>
  <c r="F4162" i="3"/>
  <c r="F4161" i="3"/>
  <c r="F4160" i="3"/>
  <c r="F4159" i="3"/>
  <c r="F4158" i="3"/>
  <c r="F4157" i="3"/>
  <c r="F4156" i="3"/>
  <c r="F4155" i="3"/>
  <c r="F4154" i="3"/>
  <c r="F4153" i="3"/>
  <c r="F4152" i="3"/>
  <c r="F4151" i="3"/>
  <c r="F4150" i="3"/>
  <c r="F4149" i="3"/>
  <c r="F4148" i="3"/>
  <c r="F4147" i="3"/>
  <c r="F4146" i="3"/>
  <c r="F4145" i="3"/>
  <c r="F4144" i="3"/>
  <c r="F4143" i="3"/>
  <c r="F4142" i="3"/>
  <c r="F4141" i="3"/>
  <c r="F4140" i="3"/>
  <c r="F4139" i="3"/>
  <c r="F4138" i="3"/>
  <c r="F4137" i="3"/>
  <c r="F4136" i="3"/>
  <c r="F4135" i="3"/>
  <c r="F4134" i="3"/>
  <c r="F4133" i="3"/>
  <c r="F4132" i="3"/>
  <c r="F4131" i="3"/>
  <c r="F4130" i="3"/>
  <c r="F4129" i="3"/>
  <c r="F4128" i="3"/>
  <c r="F4127" i="3"/>
  <c r="F4126" i="3"/>
  <c r="F4125" i="3"/>
  <c r="F4124" i="3"/>
  <c r="F4123" i="3"/>
  <c r="F4122" i="3"/>
  <c r="F4121" i="3"/>
  <c r="F4120" i="3"/>
  <c r="F4119" i="3"/>
  <c r="F4118" i="3"/>
  <c r="F4117" i="3"/>
  <c r="F4116" i="3"/>
  <c r="F4115" i="3"/>
  <c r="F4114" i="3"/>
  <c r="F4113" i="3"/>
  <c r="F4112" i="3"/>
  <c r="F4111" i="3"/>
  <c r="F4110" i="3"/>
  <c r="F4109" i="3"/>
  <c r="F4108" i="3"/>
  <c r="F4107" i="3"/>
  <c r="F4106" i="3"/>
  <c r="F4105" i="3"/>
  <c r="F4104" i="3"/>
  <c r="F4103" i="3"/>
  <c r="F4102" i="3"/>
  <c r="F4101" i="3"/>
  <c r="F4100" i="3"/>
  <c r="F4099" i="3"/>
  <c r="F4098" i="3"/>
  <c r="F4097" i="3"/>
  <c r="F4096" i="3"/>
  <c r="F4095" i="3"/>
  <c r="F4094" i="3"/>
  <c r="F4093" i="3"/>
  <c r="F4092" i="3"/>
  <c r="F4091" i="3"/>
  <c r="F4090" i="3"/>
  <c r="F4089" i="3"/>
  <c r="F4088" i="3"/>
  <c r="F4087" i="3"/>
  <c r="F4086" i="3"/>
  <c r="F4085" i="3"/>
  <c r="F4084" i="3"/>
  <c r="F4083" i="3"/>
  <c r="F4082" i="3"/>
  <c r="F4081" i="3"/>
  <c r="F4080" i="3"/>
  <c r="F4079" i="3"/>
  <c r="F4078" i="3"/>
  <c r="F4077" i="3"/>
  <c r="F4076" i="3"/>
  <c r="F4075" i="3"/>
  <c r="F4074" i="3"/>
  <c r="F4073" i="3"/>
  <c r="F4072" i="3"/>
  <c r="F4071" i="3"/>
  <c r="F4070" i="3"/>
  <c r="F4069" i="3"/>
  <c r="F4068" i="3"/>
  <c r="F4067" i="3"/>
  <c r="F4066" i="3"/>
  <c r="F4065" i="3"/>
  <c r="F4064" i="3"/>
  <c r="F4063" i="3"/>
  <c r="F4062" i="3"/>
  <c r="F4061" i="3"/>
  <c r="F4060" i="3"/>
  <c r="F4059" i="3"/>
  <c r="F4058" i="3"/>
  <c r="F4057" i="3"/>
  <c r="F4056" i="3"/>
  <c r="F4055" i="3"/>
  <c r="F4054" i="3"/>
  <c r="F4053" i="3"/>
  <c r="F4052" i="3"/>
  <c r="F4051" i="3"/>
  <c r="F4050" i="3"/>
  <c r="F4049" i="3"/>
  <c r="F4048" i="3"/>
  <c r="F4047" i="3"/>
  <c r="F4046" i="3"/>
  <c r="F4045" i="3"/>
  <c r="F4044" i="3"/>
  <c r="F4043" i="3"/>
  <c r="F4042" i="3"/>
  <c r="F4041" i="3"/>
  <c r="F4040" i="3"/>
  <c r="F4039" i="3"/>
  <c r="F4038" i="3"/>
  <c r="F4037" i="3"/>
  <c r="F4036" i="3"/>
  <c r="F4035" i="3"/>
  <c r="F4034" i="3"/>
  <c r="F4033" i="3"/>
  <c r="F4032" i="3"/>
  <c r="F4031" i="3"/>
  <c r="F4030" i="3"/>
  <c r="F4029" i="3"/>
  <c r="F4028" i="3"/>
  <c r="F4027" i="3"/>
  <c r="F4026" i="3"/>
  <c r="F4025" i="3"/>
  <c r="F4024" i="3"/>
  <c r="F4023" i="3"/>
  <c r="F4022" i="3"/>
  <c r="F4021" i="3"/>
  <c r="F4020" i="3"/>
  <c r="F4019" i="3"/>
  <c r="F4018" i="3"/>
  <c r="F4017" i="3"/>
  <c r="F4016" i="3"/>
  <c r="F4015" i="3"/>
  <c r="F4014" i="3"/>
  <c r="F4013" i="3"/>
  <c r="F4012" i="3"/>
  <c r="F4011" i="3"/>
  <c r="F4010" i="3"/>
  <c r="F4009" i="3"/>
  <c r="F4008" i="3"/>
  <c r="F4007" i="3"/>
  <c r="F4006" i="3"/>
  <c r="F4005" i="3"/>
  <c r="F4004" i="3"/>
  <c r="F4003" i="3"/>
  <c r="F4002" i="3"/>
  <c r="F4001" i="3"/>
  <c r="F4000" i="3"/>
  <c r="F3999" i="3"/>
  <c r="F3998" i="3"/>
  <c r="F3997" i="3"/>
  <c r="F3996" i="3"/>
  <c r="F3995" i="3"/>
  <c r="F3994" i="3"/>
  <c r="F3993" i="3"/>
  <c r="F3992" i="3"/>
  <c r="F3991" i="3"/>
  <c r="F3990" i="3"/>
  <c r="F3989" i="3"/>
  <c r="F3988" i="3"/>
  <c r="F3987" i="3"/>
  <c r="F3986" i="3"/>
  <c r="F3985" i="3"/>
  <c r="F3984" i="3"/>
  <c r="F3983" i="3"/>
  <c r="F3982" i="3"/>
  <c r="F3981" i="3"/>
  <c r="F3980" i="3"/>
  <c r="F3979" i="3"/>
  <c r="F3978" i="3"/>
  <c r="F3977" i="3"/>
  <c r="F3976" i="3"/>
  <c r="F3975" i="3"/>
  <c r="F3974" i="3"/>
  <c r="F3973" i="3"/>
  <c r="F3972" i="3"/>
  <c r="F3971" i="3"/>
  <c r="F3970" i="3"/>
  <c r="F3969" i="3"/>
  <c r="F3968" i="3"/>
  <c r="F3967" i="3"/>
  <c r="F3966" i="3"/>
  <c r="F3965" i="3"/>
  <c r="F3964" i="3"/>
  <c r="F3963" i="3"/>
  <c r="F3962" i="3"/>
  <c r="F3961" i="3"/>
  <c r="F3960" i="3"/>
  <c r="F3959" i="3"/>
  <c r="F3958" i="3"/>
  <c r="F3957" i="3"/>
  <c r="F3956" i="3"/>
  <c r="F3955" i="3"/>
  <c r="F3954" i="3"/>
  <c r="F3953" i="3"/>
  <c r="F3952" i="3"/>
  <c r="F3951" i="3"/>
  <c r="F3950" i="3"/>
  <c r="F3949" i="3"/>
  <c r="F3948" i="3"/>
  <c r="F3947" i="3"/>
  <c r="F3946" i="3"/>
  <c r="F3945" i="3"/>
  <c r="F3944" i="3"/>
  <c r="F3943" i="3"/>
  <c r="F3942" i="3"/>
  <c r="F3941" i="3"/>
  <c r="F3940" i="3"/>
  <c r="F3939" i="3"/>
  <c r="F3938" i="3"/>
  <c r="F3937" i="3"/>
  <c r="F3936" i="3"/>
  <c r="F3935" i="3"/>
  <c r="F3934" i="3"/>
  <c r="F3933" i="3"/>
  <c r="F3932" i="3"/>
  <c r="F3931" i="3"/>
  <c r="F3930" i="3"/>
  <c r="F3929" i="3"/>
  <c r="F3928" i="3"/>
  <c r="F3927" i="3"/>
  <c r="F3926" i="3"/>
  <c r="F3925" i="3"/>
  <c r="F3924" i="3"/>
  <c r="F3923" i="3"/>
  <c r="F3922" i="3"/>
  <c r="F3921" i="3"/>
  <c r="F3920" i="3"/>
  <c r="F3919" i="3"/>
  <c r="F3918" i="3"/>
  <c r="F3917" i="3"/>
  <c r="F3916" i="3"/>
  <c r="F3915" i="3"/>
  <c r="F3914" i="3"/>
  <c r="F3913" i="3"/>
  <c r="F3912" i="3"/>
  <c r="F3911" i="3"/>
  <c r="F3910" i="3"/>
  <c r="F3909" i="3"/>
  <c r="F3908" i="3"/>
  <c r="F3907" i="3"/>
  <c r="F3906" i="3"/>
  <c r="F3905" i="3"/>
  <c r="F3904" i="3"/>
  <c r="F3903" i="3"/>
  <c r="F3902" i="3"/>
  <c r="F3901" i="3"/>
  <c r="F3900" i="3"/>
  <c r="F3899" i="3"/>
  <c r="F3898" i="3"/>
  <c r="F3897" i="3"/>
  <c r="F3896" i="3"/>
  <c r="F3895" i="3"/>
  <c r="F3894" i="3"/>
  <c r="F3893" i="3"/>
  <c r="F3892" i="3"/>
  <c r="F3891" i="3"/>
  <c r="F3890" i="3"/>
  <c r="F3889" i="3"/>
  <c r="F3888" i="3"/>
  <c r="F3887" i="3"/>
  <c r="F3886" i="3"/>
  <c r="F3885" i="3"/>
  <c r="F3884" i="3"/>
  <c r="F3883" i="3"/>
  <c r="F3882" i="3"/>
  <c r="F3881" i="3"/>
  <c r="F3880" i="3"/>
  <c r="F3879" i="3"/>
  <c r="F3878" i="3"/>
  <c r="F3877" i="3"/>
  <c r="F3876" i="3"/>
  <c r="F3875" i="3"/>
  <c r="F3874" i="3"/>
  <c r="F3873" i="3"/>
  <c r="F3872" i="3"/>
  <c r="F3871" i="3"/>
  <c r="F3870" i="3"/>
  <c r="F3869" i="3"/>
  <c r="F3868" i="3"/>
  <c r="F3867" i="3"/>
  <c r="F3866" i="3"/>
  <c r="F3865" i="3"/>
  <c r="F3864" i="3"/>
  <c r="F3863" i="3"/>
  <c r="F3862" i="3"/>
  <c r="F3861" i="3"/>
  <c r="F3860" i="3"/>
  <c r="F3859" i="3"/>
  <c r="F3858" i="3"/>
  <c r="F3857" i="3"/>
  <c r="F3856" i="3"/>
  <c r="F3855" i="3"/>
  <c r="F3854" i="3"/>
  <c r="F3853" i="3"/>
  <c r="F3852" i="3"/>
  <c r="F3851" i="3"/>
  <c r="F3850" i="3"/>
  <c r="F3849" i="3"/>
  <c r="F3848" i="3"/>
  <c r="F3847" i="3"/>
  <c r="F3846" i="3"/>
  <c r="F3845" i="3"/>
  <c r="F3844" i="3"/>
  <c r="F3843" i="3"/>
  <c r="F3842" i="3"/>
  <c r="F3841" i="3"/>
  <c r="F3840" i="3"/>
  <c r="F3839" i="3"/>
  <c r="F3838" i="3"/>
  <c r="F3837" i="3"/>
  <c r="F3836" i="3"/>
  <c r="F3835" i="3"/>
  <c r="F3834" i="3"/>
  <c r="F3833" i="3"/>
  <c r="F3832" i="3"/>
  <c r="F3831" i="3"/>
  <c r="F3830" i="3"/>
  <c r="F3829" i="3"/>
  <c r="F3828" i="3"/>
  <c r="F3827" i="3"/>
  <c r="F3826" i="3"/>
  <c r="F3825" i="3"/>
  <c r="F3824" i="3"/>
  <c r="F3823" i="3"/>
  <c r="F3822" i="3"/>
  <c r="F3821" i="3"/>
  <c r="F3820" i="3"/>
  <c r="F3819" i="3"/>
  <c r="F3818" i="3"/>
  <c r="F3817" i="3"/>
  <c r="F3816" i="3"/>
  <c r="F3815" i="3"/>
  <c r="F3814" i="3"/>
  <c r="F3813" i="3"/>
  <c r="F3812" i="3"/>
  <c r="F3811" i="3"/>
  <c r="F3810" i="3"/>
  <c r="F3809" i="3"/>
  <c r="F3808" i="3"/>
  <c r="F3807" i="3"/>
  <c r="F3806" i="3"/>
  <c r="F3805" i="3"/>
  <c r="F3804" i="3"/>
  <c r="F3803" i="3"/>
  <c r="F3802" i="3"/>
  <c r="F3801" i="3"/>
  <c r="F3800" i="3"/>
  <c r="F3799" i="3"/>
  <c r="F3798" i="3"/>
  <c r="F3797" i="3"/>
  <c r="F3796" i="3"/>
  <c r="F3795" i="3"/>
  <c r="F3794" i="3"/>
  <c r="F3793" i="3"/>
  <c r="F3792" i="3"/>
  <c r="F3791" i="3"/>
  <c r="F3790" i="3"/>
  <c r="F3789" i="3"/>
  <c r="F3788" i="3"/>
  <c r="F3787" i="3"/>
  <c r="F3786" i="3"/>
  <c r="F3785" i="3"/>
  <c r="F3784" i="3"/>
  <c r="F3783" i="3"/>
  <c r="F3782" i="3"/>
  <c r="F3781" i="3"/>
  <c r="F3780" i="3"/>
  <c r="F3779" i="3"/>
  <c r="F3778" i="3"/>
  <c r="F3777" i="3"/>
  <c r="F3776" i="3"/>
  <c r="F3775" i="3"/>
  <c r="F3774" i="3"/>
  <c r="F3773" i="3"/>
  <c r="F3772" i="3"/>
  <c r="F3771" i="3"/>
  <c r="F3770" i="3"/>
  <c r="F3769" i="3"/>
  <c r="F3768" i="3"/>
  <c r="F3767" i="3"/>
  <c r="F3766" i="3"/>
  <c r="F3765" i="3"/>
  <c r="F3764" i="3"/>
  <c r="F3763" i="3"/>
  <c r="F3762" i="3"/>
  <c r="F3761" i="3"/>
  <c r="F3760" i="3"/>
  <c r="F3759" i="3"/>
  <c r="F3758" i="3"/>
  <c r="F3757" i="3"/>
  <c r="F3756" i="3"/>
  <c r="F3755" i="3"/>
  <c r="F3754" i="3"/>
  <c r="F3753" i="3"/>
  <c r="F3752" i="3"/>
  <c r="F3751" i="3"/>
  <c r="F3750" i="3"/>
  <c r="F3749" i="3"/>
  <c r="F3748" i="3"/>
  <c r="F3747" i="3"/>
  <c r="F3746" i="3"/>
  <c r="F3745" i="3"/>
  <c r="F3744" i="3"/>
  <c r="F3743" i="3"/>
  <c r="F3742" i="3"/>
  <c r="F3741" i="3"/>
  <c r="F3740" i="3"/>
  <c r="F3739" i="3"/>
  <c r="F3738" i="3"/>
  <c r="F3737" i="3"/>
  <c r="F3736" i="3"/>
  <c r="F3735" i="3"/>
  <c r="F3734" i="3"/>
  <c r="F3733" i="3"/>
  <c r="F3732" i="3"/>
  <c r="F3731" i="3"/>
  <c r="F3730" i="3"/>
  <c r="F3729" i="3"/>
  <c r="F3728" i="3"/>
  <c r="F3727" i="3"/>
  <c r="F3726" i="3"/>
  <c r="F3725" i="3"/>
  <c r="F3724" i="3"/>
  <c r="F3723" i="3"/>
  <c r="F3722" i="3"/>
  <c r="F3721" i="3"/>
  <c r="F3720" i="3"/>
  <c r="F3719" i="3"/>
  <c r="F3718" i="3"/>
  <c r="F3717" i="3"/>
  <c r="F3716" i="3"/>
  <c r="F3715" i="3"/>
  <c r="F3714" i="3"/>
  <c r="F3713" i="3"/>
  <c r="F3712" i="3"/>
  <c r="F3711" i="3"/>
  <c r="F3710" i="3"/>
  <c r="F3709" i="3"/>
  <c r="F3708" i="3"/>
  <c r="F3707" i="3"/>
  <c r="F3706" i="3"/>
  <c r="F3705" i="3"/>
  <c r="F3704" i="3"/>
  <c r="F3703" i="3"/>
  <c r="F3702" i="3"/>
  <c r="F3701" i="3"/>
  <c r="F3700" i="3"/>
  <c r="F3699" i="3"/>
  <c r="F3698" i="3"/>
  <c r="F3697" i="3"/>
  <c r="F3696" i="3"/>
  <c r="F3695" i="3"/>
  <c r="F3694" i="3"/>
  <c r="F3693" i="3"/>
  <c r="F3692" i="3"/>
  <c r="F3691" i="3"/>
  <c r="F3690" i="3"/>
  <c r="F3689" i="3"/>
  <c r="F3688" i="3"/>
  <c r="F3687" i="3"/>
  <c r="F3686" i="3"/>
  <c r="F3685" i="3"/>
  <c r="F3684" i="3"/>
  <c r="F3683" i="3"/>
  <c r="F3682" i="3"/>
  <c r="F3681" i="3"/>
  <c r="F3680" i="3"/>
  <c r="F3679" i="3"/>
  <c r="F3678" i="3"/>
  <c r="F3677" i="3"/>
  <c r="F3676" i="3"/>
  <c r="F3675" i="3"/>
  <c r="F3674" i="3"/>
  <c r="F3673" i="3"/>
  <c r="F3672" i="3"/>
  <c r="F3671" i="3"/>
  <c r="F3670" i="3"/>
  <c r="F3669" i="3"/>
  <c r="F3668" i="3"/>
  <c r="F3667" i="3"/>
  <c r="F3666" i="3"/>
  <c r="F3665" i="3"/>
  <c r="F3664" i="3"/>
  <c r="F3663" i="3"/>
  <c r="F3662" i="3"/>
  <c r="F3661" i="3"/>
  <c r="F3660" i="3"/>
  <c r="F3659" i="3"/>
  <c r="F3658" i="3"/>
  <c r="F3657" i="3"/>
  <c r="F3656" i="3"/>
  <c r="F3655" i="3"/>
  <c r="F3654" i="3"/>
  <c r="F3653" i="3"/>
  <c r="F3652" i="3"/>
  <c r="F3651" i="3"/>
  <c r="F3650" i="3"/>
  <c r="F3649" i="3"/>
  <c r="F3648" i="3"/>
  <c r="F3647" i="3"/>
  <c r="F3646" i="3"/>
  <c r="F3645" i="3"/>
  <c r="F3644" i="3"/>
  <c r="F3643" i="3"/>
  <c r="F3642" i="3"/>
  <c r="F3641" i="3"/>
  <c r="F3640" i="3"/>
  <c r="F3639" i="3"/>
  <c r="F3638" i="3"/>
  <c r="F3637" i="3"/>
  <c r="F3636" i="3"/>
  <c r="F3635" i="3"/>
  <c r="F3634" i="3"/>
  <c r="F3633" i="3"/>
  <c r="F3632" i="3"/>
  <c r="F3631" i="3"/>
  <c r="F3630" i="3"/>
  <c r="F3629" i="3"/>
  <c r="F3628" i="3"/>
  <c r="F3627" i="3"/>
  <c r="F3626" i="3"/>
  <c r="F3625" i="3"/>
  <c r="F3624" i="3"/>
  <c r="F3623" i="3"/>
  <c r="F3622" i="3"/>
  <c r="F3621" i="3"/>
  <c r="F3620" i="3"/>
  <c r="F3619" i="3"/>
  <c r="F3618" i="3"/>
  <c r="F3617" i="3"/>
  <c r="F3616" i="3"/>
  <c r="F3615" i="3"/>
  <c r="F3614" i="3"/>
  <c r="F3613" i="3"/>
  <c r="F3612" i="3"/>
  <c r="F3611" i="3"/>
  <c r="F3610" i="3"/>
  <c r="F3609" i="3"/>
  <c r="F3608" i="3"/>
  <c r="F3607" i="3"/>
  <c r="F3606" i="3"/>
  <c r="F3605" i="3"/>
  <c r="F3604" i="3"/>
  <c r="F3603" i="3"/>
  <c r="F3602" i="3"/>
  <c r="F3601" i="3"/>
  <c r="F3600" i="3"/>
  <c r="F3599" i="3"/>
  <c r="F3598" i="3"/>
  <c r="F3597" i="3"/>
  <c r="F3596" i="3"/>
  <c r="F3595" i="3"/>
  <c r="F3594" i="3"/>
  <c r="F3593" i="3"/>
  <c r="F3592" i="3"/>
  <c r="F3591" i="3"/>
  <c r="F3590" i="3"/>
  <c r="F3589" i="3"/>
  <c r="F3588" i="3"/>
  <c r="F3587" i="3"/>
  <c r="F3586" i="3"/>
  <c r="F3585" i="3"/>
  <c r="F3584" i="3"/>
  <c r="F3583" i="3"/>
  <c r="F3582" i="3"/>
  <c r="F3581" i="3"/>
  <c r="F3580" i="3"/>
  <c r="F3579" i="3"/>
  <c r="F3578" i="3"/>
  <c r="F3577" i="3"/>
  <c r="F3576" i="3"/>
  <c r="F3575" i="3"/>
  <c r="F3574" i="3"/>
  <c r="F3573" i="3"/>
  <c r="F3572" i="3"/>
  <c r="F3571" i="3"/>
  <c r="F3570" i="3"/>
  <c r="F3569" i="3"/>
  <c r="F3568" i="3"/>
  <c r="F3567" i="3"/>
  <c r="F3566" i="3"/>
  <c r="F3565" i="3"/>
  <c r="F3564" i="3"/>
  <c r="F3563" i="3"/>
  <c r="F3562" i="3"/>
  <c r="F3561" i="3"/>
  <c r="F3560" i="3"/>
  <c r="F3559" i="3"/>
  <c r="F3558" i="3"/>
  <c r="F3557" i="3"/>
  <c r="F3556" i="3"/>
  <c r="F3555" i="3"/>
  <c r="F3554" i="3"/>
  <c r="F3553" i="3"/>
  <c r="F3552" i="3"/>
  <c r="F3551" i="3"/>
  <c r="F3550" i="3"/>
  <c r="F3549" i="3"/>
  <c r="F3548" i="3"/>
  <c r="F3547" i="3"/>
  <c r="F3546" i="3"/>
  <c r="F3545" i="3"/>
  <c r="F3544" i="3"/>
  <c r="F3543" i="3"/>
  <c r="F3542" i="3"/>
  <c r="F3541" i="3"/>
  <c r="F3540" i="3"/>
  <c r="F3539" i="3"/>
  <c r="F3538" i="3"/>
  <c r="F3537" i="3"/>
  <c r="F3536" i="3"/>
  <c r="F3535" i="3"/>
  <c r="F3534" i="3"/>
  <c r="F3533" i="3"/>
  <c r="F3532" i="3"/>
  <c r="F3531" i="3"/>
  <c r="F3530" i="3"/>
  <c r="F3529" i="3"/>
  <c r="F3528" i="3"/>
  <c r="F3527" i="3"/>
  <c r="F3526" i="3"/>
  <c r="F3525" i="3"/>
  <c r="F3524" i="3"/>
  <c r="F3523" i="3"/>
  <c r="F3522" i="3"/>
  <c r="F3521" i="3"/>
  <c r="F3520" i="3"/>
  <c r="F3519" i="3"/>
  <c r="F3518" i="3"/>
  <c r="F3517" i="3"/>
  <c r="F3516" i="3"/>
  <c r="F3515" i="3"/>
  <c r="F3514" i="3"/>
  <c r="F3513" i="3"/>
  <c r="F3512" i="3"/>
  <c r="F3511" i="3"/>
  <c r="F3510" i="3"/>
  <c r="F3509" i="3"/>
  <c r="F3508" i="3"/>
  <c r="F3507" i="3"/>
  <c r="F3506" i="3"/>
  <c r="F3505" i="3"/>
  <c r="F3504" i="3"/>
  <c r="F3503" i="3"/>
  <c r="F3502" i="3"/>
  <c r="F3501" i="3"/>
  <c r="F3500" i="3"/>
  <c r="F3499" i="3"/>
  <c r="F3498" i="3"/>
  <c r="F3497" i="3"/>
  <c r="F3496" i="3"/>
  <c r="F3495" i="3"/>
  <c r="F3494" i="3"/>
  <c r="F3493" i="3"/>
  <c r="F3492" i="3"/>
  <c r="F3491" i="3"/>
  <c r="F3490" i="3"/>
  <c r="F3489" i="3"/>
  <c r="F3488" i="3"/>
  <c r="F3487" i="3"/>
  <c r="F3486" i="3"/>
  <c r="F3485" i="3"/>
  <c r="F3484" i="3"/>
  <c r="F3483" i="3"/>
  <c r="F3482" i="3"/>
  <c r="F3481" i="3"/>
  <c r="F3480" i="3"/>
  <c r="F3479" i="3"/>
  <c r="F3478" i="3"/>
  <c r="F3477" i="3"/>
  <c r="F3476" i="3"/>
  <c r="F3475" i="3"/>
  <c r="F3474" i="3"/>
  <c r="F3473" i="3"/>
  <c r="F3472" i="3"/>
  <c r="F3471" i="3"/>
  <c r="F3470" i="3"/>
  <c r="F3469" i="3"/>
  <c r="F3468" i="3"/>
  <c r="F3467" i="3"/>
  <c r="F3466" i="3"/>
  <c r="F3465" i="3"/>
  <c r="F3464" i="3"/>
  <c r="F3463" i="3"/>
  <c r="F3462" i="3"/>
  <c r="F3461" i="3"/>
  <c r="F3460" i="3"/>
  <c r="F3459" i="3"/>
  <c r="F3458" i="3"/>
  <c r="F3457" i="3"/>
  <c r="F3456" i="3"/>
  <c r="F3455" i="3"/>
  <c r="F3454" i="3"/>
  <c r="F3453" i="3"/>
  <c r="F3452" i="3"/>
  <c r="F3451" i="3"/>
  <c r="F3450" i="3"/>
  <c r="F3449" i="3"/>
  <c r="F3448" i="3"/>
  <c r="F3447" i="3"/>
  <c r="F3446" i="3"/>
  <c r="F3445" i="3"/>
  <c r="F3444" i="3"/>
  <c r="F3443" i="3"/>
  <c r="F3442" i="3"/>
  <c r="F3441" i="3"/>
  <c r="F3440" i="3"/>
  <c r="F3439" i="3"/>
  <c r="F3438" i="3"/>
  <c r="F3437" i="3"/>
  <c r="F3436" i="3"/>
  <c r="F3435" i="3"/>
  <c r="F3434" i="3"/>
  <c r="F3433" i="3"/>
  <c r="F3432" i="3"/>
  <c r="F3431" i="3"/>
  <c r="F3430" i="3"/>
  <c r="F3429" i="3"/>
  <c r="F3428" i="3"/>
  <c r="F3427" i="3"/>
  <c r="F3426" i="3"/>
  <c r="F3425" i="3"/>
  <c r="F3424" i="3"/>
  <c r="F3423" i="3"/>
  <c r="F3422" i="3"/>
  <c r="F3421" i="3"/>
  <c r="F3420" i="3"/>
  <c r="F3419" i="3"/>
  <c r="F3418" i="3"/>
  <c r="F3417" i="3"/>
  <c r="F3416" i="3"/>
  <c r="F3415" i="3"/>
  <c r="F3414" i="3"/>
  <c r="F3413" i="3"/>
  <c r="F3412" i="3"/>
  <c r="F3411" i="3"/>
  <c r="F3410" i="3"/>
  <c r="F3409" i="3"/>
  <c r="F3408" i="3"/>
  <c r="F3407" i="3"/>
  <c r="F3406" i="3"/>
  <c r="F3405" i="3"/>
  <c r="F3404" i="3"/>
  <c r="F3403" i="3"/>
  <c r="F3402" i="3"/>
  <c r="F3401" i="3"/>
  <c r="F3400" i="3"/>
  <c r="F3399" i="3"/>
  <c r="F3398" i="3"/>
  <c r="F3397" i="3"/>
  <c r="F3396" i="3"/>
  <c r="F3395" i="3"/>
  <c r="F3394" i="3"/>
  <c r="F3393" i="3"/>
  <c r="F3392" i="3"/>
  <c r="F3391" i="3"/>
  <c r="F3390" i="3"/>
  <c r="F3389" i="3"/>
  <c r="F3388" i="3"/>
  <c r="F3387" i="3"/>
  <c r="F3386" i="3"/>
  <c r="F3385" i="3"/>
  <c r="F3384" i="3"/>
  <c r="F3383" i="3"/>
  <c r="F3382" i="3"/>
  <c r="F3381" i="3"/>
  <c r="F3380" i="3"/>
  <c r="F3379" i="3"/>
  <c r="F3378" i="3"/>
  <c r="F3377" i="3"/>
  <c r="F3376" i="3"/>
  <c r="F3375" i="3"/>
  <c r="F3374" i="3"/>
  <c r="F3373" i="3"/>
  <c r="F3372" i="3"/>
  <c r="F3371" i="3"/>
  <c r="F3370" i="3"/>
  <c r="F3369" i="3"/>
  <c r="F3368" i="3"/>
  <c r="F3367" i="3"/>
  <c r="F3366" i="3"/>
  <c r="F3365" i="3"/>
  <c r="F3364" i="3"/>
  <c r="F3363" i="3"/>
  <c r="F3362" i="3"/>
  <c r="F3361" i="3"/>
  <c r="F3360" i="3"/>
  <c r="F3359" i="3"/>
  <c r="F3358" i="3"/>
  <c r="F3357" i="3"/>
  <c r="F3356" i="3"/>
  <c r="F3355" i="3"/>
  <c r="F3354" i="3"/>
  <c r="F3353" i="3"/>
  <c r="F3352" i="3"/>
  <c r="F3351" i="3"/>
  <c r="F3350" i="3"/>
  <c r="F3349" i="3"/>
  <c r="F3348" i="3"/>
  <c r="F3347" i="3"/>
  <c r="F3346" i="3"/>
  <c r="F3345" i="3"/>
  <c r="F3344" i="3"/>
  <c r="F3343" i="3"/>
  <c r="F3342" i="3"/>
  <c r="F3341" i="3"/>
  <c r="F3340" i="3"/>
  <c r="F3339" i="3"/>
  <c r="F3338" i="3"/>
  <c r="F3337" i="3"/>
  <c r="F3336" i="3"/>
  <c r="F3335" i="3"/>
  <c r="F3334" i="3"/>
  <c r="F3333" i="3"/>
  <c r="F3332" i="3"/>
  <c r="F3331" i="3"/>
  <c r="F3330" i="3"/>
  <c r="F3329" i="3"/>
  <c r="F3328" i="3"/>
  <c r="F3327" i="3"/>
  <c r="F3326" i="3"/>
  <c r="F3325" i="3"/>
  <c r="F3324" i="3"/>
  <c r="F3323" i="3"/>
  <c r="F3322" i="3"/>
  <c r="F3321" i="3"/>
  <c r="F3320" i="3"/>
  <c r="F3319" i="3"/>
  <c r="F3318" i="3"/>
  <c r="F3317" i="3"/>
  <c r="F3316" i="3"/>
  <c r="F3315" i="3"/>
  <c r="F3314" i="3"/>
  <c r="F3313" i="3"/>
  <c r="F3312" i="3"/>
  <c r="F3311" i="3"/>
  <c r="F3310" i="3"/>
  <c r="F3309" i="3"/>
  <c r="F3308" i="3"/>
  <c r="F3307" i="3"/>
  <c r="F3306" i="3"/>
  <c r="F3305" i="3"/>
  <c r="F3304" i="3"/>
  <c r="F3303" i="3"/>
  <c r="F3302" i="3"/>
  <c r="F3301" i="3"/>
  <c r="F3300" i="3"/>
  <c r="F3299" i="3"/>
  <c r="F3298" i="3"/>
  <c r="F3297" i="3"/>
  <c r="F3296" i="3"/>
  <c r="F3295" i="3"/>
  <c r="F3294" i="3"/>
  <c r="F3293" i="3"/>
  <c r="F3292" i="3"/>
  <c r="F3291" i="3"/>
  <c r="F3290" i="3"/>
  <c r="F3289" i="3"/>
  <c r="F3288" i="3"/>
  <c r="F3287" i="3"/>
  <c r="F3286" i="3"/>
  <c r="F3285" i="3"/>
  <c r="F3284" i="3"/>
  <c r="F3283" i="3"/>
  <c r="F3282" i="3"/>
  <c r="F3281" i="3"/>
  <c r="F3280" i="3"/>
  <c r="F3279" i="3"/>
  <c r="F3278" i="3"/>
  <c r="F3277" i="3"/>
  <c r="F3276" i="3"/>
  <c r="F3275" i="3"/>
  <c r="F3274" i="3"/>
  <c r="F3273" i="3"/>
  <c r="F3272" i="3"/>
  <c r="F3271" i="3"/>
  <c r="F3270" i="3"/>
  <c r="F3269" i="3"/>
  <c r="F3268" i="3"/>
  <c r="F3267" i="3"/>
  <c r="F3266" i="3"/>
  <c r="F3265" i="3"/>
  <c r="F3264" i="3"/>
  <c r="F3263" i="3"/>
  <c r="F3262" i="3"/>
  <c r="F3261" i="3"/>
  <c r="F3260" i="3"/>
  <c r="F3259" i="3"/>
  <c r="F3258" i="3"/>
  <c r="F3257" i="3"/>
  <c r="F3256" i="3"/>
  <c r="F3255" i="3"/>
  <c r="F3254" i="3"/>
  <c r="F3253" i="3"/>
  <c r="F3252" i="3"/>
  <c r="F3251" i="3"/>
  <c r="F3250" i="3"/>
  <c r="F3249" i="3"/>
  <c r="F3248" i="3"/>
  <c r="F3247" i="3"/>
  <c r="F3246" i="3"/>
  <c r="F3245" i="3"/>
  <c r="F3244" i="3"/>
  <c r="F3243" i="3"/>
  <c r="F3242" i="3"/>
  <c r="F3241" i="3"/>
  <c r="F3240" i="3"/>
  <c r="F3239" i="3"/>
  <c r="F3238" i="3"/>
  <c r="F3237" i="3"/>
  <c r="F3236" i="3"/>
  <c r="F3235" i="3"/>
  <c r="F3234" i="3"/>
  <c r="F3233" i="3"/>
  <c r="F3232" i="3"/>
  <c r="F3231" i="3"/>
  <c r="F3230" i="3"/>
  <c r="F3229" i="3"/>
  <c r="F3228" i="3"/>
  <c r="F3227" i="3"/>
  <c r="F3226" i="3"/>
  <c r="F3225" i="3"/>
  <c r="F3224" i="3"/>
  <c r="F3223" i="3"/>
  <c r="F3222" i="3"/>
  <c r="F3221" i="3"/>
  <c r="F3220" i="3"/>
  <c r="F3219" i="3"/>
  <c r="F3218" i="3"/>
  <c r="F3217" i="3"/>
  <c r="F3216" i="3"/>
  <c r="F3215" i="3"/>
  <c r="F3214" i="3"/>
  <c r="F3213" i="3"/>
  <c r="F3212" i="3"/>
  <c r="F3211" i="3"/>
  <c r="F3210" i="3"/>
  <c r="F3209" i="3"/>
  <c r="F3208" i="3"/>
  <c r="F3207" i="3"/>
  <c r="F3206" i="3"/>
  <c r="F3205" i="3"/>
  <c r="F3204" i="3"/>
  <c r="F3203" i="3"/>
  <c r="F3202" i="3"/>
  <c r="F3201" i="3"/>
  <c r="F3200" i="3"/>
  <c r="F3199" i="3"/>
  <c r="F3198" i="3"/>
  <c r="F3197" i="3"/>
  <c r="F3196" i="3"/>
  <c r="F3195" i="3"/>
  <c r="F3194" i="3"/>
  <c r="F3193" i="3"/>
  <c r="F3192" i="3"/>
  <c r="F3191" i="3"/>
  <c r="F3190" i="3"/>
  <c r="F3189" i="3"/>
  <c r="F3188" i="3"/>
  <c r="F3187" i="3"/>
  <c r="F3186" i="3"/>
  <c r="F3185" i="3"/>
  <c r="F3184" i="3"/>
  <c r="F3183" i="3"/>
  <c r="F3182" i="3"/>
  <c r="F3181" i="3"/>
  <c r="F3180" i="3"/>
  <c r="F3179" i="3"/>
  <c r="F3178" i="3"/>
  <c r="F3177" i="3"/>
  <c r="F3176" i="3"/>
  <c r="F3175" i="3"/>
  <c r="F3174" i="3"/>
  <c r="F3173" i="3"/>
  <c r="F3172" i="3"/>
  <c r="F3171" i="3"/>
  <c r="F3170" i="3"/>
  <c r="F3169" i="3"/>
  <c r="F3168" i="3"/>
  <c r="F3167" i="3"/>
  <c r="F3166" i="3"/>
  <c r="F3165" i="3"/>
  <c r="F3164" i="3"/>
  <c r="F3163" i="3"/>
  <c r="F3162" i="3"/>
  <c r="F3161" i="3"/>
  <c r="F3160" i="3"/>
  <c r="F3159" i="3"/>
  <c r="F3158" i="3"/>
  <c r="F3157" i="3"/>
  <c r="F3156" i="3"/>
  <c r="F3155" i="3"/>
  <c r="F3154" i="3"/>
  <c r="F3153" i="3"/>
  <c r="F3152" i="3"/>
  <c r="F3151" i="3"/>
  <c r="F3150" i="3"/>
  <c r="F3149" i="3"/>
  <c r="F3148" i="3"/>
  <c r="F3147" i="3"/>
  <c r="F3146" i="3"/>
  <c r="F3145" i="3"/>
  <c r="F3144" i="3"/>
  <c r="F3143" i="3"/>
  <c r="F3142" i="3"/>
  <c r="F3141" i="3"/>
  <c r="F3140" i="3"/>
  <c r="F3139" i="3"/>
  <c r="F3138" i="3"/>
  <c r="F3137" i="3"/>
  <c r="F3136" i="3"/>
  <c r="F3135" i="3"/>
  <c r="F3134" i="3"/>
  <c r="F3133" i="3"/>
  <c r="F3132" i="3"/>
  <c r="F3131" i="3"/>
  <c r="F3130" i="3"/>
  <c r="F3129" i="3"/>
  <c r="F3128" i="3"/>
  <c r="F3127" i="3"/>
  <c r="F3126" i="3"/>
  <c r="F3125" i="3"/>
  <c r="F3124" i="3"/>
  <c r="F3123" i="3"/>
  <c r="F3122" i="3"/>
  <c r="F3121" i="3"/>
  <c r="F3120" i="3"/>
  <c r="F3119" i="3"/>
  <c r="F3118" i="3"/>
  <c r="F3117" i="3"/>
  <c r="F3116" i="3"/>
  <c r="F3115" i="3"/>
  <c r="F3114" i="3"/>
  <c r="F3113" i="3"/>
  <c r="F3112" i="3"/>
  <c r="F3111" i="3"/>
  <c r="F3110" i="3"/>
  <c r="F3109" i="3"/>
  <c r="F3108" i="3"/>
  <c r="F3107" i="3"/>
  <c r="F3106" i="3"/>
  <c r="F3105" i="3"/>
  <c r="F3104" i="3"/>
  <c r="F3103" i="3"/>
  <c r="F3102" i="3"/>
  <c r="F3101" i="3"/>
  <c r="F3100" i="3"/>
  <c r="F3099" i="3"/>
  <c r="F3098" i="3"/>
  <c r="F3097" i="3"/>
  <c r="F3096" i="3"/>
  <c r="F3095" i="3"/>
  <c r="F3094" i="3"/>
  <c r="F3093" i="3"/>
  <c r="F3092" i="3"/>
  <c r="F3091" i="3"/>
  <c r="F3090" i="3"/>
  <c r="F3089" i="3"/>
  <c r="F3088" i="3"/>
  <c r="F3087" i="3"/>
  <c r="F3086" i="3"/>
  <c r="F3085" i="3"/>
  <c r="F3084" i="3"/>
  <c r="F3083" i="3"/>
  <c r="F3082" i="3"/>
  <c r="F3081" i="3"/>
  <c r="F3080" i="3"/>
  <c r="F3079" i="3"/>
  <c r="F3078" i="3"/>
  <c r="F3077" i="3"/>
  <c r="F3076" i="3"/>
  <c r="F3075" i="3"/>
  <c r="F3074" i="3"/>
  <c r="F3073" i="3"/>
  <c r="F3072" i="3"/>
  <c r="F3071" i="3"/>
  <c r="F3070" i="3"/>
  <c r="F3069" i="3"/>
  <c r="F3068" i="3"/>
  <c r="F3067" i="3"/>
  <c r="F3066" i="3"/>
  <c r="F3065" i="3"/>
  <c r="F3064" i="3"/>
  <c r="F3063" i="3"/>
  <c r="F3062" i="3"/>
  <c r="F3061" i="3"/>
  <c r="F3060" i="3"/>
  <c r="F3059" i="3"/>
  <c r="F3058" i="3"/>
  <c r="F3057" i="3"/>
  <c r="F3056" i="3"/>
  <c r="F3055" i="3"/>
  <c r="F3054" i="3"/>
  <c r="F3053" i="3"/>
  <c r="F3052" i="3"/>
  <c r="F3051" i="3"/>
  <c r="F3050" i="3"/>
  <c r="F3049" i="3"/>
  <c r="F3048" i="3"/>
  <c r="F3047" i="3"/>
  <c r="F3046" i="3"/>
  <c r="F3045" i="3"/>
  <c r="F3044" i="3"/>
  <c r="F3043" i="3"/>
  <c r="F3042" i="3"/>
  <c r="F3041" i="3"/>
  <c r="F3040" i="3"/>
  <c r="F3039" i="3"/>
  <c r="F3038" i="3"/>
  <c r="F3037" i="3"/>
  <c r="F3036" i="3"/>
  <c r="F3035" i="3"/>
  <c r="F3034" i="3"/>
  <c r="F3033" i="3"/>
  <c r="F3032" i="3"/>
  <c r="F3031" i="3"/>
  <c r="F3030" i="3"/>
  <c r="F3029" i="3"/>
  <c r="F3028" i="3"/>
  <c r="F3027" i="3"/>
  <c r="F3026" i="3"/>
  <c r="F3025" i="3"/>
  <c r="F3024" i="3"/>
  <c r="F3023" i="3"/>
  <c r="F3022" i="3"/>
  <c r="F3021" i="3"/>
  <c r="F3020" i="3"/>
  <c r="F3019" i="3"/>
  <c r="F3018" i="3"/>
  <c r="F3017" i="3"/>
  <c r="F3016" i="3"/>
  <c r="F3015" i="3"/>
  <c r="F3014" i="3"/>
  <c r="F3013" i="3"/>
  <c r="F3012" i="3"/>
  <c r="F3011" i="3"/>
  <c r="F3010" i="3"/>
  <c r="F3009" i="3"/>
  <c r="F3008" i="3"/>
  <c r="F3007" i="3"/>
  <c r="F3006" i="3"/>
  <c r="F3005" i="3"/>
  <c r="F3004" i="3"/>
  <c r="F3003" i="3"/>
  <c r="F3002" i="3"/>
  <c r="F3001" i="3"/>
  <c r="F3000" i="3"/>
  <c r="F2999" i="3"/>
  <c r="F2998" i="3"/>
  <c r="F2997" i="3"/>
  <c r="F2996" i="3"/>
  <c r="F2995" i="3"/>
  <c r="F2994" i="3"/>
  <c r="F2993" i="3"/>
  <c r="F2992" i="3"/>
  <c r="F2991" i="3"/>
  <c r="F2990" i="3"/>
  <c r="F2989" i="3"/>
  <c r="F2988" i="3"/>
  <c r="F2987" i="3"/>
  <c r="F2986" i="3"/>
  <c r="F2985" i="3"/>
  <c r="F2984" i="3"/>
  <c r="F2983" i="3"/>
  <c r="F2982" i="3"/>
  <c r="F2981" i="3"/>
  <c r="F2980" i="3"/>
  <c r="F2979" i="3"/>
  <c r="F2978" i="3"/>
  <c r="F2977" i="3"/>
  <c r="F2976" i="3"/>
  <c r="F2975" i="3"/>
  <c r="F2974" i="3"/>
  <c r="F2973" i="3"/>
  <c r="F2972" i="3"/>
  <c r="F2971" i="3"/>
  <c r="F2970" i="3"/>
  <c r="F2969" i="3"/>
  <c r="F2968" i="3"/>
  <c r="F2967" i="3"/>
  <c r="F2966" i="3"/>
  <c r="F2965" i="3"/>
  <c r="F2964" i="3"/>
  <c r="F2963" i="3"/>
  <c r="F2962" i="3"/>
  <c r="F2961" i="3"/>
  <c r="F2960" i="3"/>
  <c r="F2959" i="3"/>
  <c r="F2958" i="3"/>
  <c r="F2957" i="3"/>
  <c r="F2956" i="3"/>
  <c r="F2955" i="3"/>
  <c r="F2954" i="3"/>
  <c r="F2953" i="3"/>
  <c r="F2952" i="3"/>
  <c r="F2951" i="3"/>
  <c r="F2950" i="3"/>
  <c r="F2949" i="3"/>
  <c r="F2948" i="3"/>
  <c r="F2947" i="3"/>
  <c r="F2946" i="3"/>
  <c r="F2945" i="3"/>
  <c r="F2944" i="3"/>
  <c r="F2943" i="3"/>
  <c r="F2942" i="3"/>
  <c r="F2941" i="3"/>
  <c r="F2940" i="3"/>
  <c r="F2939" i="3"/>
  <c r="F2938" i="3"/>
  <c r="F2937" i="3"/>
  <c r="F2936" i="3"/>
  <c r="F2935" i="3"/>
  <c r="F2934" i="3"/>
  <c r="F2933" i="3"/>
  <c r="F2932" i="3"/>
  <c r="F2931" i="3"/>
  <c r="F2930" i="3"/>
  <c r="F2929" i="3"/>
  <c r="F2928" i="3"/>
  <c r="F2927" i="3"/>
  <c r="F2926" i="3"/>
  <c r="F2925" i="3"/>
  <c r="F2924" i="3"/>
  <c r="F2923" i="3"/>
  <c r="F2922" i="3"/>
  <c r="F2921" i="3"/>
  <c r="F2920" i="3"/>
  <c r="F2919" i="3"/>
  <c r="F2918" i="3"/>
  <c r="F2917" i="3"/>
  <c r="F2916" i="3"/>
  <c r="F2915" i="3"/>
  <c r="F2914" i="3"/>
  <c r="F2913" i="3"/>
  <c r="F2912" i="3"/>
  <c r="F2911" i="3"/>
  <c r="F2910" i="3"/>
  <c r="F2909" i="3"/>
  <c r="F2908" i="3"/>
  <c r="F2907" i="3"/>
  <c r="F2906" i="3"/>
  <c r="F2905" i="3"/>
  <c r="F2904" i="3"/>
  <c r="F2903" i="3"/>
  <c r="F2902" i="3"/>
  <c r="F2901" i="3"/>
  <c r="F2900" i="3"/>
  <c r="F2899" i="3"/>
  <c r="F2898" i="3"/>
  <c r="F2897" i="3"/>
  <c r="F2896" i="3"/>
  <c r="F2895" i="3"/>
  <c r="F2894" i="3"/>
  <c r="F2893" i="3"/>
  <c r="F2892" i="3"/>
  <c r="F2891" i="3"/>
  <c r="F2890" i="3"/>
  <c r="F2889" i="3"/>
  <c r="F2888" i="3"/>
  <c r="F2887" i="3"/>
  <c r="F2886" i="3"/>
  <c r="F2885" i="3"/>
  <c r="F2884" i="3"/>
  <c r="F2883" i="3"/>
  <c r="F2882" i="3"/>
  <c r="F2881" i="3"/>
  <c r="F2880" i="3"/>
  <c r="F2879" i="3"/>
  <c r="F2878" i="3"/>
  <c r="F2877" i="3"/>
  <c r="F2876" i="3"/>
  <c r="F2875" i="3"/>
  <c r="F2874" i="3"/>
  <c r="F2873" i="3"/>
  <c r="F2872" i="3"/>
  <c r="F2871" i="3"/>
  <c r="F2870" i="3"/>
  <c r="F2869" i="3"/>
  <c r="F2868" i="3"/>
  <c r="F2867" i="3"/>
  <c r="F2866" i="3"/>
  <c r="F2865" i="3"/>
  <c r="F2864" i="3"/>
  <c r="F2863" i="3"/>
  <c r="F2862" i="3"/>
  <c r="F2861" i="3"/>
  <c r="F2860" i="3"/>
  <c r="F2859" i="3"/>
  <c r="F2858" i="3"/>
  <c r="F2857" i="3"/>
  <c r="F2856" i="3"/>
  <c r="F2855" i="3"/>
  <c r="F2854" i="3"/>
  <c r="F2853" i="3"/>
  <c r="F2852" i="3"/>
  <c r="F2851" i="3"/>
  <c r="F2850" i="3"/>
  <c r="F2849" i="3"/>
  <c r="F2848" i="3"/>
  <c r="F2847" i="3"/>
  <c r="F2846" i="3"/>
  <c r="F2845" i="3"/>
  <c r="F2844" i="3"/>
  <c r="F2843" i="3"/>
  <c r="F2842" i="3"/>
  <c r="F2841" i="3"/>
  <c r="F2840" i="3"/>
  <c r="F2839" i="3"/>
  <c r="F2838" i="3"/>
  <c r="F2837" i="3"/>
  <c r="F2836" i="3"/>
  <c r="F2835" i="3"/>
  <c r="F2834" i="3"/>
  <c r="F2833" i="3"/>
  <c r="F2832" i="3"/>
  <c r="F2831" i="3"/>
  <c r="F2830" i="3"/>
  <c r="F2829" i="3"/>
  <c r="F2828" i="3"/>
  <c r="F2827" i="3"/>
  <c r="F2826" i="3"/>
  <c r="F2825" i="3"/>
  <c r="F2824" i="3"/>
  <c r="F2823" i="3"/>
  <c r="F2822" i="3"/>
  <c r="F2821" i="3"/>
  <c r="F2820" i="3"/>
  <c r="F2819" i="3"/>
  <c r="F2818" i="3"/>
  <c r="F2817" i="3"/>
  <c r="F2816" i="3"/>
  <c r="F2815" i="3"/>
  <c r="F2814" i="3"/>
  <c r="F2813" i="3"/>
  <c r="F2812" i="3"/>
  <c r="F2811" i="3"/>
  <c r="F2810" i="3"/>
  <c r="F2809" i="3"/>
  <c r="F2808" i="3"/>
  <c r="F2807" i="3"/>
  <c r="F2806" i="3"/>
  <c r="F2805" i="3"/>
  <c r="F2804" i="3"/>
  <c r="F2803" i="3"/>
  <c r="F2802" i="3"/>
  <c r="F2801" i="3"/>
  <c r="F2800" i="3"/>
  <c r="F2799" i="3"/>
  <c r="F2798" i="3"/>
  <c r="F2797" i="3"/>
  <c r="F2796" i="3"/>
  <c r="F2795" i="3"/>
  <c r="F2794" i="3"/>
  <c r="F2793" i="3"/>
  <c r="F2792" i="3"/>
  <c r="F2791" i="3"/>
  <c r="F2790" i="3"/>
  <c r="F2789" i="3"/>
  <c r="F2788" i="3"/>
  <c r="F2787" i="3"/>
  <c r="F2786" i="3"/>
  <c r="F2785" i="3"/>
  <c r="F2784" i="3"/>
  <c r="F2783" i="3"/>
  <c r="F2782" i="3"/>
  <c r="F2781" i="3"/>
  <c r="F2780" i="3"/>
  <c r="F2779" i="3"/>
  <c r="F2778" i="3"/>
  <c r="F2777" i="3"/>
  <c r="F2776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60" i="3"/>
  <c r="F2759" i="3"/>
  <c r="F2758" i="3"/>
  <c r="F2757" i="3"/>
  <c r="F2756" i="3"/>
  <c r="F2755" i="3"/>
  <c r="F2754" i="3"/>
  <c r="F2753" i="3"/>
  <c r="F2752" i="3"/>
  <c r="F2751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3" i="3"/>
  <c r="F2692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C5" i="1"/>
  <c r="C6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96" i="1"/>
  <c r="BR195" i="1"/>
  <c r="BR194" i="1"/>
  <c r="BR193" i="1"/>
  <c r="BR192" i="1"/>
  <c r="BR191" i="1"/>
  <c r="BR190" i="1"/>
  <c r="BR189" i="1"/>
  <c r="BR188" i="1"/>
  <c r="BR187" i="1"/>
  <c r="BR186" i="1"/>
  <c r="BR185" i="1"/>
  <c r="BR184" i="1"/>
  <c r="BR183" i="1"/>
  <c r="BR182" i="1"/>
  <c r="BR181" i="1"/>
  <c r="BR180" i="1"/>
  <c r="BR179" i="1"/>
  <c r="BR178" i="1"/>
  <c r="BR177" i="1"/>
  <c r="BR176" i="1"/>
  <c r="BR175" i="1"/>
  <c r="BR174" i="1"/>
  <c r="BR173" i="1"/>
  <c r="BR172" i="1"/>
  <c r="BR171" i="1"/>
  <c r="BR170" i="1"/>
  <c r="BR169" i="1"/>
  <c r="BR168" i="1"/>
  <c r="BR167" i="1"/>
  <c r="BR166" i="1"/>
  <c r="BR165" i="1"/>
  <c r="BR164" i="1"/>
  <c r="BR163" i="1"/>
  <c r="BR162" i="1"/>
  <c r="BR161" i="1"/>
  <c r="BR160" i="1"/>
  <c r="BR159" i="1"/>
  <c r="BR158" i="1"/>
  <c r="BR157" i="1"/>
  <c r="BR156" i="1"/>
  <c r="BR155" i="1"/>
  <c r="BR154" i="1"/>
  <c r="BR153" i="1"/>
  <c r="BR152" i="1"/>
  <c r="BR151" i="1"/>
  <c r="BR150" i="1"/>
  <c r="BR149" i="1"/>
  <c r="BR148" i="1"/>
  <c r="BR147" i="1"/>
  <c r="BR146" i="1"/>
  <c r="BR145" i="1"/>
  <c r="BR144" i="1"/>
  <c r="BR143" i="1"/>
  <c r="BR142" i="1"/>
  <c r="BR141" i="1"/>
  <c r="BR140" i="1"/>
  <c r="BR139" i="1"/>
  <c r="BR138" i="1"/>
  <c r="BR137" i="1"/>
  <c r="BR136" i="1"/>
  <c r="BR135" i="1"/>
  <c r="BR134" i="1"/>
  <c r="BR133" i="1"/>
  <c r="BR132" i="1"/>
  <c r="BR131" i="1"/>
  <c r="BR130" i="1"/>
  <c r="BR129" i="1"/>
  <c r="BR128" i="1"/>
  <c r="BR127" i="1"/>
  <c r="BR126" i="1"/>
  <c r="BR125" i="1"/>
  <c r="BR124" i="1"/>
  <c r="BR123" i="1"/>
  <c r="BR122" i="1"/>
  <c r="BR121" i="1"/>
  <c r="BR120" i="1"/>
  <c r="BR119" i="1"/>
  <c r="BR118" i="1"/>
  <c r="BR117" i="1"/>
  <c r="BR116" i="1"/>
  <c r="BR115" i="1"/>
  <c r="BR114" i="1"/>
  <c r="BR113" i="1"/>
  <c r="BR112" i="1"/>
  <c r="BR111" i="1"/>
  <c r="BR110" i="1"/>
  <c r="BR109" i="1"/>
  <c r="BR108" i="1"/>
  <c r="BR107" i="1"/>
  <c r="BR106" i="1"/>
  <c r="BR105" i="1"/>
  <c r="BR104" i="1"/>
  <c r="BR103" i="1"/>
  <c r="BR102" i="1"/>
  <c r="BR101" i="1"/>
  <c r="BR100" i="1"/>
  <c r="BR99" i="1"/>
  <c r="BR98" i="1"/>
  <c r="BR97" i="1"/>
  <c r="BR96" i="1"/>
  <c r="BR95" i="1"/>
  <c r="BR94" i="1"/>
  <c r="BR93" i="1"/>
  <c r="BR92" i="1"/>
  <c r="BR91" i="1"/>
  <c r="BR90" i="1"/>
  <c r="BR89" i="1"/>
  <c r="BR88" i="1"/>
  <c r="BR87" i="1"/>
  <c r="BR86" i="1"/>
  <c r="BR85" i="1"/>
  <c r="BR84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N56" i="1" s="1"/>
  <c r="BB55" i="1"/>
  <c r="BN55" i="1" s="1"/>
  <c r="BB54" i="1"/>
  <c r="BN54" i="1" s="1"/>
  <c r="BB53" i="1"/>
  <c r="BN53" i="1" s="1"/>
  <c r="BB52" i="1"/>
  <c r="BN52" i="1" s="1"/>
  <c r="BB51" i="1"/>
  <c r="BN51" i="1" s="1"/>
  <c r="BB50" i="1"/>
  <c r="BN50" i="1" s="1"/>
  <c r="BB49" i="1"/>
  <c r="BN49" i="1" s="1"/>
  <c r="BB48" i="1"/>
  <c r="BN48" i="1" s="1"/>
  <c r="BB47" i="1"/>
  <c r="BN47" i="1" s="1"/>
  <c r="BB46" i="1"/>
  <c r="BN46" i="1" s="1"/>
  <c r="BB45" i="1"/>
  <c r="BN45" i="1" s="1"/>
  <c r="BB44" i="1"/>
  <c r="BN44" i="1" s="1"/>
  <c r="BB43" i="1"/>
  <c r="BN43" i="1" s="1"/>
  <c r="BB42" i="1"/>
  <c r="BN42" i="1" s="1"/>
  <c r="BB41" i="1"/>
  <c r="BN41" i="1" s="1"/>
  <c r="BB40" i="1"/>
  <c r="BN40" i="1" s="1"/>
  <c r="BB39" i="1"/>
  <c r="BN39" i="1" s="1"/>
  <c r="BB38" i="1"/>
  <c r="BN38" i="1" s="1"/>
  <c r="BB37" i="1"/>
  <c r="BN37" i="1" s="1"/>
  <c r="BB36" i="1"/>
  <c r="BN36" i="1" s="1"/>
  <c r="BB35" i="1"/>
  <c r="BN35" i="1" s="1"/>
  <c r="BB34" i="1"/>
  <c r="BN34" i="1" s="1"/>
  <c r="BB33" i="1"/>
  <c r="BN33" i="1" s="1"/>
  <c r="BB32" i="1"/>
  <c r="BN32" i="1" s="1"/>
  <c r="BB31" i="1"/>
  <c r="BN31" i="1" s="1"/>
  <c r="BB30" i="1"/>
  <c r="BN30" i="1" s="1"/>
  <c r="BB29" i="1"/>
  <c r="BN29" i="1" s="1"/>
  <c r="BB28" i="1"/>
  <c r="BN28" i="1" s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C43" i="1"/>
  <c r="J43" i="1" s="1"/>
  <c r="D43" i="1"/>
  <c r="C44" i="1"/>
  <c r="L44" i="1" s="1"/>
  <c r="D44" i="1"/>
  <c r="C45" i="1"/>
  <c r="L45" i="1" s="1"/>
  <c r="D45" i="1"/>
  <c r="C46" i="1"/>
  <c r="J46" i="1" s="1"/>
  <c r="D46" i="1"/>
  <c r="C47" i="1"/>
  <c r="J47" i="1" s="1"/>
  <c r="D47" i="1"/>
  <c r="C48" i="1"/>
  <c r="L48" i="1" s="1"/>
  <c r="D48" i="1"/>
  <c r="C49" i="1"/>
  <c r="L49" i="1" s="1"/>
  <c r="D49" i="1"/>
  <c r="C50" i="1"/>
  <c r="G50" i="1" s="1"/>
  <c r="D50" i="1"/>
  <c r="C51" i="1"/>
  <c r="J51" i="1" s="1"/>
  <c r="D51" i="1"/>
  <c r="C52" i="1"/>
  <c r="L52" i="1" s="1"/>
  <c r="D52" i="1"/>
  <c r="C58" i="1"/>
  <c r="E58" i="1" s="1"/>
  <c r="D58" i="1"/>
  <c r="C59" i="1"/>
  <c r="H59" i="1" s="1"/>
  <c r="D59" i="1"/>
  <c r="C60" i="1"/>
  <c r="E60" i="1" s="1"/>
  <c r="D60" i="1"/>
  <c r="C61" i="1"/>
  <c r="E61" i="1" s="1"/>
  <c r="D61" i="1"/>
  <c r="C62" i="1"/>
  <c r="E62" i="1" s="1"/>
  <c r="D62" i="1"/>
  <c r="C63" i="1"/>
  <c r="F63" i="1" s="1"/>
  <c r="D63" i="1"/>
  <c r="C64" i="1"/>
  <c r="E64" i="1" s="1"/>
  <c r="D64" i="1"/>
  <c r="C65" i="1"/>
  <c r="G65" i="1" s="1"/>
  <c r="D65" i="1"/>
  <c r="C66" i="1"/>
  <c r="E66" i="1" s="1"/>
  <c r="D66" i="1"/>
  <c r="C67" i="1"/>
  <c r="H67" i="1" s="1"/>
  <c r="D67" i="1"/>
  <c r="D57" i="1"/>
  <c r="C57" i="1"/>
  <c r="J57" i="1" s="1"/>
  <c r="D42" i="1"/>
  <c r="C42" i="1"/>
  <c r="L42" i="1" s="1"/>
  <c r="D28" i="1"/>
  <c r="D29" i="1"/>
  <c r="D30" i="1"/>
  <c r="D31" i="1"/>
  <c r="D32" i="1"/>
  <c r="D33" i="1"/>
  <c r="D34" i="1"/>
  <c r="D35" i="1"/>
  <c r="D36" i="1"/>
  <c r="D37" i="1"/>
  <c r="D27" i="1"/>
  <c r="C28" i="1"/>
  <c r="M28" i="1" s="1"/>
  <c r="C29" i="1"/>
  <c r="F29" i="1" s="1"/>
  <c r="C30" i="1"/>
  <c r="M30" i="1" s="1"/>
  <c r="C31" i="1"/>
  <c r="I31" i="1" s="1"/>
  <c r="C32" i="1"/>
  <c r="M32" i="1" s="1"/>
  <c r="C33" i="1"/>
  <c r="E33" i="1" s="1"/>
  <c r="C34" i="1"/>
  <c r="M34" i="1" s="1"/>
  <c r="C35" i="1"/>
  <c r="I35" i="1" s="1"/>
  <c r="C36" i="1"/>
  <c r="M36" i="1" s="1"/>
  <c r="C37" i="1"/>
  <c r="M37" i="1" s="1"/>
  <c r="C27" i="1"/>
  <c r="A7" i="3"/>
  <c r="BI26" i="1"/>
  <c r="BP26" i="1"/>
  <c r="BC26" i="1"/>
  <c r="BW26" i="1"/>
  <c r="BF26" i="1"/>
  <c r="AI26" i="1"/>
  <c r="AO26" i="1"/>
  <c r="BS26" i="1"/>
  <c r="AZ26" i="1"/>
  <c r="AL26" i="1"/>
  <c r="AR26" i="1"/>
  <c r="BU26" i="1"/>
  <c r="I63" i="1" l="1"/>
  <c r="H61" i="1"/>
  <c r="G67" i="1"/>
  <c r="E63" i="1"/>
  <c r="J65" i="1"/>
  <c r="G59" i="1"/>
  <c r="G64" i="1"/>
  <c r="G66" i="1"/>
  <c r="G60" i="1"/>
  <c r="F65" i="1"/>
  <c r="G62" i="1"/>
  <c r="G58" i="1"/>
  <c r="J67" i="1"/>
  <c r="F67" i="1"/>
  <c r="I65" i="1"/>
  <c r="E65" i="1"/>
  <c r="H63" i="1"/>
  <c r="G61" i="1"/>
  <c r="J59" i="1"/>
  <c r="F59" i="1"/>
  <c r="E59" i="1"/>
  <c r="I67" i="1"/>
  <c r="E67" i="1"/>
  <c r="H65" i="1"/>
  <c r="G63" i="1"/>
  <c r="J61" i="1"/>
  <c r="F61" i="1"/>
  <c r="I59" i="1"/>
  <c r="J63" i="1"/>
  <c r="I61" i="1"/>
  <c r="H66" i="1"/>
  <c r="H64" i="1"/>
  <c r="H62" i="1"/>
  <c r="H60" i="1"/>
  <c r="H58" i="1"/>
  <c r="J66" i="1"/>
  <c r="F66" i="1"/>
  <c r="J64" i="1"/>
  <c r="F64" i="1"/>
  <c r="J62" i="1"/>
  <c r="F62" i="1"/>
  <c r="J60" i="1"/>
  <c r="F60" i="1"/>
  <c r="J58" i="1"/>
  <c r="F58" i="1"/>
  <c r="I66" i="1"/>
  <c r="I64" i="1"/>
  <c r="I62" i="1"/>
  <c r="I60" i="1"/>
  <c r="I58" i="1"/>
  <c r="H57" i="1"/>
  <c r="G57" i="1"/>
  <c r="E57" i="1"/>
  <c r="I57" i="1"/>
  <c r="F57" i="1"/>
  <c r="K27" i="1"/>
  <c r="E43" i="1"/>
  <c r="L43" i="1"/>
  <c r="G49" i="1"/>
  <c r="M42" i="1"/>
  <c r="E51" i="1"/>
  <c r="H42" i="1"/>
  <c r="M49" i="1"/>
  <c r="I47" i="1"/>
  <c r="K47" i="1"/>
  <c r="F47" i="1"/>
  <c r="I45" i="1"/>
  <c r="E47" i="1"/>
  <c r="F51" i="1"/>
  <c r="F43" i="1"/>
  <c r="G45" i="1"/>
  <c r="I51" i="1"/>
  <c r="I49" i="1"/>
  <c r="H46" i="1"/>
  <c r="I43" i="1"/>
  <c r="L51" i="1"/>
  <c r="M47" i="1"/>
  <c r="K45" i="1"/>
  <c r="H50" i="1"/>
  <c r="E42" i="1"/>
  <c r="E45" i="1"/>
  <c r="F48" i="1"/>
  <c r="G51" i="1"/>
  <c r="G43" i="1"/>
  <c r="H51" i="1"/>
  <c r="J48" i="1"/>
  <c r="J45" i="1"/>
  <c r="H43" i="1"/>
  <c r="K51" i="1"/>
  <c r="L47" i="1"/>
  <c r="M43" i="1"/>
  <c r="E49" i="1"/>
  <c r="F52" i="1"/>
  <c r="F44" i="1"/>
  <c r="G47" i="1"/>
  <c r="J52" i="1"/>
  <c r="J49" i="1"/>
  <c r="H47" i="1"/>
  <c r="J44" i="1"/>
  <c r="M51" i="1"/>
  <c r="K49" i="1"/>
  <c r="M45" i="1"/>
  <c r="K43" i="1"/>
  <c r="E52" i="1"/>
  <c r="E48" i="1"/>
  <c r="E44" i="1"/>
  <c r="I52" i="1"/>
  <c r="I48" i="1"/>
  <c r="M52" i="1"/>
  <c r="F50" i="1"/>
  <c r="F46" i="1"/>
  <c r="G42" i="1"/>
  <c r="I42" i="1"/>
  <c r="H52" i="1"/>
  <c r="J50" i="1"/>
  <c r="K42" i="1"/>
  <c r="E50" i="1"/>
  <c r="E46" i="1"/>
  <c r="F42" i="1"/>
  <c r="F49" i="1"/>
  <c r="F45" i="1"/>
  <c r="G52" i="1"/>
  <c r="G48" i="1"/>
  <c r="G44" i="1"/>
  <c r="J42" i="1"/>
  <c r="I50" i="1"/>
  <c r="H49" i="1"/>
  <c r="I46" i="1"/>
  <c r="H45" i="1"/>
  <c r="K52" i="1"/>
  <c r="M50" i="1"/>
  <c r="K48" i="1"/>
  <c r="M46" i="1"/>
  <c r="K44" i="1"/>
  <c r="L50" i="1"/>
  <c r="L46" i="1"/>
  <c r="K50" i="1"/>
  <c r="M48" i="1"/>
  <c r="K46" i="1"/>
  <c r="M44" i="1"/>
  <c r="G46" i="1"/>
  <c r="I44" i="1"/>
  <c r="H48" i="1"/>
  <c r="H44" i="1"/>
  <c r="H33" i="1"/>
  <c r="I29" i="1"/>
  <c r="M33" i="1"/>
  <c r="E29" i="1"/>
  <c r="F33" i="1"/>
  <c r="I33" i="1"/>
  <c r="H34" i="1"/>
  <c r="F37" i="1"/>
  <c r="J34" i="1"/>
  <c r="L30" i="1"/>
  <c r="G30" i="1"/>
  <c r="J30" i="1"/>
  <c r="F30" i="1"/>
  <c r="F31" i="1"/>
  <c r="K34" i="1"/>
  <c r="H30" i="1"/>
  <c r="E37" i="1"/>
  <c r="K37" i="1"/>
  <c r="M29" i="1"/>
  <c r="L34" i="1"/>
  <c r="K29" i="1"/>
  <c r="L35" i="1"/>
  <c r="K30" i="1"/>
  <c r="G34" i="1"/>
  <c r="H37" i="1"/>
  <c r="H29" i="1"/>
  <c r="L37" i="1"/>
  <c r="L33" i="1"/>
  <c r="L29" i="1"/>
  <c r="F34" i="1"/>
  <c r="I37" i="1"/>
  <c r="K33" i="1"/>
  <c r="K32" i="1"/>
  <c r="G35" i="1"/>
  <c r="G31" i="1"/>
  <c r="E34" i="1"/>
  <c r="G32" i="1"/>
  <c r="E30" i="1"/>
  <c r="H36" i="1"/>
  <c r="H32" i="1"/>
  <c r="I36" i="1"/>
  <c r="I34" i="1"/>
  <c r="I32" i="1"/>
  <c r="I28" i="1"/>
  <c r="L31" i="1"/>
  <c r="G37" i="1"/>
  <c r="F36" i="1"/>
  <c r="E35" i="1"/>
  <c r="G33" i="1"/>
  <c r="F32" i="1"/>
  <c r="E31" i="1"/>
  <c r="G29" i="1"/>
  <c r="F28" i="1"/>
  <c r="H35" i="1"/>
  <c r="H31" i="1"/>
  <c r="J37" i="1"/>
  <c r="J35" i="1"/>
  <c r="J33" i="1"/>
  <c r="J31" i="1"/>
  <c r="J29" i="1"/>
  <c r="L36" i="1"/>
  <c r="K35" i="1"/>
  <c r="L32" i="1"/>
  <c r="K31" i="1"/>
  <c r="L28" i="1"/>
  <c r="E36" i="1"/>
  <c r="E32" i="1"/>
  <c r="K36" i="1"/>
  <c r="J36" i="1"/>
  <c r="M35" i="1"/>
  <c r="M31" i="1"/>
  <c r="E28" i="1"/>
  <c r="K28" i="1"/>
  <c r="J32" i="1"/>
  <c r="J28" i="1"/>
  <c r="G36" i="1"/>
  <c r="F35" i="1"/>
  <c r="G28" i="1"/>
  <c r="H28" i="1"/>
  <c r="I30" i="1"/>
  <c r="L27" i="1"/>
  <c r="E27" i="1"/>
  <c r="I27" i="1"/>
  <c r="M27" i="1"/>
  <c r="F27" i="1"/>
  <c r="H27" i="1"/>
  <c r="J27" i="1"/>
  <c r="G27" i="1"/>
</calcChain>
</file>

<file path=xl/sharedStrings.xml><?xml version="1.0" encoding="utf-8"?>
<sst xmlns="http://schemas.openxmlformats.org/spreadsheetml/2006/main" count="19214" uniqueCount="9606">
  <si>
    <t>신용등급</t>
    <phoneticPr fontId="4" type="noConversion"/>
  </si>
  <si>
    <t>00066</t>
  </si>
  <si>
    <t>상장</t>
  </si>
  <si>
    <t>안정적</t>
  </si>
  <si>
    <t>외감</t>
  </si>
  <si>
    <t>K64121</t>
  </si>
  <si>
    <t>금융업</t>
  </si>
  <si>
    <t>국내은행</t>
  </si>
  <si>
    <t>D24221</t>
  </si>
  <si>
    <t>의약용 약제품 제조업</t>
  </si>
  <si>
    <t>KR모터스</t>
  </si>
  <si>
    <t>C31920</t>
  </si>
  <si>
    <t>기타 운송장비 제조업</t>
  </si>
  <si>
    <t>모터사이클 제조업</t>
  </si>
  <si>
    <t>삼양홀딩스 (구 삼양사)</t>
  </si>
  <si>
    <t>M71520</t>
  </si>
  <si>
    <t>전문서비스업</t>
  </si>
  <si>
    <t>비금융 지주회사</t>
  </si>
  <si>
    <t>하이트진로</t>
  </si>
  <si>
    <t>A</t>
  </si>
  <si>
    <t>C11122</t>
  </si>
  <si>
    <t>음료 제조업</t>
  </si>
  <si>
    <t>소주 제조업</t>
  </si>
  <si>
    <t>스탠다드차타드은행</t>
  </si>
  <si>
    <t>씨제이</t>
  </si>
  <si>
    <t>H49310</t>
  </si>
  <si>
    <t>육상운송 및 파이프라인 운송업</t>
  </si>
  <si>
    <t>화물자동차 운송업</t>
  </si>
  <si>
    <t>하이트진로홀딩스</t>
  </si>
  <si>
    <t>두산</t>
  </si>
  <si>
    <t>대림</t>
  </si>
  <si>
    <t>F41225</t>
  </si>
  <si>
    <t>종합 건설업</t>
  </si>
  <si>
    <t>산업플랜트 건설업</t>
  </si>
  <si>
    <t>C21210</t>
  </si>
  <si>
    <t>의료용 물질 및 의약품 제조업</t>
  </si>
  <si>
    <t>완제 의약품 제조업</t>
  </si>
  <si>
    <t>한국타이어</t>
  </si>
  <si>
    <t>D25111</t>
  </si>
  <si>
    <t>타이어 및 튜브 제조업</t>
  </si>
  <si>
    <t>현대자동차</t>
  </si>
  <si>
    <t>D34121</t>
  </si>
  <si>
    <t>승용차 및 기타 여객용 자동차 제조업</t>
  </si>
  <si>
    <t>에스엠</t>
  </si>
  <si>
    <t>F45200</t>
  </si>
  <si>
    <t>건물 건설업</t>
  </si>
  <si>
    <t>대유플러스</t>
  </si>
  <si>
    <t>D34309</t>
  </si>
  <si>
    <t>기타 자동차부품 제조업</t>
  </si>
  <si>
    <t>D24321</t>
  </si>
  <si>
    <t>일반용 도료 및 관련제품 제조업</t>
  </si>
  <si>
    <t>F45120</t>
  </si>
  <si>
    <t>토목시설물 건설업</t>
  </si>
  <si>
    <t>한화</t>
  </si>
  <si>
    <t>K65121</t>
  </si>
  <si>
    <t>보험 및 연금업</t>
  </si>
  <si>
    <t>손해 보험업</t>
  </si>
  <si>
    <t>삼화페인트공업</t>
  </si>
  <si>
    <t>C20421</t>
  </si>
  <si>
    <t>화학물질 및 화학제품 제조업;의약품 제외</t>
  </si>
  <si>
    <t>D31401</t>
  </si>
  <si>
    <t>일차전지 제조업</t>
  </si>
  <si>
    <t>K66031</t>
  </si>
  <si>
    <t>금융 및 보험 관련 서비스업</t>
  </si>
  <si>
    <t>C29210</t>
  </si>
  <si>
    <t>기타 기계 및 장비 제조업</t>
  </si>
  <si>
    <t>농업 및 임업용 기계 제조업</t>
  </si>
  <si>
    <t>가온전선</t>
  </si>
  <si>
    <t>엘에스</t>
  </si>
  <si>
    <t>C28302</t>
  </si>
  <si>
    <t>전기장비 제조업</t>
  </si>
  <si>
    <t>기타 절연선 및 케이블 제조업</t>
  </si>
  <si>
    <t>태광</t>
  </si>
  <si>
    <t>SK하이닉스</t>
  </si>
  <si>
    <t>에스케이</t>
  </si>
  <si>
    <t>C26120</t>
  </si>
  <si>
    <t>전자부품, 컴퓨터, 영상, 음향 및 통신장비 제조업</t>
  </si>
  <si>
    <t>다이오드, 트랜지스터 및 유사 반도체소자 제조업</t>
  </si>
  <si>
    <t>영풍</t>
  </si>
  <si>
    <t>D27210</t>
  </si>
  <si>
    <t>비철금속 제련, 정련 및 합금 제조업</t>
  </si>
  <si>
    <t>LS네트웍스</t>
  </si>
  <si>
    <t>G46800</t>
  </si>
  <si>
    <t>도매 및 상품중개업</t>
  </si>
  <si>
    <t>상품 종합 도매업</t>
  </si>
  <si>
    <t>현대건설</t>
  </si>
  <si>
    <t>F45000</t>
  </si>
  <si>
    <t>서울교통공사</t>
  </si>
  <si>
    <t>I61112</t>
  </si>
  <si>
    <t>외항 화물 운송업</t>
  </si>
  <si>
    <t>F41112</t>
  </si>
  <si>
    <t>아파트 건설업</t>
  </si>
  <si>
    <t>롯데건설</t>
  </si>
  <si>
    <t>롯데</t>
  </si>
  <si>
    <t>F41000</t>
  </si>
  <si>
    <t>C20494</t>
  </si>
  <si>
    <t>화약 및 불꽃제품 제조업</t>
  </si>
  <si>
    <t>디비</t>
  </si>
  <si>
    <t>D26110</t>
  </si>
  <si>
    <t>페이퍼코리아</t>
  </si>
  <si>
    <t>C17121</t>
  </si>
  <si>
    <t>펄프, 종이 및 종이제품 제조업</t>
  </si>
  <si>
    <t>신문용지 제조업</t>
  </si>
  <si>
    <t>CJ</t>
  </si>
  <si>
    <t>대한방직</t>
  </si>
  <si>
    <t>D17102</t>
  </si>
  <si>
    <t>면 방적업</t>
  </si>
  <si>
    <t>엘지</t>
  </si>
  <si>
    <t>G46105</t>
  </si>
  <si>
    <t>상품종합 중개업</t>
  </si>
  <si>
    <t>D17101</t>
  </si>
  <si>
    <t>제사 및 견 방적업</t>
  </si>
  <si>
    <t>유진증권</t>
  </si>
  <si>
    <t>유진</t>
  </si>
  <si>
    <t>K66121</t>
  </si>
  <si>
    <t>증권 중개업</t>
  </si>
  <si>
    <t>금호전기</t>
  </si>
  <si>
    <t>C28410</t>
  </si>
  <si>
    <t>전구 및 램프 제조업</t>
  </si>
  <si>
    <t>애경</t>
  </si>
  <si>
    <t>G52111</t>
  </si>
  <si>
    <t>백화점</t>
  </si>
  <si>
    <t>동국제강</t>
  </si>
  <si>
    <t>C24112</t>
  </si>
  <si>
    <t>1차 금속 제조업</t>
  </si>
  <si>
    <t>제강업</t>
  </si>
  <si>
    <t>GS글로벌</t>
  </si>
  <si>
    <t>지에스</t>
  </si>
  <si>
    <t>C20302</t>
  </si>
  <si>
    <t>합성수지 및 기타 플라스틱물질 제조업</t>
  </si>
  <si>
    <t>D18111</t>
  </si>
  <si>
    <t>남자용 정장 제조업</t>
  </si>
  <si>
    <t>세아베스틸</t>
  </si>
  <si>
    <t>세아</t>
  </si>
  <si>
    <t>F41229</t>
  </si>
  <si>
    <t>기타 토목시설물 건설업</t>
  </si>
  <si>
    <t>현대차증권</t>
  </si>
  <si>
    <t>SK증권</t>
  </si>
  <si>
    <t>C23322</t>
  </si>
  <si>
    <t>비금속 광물제품 제조업</t>
  </si>
  <si>
    <t>레미콘 제조업</t>
  </si>
  <si>
    <t>금양</t>
  </si>
  <si>
    <t>D24399</t>
  </si>
  <si>
    <t>그외 기타 분류안된 화학제품 제조업</t>
  </si>
  <si>
    <t>케이비아이동국실업</t>
  </si>
  <si>
    <t>C30399</t>
  </si>
  <si>
    <t>자동차 및 트레일러 제조업</t>
  </si>
  <si>
    <t>그외 기타 자동차 부품 제조업</t>
  </si>
  <si>
    <t>대상</t>
  </si>
  <si>
    <t>C10620</t>
  </si>
  <si>
    <t>식료품 제조업</t>
  </si>
  <si>
    <t>전분제품 및 당류 제조업</t>
  </si>
  <si>
    <t>신영증권</t>
  </si>
  <si>
    <t>SK네트웍스</t>
  </si>
  <si>
    <t>알루코</t>
  </si>
  <si>
    <t>C24212</t>
  </si>
  <si>
    <t>알루미늄 제련, 정련 및 합금 제조업</t>
  </si>
  <si>
    <t>대한제당</t>
  </si>
  <si>
    <t>C10800</t>
  </si>
  <si>
    <t>동물용 사료 및 조제식품 제조업</t>
  </si>
  <si>
    <t>C17122</t>
  </si>
  <si>
    <t>인쇄용 및 필기용 원지 제조업</t>
  </si>
  <si>
    <t>D32111</t>
  </si>
  <si>
    <t>다이오드, 트랜지스터 및 유사반도체 제조업</t>
  </si>
  <si>
    <t>D19301</t>
  </si>
  <si>
    <t>구두류 제조업</t>
  </si>
  <si>
    <t>F45121</t>
  </si>
  <si>
    <t>도로 건설업</t>
  </si>
  <si>
    <t>농협</t>
  </si>
  <si>
    <t>C20412</t>
  </si>
  <si>
    <t>농약 제조업</t>
  </si>
  <si>
    <t>코오롱</t>
  </si>
  <si>
    <t>D24401</t>
  </si>
  <si>
    <t>합성섬유 제조업</t>
  </si>
  <si>
    <t>M71531</t>
  </si>
  <si>
    <t>경영컨설팅업</t>
  </si>
  <si>
    <t>M72121</t>
  </si>
  <si>
    <t>건축기술, 엔지니어링 및 기타 과학기술 서비스업</t>
  </si>
  <si>
    <t>건물 및 토목엔지니어링 서비스업</t>
  </si>
  <si>
    <t>C10502</t>
  </si>
  <si>
    <t>아이스크림 및 기타 식용빙과류 제조업</t>
  </si>
  <si>
    <t>한진</t>
  </si>
  <si>
    <t>H49390</t>
  </si>
  <si>
    <t>기타 도로화물 운송업</t>
  </si>
  <si>
    <t>넥센타이어</t>
  </si>
  <si>
    <t>C22111</t>
  </si>
  <si>
    <t>고무제품 및 플라스틱제품 제조업</t>
  </si>
  <si>
    <t>케이씨씨</t>
  </si>
  <si>
    <t>한독</t>
  </si>
  <si>
    <t>동광건설</t>
  </si>
  <si>
    <t>F45212</t>
  </si>
  <si>
    <t>H52101</t>
  </si>
  <si>
    <t>창고 및 운송관련 서비스업</t>
  </si>
  <si>
    <t>일반 창고업</t>
  </si>
  <si>
    <t>D27120</t>
  </si>
  <si>
    <t>철강압연.압출 및 연신제품 제조업</t>
  </si>
  <si>
    <t>G46521</t>
  </si>
  <si>
    <t>가전제품 및 부품 도매업</t>
  </si>
  <si>
    <t>효성</t>
  </si>
  <si>
    <t>아모레퍼시픽</t>
  </si>
  <si>
    <t>D24333</t>
  </si>
  <si>
    <t>화장품 제조업</t>
  </si>
  <si>
    <t>하나은행</t>
  </si>
  <si>
    <t>D29310</t>
  </si>
  <si>
    <t>농업용 기계 제조업</t>
  </si>
  <si>
    <t>D18142</t>
  </si>
  <si>
    <t>근무복, 작업복 및 유사 의복 제조업</t>
  </si>
  <si>
    <t>금호아시아나</t>
  </si>
  <si>
    <t>세아제강</t>
  </si>
  <si>
    <t>F41220</t>
  </si>
  <si>
    <t>M74230</t>
  </si>
  <si>
    <t>지주회사</t>
  </si>
  <si>
    <t>C20501</t>
  </si>
  <si>
    <t>H50112</t>
  </si>
  <si>
    <t>수상 운송업</t>
  </si>
  <si>
    <t>K67121</t>
  </si>
  <si>
    <t>하림</t>
  </si>
  <si>
    <t>D15330</t>
  </si>
  <si>
    <t>사료 제조업</t>
  </si>
  <si>
    <t>C23311</t>
  </si>
  <si>
    <t>시멘트 제조업</t>
  </si>
  <si>
    <t>KB증권</t>
  </si>
  <si>
    <t>유안타증권</t>
  </si>
  <si>
    <t>대한항공</t>
  </si>
  <si>
    <t>H51100</t>
  </si>
  <si>
    <t>항공 운송업</t>
  </si>
  <si>
    <t>정기 항공 운송업</t>
  </si>
  <si>
    <t>케이티앤지</t>
  </si>
  <si>
    <t>한화투자증권</t>
  </si>
  <si>
    <t>대신증권</t>
  </si>
  <si>
    <t>동원</t>
  </si>
  <si>
    <t>C10111</t>
  </si>
  <si>
    <t>유.무연탄 채굴업</t>
  </si>
  <si>
    <t>D34201</t>
  </si>
  <si>
    <t>차체 및 특장차 제조업</t>
  </si>
  <si>
    <t>C24122</t>
  </si>
  <si>
    <t>냉간 압연 및 압출 제품 제조업</t>
  </si>
  <si>
    <t>D26311</t>
  </si>
  <si>
    <t>포스코</t>
  </si>
  <si>
    <t>C23221</t>
  </si>
  <si>
    <t>구조용 정형내화제품 제조업</t>
  </si>
  <si>
    <t>D15123</t>
  </si>
  <si>
    <t>수산동물 냉동품 제조업</t>
  </si>
  <si>
    <t>D15201</t>
  </si>
  <si>
    <t>액상 시유 및 기타 낙농제품 제조업</t>
  </si>
  <si>
    <t>G51910</t>
  </si>
  <si>
    <t>D24141</t>
  </si>
  <si>
    <t>질소, 인산 및 칼리질 비료 제조업</t>
  </si>
  <si>
    <t>G47111</t>
  </si>
  <si>
    <t>소매업; 자동차 제외</t>
  </si>
  <si>
    <t>현대제철</t>
  </si>
  <si>
    <t>C24111</t>
  </si>
  <si>
    <t>제철업</t>
  </si>
  <si>
    <t>현대중공업</t>
  </si>
  <si>
    <t>C19210</t>
  </si>
  <si>
    <t>코크스, 연탄 및 석유정제품 제조업</t>
  </si>
  <si>
    <t>원유 정제처리업</t>
  </si>
  <si>
    <t>태양금속공업</t>
  </si>
  <si>
    <t>동방</t>
  </si>
  <si>
    <t>I60311</t>
  </si>
  <si>
    <t>일반 화물자동차 운송업</t>
  </si>
  <si>
    <t>신세계</t>
  </si>
  <si>
    <t>F41221</t>
  </si>
  <si>
    <t>D15440</t>
  </si>
  <si>
    <t>국수, 라면 및 유사식품 제조업</t>
  </si>
  <si>
    <t>D26326</t>
  </si>
  <si>
    <t>콘크리트관 및 조립구조재 제조업</t>
  </si>
  <si>
    <t>D28991</t>
  </si>
  <si>
    <t>금속 캔 및 기타 포장용기 제조업</t>
  </si>
  <si>
    <t>C17129</t>
  </si>
  <si>
    <t>기타 종이 및 판지 제조업</t>
  </si>
  <si>
    <t>G50110</t>
  </si>
  <si>
    <t>자동차 신품 판매업</t>
  </si>
  <si>
    <t>현대비앤지스틸</t>
  </si>
  <si>
    <t>C14111</t>
  </si>
  <si>
    <t>의복, 의복액세서리 및 모피제품 제조업</t>
  </si>
  <si>
    <t>삼천리</t>
  </si>
  <si>
    <t>D35200</t>
  </si>
  <si>
    <t>전기, 가스, 증기 및 공기조절 공급업</t>
  </si>
  <si>
    <t>가스 제조 및 배관공급업</t>
  </si>
  <si>
    <t>D19101</t>
  </si>
  <si>
    <t>원피 가공업</t>
  </si>
  <si>
    <t>한솔테크닉스</t>
  </si>
  <si>
    <t>D30013</t>
  </si>
  <si>
    <t>컴퓨터 입.출력장치 및 기타 주변기기 제조업</t>
  </si>
  <si>
    <t>C32029</t>
  </si>
  <si>
    <t>가구 제조업</t>
  </si>
  <si>
    <t>기타 목재가구 제조업</t>
  </si>
  <si>
    <t>C26421</t>
  </si>
  <si>
    <t>방송장비 제조업</t>
  </si>
  <si>
    <t>C24222</t>
  </si>
  <si>
    <t>알루미늄 압연, 압출 및 연신제품 제조업</t>
  </si>
  <si>
    <t>G51602</t>
  </si>
  <si>
    <t>금속판, 봉, 관 및 유사 1차 금속제품 도매업</t>
  </si>
  <si>
    <t>D25191</t>
  </si>
  <si>
    <t>산업용 비경화고무제품 제조업</t>
  </si>
  <si>
    <t>I55111</t>
  </si>
  <si>
    <t>숙박업</t>
  </si>
  <si>
    <t>호텔업</t>
  </si>
  <si>
    <t>한신공영</t>
  </si>
  <si>
    <t>F41100</t>
  </si>
  <si>
    <t>B05111</t>
  </si>
  <si>
    <t>석탄, 원유 및 천연가스 광업</t>
  </si>
  <si>
    <t>원양 어업</t>
  </si>
  <si>
    <t>롯데지주</t>
  </si>
  <si>
    <t>C30310</t>
  </si>
  <si>
    <t>자동차 엔진용 부품 제조업</t>
  </si>
  <si>
    <t>GS칼텍스</t>
  </si>
  <si>
    <t>D27122</t>
  </si>
  <si>
    <t>냉간 압연 및 압출제품 제조업</t>
  </si>
  <si>
    <t>D15202</t>
  </si>
  <si>
    <t>아이스크림 및 기타 식용 빙과류 제조업</t>
  </si>
  <si>
    <t>녹십자홀딩스</t>
  </si>
  <si>
    <t>대구은행</t>
  </si>
  <si>
    <t>부산은행</t>
  </si>
  <si>
    <t>롯데칠성음료</t>
  </si>
  <si>
    <t>C11209</t>
  </si>
  <si>
    <t>기타 비알콜음료 제조업</t>
  </si>
  <si>
    <t>국동</t>
  </si>
  <si>
    <t>D18141</t>
  </si>
  <si>
    <t>셔츠 및 체육복 제조업</t>
  </si>
  <si>
    <t>D29320</t>
  </si>
  <si>
    <t>금속주조 및 기타 야금용 기계 제조업</t>
  </si>
  <si>
    <t>G51990</t>
  </si>
  <si>
    <t>그외 기타 도매업</t>
  </si>
  <si>
    <t>신성통상</t>
  </si>
  <si>
    <t>코스모화학</t>
  </si>
  <si>
    <t>C20129</t>
  </si>
  <si>
    <t>기타 기초무기화학물질 제조업</t>
  </si>
  <si>
    <t>현대백화점</t>
  </si>
  <si>
    <t>D27111</t>
  </si>
  <si>
    <t>제철 및 제강업</t>
  </si>
  <si>
    <t>D15413</t>
  </si>
  <si>
    <t>곡분과자 제조업</t>
  </si>
  <si>
    <t>G51462</t>
  </si>
  <si>
    <t>문구용품 도매업</t>
  </si>
  <si>
    <t>D27221</t>
  </si>
  <si>
    <t>동 압연, 압출 및 연신제품 제조업</t>
  </si>
  <si>
    <t>D32202</t>
  </si>
  <si>
    <t>방송 및 무선통신기기 제조업</t>
  </si>
  <si>
    <t>삼성</t>
  </si>
  <si>
    <t>D32300</t>
  </si>
  <si>
    <t>방송수신기 및 기타 영상, 음향기기 제조업</t>
  </si>
  <si>
    <t>NH투자증권(구 우리투자)</t>
  </si>
  <si>
    <t>D24111</t>
  </si>
  <si>
    <t>석유화학계 기초 화합물 제조업</t>
  </si>
  <si>
    <t>동부건설</t>
  </si>
  <si>
    <t>동원산업</t>
  </si>
  <si>
    <t>A03111</t>
  </si>
  <si>
    <t>어업</t>
  </si>
  <si>
    <t>SK디스커버리</t>
  </si>
  <si>
    <t>제주은행</t>
  </si>
  <si>
    <t>LS</t>
  </si>
  <si>
    <t>녹십자</t>
  </si>
  <si>
    <t>D23210</t>
  </si>
  <si>
    <t>D31301</t>
  </si>
  <si>
    <t>절연 금속선 및 케이블 제조업</t>
  </si>
  <si>
    <t>전북은행</t>
  </si>
  <si>
    <t>GS건설</t>
  </si>
  <si>
    <t>C20111</t>
  </si>
  <si>
    <t>석유화학계 기초화학물질 제조업</t>
  </si>
  <si>
    <t>삼성SDI</t>
  </si>
  <si>
    <t>C28202</t>
  </si>
  <si>
    <t>축전지 제조업</t>
  </si>
  <si>
    <t>G46510</t>
  </si>
  <si>
    <t>컴퓨터 및 주변장치, 소프트웨어 도매업</t>
  </si>
  <si>
    <t>D28931</t>
  </si>
  <si>
    <t>날붙이 제조업</t>
  </si>
  <si>
    <t>D26121</t>
  </si>
  <si>
    <t>유리섬유 및 광학용 유리 제조업</t>
  </si>
  <si>
    <t>미래에셋</t>
  </si>
  <si>
    <t>G46722</t>
  </si>
  <si>
    <t>금속광물 도매업</t>
  </si>
  <si>
    <t>D29399</t>
  </si>
  <si>
    <t>그외 기타 분류 안된 특수목적용 기계 제조업</t>
  </si>
  <si>
    <t>GS리테일</t>
  </si>
  <si>
    <t>G47122</t>
  </si>
  <si>
    <t>체인화 편의점</t>
  </si>
  <si>
    <t>사조산업</t>
  </si>
  <si>
    <t>C10730</t>
  </si>
  <si>
    <t>면류, 마카로니 및 유사식품 제조업</t>
  </si>
  <si>
    <t>K64132</t>
  </si>
  <si>
    <t>상호저축은행</t>
  </si>
  <si>
    <t>C25999</t>
  </si>
  <si>
    <t>금속가공제품 제조업;기계 및 가구 제외</t>
  </si>
  <si>
    <t>그외 기타 분류안된 금속가공제품 제조업</t>
  </si>
  <si>
    <t>D27222</t>
  </si>
  <si>
    <t>D17409</t>
  </si>
  <si>
    <t>기타 섬유 염색 및 정리업</t>
  </si>
  <si>
    <t>국도화학</t>
  </si>
  <si>
    <t>K65911</t>
  </si>
  <si>
    <t>신용 조합</t>
  </si>
  <si>
    <t>서진산업</t>
  </si>
  <si>
    <t>C30320</t>
  </si>
  <si>
    <t>자동차 차체용 부품 제조업</t>
  </si>
  <si>
    <t>태평양물산</t>
  </si>
  <si>
    <t>C14199</t>
  </si>
  <si>
    <t>그외 기타 봉제의복 제조업</t>
  </si>
  <si>
    <t>D15411</t>
  </si>
  <si>
    <t>빵류 제조업</t>
  </si>
  <si>
    <t>D20211</t>
  </si>
  <si>
    <t>단판, 합판 및 유사 적층판 제조업</t>
  </si>
  <si>
    <t>산은캐피탈</t>
  </si>
  <si>
    <t>K65923</t>
  </si>
  <si>
    <t>금융 리스업</t>
  </si>
  <si>
    <t>CJ ENM</t>
  </si>
  <si>
    <t>G47919</t>
  </si>
  <si>
    <t>기타 통신 판매업</t>
  </si>
  <si>
    <t>D34203</t>
  </si>
  <si>
    <t>운송용 컨테이너 제조업</t>
  </si>
  <si>
    <t>서흥</t>
  </si>
  <si>
    <t>윌비스</t>
  </si>
  <si>
    <t>G51413</t>
  </si>
  <si>
    <t>셔츠 및 외의 도매업</t>
  </si>
  <si>
    <t>H55111</t>
  </si>
  <si>
    <t>한양</t>
  </si>
  <si>
    <t>율촌화학</t>
  </si>
  <si>
    <t>C22231</t>
  </si>
  <si>
    <t>플라스틱 포대, 봉투 및 유사제품 제조업</t>
  </si>
  <si>
    <t>호텔신라</t>
  </si>
  <si>
    <t>G47119</t>
  </si>
  <si>
    <t>기타 대형 종합 소매업</t>
  </si>
  <si>
    <t>D27312</t>
  </si>
  <si>
    <t>강주물 주조업</t>
  </si>
  <si>
    <t>I60310</t>
  </si>
  <si>
    <t>C26299</t>
  </si>
  <si>
    <t>그외 기타 전자부품 제조업</t>
  </si>
  <si>
    <t>무림페이퍼</t>
  </si>
  <si>
    <t>D21122</t>
  </si>
  <si>
    <t>인쇄 및 필기용지 제조업</t>
  </si>
  <si>
    <t>G46431</t>
  </si>
  <si>
    <t>가정용 가구 도매업</t>
  </si>
  <si>
    <t>신원</t>
  </si>
  <si>
    <t>D18112</t>
  </si>
  <si>
    <t>여자용 정장 제조업</t>
  </si>
  <si>
    <t>광동제약</t>
  </si>
  <si>
    <t>D32193</t>
  </si>
  <si>
    <t>전자축전기 제조업</t>
  </si>
  <si>
    <t>태영건설</t>
  </si>
  <si>
    <t>태영</t>
  </si>
  <si>
    <t>D21123</t>
  </si>
  <si>
    <t>크라프트지 및 상자용 판지 제조업</t>
  </si>
  <si>
    <t>D26129</t>
  </si>
  <si>
    <t>기타 산업용 유리제품 제조업</t>
  </si>
  <si>
    <t>C31111</t>
  </si>
  <si>
    <t>강선 건조업</t>
  </si>
  <si>
    <t>무림P&amp;P</t>
  </si>
  <si>
    <t>C17110</t>
  </si>
  <si>
    <t>펄프 제조업</t>
  </si>
  <si>
    <t>D26221</t>
  </si>
  <si>
    <t>우리종금</t>
  </si>
  <si>
    <t>K65929</t>
  </si>
  <si>
    <t>그외 기타 여신 금융업</t>
  </si>
  <si>
    <t>오씨아이</t>
  </si>
  <si>
    <t>G47121</t>
  </si>
  <si>
    <t>슈퍼마켓</t>
  </si>
  <si>
    <t>C28112</t>
  </si>
  <si>
    <t>변압기 제조업</t>
  </si>
  <si>
    <t>C24213</t>
  </si>
  <si>
    <t>연 및 아연 제련, 정련 및 합금 제조업</t>
  </si>
  <si>
    <t>D33321</t>
  </si>
  <si>
    <t>광섬유 및 광학요소 제조업</t>
  </si>
  <si>
    <t>M72209</t>
  </si>
  <si>
    <t>기타 소프트웨어 자문, 개발 및 공급업</t>
  </si>
  <si>
    <t>M72100</t>
  </si>
  <si>
    <t>건축기술, 엔지니어링 및 관련기술 서비스업</t>
  </si>
  <si>
    <t>M71310</t>
  </si>
  <si>
    <t>광고 대행업</t>
  </si>
  <si>
    <t>C24132</t>
  </si>
  <si>
    <t>강관 제조업</t>
  </si>
  <si>
    <t>D17201</t>
  </si>
  <si>
    <t>화학섬유직물 직조업</t>
  </si>
  <si>
    <t>아이에스동서</t>
  </si>
  <si>
    <t>C23325</t>
  </si>
  <si>
    <t>콘크리트 타일, 기와, 벽돌 및 블록 제조업</t>
  </si>
  <si>
    <t>S-Oil</t>
  </si>
  <si>
    <t>에쓰오일</t>
  </si>
  <si>
    <t>D32201</t>
  </si>
  <si>
    <t>유선통신기기 제조업</t>
  </si>
  <si>
    <t>LG이노텍</t>
  </si>
  <si>
    <t>형지I&amp;C</t>
  </si>
  <si>
    <t>C14191</t>
  </si>
  <si>
    <t>D36121</t>
  </si>
  <si>
    <t>수도사업</t>
  </si>
  <si>
    <t>주방용 및 음식점용 목재가구 제조업</t>
  </si>
  <si>
    <t>롯데케미칼</t>
  </si>
  <si>
    <t>H50111</t>
  </si>
  <si>
    <t>외항 여객 운송업</t>
  </si>
  <si>
    <t>현대위아</t>
  </si>
  <si>
    <t>유니켐</t>
  </si>
  <si>
    <t>C26110</t>
  </si>
  <si>
    <t>전자집적회로 제조업</t>
  </si>
  <si>
    <t>금호석유화학</t>
  </si>
  <si>
    <t>C20301</t>
  </si>
  <si>
    <t>합성고무 제조업</t>
  </si>
  <si>
    <t>SKC</t>
  </si>
  <si>
    <t>C26600</t>
  </si>
  <si>
    <t>마그네틱 및 광학 매체 제조업</t>
  </si>
  <si>
    <t>판토스</t>
  </si>
  <si>
    <t>H52991</t>
  </si>
  <si>
    <t>화물운송 중개, 대리 및 관련서비스업</t>
  </si>
  <si>
    <t>신성이엔지</t>
  </si>
  <si>
    <t>J62021</t>
  </si>
  <si>
    <t>컴퓨터 프로그래밍, 시스템 통합 및 관리업</t>
  </si>
  <si>
    <t>컴퓨터시스템 통합 자문 및 구축 서비스업</t>
  </si>
  <si>
    <t>현대모비스</t>
  </si>
  <si>
    <t>한화에어로스페이스</t>
  </si>
  <si>
    <t>C31322</t>
  </si>
  <si>
    <t>항공기용 부품 제조업</t>
  </si>
  <si>
    <t>D18110</t>
  </si>
  <si>
    <t>정장 제조업</t>
  </si>
  <si>
    <t>에이치디씨</t>
  </si>
  <si>
    <t>F41110</t>
  </si>
  <si>
    <t>주거용 건물 건설업</t>
  </si>
  <si>
    <t>G51712</t>
  </si>
  <si>
    <t>액체연료 및 관련제품 도매업</t>
  </si>
  <si>
    <t>N75310</t>
  </si>
  <si>
    <t>사업지원 서비스업</t>
  </si>
  <si>
    <t>경비 및 경호 서비스업</t>
  </si>
  <si>
    <t>C30392</t>
  </si>
  <si>
    <t>자동차용 전기장치 제조업</t>
  </si>
  <si>
    <t>D15110</t>
  </si>
  <si>
    <t>도축, 고기 가공 및 저장처리업</t>
  </si>
  <si>
    <t>일성건설</t>
  </si>
  <si>
    <t>화승알앤에이</t>
  </si>
  <si>
    <t>C22191</t>
  </si>
  <si>
    <t>계룡건설산업</t>
  </si>
  <si>
    <t>이랜드리테일</t>
  </si>
  <si>
    <t>이랜드</t>
  </si>
  <si>
    <t>F45129</t>
  </si>
  <si>
    <t>C20121</t>
  </si>
  <si>
    <t>산업용 가스 제조업</t>
  </si>
  <si>
    <t>금강공업</t>
  </si>
  <si>
    <t>D27132</t>
  </si>
  <si>
    <t>D33220</t>
  </si>
  <si>
    <t>산업처리공정 제어장비 제조업</t>
  </si>
  <si>
    <t>L70121</t>
  </si>
  <si>
    <t>주거용 건물 공급업</t>
  </si>
  <si>
    <t>한솔케미칼</t>
  </si>
  <si>
    <t>한라</t>
  </si>
  <si>
    <t>동원시스템즈</t>
  </si>
  <si>
    <t>C22230</t>
  </si>
  <si>
    <t>포장용 플라스틱제품 제조업</t>
  </si>
  <si>
    <t>D35114</t>
  </si>
  <si>
    <t>선박 구성부분품 제조업</t>
  </si>
  <si>
    <t>F45211</t>
  </si>
  <si>
    <t>단독 및 연립주택 건설업</t>
  </si>
  <si>
    <t>D27211</t>
  </si>
  <si>
    <t>동 제련, 정련 및 합금 제조업</t>
  </si>
  <si>
    <t>D24223</t>
  </si>
  <si>
    <t>동물용 약제품 제조업</t>
  </si>
  <si>
    <t>E40200</t>
  </si>
  <si>
    <t>가스제조 및 배관 공급업</t>
  </si>
  <si>
    <t>예스코홀딩스</t>
  </si>
  <si>
    <t>L68121</t>
  </si>
  <si>
    <t>부동산업</t>
  </si>
  <si>
    <t>주거용 건물 개발 및 공급업</t>
  </si>
  <si>
    <t>성우하이텍</t>
  </si>
  <si>
    <t>한국전력공사</t>
  </si>
  <si>
    <t>D35119</t>
  </si>
  <si>
    <t>기타 발전업</t>
  </si>
  <si>
    <t>D31201</t>
  </si>
  <si>
    <t>전기회로 개폐, 보호 및 접속장치 제조업</t>
  </si>
  <si>
    <t>J64219</t>
  </si>
  <si>
    <t>유선 전화 및 기타 유선 통신업</t>
  </si>
  <si>
    <t>I55113</t>
  </si>
  <si>
    <t>휴양콘도 운영업</t>
  </si>
  <si>
    <t>Q87111</t>
  </si>
  <si>
    <t>사회복지 서비스업</t>
  </si>
  <si>
    <t>노인 요양 복지시설 운영업</t>
  </si>
  <si>
    <t>F45222</t>
  </si>
  <si>
    <t>공업 및 유사 산업용 건물 건설업</t>
  </si>
  <si>
    <t>삼성증권</t>
  </si>
  <si>
    <t>DB금융투자</t>
  </si>
  <si>
    <t>대성홀딩스</t>
  </si>
  <si>
    <t>한국씨티은행</t>
  </si>
  <si>
    <t>D29191</t>
  </si>
  <si>
    <t>일반저울 제조업</t>
  </si>
  <si>
    <t>D32199</t>
  </si>
  <si>
    <t>F42121</t>
  </si>
  <si>
    <t>전문직별 공사업</t>
  </si>
  <si>
    <t>토공사업</t>
  </si>
  <si>
    <t>한국투자금융</t>
  </si>
  <si>
    <t>SK텔레콤</t>
  </si>
  <si>
    <t>J61220</t>
  </si>
  <si>
    <t>통신업</t>
  </si>
  <si>
    <t>무선통신업</t>
  </si>
  <si>
    <t>현대엘리베이터</t>
  </si>
  <si>
    <t>C29162</t>
  </si>
  <si>
    <t>승강기 제조업</t>
  </si>
  <si>
    <t>C20131</t>
  </si>
  <si>
    <t>무기안료 및 기타금속산화물 제조업</t>
  </si>
  <si>
    <t>E1</t>
  </si>
  <si>
    <t>G46713</t>
  </si>
  <si>
    <t>기체연료 및 관련제품 도매업</t>
  </si>
  <si>
    <t>유니슨</t>
  </si>
  <si>
    <t>C29119</t>
  </si>
  <si>
    <t>기타 기관 및 터빈 제조업</t>
  </si>
  <si>
    <t>J62010</t>
  </si>
  <si>
    <t>컴퓨터 프로그래밍 서비스업</t>
  </si>
  <si>
    <t>D30029</t>
  </si>
  <si>
    <t>기타 사무, 계산 및 회계용 기기 제조업</t>
  </si>
  <si>
    <t>D28932</t>
  </si>
  <si>
    <t>일반철물 제조업</t>
  </si>
  <si>
    <t>파르나스호텔(주)</t>
  </si>
  <si>
    <t>B07111</t>
  </si>
  <si>
    <t>비금속광물 광업;연료용 제외</t>
  </si>
  <si>
    <t>석회석 광업</t>
  </si>
  <si>
    <t>SK가스</t>
  </si>
  <si>
    <t>I56114</t>
  </si>
  <si>
    <t>음식점 및 주점업</t>
  </si>
  <si>
    <t>서양식 음식점업</t>
  </si>
  <si>
    <t>C29172</t>
  </si>
  <si>
    <t>공기조화장치 제조업</t>
  </si>
  <si>
    <t>케이티</t>
  </si>
  <si>
    <t>J61291</t>
  </si>
  <si>
    <t>통신 재판매업</t>
  </si>
  <si>
    <t>티에이치엔</t>
  </si>
  <si>
    <t>와이지-원</t>
  </si>
  <si>
    <t>C25934</t>
  </si>
  <si>
    <t>톱 및 호환성공구 제조업</t>
  </si>
  <si>
    <t>K65939</t>
  </si>
  <si>
    <t>기타 투자 기관</t>
  </si>
  <si>
    <t>C29111</t>
  </si>
  <si>
    <t>내연기관 제조업</t>
  </si>
  <si>
    <t>K64209</t>
  </si>
  <si>
    <t>기타 투자기관</t>
  </si>
  <si>
    <t>L71110</t>
  </si>
  <si>
    <t>승용 자동차 임대업</t>
  </si>
  <si>
    <t>F46412</t>
  </si>
  <si>
    <t>도배, 실내장식 및 내장 목공사업</t>
  </si>
  <si>
    <t>K66192</t>
  </si>
  <si>
    <t>투자 자문업</t>
  </si>
  <si>
    <t>하나캐피탈</t>
  </si>
  <si>
    <t>K64913</t>
  </si>
  <si>
    <t>신용카드 및 할부금융업</t>
  </si>
  <si>
    <t>D17919</t>
  </si>
  <si>
    <t>기타 직물제품 제조업</t>
  </si>
  <si>
    <t>C10713</t>
  </si>
  <si>
    <t>코코아 제품 및 과자류 제조업</t>
  </si>
  <si>
    <t>코웨이</t>
  </si>
  <si>
    <t>S96999</t>
  </si>
  <si>
    <t>기타 개인 서비스업</t>
  </si>
  <si>
    <t>그외 기타 달리 분류되지 않은 개인 서비스업</t>
  </si>
  <si>
    <t>KCC건설</t>
  </si>
  <si>
    <t>H50122</t>
  </si>
  <si>
    <t>내항 화물 운송업</t>
  </si>
  <si>
    <t>중흥건설</t>
  </si>
  <si>
    <t>L69390</t>
  </si>
  <si>
    <t>임대업;부동산 제외</t>
  </si>
  <si>
    <t>기타 산업용 기계 및 장비 임대업</t>
  </si>
  <si>
    <t>KB캐피탈</t>
  </si>
  <si>
    <t>K64911</t>
  </si>
  <si>
    <t>금융리스업</t>
  </si>
  <si>
    <t>M72129</t>
  </si>
  <si>
    <t>기타 엔지니어링 서비스업</t>
  </si>
  <si>
    <t>J58222</t>
  </si>
  <si>
    <t>출판업</t>
  </si>
  <si>
    <t>응용소프트웨어 개발 및 공급업</t>
  </si>
  <si>
    <t>D29520</t>
  </si>
  <si>
    <t>가정용 비전기식 조리 및 난방기구 제조업</t>
  </si>
  <si>
    <t>D24119</t>
  </si>
  <si>
    <t>기타 기초 유기화합물 제조업</t>
  </si>
  <si>
    <t>국민은행</t>
  </si>
  <si>
    <t>M74321</t>
  </si>
  <si>
    <t>건물 및 토목 엔지니어링 서비스업</t>
  </si>
  <si>
    <t>D26322</t>
  </si>
  <si>
    <t>C24113</t>
  </si>
  <si>
    <t>합금철 제조업</t>
  </si>
  <si>
    <t>롯데쇼핑</t>
  </si>
  <si>
    <t>다우기술</t>
  </si>
  <si>
    <t>다우키움</t>
  </si>
  <si>
    <t>J63120</t>
  </si>
  <si>
    <t>정보서비스업</t>
  </si>
  <si>
    <t>포털 및 기타 인터넷 정보매개 서비스업</t>
  </si>
  <si>
    <t>D31303</t>
  </si>
  <si>
    <t>절연 코드세트 및 기타 도체 제조업</t>
  </si>
  <si>
    <t>한국캐피탈</t>
  </si>
  <si>
    <t>신한캐피탈</t>
  </si>
  <si>
    <t>C10712</t>
  </si>
  <si>
    <t>D31402</t>
  </si>
  <si>
    <t>기업은행</t>
  </si>
  <si>
    <t>D15111</t>
  </si>
  <si>
    <t>도축업</t>
  </si>
  <si>
    <t>유성티엔에스</t>
  </si>
  <si>
    <t>H49311</t>
  </si>
  <si>
    <t>D28941</t>
  </si>
  <si>
    <t>금속파스너 및 나사제품 제조업</t>
  </si>
  <si>
    <t>D25213</t>
  </si>
  <si>
    <t>플라스틱 합성피혁 제조업</t>
  </si>
  <si>
    <t>하나에프앤아이</t>
  </si>
  <si>
    <t>C26521</t>
  </si>
  <si>
    <t>라디오, 녹음 및 재생 기기 제조업</t>
  </si>
  <si>
    <t>D29122</t>
  </si>
  <si>
    <t>액체 펌프 제조업</t>
  </si>
  <si>
    <t>D27123</t>
  </si>
  <si>
    <t>철강선 제조업</t>
  </si>
  <si>
    <t>F46322</t>
  </si>
  <si>
    <t>내부 통신배선 공사업</t>
  </si>
  <si>
    <t>한솔홈데코</t>
  </si>
  <si>
    <t>C16212</t>
  </si>
  <si>
    <t>목재 및 나무제품 제조업;가구제외</t>
  </si>
  <si>
    <t>강화 및 재생 목재 제조업</t>
  </si>
  <si>
    <t>동화기업</t>
  </si>
  <si>
    <t>D37200</t>
  </si>
  <si>
    <t>재생용 비금속가공원료 생산업</t>
  </si>
  <si>
    <t>F42122</t>
  </si>
  <si>
    <t>보링, 그라우팅 및 굴정 공사업</t>
  </si>
  <si>
    <t>G51896</t>
  </si>
  <si>
    <t>전기용 기계장비 및 관련 기자재 도매업</t>
  </si>
  <si>
    <t>D31103</t>
  </si>
  <si>
    <t>전자코일, 변성기 및 기타 전자유도자 제조업</t>
  </si>
  <si>
    <t>D15143</t>
  </si>
  <si>
    <t>식용 정제유 및 가공유 제조업</t>
  </si>
  <si>
    <t>C26211</t>
  </si>
  <si>
    <t>액정 평판 디스플레이 제조업</t>
  </si>
  <si>
    <t>C25113</t>
  </si>
  <si>
    <t>금속 조립구조재 제조업</t>
  </si>
  <si>
    <t>마니커</t>
  </si>
  <si>
    <t>C10121</t>
  </si>
  <si>
    <t>가금류 가공 및 저장 처리업</t>
  </si>
  <si>
    <t>C17123</t>
  </si>
  <si>
    <t>G46742</t>
  </si>
  <si>
    <t>직물 도매업</t>
  </si>
  <si>
    <t>M73103</t>
  </si>
  <si>
    <t>기타 전문, 과학 및 기술 서비스업</t>
  </si>
  <si>
    <t>의학 및 약학 연구 개발업</t>
  </si>
  <si>
    <t>팬오션</t>
  </si>
  <si>
    <t>한국증권금융</t>
  </si>
  <si>
    <t>K64919</t>
  </si>
  <si>
    <t>그외 기타 여신금융업</t>
  </si>
  <si>
    <t>SK실트론</t>
  </si>
  <si>
    <t>C26400</t>
  </si>
  <si>
    <t>통신 및 방송 장비 제조업</t>
  </si>
  <si>
    <t>K65110</t>
  </si>
  <si>
    <t>생명 보험업</t>
  </si>
  <si>
    <t>롯데캐피탈</t>
  </si>
  <si>
    <t>삼성카드</t>
  </si>
  <si>
    <t>현대캐피탈</t>
  </si>
  <si>
    <t>M74510</t>
  </si>
  <si>
    <t>M73201</t>
  </si>
  <si>
    <t>인테리어 디자인업</t>
  </si>
  <si>
    <t>중앙일보</t>
  </si>
  <si>
    <t>J58121</t>
  </si>
  <si>
    <t>신문 발행업</t>
  </si>
  <si>
    <t>J61210</t>
  </si>
  <si>
    <t>유선통신업</t>
  </si>
  <si>
    <t>C22240</t>
  </si>
  <si>
    <t>기계장비 조립용 플라스틱제품 제조업</t>
  </si>
  <si>
    <t>G51891</t>
  </si>
  <si>
    <t>컴퓨터 및 패키지소프트웨어 도매업</t>
  </si>
  <si>
    <t>한국투자증권</t>
  </si>
  <si>
    <t>교보증권</t>
  </si>
  <si>
    <t>교보생명보험</t>
  </si>
  <si>
    <t>롯데카드</t>
  </si>
  <si>
    <t>G46711</t>
  </si>
  <si>
    <t>고체연료 및 관련제품 도매업</t>
  </si>
  <si>
    <t>코리아세븐</t>
  </si>
  <si>
    <t>롯데물산</t>
  </si>
  <si>
    <t>L68112</t>
  </si>
  <si>
    <t>비주거용 건물 임대업</t>
  </si>
  <si>
    <t>I56192</t>
  </si>
  <si>
    <t>피자, 햄버거, 샌드위치 및 유사 음식점업</t>
  </si>
  <si>
    <t>G46741</t>
  </si>
  <si>
    <t>방직용 섬유 및 사 도매업</t>
  </si>
  <si>
    <t>비씨카드</t>
  </si>
  <si>
    <t>G47416</t>
  </si>
  <si>
    <t>셔츠 및 기타 의복 소매업</t>
  </si>
  <si>
    <t>신세계푸드</t>
  </si>
  <si>
    <t>I56120</t>
  </si>
  <si>
    <t>기관구내식당업</t>
  </si>
  <si>
    <t>G51430</t>
  </si>
  <si>
    <t>가전제품 도매업</t>
  </si>
  <si>
    <t>D18149</t>
  </si>
  <si>
    <t>D35300</t>
  </si>
  <si>
    <t>증기, 냉온수 및 공기조절 공급업</t>
  </si>
  <si>
    <t>J64221</t>
  </si>
  <si>
    <t>무선 전화업</t>
  </si>
  <si>
    <t>세아창원특수강</t>
  </si>
  <si>
    <t>F46124</t>
  </si>
  <si>
    <t>철골 공사업</t>
  </si>
  <si>
    <t>LG유플러스</t>
  </si>
  <si>
    <t>신한카드</t>
  </si>
  <si>
    <t>D31202</t>
  </si>
  <si>
    <t>배전반 및 전기자동제어반 제조업</t>
  </si>
  <si>
    <t>D19212</t>
  </si>
  <si>
    <t>핸드백 및 지갑 제조업</t>
  </si>
  <si>
    <t>C14120</t>
  </si>
  <si>
    <t>내의 및 잠옷 제조업</t>
  </si>
  <si>
    <t>G46799</t>
  </si>
  <si>
    <t>그외 기타 상품 전문 도매업</t>
  </si>
  <si>
    <t>K65922</t>
  </si>
  <si>
    <t>SK브로드밴드</t>
  </si>
  <si>
    <t>J61200</t>
  </si>
  <si>
    <t>전기통신업</t>
  </si>
  <si>
    <t>D16002</t>
  </si>
  <si>
    <t>담배제품 제조업</t>
  </si>
  <si>
    <t>D18120</t>
  </si>
  <si>
    <t>내의 제조업</t>
  </si>
  <si>
    <t>산업은행</t>
  </si>
  <si>
    <t>K64912</t>
  </si>
  <si>
    <t>개발금융기관</t>
  </si>
  <si>
    <t>현대카드</t>
  </si>
  <si>
    <t>한국수출입은행</t>
  </si>
  <si>
    <t>농협중앙회</t>
  </si>
  <si>
    <t>K65122</t>
  </si>
  <si>
    <t>보증 보험업</t>
  </si>
  <si>
    <t>수협중앙회</t>
  </si>
  <si>
    <t>K66010</t>
  </si>
  <si>
    <t>한국자산관리공사</t>
  </si>
  <si>
    <t>호텔롯데</t>
  </si>
  <si>
    <t>B05100</t>
  </si>
  <si>
    <t>석탄 광업</t>
  </si>
  <si>
    <t>D29162</t>
  </si>
  <si>
    <t>엘리베이터 및 컨베이어장치 제조업</t>
  </si>
  <si>
    <t>JB 우리캐피탈</t>
  </si>
  <si>
    <t>J61299</t>
  </si>
  <si>
    <t>그외 기타 전기 통신업</t>
  </si>
  <si>
    <t>대보유통</t>
  </si>
  <si>
    <t>롯데하이마트</t>
  </si>
  <si>
    <t>G47320</t>
  </si>
  <si>
    <t>가전제품 소매업</t>
  </si>
  <si>
    <t>한국가스공사</t>
  </si>
  <si>
    <t>C10403</t>
  </si>
  <si>
    <t>엘지씨엔에스</t>
  </si>
  <si>
    <t>C15219</t>
  </si>
  <si>
    <t>가죽, 가방 및 신발 제조업</t>
  </si>
  <si>
    <t>기타 신발 제조업</t>
  </si>
  <si>
    <t>K66032</t>
  </si>
  <si>
    <t>신세계건설</t>
  </si>
  <si>
    <t>F41121</t>
  </si>
  <si>
    <t>사무 및 상업용 건물 건설업</t>
  </si>
  <si>
    <t>디비캐피탈</t>
  </si>
  <si>
    <t>F42321</t>
  </si>
  <si>
    <t>일반 통신 공사업</t>
  </si>
  <si>
    <t>현대케피코</t>
  </si>
  <si>
    <t>한국토지신탁</t>
  </si>
  <si>
    <t>K64999</t>
  </si>
  <si>
    <t>그외 기타 분류안된 금융업</t>
  </si>
  <si>
    <t>G46443</t>
  </si>
  <si>
    <t>화장품 도매업</t>
  </si>
  <si>
    <t>D15532</t>
  </si>
  <si>
    <t>맥주 제조업</t>
  </si>
  <si>
    <t>SBS</t>
  </si>
  <si>
    <t>J60210</t>
  </si>
  <si>
    <t>방송업</t>
  </si>
  <si>
    <t>지상파 방송업</t>
  </si>
  <si>
    <t>K65999</t>
  </si>
  <si>
    <t>그외 기타 금융업</t>
  </si>
  <si>
    <t>I63931</t>
  </si>
  <si>
    <t>공항 운영업</t>
  </si>
  <si>
    <t>S94110</t>
  </si>
  <si>
    <t>협회 및 단체</t>
  </si>
  <si>
    <t>산업 단체</t>
  </si>
  <si>
    <t>SK</t>
  </si>
  <si>
    <t>파라다이스</t>
  </si>
  <si>
    <t>R91249</t>
  </si>
  <si>
    <t>스포츠 및 오락관련 서비스업</t>
  </si>
  <si>
    <t>기타 갬블링 및 베팅업</t>
  </si>
  <si>
    <t>한국도로공사</t>
  </si>
  <si>
    <t>LG디스플레이</t>
  </si>
  <si>
    <t>한국수자원공사</t>
  </si>
  <si>
    <t>D36010</t>
  </si>
  <si>
    <t>생활용수 공급업</t>
  </si>
  <si>
    <t>K64991</t>
  </si>
  <si>
    <t>기금 운영업</t>
  </si>
  <si>
    <t>여수광양항만공사</t>
  </si>
  <si>
    <t>H52921</t>
  </si>
  <si>
    <t>항구 및 기타 해상 터미널 운영업</t>
  </si>
  <si>
    <t>인천국제공항공사</t>
  </si>
  <si>
    <t>H52931</t>
  </si>
  <si>
    <t>휴비스</t>
  </si>
  <si>
    <t>우리은행</t>
  </si>
  <si>
    <t>지에스이피에스</t>
  </si>
  <si>
    <t>D35113</t>
  </si>
  <si>
    <t>화력 발전업</t>
  </si>
  <si>
    <t>현대트랜시스</t>
  </si>
  <si>
    <t>H55113</t>
  </si>
  <si>
    <t>휴양 콘도 운영업</t>
  </si>
  <si>
    <t>D29169</t>
  </si>
  <si>
    <t>기타 물품취급장비 제조업</t>
  </si>
  <si>
    <t>R91191</t>
  </si>
  <si>
    <t>스포츠 클럽 운영업</t>
  </si>
  <si>
    <t>L68129</t>
  </si>
  <si>
    <t>기타 부동산 개발 및 공급업</t>
  </si>
  <si>
    <t>I61122</t>
  </si>
  <si>
    <t>R91121</t>
  </si>
  <si>
    <t>골프장 운영업</t>
  </si>
  <si>
    <t>롯데글로벌로지스</t>
  </si>
  <si>
    <t>E40110</t>
  </si>
  <si>
    <t>발전업</t>
  </si>
  <si>
    <t>아이비케이캐피탈</t>
  </si>
  <si>
    <t>농어촌공사</t>
  </si>
  <si>
    <t>N75999</t>
  </si>
  <si>
    <t>그외 기타 분류안된 사업지원 서비스업</t>
  </si>
  <si>
    <t>J64211</t>
  </si>
  <si>
    <t>전기 통신 회선설비 임대업</t>
  </si>
  <si>
    <t>부산도시공사</t>
  </si>
  <si>
    <t>G52119</t>
  </si>
  <si>
    <t>기타 대형종합 소매업</t>
  </si>
  <si>
    <t>C10619</t>
  </si>
  <si>
    <t>기타 곡물가공품 제조업</t>
  </si>
  <si>
    <t>대보건설</t>
  </si>
  <si>
    <t>이랜드월드</t>
  </si>
  <si>
    <t>C14192</t>
  </si>
  <si>
    <t>근무복, 작업복 및 유사의복 제조업</t>
  </si>
  <si>
    <t>C24211</t>
  </si>
  <si>
    <t>대전도시공사</t>
  </si>
  <si>
    <t>이수페타시스</t>
  </si>
  <si>
    <t>C26221</t>
  </si>
  <si>
    <t>인쇄회로기판 제조업</t>
  </si>
  <si>
    <t>한국항공우주</t>
  </si>
  <si>
    <t>여천NCC</t>
  </si>
  <si>
    <t>C27219</t>
  </si>
  <si>
    <t>의료, 정밀, 광학기기 및 시계 제조업</t>
  </si>
  <si>
    <t>기타 측정, 시험, 항해, 제어 및 정밀기기 제조업</t>
  </si>
  <si>
    <t>한국석유공사</t>
  </si>
  <si>
    <t>Q87112</t>
  </si>
  <si>
    <t>노인 양로 복지시설 운영업</t>
  </si>
  <si>
    <t>키움증권</t>
  </si>
  <si>
    <t>미래에셋캐피탈</t>
  </si>
  <si>
    <t>GS파워</t>
  </si>
  <si>
    <t>L71290</t>
  </si>
  <si>
    <t>기타 산업용 기계장비 임대업</t>
  </si>
  <si>
    <t>D27121</t>
  </si>
  <si>
    <t>열간 압연 및 압출제품 제조업</t>
  </si>
  <si>
    <t>D32192</t>
  </si>
  <si>
    <t>인쇄회로판 제조업</t>
  </si>
  <si>
    <t>미래에셋증권</t>
  </si>
  <si>
    <t>M72900</t>
  </si>
  <si>
    <t>기타 과학기술 서비스업</t>
  </si>
  <si>
    <t>F42202</t>
  </si>
  <si>
    <t>건물용 기계장비 설치 공사업</t>
  </si>
  <si>
    <t>F41111</t>
  </si>
  <si>
    <t>C27112</t>
  </si>
  <si>
    <t>전기식 진단 및 요법 기기 제조업</t>
  </si>
  <si>
    <t>H49211</t>
  </si>
  <si>
    <t>도시철도 운송업</t>
  </si>
  <si>
    <t>광주광역시도시공사</t>
  </si>
  <si>
    <t>에스케이이엔에스</t>
  </si>
  <si>
    <t>N75211</t>
  </si>
  <si>
    <t>일반 및 국외 여행사업</t>
  </si>
  <si>
    <t>C20433</t>
  </si>
  <si>
    <t>동원F&amp;B</t>
  </si>
  <si>
    <t>C10211</t>
  </si>
  <si>
    <t>수산동물 훈제, 조리 및 유사 조제식품 제조업</t>
  </si>
  <si>
    <t>LG화학</t>
  </si>
  <si>
    <t>D24152</t>
  </si>
  <si>
    <t>CJ프레시웨이</t>
  </si>
  <si>
    <t>G46329</t>
  </si>
  <si>
    <t>기타 가공식품 도매업</t>
  </si>
  <si>
    <t>Q87114</t>
  </si>
  <si>
    <t>방송 프로그램 제작업</t>
  </si>
  <si>
    <t>우리금융지주</t>
  </si>
  <si>
    <t>대우조선해양</t>
  </si>
  <si>
    <t>C31110</t>
  </si>
  <si>
    <t>선박 건조업</t>
  </si>
  <si>
    <t>C29241</t>
  </si>
  <si>
    <t>토목공사 및 유사용 기계장비 제조업</t>
  </si>
  <si>
    <t>한국서부발전</t>
  </si>
  <si>
    <t>한국수력원자력</t>
  </si>
  <si>
    <t>D35111</t>
  </si>
  <si>
    <t>원자력 발전업</t>
  </si>
  <si>
    <t>C26410</t>
  </si>
  <si>
    <t>유선 통신장비 제조업</t>
  </si>
  <si>
    <t>J59201</t>
  </si>
  <si>
    <t>영상·오디오 기록물 제작 및 배급업</t>
  </si>
  <si>
    <t>음악 및 기타 오디오물 출판업</t>
  </si>
  <si>
    <t>D33214</t>
  </si>
  <si>
    <t>물질 검사.측정 및 분석기구 제조업</t>
  </si>
  <si>
    <t>D31109</t>
  </si>
  <si>
    <t>기타 발전기 및 전기변환장치 제조업</t>
  </si>
  <si>
    <t>신한지주</t>
  </si>
  <si>
    <t>K64992</t>
  </si>
  <si>
    <t>금융지주회사</t>
  </si>
  <si>
    <t>D30011</t>
  </si>
  <si>
    <t>컴퓨터 제조업</t>
  </si>
  <si>
    <t>D29150</t>
  </si>
  <si>
    <t>산업용 오븐, 노 및 노용 버너 제조업</t>
  </si>
  <si>
    <t>한국남부발전</t>
  </si>
  <si>
    <t>케이티스카이라이프</t>
  </si>
  <si>
    <t>J60229</t>
  </si>
  <si>
    <t>위성 및 기타 방송업</t>
  </si>
  <si>
    <t>R90221</t>
  </si>
  <si>
    <t>창작, 예술 및 여가관련 서비스업</t>
  </si>
  <si>
    <t>박물관 운영업</t>
  </si>
  <si>
    <t>E40300</t>
  </si>
  <si>
    <t>증기 및 온수 공급업</t>
  </si>
  <si>
    <t>H52913</t>
  </si>
  <si>
    <t>화물 자동차 터미널 운영업</t>
  </si>
  <si>
    <t>현대로템</t>
  </si>
  <si>
    <t>C31201</t>
  </si>
  <si>
    <t>기관차 및 기타 철도차량 제조업</t>
  </si>
  <si>
    <t>Q87220</t>
  </si>
  <si>
    <t>유선 및 위성 방송업</t>
  </si>
  <si>
    <t>D32195</t>
  </si>
  <si>
    <t>전자카드 제조업</t>
  </si>
  <si>
    <t>D28112</t>
  </si>
  <si>
    <t>구조용 금속판제품 및 금속공작물 제조업</t>
  </si>
  <si>
    <t>오성첨단소재</t>
  </si>
  <si>
    <t>C22212</t>
  </si>
  <si>
    <t>플라스틱 필름, 시트 및 판 제조업</t>
  </si>
  <si>
    <t>한국남동발전</t>
  </si>
  <si>
    <t>H49401</t>
  </si>
  <si>
    <t>택배업</t>
  </si>
  <si>
    <t>대우건설</t>
  </si>
  <si>
    <t>Q87120</t>
  </si>
  <si>
    <t>심신장애인 거주 복지시설 운영업</t>
  </si>
  <si>
    <t>한국동서발전</t>
  </si>
  <si>
    <t>D24212</t>
  </si>
  <si>
    <t>생물학적 제제 제조업</t>
  </si>
  <si>
    <t>한국중부발전</t>
  </si>
  <si>
    <t>포스코인터내셔널</t>
  </si>
  <si>
    <t>G47911</t>
  </si>
  <si>
    <t>전자상거래업</t>
  </si>
  <si>
    <t>현대삼호중공업</t>
  </si>
  <si>
    <t>LG전자</t>
  </si>
  <si>
    <t>J60222</t>
  </si>
  <si>
    <t>유선방송업</t>
  </si>
  <si>
    <t>G51331</t>
  </si>
  <si>
    <t>주류 도매업</t>
  </si>
  <si>
    <t>I63914</t>
  </si>
  <si>
    <t>도로 및 관련시설 운영업</t>
  </si>
  <si>
    <t>F46113</t>
  </si>
  <si>
    <t>포장 공사업</t>
  </si>
  <si>
    <t>현대글로비스</t>
  </si>
  <si>
    <t>I63991</t>
  </si>
  <si>
    <t>화물 운송 주선업</t>
  </si>
  <si>
    <t>C21102</t>
  </si>
  <si>
    <t>G52511</t>
  </si>
  <si>
    <t>대웅제약</t>
  </si>
  <si>
    <t>C21101</t>
  </si>
  <si>
    <t>의약용 화합물 및 항생물질 제조업</t>
  </si>
  <si>
    <t>K64201</t>
  </si>
  <si>
    <t>자산운용회사</t>
  </si>
  <si>
    <t>한국금융지주</t>
  </si>
  <si>
    <t>C26429</t>
  </si>
  <si>
    <t>기타 무선 통신장비 제조업</t>
  </si>
  <si>
    <t>F45124</t>
  </si>
  <si>
    <t>폐기물처리 및 오염방지시설 건설업</t>
  </si>
  <si>
    <t>D31994</t>
  </si>
  <si>
    <t>교통통제용 전기장치 제조업</t>
  </si>
  <si>
    <t>C23999</t>
  </si>
  <si>
    <t>그외 기타 분류안된 비금속 광물제품 제조업</t>
  </si>
  <si>
    <t>C25912</t>
  </si>
  <si>
    <t>금속단조제품 제조업</t>
  </si>
  <si>
    <t>D29394</t>
  </si>
  <si>
    <t>주형 및 금형 제조업</t>
  </si>
  <si>
    <t>C10110</t>
  </si>
  <si>
    <t>D29392</t>
  </si>
  <si>
    <t>고무, 화학섬유 및 플라스틱 성형기 제조업</t>
  </si>
  <si>
    <t>신영</t>
  </si>
  <si>
    <t>D34302</t>
  </si>
  <si>
    <t>M72201</t>
  </si>
  <si>
    <t>게임 소프트웨어 제작업</t>
  </si>
  <si>
    <t>가나안</t>
  </si>
  <si>
    <t>C15129</t>
  </si>
  <si>
    <t>가방 및 기타 보호용 케이스 제조업</t>
  </si>
  <si>
    <t>용진스테코</t>
  </si>
  <si>
    <t>G46721</t>
  </si>
  <si>
    <t>1차 금속제품 도매업</t>
  </si>
  <si>
    <t>시선인터내셔널</t>
  </si>
  <si>
    <t>C14112</t>
  </si>
  <si>
    <t>F41222</t>
  </si>
  <si>
    <t>교량, 터널 및 철도 건설업</t>
  </si>
  <si>
    <t>인천도시공사</t>
  </si>
  <si>
    <t>캠시스</t>
  </si>
  <si>
    <t>D20102</t>
  </si>
  <si>
    <t>표면가공 목재 및 특수 제재목 제조업</t>
  </si>
  <si>
    <t>D26122</t>
  </si>
  <si>
    <t>판유리가공품 제조업</t>
  </si>
  <si>
    <t>D29176</t>
  </si>
  <si>
    <t>증류기, 열교환기 및 가스발생기 제조업</t>
  </si>
  <si>
    <t>D29519</t>
  </si>
  <si>
    <t>기타 가정용 전기기기 제조업</t>
  </si>
  <si>
    <t>D29172</t>
  </si>
  <si>
    <t>D31101</t>
  </si>
  <si>
    <t>전동기 및 발전기 제조업</t>
  </si>
  <si>
    <t>D15496</t>
  </si>
  <si>
    <t>도시락 및 식사용 조리식품 제조업</t>
  </si>
  <si>
    <t>Q87221</t>
  </si>
  <si>
    <t>프로그램 공급업</t>
  </si>
  <si>
    <t>D15452</t>
  </si>
  <si>
    <t>장류 제조업</t>
  </si>
  <si>
    <t>O80911</t>
  </si>
  <si>
    <t>컴퓨터 학원</t>
  </si>
  <si>
    <t>M74329</t>
  </si>
  <si>
    <t>지역난방공사</t>
  </si>
  <si>
    <t>F42311</t>
  </si>
  <si>
    <t>일반전기 공사업</t>
  </si>
  <si>
    <t>G52811</t>
  </si>
  <si>
    <t>전자 상거래업</t>
  </si>
  <si>
    <t>CJ CGV</t>
  </si>
  <si>
    <t>J59141</t>
  </si>
  <si>
    <t>영화관 운영업</t>
  </si>
  <si>
    <t>F46114</t>
  </si>
  <si>
    <t>철도궤도 전문 공사업</t>
  </si>
  <si>
    <t>M72400</t>
  </si>
  <si>
    <t>데이터베이스 및 온라인 정보제공업</t>
  </si>
  <si>
    <t>한국주택금융공사</t>
  </si>
  <si>
    <t>H52914</t>
  </si>
  <si>
    <t>Q87223</t>
  </si>
  <si>
    <t>위성 방송업</t>
  </si>
  <si>
    <t>Q88331</t>
  </si>
  <si>
    <t>LIG넥스원</t>
  </si>
  <si>
    <t>C25200</t>
  </si>
  <si>
    <t>무기 및 총포탄 제조업</t>
  </si>
  <si>
    <t>GS</t>
  </si>
  <si>
    <t>N74100</t>
  </si>
  <si>
    <t>사업시설 관리 및 조경 서비스업</t>
  </si>
  <si>
    <t>사업시설 유지관리 서비스업</t>
  </si>
  <si>
    <t>D17999</t>
  </si>
  <si>
    <t>그외 기타 분류 안된 섬유제품 제조업</t>
  </si>
  <si>
    <t>지에스이앤알</t>
  </si>
  <si>
    <t>C10795</t>
  </si>
  <si>
    <t>인삼식품 제조업</t>
  </si>
  <si>
    <t>D29359</t>
  </si>
  <si>
    <t>기타 섬유, 의복 및 가죽생산용 기계제조업</t>
  </si>
  <si>
    <t>D24211</t>
  </si>
  <si>
    <t>D32196</t>
  </si>
  <si>
    <t>액정표시장치 제조업</t>
  </si>
  <si>
    <t>Q87222</t>
  </si>
  <si>
    <t>종합유선 및 기타 유선 방송업</t>
  </si>
  <si>
    <t>C27110</t>
  </si>
  <si>
    <t>방사선장치 및 전기식 진단기기 제조업</t>
  </si>
  <si>
    <t>I63929</t>
  </si>
  <si>
    <t>기타 수상 운송지원 서비스업</t>
  </si>
  <si>
    <t>서울주택도시공사</t>
  </si>
  <si>
    <t>L70112</t>
  </si>
  <si>
    <t>비 주거용 건물 임대업</t>
  </si>
  <si>
    <t>D28999</t>
  </si>
  <si>
    <t>그외 기타 조립금속제품 제조업</t>
  </si>
  <si>
    <t>C28119</t>
  </si>
  <si>
    <t>L70129</t>
  </si>
  <si>
    <t>기타 부동산 공급업</t>
  </si>
  <si>
    <t>J62022</t>
  </si>
  <si>
    <t>컴퓨터시설 관리업</t>
  </si>
  <si>
    <t>카카오</t>
  </si>
  <si>
    <t>L69110</t>
  </si>
  <si>
    <t>자동차 임대업</t>
  </si>
  <si>
    <t>제주개발센터</t>
  </si>
  <si>
    <t>한국철도공사</t>
  </si>
  <si>
    <t>H49100</t>
  </si>
  <si>
    <t>철도운송업</t>
  </si>
  <si>
    <t>G51473</t>
  </si>
  <si>
    <t>장난감 및 취미용품 도매업</t>
  </si>
  <si>
    <t>D26212</t>
  </si>
  <si>
    <t>위생용 도자기 제조업</t>
  </si>
  <si>
    <t>A01231</t>
  </si>
  <si>
    <t>농업</t>
  </si>
  <si>
    <t>양계업</t>
  </si>
  <si>
    <t>D32112</t>
  </si>
  <si>
    <t>넥슨</t>
  </si>
  <si>
    <t>J58211</t>
  </si>
  <si>
    <t>온라인·모바일 게임 소프트웨어 개발 및 공급업</t>
  </si>
  <si>
    <t>J64299</t>
  </si>
  <si>
    <t>D29360</t>
  </si>
  <si>
    <t>반도체 제조용 기계 제조업</t>
  </si>
  <si>
    <t>천일정기화물자동차</t>
  </si>
  <si>
    <t>롯데렌탈</t>
  </si>
  <si>
    <t>홈플러스</t>
  </si>
  <si>
    <t>G46712</t>
  </si>
  <si>
    <t>하나금융지주</t>
  </si>
  <si>
    <t>M75999</t>
  </si>
  <si>
    <t>삼보모터스</t>
  </si>
  <si>
    <t>D15133</t>
  </si>
  <si>
    <t>김치 및 유사 채소 절임식품 제조업</t>
  </si>
  <si>
    <t>G51893</t>
  </si>
  <si>
    <t>통신.경보 및 탐지용 장비 도매업</t>
  </si>
  <si>
    <t>NAVER</t>
  </si>
  <si>
    <t>네이버</t>
  </si>
  <si>
    <t>O84212</t>
  </si>
  <si>
    <t>공공행정, 국방 및 사회보장 행정</t>
  </si>
  <si>
    <t>문화 및 관광 행정</t>
  </si>
  <si>
    <t>C26329</t>
  </si>
  <si>
    <t>기타 주변기기 제조업</t>
  </si>
  <si>
    <t>D25292</t>
  </si>
  <si>
    <t>플라스틱 접착테이프 및 기타 표면도포제품 제조업</t>
  </si>
  <si>
    <t>경남개발공사</t>
  </si>
  <si>
    <t>부산교통공사</t>
  </si>
  <si>
    <t>AJ네트웍스</t>
  </si>
  <si>
    <t>L71220</t>
  </si>
  <si>
    <t>컴퓨터 및 사무용 기계장비 임대업</t>
  </si>
  <si>
    <t>자연과환경</t>
  </si>
  <si>
    <t>D26325</t>
  </si>
  <si>
    <t>맥쿼리인프라</t>
  </si>
  <si>
    <t>C10501</t>
  </si>
  <si>
    <t>액상시유 및 기타 낙농제품 제조업</t>
  </si>
  <si>
    <t>현대커머셜</t>
  </si>
  <si>
    <t>M73903</t>
  </si>
  <si>
    <t>사업 및 무형 재산권 중개업</t>
  </si>
  <si>
    <t>C22299</t>
  </si>
  <si>
    <t>그외 기타 플라스틱 제품 제조업</t>
  </si>
  <si>
    <t>F46112</t>
  </si>
  <si>
    <t>토 공사업</t>
  </si>
  <si>
    <t>SK이노베이션</t>
  </si>
  <si>
    <t>C24121</t>
  </si>
  <si>
    <t>열간 압연 및 압출 제품 제조업</t>
  </si>
  <si>
    <t>C31114</t>
  </si>
  <si>
    <t>CJ제일제당</t>
  </si>
  <si>
    <t>C10720</t>
  </si>
  <si>
    <t>설탕 제조업</t>
  </si>
  <si>
    <t>경상북도개발공사</t>
  </si>
  <si>
    <t>M72112</t>
  </si>
  <si>
    <t>도시계획 및 조경설계 서비스업</t>
  </si>
  <si>
    <t>대륜이엔에스</t>
  </si>
  <si>
    <t>해태제과식품</t>
  </si>
  <si>
    <t>전남개발공사</t>
  </si>
  <si>
    <t>세아홀딩스</t>
  </si>
  <si>
    <t>C27321</t>
  </si>
  <si>
    <t>광학렌즈 및 광학요소 제조업</t>
  </si>
  <si>
    <t>충북개발공사</t>
  </si>
  <si>
    <t>D29395</t>
  </si>
  <si>
    <t>산업용 로봇 제조업</t>
  </si>
  <si>
    <t>D28113</t>
  </si>
  <si>
    <t>부산항만공사</t>
  </si>
  <si>
    <t>J58190</t>
  </si>
  <si>
    <t>기타 인쇄물 출판업</t>
  </si>
  <si>
    <t>엔씨소프트</t>
  </si>
  <si>
    <t>G46791</t>
  </si>
  <si>
    <t>재생용 재료 수집 및 판매업</t>
  </si>
  <si>
    <t>C28121</t>
  </si>
  <si>
    <t>전기회로 개폐, 보호 및 접속 장치 제조업</t>
  </si>
  <si>
    <t>J60221</t>
  </si>
  <si>
    <t>D32190</t>
  </si>
  <si>
    <t>기타 전자부품 제조업</t>
  </si>
  <si>
    <t>케이피엠테크</t>
  </si>
  <si>
    <t>C20499</t>
  </si>
  <si>
    <t>M73909</t>
  </si>
  <si>
    <t>그외 기타 분류안된 전문, 과학 및 기술 서비스업</t>
  </si>
  <si>
    <t>J58221</t>
  </si>
  <si>
    <t>시스템  소프트웨어 개발 및 공급업</t>
  </si>
  <si>
    <t>C30110</t>
  </si>
  <si>
    <t>자동차용 엔진 제조업</t>
  </si>
  <si>
    <t>C29271</t>
  </si>
  <si>
    <t>D31102</t>
  </si>
  <si>
    <t>C29299</t>
  </si>
  <si>
    <t>그외 기타 특수목적용 기계 제조업</t>
  </si>
  <si>
    <t>C33401</t>
  </si>
  <si>
    <t>기타 제품 제조업</t>
  </si>
  <si>
    <t>인형 및 장난감 제조업</t>
  </si>
  <si>
    <t>하나마이크론</t>
  </si>
  <si>
    <t>C23129</t>
  </si>
  <si>
    <t>H49220</t>
  </si>
  <si>
    <t>시외버스 운송업</t>
  </si>
  <si>
    <t>LF</t>
  </si>
  <si>
    <t>D24129</t>
  </si>
  <si>
    <t>기타 기초 무기화합물 제조업</t>
  </si>
  <si>
    <t>JW홀딩스</t>
  </si>
  <si>
    <t>H52942</t>
  </si>
  <si>
    <t>수상 화물 취급업</t>
  </si>
  <si>
    <t>한국산업단지공단</t>
  </si>
  <si>
    <t>L68212</t>
  </si>
  <si>
    <t>비주거용 부동산 관리업</t>
  </si>
  <si>
    <t>대신에프앤아이</t>
  </si>
  <si>
    <t>K64122</t>
  </si>
  <si>
    <t>외국은행</t>
  </si>
  <si>
    <t>충청남도개발공사</t>
  </si>
  <si>
    <t>씨제이푸드빌</t>
  </si>
  <si>
    <t>C26422</t>
  </si>
  <si>
    <t>이동전화기 제조업</t>
  </si>
  <si>
    <t>쌍방울</t>
  </si>
  <si>
    <t>풍산</t>
  </si>
  <si>
    <t>C24221</t>
  </si>
  <si>
    <t>엘에스전선</t>
  </si>
  <si>
    <t>엘에스엠트론</t>
  </si>
  <si>
    <t>K65931</t>
  </si>
  <si>
    <t>투자 신탁회사</t>
  </si>
  <si>
    <t>일진전기</t>
  </si>
  <si>
    <t>풀무원식품</t>
  </si>
  <si>
    <t>C11113</t>
  </si>
  <si>
    <t>맥아 및 맥주 제조업</t>
  </si>
  <si>
    <t>엔에이치농협캐피탈</t>
  </si>
  <si>
    <t>IBK투자증권</t>
  </si>
  <si>
    <t>F46321</t>
  </si>
  <si>
    <t>KB금융</t>
  </si>
  <si>
    <t>울산도시공사</t>
  </si>
  <si>
    <t>J58111</t>
  </si>
  <si>
    <t>교과서 및 학습서적 출판업</t>
  </si>
  <si>
    <t>에스와이</t>
  </si>
  <si>
    <t>C25112</t>
  </si>
  <si>
    <t>C22223</t>
  </si>
  <si>
    <t>플라스틱 창호 제조업</t>
  </si>
  <si>
    <t>인천항만공사</t>
  </si>
  <si>
    <t>I63915</t>
  </si>
  <si>
    <t>주차장 운영업</t>
  </si>
  <si>
    <t>C23312</t>
  </si>
  <si>
    <t>석회 및 플라스터 제조업</t>
  </si>
  <si>
    <t>G46441</t>
  </si>
  <si>
    <t>의약품 도매업</t>
  </si>
  <si>
    <t>G46594</t>
  </si>
  <si>
    <t>G46419</t>
  </si>
  <si>
    <t>기타 가정용 섬유 및 직물제품 도매업</t>
  </si>
  <si>
    <t>K64910</t>
  </si>
  <si>
    <t>여신금융업</t>
  </si>
  <si>
    <t>K66199</t>
  </si>
  <si>
    <t>그외 기타 금융지원 서비스업</t>
  </si>
  <si>
    <t>C20119</t>
  </si>
  <si>
    <t>기타 기초유기화학물질 제조업</t>
  </si>
  <si>
    <t>동원파이프</t>
  </si>
  <si>
    <t>G46522</t>
  </si>
  <si>
    <t>통신장비 및 부품 도매업</t>
  </si>
  <si>
    <t>G46739</t>
  </si>
  <si>
    <t>기타 화학물질 및 화학제품 도매업</t>
  </si>
  <si>
    <t>G46413</t>
  </si>
  <si>
    <t>애드스테인리스</t>
  </si>
  <si>
    <t>C24191</t>
  </si>
  <si>
    <t>도금, 착색 및 기타 표면처리강재 제조업</t>
  </si>
  <si>
    <t>케이씨</t>
  </si>
  <si>
    <t>기보스틸</t>
  </si>
  <si>
    <t>C24199</t>
  </si>
  <si>
    <t>그외 기타 1차 철강 제조업</t>
  </si>
  <si>
    <t>체리부로</t>
  </si>
  <si>
    <t>C19221</t>
  </si>
  <si>
    <t>윤활유 및 그리스 제조업</t>
  </si>
  <si>
    <t>한국토지주택공사</t>
  </si>
  <si>
    <t>S95122</t>
  </si>
  <si>
    <t>수리업</t>
  </si>
  <si>
    <t>통신장비 수리업</t>
  </si>
  <si>
    <t>F42492</t>
  </si>
  <si>
    <t>건물용 금속공작물 설치 공사업</t>
  </si>
  <si>
    <t>휴맥스</t>
  </si>
  <si>
    <t>C26519</t>
  </si>
  <si>
    <t>비디오 및 기타 영상기기 제조업</t>
  </si>
  <si>
    <t>성호기업</t>
  </si>
  <si>
    <t>E38301</t>
  </si>
  <si>
    <t>폐기물 수집운반, 처리 및 원료재생업</t>
  </si>
  <si>
    <t>금속원료 재생업</t>
  </si>
  <si>
    <t>G46592</t>
  </si>
  <si>
    <t>의료, 정밀 및 과학기기 도매업</t>
  </si>
  <si>
    <t>평택도시공사</t>
  </si>
  <si>
    <t>코오롱인더</t>
  </si>
  <si>
    <t>L68222</t>
  </si>
  <si>
    <t>부동산 감정평가업</t>
  </si>
  <si>
    <t>G46493</t>
  </si>
  <si>
    <t>사진장비 및 광학용품 도매업</t>
  </si>
  <si>
    <t>N75991</t>
  </si>
  <si>
    <t>콜센터 및 텔레마케팅 서비스업</t>
  </si>
  <si>
    <t>신성약품</t>
  </si>
  <si>
    <t>뉴로스</t>
  </si>
  <si>
    <t>C29173</t>
  </si>
  <si>
    <t>산업용 송풍기 및 배기장치 제조업</t>
  </si>
  <si>
    <t>팜한농</t>
  </si>
  <si>
    <t>M72919</t>
  </si>
  <si>
    <t>기타 기술 시험, 검사 및 분석업</t>
  </si>
  <si>
    <t>평택에너지서비스</t>
  </si>
  <si>
    <t>용인도시공사</t>
  </si>
  <si>
    <t>대성산업</t>
  </si>
  <si>
    <t>한미약품</t>
  </si>
  <si>
    <t>엠에스오토텍</t>
  </si>
  <si>
    <t>연합자산관리</t>
  </si>
  <si>
    <t>부영</t>
  </si>
  <si>
    <t>알씨아이파이낸셜</t>
  </si>
  <si>
    <t>일신건영</t>
  </si>
  <si>
    <t>M72122</t>
  </si>
  <si>
    <t>환경컨설팅 및 관련 엔지니어링 서비스업</t>
  </si>
  <si>
    <t>SK에너지</t>
  </si>
  <si>
    <t>N75320</t>
  </si>
  <si>
    <t>보안시스템 서비스업</t>
  </si>
  <si>
    <t>케이비카드</t>
  </si>
  <si>
    <t>BNK금융지주</t>
  </si>
  <si>
    <t>한국자산신탁</t>
  </si>
  <si>
    <t>아주스틸</t>
  </si>
  <si>
    <t>이마트</t>
  </si>
  <si>
    <t>유니트론텍</t>
  </si>
  <si>
    <t>DGB금융지주</t>
  </si>
  <si>
    <t>메리츠금융지주</t>
  </si>
  <si>
    <t>비엔케이캐피탈</t>
  </si>
  <si>
    <t>I56220</t>
  </si>
  <si>
    <t>비알콜 음료점업</t>
  </si>
  <si>
    <t>이랜드파크</t>
  </si>
  <si>
    <t>수협은행</t>
  </si>
  <si>
    <t>하이호경금속</t>
  </si>
  <si>
    <t>C25941</t>
  </si>
  <si>
    <t>H52919</t>
  </si>
  <si>
    <t>기타 육상 운송지원 서비스업</t>
  </si>
  <si>
    <t>삼양사</t>
  </si>
  <si>
    <t>지에스에너지</t>
  </si>
  <si>
    <t>C23122</t>
  </si>
  <si>
    <t>판유리 가공품 제조업</t>
  </si>
  <si>
    <t>L68211</t>
  </si>
  <si>
    <t>주거용 부동산 관리업</t>
  </si>
  <si>
    <t>오일허브코리아여수</t>
  </si>
  <si>
    <t>H52104</t>
  </si>
  <si>
    <t>위험물품 보관업</t>
  </si>
  <si>
    <t>농협은행</t>
  </si>
  <si>
    <t>한화에너지</t>
  </si>
  <si>
    <t>K66122</t>
  </si>
  <si>
    <t>선물 중개업</t>
  </si>
  <si>
    <t>G47813</t>
  </si>
  <si>
    <t>화장품 및 방향제 소매업</t>
  </si>
  <si>
    <t>농협금융지주</t>
  </si>
  <si>
    <t>SK디앤디</t>
  </si>
  <si>
    <t>L68122</t>
  </si>
  <si>
    <t>비주거용 건물 개발 및 공급업</t>
  </si>
  <si>
    <t>G45110</t>
  </si>
  <si>
    <t>자동차 및 부품 판매업</t>
  </si>
  <si>
    <t>한국타이어앤테크놀로지</t>
  </si>
  <si>
    <t>벤츠파이낸셜서비스</t>
  </si>
  <si>
    <t>한국콜마</t>
  </si>
  <si>
    <t>대전천변고속도로</t>
  </si>
  <si>
    <t>신세계센트럴시티</t>
  </si>
  <si>
    <t>메리츠캐피탈</t>
  </si>
  <si>
    <t>울산항만공사</t>
  </si>
  <si>
    <t>(주)삼우</t>
  </si>
  <si>
    <t>농협네트웍스</t>
  </si>
  <si>
    <t>동원건설산업</t>
  </si>
  <si>
    <t>동아에스티</t>
  </si>
  <si>
    <t>우리카드</t>
  </si>
  <si>
    <t>F42131</t>
  </si>
  <si>
    <t>DGB캐피탈</t>
  </si>
  <si>
    <t>JB금융지주</t>
  </si>
  <si>
    <t>에스케이인천석유화학</t>
  </si>
  <si>
    <t>한진칼</t>
  </si>
  <si>
    <t>천경해운</t>
  </si>
  <si>
    <t>현대종합특수강</t>
  </si>
  <si>
    <t>C24123</t>
  </si>
  <si>
    <t>엔브이에이치코리아</t>
  </si>
  <si>
    <t>엘에스아이앤디</t>
  </si>
  <si>
    <t>G47312</t>
  </si>
  <si>
    <t>통신기기 소매업</t>
  </si>
  <si>
    <t>경남은행</t>
  </si>
  <si>
    <t>광주은행</t>
  </si>
  <si>
    <t>F42201</t>
  </si>
  <si>
    <t>배관 및 냉·난방 공사업</t>
  </si>
  <si>
    <t>폭스바겐파이낸셜</t>
  </si>
  <si>
    <t>에스앤지컨설턴트</t>
  </si>
  <si>
    <t>하나카드</t>
  </si>
  <si>
    <t>삼성바이오로직스</t>
  </si>
  <si>
    <t>보령엘엔지터미널</t>
  </si>
  <si>
    <t>미래에셋자산운용</t>
  </si>
  <si>
    <t>한국투자캐피탈</t>
  </si>
  <si>
    <t>한솔제지</t>
  </si>
  <si>
    <t>파주에너지서비스 주식회사</t>
  </si>
  <si>
    <t>주택금융공사MBS2015-10(1-6)</t>
  </si>
  <si>
    <t>주택금융공사MBS2015-10(1-7)</t>
  </si>
  <si>
    <t>주택금융공사MBS2015-10(1-9)</t>
  </si>
  <si>
    <t>주택금융공사MBS2015-12(1-6)</t>
  </si>
  <si>
    <t>주택금융공사MBS2015-12(1-7)</t>
  </si>
  <si>
    <t>주택금융공사MBS2015-12(1-8)</t>
  </si>
  <si>
    <t>주택금융공사MBS2015-13(1-6)</t>
  </si>
  <si>
    <t>주택금융공사MBS2015-13(1-7)</t>
  </si>
  <si>
    <t>주택금융공사MBS2015-13(1-8)</t>
  </si>
  <si>
    <t>주택금융공사MBS2015-14(1-6)</t>
  </si>
  <si>
    <t>주택금융공사MBS2015-14(1-7)</t>
  </si>
  <si>
    <t>주택금융공사MBS2015-14(1-8)</t>
  </si>
  <si>
    <t>주택금융공사MBS2015-15(1-6)</t>
  </si>
  <si>
    <t>주택금융공사MBS2015-15(1-7)</t>
  </si>
  <si>
    <t>주택금융공사MBS2015-15(1-8)</t>
  </si>
  <si>
    <t>주택금융공사MBS2015-16(1-6)</t>
  </si>
  <si>
    <t>주택금융공사MBS2015-16(1-7)</t>
  </si>
  <si>
    <t>주택금융공사MBS2015-16(1-8)</t>
  </si>
  <si>
    <t>주택금융공사MBS2015-17(1-6)</t>
  </si>
  <si>
    <t>주택금융공사MBS2015-17(1-7)</t>
  </si>
  <si>
    <t>주택금융공사MBS2015-17(1-8)</t>
  </si>
  <si>
    <t>주택금융공사MBS2015-18(1-6)</t>
  </si>
  <si>
    <t>주택금융공사MBS2015-18(1-7)</t>
  </si>
  <si>
    <t>주택금융공사MBS2015-18(1-8)</t>
  </si>
  <si>
    <t>주택금융공사MBS2015-19(1-1)</t>
  </si>
  <si>
    <t>주택금융공사MBS2015-20(1-6)</t>
  </si>
  <si>
    <t>주택금융공사MBS2015-20(1-7)</t>
  </si>
  <si>
    <t>주택금융공사MBS2015-20(1-8)</t>
  </si>
  <si>
    <t>주택금융공사MBS2015-21(1-6)</t>
  </si>
  <si>
    <t>주택금융공사MBS2015-21(1-7)</t>
  </si>
  <si>
    <t>주택금융공사MBS2015-21(1-8)</t>
  </si>
  <si>
    <t>주택금융공사MBS2015-22(1-6)</t>
  </si>
  <si>
    <t>주택금융공사MBS2015-22(1-7)</t>
  </si>
  <si>
    <t>주택금융공사MBS2015-22(1-8)</t>
  </si>
  <si>
    <t>주택금융공사MBS2015-23(1-6)</t>
  </si>
  <si>
    <t>주택금융공사MBS2015-23(1-7)</t>
  </si>
  <si>
    <t>주택금융공사MBS2015-23(1-8)</t>
  </si>
  <si>
    <t>주택금융공사MBS2015-24(1-6)</t>
  </si>
  <si>
    <t>주택금융공사MBS2015-24(1-7)</t>
  </si>
  <si>
    <t>주택금융공사MBS2015-24(1-8)</t>
  </si>
  <si>
    <t>주택금융공사MBS2015-25(1-6)</t>
  </si>
  <si>
    <t>주택금융공사MBS2015-25(1-7)</t>
  </si>
  <si>
    <t>주택금융공사MBS2015-25(1-8)</t>
  </si>
  <si>
    <t>주택금융공사MBS2015-26(1-6)</t>
  </si>
  <si>
    <t>주택금융공사MBS2015-26(1-7)</t>
  </si>
  <si>
    <t>주택금융공사MBS2015-26(1-8)</t>
  </si>
  <si>
    <t>주택금융공사MBS2015-27(1-6)</t>
  </si>
  <si>
    <t>주택금융공사MBS2015-27(1-7)</t>
  </si>
  <si>
    <t>주택금융공사MBS2015-27(1-8)</t>
  </si>
  <si>
    <t>에스알</t>
  </si>
  <si>
    <t>인천교통공사</t>
  </si>
  <si>
    <t>G47711</t>
  </si>
  <si>
    <t>차량용 주유소 운영업</t>
  </si>
  <si>
    <t>현대케미칼</t>
  </si>
  <si>
    <t>C28122</t>
  </si>
  <si>
    <t>매일유업</t>
  </si>
  <si>
    <t>SKC하이테크앤마케팅</t>
  </si>
  <si>
    <t>C28520</t>
  </si>
  <si>
    <t>가정용 비전기식 조리 및 난방 기구 제조업</t>
  </si>
  <si>
    <t>한화시스템</t>
  </si>
  <si>
    <t>용산</t>
  </si>
  <si>
    <t>SK케미칼</t>
  </si>
  <si>
    <t>메가박스</t>
  </si>
  <si>
    <t>이지스자산운용</t>
  </si>
  <si>
    <t>C28511</t>
  </si>
  <si>
    <t>주방용 전기기기 제조업</t>
  </si>
  <si>
    <t>예스코</t>
  </si>
  <si>
    <t>금호에이치티</t>
  </si>
  <si>
    <t>효성화학</t>
  </si>
  <si>
    <t>효성중공업</t>
  </si>
  <si>
    <t>효성첨단소재</t>
  </si>
  <si>
    <t>삼양패키징</t>
  </si>
  <si>
    <t>한일시멘트</t>
  </si>
  <si>
    <t>한국해양진흥공사</t>
  </si>
  <si>
    <t>김해시도시개발공사</t>
  </si>
  <si>
    <t>신세계프라퍼티</t>
  </si>
  <si>
    <t>대흥알앤티</t>
  </si>
  <si>
    <t>A0001</t>
  </si>
  <si>
    <t>신한은행(COCO/후)</t>
  </si>
  <si>
    <t>A0054</t>
  </si>
  <si>
    <t>흥국화재(HYBRID/후)</t>
  </si>
  <si>
    <t>A0145</t>
  </si>
  <si>
    <t>현대해상화재보험(후)</t>
  </si>
  <si>
    <t>A0494</t>
  </si>
  <si>
    <t>하나은행(구 외환)(HYBRID/후후)</t>
  </si>
  <si>
    <t>A0495</t>
  </si>
  <si>
    <t>농협금융지주(COCO/후)</t>
  </si>
  <si>
    <t>A0527</t>
  </si>
  <si>
    <t>대구은행(HYBRID/후후)</t>
  </si>
  <si>
    <t>A0528</t>
  </si>
  <si>
    <t>부산은행(COCO/후)</t>
  </si>
  <si>
    <t>A0530</t>
  </si>
  <si>
    <t>롯데칠성음료(롯데지주연대보증)</t>
  </si>
  <si>
    <t>A0549</t>
  </si>
  <si>
    <t>포스코(HYBRID/후후)</t>
  </si>
  <si>
    <t>A0622</t>
  </si>
  <si>
    <t>제주은행(COCO/후)</t>
  </si>
  <si>
    <t>A0635</t>
  </si>
  <si>
    <t>전북은행(COCO/후)</t>
  </si>
  <si>
    <t>A1108</t>
  </si>
  <si>
    <t>뉴스테이허브제1호(KHUG보증)</t>
  </si>
  <si>
    <t>L68111</t>
  </si>
  <si>
    <t>주거용 건물 임대업</t>
  </si>
  <si>
    <t>A1534</t>
  </si>
  <si>
    <t>메리츠캐피탈(권면보증)</t>
  </si>
  <si>
    <t>A1767</t>
  </si>
  <si>
    <t>SK텔레콤(HYBRID/후후)</t>
  </si>
  <si>
    <t>A1987</t>
  </si>
  <si>
    <t>현대커머셜(HYBRID/후후)</t>
  </si>
  <si>
    <t>A2411</t>
  </si>
  <si>
    <t>중소기업은행(COCO/후)</t>
  </si>
  <si>
    <t>A2561</t>
  </si>
  <si>
    <t>토지지원리츠1호위탁(권면보증)</t>
  </si>
  <si>
    <t>L68221</t>
  </si>
  <si>
    <t>부동산 자문 및 중개업</t>
  </si>
  <si>
    <t>A2896</t>
  </si>
  <si>
    <t>에스케이씨솔믹스(SKC보증)</t>
  </si>
  <si>
    <t>A2953</t>
  </si>
  <si>
    <t>JB금융지주(COCO/후후)</t>
  </si>
  <si>
    <t>A3094</t>
  </si>
  <si>
    <t>동원팜스(동원엔터권면보증)</t>
  </si>
  <si>
    <t>A3430</t>
  </si>
  <si>
    <t>한국수출입은행(COCO/후)</t>
  </si>
  <si>
    <t>A3481</t>
  </si>
  <si>
    <t>한화생명(HYBRID/후후)</t>
  </si>
  <si>
    <t>A3923</t>
  </si>
  <si>
    <t>서울신문사(담보)</t>
  </si>
  <si>
    <t>A3938</t>
  </si>
  <si>
    <t>예금보험공사(무보증)</t>
  </si>
  <si>
    <t>A3986</t>
  </si>
  <si>
    <t>KB금융(COCO/후후)</t>
  </si>
  <si>
    <t>A4217</t>
  </si>
  <si>
    <t>롯데제과(롯데지주연대보증)</t>
  </si>
  <si>
    <t>A6217</t>
  </si>
  <si>
    <t>효성첨단소재(효성연대보증)</t>
  </si>
  <si>
    <t>A6432</t>
  </si>
  <si>
    <t>한국남동발전(HYBRID/후후)</t>
  </si>
  <si>
    <t>A6710</t>
  </si>
  <si>
    <t>위례에너지서비스(권면보증)</t>
  </si>
  <si>
    <t>A6860</t>
  </si>
  <si>
    <t>한국투자캐피탈(지급보증)</t>
  </si>
  <si>
    <t>A7315</t>
  </si>
  <si>
    <t>파주에너지서비스(SK이엔에스)</t>
  </si>
  <si>
    <t>G47999</t>
  </si>
  <si>
    <t>그외 기타 무점포 소매업</t>
  </si>
  <si>
    <t>A7850</t>
  </si>
  <si>
    <t>노무라인터내셔날펀딩PTE(보증)</t>
  </si>
  <si>
    <t>A8519</t>
  </si>
  <si>
    <t>BNK금융지주(COCO/후후)</t>
  </si>
  <si>
    <t>A8796</t>
  </si>
  <si>
    <t>DGB금융지주(COCO/후후)</t>
  </si>
  <si>
    <t>A9084</t>
  </si>
  <si>
    <t>오릭스캐피탈코리아(ORIX보증)</t>
  </si>
  <si>
    <t>A9327</t>
  </si>
  <si>
    <t>수협은행(HYBRID/후후)</t>
  </si>
  <si>
    <t>H55221</t>
  </si>
  <si>
    <t>피자, 햄버거 및 치킨 전문점</t>
  </si>
  <si>
    <t>A9845</t>
  </si>
  <si>
    <t>농협은행(COCO/후)</t>
  </si>
  <si>
    <t>B0001</t>
  </si>
  <si>
    <t>신한은행(HYBRID/후후)</t>
  </si>
  <si>
    <t>B0040</t>
  </si>
  <si>
    <t>롯데손해보험(HYBRID/후후)</t>
  </si>
  <si>
    <t>B0145</t>
  </si>
  <si>
    <t>현대해상화재보험(HYBRID/후)</t>
  </si>
  <si>
    <t>B0494</t>
  </si>
  <si>
    <t>하나은행(구 외환)(COCO/후)</t>
  </si>
  <si>
    <t>B0527</t>
  </si>
  <si>
    <t>대구은행(COCO/후)</t>
  </si>
  <si>
    <t>B0528</t>
  </si>
  <si>
    <t>부산은행(HYBRID/후후)</t>
  </si>
  <si>
    <t>B0622</t>
  </si>
  <si>
    <t>제주은행(COCO/후후)</t>
  </si>
  <si>
    <t>B1118</t>
  </si>
  <si>
    <t>하나금융지주(COCO/후후)</t>
  </si>
  <si>
    <t>B1369</t>
  </si>
  <si>
    <t>이랜드리테일(자산관리공사보증)</t>
  </si>
  <si>
    <t>B2313</t>
  </si>
  <si>
    <t>국민은행(COCO/후)</t>
  </si>
  <si>
    <t>B2353</t>
  </si>
  <si>
    <t>롯데쇼핑(롯데지주연대보증)</t>
  </si>
  <si>
    <t>B2411</t>
  </si>
  <si>
    <t>중소기업은행(HYBRID/후후)</t>
  </si>
  <si>
    <t>B3401</t>
  </si>
  <si>
    <t>한국산업은행(COCO/후)</t>
  </si>
  <si>
    <t>B5405</t>
  </si>
  <si>
    <t>경남은행(COCO/후)</t>
  </si>
  <si>
    <t>B5406</t>
  </si>
  <si>
    <t>광주은행(COCO/후)</t>
  </si>
  <si>
    <t>B5773</t>
  </si>
  <si>
    <t>신한금융지주회사(COCO/후후)</t>
  </si>
  <si>
    <t>B7445</t>
  </si>
  <si>
    <t>팜한농(LG화학권면보증)</t>
  </si>
  <si>
    <t>B9327</t>
  </si>
  <si>
    <t>수협은행(COCO/후후)</t>
  </si>
  <si>
    <t>B9845</t>
  </si>
  <si>
    <t>농협은행(HYBRID/후후)</t>
  </si>
  <si>
    <t>C0001</t>
  </si>
  <si>
    <t>신한은행(COCO/후후)</t>
  </si>
  <si>
    <t>C0527</t>
  </si>
  <si>
    <t>대구은행(COCO/후후)</t>
  </si>
  <si>
    <t>C0528</t>
  </si>
  <si>
    <t>부산은행(COCO/후후)</t>
  </si>
  <si>
    <t>C2411</t>
  </si>
  <si>
    <t>중소기업은행(COCO/후후)</t>
  </si>
  <si>
    <t>C3946</t>
  </si>
  <si>
    <t>우리은행(COCO/후후)</t>
  </si>
  <si>
    <t>C5405</t>
  </si>
  <si>
    <t>경남은행(HYBRID/후후)</t>
  </si>
  <si>
    <t>C5406</t>
  </si>
  <si>
    <t>광주은행(HYBRID/후후)</t>
  </si>
  <si>
    <t>D2411</t>
  </si>
  <si>
    <t>DGB캐피탈(DGB금융지주권면보증)</t>
  </si>
  <si>
    <t>D3946</t>
  </si>
  <si>
    <t>우리은행(HYBRID/후후)</t>
  </si>
  <si>
    <t>D5405</t>
  </si>
  <si>
    <t>경남은행(COCO/후후)</t>
  </si>
  <si>
    <t>E3946</t>
  </si>
  <si>
    <t>우리은행(COCO/후)</t>
  </si>
  <si>
    <t>H0037</t>
  </si>
  <si>
    <t>한화손해보험(HYBRID/후후)</t>
  </si>
  <si>
    <t>H3574</t>
  </si>
  <si>
    <t>흥국생명보험(후후)</t>
  </si>
  <si>
    <t>S0001</t>
  </si>
  <si>
    <t>신한은행(후)</t>
  </si>
  <si>
    <t>S0006</t>
  </si>
  <si>
    <t>메리츠화재해상보험(후)</t>
  </si>
  <si>
    <t>S0037</t>
  </si>
  <si>
    <t>한화손해보험(후)</t>
  </si>
  <si>
    <t>S0040</t>
  </si>
  <si>
    <t>롯데손해보험(후)</t>
  </si>
  <si>
    <t>S0054</t>
  </si>
  <si>
    <t>흥국화재해상보험(후)</t>
  </si>
  <si>
    <t>S0150</t>
  </si>
  <si>
    <t>HMC투자증권(후)</t>
  </si>
  <si>
    <t>S0151</t>
  </si>
  <si>
    <t>SK증권(후)</t>
  </si>
  <si>
    <t>S0286</t>
  </si>
  <si>
    <t>하나은행(후)</t>
  </si>
  <si>
    <t>S0354</t>
  </si>
  <si>
    <t>대신증권(후)</t>
  </si>
  <si>
    <t>S0494</t>
  </si>
  <si>
    <t>하나은행(구 외환)(후)</t>
  </si>
  <si>
    <t>S0527</t>
  </si>
  <si>
    <t>대구은행(후)</t>
  </si>
  <si>
    <t>S0528</t>
  </si>
  <si>
    <t>부산은행(후)</t>
  </si>
  <si>
    <t>S0583</t>
  </si>
  <si>
    <t>동부화재해상보험(후)</t>
  </si>
  <si>
    <t>S0680</t>
  </si>
  <si>
    <t>미래에셋대우(구 대우증권)(후)</t>
  </si>
  <si>
    <t>S0856</t>
  </si>
  <si>
    <t>메리츠종합금융증권(후)</t>
  </si>
  <si>
    <t>S0867</t>
  </si>
  <si>
    <t>신한금융투자(후)</t>
  </si>
  <si>
    <t>S1369</t>
  </si>
  <si>
    <t>농협손해보험(후)</t>
  </si>
  <si>
    <t>S2313</t>
  </si>
  <si>
    <t>국민은행(후)</t>
  </si>
  <si>
    <t>S3021</t>
  </si>
  <si>
    <t>케이티비투자증권(후)</t>
  </si>
  <si>
    <t>S3075</t>
  </si>
  <si>
    <t>하나금융투자(구 하나대투)(후)</t>
  </si>
  <si>
    <t>S3491</t>
  </si>
  <si>
    <t>동양생명보험(후)</t>
  </si>
  <si>
    <t>S3523</t>
  </si>
  <si>
    <t>수협중앙회(후)</t>
  </si>
  <si>
    <t>S3574</t>
  </si>
  <si>
    <t>흥국생명보험(후)</t>
  </si>
  <si>
    <t>S3577</t>
  </si>
  <si>
    <t>S3579</t>
  </si>
  <si>
    <t>케이디비생명보험(후)</t>
  </si>
  <si>
    <t>S3776</t>
  </si>
  <si>
    <t>한국가스공사(후)</t>
  </si>
  <si>
    <t>S3946</t>
  </si>
  <si>
    <t>우리은행(후)</t>
  </si>
  <si>
    <t>S5406</t>
  </si>
  <si>
    <t>광주은행(후)</t>
  </si>
  <si>
    <t>S9844</t>
  </si>
  <si>
    <t>농협생명보험(후)</t>
  </si>
  <si>
    <t>S9845</t>
  </si>
  <si>
    <t>농협은행(후)</t>
  </si>
  <si>
    <t>00001</t>
  </si>
  <si>
    <t>00004</t>
  </si>
  <si>
    <t>00007</t>
  </si>
  <si>
    <t>00008</t>
  </si>
  <si>
    <t>00011</t>
  </si>
  <si>
    <t>00012</t>
  </si>
  <si>
    <t>00014</t>
  </si>
  <si>
    <t>00015</t>
  </si>
  <si>
    <t>00021</t>
  </si>
  <si>
    <t>00027</t>
  </si>
  <si>
    <t>00030</t>
  </si>
  <si>
    <t>00039</t>
  </si>
  <si>
    <t>00050</t>
  </si>
  <si>
    <t>00064</t>
  </si>
  <si>
    <t>00068</t>
  </si>
  <si>
    <t>00072</t>
  </si>
  <si>
    <t>00082</t>
  </si>
  <si>
    <t>00088</t>
  </si>
  <si>
    <t>00102</t>
  </si>
  <si>
    <t>00104</t>
  </si>
  <si>
    <t>00106</t>
  </si>
  <si>
    <t>00107</t>
  </si>
  <si>
    <t>00112</t>
  </si>
  <si>
    <t>00120</t>
  </si>
  <si>
    <t>00121</t>
  </si>
  <si>
    <t>00125</t>
  </si>
  <si>
    <t>00150</t>
  </si>
  <si>
    <t>00151</t>
  </si>
  <si>
    <t>00157</t>
  </si>
  <si>
    <t>00162</t>
  </si>
  <si>
    <t>00163</t>
  </si>
  <si>
    <t>00168</t>
  </si>
  <si>
    <t>00172</t>
  </si>
  <si>
    <t>00174</t>
  </si>
  <si>
    <t>00178</t>
  </si>
  <si>
    <t>00179</t>
  </si>
  <si>
    <t>00188</t>
  </si>
  <si>
    <t>00202</t>
  </si>
  <si>
    <t>00232</t>
  </si>
  <si>
    <t>00235</t>
  </si>
  <si>
    <t>00238</t>
  </si>
  <si>
    <t>00239</t>
  </si>
  <si>
    <t>00243</t>
  </si>
  <si>
    <t>00290</t>
  </si>
  <si>
    <t>00334</t>
  </si>
  <si>
    <t>00341</t>
  </si>
  <si>
    <t>00345</t>
  </si>
  <si>
    <t>00347</t>
  </si>
  <si>
    <t>00349</t>
  </si>
  <si>
    <t>00353</t>
  </si>
  <si>
    <t>00354</t>
  </si>
  <si>
    <t>00367</t>
  </si>
  <si>
    <t>00402</t>
  </si>
  <si>
    <t>00405</t>
  </si>
  <si>
    <t>00410</t>
  </si>
  <si>
    <t>00414</t>
  </si>
  <si>
    <t>00417</t>
  </si>
  <si>
    <t>00454</t>
  </si>
  <si>
    <t>00456</t>
  </si>
  <si>
    <t>00469</t>
  </si>
  <si>
    <t>00471</t>
  </si>
  <si>
    <t>00494</t>
  </si>
  <si>
    <t>00496</t>
  </si>
  <si>
    <t>00499</t>
  </si>
  <si>
    <t>00508</t>
  </si>
  <si>
    <t>00525</t>
  </si>
  <si>
    <t>00527</t>
  </si>
  <si>
    <t>00528</t>
  </si>
  <si>
    <t>00530</t>
  </si>
  <si>
    <t>00532</t>
  </si>
  <si>
    <t>00538</t>
  </si>
  <si>
    <t>00539</t>
  </si>
  <si>
    <t>00542</t>
  </si>
  <si>
    <t>00594</t>
  </si>
  <si>
    <t>00596</t>
  </si>
  <si>
    <t>00604</t>
  </si>
  <si>
    <t>00612</t>
  </si>
  <si>
    <t>00622</t>
  </si>
  <si>
    <t>00626</t>
  </si>
  <si>
    <t>00628</t>
  </si>
  <si>
    <t>00635</t>
  </si>
  <si>
    <t>00636</t>
  </si>
  <si>
    <t>00639</t>
  </si>
  <si>
    <t>00640</t>
  </si>
  <si>
    <t>00680</t>
  </si>
  <si>
    <t>00707</t>
  </si>
  <si>
    <t>00716</t>
  </si>
  <si>
    <t>00769</t>
  </si>
  <si>
    <t>00796</t>
  </si>
  <si>
    <t>00798</t>
  </si>
  <si>
    <t>00827</t>
  </si>
  <si>
    <t>00834</t>
  </si>
  <si>
    <t>00849</t>
  </si>
  <si>
    <t>00856</t>
  </si>
  <si>
    <t>00860</t>
  </si>
  <si>
    <t>00867</t>
  </si>
  <si>
    <t>00869</t>
  </si>
  <si>
    <t>00873</t>
  </si>
  <si>
    <t>00877</t>
  </si>
  <si>
    <t>00920</t>
  </si>
  <si>
    <t>00927</t>
  </si>
  <si>
    <t>00929</t>
  </si>
  <si>
    <t>00941</t>
  </si>
  <si>
    <t>00958</t>
  </si>
  <si>
    <t>00983</t>
  </si>
  <si>
    <t>01005</t>
  </si>
  <si>
    <t>01012</t>
  </si>
  <si>
    <t>01069</t>
  </si>
  <si>
    <t>01078</t>
  </si>
  <si>
    <t>01095</t>
  </si>
  <si>
    <t>01107</t>
  </si>
  <si>
    <t>01108</t>
  </si>
  <si>
    <t>01117</t>
  </si>
  <si>
    <t>01121</t>
  </si>
  <si>
    <t>01133</t>
  </si>
  <si>
    <t>01176</t>
  </si>
  <si>
    <t>01178</t>
  </si>
  <si>
    <t>01179</t>
  </si>
  <si>
    <t>01191</t>
  </si>
  <si>
    <t>01193</t>
  </si>
  <si>
    <t>01233</t>
  </si>
  <si>
    <t>01245</t>
  </si>
  <si>
    <t>01263</t>
  </si>
  <si>
    <t>01286</t>
  </si>
  <si>
    <t>01336</t>
  </si>
  <si>
    <t>01352</t>
  </si>
  <si>
    <t>01358</t>
  </si>
  <si>
    <t>01369</t>
  </si>
  <si>
    <t>01428</t>
  </si>
  <si>
    <t>01468</t>
  </si>
  <si>
    <t>01479</t>
  </si>
  <si>
    <t>01482</t>
  </si>
  <si>
    <t>01536</t>
  </si>
  <si>
    <t>01575</t>
  </si>
  <si>
    <t>01576</t>
  </si>
  <si>
    <t>01636</t>
  </si>
  <si>
    <t>01661</t>
  </si>
  <si>
    <t>01671</t>
  </si>
  <si>
    <t>01683</t>
  </si>
  <si>
    <t>01767</t>
  </si>
  <si>
    <t>01780</t>
  </si>
  <si>
    <t>01794</t>
  </si>
  <si>
    <t>01800</t>
  </si>
  <si>
    <t>01860</t>
  </si>
  <si>
    <t>01867</t>
  </si>
  <si>
    <t>01888</t>
  </si>
  <si>
    <t>01918</t>
  </si>
  <si>
    <t>01921</t>
  </si>
  <si>
    <t>01980</t>
  </si>
  <si>
    <t>02124</t>
  </si>
  <si>
    <t>02132</t>
  </si>
  <si>
    <t>02183</t>
  </si>
  <si>
    <t>02196</t>
  </si>
  <si>
    <t>02313</t>
  </si>
  <si>
    <t>02353</t>
  </si>
  <si>
    <t>02359</t>
  </si>
  <si>
    <t>02376</t>
  </si>
  <si>
    <t>02378</t>
  </si>
  <si>
    <t>02411</t>
  </si>
  <si>
    <t>02480</t>
  </si>
  <si>
    <t>02508</t>
  </si>
  <si>
    <t>02510</t>
  </si>
  <si>
    <t>02544</t>
  </si>
  <si>
    <t>02575</t>
  </si>
  <si>
    <t>02590</t>
  </si>
  <si>
    <t>02774</t>
  </si>
  <si>
    <t>02826</t>
  </si>
  <si>
    <t>02867</t>
  </si>
  <si>
    <t>02882</t>
  </si>
  <si>
    <t>02927</t>
  </si>
  <si>
    <t>02969</t>
  </si>
  <si>
    <t>02978</t>
  </si>
  <si>
    <t>02988</t>
  </si>
  <si>
    <t>03001</t>
  </si>
  <si>
    <t>03004</t>
  </si>
  <si>
    <t>03020</t>
  </si>
  <si>
    <t>03021</t>
  </si>
  <si>
    <t>03049</t>
  </si>
  <si>
    <t>03061</t>
  </si>
  <si>
    <t>03062</t>
  </si>
  <si>
    <t>03075</t>
  </si>
  <si>
    <t>03100</t>
  </si>
  <si>
    <t>03101</t>
  </si>
  <si>
    <t>03132</t>
  </si>
  <si>
    <t>03144</t>
  </si>
  <si>
    <t>03152</t>
  </si>
  <si>
    <t>03243</t>
  </si>
  <si>
    <t>03264</t>
  </si>
  <si>
    <t>03271</t>
  </si>
  <si>
    <t>03363</t>
  </si>
  <si>
    <t>03366</t>
  </si>
  <si>
    <t>03401</t>
  </si>
  <si>
    <t>03404</t>
  </si>
  <si>
    <t>03430</t>
  </si>
  <si>
    <t>03432</t>
  </si>
  <si>
    <t>03523</t>
  </si>
  <si>
    <t>03602</t>
  </si>
  <si>
    <t>03654</t>
  </si>
  <si>
    <t>03713</t>
  </si>
  <si>
    <t>03757</t>
  </si>
  <si>
    <t>03776</t>
  </si>
  <si>
    <t>03787</t>
  </si>
  <si>
    <t>03826</t>
  </si>
  <si>
    <t>03829</t>
  </si>
  <si>
    <t>03837</t>
  </si>
  <si>
    <t>03839</t>
  </si>
  <si>
    <t>03840</t>
  </si>
  <si>
    <t>03864</t>
  </si>
  <si>
    <t>03865</t>
  </si>
  <si>
    <t>03896</t>
  </si>
  <si>
    <t>03914</t>
  </si>
  <si>
    <t>03916</t>
  </si>
  <si>
    <t>03920</t>
  </si>
  <si>
    <t>03922</t>
  </si>
  <si>
    <t>03934</t>
  </si>
  <si>
    <t>03936</t>
  </si>
  <si>
    <t>03937</t>
  </si>
  <si>
    <t>03940</t>
  </si>
  <si>
    <t>03946</t>
  </si>
  <si>
    <t>03954</t>
  </si>
  <si>
    <t>03962</t>
  </si>
  <si>
    <t>04004</t>
  </si>
  <si>
    <t>04011</t>
  </si>
  <si>
    <t>04016</t>
  </si>
  <si>
    <t>04019</t>
  </si>
  <si>
    <t>04021</t>
  </si>
  <si>
    <t>04047</t>
  </si>
  <si>
    <t>04053</t>
  </si>
  <si>
    <t>04067</t>
  </si>
  <si>
    <t>04069</t>
  </si>
  <si>
    <t>04103</t>
  </si>
  <si>
    <t>04107</t>
  </si>
  <si>
    <t>04130</t>
  </si>
  <si>
    <t>04139</t>
  </si>
  <si>
    <t>04223</t>
  </si>
  <si>
    <t>04227</t>
  </si>
  <si>
    <t>04324</t>
  </si>
  <si>
    <t>04364</t>
  </si>
  <si>
    <t>04376</t>
  </si>
  <si>
    <t>04484</t>
  </si>
  <si>
    <t>04908</t>
  </si>
  <si>
    <t>04932</t>
  </si>
  <si>
    <t>04934</t>
  </si>
  <si>
    <t>04971</t>
  </si>
  <si>
    <t>04998</t>
  </si>
  <si>
    <t>05248</t>
  </si>
  <si>
    <t>05361</t>
  </si>
  <si>
    <t>05534</t>
  </si>
  <si>
    <t>05536</t>
  </si>
  <si>
    <t>05537</t>
  </si>
  <si>
    <t>05740</t>
  </si>
  <si>
    <t>05773</t>
  </si>
  <si>
    <t>06181</t>
  </si>
  <si>
    <t>06212</t>
  </si>
  <si>
    <t>06235</t>
  </si>
  <si>
    <t>06292</t>
  </si>
  <si>
    <t>06432</t>
  </si>
  <si>
    <t>06467</t>
  </si>
  <si>
    <t>06508</t>
  </si>
  <si>
    <t>06531</t>
  </si>
  <si>
    <t>06535</t>
  </si>
  <si>
    <t>06563</t>
  </si>
  <si>
    <t>06572</t>
  </si>
  <si>
    <t>06592</t>
  </si>
  <si>
    <t>06753</t>
  </si>
  <si>
    <t>06989</t>
  </si>
  <si>
    <t>07267</t>
  </si>
  <si>
    <t>07935</t>
  </si>
  <si>
    <t>08304</t>
  </si>
  <si>
    <t>08425</t>
  </si>
  <si>
    <t>08451</t>
  </si>
  <si>
    <t>08541</t>
  </si>
  <si>
    <t>08572</t>
  </si>
  <si>
    <t>08573</t>
  </si>
  <si>
    <t>08575</t>
  </si>
  <si>
    <t>08683</t>
  </si>
  <si>
    <t>08805</t>
  </si>
  <si>
    <t>08918</t>
  </si>
  <si>
    <t>09003</t>
  </si>
  <si>
    <t>09006</t>
  </si>
  <si>
    <t>09197</t>
  </si>
  <si>
    <t>09587</t>
  </si>
  <si>
    <t>09915</t>
  </si>
  <si>
    <t>09924</t>
  </si>
  <si>
    <t xml:space="preserve">. </t>
    <phoneticPr fontId="4" type="noConversion"/>
  </si>
  <si>
    <t>한기평</t>
    <phoneticPr fontId="4" type="noConversion"/>
  </si>
  <si>
    <t>등급</t>
    <phoneticPr fontId="4" type="noConversion"/>
  </si>
  <si>
    <t>전망</t>
    <phoneticPr fontId="4" type="noConversion"/>
  </si>
  <si>
    <t>평가일</t>
    <phoneticPr fontId="4" type="noConversion"/>
  </si>
  <si>
    <t>한신평</t>
    <phoneticPr fontId="4" type="noConversion"/>
  </si>
  <si>
    <t>나이스</t>
    <phoneticPr fontId="4" type="noConversion"/>
  </si>
  <si>
    <t>일자</t>
  </si>
  <si>
    <t>한기평채권등급</t>
  </si>
  <si>
    <t>한기평채권전망</t>
  </si>
  <si>
    <t>한신평채권등급</t>
  </si>
  <si>
    <t>한신평채권전망</t>
  </si>
  <si>
    <t>나이스채권등급</t>
  </si>
  <si>
    <t>나이스채권전망</t>
  </si>
  <si>
    <t>일자</t>
    <phoneticPr fontId="4" type="noConversion"/>
  </si>
  <si>
    <t>적용등급</t>
    <phoneticPr fontId="4" type="noConversion"/>
  </si>
  <si>
    <t>채권등급</t>
    <phoneticPr fontId="4" type="noConversion"/>
  </si>
  <si>
    <t>기업등급</t>
    <phoneticPr fontId="4" type="noConversion"/>
  </si>
  <si>
    <t>기업신용평가등급</t>
  </si>
  <si>
    <t>한기평기업등급</t>
  </si>
  <si>
    <t>한기평기업전망</t>
  </si>
  <si>
    <t>한신평기업등급</t>
  </si>
  <si>
    <t>한신평기업전망</t>
  </si>
  <si>
    <t>나이스기업등급</t>
  </si>
  <si>
    <t>나이스기업전망</t>
  </si>
  <si>
    <t>CP신용평가등급</t>
  </si>
  <si>
    <t>한기평CP등급</t>
  </si>
  <si>
    <t>한신평CP등급</t>
  </si>
  <si>
    <t>나이스CP등급</t>
  </si>
  <si>
    <t>CP등급</t>
    <phoneticPr fontId="4" type="noConversion"/>
  </si>
  <si>
    <t>AAA</t>
    <phoneticPr fontId="4" type="noConversion"/>
  </si>
  <si>
    <t>AA+</t>
    <phoneticPr fontId="4" type="noConversion"/>
  </si>
  <si>
    <t>AA</t>
    <phoneticPr fontId="4" type="noConversion"/>
  </si>
  <si>
    <t>AA-</t>
    <phoneticPr fontId="4" type="noConversion"/>
  </si>
  <si>
    <t>A+</t>
    <phoneticPr fontId="4" type="noConversion"/>
  </si>
  <si>
    <t>A</t>
    <phoneticPr fontId="4" type="noConversion"/>
  </si>
  <si>
    <t>A-</t>
    <phoneticPr fontId="4" type="noConversion"/>
  </si>
  <si>
    <t>BBB+</t>
    <phoneticPr fontId="4" type="noConversion"/>
  </si>
  <si>
    <t>BBB</t>
    <phoneticPr fontId="4" type="noConversion"/>
  </si>
  <si>
    <t>BBB-</t>
    <phoneticPr fontId="4" type="noConversion"/>
  </si>
  <si>
    <t>BB+</t>
    <phoneticPr fontId="4" type="noConversion"/>
  </si>
  <si>
    <t>BB</t>
    <phoneticPr fontId="4" type="noConversion"/>
  </si>
  <si>
    <t>BB-</t>
    <phoneticPr fontId="4" type="noConversion"/>
  </si>
  <si>
    <t>B+</t>
    <phoneticPr fontId="4" type="noConversion"/>
  </si>
  <si>
    <t>B</t>
    <phoneticPr fontId="4" type="noConversion"/>
  </si>
  <si>
    <t>B-</t>
    <phoneticPr fontId="4" type="noConversion"/>
  </si>
  <si>
    <t>CCC+</t>
    <phoneticPr fontId="4" type="noConversion"/>
  </si>
  <si>
    <t>CCC</t>
    <phoneticPr fontId="4" type="noConversion"/>
  </si>
  <si>
    <t>CCC-</t>
    <phoneticPr fontId="4" type="noConversion"/>
  </si>
  <si>
    <t>CC</t>
    <phoneticPr fontId="4" type="noConversion"/>
  </si>
  <si>
    <t>C</t>
    <phoneticPr fontId="4" type="noConversion"/>
  </si>
  <si>
    <t>D</t>
    <phoneticPr fontId="4" type="noConversion"/>
  </si>
  <si>
    <t>A1</t>
    <phoneticPr fontId="4" type="noConversion"/>
  </si>
  <si>
    <t>A2</t>
    <phoneticPr fontId="4" type="noConversion"/>
  </si>
  <si>
    <t>A2+</t>
    <phoneticPr fontId="4" type="noConversion"/>
  </si>
  <si>
    <t>A2-</t>
    <phoneticPr fontId="4" type="noConversion"/>
  </si>
  <si>
    <t>A3+</t>
    <phoneticPr fontId="4" type="noConversion"/>
  </si>
  <si>
    <t>A3</t>
    <phoneticPr fontId="4" type="noConversion"/>
  </si>
  <si>
    <t>A3-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</si>
  <si>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</si>
  <si>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</si>
  <si>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</si>
  <si>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코드</t>
  </si>
  <si>
    <t>CRDLIST010000</t>
  </si>
  <si>
    <t>조회건수</t>
  </si>
  <si>
    <t>20220114~20230714</t>
  </si>
  <si>
    <t>조회기준</t>
  </si>
  <si>
    <t>전체</t>
  </si>
  <si>
    <t>정렬기준</t>
  </si>
  <si>
    <t>채권코드</t>
  </si>
  <si>
    <t>정렬</t>
  </si>
  <si>
    <t>회사명</t>
  </si>
  <si>
    <t>신한은행</t>
  </si>
  <si>
    <t>CJ대한통운</t>
  </si>
  <si>
    <t>DL</t>
  </si>
  <si>
    <t>기아</t>
  </si>
  <si>
    <t>동아쏘시오홀딩스</t>
  </si>
  <si>
    <t>JW중외제약</t>
  </si>
  <si>
    <t>LX인터내셔널</t>
  </si>
  <si>
    <t>종근당홀딩스</t>
  </si>
  <si>
    <t>DL건설</t>
  </si>
  <si>
    <t>00271</t>
  </si>
  <si>
    <t>TCC스틸</t>
  </si>
  <si>
    <t>00288</t>
  </si>
  <si>
    <t>대유에이텍</t>
  </si>
  <si>
    <t>TYM</t>
  </si>
  <si>
    <t>00323</t>
  </si>
  <si>
    <t>삼양식품</t>
  </si>
  <si>
    <t>에스케이에코플랜트</t>
  </si>
  <si>
    <t>쌍용씨앤이</t>
  </si>
  <si>
    <t>포스코퓨처엠</t>
  </si>
  <si>
    <t>00385</t>
  </si>
  <si>
    <t>보령</t>
  </si>
  <si>
    <t>에이치디현대오일뱅크</t>
  </si>
  <si>
    <t>00453</t>
  </si>
  <si>
    <t>깨끗한나라</t>
  </si>
  <si>
    <t>00487</t>
  </si>
  <si>
    <t>티웨이홀딩스</t>
  </si>
  <si>
    <t>00509</t>
  </si>
  <si>
    <t>SGC에너지</t>
  </si>
  <si>
    <t>00511</t>
  </si>
  <si>
    <t>한창</t>
  </si>
  <si>
    <t>한일현대시멘트</t>
  </si>
  <si>
    <t>00734</t>
  </si>
  <si>
    <t>DN오토모티브</t>
  </si>
  <si>
    <t>00753</t>
  </si>
  <si>
    <t>와이엠</t>
  </si>
  <si>
    <t>메리츠증권</t>
  </si>
  <si>
    <t>신한투자증권</t>
  </si>
  <si>
    <t>00883</t>
  </si>
  <si>
    <t>대동기어</t>
  </si>
  <si>
    <t>00950</t>
  </si>
  <si>
    <t>세일석유</t>
  </si>
  <si>
    <t>한화솔루션</t>
  </si>
  <si>
    <t>00990</t>
  </si>
  <si>
    <t>명신산업</t>
  </si>
  <si>
    <t>엘에스일렉트릭</t>
  </si>
  <si>
    <t>화신</t>
  </si>
  <si>
    <t>현대코퍼레이션</t>
  </si>
  <si>
    <t>HDC</t>
  </si>
  <si>
    <t>모베이스전자</t>
  </si>
  <si>
    <t>01331</t>
  </si>
  <si>
    <t>아진산업</t>
  </si>
  <si>
    <t>화승코퍼레이션</t>
  </si>
  <si>
    <t>01423</t>
  </si>
  <si>
    <t>광성기업　　　　　</t>
  </si>
  <si>
    <t>HL D&amp;I</t>
  </si>
  <si>
    <t>01674</t>
  </si>
  <si>
    <t>두올</t>
  </si>
  <si>
    <t>01719</t>
  </si>
  <si>
    <t>선일다이파스</t>
  </si>
  <si>
    <t>01726</t>
  </si>
  <si>
    <t>휘닉스중앙</t>
  </si>
  <si>
    <t>한온시스템</t>
  </si>
  <si>
    <t>01913</t>
  </si>
  <si>
    <t>에이션패션</t>
  </si>
  <si>
    <t>01957</t>
  </si>
  <si>
    <t>리더스 기술투자</t>
  </si>
  <si>
    <t>한국렌탈　　　　　</t>
  </si>
  <si>
    <t>02344</t>
  </si>
  <si>
    <t>제이스코홀딩스</t>
  </si>
  <si>
    <t>02491</t>
  </si>
  <si>
    <t>경창산업</t>
  </si>
  <si>
    <t>포스코이앤씨</t>
  </si>
  <si>
    <t>DH오토웨어</t>
  </si>
  <si>
    <t>02771</t>
  </si>
  <si>
    <t>팜스토리</t>
  </si>
  <si>
    <t>삼성물산</t>
  </si>
  <si>
    <t>하이증권</t>
  </si>
  <si>
    <t>다올투자증권</t>
  </si>
  <si>
    <t>하나증권</t>
  </si>
  <si>
    <t>오케이캐피탈</t>
  </si>
  <si>
    <t>03219</t>
  </si>
  <si>
    <t>다우데이타</t>
  </si>
  <si>
    <t>03234</t>
  </si>
  <si>
    <t>프라코</t>
  </si>
  <si>
    <t>03316</t>
  </si>
  <si>
    <t>엠케이전자</t>
  </si>
  <si>
    <t>03340</t>
  </si>
  <si>
    <t>평화오일씰공업</t>
  </si>
  <si>
    <t>03364</t>
  </si>
  <si>
    <t>네패스</t>
  </si>
  <si>
    <t>우리금융캐피탈</t>
  </si>
  <si>
    <t>두산에너빌리티</t>
  </si>
  <si>
    <t>티케이지태광</t>
  </si>
  <si>
    <t>엠캐피탈</t>
  </si>
  <si>
    <t>중소벤처기업진흥공단</t>
  </si>
  <si>
    <t>대구도시개발공사</t>
  </si>
  <si>
    <t>한전기술</t>
  </si>
  <si>
    <t>HL홀딩스</t>
  </si>
  <si>
    <t>경기주택도시공사</t>
  </si>
  <si>
    <t>대구교통공사</t>
  </si>
  <si>
    <t>HD현대인프라코어</t>
  </si>
  <si>
    <t>콘텐트리중앙</t>
  </si>
  <si>
    <t>에이케이에스앤디</t>
  </si>
  <si>
    <t>07753</t>
  </si>
  <si>
    <t>벽산엔지니어링</t>
  </si>
  <si>
    <t>한화토탈에너지스</t>
  </si>
  <si>
    <t>08154</t>
  </si>
  <si>
    <t>에스아이플렉스</t>
  </si>
  <si>
    <t>08462</t>
  </si>
  <si>
    <t>해성옵틱스</t>
  </si>
  <si>
    <t>국가철도공단</t>
  </si>
  <si>
    <t>09404</t>
  </si>
  <si>
    <t>한국유니온제약</t>
  </si>
  <si>
    <t>SK렌터카</t>
  </si>
  <si>
    <t>10060</t>
  </si>
  <si>
    <t>재영솔루텍</t>
  </si>
  <si>
    <t>10062</t>
  </si>
  <si>
    <t>10095</t>
  </si>
  <si>
    <t>10668</t>
  </si>
  <si>
    <t>10747</t>
  </si>
  <si>
    <t>10748</t>
  </si>
  <si>
    <t>10766</t>
  </si>
  <si>
    <t>에코프로</t>
  </si>
  <si>
    <t>11118</t>
  </si>
  <si>
    <t>11278</t>
  </si>
  <si>
    <t>11425</t>
  </si>
  <si>
    <t>도이치모터스</t>
  </si>
  <si>
    <t>11456</t>
  </si>
  <si>
    <t>11486</t>
  </si>
  <si>
    <t>넥스틸</t>
  </si>
  <si>
    <t>11686</t>
  </si>
  <si>
    <t>11802</t>
  </si>
  <si>
    <t>11884</t>
  </si>
  <si>
    <t>애큐온캐피탈</t>
  </si>
  <si>
    <t>11919</t>
  </si>
  <si>
    <t>11947</t>
  </si>
  <si>
    <t>11959</t>
  </si>
  <si>
    <t>11987</t>
  </si>
  <si>
    <t>12092</t>
  </si>
  <si>
    <t>비보존 제약</t>
  </si>
  <si>
    <t>12160</t>
  </si>
  <si>
    <t>LG헬로비전</t>
  </si>
  <si>
    <t>12242</t>
  </si>
  <si>
    <t>12366</t>
  </si>
  <si>
    <t>12370</t>
  </si>
  <si>
    <t>HLB생명과학</t>
  </si>
  <si>
    <t>12425</t>
  </si>
  <si>
    <t>12428</t>
  </si>
  <si>
    <t>12432</t>
  </si>
  <si>
    <t>12455</t>
  </si>
  <si>
    <t>12468</t>
  </si>
  <si>
    <t>12544</t>
  </si>
  <si>
    <t>12600</t>
  </si>
  <si>
    <t>12699</t>
  </si>
  <si>
    <t>12761</t>
  </si>
  <si>
    <t>12878</t>
  </si>
  <si>
    <t>팬스타엔터프라이즈</t>
  </si>
  <si>
    <t>12968</t>
  </si>
  <si>
    <t>13029</t>
  </si>
  <si>
    <t>컴투스</t>
  </si>
  <si>
    <t>13035</t>
  </si>
  <si>
    <t>가온그룹</t>
  </si>
  <si>
    <t>13099</t>
  </si>
  <si>
    <t>대상홀딩스</t>
  </si>
  <si>
    <t>13134</t>
  </si>
  <si>
    <t>HDC현대EP</t>
  </si>
  <si>
    <t>13138</t>
  </si>
  <si>
    <t>평화산업</t>
  </si>
  <si>
    <t>13163</t>
  </si>
  <si>
    <t>13190</t>
  </si>
  <si>
    <t>13220</t>
  </si>
  <si>
    <t>비와이티유동화1</t>
  </si>
  <si>
    <t>13327</t>
  </si>
  <si>
    <t>13422</t>
  </si>
  <si>
    <t>13509</t>
  </si>
  <si>
    <t>13539</t>
  </si>
  <si>
    <t>13603</t>
  </si>
  <si>
    <t>13731</t>
  </si>
  <si>
    <t>팬코</t>
  </si>
  <si>
    <t>13768</t>
  </si>
  <si>
    <t>13784</t>
  </si>
  <si>
    <t>13785</t>
  </si>
  <si>
    <t>13823</t>
  </si>
  <si>
    <t>13827</t>
  </si>
  <si>
    <t>13844</t>
  </si>
  <si>
    <t>13908</t>
  </si>
  <si>
    <t>13986</t>
  </si>
  <si>
    <t>13988</t>
  </si>
  <si>
    <t>14631</t>
  </si>
  <si>
    <t>14723</t>
  </si>
  <si>
    <t>LX하우시스</t>
  </si>
  <si>
    <t>14727</t>
  </si>
  <si>
    <t>14860</t>
  </si>
  <si>
    <t>비보존제약</t>
  </si>
  <si>
    <t>14882</t>
  </si>
  <si>
    <t>동인기연</t>
  </si>
  <si>
    <t>14953</t>
  </si>
  <si>
    <t>에이캐피탈</t>
  </si>
  <si>
    <t>15002</t>
  </si>
  <si>
    <t>15116</t>
  </si>
  <si>
    <t>효림산업</t>
  </si>
  <si>
    <t>15187</t>
  </si>
  <si>
    <t>에이프로젠 H&amp;G</t>
  </si>
  <si>
    <t>15325</t>
  </si>
  <si>
    <t>15330</t>
  </si>
  <si>
    <t>15334</t>
  </si>
  <si>
    <t>15335</t>
  </si>
  <si>
    <t>15455</t>
  </si>
  <si>
    <t>15627</t>
  </si>
  <si>
    <t>형지엘리트</t>
  </si>
  <si>
    <t>15653</t>
  </si>
  <si>
    <t>에스케이엔무브</t>
  </si>
  <si>
    <t>15678</t>
  </si>
  <si>
    <t>15699</t>
  </si>
  <si>
    <t>대성에너지</t>
  </si>
  <si>
    <t>15766</t>
  </si>
  <si>
    <t>모트렉스</t>
  </si>
  <si>
    <t>15915</t>
  </si>
  <si>
    <t>16064</t>
  </si>
  <si>
    <t>화승네트웍스</t>
  </si>
  <si>
    <t>16176</t>
  </si>
  <si>
    <t>16198</t>
  </si>
  <si>
    <t>주택금융공사MBS2009-13(1-1)</t>
  </si>
  <si>
    <t>16253</t>
  </si>
  <si>
    <t>16280</t>
  </si>
  <si>
    <t>16298</t>
  </si>
  <si>
    <t>KC코트렐</t>
  </si>
  <si>
    <t>16443</t>
  </si>
  <si>
    <t>코리아에프티</t>
  </si>
  <si>
    <t>16548</t>
  </si>
  <si>
    <t>남신약품</t>
  </si>
  <si>
    <t>16671</t>
  </si>
  <si>
    <t>16868</t>
  </si>
  <si>
    <t>17445</t>
  </si>
  <si>
    <t>17514</t>
  </si>
  <si>
    <t>주택금융공사MBS2010-6(1-1)</t>
  </si>
  <si>
    <t>17519</t>
  </si>
  <si>
    <t>17577</t>
  </si>
  <si>
    <t>17661</t>
  </si>
  <si>
    <t>17662</t>
  </si>
  <si>
    <t>17667</t>
  </si>
  <si>
    <t>17733</t>
  </si>
  <si>
    <t>17867</t>
  </si>
  <si>
    <t>오케이미트</t>
  </si>
  <si>
    <t>18014</t>
  </si>
  <si>
    <t>주택금융공사MBS2010-13(1-8)</t>
  </si>
  <si>
    <t>18034</t>
  </si>
  <si>
    <t>18142</t>
  </si>
  <si>
    <t>18354</t>
  </si>
  <si>
    <t>주택금융공사MBS2010-18(1-1)</t>
  </si>
  <si>
    <t>18403</t>
  </si>
  <si>
    <t>18404</t>
  </si>
  <si>
    <t>SK지오센트릭</t>
  </si>
  <si>
    <t>18497</t>
  </si>
  <si>
    <t>18519</t>
  </si>
  <si>
    <t>18540</t>
  </si>
  <si>
    <t>18568</t>
  </si>
  <si>
    <t>18663</t>
  </si>
  <si>
    <t>주택금융공사MBS2011-6(1-1)</t>
  </si>
  <si>
    <t>18667</t>
  </si>
  <si>
    <t>18703</t>
  </si>
  <si>
    <t>트루윈</t>
  </si>
  <si>
    <t>18731</t>
  </si>
  <si>
    <t>석진철강</t>
  </si>
  <si>
    <t>18788</t>
  </si>
  <si>
    <t>18796</t>
  </si>
  <si>
    <t>18854</t>
  </si>
  <si>
    <t>동희산업</t>
  </si>
  <si>
    <t>18867</t>
  </si>
  <si>
    <t>핸즈코퍼레이션</t>
  </si>
  <si>
    <t>18869</t>
  </si>
  <si>
    <t>18952</t>
  </si>
  <si>
    <t>호명화학공업</t>
  </si>
  <si>
    <t>19051</t>
  </si>
  <si>
    <t>한세엠케이</t>
  </si>
  <si>
    <t>19070</t>
  </si>
  <si>
    <t>19079</t>
  </si>
  <si>
    <t>주택금융공사MBS2011-12(1-8)</t>
  </si>
  <si>
    <t>19126</t>
  </si>
  <si>
    <t>동성중공업</t>
  </si>
  <si>
    <t>19305</t>
  </si>
  <si>
    <t>하남도시공사</t>
  </si>
  <si>
    <t>19306</t>
  </si>
  <si>
    <t>19327</t>
  </si>
  <si>
    <t>19364</t>
  </si>
  <si>
    <t>19458</t>
  </si>
  <si>
    <t>주택금융공사MBS2011-15(1-1)</t>
  </si>
  <si>
    <t>19590</t>
  </si>
  <si>
    <t>주택금융공사MBS2011-18(1-8)</t>
  </si>
  <si>
    <t>19605</t>
  </si>
  <si>
    <t>삼척블루파워</t>
  </si>
  <si>
    <t>19689</t>
  </si>
  <si>
    <t>광명산업</t>
  </si>
  <si>
    <t>19743</t>
  </si>
  <si>
    <t>주택금융공사MBS2011-21(1-8)</t>
  </si>
  <si>
    <t>19746</t>
  </si>
  <si>
    <t>19747</t>
  </si>
  <si>
    <t>주택금융공사MBS2011-20(1-1)</t>
  </si>
  <si>
    <t>19765</t>
  </si>
  <si>
    <t>19785</t>
  </si>
  <si>
    <t>주택금융공사MBS2012-1(1-8)</t>
  </si>
  <si>
    <t>19832</t>
  </si>
  <si>
    <t>19840</t>
  </si>
  <si>
    <t>주택금융공사MBS2012-2(1-8)</t>
  </si>
  <si>
    <t>19845</t>
  </si>
  <si>
    <t>19874</t>
  </si>
  <si>
    <t>주택금융공사MBS2012-3(1-8)</t>
  </si>
  <si>
    <t>19895</t>
  </si>
  <si>
    <t>주택금융공사MBS2012-4(1-1)</t>
  </si>
  <si>
    <t>40015</t>
  </si>
  <si>
    <t>40019</t>
  </si>
  <si>
    <t>BNK투자증권</t>
  </si>
  <si>
    <t>40029</t>
  </si>
  <si>
    <t>주택금융공사MBS2012-5(1-8)</t>
  </si>
  <si>
    <t>40080</t>
  </si>
  <si>
    <t>주택금융공사MBS2012-6(1-7)</t>
  </si>
  <si>
    <t>40081</t>
  </si>
  <si>
    <t>주택금융공사MBS2012-6(1-8)</t>
  </si>
  <si>
    <t>40213</t>
  </si>
  <si>
    <t>주택금융공사MBS2012-7(1-8)</t>
  </si>
  <si>
    <t>40255</t>
  </si>
  <si>
    <t>주택금융공사MBS2012-8(1-8)</t>
  </si>
  <si>
    <t>40278</t>
  </si>
  <si>
    <t>주택금융공사MBS2012-9(1-8)</t>
  </si>
  <si>
    <t>40385</t>
  </si>
  <si>
    <t>주택금융공사MBS2012-10(1-8)</t>
  </si>
  <si>
    <t>40453</t>
  </si>
  <si>
    <t>주택금융공사MBS2012-12(1-1)</t>
  </si>
  <si>
    <t>40470</t>
  </si>
  <si>
    <t>주택금융공사MBS2012-13(1-8)</t>
  </si>
  <si>
    <t>40490</t>
  </si>
  <si>
    <t>주택금융공사MBS2012-15(1-8)</t>
  </si>
  <si>
    <t>40495</t>
  </si>
  <si>
    <t>40506</t>
  </si>
  <si>
    <t>주택금융공사MBS2012-17(1-8)</t>
  </si>
  <si>
    <t>40517</t>
  </si>
  <si>
    <t>주택금융공사MBS2012-16(1-8)</t>
  </si>
  <si>
    <t>40540</t>
  </si>
  <si>
    <t>주택금융공사MBS2012-18(1-8)</t>
  </si>
  <si>
    <t>40549</t>
  </si>
  <si>
    <t>주택금융공사MBS2012-19(1-8)</t>
  </si>
  <si>
    <t>40595</t>
  </si>
  <si>
    <t>주택금융공사MBS2012-20(1-7)</t>
  </si>
  <si>
    <t>40596</t>
  </si>
  <si>
    <t>주택금융공사MBS2012-20(1-8)</t>
  </si>
  <si>
    <t>40632</t>
  </si>
  <si>
    <t>주택금융공사MBS2012-21(1-8)</t>
  </si>
  <si>
    <t>40634</t>
  </si>
  <si>
    <t>40678</t>
  </si>
  <si>
    <t>주택금융공사MBS2012-23(1-7)</t>
  </si>
  <si>
    <t>40679</t>
  </si>
  <si>
    <t>주택금융공사MBS2012-23(1-8)</t>
  </si>
  <si>
    <t>40768</t>
  </si>
  <si>
    <t>주택금융공사MBS2012-22(1-7)</t>
  </si>
  <si>
    <t>40769</t>
  </si>
  <si>
    <t>주택금융공사MBS2012-22(1-8)</t>
  </si>
  <si>
    <t>40772</t>
  </si>
  <si>
    <t>40791</t>
  </si>
  <si>
    <t>주택금융공사MBS2012-25(1-7)</t>
  </si>
  <si>
    <t>40792</t>
  </si>
  <si>
    <t>주택금융공사MBS2012-25(1-8)</t>
  </si>
  <si>
    <t>40948</t>
  </si>
  <si>
    <t>주택금융공사MBS2012-24(1-7)</t>
  </si>
  <si>
    <t>40949</t>
  </si>
  <si>
    <t>주택금융공사MBS2012-24(1-8)</t>
  </si>
  <si>
    <t>40983</t>
  </si>
  <si>
    <t>주택금융공사MBS2012-26(1-1)</t>
  </si>
  <si>
    <t>40984</t>
  </si>
  <si>
    <t>주택금융공사MBS2012-27(1-1)</t>
  </si>
  <si>
    <t>41128</t>
  </si>
  <si>
    <t>주택금융공사MBS2012-28(1-7)</t>
  </si>
  <si>
    <t>41129</t>
  </si>
  <si>
    <t>주택금융공사MBS2012-28(1-8)</t>
  </si>
  <si>
    <t>41132</t>
  </si>
  <si>
    <t>41143</t>
  </si>
  <si>
    <t>주택금융공사MBS2012-29(1-7)</t>
  </si>
  <si>
    <t>41144</t>
  </si>
  <si>
    <t>주택금융공사MBS2012-29(1-8)</t>
  </si>
  <si>
    <t>41254</t>
  </si>
  <si>
    <t>주택금융공사MBS2012-30(1-7)</t>
  </si>
  <si>
    <t>41255</t>
  </si>
  <si>
    <t>주택금융공사MBS2012-30(1-8)</t>
  </si>
  <si>
    <t>41310</t>
  </si>
  <si>
    <t>주택금융공사MBS2012-31(1-7)</t>
  </si>
  <si>
    <t>41311</t>
  </si>
  <si>
    <t>주택금융공사MBS2012-31(1-8)</t>
  </si>
  <si>
    <t>41365</t>
  </si>
  <si>
    <t>41373</t>
  </si>
  <si>
    <t>주택금융공사MBS2012-32(1-7)</t>
  </si>
  <si>
    <t>41374</t>
  </si>
  <si>
    <t>주택금융공사MBS2012-32(1-8)</t>
  </si>
  <si>
    <t>41421</t>
  </si>
  <si>
    <t>주택금융공사MBS2012-33(1-7)</t>
  </si>
  <si>
    <t>41422</t>
  </si>
  <si>
    <t>주택금융공사MBS2012-33(1-8)</t>
  </si>
  <si>
    <t>41425</t>
  </si>
  <si>
    <t>41437</t>
  </si>
  <si>
    <t>주택금융공사MBS2012-34(1-7)</t>
  </si>
  <si>
    <t>41438</t>
  </si>
  <si>
    <t>주택금융공사MBS2012-34(1-8)</t>
  </si>
  <si>
    <t>41440</t>
  </si>
  <si>
    <t>41479</t>
  </si>
  <si>
    <t>주택금융공사MBS2012-35(1-7)</t>
  </si>
  <si>
    <t>41480</t>
  </si>
  <si>
    <t>주택금융공사MBS2012-35(1-8)</t>
  </si>
  <si>
    <t>41483</t>
  </si>
  <si>
    <t>주택금융공사MBS2012-36(1-1)</t>
  </si>
  <si>
    <t>41492</t>
  </si>
  <si>
    <t>주택금융공사MBS2012-40(1-8)</t>
  </si>
  <si>
    <t>41506</t>
  </si>
  <si>
    <t>주택금융공사MBS2012-37(1-1)</t>
  </si>
  <si>
    <t>41507</t>
  </si>
  <si>
    <t>주택금융공사MBS2012-38(1-1)</t>
  </si>
  <si>
    <t>41525</t>
  </si>
  <si>
    <t>주택금융공사MBS2012-39(1-7)</t>
  </si>
  <si>
    <t>41526</t>
  </si>
  <si>
    <t>주택금융공사MBS2012-39(1-8)</t>
  </si>
  <si>
    <t>41534</t>
  </si>
  <si>
    <t>41543</t>
  </si>
  <si>
    <t>41589</t>
  </si>
  <si>
    <t>주택금융공사MBS2012-41(1-8)</t>
  </si>
  <si>
    <t>41660</t>
  </si>
  <si>
    <t>41671</t>
  </si>
  <si>
    <t>41684</t>
  </si>
  <si>
    <t>주택금융공사MBS2013-1(1-7)</t>
  </si>
  <si>
    <t>41685</t>
  </si>
  <si>
    <t>주택금융공사MBS2013-1(1-8)</t>
  </si>
  <si>
    <t>41696</t>
  </si>
  <si>
    <t>주택금융공사MBS2013-2(1-7)</t>
  </si>
  <si>
    <t>41697</t>
  </si>
  <si>
    <t>주택금융공사MBS2013-2(1-8)</t>
  </si>
  <si>
    <t>41724</t>
  </si>
  <si>
    <t>주택금융공사MBS2013-3(1-7)</t>
  </si>
  <si>
    <t>41725</t>
  </si>
  <si>
    <t>주택금융공사MBS2013-3(1-8)</t>
  </si>
  <si>
    <t>41728</t>
  </si>
  <si>
    <t>41737</t>
  </si>
  <si>
    <t>주택금융공사MBS2013-4(1-7)</t>
  </si>
  <si>
    <t>41738</t>
  </si>
  <si>
    <t>주택금융공사MBS2013-4(1-8)</t>
  </si>
  <si>
    <t>41776</t>
  </si>
  <si>
    <t>주택금융공사MBS2013-5(1-7)</t>
  </si>
  <si>
    <t>41777</t>
  </si>
  <si>
    <t>주택금융공사MBS2013-5(1-8)</t>
  </si>
  <si>
    <t>41785</t>
  </si>
  <si>
    <t>주택금융공사MBS2013-6(1-7)</t>
  </si>
  <si>
    <t>41786</t>
  </si>
  <si>
    <t>주택금융공사MBS2013-6(1-8)</t>
  </si>
  <si>
    <t>41910</t>
  </si>
  <si>
    <t>주택금융공사MBS2013-7(1-7)</t>
  </si>
  <si>
    <t>41911</t>
  </si>
  <si>
    <t>주택금융공사MBS2013-7(1-8)</t>
  </si>
  <si>
    <t>41967</t>
  </si>
  <si>
    <t>주택금융공사MBS2013-8(1-7)</t>
  </si>
  <si>
    <t>41968</t>
  </si>
  <si>
    <t>주택금융공사MBS2013-8(1-8)</t>
  </si>
  <si>
    <t>41970</t>
  </si>
  <si>
    <t>42000</t>
  </si>
  <si>
    <t>주택금융공사MBS2013-9(1-7)</t>
  </si>
  <si>
    <t>42001</t>
  </si>
  <si>
    <t>주택금융공사MBS2013-9(1-8)</t>
  </si>
  <si>
    <t>42007</t>
  </si>
  <si>
    <t>주택금융공사MBS2013-10(1-1)</t>
  </si>
  <si>
    <t>42008</t>
  </si>
  <si>
    <t>주택금융공사MBS2013-11(1-1)</t>
  </si>
  <si>
    <t>42009</t>
  </si>
  <si>
    <t>주택금융공사MBS2013-12(1-1)</t>
  </si>
  <si>
    <t>42147</t>
  </si>
  <si>
    <t>42154</t>
  </si>
  <si>
    <t>주택금융공사MBS2013-14(1-7)</t>
  </si>
  <si>
    <t>42155</t>
  </si>
  <si>
    <t>주택금융공사MBS2013-14(1-8)</t>
  </si>
  <si>
    <t>42163</t>
  </si>
  <si>
    <t>주택금융공사MBS2013-15(1-7)</t>
  </si>
  <si>
    <t>42164</t>
  </si>
  <si>
    <t>주택금융공사MBS2013-15(1-8)</t>
  </si>
  <si>
    <t>42405</t>
  </si>
  <si>
    <t>주택금융공사MBS2013-17(1-7)</t>
  </si>
  <si>
    <t>42406</t>
  </si>
  <si>
    <t>주택금융공사MBS2013-17(1-8)</t>
  </si>
  <si>
    <t>42411</t>
  </si>
  <si>
    <t>42419</t>
  </si>
  <si>
    <t>주택금융공사MBS2013-18(1-7)</t>
  </si>
  <si>
    <t>42420</t>
  </si>
  <si>
    <t>주택금융공사MBS2013-18(1-8)</t>
  </si>
  <si>
    <t>42430</t>
  </si>
  <si>
    <t>주택금융공사MBS2013-19(1-7)</t>
  </si>
  <si>
    <t>42431</t>
  </si>
  <si>
    <t>주택금융공사MBS2013-19(1-8)</t>
  </si>
  <si>
    <t>42539</t>
  </si>
  <si>
    <t>주택금융공사MBS2013-20(1-7)</t>
  </si>
  <si>
    <t>42540</t>
  </si>
  <si>
    <t>주택금융공사MBS2013-20(1-8)</t>
  </si>
  <si>
    <t>42711</t>
  </si>
  <si>
    <t>서진시스템</t>
  </si>
  <si>
    <t>42850</t>
  </si>
  <si>
    <t>주택금융공사MBS2013-21(1-7)</t>
  </si>
  <si>
    <t>42851</t>
  </si>
  <si>
    <t>주택금융공사MBS2013-21(1-8)</t>
  </si>
  <si>
    <t>42953</t>
  </si>
  <si>
    <t>43029</t>
  </si>
  <si>
    <t>주택금융공사MBS2013-24(1-1)</t>
  </si>
  <si>
    <t>43037</t>
  </si>
  <si>
    <t>주택금융공사MBS2013-25(1-7)</t>
  </si>
  <si>
    <t>43038</t>
  </si>
  <si>
    <t>주택금융공사MBS2013-25(1-8)</t>
  </si>
  <si>
    <t>43071</t>
  </si>
  <si>
    <t>주택금융공사MBS2013-26(1-7)</t>
  </si>
  <si>
    <t>43072</t>
  </si>
  <si>
    <t>주택금융공사MBS2013-26(1-8)</t>
  </si>
  <si>
    <t>43076</t>
  </si>
  <si>
    <t>43089</t>
  </si>
  <si>
    <t>주택금융공사MBS2013-23(1-7)</t>
  </si>
  <si>
    <t>43090</t>
  </si>
  <si>
    <t>주택금융공사MBS2013-23(1-8)</t>
  </si>
  <si>
    <t>43117</t>
  </si>
  <si>
    <t>산업기반신보제이차1-1</t>
  </si>
  <si>
    <t>43144</t>
  </si>
  <si>
    <t>주택금융공사MBS2013-27(1-6)</t>
  </si>
  <si>
    <t>43145</t>
  </si>
  <si>
    <t>주택금융공사MBS2013-27(1-7)</t>
  </si>
  <si>
    <t>43146</t>
  </si>
  <si>
    <t>주택금융공사MBS2013-27(1-8)</t>
  </si>
  <si>
    <t>43208</t>
  </si>
  <si>
    <t>43214</t>
  </si>
  <si>
    <t>주택금융공사MBS2013-28(1-6)</t>
  </si>
  <si>
    <t>43215</t>
  </si>
  <si>
    <t>주택금융공사MBS2013-28(1-7)</t>
  </si>
  <si>
    <t>43216</t>
  </si>
  <si>
    <t>주택금융공사MBS2013-28(1-8)</t>
  </si>
  <si>
    <t>43227</t>
  </si>
  <si>
    <t>주택금융공사MBS2013-29(1-7)</t>
  </si>
  <si>
    <t>43228</t>
  </si>
  <si>
    <t>주택금융공사MBS2013-29(1-8)</t>
  </si>
  <si>
    <t>43238</t>
  </si>
  <si>
    <t>주택금융공사MBS2013-30(1-6)</t>
  </si>
  <si>
    <t>43239</t>
  </si>
  <si>
    <t>주택금융공사MBS2013-30(1-7)</t>
  </si>
  <si>
    <t>43240</t>
  </si>
  <si>
    <t>주택금융공사MBS2013-30(1-8)</t>
  </si>
  <si>
    <t>43413</t>
  </si>
  <si>
    <t>주택금융공사MBS2013-31(1-6)</t>
  </si>
  <si>
    <t>43414</t>
  </si>
  <si>
    <t>주택금융공사MBS2013-31(1-7)</t>
  </si>
  <si>
    <t>43415</t>
  </si>
  <si>
    <t>주택금융공사MBS2013-31(1-8)</t>
  </si>
  <si>
    <t>43453</t>
  </si>
  <si>
    <t>주택금융공사MBS2013-33(1-1)</t>
  </si>
  <si>
    <t>43481</t>
  </si>
  <si>
    <t>주택금융공사MBS2013-32(1-7)</t>
  </si>
  <si>
    <t>43482</t>
  </si>
  <si>
    <t>주택금융공사MBS2013-32(1-8)</t>
  </si>
  <si>
    <t>43505</t>
  </si>
  <si>
    <t>43515</t>
  </si>
  <si>
    <t>43546</t>
  </si>
  <si>
    <t>주택금융공사MBS2013-34(1-7)</t>
  </si>
  <si>
    <t>43547</t>
  </si>
  <si>
    <t>주택금융공사MBS2013-34(1-8)</t>
  </si>
  <si>
    <t>43612</t>
  </si>
  <si>
    <t>주택금융공사MBS2013-35(1-6)</t>
  </si>
  <si>
    <t>43613</t>
  </si>
  <si>
    <t>주택금융공사MBS2013-35(1-7)</t>
  </si>
  <si>
    <t>43614</t>
  </si>
  <si>
    <t>주택금융공사MBS2013-35(1-8)</t>
  </si>
  <si>
    <t>43853</t>
  </si>
  <si>
    <t>주택금융공사MBS2013-36(1-6)</t>
  </si>
  <si>
    <t>43854</t>
  </si>
  <si>
    <t>주택금융공사MBS2013-36(1-7)</t>
  </si>
  <si>
    <t>43855</t>
  </si>
  <si>
    <t>주택금융공사MBS2013-36(1-8)</t>
  </si>
  <si>
    <t>44050</t>
  </si>
  <si>
    <t>주택금융공사MBS2013-38(1-1)</t>
  </si>
  <si>
    <t>44051</t>
  </si>
  <si>
    <t>종근당</t>
  </si>
  <si>
    <t>44059</t>
  </si>
  <si>
    <t>주택금융공사MBS2013-40(1-7)</t>
  </si>
  <si>
    <t>44060</t>
  </si>
  <si>
    <t>주택금융공사MBS2013-40(1-8)</t>
  </si>
  <si>
    <t>44153</t>
  </si>
  <si>
    <t>44305</t>
  </si>
  <si>
    <t>44352</t>
  </si>
  <si>
    <t>한국주택금융공사MBS2014-2(1-7)</t>
  </si>
  <si>
    <t>44353</t>
  </si>
  <si>
    <t>한국주택금융공사MBS2014-2(1-8)</t>
  </si>
  <si>
    <t>44415</t>
  </si>
  <si>
    <t>한국주택금융공사MBS2014-3(1-6)</t>
  </si>
  <si>
    <t>44416</t>
  </si>
  <si>
    <t>한국주택금융공사MBS2014-3(1-7)</t>
  </si>
  <si>
    <t>44417</t>
  </si>
  <si>
    <t>한국주택금융공사MBS2014-3(1-8)</t>
  </si>
  <si>
    <t>44461</t>
  </si>
  <si>
    <t>한국주택금융공사MBS2014-5(1-7)</t>
  </si>
  <si>
    <t>44462</t>
  </si>
  <si>
    <t>한국주택금융공사MBS2014-5(1-8)</t>
  </si>
  <si>
    <t>44598</t>
  </si>
  <si>
    <t>한국주택금융공사MBS2014-6(1-7)</t>
  </si>
  <si>
    <t>44599</t>
  </si>
  <si>
    <t>한국주택금융공사MBS2014-6(1-8)</t>
  </si>
  <si>
    <t>44723</t>
  </si>
  <si>
    <t>마니커에프앤지</t>
  </si>
  <si>
    <t>44733</t>
  </si>
  <si>
    <t>한국주택금융공사MBS2014-8(1-7)</t>
  </si>
  <si>
    <t>44734</t>
  </si>
  <si>
    <t>한국주택금융공사MBS2014-8(1-8)</t>
  </si>
  <si>
    <t>44761</t>
  </si>
  <si>
    <t>한국주택금융공사MBS2014-7(1-1)</t>
  </si>
  <si>
    <t>44906</t>
  </si>
  <si>
    <t>코스맥스</t>
  </si>
  <si>
    <t>44919</t>
  </si>
  <si>
    <t>HK이노엔</t>
  </si>
  <si>
    <t>45401</t>
  </si>
  <si>
    <t>주택금융공사MBS2014-10(1-7)</t>
  </si>
  <si>
    <t>45402</t>
  </si>
  <si>
    <t>주택금융공사MBS2014-10(1-8)</t>
  </si>
  <si>
    <t>45405</t>
  </si>
  <si>
    <t>45406</t>
  </si>
  <si>
    <t>45650</t>
  </si>
  <si>
    <t>주택금융공사MBS2014-11(1-6)</t>
  </si>
  <si>
    <t>45651</t>
  </si>
  <si>
    <t>주택금융공사MBS2014-11(1-7)</t>
  </si>
  <si>
    <t>45652</t>
  </si>
  <si>
    <t>주택금융공사MBS2014-11(1-8)</t>
  </si>
  <si>
    <t>45790</t>
  </si>
  <si>
    <t>45850</t>
  </si>
  <si>
    <t>45888</t>
  </si>
  <si>
    <t>주택금융공사MBS2014-12(1-6)</t>
  </si>
  <si>
    <t>45889</t>
  </si>
  <si>
    <t>주택금융공사MBS2014-12(1-7)</t>
  </si>
  <si>
    <t>45890</t>
  </si>
  <si>
    <t>주택금융공사MBS2014-12(1-8)</t>
  </si>
  <si>
    <t>46003</t>
  </si>
  <si>
    <t>주택금융공사MBS2014-13(1-6)</t>
  </si>
  <si>
    <t>46004</t>
  </si>
  <si>
    <t>주택금융공사MBS2014-13(1-7)</t>
  </si>
  <si>
    <t>46005</t>
  </si>
  <si>
    <t>주택금융공사MBS2014-13(1-8)</t>
  </si>
  <si>
    <t>46009</t>
  </si>
  <si>
    <t>주택금융공사MBS2014-14(1-1)</t>
  </si>
  <si>
    <t>46015</t>
  </si>
  <si>
    <t>HL만도</t>
  </si>
  <si>
    <t>46110</t>
  </si>
  <si>
    <t>주택금융공사MBS2014-15(1-6)</t>
  </si>
  <si>
    <t>46111</t>
  </si>
  <si>
    <t>주택금융공사MBS2014-15(1-7)</t>
  </si>
  <si>
    <t>46112</t>
  </si>
  <si>
    <t>주택금융공사MBS2014-15(1-8)</t>
  </si>
  <si>
    <t>46221</t>
  </si>
  <si>
    <t>주택금융공사MBS2014-16(1-6)</t>
  </si>
  <si>
    <t>46222</t>
  </si>
  <si>
    <t>주택금융공사MBS2014-16(1-7)</t>
  </si>
  <si>
    <t>46223</t>
  </si>
  <si>
    <t>주택금융공사MBS2014-16(1-8)</t>
  </si>
  <si>
    <t>46225</t>
  </si>
  <si>
    <t>46226</t>
  </si>
  <si>
    <t>에스케이어드밴스드</t>
  </si>
  <si>
    <t>46324</t>
  </si>
  <si>
    <t>주택금융공사MBS2014-17(1-6)</t>
  </si>
  <si>
    <t>46325</t>
  </si>
  <si>
    <t>주택금융공사MBS2014-17(1-7)</t>
  </si>
  <si>
    <t>46326</t>
  </si>
  <si>
    <t>주택금융공사MBS2014-17(1-8)</t>
  </si>
  <si>
    <t>46333</t>
  </si>
  <si>
    <t>서연이화</t>
  </si>
  <si>
    <t>46415</t>
  </si>
  <si>
    <t>46416</t>
  </si>
  <si>
    <t>정다운</t>
  </si>
  <si>
    <t>46443</t>
  </si>
  <si>
    <t>46471</t>
  </si>
  <si>
    <t>주택금융공사MBS2014-18(1-6)</t>
  </si>
  <si>
    <t>46472</t>
  </si>
  <si>
    <t>주택금융공사MBS2014-18(1-7)</t>
  </si>
  <si>
    <t>46473</t>
  </si>
  <si>
    <t>주택금융공사MBS2014-18(1-8)</t>
  </si>
  <si>
    <t>46602</t>
  </si>
  <si>
    <t>아스트</t>
  </si>
  <si>
    <t>46669</t>
  </si>
  <si>
    <t>주택금융공사MBS2014-19(1-6)</t>
  </si>
  <si>
    <t>46670</t>
  </si>
  <si>
    <t>주택금융공사MBS2014-19(1-7)</t>
  </si>
  <si>
    <t>46671</t>
  </si>
  <si>
    <t>주택금융공사MBS2014-19(1-8)</t>
  </si>
  <si>
    <t>46710</t>
  </si>
  <si>
    <t>나래에너지서비스</t>
  </si>
  <si>
    <t>46768</t>
  </si>
  <si>
    <t>주택금융공사MBS2014-20(1-6)</t>
  </si>
  <si>
    <t>46769</t>
  </si>
  <si>
    <t>주택금융공사MBS2014-20(1-7)</t>
  </si>
  <si>
    <t>46770</t>
  </si>
  <si>
    <t>주택금융공사MBS2014-20(1-8)</t>
  </si>
  <si>
    <t>46852</t>
  </si>
  <si>
    <t>46860</t>
  </si>
  <si>
    <t>46897</t>
  </si>
  <si>
    <t>주택금융공사MBS2014-21(1-6)</t>
  </si>
  <si>
    <t>46898</t>
  </si>
  <si>
    <t>주택금융공사MBS2014-21(1-7)</t>
  </si>
  <si>
    <t>46899</t>
  </si>
  <si>
    <t>주택금융공사MBS2014-21(1-8)</t>
  </si>
  <si>
    <t>46904</t>
  </si>
  <si>
    <t>주택금융공사MBS2014-22(1-1)</t>
  </si>
  <si>
    <t>47068</t>
  </si>
  <si>
    <t>주택금융공사MBS2015-1(1-6)</t>
  </si>
  <si>
    <t>47069</t>
  </si>
  <si>
    <t>주택금융공사MBS2015-1(1-7)</t>
  </si>
  <si>
    <t>47070</t>
  </si>
  <si>
    <t>주택금융공사MBS2015-1(1-8)</t>
  </si>
  <si>
    <t>47104</t>
  </si>
  <si>
    <t>47176</t>
  </si>
  <si>
    <t>엔에이치에프제3호B공공임대(유)</t>
  </si>
  <si>
    <t>47183</t>
  </si>
  <si>
    <t>주택금융공사MBS2015-2(1-6)</t>
  </si>
  <si>
    <t>47184</t>
  </si>
  <si>
    <t>주택금융공사MBS2015-2(1-7)</t>
  </si>
  <si>
    <t>47185</t>
  </si>
  <si>
    <t>주택금융공사MBS2015-2(1-8)</t>
  </si>
  <si>
    <t>47247</t>
  </si>
  <si>
    <t>주택금융공사MBS2015-3(1-6)</t>
  </si>
  <si>
    <t>47248</t>
  </si>
  <si>
    <t>주택금융공사MBS2015-3(1-7)</t>
  </si>
  <si>
    <t>47249</t>
  </si>
  <si>
    <t>주택금융공사MBS2015-3(1-8)</t>
  </si>
  <si>
    <t>47315</t>
  </si>
  <si>
    <t>47346</t>
  </si>
  <si>
    <t>주택금융공사MBS2015-4(1-6)</t>
  </si>
  <si>
    <t>47347</t>
  </si>
  <si>
    <t>주택금융공사MBS2015-4(1-7)</t>
  </si>
  <si>
    <t>47348</t>
  </si>
  <si>
    <t>주택금융공사MBS2015-4(1-8)</t>
  </si>
  <si>
    <t>47428</t>
  </si>
  <si>
    <t>주택금융공사MBS2015-5(1-6)</t>
  </si>
  <si>
    <t>47429</t>
  </si>
  <si>
    <t>주택금융공사MBS2015-5(1-7)</t>
  </si>
  <si>
    <t>47430</t>
  </si>
  <si>
    <t>주택금융공사MBS2015-5(1-8)</t>
  </si>
  <si>
    <t>47436</t>
  </si>
  <si>
    <t>DL에너지</t>
  </si>
  <si>
    <t>47565</t>
  </si>
  <si>
    <t>주택금융공사MBS2015-6(1-6)</t>
  </si>
  <si>
    <t>47566</t>
  </si>
  <si>
    <t>주택금융공사MBS2015-6(1-7)</t>
  </si>
  <si>
    <t>47567</t>
  </si>
  <si>
    <t>주택금융공사MBS2015-6(1-8)</t>
  </si>
  <si>
    <t>47605</t>
  </si>
  <si>
    <t>주택금융공사MBS2015-7(1-6)</t>
  </si>
  <si>
    <t>47606</t>
  </si>
  <si>
    <t>주택금융공사MBS2015-7(1-7)</t>
  </si>
  <si>
    <t>47607</t>
  </si>
  <si>
    <t>주택금융공사MBS2015-7(1-8)</t>
  </si>
  <si>
    <t>47765</t>
  </si>
  <si>
    <t>주택금융공사MBS2015-8(1-1)</t>
  </si>
  <si>
    <t>47775</t>
  </si>
  <si>
    <t>디와이디</t>
  </si>
  <si>
    <t>47781</t>
  </si>
  <si>
    <t>주택금융공사MBS2015-9(1-6)</t>
  </si>
  <si>
    <t>47782</t>
  </si>
  <si>
    <t>주택금융공사MBS2015-9(1-7)</t>
  </si>
  <si>
    <t>47783</t>
  </si>
  <si>
    <t>주택금융공사MBS2015-9(1-8)</t>
  </si>
  <si>
    <t>47889</t>
  </si>
  <si>
    <t>47890</t>
  </si>
  <si>
    <t>47891</t>
  </si>
  <si>
    <t>48080</t>
  </si>
  <si>
    <t>48081</t>
  </si>
  <si>
    <t>48082</t>
  </si>
  <si>
    <t>48125</t>
  </si>
  <si>
    <t>48126</t>
  </si>
  <si>
    <t>48127</t>
  </si>
  <si>
    <t>48168</t>
  </si>
  <si>
    <t>48169</t>
  </si>
  <si>
    <t>48170</t>
  </si>
  <si>
    <t>48292</t>
  </si>
  <si>
    <t>산업기반신보제6차</t>
  </si>
  <si>
    <t>48343</t>
  </si>
  <si>
    <t>48344</t>
  </si>
  <si>
    <t>48345</t>
  </si>
  <si>
    <t>48353</t>
  </si>
  <si>
    <t>48354</t>
  </si>
  <si>
    <t>48355</t>
  </si>
  <si>
    <t>48397</t>
  </si>
  <si>
    <t>공항철도제1차1-9</t>
  </si>
  <si>
    <t>48398</t>
  </si>
  <si>
    <t>공항철도제1차1-10</t>
  </si>
  <si>
    <t>48399</t>
  </si>
  <si>
    <t>공항철도제1차1-11</t>
  </si>
  <si>
    <t>48400</t>
  </si>
  <si>
    <t>공항철도제1차1-12</t>
  </si>
  <si>
    <t>48401</t>
  </si>
  <si>
    <t>공항철도제1차1-13</t>
  </si>
  <si>
    <t>48402</t>
  </si>
  <si>
    <t>공항철도제1차1-14</t>
  </si>
  <si>
    <t>48403</t>
  </si>
  <si>
    <t>공항철도제1차1-15</t>
  </si>
  <si>
    <t>48404</t>
  </si>
  <si>
    <t>공항철도제1차1-16</t>
  </si>
  <si>
    <t>48405</t>
  </si>
  <si>
    <t>공항철도제1차1-17</t>
  </si>
  <si>
    <t>48406</t>
  </si>
  <si>
    <t>공항철도제1차1-18</t>
  </si>
  <si>
    <t>48407</t>
  </si>
  <si>
    <t>공항철도제1차1-19</t>
  </si>
  <si>
    <t>48408</t>
  </si>
  <si>
    <t>공항철도제1차1-20</t>
  </si>
  <si>
    <t>48409</t>
  </si>
  <si>
    <t>공항철도제1차1-21</t>
  </si>
  <si>
    <t>48410</t>
  </si>
  <si>
    <t>공항철도제1차1-22</t>
  </si>
  <si>
    <t>48411</t>
  </si>
  <si>
    <t>공항철도제1차1-23</t>
  </si>
  <si>
    <t>48412</t>
  </si>
  <si>
    <t>공항철도제1차1-24</t>
  </si>
  <si>
    <t>48413</t>
  </si>
  <si>
    <t>공항철도제1차1-25</t>
  </si>
  <si>
    <t>48414</t>
  </si>
  <si>
    <t>공항철도제1차1-26</t>
  </si>
  <si>
    <t>48452</t>
  </si>
  <si>
    <t>엔에이치에프제4호B공공임대(유)</t>
  </si>
  <si>
    <t>48455</t>
  </si>
  <si>
    <t>산업기반신보제칠차1-1</t>
  </si>
  <si>
    <t>48456</t>
  </si>
  <si>
    <t>산업기반신보제칠차1-2</t>
  </si>
  <si>
    <t>48457</t>
  </si>
  <si>
    <t>산업기반신보제칠차1-3</t>
  </si>
  <si>
    <t>48458</t>
  </si>
  <si>
    <t>산업기반신보제칠차1-4</t>
  </si>
  <si>
    <t>48459</t>
  </si>
  <si>
    <t>산업기반신보제칠차1-5</t>
  </si>
  <si>
    <t>48460</t>
  </si>
  <si>
    <t>산업기반신보제칠차1-6</t>
  </si>
  <si>
    <t>48461</t>
  </si>
  <si>
    <t>산업기반신보제칠차1-7</t>
  </si>
  <si>
    <t>48462</t>
  </si>
  <si>
    <t>산업기반신보제칠차1-8</t>
  </si>
  <si>
    <t>48463</t>
  </si>
  <si>
    <t>산업기반신보제칠차1-9</t>
  </si>
  <si>
    <t>48464</t>
  </si>
  <si>
    <t>산업기반신보제칠차1-10</t>
  </si>
  <si>
    <t>48465</t>
  </si>
  <si>
    <t>산업기반신보제칠차1-11</t>
  </si>
  <si>
    <t>48466</t>
  </si>
  <si>
    <t>산업기반신보제칠차1-12</t>
  </si>
  <si>
    <t>48467</t>
  </si>
  <si>
    <t>산업기반신보제칠차1-13</t>
  </si>
  <si>
    <t>48468</t>
  </si>
  <si>
    <t>산업기반신보제칠차1-14</t>
  </si>
  <si>
    <t>48479</t>
  </si>
  <si>
    <t>48480</t>
  </si>
  <si>
    <t>48481</t>
  </si>
  <si>
    <t>48543</t>
  </si>
  <si>
    <t>48544</t>
  </si>
  <si>
    <t>48545</t>
  </si>
  <si>
    <t>48552</t>
  </si>
  <si>
    <t>48562</t>
  </si>
  <si>
    <t>48563</t>
  </si>
  <si>
    <t>48564</t>
  </si>
  <si>
    <t>48655</t>
  </si>
  <si>
    <t>48656</t>
  </si>
  <si>
    <t>48657</t>
  </si>
  <si>
    <t>48755</t>
  </si>
  <si>
    <t>48756</t>
  </si>
  <si>
    <t>48757</t>
  </si>
  <si>
    <t>48868</t>
  </si>
  <si>
    <t>엔에이치에프제5호공공임대(유)</t>
  </si>
  <si>
    <t>48869</t>
  </si>
  <si>
    <t>엔에이치에프제6호A공공임대(유)</t>
  </si>
  <si>
    <t>48878</t>
  </si>
  <si>
    <t>48879</t>
  </si>
  <si>
    <t>48880</t>
  </si>
  <si>
    <t>48963</t>
  </si>
  <si>
    <t>48964</t>
  </si>
  <si>
    <t>48965</t>
  </si>
  <si>
    <t>49181</t>
  </si>
  <si>
    <t>49182</t>
  </si>
  <si>
    <t>49183</t>
  </si>
  <si>
    <t>49324</t>
  </si>
  <si>
    <t>49325</t>
  </si>
  <si>
    <t>49326</t>
  </si>
  <si>
    <t>49358</t>
  </si>
  <si>
    <t>(주)광진기계</t>
  </si>
  <si>
    <t>49418</t>
  </si>
  <si>
    <t>산업기반신보제팔차1-2</t>
  </si>
  <si>
    <t>49456</t>
  </si>
  <si>
    <t>49457</t>
  </si>
  <si>
    <t>49458</t>
  </si>
  <si>
    <t>49531</t>
  </si>
  <si>
    <t>주택금융공사MBS2015-28(1-6)</t>
  </si>
  <si>
    <t>49532</t>
  </si>
  <si>
    <t>주택금융공사MBS2015-28(1-7)</t>
  </si>
  <si>
    <t>49533</t>
  </si>
  <si>
    <t>주택금융공사MBS2015-28(1-8)</t>
  </si>
  <si>
    <t>49728</t>
  </si>
  <si>
    <t>포트폴리오ROK(유)4차-1</t>
  </si>
  <si>
    <t>49731</t>
  </si>
  <si>
    <t>산업기반신보제구차1</t>
  </si>
  <si>
    <t>49794</t>
  </si>
  <si>
    <t>주택금융공사MBS2016-1(1-6)</t>
  </si>
  <si>
    <t>49795</t>
  </si>
  <si>
    <t>주택금융공사MBS2016-1(1-7)</t>
  </si>
  <si>
    <t>49796</t>
  </si>
  <si>
    <t>주택금융공사MBS2016-1(1-8)</t>
  </si>
  <si>
    <t>49800</t>
  </si>
  <si>
    <t>엔에이치에프제7호A공공임대(유)</t>
  </si>
  <si>
    <t>49870</t>
  </si>
  <si>
    <t>주택금융공사MBS2016-3(1-6)</t>
  </si>
  <si>
    <t>49871</t>
  </si>
  <si>
    <t>주택금융공사MBS2016-3(1-7)</t>
  </si>
  <si>
    <t>49872</t>
  </si>
  <si>
    <t>주택금융공사MBS2016-3(1-8)</t>
  </si>
  <si>
    <t>49876</t>
  </si>
  <si>
    <t>하이에이원제십이차(유)1-1</t>
  </si>
  <si>
    <t>49877</t>
  </si>
  <si>
    <t>하이에이원제십이차(유)1-2</t>
  </si>
  <si>
    <t>49911</t>
  </si>
  <si>
    <t>주택금융공사MBS2016-4(1-6)</t>
  </si>
  <si>
    <t>49912</t>
  </si>
  <si>
    <t>주택금융공사MBS2016-4(1-7)</t>
  </si>
  <si>
    <t>49913</t>
  </si>
  <si>
    <t>주택금융공사MBS2016-4(1-8)</t>
  </si>
  <si>
    <t>49924</t>
  </si>
  <si>
    <t>엔에이치에프제6호B공공임대(유)</t>
  </si>
  <si>
    <t>49934</t>
  </si>
  <si>
    <t>주택금융공사MBS2016-5(1-6)</t>
  </si>
  <si>
    <t>49935</t>
  </si>
  <si>
    <t>주택금융공사MBS2016-5(1-7)</t>
  </si>
  <si>
    <t>49941</t>
  </si>
  <si>
    <t>주택금융공사MBS2016-5(1-8)</t>
  </si>
  <si>
    <t>50018</t>
  </si>
  <si>
    <t>한국주택금융공사MBS2016-7(1-6)</t>
  </si>
  <si>
    <t>50019</t>
  </si>
  <si>
    <t>한국주택금융공사MBS2016-7(1-7)</t>
  </si>
  <si>
    <t>50020</t>
  </si>
  <si>
    <t>한국주택금융공사MBS2016-7(1-8)</t>
  </si>
  <si>
    <t>50034</t>
  </si>
  <si>
    <t>한국주택금융공사MBS2016-6(1-6)</t>
  </si>
  <si>
    <t>50035</t>
  </si>
  <si>
    <t>한국주택금융공사MBS2016-6(1-7)</t>
  </si>
  <si>
    <t>50036</t>
  </si>
  <si>
    <t>한국주택금융공사MBS2016-6(1-8)</t>
  </si>
  <si>
    <t>50321</t>
  </si>
  <si>
    <t>한국주택금융공사MBS2016-8(1-6)</t>
  </si>
  <si>
    <t>50322</t>
  </si>
  <si>
    <t>한국주택금융공사MBS2016-8(1-7)</t>
  </si>
  <si>
    <t>50323</t>
  </si>
  <si>
    <t>한국주택금융공사MBS2016-8(1-8)</t>
  </si>
  <si>
    <t>50460</t>
  </si>
  <si>
    <t>한국주택금융공사MBS2016-9(1-6)</t>
  </si>
  <si>
    <t>50461</t>
  </si>
  <si>
    <t>한국주택금융공사MBS2016-9(1-7)</t>
  </si>
  <si>
    <t>50462</t>
  </si>
  <si>
    <t>한국주택금융공사MBS2016-9(1-8)</t>
  </si>
  <si>
    <t>50550</t>
  </si>
  <si>
    <t>우리손에프앤지</t>
  </si>
  <si>
    <t>50566</t>
  </si>
  <si>
    <t>주택금융공사MBS2016-10(1-6)</t>
  </si>
  <si>
    <t>50567</t>
  </si>
  <si>
    <t>주택금융공사MBS2016-10(1-7)</t>
  </si>
  <si>
    <t>50568</t>
  </si>
  <si>
    <t>주택금융공사MBS2016-10(1-8)</t>
  </si>
  <si>
    <t>50572</t>
  </si>
  <si>
    <t>롯데오토리스</t>
  </si>
  <si>
    <t>50626</t>
  </si>
  <si>
    <t>한국주택금융MBS2016-11(1-6)</t>
  </si>
  <si>
    <t>50627</t>
  </si>
  <si>
    <t>한국주택금융MBS2016-11(1-7)</t>
  </si>
  <si>
    <t>50628</t>
  </si>
  <si>
    <t>한국주택금융MBS2016-11(1-8)</t>
  </si>
  <si>
    <t>50838</t>
  </si>
  <si>
    <t>50860</t>
  </si>
  <si>
    <t>유네코</t>
  </si>
  <si>
    <t>50879</t>
  </si>
  <si>
    <t>50955</t>
  </si>
  <si>
    <t>주택금융공사MBS2016-13(1-6)</t>
  </si>
  <si>
    <t>50956</t>
  </si>
  <si>
    <t>주택금융공사MBS2016-13(1-7)</t>
  </si>
  <si>
    <t>50957</t>
  </si>
  <si>
    <t>주택금융공사MBS2016-13(1-8)</t>
  </si>
  <si>
    <t>51093</t>
  </si>
  <si>
    <t>주택금융공사MBS2016-14(1-6)</t>
  </si>
  <si>
    <t>51094</t>
  </si>
  <si>
    <t>주택금융공사MBS2016-14(1-7)</t>
  </si>
  <si>
    <t>51095</t>
  </si>
  <si>
    <t>주택금융공사MBS2016-14(1-8)</t>
  </si>
  <si>
    <t>51189</t>
  </si>
  <si>
    <t>주택금융공사MBS2016-15(1-5)</t>
  </si>
  <si>
    <t>51190</t>
  </si>
  <si>
    <t>주택금융공사MBS2016-15(1-6)</t>
  </si>
  <si>
    <t>51191</t>
  </si>
  <si>
    <t>주택금융공사MBS2016-15(1-7)</t>
  </si>
  <si>
    <t>51192</t>
  </si>
  <si>
    <t>주택금융공사MBS2016-15(1-8)</t>
  </si>
  <si>
    <t>51243</t>
  </si>
  <si>
    <t>주택금융공사MBS2016-16(1-7)</t>
  </si>
  <si>
    <t>51244</t>
  </si>
  <si>
    <t>주택금융공사MBS2016-16(1-8)</t>
  </si>
  <si>
    <t>51250</t>
  </si>
  <si>
    <t>주택금융공사MBS2016-16(1-5)</t>
  </si>
  <si>
    <t>51251</t>
  </si>
  <si>
    <t>주택금융공사MBS2016-16(1-6)</t>
  </si>
  <si>
    <t>51254</t>
  </si>
  <si>
    <t>제이티비씨</t>
  </si>
  <si>
    <t>51299</t>
  </si>
  <si>
    <t>주택금융공사MBS2016-17(1-5)</t>
  </si>
  <si>
    <t>51300</t>
  </si>
  <si>
    <t>주택금융공사MBS2016-17(1-6)</t>
  </si>
  <si>
    <t>51301</t>
  </si>
  <si>
    <t>주택금융공사MBS2016-17(1-7)</t>
  </si>
  <si>
    <t>51302</t>
  </si>
  <si>
    <t>주택금융공사MBS2016-17(1-8)</t>
  </si>
  <si>
    <t>51373</t>
  </si>
  <si>
    <t>주택금융공사MBS2016-18(1-1)</t>
  </si>
  <si>
    <t>51385</t>
  </si>
  <si>
    <t>주택금융공사MBS2016-19(1-5)</t>
  </si>
  <si>
    <t>51386</t>
  </si>
  <si>
    <t>주택금융공사MBS2016-19(1-6)</t>
  </si>
  <si>
    <t>51387</t>
  </si>
  <si>
    <t>주택금융공사MBS2016-19(1-7)</t>
  </si>
  <si>
    <t>51388</t>
  </si>
  <si>
    <t>주택금융공사MBS2016-19(1-8)</t>
  </si>
  <si>
    <t>51574</t>
  </si>
  <si>
    <t>주택금융공사MBS2016-20(1-5)</t>
  </si>
  <si>
    <t>51575</t>
  </si>
  <si>
    <t>주택금융공사MBS2016-20(1-6)</t>
  </si>
  <si>
    <t>51576</t>
  </si>
  <si>
    <t>주택금융공사MBS2016-20(1-7)</t>
  </si>
  <si>
    <t>51577</t>
  </si>
  <si>
    <t>주택금융공사MBS2016-20(1-8)</t>
  </si>
  <si>
    <t>51632</t>
  </si>
  <si>
    <t>동양산업</t>
  </si>
  <si>
    <t>51674</t>
  </si>
  <si>
    <t>주택금융공사MBS2016-21(1-5)</t>
  </si>
  <si>
    <t>51675</t>
  </si>
  <si>
    <t>주택금융공사MBS2016-21(1-6)</t>
  </si>
  <si>
    <t>51676</t>
  </si>
  <si>
    <t>주택금융공사MBS2016-21(1-7)</t>
  </si>
  <si>
    <t>51677</t>
  </si>
  <si>
    <t>주택금융공사MBS2016-21(1-8)</t>
  </si>
  <si>
    <t>51782</t>
  </si>
  <si>
    <t>주택금융공사MBS2016-22(1-5)</t>
  </si>
  <si>
    <t>51783</t>
  </si>
  <si>
    <t>주택금융공사MBS2016-22(1-6)</t>
  </si>
  <si>
    <t>51784</t>
  </si>
  <si>
    <t>주택금융공사MBS2016-22(1-7)</t>
  </si>
  <si>
    <t>51785</t>
  </si>
  <si>
    <t>주택금융공사MBS2016-22(1-8)</t>
  </si>
  <si>
    <t>51869</t>
  </si>
  <si>
    <t>51983</t>
  </si>
  <si>
    <t>주택금융공사MBS2016-23(1-5)</t>
  </si>
  <si>
    <t>51984</t>
  </si>
  <si>
    <t>주택금융공사MBS2016-23(1-6)</t>
  </si>
  <si>
    <t>51985</t>
  </si>
  <si>
    <t>주택금융공사MBS2016-23(1-7)</t>
  </si>
  <si>
    <t>51986</t>
  </si>
  <si>
    <t>주택금융공사MBS2016-23(1-8)</t>
  </si>
  <si>
    <t>52250</t>
  </si>
  <si>
    <t>주택금융공사MBS2016-26(1-5)</t>
  </si>
  <si>
    <t>52251</t>
  </si>
  <si>
    <t>주택금융공사MBS2016-26(1-6)</t>
  </si>
  <si>
    <t>52252</t>
  </si>
  <si>
    <t>주택금융공사MBS2016-26(1-7)</t>
  </si>
  <si>
    <t>52253</t>
  </si>
  <si>
    <t>주택금융공사MBS2016-26(1-8)</t>
  </si>
  <si>
    <t>52338</t>
  </si>
  <si>
    <t>주택금융공사MBS2016-27(1-5)</t>
  </si>
  <si>
    <t>52339</t>
  </si>
  <si>
    <t>주택금융공사MBS2016-27(1-6)</t>
  </si>
  <si>
    <t>52340</t>
  </si>
  <si>
    <t>주택금융공사MBS2016-27(1-7)</t>
  </si>
  <si>
    <t>52341</t>
  </si>
  <si>
    <t>주택금융공사MBS2016-27(1-8)</t>
  </si>
  <si>
    <t>52383</t>
  </si>
  <si>
    <t>주택금융공사MBS2016-28(1-5)</t>
  </si>
  <si>
    <t>52384</t>
  </si>
  <si>
    <t>주택금융공사MBS2016-28(1-6)</t>
  </si>
  <si>
    <t>52385</t>
  </si>
  <si>
    <t>주택금융공사MBS2016-28(1-7)</t>
  </si>
  <si>
    <t>52386</t>
  </si>
  <si>
    <t>주택금융공사MBS2016-28(1-8)</t>
  </si>
  <si>
    <t>52393</t>
  </si>
  <si>
    <t>주택금융공사MBS2016-29(1-5)</t>
  </si>
  <si>
    <t>52394</t>
  </si>
  <si>
    <t>주택금융공사MBS2016-29(1-6)</t>
  </si>
  <si>
    <t>52395</t>
  </si>
  <si>
    <t>주택금융공사MBS2016-29(1-7)</t>
  </si>
  <si>
    <t>52396</t>
  </si>
  <si>
    <t>주택금융공사MBS2016-29(1-8)</t>
  </si>
  <si>
    <t>52427</t>
  </si>
  <si>
    <t>주택금융공사MBS2017-01(1-5)</t>
  </si>
  <si>
    <t>52428</t>
  </si>
  <si>
    <t>주택금융공사MBS2017-01(1-6)</t>
  </si>
  <si>
    <t>52429</t>
  </si>
  <si>
    <t>주택금융공사MBS2017-01(1-7)</t>
  </si>
  <si>
    <t>52430</t>
  </si>
  <si>
    <t>주택금융공사MBS2017-01(1-8)</t>
  </si>
  <si>
    <t>52466</t>
  </si>
  <si>
    <t>주택금융공사MBS2017-2(1-5)</t>
  </si>
  <si>
    <t>52467</t>
  </si>
  <si>
    <t>주택금융공사MBS2017-2(1-6)</t>
  </si>
  <si>
    <t>52468</t>
  </si>
  <si>
    <t>주택금융공사MBS2017-2(1-7)</t>
  </si>
  <si>
    <t>52469</t>
  </si>
  <si>
    <t>주택금융공사MBS2017-2(1-8)</t>
  </si>
  <si>
    <t>52517</t>
  </si>
  <si>
    <t>52553</t>
  </si>
  <si>
    <t>주택금융공사MBS2017-3(1-5)</t>
  </si>
  <si>
    <t>52554</t>
  </si>
  <si>
    <t>주택금융공사MBS2017-3(1-6)</t>
  </si>
  <si>
    <t>52555</t>
  </si>
  <si>
    <t>주택금융공사MBS2017-3(1-7)</t>
  </si>
  <si>
    <t>52556</t>
  </si>
  <si>
    <t>주택금융공사MBS2017-3(1-8)</t>
  </si>
  <si>
    <t>52594</t>
  </si>
  <si>
    <t>주택금융공사MBS2017-4(1-5)</t>
  </si>
  <si>
    <t>52595</t>
  </si>
  <si>
    <t>주택금융공사MBS2017-4(1-6)</t>
  </si>
  <si>
    <t>52596</t>
  </si>
  <si>
    <t>주택금융공사MBS2017-4(1-7)</t>
  </si>
  <si>
    <t>52597</t>
  </si>
  <si>
    <t>주택금융공사MBS2017-4(1-8)</t>
  </si>
  <si>
    <t>52666</t>
  </si>
  <si>
    <t>52671</t>
  </si>
  <si>
    <t>주택금융공사MBS2017-5(1-5)</t>
  </si>
  <si>
    <t>52672</t>
  </si>
  <si>
    <t>주택금융공사MBS2017-5(1-6)</t>
  </si>
  <si>
    <t>52673</t>
  </si>
  <si>
    <t>주택금융공사MBS2017-5(1-7)</t>
  </si>
  <si>
    <t>52674</t>
  </si>
  <si>
    <t>주택금융공사MBS2017-5(1-8)</t>
  </si>
  <si>
    <t>52706</t>
  </si>
  <si>
    <t>주택금융공사MBS2017-6(1-1)</t>
  </si>
  <si>
    <t>52763</t>
  </si>
  <si>
    <t>산업기반신보제11차(유)</t>
  </si>
  <si>
    <t>52782</t>
  </si>
  <si>
    <t>주택금융공사MBS2017-7(1-5)</t>
  </si>
  <si>
    <t>52783</t>
  </si>
  <si>
    <t>주택금융공사MBS2017-7(1-6)</t>
  </si>
  <si>
    <t>52784</t>
  </si>
  <si>
    <t>주택금융공사MBS2017-7(1-7)</t>
  </si>
  <si>
    <t>52785</t>
  </si>
  <si>
    <t>주택금융공사MBS2017-7(1-8)</t>
  </si>
  <si>
    <t>52826</t>
  </si>
  <si>
    <t>주택금융공사MBS2017-8(1-5)</t>
  </si>
  <si>
    <t>52827</t>
  </si>
  <si>
    <t>주택금융공사MBS2017-8(1-6)</t>
  </si>
  <si>
    <t>52828</t>
  </si>
  <si>
    <t>주택금융공사MBS2017-8(1-7)</t>
  </si>
  <si>
    <t>52829</t>
  </si>
  <si>
    <t>주택금융공사MBS2017-8(1-8)</t>
  </si>
  <si>
    <t>52931</t>
  </si>
  <si>
    <t>HD현대일렉트릭</t>
  </si>
  <si>
    <t>52932</t>
  </si>
  <si>
    <t>HD현대</t>
  </si>
  <si>
    <t>52933</t>
  </si>
  <si>
    <t>HD현대건설기계</t>
  </si>
  <si>
    <t>52992</t>
  </si>
  <si>
    <t>산업기반신보제십이차(유)1-7</t>
  </si>
  <si>
    <t>52993</t>
  </si>
  <si>
    <t>산업기반신보제십이차(유)1-8</t>
  </si>
  <si>
    <t>52994</t>
  </si>
  <si>
    <t>산업기반신보제십이차(유)1-9</t>
  </si>
  <si>
    <t>52995</t>
  </si>
  <si>
    <t>산업기반신보제십이차(유)1-10</t>
  </si>
  <si>
    <t>52996</t>
  </si>
  <si>
    <t>산업기반신보제십이차(유)1-11</t>
  </si>
  <si>
    <t>52997</t>
  </si>
  <si>
    <t>산업기반신보제십이차(유)1-12</t>
  </si>
  <si>
    <t>52998</t>
  </si>
  <si>
    <t>산업기반신보제십이차(유)1-13</t>
  </si>
  <si>
    <t>52999</t>
  </si>
  <si>
    <t>산업기반신보제십이차(유)1-14</t>
  </si>
  <si>
    <t>53000</t>
  </si>
  <si>
    <t>산업기반신보제십이차(유)1-15</t>
  </si>
  <si>
    <t>53001</t>
  </si>
  <si>
    <t>산업기반신보제십이차(유)1-16</t>
  </si>
  <si>
    <t>53002</t>
  </si>
  <si>
    <t>산업기반신보제십이차(유)1-17</t>
  </si>
  <si>
    <t>53003</t>
  </si>
  <si>
    <t>산업기반신보제십이차(유)1-18</t>
  </si>
  <si>
    <t>53004</t>
  </si>
  <si>
    <t>산업기반신보제십이차(유)1-19</t>
  </si>
  <si>
    <t>53005</t>
  </si>
  <si>
    <t>산업기반신보제십이차(유)1-20</t>
  </si>
  <si>
    <t>53006</t>
  </si>
  <si>
    <t>산업기반신보제십이차(유)1-21</t>
  </si>
  <si>
    <t>53007</t>
  </si>
  <si>
    <t>산업기반신보제십이차(유)1-22</t>
  </si>
  <si>
    <t>53008</t>
  </si>
  <si>
    <t>산업기반신보제십이차(유)1-23</t>
  </si>
  <si>
    <t>53009</t>
  </si>
  <si>
    <t>산업기반신보제십이차(유)1-24</t>
  </si>
  <si>
    <t>53010</t>
  </si>
  <si>
    <t>산업기반신보제십이차(유)1-25</t>
  </si>
  <si>
    <t>53093</t>
  </si>
  <si>
    <t>산업기반신보제십사차(유)1</t>
  </si>
  <si>
    <t>53166</t>
  </si>
  <si>
    <t>산업기반신보제십오차(유)1</t>
  </si>
  <si>
    <t>53169</t>
  </si>
  <si>
    <t>53188</t>
  </si>
  <si>
    <t>주택금융공사MBS2017-12(1-5)</t>
  </si>
  <si>
    <t>53189</t>
  </si>
  <si>
    <t>주택금융공사MBS2017-12(1-6)</t>
  </si>
  <si>
    <t>53190</t>
  </si>
  <si>
    <t>주택금융공사MBS2017-12(1-7)</t>
  </si>
  <si>
    <t>53191</t>
  </si>
  <si>
    <t>주택금융공사MBS2017-12(1-8)</t>
  </si>
  <si>
    <t>53245</t>
  </si>
  <si>
    <t>53325</t>
  </si>
  <si>
    <t>주택금융공사MBS2017-13(1-5)</t>
  </si>
  <si>
    <t>53326</t>
  </si>
  <si>
    <t>주택금융공사MBS2017-13(1-6)</t>
  </si>
  <si>
    <t>53327</t>
  </si>
  <si>
    <t>주택금융공사MBS2017-13(1-7)</t>
  </si>
  <si>
    <t>53328</t>
  </si>
  <si>
    <t>주택금융공사MBS2017-13(1-8)</t>
  </si>
  <si>
    <t>53442</t>
  </si>
  <si>
    <t>디알액시온</t>
  </si>
  <si>
    <t>53445</t>
  </si>
  <si>
    <t>SG</t>
  </si>
  <si>
    <t>53551</t>
  </si>
  <si>
    <t>53563</t>
  </si>
  <si>
    <t>에코프로비엠</t>
  </si>
  <si>
    <t>53608</t>
  </si>
  <si>
    <t>주택금융공사MBS2017-16(1-5)</t>
  </si>
  <si>
    <t>53609</t>
  </si>
  <si>
    <t>주택금융공사MBS2017-16(1-6)</t>
  </si>
  <si>
    <t>53610</t>
  </si>
  <si>
    <t>주택금융공사MBS2017-16(1-7)</t>
  </si>
  <si>
    <t>53611</t>
  </si>
  <si>
    <t>주택금융공사MBS2017-16(1-8)</t>
  </si>
  <si>
    <t>53680</t>
  </si>
  <si>
    <t>주택금융공사MBS2017-17(1-5)</t>
  </si>
  <si>
    <t>53681</t>
  </si>
  <si>
    <t>주택금융공사MBS2017-17(1-6)</t>
  </si>
  <si>
    <t>53682</t>
  </si>
  <si>
    <t>주택금융공사MBS2017-17(1-7)</t>
  </si>
  <si>
    <t>53683</t>
  </si>
  <si>
    <t>주택금융공사MBS2017-17(1-8)</t>
  </si>
  <si>
    <t>53735</t>
  </si>
  <si>
    <t>산업기반신보제십칠차(유)1</t>
  </si>
  <si>
    <t>53738</t>
  </si>
  <si>
    <t>주택금융공사MBS2017-18(1-3)</t>
  </si>
  <si>
    <t>53827</t>
  </si>
  <si>
    <t>주택금융공사MBS2017-19(1-5)</t>
  </si>
  <si>
    <t>53828</t>
  </si>
  <si>
    <t>주택금융공사MBS2017-19(1-6)</t>
  </si>
  <si>
    <t>53829</t>
  </si>
  <si>
    <t>주택금융공사MBS2017-19(1-7)</t>
  </si>
  <si>
    <t>53830</t>
  </si>
  <si>
    <t>주택금융공사MBS2017-19(1-8)</t>
  </si>
  <si>
    <t>53918</t>
  </si>
  <si>
    <t>주택금융공사MBS2017-20(1-5)</t>
  </si>
  <si>
    <t>53919</t>
  </si>
  <si>
    <t>주택금융공사MBS2017-20(1-6)</t>
  </si>
  <si>
    <t>53920</t>
  </si>
  <si>
    <t>주택금융공사MBS2017-20(1-7)</t>
  </si>
  <si>
    <t>53921</t>
  </si>
  <si>
    <t>주택금융공사MBS2017-20(1-8)</t>
  </si>
  <si>
    <t>53928</t>
  </si>
  <si>
    <t>산업기반신보제십팔차1(유)</t>
  </si>
  <si>
    <t>53929</t>
  </si>
  <si>
    <t>주택금융공사MBS2017-21(1-1)</t>
  </si>
  <si>
    <t>53966</t>
  </si>
  <si>
    <t>SK매직</t>
  </si>
  <si>
    <t>53971</t>
  </si>
  <si>
    <t>주택금융공사MBS2017-22(1-5)</t>
  </si>
  <si>
    <t>53972</t>
  </si>
  <si>
    <t>주택금융공사MBS2017-22(1-6)</t>
  </si>
  <si>
    <t>53973</t>
  </si>
  <si>
    <t>주택금융공사MBS2017-22(1-7)</t>
  </si>
  <si>
    <t>53974</t>
  </si>
  <si>
    <t>주택금융공사MBS2017-22(1-8)</t>
  </si>
  <si>
    <t>54081</t>
  </si>
  <si>
    <t>서진캠</t>
  </si>
  <si>
    <t>54133</t>
  </si>
  <si>
    <t>주택금융공사MBS2017-23(1-5)</t>
  </si>
  <si>
    <t>54134</t>
  </si>
  <si>
    <t>주택금융공사MBS2017-23(1-6)</t>
  </si>
  <si>
    <t>54135</t>
  </si>
  <si>
    <t>주택금융공사MBS2017-23(1-7)</t>
  </si>
  <si>
    <t>54136</t>
  </si>
  <si>
    <t>주택금융공사MBS2017-23(1-8)</t>
  </si>
  <si>
    <t>54167</t>
  </si>
  <si>
    <t>주택금융공사MBS2017-24(1-1)</t>
  </si>
  <si>
    <t>54217</t>
  </si>
  <si>
    <t>롯데웰푸드</t>
  </si>
  <si>
    <t>54253</t>
  </si>
  <si>
    <t>주택금융공사MBS2017-25(1-3)</t>
  </si>
  <si>
    <t>54282</t>
  </si>
  <si>
    <t>기도산업</t>
  </si>
  <si>
    <t>54427</t>
  </si>
  <si>
    <t>주택금융공사MBS2017-26(1-5)</t>
  </si>
  <si>
    <t>54428</t>
  </si>
  <si>
    <t>주택금융공사MBS2017-26(1-6)</t>
  </si>
  <si>
    <t>54429</t>
  </si>
  <si>
    <t>주택금융공사MBS2017-26(1-7)</t>
  </si>
  <si>
    <t>54430</t>
  </si>
  <si>
    <t>주택금융공사MBS2017-26(1-8)</t>
  </si>
  <si>
    <t>54701</t>
  </si>
  <si>
    <t>54765</t>
  </si>
  <si>
    <t>태왕이앤씨</t>
  </si>
  <si>
    <t>54863</t>
  </si>
  <si>
    <t>주택금융공사MBS2017-29(1-5)</t>
  </si>
  <si>
    <t>54864</t>
  </si>
  <si>
    <t>주택금융공사MBS2017-29(1-6)</t>
  </si>
  <si>
    <t>54865</t>
  </si>
  <si>
    <t>주택금융공사MBS2017-29(1-7)</t>
  </si>
  <si>
    <t>54866</t>
  </si>
  <si>
    <t>주택금융공사MBS2017-29(1-8)</t>
  </si>
  <si>
    <t>54872</t>
  </si>
  <si>
    <t>54969</t>
  </si>
  <si>
    <t>주택금융공사MBS2017-30(1-5)</t>
  </si>
  <si>
    <t>54970</t>
  </si>
  <si>
    <t>주택금융공사MBS2017-30(1-6)</t>
  </si>
  <si>
    <t>54971</t>
  </si>
  <si>
    <t>주택금융공사MBS2017-30(1-7)</t>
  </si>
  <si>
    <t>54972</t>
  </si>
  <si>
    <t>주택금융공사MBS2017-30(1-8)</t>
  </si>
  <si>
    <t>54979</t>
  </si>
  <si>
    <t>54999</t>
  </si>
  <si>
    <t>산업기반신보제이십차(유)1</t>
  </si>
  <si>
    <t>55032</t>
  </si>
  <si>
    <t>주택금융공사MBS2018-1(1-3)</t>
  </si>
  <si>
    <t>55077</t>
  </si>
  <si>
    <t>주택금융공사MBS2018-02(1-5)</t>
  </si>
  <si>
    <t>55078</t>
  </si>
  <si>
    <t>주택금융공사MBS2018-02(1-6)</t>
  </si>
  <si>
    <t>55079</t>
  </si>
  <si>
    <t>주택금융공사MBS2018-02(1-7)</t>
  </si>
  <si>
    <t>55080</t>
  </si>
  <si>
    <t>주택금융공사MBS2018-02(1-8)</t>
  </si>
  <si>
    <t>55205</t>
  </si>
  <si>
    <t>주택금융공사MBS2018-03(1-5)</t>
  </si>
  <si>
    <t>55206</t>
  </si>
  <si>
    <t>주택금융공사MBS2018-03(1-6)</t>
  </si>
  <si>
    <t>55207</t>
  </si>
  <si>
    <t>주택금융공사MBS2018-03(1-7)</t>
  </si>
  <si>
    <t>55208</t>
  </si>
  <si>
    <t>주택금융공사MBS2018-03(1-8)</t>
  </si>
  <si>
    <t>55242</t>
  </si>
  <si>
    <t>주택금융공사MBS2018-04(1-3)</t>
  </si>
  <si>
    <t>55244</t>
  </si>
  <si>
    <t>에스케이머티리얼즈에어플러스</t>
  </si>
  <si>
    <t>55316</t>
  </si>
  <si>
    <t>주택금융공사MBS2018-5(1-5)</t>
  </si>
  <si>
    <t>55317</t>
  </si>
  <si>
    <t>주택금융공사MBS2018-5(1-6)</t>
  </si>
  <si>
    <t>55318</t>
  </si>
  <si>
    <t>주택금융공사MBS2018-5(1-7)</t>
  </si>
  <si>
    <t>55319</t>
  </si>
  <si>
    <t>주택금융공사MBS2018-5(1-8)</t>
  </si>
  <si>
    <t>55395</t>
  </si>
  <si>
    <t>55400</t>
  </si>
  <si>
    <t>주택금융공사MBS2018-6(1-5)</t>
  </si>
  <si>
    <t>55401</t>
  </si>
  <si>
    <t>주택금융공사MBS2018-6(1-6)</t>
  </si>
  <si>
    <t>55402</t>
  </si>
  <si>
    <t>주택금융공사MBS2018-6(1-7)</t>
  </si>
  <si>
    <t>55403</t>
  </si>
  <si>
    <t>주택금융공사MBS2018-6(1-8)</t>
  </si>
  <si>
    <t>55434</t>
  </si>
  <si>
    <t>주택금융공사MBS2018-7(1-1)</t>
  </si>
  <si>
    <t>55458</t>
  </si>
  <si>
    <t>케이에이제십일차(유)2-3</t>
  </si>
  <si>
    <t>55459</t>
  </si>
  <si>
    <t>케이에이제십일차(유)2-4</t>
  </si>
  <si>
    <t>55460</t>
  </si>
  <si>
    <t>케이에이제십일차(유)2-5</t>
  </si>
  <si>
    <t>55463</t>
  </si>
  <si>
    <t>위니아</t>
  </si>
  <si>
    <t>55545</t>
  </si>
  <si>
    <t>55618</t>
  </si>
  <si>
    <t>심원개발</t>
  </si>
  <si>
    <t>55684</t>
  </si>
  <si>
    <t>오케이홀딩스대부</t>
  </si>
  <si>
    <t>55766</t>
  </si>
  <si>
    <t>HDC현대산업개발</t>
  </si>
  <si>
    <t>55794</t>
  </si>
  <si>
    <t>주택금융공사MBS2018-11(1-5)</t>
  </si>
  <si>
    <t>55795</t>
  </si>
  <si>
    <t>주택금융공사MBS2018-11(1-6)</t>
  </si>
  <si>
    <t>55796</t>
  </si>
  <si>
    <t>주택금융공사MBS2018-11(1-7)</t>
  </si>
  <si>
    <t>55797</t>
  </si>
  <si>
    <t>주택금융공사MBS2018-11(1-8)</t>
  </si>
  <si>
    <t>55832</t>
  </si>
  <si>
    <t>쓰리디팩토리</t>
  </si>
  <si>
    <t>55910</t>
  </si>
  <si>
    <t>주택금융공사MBS2018-12(1-3)</t>
  </si>
  <si>
    <t>55911</t>
  </si>
  <si>
    <t>주택금융공사MBS2018-12(1-4)</t>
  </si>
  <si>
    <t>55969</t>
  </si>
  <si>
    <t>주택금융공사MBS2018-13(1-5)</t>
  </si>
  <si>
    <t>55970</t>
  </si>
  <si>
    <t>주택금융공사MBS2018-13(1-6)</t>
  </si>
  <si>
    <t>55971</t>
  </si>
  <si>
    <t>주택금융공사MBS2018-13(1-7)</t>
  </si>
  <si>
    <t>55972</t>
  </si>
  <si>
    <t>주택금융공사MBS2018-13(1-8)</t>
  </si>
  <si>
    <t>56009</t>
  </si>
  <si>
    <t>산업기반신보제이십삼차(유)1</t>
  </si>
  <si>
    <t>56109</t>
  </si>
  <si>
    <t>56200</t>
  </si>
  <si>
    <t>56216</t>
  </si>
  <si>
    <t>56217</t>
  </si>
  <si>
    <t>56359</t>
  </si>
  <si>
    <t>주택금융공사MBS2018-17(1-4)</t>
  </si>
  <si>
    <t>56360</t>
  </si>
  <si>
    <t>주택금융공사MBS2018-17(1-5)</t>
  </si>
  <si>
    <t>56361</t>
  </si>
  <si>
    <t>주택금융공사MBS2018-17(1-6)</t>
  </si>
  <si>
    <t>56362</t>
  </si>
  <si>
    <t>주택금융공사MBS2018-17(1-7)</t>
  </si>
  <si>
    <t>56363</t>
  </si>
  <si>
    <t>주택금융공사MBS2018-17(1-8)</t>
  </si>
  <si>
    <t>56367</t>
  </si>
  <si>
    <t>에스에프로키제삼차</t>
  </si>
  <si>
    <t>56426</t>
  </si>
  <si>
    <t>주택금융공사MBS2018-18(1-4)</t>
  </si>
  <si>
    <t>56427</t>
  </si>
  <si>
    <t>주택금융공사MBS2018-18(1-5)</t>
  </si>
  <si>
    <t>56428</t>
  </si>
  <si>
    <t>주택금융공사MBS2018-18(1-6)</t>
  </si>
  <si>
    <t>56429</t>
  </si>
  <si>
    <t>주택금융공사MBS2018-18(1-7)</t>
  </si>
  <si>
    <t>56430</t>
  </si>
  <si>
    <t>주택금융공사MBS2018-18(1-8)</t>
  </si>
  <si>
    <t>56434</t>
  </si>
  <si>
    <t>56437</t>
  </si>
  <si>
    <t>56438</t>
  </si>
  <si>
    <t>티엠씨</t>
  </si>
  <si>
    <t>56490</t>
  </si>
  <si>
    <t>56495</t>
  </si>
  <si>
    <t>주택금융공사MBS2018-19(1-4)</t>
  </si>
  <si>
    <t>56496</t>
  </si>
  <si>
    <t>주택금융공사MBS2018-19(1-5)</t>
  </si>
  <si>
    <t>56497</t>
  </si>
  <si>
    <t>주택금융공사MBS2018-19(1-6)</t>
  </si>
  <si>
    <t>56498</t>
  </si>
  <si>
    <t>주택금융공사MBS2018-19(1-7)</t>
  </si>
  <si>
    <t>56499</t>
  </si>
  <si>
    <t>주택금융공사MBS2018-19(1-8)</t>
  </si>
  <si>
    <t>56510</t>
  </si>
  <si>
    <t>엠앤엠송림초임대주택유동화전문</t>
  </si>
  <si>
    <t>56550</t>
  </si>
  <si>
    <t>주택금융공사MBS2018-20(1-4)</t>
  </si>
  <si>
    <t>56551</t>
  </si>
  <si>
    <t>주택금융공사MBS2018-20(1-5)</t>
  </si>
  <si>
    <t>56552</t>
  </si>
  <si>
    <t>주택금융공사MBS2018-20(1-6)</t>
  </si>
  <si>
    <t>56553</t>
  </si>
  <si>
    <t>주택금융공사MBS2018-20(1-7)</t>
  </si>
  <si>
    <t>56554</t>
  </si>
  <si>
    <t>주택금융공사MBS2018-20(1-8)</t>
  </si>
  <si>
    <t>56601</t>
  </si>
  <si>
    <t>56610</t>
  </si>
  <si>
    <t>56616</t>
  </si>
  <si>
    <t>주택금융공사MBS2018-21(1-2)</t>
  </si>
  <si>
    <t>56617</t>
  </si>
  <si>
    <t>주택금융공사MBS2018-21(1-3)</t>
  </si>
  <si>
    <t>56618</t>
  </si>
  <si>
    <t>주택금융공사MBS2018-21(1-4)</t>
  </si>
  <si>
    <t>56626</t>
  </si>
  <si>
    <t>제이케이시리즈이차</t>
  </si>
  <si>
    <t>56627</t>
  </si>
  <si>
    <t>56640</t>
  </si>
  <si>
    <t>주택금융공사MBS2018-22(1-4)</t>
  </si>
  <si>
    <t>56641</t>
  </si>
  <si>
    <t>주택금융공사MBS2018-22(1-5)</t>
  </si>
  <si>
    <t>56642</t>
  </si>
  <si>
    <t>주택금융공사MBS2018-22(1-6)</t>
  </si>
  <si>
    <t>56643</t>
  </si>
  <si>
    <t>주택금융공사MBS2018-22(1-7)</t>
  </si>
  <si>
    <t>56644</t>
  </si>
  <si>
    <t>주택금융공사MBS2018-22(1-8)</t>
  </si>
  <si>
    <t>56726</t>
  </si>
  <si>
    <t>주택금융공사MBS2018-23(1-4)</t>
  </si>
  <si>
    <t>56727</t>
  </si>
  <si>
    <t>주택금융공사MBS2018-23(1-5)</t>
  </si>
  <si>
    <t>56728</t>
  </si>
  <si>
    <t>주택금융공사MBS2018-23(1-6)</t>
  </si>
  <si>
    <t>56729</t>
  </si>
  <si>
    <t>주택금융공사MBS2018-23(1-7)</t>
  </si>
  <si>
    <t>56730</t>
  </si>
  <si>
    <t>주택금융공사MBS2018-23(1-8)</t>
  </si>
  <si>
    <t>56826</t>
  </si>
  <si>
    <t>주택금융공사MBS2018-24(1-4)</t>
  </si>
  <si>
    <t>56827</t>
  </si>
  <si>
    <t>주택금융공사MBS2018-24(1-5)</t>
  </si>
  <si>
    <t>56828</t>
  </si>
  <si>
    <t>주택금융공사MBS2018-24(1-6)</t>
  </si>
  <si>
    <t>56829</t>
  </si>
  <si>
    <t>주택금융공사MBS2018-24(1-7)</t>
  </si>
  <si>
    <t>56830</t>
  </si>
  <si>
    <t>주택금융공사MBS2018-24(1-8)</t>
  </si>
  <si>
    <t>56858</t>
  </si>
  <si>
    <t>주택금융공사MBS2018-25(1-1)</t>
  </si>
  <si>
    <t>56890</t>
  </si>
  <si>
    <t>코너스톤제십칠차</t>
  </si>
  <si>
    <t>57010</t>
  </si>
  <si>
    <t>주택금융공사MBS2018-26(1-4)</t>
  </si>
  <si>
    <t>57011</t>
  </si>
  <si>
    <t>주택금융공사MBS2018-26(1-5)</t>
  </si>
  <si>
    <t>57012</t>
  </si>
  <si>
    <t>주택금융공사MBS2018-26(1-6)</t>
  </si>
  <si>
    <t>57014</t>
  </si>
  <si>
    <t>주택금융공사MBS2018-26(1-7)</t>
  </si>
  <si>
    <t>57015</t>
  </si>
  <si>
    <t>주택금융공사MBS2018-26(1-8)</t>
  </si>
  <si>
    <t>57020</t>
  </si>
  <si>
    <t>키움캐피탈</t>
  </si>
  <si>
    <t>57112</t>
  </si>
  <si>
    <t>포에버제이비제이차</t>
  </si>
  <si>
    <t>57135</t>
  </si>
  <si>
    <t>주택금융공사MBS2018-27(1-2)</t>
  </si>
  <si>
    <t>57136</t>
  </si>
  <si>
    <t>주택금융공사MBS2018-27(1-3)</t>
  </si>
  <si>
    <t>57137</t>
  </si>
  <si>
    <t>주택금융공사MBS2018-27(1-4)</t>
  </si>
  <si>
    <t>57252</t>
  </si>
  <si>
    <t>주택금융공사MBS2018-28(1-4)</t>
  </si>
  <si>
    <t>57253</t>
  </si>
  <si>
    <t>주택금융공사MBS2018-28(1-5)</t>
  </si>
  <si>
    <t>57254</t>
  </si>
  <si>
    <t>주택금융공사MBS2018-28(1-6)</t>
  </si>
  <si>
    <t>57255</t>
  </si>
  <si>
    <t>주택금융공사MBS2018-28(1-7)</t>
  </si>
  <si>
    <t>57256</t>
  </si>
  <si>
    <t>주택금융공사MBS2018-28(1-8)</t>
  </si>
  <si>
    <t>57312</t>
  </si>
  <si>
    <t>주택금융공사MBS2018-29(1-4)</t>
  </si>
  <si>
    <t>57313</t>
  </si>
  <si>
    <t>주택금융공사MBS2018-29(1-5)</t>
  </si>
  <si>
    <t>57314</t>
  </si>
  <si>
    <t>주택금융공사MBS2018-29(1-6)</t>
  </si>
  <si>
    <t>57315</t>
  </si>
  <si>
    <t>주택금융공사MBS2018-29(1-7)</t>
  </si>
  <si>
    <t>57316</t>
  </si>
  <si>
    <t>주택금융공사MBS2018-29(1-8)</t>
  </si>
  <si>
    <t>57325</t>
  </si>
  <si>
    <t>산업기반신보25차(유)1</t>
  </si>
  <si>
    <t>57352</t>
  </si>
  <si>
    <t>주택금융공사MBS2018-30(1-4)</t>
  </si>
  <si>
    <t>57353</t>
  </si>
  <si>
    <t>주택금융공사MBS2018-30(1-5)</t>
  </si>
  <si>
    <t>57354</t>
  </si>
  <si>
    <t>주택금융공사MBS2018-30(1-6)</t>
  </si>
  <si>
    <t>57355</t>
  </si>
  <si>
    <t>주택금융공사MBS2018-30(1-7)</t>
  </si>
  <si>
    <t>57356</t>
  </si>
  <si>
    <t>주택금융공사MBS2018-30(1-8)</t>
  </si>
  <si>
    <t>57387</t>
  </si>
  <si>
    <t>오토피아제육십오차(유)1-30</t>
  </si>
  <si>
    <t>57388</t>
  </si>
  <si>
    <t>오토피아제육십오차(유)1-31</t>
  </si>
  <si>
    <t>57389</t>
  </si>
  <si>
    <t>오토피아제육십오차(유)1-32</t>
  </si>
  <si>
    <t>57390</t>
  </si>
  <si>
    <t>오토피아제육십오차(유)1-33</t>
  </si>
  <si>
    <t>57391</t>
  </si>
  <si>
    <t>오토피아제육십오차(유)1-34</t>
  </si>
  <si>
    <t>57392</t>
  </si>
  <si>
    <t>오토피아제육십오차(유)1-35</t>
  </si>
  <si>
    <t>57487</t>
  </si>
  <si>
    <t>주택금융공사MBS2018-31(1-4)</t>
  </si>
  <si>
    <t>57488</t>
  </si>
  <si>
    <t>주택금융공사MBS2018-31(1-5)</t>
  </si>
  <si>
    <t>57489</t>
  </si>
  <si>
    <t>주택금융공사MBS2018-31(1-6)</t>
  </si>
  <si>
    <t>57490</t>
  </si>
  <si>
    <t>주택금융공사MBS2018-31(1-7)</t>
  </si>
  <si>
    <t>57491</t>
  </si>
  <si>
    <t>주택금융공사MBS2018-31(1-8)</t>
  </si>
  <si>
    <t>57503</t>
  </si>
  <si>
    <t>케이에이제십삼차(유)2-4</t>
  </si>
  <si>
    <t>57504</t>
  </si>
  <si>
    <t>케이에이제십삼차(유)2-5</t>
  </si>
  <si>
    <t>57518</t>
  </si>
  <si>
    <t>주택금융공사MBS2019-1(1-1)</t>
  </si>
  <si>
    <t>57530</t>
  </si>
  <si>
    <t>주택금융공사MBS2019-2(1-2)</t>
  </si>
  <si>
    <t>57531</t>
  </si>
  <si>
    <t>주택금융공사MBS2019-2(1-3)</t>
  </si>
  <si>
    <t>57532</t>
  </si>
  <si>
    <t>주택금융공사MBS2019-2(1-4)</t>
  </si>
  <si>
    <t>57619</t>
  </si>
  <si>
    <t>주택금융공사MBS2019-3(1-4)</t>
  </si>
  <si>
    <t>57620</t>
  </si>
  <si>
    <t>주택금융공사MBS2019-3(1-5)</t>
  </si>
  <si>
    <t>57621</t>
  </si>
  <si>
    <t>주택금융공사MBS2019-3(1-6)</t>
  </si>
  <si>
    <t>57622</t>
  </si>
  <si>
    <t>주택금융공사MBS2019-3(1-7)</t>
  </si>
  <si>
    <t>57623</t>
  </si>
  <si>
    <t>주택금융공사MBS2019-3(1-8)</t>
  </si>
  <si>
    <t>57634</t>
  </si>
  <si>
    <t>57650</t>
  </si>
  <si>
    <t>주택금융공사MBS2019-4(1-2)</t>
  </si>
  <si>
    <t>57651</t>
  </si>
  <si>
    <t>주택금융공사MBS2019-4(1-3)</t>
  </si>
  <si>
    <t>57652</t>
  </si>
  <si>
    <t>주택금융공사MBS2019-4(1-4)</t>
  </si>
  <si>
    <t>57691</t>
  </si>
  <si>
    <t>주택금융공사MBS2019-5(1-4)</t>
  </si>
  <si>
    <t>57692</t>
  </si>
  <si>
    <t>주택금융공사MBS2019-5(1-5)</t>
  </si>
  <si>
    <t>57693</t>
  </si>
  <si>
    <t>주택금융공사MBS2019-5(1-6)</t>
  </si>
  <si>
    <t>57694</t>
  </si>
  <si>
    <t>주택금융공사MBS2019-5(1-7)</t>
  </si>
  <si>
    <t>57695</t>
  </si>
  <si>
    <t>주택금융공사MBS2019-5(1-8)</t>
  </si>
  <si>
    <t>57754</t>
  </si>
  <si>
    <t>주택금융공사MBS2019-6(1-2)</t>
  </si>
  <si>
    <t>57755</t>
  </si>
  <si>
    <t>주택금융공사MBS2019-6(1-3)</t>
  </si>
  <si>
    <t>57756</t>
  </si>
  <si>
    <t>주택금융공사MBS2019-6(1-4)</t>
  </si>
  <si>
    <t>57839</t>
  </si>
  <si>
    <t>오토피아제육십육차(유)1-23</t>
  </si>
  <si>
    <t>57840</t>
  </si>
  <si>
    <t>오토피아제육십육차(유)1-24</t>
  </si>
  <si>
    <t>57841</t>
  </si>
  <si>
    <t>오토피아제육십육차(유)1-25</t>
  </si>
  <si>
    <t>57842</t>
  </si>
  <si>
    <t>오토피아제육십육차(유)1-26</t>
  </si>
  <si>
    <t>57843</t>
  </si>
  <si>
    <t>오토피아제육십육차(유)1-27</t>
  </si>
  <si>
    <t>57844</t>
  </si>
  <si>
    <t>오토피아제육십육차(유)1-28</t>
  </si>
  <si>
    <t>57845</t>
  </si>
  <si>
    <t>오토피아제육십육차(유)1-29</t>
  </si>
  <si>
    <t>57846</t>
  </si>
  <si>
    <t>오토피아제육십육차(유)1-30</t>
  </si>
  <si>
    <t>57847</t>
  </si>
  <si>
    <t>오토피아제육십육차(유)1-31</t>
  </si>
  <si>
    <t>57848</t>
  </si>
  <si>
    <t>오토피아제육십육차(유)1-32</t>
  </si>
  <si>
    <t>57849</t>
  </si>
  <si>
    <t>오토피아제육십육차(유)1-33</t>
  </si>
  <si>
    <t>57850</t>
  </si>
  <si>
    <t>오토피아제육십육차(유)1-34</t>
  </si>
  <si>
    <t>57851</t>
  </si>
  <si>
    <t>오토피아제육십육차(유)1-35</t>
  </si>
  <si>
    <t>57852</t>
  </si>
  <si>
    <t>오토피아제육십육차(유)1-36</t>
  </si>
  <si>
    <t>57853</t>
  </si>
  <si>
    <t>오토피아제육십육차(유)1-37</t>
  </si>
  <si>
    <t>57854</t>
  </si>
  <si>
    <t>오토피아제육십육차(유)1-38</t>
  </si>
  <si>
    <t>57855</t>
  </si>
  <si>
    <t>오토피아제육십육차(유)1-39</t>
  </si>
  <si>
    <t>57856</t>
  </si>
  <si>
    <t>오토피아제육십육차(유)1-40</t>
  </si>
  <si>
    <t>57857</t>
  </si>
  <si>
    <t>오토피아제육십육차(유)1-41</t>
  </si>
  <si>
    <t>57858</t>
  </si>
  <si>
    <t>오토피아제육십육차(유)1-42</t>
  </si>
  <si>
    <t>57859</t>
  </si>
  <si>
    <t>오토피아제육십육차(유)1-43</t>
  </si>
  <si>
    <t>57884</t>
  </si>
  <si>
    <t>주택금융공사MBS2019-7(1-4)</t>
  </si>
  <si>
    <t>57885</t>
  </si>
  <si>
    <t>주택금융공사MBS2019-7(1-5)</t>
  </si>
  <si>
    <t>57886</t>
  </si>
  <si>
    <t>주택금융공사MBS2019-7(1-6)</t>
  </si>
  <si>
    <t>57887</t>
  </si>
  <si>
    <t>주택금융공사MBS2019-7(1-7)</t>
  </si>
  <si>
    <t>57888</t>
  </si>
  <si>
    <t>주택금융공사MBS2019-7(1-8)</t>
  </si>
  <si>
    <t>57989</t>
  </si>
  <si>
    <t>주택금융공사MBS2019-8(1-4)</t>
  </si>
  <si>
    <t>57990</t>
  </si>
  <si>
    <t>주택금융공사MBS2019-8(1-5)</t>
  </si>
  <si>
    <t>57991</t>
  </si>
  <si>
    <t>주택금융공사MBS2019-8(1-6)</t>
  </si>
  <si>
    <t>57992</t>
  </si>
  <si>
    <t>주택금융공사MBS2019-8(1-7)</t>
  </si>
  <si>
    <t>57993</t>
  </si>
  <si>
    <t>주택금융공사MBS2019-8(1-8)</t>
  </si>
  <si>
    <t>58062</t>
  </si>
  <si>
    <t>엠에프엠코리아</t>
  </si>
  <si>
    <t>58066</t>
  </si>
  <si>
    <t>에이블온천사유동화전문(유)1</t>
  </si>
  <si>
    <t>58096</t>
  </si>
  <si>
    <t>58135</t>
  </si>
  <si>
    <t>주택금융공사MBS2019-9(1-4)</t>
  </si>
  <si>
    <t>58136</t>
  </si>
  <si>
    <t>주택금융공사MBS2019-9(1-5)</t>
  </si>
  <si>
    <t>58137</t>
  </si>
  <si>
    <t>주택금융공사MBS2019-9(1-6)</t>
  </si>
  <si>
    <t>58138</t>
  </si>
  <si>
    <t>주택금융공사MBS2019-9(1-7)</t>
  </si>
  <si>
    <t>58139</t>
  </si>
  <si>
    <t>주택금융공사MBS2019-9(1-8)</t>
  </si>
  <si>
    <t>58210</t>
  </si>
  <si>
    <t>58224</t>
  </si>
  <si>
    <t>위드문에이치</t>
  </si>
  <si>
    <t>58255</t>
  </si>
  <si>
    <t>주택금융공사MBS2019-10(1-2)</t>
  </si>
  <si>
    <t>58256</t>
  </si>
  <si>
    <t>주택금융공사MBS2019-10(1-3)</t>
  </si>
  <si>
    <t>58257</t>
  </si>
  <si>
    <t>주택금융공사MBS2019-10(1-4)</t>
  </si>
  <si>
    <t>58262</t>
  </si>
  <si>
    <t>시스웍</t>
  </si>
  <si>
    <t>58341</t>
  </si>
  <si>
    <t>오토피아제육십칠차(유)1-11</t>
  </si>
  <si>
    <t>58342</t>
  </si>
  <si>
    <t>오토피아제육십칠차(유)1-12</t>
  </si>
  <si>
    <t>58343</t>
  </si>
  <si>
    <t>오토피아제육십칠차(유)1-13</t>
  </si>
  <si>
    <t>58344</t>
  </si>
  <si>
    <t>오토피아제육십칠차(유)1-14</t>
  </si>
  <si>
    <t>58345</t>
  </si>
  <si>
    <t>오토피아제육십칠차(유)1-15</t>
  </si>
  <si>
    <t>58346</t>
  </si>
  <si>
    <t>오토피아제육십칠차(유)1-16</t>
  </si>
  <si>
    <t>58347</t>
  </si>
  <si>
    <t>오토피아제육십칠차(유)1-17</t>
  </si>
  <si>
    <t>58348</t>
  </si>
  <si>
    <t>오토피아제육십칠차(유)1-18</t>
  </si>
  <si>
    <t>58349</t>
  </si>
  <si>
    <t>오토피아제육십칠차(유)1-19</t>
  </si>
  <si>
    <t>58350</t>
  </si>
  <si>
    <t>오토피아제육십칠차(유)1-20</t>
  </si>
  <si>
    <t>58351</t>
  </si>
  <si>
    <t>오토피아제육십칠차(유)1-21</t>
  </si>
  <si>
    <t>58352</t>
  </si>
  <si>
    <t>오토피아제육십칠차(유)1-22</t>
  </si>
  <si>
    <t>58353</t>
  </si>
  <si>
    <t>오토피아제육십칠차(유)1-23</t>
  </si>
  <si>
    <t>58354</t>
  </si>
  <si>
    <t>오토피아제육십칠차(유)1-24</t>
  </si>
  <si>
    <t>58355</t>
  </si>
  <si>
    <t>오토피아제육십칠차(유)1-25</t>
  </si>
  <si>
    <t>58356</t>
  </si>
  <si>
    <t>오토피아제육십칠차(유)1-26</t>
  </si>
  <si>
    <t>58357</t>
  </si>
  <si>
    <t>오토피아제육십칠차(유)1-27</t>
  </si>
  <si>
    <t>58358</t>
  </si>
  <si>
    <t>오토피아제육십칠차(유)1-28</t>
  </si>
  <si>
    <t>58359</t>
  </si>
  <si>
    <t>오토피아제육십칠차(유)1-29</t>
  </si>
  <si>
    <t>58360</t>
  </si>
  <si>
    <t>오토피아제육십칠차(유)1-30</t>
  </si>
  <si>
    <t>58361</t>
  </si>
  <si>
    <t>오토피아제육십칠차(유)1-31</t>
  </si>
  <si>
    <t>58362</t>
  </si>
  <si>
    <t>오토피아제육십칠차(유)1-32</t>
  </si>
  <si>
    <t>58363</t>
  </si>
  <si>
    <t>오토피아제육십칠차(유)1-33</t>
  </si>
  <si>
    <t>58462</t>
  </si>
  <si>
    <t>주택금융공사MBS2019-11(1-4)</t>
  </si>
  <si>
    <t>58463</t>
  </si>
  <si>
    <t>주택금융공사MBS2019-11(1-5)</t>
  </si>
  <si>
    <t>58464</t>
  </si>
  <si>
    <t>주택금융공사MBS2019-11(1-6)</t>
  </si>
  <si>
    <t>58465</t>
  </si>
  <si>
    <t>주택금융공사MBS2019-11(1-7)</t>
  </si>
  <si>
    <t>58466</t>
  </si>
  <si>
    <t>주택금융공사MBS2019-11(1-8)</t>
  </si>
  <si>
    <t>58559</t>
  </si>
  <si>
    <t>비욘드이문1(유)1</t>
  </si>
  <si>
    <t>58617</t>
  </si>
  <si>
    <t>주택금융공사MBS2019-12(1-4)</t>
  </si>
  <si>
    <t>58618</t>
  </si>
  <si>
    <t>주택금융공사MBS2019-12(1-5)</t>
  </si>
  <si>
    <t>58619</t>
  </si>
  <si>
    <t>주택금융공사MBS2019-12(1-6)</t>
  </si>
  <si>
    <t>58620</t>
  </si>
  <si>
    <t>주택금융공사MBS2019-12(1-7)</t>
  </si>
  <si>
    <t>58621</t>
  </si>
  <si>
    <t>주택금융공사MBS2019-12(1-8)</t>
  </si>
  <si>
    <t>58676</t>
  </si>
  <si>
    <t>HD현대중공업</t>
  </si>
  <si>
    <t>58742</t>
  </si>
  <si>
    <t>주택금융공사MBS2019-13(1-2)</t>
  </si>
  <si>
    <t>58743</t>
  </si>
  <si>
    <t>주택금융공사MBS2019-13(1-3)</t>
  </si>
  <si>
    <t>58744</t>
  </si>
  <si>
    <t>주택금융공사MBS2019-13(1-4)</t>
  </si>
  <si>
    <t>58781</t>
  </si>
  <si>
    <t>퍼스트파이브지제45차(유)1-28</t>
  </si>
  <si>
    <t>58783</t>
  </si>
  <si>
    <t>EDGC</t>
  </si>
  <si>
    <t>58798</t>
  </si>
  <si>
    <t>대유에이피</t>
  </si>
  <si>
    <t>58936</t>
  </si>
  <si>
    <t>롯데리츠</t>
  </si>
  <si>
    <t>58950</t>
  </si>
  <si>
    <t>주택금융공사MBS2019-14(1-4)</t>
  </si>
  <si>
    <t>58951</t>
  </si>
  <si>
    <t>주택금융공사MBS2019-14(1-5)</t>
  </si>
  <si>
    <t>58952</t>
  </si>
  <si>
    <t>주택금융공사MBS2019-14(1-6)</t>
  </si>
  <si>
    <t>58953</t>
  </si>
  <si>
    <t>주택금융공사MBS2019-14(1-7)</t>
  </si>
  <si>
    <t>58954</t>
  </si>
  <si>
    <t>주택금융공사MBS2019-14(1-8)</t>
  </si>
  <si>
    <t>59021</t>
  </si>
  <si>
    <t>에코비트</t>
  </si>
  <si>
    <t>59034</t>
  </si>
  <si>
    <t>원진제일차</t>
  </si>
  <si>
    <t>59052</t>
  </si>
  <si>
    <t>주택금융공사MBS2019-15(1-2)</t>
  </si>
  <si>
    <t>59053</t>
  </si>
  <si>
    <t>주택금융공사MBS2019-15(1-3)</t>
  </si>
  <si>
    <t>59054</t>
  </si>
  <si>
    <t>주택금융공사MBS2019-15(1-4)</t>
  </si>
  <si>
    <t>59136</t>
  </si>
  <si>
    <t>주택금융공사MBS2019-16(1-4)</t>
  </si>
  <si>
    <t>59137</t>
  </si>
  <si>
    <t>주택금융공사MBS2019-16(1-5)</t>
  </si>
  <si>
    <t>59138</t>
  </si>
  <si>
    <t>주택금융공사MBS2019-16(1-6)</t>
  </si>
  <si>
    <t>59139</t>
  </si>
  <si>
    <t>주택금융공사MBS2019-16(1-7)</t>
  </si>
  <si>
    <t>59140</t>
  </si>
  <si>
    <t>주택금융공사MBS2019-16(1-8)</t>
  </si>
  <si>
    <t>59169</t>
  </si>
  <si>
    <t>퍼스트파이브지제46차(유)1-28</t>
  </si>
  <si>
    <t>59221</t>
  </si>
  <si>
    <t>주택금융공사MBS2019-17(1-2)</t>
  </si>
  <si>
    <t>59222</t>
  </si>
  <si>
    <t>주택금융공사MBS2019-17(1-3)</t>
  </si>
  <si>
    <t>59223</t>
  </si>
  <si>
    <t>주택금융공사MBS2019-17(1-4)</t>
  </si>
  <si>
    <t>59254</t>
  </si>
  <si>
    <t>칼제이십사차(유)1-12</t>
  </si>
  <si>
    <t>59255</t>
  </si>
  <si>
    <t>칼제이십사차(유)1-13</t>
  </si>
  <si>
    <t>59256</t>
  </si>
  <si>
    <t>칼제이십사차(유)1-14</t>
  </si>
  <si>
    <t>59257</t>
  </si>
  <si>
    <t>칼제이십사차(유)1-15</t>
  </si>
  <si>
    <t>59258</t>
  </si>
  <si>
    <t>칼제이십사차(유)1-16</t>
  </si>
  <si>
    <t>59272</t>
  </si>
  <si>
    <t>뉴스타강릉제이차</t>
  </si>
  <si>
    <t>59313</t>
  </si>
  <si>
    <t>제이비우리캐피탈오토20차유1-27</t>
  </si>
  <si>
    <t>59354</t>
  </si>
  <si>
    <t>주택금융공사MBS2019-18(1-4)</t>
  </si>
  <si>
    <t>59355</t>
  </si>
  <si>
    <t>주택금융공사MBS2019-18(1-5)</t>
  </si>
  <si>
    <t>59356</t>
  </si>
  <si>
    <t>주택금융공사MBS2019-18(1-6)</t>
  </si>
  <si>
    <t>59357</t>
  </si>
  <si>
    <t>주택금융공사MBS2019-18(1-7)</t>
  </si>
  <si>
    <t>59358</t>
  </si>
  <si>
    <t>주택금융공사MBS2019-18(1-8)</t>
  </si>
  <si>
    <t>59369</t>
  </si>
  <si>
    <t>뉴스타비에이치에이제일차</t>
  </si>
  <si>
    <t>59402</t>
  </si>
  <si>
    <t>뉴스타비에이치에이1차1-2</t>
  </si>
  <si>
    <t>59403</t>
  </si>
  <si>
    <t>뉴스타비에이치에이1차1-3</t>
  </si>
  <si>
    <t>59404</t>
  </si>
  <si>
    <t>뉴스타비에이치에이1차1-4</t>
  </si>
  <si>
    <t>59405</t>
  </si>
  <si>
    <t>뉴스타비에이치에이1차1-5</t>
  </si>
  <si>
    <t>59406</t>
  </si>
  <si>
    <t>뉴스타비에이치에이1차1-6</t>
  </si>
  <si>
    <t>59407</t>
  </si>
  <si>
    <t>뉴스타비에이치에이1차1-7</t>
  </si>
  <si>
    <t>59408</t>
  </si>
  <si>
    <t>뉴스타비에이치에이1차1-8</t>
  </si>
  <si>
    <t>59409</t>
  </si>
  <si>
    <t>뉴스타엔엘씨에스제1차1-2</t>
  </si>
  <si>
    <t>59410</t>
  </si>
  <si>
    <t>뉴스타엔엘씨에스제1차1-3</t>
  </si>
  <si>
    <t>59411</t>
  </si>
  <si>
    <t>뉴스타엔엘씨에스제1차1-4</t>
  </si>
  <si>
    <t>59412</t>
  </si>
  <si>
    <t>뉴스타엔엘씨에스제1차1-5</t>
  </si>
  <si>
    <t>59413</t>
  </si>
  <si>
    <t>뉴스타비에이치에이1차1-9</t>
  </si>
  <si>
    <t>59414</t>
  </si>
  <si>
    <t>뉴스타비에이치에이1차1-10</t>
  </si>
  <si>
    <t>59417</t>
  </si>
  <si>
    <t>뉴스타엔엘씨에스제1차1-6</t>
  </si>
  <si>
    <t>59418</t>
  </si>
  <si>
    <t>뉴스타엔엘씨에스제1차1-7</t>
  </si>
  <si>
    <t>59419</t>
  </si>
  <si>
    <t>뉴스타엔엘씨에스제1차1-8</t>
  </si>
  <si>
    <t>59420</t>
  </si>
  <si>
    <t>뉴스타엔엘씨에스제1차1-9</t>
  </si>
  <si>
    <t>59421</t>
  </si>
  <si>
    <t>뉴스타엔엘씨에스제1차1-10</t>
  </si>
  <si>
    <t>59422</t>
  </si>
  <si>
    <t>뉴스타엔엘씨에스제1차1-11</t>
  </si>
  <si>
    <t>59423</t>
  </si>
  <si>
    <t>뉴스타엔엘씨에스제1차1-12</t>
  </si>
  <si>
    <t>59438</t>
  </si>
  <si>
    <t>스몰스트림1차</t>
  </si>
  <si>
    <t>59443</t>
  </si>
  <si>
    <t>흥아포밍</t>
  </si>
  <si>
    <t>59504</t>
  </si>
  <si>
    <t>주택금융공사MBS2019-19(1-4)</t>
  </si>
  <si>
    <t>59505</t>
  </si>
  <si>
    <t>주택금융공사MBS2019-19(1-5)</t>
  </si>
  <si>
    <t>59506</t>
  </si>
  <si>
    <t>주택금융공사MBS2019-19(1-6)</t>
  </si>
  <si>
    <t>59507</t>
  </si>
  <si>
    <t>주택금융공사MBS2019-19(1-7)</t>
  </si>
  <si>
    <t>59508</t>
  </si>
  <si>
    <t>주택금융공사MBS2019-19(1-8)</t>
  </si>
  <si>
    <t>59511</t>
  </si>
  <si>
    <t>유신정밀</t>
  </si>
  <si>
    <t>59519</t>
  </si>
  <si>
    <t>에이치엠엠메가쉽제일차(유)1-1</t>
  </si>
  <si>
    <t>59520</t>
  </si>
  <si>
    <t>에이치엠엠메가쉽제일차(유)1-2</t>
  </si>
  <si>
    <t>59534</t>
  </si>
  <si>
    <t>두산퓨얼셀</t>
  </si>
  <si>
    <t>59744</t>
  </si>
  <si>
    <t>퍼스트파이브지제47(유)1-28</t>
  </si>
  <si>
    <t>59751</t>
  </si>
  <si>
    <t>주택금융공사MBS2019-20(1-4)</t>
  </si>
  <si>
    <t>59752</t>
  </si>
  <si>
    <t>주택금융공사MBS2019-20(1-5)</t>
  </si>
  <si>
    <t>59753</t>
  </si>
  <si>
    <t>주택금융공사MBS2019-20(1-6)</t>
  </si>
  <si>
    <t>59754</t>
  </si>
  <si>
    <t>주택금융공사MBS2019-20(1-7)</t>
  </si>
  <si>
    <t>59755</t>
  </si>
  <si>
    <t>주택금융공사MBS2019-20(1-8)</t>
  </si>
  <si>
    <t>59844</t>
  </si>
  <si>
    <t>산업기반신보옥산오창고속도로</t>
  </si>
  <si>
    <t>59905</t>
  </si>
  <si>
    <t>승진상사</t>
  </si>
  <si>
    <t>59924</t>
  </si>
  <si>
    <t>티월드제42차(유)1-10</t>
  </si>
  <si>
    <t>59925</t>
  </si>
  <si>
    <t>원진제이차</t>
  </si>
  <si>
    <t>59935</t>
  </si>
  <si>
    <t>웰리브</t>
  </si>
  <si>
    <t>60083</t>
  </si>
  <si>
    <t>유플러스파이브지제48차(유)1-19</t>
  </si>
  <si>
    <t>60096</t>
  </si>
  <si>
    <t>주택금융공사MBS2019-25(1-4)</t>
  </si>
  <si>
    <t>60097</t>
  </si>
  <si>
    <t>주택금융공사MBS2019-25(1-5)</t>
  </si>
  <si>
    <t>60098</t>
  </si>
  <si>
    <t>주택금융공사MBS2019-25(1-6)</t>
  </si>
  <si>
    <t>60099</t>
  </si>
  <si>
    <t>주택금융공사MBS2019-25(1-7)</t>
  </si>
  <si>
    <t>60100</t>
  </si>
  <si>
    <t>주택금융공사MBS2019-25(1-8)</t>
  </si>
  <si>
    <t>60137</t>
  </si>
  <si>
    <t>티월드제45차(유)1-9</t>
  </si>
  <si>
    <t>60138</t>
  </si>
  <si>
    <t>티월드제45차(유)1-10</t>
  </si>
  <si>
    <t>60192</t>
  </si>
  <si>
    <t>퍼스트파이브지제48차</t>
  </si>
  <si>
    <t>60193</t>
  </si>
  <si>
    <t>60267</t>
  </si>
  <si>
    <t>주택금융공사MBS2019-26(1-4)</t>
  </si>
  <si>
    <t>60268</t>
  </si>
  <si>
    <t>주택금융공사MBS2019-26(1-5)</t>
  </si>
  <si>
    <t>60269</t>
  </si>
  <si>
    <t>주택금융공사MBS2019-26(1-6)</t>
  </si>
  <si>
    <t>60270</t>
  </si>
  <si>
    <t>주택금융공사MBS2019-26(1-7)</t>
  </si>
  <si>
    <t>60271</t>
  </si>
  <si>
    <t>주택금융공사MBS2019-26(1-8)</t>
  </si>
  <si>
    <t>60279</t>
  </si>
  <si>
    <t>한국해외인프라도시개발지원공사</t>
  </si>
  <si>
    <t>60283</t>
  </si>
  <si>
    <t>주택금융공사MBS2019-27(1-4)</t>
  </si>
  <si>
    <t>60284</t>
  </si>
  <si>
    <t>주택금융공사MBS2019-27(1-5)</t>
  </si>
  <si>
    <t>60285</t>
  </si>
  <si>
    <t>주택금융공사MBS2019-27(1-6)</t>
  </si>
  <si>
    <t>60286</t>
  </si>
  <si>
    <t>주택금융공사MBS2019-27(1-7)</t>
  </si>
  <si>
    <t>60287</t>
  </si>
  <si>
    <t>주택금융공사MBS2019-27(1-8)</t>
  </si>
  <si>
    <t>60297</t>
  </si>
  <si>
    <t>주택금융공사MBS2019-28(1-4)</t>
  </si>
  <si>
    <t>60298</t>
  </si>
  <si>
    <t>주택금융공사MBS2019-28(1-5)</t>
  </si>
  <si>
    <t>60299</t>
  </si>
  <si>
    <t>주택금융공사MBS2019-28(1-6)</t>
  </si>
  <si>
    <t>60300</t>
  </si>
  <si>
    <t>주택금융공사MBS2019-28(1-7)</t>
  </si>
  <si>
    <t>60301</t>
  </si>
  <si>
    <t>주택금융공사MBS2019-28(1-8)</t>
  </si>
  <si>
    <t>60341</t>
  </si>
  <si>
    <t>에이치엠엠메가쉽제2차</t>
  </si>
  <si>
    <t>60342</t>
  </si>
  <si>
    <t>60350</t>
  </si>
  <si>
    <t>주택금융공사MBS2020-1(1-4)</t>
  </si>
  <si>
    <t>60351</t>
  </si>
  <si>
    <t>주택금융공사MBS2020-1(1-5)</t>
  </si>
  <si>
    <t>60352</t>
  </si>
  <si>
    <t>주택금융공사MBS2020-1(1-6)</t>
  </si>
  <si>
    <t>60353</t>
  </si>
  <si>
    <t>주택금융공사MBS2020-1(1-7)</t>
  </si>
  <si>
    <t>60354</t>
  </si>
  <si>
    <t>주택금융공사MBS2020-1(1-8)</t>
  </si>
  <si>
    <t>60359</t>
  </si>
  <si>
    <t>케이씨씨글라스</t>
  </si>
  <si>
    <t>60366</t>
  </si>
  <si>
    <t>주택금융공사MBS2020-2(1-4)</t>
  </si>
  <si>
    <t>60367</t>
  </si>
  <si>
    <t>주택금융공사MBS2020-2(1-5)</t>
  </si>
  <si>
    <t>60368</t>
  </si>
  <si>
    <t>주택금융공사MBS2020-2(1-6)</t>
  </si>
  <si>
    <t>60369</t>
  </si>
  <si>
    <t>주택금융공사MBS2020-2(1-7)</t>
  </si>
  <si>
    <t>60370</t>
  </si>
  <si>
    <t>주택금융공사MBS2020-2(1-8)</t>
  </si>
  <si>
    <t>60372</t>
  </si>
  <si>
    <t>부평사유동화전문</t>
  </si>
  <si>
    <t>60380</t>
  </si>
  <si>
    <t>주택금융공사MBS2020-3(1-4)</t>
  </si>
  <si>
    <t>60381</t>
  </si>
  <si>
    <t>주택금융공사MBS2020-3(1-5)</t>
  </si>
  <si>
    <t>60382</t>
  </si>
  <si>
    <t>주택금융공사MBS2020-3(1-6)</t>
  </si>
  <si>
    <t>60383</t>
  </si>
  <si>
    <t>주택금융공사MBS2020-3(1-7)</t>
  </si>
  <si>
    <t>60384</t>
  </si>
  <si>
    <t>주택금융공사MBS2020-3(1-8)</t>
  </si>
  <si>
    <t>60415</t>
  </si>
  <si>
    <t>티월드제47차(유)1-27</t>
  </si>
  <si>
    <t>60458</t>
  </si>
  <si>
    <t>유플러스파이브지제49차(유)1-19</t>
  </si>
  <si>
    <t>60467</t>
  </si>
  <si>
    <t>주택금융공사MBS2020-4(1-4)</t>
  </si>
  <si>
    <t>60468</t>
  </si>
  <si>
    <t>주택금융공사MBS2020-4(1-5)</t>
  </si>
  <si>
    <t>60469</t>
  </si>
  <si>
    <t>주택금융공사MBS2020-4(1-6)</t>
  </si>
  <si>
    <t>60470</t>
  </si>
  <si>
    <t>주택금융공사MBS2020-4(1-7)</t>
  </si>
  <si>
    <t>60471</t>
  </si>
  <si>
    <t>주택금융공사MBS2020-4(1-8)</t>
  </si>
  <si>
    <t>60492</t>
  </si>
  <si>
    <t>주택금융공사MBS2020-5(1-4)</t>
  </si>
  <si>
    <t>60493</t>
  </si>
  <si>
    <t>주택금융공사MBS2020-5(1-5)</t>
  </si>
  <si>
    <t>60494</t>
  </si>
  <si>
    <t>주택금융공사MBS2020-5(1-6)</t>
  </si>
  <si>
    <t>60495</t>
  </si>
  <si>
    <t>주택금융공사MBS2020-5(1-7)</t>
  </si>
  <si>
    <t>60496</t>
  </si>
  <si>
    <t>주택금융공사MBS2020-5(1-8)</t>
  </si>
  <si>
    <t>60534</t>
  </si>
  <si>
    <t>티월드제48차(유)1-28</t>
  </si>
  <si>
    <t>60539</t>
  </si>
  <si>
    <t>주택금융공사MBS2020-6(1-4)</t>
  </si>
  <si>
    <t>60540</t>
  </si>
  <si>
    <t>주택금융공사MBS2020-6(1-5)</t>
  </si>
  <si>
    <t>60541</t>
  </si>
  <si>
    <t>주택금융공사MBS2020-6(1-6)</t>
  </si>
  <si>
    <t>60542</t>
  </si>
  <si>
    <t>주택금융공사MBS2020-6(1-7)</t>
  </si>
  <si>
    <t>60543</t>
  </si>
  <si>
    <t>주택금융공사MBS2020-6(1-8)</t>
  </si>
  <si>
    <t>60591</t>
  </si>
  <si>
    <t>퍼스트파이브지제49차(유)1-27</t>
  </si>
  <si>
    <t>60592</t>
  </si>
  <si>
    <t>퍼스트파이브지제49차(유)1-28</t>
  </si>
  <si>
    <t>60615</t>
  </si>
  <si>
    <t>주택금융공사MBS2020-7(1-4)</t>
  </si>
  <si>
    <t>60616</t>
  </si>
  <si>
    <t>주택금융공사MBS2020-7(1-5)</t>
  </si>
  <si>
    <t>60617</t>
  </si>
  <si>
    <t>주택금융공사MBS2020-7(1-6)</t>
  </si>
  <si>
    <t>60618</t>
  </si>
  <si>
    <t>주택금융공사MBS2020-7(1-7)</t>
  </si>
  <si>
    <t>60619</t>
  </si>
  <si>
    <t>주택금융공사MBS2020-7(1-8)</t>
  </si>
  <si>
    <t>60623</t>
  </si>
  <si>
    <t>뉴스타강릉제삼차</t>
  </si>
  <si>
    <t>60665</t>
  </si>
  <si>
    <t>주택금융공사MBS2020-8(1-4)</t>
  </si>
  <si>
    <t>60666</t>
  </si>
  <si>
    <t>주택금융공사MBS2020-8(1-5)</t>
  </si>
  <si>
    <t>60667</t>
  </si>
  <si>
    <t>주택금융공사MBS2020-8(1-6)</t>
  </si>
  <si>
    <t>60668</t>
  </si>
  <si>
    <t>주택금융공사MBS2020-8(1-7)</t>
  </si>
  <si>
    <t>60669</t>
  </si>
  <si>
    <t>주택금융공사MBS2020-8(1-8)</t>
  </si>
  <si>
    <t>60698</t>
  </si>
  <si>
    <t>칼제이십오차(유)1-10</t>
  </si>
  <si>
    <t>60699</t>
  </si>
  <si>
    <t>칼제이십오차(유)1-11</t>
  </si>
  <si>
    <t>60700</t>
  </si>
  <si>
    <t>칼제이십오차(유)1-12</t>
  </si>
  <si>
    <t>60701</t>
  </si>
  <si>
    <t>칼제이십오차(유)1-13</t>
  </si>
  <si>
    <t>60702</t>
  </si>
  <si>
    <t>칼제이십오차(유)1-14</t>
  </si>
  <si>
    <t>60703</t>
  </si>
  <si>
    <t>칼제이십오차(유)1-15</t>
  </si>
  <si>
    <t>60704</t>
  </si>
  <si>
    <t>칼제이십오차(유)1-16</t>
  </si>
  <si>
    <t>60746</t>
  </si>
  <si>
    <t>티월드제49차(유)1-27</t>
  </si>
  <si>
    <t>60782</t>
  </si>
  <si>
    <t>산업기반신보수원순환도로(유)1</t>
  </si>
  <si>
    <t>60823</t>
  </si>
  <si>
    <t>유플러스파이브지제50차(유)1-19</t>
  </si>
  <si>
    <t>60831</t>
  </si>
  <si>
    <t>주택금융공사MBS2020-9(1-4)</t>
  </si>
  <si>
    <t>60832</t>
  </si>
  <si>
    <t>주택금융공사MBS2020-9(1-5)</t>
  </si>
  <si>
    <t>60833</t>
  </si>
  <si>
    <t>주택금융공사MBS2020-9(1-6)</t>
  </si>
  <si>
    <t>60834</t>
  </si>
  <si>
    <t>주택금융공사MBS2020-9(1-7)</t>
  </si>
  <si>
    <t>60835</t>
  </si>
  <si>
    <t>주택금융공사MBS2020-9(1-8)</t>
  </si>
  <si>
    <t>60866</t>
  </si>
  <si>
    <t>에스엘엘중앙</t>
  </si>
  <si>
    <t>60868</t>
  </si>
  <si>
    <t>주택금융공사MBS2020-10(1-2)</t>
  </si>
  <si>
    <t>60869</t>
  </si>
  <si>
    <t>주택금융공사MBS2020-10(1-3)</t>
  </si>
  <si>
    <t>60870</t>
  </si>
  <si>
    <t>주택금융공사MBS2020-10(1-4)</t>
  </si>
  <si>
    <t>60872</t>
  </si>
  <si>
    <t>한주라이트메탈</t>
  </si>
  <si>
    <t>60873</t>
  </si>
  <si>
    <t>패션그룹형지</t>
  </si>
  <si>
    <t>60874</t>
  </si>
  <si>
    <t>무경설비</t>
  </si>
  <si>
    <t>60876</t>
  </si>
  <si>
    <t>신보2020제3차(유)1-2</t>
  </si>
  <si>
    <t>60946</t>
  </si>
  <si>
    <t>주택금융공사MBS2020-11(1-4)</t>
  </si>
  <si>
    <t>60947</t>
  </si>
  <si>
    <t>주택금융공사MBS2020-11(1-5)</t>
  </si>
  <si>
    <t>60948</t>
  </si>
  <si>
    <t>주택금융공사MBS2020-11(1-6)</t>
  </si>
  <si>
    <t>60949</t>
  </si>
  <si>
    <t>주택금융공사MBS2020-11(1-7)</t>
  </si>
  <si>
    <t>60950</t>
  </si>
  <si>
    <t>주택금융공사MBS2020-11(1-8)</t>
  </si>
  <si>
    <t>60985</t>
  </si>
  <si>
    <t>티월드제50차(유)1-27</t>
  </si>
  <si>
    <t>61037</t>
  </si>
  <si>
    <t>퍼스트파이브지제50차(유)1-27</t>
  </si>
  <si>
    <t>61038</t>
  </si>
  <si>
    <t>퍼스트파이브지제50차(유)1-28</t>
  </si>
  <si>
    <t>61079</t>
  </si>
  <si>
    <t>주택금융공사MBS2020-12(1-4)</t>
  </si>
  <si>
    <t>61080</t>
  </si>
  <si>
    <t>주택금융공사MBS2020-12(1-5)</t>
  </si>
  <si>
    <t>61081</t>
  </si>
  <si>
    <t>주택금융공사MBS2020-12(1-6)</t>
  </si>
  <si>
    <t>61082</t>
  </si>
  <si>
    <t>주택금융공사MBS2020-12(1-7)</t>
  </si>
  <si>
    <t>61083</t>
  </si>
  <si>
    <t>주택금융공사MBS2020-12(1-8)</t>
  </si>
  <si>
    <t>61137</t>
  </si>
  <si>
    <t>에쓰푸드</t>
  </si>
  <si>
    <t>61144</t>
  </si>
  <si>
    <t>주택금융공사MBS2020-13(1-4)</t>
  </si>
  <si>
    <t>61145</t>
  </si>
  <si>
    <t>주택금융공사MBS2020-13(1-5)</t>
  </si>
  <si>
    <t>61146</t>
  </si>
  <si>
    <t>주택금융공사MBS2020-13(1-6)</t>
  </si>
  <si>
    <t>61147</t>
  </si>
  <si>
    <t>주택금융공사MBS2020-13(1-7)</t>
  </si>
  <si>
    <t>61148</t>
  </si>
  <si>
    <t>주택금융공사MBS2020-13(1-8)</t>
  </si>
  <si>
    <t>61150</t>
  </si>
  <si>
    <t>한솔교육</t>
  </si>
  <si>
    <t>61164</t>
  </si>
  <si>
    <t>주택금융공사MBS2020-14(1-2)</t>
  </si>
  <si>
    <t>61165</t>
  </si>
  <si>
    <t>주택금융공사MBS2020-14(1-3)</t>
  </si>
  <si>
    <t>61166</t>
  </si>
  <si>
    <t>주택금융공사MBS2020-14(1-4)</t>
  </si>
  <si>
    <t>61174</t>
  </si>
  <si>
    <t>주택금융공사MBS2020-15(1-4)</t>
  </si>
  <si>
    <t>61175</t>
  </si>
  <si>
    <t>주택금융공사MBS2020-15(1-5)</t>
  </si>
  <si>
    <t>61176</t>
  </si>
  <si>
    <t>주택금융공사MBS2020-15(1-6)</t>
  </si>
  <si>
    <t>61177</t>
  </si>
  <si>
    <t>주택금융공사MBS2020-15(1-7)</t>
  </si>
  <si>
    <t>61178</t>
  </si>
  <si>
    <t>주택금융공사MBS2020-15(1-8)</t>
  </si>
  <si>
    <t>61216</t>
  </si>
  <si>
    <t>티월드제52차(유)1-27</t>
  </si>
  <si>
    <t>61218</t>
  </si>
  <si>
    <t>신보2020제6차(유)1-2</t>
  </si>
  <si>
    <t>61223</t>
  </si>
  <si>
    <t>주택금융공사MBS2020-16(1-2)</t>
  </si>
  <si>
    <t>61224</t>
  </si>
  <si>
    <t>주택금융공사MBS2020-16(1-3)</t>
  </si>
  <si>
    <t>61225</t>
  </si>
  <si>
    <t>주택금융공사MBS2020-16(1-4)</t>
  </si>
  <si>
    <t>61230</t>
  </si>
  <si>
    <t>신보2020제5차(유)1-2</t>
  </si>
  <si>
    <t>61245</t>
  </si>
  <si>
    <t>노브랜드</t>
  </si>
  <si>
    <t>61254</t>
  </si>
  <si>
    <t>나디아퍼시픽</t>
  </si>
  <si>
    <t>61292</t>
  </si>
  <si>
    <t>주택금융공사MBS2020-17(1-4)</t>
  </si>
  <si>
    <t>61293</t>
  </si>
  <si>
    <t>주택금융공사MBS2020-17(1-5)</t>
  </si>
  <si>
    <t>61294</t>
  </si>
  <si>
    <t>주택금융공사MBS2020-17(1-6)</t>
  </si>
  <si>
    <t>61295</t>
  </si>
  <si>
    <t>주택금융공사MBS2020-17(1-7)</t>
  </si>
  <si>
    <t>61296</t>
  </si>
  <si>
    <t>주택금융공사MBS2020-17(1-8)</t>
  </si>
  <si>
    <t>61377</t>
  </si>
  <si>
    <t>유플러스파이브지제51차(유)1-19</t>
  </si>
  <si>
    <t>61404</t>
  </si>
  <si>
    <t>티월드제51차(유)1-9</t>
  </si>
  <si>
    <t>61405</t>
  </si>
  <si>
    <t>티월드제51차(유)1-10</t>
  </si>
  <si>
    <t>61415</t>
  </si>
  <si>
    <t>주택금융공사MBS2020-18(1-4)</t>
  </si>
  <si>
    <t>61416</t>
  </si>
  <si>
    <t>주택금융공사MBS2020-18(1-5)</t>
  </si>
  <si>
    <t>61417</t>
  </si>
  <si>
    <t>주택금융공사MBS2020-18(1-6)</t>
  </si>
  <si>
    <t>61418</t>
  </si>
  <si>
    <t>주택금융공사MBS2020-18(1-7)</t>
  </si>
  <si>
    <t>61419</t>
  </si>
  <si>
    <t>주택금융공사MBS2020-18(1-8)</t>
  </si>
  <si>
    <t>61453</t>
  </si>
  <si>
    <t>주택금융공사MBS2020-19(1-4)</t>
  </si>
  <si>
    <t>61454</t>
  </si>
  <si>
    <t>주택금융공사MBS2020-19(1-5)</t>
  </si>
  <si>
    <t>61455</t>
  </si>
  <si>
    <t>주택금융공사MBS2020-19(1-6)</t>
  </si>
  <si>
    <t>61456</t>
  </si>
  <si>
    <t>주택금융공사MBS2020-19(1-7)</t>
  </si>
  <si>
    <t>61457</t>
  </si>
  <si>
    <t>주택금융공사MBS2020-19(1-8)</t>
  </si>
  <si>
    <t>61461</t>
  </si>
  <si>
    <t>한국공항공사</t>
  </si>
  <si>
    <t>61466</t>
  </si>
  <si>
    <t>스타부산온천4유(유)1</t>
  </si>
  <si>
    <t>61499</t>
  </si>
  <si>
    <t>티월드제53차(유)1-27</t>
  </si>
  <si>
    <t>61500</t>
  </si>
  <si>
    <t>티월드제53차(유)1-28</t>
  </si>
  <si>
    <t>61502</t>
  </si>
  <si>
    <t>신보2020제8차(유)1-2</t>
  </si>
  <si>
    <t>61506</t>
  </si>
  <si>
    <t>신보2020제9차(유)1-2</t>
  </si>
  <si>
    <t>61507</t>
  </si>
  <si>
    <t>신보2020제9차(유)1-3</t>
  </si>
  <si>
    <t>61509</t>
  </si>
  <si>
    <t>AP시스템</t>
  </si>
  <si>
    <t>61522</t>
  </si>
  <si>
    <t>한국원종</t>
  </si>
  <si>
    <t>61527</t>
  </si>
  <si>
    <t>주택금융공사MBS2020-20(1-4)</t>
  </si>
  <si>
    <t>61528</t>
  </si>
  <si>
    <t>주택금융공사MBS2020-20(1-5)</t>
  </si>
  <si>
    <t>61529</t>
  </si>
  <si>
    <t>주택금융공사MBS2020-20(1-6)</t>
  </si>
  <si>
    <t>61530</t>
  </si>
  <si>
    <t>주택금융공사MBS2020-20(1-7)</t>
  </si>
  <si>
    <t>61531</t>
  </si>
  <si>
    <t>주택금융공사MBS2020-20(1-8)</t>
  </si>
  <si>
    <t>61536</t>
  </si>
  <si>
    <t>지지무역</t>
  </si>
  <si>
    <t>61548</t>
  </si>
  <si>
    <t>에이블성내제이차</t>
  </si>
  <si>
    <t>61551</t>
  </si>
  <si>
    <t>와이즈퍼시픽</t>
  </si>
  <si>
    <t>61578</t>
  </si>
  <si>
    <t>퍼스트파이브지제51차(유)1-1</t>
  </si>
  <si>
    <t>61579</t>
  </si>
  <si>
    <t>61597</t>
  </si>
  <si>
    <t>주택금융공사MBS2020-21(1-4)</t>
  </si>
  <si>
    <t>61598</t>
  </si>
  <si>
    <t>주택금융공사MBS2020-21(1-5)</t>
  </si>
  <si>
    <t>61599</t>
  </si>
  <si>
    <t>주택금융공사MBS2020-21(1-6)</t>
  </si>
  <si>
    <t>61600</t>
  </si>
  <si>
    <t>주택금융공사MBS2020-21(1-7)</t>
  </si>
  <si>
    <t>61601</t>
  </si>
  <si>
    <t>주택금융공사MBS2020-21(1-8)</t>
  </si>
  <si>
    <t>61603</t>
  </si>
  <si>
    <t>까스텔바작</t>
  </si>
  <si>
    <t>61608</t>
  </si>
  <si>
    <t>에이블세풍산단제일차</t>
  </si>
  <si>
    <t>61626</t>
  </si>
  <si>
    <t>뉴스타거제2유동화전문(유)1</t>
  </si>
  <si>
    <t>61636</t>
  </si>
  <si>
    <t>에이치엠엠메가쉽제3차(유)1-2</t>
  </si>
  <si>
    <t>61637</t>
  </si>
  <si>
    <t>에프엔십정2유동화전문</t>
  </si>
  <si>
    <t>61647</t>
  </si>
  <si>
    <t>주택금융공사MBS2020-22(1-2)</t>
  </si>
  <si>
    <t>61648</t>
  </si>
  <si>
    <t>주택금융공사MBS2020-22(1-3)</t>
  </si>
  <si>
    <t>61649</t>
  </si>
  <si>
    <t>주택금융공사MBS2020-22(1-4)</t>
  </si>
  <si>
    <t>61651</t>
  </si>
  <si>
    <t>에이치엠엠메가쉽제3차(유)1-1</t>
  </si>
  <si>
    <t>61667</t>
  </si>
  <si>
    <t>주택금융공사MBS2020-23(1-2)</t>
  </si>
  <si>
    <t>61668</t>
  </si>
  <si>
    <t>주택금융공사MBS2020-23(1-3)</t>
  </si>
  <si>
    <t>61669</t>
  </si>
  <si>
    <t>주택금융공사MBS2020-23(1-4)</t>
  </si>
  <si>
    <t>61674</t>
  </si>
  <si>
    <t>에르메스만촌제일차</t>
  </si>
  <si>
    <t>61688</t>
  </si>
  <si>
    <t>삼광</t>
  </si>
  <si>
    <t>61689</t>
  </si>
  <si>
    <t>신보2020제11차(유)1-1</t>
  </si>
  <si>
    <t>61690</t>
  </si>
  <si>
    <t>신보2020제11차(유)1-2</t>
  </si>
  <si>
    <t>61691</t>
  </si>
  <si>
    <t>신보2020제11차(유)1-3</t>
  </si>
  <si>
    <t>61698</t>
  </si>
  <si>
    <t>주택금융공사MBS2020-24(1-3)</t>
  </si>
  <si>
    <t>61699</t>
  </si>
  <si>
    <t>주택금융공사MBS2020-24(1-4)</t>
  </si>
  <si>
    <t>61700</t>
  </si>
  <si>
    <t>주택금융공사MBS2020-24(1-5)</t>
  </si>
  <si>
    <t>61701</t>
  </si>
  <si>
    <t>주택금융공사MBS2020-24(1-6)</t>
  </si>
  <si>
    <t>61702</t>
  </si>
  <si>
    <t>주택금융공사MBS2020-24(1-7)</t>
  </si>
  <si>
    <t>61703</t>
  </si>
  <si>
    <t>주택금융공사MBS2020-24(1-8)</t>
  </si>
  <si>
    <t>61737</t>
  </si>
  <si>
    <t>티월드제54차(유)1-27</t>
  </si>
  <si>
    <t>61747</t>
  </si>
  <si>
    <t>주택금융공사MBS2020-25(1-3)</t>
  </si>
  <si>
    <t>61748</t>
  </si>
  <si>
    <t>주택금융공사MBS2020-25(1-4)</t>
  </si>
  <si>
    <t>61749</t>
  </si>
  <si>
    <t>주택금융공사MBS2020-25(1-5)</t>
  </si>
  <si>
    <t>61750</t>
  </si>
  <si>
    <t>주택금융공사MBS2020-25(1-6)</t>
  </si>
  <si>
    <t>61751</t>
  </si>
  <si>
    <t>주택금융공사MBS2020-25(1-7)</t>
  </si>
  <si>
    <t>61752</t>
  </si>
  <si>
    <t>주택금융공사MBS2020-25(1-8)</t>
  </si>
  <si>
    <t>61819</t>
  </si>
  <si>
    <t>유플러스파이브지제52차(유)1-18</t>
  </si>
  <si>
    <t>61820</t>
  </si>
  <si>
    <t>유플러스파이브지제52차(유)1-19</t>
  </si>
  <si>
    <t>61842</t>
  </si>
  <si>
    <t>에스와이스틸텍</t>
  </si>
  <si>
    <t>61854</t>
  </si>
  <si>
    <t>주택금융공사MBS2020-26(1-2)</t>
  </si>
  <si>
    <t>61855</t>
  </si>
  <si>
    <t>주택금융공사MBS2020-26(1-3)</t>
  </si>
  <si>
    <t>61856</t>
  </si>
  <si>
    <t>주택금융공사MBS2020-26(1-4)</t>
  </si>
  <si>
    <t>61882</t>
  </si>
  <si>
    <t>제이비우리캐피탈오토22차유1-14</t>
  </si>
  <si>
    <t>61883</t>
  </si>
  <si>
    <t>제이비우리캐피탈오토22차유1-15</t>
  </si>
  <si>
    <t>61884</t>
  </si>
  <si>
    <t>제이비우리캐피탈오토22차유1-16</t>
  </si>
  <si>
    <t>61885</t>
  </si>
  <si>
    <t>제이비우리캐피탈오토22차유1-17</t>
  </si>
  <si>
    <t>61893</t>
  </si>
  <si>
    <t>신보2020제12차(유)1-1</t>
  </si>
  <si>
    <t>61894</t>
  </si>
  <si>
    <t>신보2020제12차(유)1-2</t>
  </si>
  <si>
    <t>61895</t>
  </si>
  <si>
    <t>신보2020제13차(유)1-1</t>
  </si>
  <si>
    <t>61896</t>
  </si>
  <si>
    <t>신보2020제13차(유)1-2</t>
  </si>
  <si>
    <t>61915</t>
  </si>
  <si>
    <t>주택금융공사MBS2020-27(1-2)</t>
  </si>
  <si>
    <t>61916</t>
  </si>
  <si>
    <t>주택금융공사MBS2020-27(1-3)</t>
  </si>
  <si>
    <t>61917</t>
  </si>
  <si>
    <t>주택금융공사MBS2020-27(1-4)</t>
  </si>
  <si>
    <t>61988</t>
  </si>
  <si>
    <t>티월드제55차(유)1-27</t>
  </si>
  <si>
    <t>62014</t>
  </si>
  <si>
    <t>케이비오토제삼차(유)1-26</t>
  </si>
  <si>
    <t>62015</t>
  </si>
  <si>
    <t>케이비오토제삼차(유)1-27</t>
  </si>
  <si>
    <t>62025</t>
  </si>
  <si>
    <t>주택금융공사MBS2020-28(1-3)</t>
  </si>
  <si>
    <t>62026</t>
  </si>
  <si>
    <t>주택금융공사MBS2020-28(1-4)</t>
  </si>
  <si>
    <t>62027</t>
  </si>
  <si>
    <t>주택금융공사MBS2020-28(1-5)</t>
  </si>
  <si>
    <t>62028</t>
  </si>
  <si>
    <t>주택금융공사MBS2020-28(1-6)</t>
  </si>
  <si>
    <t>62029</t>
  </si>
  <si>
    <t>주택금융공사MBS2020-28(1-7)</t>
  </si>
  <si>
    <t>62030</t>
  </si>
  <si>
    <t>주택금융공사MBS2020-28(1-8)</t>
  </si>
  <si>
    <t>62064</t>
  </si>
  <si>
    <t>퍼스트파이브지제52차(유)1-27</t>
  </si>
  <si>
    <t>62065</t>
  </si>
  <si>
    <t>퍼스트파이브지제52차(유)1-28</t>
  </si>
  <si>
    <t>62095</t>
  </si>
  <si>
    <t>에이블호계(유)1</t>
  </si>
  <si>
    <t>62113</t>
  </si>
  <si>
    <t>디비에스알제이차</t>
  </si>
  <si>
    <t>62118</t>
  </si>
  <si>
    <t>주택금융공사MBS2020-29(1-2)</t>
  </si>
  <si>
    <t>62119</t>
  </si>
  <si>
    <t>주택금융공사MBS2020-29(1-3)</t>
  </si>
  <si>
    <t>62120</t>
  </si>
  <si>
    <t>주택금융공사MBS2020-29(1-4)</t>
  </si>
  <si>
    <t>62165</t>
  </si>
  <si>
    <t>주택금융공사MBS2020-30(1-3)</t>
  </si>
  <si>
    <t>62166</t>
  </si>
  <si>
    <t>주택금융공사MBS2020-30(1-4)</t>
  </si>
  <si>
    <t>62167</t>
  </si>
  <si>
    <t>주택금융공사MBS2020-30(1-5)</t>
  </si>
  <si>
    <t>62168</t>
  </si>
  <si>
    <t>주택금융공사MBS2020-30(1-6)</t>
  </si>
  <si>
    <t>62169</t>
  </si>
  <si>
    <t>주택금융공사MBS2020-30(1-7)</t>
  </si>
  <si>
    <t>62170</t>
  </si>
  <si>
    <t>주택금융공사MBS2020-30(1-8)</t>
  </si>
  <si>
    <t>62205</t>
  </si>
  <si>
    <t>케이지산제일차</t>
  </si>
  <si>
    <t>62209</t>
  </si>
  <si>
    <t>신보2020제15차(유)1-2</t>
  </si>
  <si>
    <t>62210</t>
  </si>
  <si>
    <t>신보2020제15차(유)1-3</t>
  </si>
  <si>
    <t>62211</t>
  </si>
  <si>
    <t>신보2020제15차(유)1-4</t>
  </si>
  <si>
    <t>62214</t>
  </si>
  <si>
    <t>신보2020제14차(유)1-1</t>
  </si>
  <si>
    <t>62215</t>
  </si>
  <si>
    <t>신보2020제14차(유)1-2</t>
  </si>
  <si>
    <t>62266</t>
  </si>
  <si>
    <t>티월드제56차(유)1-26</t>
  </si>
  <si>
    <t>62267</t>
  </si>
  <si>
    <t>티월드제56차(유)1-27</t>
  </si>
  <si>
    <t>62268</t>
  </si>
  <si>
    <t>티월드제56차(유)1-28</t>
  </si>
  <si>
    <t>62296</t>
  </si>
  <si>
    <t>주택금융공사MBS2020-31(1-2)</t>
  </si>
  <si>
    <t>62297</t>
  </si>
  <si>
    <t>주택금융공사MBS2020-31(1-3)</t>
  </si>
  <si>
    <t>62298</t>
  </si>
  <si>
    <t>주택금융공사MBS2020-31(1-4)</t>
  </si>
  <si>
    <t>62359</t>
  </si>
  <si>
    <t>빅모멘텀</t>
  </si>
  <si>
    <t>62364</t>
  </si>
  <si>
    <t>2020제1차스케일업(유)1-4</t>
  </si>
  <si>
    <t>62365</t>
  </si>
  <si>
    <t>2020제1차스케일업(유)2-1</t>
  </si>
  <si>
    <t>62366</t>
  </si>
  <si>
    <t>2020제1차스케일업(유)2-2</t>
  </si>
  <si>
    <t>62382</t>
  </si>
  <si>
    <t>넷마블</t>
  </si>
  <si>
    <t>62389</t>
  </si>
  <si>
    <t>디비고양삼송(유)1</t>
  </si>
  <si>
    <t>62406</t>
  </si>
  <si>
    <t>유플러스파이브지제53차(유)1-17</t>
  </si>
  <si>
    <t>62407</t>
  </si>
  <si>
    <t>유플러스파이브지제53차(유)1-18</t>
  </si>
  <si>
    <t>62408</t>
  </si>
  <si>
    <t>유플러스파이브지제53차(유)1-19</t>
  </si>
  <si>
    <t>62434</t>
  </si>
  <si>
    <t>주택금융공사MBS2020-32(1-3)</t>
  </si>
  <si>
    <t>62435</t>
  </si>
  <si>
    <t>주택금융공사MBS2020-32(1-4)</t>
  </si>
  <si>
    <t>62436</t>
  </si>
  <si>
    <t>주택금융공사MBS2020-32(1-5)</t>
  </si>
  <si>
    <t>62437</t>
  </si>
  <si>
    <t>주택금융공사MBS2020-32(1-6)</t>
  </si>
  <si>
    <t>62438</t>
  </si>
  <si>
    <t>주택금융공사MBS2020-32(1-7)</t>
  </si>
  <si>
    <t>62439</t>
  </si>
  <si>
    <t>주택금융공사MBS2020-32(1-8)</t>
  </si>
  <si>
    <t>62440</t>
  </si>
  <si>
    <t>주택금융공사MBS2020-32(1-9)</t>
  </si>
  <si>
    <t>62494</t>
  </si>
  <si>
    <t>산업기반신보안산스포츠</t>
  </si>
  <si>
    <t>62495</t>
  </si>
  <si>
    <t>뉴지비원(유)1-1</t>
  </si>
  <si>
    <t>62496</t>
  </si>
  <si>
    <t>뉴지비원(유)1-2</t>
  </si>
  <si>
    <t>62497</t>
  </si>
  <si>
    <t>뉴지비원(유)1-3</t>
  </si>
  <si>
    <t>62506</t>
  </si>
  <si>
    <t>주택금융공사MBS2020-33(1-2)</t>
  </si>
  <si>
    <t>62507</t>
  </si>
  <si>
    <t>주택금융공사MBS2020-33(1-3)</t>
  </si>
  <si>
    <t>62508</t>
  </si>
  <si>
    <t>주택금융공사MBS2020-33(1-4)</t>
  </si>
  <si>
    <t>62522</t>
  </si>
  <si>
    <t>오토피아제70차(유)1-13</t>
  </si>
  <si>
    <t>62523</t>
  </si>
  <si>
    <t>오토피아제70차(유)1-14</t>
  </si>
  <si>
    <t>62524</t>
  </si>
  <si>
    <t>오토피아제70차(유)1-15</t>
  </si>
  <si>
    <t>62525</t>
  </si>
  <si>
    <t>오토피아제70차(유)1-16</t>
  </si>
  <si>
    <t>62526</t>
  </si>
  <si>
    <t>오토피아제70차(유)1-17</t>
  </si>
  <si>
    <t>62527</t>
  </si>
  <si>
    <t>오토피아제70차(유)1-18</t>
  </si>
  <si>
    <t>62528</t>
  </si>
  <si>
    <t>오토피아제70차(유)1-19</t>
  </si>
  <si>
    <t>62529</t>
  </si>
  <si>
    <t>오토피아제70차(유)1-20</t>
  </si>
  <si>
    <t>62530</t>
  </si>
  <si>
    <t>오토피아제70차(유)1-21</t>
  </si>
  <si>
    <t>62531</t>
  </si>
  <si>
    <t>오토피아제70차(유)1-22</t>
  </si>
  <si>
    <t>62532</t>
  </si>
  <si>
    <t>오토피아제70차(유)1-23</t>
  </si>
  <si>
    <t>62533</t>
  </si>
  <si>
    <t>오토피아제70차(유)1-24</t>
  </si>
  <si>
    <t>62534</t>
  </si>
  <si>
    <t>오토피아제70차(유)1-25</t>
  </si>
  <si>
    <t>62535</t>
  </si>
  <si>
    <t>오토피아제70차(유)1-26</t>
  </si>
  <si>
    <t>62536</t>
  </si>
  <si>
    <t>오토피아제70차(유)1-27</t>
  </si>
  <si>
    <t>62537</t>
  </si>
  <si>
    <t>오토피아제70차(유)1-28</t>
  </si>
  <si>
    <t>62538</t>
  </si>
  <si>
    <t>오토피아제70차(유)1-29</t>
  </si>
  <si>
    <t>62539</t>
  </si>
  <si>
    <t>오토피아제70차(유)1-30</t>
  </si>
  <si>
    <t>62569</t>
  </si>
  <si>
    <t>부산신항제이배후도로(유)1</t>
  </si>
  <si>
    <t>62599</t>
  </si>
  <si>
    <t>티월드제57차(유)1-27</t>
  </si>
  <si>
    <t>62600</t>
  </si>
  <si>
    <t>신보2020제17차(유)1-1</t>
  </si>
  <si>
    <t>62601</t>
  </si>
  <si>
    <t>신보2020제17차(유)1-2</t>
  </si>
  <si>
    <t>62603</t>
  </si>
  <si>
    <t>신보2020제18차(유)1-2</t>
  </si>
  <si>
    <t>62604</t>
  </si>
  <si>
    <t>신보2020제18차(유)1-3</t>
  </si>
  <si>
    <t>62605</t>
  </si>
  <si>
    <t>신보2020제18차(유)1-4</t>
  </si>
  <si>
    <t>62609</t>
  </si>
  <si>
    <t>부산김해경전철(유)1-2</t>
  </si>
  <si>
    <t>62610</t>
  </si>
  <si>
    <t>부산김해경전철(유)1-3</t>
  </si>
  <si>
    <t>62611</t>
  </si>
  <si>
    <t>부산김해경전철(유)1-4</t>
  </si>
  <si>
    <t>62612</t>
  </si>
  <si>
    <t>부산김해경전철(유)1-5</t>
  </si>
  <si>
    <t>62613</t>
  </si>
  <si>
    <t>부산김해경전철(유)1-6</t>
  </si>
  <si>
    <t>62614</t>
  </si>
  <si>
    <t>부산김해경전철(유)1-7</t>
  </si>
  <si>
    <t>62615</t>
  </si>
  <si>
    <t>부산김해경전철(유)1-8</t>
  </si>
  <si>
    <t>62616</t>
  </si>
  <si>
    <t>부산김해경전철(유)1-9</t>
  </si>
  <si>
    <t>62617</t>
  </si>
  <si>
    <t>부산김해경전철(유)1-10</t>
  </si>
  <si>
    <t>62618</t>
  </si>
  <si>
    <t>부산김해경전철(유)1-11</t>
  </si>
  <si>
    <t>62630</t>
  </si>
  <si>
    <t>이랜드이츠</t>
  </si>
  <si>
    <t>62644</t>
  </si>
  <si>
    <t>에이치엠엠메가쉽제4차(유)1-1</t>
  </si>
  <si>
    <t>62645</t>
  </si>
  <si>
    <t>에이치엠엠메가쉽제4차(유)1-2</t>
  </si>
  <si>
    <t>62661</t>
  </si>
  <si>
    <t>주택금융공사MBS2020-34(1-2)</t>
  </si>
  <si>
    <t>62662</t>
  </si>
  <si>
    <t>주택금융공사MBS2020-34(1-3)</t>
  </si>
  <si>
    <t>62663</t>
  </si>
  <si>
    <t>주택금융공사MBS2020-34(1-4)</t>
  </si>
  <si>
    <t>62692</t>
  </si>
  <si>
    <t>퍼스트파이브지제53차(유)1-27</t>
  </si>
  <si>
    <t>62693</t>
  </si>
  <si>
    <t>퍼스트파이브지제53차(유)1-28</t>
  </si>
  <si>
    <t>62694</t>
  </si>
  <si>
    <t>퍼스트파이브지제53차(유)1-29</t>
  </si>
  <si>
    <t>62737</t>
  </si>
  <si>
    <t>부산거제제일차</t>
  </si>
  <si>
    <t>62757</t>
  </si>
  <si>
    <t>과천도시공사</t>
  </si>
  <si>
    <t>62768</t>
  </si>
  <si>
    <t>뉴스타고성제일차</t>
  </si>
  <si>
    <t>62783</t>
  </si>
  <si>
    <t>주택금융공사MBS2020-35(1-2)</t>
  </si>
  <si>
    <t>62784</t>
  </si>
  <si>
    <t>주택금융공사MBS2020-35(1-3)</t>
  </si>
  <si>
    <t>62785</t>
  </si>
  <si>
    <t>주택금융공사MBS2020-35(1-4)</t>
  </si>
  <si>
    <t>62820</t>
  </si>
  <si>
    <t>주택금융공사MBS2020-36(1-3)</t>
  </si>
  <si>
    <t>62821</t>
  </si>
  <si>
    <t>주택금융공사MBS2020-36(1-4)</t>
  </si>
  <si>
    <t>62822</t>
  </si>
  <si>
    <t>주택금융공사MBS2020-36(1-5)</t>
  </si>
  <si>
    <t>62823</t>
  </si>
  <si>
    <t>주택금융공사MBS2020-36(1-6)</t>
  </si>
  <si>
    <t>62824</t>
  </si>
  <si>
    <t>주택금융공사MBS2020-36(1-7)</t>
  </si>
  <si>
    <t>62825</t>
  </si>
  <si>
    <t>주택금융공사MBS2020-36(1-8)</t>
  </si>
  <si>
    <t>62826</t>
  </si>
  <si>
    <t>주택금융공사MBS2020-36(1-9)</t>
  </si>
  <si>
    <t>62835</t>
  </si>
  <si>
    <t>디비헤라제이십삼차</t>
  </si>
  <si>
    <t>62867</t>
  </si>
  <si>
    <t>카드오토제삼차(유)1-30</t>
  </si>
  <si>
    <t>62868</t>
  </si>
  <si>
    <t>카드오토제삼차(유)1-31</t>
  </si>
  <si>
    <t>62869</t>
  </si>
  <si>
    <t>카드오토제삼차(유)1-32</t>
  </si>
  <si>
    <t>62870</t>
  </si>
  <si>
    <t>카드오토제삼차(유)1-33</t>
  </si>
  <si>
    <t>62871</t>
  </si>
  <si>
    <t>카드오토제삼차(유)1-34</t>
  </si>
  <si>
    <t>62872</t>
  </si>
  <si>
    <t>카드오토제삼차(유)1-35</t>
  </si>
  <si>
    <t>62873</t>
  </si>
  <si>
    <t>카드오토제삼차(유)1-36</t>
  </si>
  <si>
    <t>62876</t>
  </si>
  <si>
    <t>드림자인제일차(유)1</t>
  </si>
  <si>
    <t>62877</t>
  </si>
  <si>
    <t>금촌이유동화전문(유)1</t>
  </si>
  <si>
    <t>62888</t>
  </si>
  <si>
    <t>신보2020제20차(유)1-2</t>
  </si>
  <si>
    <t>62889</t>
  </si>
  <si>
    <t>신보2020제20차(유)1-3</t>
  </si>
  <si>
    <t>62890</t>
  </si>
  <si>
    <t>신보2020제21차(유)1-1</t>
  </si>
  <si>
    <t>62891</t>
  </si>
  <si>
    <t>신보2020제21차(유)1-2</t>
  </si>
  <si>
    <t>62944</t>
  </si>
  <si>
    <t>티월드제58차(유)1-27</t>
  </si>
  <si>
    <t>62958</t>
  </si>
  <si>
    <t>주택금융공사MBS2020-37(1-2)</t>
  </si>
  <si>
    <t>62959</t>
  </si>
  <si>
    <t>주택금융공사MBS2020-37(1-3)</t>
  </si>
  <si>
    <t>62960</t>
  </si>
  <si>
    <t>주택금융공사MBS2020-37(1-4)</t>
  </si>
  <si>
    <t>62993</t>
  </si>
  <si>
    <t>에이블세풍산단</t>
  </si>
  <si>
    <t>63015</t>
  </si>
  <si>
    <t>유플러스파이브지제54차(유)1-16</t>
  </si>
  <si>
    <t>63016</t>
  </si>
  <si>
    <t>유플러스파이브지제54차(유)1-17</t>
  </si>
  <si>
    <t>63017</t>
  </si>
  <si>
    <t>유플러스파이브지제54차(유)1-18</t>
  </si>
  <si>
    <t>63018</t>
  </si>
  <si>
    <t>유플러스파이브지제54차(유)1-19</t>
  </si>
  <si>
    <t>63042</t>
  </si>
  <si>
    <t>주택금융공사MBS2020-38(1-3)</t>
  </si>
  <si>
    <t>63043</t>
  </si>
  <si>
    <t>주택금융공사MBS2020-38(1-4)</t>
  </si>
  <si>
    <t>63044</t>
  </si>
  <si>
    <t>주택금융공사MBS2020-38(1-5)</t>
  </si>
  <si>
    <t>63045</t>
  </si>
  <si>
    <t>주택금융공사MBS2020-38(1-6)</t>
  </si>
  <si>
    <t>63046</t>
  </si>
  <si>
    <t>주택금융공사MBS2020-38(1-7)</t>
  </si>
  <si>
    <t>63047</t>
  </si>
  <si>
    <t>주택금융공사MBS2020-38(1-8)</t>
  </si>
  <si>
    <t>63048</t>
  </si>
  <si>
    <t>주택금융공사MBS2020-38(1-9)</t>
  </si>
  <si>
    <t>63070</t>
  </si>
  <si>
    <t>커머셜오토제십차(유)1-17</t>
  </si>
  <si>
    <t>63071</t>
  </si>
  <si>
    <t>커머셜오토제십차(유)1-18</t>
  </si>
  <si>
    <t>63072</t>
  </si>
  <si>
    <t>커머셜오토제십차(유)1-19</t>
  </si>
  <si>
    <t>63087</t>
  </si>
  <si>
    <t>LG에너지솔루션</t>
  </si>
  <si>
    <t>63100</t>
  </si>
  <si>
    <t>주택금융공사MBS2020-39(1-3)</t>
  </si>
  <si>
    <t>63101</t>
  </si>
  <si>
    <t>주택금융공사MBS2020-39(1-4)</t>
  </si>
  <si>
    <t>63102</t>
  </si>
  <si>
    <t>주택금융공사MBS2020-39(1-5)</t>
  </si>
  <si>
    <t>63103</t>
  </si>
  <si>
    <t>주택금융공사MBS2020-39(1-6)</t>
  </si>
  <si>
    <t>63104</t>
  </si>
  <si>
    <t>주택금융공사MBS2020-39(1-7)</t>
  </si>
  <si>
    <t>63105</t>
  </si>
  <si>
    <t>주택금융공사MBS2020-39(1-8)</t>
  </si>
  <si>
    <t>63106</t>
  </si>
  <si>
    <t>주택금융공사MBS2020-39(1-9)</t>
  </si>
  <si>
    <t>63151</t>
  </si>
  <si>
    <t>티월드제59차(유)1-26</t>
  </si>
  <si>
    <t>63152</t>
  </si>
  <si>
    <t>티월드제59차(유)1-27</t>
  </si>
  <si>
    <t>63153</t>
  </si>
  <si>
    <t>티월드제59차(유)1-28</t>
  </si>
  <si>
    <t>63190</t>
  </si>
  <si>
    <t>퍼스트파이브지제54차(유)1-27</t>
  </si>
  <si>
    <t>63191</t>
  </si>
  <si>
    <t>퍼스트파이브지제54차(유)1-28</t>
  </si>
  <si>
    <t>63192</t>
  </si>
  <si>
    <t>퍼스트파이브지제54차(유)1-29</t>
  </si>
  <si>
    <t>63238</t>
  </si>
  <si>
    <t>산업기반신보울산하버(유)1</t>
  </si>
  <si>
    <t>63241</t>
  </si>
  <si>
    <t>지디프로젝트원(유)1</t>
  </si>
  <si>
    <t>63242</t>
  </si>
  <si>
    <t>신보2021제1차(유)1-1</t>
  </si>
  <si>
    <t>63243</t>
  </si>
  <si>
    <t>신보2021제1차(유)1-2</t>
  </si>
  <si>
    <t>63252</t>
  </si>
  <si>
    <t>주택금융공사MBS2021-01(1-3)</t>
  </si>
  <si>
    <t>63253</t>
  </si>
  <si>
    <t>주택금융공사MBS2021-01(1-4)</t>
  </si>
  <si>
    <t>63254</t>
  </si>
  <si>
    <t>주택금융공사MBS2021-01(1-5)</t>
  </si>
  <si>
    <t>63255</t>
  </si>
  <si>
    <t>주택금융공사MBS2021-01(1-6)</t>
  </si>
  <si>
    <t>63256</t>
  </si>
  <si>
    <t>주택금융공사MBS2021-01(1-7)</t>
  </si>
  <si>
    <t>63257</t>
  </si>
  <si>
    <t>주택금융공사MBS2021-01(1-8)</t>
  </si>
  <si>
    <t>63258</t>
  </si>
  <si>
    <t>주택금융공사MBS2021-01(1-9)</t>
  </si>
  <si>
    <t>63260</t>
  </si>
  <si>
    <t>희진제이차(유)1</t>
  </si>
  <si>
    <t>63270</t>
  </si>
  <si>
    <t>DL이앤씨</t>
  </si>
  <si>
    <t>63300</t>
  </si>
  <si>
    <t>티월드제60차(유)1-26</t>
  </si>
  <si>
    <t>63301</t>
  </si>
  <si>
    <t>티월드제60차(유)1-27</t>
  </si>
  <si>
    <t>63306</t>
  </si>
  <si>
    <t>주택금융공사MBS2021-2(1-3)</t>
  </si>
  <si>
    <t>63307</t>
  </si>
  <si>
    <t>주택금융공사MBS2021-2(1-4)</t>
  </si>
  <si>
    <t>63308</t>
  </si>
  <si>
    <t>주택금융공사MBS2021-2(1-5)</t>
  </si>
  <si>
    <t>63309</t>
  </si>
  <si>
    <t>주택금융공사MBS2021-2(1-6)</t>
  </si>
  <si>
    <t>63310</t>
  </si>
  <si>
    <t>주택금융공사MBS2021-2(1-7)</t>
  </si>
  <si>
    <t>63311</t>
  </si>
  <si>
    <t>주택금융공사MBS2021-2(1-8)</t>
  </si>
  <si>
    <t>63312</t>
  </si>
  <si>
    <t>주택금융공사MBS2021-2(1-9)</t>
  </si>
  <si>
    <t>63360</t>
  </si>
  <si>
    <t>유플러스파이브지제55차(유)1-15</t>
  </si>
  <si>
    <t>63361</t>
  </si>
  <si>
    <t>유플러스파이브지제55차(유)1-16</t>
  </si>
  <si>
    <t>63362</t>
  </si>
  <si>
    <t>유플러스파이브지제55차(유)1-17</t>
  </si>
  <si>
    <t>63363</t>
  </si>
  <si>
    <t>유플러스파이브지제55차(유)1-18</t>
  </si>
  <si>
    <t>63364</t>
  </si>
  <si>
    <t>유플러스파이브지제55차(유)1-19</t>
  </si>
  <si>
    <t>63367</t>
  </si>
  <si>
    <t>제로에너지하우스2호유동화전문</t>
  </si>
  <si>
    <t>63386</t>
  </si>
  <si>
    <t>주택금융공사MBS2021-3(1-3)</t>
  </si>
  <si>
    <t>63387</t>
  </si>
  <si>
    <t>주택금융공사MBS2021-3(1-4)</t>
  </si>
  <si>
    <t>63388</t>
  </si>
  <si>
    <t>주택금융공사MBS2021-3(1-5)</t>
  </si>
  <si>
    <t>63389</t>
  </si>
  <si>
    <t>주택금융공사MBS2021-3(1-6)</t>
  </si>
  <si>
    <t>63390</t>
  </si>
  <si>
    <t>주택금융공사MBS2021-3(1-7)</t>
  </si>
  <si>
    <t>63391</t>
  </si>
  <si>
    <t>주택금융공사MBS2021-3(1-8)</t>
  </si>
  <si>
    <t>63392</t>
  </si>
  <si>
    <t>주택금융공사MBS2021-3(1-9)</t>
  </si>
  <si>
    <t>63453</t>
  </si>
  <si>
    <t>티월드제61차(유)1-26</t>
  </si>
  <si>
    <t>63454</t>
  </si>
  <si>
    <t>티월드제61차(유)1-27</t>
  </si>
  <si>
    <t>63457</t>
  </si>
  <si>
    <t>주택금융공사MBS2021-4(1-2)</t>
  </si>
  <si>
    <t>63458</t>
  </si>
  <si>
    <t>주택금융공사MBS2021-4(1-3)</t>
  </si>
  <si>
    <t>63459</t>
  </si>
  <si>
    <t>주택금융공사MBS2021-4(1-4)</t>
  </si>
  <si>
    <t>63470</t>
  </si>
  <si>
    <t>희진제2차(유)2</t>
  </si>
  <si>
    <t>63496</t>
  </si>
  <si>
    <t>케이비오토제사차(유)1-23</t>
  </si>
  <si>
    <t>63497</t>
  </si>
  <si>
    <t>케이비오토제사차(유)1-24</t>
  </si>
  <si>
    <t>63498</t>
  </si>
  <si>
    <t>케이비오토제사차(유)1-25</t>
  </si>
  <si>
    <t>63499</t>
  </si>
  <si>
    <t>케이비오토제사차(유)1-26</t>
  </si>
  <si>
    <t>63500</t>
  </si>
  <si>
    <t>케이비오토제사차(유)1-27</t>
  </si>
  <si>
    <t>63501</t>
  </si>
  <si>
    <t>케이비오토제사차(유)1-28</t>
  </si>
  <si>
    <t>63503</t>
  </si>
  <si>
    <t>래오제일차(유)1-1</t>
  </si>
  <si>
    <t>63504</t>
  </si>
  <si>
    <t>래오제일차(유)1-2</t>
  </si>
  <si>
    <t>63533</t>
  </si>
  <si>
    <t>빅토리드래곤제10차(유)1</t>
  </si>
  <si>
    <t>63534</t>
  </si>
  <si>
    <t>빅토리드래곤제10차(유)2</t>
  </si>
  <si>
    <t>63573</t>
  </si>
  <si>
    <t>퍼스트파이브지제55차(유)1-26</t>
  </si>
  <si>
    <t>63574</t>
  </si>
  <si>
    <t>퍼스트파이브지제55차(유)1-27</t>
  </si>
  <si>
    <t>63575</t>
  </si>
  <si>
    <t>퍼스트파이브지제55차(유)1-28</t>
  </si>
  <si>
    <t>63576</t>
  </si>
  <si>
    <t>퍼스트파이브지제55차(유)1-29</t>
  </si>
  <si>
    <t>63579</t>
  </si>
  <si>
    <t>이에스인베스트먼트제일차(유)2</t>
  </si>
  <si>
    <t>63580</t>
  </si>
  <si>
    <t>드림골드스타제1차(유)1</t>
  </si>
  <si>
    <t>63590</t>
  </si>
  <si>
    <t>주택금융공사MBS2021-5(1-3)</t>
  </si>
  <si>
    <t>63591</t>
  </si>
  <si>
    <t>주택금융공사MBS2021-5(1-4)</t>
  </si>
  <si>
    <t>63592</t>
  </si>
  <si>
    <t>주택금융공사MBS2021-5(1-5)</t>
  </si>
  <si>
    <t>63593</t>
  </si>
  <si>
    <t>주택금융공사MBS2021-5(1-6)</t>
  </si>
  <si>
    <t>63594</t>
  </si>
  <si>
    <t>주택금융공사MBS2021-5(1-7)</t>
  </si>
  <si>
    <t>63595</t>
  </si>
  <si>
    <t>주택금융공사MBS2021-5(1-8)</t>
  </si>
  <si>
    <t>63596</t>
  </si>
  <si>
    <t>주택금융공사MBS2021-5(1-9)</t>
  </si>
  <si>
    <t>63599</t>
  </si>
  <si>
    <t>디비율하유동화전문</t>
  </si>
  <si>
    <t>63630</t>
  </si>
  <si>
    <t>에이치와이케이제이차</t>
  </si>
  <si>
    <t>63635</t>
  </si>
  <si>
    <t>신보2021제2차(유)1-1</t>
  </si>
  <si>
    <t>63636</t>
  </si>
  <si>
    <t>신보2021제2차(유)1-2</t>
  </si>
  <si>
    <t>63637</t>
  </si>
  <si>
    <t>신보2021제2차(유)1-3</t>
  </si>
  <si>
    <t>63638</t>
  </si>
  <si>
    <t>신보2021제3차(유)1-1</t>
  </si>
  <si>
    <t>63639</t>
  </si>
  <si>
    <t>신보2021제3차(유)1-2</t>
  </si>
  <si>
    <t>63669</t>
  </si>
  <si>
    <t>티월드제62차(유)1-25</t>
  </si>
  <si>
    <t>63670</t>
  </si>
  <si>
    <t>티월드제62차(유)1-26</t>
  </si>
  <si>
    <t>63671</t>
  </si>
  <si>
    <t>티월드제62차(유)1-27</t>
  </si>
  <si>
    <t>63672</t>
  </si>
  <si>
    <t>티월드제62차(유)1-28</t>
  </si>
  <si>
    <t>63721</t>
  </si>
  <si>
    <t>디비위성유동화전문</t>
  </si>
  <si>
    <t>63724</t>
  </si>
  <si>
    <t>주택금융공사MBS2021-6(1-3)</t>
  </si>
  <si>
    <t>63725</t>
  </si>
  <si>
    <t>주택금융공사MBS2021-6(1-4)</t>
  </si>
  <si>
    <t>63726</t>
  </si>
  <si>
    <t>주택금융공사MBS2021-6(1-5)</t>
  </si>
  <si>
    <t>63727</t>
  </si>
  <si>
    <t>주택금융공사MBS2021-6(1-6)</t>
  </si>
  <si>
    <t>63728</t>
  </si>
  <si>
    <t>주택금융공사MBS2021-6(1-7)</t>
  </si>
  <si>
    <t>63729</t>
  </si>
  <si>
    <t>주택금융공사MBS2021-6(1-8)</t>
  </si>
  <si>
    <t>63730</t>
  </si>
  <si>
    <t>주택금융공사MBS2021-6(1-9)</t>
  </si>
  <si>
    <t>63757</t>
  </si>
  <si>
    <t>유플러스파이브지제56차(유)1-14</t>
  </si>
  <si>
    <t>63758</t>
  </si>
  <si>
    <t>유플러스파이브지제56차(유)1-15</t>
  </si>
  <si>
    <t>63759</t>
  </si>
  <si>
    <t>유플러스파이브지제56차(유)1-16</t>
  </si>
  <si>
    <t>63760</t>
  </si>
  <si>
    <t>유플러스파이브지제56차(유)1-17</t>
  </si>
  <si>
    <t>63761</t>
  </si>
  <si>
    <t>유플러스파이브지제56차(유)1-18</t>
  </si>
  <si>
    <t>63762</t>
  </si>
  <si>
    <t>유플러스파이브지제56차(유)1-19</t>
  </si>
  <si>
    <t>63770</t>
  </si>
  <si>
    <t>이너피스제1차(유)3-1</t>
  </si>
  <si>
    <t>63771</t>
  </si>
  <si>
    <t>이너피스제2차(유)3-1</t>
  </si>
  <si>
    <t>63772</t>
  </si>
  <si>
    <t>이너피스제1차(유)3-2</t>
  </si>
  <si>
    <t>63773</t>
  </si>
  <si>
    <t>이너피스제2차(유)3-2</t>
  </si>
  <si>
    <t>63783</t>
  </si>
  <si>
    <t>주택금융공사MBS2021-7(1-3)</t>
  </si>
  <si>
    <t>63784</t>
  </si>
  <si>
    <t>주택금융공사MBS2021-7(1-4)</t>
  </si>
  <si>
    <t>63785</t>
  </si>
  <si>
    <t>주택금융공사MBS2021-7(1-5)</t>
  </si>
  <si>
    <t>63786</t>
  </si>
  <si>
    <t>주택금융공사MBS2021-7(1-6)</t>
  </si>
  <si>
    <t>63787</t>
  </si>
  <si>
    <t>주택금융공사MBS2021-7(1-7)</t>
  </si>
  <si>
    <t>63788</t>
  </si>
  <si>
    <t>주택금융공사MBS2021-7(1-8)</t>
  </si>
  <si>
    <t>63789</t>
  </si>
  <si>
    <t>주택금융공사MBS2021-7(1-9)</t>
  </si>
  <si>
    <t>63792</t>
  </si>
  <si>
    <t>63805</t>
  </si>
  <si>
    <t>현대오토에버</t>
  </si>
  <si>
    <t>63819</t>
  </si>
  <si>
    <t>산업기반신보경남하이웨이(유)1</t>
  </si>
  <si>
    <t>63823</t>
  </si>
  <si>
    <t>더블유제이디제일차(유)1</t>
  </si>
  <si>
    <t>63833</t>
  </si>
  <si>
    <t>주택금융공사MBS2021-8(1-3)</t>
  </si>
  <si>
    <t>63834</t>
  </si>
  <si>
    <t>주택금융공사MBS2021-8(1-4)</t>
  </si>
  <si>
    <t>63835</t>
  </si>
  <si>
    <t>주택금융공사MBS2021-8(1-5)</t>
  </si>
  <si>
    <t>63836</t>
  </si>
  <si>
    <t>주택금융공사MBS2021-8(1-6)</t>
  </si>
  <si>
    <t>63837</t>
  </si>
  <si>
    <t>주택금융공사MBS2021-8(1-8)</t>
  </si>
  <si>
    <t>63838</t>
  </si>
  <si>
    <t>63839</t>
  </si>
  <si>
    <t>주택금융공사MBS2021-8(1-9)</t>
  </si>
  <si>
    <t>63851</t>
  </si>
  <si>
    <t>송도피식스제1차(유)1</t>
  </si>
  <si>
    <t>63853</t>
  </si>
  <si>
    <t>에이치와이케이제삼차</t>
  </si>
  <si>
    <t>63889</t>
  </si>
  <si>
    <t>티월드제63차(유)1-25</t>
  </si>
  <si>
    <t>63890</t>
  </si>
  <si>
    <t>티월드제63차(유)1-26</t>
  </si>
  <si>
    <t>63891</t>
  </si>
  <si>
    <t>티월드제63차(유)1-27</t>
  </si>
  <si>
    <t>63892</t>
  </si>
  <si>
    <t>신보2021제5차(유)1-1</t>
  </si>
  <si>
    <t>63893</t>
  </si>
  <si>
    <t>신보2021제5차(유)1-2</t>
  </si>
  <si>
    <t>63894</t>
  </si>
  <si>
    <t>신보2021제6차(유)1-1</t>
  </si>
  <si>
    <t>63895</t>
  </si>
  <si>
    <t>신보2021제6차(유)1-2</t>
  </si>
  <si>
    <t>63896</t>
  </si>
  <si>
    <t>신보2021제6차(유)1-3</t>
  </si>
  <si>
    <t>63898</t>
  </si>
  <si>
    <t>신보2021제7차(유)1-2</t>
  </si>
  <si>
    <t>63908</t>
  </si>
  <si>
    <t>주택금융공사MBS2021-9(1-3)</t>
  </si>
  <si>
    <t>63909</t>
  </si>
  <si>
    <t>주택금융공사MBS2021-9(1-4)</t>
  </si>
  <si>
    <t>63910</t>
  </si>
  <si>
    <t>주택금융공사MBS2021-9(1-5)</t>
  </si>
  <si>
    <t>63911</t>
  </si>
  <si>
    <t>주택금융공사MBS2021-9(1-6)</t>
  </si>
  <si>
    <t>63912</t>
  </si>
  <si>
    <t>주택금융공사MBS2021-9(1-7)</t>
  </si>
  <si>
    <t>63913</t>
  </si>
  <si>
    <t>주택금융공사MBS2021-9(1-8)</t>
  </si>
  <si>
    <t>63914</t>
  </si>
  <si>
    <t>주택금융공사MBS2021-9(1-9)</t>
  </si>
  <si>
    <t>63942</t>
  </si>
  <si>
    <t>퍼스트파이브지제56차(유)1-25</t>
  </si>
  <si>
    <t>63943</t>
  </si>
  <si>
    <t>퍼스트파이브지제56차(유)1-26</t>
  </si>
  <si>
    <t>63944</t>
  </si>
  <si>
    <t>퍼스트파이브지제56차(유)1-27</t>
  </si>
  <si>
    <t>63945</t>
  </si>
  <si>
    <t>퍼스트파이브지제56차(유)1-28</t>
  </si>
  <si>
    <t>63946</t>
  </si>
  <si>
    <t>퍼스트파이브지제56차(유)1-29</t>
  </si>
  <si>
    <t>63947</t>
  </si>
  <si>
    <t>퍼스트파이브지제56차(유)1-30</t>
  </si>
  <si>
    <t>63954</t>
  </si>
  <si>
    <t>수원애경역사</t>
  </si>
  <si>
    <t>64013</t>
  </si>
  <si>
    <t>디티프로젝트원(유)1</t>
  </si>
  <si>
    <t>64016</t>
  </si>
  <si>
    <t>세븐스타즈제이차</t>
  </si>
  <si>
    <t>64019</t>
  </si>
  <si>
    <t>에코화이트(유)2</t>
  </si>
  <si>
    <t>64024</t>
  </si>
  <si>
    <t>에코화이트(유)1</t>
  </si>
  <si>
    <t>64045</t>
  </si>
  <si>
    <t>주택금융공사MBS2021-10(1-3)</t>
  </si>
  <si>
    <t>64046</t>
  </si>
  <si>
    <t>주택금융공사MBS2021-10(1-4)</t>
  </si>
  <si>
    <t>64047</t>
  </si>
  <si>
    <t>주택금융공사MBS2021-10(1-5)</t>
  </si>
  <si>
    <t>64048</t>
  </si>
  <si>
    <t>주택금융공사MBS2021-10(1-6)</t>
  </si>
  <si>
    <t>64049</t>
  </si>
  <si>
    <t>주택금융공사MBS2021-10(1-7)</t>
  </si>
  <si>
    <t>64050</t>
  </si>
  <si>
    <t>주택금융공사MBS2021-10(1-8)</t>
  </si>
  <si>
    <t>64051</t>
  </si>
  <si>
    <t>주택금융공사MBS2021-10(1-9)</t>
  </si>
  <si>
    <t>64056</t>
  </si>
  <si>
    <t>더블유제이디제일차(유)2</t>
  </si>
  <si>
    <t>64090</t>
  </si>
  <si>
    <t>에이원자스민(유)1</t>
  </si>
  <si>
    <t>64091</t>
  </si>
  <si>
    <t>에이원자스민(유)2</t>
  </si>
  <si>
    <t>64098</t>
  </si>
  <si>
    <t>주택금융공사MBS2021-11(1-2)</t>
  </si>
  <si>
    <t>64099</t>
  </si>
  <si>
    <t>주택금융공사MBS2021-11(1-3)</t>
  </si>
  <si>
    <t>64100</t>
  </si>
  <si>
    <t>주택금융공사MBS2021-11(1-4)</t>
  </si>
  <si>
    <t>64108</t>
  </si>
  <si>
    <t>이너피스제3차(유)3-1</t>
  </si>
  <si>
    <t>64109</t>
  </si>
  <si>
    <t>이너피스제3차(유)3-2</t>
  </si>
  <si>
    <t>64110</t>
  </si>
  <si>
    <t>이너피스제3차(유)3-3</t>
  </si>
  <si>
    <t>64111</t>
  </si>
  <si>
    <t>이너피스제3차(유)3-4</t>
  </si>
  <si>
    <t>64147</t>
  </si>
  <si>
    <t>티월드제64차(유)1-25</t>
  </si>
  <si>
    <t>64148</t>
  </si>
  <si>
    <t>티월드제64차(유)1-26</t>
  </si>
  <si>
    <t>64149</t>
  </si>
  <si>
    <t>티월드제64차(유)1-27</t>
  </si>
  <si>
    <t>64150</t>
  </si>
  <si>
    <t>신보2021제8차(유)1-1</t>
  </si>
  <si>
    <t>64151</t>
  </si>
  <si>
    <t>신보2021제8차(유)1-2</t>
  </si>
  <si>
    <t>64152</t>
  </si>
  <si>
    <t>신보2021제8차(유)1-3</t>
  </si>
  <si>
    <t>64153</t>
  </si>
  <si>
    <t>신보2021제9차(유)1-1</t>
  </si>
  <si>
    <t>64154</t>
  </si>
  <si>
    <t>신보2021제9차(유)1-2</t>
  </si>
  <si>
    <t>64164</t>
  </si>
  <si>
    <t>2021기보제1차(유)1-1</t>
  </si>
  <si>
    <t>64165</t>
  </si>
  <si>
    <t>2021기보제1차(유)1-2</t>
  </si>
  <si>
    <t>64167</t>
  </si>
  <si>
    <t>신보2021제10차(유)1-2</t>
  </si>
  <si>
    <t>64181</t>
  </si>
  <si>
    <t>케이아이에스운정제일차</t>
  </si>
  <si>
    <t>64196</t>
  </si>
  <si>
    <t>주택금융공사MBS2021-12(1-3)</t>
  </si>
  <si>
    <t>64197</t>
  </si>
  <si>
    <t>주택금융공사MBS2021-12(1-4)</t>
  </si>
  <si>
    <t>64198</t>
  </si>
  <si>
    <t>주택금융공사MBS2021-12(1-5)</t>
  </si>
  <si>
    <t>64199</t>
  </si>
  <si>
    <t>주택금융공사MBS2021-12(1-6)</t>
  </si>
  <si>
    <t>64200</t>
  </si>
  <si>
    <t>주택금융공사MBS2021-12(1-7)</t>
  </si>
  <si>
    <t>64201</t>
  </si>
  <si>
    <t>주택금융공사MBS2021-12(1-8)</t>
  </si>
  <si>
    <t>64202</t>
  </si>
  <si>
    <t>주택금융공사MBS2021-12(1-9)</t>
  </si>
  <si>
    <t>64235</t>
  </si>
  <si>
    <t>에이치디비에이(유)1-2</t>
  </si>
  <si>
    <t>64246</t>
  </si>
  <si>
    <t>실버레인제일차(유)1</t>
  </si>
  <si>
    <t>64247</t>
  </si>
  <si>
    <t>실버레인제일차(유)2</t>
  </si>
  <si>
    <t>64248</t>
  </si>
  <si>
    <t>실버레인제일차(유)3</t>
  </si>
  <si>
    <t>64249</t>
  </si>
  <si>
    <t>실버레인제1차(유)4</t>
  </si>
  <si>
    <t>64262</t>
  </si>
  <si>
    <t>제이제이오제3차(유)1-1</t>
  </si>
  <si>
    <t>64263</t>
  </si>
  <si>
    <t>제이제이오제3차(유)3-1</t>
  </si>
  <si>
    <t>64276</t>
  </si>
  <si>
    <t>유플러스파이브지제57차(유)1-13</t>
  </si>
  <si>
    <t>64277</t>
  </si>
  <si>
    <t>유플러스파이브지제57차(유)1-14</t>
  </si>
  <si>
    <t>64278</t>
  </si>
  <si>
    <t>유플러스파이브지제57차(유)1-15</t>
  </si>
  <si>
    <t>64279</t>
  </si>
  <si>
    <t>유플러스파이브지제57차(유)1-16</t>
  </si>
  <si>
    <t>64280</t>
  </si>
  <si>
    <t>유플러스파이브지제57차(유)1-17</t>
  </si>
  <si>
    <t>64281</t>
  </si>
  <si>
    <t>유플러스파이브지제57차(유)1-18</t>
  </si>
  <si>
    <t>64282</t>
  </si>
  <si>
    <t>유플러스파이브지제57차(유)1-19</t>
  </si>
  <si>
    <t>64285</t>
  </si>
  <si>
    <t>제이제이오제3차(유)2-1</t>
  </si>
  <si>
    <t>64309</t>
  </si>
  <si>
    <t>한국자산캐피탈</t>
  </si>
  <si>
    <t>64315</t>
  </si>
  <si>
    <t>더블유제이디제일차(유)3</t>
  </si>
  <si>
    <t>64328</t>
  </si>
  <si>
    <t>에이치디비에이(유)2</t>
  </si>
  <si>
    <t>64349</t>
  </si>
  <si>
    <t>시흥도시공사</t>
  </si>
  <si>
    <t>64354</t>
  </si>
  <si>
    <t>주택금융공사MBS2021-13(1-3)</t>
  </si>
  <si>
    <t>64355</t>
  </si>
  <si>
    <t>주택금융공사MBS2021-13(1-4)</t>
  </si>
  <si>
    <t>64356</t>
  </si>
  <si>
    <t>주택금융공사MBS2021-13(1-5)</t>
  </si>
  <si>
    <t>64357</t>
  </si>
  <si>
    <t>주택금융공사MBS2021-13(1-6)</t>
  </si>
  <si>
    <t>64358</t>
  </si>
  <si>
    <t>주택금융공사MBS2021-13(1-7)</t>
  </si>
  <si>
    <t>64359</t>
  </si>
  <si>
    <t>주택금융공사MBS2021-13(1-8)</t>
  </si>
  <si>
    <t>64360</t>
  </si>
  <si>
    <t>주택금융공사MBS2021-13(1-9)</t>
  </si>
  <si>
    <t>64403</t>
  </si>
  <si>
    <t>희진제이차(유)3</t>
  </si>
  <si>
    <t>64421</t>
  </si>
  <si>
    <t>신보2021제11차(유)1-1</t>
  </si>
  <si>
    <t>64422</t>
  </si>
  <si>
    <t>신보2021제11차(유)1-2</t>
  </si>
  <si>
    <t>64423</t>
  </si>
  <si>
    <t>신보2021제11차(유)1-3</t>
  </si>
  <si>
    <t>64424</t>
  </si>
  <si>
    <t>신보2021제12차(유)1-1</t>
  </si>
  <si>
    <t>64425</t>
  </si>
  <si>
    <t>신보2021제12차(유)1-2</t>
  </si>
  <si>
    <t>64427</t>
  </si>
  <si>
    <t>신보2021제13차(유)1-2</t>
  </si>
  <si>
    <t>64432</t>
  </si>
  <si>
    <t>중일프로젝트원(유)1</t>
  </si>
  <si>
    <t>64455</t>
  </si>
  <si>
    <t>제이비우리캐피탈오토23차유1-21</t>
  </si>
  <si>
    <t>64456</t>
  </si>
  <si>
    <t>제이비우리캐피탈오토23차유1-22</t>
  </si>
  <si>
    <t>64457</t>
  </si>
  <si>
    <t>제이비우리캐피탈오토23차유1-23</t>
  </si>
  <si>
    <t>64458</t>
  </si>
  <si>
    <t>제이비우리캐피탈오토23차유1-24</t>
  </si>
  <si>
    <t>64459</t>
  </si>
  <si>
    <t>제이비우리캐피탈오토23차유1-25</t>
  </si>
  <si>
    <t>64460</t>
  </si>
  <si>
    <t>제이비우리캐피탈오토23차유1-26</t>
  </si>
  <si>
    <t>64461</t>
  </si>
  <si>
    <t>제이비우리캐피탈오토23차유1-27</t>
  </si>
  <si>
    <t>64462</t>
  </si>
  <si>
    <t>제이비우리캐피탈오토23차유1-28</t>
  </si>
  <si>
    <t>64480</t>
  </si>
  <si>
    <t>펄어비스</t>
  </si>
  <si>
    <t>64505</t>
  </si>
  <si>
    <t>티월드제65차(유)1-25</t>
  </si>
  <si>
    <t>64506</t>
  </si>
  <si>
    <t>티월드제65차(유)1-26</t>
  </si>
  <si>
    <t>64507</t>
  </si>
  <si>
    <t>티월드제65차(유)1-27</t>
  </si>
  <si>
    <t>64508</t>
  </si>
  <si>
    <t>티월드제65차(유)1-28</t>
  </si>
  <si>
    <t>64521</t>
  </si>
  <si>
    <t>디비안산제1차(유)1</t>
  </si>
  <si>
    <t>64547</t>
  </si>
  <si>
    <t>퍼스트파이브지제57차(유)1-24</t>
  </si>
  <si>
    <t>64548</t>
  </si>
  <si>
    <t>퍼스트파이브지제57차(유)1-25</t>
  </si>
  <si>
    <t>64549</t>
  </si>
  <si>
    <t>퍼스트파이브지제57차(유)1-26</t>
  </si>
  <si>
    <t>64550</t>
  </si>
  <si>
    <t>퍼스트파이브지제57차(유)1-27</t>
  </si>
  <si>
    <t>64551</t>
  </si>
  <si>
    <t>퍼스트파이브지제57차(유)1-28</t>
  </si>
  <si>
    <t>64552</t>
  </si>
  <si>
    <t>퍼스트파이브지제57차(유)1-29</t>
  </si>
  <si>
    <t>64576</t>
  </si>
  <si>
    <t>중진공2021제1차스케일업(유)1-3</t>
  </si>
  <si>
    <t>64577</t>
  </si>
  <si>
    <t>중진공2021제1차스케일업(유)2-1</t>
  </si>
  <si>
    <t>64578</t>
  </si>
  <si>
    <t>중진공2021제1차스케일업(유)2-2</t>
  </si>
  <si>
    <t>64579</t>
  </si>
  <si>
    <t>중진공2021제1차스케일업(유)2-3</t>
  </si>
  <si>
    <t>64580</t>
  </si>
  <si>
    <t>중진공2021제1차스케일업(유)3</t>
  </si>
  <si>
    <t>64592</t>
  </si>
  <si>
    <t>주택금융공사MBS2021-14(1-3)</t>
  </si>
  <si>
    <t>64593</t>
  </si>
  <si>
    <t>주택금융공사MBS2021-14(1-4)</t>
  </si>
  <si>
    <t>64594</t>
  </si>
  <si>
    <t>주택금융공사MBS2021-14(1-5)</t>
  </si>
  <si>
    <t>64595</t>
  </si>
  <si>
    <t>주택금융공사MBS2021-14(1-6)</t>
  </si>
  <si>
    <t>64596</t>
  </si>
  <si>
    <t>주택금융공사MBS2021-14(1-7)</t>
  </si>
  <si>
    <t>64597</t>
  </si>
  <si>
    <t>주택금융공사MBS2021-14(1-8)</t>
  </si>
  <si>
    <t>64601</t>
  </si>
  <si>
    <t>주택금융공사MBS2021-14(1-9)</t>
  </si>
  <si>
    <t>64605</t>
  </si>
  <si>
    <t>고양도시관리공사</t>
  </si>
  <si>
    <t>64650</t>
  </si>
  <si>
    <t>에이치디비에이(유)3</t>
  </si>
  <si>
    <t>64696</t>
  </si>
  <si>
    <t>주택금융공사MBS2021-15(1-3)</t>
  </si>
  <si>
    <t>64697</t>
  </si>
  <si>
    <t>주택금융공사MBS2021-15(1-4)</t>
  </si>
  <si>
    <t>64698</t>
  </si>
  <si>
    <t>주택금융공사MBS2021-15(1-5)</t>
  </si>
  <si>
    <t>64699</t>
  </si>
  <si>
    <t>주택금융공사MBS2021-15(1-6)</t>
  </si>
  <si>
    <t>64700</t>
  </si>
  <si>
    <t>주택금융공사MBS2021-15(1-7)</t>
  </si>
  <si>
    <t>64701</t>
  </si>
  <si>
    <t>주택금융공사MBS2021-15(1-8)</t>
  </si>
  <si>
    <t>64702</t>
  </si>
  <si>
    <t>주택금융공사MBS2021-15(1-9)</t>
  </si>
  <si>
    <t>64704</t>
  </si>
  <si>
    <t>에이치디비에이(유)4</t>
  </si>
  <si>
    <t>64709</t>
  </si>
  <si>
    <t>에이치디비에이제1차(유)1</t>
  </si>
  <si>
    <t>64712</t>
  </si>
  <si>
    <t>에스제이그레이트제10차(유)1-1</t>
  </si>
  <si>
    <t>64713</t>
  </si>
  <si>
    <t>에스제이그레이트제10차(유)1-2</t>
  </si>
  <si>
    <t>64755</t>
  </si>
  <si>
    <t>SK쉴더스</t>
  </si>
  <si>
    <t>64758</t>
  </si>
  <si>
    <t>피에프개발제사차(유)1</t>
  </si>
  <si>
    <t>64765</t>
  </si>
  <si>
    <t>산업기반신보남양주(유)1</t>
  </si>
  <si>
    <t>64779</t>
  </si>
  <si>
    <t>위너콤</t>
  </si>
  <si>
    <t>64813</t>
  </si>
  <si>
    <t>티월드제66차(유)1-24</t>
  </si>
  <si>
    <t>64814</t>
  </si>
  <si>
    <t>티월드제66차(유)1-25</t>
  </si>
  <si>
    <t>64815</t>
  </si>
  <si>
    <t>티월드제66차(유)1-26</t>
  </si>
  <si>
    <t>64816</t>
  </si>
  <si>
    <t>티월드제66차(유)1-27</t>
  </si>
  <si>
    <t>64817</t>
  </si>
  <si>
    <t>주택금융공사MBS2021-16(1-1)</t>
  </si>
  <si>
    <t>64818</t>
  </si>
  <si>
    <t>주택금융공사MBS2021-16(1-2)</t>
  </si>
  <si>
    <t>64819</t>
  </si>
  <si>
    <t>주택금융공사MBS2021-16(1-3)</t>
  </si>
  <si>
    <t>64820</t>
  </si>
  <si>
    <t>주택금융공사MBS2021-16(1-4)</t>
  </si>
  <si>
    <t>64823</t>
  </si>
  <si>
    <t>김포로지스밸류에드(유)1</t>
  </si>
  <si>
    <t>64834</t>
  </si>
  <si>
    <t>에이치디비에이제일차(유)2</t>
  </si>
  <si>
    <t>64862</t>
  </si>
  <si>
    <t>유플러스파이브지제58차(유)1-12</t>
  </si>
  <si>
    <t>64863</t>
  </si>
  <si>
    <t>유플러스파이브지제58차(유)1-13</t>
  </si>
  <si>
    <t>64864</t>
  </si>
  <si>
    <t>유플러스파이브지제58차(유)1-14</t>
  </si>
  <si>
    <t>64865</t>
  </si>
  <si>
    <t>유플러스파이브지제58차(유)1-15</t>
  </si>
  <si>
    <t>64866</t>
  </si>
  <si>
    <t>유플러스파이브지제58차(유)1-16</t>
  </si>
  <si>
    <t>64867</t>
  </si>
  <si>
    <t>유플러스파이브지제58차(유)1-17</t>
  </si>
  <si>
    <t>64868</t>
  </si>
  <si>
    <t>유플러스파이브지제58차(유)1-18</t>
  </si>
  <si>
    <t>64869</t>
  </si>
  <si>
    <t>유플러스파이브지제58차(유)1-19</t>
  </si>
  <si>
    <t>64888</t>
  </si>
  <si>
    <t>에코파인트리제3차(유)1</t>
  </si>
  <si>
    <t>64890</t>
  </si>
  <si>
    <t>주택금융공사MBS2021-17(1-2)</t>
  </si>
  <si>
    <t>64891</t>
  </si>
  <si>
    <t>주택금융공사MBS2021-17(1-3)</t>
  </si>
  <si>
    <t>64892</t>
  </si>
  <si>
    <t>주택금융공사MBS2021-17(1-4)</t>
  </si>
  <si>
    <t>64893</t>
  </si>
  <si>
    <t>주택금융공사MBS2021-17(1-5)</t>
  </si>
  <si>
    <t>64894</t>
  </si>
  <si>
    <t>주택금융공사MBS2021-17(1-6)</t>
  </si>
  <si>
    <t>64895</t>
  </si>
  <si>
    <t>주택금융공사MBS2021-17(1-7)</t>
  </si>
  <si>
    <t>64896</t>
  </si>
  <si>
    <t>주택금융공사MBS2021-17(1-8)</t>
  </si>
  <si>
    <t>64897</t>
  </si>
  <si>
    <t>주택금융공사MBS2021-17(1-9)</t>
  </si>
  <si>
    <t>64910</t>
  </si>
  <si>
    <t>큐브반포유동화(유)1</t>
  </si>
  <si>
    <t>64936</t>
  </si>
  <si>
    <t>프라이든제삼차(유)1-1</t>
  </si>
  <si>
    <t>64937</t>
  </si>
  <si>
    <t>프라이든제삼차(유)1-2</t>
  </si>
  <si>
    <t>64938</t>
  </si>
  <si>
    <t>프라이든제삼차(유)1-3</t>
  </si>
  <si>
    <t>64939</t>
  </si>
  <si>
    <t>프라이든제삼차(유)1-4</t>
  </si>
  <si>
    <t>64942</t>
  </si>
  <si>
    <t>에코아이리스</t>
  </si>
  <si>
    <t>64947</t>
  </si>
  <si>
    <t>드래곤라인제사차(유)1-4</t>
  </si>
  <si>
    <t>64960</t>
  </si>
  <si>
    <t>에이치디비에이제1차(유)3</t>
  </si>
  <si>
    <t>64978</t>
  </si>
  <si>
    <t>주택금융공사MBS2021-18(1-1)</t>
  </si>
  <si>
    <t>64979</t>
  </si>
  <si>
    <t>주택금융공사MBS2021-18(1-2)</t>
  </si>
  <si>
    <t>64980</t>
  </si>
  <si>
    <t>주택금융공사MBS2021-18(1-3)</t>
  </si>
  <si>
    <t>64981</t>
  </si>
  <si>
    <t>주택금융공사MBS2021-18(1-4)</t>
  </si>
  <si>
    <t>64984</t>
  </si>
  <si>
    <t>신보2021제14차(유)1-1</t>
  </si>
  <si>
    <t>64985</t>
  </si>
  <si>
    <t>신보2021제14차(유)1-2</t>
  </si>
  <si>
    <t>64986</t>
  </si>
  <si>
    <t>신보2021제14차(유)1-3</t>
  </si>
  <si>
    <t>64987</t>
  </si>
  <si>
    <t>신보2021제15차(유)1-1</t>
  </si>
  <si>
    <t>64988</t>
  </si>
  <si>
    <t>신보2021제15차(유)1-2</t>
  </si>
  <si>
    <t>64989</t>
  </si>
  <si>
    <t>신보2021제15차(유)1-3</t>
  </si>
  <si>
    <t>65003</t>
  </si>
  <si>
    <t>칼링크</t>
  </si>
  <si>
    <t>65036</t>
  </si>
  <si>
    <t>티월드제67차(유)1-23</t>
  </si>
  <si>
    <t>65037</t>
  </si>
  <si>
    <t>티월드제67차(유)1-24</t>
  </si>
  <si>
    <t>65038</t>
  </si>
  <si>
    <t>티월드제67차(유)1-25</t>
  </si>
  <si>
    <t>65039</t>
  </si>
  <si>
    <t>티월드제67차(유)1-26</t>
  </si>
  <si>
    <t>65040</t>
  </si>
  <si>
    <t>티월드제67차(유)1-27</t>
  </si>
  <si>
    <t>65117</t>
  </si>
  <si>
    <t>퍼스트파이브지제58차(유)1-23</t>
  </si>
  <si>
    <t>65118</t>
  </si>
  <si>
    <t>퍼스트파이브지제58차(유)1-24</t>
  </si>
  <si>
    <t>65119</t>
  </si>
  <si>
    <t>퍼스트파이브지제58차(유)1-25</t>
  </si>
  <si>
    <t>65120</t>
  </si>
  <si>
    <t>퍼스트파이브지제58차(유)1-26</t>
  </si>
  <si>
    <t>65121</t>
  </si>
  <si>
    <t>퍼스트파이브지제58차(유)1-27</t>
  </si>
  <si>
    <t>65122</t>
  </si>
  <si>
    <t>퍼스트파이브지제58차(유)1-28</t>
  </si>
  <si>
    <t>65123</t>
  </si>
  <si>
    <t>퍼스트파이브지제58차(유)1-29</t>
  </si>
  <si>
    <t>65148</t>
  </si>
  <si>
    <t>주택금융공사MBS2021-19(1-1)</t>
  </si>
  <si>
    <t>65149</t>
  </si>
  <si>
    <t>뉴스타해피제3차(유)1</t>
  </si>
  <si>
    <t>65154</t>
  </si>
  <si>
    <t>제이알글로벌리츠</t>
  </si>
  <si>
    <t>65156</t>
  </si>
  <si>
    <t>에이치디비에이제일차(유)4</t>
  </si>
  <si>
    <t>65173</t>
  </si>
  <si>
    <t>주택금융공사MBS2021-20(1-2)</t>
  </si>
  <si>
    <t>65174</t>
  </si>
  <si>
    <t>주택금융공사MBS2021-20(1-3)</t>
  </si>
  <si>
    <t>65175</t>
  </si>
  <si>
    <t>주택금융공사MBS2021-20(1-4)</t>
  </si>
  <si>
    <t>65176</t>
  </si>
  <si>
    <t>주택금융공사MBS2021-20(1-5)</t>
  </si>
  <si>
    <t>65177</t>
  </si>
  <si>
    <t>주택금융공사MBS2021-20(1-6)</t>
  </si>
  <si>
    <t>65178</t>
  </si>
  <si>
    <t>주택금융공사MBS2021-20(1-7)</t>
  </si>
  <si>
    <t>65179</t>
  </si>
  <si>
    <t>주택금융공사MBS2021-20(1-8)</t>
  </si>
  <si>
    <t>65180</t>
  </si>
  <si>
    <t>주택금융공사MBS2021-20(1-9)</t>
  </si>
  <si>
    <t>65199</t>
  </si>
  <si>
    <t>에이치디비에이제1차(유)5</t>
  </si>
  <si>
    <t>65214</t>
  </si>
  <si>
    <t>광해광업공단</t>
  </si>
  <si>
    <t>65224</t>
  </si>
  <si>
    <t>경산아이파크제일차</t>
  </si>
  <si>
    <t>65245</t>
  </si>
  <si>
    <t>주택금융공사MBS2021-21(1-2)</t>
  </si>
  <si>
    <t>65246</t>
  </si>
  <si>
    <t>주택금융공사MBS2021-21(1-3)</t>
  </si>
  <si>
    <t>65247</t>
  </si>
  <si>
    <t>주택금융공사MBS2021-21(1-4)</t>
  </si>
  <si>
    <t>65270</t>
  </si>
  <si>
    <t>티월드제68차(유)1-22</t>
  </si>
  <si>
    <t>65271</t>
  </si>
  <si>
    <t>티월드제68차(유)1-23</t>
  </si>
  <si>
    <t>65272</t>
  </si>
  <si>
    <t>티월드제68차(유)1-24</t>
  </si>
  <si>
    <t>65273</t>
  </si>
  <si>
    <t>티월드제68차(유)1-25</t>
  </si>
  <si>
    <t>65274</t>
  </si>
  <si>
    <t>티월드제68차(유)1-26</t>
  </si>
  <si>
    <t>65275</t>
  </si>
  <si>
    <t>티월드제68차(유)1-27</t>
  </si>
  <si>
    <t>65276</t>
  </si>
  <si>
    <t>티월드제68차(유)1-28</t>
  </si>
  <si>
    <t>65277</t>
  </si>
  <si>
    <t>신보2021제16차(유)1-1</t>
  </si>
  <si>
    <t>65278</t>
  </si>
  <si>
    <t>신보2021제16차(유)1-2</t>
  </si>
  <si>
    <t>65279</t>
  </si>
  <si>
    <t>신보2021제16차(유)1-3</t>
  </si>
  <si>
    <t>65280</t>
  </si>
  <si>
    <t>신보2021제17차(유)1-1</t>
  </si>
  <si>
    <t>65281</t>
  </si>
  <si>
    <t>신보2021제17차(유)1-2</t>
  </si>
  <si>
    <t>65282</t>
  </si>
  <si>
    <t>신보2021제18차(유)1-1</t>
  </si>
  <si>
    <t>65283</t>
  </si>
  <si>
    <t>신보2021제18차(유)1-2</t>
  </si>
  <si>
    <t>65291</t>
  </si>
  <si>
    <t>에이치와이케이제팔차</t>
  </si>
  <si>
    <t>65364</t>
  </si>
  <si>
    <t>뉴스타임팩트제1차(유)1</t>
  </si>
  <si>
    <t>65365</t>
  </si>
  <si>
    <t>뉴스타임팩트제2차(유)1</t>
  </si>
  <si>
    <t>65394</t>
  </si>
  <si>
    <t>유플러스파이브지제59차(유)1-11</t>
  </si>
  <si>
    <t>65395</t>
  </si>
  <si>
    <t>유플러스파이브지제59차(유)1-12</t>
  </si>
  <si>
    <t>65396</t>
  </si>
  <si>
    <t>유플러스파이브지제59차(유)1-13</t>
  </si>
  <si>
    <t>65397</t>
  </si>
  <si>
    <t>유플러스파이브지제59차(유)1-14</t>
  </si>
  <si>
    <t>65398</t>
  </si>
  <si>
    <t>유플러스파이브지제59차(유)1-15</t>
  </si>
  <si>
    <t>65399</t>
  </si>
  <si>
    <t>유플러스파이브지제59차(유)1-16</t>
  </si>
  <si>
    <t>65400</t>
  </si>
  <si>
    <t>유플러스파이브지제59차(유)1-17</t>
  </si>
  <si>
    <t>65401</t>
  </si>
  <si>
    <t>유플러스파이브지제59차(유)1-18</t>
  </si>
  <si>
    <t>65402</t>
  </si>
  <si>
    <t>유플러스파이브지제59차(유)1-19</t>
  </si>
  <si>
    <t>65431</t>
  </si>
  <si>
    <t>지아이비프랜드제1차(유)1-4</t>
  </si>
  <si>
    <t>65432</t>
  </si>
  <si>
    <t>지아이비프랜드제1차(유)1-5</t>
  </si>
  <si>
    <t>65433</t>
  </si>
  <si>
    <t>지아이비프랜드제1차(유)1-6</t>
  </si>
  <si>
    <t>65434</t>
  </si>
  <si>
    <t>지아이비프랜드제1차(유)1-7</t>
  </si>
  <si>
    <t>65448</t>
  </si>
  <si>
    <t>뉴스타송도세븐제1차(유)1</t>
  </si>
  <si>
    <t>65452</t>
  </si>
  <si>
    <t>더블유게임즈</t>
  </si>
  <si>
    <t>65460</t>
  </si>
  <si>
    <t>주택금융공사MBS2021-22(1-1)</t>
  </si>
  <si>
    <t>65462</t>
  </si>
  <si>
    <t>에이치디비에이제1차(유)6</t>
  </si>
  <si>
    <t>65464</t>
  </si>
  <si>
    <t>빅토리드래곤제17차(유)4-1</t>
  </si>
  <si>
    <t>65465</t>
  </si>
  <si>
    <t>빅토리드래곤제17차(유)4-2</t>
  </si>
  <si>
    <t>65517</t>
  </si>
  <si>
    <t>티월드제69차(유)1-21</t>
  </si>
  <si>
    <t>65518</t>
  </si>
  <si>
    <t>티월드제69차(유)1-22</t>
  </si>
  <si>
    <t>65519</t>
  </si>
  <si>
    <t>티월드제69차(유)1-23</t>
  </si>
  <si>
    <t>65520</t>
  </si>
  <si>
    <t>티월드제69차(유)1-24</t>
  </si>
  <si>
    <t>65521</t>
  </si>
  <si>
    <t>티월드제69차(유)1-25</t>
  </si>
  <si>
    <t>65522</t>
  </si>
  <si>
    <t>티월드제69차(유)1-26</t>
  </si>
  <si>
    <t>65523</t>
  </si>
  <si>
    <t>티월드제69차(유)1-27</t>
  </si>
  <si>
    <t>65524</t>
  </si>
  <si>
    <t>신보2021제21차(유)1-1</t>
  </si>
  <si>
    <t>65525</t>
  </si>
  <si>
    <t>신보2021제21차(유)1-2</t>
  </si>
  <si>
    <t>65535</t>
  </si>
  <si>
    <t>주택금융공사MBS2021-23(1-2)</t>
  </si>
  <si>
    <t>65536</t>
  </si>
  <si>
    <t>주택금융공사MBS2021-23(1-3)</t>
  </si>
  <si>
    <t>65537</t>
  </si>
  <si>
    <t>주택금융공사MBS2021-23(1-4)</t>
  </si>
  <si>
    <t>65538</t>
  </si>
  <si>
    <t>주택금융공사MBS2021-23(1-5)</t>
  </si>
  <si>
    <t>65539</t>
  </si>
  <si>
    <t>주택금융공사MBS2021-23(1-6)</t>
  </si>
  <si>
    <t>65540</t>
  </si>
  <si>
    <t>주택금융공사MBS2021-23(1-7)</t>
  </si>
  <si>
    <t>65541</t>
  </si>
  <si>
    <t>주택금융공사MBS2021-23(1-8)</t>
  </si>
  <si>
    <t>65542</t>
  </si>
  <si>
    <t>주택금융공사MBS2021-23(1-9)</t>
  </si>
  <si>
    <t>65559</t>
  </si>
  <si>
    <t>신보2021제19차(유)1-1</t>
  </si>
  <si>
    <t>65560</t>
  </si>
  <si>
    <t>신보2021제19차(유)1-2</t>
  </si>
  <si>
    <t>65561</t>
  </si>
  <si>
    <t>신보2021제20차(유)1-1</t>
  </si>
  <si>
    <t>65562</t>
  </si>
  <si>
    <t>신보2021제20차(유)1-2</t>
  </si>
  <si>
    <t>65563</t>
  </si>
  <si>
    <t>신보2021제20차(유)1-3</t>
  </si>
  <si>
    <t>65587</t>
  </si>
  <si>
    <t>뉴스타시나(유)1</t>
  </si>
  <si>
    <t>65659</t>
  </si>
  <si>
    <t>퍼스트파이브지제59차(유)1-21</t>
  </si>
  <si>
    <t>65660</t>
  </si>
  <si>
    <t>퍼스트파이브지제59차(유)1-22</t>
  </si>
  <si>
    <t>65661</t>
  </si>
  <si>
    <t>퍼스트파이브지제59차(유)1-23</t>
  </si>
  <si>
    <t>65662</t>
  </si>
  <si>
    <t>퍼스트파이브지제59차(유)1-24</t>
  </si>
  <si>
    <t>65663</t>
  </si>
  <si>
    <t>퍼스트파이브지제59차(유)1-25</t>
  </si>
  <si>
    <t>65664</t>
  </si>
  <si>
    <t>퍼스트파이브지제59차(유)1-26</t>
  </si>
  <si>
    <t>65665</t>
  </si>
  <si>
    <t>퍼스트파이브지제59차(유)1-27</t>
  </si>
  <si>
    <t>65666</t>
  </si>
  <si>
    <t>퍼스트파이브지제59차(유)1-28</t>
  </si>
  <si>
    <t>65667</t>
  </si>
  <si>
    <t>퍼스트파이브지제59차(유)1-29</t>
  </si>
  <si>
    <t>65668</t>
  </si>
  <si>
    <t>퍼스트파이브지제59차(유)1-30</t>
  </si>
  <si>
    <t>65688</t>
  </si>
  <si>
    <t>에이치디비에이제일차(유)7</t>
  </si>
  <si>
    <t>65690</t>
  </si>
  <si>
    <t>제네시스에코델타(유)1</t>
  </si>
  <si>
    <t>65741</t>
  </si>
  <si>
    <t>2021기보제2차(유)1-1</t>
  </si>
  <si>
    <t>65742</t>
  </si>
  <si>
    <t>2021기보제2차(유)1-2</t>
  </si>
  <si>
    <t>65834</t>
  </si>
  <si>
    <t>카드오토제4차(유)1-25</t>
  </si>
  <si>
    <t>65835</t>
  </si>
  <si>
    <t>카드오토제4차(유)1-26</t>
  </si>
  <si>
    <t>65836</t>
  </si>
  <si>
    <t>카드오토제4차(유)1-27</t>
  </si>
  <si>
    <t>65837</t>
  </si>
  <si>
    <t>카드오토제4차(유)1-28</t>
  </si>
  <si>
    <t>65838</t>
  </si>
  <si>
    <t>카드오토제4차(유)1-29</t>
  </si>
  <si>
    <t>65839</t>
  </si>
  <si>
    <t>카드오토제4차(유)1-30</t>
  </si>
  <si>
    <t>65840</t>
  </si>
  <si>
    <t>카드오토제4차(유)1-31</t>
  </si>
  <si>
    <t>65841</t>
  </si>
  <si>
    <t>카드오토제4차(유)1-32</t>
  </si>
  <si>
    <t>65842</t>
  </si>
  <si>
    <t>카드오토제4차(유)1-33</t>
  </si>
  <si>
    <t>65843</t>
  </si>
  <si>
    <t>카드오토제4차(유)1-34</t>
  </si>
  <si>
    <t>65844</t>
  </si>
  <si>
    <t>카드오토제4차(유)1-35</t>
  </si>
  <si>
    <t>65908</t>
  </si>
  <si>
    <t>주택금융공사MBS2021-24(1-2)</t>
  </si>
  <si>
    <t>65909</t>
  </si>
  <si>
    <t>주택금융공사MBS2021-24(1-3)</t>
  </si>
  <si>
    <t>65910</t>
  </si>
  <si>
    <t>주택금융공사MBS2021-24(1-4)</t>
  </si>
  <si>
    <t>65911</t>
  </si>
  <si>
    <t>주택금융공사MBS2021-24(1-5)</t>
  </si>
  <si>
    <t>65912</t>
  </si>
  <si>
    <t>주택금융공사MBS2021-24(1-6)</t>
  </si>
  <si>
    <t>65913</t>
  </si>
  <si>
    <t>주택금융공사MBS2021-24(1-7)</t>
  </si>
  <si>
    <t>65914</t>
  </si>
  <si>
    <t>주택금융공사MBS2021-24(1-8)</t>
  </si>
  <si>
    <t>65915</t>
  </si>
  <si>
    <t>주택금융공사MBS2021-24(1-9)</t>
  </si>
  <si>
    <t>65944</t>
  </si>
  <si>
    <t>티월드제70차(유)1-20</t>
  </si>
  <si>
    <t>65945</t>
  </si>
  <si>
    <t>티월드제70차(유)1-21</t>
  </si>
  <si>
    <t>65946</t>
  </si>
  <si>
    <t>티월드제70차(유)1-22</t>
  </si>
  <si>
    <t>65947</t>
  </si>
  <si>
    <t>티월드제70차(유)1-23</t>
  </si>
  <si>
    <t>65948</t>
  </si>
  <si>
    <t>티월드제70차(유)1-24</t>
  </si>
  <si>
    <t>65949</t>
  </si>
  <si>
    <t>티월드제70차(유)1-25</t>
  </si>
  <si>
    <t>65950</t>
  </si>
  <si>
    <t>티월드제70차(유)1-26</t>
  </si>
  <si>
    <t>65951</t>
  </si>
  <si>
    <t>티월드제70차(유)1-27</t>
  </si>
  <si>
    <t>65980</t>
  </si>
  <si>
    <t>신보2021제22차(유)1-1</t>
  </si>
  <si>
    <t>65981</t>
  </si>
  <si>
    <t>신보2021제22차(유)1-2</t>
  </si>
  <si>
    <t>65982</t>
  </si>
  <si>
    <t>신보2021제23차(유)1-1</t>
  </si>
  <si>
    <t>65983</t>
  </si>
  <si>
    <t>신보2021제23차(유)1-2</t>
  </si>
  <si>
    <t>65984</t>
  </si>
  <si>
    <t>신보2021제24차(유)1-1</t>
  </si>
  <si>
    <t>65985</t>
  </si>
  <si>
    <t>신보2021제24차(유)1-2</t>
  </si>
  <si>
    <t>66035</t>
  </si>
  <si>
    <t>큐브반포제2차(유)1</t>
  </si>
  <si>
    <t>66070</t>
  </si>
  <si>
    <t>유플러스파이브지제60차(유)1-10</t>
  </si>
  <si>
    <t>66071</t>
  </si>
  <si>
    <t>유플러스파이브지제60차(유)1-11</t>
  </si>
  <si>
    <t>66072</t>
  </si>
  <si>
    <t>유플러스파이브지제60차(유)1-12</t>
  </si>
  <si>
    <t>66073</t>
  </si>
  <si>
    <t>유플러스파이브지제60차(유)1-13</t>
  </si>
  <si>
    <t>66074</t>
  </si>
  <si>
    <t>유플러스파이브지제60차(유)1-14</t>
  </si>
  <si>
    <t>66075</t>
  </si>
  <si>
    <t>유플러스파이브지제60차(유)1-15</t>
  </si>
  <si>
    <t>66076</t>
  </si>
  <si>
    <t>유플러스파이브지제60차(유)1-16</t>
  </si>
  <si>
    <t>66077</t>
  </si>
  <si>
    <t>유플러스파이브지제60차(유)1-17</t>
  </si>
  <si>
    <t>66078</t>
  </si>
  <si>
    <t>유플러스파이브지제60차(유)1-18</t>
  </si>
  <si>
    <t>66079</t>
  </si>
  <si>
    <t>유플러스파이브지제60차(유)1-19</t>
  </si>
  <si>
    <t>66104</t>
  </si>
  <si>
    <t>에스케이스페셜티</t>
  </si>
  <si>
    <t>66105</t>
  </si>
  <si>
    <t>에이치와이케이제육차</t>
  </si>
  <si>
    <t>66108</t>
  </si>
  <si>
    <t>주택금융공사MBS2021-25(1-2)</t>
  </si>
  <si>
    <t>66109</t>
  </si>
  <si>
    <t>주택금융공사MBS2021-25(1-3)</t>
  </si>
  <si>
    <t>66110</t>
  </si>
  <si>
    <t>주택금융공사MBS2021-25(1-4)</t>
  </si>
  <si>
    <t>66111</t>
  </si>
  <si>
    <t>주택금융공사MBS2021-25(1-5)</t>
  </si>
  <si>
    <t>66112</t>
  </si>
  <si>
    <t>주택금융공사MBS2021-25(1-6)</t>
  </si>
  <si>
    <t>66113</t>
  </si>
  <si>
    <t>주택금융공사MBS2021-25(1-7)</t>
  </si>
  <si>
    <t>66114</t>
  </si>
  <si>
    <t>주택금융공사MBS2021-25(1-8)</t>
  </si>
  <si>
    <t>66115</t>
  </si>
  <si>
    <t>주택금융공사MBS2021-25(1-9)</t>
  </si>
  <si>
    <t>66118</t>
  </si>
  <si>
    <t>빅포제십삼차(유)2-1</t>
  </si>
  <si>
    <t>66184</t>
  </si>
  <si>
    <t>주택금융공사MBS2021-26(1-1)</t>
  </si>
  <si>
    <t>66185</t>
  </si>
  <si>
    <t>주택금융공사MBS2021-26(1-2)</t>
  </si>
  <si>
    <t>66186</t>
  </si>
  <si>
    <t>주택금융공사MBS2021-26(1-3)</t>
  </si>
  <si>
    <t>66187</t>
  </si>
  <si>
    <t>주택금융공사MBS2021-26(1-4)</t>
  </si>
  <si>
    <t>66189</t>
  </si>
  <si>
    <t>에이원플라이트(유)1</t>
  </si>
  <si>
    <t>66210</t>
  </si>
  <si>
    <t>커머셜오토제십일차(유)1-21</t>
  </si>
  <si>
    <t>66211</t>
  </si>
  <si>
    <t>커머셜오토제십일차(유)1-22</t>
  </si>
  <si>
    <t>66212</t>
  </si>
  <si>
    <t>커머셜오토제십일차(유)1-23</t>
  </si>
  <si>
    <t>66213</t>
  </si>
  <si>
    <t>커머셜오토제십일차(유)1-24</t>
  </si>
  <si>
    <t>66214</t>
  </si>
  <si>
    <t>커머셜오토제십일차(유)1-25</t>
  </si>
  <si>
    <t>66215</t>
  </si>
  <si>
    <t>커머셜오토제십일차(유)1-26</t>
  </si>
  <si>
    <t>66216</t>
  </si>
  <si>
    <t>커머셜오토제십일차(유)1-27</t>
  </si>
  <si>
    <t>66217</t>
  </si>
  <si>
    <t>커머셜오토제십일차(유)1-28</t>
  </si>
  <si>
    <t>66264</t>
  </si>
  <si>
    <t>퍼스트파이브지제60차(유)1-19</t>
  </si>
  <si>
    <t>66265</t>
  </si>
  <si>
    <t>퍼스트파이브지제60차(유)1-20</t>
  </si>
  <si>
    <t>66266</t>
  </si>
  <si>
    <t>퍼스트파이브지제60차(유)1-21</t>
  </si>
  <si>
    <t>66267</t>
  </si>
  <si>
    <t>퍼스트파이브지제60차(유)1-22</t>
  </si>
  <si>
    <t>66268</t>
  </si>
  <si>
    <t>퍼스트파이브지제60차(유)1-23</t>
  </si>
  <si>
    <t>66269</t>
  </si>
  <si>
    <t>퍼스트파이브지제60차(유)1-24</t>
  </si>
  <si>
    <t>66270</t>
  </si>
  <si>
    <t>퍼스트파이브지제60차(유)1-25</t>
  </si>
  <si>
    <t>66271</t>
  </si>
  <si>
    <t>퍼스트파이브지제60차(유)1-26</t>
  </si>
  <si>
    <t>66272</t>
  </si>
  <si>
    <t>퍼스트파이브지제60차(유)1-27</t>
  </si>
  <si>
    <t>66273</t>
  </si>
  <si>
    <t>퍼스트파이브지제60차(유)1-28</t>
  </si>
  <si>
    <t>66274</t>
  </si>
  <si>
    <t>퍼스트파이브지제60차(유)1-29</t>
  </si>
  <si>
    <t>66275</t>
  </si>
  <si>
    <t>퍼스트파이브지제60차(유)1-30</t>
  </si>
  <si>
    <t>66294</t>
  </si>
  <si>
    <t>티월드제71차(유)1-19</t>
  </si>
  <si>
    <t>66295</t>
  </si>
  <si>
    <t>티월드제71차(유)1-20</t>
  </si>
  <si>
    <t>66296</t>
  </si>
  <si>
    <t>티월드제71차(유)1-21</t>
  </si>
  <si>
    <t>66297</t>
  </si>
  <si>
    <t>티월드제71차(유)1-22</t>
  </si>
  <si>
    <t>66298</t>
  </si>
  <si>
    <t>티월드제71차(유)1-23</t>
  </si>
  <si>
    <t>66299</t>
  </si>
  <si>
    <t>티월드제71차(유)1-24</t>
  </si>
  <si>
    <t>66300</t>
  </si>
  <si>
    <t>티월드제71차(유)1-25</t>
  </si>
  <si>
    <t>66301</t>
  </si>
  <si>
    <t>티월드제71차(유)1-26</t>
  </si>
  <si>
    <t>66302</t>
  </si>
  <si>
    <t>티월드제71차(유)1-27</t>
  </si>
  <si>
    <t>66303</t>
  </si>
  <si>
    <t>티월드제71차(유)1-28</t>
  </si>
  <si>
    <t>66340</t>
  </si>
  <si>
    <t>발해인프라투융자회사</t>
  </si>
  <si>
    <t>66345</t>
  </si>
  <si>
    <t>지에프민제오차</t>
  </si>
  <si>
    <t>66354</t>
  </si>
  <si>
    <t>이너피스제삼차(유)4-1</t>
  </si>
  <si>
    <t>66355</t>
  </si>
  <si>
    <t>이너피스제삼차(유)4-2</t>
  </si>
  <si>
    <t>66356</t>
  </si>
  <si>
    <t>이너피스제삼차(유)4-3</t>
  </si>
  <si>
    <t>66364</t>
  </si>
  <si>
    <t>이너피스제일차(유)4-1</t>
  </si>
  <si>
    <t>66365</t>
  </si>
  <si>
    <t>이너피스제일차(유)4-2</t>
  </si>
  <si>
    <t>66366</t>
  </si>
  <si>
    <t>이너피스제이차(유)4-1</t>
  </si>
  <si>
    <t>66367</t>
  </si>
  <si>
    <t>이너피스제이차(유)4-2</t>
  </si>
  <si>
    <t>66377</t>
  </si>
  <si>
    <t>피치샤인제이차</t>
  </si>
  <si>
    <t>66385</t>
  </si>
  <si>
    <t>하나코어밸류유동화제일차</t>
  </si>
  <si>
    <t>66414</t>
  </si>
  <si>
    <t>스미스제일차</t>
  </si>
  <si>
    <t>66423</t>
  </si>
  <si>
    <t>피디프로젝트원(유)1</t>
  </si>
  <si>
    <t>66432</t>
  </si>
  <si>
    <t>산업기반신보산성제이차(유)1-4</t>
  </si>
  <si>
    <t>66439</t>
  </si>
  <si>
    <t>하모니제5차(유)1</t>
  </si>
  <si>
    <t>66467</t>
  </si>
  <si>
    <t>티월드제72차(유)1-18</t>
  </si>
  <si>
    <t>66468</t>
  </si>
  <si>
    <t>티월드제72차(유)1-19</t>
  </si>
  <si>
    <t>66469</t>
  </si>
  <si>
    <t>티월드제72차(유)1-20</t>
  </si>
  <si>
    <t>66470</t>
  </si>
  <si>
    <t>티월드제72차(유)1-21</t>
  </si>
  <si>
    <t>66471</t>
  </si>
  <si>
    <t>티월드제72차(유)1-22</t>
  </si>
  <si>
    <t>66472</t>
  </si>
  <si>
    <t>티월드제72차(유)1-23</t>
  </si>
  <si>
    <t>66473</t>
  </si>
  <si>
    <t>티월드제72차(유)1-24</t>
  </si>
  <si>
    <t>66474</t>
  </si>
  <si>
    <t>티월드제72차(유)1-25</t>
  </si>
  <si>
    <t>66475</t>
  </si>
  <si>
    <t>티월드제72차(유)1-26</t>
  </si>
  <si>
    <t>66476</t>
  </si>
  <si>
    <t>티월드제72차(유)1-27</t>
  </si>
  <si>
    <t>66478</t>
  </si>
  <si>
    <t>주택금융공사MBS2022-1(1-2)</t>
  </si>
  <si>
    <t>66479</t>
  </si>
  <si>
    <t>주택금융공사MBS2022-1(1-3)</t>
  </si>
  <si>
    <t>66480</t>
  </si>
  <si>
    <t>주택금융공사MBS2022-1(1-4)</t>
  </si>
  <si>
    <t>66481</t>
  </si>
  <si>
    <t>주택금융공사MBS2022-1(1-5)</t>
  </si>
  <si>
    <t>66482</t>
  </si>
  <si>
    <t>주택금융공사MBS2022-1(1-6)</t>
  </si>
  <si>
    <t>66483</t>
  </si>
  <si>
    <t>주택금융공사MBS2022-1(1-7)</t>
  </si>
  <si>
    <t>66484</t>
  </si>
  <si>
    <t>주택금융공사MBS2022-1(1-8)</t>
  </si>
  <si>
    <t>66485</t>
  </si>
  <si>
    <t>주택금융공사MBS2022-1(1-9)</t>
  </si>
  <si>
    <t>66516</t>
  </si>
  <si>
    <t>행운제5차(유)1</t>
  </si>
  <si>
    <t>66525</t>
  </si>
  <si>
    <t>코리아에너지터미널</t>
  </si>
  <si>
    <t>66534</t>
  </si>
  <si>
    <t>유플러스파이브지제61차(유)1-9</t>
  </si>
  <si>
    <t>66535</t>
  </si>
  <si>
    <t>유플러스파이브지제61차(유)1-10</t>
  </si>
  <si>
    <t>66536</t>
  </si>
  <si>
    <t>유플러스파이브지제61차(유)1-11</t>
  </si>
  <si>
    <t>66537</t>
  </si>
  <si>
    <t>유플러스파이브지제61차(유)1-12</t>
  </si>
  <si>
    <t>66538</t>
  </si>
  <si>
    <t>유플러스파이브지제61차(유)1-13</t>
  </si>
  <si>
    <t>66539</t>
  </si>
  <si>
    <t>유플러스파이브지제61차(유)1-14</t>
  </si>
  <si>
    <t>66540</t>
  </si>
  <si>
    <t>유플러스파이브지제61차(유)1-15</t>
  </si>
  <si>
    <t>66541</t>
  </si>
  <si>
    <t>유플러스파이브지제61차(유)1-16</t>
  </si>
  <si>
    <t>66542</t>
  </si>
  <si>
    <t>유플러스파이브지제61차(유)1-17</t>
  </si>
  <si>
    <t>66543</t>
  </si>
  <si>
    <t>유플러스파이브지제61차(유)1-18</t>
  </si>
  <si>
    <t>66544</t>
  </si>
  <si>
    <t>유플러스파이브지제61차(유)1-19</t>
  </si>
  <si>
    <t>66545</t>
  </si>
  <si>
    <t>멀리건제1차(유)1-1</t>
  </si>
  <si>
    <t>66551</t>
  </si>
  <si>
    <t>딜라이트샤이닝제3차(유)1</t>
  </si>
  <si>
    <t>66554</t>
  </si>
  <si>
    <t>행운제6차(유)1</t>
  </si>
  <si>
    <t>66555</t>
  </si>
  <si>
    <t>국민챔피온제오차(유)1-3</t>
  </si>
  <si>
    <t>66556</t>
  </si>
  <si>
    <t>케이뉴스타트제18차(유)1</t>
  </si>
  <si>
    <t>66560</t>
  </si>
  <si>
    <t>멀리건제이차(유)1-2</t>
  </si>
  <si>
    <t>66568</t>
  </si>
  <si>
    <t>국민타임제사차(유)1-3</t>
  </si>
  <si>
    <t>66570</t>
  </si>
  <si>
    <t>국민챔피온제육차(유)1-3</t>
  </si>
  <si>
    <t>66575</t>
  </si>
  <si>
    <t>주택금융공사MBS2022-2(1-2)</t>
  </si>
  <si>
    <t>66576</t>
  </si>
  <si>
    <t>주택금융공사MBS2022-2(1-3)</t>
  </si>
  <si>
    <t>66577</t>
  </si>
  <si>
    <t>주택금융공사MBS2022-2(1-4)</t>
  </si>
  <si>
    <t>66578</t>
  </si>
  <si>
    <t>주택금융공사MBS2022-2(1-5)</t>
  </si>
  <si>
    <t>66579</t>
  </si>
  <si>
    <t>주택금융공사MBS2022-2(1-6)</t>
  </si>
  <si>
    <t>66580</t>
  </si>
  <si>
    <t>주택금융공사MBS2022-2(1-7)</t>
  </si>
  <si>
    <t>66581</t>
  </si>
  <si>
    <t>주택금융공사MBS2022-2(1-8)</t>
  </si>
  <si>
    <t>66582</t>
  </si>
  <si>
    <t>주택금융공사MBS2022-2(1-9)</t>
  </si>
  <si>
    <t>66584</t>
  </si>
  <si>
    <t>이지라이프제일차</t>
  </si>
  <si>
    <t>66590</t>
  </si>
  <si>
    <t>드래곤라인제사차(유)2-1</t>
  </si>
  <si>
    <t>66591</t>
  </si>
  <si>
    <t>드래곤라인제사차(유)2-2</t>
  </si>
  <si>
    <t>66592</t>
  </si>
  <si>
    <t>드래곤라인제사차(유)2-3</t>
  </si>
  <si>
    <t>66593</t>
  </si>
  <si>
    <t>드래곤라인제사차(유)2-4</t>
  </si>
  <si>
    <t>66594</t>
  </si>
  <si>
    <t>행운제6차(유)2</t>
  </si>
  <si>
    <t>66604</t>
  </si>
  <si>
    <t>시그니엘제6차(유)1</t>
  </si>
  <si>
    <t>66607</t>
  </si>
  <si>
    <t>멀리건제3차(유)1</t>
  </si>
  <si>
    <t>66626</t>
  </si>
  <si>
    <t>티월드제73차(유)1-17</t>
  </si>
  <si>
    <t>66627</t>
  </si>
  <si>
    <t>티월드제73차(유)1-18</t>
  </si>
  <si>
    <t>66628</t>
  </si>
  <si>
    <t>티월드제73차(유)1-19</t>
  </si>
  <si>
    <t>66629</t>
  </si>
  <si>
    <t>티월드제73차(유)1-20</t>
  </si>
  <si>
    <t>66630</t>
  </si>
  <si>
    <t>티월드제73차(유)1-21</t>
  </si>
  <si>
    <t>66631</t>
  </si>
  <si>
    <t>티월드제73차(유)1-22</t>
  </si>
  <si>
    <t>66632</t>
  </si>
  <si>
    <t>티월드제73차(유)1-23</t>
  </si>
  <si>
    <t>66633</t>
  </si>
  <si>
    <t>티월드제73차(유)1-24</t>
  </si>
  <si>
    <t>66634</t>
  </si>
  <si>
    <t>티월드제73차(유)1-25</t>
  </si>
  <si>
    <t>66635</t>
  </si>
  <si>
    <t>티월드제73차(유)1-26</t>
  </si>
  <si>
    <t>66636</t>
  </si>
  <si>
    <t>티월드제73차(유)1-27</t>
  </si>
  <si>
    <t>66639</t>
  </si>
  <si>
    <t>더불어제19차(유)1-2</t>
  </si>
  <si>
    <t>66645</t>
  </si>
  <si>
    <t>산업기반신보제이경인(유)1-5</t>
  </si>
  <si>
    <t>66648</t>
  </si>
  <si>
    <t>더불어제십구차(유)1-3</t>
  </si>
  <si>
    <t>66655</t>
  </si>
  <si>
    <t>멀리건제4차(유)1-3</t>
  </si>
  <si>
    <t>66657</t>
  </si>
  <si>
    <t>주택금융공사MBS2022-3(1-2)</t>
  </si>
  <si>
    <t>66658</t>
  </si>
  <si>
    <t>주택금융공사MBS2022-3(1-3)</t>
  </si>
  <si>
    <t>66659</t>
  </si>
  <si>
    <t>주택금융공사MBS2022-3(1-4)</t>
  </si>
  <si>
    <t>66660</t>
  </si>
  <si>
    <t>주택금융공사MBS2022-3(1-5)</t>
  </si>
  <si>
    <t>66661</t>
  </si>
  <si>
    <t>주택금융공사MBS2022-3(1-6)</t>
  </si>
  <si>
    <t>66662</t>
  </si>
  <si>
    <t>주택금융공사MBS2022-3(1-7)</t>
  </si>
  <si>
    <t>66663</t>
  </si>
  <si>
    <t>주택금융공사MBS2022-3(1-8)</t>
  </si>
  <si>
    <t>66664</t>
  </si>
  <si>
    <t>주택금융공사MBS2022-3(1-9)</t>
  </si>
  <si>
    <t>66676</t>
  </si>
  <si>
    <t>엠에스밀레니엄제이차(유)1</t>
  </si>
  <si>
    <t>66677</t>
  </si>
  <si>
    <t>굿메이트제사차(유)1</t>
  </si>
  <si>
    <t>66682</t>
  </si>
  <si>
    <t>딜라이트샤이닝제5차(유)1</t>
  </si>
  <si>
    <t>66691</t>
  </si>
  <si>
    <t>케이뉴스타트제18차(유)2</t>
  </si>
  <si>
    <t>66695</t>
  </si>
  <si>
    <t>멀리건제오차(유)1-2</t>
  </si>
  <si>
    <t>66709</t>
  </si>
  <si>
    <t>디비아레나유동화전문(유)1</t>
  </si>
  <si>
    <t>66712</t>
  </si>
  <si>
    <t>이너피스제일차(유)5-1</t>
  </si>
  <si>
    <t>66713</t>
  </si>
  <si>
    <t>이너피스제일차(유)5-2</t>
  </si>
  <si>
    <t>66714</t>
  </si>
  <si>
    <t>이너피스제이차(유)5-1</t>
  </si>
  <si>
    <t>66715</t>
  </si>
  <si>
    <t>이너피스제이차(유)5-2</t>
  </si>
  <si>
    <t>66718</t>
  </si>
  <si>
    <t>하모니제6차(유)1</t>
  </si>
  <si>
    <t>66720</t>
  </si>
  <si>
    <t>멀리건제육차(유)1-1</t>
  </si>
  <si>
    <t>66721</t>
  </si>
  <si>
    <t>멀리건제육차(유)1-2</t>
  </si>
  <si>
    <t>66724</t>
  </si>
  <si>
    <t>에이원에디터(유)1</t>
  </si>
  <si>
    <t>66726</t>
  </si>
  <si>
    <t>하모니제5차(유)2</t>
  </si>
  <si>
    <t>66729</t>
  </si>
  <si>
    <t>뉴마레제오차(유)2</t>
  </si>
  <si>
    <t>66730</t>
  </si>
  <si>
    <t>루시드제1차(유)1-2</t>
  </si>
  <si>
    <t>66747</t>
  </si>
  <si>
    <t>엠에스밀레니엄제2차(유)2</t>
  </si>
  <si>
    <t>66748</t>
  </si>
  <si>
    <t>66749</t>
  </si>
  <si>
    <t>선천제8차(유)3-4</t>
  </si>
  <si>
    <t>66750</t>
  </si>
  <si>
    <t>하모니제6차(유)2</t>
  </si>
  <si>
    <t>66755</t>
  </si>
  <si>
    <t>SK리츠</t>
  </si>
  <si>
    <t>66758</t>
  </si>
  <si>
    <t>코너스톤제1차(유)5</t>
  </si>
  <si>
    <t>66759</t>
  </si>
  <si>
    <t>드림화성골드스타제1차(유)1</t>
  </si>
  <si>
    <t>66762</t>
  </si>
  <si>
    <t>에이원에디터(유)2</t>
  </si>
  <si>
    <t>66768</t>
  </si>
  <si>
    <t>주택금융공사MBS2022-4(1-1)</t>
  </si>
  <si>
    <t>66769</t>
  </si>
  <si>
    <t>주택금융공사MBS2022-4(1-2)</t>
  </si>
  <si>
    <t>66770</t>
  </si>
  <si>
    <t>주택금융공사MBS2022-4(1-3)</t>
  </si>
  <si>
    <t>66771</t>
  </si>
  <si>
    <t>주택금융공사MBS2022-4(1-4)</t>
  </si>
  <si>
    <t>66780</t>
  </si>
  <si>
    <t>슬로우시티제6차(유)1</t>
  </si>
  <si>
    <t>66798</t>
  </si>
  <si>
    <t>퍼스트파이브지제61차(유)1-16</t>
  </si>
  <si>
    <t>66799</t>
  </si>
  <si>
    <t>퍼스트파이브지제61차(유)1-17</t>
  </si>
  <si>
    <t>66800</t>
  </si>
  <si>
    <t>퍼스트파이브지제61차(유)1-18</t>
  </si>
  <si>
    <t>66801</t>
  </si>
  <si>
    <t>퍼스트파이브지제61차(유)1-19</t>
  </si>
  <si>
    <t>66802</t>
  </si>
  <si>
    <t>퍼스트파이브지제61차(유)1-20</t>
  </si>
  <si>
    <t>66803</t>
  </si>
  <si>
    <t>퍼스트파이브지제61차(유)1-21</t>
  </si>
  <si>
    <t>66804</t>
  </si>
  <si>
    <t>퍼스트파이브지제61차(유)1-22</t>
  </si>
  <si>
    <t>66805</t>
  </si>
  <si>
    <t>퍼스트파이브지제61차(유)1-23</t>
  </si>
  <si>
    <t>66806</t>
  </si>
  <si>
    <t>퍼스트파이브지제61차(유)1-24</t>
  </si>
  <si>
    <t>66807</t>
  </si>
  <si>
    <t>퍼스트파이브지제61차(유)1-25</t>
  </si>
  <si>
    <t>66808</t>
  </si>
  <si>
    <t>퍼스트파이브지제61차(유)1-26</t>
  </si>
  <si>
    <t>66809</t>
  </si>
  <si>
    <t>퍼스트파이브지제61차(유)1-27</t>
  </si>
  <si>
    <t>66810</t>
  </si>
  <si>
    <t>퍼스트파이브지제61차(유)1-28</t>
  </si>
  <si>
    <t>66811</t>
  </si>
  <si>
    <t>퍼스트파이브지제61차(유)1-29</t>
  </si>
  <si>
    <t>66814</t>
  </si>
  <si>
    <t>엑스퍼트제이차(유)1-3</t>
  </si>
  <si>
    <t>66815</t>
  </si>
  <si>
    <t>국민챔피온제칠차(유)1-3</t>
  </si>
  <si>
    <t>66820</t>
  </si>
  <si>
    <t>슬로우시티제6차(유)2</t>
  </si>
  <si>
    <t>66821</t>
  </si>
  <si>
    <t>스미스제이차</t>
  </si>
  <si>
    <t>66825</t>
  </si>
  <si>
    <t>스펠바인드제13차(유)1-1</t>
  </si>
  <si>
    <t>66826</t>
  </si>
  <si>
    <t>스펠바인드제13차(유)1-2</t>
  </si>
  <si>
    <t>66828</t>
  </si>
  <si>
    <t>하모니제5차(유)3</t>
  </si>
  <si>
    <t>66829</t>
  </si>
  <si>
    <t>하모니제6차(유)3</t>
  </si>
  <si>
    <t>66840</t>
  </si>
  <si>
    <t>신보2022제1차(유)1-1</t>
  </si>
  <si>
    <t>66841</t>
  </si>
  <si>
    <t>신보2022제1차(유)1-2</t>
  </si>
  <si>
    <t>66842</t>
  </si>
  <si>
    <t>신보2022제1차(유)1-3</t>
  </si>
  <si>
    <t>66843</t>
  </si>
  <si>
    <t>신보2022제3차(유)1-1</t>
  </si>
  <si>
    <t>66844</t>
  </si>
  <si>
    <t>신보2022제3차(유)1-2</t>
  </si>
  <si>
    <t>66845</t>
  </si>
  <si>
    <t>신보2022제4차(유)1-1</t>
  </si>
  <si>
    <t>66846</t>
  </si>
  <si>
    <t>신보2022제4차(유)1-2</t>
  </si>
  <si>
    <t>66847</t>
  </si>
  <si>
    <t>포에버제이비제3차(유)4</t>
  </si>
  <si>
    <t>66848</t>
  </si>
  <si>
    <t>스미스제삼차</t>
  </si>
  <si>
    <t>66867</t>
  </si>
  <si>
    <t>티월드제74차(유)1-16</t>
  </si>
  <si>
    <t>66868</t>
  </si>
  <si>
    <t>티월드제74차(유)1-17</t>
  </si>
  <si>
    <t>66869</t>
  </si>
  <si>
    <t>티월드제74차(유)1-18</t>
  </si>
  <si>
    <t>66870</t>
  </si>
  <si>
    <t>티월드제74차(유)1-19</t>
  </si>
  <si>
    <t>66871</t>
  </si>
  <si>
    <t>티월드제74차(유)1-20</t>
  </si>
  <si>
    <t>66872</t>
  </si>
  <si>
    <t>티월드제74차(유)1-21</t>
  </si>
  <si>
    <t>66873</t>
  </si>
  <si>
    <t>티월드제74차(유)1-22</t>
  </si>
  <si>
    <t>66874</t>
  </si>
  <si>
    <t>티월드제74차(유)1-23</t>
  </si>
  <si>
    <t>66875</t>
  </si>
  <si>
    <t>티월드제74차(유)1-24</t>
  </si>
  <si>
    <t>66876</t>
  </si>
  <si>
    <t>티월드제74차(유)1-25</t>
  </si>
  <si>
    <t>66877</t>
  </si>
  <si>
    <t>티월드제74차(유)1-26</t>
  </si>
  <si>
    <t>66878</t>
  </si>
  <si>
    <t>티월드제74차(유)1-27</t>
  </si>
  <si>
    <t>66879</t>
  </si>
  <si>
    <t>티월드제74차(유)1-28</t>
  </si>
  <si>
    <t>66880</t>
  </si>
  <si>
    <t>신보2022제2차(유)1-1</t>
  </si>
  <si>
    <t>66881</t>
  </si>
  <si>
    <t>신보2022제2차(유)1-2</t>
  </si>
  <si>
    <t>66882</t>
  </si>
  <si>
    <t>드래곤라인제11차(유)2-2</t>
  </si>
  <si>
    <t>66885</t>
  </si>
  <si>
    <t>원큐제삼차(유)1-4</t>
  </si>
  <si>
    <t>66886</t>
  </si>
  <si>
    <t>멀리건제칠차(유)1-1</t>
  </si>
  <si>
    <t>66887</t>
  </si>
  <si>
    <t>멀리건제칠차(유)1-2</t>
  </si>
  <si>
    <t>66888</t>
  </si>
  <si>
    <t>멀리건제칠차(유)1-3</t>
  </si>
  <si>
    <t>66893</t>
  </si>
  <si>
    <t>한솔제일차</t>
  </si>
  <si>
    <t>66936</t>
  </si>
  <si>
    <t>로체스트(유)1</t>
  </si>
  <si>
    <t>66937</t>
  </si>
  <si>
    <t>로체스트(유)2</t>
  </si>
  <si>
    <t>66940</t>
  </si>
  <si>
    <t>케이뉴스타트제17차(유)3</t>
  </si>
  <si>
    <t>66941</t>
  </si>
  <si>
    <t>디비운정제일차(유)1</t>
  </si>
  <si>
    <t>66964</t>
  </si>
  <si>
    <t>증금챔피온제일차(유)1-3</t>
  </si>
  <si>
    <t>66965</t>
  </si>
  <si>
    <t>멀리건제8차(유)1</t>
  </si>
  <si>
    <t>66971</t>
  </si>
  <si>
    <t>주택금융공사MBS2022-5(1-2)</t>
  </si>
  <si>
    <t>66972</t>
  </si>
  <si>
    <t>주택금융공사MBS2022-5(1-3)</t>
  </si>
  <si>
    <t>66973</t>
  </si>
  <si>
    <t>주택금융공사MBS2022-5(1-4)</t>
  </si>
  <si>
    <t>66974</t>
  </si>
  <si>
    <t>주택금융공사MBS2022-5(1-5)</t>
  </si>
  <si>
    <t>66975</t>
  </si>
  <si>
    <t>주택금융공사MBS2022-5(1-6)</t>
  </si>
  <si>
    <t>66976</t>
  </si>
  <si>
    <t>주택금융공사MBS2022-5(1-7)</t>
  </si>
  <si>
    <t>66977</t>
  </si>
  <si>
    <t>주택금융공사MBS2022-5(1-8)</t>
  </si>
  <si>
    <t>66978</t>
  </si>
  <si>
    <t>주택금융공사MBS2022-5(1-9)</t>
  </si>
  <si>
    <t>66986</t>
  </si>
  <si>
    <t>산업기반신보인천김포(유)1-1</t>
  </si>
  <si>
    <t>67002</t>
  </si>
  <si>
    <t>유플러스파이브지제62차(유)1-8</t>
  </si>
  <si>
    <t>67003</t>
  </si>
  <si>
    <t>유플러스파이브지제62차(유)1-9</t>
  </si>
  <si>
    <t>67004</t>
  </si>
  <si>
    <t>유플러스파이브지제62차(유)1-10</t>
  </si>
  <si>
    <t>67005</t>
  </si>
  <si>
    <t>유플러스파이브지제62차(유)1-11</t>
  </si>
  <si>
    <t>67006</t>
  </si>
  <si>
    <t>유플러스파이브지제62차(유)1-12</t>
  </si>
  <si>
    <t>67007</t>
  </si>
  <si>
    <t>유플러스파이브지제62차(유)1-13</t>
  </si>
  <si>
    <t>67008</t>
  </si>
  <si>
    <t>유플러스파이브지제62차(유)1-14</t>
  </si>
  <si>
    <t>67009</t>
  </si>
  <si>
    <t>유플러스파이브지제62차(유)1-15</t>
  </si>
  <si>
    <t>67010</t>
  </si>
  <si>
    <t>유플러스파이브지제62차(유)1-16</t>
  </si>
  <si>
    <t>67011</t>
  </si>
  <si>
    <t>유플러스파이브지제62차(유)1-17</t>
  </si>
  <si>
    <t>67012</t>
  </si>
  <si>
    <t>유플러스파이브지제62차(유)1-18</t>
  </si>
  <si>
    <t>67013</t>
  </si>
  <si>
    <t>유플러스파이브지제62차(유)1-19</t>
  </si>
  <si>
    <t>67017</t>
  </si>
  <si>
    <t>지아이비프랜드제2차(유)1-4</t>
  </si>
  <si>
    <t>67018</t>
  </si>
  <si>
    <t>지아이비프랜드제2차(유)1-5</t>
  </si>
  <si>
    <t>67019</t>
  </si>
  <si>
    <t>지아이비프랜드제2차(유)1-6</t>
  </si>
  <si>
    <t>67031</t>
  </si>
  <si>
    <t>시그니처제1차(유)1-3</t>
  </si>
  <si>
    <t>67032</t>
  </si>
  <si>
    <t>케이마르스제3차(유)2</t>
  </si>
  <si>
    <t>67033</t>
  </si>
  <si>
    <t>케이뉴스타트제19차(유)1</t>
  </si>
  <si>
    <t>67035</t>
  </si>
  <si>
    <t>뉴마레제십팔차(유)1</t>
  </si>
  <si>
    <t>67046</t>
  </si>
  <si>
    <t>슬로우시티제6차(유)3</t>
  </si>
  <si>
    <t>67049</t>
  </si>
  <si>
    <t>주택금융공사MBS2022-6(1-2)</t>
  </si>
  <si>
    <t>67050</t>
  </si>
  <si>
    <t>주택금융공사MBS2022-6(1-3)</t>
  </si>
  <si>
    <t>67051</t>
  </si>
  <si>
    <t>주택금융공사MBS2022-6(1-4)</t>
  </si>
  <si>
    <t>67052</t>
  </si>
  <si>
    <t>주택금융공사MBS2022-6(1-5)</t>
  </si>
  <si>
    <t>67053</t>
  </si>
  <si>
    <t>주택금융공사MBS2022-6(1-6)</t>
  </si>
  <si>
    <t>67054</t>
  </si>
  <si>
    <t>주택금융공사MBS2022-6(1-7)</t>
  </si>
  <si>
    <t>67055</t>
  </si>
  <si>
    <t>주택금융공사MBS2022-6(1-8)</t>
  </si>
  <si>
    <t>67056</t>
  </si>
  <si>
    <t>주택금융공사MBS2022-6(1-9)</t>
  </si>
  <si>
    <t>67059</t>
  </si>
  <si>
    <t>연남타이거제십일차(유)2-2</t>
  </si>
  <si>
    <t>67068</t>
  </si>
  <si>
    <t>연남타이거제12차(유)2-2</t>
  </si>
  <si>
    <t>67071</t>
  </si>
  <si>
    <t>연남타이거제13차(유)2-2</t>
  </si>
  <si>
    <t>67073</t>
  </si>
  <si>
    <t>케이뉴스타트제18차(유)3</t>
  </si>
  <si>
    <t>67080</t>
  </si>
  <si>
    <t>뉴마레제21차(유)1-2</t>
  </si>
  <si>
    <t>67081</t>
  </si>
  <si>
    <t>뉴마레제21차(유)1-3</t>
  </si>
  <si>
    <t>67084</t>
  </si>
  <si>
    <t>67086</t>
  </si>
  <si>
    <t>주택금융공사MBS2022-7(1-2)</t>
  </si>
  <si>
    <t>67087</t>
  </si>
  <si>
    <t>주택금융공사MBS2022-7(1-3)</t>
  </si>
  <si>
    <t>67088</t>
  </si>
  <si>
    <t>주택금융공사MBS2022-7(1-4)</t>
  </si>
  <si>
    <t>67089</t>
  </si>
  <si>
    <t>주택금융공사MBS2022-7(1-5)</t>
  </si>
  <si>
    <t>67090</t>
  </si>
  <si>
    <t>주택금융공사MBS2022-7(1-6)</t>
  </si>
  <si>
    <t>67091</t>
  </si>
  <si>
    <t>주택금융공사MBS2022-7(1-7)</t>
  </si>
  <si>
    <t>67092</t>
  </si>
  <si>
    <t>주택금융공사MBS2022-7(1-8)</t>
  </si>
  <si>
    <t>67093</t>
  </si>
  <si>
    <t>주택금융공사MBS2022-7(1-9)</t>
  </si>
  <si>
    <t>67123</t>
  </si>
  <si>
    <t>티월드제75차(유)1-15</t>
  </si>
  <si>
    <t>67124</t>
  </si>
  <si>
    <t>티월드제75차(유)1-16</t>
  </si>
  <si>
    <t>67125</t>
  </si>
  <si>
    <t>티월드제75차(유)1-17</t>
  </si>
  <si>
    <t>67126</t>
  </si>
  <si>
    <t>티월드제75차(유)1-18</t>
  </si>
  <si>
    <t>67127</t>
  </si>
  <si>
    <t>티월드제75차(유)1-19</t>
  </si>
  <si>
    <t>67128</t>
  </si>
  <si>
    <t>티월드제75차(유)1-20</t>
  </si>
  <si>
    <t>67129</t>
  </si>
  <si>
    <t>티월드제75차(유)1-21</t>
  </si>
  <si>
    <t>67130</t>
  </si>
  <si>
    <t>티월드제75차(유)1-22</t>
  </si>
  <si>
    <t>67131</t>
  </si>
  <si>
    <t>티월드제75차(유)1-23</t>
  </si>
  <si>
    <t>67132</t>
  </si>
  <si>
    <t>티월드제75차(유)1-24</t>
  </si>
  <si>
    <t>67133</t>
  </si>
  <si>
    <t>티월드제75차(유)1-25</t>
  </si>
  <si>
    <t>67134</t>
  </si>
  <si>
    <t>티월드제75차(유)1-26</t>
  </si>
  <si>
    <t>67135</t>
  </si>
  <si>
    <t>티월드제75차(유)1-27</t>
  </si>
  <si>
    <t>67140</t>
  </si>
  <si>
    <t>굿리졸트</t>
  </si>
  <si>
    <t>67147</t>
  </si>
  <si>
    <t>엠에스밀레니엄제이차(유)3</t>
  </si>
  <si>
    <t>67165</t>
  </si>
  <si>
    <t>퍼스트파이브지제62차(유)1-15</t>
  </si>
  <si>
    <t>67166</t>
  </si>
  <si>
    <t>퍼스트파이브지제62차(유)1-16</t>
  </si>
  <si>
    <t>67167</t>
  </si>
  <si>
    <t>퍼스트파이브지제62차(유)1-17</t>
  </si>
  <si>
    <t>67168</t>
  </si>
  <si>
    <t>퍼스트파이브지제62차(유)1-18</t>
  </si>
  <si>
    <t>67169</t>
  </si>
  <si>
    <t>퍼스트파이브지제62차(유)1-19</t>
  </si>
  <si>
    <t>67170</t>
  </si>
  <si>
    <t>퍼스트파이브지제62차(유)1-20</t>
  </si>
  <si>
    <t>67171</t>
  </si>
  <si>
    <t>퍼스트파이브지제62차(유)1-21</t>
  </si>
  <si>
    <t>67172</t>
  </si>
  <si>
    <t>퍼스트파이브지제62차(유)1-22</t>
  </si>
  <si>
    <t>67173</t>
  </si>
  <si>
    <t>퍼스트파이브지제62차(유)1-23</t>
  </si>
  <si>
    <t>67174</t>
  </si>
  <si>
    <t>퍼스트파이브지제62차(유)1-24</t>
  </si>
  <si>
    <t>67175</t>
  </si>
  <si>
    <t>퍼스트파이브지제62차(유)1-25</t>
  </si>
  <si>
    <t>67176</t>
  </si>
  <si>
    <t>퍼스트파이브지제62차(유)1-26</t>
  </si>
  <si>
    <t>67177</t>
  </si>
  <si>
    <t>퍼스트파이브지제62차(유)1-27</t>
  </si>
  <si>
    <t>67178</t>
  </si>
  <si>
    <t>퍼스트파이브지제62차(유)1-28</t>
  </si>
  <si>
    <t>67179</t>
  </si>
  <si>
    <t>퍼스트파이브지제62차(유)1-29</t>
  </si>
  <si>
    <t>67180</t>
  </si>
  <si>
    <t>신보2022제5차(유)1-1</t>
  </si>
  <si>
    <t>67181</t>
  </si>
  <si>
    <t>신보2022제5차(유)1-2</t>
  </si>
  <si>
    <t>67182</t>
  </si>
  <si>
    <t>신보2022제5차(유)1-3</t>
  </si>
  <si>
    <t>67183</t>
  </si>
  <si>
    <t>신보2022제6차(유)1-1</t>
  </si>
  <si>
    <t>67184</t>
  </si>
  <si>
    <t>신보2022제6차(유)1-2</t>
  </si>
  <si>
    <t>67185</t>
  </si>
  <si>
    <t>신보2022제7차(유)1-1</t>
  </si>
  <si>
    <t>67186</t>
  </si>
  <si>
    <t>신보2022제7차(유)1-2</t>
  </si>
  <si>
    <t>67187</t>
  </si>
  <si>
    <t>신보2022제8차(유)1-1</t>
  </si>
  <si>
    <t>67188</t>
  </si>
  <si>
    <t>신보2022제8차(유)1-2</t>
  </si>
  <si>
    <t>67189</t>
  </si>
  <si>
    <t>시그니엘제7차(유)1</t>
  </si>
  <si>
    <t>67190</t>
  </si>
  <si>
    <t>하이스톰워커제3차(유)1</t>
  </si>
  <si>
    <t>67216</t>
  </si>
  <si>
    <t>길동제이에스제이차</t>
  </si>
  <si>
    <t>67217</t>
  </si>
  <si>
    <t>선천제9차(유)3-3</t>
  </si>
  <si>
    <t>67218</t>
  </si>
  <si>
    <t>제이드림제25차(유)1</t>
  </si>
  <si>
    <t>67234</t>
  </si>
  <si>
    <t>주택금융공사MBS2022-8(1-2)</t>
  </si>
  <si>
    <t>67235</t>
  </si>
  <si>
    <t>주택금융공사MBS2022-8(1-3)</t>
  </si>
  <si>
    <t>67236</t>
  </si>
  <si>
    <t>주택금융공사MBS2022-8(1-4)</t>
  </si>
  <si>
    <t>67237</t>
  </si>
  <si>
    <t>주택금융공사MBS2022-8(1-5)</t>
  </si>
  <si>
    <t>67238</t>
  </si>
  <si>
    <t>주택금융공사MBS2022-8(1-6)</t>
  </si>
  <si>
    <t>67239</t>
  </si>
  <si>
    <t>주택금융공사MBS2022-8(1-7)</t>
  </si>
  <si>
    <t>67240</t>
  </si>
  <si>
    <t>주택금융공사MBS2022-8(1-8)</t>
  </si>
  <si>
    <t>67242</t>
  </si>
  <si>
    <t>주택금융공사MBS2022-8(1-9)</t>
  </si>
  <si>
    <t>67291</t>
  </si>
  <si>
    <t>증금챔피온제2차(유)1</t>
  </si>
  <si>
    <t>67296</t>
  </si>
  <si>
    <t>하모니제6차(유)4</t>
  </si>
  <si>
    <t>67297</t>
  </si>
  <si>
    <t>크레딧에너지제1차(유)1</t>
  </si>
  <si>
    <t>67300</t>
  </si>
  <si>
    <t>시그니처제이차(유)1-2</t>
  </si>
  <si>
    <t>67301</t>
  </si>
  <si>
    <t>시그니엘제7차(유)2</t>
  </si>
  <si>
    <t>67303</t>
  </si>
  <si>
    <t>원라이프제이차(유)1</t>
  </si>
  <si>
    <t>67304</t>
  </si>
  <si>
    <t>원라이프제이차(유)2</t>
  </si>
  <si>
    <t>67305</t>
  </si>
  <si>
    <t>케이뉴스타트제18차(유)4</t>
  </si>
  <si>
    <t>67306</t>
  </si>
  <si>
    <t>멀리건제십차(유)1</t>
  </si>
  <si>
    <t>67307</t>
  </si>
  <si>
    <t>프레스티지제십삼차(유)2</t>
  </si>
  <si>
    <t>67308</t>
  </si>
  <si>
    <t>시그니엘제6차(유)2</t>
  </si>
  <si>
    <t>67312</t>
  </si>
  <si>
    <t>시그니엘제7차(유)3</t>
  </si>
  <si>
    <t>67313</t>
  </si>
  <si>
    <t>슬로우시티제7차(유)1</t>
  </si>
  <si>
    <t>67317</t>
  </si>
  <si>
    <t>선천제십차(유)3-3</t>
  </si>
  <si>
    <t>67320</t>
  </si>
  <si>
    <t>쓰리버즈제삼차</t>
  </si>
  <si>
    <t>67321</t>
  </si>
  <si>
    <t>코너스톤제사차(유)4</t>
  </si>
  <si>
    <t>67324</t>
  </si>
  <si>
    <t>우드파운드(유)1-2</t>
  </si>
  <si>
    <t>67329</t>
  </si>
  <si>
    <t>한솔제이차</t>
  </si>
  <si>
    <t>67343</t>
  </si>
  <si>
    <t>원큐제4차(유)1-4</t>
  </si>
  <si>
    <t>67344</t>
  </si>
  <si>
    <t>뉴마레제13차(유)2</t>
  </si>
  <si>
    <t>67350</t>
  </si>
  <si>
    <t>워너비제1차(유)1-3</t>
  </si>
  <si>
    <t>67352</t>
  </si>
  <si>
    <t>시그니엘제7차(유)4</t>
  </si>
  <si>
    <t>67354</t>
  </si>
  <si>
    <t>셀리드제1차(유)1-4</t>
  </si>
  <si>
    <t>67356</t>
  </si>
  <si>
    <t>아델라제사차</t>
  </si>
  <si>
    <t>67359</t>
  </si>
  <si>
    <t>멀리건제12차(유)1-3</t>
  </si>
  <si>
    <t>67361</t>
  </si>
  <si>
    <t>오션러브제2차(유)1-4</t>
  </si>
  <si>
    <t>67363</t>
  </si>
  <si>
    <t>주택금융공사MBS2022-9(1-2)</t>
  </si>
  <si>
    <t>67364</t>
  </si>
  <si>
    <t>주택금융공사MBS2022-9(1-3)</t>
  </si>
  <si>
    <t>67365</t>
  </si>
  <si>
    <t>주택금융공사MBS2022-9(1-4)</t>
  </si>
  <si>
    <t>67366</t>
  </si>
  <si>
    <t>주택금융공사MBS2022-9(1-5)</t>
  </si>
  <si>
    <t>67367</t>
  </si>
  <si>
    <t>주택금융공사MBS2022-9(1-6)</t>
  </si>
  <si>
    <t>67368</t>
  </si>
  <si>
    <t>주택금융공사MBS2022-9(1-7)</t>
  </si>
  <si>
    <t>67369</t>
  </si>
  <si>
    <t>주택금융공사MBS2022-9(1-8)</t>
  </si>
  <si>
    <t>67370</t>
  </si>
  <si>
    <t>주택금융공사MBS2022-9(1-9)</t>
  </si>
  <si>
    <t>67372</t>
  </si>
  <si>
    <t>케이뉴스타트제20차(유)1</t>
  </si>
  <si>
    <t>67375</t>
  </si>
  <si>
    <t>하오브라더스제칠차</t>
  </si>
  <si>
    <t>67376</t>
  </si>
  <si>
    <t>스카이하늘제삼차</t>
  </si>
  <si>
    <t>67382</t>
  </si>
  <si>
    <t>네오드림푸드(유)4</t>
  </si>
  <si>
    <t>67386</t>
  </si>
  <si>
    <t>하나챔피온제1차(유)1-4</t>
  </si>
  <si>
    <t>67387</t>
  </si>
  <si>
    <t>한솔제삼차</t>
  </si>
  <si>
    <t>67390</t>
  </si>
  <si>
    <t>선천제십이차(유)3-4</t>
  </si>
  <si>
    <t>67400</t>
  </si>
  <si>
    <t>굿에이치와이제이차</t>
  </si>
  <si>
    <t>67409</t>
  </si>
  <si>
    <t>엠캐피탈제2차(유)1-9</t>
  </si>
  <si>
    <t>67410</t>
  </si>
  <si>
    <t>엠캐피탈제2차(유)1-10</t>
  </si>
  <si>
    <t>67411</t>
  </si>
  <si>
    <t>엠캐피탈제2차(유)1-11</t>
  </si>
  <si>
    <t>67412</t>
  </si>
  <si>
    <t>선천제십사차(유)3-5</t>
  </si>
  <si>
    <t>67429</t>
  </si>
  <si>
    <t>티월드제76차(유)1-14</t>
  </si>
  <si>
    <t>67430</t>
  </si>
  <si>
    <t>티월드제76차(유)1-15</t>
  </si>
  <si>
    <t>67431</t>
  </si>
  <si>
    <t>티월드제76차(유)1-16</t>
  </si>
  <si>
    <t>67432</t>
  </si>
  <si>
    <t>티월드제76차(유)1-17</t>
  </si>
  <si>
    <t>67433</t>
  </si>
  <si>
    <t>티월드제76차(유)1-18</t>
  </si>
  <si>
    <t>67434</t>
  </si>
  <si>
    <t>티월드제76차(유)1-19</t>
  </si>
  <si>
    <t>67435</t>
  </si>
  <si>
    <t>티월드제76차(유)1-20</t>
  </si>
  <si>
    <t>67436</t>
  </si>
  <si>
    <t>티월드제76차(유)1-21</t>
  </si>
  <si>
    <t>67437</t>
  </si>
  <si>
    <t>티월드제76차(유)1-22</t>
  </si>
  <si>
    <t>67438</t>
  </si>
  <si>
    <t>티월드제76차(유)1-23</t>
  </si>
  <si>
    <t>67439</t>
  </si>
  <si>
    <t>티월드제76차(유)1-24</t>
  </si>
  <si>
    <t>67440</t>
  </si>
  <si>
    <t>티월드제76차(유)1-25</t>
  </si>
  <si>
    <t>67441</t>
  </si>
  <si>
    <t>티월드제76차(유)1-26</t>
  </si>
  <si>
    <t>67442</t>
  </si>
  <si>
    <t>티월드제76차(유)1-27</t>
  </si>
  <si>
    <t>67443</t>
  </si>
  <si>
    <t>슬로우시티제7차(유)2</t>
  </si>
  <si>
    <t>67452</t>
  </si>
  <si>
    <t>주택금융공사MBS2022-10(1-2)</t>
  </si>
  <si>
    <t>67453</t>
  </si>
  <si>
    <t>주택금융공사MBS2022-10(1-3)</t>
  </si>
  <si>
    <t>67454</t>
  </si>
  <si>
    <t>주택금융공사MBS2022-10(1-4)</t>
  </si>
  <si>
    <t>67455</t>
  </si>
  <si>
    <t>주택금융공사MBS2022-10(1-5)</t>
  </si>
  <si>
    <t>67456</t>
  </si>
  <si>
    <t>주택금융공사MBS2022-10(1-6)</t>
  </si>
  <si>
    <t>67457</t>
  </si>
  <si>
    <t>주택금융공사MBS2022-10(1-7)</t>
  </si>
  <si>
    <t>67458</t>
  </si>
  <si>
    <t>주택금융공사MBS2022-10(1-8)</t>
  </si>
  <si>
    <t>67459</t>
  </si>
  <si>
    <t>주택금융공사MBS2022-10(1-9)</t>
  </si>
  <si>
    <t>67463</t>
  </si>
  <si>
    <t>신보2022제9차(유)1-1</t>
  </si>
  <si>
    <t>67464</t>
  </si>
  <si>
    <t>신보2022제9차(유)1-2</t>
  </si>
  <si>
    <t>67465</t>
  </si>
  <si>
    <t>신보2022제9차(유)1-3</t>
  </si>
  <si>
    <t>67466</t>
  </si>
  <si>
    <t>신보2022제10차(유)1-1</t>
  </si>
  <si>
    <t>67467</t>
  </si>
  <si>
    <t>신보2022제10차(유)1-2</t>
  </si>
  <si>
    <t>67468</t>
  </si>
  <si>
    <t>신보2022제11차(유)1-1</t>
  </si>
  <si>
    <t>67469</t>
  </si>
  <si>
    <t>신보2022제11차(유)1-2</t>
  </si>
  <si>
    <t>67470</t>
  </si>
  <si>
    <t>신보2022제12차(유)1-1</t>
  </si>
  <si>
    <t>67471</t>
  </si>
  <si>
    <t>신보2022제12차(유)1-2</t>
  </si>
  <si>
    <t>67499</t>
  </si>
  <si>
    <t>스카이하늘제사차</t>
  </si>
  <si>
    <t>67514</t>
  </si>
  <si>
    <t>멀리건제13차(유)1-1</t>
  </si>
  <si>
    <t>67515</t>
  </si>
  <si>
    <t>멀리건제13차(유)1-2</t>
  </si>
  <si>
    <t>67516</t>
  </si>
  <si>
    <t>멀리건제13차(유)1-3</t>
  </si>
  <si>
    <t>67541</t>
  </si>
  <si>
    <t>코너스톤제16차(유)4</t>
  </si>
  <si>
    <t>67543</t>
  </si>
  <si>
    <t>원큐제5차(유)1-3</t>
  </si>
  <si>
    <t>67552</t>
  </si>
  <si>
    <t>유플러스파이브지제63차(유)1-7</t>
  </si>
  <si>
    <t>67553</t>
  </si>
  <si>
    <t>유플러스파이브지제63차(유)1-8</t>
  </si>
  <si>
    <t>67554</t>
  </si>
  <si>
    <t>유플러스파이브지제63차(유)1-9</t>
  </si>
  <si>
    <t>67555</t>
  </si>
  <si>
    <t>유플러스파이브지제63차(유)1-10</t>
  </si>
  <si>
    <t>67556</t>
  </si>
  <si>
    <t>유플러스파이브지제63차(유)1-11</t>
  </si>
  <si>
    <t>67557</t>
  </si>
  <si>
    <t>유플러스파이브지제63차(유)1-12</t>
  </si>
  <si>
    <t>67558</t>
  </si>
  <si>
    <t>유플러스파이브지제63차(유)1-13</t>
  </si>
  <si>
    <t>67559</t>
  </si>
  <si>
    <t>유플러스파이브지제63차(유)1-14</t>
  </si>
  <si>
    <t>67560</t>
  </si>
  <si>
    <t>유플러스파이브지제63차(유)1-15</t>
  </si>
  <si>
    <t>67561</t>
  </si>
  <si>
    <t>유플러스파이브지제63차(유)1-16</t>
  </si>
  <si>
    <t>67562</t>
  </si>
  <si>
    <t>유플러스파이브지제63차(유)1-17</t>
  </si>
  <si>
    <t>67563</t>
  </si>
  <si>
    <t>유플러스파이브지제63차(유)1-18</t>
  </si>
  <si>
    <t>67564</t>
  </si>
  <si>
    <t>유플러스파이브지제63차(유)1-19</t>
  </si>
  <si>
    <t>67574</t>
  </si>
  <si>
    <t>케이카캐피탈제이차(유)1-6</t>
  </si>
  <si>
    <t>67576</t>
  </si>
  <si>
    <t>선천제육차(유)3-4</t>
  </si>
  <si>
    <t>67577</t>
  </si>
  <si>
    <t>올원프렌즈제일차(유)1-4</t>
  </si>
  <si>
    <t>67578</t>
  </si>
  <si>
    <t>한솔제사차</t>
  </si>
  <si>
    <t>67579</t>
  </si>
  <si>
    <t>케이뉴스타트제21차(유)1</t>
  </si>
  <si>
    <t>67580</t>
  </si>
  <si>
    <t>행운제7차(유)1</t>
  </si>
  <si>
    <t>67582</t>
  </si>
  <si>
    <t>멀리건제14차(유)1-1</t>
  </si>
  <si>
    <t>67583</t>
  </si>
  <si>
    <t>자이언츠제일차(유)1-4</t>
  </si>
  <si>
    <t>67584</t>
  </si>
  <si>
    <t>멀리건제십사차(유)1-2</t>
  </si>
  <si>
    <t>67585</t>
  </si>
  <si>
    <t>멀리건제십사차(유)1-3</t>
  </si>
  <si>
    <t>67586</t>
  </si>
  <si>
    <t>행운제7차(유)2</t>
  </si>
  <si>
    <t>67588</t>
  </si>
  <si>
    <t>한솔제오차</t>
  </si>
  <si>
    <t>67589</t>
  </si>
  <si>
    <t>선천제13차(유)3-2</t>
  </si>
  <si>
    <t>67590</t>
  </si>
  <si>
    <t>네오드림컨텐츠(유)4-4</t>
  </si>
  <si>
    <t>67591</t>
  </si>
  <si>
    <t>네오드림컨텐츠(유)4-5</t>
  </si>
  <si>
    <t>67592</t>
  </si>
  <si>
    <t>멀리건제15차(유)1-1</t>
  </si>
  <si>
    <t>67593</t>
  </si>
  <si>
    <t>멀리건제15차(유)1-2</t>
  </si>
  <si>
    <t>67595</t>
  </si>
  <si>
    <t>주택금융공사MBS2022-11(1-2)</t>
  </si>
  <si>
    <t>67596</t>
  </si>
  <si>
    <t>주택금융공사MBS2022-11(1-3)</t>
  </si>
  <si>
    <t>67597</t>
  </si>
  <si>
    <t>주택금융공사MBS2022-11(1-4)</t>
  </si>
  <si>
    <t>67598</t>
  </si>
  <si>
    <t>주택금융공사MBS2022-11(1-5)</t>
  </si>
  <si>
    <t>67599</t>
  </si>
  <si>
    <t>주택금융공사MBS2022-11(1-6)</t>
  </si>
  <si>
    <t>67600</t>
  </si>
  <si>
    <t>주택금융공사MBS2022-11(1-7)</t>
  </si>
  <si>
    <t>67601</t>
  </si>
  <si>
    <t>주택금융공사MBS2022-11(1-8)</t>
  </si>
  <si>
    <t>67602</t>
  </si>
  <si>
    <t>주택금융공사MBS2022-11(1-9)</t>
  </si>
  <si>
    <t>67604</t>
  </si>
  <si>
    <t>선천제17차(유)3-3</t>
  </si>
  <si>
    <t>67607</t>
  </si>
  <si>
    <t>옥정제일2차(유)3</t>
  </si>
  <si>
    <t>67608</t>
  </si>
  <si>
    <t>더퍼스트샤이닝제2차(유)1</t>
  </si>
  <si>
    <t>67610</t>
  </si>
  <si>
    <t>뉴마레제6차(유)2</t>
  </si>
  <si>
    <t>67614</t>
  </si>
  <si>
    <t>아델라제이차</t>
  </si>
  <si>
    <t>67615</t>
  </si>
  <si>
    <t>시그니처제삼차(유)1-3</t>
  </si>
  <si>
    <t>67617</t>
  </si>
  <si>
    <t>행운제7차(유)3</t>
  </si>
  <si>
    <t>67620</t>
  </si>
  <si>
    <t>멀리건제십육차(유)1-1</t>
  </si>
  <si>
    <t>67621</t>
  </si>
  <si>
    <t>멀리건제십육차(유)1-2</t>
  </si>
  <si>
    <t>67622</t>
  </si>
  <si>
    <t>행운제8차(유)1</t>
  </si>
  <si>
    <t>67628</t>
  </si>
  <si>
    <t>행운제7차(유)4</t>
  </si>
  <si>
    <t>67631</t>
  </si>
  <si>
    <t>우리금융에프앤아이</t>
  </si>
  <si>
    <t>67633</t>
  </si>
  <si>
    <t>케이뉴스타트제19차(유)2</t>
  </si>
  <si>
    <t>67635</t>
  </si>
  <si>
    <t>드래곤라인제삼차(유)3-3</t>
  </si>
  <si>
    <t>67647</t>
  </si>
  <si>
    <t>주택금융공사MBS2022-12(1-2)</t>
  </si>
  <si>
    <t>67648</t>
  </si>
  <si>
    <t>주택금융공사MBS2022-12(1-3)</t>
  </si>
  <si>
    <t>67649</t>
  </si>
  <si>
    <t>주택금융공사MBS2022-12(1-4)</t>
  </si>
  <si>
    <t>67655</t>
  </si>
  <si>
    <t>행운제7차(유)5</t>
  </si>
  <si>
    <t>67660</t>
  </si>
  <si>
    <t>신보2022제13차(유)1-1</t>
  </si>
  <si>
    <t>67661</t>
  </si>
  <si>
    <t>신보2022제13차(유)1-2</t>
  </si>
  <si>
    <t>67662</t>
  </si>
  <si>
    <t>신보2022제13차(유)1-3</t>
  </si>
  <si>
    <t>67663</t>
  </si>
  <si>
    <t>신보2022제14차(유)1-1</t>
  </si>
  <si>
    <t>67664</t>
  </si>
  <si>
    <t>신보2022제14차(유)1-2</t>
  </si>
  <si>
    <t>67668</t>
  </si>
  <si>
    <t>멀리건제17차(유)1-1</t>
  </si>
  <si>
    <t>67669</t>
  </si>
  <si>
    <t>멀리건제17차(유)1-2</t>
  </si>
  <si>
    <t>67672</t>
  </si>
  <si>
    <t>행운제8차(유)2</t>
  </si>
  <si>
    <t>67673</t>
  </si>
  <si>
    <t>하모니제7차(유)1</t>
  </si>
  <si>
    <t>67674</t>
  </si>
  <si>
    <t>아델라제삼차</t>
  </si>
  <si>
    <t>67687</t>
  </si>
  <si>
    <t>티월드제77차(유)1-13</t>
  </si>
  <si>
    <t>67688</t>
  </si>
  <si>
    <t>티월드제77차(유)1-14</t>
  </si>
  <si>
    <t>67689</t>
  </si>
  <si>
    <t>티월드제77차(유)1-15</t>
  </si>
  <si>
    <t>67690</t>
  </si>
  <si>
    <t>티월드제77차(유)1-16</t>
  </si>
  <si>
    <t>67691</t>
  </si>
  <si>
    <t>티월드제77차(유)1-17</t>
  </si>
  <si>
    <t>67692</t>
  </si>
  <si>
    <t>티월드제77차(유)1-18</t>
  </si>
  <si>
    <t>67693</t>
  </si>
  <si>
    <t>티월드제77차(유)1-19</t>
  </si>
  <si>
    <t>67694</t>
  </si>
  <si>
    <t>티월드제77차(유)1-20</t>
  </si>
  <si>
    <t>67695</t>
  </si>
  <si>
    <t>티월드제77차(유)1-21</t>
  </si>
  <si>
    <t>67696</t>
  </si>
  <si>
    <t>티월드제77차(유)1-22</t>
  </si>
  <si>
    <t>67697</t>
  </si>
  <si>
    <t>티월드제77차(유)1-23</t>
  </si>
  <si>
    <t>67698</t>
  </si>
  <si>
    <t>티월드제77차(유)1-24</t>
  </si>
  <si>
    <t>67699</t>
  </si>
  <si>
    <t>티월드제77차(유)1-25</t>
  </si>
  <si>
    <t>67700</t>
  </si>
  <si>
    <t>티월드제77차(유)1-26</t>
  </si>
  <si>
    <t>67701</t>
  </si>
  <si>
    <t>티월드제77차(유)1-27</t>
  </si>
  <si>
    <t>67702</t>
  </si>
  <si>
    <t>티월드제77차(유)1-28</t>
  </si>
  <si>
    <t>67704</t>
  </si>
  <si>
    <t>중진공2022제1차스케일업(유)1-2</t>
  </si>
  <si>
    <t>67705</t>
  </si>
  <si>
    <t>중진공2022제1차스케일업(유)1-3</t>
  </si>
  <si>
    <t>67706</t>
  </si>
  <si>
    <t>중진공2022제1차스케일업(유)2-1</t>
  </si>
  <si>
    <t>67707</t>
  </si>
  <si>
    <t>중진공2022제1차스케일업(유)2-2</t>
  </si>
  <si>
    <t>67708</t>
  </si>
  <si>
    <t>중진공2022제1차스케일업(유)2-3</t>
  </si>
  <si>
    <t>67709</t>
  </si>
  <si>
    <t>중진공2022제1차스케일업(유)3</t>
  </si>
  <si>
    <t>67712</t>
  </si>
  <si>
    <t>퀀텀챌린지제10차(유)4-4</t>
  </si>
  <si>
    <t>67714</t>
  </si>
  <si>
    <t>행운제8차(유)3</t>
  </si>
  <si>
    <t>67717</t>
  </si>
  <si>
    <t>멀리건제18차(유)1-1</t>
  </si>
  <si>
    <t>67718</t>
  </si>
  <si>
    <t>멀리건제18차(유)1-2</t>
  </si>
  <si>
    <t>67719</t>
  </si>
  <si>
    <t>더퍼스트샤이닝제1차(유)1</t>
  </si>
  <si>
    <t>67732</t>
  </si>
  <si>
    <t>커머셜오토제십이차(유)1-13</t>
  </si>
  <si>
    <t>67733</t>
  </si>
  <si>
    <t>커머셜오토제십이차(유)1-14</t>
  </si>
  <si>
    <t>67734</t>
  </si>
  <si>
    <t>커머셜오토제십이차(유)1-15</t>
  </si>
  <si>
    <t>67735</t>
  </si>
  <si>
    <t>커머셜오토제십이차(유)1-16</t>
  </si>
  <si>
    <t>67736</t>
  </si>
  <si>
    <t>커머셜오토제십이차(유)1-17</t>
  </si>
  <si>
    <t>67737</t>
  </si>
  <si>
    <t>커머셜오토제십이차(유)1-18</t>
  </si>
  <si>
    <t>67738</t>
  </si>
  <si>
    <t>커머셜오토제십이차(유)1-19</t>
  </si>
  <si>
    <t>67739</t>
  </si>
  <si>
    <t>커머셜오토제십이차(유)1-20</t>
  </si>
  <si>
    <t>67740</t>
  </si>
  <si>
    <t>커머셜오토제십이차(유)1-21</t>
  </si>
  <si>
    <t>67741</t>
  </si>
  <si>
    <t>커머셜오토제십이차(유)1-22</t>
  </si>
  <si>
    <t>67742</t>
  </si>
  <si>
    <t>커머셜오토제십이차(유)1-23</t>
  </si>
  <si>
    <t>67743</t>
  </si>
  <si>
    <t>커머셜오토제십이차(유)1-24</t>
  </si>
  <si>
    <t>67744</t>
  </si>
  <si>
    <t>커머셜오토제십이차(유)1-25</t>
  </si>
  <si>
    <t>67745</t>
  </si>
  <si>
    <t>커머셜오토제십이차(유)1-26</t>
  </si>
  <si>
    <t>67746</t>
  </si>
  <si>
    <t>커머셜오토제십이차(유)1-27</t>
  </si>
  <si>
    <t>67747</t>
  </si>
  <si>
    <t>커머셜오토제십이차(유)1-28</t>
  </si>
  <si>
    <t>67760</t>
  </si>
  <si>
    <t>퍼스트파이브지제63차(유)1-13</t>
  </si>
  <si>
    <t>67761</t>
  </si>
  <si>
    <t>퍼스트파이브지제63차(유)1-14</t>
  </si>
  <si>
    <t>67762</t>
  </si>
  <si>
    <t>퍼스트파이브지제63차(유)1-15</t>
  </si>
  <si>
    <t>67763</t>
  </si>
  <si>
    <t>퍼스트파이브지제63차(유)1-16</t>
  </si>
  <si>
    <t>67764</t>
  </si>
  <si>
    <t>퍼스트파이브지제63차(유)1-17</t>
  </si>
  <si>
    <t>67765</t>
  </si>
  <si>
    <t>퍼스트파이브지제63차(유)1-18</t>
  </si>
  <si>
    <t>67766</t>
  </si>
  <si>
    <t>퍼스트파이브지제63차(유)1-19</t>
  </si>
  <si>
    <t>67767</t>
  </si>
  <si>
    <t>퍼스트파이브지제63차(유)1-20</t>
  </si>
  <si>
    <t>67768</t>
  </si>
  <si>
    <t>퍼스트파이브지제63차(유)1-21</t>
  </si>
  <si>
    <t>67769</t>
  </si>
  <si>
    <t>퍼스트파이브지제63차(유)1-22</t>
  </si>
  <si>
    <t>67770</t>
  </si>
  <si>
    <t>퍼스트파이브지제63차(유)1-23</t>
  </si>
  <si>
    <t>67771</t>
  </si>
  <si>
    <t>퍼스트파이브지제63차(유)1-24</t>
  </si>
  <si>
    <t>67772</t>
  </si>
  <si>
    <t>퍼스트파이브지제63차(유)1-25</t>
  </si>
  <si>
    <t>67773</t>
  </si>
  <si>
    <t>퍼스트파이브지제63차(유)1-26</t>
  </si>
  <si>
    <t>67774</t>
  </si>
  <si>
    <t>퍼스트파이브지제63차(유)1-27</t>
  </si>
  <si>
    <t>67775</t>
  </si>
  <si>
    <t>퍼스트파이브지제63차(유)1-28</t>
  </si>
  <si>
    <t>67776</t>
  </si>
  <si>
    <t>퍼스트파이브지제63차(유)1-29</t>
  </si>
  <si>
    <t>67777</t>
  </si>
  <si>
    <t>퍼스트파이브지제63차(유)1-30</t>
  </si>
  <si>
    <t>67778</t>
  </si>
  <si>
    <t>증금타임제1차(유)1-3</t>
  </si>
  <si>
    <t>67784</t>
  </si>
  <si>
    <t>증금타임제1차(유)1-4</t>
  </si>
  <si>
    <t>67791</t>
  </si>
  <si>
    <t>올원프렌즈제2차(유)1-2</t>
  </si>
  <si>
    <t>67792</t>
  </si>
  <si>
    <t>멀리건제십구차(유)1</t>
  </si>
  <si>
    <t>67794</t>
  </si>
  <si>
    <t>행운제8차(유)4</t>
  </si>
  <si>
    <t>67796</t>
  </si>
  <si>
    <t>주택금융공사MBS2022-13(1-2)</t>
  </si>
  <si>
    <t>67797</t>
  </si>
  <si>
    <t>주택금융공사MBS2022-13(1-3)</t>
  </si>
  <si>
    <t>67798</t>
  </si>
  <si>
    <t>주택금융공사MBS2022-13(1-4)</t>
  </si>
  <si>
    <t>67799</t>
  </si>
  <si>
    <t>주택금융공사MBS2022-13(1-5)</t>
  </si>
  <si>
    <t>67800</t>
  </si>
  <si>
    <t>주택금융공사MBS2022-13(1-6)</t>
  </si>
  <si>
    <t>67801</t>
  </si>
  <si>
    <t>주택금융공사MBS2022-13(1-7)</t>
  </si>
  <si>
    <t>67802</t>
  </si>
  <si>
    <t>주택금융공사MBS2022-13(1-8)</t>
  </si>
  <si>
    <t>67803</t>
  </si>
  <si>
    <t>주택금융공사MBS2022-13(1-9)</t>
  </si>
  <si>
    <t>67805</t>
  </si>
  <si>
    <t>워너비제이차(유)1-3</t>
  </si>
  <si>
    <t>67807</t>
  </si>
  <si>
    <t>퀀텀챌린지제사차(유)4-2</t>
  </si>
  <si>
    <t>67826</t>
  </si>
  <si>
    <t>국민챔피온제팔차(유)1-2</t>
  </si>
  <si>
    <t>67830</t>
  </si>
  <si>
    <t>멀리건제이십차(유)1-1</t>
  </si>
  <si>
    <t>67831</t>
  </si>
  <si>
    <t>멀리건제이십차(유)1-2</t>
  </si>
  <si>
    <t>67852</t>
  </si>
  <si>
    <t>엑셀시오르오사카아이엠피</t>
  </si>
  <si>
    <t>67853</t>
  </si>
  <si>
    <t>케이뉴스타트제22차(유)1</t>
  </si>
  <si>
    <t>67855</t>
  </si>
  <si>
    <t>선천제15차(유)3-3</t>
  </si>
  <si>
    <t>67856</t>
  </si>
  <si>
    <t>슬로우시티제6차(유)4</t>
  </si>
  <si>
    <t>67857</t>
  </si>
  <si>
    <t>네오스타일(유)1</t>
  </si>
  <si>
    <t>67860</t>
  </si>
  <si>
    <t>선천제15차(유)4-3</t>
  </si>
  <si>
    <t>67861</t>
  </si>
  <si>
    <t>올원프렌즈제3차(유)1-2</t>
  </si>
  <si>
    <t>67866</t>
  </si>
  <si>
    <t>케이뉴스타트제20차(유)2</t>
  </si>
  <si>
    <t>67868</t>
  </si>
  <si>
    <t>산업기반신보비봉매송(유)1</t>
  </si>
  <si>
    <t>67869</t>
  </si>
  <si>
    <t>선천제16차(유)3-4</t>
  </si>
  <si>
    <t>67870</t>
  </si>
  <si>
    <t>시그니엘제6차(유)3</t>
  </si>
  <si>
    <t>67871</t>
  </si>
  <si>
    <t>국민챔피온제9차(유)1-3</t>
  </si>
  <si>
    <t>67873</t>
  </si>
  <si>
    <t>프레스티지제9차(유)2-2</t>
  </si>
  <si>
    <t>67874</t>
  </si>
  <si>
    <t>하모니제8차(유)1</t>
  </si>
  <si>
    <t>67875</t>
  </si>
  <si>
    <t>국민챔피온제9차(유)2-3</t>
  </si>
  <si>
    <t>67876</t>
  </si>
  <si>
    <t>농협챔피온제일차(유)1-2</t>
  </si>
  <si>
    <t>67877</t>
  </si>
  <si>
    <t>포에버부산제일차(유)1</t>
  </si>
  <si>
    <t>67881</t>
  </si>
  <si>
    <t>오션알파(유)1</t>
  </si>
  <si>
    <t>67882</t>
  </si>
  <si>
    <t>컨시드제이차(유)2</t>
  </si>
  <si>
    <t>67883</t>
  </si>
  <si>
    <t>주택금융공사MBS2022-14(1-1)</t>
  </si>
  <si>
    <t>67884</t>
  </si>
  <si>
    <t>주택금융공사MBS2022-14(1-2)</t>
  </si>
  <si>
    <t>67885</t>
  </si>
  <si>
    <t>주택금융공사MBS2022-14(1-3)</t>
  </si>
  <si>
    <t>67886</t>
  </si>
  <si>
    <t>주택금융공사MBS2022-14(1-4)</t>
  </si>
  <si>
    <t>67889</t>
  </si>
  <si>
    <t>뉴마레제십차(유)2-3</t>
  </si>
  <si>
    <t>67890</t>
  </si>
  <si>
    <t>뉴마레제십차(유)2-4</t>
  </si>
  <si>
    <t>67893</t>
  </si>
  <si>
    <t>국민챔피온제십차(유)1-4</t>
  </si>
  <si>
    <t>67898</t>
  </si>
  <si>
    <t>프레스티지제십이차(유)2-1</t>
  </si>
  <si>
    <t>67899</t>
  </si>
  <si>
    <t>프레스티지제십이차(유)2-2</t>
  </si>
  <si>
    <t>67900</t>
  </si>
  <si>
    <t>시그니엘제8차(유)1</t>
  </si>
  <si>
    <t>67901</t>
  </si>
  <si>
    <t>드래곤라인제구차(유)2-5</t>
  </si>
  <si>
    <t>67902</t>
  </si>
  <si>
    <t>하모니제8차(유)2</t>
  </si>
  <si>
    <t>67903</t>
  </si>
  <si>
    <t>시그니저제사차(유)1-3(삭제)</t>
  </si>
  <si>
    <t>67906</t>
  </si>
  <si>
    <t>국민챔피온제십일차(유)1-5</t>
  </si>
  <si>
    <t>67908</t>
  </si>
  <si>
    <t>슬로우시티제8차(유)1</t>
  </si>
  <si>
    <t>67913</t>
  </si>
  <si>
    <t>시그니처제사차(유)1-3</t>
  </si>
  <si>
    <t>67914</t>
  </si>
  <si>
    <t>오션러브제4차(유)1-2</t>
  </si>
  <si>
    <t>67915</t>
  </si>
  <si>
    <t>신한챔피온제1차(유)1-5</t>
  </si>
  <si>
    <t>67941</t>
  </si>
  <si>
    <t>바바리안스카이코리아5(유)1-23</t>
  </si>
  <si>
    <t>67942</t>
  </si>
  <si>
    <t>바바리안스카이코리아5(유)1-24</t>
  </si>
  <si>
    <t>67943</t>
  </si>
  <si>
    <t>바바리안스카이코리아5(유)1-25</t>
  </si>
  <si>
    <t>67944</t>
  </si>
  <si>
    <t>바바리안스카이코리아5(유)1-26</t>
  </si>
  <si>
    <t>67945</t>
  </si>
  <si>
    <t>바바리안스카이코리아5(유)1-27</t>
  </si>
  <si>
    <t>67946</t>
  </si>
  <si>
    <t>바바리안스카이코리아5(유)1-28</t>
  </si>
  <si>
    <t>67947</t>
  </si>
  <si>
    <t>바바리안스카이코리아5(유)1-29</t>
  </si>
  <si>
    <t>67948</t>
  </si>
  <si>
    <t>바바리안스카이코리아5(유)1-30</t>
  </si>
  <si>
    <t>67949</t>
  </si>
  <si>
    <t>바바리안스카이코리아5(유)1-31</t>
  </si>
  <si>
    <t>67950</t>
  </si>
  <si>
    <t>바바리안스카이코리아5(유)1-32</t>
  </si>
  <si>
    <t>67951</t>
  </si>
  <si>
    <t>바바리안스카이코리아5(유)1-33</t>
  </si>
  <si>
    <t>67952</t>
  </si>
  <si>
    <t>바바리안스카이코리아5(유)1-34</t>
  </si>
  <si>
    <t>67953</t>
  </si>
  <si>
    <t>바바리안스카이코리아5(유)1-35</t>
  </si>
  <si>
    <t>67954</t>
  </si>
  <si>
    <t>바바리안스카이코리아5(유)1-36</t>
  </si>
  <si>
    <t>67955</t>
  </si>
  <si>
    <t>바바리안스카이코리아5(유)1-37</t>
  </si>
  <si>
    <t>67956</t>
  </si>
  <si>
    <t>행운제9차(유)1</t>
  </si>
  <si>
    <t>67958</t>
  </si>
  <si>
    <t>원더풀지엠제7차(유)3-3</t>
  </si>
  <si>
    <t>67962</t>
  </si>
  <si>
    <t>에듀윌</t>
  </si>
  <si>
    <t>67965</t>
  </si>
  <si>
    <t>슬로우시티제8차(유)2</t>
  </si>
  <si>
    <t>67966</t>
  </si>
  <si>
    <t>아델라제오차</t>
  </si>
  <si>
    <t>67967</t>
  </si>
  <si>
    <t>더퍼스트샤이닝제4차(유)1</t>
  </si>
  <si>
    <t>67968</t>
  </si>
  <si>
    <t>한솔제칠차</t>
  </si>
  <si>
    <t>67969</t>
  </si>
  <si>
    <t>연남타이거제14차(유)2-4</t>
  </si>
  <si>
    <t>67983</t>
  </si>
  <si>
    <t>티월드제78차(유)1-12</t>
  </si>
  <si>
    <t>67984</t>
  </si>
  <si>
    <t>티월드제78차(유)1-13</t>
  </si>
  <si>
    <t>67985</t>
  </si>
  <si>
    <t>티월드제78차(유)1-14</t>
  </si>
  <si>
    <t>67986</t>
  </si>
  <si>
    <t>티월드제78차(유)1-15</t>
  </si>
  <si>
    <t>67987</t>
  </si>
  <si>
    <t>티월드제78차(유)1-16</t>
  </si>
  <si>
    <t>67988</t>
  </si>
  <si>
    <t>티월드제78차(유)1-17</t>
  </si>
  <si>
    <t>67989</t>
  </si>
  <si>
    <t>티월드제78차(유)1-18</t>
  </si>
  <si>
    <t>67990</t>
  </si>
  <si>
    <t>티월드제78차(유)1-19</t>
  </si>
  <si>
    <t>67991</t>
  </si>
  <si>
    <t>티월드제78차(유)1-20</t>
  </si>
  <si>
    <t>67992</t>
  </si>
  <si>
    <t>티월드제78차(유)1-21</t>
  </si>
  <si>
    <t>67993</t>
  </si>
  <si>
    <t>티월드제78차(유)1-22</t>
  </si>
  <si>
    <t>67994</t>
  </si>
  <si>
    <t>티월드제78차(유)1-23</t>
  </si>
  <si>
    <t>67995</t>
  </si>
  <si>
    <t>티월드제78차(유)1-24</t>
  </si>
  <si>
    <t>67996</t>
  </si>
  <si>
    <t>티월드제78차(유)1-25</t>
  </si>
  <si>
    <t>67997</t>
  </si>
  <si>
    <t>티월드제78차(유)1-26</t>
  </si>
  <si>
    <t>67998</t>
  </si>
  <si>
    <t>티월드제78차(유)1-27</t>
  </si>
  <si>
    <t>68002</t>
  </si>
  <si>
    <t>오션러브제5차(유)1-3</t>
  </si>
  <si>
    <t>68003</t>
  </si>
  <si>
    <t>오션러브제5차(유)1-4</t>
  </si>
  <si>
    <t>68005</t>
  </si>
  <si>
    <t>주택금융공사MBS2022-15(1-1)</t>
  </si>
  <si>
    <t>68006</t>
  </si>
  <si>
    <t>주택금융공사MBS2022-15(1-2)</t>
  </si>
  <si>
    <t>68007</t>
  </si>
  <si>
    <t>주택금융공사MBS2022-15(1-3)</t>
  </si>
  <si>
    <t>68008</t>
  </si>
  <si>
    <t>주택금융공사MBS2022-15(1-4)</t>
  </si>
  <si>
    <t>68009</t>
  </si>
  <si>
    <t>주택금융공사MBS2022-15(1-5)</t>
  </si>
  <si>
    <t>68010</t>
  </si>
  <si>
    <t>주택금융공사MBS2022-15(1-6)</t>
  </si>
  <si>
    <t>68011</t>
  </si>
  <si>
    <t>주택금융공사MBS2022-15(1-7)</t>
  </si>
  <si>
    <t>68012</t>
  </si>
  <si>
    <t>주택금융공사MBS2022-15(1-8)</t>
  </si>
  <si>
    <t>68013</t>
  </si>
  <si>
    <t>주택금융공사MBS2022-15(1-9)</t>
  </si>
  <si>
    <t>68016</t>
  </si>
  <si>
    <t>하모니제8차(유)3</t>
  </si>
  <si>
    <t>68024</t>
  </si>
  <si>
    <t>에이치와이케이제오차</t>
  </si>
  <si>
    <t>68025</t>
  </si>
  <si>
    <t>넘버원제십일차</t>
  </si>
  <si>
    <t>68026</t>
  </si>
  <si>
    <t>한솔제팔차</t>
  </si>
  <si>
    <t>68027</t>
  </si>
  <si>
    <t>원더풀지엠제팔차(유)3-2</t>
  </si>
  <si>
    <t>68031</t>
  </si>
  <si>
    <t>시그니처제오차(유)1-2</t>
  </si>
  <si>
    <t>68033</t>
  </si>
  <si>
    <t>국민사랑제1차(유)1</t>
  </si>
  <si>
    <t>68034</t>
  </si>
  <si>
    <t>케이뉴스타트제20차(유)3</t>
  </si>
  <si>
    <t>68035</t>
  </si>
  <si>
    <t>니드원제십이차(유)1</t>
  </si>
  <si>
    <t>68036</t>
  </si>
  <si>
    <t>포에버부산제이차(유)1</t>
  </si>
  <si>
    <t>68040</t>
  </si>
  <si>
    <t>뉴에스에프제일차</t>
  </si>
  <si>
    <t>68041</t>
  </si>
  <si>
    <t>한솔제구차</t>
  </si>
  <si>
    <t>68044</t>
  </si>
  <si>
    <t>하이메타버스서퍼제이차(유)1-2</t>
  </si>
  <si>
    <t>68052</t>
  </si>
  <si>
    <t>원더풀지엠제구차(유)3-3</t>
  </si>
  <si>
    <t>68061</t>
  </si>
  <si>
    <t>유플러스파이브지제64차(유)1-6</t>
  </si>
  <si>
    <t>68062</t>
  </si>
  <si>
    <t>유플러스파이브지제64차(유)1-7</t>
  </si>
  <si>
    <t>68063</t>
  </si>
  <si>
    <t>유플러스파이브지제64차(유)1-8</t>
  </si>
  <si>
    <t>68064</t>
  </si>
  <si>
    <t>유플러스파이브지제64차(유)1-9</t>
  </si>
  <si>
    <t>68065</t>
  </si>
  <si>
    <t>유플러스파이브지제64차(유)1-10</t>
  </si>
  <si>
    <t>68066</t>
  </si>
  <si>
    <t>유플러스파이브지제64차(유)1-11</t>
  </si>
  <si>
    <t>68067</t>
  </si>
  <si>
    <t>유플러스파이브지제64차(유)1-12</t>
  </si>
  <si>
    <t>68068</t>
  </si>
  <si>
    <t>유플러스파이브지제64차(유)1-13</t>
  </si>
  <si>
    <t>68069</t>
  </si>
  <si>
    <t>유플러스파이브지제64차(유)1-14</t>
  </si>
  <si>
    <t>68070</t>
  </si>
  <si>
    <t>유플러스파이브지제64차(유)1-15</t>
  </si>
  <si>
    <t>68071</t>
  </si>
  <si>
    <t>유플러스파이브지제64차(유)1-16</t>
  </si>
  <si>
    <t>68072</t>
  </si>
  <si>
    <t>유플러스파이브지제64차(유)1-17</t>
  </si>
  <si>
    <t>68073</t>
  </si>
  <si>
    <t>유플러스파이브지제64차(유)1-18</t>
  </si>
  <si>
    <t>68074</t>
  </si>
  <si>
    <t>유플러스파이브지제64차(유)1-19</t>
  </si>
  <si>
    <t>68078</t>
  </si>
  <si>
    <t>증금타임제이차(유)1-1</t>
  </si>
  <si>
    <t>68081</t>
  </si>
  <si>
    <t>올원프렌즈제4차(유)1-4</t>
  </si>
  <si>
    <t>68082</t>
  </si>
  <si>
    <t>올원프렌즈제4차(유)1-5</t>
  </si>
  <si>
    <t>68083</t>
  </si>
  <si>
    <t>올원프렌즈제4차(유)1-6</t>
  </si>
  <si>
    <t>68085</t>
  </si>
  <si>
    <t>국민사랑제1차(유)2</t>
  </si>
  <si>
    <t>68088</t>
  </si>
  <si>
    <t>국민사랑제1차(유)3</t>
  </si>
  <si>
    <t>68090</t>
  </si>
  <si>
    <t>주택금융공사MBS2022-16(1-1)</t>
  </si>
  <si>
    <t>68091</t>
  </si>
  <si>
    <t>주택금융공사MBS2022-16(1-2)</t>
  </si>
  <si>
    <t>68092</t>
  </si>
  <si>
    <t>주택금융공사MBS2022-16(1-3)</t>
  </si>
  <si>
    <t>68093</t>
  </si>
  <si>
    <t>주택금융공사MBS2022-16(1-4)</t>
  </si>
  <si>
    <t>68094</t>
  </si>
  <si>
    <t>주택금융공사MBS2022-16(1-5)</t>
  </si>
  <si>
    <t>68095</t>
  </si>
  <si>
    <t>주택금융공사MBS2022-16(1-6)</t>
  </si>
  <si>
    <t>68096</t>
  </si>
  <si>
    <t>주택금융공사MBS2022-16(1-7)</t>
  </si>
  <si>
    <t>68097</t>
  </si>
  <si>
    <t>주택금융공사MBS2022-16(1-8)</t>
  </si>
  <si>
    <t>68098</t>
  </si>
  <si>
    <t>주택금융공사MBS2022-16(1-9)</t>
  </si>
  <si>
    <t>68112</t>
  </si>
  <si>
    <t>베스트제칠차(유)1-11</t>
  </si>
  <si>
    <t>68113</t>
  </si>
  <si>
    <t>베스트제칠차(유)1-12</t>
  </si>
  <si>
    <t>68114</t>
  </si>
  <si>
    <t>베스트제칠차(유)1-13</t>
  </si>
  <si>
    <t>68115</t>
  </si>
  <si>
    <t>베스트제칠차(유)1-14</t>
  </si>
  <si>
    <t>68116</t>
  </si>
  <si>
    <t>베스트제칠차(유)1-15</t>
  </si>
  <si>
    <t>68117</t>
  </si>
  <si>
    <t>국민챔피온제12차(유)1-2</t>
  </si>
  <si>
    <t>68118</t>
  </si>
  <si>
    <t>한솔제10차</t>
  </si>
  <si>
    <t>68119</t>
  </si>
  <si>
    <t>하이트리오제20차(유)2</t>
  </si>
  <si>
    <t>68127</t>
  </si>
  <si>
    <t>엠에스올라잇</t>
  </si>
  <si>
    <t>68131</t>
  </si>
  <si>
    <t>국민사랑제1차(유)4</t>
  </si>
  <si>
    <t>68132</t>
  </si>
  <si>
    <t>국민챔피온제십삼차(유)1-2</t>
  </si>
  <si>
    <t>68135</t>
  </si>
  <si>
    <t>한솔제십일차</t>
  </si>
  <si>
    <t>68136</t>
  </si>
  <si>
    <t>국민챔피온제십사차(유)1-3</t>
  </si>
  <si>
    <t>68138</t>
  </si>
  <si>
    <t>증금타임제삼차(유)1-1</t>
  </si>
  <si>
    <t>68141</t>
  </si>
  <si>
    <t>시그니처제6차(유)1-3</t>
  </si>
  <si>
    <t>68142</t>
  </si>
  <si>
    <t>시그니처제6차(유)1-4</t>
  </si>
  <si>
    <t>68143</t>
  </si>
  <si>
    <t>뉴라이프논현델타(유)1</t>
  </si>
  <si>
    <t>68144</t>
  </si>
  <si>
    <t>케이뉴스타트제21차(유)2</t>
  </si>
  <si>
    <t>68147</t>
  </si>
  <si>
    <t>신보2022제15차(유)1-1</t>
  </si>
  <si>
    <t>68148</t>
  </si>
  <si>
    <t>신보2022제15차(유)1-2</t>
  </si>
  <si>
    <t>68151</t>
  </si>
  <si>
    <t>유니온제1차(유)1-3</t>
  </si>
  <si>
    <t>68152</t>
  </si>
  <si>
    <t>주택금융공사MBS2022-17(1-1)</t>
  </si>
  <si>
    <t>68153</t>
  </si>
  <si>
    <t>주택금융공사MBS2022-17(1-2)</t>
  </si>
  <si>
    <t>68154</t>
  </si>
  <si>
    <t>주택금융공사MBS2022-17(1-3)</t>
  </si>
  <si>
    <t>68155</t>
  </si>
  <si>
    <t>주택금융공사MBS2022-17(1-4)</t>
  </si>
  <si>
    <t>68156</t>
  </si>
  <si>
    <t>주택금융공사MBS2022-17(1-5)</t>
  </si>
  <si>
    <t>68157</t>
  </si>
  <si>
    <t>주택금융공사MBS2022-17(1-6)</t>
  </si>
  <si>
    <t>68158</t>
  </si>
  <si>
    <t>주택금융공사MBS2022-17(1-7)</t>
  </si>
  <si>
    <t>68159</t>
  </si>
  <si>
    <t>주택금융공사MBS2022-17(1-8)</t>
  </si>
  <si>
    <t>68160</t>
  </si>
  <si>
    <t>주택금융공사MBS2022-17(1-9)</t>
  </si>
  <si>
    <t>68173</t>
  </si>
  <si>
    <t>티월드제79차(유)1-11</t>
  </si>
  <si>
    <t>68174</t>
  </si>
  <si>
    <t>티월드제79차(유)1-12</t>
  </si>
  <si>
    <t>68175</t>
  </si>
  <si>
    <t>티월드제79차(유)1-13</t>
  </si>
  <si>
    <t>68176</t>
  </si>
  <si>
    <t>티월드제79차(유)1-14</t>
  </si>
  <si>
    <t>68177</t>
  </si>
  <si>
    <t>티월드제79차(유)1-15</t>
  </si>
  <si>
    <t>68178</t>
  </si>
  <si>
    <t>티월드제79차(유)1-16</t>
  </si>
  <si>
    <t>68179</t>
  </si>
  <si>
    <t>티월드제79차(유)1-17</t>
  </si>
  <si>
    <t>68180</t>
  </si>
  <si>
    <t>티월드제79차(유)1-18</t>
  </si>
  <si>
    <t>68181</t>
  </si>
  <si>
    <t>티월드제79차(유)1-19</t>
  </si>
  <si>
    <t>68182</t>
  </si>
  <si>
    <t>티월드제79차(유)1-20</t>
  </si>
  <si>
    <t>68183</t>
  </si>
  <si>
    <t>티월드제79차(유)1-21</t>
  </si>
  <si>
    <t>68184</t>
  </si>
  <si>
    <t>티월드제79차(유)1-22</t>
  </si>
  <si>
    <t>68185</t>
  </si>
  <si>
    <t>티월드제79차(유)1-23</t>
  </si>
  <si>
    <t>68186</t>
  </si>
  <si>
    <t>티월드제79차(유)1-24</t>
  </si>
  <si>
    <t>68187</t>
  </si>
  <si>
    <t>티월드제79차(유)1-25</t>
  </si>
  <si>
    <t>68188</t>
  </si>
  <si>
    <t>티월드제79차(유)1-26</t>
  </si>
  <si>
    <t>68189</t>
  </si>
  <si>
    <t>티월드제79차(유)1-27</t>
  </si>
  <si>
    <t>68190</t>
  </si>
  <si>
    <t>티와이디제1차(유)B</t>
  </si>
  <si>
    <t>68191</t>
  </si>
  <si>
    <t>신한사랑제1차(유)1</t>
  </si>
  <si>
    <t>68197</t>
  </si>
  <si>
    <t>한솔제십이차</t>
  </si>
  <si>
    <t>68209</t>
  </si>
  <si>
    <t>퍼스트파이브지제64차(유)1-11</t>
  </si>
  <si>
    <t>68210</t>
  </si>
  <si>
    <t>퍼스트파이브지제64차(유)1-12</t>
  </si>
  <si>
    <t>68211</t>
  </si>
  <si>
    <t>퍼스트파이브지제64차(유)1-13</t>
  </si>
  <si>
    <t>68212</t>
  </si>
  <si>
    <t>퍼스트파이브지제64차(유)1-14</t>
  </si>
  <si>
    <t>68213</t>
  </si>
  <si>
    <t>퍼스트파이브지제64차(유)1-15</t>
  </si>
  <si>
    <t>68214</t>
  </si>
  <si>
    <t>퍼스트파이브지제64차(유)1-16</t>
  </si>
  <si>
    <t>68215</t>
  </si>
  <si>
    <t>퍼스트파이브지제64차(유)1-17</t>
  </si>
  <si>
    <t>68216</t>
  </si>
  <si>
    <t>퍼스트파이브지제64차(유)1-18</t>
  </si>
  <si>
    <t>68217</t>
  </si>
  <si>
    <t>퍼스트파이브지제64차(유)1-19</t>
  </si>
  <si>
    <t>68218</t>
  </si>
  <si>
    <t>퍼스트파이브지제64차(유)1-20</t>
  </si>
  <si>
    <t>68219</t>
  </si>
  <si>
    <t>퍼스트파이브지제64차(유)1-21</t>
  </si>
  <si>
    <t>68220</t>
  </si>
  <si>
    <t>퍼스트파이브지제64차(유)1-22</t>
  </si>
  <si>
    <t>68221</t>
  </si>
  <si>
    <t>퍼스트파이브지제64차(유)1-23</t>
  </si>
  <si>
    <t>68222</t>
  </si>
  <si>
    <t>퍼스트파이브지제64차(유)1-24</t>
  </si>
  <si>
    <t>68223</t>
  </si>
  <si>
    <t>퍼스트파이브지제64차(유)1-25</t>
  </si>
  <si>
    <t>68224</t>
  </si>
  <si>
    <t>퍼스트파이브지제64차(유)1-26</t>
  </si>
  <si>
    <t>68225</t>
  </si>
  <si>
    <t>퍼스트파이브지제64차(유)1-27</t>
  </si>
  <si>
    <t>68226</t>
  </si>
  <si>
    <t>퍼스트파이브지제64차(유)1-28</t>
  </si>
  <si>
    <t>68227</t>
  </si>
  <si>
    <t>퍼스트파이브지제64차(유)1-29</t>
  </si>
  <si>
    <t>68228</t>
  </si>
  <si>
    <t>퍼스트파이브지제64차(유)1-30</t>
  </si>
  <si>
    <t>68246</t>
  </si>
  <si>
    <t>알바트로스제일차(유)1-1</t>
  </si>
  <si>
    <t>68247</t>
  </si>
  <si>
    <t>알바트로스제일차(유)1-2</t>
  </si>
  <si>
    <t>68248</t>
  </si>
  <si>
    <t>산업기반신보남서울경전철</t>
  </si>
  <si>
    <t>68249</t>
  </si>
  <si>
    <t>신한사랑제1차(유)2</t>
  </si>
  <si>
    <t>68255</t>
  </si>
  <si>
    <t>한국캐피탈제사차유동화(유)1-5</t>
  </si>
  <si>
    <t>68256</t>
  </si>
  <si>
    <t>한국캐피탈제사차유동화(유)1-6</t>
  </si>
  <si>
    <t>68257</t>
  </si>
  <si>
    <t>대유이피</t>
  </si>
  <si>
    <t>68263</t>
  </si>
  <si>
    <t>워머신제6차(유)1</t>
  </si>
  <si>
    <t>68267</t>
  </si>
  <si>
    <t>워머신제7차(유)2</t>
  </si>
  <si>
    <t>68269</t>
  </si>
  <si>
    <t>선천제18차(유)3-2</t>
  </si>
  <si>
    <t>68270</t>
  </si>
  <si>
    <t>에이티디비제4차(유)2</t>
  </si>
  <si>
    <t>68273</t>
  </si>
  <si>
    <t>하모니제8차(유)4</t>
  </si>
  <si>
    <t>68274</t>
  </si>
  <si>
    <t>신한사랑제1차(유)3</t>
  </si>
  <si>
    <t>68277</t>
  </si>
  <si>
    <t>신한챔피온제2차(유)1-4</t>
  </si>
  <si>
    <t>68286</t>
  </si>
  <si>
    <t>알바트로스제2차(유)1</t>
  </si>
  <si>
    <t>68287</t>
  </si>
  <si>
    <t>뉴마레제9차(유)2</t>
  </si>
  <si>
    <t>68289</t>
  </si>
  <si>
    <t>선천제5차(유)2-5</t>
  </si>
  <si>
    <t>68290</t>
  </si>
  <si>
    <t>더퍼스트샤이닝제5차(유)1</t>
  </si>
  <si>
    <t>68299</t>
  </si>
  <si>
    <t>우리카드오토제2차(유)1-6</t>
  </si>
  <si>
    <t>68300</t>
  </si>
  <si>
    <t>우리카드오토제2차(유)1-7</t>
  </si>
  <si>
    <t>68301</t>
  </si>
  <si>
    <t>우리카드오토제2차(유)1-8</t>
  </si>
  <si>
    <t>68302</t>
  </si>
  <si>
    <t>우리카드오토제2차(유)1-9</t>
  </si>
  <si>
    <t>68303</t>
  </si>
  <si>
    <t>우리카드오토제2차(유)1-10</t>
  </si>
  <si>
    <t>68304</t>
  </si>
  <si>
    <t>우리카드오토제2차(유)1-11</t>
  </si>
  <si>
    <t>68305</t>
  </si>
  <si>
    <t>우리카드오토제2차(유)1-12</t>
  </si>
  <si>
    <t>68306</t>
  </si>
  <si>
    <t>우리카드오토제2차(유)1-13</t>
  </si>
  <si>
    <t>68307</t>
  </si>
  <si>
    <t>우리카드오토제2차(유)1-14</t>
  </si>
  <si>
    <t>68308</t>
  </si>
  <si>
    <t>우리카드오토제2차(유)1-15</t>
  </si>
  <si>
    <t>68309</t>
  </si>
  <si>
    <t>우리카드오토제2차(유)1-16</t>
  </si>
  <si>
    <t>68310</t>
  </si>
  <si>
    <t>우리카드오토제2차(유)1-17</t>
  </si>
  <si>
    <t>68311</t>
  </si>
  <si>
    <t>우리카드오토제2차(유)1-18</t>
  </si>
  <si>
    <t>68312</t>
  </si>
  <si>
    <t>우리카드오토제2차(유)1-19</t>
  </si>
  <si>
    <t>68313</t>
  </si>
  <si>
    <t>우리사랑제1차(유)1</t>
  </si>
  <si>
    <t>68318</t>
  </si>
  <si>
    <t>우리사랑제1차(유)2</t>
  </si>
  <si>
    <t>68319</t>
  </si>
  <si>
    <t>유니온제2차(유)1-3</t>
  </si>
  <si>
    <t>68321</t>
  </si>
  <si>
    <t>제일사랑제1차(유)1</t>
  </si>
  <si>
    <t>68322</t>
  </si>
  <si>
    <t>뉴스타반포15유동화전문(유)1-1</t>
  </si>
  <si>
    <t>68323</t>
  </si>
  <si>
    <t>국민사랑제2차(유)1</t>
  </si>
  <si>
    <t>68324</t>
  </si>
  <si>
    <t>신한사랑제1차(유)4</t>
  </si>
  <si>
    <t>68326</t>
  </si>
  <si>
    <t>신한타임제4차(유)1-1</t>
  </si>
  <si>
    <t>68327</t>
  </si>
  <si>
    <t>신한타임제4차(유)1-2</t>
  </si>
  <si>
    <t>68328</t>
  </si>
  <si>
    <t>포에버부산제3차(유)1</t>
  </si>
  <si>
    <t>68329</t>
  </si>
  <si>
    <t>원큐제6차(유)1-3</t>
  </si>
  <si>
    <t>68330</t>
  </si>
  <si>
    <t>더스카이제일차</t>
  </si>
  <si>
    <t>68334</t>
  </si>
  <si>
    <t>우리사랑제1차(유)3</t>
  </si>
  <si>
    <t>68336</t>
  </si>
  <si>
    <t>알바트로스제3차(유)1-1</t>
  </si>
  <si>
    <t>68337</t>
  </si>
  <si>
    <t>알바트로스제3차(유)1-2</t>
  </si>
  <si>
    <t>68338</t>
  </si>
  <si>
    <t>유니온제3차(유)1-4</t>
  </si>
  <si>
    <t>68339</t>
  </si>
  <si>
    <t>리브스타제5차(유)1-1</t>
  </si>
  <si>
    <t>68340</t>
  </si>
  <si>
    <t>리브스타제5차(유)1-2</t>
  </si>
  <si>
    <t>68346</t>
  </si>
  <si>
    <t>모니모유천제이차</t>
  </si>
  <si>
    <t>68354</t>
  </si>
  <si>
    <t>뉴마레제7차(유)2-4</t>
  </si>
  <si>
    <t>68357</t>
  </si>
  <si>
    <t>뉴마레제7차(유)2-3</t>
  </si>
  <si>
    <t>68358</t>
  </si>
  <si>
    <t>선천제19차(유)3-5</t>
  </si>
  <si>
    <t>68359</t>
  </si>
  <si>
    <t>국민사랑제2차(유)2</t>
  </si>
  <si>
    <t>68361</t>
  </si>
  <si>
    <t>우리사랑제2차(유)1</t>
  </si>
  <si>
    <t>68362</t>
  </si>
  <si>
    <t>국민챔피온제15차(유)1-3</t>
  </si>
  <si>
    <t>68363</t>
  </si>
  <si>
    <t>원큐제7차(유)1-4</t>
  </si>
  <si>
    <t>68364</t>
  </si>
  <si>
    <t>원큐제7차(유)1-5</t>
  </si>
  <si>
    <t>68365</t>
  </si>
  <si>
    <t>원큐제7차(유)1-6</t>
  </si>
  <si>
    <t>68366</t>
  </si>
  <si>
    <t>알바트로스제4차(유)1-1</t>
  </si>
  <si>
    <t>68367</t>
  </si>
  <si>
    <t>알바트로스제4차(유)1-2</t>
  </si>
  <si>
    <t>68369</t>
  </si>
  <si>
    <t>우리사랑제1차(유)4</t>
  </si>
  <si>
    <t>68373</t>
  </si>
  <si>
    <t>에이캐피탈제1차(유)1-4</t>
  </si>
  <si>
    <t>68375</t>
  </si>
  <si>
    <t>뉴스텔라제1차(유)5</t>
  </si>
  <si>
    <t>68376</t>
  </si>
  <si>
    <t>제일사랑제1차(유)2</t>
  </si>
  <si>
    <t>68377</t>
  </si>
  <si>
    <t>선천제20차(유)3-2</t>
  </si>
  <si>
    <t>68379</t>
  </si>
  <si>
    <t>더퍼스트샤이닝제6차(유)1</t>
  </si>
  <si>
    <t>68380</t>
  </si>
  <si>
    <t>에이치와이케이제7차</t>
  </si>
  <si>
    <t>68385</t>
  </si>
  <si>
    <t>증금챔피온제3차(유)1-3</t>
  </si>
  <si>
    <t>68386</t>
  </si>
  <si>
    <t>수협타임제1차(유)1-1</t>
  </si>
  <si>
    <t>68388</t>
  </si>
  <si>
    <t>아마드제1차(유)2</t>
  </si>
  <si>
    <t>68389</t>
  </si>
  <si>
    <t>우리사랑제2차(유)2</t>
  </si>
  <si>
    <t>68390</t>
  </si>
  <si>
    <t>국민사랑제2차(유)3</t>
  </si>
  <si>
    <t>68400</t>
  </si>
  <si>
    <t>커머셜오토제십삼차(유)1-10</t>
  </si>
  <si>
    <t>68401</t>
  </si>
  <si>
    <t>커머셜오토제십삼차(유)1-11</t>
  </si>
  <si>
    <t>68402</t>
  </si>
  <si>
    <t>커머셜오토제십삼차(유)1-12</t>
  </si>
  <si>
    <t>68403</t>
  </si>
  <si>
    <t>커머셜오토제십삼차(유)1-13</t>
  </si>
  <si>
    <t>68404</t>
  </si>
  <si>
    <t>커머셜오토제십삼차(유)1-14</t>
  </si>
  <si>
    <t>68405</t>
  </si>
  <si>
    <t>커머셜오토제십삼차(유)1-15</t>
  </si>
  <si>
    <t>68406</t>
  </si>
  <si>
    <t>커머셜오토제십삼차(유)1-16</t>
  </si>
  <si>
    <t>68407</t>
  </si>
  <si>
    <t>커머셜오토제십삼차(유)1-17</t>
  </si>
  <si>
    <t>68408</t>
  </si>
  <si>
    <t>커머셜오토제십삼차(유)1-18</t>
  </si>
  <si>
    <t>68409</t>
  </si>
  <si>
    <t>커머셜오토제십삼차(유)1-19</t>
  </si>
  <si>
    <t>68410</t>
  </si>
  <si>
    <t>커머셜오토제십삼차(유)1-20</t>
  </si>
  <si>
    <t>68411</t>
  </si>
  <si>
    <t>커머셜오토제십삼차(유)1-21</t>
  </si>
  <si>
    <t>68412</t>
  </si>
  <si>
    <t>커머셜오토제십삼차(유)1-22</t>
  </si>
  <si>
    <t>68413</t>
  </si>
  <si>
    <t>커머셜오토제십삼차(유)1-23</t>
  </si>
  <si>
    <t>68414</t>
  </si>
  <si>
    <t>커머셜오토제십삼차(유)1-24</t>
  </si>
  <si>
    <t>68415</t>
  </si>
  <si>
    <t>커머셜오토제십삼차(유)1-25</t>
  </si>
  <si>
    <t>68416</t>
  </si>
  <si>
    <t>커머셜오토제십삼차(유)1-26</t>
  </si>
  <si>
    <t>68417</t>
  </si>
  <si>
    <t>커머셜오토제십삼차(유)1-27</t>
  </si>
  <si>
    <t>68420</t>
  </si>
  <si>
    <t>원큐제팔차</t>
  </si>
  <si>
    <t>68421</t>
  </si>
  <si>
    <t>알바트로스제육차(유)1-1</t>
  </si>
  <si>
    <t>68422</t>
  </si>
  <si>
    <t>드래곤라인제2차(유)3-4</t>
  </si>
  <si>
    <t>68423</t>
  </si>
  <si>
    <t>우리사랑제2차(유)3</t>
  </si>
  <si>
    <t>68424</t>
  </si>
  <si>
    <t>산업기반신보부산(유)1-1</t>
  </si>
  <si>
    <t>68425</t>
  </si>
  <si>
    <t>산업기반신보부산(유)1-2</t>
  </si>
  <si>
    <t>68426</t>
  </si>
  <si>
    <t>신한사랑제2차(유)1</t>
  </si>
  <si>
    <t>68427</t>
  </si>
  <si>
    <t>큐브이문(유)1</t>
  </si>
  <si>
    <t>68428</t>
  </si>
  <si>
    <t>알바트로스제칠차(유)1-1</t>
  </si>
  <si>
    <t>68430</t>
  </si>
  <si>
    <t>유니온제사차(유)1-3</t>
  </si>
  <si>
    <t>68431</t>
  </si>
  <si>
    <t>농협타임제이차(유)1</t>
  </si>
  <si>
    <t>68433</t>
  </si>
  <si>
    <t>아델라제육차</t>
  </si>
  <si>
    <t>68434</t>
  </si>
  <si>
    <t>뉴비타제이차(유)1-1</t>
  </si>
  <si>
    <t>68435</t>
  </si>
  <si>
    <t>뉴비타제이차(유)1-2</t>
  </si>
  <si>
    <t>68436</t>
  </si>
  <si>
    <t>우리사랑제2차(유)4</t>
  </si>
  <si>
    <t>68439</t>
  </si>
  <si>
    <t>연남타이거제일차(유)3-3</t>
  </si>
  <si>
    <t>68440</t>
  </si>
  <si>
    <t>원큐제일차(유)2-4</t>
  </si>
  <si>
    <t>68441</t>
  </si>
  <si>
    <t>원큐제일차(유)2-5</t>
  </si>
  <si>
    <t>68442</t>
  </si>
  <si>
    <t>원큐제일차(유)2-6</t>
  </si>
  <si>
    <t>68444</t>
  </si>
  <si>
    <t>에이치와이케이제구차</t>
  </si>
  <si>
    <t>68449</t>
  </si>
  <si>
    <t>그레이트디비제이차(유)1-1</t>
  </si>
  <si>
    <t>68450</t>
  </si>
  <si>
    <t>그레이트디비제이차(유)1-2</t>
  </si>
  <si>
    <t>68461</t>
  </si>
  <si>
    <t>티월드제80차(유)1-10</t>
  </si>
  <si>
    <t>68462</t>
  </si>
  <si>
    <t>티월드제80차(유)1-11</t>
  </si>
  <si>
    <t>68463</t>
  </si>
  <si>
    <t>티월드제80차(유)1-12</t>
  </si>
  <si>
    <t>68464</t>
  </si>
  <si>
    <t>티월드제80차(유)1-13</t>
  </si>
  <si>
    <t>68465</t>
  </si>
  <si>
    <t>티월드제80차(유)1-14</t>
  </si>
  <si>
    <t>68466</t>
  </si>
  <si>
    <t>티월드제80차(유)1-15</t>
  </si>
  <si>
    <t>68467</t>
  </si>
  <si>
    <t>티월드제80차(유)1-16</t>
  </si>
  <si>
    <t>68468</t>
  </si>
  <si>
    <t>티월드제80차(유)1-17</t>
  </si>
  <si>
    <t>68469</t>
  </si>
  <si>
    <t>티월드제80차(유)1-18</t>
  </si>
  <si>
    <t>68470</t>
  </si>
  <si>
    <t>티월드제80차(유)1-19</t>
  </si>
  <si>
    <t>68471</t>
  </si>
  <si>
    <t>티월드제80차(유)1-20</t>
  </si>
  <si>
    <t>68472</t>
  </si>
  <si>
    <t>티월드제80차(유)1-21</t>
  </si>
  <si>
    <t>68473</t>
  </si>
  <si>
    <t>티월드제80차(유)1-22</t>
  </si>
  <si>
    <t>68474</t>
  </si>
  <si>
    <t>티월드제80차(유)1-23</t>
  </si>
  <si>
    <t>68475</t>
  </si>
  <si>
    <t>티월드제80차(유)1-24</t>
  </si>
  <si>
    <t>68476</t>
  </si>
  <si>
    <t>티월드제80차(유)1-25</t>
  </si>
  <si>
    <t>68477</t>
  </si>
  <si>
    <t>티월드제80차(유)1-26</t>
  </si>
  <si>
    <t>68478</t>
  </si>
  <si>
    <t>티월드제80차(유)1-27</t>
  </si>
  <si>
    <t>68479</t>
  </si>
  <si>
    <t>티월드제80차(유)1-28</t>
  </si>
  <si>
    <t>68480</t>
  </si>
  <si>
    <t>국민사랑제2차(유)4</t>
  </si>
  <si>
    <t>68481</t>
  </si>
  <si>
    <t>우리사랑제1차(유)5</t>
  </si>
  <si>
    <t>68483</t>
  </si>
  <si>
    <t>신한사랑제2차(유)2</t>
  </si>
  <si>
    <t>68484</t>
  </si>
  <si>
    <t>신한타임제5차(유)1-1</t>
  </si>
  <si>
    <t>68485</t>
  </si>
  <si>
    <t>신한타임제5차(유)1-2</t>
  </si>
  <si>
    <t>68486</t>
  </si>
  <si>
    <t>퀀텀챌린지제3차(유)4-3</t>
  </si>
  <si>
    <t>68492</t>
  </si>
  <si>
    <t>중진공2022제2차스케일업(유)1-1</t>
  </si>
  <si>
    <t>68493</t>
  </si>
  <si>
    <t>중진공2022제2차스케일업(유)1-2</t>
  </si>
  <si>
    <t>68494</t>
  </si>
  <si>
    <t>중진공2022제2차스케일업(유)2-1</t>
  </si>
  <si>
    <t>68495</t>
  </si>
  <si>
    <t>중진공2022제2차스케일업(유)2-2</t>
  </si>
  <si>
    <t>68496</t>
  </si>
  <si>
    <t>중진공2022제2차스케일업(유)2-3</t>
  </si>
  <si>
    <t>68497</t>
  </si>
  <si>
    <t>중진공2022제2차스케일업(유)3-1</t>
  </si>
  <si>
    <t>68498</t>
  </si>
  <si>
    <t>중진공2022제2차스케일업(유)3-2</t>
  </si>
  <si>
    <t>68499</t>
  </si>
  <si>
    <t>신보2022제16차(유)1-1</t>
  </si>
  <si>
    <t>68500</t>
  </si>
  <si>
    <t>신보2022제16차(유)1-2</t>
  </si>
  <si>
    <t>68501</t>
  </si>
  <si>
    <t>신보2022제17차(유)1-1</t>
  </si>
  <si>
    <t>68502</t>
  </si>
  <si>
    <t>신보2022제17차(유)1-2</t>
  </si>
  <si>
    <t>68503</t>
  </si>
  <si>
    <t>신보2022제18차(유)1-1</t>
  </si>
  <si>
    <t>68504</t>
  </si>
  <si>
    <t>신보2022제18차(유)1-2</t>
  </si>
  <si>
    <t>68524</t>
  </si>
  <si>
    <t>한솔제십삼차</t>
  </si>
  <si>
    <t>68525</t>
  </si>
  <si>
    <t>한솔제십사차</t>
  </si>
  <si>
    <t>68549</t>
  </si>
  <si>
    <t>주택금융공사MBS2022-18(1-1)</t>
  </si>
  <si>
    <t>68550</t>
  </si>
  <si>
    <t>주택금융공사MBS2022-18(1-2)</t>
  </si>
  <si>
    <t>68551</t>
  </si>
  <si>
    <t>주택금융공사MBS2022-18(1-3)</t>
  </si>
  <si>
    <t>68552</t>
  </si>
  <si>
    <t>주택금융공사MBS2022-18(1-4)</t>
  </si>
  <si>
    <t>68553</t>
  </si>
  <si>
    <t>주택금융공사MBS2022-18(1-5)</t>
  </si>
  <si>
    <t>68554</t>
  </si>
  <si>
    <t>주택금융공사MBS2022-18(1-6)</t>
  </si>
  <si>
    <t>68555</t>
  </si>
  <si>
    <t>주택금융공사MBS2022-18(1-7)</t>
  </si>
  <si>
    <t>68556</t>
  </si>
  <si>
    <t>주택금융공사MBS2022-18(1-8)</t>
  </si>
  <si>
    <t>68557</t>
  </si>
  <si>
    <t>주택금융공사MBS2022-18(1-9)</t>
  </si>
  <si>
    <t>68581</t>
  </si>
  <si>
    <t>신한챔피온제4차(유)1-4</t>
  </si>
  <si>
    <t>68588</t>
  </si>
  <si>
    <t>에이치에스스카이사모</t>
  </si>
  <si>
    <t>68595</t>
  </si>
  <si>
    <t>국민사랑제3차(유)1</t>
  </si>
  <si>
    <t>68604</t>
  </si>
  <si>
    <t>와이제이원제1차(유)1</t>
  </si>
  <si>
    <t>68605</t>
  </si>
  <si>
    <t>와이제이원제1차(유)2</t>
  </si>
  <si>
    <t>68620</t>
  </si>
  <si>
    <t>우리사랑제2차(유)5</t>
  </si>
  <si>
    <t>68632</t>
  </si>
  <si>
    <t>연남타이거제3차(유)3-2</t>
  </si>
  <si>
    <t>68633</t>
  </si>
  <si>
    <t>제이드림제26차(유)1</t>
  </si>
  <si>
    <t>68637</t>
  </si>
  <si>
    <t>우리사랑제3차(유)1</t>
  </si>
  <si>
    <t>68648</t>
  </si>
  <si>
    <t>국민사랑제2차(유)5</t>
  </si>
  <si>
    <t>68653</t>
  </si>
  <si>
    <t>연남타이거제2차(유)3-3</t>
  </si>
  <si>
    <t>68661</t>
  </si>
  <si>
    <t>알바트로스제8차(유)1-2</t>
  </si>
  <si>
    <t>68662</t>
  </si>
  <si>
    <t>그레이트디비제2차(유)2</t>
  </si>
  <si>
    <t>68664</t>
  </si>
  <si>
    <t>세이프박스제9차(유)2</t>
  </si>
  <si>
    <t>68665</t>
  </si>
  <si>
    <t>한솔제십오차</t>
  </si>
  <si>
    <t>68666</t>
  </si>
  <si>
    <t>우리사랑제3차(유)2</t>
  </si>
  <si>
    <t>68670</t>
  </si>
  <si>
    <t>우리사랑제3차(유)3</t>
  </si>
  <si>
    <t>68671</t>
  </si>
  <si>
    <t>퀀텀챌린지제6차(유)4-3</t>
  </si>
  <si>
    <t>68672</t>
  </si>
  <si>
    <t>신한사랑제2차(유)3</t>
  </si>
  <si>
    <t>68678</t>
  </si>
  <si>
    <t>유플러스파이브지제65차(유)1-5</t>
  </si>
  <si>
    <t>68679</t>
  </si>
  <si>
    <t>유플러스파이브지제65차(유)1-6</t>
  </si>
  <si>
    <t>68680</t>
  </si>
  <si>
    <t>유플러스파이브지제65차(유)1-7</t>
  </si>
  <si>
    <t>68681</t>
  </si>
  <si>
    <t>유플러스파이브지제65차(유)1-8</t>
  </si>
  <si>
    <t>68682</t>
  </si>
  <si>
    <t>유플러스파이브지제65차(유)1-9</t>
  </si>
  <si>
    <t>68683</t>
  </si>
  <si>
    <t>유플러스파이브지제65차(유)1-10</t>
  </si>
  <si>
    <t>68684</t>
  </si>
  <si>
    <t>유플러스파이브지제65차(유)1-11</t>
  </si>
  <si>
    <t>68685</t>
  </si>
  <si>
    <t>유플러스파이브지제65차(유)1-12</t>
  </si>
  <si>
    <t>68686</t>
  </si>
  <si>
    <t>유플러스파이브지제65차(유)1-13</t>
  </si>
  <si>
    <t>68687</t>
  </si>
  <si>
    <t>유플러스파이브지제65차(유)1-14</t>
  </si>
  <si>
    <t>68688</t>
  </si>
  <si>
    <t>유플러스파이브지제65차(유)1-15</t>
  </si>
  <si>
    <t>68689</t>
  </si>
  <si>
    <t>유플러스파이브지제65차(유)1-16</t>
  </si>
  <si>
    <t>68690</t>
  </si>
  <si>
    <t>유플러스파이브지제65차(유)1-17</t>
  </si>
  <si>
    <t>68691</t>
  </si>
  <si>
    <t>유플러스파이브지제65차(유)1-18</t>
  </si>
  <si>
    <t>68692</t>
  </si>
  <si>
    <t>유플러스파이브지제65차(유)1-19</t>
  </si>
  <si>
    <t>68694</t>
  </si>
  <si>
    <t>유니온제5차(유)1-4</t>
  </si>
  <si>
    <t>68700</t>
  </si>
  <si>
    <t>네오드림시스템즈(유)4</t>
  </si>
  <si>
    <t>68701</t>
  </si>
  <si>
    <t>신한사랑제4차(유)1</t>
  </si>
  <si>
    <t>68702</t>
  </si>
  <si>
    <t>신한챔피온제5차(유)1-4</t>
  </si>
  <si>
    <t>68704</t>
  </si>
  <si>
    <t>수협타임제2차(유)1</t>
  </si>
  <si>
    <t>68707</t>
  </si>
  <si>
    <t>한솔제16차</t>
  </si>
  <si>
    <t>68709</t>
  </si>
  <si>
    <t>오션러브제3차(유)2-3</t>
  </si>
  <si>
    <t>68710</t>
  </si>
  <si>
    <t>오션러브제3차(유)2-4</t>
  </si>
  <si>
    <t>68715</t>
  </si>
  <si>
    <t>알바트로스제9차(유)1-1</t>
  </si>
  <si>
    <t>68716</t>
  </si>
  <si>
    <t>알바트로스제9차(유)1-2</t>
  </si>
  <si>
    <t>68717</t>
  </si>
  <si>
    <t>올원프렌즈제5차(유)1-3</t>
  </si>
  <si>
    <t>68718</t>
  </si>
  <si>
    <t>올원프렌즈제5차(유)1-4</t>
  </si>
  <si>
    <t>68719</t>
  </si>
  <si>
    <t>드래곤라인제8차(유)2-3</t>
  </si>
  <si>
    <t>68720</t>
  </si>
  <si>
    <t>신한사랑제4차(유)2</t>
  </si>
  <si>
    <t>68721</t>
  </si>
  <si>
    <t>선천제2차(유)4-4</t>
  </si>
  <si>
    <t>68722</t>
  </si>
  <si>
    <t>신한사랑제2차(유)4</t>
  </si>
  <si>
    <t>68723</t>
  </si>
  <si>
    <t>올원프렌즈제6차(유)1-4</t>
  </si>
  <si>
    <t>68724</t>
  </si>
  <si>
    <t>올원프렌즈제6차(유)1-5</t>
  </si>
  <si>
    <t>68725</t>
  </si>
  <si>
    <t>올원프렌즈제6차(유)1-6</t>
  </si>
  <si>
    <t>68726</t>
  </si>
  <si>
    <t>연남타이거제15차(유)3-3(중복)</t>
  </si>
  <si>
    <t>68728</t>
  </si>
  <si>
    <t>유니온제6차(유)1-5</t>
  </si>
  <si>
    <t>68729</t>
  </si>
  <si>
    <t>세이프박스제10차(유)1</t>
  </si>
  <si>
    <t>68730</t>
  </si>
  <si>
    <t>세이프박스제10차(유)2</t>
  </si>
  <si>
    <t>68731</t>
  </si>
  <si>
    <t>세이프박스제10차(유)3</t>
  </si>
  <si>
    <t>68734</t>
  </si>
  <si>
    <t>한솔제17차</t>
  </si>
  <si>
    <t>68735</t>
  </si>
  <si>
    <t>신한사랑제2차(유)5</t>
  </si>
  <si>
    <t>68736</t>
  </si>
  <si>
    <t>세이프박스제11차(유)1</t>
  </si>
  <si>
    <t>68738</t>
  </si>
  <si>
    <t>시그니처제7차(유)1-2</t>
  </si>
  <si>
    <t>68739</t>
  </si>
  <si>
    <t>연남타이거제15차(유)3-3</t>
  </si>
  <si>
    <t>68741</t>
  </si>
  <si>
    <t>엠에스원동다박골제3차(유)1</t>
  </si>
  <si>
    <t>68749</t>
  </si>
  <si>
    <t>엠캐피탈제3차(유)1-3</t>
  </si>
  <si>
    <t>68750</t>
  </si>
  <si>
    <t>엠캐피탈제3차(유)1-4</t>
  </si>
  <si>
    <t>68753</t>
  </si>
  <si>
    <t>우리챔피온제1차(유)1-5</t>
  </si>
  <si>
    <t>68754</t>
  </si>
  <si>
    <t>솔프렌즈제1차(유)1-4</t>
  </si>
  <si>
    <t>68755</t>
  </si>
  <si>
    <t>우리사랑제3차</t>
  </si>
  <si>
    <t>68756</t>
  </si>
  <si>
    <t>증금타임제5차(유)1-1</t>
  </si>
  <si>
    <t>68757</t>
  </si>
  <si>
    <t>증금타임제5차(유)1-2</t>
  </si>
  <si>
    <t>68758</t>
  </si>
  <si>
    <t>온새미로제6차(유)1-1</t>
  </si>
  <si>
    <t>68767</t>
  </si>
  <si>
    <t>신보2022제19차(유)1-1</t>
  </si>
  <si>
    <t>68768</t>
  </si>
  <si>
    <t>신보2022제19차(유)1-2</t>
  </si>
  <si>
    <t>68769</t>
  </si>
  <si>
    <t>신보2022제20차(유)1-1</t>
  </si>
  <si>
    <t>68770</t>
  </si>
  <si>
    <t>신보2022제20차(유)1-2</t>
  </si>
  <si>
    <t>68771</t>
  </si>
  <si>
    <t>신보2022제21차(유)1-1</t>
  </si>
  <si>
    <t>68772</t>
  </si>
  <si>
    <t>신보2022제21차(유)1-2</t>
  </si>
  <si>
    <t>68773</t>
  </si>
  <si>
    <t>신보2022제22차(유)1-1</t>
  </si>
  <si>
    <t>68774</t>
  </si>
  <si>
    <t>신보2022제22차(유)1-2</t>
  </si>
  <si>
    <t>68832</t>
  </si>
  <si>
    <t>증금챔피온제4차(유)1-4</t>
  </si>
  <si>
    <t>68833</t>
  </si>
  <si>
    <t>위드지엠제16차(유)1-1</t>
  </si>
  <si>
    <t>68834</t>
  </si>
  <si>
    <t>위드지엠제16차(유)1-2</t>
  </si>
  <si>
    <t>68835</t>
  </si>
  <si>
    <t>위드지엠제16차(유)2-1</t>
  </si>
  <si>
    <t>68836</t>
  </si>
  <si>
    <t>위드지엠제16차(유)2-2</t>
  </si>
  <si>
    <t>68837</t>
  </si>
  <si>
    <t>제일사랑제1차(유)3</t>
  </si>
  <si>
    <t>68849</t>
  </si>
  <si>
    <t>증금타임제6차(유)1-1</t>
  </si>
  <si>
    <t>68850</t>
  </si>
  <si>
    <t>위드지엠제16차(유)3-1</t>
  </si>
  <si>
    <t>68854</t>
  </si>
  <si>
    <t>증금챔피온제5차(유)1-3</t>
  </si>
  <si>
    <t>68869</t>
  </si>
  <si>
    <t>자이언츠제2차(유)1-4</t>
  </si>
  <si>
    <t>68871</t>
  </si>
  <si>
    <t>2022기보제1차(유)1-1</t>
  </si>
  <si>
    <t>68872</t>
  </si>
  <si>
    <t>2022기보제1차(유)1-2</t>
  </si>
  <si>
    <t>68875</t>
  </si>
  <si>
    <t>제이드림제27차(유)1</t>
  </si>
  <si>
    <t>68880</t>
  </si>
  <si>
    <t>신한챔피온제6차(유)1-4</t>
  </si>
  <si>
    <t>68882</t>
  </si>
  <si>
    <t>한솔제19차</t>
  </si>
  <si>
    <t>68897</t>
  </si>
  <si>
    <t>메리츠오토제9차(유)1-13</t>
  </si>
  <si>
    <t>68898</t>
  </si>
  <si>
    <t>메리츠오토제9차(유)1-14</t>
  </si>
  <si>
    <t>68899</t>
  </si>
  <si>
    <t>메리츠오토제9차(유)1-15</t>
  </si>
  <si>
    <t>68900</t>
  </si>
  <si>
    <t>메리츠오토제9차(유)1-16</t>
  </si>
  <si>
    <t>68901</t>
  </si>
  <si>
    <t>메리츠오토제9차(유)1-17</t>
  </si>
  <si>
    <t>68902</t>
  </si>
  <si>
    <t>메리츠오토제9차(유)1-18</t>
  </si>
  <si>
    <t>68903</t>
  </si>
  <si>
    <t>메리츠오토제9차(유)1-19</t>
  </si>
  <si>
    <t>68904</t>
  </si>
  <si>
    <t>메리츠오토제9차(유)1-20</t>
  </si>
  <si>
    <t>68910</t>
  </si>
  <si>
    <t>한솔제20차</t>
  </si>
  <si>
    <t>68911</t>
  </si>
  <si>
    <t>신한사랑제4차(유)3</t>
  </si>
  <si>
    <t>68914</t>
  </si>
  <si>
    <t>주택금융공사MBS2022-19(1-1)</t>
  </si>
  <si>
    <t>68915</t>
  </si>
  <si>
    <t>주택금융공사MBS2022-19(1-2)</t>
  </si>
  <si>
    <t>68916</t>
  </si>
  <si>
    <t>주택금융공사MBS2022-19(1-3)</t>
  </si>
  <si>
    <t>68917</t>
  </si>
  <si>
    <t>주택금융공사MBS2022-19(1-4)</t>
  </si>
  <si>
    <t>68918</t>
  </si>
  <si>
    <t>주택금융공사MBS2022-19(1-5)</t>
  </si>
  <si>
    <t>68919</t>
  </si>
  <si>
    <t>주택금융공사MBS2022-19(1-6)</t>
  </si>
  <si>
    <t>68920</t>
  </si>
  <si>
    <t>주택금융공사MBS2022-19(1-7)</t>
  </si>
  <si>
    <t>68921</t>
  </si>
  <si>
    <t>주택금융공사MBS2022-19(1-8)</t>
  </si>
  <si>
    <t>68922</t>
  </si>
  <si>
    <t>주택금융공사MBS2022-19(1-9)</t>
  </si>
  <si>
    <t>68925</t>
  </si>
  <si>
    <t>신보2022제23차(유)1-1</t>
  </si>
  <si>
    <t>68926</t>
  </si>
  <si>
    <t>신보2022제23차(유)1-2</t>
  </si>
  <si>
    <t>68927</t>
  </si>
  <si>
    <t>신보2022제24차(유)1-1</t>
  </si>
  <si>
    <t>68928</t>
  </si>
  <si>
    <t>신보2022제24차(유)1-2</t>
  </si>
  <si>
    <t>68930</t>
  </si>
  <si>
    <t>플랜업에스제이(유)1</t>
  </si>
  <si>
    <t>68931</t>
  </si>
  <si>
    <t>리브하이컨설팅(유)1-4</t>
  </si>
  <si>
    <t>68933</t>
  </si>
  <si>
    <t>신한사랑제6차(유)1</t>
  </si>
  <si>
    <t>68941</t>
  </si>
  <si>
    <t>티월드제81차(유)1-8</t>
  </si>
  <si>
    <t>68942</t>
  </si>
  <si>
    <t>티월드제81차(유)1-9</t>
  </si>
  <si>
    <t>68943</t>
  </si>
  <si>
    <t>티월드제81차(유)1-10</t>
  </si>
  <si>
    <t>68944</t>
  </si>
  <si>
    <t>티월드제81차(유)1-11</t>
  </si>
  <si>
    <t>68945</t>
  </si>
  <si>
    <t>티월드제81차(유)1-12</t>
  </si>
  <si>
    <t>68946</t>
  </si>
  <si>
    <t>티월드제81차(유)1-13</t>
  </si>
  <si>
    <t>68947</t>
  </si>
  <si>
    <t>티월드제81차(유)1-14</t>
  </si>
  <si>
    <t>68948</t>
  </si>
  <si>
    <t>티월드제81차(유)1-15</t>
  </si>
  <si>
    <t>68949</t>
  </si>
  <si>
    <t>티월드제81차(유)1-16</t>
  </si>
  <si>
    <t>68950</t>
  </si>
  <si>
    <t>티월드제81차(유)1-17</t>
  </si>
  <si>
    <t>68951</t>
  </si>
  <si>
    <t>티월드제81차(유)1-18</t>
  </si>
  <si>
    <t>68952</t>
  </si>
  <si>
    <t>티월드제81차(유)1-19</t>
  </si>
  <si>
    <t>68953</t>
  </si>
  <si>
    <t>티월드제81차(유)1-20</t>
  </si>
  <si>
    <t>68954</t>
  </si>
  <si>
    <t>티월드제81차(유)1-21</t>
  </si>
  <si>
    <t>68955</t>
  </si>
  <si>
    <t>티월드제81차(유)1-22</t>
  </si>
  <si>
    <t>68956</t>
  </si>
  <si>
    <t>티월드제81차(유)1-23</t>
  </si>
  <si>
    <t>68957</t>
  </si>
  <si>
    <t>티월드제81차(유)1-24</t>
  </si>
  <si>
    <t>68965</t>
  </si>
  <si>
    <t>퍼스트파이브지제65차(유)1-8</t>
  </si>
  <si>
    <t>68966</t>
  </si>
  <si>
    <t>퍼스트파이브지제65차(유)1-9</t>
  </si>
  <si>
    <t>68967</t>
  </si>
  <si>
    <t>퍼스트파이브지제65차(유)1-10</t>
  </si>
  <si>
    <t>68968</t>
  </si>
  <si>
    <t>퍼스트파이브지제65차(유)1-11</t>
  </si>
  <si>
    <t>68969</t>
  </si>
  <si>
    <t>퍼스트파이브지제65차(유)1-12</t>
  </si>
  <si>
    <t>68970</t>
  </si>
  <si>
    <t>퍼스트파이브지제65차(유)1-13</t>
  </si>
  <si>
    <t>68971</t>
  </si>
  <si>
    <t>퍼스트파이브지제65차(유)1-14</t>
  </si>
  <si>
    <t>68972</t>
  </si>
  <si>
    <t>퍼스트파이브지제65차(유)1-15</t>
  </si>
  <si>
    <t>68973</t>
  </si>
  <si>
    <t>퍼스트파이브지제65차(유)1-16</t>
  </si>
  <si>
    <t>68974</t>
  </si>
  <si>
    <t>퍼스트파이브지제65차(유)1-17</t>
  </si>
  <si>
    <t>68975</t>
  </si>
  <si>
    <t>퍼스트파이브지제65차(유)1-18</t>
  </si>
  <si>
    <t>68976</t>
  </si>
  <si>
    <t>퍼스트파이브지제65차(유)1-19</t>
  </si>
  <si>
    <t>68977</t>
  </si>
  <si>
    <t>퍼스트파이브지제65차(유)1-20</t>
  </si>
  <si>
    <t>68978</t>
  </si>
  <si>
    <t>퍼스트파이브지제65차(유)1-21</t>
  </si>
  <si>
    <t>68979</t>
  </si>
  <si>
    <t>퍼스트파이브지제65차(유)1-22</t>
  </si>
  <si>
    <t>68980</t>
  </si>
  <si>
    <t>퍼스트파이브지제65차(유)1-23</t>
  </si>
  <si>
    <t>68981</t>
  </si>
  <si>
    <t>퍼스트파이브지제65차(유)1-24</t>
  </si>
  <si>
    <t>68982</t>
  </si>
  <si>
    <t>퍼스트파이브지제65차(유)1-25</t>
  </si>
  <si>
    <t>68983</t>
  </si>
  <si>
    <t>퍼스트파이브지제65차(유)1-26</t>
  </si>
  <si>
    <t>68995</t>
  </si>
  <si>
    <t>신한사랑제6차(유)2</t>
  </si>
  <si>
    <t>68997</t>
  </si>
  <si>
    <t>신한챔피온제7차(유)1-4(삭제)</t>
  </si>
  <si>
    <t>68999</t>
  </si>
  <si>
    <t>증금챔피온제7차(유)1-6</t>
  </si>
  <si>
    <t>69000</t>
  </si>
  <si>
    <t>신한챔피온제7차(유)1-5</t>
  </si>
  <si>
    <t>69004</t>
  </si>
  <si>
    <t>유니온제7차(유)1-3</t>
  </si>
  <si>
    <t>69006</t>
  </si>
  <si>
    <t>신한사랑제5차(유)1</t>
  </si>
  <si>
    <t>69007</t>
  </si>
  <si>
    <t>신한사랑제6차(유)3</t>
  </si>
  <si>
    <t>69012</t>
  </si>
  <si>
    <t>국민챔피온제16차(유)1-4</t>
  </si>
  <si>
    <t>69013</t>
  </si>
  <si>
    <t>신한챔피온제8차(유)1-5</t>
  </si>
  <si>
    <t>69017</t>
  </si>
  <si>
    <t>한솔제21차</t>
  </si>
  <si>
    <t>69018</t>
  </si>
  <si>
    <t>그레이트디비제2차(유)3</t>
  </si>
  <si>
    <t>69023</t>
  </si>
  <si>
    <t>유플러스파이브지제66차(유)1-4</t>
  </si>
  <si>
    <t>69024</t>
  </si>
  <si>
    <t>유플러스파이브지제66차(유)1-5</t>
  </si>
  <si>
    <t>69025</t>
  </si>
  <si>
    <t>유플러스파이브지제66차(유)1-6</t>
  </si>
  <si>
    <t>69026</t>
  </si>
  <si>
    <t>유플러스파이브지제66차(유)1-7</t>
  </si>
  <si>
    <t>69027</t>
  </si>
  <si>
    <t>유플러스파이브지제66차(유)1-8</t>
  </si>
  <si>
    <t>69028</t>
  </si>
  <si>
    <t>유플러스파이브지제66차(유)1-9</t>
  </si>
  <si>
    <t>69029</t>
  </si>
  <si>
    <t>유플러스파이브지제66차(유)1-10</t>
  </si>
  <si>
    <t>69030</t>
  </si>
  <si>
    <t>유플러스파이브지제66차(유)1-11</t>
  </si>
  <si>
    <t>69031</t>
  </si>
  <si>
    <t>유플러스파이브지제66차(유)1-12</t>
  </si>
  <si>
    <t>69032</t>
  </si>
  <si>
    <t>유플러스파이브지제66차(유)1-13</t>
  </si>
  <si>
    <t>69033</t>
  </si>
  <si>
    <t>유플러스파이브지제66차(유)1-14</t>
  </si>
  <si>
    <t>69034</t>
  </si>
  <si>
    <t>유플러스파이브지제66차(유)1-15</t>
  </si>
  <si>
    <t>69035</t>
  </si>
  <si>
    <t>유플러스파이브지제66차(유)1-16</t>
  </si>
  <si>
    <t>69036</t>
  </si>
  <si>
    <t>유플러스파이브지제66차(유)1-17</t>
  </si>
  <si>
    <t>69037</t>
  </si>
  <si>
    <t>유플러스파이브지제66차(유)1-18</t>
  </si>
  <si>
    <t>69038</t>
  </si>
  <si>
    <t>유플러스파이브지제66차(유)1-19</t>
  </si>
  <si>
    <t>69041</t>
  </si>
  <si>
    <t>리브스타제6차(유)1-1</t>
  </si>
  <si>
    <t>69046</t>
  </si>
  <si>
    <t>국민챔피온제17차(유)1-4</t>
  </si>
  <si>
    <t>69047</t>
  </si>
  <si>
    <t>더퍼스트샤이닝제10차(유)1</t>
  </si>
  <si>
    <t>69048</t>
  </si>
  <si>
    <t>신한사랑제7차(유)1</t>
  </si>
  <si>
    <t>69049</t>
  </si>
  <si>
    <t>신한사랑제7차(유)2</t>
  </si>
  <si>
    <t>69051</t>
  </si>
  <si>
    <t>신한챔피온제9차(유)1-5</t>
  </si>
  <si>
    <t>69057</t>
  </si>
  <si>
    <t>제일사랑제2차(유)1</t>
  </si>
  <si>
    <t>69066</t>
  </si>
  <si>
    <t>한솔제22차</t>
  </si>
  <si>
    <t>69068</t>
  </si>
  <si>
    <t>제이드림제27차(유)2</t>
  </si>
  <si>
    <t>69074</t>
  </si>
  <si>
    <t>드래곤타이거(유)1-6</t>
  </si>
  <si>
    <t>69079</t>
  </si>
  <si>
    <t>주택금융공사MBS2022-20(1-1)</t>
  </si>
  <si>
    <t>69080</t>
  </si>
  <si>
    <t>주택금융공사MBS2022-20(1-2)</t>
  </si>
  <si>
    <t>69081</t>
  </si>
  <si>
    <t>주택금융공사MBS2022-20(1-3)</t>
  </si>
  <si>
    <t>69082</t>
  </si>
  <si>
    <t>주택금융공사MBS2022-20(1-4)</t>
  </si>
  <si>
    <t>69083</t>
  </si>
  <si>
    <t>주택금융공사MBS2022-20(1-5)</t>
  </si>
  <si>
    <t>69084</t>
  </si>
  <si>
    <t>주택금융공사MBS2022-20(1-6)</t>
  </si>
  <si>
    <t>69085</t>
  </si>
  <si>
    <t>주택금융공사MBS2022-20(1-7)</t>
  </si>
  <si>
    <t>69086</t>
  </si>
  <si>
    <t>주택금융공사MBS2022-20(1-8)</t>
  </si>
  <si>
    <t>69088</t>
  </si>
  <si>
    <t>주택금융공사MBS2022-20(1-9)</t>
  </si>
  <si>
    <t>69091</t>
  </si>
  <si>
    <t>포에버부산제5차(유)1</t>
  </si>
  <si>
    <t>69094</t>
  </si>
  <si>
    <t>세이프박스제12차(유)1</t>
  </si>
  <si>
    <t>69095</t>
  </si>
  <si>
    <t>세이프박스제12차(유)2</t>
  </si>
  <si>
    <t>69096</t>
  </si>
  <si>
    <t>국민챔피온제19차(유)1-4</t>
  </si>
  <si>
    <t>69097</t>
  </si>
  <si>
    <t>국민사랑제5차(유)1</t>
  </si>
  <si>
    <t>69103</t>
  </si>
  <si>
    <t>우리사랑제4차(유)1</t>
  </si>
  <si>
    <t>69105</t>
  </si>
  <si>
    <t>국민사랑제5차(유)2</t>
  </si>
  <si>
    <t>69106</t>
  </si>
  <si>
    <t>신한챔피온제10차(유)1-3</t>
  </si>
  <si>
    <t>69115</t>
  </si>
  <si>
    <t>퍼스트파이브지제66차(유)1-7</t>
  </si>
  <si>
    <t>69116</t>
  </si>
  <si>
    <t>퍼스트파이브지제66차(유)1-8</t>
  </si>
  <si>
    <t>69117</t>
  </si>
  <si>
    <t>퍼스트파이브지제66차(유)1-9</t>
  </si>
  <si>
    <t>69118</t>
  </si>
  <si>
    <t>퍼스트파이브지제66차(유)1-10</t>
  </si>
  <si>
    <t>69119</t>
  </si>
  <si>
    <t>퍼스트파이브지제66차(유)1-11</t>
  </si>
  <si>
    <t>69120</t>
  </si>
  <si>
    <t>퍼스트파이브지제66차(유)1-12</t>
  </si>
  <si>
    <t>69121</t>
  </si>
  <si>
    <t>퍼스트파이브지제66차(유)1-13</t>
  </si>
  <si>
    <t>69122</t>
  </si>
  <si>
    <t>퍼스트파이브지제66차(유)1-14</t>
  </si>
  <si>
    <t>69123</t>
  </si>
  <si>
    <t>퍼스트파이브지제66차(유)1-15</t>
  </si>
  <si>
    <t>69124</t>
  </si>
  <si>
    <t>퍼스트파이브지제66차(유)1-16</t>
  </si>
  <si>
    <t>69125</t>
  </si>
  <si>
    <t>퍼스트파이브지제66차(유)1-17</t>
  </si>
  <si>
    <t>69126</t>
  </si>
  <si>
    <t>퍼스트파이브지제66차(유)1-18</t>
  </si>
  <si>
    <t>69127</t>
  </si>
  <si>
    <t>퍼스트파이브지제66차(유)1-19</t>
  </si>
  <si>
    <t>69128</t>
  </si>
  <si>
    <t>퍼스트파이브지제66차(유)1-20</t>
  </si>
  <si>
    <t>69129</t>
  </si>
  <si>
    <t>퍼스트파이브지제66차(유)1-21</t>
  </si>
  <si>
    <t>69130</t>
  </si>
  <si>
    <t>퍼스트파이브지제66차(유)1-22</t>
  </si>
  <si>
    <t>69131</t>
  </si>
  <si>
    <t>퍼스트파이브지제66차(유)1-23</t>
  </si>
  <si>
    <t>69132</t>
  </si>
  <si>
    <t>퍼스트파이브지제66차(유)1-24</t>
  </si>
  <si>
    <t>69133</t>
  </si>
  <si>
    <t>퍼스트파이브지제66차(유)1-25</t>
  </si>
  <si>
    <t>69134</t>
  </si>
  <si>
    <t>퍼스트파이브지제66차(유)1-26</t>
  </si>
  <si>
    <t>69135</t>
  </si>
  <si>
    <t>퍼스트파이브지제66차(유)1-27</t>
  </si>
  <si>
    <t>69136</t>
  </si>
  <si>
    <t>퍼스트파이브지제66차(유)1-28</t>
  </si>
  <si>
    <t>69137</t>
  </si>
  <si>
    <t>퍼스트파이브지제66차(유)1-29</t>
  </si>
  <si>
    <t>69138</t>
  </si>
  <si>
    <t>퍼스트파이브지제66차(유)1-30</t>
  </si>
  <si>
    <t>69139</t>
  </si>
  <si>
    <t>더불어제16차</t>
  </si>
  <si>
    <t>69140</t>
  </si>
  <si>
    <t>알바트로스제10차(유)1</t>
  </si>
  <si>
    <t>69144</t>
  </si>
  <si>
    <t>유니온제8차(유)1-2</t>
  </si>
  <si>
    <t>69145</t>
  </si>
  <si>
    <t>국민사랑제5차(유)3</t>
  </si>
  <si>
    <t>69146</t>
  </si>
  <si>
    <t>유니온제9차(유)1-2</t>
  </si>
  <si>
    <t>69153</t>
  </si>
  <si>
    <t>티월드제82차(유)1-7</t>
  </si>
  <si>
    <t>69154</t>
  </si>
  <si>
    <t>티월드제82차(유)1-8</t>
  </si>
  <si>
    <t>69155</t>
  </si>
  <si>
    <t>티월드제82차(유)1-9</t>
  </si>
  <si>
    <t>69156</t>
  </si>
  <si>
    <t>티월드제82차(유)1-10</t>
  </si>
  <si>
    <t>69157</t>
  </si>
  <si>
    <t>티월드제82차(유)1-11</t>
  </si>
  <si>
    <t>69158</t>
  </si>
  <si>
    <t>티월드제82차(유)1-12</t>
  </si>
  <si>
    <t>69159</t>
  </si>
  <si>
    <t>티월드제82차(유)1-13</t>
  </si>
  <si>
    <t>69160</t>
  </si>
  <si>
    <t>티월드제82차(유)1-14</t>
  </si>
  <si>
    <t>69161</t>
  </si>
  <si>
    <t>티월드제82차(유)1-15</t>
  </si>
  <si>
    <t>69162</t>
  </si>
  <si>
    <t>티월드제82차(유)1-16</t>
  </si>
  <si>
    <t>69163</t>
  </si>
  <si>
    <t>티월드제82차(유)1-17</t>
  </si>
  <si>
    <t>69164</t>
  </si>
  <si>
    <t>티월드제82차(유)1-18</t>
  </si>
  <si>
    <t>69165</t>
  </si>
  <si>
    <t>티월드제82차(유)1-19</t>
  </si>
  <si>
    <t>69166</t>
  </si>
  <si>
    <t>티월드제82차(유)1-20</t>
  </si>
  <si>
    <t>69167</t>
  </si>
  <si>
    <t>티월드제82차(유)1-21</t>
  </si>
  <si>
    <t>69168</t>
  </si>
  <si>
    <t>티월드제82차(유)1-22</t>
  </si>
  <si>
    <t>69169</t>
  </si>
  <si>
    <t>티월드제82차(유)1-23</t>
  </si>
  <si>
    <t>69170</t>
  </si>
  <si>
    <t>티월드제82차(유)1-24</t>
  </si>
  <si>
    <t>69171</t>
  </si>
  <si>
    <t>티월드제82차(유)1-25</t>
  </si>
  <si>
    <t>69172</t>
  </si>
  <si>
    <t>티월드제82차(유)1-26</t>
  </si>
  <si>
    <t>69173</t>
  </si>
  <si>
    <t>티월드제82차(유)1-27</t>
  </si>
  <si>
    <t>69174</t>
  </si>
  <si>
    <t>티월드제82차(유)1-28</t>
  </si>
  <si>
    <t>69183</t>
  </si>
  <si>
    <t>국민챔피온제20차(유)1-2</t>
  </si>
  <si>
    <t>69189</t>
  </si>
  <si>
    <t>그레이트디비제2차(유)4</t>
  </si>
  <si>
    <t>69190</t>
  </si>
  <si>
    <t>말리부제1차(유)1-3</t>
  </si>
  <si>
    <t>69209</t>
  </si>
  <si>
    <t>제이드림제27차(유)3</t>
  </si>
  <si>
    <t>69230</t>
  </si>
  <si>
    <t>국민넘버원제2차(유)1-2</t>
  </si>
  <si>
    <t>69253</t>
  </si>
  <si>
    <t>알바트로스제11차(유)1</t>
  </si>
  <si>
    <t>69254</t>
  </si>
  <si>
    <t>증금타임제10차(유)1-1</t>
  </si>
  <si>
    <t>69261</t>
  </si>
  <si>
    <t>증금챔피온제9차(유)1-2</t>
  </si>
  <si>
    <t>69276</t>
  </si>
  <si>
    <t>주택금융공사MBS2023-1(1-1)</t>
  </si>
  <si>
    <t>69277</t>
  </si>
  <si>
    <t>주택금융공사MBS2023-1(1-2)</t>
  </si>
  <si>
    <t>69278</t>
  </si>
  <si>
    <t>주택금융공사MBS2023-1(1-3)</t>
  </si>
  <si>
    <t>69279</t>
  </si>
  <si>
    <t>주택금융공사MBS2023-1(1-4)</t>
  </si>
  <si>
    <t>69280</t>
  </si>
  <si>
    <t>주택금융공사MBS2023-1(1-5)</t>
  </si>
  <si>
    <t>69281</t>
  </si>
  <si>
    <t>주택금융공사MBS2023-1(1-6)</t>
  </si>
  <si>
    <t>69282</t>
  </si>
  <si>
    <t>주택금융공사MBS2023-1(1-7)</t>
  </si>
  <si>
    <t>69283</t>
  </si>
  <si>
    <t>주택금융공사MBS2023-1(1-8)</t>
  </si>
  <si>
    <t>69284</t>
  </si>
  <si>
    <t>주택금융공사MBS2023-1(1-9)</t>
  </si>
  <si>
    <t>69291</t>
  </si>
  <si>
    <t>화이트엔젤</t>
  </si>
  <si>
    <t>69301</t>
  </si>
  <si>
    <t>안산도시공사</t>
  </si>
  <si>
    <t>69307</t>
  </si>
  <si>
    <t>티월드제83차(유)1-6</t>
  </si>
  <si>
    <t>69308</t>
  </si>
  <si>
    <t>티월드제83차(유)1-7</t>
  </si>
  <si>
    <t>69309</t>
  </si>
  <si>
    <t>티월드제83차(유)1-8</t>
  </si>
  <si>
    <t>69310</t>
  </si>
  <si>
    <t>티월드제83차(유)1-9</t>
  </si>
  <si>
    <t>69311</t>
  </si>
  <si>
    <t>티월드제83차(유)1-10</t>
  </si>
  <si>
    <t>69312</t>
  </si>
  <si>
    <t>티월드제83차(유)1-11</t>
  </si>
  <si>
    <t>69313</t>
  </si>
  <si>
    <t>티월드제83차(유)1-12</t>
  </si>
  <si>
    <t>69314</t>
  </si>
  <si>
    <t>티월드제83차(유)1-13</t>
  </si>
  <si>
    <t>69315</t>
  </si>
  <si>
    <t>티월드제83차(유)1-14</t>
  </si>
  <si>
    <t>69316</t>
  </si>
  <si>
    <t>티월드제83차(유)1-15</t>
  </si>
  <si>
    <t>69317</t>
  </si>
  <si>
    <t>티월드제83차(유)1-16</t>
  </si>
  <si>
    <t>69318</t>
  </si>
  <si>
    <t>티월드제83차(유)1-17</t>
  </si>
  <si>
    <t>69319</t>
  </si>
  <si>
    <t>티월드제83차(유)1-18</t>
  </si>
  <si>
    <t>69320</t>
  </si>
  <si>
    <t>티월드제83차(유)1-19</t>
  </si>
  <si>
    <t>69321</t>
  </si>
  <si>
    <t>티월드제83차(유)1-20</t>
  </si>
  <si>
    <t>69322</t>
  </si>
  <si>
    <t>티월드제83차(유)1-21</t>
  </si>
  <si>
    <t>69323</t>
  </si>
  <si>
    <t>티월드제83차(유)1-22</t>
  </si>
  <si>
    <t>69324</t>
  </si>
  <si>
    <t>티월드제83차(유)1-23</t>
  </si>
  <si>
    <t>69325</t>
  </si>
  <si>
    <t>티월드제83차(유)1-24</t>
  </si>
  <si>
    <t>69326</t>
  </si>
  <si>
    <t>티월드제83차(유)1-25</t>
  </si>
  <si>
    <t>69327</t>
  </si>
  <si>
    <t>티월드제83차(유)1-26</t>
  </si>
  <si>
    <t>69328</t>
  </si>
  <si>
    <t>티월드제83차(유)1-27</t>
  </si>
  <si>
    <t>69331</t>
  </si>
  <si>
    <t>주택금융공사MBS2023-2(1-1)</t>
  </si>
  <si>
    <t>69332</t>
  </si>
  <si>
    <t>주택금융공사MBS2023-2(1-2)</t>
  </si>
  <si>
    <t>69333</t>
  </si>
  <si>
    <t>주택금융공사MBS2023-2(1-3)</t>
  </si>
  <si>
    <t>69334</t>
  </si>
  <si>
    <t>주택금융공사MBS2023-2(1-4)</t>
  </si>
  <si>
    <t>69335</t>
  </si>
  <si>
    <t>주택금융공사MBS2023-2(1-5)</t>
  </si>
  <si>
    <t>69336</t>
  </si>
  <si>
    <t>주택금융공사MBS2023-2(1-6)</t>
  </si>
  <si>
    <t>69337</t>
  </si>
  <si>
    <t>주택금융공사MBS2023-2(1-7)</t>
  </si>
  <si>
    <t>69338</t>
  </si>
  <si>
    <t>주택금융공사MBS2023-2(1-8)</t>
  </si>
  <si>
    <t>69339</t>
  </si>
  <si>
    <t>주택금융공사MBS2023-2(1-9)</t>
  </si>
  <si>
    <t>69353</t>
  </si>
  <si>
    <t>국민사랑제8차(유)1</t>
  </si>
  <si>
    <t>69354</t>
  </si>
  <si>
    <t>포에버부산제6차(유)1</t>
  </si>
  <si>
    <t>69357</t>
  </si>
  <si>
    <t>롯데캐피탈제2차(유)1-3</t>
  </si>
  <si>
    <t>69358</t>
  </si>
  <si>
    <t>롯데캐피탈제2차(유)1-4</t>
  </si>
  <si>
    <t>69359</t>
  </si>
  <si>
    <t>롯데캐피탈제2차(유)1-5</t>
  </si>
  <si>
    <t>69360</t>
  </si>
  <si>
    <t>롯데캐피탈제2차(유)1-6</t>
  </si>
  <si>
    <t>69361</t>
  </si>
  <si>
    <t>롯데캐피탈제2차(유)1-7</t>
  </si>
  <si>
    <t>69362</t>
  </si>
  <si>
    <t>롯데캐피탈제2차(유)1-8</t>
  </si>
  <si>
    <t>69363</t>
  </si>
  <si>
    <t>롯데캐피탈제2차(유)1-9</t>
  </si>
  <si>
    <t>69364</t>
  </si>
  <si>
    <t>롯데캐피탈제2차(유)1-10</t>
  </si>
  <si>
    <t>69365</t>
  </si>
  <si>
    <t>롯데캐피탈제2차(유)1-11</t>
  </si>
  <si>
    <t>69366</t>
  </si>
  <si>
    <t>롯데캐피탈제2차(유)1-12</t>
  </si>
  <si>
    <t>69367</t>
  </si>
  <si>
    <t>롯데캐피탈제2차(유)1-13</t>
  </si>
  <si>
    <t>69368</t>
  </si>
  <si>
    <t>롯데캐피탈제2차(유)1-14</t>
  </si>
  <si>
    <t>69369</t>
  </si>
  <si>
    <t>롯데캐피탈제2차(유)1-15</t>
  </si>
  <si>
    <t>69370</t>
  </si>
  <si>
    <t>롯데캐피탈제2차(유)1-16</t>
  </si>
  <si>
    <t>69371</t>
  </si>
  <si>
    <t>롯데캐피탈제2차(유)1-17</t>
  </si>
  <si>
    <t>69372</t>
  </si>
  <si>
    <t>롯데캐피탈제2차(유)1-18</t>
  </si>
  <si>
    <t>69373</t>
  </si>
  <si>
    <t>롯데캐피탈제2차(유)1-19</t>
  </si>
  <si>
    <t>69374</t>
  </si>
  <si>
    <t>롯데캐피탈제2차(유)1-20</t>
  </si>
  <si>
    <t>69375</t>
  </si>
  <si>
    <t>롯데캐피탈제2차(유)1-21</t>
  </si>
  <si>
    <t>69376</t>
  </si>
  <si>
    <t>롯데캐피탈제2차(유)1-22</t>
  </si>
  <si>
    <t>69377</t>
  </si>
  <si>
    <t>롯데캐피탈제2차(유)1-23</t>
  </si>
  <si>
    <t>69381</t>
  </si>
  <si>
    <t>알바트로스제12차(유)1</t>
  </si>
  <si>
    <t>69388</t>
  </si>
  <si>
    <t>유플러스파이브지제67차(유)1-3</t>
  </si>
  <si>
    <t>69389</t>
  </si>
  <si>
    <t>유플러스파이브지제67차(유)1-4</t>
  </si>
  <si>
    <t>69390</t>
  </si>
  <si>
    <t>유플러스파이브지제67차(유)1-5</t>
  </si>
  <si>
    <t>69391</t>
  </si>
  <si>
    <t>유플러스파이브지제67차(유)1-6</t>
  </si>
  <si>
    <t>69392</t>
  </si>
  <si>
    <t>유플러스파이브지제67차(유)1-7</t>
  </si>
  <si>
    <t>69393</t>
  </si>
  <si>
    <t>유플러스파이브지제67차(유)1-8</t>
  </si>
  <si>
    <t>69394</t>
  </si>
  <si>
    <t>유플러스파이브지제67차(유)1-9</t>
  </si>
  <si>
    <t>69395</t>
  </si>
  <si>
    <t>유플러스파이브지제67차(유)1-10</t>
  </si>
  <si>
    <t>69396</t>
  </si>
  <si>
    <t>유플러스파이브지제67차(유)1-11</t>
  </si>
  <si>
    <t>69397</t>
  </si>
  <si>
    <t>유플러스파이브지제67차(유)1-12</t>
  </si>
  <si>
    <t>69398</t>
  </si>
  <si>
    <t>유플러스파이브지제67차(유)1-13</t>
  </si>
  <si>
    <t>69399</t>
  </si>
  <si>
    <t>유플러스파이브지제67차(유)1-14</t>
  </si>
  <si>
    <t>69400</t>
  </si>
  <si>
    <t>유플러스파이브지제67차(유)1-15</t>
  </si>
  <si>
    <t>69401</t>
  </si>
  <si>
    <t>유플러스파이브지제67차(유)1-16</t>
  </si>
  <si>
    <t>69402</t>
  </si>
  <si>
    <t>유플러스파이브지제67차(유)1-17</t>
  </si>
  <si>
    <t>69403</t>
  </si>
  <si>
    <t>유플러스파이브지제67차(유)1-18</t>
  </si>
  <si>
    <t>69404</t>
  </si>
  <si>
    <t>유플러스파이브지제67차(유)1-19</t>
  </si>
  <si>
    <t>69405</t>
  </si>
  <si>
    <t>농협사랑제1차(유)1</t>
  </si>
  <si>
    <t>69416</t>
  </si>
  <si>
    <t>엠캐피탈제4차(유)1-6</t>
  </si>
  <si>
    <t>69417</t>
  </si>
  <si>
    <t>엠캐피탈제4차(유)1-7</t>
  </si>
  <si>
    <t>69418</t>
  </si>
  <si>
    <t>엠캐피탈제4차(유)1-8</t>
  </si>
  <si>
    <t>69419</t>
  </si>
  <si>
    <t>엠캐피탈제4차(유)1-9</t>
  </si>
  <si>
    <t>69420</t>
  </si>
  <si>
    <t>엠캐피탈제4차(유)1-10</t>
  </si>
  <si>
    <t>69421</t>
  </si>
  <si>
    <t>엠캐피탈제4차(유)1-11</t>
  </si>
  <si>
    <t>69422</t>
  </si>
  <si>
    <t>엠캐피탈제4차(유)1-12</t>
  </si>
  <si>
    <t>69423</t>
  </si>
  <si>
    <t>엠캐피탈제4차(유)1-13</t>
  </si>
  <si>
    <t>69424</t>
  </si>
  <si>
    <t>엠캐피탈제4차(유)1-14</t>
  </si>
  <si>
    <t>69425</t>
  </si>
  <si>
    <t>엠캐피탈제4차(유)1-15</t>
  </si>
  <si>
    <t>69426</t>
  </si>
  <si>
    <t>엠캐피탈제4차(유)1-16</t>
  </si>
  <si>
    <t>69430</t>
  </si>
  <si>
    <t>주택금융공사MBS2023-3(1-1)</t>
  </si>
  <si>
    <t>69431</t>
  </si>
  <si>
    <t>주택금융공사MBS2023-3(1-2)</t>
  </si>
  <si>
    <t>69432</t>
  </si>
  <si>
    <t>주택금융공사MBS2023-3(1-3)</t>
  </si>
  <si>
    <t>69433</t>
  </si>
  <si>
    <t>주택금융공사MBS2023-3(1-4)</t>
  </si>
  <si>
    <t>69434</t>
  </si>
  <si>
    <t>주택금융공사MBS2023-3(1-5)</t>
  </si>
  <si>
    <t>69435</t>
  </si>
  <si>
    <t>주택금융공사MBS2023-3(1-6)</t>
  </si>
  <si>
    <t>69436</t>
  </si>
  <si>
    <t>주택금융공사MBS2023-3(1-7)</t>
  </si>
  <si>
    <t>69437</t>
  </si>
  <si>
    <t>주택금융공사MBS2023-3(1-8)</t>
  </si>
  <si>
    <t>69438</t>
  </si>
  <si>
    <t>주택금융공사MBS2023-3(1-9)</t>
  </si>
  <si>
    <t>69442</t>
  </si>
  <si>
    <t>제일사랑제3차(유)1</t>
  </si>
  <si>
    <t>69445</t>
  </si>
  <si>
    <t>원더풀레볼루션</t>
  </si>
  <si>
    <t>69446</t>
  </si>
  <si>
    <t>퍼스트이지라이프</t>
  </si>
  <si>
    <t>69448</t>
  </si>
  <si>
    <t>더퍼스트샤이닝제11차(유)1</t>
  </si>
  <si>
    <t>69455</t>
  </si>
  <si>
    <t>리버뷰제1차(유)1-2</t>
  </si>
  <si>
    <t>69463</t>
  </si>
  <si>
    <t>제이드림제26차(유)2</t>
  </si>
  <si>
    <t>69466</t>
  </si>
  <si>
    <t>농협사랑제2차(유)1</t>
  </si>
  <si>
    <t>69471</t>
  </si>
  <si>
    <t>티월드제84차(유)1-5</t>
  </si>
  <si>
    <t>69472</t>
  </si>
  <si>
    <t>티월드제84차(유)1-6</t>
  </si>
  <si>
    <t>69473</t>
  </si>
  <si>
    <t>티월드제84차(유)1-7</t>
  </si>
  <si>
    <t>69474</t>
  </si>
  <si>
    <t>티월드제84차(유)1-8</t>
  </si>
  <si>
    <t>69475</t>
  </si>
  <si>
    <t>티월드제84차(유)1-9</t>
  </si>
  <si>
    <t>69476</t>
  </si>
  <si>
    <t>티월드제84차(유)1-10</t>
  </si>
  <si>
    <t>69477</t>
  </si>
  <si>
    <t>티월드제84차(유)1-11</t>
  </si>
  <si>
    <t>69478</t>
  </si>
  <si>
    <t>티월드제84차(유)1-12</t>
  </si>
  <si>
    <t>69479</t>
  </si>
  <si>
    <t>티월드제84차(유)1-13</t>
  </si>
  <si>
    <t>69480</t>
  </si>
  <si>
    <t>티월드제84차(유)1-14</t>
  </si>
  <si>
    <t>69481</t>
  </si>
  <si>
    <t>티월드제84차(유)1-15</t>
  </si>
  <si>
    <t>69482</t>
  </si>
  <si>
    <t>티월드제84차(유)1-16</t>
  </si>
  <si>
    <t>69483</t>
  </si>
  <si>
    <t>티월드제84차(유)1-17</t>
  </si>
  <si>
    <t>69484</t>
  </si>
  <si>
    <t>티월드제84차(유)1-18</t>
  </si>
  <si>
    <t>69485</t>
  </si>
  <si>
    <t>티월드제84차(유)1-19</t>
  </si>
  <si>
    <t>69486</t>
  </si>
  <si>
    <t>티월드제84차(유)1-20</t>
  </si>
  <si>
    <t>69487</t>
  </si>
  <si>
    <t>티월드제84차(유)1-21</t>
  </si>
  <si>
    <t>69488</t>
  </si>
  <si>
    <t>티월드제84차(유)1-22</t>
  </si>
  <si>
    <t>69489</t>
  </si>
  <si>
    <t>티월드제84차(유)1-23</t>
  </si>
  <si>
    <t>69490</t>
  </si>
  <si>
    <t>티월드제84차(유)1-24</t>
  </si>
  <si>
    <t>69491</t>
  </si>
  <si>
    <t>티월드제84차(유)1-25</t>
  </si>
  <si>
    <t>69492</t>
  </si>
  <si>
    <t>티월드제84차(유)1-26</t>
  </si>
  <si>
    <t>69493</t>
  </si>
  <si>
    <t>티월드제84차(유)1-27</t>
  </si>
  <si>
    <t>69496</t>
  </si>
  <si>
    <t>케이카캐피탈제3차(유)1-3</t>
  </si>
  <si>
    <t>69497</t>
  </si>
  <si>
    <t>케이카캐피탈제3차(유)1-4</t>
  </si>
  <si>
    <t>69498</t>
  </si>
  <si>
    <t>케이카캐피탈제3차(유)1-5</t>
  </si>
  <si>
    <t>69499</t>
  </si>
  <si>
    <t>케이카캐피탈제3차(유)1-6</t>
  </si>
  <si>
    <t>69500</t>
  </si>
  <si>
    <t>케이카캐피탈제3차(유)1-7</t>
  </si>
  <si>
    <t>69502</t>
  </si>
  <si>
    <t>주택금융공사MBS2023-4(1-1)</t>
  </si>
  <si>
    <t>69503</t>
  </si>
  <si>
    <t>주택금융공사MBS2023-4(1-2)</t>
  </si>
  <si>
    <t>69504</t>
  </si>
  <si>
    <t>주택금융공사MBS2023-4(1-3)</t>
  </si>
  <si>
    <t>69505</t>
  </si>
  <si>
    <t>주택금융공사MBS2023-4(1-4)</t>
  </si>
  <si>
    <t>69506</t>
  </si>
  <si>
    <t>주택금융공사MBS2023-4(1-5)</t>
  </si>
  <si>
    <t>69507</t>
  </si>
  <si>
    <t>주택금융공사MBS2023-4(1-6)</t>
  </si>
  <si>
    <t>69508</t>
  </si>
  <si>
    <t>주택금융공사MBS2023-4(1-7)</t>
  </si>
  <si>
    <t>69509</t>
  </si>
  <si>
    <t>주택금융공사MBS2023-4(1-8)</t>
  </si>
  <si>
    <t>69510</t>
  </si>
  <si>
    <t>주택금융공사MBS2023-4(1-9)</t>
  </si>
  <si>
    <t>69512</t>
  </si>
  <si>
    <t>신보2023제1차(유)1-1</t>
  </si>
  <si>
    <t>69513</t>
  </si>
  <si>
    <t>신보2023제1차(유)1-2</t>
  </si>
  <si>
    <t>69530</t>
  </si>
  <si>
    <t>한국캐피탈제5차유동화(유)1-3</t>
  </si>
  <si>
    <t>69531</t>
  </si>
  <si>
    <t>한국캐피탈제5차유동화(유)1-4</t>
  </si>
  <si>
    <t>69532</t>
  </si>
  <si>
    <t>한국캐피탈제5차유동화(유)1-5</t>
  </si>
  <si>
    <t>69533</t>
  </si>
  <si>
    <t>한국캐피탈제5차유동화(유)1-6</t>
  </si>
  <si>
    <t>69534</t>
  </si>
  <si>
    <t>한국캐피탈제5차유동화(유)1-7</t>
  </si>
  <si>
    <t>69535</t>
  </si>
  <si>
    <t>한국캐피탈제5차유동화(유)1-8</t>
  </si>
  <si>
    <t>69536</t>
  </si>
  <si>
    <t>에프엔울주제1차(유)1</t>
  </si>
  <si>
    <t>69537</t>
  </si>
  <si>
    <t>신한사랑제4차(유)4</t>
  </si>
  <si>
    <t>69538</t>
  </si>
  <si>
    <t>신한사랑제7차(유)3</t>
  </si>
  <si>
    <t>69539</t>
  </si>
  <si>
    <t>신한챔피온제11차(유)1-4</t>
  </si>
  <si>
    <t>69540</t>
  </si>
  <si>
    <t>마스제1차(유)1-1</t>
  </si>
  <si>
    <t>69545</t>
  </si>
  <si>
    <t>오마이돌핀제1차(유)1-1</t>
  </si>
  <si>
    <t>69546</t>
  </si>
  <si>
    <t>오마이돌핀제1차(유)1-2</t>
  </si>
  <si>
    <t>69547</t>
  </si>
  <si>
    <t>마스제1차(유)1-2</t>
  </si>
  <si>
    <t>69554</t>
  </si>
  <si>
    <t>주택금융공사MBS2023-5(1-1)</t>
  </si>
  <si>
    <t>69555</t>
  </si>
  <si>
    <t>주택금융공사MBS2023-5(1-2)</t>
  </si>
  <si>
    <t>69556</t>
  </si>
  <si>
    <t>주택금융공사MBS2023-5(1-3)</t>
  </si>
  <si>
    <t>69557</t>
  </si>
  <si>
    <t>주택금융공사MBS2023-5(1-4)</t>
  </si>
  <si>
    <t>69571</t>
  </si>
  <si>
    <t>퍼스트파이브지제67차(유)1-4</t>
  </si>
  <si>
    <t>69572</t>
  </si>
  <si>
    <t>퍼스트파이브지제67차(유)1-5</t>
  </si>
  <si>
    <t>69573</t>
  </si>
  <si>
    <t>퍼스트파이브지제67차(유)1-6</t>
  </si>
  <si>
    <t>69574</t>
  </si>
  <si>
    <t>퍼스트파이브지제67차(유)1-7</t>
  </si>
  <si>
    <t>69575</t>
  </si>
  <si>
    <t>퍼스트파이브지제67차(유)1-8</t>
  </si>
  <si>
    <t>69576</t>
  </si>
  <si>
    <t>퍼스트파이브지제67차(유)1-9</t>
  </si>
  <si>
    <t>69577</t>
  </si>
  <si>
    <t>퍼스트파이브지제67차(유)1-10</t>
  </si>
  <si>
    <t>69578</t>
  </si>
  <si>
    <t>퍼스트파이브지제67차(유)1-11</t>
  </si>
  <si>
    <t>69579</t>
  </si>
  <si>
    <t>퍼스트파이브지제67차(유)1-12</t>
  </si>
  <si>
    <t>69580</t>
  </si>
  <si>
    <t>퍼스트파이브지제67차(유)1-13</t>
  </si>
  <si>
    <t>69581</t>
  </si>
  <si>
    <t>퍼스트파이브지제67차(유)1-14</t>
  </si>
  <si>
    <t>69582</t>
  </si>
  <si>
    <t>퍼스트파이브지제67차(유)1-15</t>
  </si>
  <si>
    <t>69583</t>
  </si>
  <si>
    <t>퍼스트파이브지제67차(유)1-16</t>
  </si>
  <si>
    <t>69584</t>
  </si>
  <si>
    <t>퍼스트파이브지제67차(유)1-17</t>
  </si>
  <si>
    <t>69585</t>
  </si>
  <si>
    <t>퍼스트파이브지제67차(유)1-18</t>
  </si>
  <si>
    <t>69586</t>
  </si>
  <si>
    <t>퍼스트파이브지제67차(유)1-19</t>
  </si>
  <si>
    <t>69587</t>
  </si>
  <si>
    <t>퍼스트파이브지제67차(유)1-20</t>
  </si>
  <si>
    <t>69588</t>
  </si>
  <si>
    <t>퍼스트파이브지제67차(유)1-21</t>
  </si>
  <si>
    <t>69589</t>
  </si>
  <si>
    <t>퍼스트파이브지제67차(유)1-22</t>
  </si>
  <si>
    <t>69590</t>
  </si>
  <si>
    <t>퍼스트파이브지제67차(유)1-23</t>
  </si>
  <si>
    <t>69591</t>
  </si>
  <si>
    <t>퍼스트파이브지제67차(유)1-24</t>
  </si>
  <si>
    <t>69592</t>
  </si>
  <si>
    <t>퍼스트파이브지제67차(유)1-25</t>
  </si>
  <si>
    <t>69593</t>
  </si>
  <si>
    <t>퍼스트파이브지제67차(유)1-26</t>
  </si>
  <si>
    <t>69594</t>
  </si>
  <si>
    <t>퍼스트파이브지제67차(유)1-27</t>
  </si>
  <si>
    <t>69595</t>
  </si>
  <si>
    <t>퍼스트파이브지제67차(유)1-28</t>
  </si>
  <si>
    <t>69596</t>
  </si>
  <si>
    <t>퍼스트파이브지제67차(유)1-29</t>
  </si>
  <si>
    <t>69597</t>
  </si>
  <si>
    <t>퍼스트파이브지제67차(유)1-30</t>
  </si>
  <si>
    <t>69598</t>
  </si>
  <si>
    <t>퍼스트파이브지제67차(유)1-31</t>
  </si>
  <si>
    <t>69599</t>
  </si>
  <si>
    <t>퍼스트파이브지제67차(유)1-32</t>
  </si>
  <si>
    <t>69602</t>
  </si>
  <si>
    <t>국민사랑제5차(유)4</t>
  </si>
  <si>
    <t>69605</t>
  </si>
  <si>
    <t>국민넘버원제6차(유)1-3</t>
  </si>
  <si>
    <t>69608</t>
  </si>
  <si>
    <t>시그니처제8차(유)1-2</t>
  </si>
  <si>
    <t>69611</t>
  </si>
  <si>
    <t>더퍼스트샤이닝제12차(유)1</t>
  </si>
  <si>
    <t>69613</t>
  </si>
  <si>
    <t>뉴스타원펌2023의일제2차</t>
  </si>
  <si>
    <t>69614</t>
  </si>
  <si>
    <t>국민사랑제6차(유)1</t>
  </si>
  <si>
    <t>69618</t>
  </si>
  <si>
    <t>국민넘버원제7차(유)1-3</t>
  </si>
  <si>
    <t>69620</t>
  </si>
  <si>
    <t>주택금융공사MBS2023-6(1-1)</t>
  </si>
  <si>
    <t>69621</t>
  </si>
  <si>
    <t>주택금융공사MBS2023-6(1-2)</t>
  </si>
  <si>
    <t>69622</t>
  </si>
  <si>
    <t>주택금융공사MBS2023-6(1-3)</t>
  </si>
  <si>
    <t>69623</t>
  </si>
  <si>
    <t>주택금융공사MBS2023-6(1-4)</t>
  </si>
  <si>
    <t>69624</t>
  </si>
  <si>
    <t>주택금융공사MBS2023-6(1-5)</t>
  </si>
  <si>
    <t>69625</t>
  </si>
  <si>
    <t>주택금융공사MBS2023-6(1-6)</t>
  </si>
  <si>
    <t>69626</t>
  </si>
  <si>
    <t>주택금융공사MBS2023-6(1-7)</t>
  </si>
  <si>
    <t>69627</t>
  </si>
  <si>
    <t>주택금융공사MBS2023-6(1-8)</t>
  </si>
  <si>
    <t>69628</t>
  </si>
  <si>
    <t>주택금융공사MBS2023-6(1-9)</t>
  </si>
  <si>
    <t>69632</t>
  </si>
  <si>
    <t>알바트로스제13차(유)1</t>
  </si>
  <si>
    <t>69633</t>
  </si>
  <si>
    <t>제일사랑제4차(유)1</t>
  </si>
  <si>
    <t>69640</t>
  </si>
  <si>
    <t>그레이트디비제2차(유)5</t>
  </si>
  <si>
    <t>69644</t>
  </si>
  <si>
    <t>주택금융공사MBS2023-7(1-1)</t>
  </si>
  <si>
    <t>69645</t>
  </si>
  <si>
    <t>주택금융공사MBS2023-7(1-2)</t>
  </si>
  <si>
    <t>69646</t>
  </si>
  <si>
    <t>주택금융공사MBS2023-7(1-3)</t>
  </si>
  <si>
    <t>69647</t>
  </si>
  <si>
    <t>주택금융공사MBS2023-7(1-4)</t>
  </si>
  <si>
    <t>69648</t>
  </si>
  <si>
    <t>주택금융공사MBS2023-7(1-5)</t>
  </si>
  <si>
    <t>69649</t>
  </si>
  <si>
    <t>주택금융공사MBS2023-7(1-6)</t>
  </si>
  <si>
    <t>69650</t>
  </si>
  <si>
    <t>주택금융공사MBS2023-7(1-7)</t>
  </si>
  <si>
    <t>69651</t>
  </si>
  <si>
    <t>주택금융공사MBS2023-7(1-8)</t>
  </si>
  <si>
    <t>69652</t>
  </si>
  <si>
    <t>주택금융공사MBS2023-7(1-9)</t>
  </si>
  <si>
    <t>69661</t>
  </si>
  <si>
    <t>신보2023제2차(유)1-1</t>
  </si>
  <si>
    <t>69662</t>
  </si>
  <si>
    <t>신보2023제2차(유)1-2</t>
  </si>
  <si>
    <t>69663</t>
  </si>
  <si>
    <t>신보2023제2차(유)1-3</t>
  </si>
  <si>
    <t>69664</t>
  </si>
  <si>
    <t>신보2023제3차(유)1-1</t>
  </si>
  <si>
    <t>69665</t>
  </si>
  <si>
    <t>신보2023제3차(유)1-2</t>
  </si>
  <si>
    <t>69666</t>
  </si>
  <si>
    <t>신보2023제4차(유)1-1</t>
  </si>
  <si>
    <t>69667</t>
  </si>
  <si>
    <t>신보2023제4차(유)1-2</t>
  </si>
  <si>
    <t>69672</t>
  </si>
  <si>
    <t>에이스디비제1차(유)1</t>
  </si>
  <si>
    <t>69710</t>
  </si>
  <si>
    <t>제이드림제27차(유)4</t>
  </si>
  <si>
    <t>69722</t>
  </si>
  <si>
    <t>리브스타제7차(유)1</t>
  </si>
  <si>
    <t>69724</t>
  </si>
  <si>
    <t>국민챔피온제4차(유)2-4</t>
  </si>
  <si>
    <t>69728</t>
  </si>
  <si>
    <t>티월드제85차(유)1-4</t>
  </si>
  <si>
    <t>69729</t>
  </si>
  <si>
    <t>티월드제85차(유)1-5</t>
  </si>
  <si>
    <t>69730</t>
  </si>
  <si>
    <t>티월드제85차(유)1-6</t>
  </si>
  <si>
    <t>69731</t>
  </si>
  <si>
    <t>티월드제85차(유)1-7</t>
  </si>
  <si>
    <t>69732</t>
  </si>
  <si>
    <t>티월드제85차(유)1-8</t>
  </si>
  <si>
    <t>69733</t>
  </si>
  <si>
    <t>티월드제85차(유)1-9</t>
  </si>
  <si>
    <t>69734</t>
  </si>
  <si>
    <t>티월드제85차(유)1-10</t>
  </si>
  <si>
    <t>69735</t>
  </si>
  <si>
    <t>티월드제85차(유)1-11</t>
  </si>
  <si>
    <t>69736</t>
  </si>
  <si>
    <t>티월드제85차(유)1-12</t>
  </si>
  <si>
    <t>69737</t>
  </si>
  <si>
    <t>티월드제85차(유)1-13</t>
  </si>
  <si>
    <t>69738</t>
  </si>
  <si>
    <t>티월드제85차(유)1-14</t>
  </si>
  <si>
    <t>69739</t>
  </si>
  <si>
    <t>티월드제85차(유)1-15</t>
  </si>
  <si>
    <t>69740</t>
  </si>
  <si>
    <t>티월드제85차(유)1-16</t>
  </si>
  <si>
    <t>69741</t>
  </si>
  <si>
    <t>티월드제85차(유)1-17</t>
  </si>
  <si>
    <t>69742</t>
  </si>
  <si>
    <t>티월드제85차(유)1-18</t>
  </si>
  <si>
    <t>69743</t>
  </si>
  <si>
    <t>티월드제85차(유)1-19</t>
  </si>
  <si>
    <t>69744</t>
  </si>
  <si>
    <t>티월드제85차(유)1-20</t>
  </si>
  <si>
    <t>69745</t>
  </si>
  <si>
    <t>티월드제85차(유)1-21</t>
  </si>
  <si>
    <t>69746</t>
  </si>
  <si>
    <t>티월드제85차(유)1-22</t>
  </si>
  <si>
    <t>69747</t>
  </si>
  <si>
    <t>티월드제85차(유)1-23</t>
  </si>
  <si>
    <t>69748</t>
  </si>
  <si>
    <t>티월드제85차(유)1-24</t>
  </si>
  <si>
    <t>69749</t>
  </si>
  <si>
    <t>티월드제85차(유)1-25</t>
  </si>
  <si>
    <t>69750</t>
  </si>
  <si>
    <t>티월드제85차(유)1-26</t>
  </si>
  <si>
    <t>69751</t>
  </si>
  <si>
    <t>티월드제85차(유)1-27</t>
  </si>
  <si>
    <t>69752</t>
  </si>
  <si>
    <t>티월드제85차(유)1-28</t>
  </si>
  <si>
    <t>69755</t>
  </si>
  <si>
    <t>마스제1차(유)2-1</t>
  </si>
  <si>
    <t>69756</t>
  </si>
  <si>
    <t>국민챔피온제5차(유)2-3</t>
  </si>
  <si>
    <t>69758</t>
  </si>
  <si>
    <t>농협챔피온제2차(유)1-2</t>
  </si>
  <si>
    <t>69760</t>
  </si>
  <si>
    <t>주택금융공사MBS2023-8(1-1)</t>
  </si>
  <si>
    <t>69761</t>
  </si>
  <si>
    <t>주택금융공사MBS2023-8(1-2)</t>
  </si>
  <si>
    <t>69762</t>
  </si>
  <si>
    <t>주택금융공사MBS2023-8(1-3)</t>
  </si>
  <si>
    <t>69763</t>
  </si>
  <si>
    <t>주택금융공사MBS2023-8(1-4)</t>
  </si>
  <si>
    <t>69778</t>
  </si>
  <si>
    <t>증금타임제11차(유)1</t>
  </si>
  <si>
    <t>69790</t>
  </si>
  <si>
    <t>유플러스파이브지제68차(유)1-2</t>
  </si>
  <si>
    <t>69791</t>
  </si>
  <si>
    <t>유플러스파이브지제68차(유)1-3</t>
  </si>
  <si>
    <t>69792</t>
  </si>
  <si>
    <t>유플러스파이브지제68차(유)1-4</t>
  </si>
  <si>
    <t>69793</t>
  </si>
  <si>
    <t>유플러스파이브지제68차(유)1-5</t>
  </si>
  <si>
    <t>69794</t>
  </si>
  <si>
    <t>유플러스파이브지제68차(유)1-6</t>
  </si>
  <si>
    <t>69795</t>
  </si>
  <si>
    <t>유플러스파이브지제68차(유)1-7</t>
  </si>
  <si>
    <t>69796</t>
  </si>
  <si>
    <t>유플러스파이브지제68차(유)1-8</t>
  </si>
  <si>
    <t>69797</t>
  </si>
  <si>
    <t>유플러스파이브지제68차(유)1-9</t>
  </si>
  <si>
    <t>69798</t>
  </si>
  <si>
    <t>유플러스파이브지제68차(유)1-10</t>
  </si>
  <si>
    <t>69799</t>
  </si>
  <si>
    <t>유플러스파이브지제68차(유)1-11</t>
  </si>
  <si>
    <t>69800</t>
  </si>
  <si>
    <t>유플러스파이브지제68차(유)1-12</t>
  </si>
  <si>
    <t>69801</t>
  </si>
  <si>
    <t>유플러스파이브지제68차(유)1-13</t>
  </si>
  <si>
    <t>69802</t>
  </si>
  <si>
    <t>유플러스파이브지제68차(유)1-14</t>
  </si>
  <si>
    <t>69803</t>
  </si>
  <si>
    <t>유플러스파이브지제68차(유)1-15</t>
  </si>
  <si>
    <t>69804</t>
  </si>
  <si>
    <t>유플러스파이브지제68차(유)1-16</t>
  </si>
  <si>
    <t>69805</t>
  </si>
  <si>
    <t>유플러스파이브지제68차(유)1-17</t>
  </si>
  <si>
    <t>69806</t>
  </si>
  <si>
    <t>유플러스파이브지제68차(유)1-18</t>
  </si>
  <si>
    <t>69807</t>
  </si>
  <si>
    <t>유플러스파이브지제68차(유)1-19</t>
  </si>
  <si>
    <t>69819</t>
  </si>
  <si>
    <t>제일사랑제4차(유)2</t>
  </si>
  <si>
    <t>69820</t>
  </si>
  <si>
    <t>주택금융공사MBS2023-9(1-1)</t>
  </si>
  <si>
    <t>69821</t>
  </si>
  <si>
    <t>주택금융공사MBS2023-9(1-2)</t>
  </si>
  <si>
    <t>69822</t>
  </si>
  <si>
    <t>주택금융공사MBS2023-9(1-3)</t>
  </si>
  <si>
    <t>69823</t>
  </si>
  <si>
    <t>주택금융공사MBS2023-9(1-4)</t>
  </si>
  <si>
    <t>69824</t>
  </si>
  <si>
    <t>주택금융공사MBS2023-9(1-5)</t>
  </si>
  <si>
    <t>69825</t>
  </si>
  <si>
    <t>주택금융공사MBS2023-9(1-6)</t>
  </si>
  <si>
    <t>69826</t>
  </si>
  <si>
    <t>주택금융공사MBS2023-9(1-7)</t>
  </si>
  <si>
    <t>69827</t>
  </si>
  <si>
    <t>주택금융공사MBS2023-9(1-8)</t>
  </si>
  <si>
    <t>69828</t>
  </si>
  <si>
    <t>주택금융공사MBS2023-9(1-9)</t>
  </si>
  <si>
    <t>69832</t>
  </si>
  <si>
    <t>농협챔피온제3차(유)1-2</t>
  </si>
  <si>
    <t>69835</t>
  </si>
  <si>
    <t>디에이치스카이</t>
  </si>
  <si>
    <t>69845</t>
  </si>
  <si>
    <t>신한챔피온제13차(유)1-2</t>
  </si>
  <si>
    <t>69846</t>
  </si>
  <si>
    <t>와이케이에이치제2차</t>
  </si>
  <si>
    <t>69850</t>
  </si>
  <si>
    <t>벽산파워</t>
  </si>
  <si>
    <t>69851</t>
  </si>
  <si>
    <t>나이스온천4유동화전문(유)1</t>
  </si>
  <si>
    <t>69854</t>
  </si>
  <si>
    <t>더퍼스트샤이닝제13차(유)1</t>
  </si>
  <si>
    <t>69856</t>
  </si>
  <si>
    <t>뉴스텔라제10차(유)3</t>
  </si>
  <si>
    <t>69858</t>
  </si>
  <si>
    <t>주택금융공사MBS2023-10(1-1)</t>
  </si>
  <si>
    <t>69859</t>
  </si>
  <si>
    <t>주택금융공사MBS2023-10(1-2)</t>
  </si>
  <si>
    <t>69860</t>
  </si>
  <si>
    <t>주택금융공사MBS2023-10(1-3)</t>
  </si>
  <si>
    <t>69861</t>
  </si>
  <si>
    <t>주택금융공사MBS2023-10(1-4)</t>
  </si>
  <si>
    <t>69865</t>
  </si>
  <si>
    <t>뉴스타이문1제1차(유)1</t>
  </si>
  <si>
    <t>69869</t>
  </si>
  <si>
    <t>뉴스타장위제십구역(유)1</t>
  </si>
  <si>
    <t>69872</t>
  </si>
  <si>
    <t>바바리안스카이코리아6(유)1-3</t>
  </si>
  <si>
    <t>69873</t>
  </si>
  <si>
    <t>바바리안스카이코리아6(유)1-4</t>
  </si>
  <si>
    <t>69874</t>
  </si>
  <si>
    <t>바바리안스카이코리아6(유)1-5</t>
  </si>
  <si>
    <t>69875</t>
  </si>
  <si>
    <t>바바리안스카이코리아6(유)1-6</t>
  </si>
  <si>
    <t>69876</t>
  </si>
  <si>
    <t>바바리안스카이코리아6(유)1-7</t>
  </si>
  <si>
    <t>69877</t>
  </si>
  <si>
    <t>바바리안스카이코리아6(유)1-8</t>
  </si>
  <si>
    <t>69878</t>
  </si>
  <si>
    <t>바바리안스카이코리아6(유)1-9</t>
  </si>
  <si>
    <t>69879</t>
  </si>
  <si>
    <t>바바리안스카이코리아6(유)1-10</t>
  </si>
  <si>
    <t>69880</t>
  </si>
  <si>
    <t>바바리안스카이코리아6(유)1-11</t>
  </si>
  <si>
    <t>69881</t>
  </si>
  <si>
    <t>바바리안스카이코리아6(유)1-12</t>
  </si>
  <si>
    <t>69882</t>
  </si>
  <si>
    <t>바바리안스카이코리아6(유)1-13</t>
  </si>
  <si>
    <t>69883</t>
  </si>
  <si>
    <t>바바리안스카이코리아6(유)1-14</t>
  </si>
  <si>
    <t>69884</t>
  </si>
  <si>
    <t>바바리안스카이코리아6(유)1-15</t>
  </si>
  <si>
    <t>69885</t>
  </si>
  <si>
    <t>바바리안스카이코리아6(유)1-16</t>
  </si>
  <si>
    <t>69886</t>
  </si>
  <si>
    <t>바바리안스카이코리아6(유)1-17</t>
  </si>
  <si>
    <t>69887</t>
  </si>
  <si>
    <t>바바리안스카이코리아6(유)1-18</t>
  </si>
  <si>
    <t>69888</t>
  </si>
  <si>
    <t>바바리안스카이코리아6(유)1-19</t>
  </si>
  <si>
    <t>69889</t>
  </si>
  <si>
    <t>바바리안스카이코리아6(유)1-20</t>
  </si>
  <si>
    <t>69890</t>
  </si>
  <si>
    <t>바바리안스카이코리아6(유)1-21</t>
  </si>
  <si>
    <t>69891</t>
  </si>
  <si>
    <t>바바리안스카이코리아6(유)1-22</t>
  </si>
  <si>
    <t>69892</t>
  </si>
  <si>
    <t>바바리안스카이코리아6(유)1-23</t>
  </si>
  <si>
    <t>69893</t>
  </si>
  <si>
    <t>바바리안스카이코리아6(유)1-24</t>
  </si>
  <si>
    <t>69894</t>
  </si>
  <si>
    <t>바바리안스카이코리아6(유)1-25</t>
  </si>
  <si>
    <t>69895</t>
  </si>
  <si>
    <t>바바리안스카이코리아6(유)1-26</t>
  </si>
  <si>
    <t>69896</t>
  </si>
  <si>
    <t>바바리안스카이코리아6(유)1-27</t>
  </si>
  <si>
    <t>69897</t>
  </si>
  <si>
    <t>바바리안스카이코리아6(유)1-28</t>
  </si>
  <si>
    <t>69898</t>
  </si>
  <si>
    <t>바바리안스카이코리아6(유)1-29</t>
  </si>
  <si>
    <t>69899</t>
  </si>
  <si>
    <t>바바리안스카이코리아6(유)1-30</t>
  </si>
  <si>
    <t>69900</t>
  </si>
  <si>
    <t>바바리안스카이코리아6(유)1-31</t>
  </si>
  <si>
    <t>69901</t>
  </si>
  <si>
    <t>바바리안스카이코리아6(유)1-32</t>
  </si>
  <si>
    <t>69902</t>
  </si>
  <si>
    <t>바바리안스카이코리아6(유)1-33</t>
  </si>
  <si>
    <t>69903</t>
  </si>
  <si>
    <t>바바리안스카이코리아6(유)1-34</t>
  </si>
  <si>
    <t>69904</t>
  </si>
  <si>
    <t>바바리안스카이코리아6(유)1-35</t>
  </si>
  <si>
    <t>69905</t>
  </si>
  <si>
    <t>바바리안스카이코리아6(유)1-36</t>
  </si>
  <si>
    <t>69906</t>
  </si>
  <si>
    <t>바바리안스카이코리아6(유)1-37</t>
  </si>
  <si>
    <t>69914</t>
  </si>
  <si>
    <t>티월드제86차(유)1-3</t>
  </si>
  <si>
    <t>69915</t>
  </si>
  <si>
    <t>티월드제86차(유)1-4</t>
  </si>
  <si>
    <t>69916</t>
  </si>
  <si>
    <t>티월드제86차(유)1-5</t>
  </si>
  <si>
    <t>69917</t>
  </si>
  <si>
    <t>티월드제86차(유)1-6</t>
  </si>
  <si>
    <t>69918</t>
  </si>
  <si>
    <t>티월드제86차(유)1-7</t>
  </si>
  <si>
    <t>69919</t>
  </si>
  <si>
    <t>티월드제86차(유)1-8</t>
  </si>
  <si>
    <t>69920</t>
  </si>
  <si>
    <t>티월드제86차(유)1-9</t>
  </si>
  <si>
    <t>69921</t>
  </si>
  <si>
    <t>티월드제86차(유)1-10</t>
  </si>
  <si>
    <t>69922</t>
  </si>
  <si>
    <t>티월드제86차(유)1-11</t>
  </si>
  <si>
    <t>69923</t>
  </si>
  <si>
    <t>티월드제86차(유)1-12</t>
  </si>
  <si>
    <t>69924</t>
  </si>
  <si>
    <t>티월드제86차(유)1-13</t>
  </si>
  <si>
    <t>69925</t>
  </si>
  <si>
    <t>티월드제86차(유)1-14</t>
  </si>
  <si>
    <t>69926</t>
  </si>
  <si>
    <t>티월드제86차(유)1-15</t>
  </si>
  <si>
    <t>69927</t>
  </si>
  <si>
    <t>티월드제86차(유)1-16</t>
  </si>
  <si>
    <t>69928</t>
  </si>
  <si>
    <t>티월드제86차(유)1-17</t>
  </si>
  <si>
    <t>69929</t>
  </si>
  <si>
    <t>티월드제86차(유)1-18</t>
  </si>
  <si>
    <t>69930</t>
  </si>
  <si>
    <t>티월드제86차(유)1-19</t>
  </si>
  <si>
    <t>69931</t>
  </si>
  <si>
    <t>티월드제86차(유)1-20</t>
  </si>
  <si>
    <t>69932</t>
  </si>
  <si>
    <t>티월드제86차(유)1-21</t>
  </si>
  <si>
    <t>69933</t>
  </si>
  <si>
    <t>티월드제86차(유)1-22</t>
  </si>
  <si>
    <t>69934</t>
  </si>
  <si>
    <t>티월드제86차(유)1-23</t>
  </si>
  <si>
    <t>69935</t>
  </si>
  <si>
    <t>티월드제86차(유)1-24</t>
  </si>
  <si>
    <t>69936</t>
  </si>
  <si>
    <t>티월드제86차(유)1-25</t>
  </si>
  <si>
    <t>69937</t>
  </si>
  <si>
    <t>티월드제86차(유)1-26</t>
  </si>
  <si>
    <t>69938</t>
  </si>
  <si>
    <t>티월드제86차(유)1-27</t>
  </si>
  <si>
    <t>69941</t>
  </si>
  <si>
    <t>퍼스트파이브지제68차(유)1-3</t>
  </si>
  <si>
    <t>69942</t>
  </si>
  <si>
    <t>퍼스트파이브지제68차(유)1-4</t>
  </si>
  <si>
    <t>69943</t>
  </si>
  <si>
    <t>퍼스트파이브지제68차(유)1-5</t>
  </si>
  <si>
    <t>69944</t>
  </si>
  <si>
    <t>퍼스트파이브지제68차(유)1-6</t>
  </si>
  <si>
    <t>69945</t>
  </si>
  <si>
    <t>퍼스트파이브지제68차(유)1-7</t>
  </si>
  <si>
    <t>69946</t>
  </si>
  <si>
    <t>퍼스트파이브지제68차(유)1-8</t>
  </si>
  <si>
    <t>69947</t>
  </si>
  <si>
    <t>퍼스트파이브지제68차(유)1-9</t>
  </si>
  <si>
    <t>69948</t>
  </si>
  <si>
    <t>퍼스트파이브지제68차(유)1-10</t>
  </si>
  <si>
    <t>69949</t>
  </si>
  <si>
    <t>퍼스트파이브지제68차(유)1-11</t>
  </si>
  <si>
    <t>69950</t>
  </si>
  <si>
    <t>퍼스트파이브지제68차(유)1-12</t>
  </si>
  <si>
    <t>69951</t>
  </si>
  <si>
    <t>퍼스트파이브지제68차(유)1-13</t>
  </si>
  <si>
    <t>69952</t>
  </si>
  <si>
    <t>퍼스트파이브지제68차(유)1-14</t>
  </si>
  <si>
    <t>69953</t>
  </si>
  <si>
    <t>퍼스트파이브지제68차(유)1-15</t>
  </si>
  <si>
    <t>69954</t>
  </si>
  <si>
    <t>퍼스트파이브지제68차(유)1-16</t>
  </si>
  <si>
    <t>69955</t>
  </si>
  <si>
    <t>퍼스트파이브지제68차(유)1-17</t>
  </si>
  <si>
    <t>69956</t>
  </si>
  <si>
    <t>퍼스트파이브지제68차(유)1-18</t>
  </si>
  <si>
    <t>69957</t>
  </si>
  <si>
    <t>퍼스트파이브지제68차(유)1-19</t>
  </si>
  <si>
    <t>69958</t>
  </si>
  <si>
    <t>퍼스트파이브지제68차(유)1-20</t>
  </si>
  <si>
    <t>69959</t>
  </si>
  <si>
    <t>퍼스트파이브지제68차(유)1-21</t>
  </si>
  <si>
    <t>69960</t>
  </si>
  <si>
    <t>퍼스트파이브지제68차(유)1-22</t>
  </si>
  <si>
    <t>69961</t>
  </si>
  <si>
    <t>퍼스트파이브지제68차(유)1-23</t>
  </si>
  <si>
    <t>69962</t>
  </si>
  <si>
    <t>퍼스트파이브지제68차(유)1-24</t>
  </si>
  <si>
    <t>69963</t>
  </si>
  <si>
    <t>퍼스트파이브지제68차(유)1-25</t>
  </si>
  <si>
    <t>69964</t>
  </si>
  <si>
    <t>퍼스트파이브지제68차(유)1-26</t>
  </si>
  <si>
    <t>69965</t>
  </si>
  <si>
    <t>퍼스트파이브지제68차(유)1-27</t>
  </si>
  <si>
    <t>69966</t>
  </si>
  <si>
    <t>퍼스트파이브지제68차(유)1-28</t>
  </si>
  <si>
    <t>69967</t>
  </si>
  <si>
    <t>퍼스트파이브지제68차(유)1-29</t>
  </si>
  <si>
    <t>69968</t>
  </si>
  <si>
    <t>퍼스트파이브지제68차(유)1-30</t>
  </si>
  <si>
    <t>69969</t>
  </si>
  <si>
    <t>퍼스트파이브지제68차(유)1-31</t>
  </si>
  <si>
    <t>69970</t>
  </si>
  <si>
    <t>퍼스트파이브지제68차(유)1-32</t>
  </si>
  <si>
    <t>69971</t>
  </si>
  <si>
    <t>뉴마레제8차(유)2</t>
  </si>
  <si>
    <t>69974</t>
  </si>
  <si>
    <t>신보2023제5차(유)1-1</t>
  </si>
  <si>
    <t>69975</t>
  </si>
  <si>
    <t>신보2023제5차(유)1-2</t>
  </si>
  <si>
    <t>69976</t>
  </si>
  <si>
    <t>신보2023제6차(유)1-1</t>
  </si>
  <si>
    <t>69977</t>
  </si>
  <si>
    <t>신보2023제6차(유)1-2</t>
  </si>
  <si>
    <t>69978</t>
  </si>
  <si>
    <t>지에프민제4차</t>
  </si>
  <si>
    <t>69979</t>
  </si>
  <si>
    <t>신한사랑제3차(유)1</t>
  </si>
  <si>
    <t>69981</t>
  </si>
  <si>
    <t>신한챔피온제12차(유)1-2</t>
  </si>
  <si>
    <t>69997</t>
  </si>
  <si>
    <t>나무크레딧제2차(유)1</t>
  </si>
  <si>
    <t>69998</t>
  </si>
  <si>
    <t>신한사랑제10차(유)1</t>
  </si>
  <si>
    <t>69999</t>
  </si>
  <si>
    <t>알바트로스제14차(유)1-1</t>
  </si>
  <si>
    <t>70009</t>
  </si>
  <si>
    <t>알바트로스제14차(유)1-2</t>
  </si>
  <si>
    <t>70021</t>
  </si>
  <si>
    <t>주택금융공사MBS2023-11(1-1)</t>
  </si>
  <si>
    <t>70022</t>
  </si>
  <si>
    <t>주택금융공사MBS2023-11(1-2)</t>
  </si>
  <si>
    <t>70023</t>
  </si>
  <si>
    <t>주택금융공사MBS2023-11(1-3)</t>
  </si>
  <si>
    <t>70024</t>
  </si>
  <si>
    <t>주택금융공사MBS2023-11(1-4)</t>
  </si>
  <si>
    <t>70025</t>
  </si>
  <si>
    <t>주택금융공사MBS2023-11(1-5)</t>
  </si>
  <si>
    <t>70026</t>
  </si>
  <si>
    <t>주택금융공사MBS2023-11(1-6)</t>
  </si>
  <si>
    <t>70027</t>
  </si>
  <si>
    <t>주택금융공사MBS2023-11(1-7)</t>
  </si>
  <si>
    <t>70028</t>
  </si>
  <si>
    <t>주택금융공사MBS2023-11(1-8)</t>
  </si>
  <si>
    <t>70029</t>
  </si>
  <si>
    <t>주택금융공사MBS2023-11(1-9)</t>
  </si>
  <si>
    <t>70033</t>
  </si>
  <si>
    <t>신한사랑제11차(유)1</t>
  </si>
  <si>
    <t>70036</t>
  </si>
  <si>
    <t>신한챔피온제14차(유)1-4</t>
  </si>
  <si>
    <t>70040</t>
  </si>
  <si>
    <t>트러스트에이원</t>
  </si>
  <si>
    <t>70048</t>
  </si>
  <si>
    <t>베스트제8차(유)1-6</t>
  </si>
  <si>
    <t>70049</t>
  </si>
  <si>
    <t>베스트제8차(유)1-7</t>
  </si>
  <si>
    <t>70050</t>
  </si>
  <si>
    <t>베스트제8차(유)1-8</t>
  </si>
  <si>
    <t>70051</t>
  </si>
  <si>
    <t>베스트제8차(유)1-9</t>
  </si>
  <si>
    <t>70052</t>
  </si>
  <si>
    <t>베스트제8차(유)1-10</t>
  </si>
  <si>
    <t>70053</t>
  </si>
  <si>
    <t>베스트제8차(유)1-11</t>
  </si>
  <si>
    <t>70054</t>
  </si>
  <si>
    <t>베스트제8차(유)1-12</t>
  </si>
  <si>
    <t>70055</t>
  </si>
  <si>
    <t>베스트제8차(유)1-13</t>
  </si>
  <si>
    <t>70056</t>
  </si>
  <si>
    <t>베스트제8차(유)1-14</t>
  </si>
  <si>
    <t>70057</t>
  </si>
  <si>
    <t>베스트제8차(유)1-15</t>
  </si>
  <si>
    <t>70058</t>
  </si>
  <si>
    <t>베스트제8차(유)1-16</t>
  </si>
  <si>
    <t>70059</t>
  </si>
  <si>
    <t>베스트제8차(유)1-17</t>
  </si>
  <si>
    <t>70060</t>
  </si>
  <si>
    <t>베스트제8차(유)1-18</t>
  </si>
  <si>
    <t>70064</t>
  </si>
  <si>
    <t>신한사랑제11차(유)2</t>
  </si>
  <si>
    <t>70065</t>
  </si>
  <si>
    <t>신한챔피온제15차(유)1-3</t>
  </si>
  <si>
    <t>70088</t>
  </si>
  <si>
    <t>엘원비엘티제7차(유)1-1</t>
  </si>
  <si>
    <t>70089</t>
  </si>
  <si>
    <t>엘원비엘티제7차(유)1-2</t>
  </si>
  <si>
    <t>70090</t>
  </si>
  <si>
    <t>엘원비엘티제7차(유)1-3</t>
  </si>
  <si>
    <t>70091</t>
  </si>
  <si>
    <t>엘원비엘티제7차(유)1-4</t>
  </si>
  <si>
    <t>70095</t>
  </si>
  <si>
    <t>주택금융공사MBS2023-12(1-1)</t>
  </si>
  <si>
    <t>70096</t>
  </si>
  <si>
    <t>주택금융공사MBS2023-12(1-2)</t>
  </si>
  <si>
    <t>70097</t>
  </si>
  <si>
    <t>주택금융공사MBS2023-12(1-3)</t>
  </si>
  <si>
    <t>70098</t>
  </si>
  <si>
    <t>주택금융공사MBS2023-12(1-4)</t>
  </si>
  <si>
    <t>70099</t>
  </si>
  <si>
    <t>주택금융공사MBS2023-12(1-5)</t>
  </si>
  <si>
    <t>70100</t>
  </si>
  <si>
    <t>주택금융공사MBS2023-12(1-6)</t>
  </si>
  <si>
    <t>70101</t>
  </si>
  <si>
    <t>주택금융공사MBS2023-12(1-7)</t>
  </si>
  <si>
    <t>70102</t>
  </si>
  <si>
    <t>주택금융공사MBS2023-12(1-8)</t>
  </si>
  <si>
    <t>70103</t>
  </si>
  <si>
    <t>주택금융공사MBS2023-12(1-9)</t>
  </si>
  <si>
    <t>70105</t>
  </si>
  <si>
    <t>에이치와이케이제10차</t>
  </si>
  <si>
    <t>70107</t>
  </si>
  <si>
    <t>알바트로스제15차(유)1-1</t>
  </si>
  <si>
    <t>70108</t>
  </si>
  <si>
    <t>알바트로스제15차(유)1-2</t>
  </si>
  <si>
    <t>70116</t>
  </si>
  <si>
    <t>나무크레딧제3차(유)1</t>
  </si>
  <si>
    <t>70124</t>
  </si>
  <si>
    <t>알바트로스제16차(유)1</t>
  </si>
  <si>
    <t>70125</t>
  </si>
  <si>
    <t>국민사랑제6차(유)2</t>
  </si>
  <si>
    <t>70126</t>
  </si>
  <si>
    <t>이지스레지던스리츠</t>
  </si>
  <si>
    <t>70127</t>
  </si>
  <si>
    <t>묵동제1차(유)1</t>
  </si>
  <si>
    <t>70128</t>
  </si>
  <si>
    <t>주택금융공사MBS2023-13(1-1)</t>
  </si>
  <si>
    <t>70129</t>
  </si>
  <si>
    <t>주택금융공사MBS2023-13(1-2)</t>
  </si>
  <si>
    <t>70130</t>
  </si>
  <si>
    <t>주택금융공사MBS2023-13(1-3)</t>
  </si>
  <si>
    <t>70131</t>
  </si>
  <si>
    <t>주택금융공사MBS2023-13(1-4)</t>
  </si>
  <si>
    <t>70133</t>
  </si>
  <si>
    <t>엠디프라임제1차(유)1</t>
  </si>
  <si>
    <t>70134</t>
  </si>
  <si>
    <t>엠디프라임제2차(유)2</t>
  </si>
  <si>
    <t>70135</t>
  </si>
  <si>
    <t>우리사랑제5차(유)1</t>
  </si>
  <si>
    <t>70136</t>
  </si>
  <si>
    <t>우리사랑제6차(유)1</t>
  </si>
  <si>
    <t>70138</t>
  </si>
  <si>
    <t>노량진케이미트제1차(유)1</t>
  </si>
  <si>
    <t>70148</t>
  </si>
  <si>
    <t>우리사랑제4차(유)2</t>
  </si>
  <si>
    <t>70149</t>
  </si>
  <si>
    <t>우리사랑제8차(유)1</t>
  </si>
  <si>
    <t>70150</t>
  </si>
  <si>
    <t>세이프박스제13차(유)1</t>
  </si>
  <si>
    <t>70151</t>
  </si>
  <si>
    <t>우리사랑제4차(유)3</t>
  </si>
  <si>
    <t>70152</t>
  </si>
  <si>
    <t>우리사랑제8차(유)2</t>
  </si>
  <si>
    <t>70153</t>
  </si>
  <si>
    <t>우리사랑제9차(유)1</t>
  </si>
  <si>
    <t>70155</t>
  </si>
  <si>
    <t>티월드제87차(유)1-2</t>
  </si>
  <si>
    <t>70156</t>
  </si>
  <si>
    <t>티월드제87차(유)1-3</t>
  </si>
  <si>
    <t>70157</t>
  </si>
  <si>
    <t>티월드제87차(유)1-4</t>
  </si>
  <si>
    <t>70158</t>
  </si>
  <si>
    <t>티월드제87차(유)1-5</t>
  </si>
  <si>
    <t>70159</t>
  </si>
  <si>
    <t>티월드제87차(유)1-6</t>
  </si>
  <si>
    <t>70160</t>
  </si>
  <si>
    <t>티월드제87차(유)1-7</t>
  </si>
  <si>
    <t>70161</t>
  </si>
  <si>
    <t>티월드제87차(유)1-8</t>
  </si>
  <si>
    <t>70162</t>
  </si>
  <si>
    <t>티월드제87차(유)1-9</t>
  </si>
  <si>
    <t>70163</t>
  </si>
  <si>
    <t>티월드제87차(유)1-10</t>
  </si>
  <si>
    <t>70164</t>
  </si>
  <si>
    <t>티월드제87차(유)1-11</t>
  </si>
  <si>
    <t>70165</t>
  </si>
  <si>
    <t>티월드제87차(유)1-12</t>
  </si>
  <si>
    <t>70166</t>
  </si>
  <si>
    <t>티월드제87차(유)1-13</t>
  </si>
  <si>
    <t>70167</t>
  </si>
  <si>
    <t>티월드제87차(유)1-14</t>
  </si>
  <si>
    <t>70168</t>
  </si>
  <si>
    <t>티월드제87차(유)1-15</t>
  </si>
  <si>
    <t>70169</t>
  </si>
  <si>
    <t>티월드제87차(유)1-16</t>
  </si>
  <si>
    <t>70170</t>
  </si>
  <si>
    <t>티월드제87차(유)1-17</t>
  </si>
  <si>
    <t>70171</t>
  </si>
  <si>
    <t>티월드제87차(유)1-18</t>
  </si>
  <si>
    <t>70172</t>
  </si>
  <si>
    <t>티월드제87차(유)1-19</t>
  </si>
  <si>
    <t>70173</t>
  </si>
  <si>
    <t>티월드제87차(유)1-20</t>
  </si>
  <si>
    <t>70174</t>
  </si>
  <si>
    <t>티월드제87차(유)1-21</t>
  </si>
  <si>
    <t>70175</t>
  </si>
  <si>
    <t>티월드제87차(유)1-22</t>
  </si>
  <si>
    <t>70176</t>
  </si>
  <si>
    <t>티월드제87차(유)1-23</t>
  </si>
  <si>
    <t>70177</t>
  </si>
  <si>
    <t>티월드제87차(유)1-24</t>
  </si>
  <si>
    <t>70178</t>
  </si>
  <si>
    <t>티월드제87차(유)1-25</t>
  </si>
  <si>
    <t>70179</t>
  </si>
  <si>
    <t>티월드제87차(유)1-26</t>
  </si>
  <si>
    <t>70180</t>
  </si>
  <si>
    <t>티월드제87차(유)1-27</t>
  </si>
  <si>
    <t>70182</t>
  </si>
  <si>
    <t>주택금융공사MBS2023-14(1-1)</t>
  </si>
  <si>
    <t>70183</t>
  </si>
  <si>
    <t>주택금융공사MBS2023-14(1-2)</t>
  </si>
  <si>
    <t>70184</t>
  </si>
  <si>
    <t>주택금융공사MBS2023-14(1-3)</t>
  </si>
  <si>
    <t>70185</t>
  </si>
  <si>
    <t>주택금융공사MBS2023-14(1-4)</t>
  </si>
  <si>
    <t>70187</t>
  </si>
  <si>
    <t>주택금융공사MBS2023-14(1-5)</t>
  </si>
  <si>
    <t>70188</t>
  </si>
  <si>
    <t>주택금융공사MBS2023-14(1-6)</t>
  </si>
  <si>
    <t>70189</t>
  </si>
  <si>
    <t>주택금융공사MBS2023-14(1-7)</t>
  </si>
  <si>
    <t>70190</t>
  </si>
  <si>
    <t>주택금융공사MBS2023-14(1-8)</t>
  </si>
  <si>
    <t>70191</t>
  </si>
  <si>
    <t>주택금융공사MBS2023-14(1-9)</t>
  </si>
  <si>
    <t>70195</t>
  </si>
  <si>
    <t>신보2023제7차(유)1-1</t>
  </si>
  <si>
    <t>70196</t>
  </si>
  <si>
    <t>신보2023제7차(유)1-2</t>
  </si>
  <si>
    <t>70197</t>
  </si>
  <si>
    <t>신보2023제7차(유)1-3</t>
  </si>
  <si>
    <t>70198</t>
  </si>
  <si>
    <t>신보2023제7차(유)1-4</t>
  </si>
  <si>
    <t>70199</t>
  </si>
  <si>
    <t>신보2023제8차(유)1-1</t>
  </si>
  <si>
    <t>70200</t>
  </si>
  <si>
    <t>신보2023제8차(유)1-2</t>
  </si>
  <si>
    <t>70201</t>
  </si>
  <si>
    <t>신보2023제9차(유)1-1</t>
  </si>
  <si>
    <t>70202</t>
  </si>
  <si>
    <t>신보2023제9차(유)1-2</t>
  </si>
  <si>
    <t>70225</t>
  </si>
  <si>
    <t>나이스권선유동화전문(유)1</t>
  </si>
  <si>
    <t>70259</t>
  </si>
  <si>
    <t>유플러스파이브지제69차(유)1-1</t>
  </si>
  <si>
    <t>70260</t>
  </si>
  <si>
    <t>유플러스파이브지제69차(유)1-2</t>
  </si>
  <si>
    <t>70261</t>
  </si>
  <si>
    <t>유플러스파이브지제69차(유)1-3</t>
  </si>
  <si>
    <t>70262</t>
  </si>
  <si>
    <t>유플러스파이브지제69차(유)1-4</t>
  </si>
  <si>
    <t>70263</t>
  </si>
  <si>
    <t>유플러스파이브지제69차(유)1-5</t>
  </si>
  <si>
    <t>70264</t>
  </si>
  <si>
    <t>유플러스파이브지제69차(유)1-6</t>
  </si>
  <si>
    <t>70265</t>
  </si>
  <si>
    <t>유플러스파이브지제69차(유)1-7</t>
  </si>
  <si>
    <t>70266</t>
  </si>
  <si>
    <t>유플러스파이브지제69차(유)1-8</t>
  </si>
  <si>
    <t>70267</t>
  </si>
  <si>
    <t>유플러스파이브지제69차(유)1-9</t>
  </si>
  <si>
    <t>70268</t>
  </si>
  <si>
    <t>유플러스파이브지제69차(유)1-10</t>
  </si>
  <si>
    <t>70269</t>
  </si>
  <si>
    <t>유플러스파이브지제69차(유)1-11</t>
  </si>
  <si>
    <t>70270</t>
  </si>
  <si>
    <t>유플러스파이브지제69차(유)1-12</t>
  </si>
  <si>
    <t>70271</t>
  </si>
  <si>
    <t>유플러스파이브지제69차(유)1-13</t>
  </si>
  <si>
    <t>70272</t>
  </si>
  <si>
    <t>유플러스파이브지제69차(유)1-14</t>
  </si>
  <si>
    <t>70273</t>
  </si>
  <si>
    <t>유플러스파이브지제69차(유)1-15</t>
  </si>
  <si>
    <t>70274</t>
  </si>
  <si>
    <t>유플러스파이브지제69차(유)1-16</t>
  </si>
  <si>
    <t>70275</t>
  </si>
  <si>
    <t>유플러스파이브지제69차(유)1-17</t>
  </si>
  <si>
    <t>70276</t>
  </si>
  <si>
    <t>유플러스파이브지제69차(유)1-18</t>
  </si>
  <si>
    <t>70277</t>
  </si>
  <si>
    <t>유플러스파이브지제69차(유)1-19</t>
  </si>
  <si>
    <t>70278</t>
  </si>
  <si>
    <t>2023기보제1차(유)1-1</t>
  </si>
  <si>
    <t>70279</t>
  </si>
  <si>
    <t>2023기보제1차(유)1-2</t>
  </si>
  <si>
    <t>70281</t>
  </si>
  <si>
    <t>메리츠오토제10차(유)1-2</t>
  </si>
  <si>
    <t>70282</t>
  </si>
  <si>
    <t>메리츠오토제10차(유)1-3</t>
  </si>
  <si>
    <t>70283</t>
  </si>
  <si>
    <t>메리츠오토제10차(유)1-4</t>
  </si>
  <si>
    <t>70284</t>
  </si>
  <si>
    <t>메리츠오토제10차(유)1-5</t>
  </si>
  <si>
    <t>70285</t>
  </si>
  <si>
    <t>메리츠오토제10차(유)1-6</t>
  </si>
  <si>
    <t>70286</t>
  </si>
  <si>
    <t>메리츠오토제10차(유)1-7</t>
  </si>
  <si>
    <t>70287</t>
  </si>
  <si>
    <t>메리츠오토제10차(유)1-8</t>
  </si>
  <si>
    <t>70288</t>
  </si>
  <si>
    <t>메리츠오토제10차(유)1-9</t>
  </si>
  <si>
    <t>70289</t>
  </si>
  <si>
    <t>메리츠오토제10차(유)1-10</t>
  </si>
  <si>
    <t>70290</t>
  </si>
  <si>
    <t>메리츠오토제10차(유)1-11</t>
  </si>
  <si>
    <t>70291</t>
  </si>
  <si>
    <t>메리츠오토제10차(유)1-12</t>
  </si>
  <si>
    <t>70294</t>
  </si>
  <si>
    <t>주택금융공사MBS2023-15(1-1)</t>
  </si>
  <si>
    <t>70295</t>
  </si>
  <si>
    <t>주택금융공사MBS2023-15(1-2)</t>
  </si>
  <si>
    <t>70296</t>
  </si>
  <si>
    <t>주택금융공사MBS2023-15(1-3)</t>
  </si>
  <si>
    <t>70297</t>
  </si>
  <si>
    <t>주택금융공사MBS2023-15(1-4)</t>
  </si>
  <si>
    <t>70298</t>
  </si>
  <si>
    <t>주택금융공사MBS2023-15(1-5)</t>
  </si>
  <si>
    <t>70299</t>
  </si>
  <si>
    <t>주택금융공사MBS2023-15(1-6)</t>
  </si>
  <si>
    <t>70300</t>
  </si>
  <si>
    <t>주택금융공사MBS2023-15(1-7)</t>
  </si>
  <si>
    <t>70301</t>
  </si>
  <si>
    <t>주택금융공사MBS2023-15(1-8)</t>
  </si>
  <si>
    <t>70302</t>
  </si>
  <si>
    <t>주택금융공사MBS2023-15(1-9)</t>
  </si>
  <si>
    <t>70304</t>
  </si>
  <si>
    <t>제일사랑제5차(유)1</t>
  </si>
  <si>
    <t>70340</t>
  </si>
  <si>
    <t>엠캐피탈제5차(유)1-1</t>
  </si>
  <si>
    <t>70341</t>
  </si>
  <si>
    <t>엠캐피탈제5차(유)1-2</t>
  </si>
  <si>
    <t>70342</t>
  </si>
  <si>
    <t>엠캐피탈제5차(유)1-3</t>
  </si>
  <si>
    <t>70343</t>
  </si>
  <si>
    <t>엠캐피탈제5차(유)1-4</t>
  </si>
  <si>
    <t>70344</t>
  </si>
  <si>
    <t>엠캐피탈제5차(유)1-5</t>
  </si>
  <si>
    <t>70345</t>
  </si>
  <si>
    <t>엠캐피탈제5차(유)1-6</t>
  </si>
  <si>
    <t>70346</t>
  </si>
  <si>
    <t>엠캐피탈제5차(유)1-7</t>
  </si>
  <si>
    <t>70347</t>
  </si>
  <si>
    <t>엠캐피탈제5차(유)1-8</t>
  </si>
  <si>
    <t>70348</t>
  </si>
  <si>
    <t>엠캐피탈제5차(유)1-9</t>
  </si>
  <si>
    <t>70349</t>
  </si>
  <si>
    <t>엠캐피탈제5차(유)1-10</t>
  </si>
  <si>
    <t>70356</t>
  </si>
  <si>
    <t>농협타임제3차(유)1</t>
  </si>
  <si>
    <t>70359</t>
  </si>
  <si>
    <t>주택금융공사MBS2023-16(1-1)</t>
  </si>
  <si>
    <t>70360</t>
  </si>
  <si>
    <t>주택금융공사MBS2023-16(1-2)</t>
  </si>
  <si>
    <t>70361</t>
  </si>
  <si>
    <t>주택금융공사MBS2023-16(1-3)</t>
  </si>
  <si>
    <t>70362</t>
  </si>
  <si>
    <t>주택금융공사MBS2023-16(1-4)</t>
  </si>
  <si>
    <t>70365</t>
  </si>
  <si>
    <t>롯데오토리스제1차(유)1-1</t>
  </si>
  <si>
    <t>70366</t>
  </si>
  <si>
    <t>롯데오토리스제1차(유)1-2</t>
  </si>
  <si>
    <t>70367</t>
  </si>
  <si>
    <t>롯데오토리스제1차(유)1-3</t>
  </si>
  <si>
    <t>70368</t>
  </si>
  <si>
    <t>롯데오토리스제1차(유)1-4</t>
  </si>
  <si>
    <t>70369</t>
  </si>
  <si>
    <t>롯데오토리스제1차(유)1-5</t>
  </si>
  <si>
    <t>70370</t>
  </si>
  <si>
    <t>롯데오토리스제1차(유)1-6</t>
  </si>
  <si>
    <t>70371</t>
  </si>
  <si>
    <t>롯데오토리스제1차(유)1-7</t>
  </si>
  <si>
    <t>70372</t>
  </si>
  <si>
    <t>롯데오토리스제1차(유)1-8</t>
  </si>
  <si>
    <t>70373</t>
  </si>
  <si>
    <t>롯데오토리스제1차(유)1-9</t>
  </si>
  <si>
    <t>70374</t>
  </si>
  <si>
    <t>롯데오토리스제1차(유)1-10</t>
  </si>
  <si>
    <t>70375</t>
  </si>
  <si>
    <t>롯데오토리스제1차(유)1-11</t>
  </si>
  <si>
    <t>70376</t>
  </si>
  <si>
    <t>농협챔피온제4차(유)1-2</t>
  </si>
  <si>
    <t>70380</t>
  </si>
  <si>
    <t>제일사랑제5차(유)2</t>
  </si>
  <si>
    <t>70391</t>
  </si>
  <si>
    <t>증금챔피온제10차(유)1-2</t>
  </si>
  <si>
    <t>70394</t>
  </si>
  <si>
    <t>알바트로스제17차(유)1</t>
  </si>
  <si>
    <t>70397</t>
  </si>
  <si>
    <t>중진공2023제1차스케일업(유)1-1</t>
  </si>
  <si>
    <t>70398</t>
  </si>
  <si>
    <t>중진공2023제1차스케일업(유)1-2</t>
  </si>
  <si>
    <t>70399</t>
  </si>
  <si>
    <t>중진공2023제1차스케일업(유)1-3</t>
  </si>
  <si>
    <t>70400</t>
  </si>
  <si>
    <t>중진공2023제1차스케일업(유)1-4</t>
  </si>
  <si>
    <t>70401</t>
  </si>
  <si>
    <t>중진공2023제1차스케일업(유)1-5</t>
  </si>
  <si>
    <t>70402</t>
  </si>
  <si>
    <t>중진공2023제1차스케일업(유)2-1</t>
  </si>
  <si>
    <t>70403</t>
  </si>
  <si>
    <t>중진공2023제1차스케일업(유)3-1</t>
  </si>
  <si>
    <t>70404</t>
  </si>
  <si>
    <t>중진공2023제1차스케일업(유)3-2</t>
  </si>
  <si>
    <t>70407</t>
  </si>
  <si>
    <t>브라이튼스톤(유)1</t>
  </si>
  <si>
    <t>70410</t>
  </si>
  <si>
    <t>주택금융공사MBS2023-17(1-1)</t>
  </si>
  <si>
    <t>70411</t>
  </si>
  <si>
    <t>주택금융공사MBS2023-17(1-2)</t>
  </si>
  <si>
    <t>70412</t>
  </si>
  <si>
    <t>주택금융공사MBS2023-17(1-3)</t>
  </si>
  <si>
    <t>70413</t>
  </si>
  <si>
    <t>주택금융공사MBS2023-17(1-4)</t>
  </si>
  <si>
    <t>70414</t>
  </si>
  <si>
    <t>주택금융공사MBS2023-17(1-5)</t>
  </si>
  <si>
    <t>70415</t>
  </si>
  <si>
    <t>주택금융공사MBS2023-17(1-6)</t>
  </si>
  <si>
    <t>70416</t>
  </si>
  <si>
    <t>주택금융공사MBS2023-17(1-7)</t>
  </si>
  <si>
    <t>70417</t>
  </si>
  <si>
    <t>주택금융공사MBS2023-17(1-8)</t>
  </si>
  <si>
    <t>70418</t>
  </si>
  <si>
    <t>주택금융공사MBS2023-17(1-9)</t>
  </si>
  <si>
    <t>70422</t>
  </si>
  <si>
    <t>신보2023제10차(유)1-1</t>
  </si>
  <si>
    <t>70423</t>
  </si>
  <si>
    <t>신보2023제10차(유)1-2</t>
  </si>
  <si>
    <t>70424</t>
  </si>
  <si>
    <t>신보2023제11차(유)1-1</t>
  </si>
  <si>
    <t>70425</t>
  </si>
  <si>
    <t>신보2023제11차(유)1-2</t>
  </si>
  <si>
    <t>70435</t>
  </si>
  <si>
    <t>티월드제88차(유)1-1</t>
  </si>
  <si>
    <t>70436</t>
  </si>
  <si>
    <t>티월드제88차(유)1-2</t>
  </si>
  <si>
    <t>70437</t>
  </si>
  <si>
    <t>티월드제88차(유)1-3</t>
  </si>
  <si>
    <t>70438</t>
  </si>
  <si>
    <t>티월드제88차(유)1-4</t>
  </si>
  <si>
    <t>70439</t>
  </si>
  <si>
    <t>티월드제88차(유)1-5</t>
  </si>
  <si>
    <t>70440</t>
  </si>
  <si>
    <t>티월드제88차(유)1-6</t>
  </si>
  <si>
    <t>70441</t>
  </si>
  <si>
    <t>티월드제88차(유)1-7</t>
  </si>
  <si>
    <t>70442</t>
  </si>
  <si>
    <t>티월드제88차(유)1-8</t>
  </si>
  <si>
    <t>70443</t>
  </si>
  <si>
    <t>티월드제88차(유)1-9</t>
  </si>
  <si>
    <t>70444</t>
  </si>
  <si>
    <t>티월드제88차(유)1-10</t>
  </si>
  <si>
    <t>70445</t>
  </si>
  <si>
    <t>티월드제88차(유)1-11</t>
  </si>
  <si>
    <t>70446</t>
  </si>
  <si>
    <t>티월드제88차(유)1-12</t>
  </si>
  <si>
    <t>70447</t>
  </si>
  <si>
    <t>티월드제88차(유)1-13</t>
  </si>
  <si>
    <t>70448</t>
  </si>
  <si>
    <t>티월드제88차(유)1-14</t>
  </si>
  <si>
    <t>70449</t>
  </si>
  <si>
    <t>티월드제88차(유)1-15</t>
  </si>
  <si>
    <t>70450</t>
  </si>
  <si>
    <t>티월드제88차(유)1-16</t>
  </si>
  <si>
    <t>70451</t>
  </si>
  <si>
    <t>티월드제88차(유)1-17</t>
  </si>
  <si>
    <t>70452</t>
  </si>
  <si>
    <t>티월드제88차(유)1-18</t>
  </si>
  <si>
    <t>70453</t>
  </si>
  <si>
    <t>티월드제88차(유)1-19</t>
  </si>
  <si>
    <t>70454</t>
  </si>
  <si>
    <t>티월드제88차(유)1-20</t>
  </si>
  <si>
    <t>70455</t>
  </si>
  <si>
    <t>티월드제88차(유)1-21</t>
  </si>
  <si>
    <t>70456</t>
  </si>
  <si>
    <t>티월드제88차(유)1-22</t>
  </si>
  <si>
    <t>70457</t>
  </si>
  <si>
    <t>티월드제88차(유)1-23</t>
  </si>
  <si>
    <t>70458</t>
  </si>
  <si>
    <t>티월드제88차(유)1-24</t>
  </si>
  <si>
    <t>70459</t>
  </si>
  <si>
    <t>티월드제88차(유)1-25</t>
  </si>
  <si>
    <t>70460</t>
  </si>
  <si>
    <t>티월드제88차(유)1-26</t>
  </si>
  <si>
    <t>70461</t>
  </si>
  <si>
    <t>티월드제88차(유)1-27</t>
  </si>
  <si>
    <t>70462</t>
  </si>
  <si>
    <t>티월드제88차(유)1-28</t>
  </si>
  <si>
    <t>70463</t>
  </si>
  <si>
    <t>퍼스트파이브지제69차(유)1-1</t>
  </si>
  <si>
    <t>70464</t>
  </si>
  <si>
    <t>퍼스트파이브지제69차(유)1-2</t>
  </si>
  <si>
    <t>70465</t>
  </si>
  <si>
    <t>퍼스트파이브지제69차(유)1-3</t>
  </si>
  <si>
    <t>70466</t>
  </si>
  <si>
    <t>퍼스트파이브지제69차(유)1-4</t>
  </si>
  <si>
    <t>70467</t>
  </si>
  <si>
    <t>퍼스트파이브지제69차(유)1-5</t>
  </si>
  <si>
    <t>70468</t>
  </si>
  <si>
    <t>퍼스트파이브지제69차(유)1-6</t>
  </si>
  <si>
    <t>70469</t>
  </si>
  <si>
    <t>퍼스트파이브지제69차(유)1-7</t>
  </si>
  <si>
    <t>70470</t>
  </si>
  <si>
    <t>퍼스트파이브지제69차(유)1-8</t>
  </si>
  <si>
    <t>70471</t>
  </si>
  <si>
    <t>퍼스트파이브지제69차(유)1-9</t>
  </si>
  <si>
    <t>70472</t>
  </si>
  <si>
    <t>퍼스트파이브지제69차(유)1-10</t>
  </si>
  <si>
    <t>70473</t>
  </si>
  <si>
    <t>퍼스트파이브지제69차(유)1-11</t>
  </si>
  <si>
    <t>70474</t>
  </si>
  <si>
    <t>퍼스트파이브지제69차(유)1-12</t>
  </si>
  <si>
    <t>70475</t>
  </si>
  <si>
    <t>퍼스트파이브지제69차(유)1-13</t>
  </si>
  <si>
    <t>70476</t>
  </si>
  <si>
    <t>퍼스트파이브지제69차(유)1-14</t>
  </si>
  <si>
    <t>70477</t>
  </si>
  <si>
    <t>퍼스트파이브지제69차(유)1-15</t>
  </si>
  <si>
    <t>70478</t>
  </si>
  <si>
    <t>퍼스트파이브지제69차(유)1-16</t>
  </si>
  <si>
    <t>70479</t>
  </si>
  <si>
    <t>퍼스트파이브지제69차(유)1-17</t>
  </si>
  <si>
    <t>70480</t>
  </si>
  <si>
    <t>퍼스트파이브지제69차(유)1-18</t>
  </si>
  <si>
    <t>70481</t>
  </si>
  <si>
    <t>퍼스트파이브지제69차(유)1-19</t>
  </si>
  <si>
    <t>70482</t>
  </si>
  <si>
    <t>퍼스트파이브지제69차(유)1-20</t>
  </si>
  <si>
    <t>70483</t>
  </si>
  <si>
    <t>퍼스트파이브지제69차(유)1-21</t>
  </si>
  <si>
    <t>70484</t>
  </si>
  <si>
    <t>퍼스트파이브지제69차(유)1-22</t>
  </si>
  <si>
    <t>70485</t>
  </si>
  <si>
    <t>퍼스트파이브지제69차(유)1-23</t>
  </si>
  <si>
    <t>70486</t>
  </si>
  <si>
    <t>퍼스트파이브지제69차(유)1-24</t>
  </si>
  <si>
    <t>70487</t>
  </si>
  <si>
    <t>퍼스트파이브지제69차(유)1-25</t>
  </si>
  <si>
    <t>70488</t>
  </si>
  <si>
    <t>퍼스트파이브지제69차(유)1-26</t>
  </si>
  <si>
    <t>70489</t>
  </si>
  <si>
    <t>퍼스트파이브지제69차(유)1-27</t>
  </si>
  <si>
    <t>70490</t>
  </si>
  <si>
    <t>퍼스트파이브지제69차(유)1-28</t>
  </si>
  <si>
    <t>70491</t>
  </si>
  <si>
    <t>퍼스트파이브지제69차(유)1-29</t>
  </si>
  <si>
    <t>70492</t>
  </si>
  <si>
    <t>퍼스트파이브지제69차(유)1-30</t>
  </si>
  <si>
    <t>70493</t>
  </si>
  <si>
    <t>퍼스트파이브지제69차(유)1-31</t>
  </si>
  <si>
    <t>70495</t>
  </si>
  <si>
    <t>알바트로스제18차(유)1</t>
  </si>
  <si>
    <t>70497</t>
  </si>
  <si>
    <t>한솔제24차</t>
  </si>
  <si>
    <t>70509</t>
  </si>
  <si>
    <t>주택금융공사MBS2023-18(1-1)</t>
  </si>
  <si>
    <t>70510</t>
  </si>
  <si>
    <t>주택금융공사MBS2023-18(1-2)</t>
  </si>
  <si>
    <t>70511</t>
  </si>
  <si>
    <t>주택금융공사MBS2023-18(1-3)</t>
  </si>
  <si>
    <t>70512</t>
  </si>
  <si>
    <t>주택금융공사MBS2023-18(1-4)</t>
  </si>
  <si>
    <t>70544</t>
  </si>
  <si>
    <t>케이에프에프이일일이(유)2</t>
  </si>
  <si>
    <t>70546</t>
  </si>
  <si>
    <t>더블유에이치2306(유)1</t>
  </si>
  <si>
    <t>70548</t>
  </si>
  <si>
    <t>제일사랑제6차(유)1</t>
  </si>
  <si>
    <t>70549</t>
  </si>
  <si>
    <t>제일사랑제6차(유)2</t>
  </si>
  <si>
    <t>70553</t>
  </si>
  <si>
    <t>아이피씨제1차(유)1-1</t>
  </si>
  <si>
    <t>70554</t>
  </si>
  <si>
    <t>아이피씨제1차(유)1-2</t>
  </si>
  <si>
    <t>70555</t>
  </si>
  <si>
    <t>아이피씨제1차(유)1-3</t>
  </si>
  <si>
    <t>70566</t>
  </si>
  <si>
    <t>주택금융공사MBS2023-19(1-1)</t>
  </si>
  <si>
    <t>70567</t>
  </si>
  <si>
    <t>주택금융공사MBS2023-19(1-2)</t>
  </si>
  <si>
    <t>70568</t>
  </si>
  <si>
    <t>주택금융공사MBS2023-19(1-3)</t>
  </si>
  <si>
    <t>70569</t>
  </si>
  <si>
    <t>주택금융공사MBS2023-19(1-4)</t>
  </si>
  <si>
    <t>70570</t>
  </si>
  <si>
    <t>주택금융공사MBS2023-19(1-5)</t>
  </si>
  <si>
    <t>70571</t>
  </si>
  <si>
    <t>주택금융공사MBS2023-19(1-6)</t>
  </si>
  <si>
    <t>70572</t>
  </si>
  <si>
    <t>주택금융공사MBS2023-19(1-7)</t>
  </si>
  <si>
    <t>70573</t>
  </si>
  <si>
    <t>주택금융공사MBS2023-19(1-8)</t>
  </si>
  <si>
    <t>70574</t>
  </si>
  <si>
    <t>주택금융공사MBS2023-19(1-9)</t>
  </si>
  <si>
    <t>70576</t>
  </si>
  <si>
    <t>증금타임제12차(유)1-1</t>
  </si>
  <si>
    <t>70577</t>
  </si>
  <si>
    <t>증금타임제13차(유)1-1</t>
  </si>
  <si>
    <t>70578</t>
  </si>
  <si>
    <t>이터널제1차(유)1-2</t>
  </si>
  <si>
    <t>A0011</t>
  </si>
  <si>
    <t>스탠다드차타드은행(커버드)</t>
  </si>
  <si>
    <t>A0021</t>
  </si>
  <si>
    <t>대림산업(디엘이앤씨보증)</t>
  </si>
  <si>
    <t>A0082</t>
  </si>
  <si>
    <t>롯데건설(롯데케미칼지급보증)</t>
  </si>
  <si>
    <t>A0119</t>
  </si>
  <si>
    <t>오씨아이(오씨아이홀딩스연대)</t>
  </si>
  <si>
    <t>A0143</t>
  </si>
  <si>
    <t>세아베스틸지주(세아베스틸보증)</t>
  </si>
  <si>
    <t>A0238</t>
  </si>
  <si>
    <t>케이씨씨(케이씨씨글라스보증)</t>
  </si>
  <si>
    <t>A0334</t>
  </si>
  <si>
    <t>SK에코플랜트(SK엔지니어링보증)</t>
  </si>
  <si>
    <t>A0338</t>
  </si>
  <si>
    <t>하림지주(엔에스쇼핑연대)</t>
  </si>
  <si>
    <t>A0359</t>
  </si>
  <si>
    <t>케이씨씨글라스(케이씨씨보증)</t>
  </si>
  <si>
    <t>A0369</t>
  </si>
  <si>
    <t>코리안리재보험(COCO/후)</t>
  </si>
  <si>
    <t>A1802</t>
  </si>
  <si>
    <t>부산교통공사(무보증)</t>
  </si>
  <si>
    <t>A1865</t>
  </si>
  <si>
    <t>여주에너지서비스(SK이엔에스)</t>
  </si>
  <si>
    <t>A1988</t>
  </si>
  <si>
    <t>코오롱글로텍(자산관리공사보증)</t>
  </si>
  <si>
    <t>A2102</t>
  </si>
  <si>
    <t>SK플라즈마(SK디스커버리지급)</t>
  </si>
  <si>
    <t>A2333</t>
  </si>
  <si>
    <t>성호금속경주공장(성호기업보증)</t>
  </si>
  <si>
    <t>A2831</t>
  </si>
  <si>
    <t>이수건설(이수화학연대보증)</t>
  </si>
  <si>
    <t>A3001</t>
  </si>
  <si>
    <t>HI증권(DGB금융지주지급)</t>
  </si>
  <si>
    <t>A3087</t>
  </si>
  <si>
    <t>엘지에너지솔루션(LG화학보증)</t>
  </si>
  <si>
    <t>A3320</t>
  </si>
  <si>
    <t>디엘케미칼(대림산업보증)</t>
  </si>
  <si>
    <t>A3339</t>
  </si>
  <si>
    <t>에스이그린에너지(남동발전보증)</t>
  </si>
  <si>
    <t>A3573</t>
  </si>
  <si>
    <t>교보생명(HYBRID/후후)</t>
  </si>
  <si>
    <t>A3577</t>
  </si>
  <si>
    <t>신한라이프(HYBRID/후후)</t>
  </si>
  <si>
    <t>A3579</t>
  </si>
  <si>
    <t>케이디비생명보험(산은지급)</t>
  </si>
  <si>
    <t>A3793</t>
  </si>
  <si>
    <t>이리츠코크렙(담보)</t>
  </si>
  <si>
    <t>A3840</t>
  </si>
  <si>
    <t>디비캐피탈(국민은행지급보증)</t>
  </si>
  <si>
    <t>A3864</t>
  </si>
  <si>
    <t>대전신세계(신세계보증)</t>
  </si>
  <si>
    <t>A5454</t>
  </si>
  <si>
    <t>우리금융지주(COCO/후)</t>
  </si>
  <si>
    <t>A5484</t>
  </si>
  <si>
    <t>에스케이온(SK이노베이션보증)</t>
  </si>
  <si>
    <t>A5501</t>
  </si>
  <si>
    <t>에스파워(삼천리 보증)</t>
  </si>
  <si>
    <t>A5979</t>
  </si>
  <si>
    <t>SBI캐피탈(SBIHoldings보증)</t>
  </si>
  <si>
    <t>A6104</t>
  </si>
  <si>
    <t>SK머티리얼즈(SK보증)</t>
  </si>
  <si>
    <t>A6176</t>
  </si>
  <si>
    <t>에이치엘클레무브(만도보증)</t>
  </si>
  <si>
    <t>A6675</t>
  </si>
  <si>
    <t>울산지피에스(SK가스보증)</t>
  </si>
  <si>
    <t>A6688</t>
  </si>
  <si>
    <t>키움에프앤아이(다우기술보증)</t>
  </si>
  <si>
    <t>A6748</t>
  </si>
  <si>
    <t>포스코(포스코홀딩스보증)</t>
  </si>
  <si>
    <t>A7039</t>
  </si>
  <si>
    <t>아이지이(SK이엔에스보증)</t>
  </si>
  <si>
    <t>A7084</t>
  </si>
  <si>
    <t>세아베스틸(세아베스틸지주보증)</t>
  </si>
  <si>
    <t>A7858</t>
  </si>
  <si>
    <t>통영에코파워(한화에너지권면)</t>
  </si>
  <si>
    <t>A8210</t>
  </si>
  <si>
    <t>우리금융지주(COCO/후후)</t>
  </si>
  <si>
    <t>A8637</t>
  </si>
  <si>
    <t>지에스엔텍(지에스글로벌보증)</t>
  </si>
  <si>
    <t>A8805</t>
  </si>
  <si>
    <t>CJ CGV(HYBRID/후)</t>
  </si>
  <si>
    <t>A8869</t>
  </si>
  <si>
    <t>메리츠금융지주 (HYBRID/후)</t>
  </si>
  <si>
    <t>A8936</t>
  </si>
  <si>
    <t>롯데리츠(부동산담보)</t>
  </si>
  <si>
    <t>A9190</t>
  </si>
  <si>
    <t>토지지원리츠(주택도시보증)</t>
  </si>
  <si>
    <t>A9300</t>
  </si>
  <si>
    <t>아주산업(아주연대보증)</t>
  </si>
  <si>
    <t>B1078</t>
  </si>
  <si>
    <t>아이에스동서(담보부)</t>
  </si>
  <si>
    <t>B1767</t>
  </si>
  <si>
    <t>SK텔레콤(SK스퀘어보증)</t>
  </si>
  <si>
    <t>B2953</t>
  </si>
  <si>
    <t>JB금융지주(COCO/후)</t>
  </si>
  <si>
    <t>B3986</t>
  </si>
  <si>
    <t>KB금융(COCO/후)</t>
  </si>
  <si>
    <t>B6556</t>
  </si>
  <si>
    <t>에스앤아이코퍼(S&amp;I건설보증)</t>
  </si>
  <si>
    <t>B7858</t>
  </si>
  <si>
    <t>통영에코파워(HDC권면)</t>
  </si>
  <si>
    <t>C1118</t>
  </si>
  <si>
    <t>하나금융지주(COCO/후)</t>
  </si>
  <si>
    <t>C2313</t>
  </si>
  <si>
    <t>국민은행(커버드)</t>
  </si>
  <si>
    <t>C3818</t>
  </si>
  <si>
    <t>조선호텔앤리조트(자산관리보증)</t>
  </si>
  <si>
    <t>C7858</t>
  </si>
  <si>
    <t>통영에코파워(하나증권지급)</t>
  </si>
  <si>
    <t>C9327</t>
  </si>
  <si>
    <t>수협은행(커버드)</t>
  </si>
  <si>
    <t>C9845</t>
  </si>
  <si>
    <t>농협은행(COCO/HYBRID)</t>
  </si>
  <si>
    <t>D0001</t>
  </si>
  <si>
    <t>신한은행(커버드)</t>
  </si>
  <si>
    <t>D2313</t>
  </si>
  <si>
    <t>국민은행(COCO/후후)</t>
  </si>
  <si>
    <t>D3818</t>
  </si>
  <si>
    <t>조선호텔앤리조트(담보부)</t>
  </si>
  <si>
    <t>F3946</t>
  </si>
  <si>
    <t>우리은행(커버드)</t>
  </si>
  <si>
    <t>S0255</t>
  </si>
  <si>
    <t>KB손해보험(후)</t>
  </si>
  <si>
    <t>S0389</t>
  </si>
  <si>
    <t>푸본현대생명(후)</t>
  </si>
  <si>
    <t>S1273</t>
  </si>
  <si>
    <t>미래에셋생명(후)</t>
  </si>
  <si>
    <t>S1781</t>
  </si>
  <si>
    <t>풀무원(후)</t>
  </si>
  <si>
    <t>S3049</t>
  </si>
  <si>
    <t>한국투자증권(후)</t>
  </si>
  <si>
    <t>S3481</t>
  </si>
  <si>
    <t>한화생명(후)</t>
  </si>
  <si>
    <t>S3483</t>
  </si>
  <si>
    <t>에이비엘생명보험(후)</t>
  </si>
  <si>
    <t>신한라이프(후)</t>
  </si>
  <si>
    <t>S3587</t>
  </si>
  <si>
    <t>KB라이프생명보험(후)</t>
  </si>
  <si>
    <t>S4364</t>
  </si>
  <si>
    <t>키움증권(후)</t>
  </si>
  <si>
    <t>S7992</t>
  </si>
  <si>
    <t>아이비케이연금보험(후)</t>
  </si>
  <si>
    <t>S8805</t>
  </si>
  <si>
    <t>CjCGV(후)</t>
  </si>
  <si>
    <t>채권신용평가등급</t>
    <phoneticPr fontId="4" type="noConversion"/>
  </si>
  <si>
    <t>70589</t>
  </si>
  <si>
    <t>신보2023제12차(유)1-1</t>
  </si>
  <si>
    <t>70590</t>
  </si>
  <si>
    <t>신보2023제12차(유)1-2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</si>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</sst>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20"/>
      <color theme="0" tint="-4.9989318521683403E-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20"/>
      <color rgb="FFFF0000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A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CCCCFF"/>
      </left>
      <right style="thin">
        <color rgb="FFCCCCFF"/>
      </right>
      <top style="thin">
        <color rgb="FFCCCCFF"/>
      </top>
      <bottom style="thin">
        <color rgb="FFCCCCFF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14996795556505021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medium">
        <color indexed="64"/>
      </top>
      <bottom/>
      <diagonal/>
    </border>
    <border>
      <left/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2" borderId="1" applyNumberFormat="0" applyFont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7" fillId="0" borderId="2" xfId="1" applyFont="1" applyBorder="1" applyAlignment="1">
      <alignment horizontal="center" vertical="center"/>
    </xf>
    <xf numFmtId="0" fontId="5" fillId="3" borderId="3" xfId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14" fontId="0" fillId="0" borderId="34" xfId="0" applyNumberFormat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9" fillId="0" borderId="0" xfId="1" applyFont="1" applyAlignment="1">
      <alignment horizontal="left" vertical="center"/>
    </xf>
    <xf numFmtId="0" fontId="10" fillId="0" borderId="0" xfId="0" applyFont="1">
      <alignment vertical="center"/>
    </xf>
    <xf numFmtId="0" fontId="11" fillId="0" borderId="0" xfId="1" applyFont="1" applyAlignment="1">
      <alignment horizontal="left" vertical="center"/>
    </xf>
    <xf numFmtId="0" fontId="6" fillId="5" borderId="0" xfId="1" applyFont="1" applyFill="1">
      <alignment vertical="center"/>
    </xf>
    <xf numFmtId="49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9" fontId="7" fillId="4" borderId="2" xfId="1" quotePrefix="1" applyNumberFormat="1" applyFont="1" applyFill="1" applyBorder="1" applyAlignment="1">
      <alignment horizontal="center" vertical="center"/>
    </xf>
    <xf numFmtId="0" fontId="0" fillId="11" borderId="0" xfId="0" applyFill="1">
      <alignment vertical="center"/>
    </xf>
    <xf numFmtId="14" fontId="5" fillId="7" borderId="4" xfId="2" applyNumberFormat="1" applyFont="1" applyFill="1" applyBorder="1" applyAlignment="1">
      <alignment horizontal="center" vertical="center"/>
    </xf>
    <xf numFmtId="14" fontId="5" fillId="7" borderId="5" xfId="2" applyNumberFormat="1" applyFont="1" applyFill="1" applyBorder="1" applyAlignment="1">
      <alignment horizontal="center" vertical="center"/>
    </xf>
    <xf numFmtId="14" fontId="5" fillId="7" borderId="6" xfId="2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5" borderId="0" xfId="1" applyFont="1" applyFill="1" applyAlignment="1">
      <alignment horizontal="left" vertical="center"/>
    </xf>
    <xf numFmtId="0" fontId="0" fillId="0" borderId="0" xfId="0" applyNumberFormat="1">
      <alignment vertical="center"/>
    </xf>
  </cellXfs>
  <cellStyles count="7">
    <cellStyle name="메모 2" xfId="5"/>
    <cellStyle name="쉼표 [0] 2" xfId="2"/>
    <cellStyle name="쉼표 [0] 2 2" xfId="6"/>
    <cellStyle name="표준" xfId="0" builtinId="0"/>
    <cellStyle name="표준 2" xfId="3"/>
    <cellStyle name="표준 3" xfId="4"/>
    <cellStyle name="표준 4" xfId="1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</v>
        <stp/>
        <stp>H</stp>
        <stp>x8.TgBG1</stp>
        <stp>311</stp>
        <stp>1054380</stp>
        <tr r="BS26" s="1"/>
      </tp>
      <tp>
        <v>0</v>
        <stp/>
        <stp>H</stp>
        <stp>x9.TgBG1</stp>
        <stp>312</stp>
        <stp>1054380</stp>
        <tr r="AZ26" s="1"/>
      </tp>
      <tp>
        <v>0</v>
        <stp/>
        <stp>H</stp>
        <stp>x6.TgBG1</stp>
        <stp>309</stp>
        <stp>1054380</stp>
        <tr r="AI26" s="1"/>
      </tp>
      <tp>
        <v>0</v>
        <stp/>
        <stp>H</stp>
        <stp>x7.TgBG1</stp>
        <stp>310</stp>
        <stp>1054380</stp>
        <tr r="AO26" s="1"/>
      </tp>
      <tp t="e">
        <v>#N/A</v>
        <stp/>
        <stp>T</stp>
        <stp>x13.QRBG1</stp>
        <stp>231</stp>
        <stp>3735576</stp>
        <tr r="A7" s="3"/>
      </tp>
      <tp>
        <v>0</v>
        <stp/>
        <stp>H</stp>
        <stp>x4.TgBG1</stp>
        <stp>307</stp>
        <stp>1054380</stp>
        <tr r="BW26" s="1"/>
      </tp>
      <tp>
        <v>0</v>
        <stp/>
        <stp>H</stp>
        <stp>x5.TgBG1</stp>
        <stp>308</stp>
        <stp>1054380</stp>
        <tr r="BF26" s="1"/>
      </tp>
      <tp>
        <v>0</v>
        <stp/>
        <stp>H</stp>
        <stp>x2.TgBG1</stp>
        <stp>305</stp>
        <stp>1054380</stp>
        <tr r="BP26" s="1"/>
      </tp>
      <tp>
        <v>0</v>
        <stp/>
        <stp>H</stp>
        <stp>x3.TgBG1</stp>
        <stp>306</stp>
        <stp>1054380</stp>
        <tr r="BC26" s="1"/>
      </tp>
      <tp>
        <v>0</v>
        <stp/>
        <stp>H</stp>
        <stp>x1.TgBG1</stp>
        <stp>304</stp>
        <stp>1054380</stp>
        <tr r="BI26" s="1"/>
      </tp>
      <tp>
        <v>0</v>
        <stp/>
        <stp>H</stp>
        <stp>x12.TgBG1</stp>
        <stp>315</stp>
        <stp>1054380</stp>
        <tr r="BU26" s="1"/>
      </tp>
      <tp>
        <v>0</v>
        <stp/>
        <stp>H</stp>
        <stp>x11.TgBG1</stp>
        <stp>314</stp>
        <stp>1054380</stp>
        <tr r="AR26" s="1"/>
      </tp>
      <tp>
        <v>0</v>
        <stp/>
        <stp>H</stp>
        <stp>x10.TgBG1</stp>
        <stp>313</stp>
        <stp>1054380</stp>
        <tr r="AL2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채권등급</c:v>
          </c:tx>
          <c:cat>
            <c:numRef>
              <c:f>신용등급!$AU$28:$AU$82</c:f>
              <c:numCache>
                <c:formatCode>m/d/yyyy</c:formatCode>
                <c:ptCount val="55"/>
                <c:pt idx="0">
                  <c:v>45107</c:v>
                </c:pt>
                <c:pt idx="1">
                  <c:v>45077</c:v>
                </c:pt>
                <c:pt idx="2">
                  <c:v>45044</c:v>
                </c:pt>
                <c:pt idx="3">
                  <c:v>45016</c:v>
                </c:pt>
                <c:pt idx="4">
                  <c:v>44985</c:v>
                </c:pt>
                <c:pt idx="5">
                  <c:v>44957</c:v>
                </c:pt>
                <c:pt idx="6">
                  <c:v>44928</c:v>
                </c:pt>
                <c:pt idx="7">
                  <c:v>44925</c:v>
                </c:pt>
                <c:pt idx="8">
                  <c:v>44902</c:v>
                </c:pt>
                <c:pt idx="9">
                  <c:v>44895</c:v>
                </c:pt>
                <c:pt idx="10">
                  <c:v>44865</c:v>
                </c:pt>
                <c:pt idx="11">
                  <c:v>44834</c:v>
                </c:pt>
                <c:pt idx="12">
                  <c:v>44804</c:v>
                </c:pt>
                <c:pt idx="13">
                  <c:v>44771</c:v>
                </c:pt>
                <c:pt idx="14">
                  <c:v>44742</c:v>
                </c:pt>
                <c:pt idx="15">
                  <c:v>44712</c:v>
                </c:pt>
                <c:pt idx="16">
                  <c:v>44680</c:v>
                </c:pt>
                <c:pt idx="17">
                  <c:v>44651</c:v>
                </c:pt>
                <c:pt idx="18">
                  <c:v>44620</c:v>
                </c:pt>
                <c:pt idx="19">
                  <c:v>44603</c:v>
                </c:pt>
                <c:pt idx="20">
                  <c:v>44601</c:v>
                </c:pt>
                <c:pt idx="21">
                  <c:v>44561</c:v>
                </c:pt>
                <c:pt idx="22">
                  <c:v>44530</c:v>
                </c:pt>
                <c:pt idx="23">
                  <c:v>44498</c:v>
                </c:pt>
                <c:pt idx="24">
                  <c:v>44469</c:v>
                </c:pt>
                <c:pt idx="25">
                  <c:v>44439</c:v>
                </c:pt>
                <c:pt idx="26">
                  <c:v>44407</c:v>
                </c:pt>
                <c:pt idx="27">
                  <c:v>44377</c:v>
                </c:pt>
                <c:pt idx="28">
                  <c:v>44347</c:v>
                </c:pt>
                <c:pt idx="29">
                  <c:v>44316</c:v>
                </c:pt>
                <c:pt idx="30">
                  <c:v>44307</c:v>
                </c:pt>
                <c:pt idx="31">
                  <c:v>44286</c:v>
                </c:pt>
                <c:pt idx="32">
                  <c:v>44253</c:v>
                </c:pt>
                <c:pt idx="33">
                  <c:v>44225</c:v>
                </c:pt>
                <c:pt idx="34">
                  <c:v>44196</c:v>
                </c:pt>
                <c:pt idx="35">
                  <c:v>44165</c:v>
                </c:pt>
                <c:pt idx="36">
                  <c:v>44134</c:v>
                </c:pt>
                <c:pt idx="37">
                  <c:v>44103</c:v>
                </c:pt>
                <c:pt idx="38">
                  <c:v>44074</c:v>
                </c:pt>
                <c:pt idx="39">
                  <c:v>44043</c:v>
                </c:pt>
                <c:pt idx="40">
                  <c:v>44012</c:v>
                </c:pt>
                <c:pt idx="41">
                  <c:v>43987</c:v>
                </c:pt>
                <c:pt idx="42">
                  <c:v>43980</c:v>
                </c:pt>
                <c:pt idx="43">
                  <c:v>43950</c:v>
                </c:pt>
                <c:pt idx="44">
                  <c:v>43949</c:v>
                </c:pt>
                <c:pt idx="45">
                  <c:v>43923</c:v>
                </c:pt>
                <c:pt idx="46">
                  <c:v>43889</c:v>
                </c:pt>
                <c:pt idx="47">
                  <c:v>43861</c:v>
                </c:pt>
                <c:pt idx="48">
                  <c:v>43830</c:v>
                </c:pt>
                <c:pt idx="49">
                  <c:v>43829</c:v>
                </c:pt>
                <c:pt idx="50">
                  <c:v>43798</c:v>
                </c:pt>
                <c:pt idx="51">
                  <c:v>43769</c:v>
                </c:pt>
                <c:pt idx="52">
                  <c:v>43738</c:v>
                </c:pt>
                <c:pt idx="53">
                  <c:v>43707</c:v>
                </c:pt>
                <c:pt idx="54">
                  <c:v>43677</c:v>
                </c:pt>
              </c:numCache>
            </c:numRef>
          </c:cat>
          <c:val>
            <c:numRef>
              <c:f>신용등급!$AW$28:$AW$82</c:f>
              <c:numCache>
                <c:formatCode>General</c:formatCode>
                <c:ptCount val="55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280</c:v>
                </c:pt>
                <c:pt idx="4">
                  <c:v>280</c:v>
                </c:pt>
                <c:pt idx="5">
                  <c:v>280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280</c:v>
                </c:pt>
                <c:pt idx="11">
                  <c:v>280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280</c:v>
                </c:pt>
                <c:pt idx="16">
                  <c:v>280</c:v>
                </c:pt>
                <c:pt idx="17">
                  <c:v>280</c:v>
                </c:pt>
                <c:pt idx="18">
                  <c:v>280</c:v>
                </c:pt>
                <c:pt idx="19">
                  <c:v>280</c:v>
                </c:pt>
                <c:pt idx="20">
                  <c:v>280</c:v>
                </c:pt>
                <c:pt idx="21">
                  <c:v>280</c:v>
                </c:pt>
                <c:pt idx="22">
                  <c:v>280</c:v>
                </c:pt>
                <c:pt idx="23">
                  <c:v>280</c:v>
                </c:pt>
                <c:pt idx="24">
                  <c:v>280</c:v>
                </c:pt>
                <c:pt idx="25">
                  <c:v>280</c:v>
                </c:pt>
                <c:pt idx="26">
                  <c:v>280</c:v>
                </c:pt>
                <c:pt idx="27">
                  <c:v>280</c:v>
                </c:pt>
                <c:pt idx="28">
                  <c:v>280</c:v>
                </c:pt>
                <c:pt idx="29">
                  <c:v>280</c:v>
                </c:pt>
                <c:pt idx="30">
                  <c:v>280</c:v>
                </c:pt>
                <c:pt idx="31">
                  <c:v>280</c:v>
                </c:pt>
                <c:pt idx="32">
                  <c:v>280</c:v>
                </c:pt>
                <c:pt idx="33">
                  <c:v>280</c:v>
                </c:pt>
                <c:pt idx="34">
                  <c:v>280</c:v>
                </c:pt>
                <c:pt idx="35">
                  <c:v>280</c:v>
                </c:pt>
                <c:pt idx="36">
                  <c:v>280</c:v>
                </c:pt>
                <c:pt idx="37">
                  <c:v>280</c:v>
                </c:pt>
                <c:pt idx="38">
                  <c:v>280</c:v>
                </c:pt>
                <c:pt idx="39">
                  <c:v>280</c:v>
                </c:pt>
                <c:pt idx="40">
                  <c:v>280</c:v>
                </c:pt>
                <c:pt idx="41">
                  <c:v>280</c:v>
                </c:pt>
                <c:pt idx="42">
                  <c:v>280</c:v>
                </c:pt>
                <c:pt idx="43">
                  <c:v>280</c:v>
                </c:pt>
                <c:pt idx="44">
                  <c:v>280</c:v>
                </c:pt>
                <c:pt idx="45">
                  <c:v>280</c:v>
                </c:pt>
                <c:pt idx="46">
                  <c:v>280</c:v>
                </c:pt>
                <c:pt idx="47">
                  <c:v>280</c:v>
                </c:pt>
                <c:pt idx="48">
                  <c:v>280</c:v>
                </c:pt>
                <c:pt idx="49">
                  <c:v>280</c:v>
                </c:pt>
                <c:pt idx="50">
                  <c:v>280</c:v>
                </c:pt>
                <c:pt idx="51">
                  <c:v>280</c:v>
                </c:pt>
                <c:pt idx="52">
                  <c:v>280</c:v>
                </c:pt>
                <c:pt idx="53">
                  <c:v>280</c:v>
                </c:pt>
                <c:pt idx="54">
                  <c:v>280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CB-4DED-B10E-1180F14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088512"/>
        <c:axId val="233090048"/>
      </c:lineChart>
      <c:dateAx>
        <c:axId val="23308851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m/d/yyyy" sourceLinked="1"/>
        <c:majorTickMark val="out"/>
        <c:minorTickMark val="none"/>
        <c:tickLblPos val="nextTo"/>
        <c:crossAx val="233090048"/>
        <c:crosses val="autoZero"/>
        <c:auto val="1"/>
        <c:lblOffset val="100"/>
        <c:baseTimeUnit val="months"/>
        <c:majorUnit val="3"/>
        <c:majorTimeUnit val="years"/>
      </c:dateAx>
      <c:valAx>
        <c:axId val="233090048"/>
        <c:scaling>
          <c:orientation val="minMax"/>
          <c:max val="280"/>
          <c:min val="10"/>
        </c:scaling>
        <c:delete val="0"/>
        <c:axPos val="l"/>
        <c:majorGridlines/>
        <c:numFmt formatCode="General" sourceLinked="1"/>
        <c:majorTickMark val="out"/>
        <c:minorTickMark val="in"/>
        <c:tickLblPos val="none"/>
        <c:crossAx val="233088512"/>
        <c:crosses val="autoZero"/>
        <c:crossBetween val="midCat"/>
        <c:majorUnit val="30"/>
        <c:minorUnit val="10"/>
      </c:valAx>
    </c:plotArea>
    <c:plotVisOnly val="0"/>
    <c:dispBlanksAs val="span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기업등급</c:v>
          </c:tx>
          <c:cat>
            <c:numRef>
              <c:f>신용등급!$BL$28:$BL$82</c:f>
              <c:numCache>
                <c:formatCode>m/d/yyyy</c:formatCode>
                <c:ptCount val="55"/>
                <c:pt idx="0">
                  <c:v>45026</c:v>
                </c:pt>
                <c:pt idx="1">
                  <c:v>45020</c:v>
                </c:pt>
                <c:pt idx="2">
                  <c:v>45016</c:v>
                </c:pt>
                <c:pt idx="3">
                  <c:v>44652</c:v>
                </c:pt>
                <c:pt idx="4">
                  <c:v>44288</c:v>
                </c:pt>
                <c:pt idx="5">
                  <c:v>44286</c:v>
                </c:pt>
                <c:pt idx="6">
                  <c:v>43924</c:v>
                </c:pt>
                <c:pt idx="7">
                  <c:v>43560</c:v>
                </c:pt>
                <c:pt idx="8">
                  <c:v>43553</c:v>
                </c:pt>
                <c:pt idx="9">
                  <c:v>43195</c:v>
                </c:pt>
                <c:pt idx="10">
                  <c:v>43193</c:v>
                </c:pt>
                <c:pt idx="11">
                  <c:v>43189</c:v>
                </c:pt>
                <c:pt idx="12">
                  <c:v>42853</c:v>
                </c:pt>
                <c:pt idx="13">
                  <c:v>42825</c:v>
                </c:pt>
                <c:pt idx="14">
                  <c:v>42480</c:v>
                </c:pt>
                <c:pt idx="15">
                  <c:v>42461</c:v>
                </c:pt>
                <c:pt idx="16">
                  <c:v>42460</c:v>
                </c:pt>
                <c:pt idx="17">
                  <c:v>42094</c:v>
                </c:pt>
                <c:pt idx="18">
                  <c:v>41759</c:v>
                </c:pt>
                <c:pt idx="19">
                  <c:v>41729</c:v>
                </c:pt>
                <c:pt idx="20">
                  <c:v>41394</c:v>
                </c:pt>
                <c:pt idx="21">
                  <c:v>41365</c:v>
                </c:pt>
                <c:pt idx="22">
                  <c:v>41065</c:v>
                </c:pt>
                <c:pt idx="23">
                  <c:v>41004</c:v>
                </c:pt>
                <c:pt idx="24">
                  <c:v>40662</c:v>
                </c:pt>
                <c:pt idx="25">
                  <c:v>40633</c:v>
                </c:pt>
                <c:pt idx="26">
                  <c:v>40298</c:v>
                </c:pt>
                <c:pt idx="27">
                  <c:v>40147</c:v>
                </c:pt>
                <c:pt idx="28">
                  <c:v>40025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</c:numCache>
            </c:numRef>
          </c:cat>
          <c:val>
            <c:numRef>
              <c:f>신용등급!$BN$28:$BN$82</c:f>
              <c:numCache>
                <c:formatCode>General</c:formatCode>
                <c:ptCount val="55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280</c:v>
                </c:pt>
                <c:pt idx="4">
                  <c:v>280</c:v>
                </c:pt>
                <c:pt idx="5">
                  <c:v>280</c:v>
                </c:pt>
                <c:pt idx="6">
                  <c:v>280</c:v>
                </c:pt>
                <c:pt idx="7">
                  <c:v>280</c:v>
                </c:pt>
                <c:pt idx="8">
                  <c:v>280</c:v>
                </c:pt>
                <c:pt idx="9">
                  <c:v>280</c:v>
                </c:pt>
                <c:pt idx="10">
                  <c:v>280</c:v>
                </c:pt>
                <c:pt idx="11">
                  <c:v>280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280</c:v>
                </c:pt>
                <c:pt idx="16">
                  <c:v>280</c:v>
                </c:pt>
                <c:pt idx="17">
                  <c:v>280</c:v>
                </c:pt>
                <c:pt idx="18">
                  <c:v>280</c:v>
                </c:pt>
                <c:pt idx="19">
                  <c:v>280</c:v>
                </c:pt>
                <c:pt idx="20">
                  <c:v>280</c:v>
                </c:pt>
                <c:pt idx="21">
                  <c:v>280</c:v>
                </c:pt>
                <c:pt idx="22">
                  <c:v>280</c:v>
                </c:pt>
                <c:pt idx="23">
                  <c:v>280</c:v>
                </c:pt>
                <c:pt idx="24">
                  <c:v>280</c:v>
                </c:pt>
                <c:pt idx="25">
                  <c:v>280</c:v>
                </c:pt>
                <c:pt idx="26">
                  <c:v>280</c:v>
                </c:pt>
                <c:pt idx="27">
                  <c:v>280</c:v>
                </c:pt>
                <c:pt idx="28">
                  <c:v>280</c:v>
                </c:pt>
                <c:pt idx="29" formatCode="m/d/yyyy">
                  <c:v>#N/A</c:v>
                </c:pt>
                <c:pt idx="30" formatCode="m/d/yyyy">
                  <c:v>#N/A</c:v>
                </c:pt>
                <c:pt idx="31" formatCode="m/d/yyyy">
                  <c:v>#N/A</c:v>
                </c:pt>
                <c:pt idx="32" formatCode="m/d/yyyy">
                  <c:v>#N/A</c:v>
                </c:pt>
                <c:pt idx="33" formatCode="m/d/yyyy">
                  <c:v>#N/A</c:v>
                </c:pt>
                <c:pt idx="34" formatCode="m/d/yyyy">
                  <c:v>#N/A</c:v>
                </c:pt>
                <c:pt idx="35" formatCode="m/d/yyyy">
                  <c:v>#N/A</c:v>
                </c:pt>
                <c:pt idx="36" formatCode="m/d/yyyy">
                  <c:v>#N/A</c:v>
                </c:pt>
                <c:pt idx="37" formatCode="m/d/yyyy">
                  <c:v>#N/A</c:v>
                </c:pt>
                <c:pt idx="38" formatCode="m/d/yyyy">
                  <c:v>#N/A</c:v>
                </c:pt>
                <c:pt idx="39" formatCode="m/d/yyyy">
                  <c:v>#N/A</c:v>
                </c:pt>
                <c:pt idx="40" formatCode="m/d/yyyy">
                  <c:v>#N/A</c:v>
                </c:pt>
                <c:pt idx="41" formatCode="m/d/yyyy">
                  <c:v>#N/A</c:v>
                </c:pt>
                <c:pt idx="42" formatCode="m/d/yyyy">
                  <c:v>#N/A</c:v>
                </c:pt>
                <c:pt idx="43" formatCode="m/d/yyyy">
                  <c:v>#N/A</c:v>
                </c:pt>
                <c:pt idx="44" formatCode="m/d/yyyy">
                  <c:v>#N/A</c:v>
                </c:pt>
                <c:pt idx="45" formatCode="m/d/yyyy">
                  <c:v>#N/A</c:v>
                </c:pt>
                <c:pt idx="46" formatCode="m/d/yyyy">
                  <c:v>#N/A</c:v>
                </c:pt>
                <c:pt idx="47" formatCode="m/d/yyyy">
                  <c:v>#N/A</c:v>
                </c:pt>
                <c:pt idx="48" formatCode="m/d/yyyy">
                  <c:v>#N/A</c:v>
                </c:pt>
                <c:pt idx="49" formatCode="m/d/yyyy">
                  <c:v>#N/A</c:v>
                </c:pt>
                <c:pt idx="50" formatCode="m/d/yyyy">
                  <c:v>#N/A</c:v>
                </c:pt>
                <c:pt idx="51" formatCode="m/d/yyyy">
                  <c:v>#N/A</c:v>
                </c:pt>
                <c:pt idx="52" formatCode="m/d/yyyy">
                  <c:v>#N/A</c:v>
                </c:pt>
                <c:pt idx="53" formatCode="m/d/yyyy">
                  <c:v>#N/A</c:v>
                </c:pt>
                <c:pt idx="54" formatCode="m/d/yyyy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65-416A-A710-A1353C78C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151488"/>
        <c:axId val="233161472"/>
      </c:lineChart>
      <c:dateAx>
        <c:axId val="23315148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233161472"/>
        <c:crosses val="autoZero"/>
        <c:auto val="1"/>
        <c:lblOffset val="100"/>
        <c:baseTimeUnit val="days"/>
        <c:majorUnit val="3"/>
      </c:dateAx>
      <c:valAx>
        <c:axId val="233161472"/>
        <c:scaling>
          <c:orientation val="minMax"/>
          <c:max val="280"/>
          <c:min val="10"/>
        </c:scaling>
        <c:delete val="0"/>
        <c:axPos val="l"/>
        <c:majorGridlines/>
        <c:numFmt formatCode="General" sourceLinked="1"/>
        <c:majorTickMark val="out"/>
        <c:minorTickMark val="in"/>
        <c:tickLblPos val="none"/>
        <c:crossAx val="233151488"/>
        <c:crosses val="autoZero"/>
        <c:crossBetween val="midCat"/>
        <c:majorUnit val="30"/>
        <c:minorUnit val="10"/>
      </c:valAx>
    </c:plotArea>
    <c:plotVisOnly val="0"/>
    <c:dispBlanksAs val="span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CP등급</c:v>
          </c:tx>
          <c:cat>
            <c:numRef>
              <c:f>신용등급!$BY$28:$BY$82</c:f>
              <c:numCache>
                <c:formatCode>m/d/yyyy</c:formatCode>
                <c:ptCount val="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</c:numCache>
            </c:numRef>
          </c:cat>
          <c:val>
            <c:numRef>
              <c:f>신용등급!$CA$28:$CA$82</c:f>
              <c:numCache>
                <c:formatCode>m/d/yyyy</c:formatCode>
                <c:ptCount val="5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9D-44C8-8D57-51B3A20BB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93856"/>
        <c:axId val="236795392"/>
      </c:lineChart>
      <c:dateAx>
        <c:axId val="23679385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m/d/yyyy" sourceLinked="1"/>
        <c:majorTickMark val="out"/>
        <c:minorTickMark val="none"/>
        <c:tickLblPos val="nextTo"/>
        <c:crossAx val="236795392"/>
        <c:crosses val="autoZero"/>
        <c:auto val="1"/>
        <c:lblOffset val="100"/>
        <c:baseTimeUnit val="months"/>
        <c:majorUnit val="3"/>
        <c:majorTimeUnit val="years"/>
        <c:minorUnit val="1"/>
        <c:minorTimeUnit val="years"/>
      </c:dateAx>
      <c:valAx>
        <c:axId val="236795392"/>
        <c:scaling>
          <c:orientation val="minMax"/>
          <c:max val="160"/>
          <c:min val="10"/>
        </c:scaling>
        <c:delete val="0"/>
        <c:axPos val="l"/>
        <c:majorGridlines/>
        <c:numFmt formatCode="m/d/yyyy" sourceLinked="1"/>
        <c:majorTickMark val="out"/>
        <c:minorTickMark val="in"/>
        <c:tickLblPos val="none"/>
        <c:crossAx val="236793856"/>
        <c:crosses val="autoZero"/>
        <c:crossBetween val="midCat"/>
        <c:majorUnit val="30"/>
        <c:minorUnit val="10"/>
      </c:valAx>
    </c:plotArea>
    <c:plotVisOnly val="0"/>
    <c:dispBlanksAs val="span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5" fmlaLink="$B$26" max="180" min="1" page="5"/>
</file>

<file path=xl/ctrlProps/ctrlProp2.xml><?xml version="1.0" encoding="utf-8"?>
<formControlPr xmlns="http://schemas.microsoft.com/office/spreadsheetml/2009/9/main" objectType="Scroll" dx="15" fmlaLink="$B$41" max="20" min="1" page="5"/>
</file>

<file path=xl/ctrlProps/ctrlProp3.xml><?xml version="1.0" encoding="utf-8"?>
<formControlPr xmlns="http://schemas.microsoft.com/office/spreadsheetml/2009/9/main" objectType="Scroll" dx="15" fmlaLink="$B$56" max="20" min="1" page="5"/>
</file>

<file path=xl/ctrlProps/ctrlProp4.xml><?xml version="1.0" encoding="utf-8"?>
<formControlPr xmlns="http://schemas.microsoft.com/office/spreadsheetml/2009/9/main" objectType="Radio" checked="Checked" firstButton="1" fmlaLink="기관코드!$C$1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26</xdr:row>
          <xdr:rowOff>0</xdr:rowOff>
        </xdr:from>
        <xdr:to>
          <xdr:col>1</xdr:col>
          <xdr:colOff>161925</xdr:colOff>
          <xdr:row>37</xdr:row>
          <xdr:rowOff>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40</xdr:row>
          <xdr:rowOff>200025</xdr:rowOff>
        </xdr:from>
        <xdr:to>
          <xdr:col>1</xdr:col>
          <xdr:colOff>161925</xdr:colOff>
          <xdr:row>51</xdr:row>
          <xdr:rowOff>200025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55</xdr:row>
          <xdr:rowOff>200025</xdr:rowOff>
        </xdr:from>
        <xdr:to>
          <xdr:col>1</xdr:col>
          <xdr:colOff>161925</xdr:colOff>
          <xdr:row>66</xdr:row>
          <xdr:rowOff>200025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7</xdr:row>
      <xdr:rowOff>57150</xdr:rowOff>
    </xdr:from>
    <xdr:to>
      <xdr:col>7</xdr:col>
      <xdr:colOff>584065</xdr:colOff>
      <xdr:row>21</xdr:row>
      <xdr:rowOff>55837</xdr:rowOff>
    </xdr:to>
    <xdr:grpSp>
      <xdr:nvGrpSpPr>
        <xdr:cNvPr id="3" name="그룹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714500"/>
          <a:ext cx="5432290" cy="2932387"/>
          <a:chOff x="0" y="1714500"/>
          <a:chExt cx="5432290" cy="2932387"/>
        </a:xfrm>
      </xdr:grpSpPr>
      <xdr:graphicFrame macro="">
        <xdr:nvGraphicFramePr>
          <xdr:cNvPr id="23" name="차트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GraphicFramePr/>
        </xdr:nvGraphicFramePr>
        <xdr:xfrm>
          <a:off x="32291" y="1766887"/>
          <a:ext cx="5399999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0" y="1714500"/>
            <a:ext cx="539998" cy="280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n-US" altLang="ko-KR" sz="1600" b="1"/>
              <a:t>AAA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AA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A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BBB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BB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B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CCC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CC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C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D</a:t>
            </a:r>
          </a:p>
        </xdr:txBody>
      </xdr:sp>
    </xdr:grpSp>
    <xdr:clientData/>
  </xdr:twoCellAnchor>
  <xdr:twoCellAnchor editAs="absolute">
    <xdr:from>
      <xdr:col>7</xdr:col>
      <xdr:colOff>190500</xdr:colOff>
      <xdr:row>7</xdr:row>
      <xdr:rowOff>57150</xdr:rowOff>
    </xdr:from>
    <xdr:to>
      <xdr:col>13</xdr:col>
      <xdr:colOff>545822</xdr:colOff>
      <xdr:row>21</xdr:row>
      <xdr:rowOff>55837</xdr:rowOff>
    </xdr:to>
    <xdr:grpSp>
      <xdr:nvGrpSpPr>
        <xdr:cNvPr id="8" name="그룹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38725" y="1714500"/>
          <a:ext cx="5441672" cy="2932387"/>
          <a:chOff x="5038725" y="1714500"/>
          <a:chExt cx="5441672" cy="2932387"/>
        </a:xfrm>
      </xdr:grpSpPr>
      <xdr:graphicFrame macro="">
        <xdr:nvGraphicFramePr>
          <xdr:cNvPr id="29" name="차트 28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GraphicFramePr/>
        </xdr:nvGraphicFramePr>
        <xdr:xfrm>
          <a:off x="5080397" y="1766887"/>
          <a:ext cx="540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" name="TextBox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5038725" y="1714500"/>
            <a:ext cx="539998" cy="280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n-US" altLang="ko-KR" sz="1600" b="1"/>
              <a:t>AAA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AA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A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BBB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BB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B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CCC</a:t>
            </a:r>
          </a:p>
          <a:p>
            <a:pPr algn="ctr"/>
            <a:endParaRPr lang="en-US" altLang="ko-KR" sz="200" b="0"/>
          </a:p>
          <a:p>
            <a:pPr algn="ctr"/>
            <a:r>
              <a:rPr lang="en-US" altLang="ko-KR" sz="1600" b="1"/>
              <a:t>CC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C</a:t>
            </a:r>
          </a:p>
          <a:p>
            <a:pPr algn="ctr"/>
            <a:endParaRPr lang="en-US" altLang="ko-KR" sz="100" b="0"/>
          </a:p>
          <a:p>
            <a:pPr algn="ctr"/>
            <a:r>
              <a:rPr lang="en-US" altLang="ko-KR" sz="1600" b="1"/>
              <a:t>D</a:t>
            </a:r>
          </a:p>
        </xdr:txBody>
      </xdr:sp>
    </xdr:grpSp>
    <xdr:clientData/>
  </xdr:twoCellAnchor>
  <xdr:twoCellAnchor editAs="absolute">
    <xdr:from>
      <xdr:col>13</xdr:col>
      <xdr:colOff>104775</xdr:colOff>
      <xdr:row>7</xdr:row>
      <xdr:rowOff>66675</xdr:rowOff>
    </xdr:from>
    <xdr:to>
      <xdr:col>21</xdr:col>
      <xdr:colOff>36126</xdr:colOff>
      <xdr:row>21</xdr:row>
      <xdr:rowOff>55837</xdr:rowOff>
    </xdr:to>
    <xdr:grpSp>
      <xdr:nvGrpSpPr>
        <xdr:cNvPr id="9" name="그룹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039350" y="1724025"/>
          <a:ext cx="5417751" cy="2922862"/>
          <a:chOff x="10039350" y="1724025"/>
          <a:chExt cx="5417751" cy="2922862"/>
        </a:xfrm>
      </xdr:grpSpPr>
      <xdr:graphicFrame macro="">
        <xdr:nvGraphicFramePr>
          <xdr:cNvPr id="35" name="차트 34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GraphicFramePr/>
        </xdr:nvGraphicFramePr>
        <xdr:xfrm>
          <a:off x="10057101" y="1766887"/>
          <a:ext cx="540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0039350" y="1724025"/>
            <a:ext cx="540000" cy="288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n-US" altLang="ko-KR" sz="1600" b="1"/>
              <a:t>A1</a:t>
            </a:r>
            <a:endParaRPr lang="en-US" altLang="ko-KR" sz="100" b="0"/>
          </a:p>
          <a:p>
            <a:pPr algn="ctr"/>
            <a:endParaRPr lang="en-US" altLang="ko-KR" sz="1600" b="1"/>
          </a:p>
          <a:p>
            <a:pPr algn="ctr"/>
            <a:r>
              <a:rPr lang="en-US" altLang="ko-KR" sz="1600" b="1"/>
              <a:t>A2</a:t>
            </a:r>
            <a:endParaRPr lang="en-US" altLang="ko-KR" sz="200" b="0"/>
          </a:p>
          <a:p>
            <a:pPr algn="ctr"/>
            <a:endParaRPr lang="en-US" altLang="ko-KR" sz="1400" b="1"/>
          </a:p>
          <a:p>
            <a:pPr algn="ctr"/>
            <a:r>
              <a:rPr lang="en-US" altLang="ko-KR" sz="1600" b="1"/>
              <a:t>A3</a:t>
            </a:r>
            <a:endParaRPr lang="en-US" altLang="ko-KR" sz="200" b="0"/>
          </a:p>
          <a:p>
            <a:pPr algn="ctr"/>
            <a:endParaRPr lang="en-US" altLang="ko-KR" sz="1500" b="1"/>
          </a:p>
          <a:p>
            <a:pPr algn="ctr"/>
            <a:r>
              <a:rPr lang="en-US" altLang="ko-KR" sz="1600" b="1"/>
              <a:t>B</a:t>
            </a:r>
          </a:p>
          <a:p>
            <a:pPr algn="ctr"/>
            <a:endParaRPr lang="en-US" altLang="ko-KR" sz="1600" b="1"/>
          </a:p>
          <a:p>
            <a:pPr algn="ctr"/>
            <a:r>
              <a:rPr lang="en-US" altLang="ko-KR" sz="1600" b="1"/>
              <a:t>C</a:t>
            </a:r>
          </a:p>
          <a:p>
            <a:pPr algn="ctr"/>
            <a:endParaRPr lang="en-US" altLang="ko-KR" sz="1500" b="1"/>
          </a:p>
          <a:p>
            <a:pPr algn="ctr"/>
            <a:r>
              <a:rPr lang="en-US" altLang="ko-KR" sz="1600" b="1"/>
              <a:t>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2</xdr:row>
          <xdr:rowOff>190500</xdr:rowOff>
        </xdr:from>
        <xdr:to>
          <xdr:col>2</xdr:col>
          <xdr:colOff>533400</xdr:colOff>
          <xdr:row>3</xdr:row>
          <xdr:rowOff>161925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채권코드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2</xdr:row>
          <xdr:rowOff>190500</xdr:rowOff>
        </xdr:from>
        <xdr:to>
          <xdr:col>3</xdr:col>
          <xdr:colOff>228600</xdr:colOff>
          <xdr:row>3</xdr:row>
          <xdr:rowOff>161925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기관명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4</xdr:row>
          <xdr:rowOff>0</xdr:rowOff>
        </xdr:from>
        <xdr:to>
          <xdr:col>4</xdr:col>
          <xdr:colOff>28575</xdr:colOff>
          <xdr:row>5</xdr:row>
          <xdr:rowOff>9525</xdr:rowOff>
        </xdr:to>
        <xdr:sp macro="" textlink="">
          <xdr:nvSpPr>
            <xdr:cNvPr id="1034" name="Box_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A2027"/>
  <sheetViews>
    <sheetView showGridLines="0" showRowColHeaders="0" tabSelected="1" zoomScaleNormal="100" workbookViewId="0"/>
  </sheetViews>
  <sheetFormatPr defaultColWidth="9" defaultRowHeight="16.5"/>
  <cols>
    <col min="1" max="1" width="3.5" customWidth="1"/>
    <col min="2" max="2" width="2.375" customWidth="1"/>
    <col min="3" max="3" width="11.125" bestFit="1" customWidth="1"/>
    <col min="4" max="4" width="13.25" customWidth="1"/>
    <col min="5" max="13" width="11.125" customWidth="1"/>
    <col min="14" max="25" width="9" customWidth="1"/>
    <col min="26" max="26" width="9" style="38" customWidth="1"/>
    <col min="27" max="34" width="9" customWidth="1"/>
    <col min="35" max="35" width="10.625" customWidth="1"/>
    <col min="36" max="37" width="9" customWidth="1"/>
    <col min="38" max="38" width="11.125" customWidth="1"/>
    <col min="39" max="40" width="9" customWidth="1"/>
    <col min="41" max="41" width="11.125" customWidth="1"/>
    <col min="42" max="43" width="9" customWidth="1"/>
    <col min="44" max="44" width="11.125" customWidth="1"/>
    <col min="45" max="46" width="9" customWidth="1"/>
    <col min="47" max="47" width="11.125" customWidth="1"/>
    <col min="48" max="48" width="9" customWidth="1"/>
    <col min="49" max="49" width="6.875" customWidth="1"/>
    <col min="50" max="51" width="9" customWidth="1"/>
    <col min="52" max="52" width="11.125" customWidth="1"/>
    <col min="53" max="54" width="9" customWidth="1"/>
    <col min="55" max="55" width="11.125" customWidth="1"/>
    <col min="56" max="57" width="9" customWidth="1"/>
    <col min="58" max="58" width="11.125" customWidth="1"/>
    <col min="59" max="60" width="9" customWidth="1"/>
    <col min="61" max="61" width="11.125" customWidth="1"/>
    <col min="62" max="63" width="9" customWidth="1"/>
    <col min="64" max="64" width="11.125" customWidth="1"/>
    <col min="65" max="67" width="9" customWidth="1"/>
    <col min="68" max="68" width="11.125" customWidth="1"/>
    <col min="69" max="70" width="9" customWidth="1"/>
    <col min="71" max="71" width="11.125" customWidth="1"/>
    <col min="72" max="72" width="9" customWidth="1"/>
    <col min="73" max="73" width="11.125" customWidth="1"/>
    <col min="74" max="74" width="9" customWidth="1"/>
    <col min="75" max="75" width="11.125" customWidth="1"/>
    <col min="76" max="76" width="9" customWidth="1"/>
    <col min="77" max="77" width="11.125" customWidth="1"/>
    <col min="78" max="79" width="9" customWidth="1"/>
  </cols>
  <sheetData>
    <row r="2" spans="2:26" ht="31.5">
      <c r="B2" s="40"/>
      <c r="C2" s="51" t="s">
        <v>0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37"/>
      <c r="W2" s="37"/>
      <c r="X2" s="37"/>
      <c r="Y2" s="37"/>
      <c r="Z2" s="39"/>
    </row>
    <row r="5" spans="2:26">
      <c r="C5" s="3" t="str">
        <f>CHOOSE(기관코드!$C$1, "채권코드", "기관명", "채권코드")</f>
        <v>채권코드</v>
      </c>
      <c r="D5" s="45" t="s">
        <v>1716</v>
      </c>
      <c r="E5" s="46"/>
    </row>
    <row r="6" spans="2:26">
      <c r="C6" s="3" t="str">
        <f>CHOOSE(기관코드!$C$1, "기관명", "채권코드", "종목명")</f>
        <v>기관명</v>
      </c>
      <c r="D6" s="2" t="str">
        <f>CHOOSE(기관코드!$C$1,
INDEX(기관코드!$B$9:$B$5008, MATCH($D$5, 기관코드!$A$9:$A$5008, 0)),
INDEX(기관코드!$A$9:$A$5008, MATCH($D$5, 기관코드!$B$9:$B$5008, 0)),
_xll.IMDP("STK", $D$5, "한글종목명")
)</f>
        <v>신한은행</v>
      </c>
    </row>
    <row r="10" spans="2:26">
      <c r="D10" t="s">
        <v>2000</v>
      </c>
    </row>
    <row r="24" spans="2:79" ht="17.25" thickBot="1"/>
    <row r="25" spans="2:79" ht="18" thickBot="1">
      <c r="C25" s="50" t="s">
        <v>2016</v>
      </c>
      <c r="D25" s="50"/>
      <c r="E25" s="47" t="s">
        <v>2001</v>
      </c>
      <c r="F25" s="48"/>
      <c r="G25" s="49"/>
      <c r="H25" s="47" t="s">
        <v>2005</v>
      </c>
      <c r="I25" s="48"/>
      <c r="J25" s="49"/>
      <c r="K25" s="47" t="s">
        <v>2006</v>
      </c>
      <c r="L25" s="48"/>
      <c r="M25" s="49"/>
    </row>
    <row r="26" spans="2:79" ht="17.25" thickBot="1">
      <c r="B26" s="4">
        <v>1</v>
      </c>
      <c r="C26" s="35" t="s">
        <v>2014</v>
      </c>
      <c r="D26" s="36" t="s">
        <v>2015</v>
      </c>
      <c r="E26" s="26" t="s">
        <v>2004</v>
      </c>
      <c r="F26" s="27" t="s">
        <v>2002</v>
      </c>
      <c r="G26" s="28" t="s">
        <v>2003</v>
      </c>
      <c r="H26" s="26" t="s">
        <v>2004</v>
      </c>
      <c r="I26" s="27" t="s">
        <v>2002</v>
      </c>
      <c r="J26" s="28" t="s">
        <v>2003</v>
      </c>
      <c r="K26" s="33" t="s">
        <v>2004</v>
      </c>
      <c r="L26" s="27" t="s">
        <v>2002</v>
      </c>
      <c r="M26" s="28" t="s">
        <v>2003</v>
      </c>
      <c r="AI26" t="str">
        <f ca="1">_xll.IMDH("IR","BNDCRD"&amp;CHOOSE(기관코드!$C$1,$D$5,$D$6),AI27:AJ27,TODAY()-5111,TODAY(),2000,"Per=일,sort=D,real=true,Bizday=0,Quote=종가,Pos=20,Orient=V,DtFmt=1,TmFmt=1,unit=true")</f>
        <v>조회[BNDCRD00001]</v>
      </c>
      <c r="AL26" t="str">
        <f ca="1">_xll.IMDH("IR","BNDCRD"&amp;CHOOSE(기관코드!$C$1,$D$5,$D$6),AL27:AN27,TODAY()-5111,TODAY(),2000,"Per=일,sort=D,real=true,Bizday=0,Quote=종가,Pos=20,Orient=V,DtFmt=1,TmFmt=1,unit=true")</f>
        <v>조회[BNDCRD00001]</v>
      </c>
      <c r="AO26" t="str">
        <f ca="1">_xll.IMDH("IR","BNDCRD"&amp;CHOOSE(기관코드!$C$1,$D$5,$D$6),AO27:AQ27,TODAY()-5111,TODAY(),2000,"Per=일,sort=D,real=true,Bizday=0,Quote=종가,Pos=20,Orient=V,DtFmt=1,TmFmt=1,unit=true")</f>
        <v>조회[BNDCRD00001]</v>
      </c>
      <c r="AR26" t="str">
        <f ca="1">_xll.IMDH("IR","BNDCRD"&amp;CHOOSE(기관코드!$C$1,$D$5,$D$6),AR27:AT27,TODAY()-5111,TODAY(),2000,"Per=일,sort=D,real=true,Bizday=0,Quote=종가,Pos=20,Orient=V,DtFmt=1,TmFmt=1,unit=true")</f>
        <v>조회[BNDCRD00001]</v>
      </c>
      <c r="AZ26" t="str">
        <f ca="1">_xll.IMDH("IR","BNDCRD"&amp;CHOOSE(기관코드!$C$1,$D$5,$D$6),AZ27:BA27,TODAY()-5111,TODAY(),2000,"Per=일,sort=D,real=true,Bizday=0,Quote=종가,Pos=20,Orient=V,DtFmt=1,TmFmt=1,unit=true")</f>
        <v>조회[BNDCRD00001]</v>
      </c>
      <c r="BC26" t="str">
        <f ca="1">_xll.IMDH("IR","BNDCRD"&amp;CHOOSE(기관코드!$C$1,$D$5,$D$6),BC27:BE27,TODAY()-5111,TODAY(),2000,"Per=일,sort=D,real=true,Bizday=0,Quote=종가,Pos=20,Orient=V,DtFmt=1,TmFmt=1,unit=true")</f>
        <v>조회[BNDCRD00001]</v>
      </c>
      <c r="BF26" t="str">
        <f ca="1">_xll.IMDH("IR","BNDCRD"&amp;CHOOSE(기관코드!$C$1,$D$5,$D$6),BF27:BH27,TODAY()-5111,TODAY(),2000,"Per=일,sort=D,real=true,Bizday=0,Quote=종가,Pos=20,Orient=V,DtFmt=1,TmFmt=1,unit=true")</f>
        <v>조회[BNDCRD00001]</v>
      </c>
      <c r="BI26" t="str">
        <f ca="1">_xll.IMDH("IR","BNDCRD"&amp;CHOOSE(기관코드!$C$1,$D$5,$D$6),BI27:BK27,TODAY()-5111,TODAY(),2000,"Per=일,sort=D,real=true,Bizday=0,Quote=종가,Pos=20,Orient=V,DtFmt=1,TmFmt=1,unit=true")</f>
        <v>조회[BNDCRD00001]</v>
      </c>
      <c r="BP26" t="str">
        <f ca="1">_xll.IMDH("IR","BNDCRD"&amp;CHOOSE(기관코드!$C$1,$D$5,$D$6),BP27:BQ27,TODAY()-5111,TODAY(),2000,"Per=일,sort=D,real=true,Bizday=0,Quote=종가,Pos=20,Orient=V,DtFmt=1,TmFmt=1,unit=true")</f>
        <v>조회[BNDCRD00001]</v>
      </c>
      <c r="BS26" t="str">
        <f ca="1">_xll.IMDH("IR","BNDCRD"&amp;CHOOSE(기관코드!$C$1,$D$5,$D$6),BS27:BT27,TODAY()-5111,TODAY(),2000,"Per=일,sort=D,real=true,Bizday=0,Quote=종가,Pos=20,Orient=V,DtFmt=1,TmFmt=1,unit=true")</f>
        <v>조회[BNDCRD00001]</v>
      </c>
      <c r="BU26" t="str">
        <f ca="1">_xll.IMDH("IR","BNDCRD"&amp;CHOOSE(기관코드!$C$1,$D$5,$D$6),BU27:BV27,TODAY()-5111,TODAY(),2000,"Per=일,sort=D,real=true,Bizday=0,Quote=종가,Pos=20,Orient=V,DtFmt=1,TmFmt=1,unit=true")</f>
        <v>조회[BNDCRD00001]</v>
      </c>
      <c r="BW26" t="str">
        <f ca="1">_xll.IMDH("IR","BNDCRD"&amp;CHOOSE(기관코드!$C$1,$D$5,$D$6),BW27:BX27,TODAY()-5111,TODAY(),2000,"Per=일,sort=D,real=true,Bizday=0,Quote=종가,Pos=20,Orient=V,DtFmt=1,TmFmt=1,unit=true")</f>
        <v>조회[BNDCRD00001]</v>
      </c>
    </row>
    <row r="27" spans="2:79">
      <c r="B27" s="4">
        <v>0</v>
      </c>
      <c r="C27" s="29">
        <f t="shared" ref="C27:C37" si="0">IF(INDEX($AI$28:$AJ$231,$B$26+$B27,1)="",NA(),INDEX($AI$28:$AJ$231,$B$26+$B27,1))</f>
        <v>45107</v>
      </c>
      <c r="D27" s="31" t="str">
        <f t="shared" ref="D27:D37" si="1">IF(INDEX($AI$28:$AJ$231,$B$26+$B27,2)="",NA(),INDEX($AI$28:$AJ$231,$B$26+$B27,2))</f>
        <v>AAA</v>
      </c>
      <c r="E27" s="29">
        <f t="shared" ref="E27:E37" si="2">VLOOKUP($C27,$AL$28:$AN$182,1,0)</f>
        <v>45107</v>
      </c>
      <c r="F27" s="30" t="str">
        <f t="shared" ref="F27:F37" si="3">VLOOKUP($C27,$AL$28:$AN$182,2,0)</f>
        <v>AAA</v>
      </c>
      <c r="G27" s="31" t="str">
        <f t="shared" ref="G27:G37" si="4">VLOOKUP($C27,$AL$28:$AN$182,3,0)</f>
        <v>안정적</v>
      </c>
      <c r="H27" s="29">
        <f t="shared" ref="H27:H37" si="5">VLOOKUP($C27,$AO$28:$AQ$188,1,0)</f>
        <v>45107</v>
      </c>
      <c r="I27" s="30" t="str">
        <f t="shared" ref="I27:I37" si="6">VLOOKUP($C27,$AO$28:$AQ$188,2,0)</f>
        <v>AAA</v>
      </c>
      <c r="J27" s="31" t="str">
        <f t="shared" ref="J27:J37" si="7">VLOOKUP($C27,$AO$28:$AQ$188,3,0)</f>
        <v>안정적</v>
      </c>
      <c r="K27" s="34">
        <f t="shared" ref="K27:K37" si="8">VLOOKUP($C27,$AR$28:$AT$188,1,0)</f>
        <v>45107</v>
      </c>
      <c r="L27" s="30" t="str">
        <f t="shared" ref="L27:L37" si="9">VLOOKUP($C27,$AR$28:$AT$188,2,0)</f>
        <v>AAA</v>
      </c>
      <c r="M27" s="31" t="str">
        <f t="shared" ref="M27:M37" si="10">VLOOKUP($C27,$AR$28:$AT$188,3,0)</f>
        <v>안정적</v>
      </c>
      <c r="AI27" t="s">
        <v>2007</v>
      </c>
      <c r="AJ27" t="s">
        <v>9600</v>
      </c>
      <c r="AL27" t="s">
        <v>2014</v>
      </c>
      <c r="AM27" t="s">
        <v>2008</v>
      </c>
      <c r="AN27" t="s">
        <v>2009</v>
      </c>
      <c r="AO27" t="s">
        <v>2007</v>
      </c>
      <c r="AP27" t="s">
        <v>2010</v>
      </c>
      <c r="AQ27" t="s">
        <v>2011</v>
      </c>
      <c r="AR27" t="s">
        <v>2007</v>
      </c>
      <c r="AS27" t="s">
        <v>2012</v>
      </c>
      <c r="AT27" t="s">
        <v>2013</v>
      </c>
      <c r="AZ27" t="s">
        <v>2007</v>
      </c>
      <c r="BA27" t="s">
        <v>2018</v>
      </c>
      <c r="BC27" t="s">
        <v>2007</v>
      </c>
      <c r="BD27" t="s">
        <v>2019</v>
      </c>
      <c r="BE27" t="s">
        <v>2020</v>
      </c>
      <c r="BF27" t="s">
        <v>2007</v>
      </c>
      <c r="BG27" t="s">
        <v>2021</v>
      </c>
      <c r="BH27" t="s">
        <v>2022</v>
      </c>
      <c r="BI27" t="s">
        <v>2007</v>
      </c>
      <c r="BJ27" t="s">
        <v>2023</v>
      </c>
      <c r="BK27" t="s">
        <v>2024</v>
      </c>
      <c r="BP27" t="s">
        <v>2007</v>
      </c>
      <c r="BQ27" t="s">
        <v>2025</v>
      </c>
      <c r="BS27" t="s">
        <v>2007</v>
      </c>
      <c r="BT27" t="s">
        <v>2026</v>
      </c>
      <c r="BU27" t="s">
        <v>2007</v>
      </c>
      <c r="BV27" t="s">
        <v>2027</v>
      </c>
      <c r="BW27" t="s">
        <v>2007</v>
      </c>
      <c r="BX27" t="s">
        <v>2028</v>
      </c>
    </row>
    <row r="28" spans="2:79">
      <c r="B28" s="4">
        <v>1</v>
      </c>
      <c r="C28" s="7">
        <f t="shared" si="0"/>
        <v>45077</v>
      </c>
      <c r="D28" s="9" t="str">
        <f t="shared" si="1"/>
        <v>AAA</v>
      </c>
      <c r="E28" s="7">
        <f t="shared" si="2"/>
        <v>45077</v>
      </c>
      <c r="F28" s="8" t="str">
        <f t="shared" si="3"/>
        <v>AAA</v>
      </c>
      <c r="G28" s="9" t="str">
        <f t="shared" si="4"/>
        <v>안정적</v>
      </c>
      <c r="H28" s="7">
        <f t="shared" si="5"/>
        <v>45077</v>
      </c>
      <c r="I28" s="8" t="str">
        <f t="shared" si="6"/>
        <v>AAA</v>
      </c>
      <c r="J28" s="9" t="str">
        <f t="shared" si="7"/>
        <v>안정적</v>
      </c>
      <c r="K28" s="15">
        <f t="shared" si="8"/>
        <v>45077</v>
      </c>
      <c r="L28" s="8" t="str">
        <f t="shared" si="9"/>
        <v>AAA</v>
      </c>
      <c r="M28" s="9" t="str">
        <f t="shared" si="10"/>
        <v>안정적</v>
      </c>
      <c r="AB28" t="s">
        <v>2030</v>
      </c>
      <c r="AC28">
        <v>280</v>
      </c>
      <c r="AD28" t="s">
        <v>2030</v>
      </c>
      <c r="AE28">
        <v>280</v>
      </c>
      <c r="AF28" t="s">
        <v>2052</v>
      </c>
      <c r="AG28">
        <v>160</v>
      </c>
      <c r="AI28" s="1">
        <v>45107</v>
      </c>
      <c r="AJ28" t="s">
        <v>9605</v>
      </c>
      <c r="AK28">
        <f>IF(AJ28="",NA(),VLOOKUP(AJ28,$AB$28:$AC$49,2,0))</f>
        <v>280</v>
      </c>
      <c r="AL28" s="1">
        <v>45107</v>
      </c>
      <c r="AM28" t="s">
        <v>9605</v>
      </c>
      <c r="AN28" t="s">
        <v>3</v>
      </c>
      <c r="AO28" s="1">
        <v>45107</v>
      </c>
      <c r="AP28" t="s">
        <v>9605</v>
      </c>
      <c r="AQ28" t="s">
        <v>3</v>
      </c>
      <c r="AR28" s="1">
        <v>45107</v>
      </c>
      <c r="AS28" t="s">
        <v>9605</v>
      </c>
      <c r="AT28" t="s">
        <v>3</v>
      </c>
      <c r="AU28" s="1">
        <f t="shared" ref="AU28:AU91" si="11">IF(AI28="",NA(),AI28)</f>
        <v>45107</v>
      </c>
      <c r="AV28" s="1" t="str">
        <f t="shared" ref="AV28:AV91" si="12">IF(AJ28="",NA(),AJ28)</f>
        <v>AAA</v>
      </c>
      <c r="AW28" s="52">
        <f t="shared" ref="AW28:AW91" si="13">IF(AK28="",NA(),AK28)</f>
        <v>280</v>
      </c>
      <c r="AZ28" s="1">
        <v>45026</v>
      </c>
      <c r="BA28" t="s">
        <v>9605</v>
      </c>
      <c r="BB28">
        <f>IF(BA28="",NA(),VLOOKUP(BA28,$AD$28:$AE$49,2,0))</f>
        <v>280</v>
      </c>
      <c r="BC28" s="1">
        <v>45016</v>
      </c>
      <c r="BD28" t="s">
        <v>9605</v>
      </c>
      <c r="BE28" t="s">
        <v>3</v>
      </c>
      <c r="BF28" s="1">
        <v>45026</v>
      </c>
      <c r="BG28" t="s">
        <v>9605</v>
      </c>
      <c r="BH28" t="s">
        <v>3</v>
      </c>
      <c r="BI28" s="1">
        <v>45020</v>
      </c>
      <c r="BJ28" t="s">
        <v>9605</v>
      </c>
      <c r="BK28" t="s">
        <v>3</v>
      </c>
      <c r="BL28" s="1">
        <f>IFERROR( IF(AZ28="",NA(),AZ28), "")</f>
        <v>45026</v>
      </c>
      <c r="BM28" t="str">
        <f>IFERROR( IF(BA28="",NA(),BA28), "")</f>
        <v>AAA</v>
      </c>
      <c r="BN28">
        <f>IFERROR( IF(BB28="",NA(),BB28), "")</f>
        <v>280</v>
      </c>
      <c r="BP28" s="1"/>
      <c r="BR28" t="e">
        <f>IF(BQ28="",NA(),VLOOKUP(BQ28,$AF$28:$AG$39,2,0))</f>
        <v>#N/A</v>
      </c>
      <c r="BS28" s="1"/>
      <c r="BU28" s="1"/>
      <c r="BW28" s="1"/>
      <c r="BY28" s="1" t="e">
        <f>IF(BP28="",NA(),BP28)</f>
        <v>#N/A</v>
      </c>
      <c r="BZ28" s="1" t="e">
        <f t="shared" ref="BZ28:CA28" si="14">IF(BQ28="",NA(),BQ28)</f>
        <v>#N/A</v>
      </c>
      <c r="CA28" s="1" t="e">
        <f t="shared" si="14"/>
        <v>#N/A</v>
      </c>
    </row>
    <row r="29" spans="2:79">
      <c r="B29" s="4">
        <v>2</v>
      </c>
      <c r="C29" s="7">
        <f t="shared" si="0"/>
        <v>45044</v>
      </c>
      <c r="D29" s="9" t="str">
        <f t="shared" si="1"/>
        <v>AAA</v>
      </c>
      <c r="E29" s="7">
        <f t="shared" si="2"/>
        <v>45044</v>
      </c>
      <c r="F29" s="8" t="str">
        <f t="shared" si="3"/>
        <v>AAA</v>
      </c>
      <c r="G29" s="9" t="str">
        <f t="shared" si="4"/>
        <v>안정적</v>
      </c>
      <c r="H29" s="7">
        <f t="shared" si="5"/>
        <v>45044</v>
      </c>
      <c r="I29" s="8" t="str">
        <f t="shared" si="6"/>
        <v>AAA</v>
      </c>
      <c r="J29" s="9" t="str">
        <f t="shared" si="7"/>
        <v>안정적</v>
      </c>
      <c r="K29" s="15">
        <f t="shared" si="8"/>
        <v>45044</v>
      </c>
      <c r="L29" s="8" t="str">
        <f t="shared" si="9"/>
        <v>AAA</v>
      </c>
      <c r="M29" s="9" t="str">
        <f t="shared" si="10"/>
        <v>안정적</v>
      </c>
      <c r="AB29" t="s">
        <v>2031</v>
      </c>
      <c r="AC29">
        <v>260</v>
      </c>
      <c r="AD29" t="s">
        <v>2031</v>
      </c>
      <c r="AE29">
        <v>260</v>
      </c>
      <c r="AF29" t="s">
        <v>2054</v>
      </c>
      <c r="AG29">
        <v>140</v>
      </c>
      <c r="AI29" s="1">
        <v>45077</v>
      </c>
      <c r="AJ29" t="s">
        <v>9605</v>
      </c>
      <c r="AK29">
        <f t="shared" ref="AK29:AK80" si="15">IF(AJ29="",NA(),VLOOKUP(AJ29,$AB$28:$AC$49,2,0))</f>
        <v>280</v>
      </c>
      <c r="AL29" s="1">
        <v>45077</v>
      </c>
      <c r="AM29" t="s">
        <v>9605</v>
      </c>
      <c r="AN29" t="s">
        <v>3</v>
      </c>
      <c r="AO29" s="1">
        <v>45077</v>
      </c>
      <c r="AP29" t="s">
        <v>9605</v>
      </c>
      <c r="AQ29" t="s">
        <v>3</v>
      </c>
      <c r="AR29" s="1">
        <v>45077</v>
      </c>
      <c r="AS29" t="s">
        <v>9605</v>
      </c>
      <c r="AT29" t="s">
        <v>3</v>
      </c>
      <c r="AU29" s="1">
        <f t="shared" si="11"/>
        <v>45077</v>
      </c>
      <c r="AV29" s="1" t="str">
        <f t="shared" si="12"/>
        <v>AAA</v>
      </c>
      <c r="AW29" s="52">
        <f t="shared" si="13"/>
        <v>280</v>
      </c>
      <c r="AZ29" s="1">
        <v>45020</v>
      </c>
      <c r="BA29" t="s">
        <v>9605</v>
      </c>
      <c r="BB29">
        <f t="shared" ref="BB29:BB92" si="16">IF(BA29="",NA(),VLOOKUP(BA29,$AD$28:$AE$49,2,0))</f>
        <v>280</v>
      </c>
      <c r="BC29" s="1">
        <v>44651</v>
      </c>
      <c r="BD29" t="s">
        <v>9605</v>
      </c>
      <c r="BE29" t="s">
        <v>3</v>
      </c>
      <c r="BF29" s="1">
        <v>44652</v>
      </c>
      <c r="BG29" t="s">
        <v>9605</v>
      </c>
      <c r="BH29" t="s">
        <v>3</v>
      </c>
      <c r="BI29" s="1">
        <v>44652</v>
      </c>
      <c r="BJ29" t="s">
        <v>9605</v>
      </c>
      <c r="BK29" t="s">
        <v>3</v>
      </c>
      <c r="BL29" s="1">
        <f t="shared" ref="BL29:BL92" si="17">IFERROR( IF(AZ29="",NA(),AZ29), "")</f>
        <v>45020</v>
      </c>
      <c r="BM29" t="str">
        <f t="shared" ref="BM29:BM92" si="18">IFERROR( IF(BA29="",NA(),BA29), "")</f>
        <v>AAA</v>
      </c>
      <c r="BN29">
        <f t="shared" ref="BN29:BN92" si="19">IFERROR( IF(BB29="",NA(),BB29), "")</f>
        <v>280</v>
      </c>
      <c r="BP29" s="1"/>
      <c r="BR29" t="e">
        <f t="shared" ref="BR29:BR92" si="20">IF(BQ29="",NA(),VLOOKUP(BQ29,$AF$28:$AG$39,2,0))</f>
        <v>#N/A</v>
      </c>
      <c r="BS29" s="1"/>
      <c r="BU29" s="1"/>
      <c r="BW29" s="1"/>
      <c r="BY29" s="1" t="e">
        <f t="shared" ref="BY29:BY92" si="21">IF(BP29="",NA(),BP29)</f>
        <v>#N/A</v>
      </c>
      <c r="BZ29" s="1" t="e">
        <f t="shared" ref="BZ29:BZ92" si="22">IF(BQ29="",NA(),BQ29)</f>
        <v>#N/A</v>
      </c>
      <c r="CA29" s="1" t="e">
        <f t="shared" ref="CA29:CA92" si="23">IF(BR29="",NA(),BR29)</f>
        <v>#N/A</v>
      </c>
    </row>
    <row r="30" spans="2:79">
      <c r="B30" s="4">
        <v>3</v>
      </c>
      <c r="C30" s="7">
        <f t="shared" si="0"/>
        <v>45016</v>
      </c>
      <c r="D30" s="9" t="str">
        <f t="shared" si="1"/>
        <v>AAA</v>
      </c>
      <c r="E30" s="7">
        <f t="shared" si="2"/>
        <v>45016</v>
      </c>
      <c r="F30" s="8" t="str">
        <f t="shared" si="3"/>
        <v>AAA</v>
      </c>
      <c r="G30" s="9" t="str">
        <f t="shared" si="4"/>
        <v>안정적</v>
      </c>
      <c r="H30" s="7">
        <f t="shared" si="5"/>
        <v>45016</v>
      </c>
      <c r="I30" s="8" t="str">
        <f t="shared" si="6"/>
        <v>AAA</v>
      </c>
      <c r="J30" s="9" t="str">
        <f t="shared" si="7"/>
        <v>안정적</v>
      </c>
      <c r="K30" s="15">
        <f t="shared" si="8"/>
        <v>45016</v>
      </c>
      <c r="L30" s="8" t="str">
        <f t="shared" si="9"/>
        <v>AAA</v>
      </c>
      <c r="M30" s="9" t="str">
        <f t="shared" si="10"/>
        <v>안정적</v>
      </c>
      <c r="AB30" t="s">
        <v>2032</v>
      </c>
      <c r="AC30">
        <v>250</v>
      </c>
      <c r="AD30" t="s">
        <v>2032</v>
      </c>
      <c r="AE30">
        <v>250</v>
      </c>
      <c r="AF30" t="s">
        <v>2053</v>
      </c>
      <c r="AG30">
        <v>130</v>
      </c>
      <c r="AI30" s="1">
        <v>45044</v>
      </c>
      <c r="AJ30" t="s">
        <v>9605</v>
      </c>
      <c r="AK30">
        <f t="shared" si="15"/>
        <v>280</v>
      </c>
      <c r="AL30" s="1">
        <v>45044</v>
      </c>
      <c r="AM30" t="s">
        <v>9605</v>
      </c>
      <c r="AN30" t="s">
        <v>3</v>
      </c>
      <c r="AO30" s="1">
        <v>45044</v>
      </c>
      <c r="AP30" t="s">
        <v>9605</v>
      </c>
      <c r="AQ30" t="s">
        <v>3</v>
      </c>
      <c r="AR30" s="1">
        <v>45044</v>
      </c>
      <c r="AS30" t="s">
        <v>9605</v>
      </c>
      <c r="AT30" t="s">
        <v>3</v>
      </c>
      <c r="AU30" s="1">
        <f t="shared" si="11"/>
        <v>45044</v>
      </c>
      <c r="AV30" s="1" t="str">
        <f t="shared" si="12"/>
        <v>AAA</v>
      </c>
      <c r="AW30" s="52">
        <f t="shared" si="13"/>
        <v>280</v>
      </c>
      <c r="AZ30" s="1">
        <v>45016</v>
      </c>
      <c r="BA30" t="s">
        <v>9605</v>
      </c>
      <c r="BB30">
        <f t="shared" si="16"/>
        <v>280</v>
      </c>
      <c r="BC30" s="1">
        <v>44286</v>
      </c>
      <c r="BD30" t="s">
        <v>9605</v>
      </c>
      <c r="BE30" t="s">
        <v>3</v>
      </c>
      <c r="BF30" s="1">
        <v>44288</v>
      </c>
      <c r="BG30" t="s">
        <v>9605</v>
      </c>
      <c r="BH30" t="s">
        <v>3</v>
      </c>
      <c r="BI30" s="1">
        <v>44651</v>
      </c>
      <c r="BJ30" t="s">
        <v>9605</v>
      </c>
      <c r="BK30" t="s">
        <v>3</v>
      </c>
      <c r="BL30" s="1">
        <f t="shared" si="17"/>
        <v>45016</v>
      </c>
      <c r="BM30" t="str">
        <f t="shared" si="18"/>
        <v>AAA</v>
      </c>
      <c r="BN30">
        <f t="shared" si="19"/>
        <v>280</v>
      </c>
      <c r="BP30" s="1"/>
      <c r="BR30" t="e">
        <f t="shared" si="20"/>
        <v>#N/A</v>
      </c>
      <c r="BS30" s="1"/>
      <c r="BU30" s="1"/>
      <c r="BW30" s="1"/>
      <c r="BY30" s="1" t="e">
        <f t="shared" si="21"/>
        <v>#N/A</v>
      </c>
      <c r="BZ30" s="1" t="e">
        <f t="shared" si="22"/>
        <v>#N/A</v>
      </c>
      <c r="CA30" s="1" t="e">
        <f t="shared" si="23"/>
        <v>#N/A</v>
      </c>
    </row>
    <row r="31" spans="2:79">
      <c r="B31" s="4">
        <v>4</v>
      </c>
      <c r="C31" s="7">
        <f t="shared" si="0"/>
        <v>44985</v>
      </c>
      <c r="D31" s="9" t="str">
        <f t="shared" si="1"/>
        <v>AAA</v>
      </c>
      <c r="E31" s="7">
        <f t="shared" si="2"/>
        <v>44985</v>
      </c>
      <c r="F31" s="8" t="str">
        <f t="shared" si="3"/>
        <v>AAA</v>
      </c>
      <c r="G31" s="9" t="str">
        <f t="shared" si="4"/>
        <v>안정적</v>
      </c>
      <c r="H31" s="7">
        <f t="shared" si="5"/>
        <v>44985</v>
      </c>
      <c r="I31" s="8" t="str">
        <f t="shared" si="6"/>
        <v>AAA</v>
      </c>
      <c r="J31" s="9" t="str">
        <f t="shared" si="7"/>
        <v>안정적</v>
      </c>
      <c r="K31" s="15">
        <f t="shared" si="8"/>
        <v>44985</v>
      </c>
      <c r="L31" s="8" t="str">
        <f t="shared" si="9"/>
        <v>AAA</v>
      </c>
      <c r="M31" s="9" t="str">
        <f t="shared" si="10"/>
        <v>안정적</v>
      </c>
      <c r="AB31" t="s">
        <v>2033</v>
      </c>
      <c r="AC31">
        <v>240</v>
      </c>
      <c r="AD31" t="s">
        <v>2033</v>
      </c>
      <c r="AE31">
        <v>240</v>
      </c>
      <c r="AF31" t="s">
        <v>2055</v>
      </c>
      <c r="AG31">
        <v>120</v>
      </c>
      <c r="AI31" s="1">
        <v>45016</v>
      </c>
      <c r="AJ31" t="s">
        <v>9605</v>
      </c>
      <c r="AK31">
        <f t="shared" si="15"/>
        <v>280</v>
      </c>
      <c r="AL31" s="1">
        <v>45016</v>
      </c>
      <c r="AM31" t="s">
        <v>9605</v>
      </c>
      <c r="AN31" t="s">
        <v>3</v>
      </c>
      <c r="AO31" s="1">
        <v>45016</v>
      </c>
      <c r="AP31" t="s">
        <v>9605</v>
      </c>
      <c r="AQ31" t="s">
        <v>3</v>
      </c>
      <c r="AR31" s="1">
        <v>45016</v>
      </c>
      <c r="AS31" t="s">
        <v>9605</v>
      </c>
      <c r="AT31" t="s">
        <v>3</v>
      </c>
      <c r="AU31" s="1">
        <f t="shared" si="11"/>
        <v>45016</v>
      </c>
      <c r="AV31" s="1" t="str">
        <f t="shared" si="12"/>
        <v>AAA</v>
      </c>
      <c r="AW31" s="52">
        <f t="shared" si="13"/>
        <v>280</v>
      </c>
      <c r="AZ31" s="1">
        <v>44652</v>
      </c>
      <c r="BA31" t="s">
        <v>9605</v>
      </c>
      <c r="BB31">
        <f t="shared" si="16"/>
        <v>280</v>
      </c>
      <c r="BC31" s="1">
        <v>43921</v>
      </c>
      <c r="BD31" t="s">
        <v>9605</v>
      </c>
      <c r="BE31" t="s">
        <v>3</v>
      </c>
      <c r="BF31" s="1">
        <v>43923</v>
      </c>
      <c r="BG31" t="s">
        <v>9605</v>
      </c>
      <c r="BH31" t="s">
        <v>3</v>
      </c>
      <c r="BI31" s="1">
        <v>44286</v>
      </c>
      <c r="BJ31" t="s">
        <v>9605</v>
      </c>
      <c r="BK31" t="s">
        <v>3</v>
      </c>
      <c r="BL31" s="1">
        <f t="shared" si="17"/>
        <v>44652</v>
      </c>
      <c r="BM31" t="str">
        <f t="shared" si="18"/>
        <v>AAA</v>
      </c>
      <c r="BN31">
        <f t="shared" si="19"/>
        <v>280</v>
      </c>
      <c r="BP31" s="1"/>
      <c r="BR31" t="e">
        <f t="shared" si="20"/>
        <v>#N/A</v>
      </c>
      <c r="BS31" s="1"/>
      <c r="BU31" s="1"/>
      <c r="BW31" s="1"/>
      <c r="BY31" s="1" t="e">
        <f t="shared" si="21"/>
        <v>#N/A</v>
      </c>
      <c r="BZ31" s="1" t="e">
        <f t="shared" si="22"/>
        <v>#N/A</v>
      </c>
      <c r="CA31" s="1" t="e">
        <f t="shared" si="23"/>
        <v>#N/A</v>
      </c>
    </row>
    <row r="32" spans="2:79">
      <c r="B32" s="4">
        <v>5</v>
      </c>
      <c r="C32" s="7">
        <f t="shared" si="0"/>
        <v>44957</v>
      </c>
      <c r="D32" s="9" t="str">
        <f t="shared" si="1"/>
        <v>AAA</v>
      </c>
      <c r="E32" s="7">
        <f t="shared" si="2"/>
        <v>44957</v>
      </c>
      <c r="F32" s="8" t="str">
        <f t="shared" si="3"/>
        <v>AAA</v>
      </c>
      <c r="G32" s="9" t="str">
        <f t="shared" si="4"/>
        <v>안정적</v>
      </c>
      <c r="H32" s="7">
        <f t="shared" si="5"/>
        <v>44957</v>
      </c>
      <c r="I32" s="8" t="str">
        <f t="shared" si="6"/>
        <v>AAA</v>
      </c>
      <c r="J32" s="9" t="str">
        <f t="shared" si="7"/>
        <v>안정적</v>
      </c>
      <c r="K32" s="15">
        <f t="shared" si="8"/>
        <v>44957</v>
      </c>
      <c r="L32" s="8" t="str">
        <f t="shared" si="9"/>
        <v>AAA</v>
      </c>
      <c r="M32" s="9" t="str">
        <f t="shared" si="10"/>
        <v>안정적</v>
      </c>
      <c r="AB32" t="s">
        <v>2034</v>
      </c>
      <c r="AC32">
        <v>230</v>
      </c>
      <c r="AD32" t="s">
        <v>2034</v>
      </c>
      <c r="AE32">
        <v>230</v>
      </c>
      <c r="AF32" t="s">
        <v>2056</v>
      </c>
      <c r="AG32">
        <v>110</v>
      </c>
      <c r="AI32" s="1">
        <v>44985</v>
      </c>
      <c r="AJ32" t="s">
        <v>9605</v>
      </c>
      <c r="AK32">
        <f t="shared" si="15"/>
        <v>280</v>
      </c>
      <c r="AL32" s="1">
        <v>44985</v>
      </c>
      <c r="AM32" t="s">
        <v>9605</v>
      </c>
      <c r="AN32" t="s">
        <v>3</v>
      </c>
      <c r="AO32" s="1">
        <v>44985</v>
      </c>
      <c r="AP32" t="s">
        <v>9605</v>
      </c>
      <c r="AQ32" t="s">
        <v>3</v>
      </c>
      <c r="AR32" s="1">
        <v>44985</v>
      </c>
      <c r="AS32" t="s">
        <v>9605</v>
      </c>
      <c r="AT32" t="s">
        <v>3</v>
      </c>
      <c r="AU32" s="1">
        <f t="shared" si="11"/>
        <v>44985</v>
      </c>
      <c r="AV32" s="1" t="str">
        <f t="shared" si="12"/>
        <v>AAA</v>
      </c>
      <c r="AW32" s="52">
        <f t="shared" si="13"/>
        <v>280</v>
      </c>
      <c r="AZ32" s="1">
        <v>44288</v>
      </c>
      <c r="BA32" t="s">
        <v>9605</v>
      </c>
      <c r="BB32">
        <f t="shared" si="16"/>
        <v>280</v>
      </c>
      <c r="BC32" s="1">
        <v>43553</v>
      </c>
      <c r="BD32" t="s">
        <v>9605</v>
      </c>
      <c r="BE32" t="s">
        <v>3</v>
      </c>
      <c r="BF32" s="1">
        <v>43558</v>
      </c>
      <c r="BG32" t="s">
        <v>9605</v>
      </c>
      <c r="BH32" t="s">
        <v>3</v>
      </c>
      <c r="BI32" s="1">
        <v>43924</v>
      </c>
      <c r="BJ32" t="s">
        <v>9605</v>
      </c>
      <c r="BK32" t="s">
        <v>3</v>
      </c>
      <c r="BL32" s="1">
        <f t="shared" si="17"/>
        <v>44288</v>
      </c>
      <c r="BM32" t="str">
        <f t="shared" si="18"/>
        <v>AAA</v>
      </c>
      <c r="BN32">
        <f t="shared" si="19"/>
        <v>280</v>
      </c>
      <c r="BP32" s="1"/>
      <c r="BR32" t="e">
        <f t="shared" si="20"/>
        <v>#N/A</v>
      </c>
      <c r="BS32" s="1"/>
      <c r="BU32" s="1"/>
      <c r="BW32" s="1"/>
      <c r="BY32" s="1" t="e">
        <f t="shared" si="21"/>
        <v>#N/A</v>
      </c>
      <c r="BZ32" s="1" t="e">
        <f t="shared" si="22"/>
        <v>#N/A</v>
      </c>
      <c r="CA32" s="1" t="e">
        <f t="shared" si="23"/>
        <v>#N/A</v>
      </c>
    </row>
    <row r="33" spans="2:79">
      <c r="B33" s="4">
        <v>6</v>
      </c>
      <c r="C33" s="7">
        <f t="shared" si="0"/>
        <v>44928</v>
      </c>
      <c r="D33" s="9" t="str">
        <f t="shared" si="1"/>
        <v>AAA</v>
      </c>
      <c r="E33" s="7">
        <f t="shared" si="2"/>
        <v>44928</v>
      </c>
      <c r="F33" s="8" t="str">
        <f t="shared" si="3"/>
        <v>AAA</v>
      </c>
      <c r="G33" s="9" t="str">
        <f t="shared" si="4"/>
        <v>안정적</v>
      </c>
      <c r="H33" s="7" t="e">
        <f t="shared" si="5"/>
        <v>#N/A</v>
      </c>
      <c r="I33" s="8" t="e">
        <f t="shared" si="6"/>
        <v>#N/A</v>
      </c>
      <c r="J33" s="9" t="e">
        <f t="shared" si="7"/>
        <v>#N/A</v>
      </c>
      <c r="K33" s="15" t="e">
        <f t="shared" si="8"/>
        <v>#N/A</v>
      </c>
      <c r="L33" s="8" t="e">
        <f t="shared" si="9"/>
        <v>#N/A</v>
      </c>
      <c r="M33" s="9" t="e">
        <f t="shared" si="10"/>
        <v>#N/A</v>
      </c>
      <c r="AB33" t="s">
        <v>2035</v>
      </c>
      <c r="AC33">
        <v>220</v>
      </c>
      <c r="AD33" t="s">
        <v>2035</v>
      </c>
      <c r="AE33">
        <v>220</v>
      </c>
      <c r="AF33" t="s">
        <v>2057</v>
      </c>
      <c r="AG33">
        <v>100</v>
      </c>
      <c r="AI33" s="1">
        <v>44957</v>
      </c>
      <c r="AJ33" t="s">
        <v>9605</v>
      </c>
      <c r="AK33">
        <f t="shared" si="15"/>
        <v>280</v>
      </c>
      <c r="AL33" s="1">
        <v>44957</v>
      </c>
      <c r="AM33" t="s">
        <v>9605</v>
      </c>
      <c r="AN33" t="s">
        <v>3</v>
      </c>
      <c r="AO33" s="1">
        <v>44957</v>
      </c>
      <c r="AP33" t="s">
        <v>9605</v>
      </c>
      <c r="AQ33" t="s">
        <v>3</v>
      </c>
      <c r="AR33" s="1">
        <v>44957</v>
      </c>
      <c r="AS33" t="s">
        <v>9605</v>
      </c>
      <c r="AT33" t="s">
        <v>3</v>
      </c>
      <c r="AU33" s="1">
        <f t="shared" si="11"/>
        <v>44957</v>
      </c>
      <c r="AV33" s="1" t="str">
        <f t="shared" si="12"/>
        <v>AAA</v>
      </c>
      <c r="AW33" s="52">
        <f t="shared" si="13"/>
        <v>280</v>
      </c>
      <c r="AZ33" s="1">
        <v>44286</v>
      </c>
      <c r="BA33" t="s">
        <v>9605</v>
      </c>
      <c r="BB33">
        <f t="shared" si="16"/>
        <v>280</v>
      </c>
      <c r="BC33" s="1">
        <v>43189</v>
      </c>
      <c r="BD33" t="s">
        <v>9605</v>
      </c>
      <c r="BE33" t="s">
        <v>3</v>
      </c>
      <c r="BF33" s="1">
        <v>43193</v>
      </c>
      <c r="BG33" t="s">
        <v>9605</v>
      </c>
      <c r="BH33" t="s">
        <v>3</v>
      </c>
      <c r="BI33" s="1">
        <v>43560</v>
      </c>
      <c r="BJ33" t="s">
        <v>9605</v>
      </c>
      <c r="BK33" t="s">
        <v>3</v>
      </c>
      <c r="BL33" s="1">
        <f t="shared" si="17"/>
        <v>44286</v>
      </c>
      <c r="BM33" t="str">
        <f t="shared" si="18"/>
        <v>AAA</v>
      </c>
      <c r="BN33">
        <f t="shared" si="19"/>
        <v>280</v>
      </c>
      <c r="BP33" s="1"/>
      <c r="BR33" t="e">
        <f t="shared" si="20"/>
        <v>#N/A</v>
      </c>
      <c r="BS33" s="1"/>
      <c r="BU33" s="1"/>
      <c r="BW33" s="1"/>
      <c r="BY33" s="1" t="e">
        <f t="shared" si="21"/>
        <v>#N/A</v>
      </c>
      <c r="BZ33" s="1" t="e">
        <f t="shared" si="22"/>
        <v>#N/A</v>
      </c>
      <c r="CA33" s="1" t="e">
        <f t="shared" si="23"/>
        <v>#N/A</v>
      </c>
    </row>
    <row r="34" spans="2:79">
      <c r="B34" s="4">
        <v>7</v>
      </c>
      <c r="C34" s="7">
        <f t="shared" si="0"/>
        <v>44925</v>
      </c>
      <c r="D34" s="9" t="str">
        <f t="shared" si="1"/>
        <v>AAA</v>
      </c>
      <c r="E34" s="7" t="e">
        <f t="shared" si="2"/>
        <v>#N/A</v>
      </c>
      <c r="F34" s="8" t="e">
        <f t="shared" si="3"/>
        <v>#N/A</v>
      </c>
      <c r="G34" s="9" t="e">
        <f t="shared" si="4"/>
        <v>#N/A</v>
      </c>
      <c r="H34" s="7">
        <f t="shared" si="5"/>
        <v>44925</v>
      </c>
      <c r="I34" s="8" t="str">
        <f t="shared" si="6"/>
        <v>AAA</v>
      </c>
      <c r="J34" s="9" t="str">
        <f t="shared" si="7"/>
        <v>안정적</v>
      </c>
      <c r="K34" s="15">
        <f t="shared" si="8"/>
        <v>44925</v>
      </c>
      <c r="L34" s="8" t="str">
        <f t="shared" si="9"/>
        <v>AAA</v>
      </c>
      <c r="M34" s="9" t="str">
        <f t="shared" si="10"/>
        <v>안정적</v>
      </c>
      <c r="AB34" t="s">
        <v>2036</v>
      </c>
      <c r="AC34">
        <v>210</v>
      </c>
      <c r="AD34" t="s">
        <v>2036</v>
      </c>
      <c r="AE34">
        <v>210</v>
      </c>
      <c r="AF34" t="s">
        <v>2058</v>
      </c>
      <c r="AG34">
        <v>90</v>
      </c>
      <c r="AI34" s="1">
        <v>44928</v>
      </c>
      <c r="AJ34" t="s">
        <v>9605</v>
      </c>
      <c r="AK34">
        <f t="shared" si="15"/>
        <v>280</v>
      </c>
      <c r="AL34" s="1">
        <v>44928</v>
      </c>
      <c r="AM34" t="s">
        <v>9605</v>
      </c>
      <c r="AN34" t="s">
        <v>3</v>
      </c>
      <c r="AO34" s="1">
        <v>44925</v>
      </c>
      <c r="AP34" t="s">
        <v>9605</v>
      </c>
      <c r="AQ34" t="s">
        <v>3</v>
      </c>
      <c r="AR34" s="1">
        <v>44925</v>
      </c>
      <c r="AS34" t="s">
        <v>9605</v>
      </c>
      <c r="AT34" t="s">
        <v>3</v>
      </c>
      <c r="AU34" s="1">
        <f t="shared" si="11"/>
        <v>44928</v>
      </c>
      <c r="AV34" s="1" t="str">
        <f t="shared" si="12"/>
        <v>AAA</v>
      </c>
      <c r="AW34" s="52">
        <f t="shared" si="13"/>
        <v>280</v>
      </c>
      <c r="AZ34" s="1">
        <v>43924</v>
      </c>
      <c r="BA34" t="s">
        <v>9605</v>
      </c>
      <c r="BB34">
        <f t="shared" si="16"/>
        <v>280</v>
      </c>
      <c r="BC34" s="1">
        <v>42825</v>
      </c>
      <c r="BD34" t="s">
        <v>9605</v>
      </c>
      <c r="BE34" t="s">
        <v>3</v>
      </c>
      <c r="BF34" s="1">
        <v>42832</v>
      </c>
      <c r="BG34" t="s">
        <v>9605</v>
      </c>
      <c r="BH34" t="s">
        <v>3</v>
      </c>
      <c r="BI34" s="1">
        <v>43195</v>
      </c>
      <c r="BJ34" t="s">
        <v>9605</v>
      </c>
      <c r="BK34" t="s">
        <v>3</v>
      </c>
      <c r="BL34" s="1">
        <f t="shared" si="17"/>
        <v>43924</v>
      </c>
      <c r="BM34" t="str">
        <f t="shared" si="18"/>
        <v>AAA</v>
      </c>
      <c r="BN34">
        <f t="shared" si="19"/>
        <v>280</v>
      </c>
      <c r="BP34" s="1"/>
      <c r="BR34" t="e">
        <f t="shared" si="20"/>
        <v>#N/A</v>
      </c>
      <c r="BS34" s="1"/>
      <c r="BU34" s="1"/>
      <c r="BW34" s="1"/>
      <c r="BY34" s="1" t="e">
        <f t="shared" si="21"/>
        <v>#N/A</v>
      </c>
      <c r="BZ34" s="1" t="e">
        <f t="shared" si="22"/>
        <v>#N/A</v>
      </c>
      <c r="CA34" s="1" t="e">
        <f t="shared" si="23"/>
        <v>#N/A</v>
      </c>
    </row>
    <row r="35" spans="2:79">
      <c r="B35" s="4">
        <v>8</v>
      </c>
      <c r="C35" s="7">
        <f t="shared" si="0"/>
        <v>44902</v>
      </c>
      <c r="D35" s="9" t="str">
        <f t="shared" si="1"/>
        <v>AAA</v>
      </c>
      <c r="E35" s="7" t="e">
        <f t="shared" si="2"/>
        <v>#N/A</v>
      </c>
      <c r="F35" s="8" t="e">
        <f t="shared" si="3"/>
        <v>#N/A</v>
      </c>
      <c r="G35" s="9" t="e">
        <f t="shared" si="4"/>
        <v>#N/A</v>
      </c>
      <c r="H35" s="7">
        <f t="shared" si="5"/>
        <v>44902</v>
      </c>
      <c r="I35" s="8" t="str">
        <f t="shared" si="6"/>
        <v>AAA</v>
      </c>
      <c r="J35" s="9" t="str">
        <f t="shared" si="7"/>
        <v>안정적</v>
      </c>
      <c r="K35" s="15">
        <f t="shared" si="8"/>
        <v>44902</v>
      </c>
      <c r="L35" s="8" t="str">
        <f t="shared" si="9"/>
        <v>AAA</v>
      </c>
      <c r="M35" s="9" t="str">
        <f t="shared" si="10"/>
        <v>안정적</v>
      </c>
      <c r="AB35" t="s">
        <v>2037</v>
      </c>
      <c r="AC35">
        <v>200</v>
      </c>
      <c r="AD35" t="s">
        <v>2037</v>
      </c>
      <c r="AE35">
        <v>200</v>
      </c>
      <c r="AF35" t="s">
        <v>2043</v>
      </c>
      <c r="AG35">
        <v>80</v>
      </c>
      <c r="AI35" s="1">
        <v>44925</v>
      </c>
      <c r="AJ35" t="s">
        <v>9605</v>
      </c>
      <c r="AK35">
        <f t="shared" si="15"/>
        <v>280</v>
      </c>
      <c r="AL35" s="1">
        <v>44895</v>
      </c>
      <c r="AM35" t="s">
        <v>9605</v>
      </c>
      <c r="AN35" t="s">
        <v>3</v>
      </c>
      <c r="AO35" s="1">
        <v>44902</v>
      </c>
      <c r="AP35" t="s">
        <v>9605</v>
      </c>
      <c r="AQ35" t="s">
        <v>3</v>
      </c>
      <c r="AR35" s="1">
        <v>44902</v>
      </c>
      <c r="AS35" t="s">
        <v>9605</v>
      </c>
      <c r="AT35" t="s">
        <v>3</v>
      </c>
      <c r="AU35" s="1">
        <f t="shared" si="11"/>
        <v>44925</v>
      </c>
      <c r="AV35" s="1" t="str">
        <f t="shared" si="12"/>
        <v>AAA</v>
      </c>
      <c r="AW35" s="52">
        <f t="shared" si="13"/>
        <v>280</v>
      </c>
      <c r="AZ35" s="1">
        <v>43560</v>
      </c>
      <c r="BA35" t="s">
        <v>9605</v>
      </c>
      <c r="BB35">
        <f t="shared" si="16"/>
        <v>280</v>
      </c>
      <c r="BC35" s="1">
        <v>42460</v>
      </c>
      <c r="BD35" t="s">
        <v>9605</v>
      </c>
      <c r="BE35" t="s">
        <v>3</v>
      </c>
      <c r="BF35" s="1">
        <v>42480</v>
      </c>
      <c r="BG35" t="s">
        <v>9605</v>
      </c>
      <c r="BH35" t="s">
        <v>3</v>
      </c>
      <c r="BI35" s="1">
        <v>42853</v>
      </c>
      <c r="BJ35" t="s">
        <v>9605</v>
      </c>
      <c r="BK35" t="s">
        <v>3</v>
      </c>
      <c r="BL35" s="1">
        <f t="shared" si="17"/>
        <v>43560</v>
      </c>
      <c r="BM35" t="str">
        <f t="shared" si="18"/>
        <v>AAA</v>
      </c>
      <c r="BN35">
        <f t="shared" si="19"/>
        <v>280</v>
      </c>
      <c r="BP35" s="1"/>
      <c r="BR35" t="e">
        <f t="shared" si="20"/>
        <v>#N/A</v>
      </c>
      <c r="BS35" s="1"/>
      <c r="BU35" s="1"/>
      <c r="BW35" s="1"/>
      <c r="BY35" s="1" t="e">
        <f t="shared" si="21"/>
        <v>#N/A</v>
      </c>
      <c r="BZ35" s="1" t="e">
        <f t="shared" si="22"/>
        <v>#N/A</v>
      </c>
      <c r="CA35" s="1" t="e">
        <f t="shared" si="23"/>
        <v>#N/A</v>
      </c>
    </row>
    <row r="36" spans="2:79">
      <c r="B36" s="4">
        <v>9</v>
      </c>
      <c r="C36" s="7">
        <f t="shared" si="0"/>
        <v>44895</v>
      </c>
      <c r="D36" s="9" t="str">
        <f t="shared" si="1"/>
        <v>AAA</v>
      </c>
      <c r="E36" s="7">
        <f t="shared" si="2"/>
        <v>44895</v>
      </c>
      <c r="F36" s="8" t="str">
        <f t="shared" si="3"/>
        <v>AAA</v>
      </c>
      <c r="G36" s="9" t="str">
        <f t="shared" si="4"/>
        <v>안정적</v>
      </c>
      <c r="H36" s="7">
        <f t="shared" si="5"/>
        <v>44895</v>
      </c>
      <c r="I36" s="8" t="str">
        <f t="shared" si="6"/>
        <v>AAA</v>
      </c>
      <c r="J36" s="9" t="str">
        <f t="shared" si="7"/>
        <v>안정적</v>
      </c>
      <c r="K36" s="15">
        <f t="shared" si="8"/>
        <v>44895</v>
      </c>
      <c r="L36" s="8" t="str">
        <f t="shared" si="9"/>
        <v>AAA</v>
      </c>
      <c r="M36" s="9" t="str">
        <f t="shared" si="10"/>
        <v>안정적</v>
      </c>
      <c r="AB36" t="s">
        <v>2038</v>
      </c>
      <c r="AC36">
        <v>190</v>
      </c>
      <c r="AD36" t="s">
        <v>2038</v>
      </c>
      <c r="AE36">
        <v>190</v>
      </c>
      <c r="AF36" t="s">
        <v>2059</v>
      </c>
      <c r="AG36">
        <v>70</v>
      </c>
      <c r="AI36" s="1">
        <v>44902</v>
      </c>
      <c r="AJ36" t="s">
        <v>9605</v>
      </c>
      <c r="AK36">
        <f t="shared" si="15"/>
        <v>280</v>
      </c>
      <c r="AL36" s="1">
        <v>44865</v>
      </c>
      <c r="AM36" t="s">
        <v>9605</v>
      </c>
      <c r="AN36" t="s">
        <v>3</v>
      </c>
      <c r="AO36" s="1">
        <v>44895</v>
      </c>
      <c r="AP36" t="s">
        <v>9605</v>
      </c>
      <c r="AQ36" t="s">
        <v>3</v>
      </c>
      <c r="AR36" s="1">
        <v>44895</v>
      </c>
      <c r="AS36" t="s">
        <v>9605</v>
      </c>
      <c r="AT36" t="s">
        <v>3</v>
      </c>
      <c r="AU36" s="1">
        <f t="shared" si="11"/>
        <v>44902</v>
      </c>
      <c r="AV36" s="1" t="str">
        <f t="shared" si="12"/>
        <v>AAA</v>
      </c>
      <c r="AW36" s="52">
        <f t="shared" si="13"/>
        <v>280</v>
      </c>
      <c r="AZ36" s="1">
        <v>43553</v>
      </c>
      <c r="BA36" t="s">
        <v>9605</v>
      </c>
      <c r="BB36">
        <f t="shared" si="16"/>
        <v>280</v>
      </c>
      <c r="BC36" s="1">
        <v>42094</v>
      </c>
      <c r="BD36" t="s">
        <v>9605</v>
      </c>
      <c r="BE36" t="s">
        <v>3</v>
      </c>
      <c r="BF36" s="1"/>
      <c r="BI36" s="1">
        <v>42461</v>
      </c>
      <c r="BJ36" t="s">
        <v>9605</v>
      </c>
      <c r="BK36" t="s">
        <v>3</v>
      </c>
      <c r="BL36" s="1">
        <f t="shared" si="17"/>
        <v>43553</v>
      </c>
      <c r="BM36" t="str">
        <f t="shared" si="18"/>
        <v>AAA</v>
      </c>
      <c r="BN36">
        <f t="shared" si="19"/>
        <v>280</v>
      </c>
      <c r="BP36" s="1"/>
      <c r="BR36" t="e">
        <f t="shared" si="20"/>
        <v>#N/A</v>
      </c>
      <c r="BS36" s="1"/>
      <c r="BU36" s="1"/>
      <c r="BW36" s="1"/>
      <c r="BY36" s="1" t="e">
        <f t="shared" si="21"/>
        <v>#N/A</v>
      </c>
      <c r="BZ36" s="1" t="e">
        <f t="shared" si="22"/>
        <v>#N/A</v>
      </c>
      <c r="CA36" s="1" t="e">
        <f t="shared" si="23"/>
        <v>#N/A</v>
      </c>
    </row>
    <row r="37" spans="2:79" ht="17.25" thickBot="1">
      <c r="B37" s="4">
        <v>10</v>
      </c>
      <c r="C37" s="10">
        <f t="shared" si="0"/>
        <v>44865</v>
      </c>
      <c r="D37" s="12" t="str">
        <f t="shared" si="1"/>
        <v>AAA</v>
      </c>
      <c r="E37" s="10">
        <f t="shared" si="2"/>
        <v>44865</v>
      </c>
      <c r="F37" s="11" t="str">
        <f t="shared" si="3"/>
        <v>AAA</v>
      </c>
      <c r="G37" s="12" t="str">
        <f t="shared" si="4"/>
        <v>안정적</v>
      </c>
      <c r="H37" s="10">
        <f t="shared" si="5"/>
        <v>44865</v>
      </c>
      <c r="I37" s="11" t="str">
        <f t="shared" si="6"/>
        <v>AAA</v>
      </c>
      <c r="J37" s="12" t="str">
        <f t="shared" si="7"/>
        <v>안정적</v>
      </c>
      <c r="K37" s="16">
        <f t="shared" si="8"/>
        <v>44865</v>
      </c>
      <c r="L37" s="11" t="str">
        <f t="shared" si="9"/>
        <v>AAA</v>
      </c>
      <c r="M37" s="12" t="str">
        <f t="shared" si="10"/>
        <v>안정적</v>
      </c>
      <c r="AB37" t="s">
        <v>2039</v>
      </c>
      <c r="AC37">
        <v>180</v>
      </c>
      <c r="AD37" t="s">
        <v>2039</v>
      </c>
      <c r="AE37">
        <v>180</v>
      </c>
      <c r="AF37" t="s">
        <v>2045</v>
      </c>
      <c r="AG37">
        <v>60</v>
      </c>
      <c r="AI37" s="1">
        <v>44895</v>
      </c>
      <c r="AJ37" t="s">
        <v>9605</v>
      </c>
      <c r="AK37">
        <f t="shared" si="15"/>
        <v>280</v>
      </c>
      <c r="AL37" s="1">
        <v>44834</v>
      </c>
      <c r="AM37" t="s">
        <v>9605</v>
      </c>
      <c r="AN37" t="s">
        <v>3</v>
      </c>
      <c r="AO37" s="1">
        <v>44865</v>
      </c>
      <c r="AP37" t="s">
        <v>9605</v>
      </c>
      <c r="AQ37" t="s">
        <v>3</v>
      </c>
      <c r="AR37" s="1">
        <v>44865</v>
      </c>
      <c r="AS37" t="s">
        <v>9605</v>
      </c>
      <c r="AT37" t="s">
        <v>3</v>
      </c>
      <c r="AU37" s="1">
        <f t="shared" si="11"/>
        <v>44895</v>
      </c>
      <c r="AV37" s="1" t="str">
        <f t="shared" si="12"/>
        <v>AAA</v>
      </c>
      <c r="AW37" s="52">
        <f t="shared" si="13"/>
        <v>280</v>
      </c>
      <c r="AZ37" s="1">
        <v>43195</v>
      </c>
      <c r="BA37" t="s">
        <v>9605</v>
      </c>
      <c r="BB37">
        <f t="shared" si="16"/>
        <v>280</v>
      </c>
      <c r="BC37" s="1">
        <v>41729</v>
      </c>
      <c r="BD37" t="s">
        <v>9605</v>
      </c>
      <c r="BE37" t="s">
        <v>3</v>
      </c>
      <c r="BF37" s="1"/>
      <c r="BI37" s="1">
        <v>42094</v>
      </c>
      <c r="BJ37" t="s">
        <v>9605</v>
      </c>
      <c r="BK37" t="s">
        <v>3</v>
      </c>
      <c r="BL37" s="1">
        <f t="shared" si="17"/>
        <v>43195</v>
      </c>
      <c r="BM37" t="str">
        <f t="shared" si="18"/>
        <v>AAA</v>
      </c>
      <c r="BN37">
        <f t="shared" si="19"/>
        <v>280</v>
      </c>
      <c r="BP37" s="1"/>
      <c r="BR37" t="e">
        <f t="shared" si="20"/>
        <v>#N/A</v>
      </c>
      <c r="BS37" s="1"/>
      <c r="BU37" s="1"/>
      <c r="BW37" s="1"/>
      <c r="BY37" s="1" t="e">
        <f t="shared" si="21"/>
        <v>#N/A</v>
      </c>
      <c r="BZ37" s="1" t="e">
        <f t="shared" si="22"/>
        <v>#N/A</v>
      </c>
      <c r="CA37" s="1" t="e">
        <f t="shared" si="23"/>
        <v>#N/A</v>
      </c>
    </row>
    <row r="38" spans="2:79">
      <c r="B38" s="4"/>
      <c r="C38" s="5"/>
      <c r="D38" s="6"/>
      <c r="E38" s="5"/>
      <c r="F38" s="6"/>
      <c r="G38" s="6"/>
      <c r="H38" s="5"/>
      <c r="I38" s="6"/>
      <c r="J38" s="6"/>
      <c r="K38" s="5"/>
      <c r="L38" s="6"/>
      <c r="M38" s="6"/>
      <c r="AB38" t="s">
        <v>2040</v>
      </c>
      <c r="AC38">
        <v>170</v>
      </c>
      <c r="AD38" t="s">
        <v>2040</v>
      </c>
      <c r="AE38">
        <v>170</v>
      </c>
      <c r="AF38" t="s">
        <v>2060</v>
      </c>
      <c r="AG38">
        <v>40</v>
      </c>
      <c r="AI38" s="1">
        <v>44865</v>
      </c>
      <c r="AJ38" t="s">
        <v>9605</v>
      </c>
      <c r="AK38">
        <f t="shared" si="15"/>
        <v>280</v>
      </c>
      <c r="AL38" s="1">
        <v>44804</v>
      </c>
      <c r="AM38" t="s">
        <v>9605</v>
      </c>
      <c r="AN38" t="s">
        <v>3</v>
      </c>
      <c r="AO38" s="1">
        <v>44834</v>
      </c>
      <c r="AP38" t="s">
        <v>9605</v>
      </c>
      <c r="AQ38" t="s">
        <v>3</v>
      </c>
      <c r="AR38" s="1">
        <v>44834</v>
      </c>
      <c r="AS38" t="s">
        <v>9605</v>
      </c>
      <c r="AT38" t="s">
        <v>3</v>
      </c>
      <c r="AU38" s="1">
        <f t="shared" si="11"/>
        <v>44865</v>
      </c>
      <c r="AV38" s="1" t="str">
        <f t="shared" si="12"/>
        <v>AAA</v>
      </c>
      <c r="AW38" s="52">
        <f t="shared" si="13"/>
        <v>280</v>
      </c>
      <c r="AZ38" s="1">
        <v>43193</v>
      </c>
      <c r="BA38" t="s">
        <v>9605</v>
      </c>
      <c r="BB38">
        <f t="shared" si="16"/>
        <v>280</v>
      </c>
      <c r="BC38" s="1">
        <v>41365</v>
      </c>
      <c r="BD38" t="s">
        <v>9605</v>
      </c>
      <c r="BE38" t="s">
        <v>3</v>
      </c>
      <c r="BF38" s="1"/>
      <c r="BI38" s="1">
        <v>41759</v>
      </c>
      <c r="BJ38" t="s">
        <v>9605</v>
      </c>
      <c r="BK38" t="s">
        <v>3</v>
      </c>
      <c r="BL38" s="1">
        <f t="shared" si="17"/>
        <v>43193</v>
      </c>
      <c r="BM38" t="str">
        <f t="shared" si="18"/>
        <v>AAA</v>
      </c>
      <c r="BN38">
        <f t="shared" si="19"/>
        <v>280</v>
      </c>
      <c r="BP38" s="1"/>
      <c r="BR38" t="e">
        <f t="shared" si="20"/>
        <v>#N/A</v>
      </c>
      <c r="BS38" s="1"/>
      <c r="BU38" s="1"/>
      <c r="BW38" s="1"/>
      <c r="BY38" s="1" t="e">
        <f t="shared" si="21"/>
        <v>#N/A</v>
      </c>
      <c r="BZ38" s="1" t="e">
        <f t="shared" si="22"/>
        <v>#N/A</v>
      </c>
      <c r="CA38" s="1" t="e">
        <f t="shared" si="23"/>
        <v>#N/A</v>
      </c>
    </row>
    <row r="39" spans="2:79" ht="17.25" thickBot="1">
      <c r="B39" s="4"/>
      <c r="C39" s="5"/>
      <c r="D39" s="6"/>
      <c r="E39" s="5"/>
      <c r="F39" s="6"/>
      <c r="G39" s="6"/>
      <c r="H39" s="5"/>
      <c r="I39" s="6"/>
      <c r="J39" s="6"/>
      <c r="K39" s="5"/>
      <c r="L39" s="6"/>
      <c r="M39" s="6"/>
      <c r="AB39" t="s">
        <v>2041</v>
      </c>
      <c r="AC39">
        <v>160</v>
      </c>
      <c r="AD39" t="s">
        <v>2041</v>
      </c>
      <c r="AE39">
        <v>160</v>
      </c>
      <c r="AF39" t="s">
        <v>2061</v>
      </c>
      <c r="AG39">
        <v>10</v>
      </c>
      <c r="AI39" s="1">
        <v>44834</v>
      </c>
      <c r="AJ39" t="s">
        <v>9605</v>
      </c>
      <c r="AK39">
        <f t="shared" si="15"/>
        <v>280</v>
      </c>
      <c r="AL39" s="1">
        <v>44771</v>
      </c>
      <c r="AM39" t="s">
        <v>9605</v>
      </c>
      <c r="AN39" t="s">
        <v>3</v>
      </c>
      <c r="AO39" s="1">
        <v>44804</v>
      </c>
      <c r="AP39" t="s">
        <v>9605</v>
      </c>
      <c r="AQ39" t="s">
        <v>3</v>
      </c>
      <c r="AR39" s="1">
        <v>44804</v>
      </c>
      <c r="AS39" t="s">
        <v>9605</v>
      </c>
      <c r="AT39" t="s">
        <v>3</v>
      </c>
      <c r="AU39" s="1">
        <f t="shared" si="11"/>
        <v>44834</v>
      </c>
      <c r="AV39" s="1" t="str">
        <f t="shared" si="12"/>
        <v>AAA</v>
      </c>
      <c r="AW39" s="52">
        <f t="shared" si="13"/>
        <v>280</v>
      </c>
      <c r="AZ39" s="1">
        <v>43189</v>
      </c>
      <c r="BA39" t="s">
        <v>9605</v>
      </c>
      <c r="BB39">
        <f t="shared" si="16"/>
        <v>280</v>
      </c>
      <c r="BC39" s="1">
        <v>41004</v>
      </c>
      <c r="BD39" t="s">
        <v>9605</v>
      </c>
      <c r="BE39" t="s">
        <v>3</v>
      </c>
      <c r="BF39" s="1"/>
      <c r="BI39" s="1">
        <v>41394</v>
      </c>
      <c r="BJ39" t="s">
        <v>9605</v>
      </c>
      <c r="BK39" t="s">
        <v>3</v>
      </c>
      <c r="BL39" s="1">
        <f t="shared" si="17"/>
        <v>43189</v>
      </c>
      <c r="BM39" t="str">
        <f t="shared" si="18"/>
        <v>AAA</v>
      </c>
      <c r="BN39">
        <f t="shared" si="19"/>
        <v>280</v>
      </c>
      <c r="BP39" s="1"/>
      <c r="BR39" t="e">
        <f t="shared" si="20"/>
        <v>#N/A</v>
      </c>
      <c r="BS39" s="1"/>
      <c r="BU39" s="1"/>
      <c r="BW39" s="1"/>
      <c r="BY39" s="1" t="e">
        <f t="shared" si="21"/>
        <v>#N/A</v>
      </c>
      <c r="BZ39" s="1" t="e">
        <f t="shared" si="22"/>
        <v>#N/A</v>
      </c>
      <c r="CA39" s="1" t="e">
        <f t="shared" si="23"/>
        <v>#N/A</v>
      </c>
    </row>
    <row r="40" spans="2:79" ht="18" thickBot="1">
      <c r="B40" s="4"/>
      <c r="C40" s="50" t="s">
        <v>2017</v>
      </c>
      <c r="D40" s="50"/>
      <c r="E40" s="47" t="s">
        <v>2001</v>
      </c>
      <c r="F40" s="48"/>
      <c r="G40" s="49"/>
      <c r="H40" s="47" t="s">
        <v>2005</v>
      </c>
      <c r="I40" s="48"/>
      <c r="J40" s="49"/>
      <c r="K40" s="47" t="s">
        <v>2006</v>
      </c>
      <c r="L40" s="48"/>
      <c r="M40" s="49"/>
      <c r="AB40" t="s">
        <v>2042</v>
      </c>
      <c r="AC40">
        <v>150</v>
      </c>
      <c r="AD40" t="s">
        <v>2042</v>
      </c>
      <c r="AE40">
        <v>150</v>
      </c>
      <c r="AI40" s="1">
        <v>44804</v>
      </c>
      <c r="AJ40" t="s">
        <v>9605</v>
      </c>
      <c r="AK40">
        <f t="shared" si="15"/>
        <v>280</v>
      </c>
      <c r="AL40" s="1">
        <v>44742</v>
      </c>
      <c r="AM40" t="s">
        <v>9605</v>
      </c>
      <c r="AN40" t="s">
        <v>3</v>
      </c>
      <c r="AO40" s="1">
        <v>44771</v>
      </c>
      <c r="AP40" t="s">
        <v>9605</v>
      </c>
      <c r="AQ40" t="s">
        <v>3</v>
      </c>
      <c r="AR40" s="1">
        <v>44771</v>
      </c>
      <c r="AS40" t="s">
        <v>9605</v>
      </c>
      <c r="AT40" t="s">
        <v>3</v>
      </c>
      <c r="AU40" s="1">
        <f t="shared" si="11"/>
        <v>44804</v>
      </c>
      <c r="AV40" s="1" t="str">
        <f t="shared" si="12"/>
        <v>AAA</v>
      </c>
      <c r="AW40" s="52">
        <f t="shared" si="13"/>
        <v>280</v>
      </c>
      <c r="AZ40" s="1">
        <v>42853</v>
      </c>
      <c r="BA40" t="s">
        <v>9605</v>
      </c>
      <c r="BB40">
        <f t="shared" si="16"/>
        <v>280</v>
      </c>
      <c r="BC40" s="1">
        <v>40633</v>
      </c>
      <c r="BD40" t="s">
        <v>9605</v>
      </c>
      <c r="BE40" t="s">
        <v>3</v>
      </c>
      <c r="BF40" s="1"/>
      <c r="BI40" s="1">
        <v>41065</v>
      </c>
      <c r="BJ40" t="s">
        <v>9605</v>
      </c>
      <c r="BK40" t="s">
        <v>3</v>
      </c>
      <c r="BL40" s="1">
        <f t="shared" si="17"/>
        <v>42853</v>
      </c>
      <c r="BM40" t="str">
        <f t="shared" si="18"/>
        <v>AAA</v>
      </c>
      <c r="BN40">
        <f t="shared" si="19"/>
        <v>280</v>
      </c>
      <c r="BP40" s="1"/>
      <c r="BR40" t="e">
        <f t="shared" si="20"/>
        <v>#N/A</v>
      </c>
      <c r="BS40" s="1"/>
      <c r="BU40" s="1"/>
      <c r="BW40" s="1"/>
      <c r="BY40" s="1" t="e">
        <f t="shared" si="21"/>
        <v>#N/A</v>
      </c>
      <c r="BZ40" s="1" t="e">
        <f t="shared" si="22"/>
        <v>#N/A</v>
      </c>
      <c r="CA40" s="1" t="e">
        <f t="shared" si="23"/>
        <v>#N/A</v>
      </c>
    </row>
    <row r="41" spans="2:79" ht="17.25" thickBot="1">
      <c r="B41" s="4">
        <v>1</v>
      </c>
      <c r="C41" s="35" t="s">
        <v>2014</v>
      </c>
      <c r="D41" s="36" t="s">
        <v>2015</v>
      </c>
      <c r="E41" s="22" t="s">
        <v>2004</v>
      </c>
      <c r="F41" s="23" t="s">
        <v>2002</v>
      </c>
      <c r="G41" s="24" t="s">
        <v>2003</v>
      </c>
      <c r="H41" s="22" t="s">
        <v>2004</v>
      </c>
      <c r="I41" s="23" t="s">
        <v>2002</v>
      </c>
      <c r="J41" s="24" t="s">
        <v>2003</v>
      </c>
      <c r="K41" s="25" t="s">
        <v>2004</v>
      </c>
      <c r="L41" s="23" t="s">
        <v>2002</v>
      </c>
      <c r="M41" s="24" t="s">
        <v>2003</v>
      </c>
      <c r="AB41" t="s">
        <v>2043</v>
      </c>
      <c r="AC41">
        <v>140</v>
      </c>
      <c r="AD41" t="s">
        <v>2043</v>
      </c>
      <c r="AE41">
        <v>140</v>
      </c>
      <c r="AI41" s="1">
        <v>44771</v>
      </c>
      <c r="AJ41" t="s">
        <v>9605</v>
      </c>
      <c r="AK41">
        <f t="shared" si="15"/>
        <v>280</v>
      </c>
      <c r="AL41" s="1">
        <v>44712</v>
      </c>
      <c r="AM41" t="s">
        <v>9605</v>
      </c>
      <c r="AN41" t="s">
        <v>3</v>
      </c>
      <c r="AO41" s="1">
        <v>44742</v>
      </c>
      <c r="AP41" t="s">
        <v>9605</v>
      </c>
      <c r="AQ41" t="s">
        <v>3</v>
      </c>
      <c r="AR41" s="1">
        <v>44742</v>
      </c>
      <c r="AS41" t="s">
        <v>9605</v>
      </c>
      <c r="AT41" t="s">
        <v>3</v>
      </c>
      <c r="AU41" s="1">
        <f t="shared" si="11"/>
        <v>44771</v>
      </c>
      <c r="AV41" s="1" t="str">
        <f t="shared" si="12"/>
        <v>AAA</v>
      </c>
      <c r="AW41" s="52">
        <f t="shared" si="13"/>
        <v>280</v>
      </c>
      <c r="AZ41" s="1">
        <v>42825</v>
      </c>
      <c r="BA41" t="s">
        <v>9605</v>
      </c>
      <c r="BB41">
        <f t="shared" si="16"/>
        <v>280</v>
      </c>
      <c r="BC41" s="1">
        <v>40268</v>
      </c>
      <c r="BD41" t="s">
        <v>9605</v>
      </c>
      <c r="BE41" t="s">
        <v>3</v>
      </c>
      <c r="BF41" s="1"/>
      <c r="BI41" s="1">
        <v>40662</v>
      </c>
      <c r="BJ41" t="s">
        <v>9605</v>
      </c>
      <c r="BK41" t="s">
        <v>3</v>
      </c>
      <c r="BL41" s="1">
        <f t="shared" si="17"/>
        <v>42825</v>
      </c>
      <c r="BM41" t="str">
        <f t="shared" si="18"/>
        <v>AAA</v>
      </c>
      <c r="BN41">
        <f t="shared" si="19"/>
        <v>280</v>
      </c>
      <c r="BP41" s="1"/>
      <c r="BR41" t="e">
        <f t="shared" si="20"/>
        <v>#N/A</v>
      </c>
      <c r="BS41" s="1"/>
      <c r="BU41" s="1"/>
      <c r="BW41" s="1"/>
      <c r="BY41" s="1" t="e">
        <f t="shared" si="21"/>
        <v>#N/A</v>
      </c>
      <c r="BZ41" s="1" t="e">
        <f t="shared" si="22"/>
        <v>#N/A</v>
      </c>
      <c r="CA41" s="1" t="e">
        <f t="shared" si="23"/>
        <v>#N/A</v>
      </c>
    </row>
    <row r="42" spans="2:79">
      <c r="B42" s="4">
        <v>0</v>
      </c>
      <c r="C42" s="17">
        <f t="shared" ref="C42:C52" si="24">IF(INDEX($AZ$28:$BA$59,$B$41+$B42,1)="",NA(),INDEX($AZ$28:$BA$59,$B$41+$B42,1))</f>
        <v>45026</v>
      </c>
      <c r="D42" s="18" t="str">
        <f t="shared" ref="D42:D52" si="25">IF(INDEX($AZ$28:$BA$59,$B$41+$B42,2)="",NA(),INDEX($AZ$28:$BA$59,$B$41+$B42,2))</f>
        <v>AAA</v>
      </c>
      <c r="E42" s="17" t="e">
        <f t="shared" ref="E42:E52" si="26">VLOOKUP($C42,$BC$28:$BE$182,1,0)</f>
        <v>#N/A</v>
      </c>
      <c r="F42" s="19" t="e">
        <f t="shared" ref="F42:F52" si="27">VLOOKUP($C42,$BC$28:$BE$182,2,0)</f>
        <v>#N/A</v>
      </c>
      <c r="G42" s="20" t="e">
        <f t="shared" ref="G42:G52" si="28">VLOOKUP($C42,$BC$28:$BE$182,3,0)</f>
        <v>#N/A</v>
      </c>
      <c r="H42" s="17">
        <f t="shared" ref="H42:H52" si="29">VLOOKUP($C42,$BF$28:$BH$188,1,0)</f>
        <v>45026</v>
      </c>
      <c r="I42" s="19" t="str">
        <f t="shared" ref="I42:I52" si="30">VLOOKUP($C42,$BF$28:$BH$188,2,0)</f>
        <v>AAA</v>
      </c>
      <c r="J42" s="20" t="str">
        <f t="shared" ref="J42:J52" si="31">VLOOKUP($C42,$BF$28:$BH$188,3,0)</f>
        <v>안정적</v>
      </c>
      <c r="K42" s="21" t="e">
        <f t="shared" ref="K42:K52" si="32">VLOOKUP($C42,$BI$28:$BK$188,1,0)</f>
        <v>#N/A</v>
      </c>
      <c r="L42" s="19" t="e">
        <f t="shared" ref="L42:L52" si="33">VLOOKUP($C42,$BI$28:$BK$188,2,0)</f>
        <v>#N/A</v>
      </c>
      <c r="M42" s="20" t="e">
        <f t="shared" ref="M42:M52" si="34">VLOOKUP($C42,$BI$28:$BK$188,3,0)</f>
        <v>#N/A</v>
      </c>
      <c r="AB42" t="s">
        <v>2044</v>
      </c>
      <c r="AC42">
        <v>130</v>
      </c>
      <c r="AD42" t="s">
        <v>2044</v>
      </c>
      <c r="AE42">
        <v>130</v>
      </c>
      <c r="AI42" s="1">
        <v>44742</v>
      </c>
      <c r="AJ42" t="s">
        <v>9605</v>
      </c>
      <c r="AK42">
        <f t="shared" si="15"/>
        <v>280</v>
      </c>
      <c r="AL42" s="1">
        <v>44680</v>
      </c>
      <c r="AM42" t="s">
        <v>9605</v>
      </c>
      <c r="AN42" t="s">
        <v>3</v>
      </c>
      <c r="AO42" s="1">
        <v>44712</v>
      </c>
      <c r="AP42" t="s">
        <v>9605</v>
      </c>
      <c r="AQ42" t="s">
        <v>3</v>
      </c>
      <c r="AR42" s="1">
        <v>44712</v>
      </c>
      <c r="AS42" t="s">
        <v>9605</v>
      </c>
      <c r="AT42" t="s">
        <v>3</v>
      </c>
      <c r="AU42" s="1">
        <f t="shared" si="11"/>
        <v>44742</v>
      </c>
      <c r="AV42" s="1" t="str">
        <f t="shared" si="12"/>
        <v>AAA</v>
      </c>
      <c r="AW42" s="52">
        <f t="shared" si="13"/>
        <v>280</v>
      </c>
      <c r="AZ42" s="1">
        <v>42480</v>
      </c>
      <c r="BA42" t="s">
        <v>9605</v>
      </c>
      <c r="BB42">
        <f t="shared" si="16"/>
        <v>280</v>
      </c>
      <c r="BC42" s="1">
        <v>40147</v>
      </c>
      <c r="BD42" t="s">
        <v>9605</v>
      </c>
      <c r="BE42" t="s">
        <v>3</v>
      </c>
      <c r="BF42" s="1"/>
      <c r="BI42" s="1">
        <v>40298</v>
      </c>
      <c r="BJ42" t="s">
        <v>9605</v>
      </c>
      <c r="BK42" t="s">
        <v>3</v>
      </c>
      <c r="BL42" s="1">
        <f t="shared" si="17"/>
        <v>42480</v>
      </c>
      <c r="BM42" t="str">
        <f t="shared" si="18"/>
        <v>AAA</v>
      </c>
      <c r="BN42">
        <f t="shared" si="19"/>
        <v>280</v>
      </c>
      <c r="BP42" s="1"/>
      <c r="BR42" t="e">
        <f t="shared" si="20"/>
        <v>#N/A</v>
      </c>
      <c r="BS42" s="1"/>
      <c r="BU42" s="1"/>
      <c r="BW42" s="1"/>
      <c r="BY42" s="1" t="e">
        <f t="shared" si="21"/>
        <v>#N/A</v>
      </c>
      <c r="BZ42" s="1" t="e">
        <f t="shared" si="22"/>
        <v>#N/A</v>
      </c>
      <c r="CA42" s="1" t="e">
        <f t="shared" si="23"/>
        <v>#N/A</v>
      </c>
    </row>
    <row r="43" spans="2:79">
      <c r="B43" s="4">
        <v>1</v>
      </c>
      <c r="C43" s="7">
        <f t="shared" si="24"/>
        <v>45020</v>
      </c>
      <c r="D43" s="13" t="str">
        <f t="shared" si="25"/>
        <v>AAA</v>
      </c>
      <c r="E43" s="7" t="e">
        <f t="shared" si="26"/>
        <v>#N/A</v>
      </c>
      <c r="F43" s="8" t="e">
        <f t="shared" si="27"/>
        <v>#N/A</v>
      </c>
      <c r="G43" s="9" t="e">
        <f t="shared" si="28"/>
        <v>#N/A</v>
      </c>
      <c r="H43" s="7" t="e">
        <f t="shared" si="29"/>
        <v>#N/A</v>
      </c>
      <c r="I43" s="8" t="e">
        <f t="shared" si="30"/>
        <v>#N/A</v>
      </c>
      <c r="J43" s="9" t="e">
        <f t="shared" si="31"/>
        <v>#N/A</v>
      </c>
      <c r="K43" s="15">
        <f t="shared" si="32"/>
        <v>45020</v>
      </c>
      <c r="L43" s="8" t="str">
        <f t="shared" si="33"/>
        <v>AAA</v>
      </c>
      <c r="M43" s="9" t="str">
        <f t="shared" si="34"/>
        <v>안정적</v>
      </c>
      <c r="AB43" t="s">
        <v>2045</v>
      </c>
      <c r="AC43">
        <v>120</v>
      </c>
      <c r="AD43" t="s">
        <v>2045</v>
      </c>
      <c r="AE43">
        <v>120</v>
      </c>
      <c r="AI43" s="1">
        <v>44712</v>
      </c>
      <c r="AJ43" t="s">
        <v>9605</v>
      </c>
      <c r="AK43">
        <f t="shared" si="15"/>
        <v>280</v>
      </c>
      <c r="AL43" s="1">
        <v>44651</v>
      </c>
      <c r="AM43" t="s">
        <v>9605</v>
      </c>
      <c r="AN43" t="s">
        <v>3</v>
      </c>
      <c r="AO43" s="1">
        <v>44680</v>
      </c>
      <c r="AP43" t="s">
        <v>9605</v>
      </c>
      <c r="AQ43" t="s">
        <v>3</v>
      </c>
      <c r="AR43" s="1">
        <v>44680</v>
      </c>
      <c r="AS43" t="s">
        <v>9605</v>
      </c>
      <c r="AT43" t="s">
        <v>3</v>
      </c>
      <c r="AU43" s="1">
        <f t="shared" si="11"/>
        <v>44712</v>
      </c>
      <c r="AV43" s="1" t="str">
        <f t="shared" si="12"/>
        <v>AAA</v>
      </c>
      <c r="AW43" s="52">
        <f t="shared" si="13"/>
        <v>280</v>
      </c>
      <c r="AZ43" s="1">
        <v>42461</v>
      </c>
      <c r="BA43" t="s">
        <v>9605</v>
      </c>
      <c r="BB43">
        <f t="shared" si="16"/>
        <v>280</v>
      </c>
      <c r="BC43" s="1">
        <v>40025</v>
      </c>
      <c r="BD43" t="s">
        <v>9605</v>
      </c>
      <c r="BE43" t="s">
        <v>3</v>
      </c>
      <c r="BF43" s="1"/>
      <c r="BI43" s="1"/>
      <c r="BL43" s="1">
        <f t="shared" si="17"/>
        <v>42461</v>
      </c>
      <c r="BM43" t="str">
        <f t="shared" si="18"/>
        <v>AAA</v>
      </c>
      <c r="BN43">
        <f t="shared" si="19"/>
        <v>280</v>
      </c>
      <c r="BP43" s="1"/>
      <c r="BR43" t="e">
        <f t="shared" si="20"/>
        <v>#N/A</v>
      </c>
      <c r="BS43" s="1"/>
      <c r="BU43" s="1"/>
      <c r="BW43" s="1"/>
      <c r="BY43" s="1" t="e">
        <f t="shared" si="21"/>
        <v>#N/A</v>
      </c>
      <c r="BZ43" s="1" t="e">
        <f t="shared" si="22"/>
        <v>#N/A</v>
      </c>
      <c r="CA43" s="1" t="e">
        <f t="shared" si="23"/>
        <v>#N/A</v>
      </c>
    </row>
    <row r="44" spans="2:79">
      <c r="B44" s="4">
        <v>2</v>
      </c>
      <c r="C44" s="7">
        <f t="shared" si="24"/>
        <v>45016</v>
      </c>
      <c r="D44" s="13" t="str">
        <f t="shared" si="25"/>
        <v>AAA</v>
      </c>
      <c r="E44" s="7">
        <f t="shared" si="26"/>
        <v>45016</v>
      </c>
      <c r="F44" s="8" t="str">
        <f t="shared" si="27"/>
        <v>AAA</v>
      </c>
      <c r="G44" s="9" t="str">
        <f t="shared" si="28"/>
        <v>안정적</v>
      </c>
      <c r="H44" s="7" t="e">
        <f t="shared" si="29"/>
        <v>#N/A</v>
      </c>
      <c r="I44" s="8" t="e">
        <f t="shared" si="30"/>
        <v>#N/A</v>
      </c>
      <c r="J44" s="9" t="e">
        <f t="shared" si="31"/>
        <v>#N/A</v>
      </c>
      <c r="K44" s="15" t="e">
        <f t="shared" si="32"/>
        <v>#N/A</v>
      </c>
      <c r="L44" s="8" t="e">
        <f t="shared" si="33"/>
        <v>#N/A</v>
      </c>
      <c r="M44" s="9" t="e">
        <f t="shared" si="34"/>
        <v>#N/A</v>
      </c>
      <c r="AB44" t="s">
        <v>2046</v>
      </c>
      <c r="AC44">
        <v>110</v>
      </c>
      <c r="AD44" t="s">
        <v>2046</v>
      </c>
      <c r="AE44">
        <v>110</v>
      </c>
      <c r="AI44" s="1">
        <v>44680</v>
      </c>
      <c r="AJ44" t="s">
        <v>9605</v>
      </c>
      <c r="AK44">
        <f t="shared" si="15"/>
        <v>280</v>
      </c>
      <c r="AL44" s="1">
        <v>44620</v>
      </c>
      <c r="AM44" t="s">
        <v>9605</v>
      </c>
      <c r="AN44" t="s">
        <v>3</v>
      </c>
      <c r="AO44" s="1">
        <v>44651</v>
      </c>
      <c r="AP44" t="s">
        <v>9605</v>
      </c>
      <c r="AQ44" t="s">
        <v>3</v>
      </c>
      <c r="AR44" s="1">
        <v>44651</v>
      </c>
      <c r="AS44" t="s">
        <v>9605</v>
      </c>
      <c r="AT44" t="s">
        <v>3</v>
      </c>
      <c r="AU44" s="1">
        <f t="shared" si="11"/>
        <v>44680</v>
      </c>
      <c r="AV44" s="1" t="str">
        <f t="shared" si="12"/>
        <v>AAA</v>
      </c>
      <c r="AW44" s="52">
        <f t="shared" si="13"/>
        <v>280</v>
      </c>
      <c r="AZ44" s="1">
        <v>42460</v>
      </c>
      <c r="BA44" t="s">
        <v>9605</v>
      </c>
      <c r="BB44">
        <f t="shared" si="16"/>
        <v>280</v>
      </c>
      <c r="BC44" s="1"/>
      <c r="BF44" s="1"/>
      <c r="BI44" s="1"/>
      <c r="BL44" s="1">
        <f t="shared" si="17"/>
        <v>42460</v>
      </c>
      <c r="BM44" t="str">
        <f t="shared" si="18"/>
        <v>AAA</v>
      </c>
      <c r="BN44">
        <f t="shared" si="19"/>
        <v>280</v>
      </c>
      <c r="BP44" s="1"/>
      <c r="BR44" t="e">
        <f t="shared" si="20"/>
        <v>#N/A</v>
      </c>
      <c r="BS44" s="1"/>
      <c r="BU44" s="1"/>
      <c r="BW44" s="1"/>
      <c r="BY44" s="1" t="e">
        <f t="shared" si="21"/>
        <v>#N/A</v>
      </c>
      <c r="BZ44" s="1" t="e">
        <f t="shared" si="22"/>
        <v>#N/A</v>
      </c>
      <c r="CA44" s="1" t="e">
        <f t="shared" si="23"/>
        <v>#N/A</v>
      </c>
    </row>
    <row r="45" spans="2:79">
      <c r="B45" s="4">
        <v>3</v>
      </c>
      <c r="C45" s="7">
        <f t="shared" si="24"/>
        <v>44652</v>
      </c>
      <c r="D45" s="13" t="str">
        <f t="shared" si="25"/>
        <v>AAA</v>
      </c>
      <c r="E45" s="7" t="e">
        <f t="shared" si="26"/>
        <v>#N/A</v>
      </c>
      <c r="F45" s="8" t="e">
        <f t="shared" si="27"/>
        <v>#N/A</v>
      </c>
      <c r="G45" s="9" t="e">
        <f t="shared" si="28"/>
        <v>#N/A</v>
      </c>
      <c r="H45" s="7">
        <f t="shared" si="29"/>
        <v>44652</v>
      </c>
      <c r="I45" s="8" t="str">
        <f t="shared" si="30"/>
        <v>AAA</v>
      </c>
      <c r="J45" s="9" t="str">
        <f t="shared" si="31"/>
        <v>안정적</v>
      </c>
      <c r="K45" s="15">
        <f t="shared" si="32"/>
        <v>44652</v>
      </c>
      <c r="L45" s="8" t="str">
        <f t="shared" si="33"/>
        <v>AAA</v>
      </c>
      <c r="M45" s="9" t="str">
        <f t="shared" si="34"/>
        <v>안정적</v>
      </c>
      <c r="AB45" t="s">
        <v>2047</v>
      </c>
      <c r="AC45">
        <v>100</v>
      </c>
      <c r="AD45" t="s">
        <v>2047</v>
      </c>
      <c r="AE45">
        <v>100</v>
      </c>
      <c r="AI45" s="1">
        <v>44651</v>
      </c>
      <c r="AJ45" t="s">
        <v>9605</v>
      </c>
      <c r="AK45">
        <f t="shared" si="15"/>
        <v>280</v>
      </c>
      <c r="AL45" s="1">
        <v>44603</v>
      </c>
      <c r="AM45" t="s">
        <v>9605</v>
      </c>
      <c r="AN45" t="s">
        <v>3</v>
      </c>
      <c r="AO45" s="1">
        <v>44620</v>
      </c>
      <c r="AP45" t="s">
        <v>9605</v>
      </c>
      <c r="AQ45" t="s">
        <v>3</v>
      </c>
      <c r="AR45" s="1">
        <v>44620</v>
      </c>
      <c r="AS45" t="s">
        <v>9605</v>
      </c>
      <c r="AT45" t="s">
        <v>3</v>
      </c>
      <c r="AU45" s="1">
        <f t="shared" si="11"/>
        <v>44651</v>
      </c>
      <c r="AV45" s="1" t="str">
        <f t="shared" si="12"/>
        <v>AAA</v>
      </c>
      <c r="AW45" s="52">
        <f t="shared" si="13"/>
        <v>280</v>
      </c>
      <c r="AZ45" s="1">
        <v>42094</v>
      </c>
      <c r="BA45" t="s">
        <v>9605</v>
      </c>
      <c r="BB45">
        <f t="shared" si="16"/>
        <v>280</v>
      </c>
      <c r="BC45" s="1"/>
      <c r="BF45" s="1"/>
      <c r="BI45" s="1"/>
      <c r="BL45" s="1">
        <f t="shared" si="17"/>
        <v>42094</v>
      </c>
      <c r="BM45" t="str">
        <f t="shared" si="18"/>
        <v>AAA</v>
      </c>
      <c r="BN45">
        <f t="shared" si="19"/>
        <v>280</v>
      </c>
      <c r="BP45" s="1"/>
      <c r="BR45" t="e">
        <f t="shared" si="20"/>
        <v>#N/A</v>
      </c>
      <c r="BS45" s="1"/>
      <c r="BU45" s="1"/>
      <c r="BW45" s="1"/>
      <c r="BY45" s="1" t="e">
        <f t="shared" si="21"/>
        <v>#N/A</v>
      </c>
      <c r="BZ45" s="1" t="e">
        <f t="shared" si="22"/>
        <v>#N/A</v>
      </c>
      <c r="CA45" s="1" t="e">
        <f t="shared" si="23"/>
        <v>#N/A</v>
      </c>
    </row>
    <row r="46" spans="2:79">
      <c r="B46" s="4">
        <v>4</v>
      </c>
      <c r="C46" s="7">
        <f t="shared" si="24"/>
        <v>44288</v>
      </c>
      <c r="D46" s="13" t="str">
        <f t="shared" si="25"/>
        <v>AAA</v>
      </c>
      <c r="E46" s="7" t="e">
        <f t="shared" si="26"/>
        <v>#N/A</v>
      </c>
      <c r="F46" s="8" t="e">
        <f t="shared" si="27"/>
        <v>#N/A</v>
      </c>
      <c r="G46" s="9" t="e">
        <f t="shared" si="28"/>
        <v>#N/A</v>
      </c>
      <c r="H46" s="7">
        <f t="shared" si="29"/>
        <v>44288</v>
      </c>
      <c r="I46" s="8" t="str">
        <f t="shared" si="30"/>
        <v>AAA</v>
      </c>
      <c r="J46" s="9" t="str">
        <f t="shared" si="31"/>
        <v>안정적</v>
      </c>
      <c r="K46" s="15" t="e">
        <f t="shared" si="32"/>
        <v>#N/A</v>
      </c>
      <c r="L46" s="8" t="e">
        <f t="shared" si="33"/>
        <v>#N/A</v>
      </c>
      <c r="M46" s="9" t="e">
        <f t="shared" si="34"/>
        <v>#N/A</v>
      </c>
      <c r="AB46" t="s">
        <v>2048</v>
      </c>
      <c r="AC46">
        <v>90</v>
      </c>
      <c r="AD46" t="s">
        <v>2048</v>
      </c>
      <c r="AE46">
        <v>90</v>
      </c>
      <c r="AI46" s="1">
        <v>44620</v>
      </c>
      <c r="AJ46" t="s">
        <v>9605</v>
      </c>
      <c r="AK46">
        <f t="shared" si="15"/>
        <v>280</v>
      </c>
      <c r="AL46" s="1">
        <v>44601</v>
      </c>
      <c r="AM46" t="s">
        <v>9605</v>
      </c>
      <c r="AN46" t="s">
        <v>3</v>
      </c>
      <c r="AO46" s="1">
        <v>44601</v>
      </c>
      <c r="AP46" t="s">
        <v>9605</v>
      </c>
      <c r="AQ46" t="s">
        <v>3</v>
      </c>
      <c r="AR46" s="1">
        <v>44603</v>
      </c>
      <c r="AS46" t="s">
        <v>9605</v>
      </c>
      <c r="AT46" t="s">
        <v>3</v>
      </c>
      <c r="AU46" s="1">
        <f t="shared" si="11"/>
        <v>44620</v>
      </c>
      <c r="AV46" s="1" t="str">
        <f t="shared" si="12"/>
        <v>AAA</v>
      </c>
      <c r="AW46" s="52">
        <f t="shared" si="13"/>
        <v>280</v>
      </c>
      <c r="AZ46" s="1">
        <v>41759</v>
      </c>
      <c r="BA46" t="s">
        <v>9605</v>
      </c>
      <c r="BB46">
        <f t="shared" si="16"/>
        <v>280</v>
      </c>
      <c r="BC46" s="1"/>
      <c r="BF46" s="1"/>
      <c r="BI46" s="1"/>
      <c r="BL46" s="1">
        <f t="shared" si="17"/>
        <v>41759</v>
      </c>
      <c r="BM46" t="str">
        <f t="shared" si="18"/>
        <v>AAA</v>
      </c>
      <c r="BN46">
        <f t="shared" si="19"/>
        <v>280</v>
      </c>
      <c r="BP46" s="1"/>
      <c r="BR46" t="e">
        <f t="shared" si="20"/>
        <v>#N/A</v>
      </c>
      <c r="BS46" s="1"/>
      <c r="BU46" s="1"/>
      <c r="BW46" s="1"/>
      <c r="BY46" s="1" t="e">
        <f t="shared" si="21"/>
        <v>#N/A</v>
      </c>
      <c r="BZ46" s="1" t="e">
        <f t="shared" si="22"/>
        <v>#N/A</v>
      </c>
      <c r="CA46" s="1" t="e">
        <f t="shared" si="23"/>
        <v>#N/A</v>
      </c>
    </row>
    <row r="47" spans="2:79">
      <c r="B47" s="4">
        <v>5</v>
      </c>
      <c r="C47" s="7">
        <f t="shared" si="24"/>
        <v>44286</v>
      </c>
      <c r="D47" s="13" t="str">
        <f t="shared" si="25"/>
        <v>AAA</v>
      </c>
      <c r="E47" s="7">
        <f t="shared" si="26"/>
        <v>44286</v>
      </c>
      <c r="F47" s="8" t="str">
        <f t="shared" si="27"/>
        <v>AAA</v>
      </c>
      <c r="G47" s="9" t="str">
        <f t="shared" si="28"/>
        <v>안정적</v>
      </c>
      <c r="H47" s="7" t="e">
        <f t="shared" si="29"/>
        <v>#N/A</v>
      </c>
      <c r="I47" s="8" t="e">
        <f t="shared" si="30"/>
        <v>#N/A</v>
      </c>
      <c r="J47" s="9" t="e">
        <f t="shared" si="31"/>
        <v>#N/A</v>
      </c>
      <c r="K47" s="15">
        <f t="shared" si="32"/>
        <v>44286</v>
      </c>
      <c r="L47" s="8" t="str">
        <f t="shared" si="33"/>
        <v>AAA</v>
      </c>
      <c r="M47" s="9" t="str">
        <f t="shared" si="34"/>
        <v>안정적</v>
      </c>
      <c r="AB47" t="s">
        <v>2049</v>
      </c>
      <c r="AC47">
        <v>70</v>
      </c>
      <c r="AD47" t="s">
        <v>2049</v>
      </c>
      <c r="AE47">
        <v>70</v>
      </c>
      <c r="AI47" s="1">
        <v>44603</v>
      </c>
      <c r="AJ47" t="s">
        <v>9605</v>
      </c>
      <c r="AK47">
        <f t="shared" si="15"/>
        <v>280</v>
      </c>
      <c r="AL47" s="1">
        <v>44561</v>
      </c>
      <c r="AM47" t="s">
        <v>9605</v>
      </c>
      <c r="AN47" t="s">
        <v>3</v>
      </c>
      <c r="AO47" s="1">
        <v>44561</v>
      </c>
      <c r="AP47" t="s">
        <v>9605</v>
      </c>
      <c r="AQ47" t="s">
        <v>3</v>
      </c>
      <c r="AR47" s="1">
        <v>44561</v>
      </c>
      <c r="AS47" t="s">
        <v>9605</v>
      </c>
      <c r="AT47" t="s">
        <v>3</v>
      </c>
      <c r="AU47" s="1">
        <f t="shared" si="11"/>
        <v>44603</v>
      </c>
      <c r="AV47" s="1" t="str">
        <f t="shared" si="12"/>
        <v>AAA</v>
      </c>
      <c r="AW47" s="52">
        <f t="shared" si="13"/>
        <v>280</v>
      </c>
      <c r="AZ47" s="1">
        <v>41729</v>
      </c>
      <c r="BA47" t="s">
        <v>9605</v>
      </c>
      <c r="BB47">
        <f t="shared" si="16"/>
        <v>280</v>
      </c>
      <c r="BC47" s="1"/>
      <c r="BF47" s="1"/>
      <c r="BI47" s="1"/>
      <c r="BL47" s="1">
        <f t="shared" si="17"/>
        <v>41729</v>
      </c>
      <c r="BM47" t="str">
        <f t="shared" si="18"/>
        <v>AAA</v>
      </c>
      <c r="BN47">
        <f t="shared" si="19"/>
        <v>280</v>
      </c>
      <c r="BP47" s="1"/>
      <c r="BR47" t="e">
        <f t="shared" si="20"/>
        <v>#N/A</v>
      </c>
      <c r="BS47" s="1"/>
      <c r="BU47" s="1"/>
      <c r="BW47" s="1"/>
      <c r="BY47" s="1" t="e">
        <f t="shared" si="21"/>
        <v>#N/A</v>
      </c>
      <c r="BZ47" s="1" t="e">
        <f t="shared" si="22"/>
        <v>#N/A</v>
      </c>
      <c r="CA47" s="1" t="e">
        <f t="shared" si="23"/>
        <v>#N/A</v>
      </c>
    </row>
    <row r="48" spans="2:79">
      <c r="B48" s="4">
        <v>6</v>
      </c>
      <c r="C48" s="7">
        <f t="shared" si="24"/>
        <v>43924</v>
      </c>
      <c r="D48" s="13" t="str">
        <f t="shared" si="25"/>
        <v>AAA</v>
      </c>
      <c r="E48" s="7" t="e">
        <f t="shared" si="26"/>
        <v>#N/A</v>
      </c>
      <c r="F48" s="8" t="e">
        <f t="shared" si="27"/>
        <v>#N/A</v>
      </c>
      <c r="G48" s="9" t="e">
        <f t="shared" si="28"/>
        <v>#N/A</v>
      </c>
      <c r="H48" s="7" t="e">
        <f t="shared" si="29"/>
        <v>#N/A</v>
      </c>
      <c r="I48" s="8" t="e">
        <f t="shared" si="30"/>
        <v>#N/A</v>
      </c>
      <c r="J48" s="9" t="e">
        <f t="shared" si="31"/>
        <v>#N/A</v>
      </c>
      <c r="K48" s="15">
        <f t="shared" si="32"/>
        <v>43924</v>
      </c>
      <c r="L48" s="8" t="str">
        <f t="shared" si="33"/>
        <v>AAA</v>
      </c>
      <c r="M48" s="9" t="str">
        <f t="shared" si="34"/>
        <v>안정적</v>
      </c>
      <c r="AB48" t="s">
        <v>2050</v>
      </c>
      <c r="AC48">
        <v>40</v>
      </c>
      <c r="AD48" t="s">
        <v>2050</v>
      </c>
      <c r="AE48">
        <v>40</v>
      </c>
      <c r="AI48" s="1">
        <v>44601</v>
      </c>
      <c r="AJ48" t="s">
        <v>9605</v>
      </c>
      <c r="AK48">
        <f t="shared" si="15"/>
        <v>280</v>
      </c>
      <c r="AL48" s="1">
        <v>44530</v>
      </c>
      <c r="AM48" t="s">
        <v>9605</v>
      </c>
      <c r="AN48" t="s">
        <v>3</v>
      </c>
      <c r="AO48" s="1">
        <v>44530</v>
      </c>
      <c r="AP48" t="s">
        <v>9605</v>
      </c>
      <c r="AQ48" t="s">
        <v>3</v>
      </c>
      <c r="AR48" s="1">
        <v>44530</v>
      </c>
      <c r="AS48" t="s">
        <v>9605</v>
      </c>
      <c r="AT48" t="s">
        <v>3</v>
      </c>
      <c r="AU48" s="1">
        <f t="shared" si="11"/>
        <v>44601</v>
      </c>
      <c r="AV48" s="1" t="str">
        <f t="shared" si="12"/>
        <v>AAA</v>
      </c>
      <c r="AW48" s="52">
        <f t="shared" si="13"/>
        <v>280</v>
      </c>
      <c r="AZ48" s="1">
        <v>41394</v>
      </c>
      <c r="BA48" t="s">
        <v>9605</v>
      </c>
      <c r="BB48">
        <f t="shared" si="16"/>
        <v>280</v>
      </c>
      <c r="BC48" s="1"/>
      <c r="BF48" s="1"/>
      <c r="BI48" s="1"/>
      <c r="BL48" s="1">
        <f t="shared" si="17"/>
        <v>41394</v>
      </c>
      <c r="BM48" t="str">
        <f t="shared" si="18"/>
        <v>AAA</v>
      </c>
      <c r="BN48">
        <f t="shared" si="19"/>
        <v>280</v>
      </c>
      <c r="BP48" s="1"/>
      <c r="BR48" t="e">
        <f t="shared" si="20"/>
        <v>#N/A</v>
      </c>
      <c r="BS48" s="1"/>
      <c r="BU48" s="1"/>
      <c r="BW48" s="1"/>
      <c r="BY48" s="1" t="e">
        <f t="shared" si="21"/>
        <v>#N/A</v>
      </c>
      <c r="BZ48" s="1" t="e">
        <f t="shared" si="22"/>
        <v>#N/A</v>
      </c>
      <c r="CA48" s="1" t="e">
        <f t="shared" si="23"/>
        <v>#N/A</v>
      </c>
    </row>
    <row r="49" spans="2:79">
      <c r="B49" s="4">
        <v>7</v>
      </c>
      <c r="C49" s="7">
        <f t="shared" si="24"/>
        <v>43560</v>
      </c>
      <c r="D49" s="13" t="str">
        <f t="shared" si="25"/>
        <v>AAA</v>
      </c>
      <c r="E49" s="7" t="e">
        <f t="shared" si="26"/>
        <v>#N/A</v>
      </c>
      <c r="F49" s="8" t="e">
        <f t="shared" si="27"/>
        <v>#N/A</v>
      </c>
      <c r="G49" s="9" t="e">
        <f t="shared" si="28"/>
        <v>#N/A</v>
      </c>
      <c r="H49" s="7" t="e">
        <f t="shared" si="29"/>
        <v>#N/A</v>
      </c>
      <c r="I49" s="8" t="e">
        <f t="shared" si="30"/>
        <v>#N/A</v>
      </c>
      <c r="J49" s="9" t="e">
        <f t="shared" si="31"/>
        <v>#N/A</v>
      </c>
      <c r="K49" s="15">
        <f t="shared" si="32"/>
        <v>43560</v>
      </c>
      <c r="L49" s="8" t="str">
        <f t="shared" si="33"/>
        <v>AAA</v>
      </c>
      <c r="M49" s="9" t="str">
        <f t="shared" si="34"/>
        <v>안정적</v>
      </c>
      <c r="AB49" t="s">
        <v>2051</v>
      </c>
      <c r="AC49">
        <v>10</v>
      </c>
      <c r="AD49" t="s">
        <v>2051</v>
      </c>
      <c r="AE49">
        <v>10</v>
      </c>
      <c r="AI49" s="1">
        <v>44561</v>
      </c>
      <c r="AJ49" t="s">
        <v>9605</v>
      </c>
      <c r="AK49">
        <f t="shared" si="15"/>
        <v>280</v>
      </c>
      <c r="AL49" s="1">
        <v>44498</v>
      </c>
      <c r="AM49" t="s">
        <v>9605</v>
      </c>
      <c r="AN49" t="s">
        <v>3</v>
      </c>
      <c r="AO49" s="1">
        <v>44498</v>
      </c>
      <c r="AP49" t="s">
        <v>9605</v>
      </c>
      <c r="AQ49" t="s">
        <v>3</v>
      </c>
      <c r="AR49" s="1">
        <v>44498</v>
      </c>
      <c r="AS49" t="s">
        <v>9605</v>
      </c>
      <c r="AT49" t="s">
        <v>3</v>
      </c>
      <c r="AU49" s="1">
        <f t="shared" si="11"/>
        <v>44561</v>
      </c>
      <c r="AV49" s="1" t="str">
        <f t="shared" si="12"/>
        <v>AAA</v>
      </c>
      <c r="AW49" s="52">
        <f t="shared" si="13"/>
        <v>280</v>
      </c>
      <c r="AZ49" s="1">
        <v>41365</v>
      </c>
      <c r="BA49" t="s">
        <v>9605</v>
      </c>
      <c r="BB49">
        <f t="shared" si="16"/>
        <v>280</v>
      </c>
      <c r="BC49" s="1"/>
      <c r="BF49" s="1"/>
      <c r="BI49" s="1"/>
      <c r="BL49" s="1">
        <f t="shared" si="17"/>
        <v>41365</v>
      </c>
      <c r="BM49" t="str">
        <f t="shared" si="18"/>
        <v>AAA</v>
      </c>
      <c r="BN49">
        <f t="shared" si="19"/>
        <v>280</v>
      </c>
      <c r="BP49" s="1"/>
      <c r="BR49" t="e">
        <f t="shared" si="20"/>
        <v>#N/A</v>
      </c>
      <c r="BS49" s="1"/>
      <c r="BU49" s="1"/>
      <c r="BW49" s="1"/>
      <c r="BY49" s="1" t="e">
        <f t="shared" si="21"/>
        <v>#N/A</v>
      </c>
      <c r="BZ49" s="1" t="e">
        <f t="shared" si="22"/>
        <v>#N/A</v>
      </c>
      <c r="CA49" s="1" t="e">
        <f t="shared" si="23"/>
        <v>#N/A</v>
      </c>
    </row>
    <row r="50" spans="2:79">
      <c r="B50" s="4">
        <v>8</v>
      </c>
      <c r="C50" s="7">
        <f t="shared" si="24"/>
        <v>43553</v>
      </c>
      <c r="D50" s="13" t="str">
        <f t="shared" si="25"/>
        <v>AAA</v>
      </c>
      <c r="E50" s="7">
        <f t="shared" si="26"/>
        <v>43553</v>
      </c>
      <c r="F50" s="8" t="str">
        <f t="shared" si="27"/>
        <v>AAA</v>
      </c>
      <c r="G50" s="9" t="str">
        <f t="shared" si="28"/>
        <v>안정적</v>
      </c>
      <c r="H50" s="7" t="e">
        <f t="shared" si="29"/>
        <v>#N/A</v>
      </c>
      <c r="I50" s="8" t="e">
        <f t="shared" si="30"/>
        <v>#N/A</v>
      </c>
      <c r="J50" s="9" t="e">
        <f t="shared" si="31"/>
        <v>#N/A</v>
      </c>
      <c r="K50" s="15" t="e">
        <f t="shared" si="32"/>
        <v>#N/A</v>
      </c>
      <c r="L50" s="8" t="e">
        <f t="shared" si="33"/>
        <v>#N/A</v>
      </c>
      <c r="M50" s="9" t="e">
        <f t="shared" si="34"/>
        <v>#N/A</v>
      </c>
      <c r="AI50" s="1">
        <v>44530</v>
      </c>
      <c r="AJ50" t="s">
        <v>9605</v>
      </c>
      <c r="AK50">
        <f t="shared" si="15"/>
        <v>280</v>
      </c>
      <c r="AL50" s="1">
        <v>44469</v>
      </c>
      <c r="AM50" t="s">
        <v>9605</v>
      </c>
      <c r="AN50" t="s">
        <v>3</v>
      </c>
      <c r="AO50" s="1">
        <v>44469</v>
      </c>
      <c r="AP50" t="s">
        <v>9605</v>
      </c>
      <c r="AQ50" t="s">
        <v>3</v>
      </c>
      <c r="AR50" s="1">
        <v>44469</v>
      </c>
      <c r="AS50" t="s">
        <v>9605</v>
      </c>
      <c r="AT50" t="s">
        <v>3</v>
      </c>
      <c r="AU50" s="1">
        <f t="shared" si="11"/>
        <v>44530</v>
      </c>
      <c r="AV50" s="1" t="str">
        <f t="shared" si="12"/>
        <v>AAA</v>
      </c>
      <c r="AW50" s="52">
        <f t="shared" si="13"/>
        <v>280</v>
      </c>
      <c r="AZ50" s="1">
        <v>41065</v>
      </c>
      <c r="BA50" t="s">
        <v>9605</v>
      </c>
      <c r="BB50">
        <f t="shared" si="16"/>
        <v>280</v>
      </c>
      <c r="BC50" s="1"/>
      <c r="BF50" s="1"/>
      <c r="BI50" s="1"/>
      <c r="BL50" s="1">
        <f t="shared" si="17"/>
        <v>41065</v>
      </c>
      <c r="BM50" t="str">
        <f t="shared" si="18"/>
        <v>AAA</v>
      </c>
      <c r="BN50">
        <f t="shared" si="19"/>
        <v>280</v>
      </c>
      <c r="BP50" s="1"/>
      <c r="BR50" t="e">
        <f t="shared" si="20"/>
        <v>#N/A</v>
      </c>
      <c r="BS50" s="1"/>
      <c r="BU50" s="1"/>
      <c r="BW50" s="1"/>
      <c r="BY50" s="1" t="e">
        <f t="shared" si="21"/>
        <v>#N/A</v>
      </c>
      <c r="BZ50" s="1" t="e">
        <f t="shared" si="22"/>
        <v>#N/A</v>
      </c>
      <c r="CA50" s="1" t="e">
        <f t="shared" si="23"/>
        <v>#N/A</v>
      </c>
    </row>
    <row r="51" spans="2:79">
      <c r="B51" s="4">
        <v>9</v>
      </c>
      <c r="C51" s="7">
        <f t="shared" si="24"/>
        <v>43195</v>
      </c>
      <c r="D51" s="13" t="str">
        <f t="shared" si="25"/>
        <v>AAA</v>
      </c>
      <c r="E51" s="7" t="e">
        <f t="shared" si="26"/>
        <v>#N/A</v>
      </c>
      <c r="F51" s="8" t="e">
        <f t="shared" si="27"/>
        <v>#N/A</v>
      </c>
      <c r="G51" s="9" t="e">
        <f t="shared" si="28"/>
        <v>#N/A</v>
      </c>
      <c r="H51" s="7" t="e">
        <f t="shared" si="29"/>
        <v>#N/A</v>
      </c>
      <c r="I51" s="8" t="e">
        <f t="shared" si="30"/>
        <v>#N/A</v>
      </c>
      <c r="J51" s="9" t="e">
        <f t="shared" si="31"/>
        <v>#N/A</v>
      </c>
      <c r="K51" s="15">
        <f t="shared" si="32"/>
        <v>43195</v>
      </c>
      <c r="L51" s="8" t="str">
        <f t="shared" si="33"/>
        <v>AAA</v>
      </c>
      <c r="M51" s="9" t="str">
        <f t="shared" si="34"/>
        <v>안정적</v>
      </c>
      <c r="AI51" s="1">
        <v>44498</v>
      </c>
      <c r="AJ51" t="s">
        <v>9605</v>
      </c>
      <c r="AK51">
        <f t="shared" si="15"/>
        <v>280</v>
      </c>
      <c r="AL51" s="1">
        <v>44439</v>
      </c>
      <c r="AM51" t="s">
        <v>9605</v>
      </c>
      <c r="AN51" t="s">
        <v>3</v>
      </c>
      <c r="AO51" s="1">
        <v>44439</v>
      </c>
      <c r="AP51" t="s">
        <v>9605</v>
      </c>
      <c r="AQ51" t="s">
        <v>3</v>
      </c>
      <c r="AR51" s="1">
        <v>44439</v>
      </c>
      <c r="AS51" t="s">
        <v>9605</v>
      </c>
      <c r="AT51" t="s">
        <v>3</v>
      </c>
      <c r="AU51" s="1">
        <f t="shared" si="11"/>
        <v>44498</v>
      </c>
      <c r="AV51" s="1" t="str">
        <f t="shared" si="12"/>
        <v>AAA</v>
      </c>
      <c r="AW51" s="52">
        <f t="shared" si="13"/>
        <v>280</v>
      </c>
      <c r="AZ51" s="1">
        <v>41004</v>
      </c>
      <c r="BA51" t="s">
        <v>9605</v>
      </c>
      <c r="BB51">
        <f t="shared" si="16"/>
        <v>280</v>
      </c>
      <c r="BC51" s="1"/>
      <c r="BF51" s="1"/>
      <c r="BI51" s="1"/>
      <c r="BL51" s="1">
        <f t="shared" si="17"/>
        <v>41004</v>
      </c>
      <c r="BM51" t="str">
        <f t="shared" si="18"/>
        <v>AAA</v>
      </c>
      <c r="BN51">
        <f t="shared" si="19"/>
        <v>280</v>
      </c>
      <c r="BP51" s="1"/>
      <c r="BR51" t="e">
        <f t="shared" si="20"/>
        <v>#N/A</v>
      </c>
      <c r="BS51" s="1"/>
      <c r="BU51" s="1"/>
      <c r="BW51" s="1"/>
      <c r="BY51" s="1" t="e">
        <f t="shared" si="21"/>
        <v>#N/A</v>
      </c>
      <c r="BZ51" s="1" t="e">
        <f t="shared" si="22"/>
        <v>#N/A</v>
      </c>
      <c r="CA51" s="1" t="e">
        <f t="shared" si="23"/>
        <v>#N/A</v>
      </c>
    </row>
    <row r="52" spans="2:79" ht="17.25" thickBot="1">
      <c r="B52" s="4">
        <v>10</v>
      </c>
      <c r="C52" s="10">
        <f t="shared" si="24"/>
        <v>43193</v>
      </c>
      <c r="D52" s="14" t="str">
        <f t="shared" si="25"/>
        <v>AAA</v>
      </c>
      <c r="E52" s="10" t="e">
        <f t="shared" si="26"/>
        <v>#N/A</v>
      </c>
      <c r="F52" s="11" t="e">
        <f t="shared" si="27"/>
        <v>#N/A</v>
      </c>
      <c r="G52" s="12" t="e">
        <f t="shared" si="28"/>
        <v>#N/A</v>
      </c>
      <c r="H52" s="10">
        <f t="shared" si="29"/>
        <v>43193</v>
      </c>
      <c r="I52" s="11" t="str">
        <f t="shared" si="30"/>
        <v>AAA</v>
      </c>
      <c r="J52" s="12" t="str">
        <f t="shared" si="31"/>
        <v>안정적</v>
      </c>
      <c r="K52" s="16" t="e">
        <f t="shared" si="32"/>
        <v>#N/A</v>
      </c>
      <c r="L52" s="11" t="e">
        <f t="shared" si="33"/>
        <v>#N/A</v>
      </c>
      <c r="M52" s="12" t="e">
        <f t="shared" si="34"/>
        <v>#N/A</v>
      </c>
      <c r="AI52" s="1">
        <v>44469</v>
      </c>
      <c r="AJ52" t="s">
        <v>9605</v>
      </c>
      <c r="AK52">
        <f t="shared" si="15"/>
        <v>280</v>
      </c>
      <c r="AL52" s="1">
        <v>44407</v>
      </c>
      <c r="AM52" t="s">
        <v>9605</v>
      </c>
      <c r="AN52" t="s">
        <v>3</v>
      </c>
      <c r="AO52" s="1">
        <v>44407</v>
      </c>
      <c r="AP52" t="s">
        <v>9605</v>
      </c>
      <c r="AQ52" t="s">
        <v>3</v>
      </c>
      <c r="AR52" s="1">
        <v>44407</v>
      </c>
      <c r="AS52" t="s">
        <v>9605</v>
      </c>
      <c r="AT52" t="s">
        <v>3</v>
      </c>
      <c r="AU52" s="1">
        <f t="shared" si="11"/>
        <v>44469</v>
      </c>
      <c r="AV52" s="1" t="str">
        <f t="shared" si="12"/>
        <v>AAA</v>
      </c>
      <c r="AW52" s="52">
        <f t="shared" si="13"/>
        <v>280</v>
      </c>
      <c r="AZ52" s="1">
        <v>40662</v>
      </c>
      <c r="BA52" t="s">
        <v>9605</v>
      </c>
      <c r="BB52">
        <f t="shared" si="16"/>
        <v>280</v>
      </c>
      <c r="BC52" s="1"/>
      <c r="BF52" s="1"/>
      <c r="BI52" s="1"/>
      <c r="BL52" s="1">
        <f t="shared" si="17"/>
        <v>40662</v>
      </c>
      <c r="BM52" t="str">
        <f t="shared" si="18"/>
        <v>AAA</v>
      </c>
      <c r="BN52">
        <f t="shared" si="19"/>
        <v>280</v>
      </c>
      <c r="BP52" s="1"/>
      <c r="BR52" t="e">
        <f t="shared" si="20"/>
        <v>#N/A</v>
      </c>
      <c r="BS52" s="1"/>
      <c r="BU52" s="1"/>
      <c r="BW52" s="1"/>
      <c r="BY52" s="1" t="e">
        <f t="shared" si="21"/>
        <v>#N/A</v>
      </c>
      <c r="BZ52" s="1" t="e">
        <f t="shared" si="22"/>
        <v>#N/A</v>
      </c>
      <c r="CA52" s="1" t="e">
        <f t="shared" si="23"/>
        <v>#N/A</v>
      </c>
    </row>
    <row r="53" spans="2:79">
      <c r="B53" s="4"/>
      <c r="C53" s="5"/>
      <c r="D53" s="6"/>
      <c r="E53" s="5"/>
      <c r="F53" s="6"/>
      <c r="G53" s="6"/>
      <c r="H53" s="5"/>
      <c r="I53" s="6"/>
      <c r="J53" s="6"/>
      <c r="K53" s="5"/>
      <c r="L53" s="6"/>
      <c r="M53" s="6"/>
      <c r="AI53" s="1">
        <v>44439</v>
      </c>
      <c r="AJ53" t="s">
        <v>9605</v>
      </c>
      <c r="AK53">
        <f t="shared" si="15"/>
        <v>280</v>
      </c>
      <c r="AL53" s="1">
        <v>44377</v>
      </c>
      <c r="AM53" t="s">
        <v>9605</v>
      </c>
      <c r="AN53" t="s">
        <v>3</v>
      </c>
      <c r="AO53" s="1">
        <v>44377</v>
      </c>
      <c r="AP53" t="s">
        <v>9605</v>
      </c>
      <c r="AQ53" t="s">
        <v>3</v>
      </c>
      <c r="AR53" s="1">
        <v>44377</v>
      </c>
      <c r="AS53" t="s">
        <v>9605</v>
      </c>
      <c r="AT53" t="s">
        <v>3</v>
      </c>
      <c r="AU53" s="1">
        <f t="shared" si="11"/>
        <v>44439</v>
      </c>
      <c r="AV53" s="1" t="str">
        <f t="shared" si="12"/>
        <v>AAA</v>
      </c>
      <c r="AW53" s="52">
        <f t="shared" si="13"/>
        <v>280</v>
      </c>
      <c r="AZ53" s="1">
        <v>40633</v>
      </c>
      <c r="BA53" t="s">
        <v>9605</v>
      </c>
      <c r="BB53">
        <f t="shared" si="16"/>
        <v>280</v>
      </c>
      <c r="BC53" s="1"/>
      <c r="BF53" s="1"/>
      <c r="BI53" s="1"/>
      <c r="BL53" s="1">
        <f t="shared" si="17"/>
        <v>40633</v>
      </c>
      <c r="BM53" t="str">
        <f t="shared" si="18"/>
        <v>AAA</v>
      </c>
      <c r="BN53">
        <f t="shared" si="19"/>
        <v>280</v>
      </c>
      <c r="BP53" s="1"/>
      <c r="BR53" t="e">
        <f t="shared" si="20"/>
        <v>#N/A</v>
      </c>
      <c r="BS53" s="1"/>
      <c r="BU53" s="1"/>
      <c r="BW53" s="1"/>
      <c r="BY53" s="1" t="e">
        <f t="shared" si="21"/>
        <v>#N/A</v>
      </c>
      <c r="BZ53" s="1" t="e">
        <f t="shared" si="22"/>
        <v>#N/A</v>
      </c>
      <c r="CA53" s="1" t="e">
        <f t="shared" si="23"/>
        <v>#N/A</v>
      </c>
    </row>
    <row r="54" spans="2:79" ht="17.25" thickBot="1">
      <c r="B54" s="4"/>
      <c r="C54" s="5"/>
      <c r="D54" s="6"/>
      <c r="E54" s="5"/>
      <c r="F54" s="6"/>
      <c r="G54" s="6"/>
      <c r="H54" s="5"/>
      <c r="I54" s="6"/>
      <c r="J54" s="6"/>
      <c r="K54" s="5"/>
      <c r="L54" s="6"/>
      <c r="M54" s="6"/>
      <c r="AI54" s="1">
        <v>44407</v>
      </c>
      <c r="AJ54" t="s">
        <v>9605</v>
      </c>
      <c r="AK54">
        <f t="shared" si="15"/>
        <v>280</v>
      </c>
      <c r="AL54" s="1">
        <v>44347</v>
      </c>
      <c r="AM54" t="s">
        <v>9605</v>
      </c>
      <c r="AN54" t="s">
        <v>3</v>
      </c>
      <c r="AO54" s="1">
        <v>44347</v>
      </c>
      <c r="AP54" t="s">
        <v>9605</v>
      </c>
      <c r="AQ54" t="s">
        <v>3</v>
      </c>
      <c r="AR54" s="1">
        <v>44347</v>
      </c>
      <c r="AS54" t="s">
        <v>9605</v>
      </c>
      <c r="AT54" t="s">
        <v>3</v>
      </c>
      <c r="AU54" s="1">
        <f t="shared" si="11"/>
        <v>44407</v>
      </c>
      <c r="AV54" s="1" t="str">
        <f t="shared" si="12"/>
        <v>AAA</v>
      </c>
      <c r="AW54" s="52">
        <f t="shared" si="13"/>
        <v>280</v>
      </c>
      <c r="AZ54" s="1">
        <v>40298</v>
      </c>
      <c r="BA54" t="s">
        <v>9605</v>
      </c>
      <c r="BB54">
        <f t="shared" si="16"/>
        <v>280</v>
      </c>
      <c r="BC54" s="1"/>
      <c r="BF54" s="1"/>
      <c r="BI54" s="1"/>
      <c r="BL54" s="1">
        <f t="shared" si="17"/>
        <v>40298</v>
      </c>
      <c r="BM54" t="str">
        <f t="shared" si="18"/>
        <v>AAA</v>
      </c>
      <c r="BN54">
        <f t="shared" si="19"/>
        <v>280</v>
      </c>
      <c r="BP54" s="1"/>
      <c r="BR54" t="e">
        <f t="shared" si="20"/>
        <v>#N/A</v>
      </c>
      <c r="BS54" s="1"/>
      <c r="BU54" s="1"/>
      <c r="BW54" s="1"/>
      <c r="BY54" s="1" t="e">
        <f t="shared" si="21"/>
        <v>#N/A</v>
      </c>
      <c r="BZ54" s="1" t="e">
        <f t="shared" si="22"/>
        <v>#N/A</v>
      </c>
      <c r="CA54" s="1" t="e">
        <f t="shared" si="23"/>
        <v>#N/A</v>
      </c>
    </row>
    <row r="55" spans="2:79" ht="18" thickBot="1">
      <c r="B55" s="4"/>
      <c r="C55" s="50" t="s">
        <v>2029</v>
      </c>
      <c r="D55" s="50"/>
      <c r="E55" s="47" t="s">
        <v>2001</v>
      </c>
      <c r="F55" s="49"/>
      <c r="G55" s="47" t="s">
        <v>2005</v>
      </c>
      <c r="H55" s="49"/>
      <c r="I55" s="47" t="s">
        <v>2006</v>
      </c>
      <c r="J55" s="49"/>
      <c r="AI55" s="1">
        <v>44377</v>
      </c>
      <c r="AJ55" t="s">
        <v>9605</v>
      </c>
      <c r="AK55">
        <f t="shared" si="15"/>
        <v>280</v>
      </c>
      <c r="AL55" s="1">
        <v>44316</v>
      </c>
      <c r="AM55" t="s">
        <v>9605</v>
      </c>
      <c r="AN55" t="s">
        <v>3</v>
      </c>
      <c r="AO55" s="1">
        <v>44316</v>
      </c>
      <c r="AP55" t="s">
        <v>9605</v>
      </c>
      <c r="AQ55" t="s">
        <v>3</v>
      </c>
      <c r="AR55" s="1">
        <v>44316</v>
      </c>
      <c r="AS55" t="s">
        <v>9605</v>
      </c>
      <c r="AT55" t="s">
        <v>3</v>
      </c>
      <c r="AU55" s="1">
        <f t="shared" si="11"/>
        <v>44377</v>
      </c>
      <c r="AV55" s="1" t="str">
        <f t="shared" si="12"/>
        <v>AAA</v>
      </c>
      <c r="AW55" s="52">
        <f t="shared" si="13"/>
        <v>280</v>
      </c>
      <c r="AZ55" s="1">
        <v>40147</v>
      </c>
      <c r="BA55" t="s">
        <v>9605</v>
      </c>
      <c r="BB55">
        <f t="shared" si="16"/>
        <v>280</v>
      </c>
      <c r="BC55" s="1"/>
      <c r="BF55" s="1"/>
      <c r="BI55" s="1"/>
      <c r="BL55" s="1">
        <f t="shared" si="17"/>
        <v>40147</v>
      </c>
      <c r="BM55" t="str">
        <f t="shared" si="18"/>
        <v>AAA</v>
      </c>
      <c r="BN55">
        <f t="shared" si="19"/>
        <v>280</v>
      </c>
      <c r="BP55" s="1"/>
      <c r="BR55" t="e">
        <f t="shared" si="20"/>
        <v>#N/A</v>
      </c>
      <c r="BS55" s="1"/>
      <c r="BU55" s="1"/>
      <c r="BW55" s="1"/>
      <c r="BY55" s="1" t="e">
        <f t="shared" si="21"/>
        <v>#N/A</v>
      </c>
      <c r="BZ55" s="1" t="e">
        <f t="shared" si="22"/>
        <v>#N/A</v>
      </c>
      <c r="CA55" s="1" t="e">
        <f t="shared" si="23"/>
        <v>#N/A</v>
      </c>
    </row>
    <row r="56" spans="2:79" ht="17.25" thickBot="1">
      <c r="B56" s="4">
        <v>1</v>
      </c>
      <c r="C56" s="35" t="s">
        <v>2014</v>
      </c>
      <c r="D56" s="36" t="s">
        <v>2015</v>
      </c>
      <c r="E56" s="26" t="s">
        <v>2004</v>
      </c>
      <c r="F56" s="28" t="s">
        <v>2002</v>
      </c>
      <c r="G56" s="26" t="s">
        <v>2004</v>
      </c>
      <c r="H56" s="28" t="s">
        <v>2002</v>
      </c>
      <c r="I56" s="33" t="s">
        <v>2004</v>
      </c>
      <c r="J56" s="28" t="s">
        <v>2002</v>
      </c>
      <c r="K56" s="6"/>
      <c r="L56" s="6"/>
      <c r="M56" s="6"/>
      <c r="AI56" s="1">
        <v>44347</v>
      </c>
      <c r="AJ56" t="s">
        <v>9605</v>
      </c>
      <c r="AK56">
        <f t="shared" si="15"/>
        <v>280</v>
      </c>
      <c r="AL56" s="1">
        <v>44286</v>
      </c>
      <c r="AM56" t="s">
        <v>9605</v>
      </c>
      <c r="AN56" t="s">
        <v>3</v>
      </c>
      <c r="AO56" s="1">
        <v>44307</v>
      </c>
      <c r="AP56" t="s">
        <v>9605</v>
      </c>
      <c r="AQ56" t="s">
        <v>3</v>
      </c>
      <c r="AR56" s="1">
        <v>44307</v>
      </c>
      <c r="AS56" t="s">
        <v>9605</v>
      </c>
      <c r="AT56" t="s">
        <v>3</v>
      </c>
      <c r="AU56" s="1">
        <f t="shared" si="11"/>
        <v>44347</v>
      </c>
      <c r="AV56" s="1" t="str">
        <f t="shared" si="12"/>
        <v>AAA</v>
      </c>
      <c r="AW56" s="52">
        <f t="shared" si="13"/>
        <v>280</v>
      </c>
      <c r="AZ56" s="1">
        <v>40025</v>
      </c>
      <c r="BA56" t="s">
        <v>9605</v>
      </c>
      <c r="BB56">
        <f t="shared" si="16"/>
        <v>280</v>
      </c>
      <c r="BC56" s="1"/>
      <c r="BF56" s="1"/>
      <c r="BI56" s="1"/>
      <c r="BL56" s="1">
        <f t="shared" si="17"/>
        <v>40025</v>
      </c>
      <c r="BM56" t="str">
        <f t="shared" si="18"/>
        <v>AAA</v>
      </c>
      <c r="BN56">
        <f t="shared" si="19"/>
        <v>280</v>
      </c>
      <c r="BP56" s="1"/>
      <c r="BR56" t="e">
        <f t="shared" si="20"/>
        <v>#N/A</v>
      </c>
      <c r="BS56" s="1"/>
      <c r="BU56" s="1"/>
      <c r="BW56" s="1"/>
      <c r="BY56" s="1" t="e">
        <f t="shared" si="21"/>
        <v>#N/A</v>
      </c>
      <c r="BZ56" s="1" t="e">
        <f t="shared" si="22"/>
        <v>#N/A</v>
      </c>
      <c r="CA56" s="1" t="e">
        <f t="shared" si="23"/>
        <v>#N/A</v>
      </c>
    </row>
    <row r="57" spans="2:79">
      <c r="B57" s="4">
        <v>0</v>
      </c>
      <c r="C57" s="29" t="e">
        <f t="shared" ref="C57:C67" si="35">IF(INDEX($BP$28:$BQ$49,$B$56+$B57,1)="",NA(),INDEX($BP$28:$BQ$49,$B$56+$B57,1))</f>
        <v>#N/A</v>
      </c>
      <c r="D57" s="32" t="e">
        <f t="shared" ref="D57:D67" si="36">IF(INDEX($BP$28:$BQ$49,$B$56+$B57,2)="",NA(),INDEX($BP$28:$BQ$49,$B$56+$B57,2))</f>
        <v>#N/A</v>
      </c>
      <c r="E57" s="29" t="e">
        <f t="shared" ref="E57:E67" si="37">VLOOKUP($C57,$BS$28:$BT$182,1,0)</f>
        <v>#N/A</v>
      </c>
      <c r="F57" s="31" t="e">
        <f t="shared" ref="F57:F67" si="38">VLOOKUP($C57,$BS$28:$BT$182,2,0)</f>
        <v>#N/A</v>
      </c>
      <c r="G57" s="29" t="e">
        <f t="shared" ref="G57:G67" si="39">VLOOKUP($C57,$BU$28:$BV$188,1,0)</f>
        <v>#N/A</v>
      </c>
      <c r="H57" s="31" t="e">
        <f t="shared" ref="H57:H67" si="40">VLOOKUP($C57,$BU$28:$BV$188,2,0)</f>
        <v>#N/A</v>
      </c>
      <c r="I57" s="34" t="e">
        <f t="shared" ref="I57:I67" si="41">VLOOKUP($C57,$BW$28:$BX$188,1,0)</f>
        <v>#N/A</v>
      </c>
      <c r="J57" s="31" t="e">
        <f t="shared" ref="J57:J67" si="42">VLOOKUP($C57,$BW$28:$BX$188,2,0)</f>
        <v>#N/A</v>
      </c>
      <c r="K57" s="5"/>
      <c r="L57" s="6"/>
      <c r="M57" s="6"/>
      <c r="AI57" s="1">
        <v>44316</v>
      </c>
      <c r="AJ57" t="s">
        <v>9605</v>
      </c>
      <c r="AK57">
        <f t="shared" si="15"/>
        <v>280</v>
      </c>
      <c r="AL57" s="1">
        <v>44253</v>
      </c>
      <c r="AM57" t="s">
        <v>9605</v>
      </c>
      <c r="AN57" t="s">
        <v>3</v>
      </c>
      <c r="AO57" s="1">
        <v>44286</v>
      </c>
      <c r="AP57" t="s">
        <v>9605</v>
      </c>
      <c r="AQ57" t="s">
        <v>3</v>
      </c>
      <c r="AR57" s="1">
        <v>44286</v>
      </c>
      <c r="AS57" t="s">
        <v>9605</v>
      </c>
      <c r="AT57" t="s">
        <v>3</v>
      </c>
      <c r="AU57" s="1">
        <f t="shared" si="11"/>
        <v>44316</v>
      </c>
      <c r="AV57" s="1" t="str">
        <f t="shared" si="12"/>
        <v>AAA</v>
      </c>
      <c r="AW57" s="52">
        <f t="shared" si="13"/>
        <v>280</v>
      </c>
      <c r="AZ57" s="1"/>
      <c r="BB57" t="e">
        <f t="shared" si="16"/>
        <v>#N/A</v>
      </c>
      <c r="BC57" s="1"/>
      <c r="BF57" s="1"/>
      <c r="BI57" s="1"/>
      <c r="BL57" s="1" t="e">
        <f>IF(AZ57="",NA(),AZ57)</f>
        <v>#N/A</v>
      </c>
      <c r="BM57" s="1" t="e">
        <f>IF(BA57="",NA(),BA57)</f>
        <v>#N/A</v>
      </c>
      <c r="BN57" s="1" t="e">
        <f>IF(BB57="",NA(),BB57)</f>
        <v>#N/A</v>
      </c>
      <c r="BP57" s="1"/>
      <c r="BR57" t="e">
        <f t="shared" si="20"/>
        <v>#N/A</v>
      </c>
      <c r="BS57" s="1"/>
      <c r="BU57" s="1"/>
      <c r="BW57" s="1"/>
      <c r="BY57" s="1" t="e">
        <f t="shared" si="21"/>
        <v>#N/A</v>
      </c>
      <c r="BZ57" s="1" t="e">
        <f t="shared" si="22"/>
        <v>#N/A</v>
      </c>
      <c r="CA57" s="1" t="e">
        <f t="shared" si="23"/>
        <v>#N/A</v>
      </c>
    </row>
    <row r="58" spans="2:79">
      <c r="B58" s="4">
        <v>1</v>
      </c>
      <c r="C58" s="7" t="e">
        <f t="shared" si="35"/>
        <v>#N/A</v>
      </c>
      <c r="D58" s="13" t="e">
        <f t="shared" si="36"/>
        <v>#N/A</v>
      </c>
      <c r="E58" s="7" t="e">
        <f t="shared" si="37"/>
        <v>#N/A</v>
      </c>
      <c r="F58" s="9" t="e">
        <f t="shared" si="38"/>
        <v>#N/A</v>
      </c>
      <c r="G58" s="7" t="e">
        <f t="shared" si="39"/>
        <v>#N/A</v>
      </c>
      <c r="H58" s="9" t="e">
        <f t="shared" si="40"/>
        <v>#N/A</v>
      </c>
      <c r="I58" s="15" t="e">
        <f t="shared" si="41"/>
        <v>#N/A</v>
      </c>
      <c r="J58" s="9" t="e">
        <f t="shared" si="42"/>
        <v>#N/A</v>
      </c>
      <c r="K58" s="5"/>
      <c r="L58" s="6"/>
      <c r="M58" s="6"/>
      <c r="AI58" s="1">
        <v>44307</v>
      </c>
      <c r="AJ58" t="s">
        <v>9605</v>
      </c>
      <c r="AK58">
        <f t="shared" si="15"/>
        <v>280</v>
      </c>
      <c r="AL58" s="1">
        <v>44225</v>
      </c>
      <c r="AM58" t="s">
        <v>9605</v>
      </c>
      <c r="AN58" t="s">
        <v>3</v>
      </c>
      <c r="AO58" s="1">
        <v>44253</v>
      </c>
      <c r="AP58" t="s">
        <v>9605</v>
      </c>
      <c r="AQ58" t="s">
        <v>3</v>
      </c>
      <c r="AR58" s="1">
        <v>44253</v>
      </c>
      <c r="AS58" t="s">
        <v>9605</v>
      </c>
      <c r="AT58" t="s">
        <v>3</v>
      </c>
      <c r="AU58" s="1">
        <f t="shared" si="11"/>
        <v>44307</v>
      </c>
      <c r="AV58" s="1" t="str">
        <f t="shared" si="12"/>
        <v>AAA</v>
      </c>
      <c r="AW58" s="52">
        <f t="shared" si="13"/>
        <v>280</v>
      </c>
      <c r="AZ58" s="1"/>
      <c r="BB58" t="e">
        <f t="shared" si="16"/>
        <v>#N/A</v>
      </c>
      <c r="BC58" s="1"/>
      <c r="BF58" s="1"/>
      <c r="BI58" s="1"/>
      <c r="BL58" s="1" t="e">
        <f t="shared" ref="BL58:BL121" si="43">IF(AZ58="",NA(),AZ58)</f>
        <v>#N/A</v>
      </c>
      <c r="BM58" s="1" t="e">
        <f t="shared" ref="BM58:BM121" si="44">IF(BA58="",NA(),BA58)</f>
        <v>#N/A</v>
      </c>
      <c r="BN58" s="1" t="e">
        <f t="shared" ref="BN58:BN121" si="45">IF(BB58="",NA(),BB58)</f>
        <v>#N/A</v>
      </c>
      <c r="BP58" s="1"/>
      <c r="BR58" t="e">
        <f t="shared" si="20"/>
        <v>#N/A</v>
      </c>
      <c r="BS58" s="1"/>
      <c r="BU58" s="1"/>
      <c r="BW58" s="1"/>
      <c r="BY58" s="1" t="e">
        <f t="shared" si="21"/>
        <v>#N/A</v>
      </c>
      <c r="BZ58" s="1" t="e">
        <f t="shared" si="22"/>
        <v>#N/A</v>
      </c>
      <c r="CA58" s="1" t="e">
        <f t="shared" si="23"/>
        <v>#N/A</v>
      </c>
    </row>
    <row r="59" spans="2:79">
      <c r="B59" s="4">
        <v>2</v>
      </c>
      <c r="C59" s="7" t="e">
        <f t="shared" si="35"/>
        <v>#N/A</v>
      </c>
      <c r="D59" s="13" t="e">
        <f t="shared" si="36"/>
        <v>#N/A</v>
      </c>
      <c r="E59" s="7" t="e">
        <f t="shared" si="37"/>
        <v>#N/A</v>
      </c>
      <c r="F59" s="9" t="e">
        <f t="shared" si="38"/>
        <v>#N/A</v>
      </c>
      <c r="G59" s="7" t="e">
        <f t="shared" si="39"/>
        <v>#N/A</v>
      </c>
      <c r="H59" s="9" t="e">
        <f t="shared" si="40"/>
        <v>#N/A</v>
      </c>
      <c r="I59" s="15" t="e">
        <f t="shared" si="41"/>
        <v>#N/A</v>
      </c>
      <c r="J59" s="9" t="e">
        <f t="shared" si="42"/>
        <v>#N/A</v>
      </c>
      <c r="K59" s="5"/>
      <c r="L59" s="6"/>
      <c r="M59" s="6"/>
      <c r="AI59" s="1">
        <v>44286</v>
      </c>
      <c r="AJ59" t="s">
        <v>9605</v>
      </c>
      <c r="AK59">
        <f t="shared" si="15"/>
        <v>280</v>
      </c>
      <c r="AL59" s="1">
        <v>44196</v>
      </c>
      <c r="AM59" t="s">
        <v>9605</v>
      </c>
      <c r="AN59" t="s">
        <v>3</v>
      </c>
      <c r="AO59" s="1">
        <v>44225</v>
      </c>
      <c r="AP59" t="s">
        <v>9605</v>
      </c>
      <c r="AQ59" t="s">
        <v>3</v>
      </c>
      <c r="AR59" s="1">
        <v>44225</v>
      </c>
      <c r="AS59" t="s">
        <v>9605</v>
      </c>
      <c r="AT59" t="s">
        <v>3</v>
      </c>
      <c r="AU59" s="1">
        <f t="shared" si="11"/>
        <v>44286</v>
      </c>
      <c r="AV59" s="1" t="str">
        <f t="shared" si="12"/>
        <v>AAA</v>
      </c>
      <c r="AW59" s="52">
        <f t="shared" si="13"/>
        <v>280</v>
      </c>
      <c r="AZ59" s="1"/>
      <c r="BB59" t="e">
        <f t="shared" si="16"/>
        <v>#N/A</v>
      </c>
      <c r="BC59" s="1"/>
      <c r="BF59" s="1"/>
      <c r="BI59" s="1"/>
      <c r="BL59" s="1" t="e">
        <f t="shared" si="43"/>
        <v>#N/A</v>
      </c>
      <c r="BM59" s="1" t="e">
        <f t="shared" si="44"/>
        <v>#N/A</v>
      </c>
      <c r="BN59" s="1" t="e">
        <f t="shared" si="45"/>
        <v>#N/A</v>
      </c>
      <c r="BP59" s="1"/>
      <c r="BR59" t="e">
        <f t="shared" si="20"/>
        <v>#N/A</v>
      </c>
      <c r="BS59" s="1"/>
      <c r="BU59" s="1"/>
      <c r="BW59" s="1"/>
      <c r="BY59" s="1" t="e">
        <f t="shared" si="21"/>
        <v>#N/A</v>
      </c>
      <c r="BZ59" s="1" t="e">
        <f t="shared" si="22"/>
        <v>#N/A</v>
      </c>
      <c r="CA59" s="1" t="e">
        <f t="shared" si="23"/>
        <v>#N/A</v>
      </c>
    </row>
    <row r="60" spans="2:79">
      <c r="B60" s="4">
        <v>3</v>
      </c>
      <c r="C60" s="7" t="e">
        <f t="shared" si="35"/>
        <v>#N/A</v>
      </c>
      <c r="D60" s="13" t="e">
        <f t="shared" si="36"/>
        <v>#N/A</v>
      </c>
      <c r="E60" s="7" t="e">
        <f t="shared" si="37"/>
        <v>#N/A</v>
      </c>
      <c r="F60" s="9" t="e">
        <f t="shared" si="38"/>
        <v>#N/A</v>
      </c>
      <c r="G60" s="7" t="e">
        <f t="shared" si="39"/>
        <v>#N/A</v>
      </c>
      <c r="H60" s="9" t="e">
        <f t="shared" si="40"/>
        <v>#N/A</v>
      </c>
      <c r="I60" s="15" t="e">
        <f t="shared" si="41"/>
        <v>#N/A</v>
      </c>
      <c r="J60" s="9" t="e">
        <f t="shared" si="42"/>
        <v>#N/A</v>
      </c>
      <c r="K60" s="5"/>
      <c r="L60" s="6"/>
      <c r="M60" s="6"/>
      <c r="AI60" s="1">
        <v>44253</v>
      </c>
      <c r="AJ60" t="s">
        <v>9605</v>
      </c>
      <c r="AK60">
        <f t="shared" si="15"/>
        <v>280</v>
      </c>
      <c r="AL60" s="1">
        <v>44165</v>
      </c>
      <c r="AM60" t="s">
        <v>9605</v>
      </c>
      <c r="AN60" t="s">
        <v>3</v>
      </c>
      <c r="AO60" s="1">
        <v>44196</v>
      </c>
      <c r="AP60" t="s">
        <v>9605</v>
      </c>
      <c r="AQ60" t="s">
        <v>3</v>
      </c>
      <c r="AR60" s="1">
        <v>44196</v>
      </c>
      <c r="AS60" t="s">
        <v>9605</v>
      </c>
      <c r="AT60" t="s">
        <v>3</v>
      </c>
      <c r="AU60" s="1">
        <f t="shared" si="11"/>
        <v>44253</v>
      </c>
      <c r="AV60" s="1" t="str">
        <f t="shared" si="12"/>
        <v>AAA</v>
      </c>
      <c r="AW60" s="52">
        <f t="shared" si="13"/>
        <v>280</v>
      </c>
      <c r="AZ60" s="1"/>
      <c r="BB60" t="e">
        <f t="shared" si="16"/>
        <v>#N/A</v>
      </c>
      <c r="BC60" s="1"/>
      <c r="BF60" s="1"/>
      <c r="BI60" s="1"/>
      <c r="BL60" s="1" t="e">
        <f t="shared" si="43"/>
        <v>#N/A</v>
      </c>
      <c r="BM60" s="1" t="e">
        <f t="shared" si="44"/>
        <v>#N/A</v>
      </c>
      <c r="BN60" s="1" t="e">
        <f t="shared" si="45"/>
        <v>#N/A</v>
      </c>
      <c r="BP60" s="1"/>
      <c r="BR60" t="e">
        <f t="shared" si="20"/>
        <v>#N/A</v>
      </c>
      <c r="BS60" s="1"/>
      <c r="BU60" s="1"/>
      <c r="BW60" s="1"/>
      <c r="BY60" s="1" t="e">
        <f t="shared" si="21"/>
        <v>#N/A</v>
      </c>
      <c r="BZ60" s="1" t="e">
        <f t="shared" si="22"/>
        <v>#N/A</v>
      </c>
      <c r="CA60" s="1" t="e">
        <f t="shared" si="23"/>
        <v>#N/A</v>
      </c>
    </row>
    <row r="61" spans="2:79">
      <c r="B61" s="4">
        <v>4</v>
      </c>
      <c r="C61" s="7" t="e">
        <f t="shared" si="35"/>
        <v>#N/A</v>
      </c>
      <c r="D61" s="13" t="e">
        <f t="shared" si="36"/>
        <v>#N/A</v>
      </c>
      <c r="E61" s="7" t="e">
        <f t="shared" si="37"/>
        <v>#N/A</v>
      </c>
      <c r="F61" s="9" t="e">
        <f t="shared" si="38"/>
        <v>#N/A</v>
      </c>
      <c r="G61" s="7" t="e">
        <f t="shared" si="39"/>
        <v>#N/A</v>
      </c>
      <c r="H61" s="9" t="e">
        <f t="shared" si="40"/>
        <v>#N/A</v>
      </c>
      <c r="I61" s="15" t="e">
        <f t="shared" si="41"/>
        <v>#N/A</v>
      </c>
      <c r="J61" s="9" t="e">
        <f t="shared" si="42"/>
        <v>#N/A</v>
      </c>
      <c r="K61" s="5"/>
      <c r="L61" s="6"/>
      <c r="M61" s="6"/>
      <c r="AI61" s="1">
        <v>44225</v>
      </c>
      <c r="AJ61" t="s">
        <v>9605</v>
      </c>
      <c r="AK61">
        <f t="shared" si="15"/>
        <v>280</v>
      </c>
      <c r="AL61" s="1">
        <v>44134</v>
      </c>
      <c r="AM61" t="s">
        <v>9605</v>
      </c>
      <c r="AN61" t="s">
        <v>3</v>
      </c>
      <c r="AO61" s="1">
        <v>44165</v>
      </c>
      <c r="AP61" t="s">
        <v>9605</v>
      </c>
      <c r="AQ61" t="s">
        <v>3</v>
      </c>
      <c r="AR61" s="1">
        <v>44165</v>
      </c>
      <c r="AS61" t="s">
        <v>9605</v>
      </c>
      <c r="AT61" t="s">
        <v>3</v>
      </c>
      <c r="AU61" s="1">
        <f t="shared" si="11"/>
        <v>44225</v>
      </c>
      <c r="AV61" s="1" t="str">
        <f t="shared" si="12"/>
        <v>AAA</v>
      </c>
      <c r="AW61" s="52">
        <f t="shared" si="13"/>
        <v>280</v>
      </c>
      <c r="AZ61" s="1"/>
      <c r="BB61" t="e">
        <f t="shared" si="16"/>
        <v>#N/A</v>
      </c>
      <c r="BC61" s="1"/>
      <c r="BF61" s="1"/>
      <c r="BI61" s="1"/>
      <c r="BL61" s="1" t="e">
        <f t="shared" si="43"/>
        <v>#N/A</v>
      </c>
      <c r="BM61" s="1" t="e">
        <f t="shared" si="44"/>
        <v>#N/A</v>
      </c>
      <c r="BN61" s="1" t="e">
        <f t="shared" si="45"/>
        <v>#N/A</v>
      </c>
      <c r="BP61" s="1"/>
      <c r="BR61" t="e">
        <f t="shared" si="20"/>
        <v>#N/A</v>
      </c>
      <c r="BS61" s="1"/>
      <c r="BU61" s="1"/>
      <c r="BW61" s="1"/>
      <c r="BY61" s="1" t="e">
        <f t="shared" si="21"/>
        <v>#N/A</v>
      </c>
      <c r="BZ61" s="1" t="e">
        <f t="shared" si="22"/>
        <v>#N/A</v>
      </c>
      <c r="CA61" s="1" t="e">
        <f t="shared" si="23"/>
        <v>#N/A</v>
      </c>
    </row>
    <row r="62" spans="2:79">
      <c r="B62" s="4">
        <v>5</v>
      </c>
      <c r="C62" s="7" t="e">
        <f t="shared" si="35"/>
        <v>#N/A</v>
      </c>
      <c r="D62" s="13" t="e">
        <f t="shared" si="36"/>
        <v>#N/A</v>
      </c>
      <c r="E62" s="7" t="e">
        <f t="shared" si="37"/>
        <v>#N/A</v>
      </c>
      <c r="F62" s="9" t="e">
        <f t="shared" si="38"/>
        <v>#N/A</v>
      </c>
      <c r="G62" s="7" t="e">
        <f t="shared" si="39"/>
        <v>#N/A</v>
      </c>
      <c r="H62" s="9" t="e">
        <f t="shared" si="40"/>
        <v>#N/A</v>
      </c>
      <c r="I62" s="15" t="e">
        <f t="shared" si="41"/>
        <v>#N/A</v>
      </c>
      <c r="J62" s="9" t="e">
        <f t="shared" si="42"/>
        <v>#N/A</v>
      </c>
      <c r="K62" s="5"/>
      <c r="L62" s="6"/>
      <c r="M62" s="6"/>
      <c r="AI62" s="1">
        <v>44196</v>
      </c>
      <c r="AJ62" t="s">
        <v>9605</v>
      </c>
      <c r="AK62">
        <f t="shared" si="15"/>
        <v>280</v>
      </c>
      <c r="AL62" s="1">
        <v>44103</v>
      </c>
      <c r="AM62" t="s">
        <v>9605</v>
      </c>
      <c r="AN62" t="s">
        <v>3</v>
      </c>
      <c r="AO62" s="1">
        <v>44134</v>
      </c>
      <c r="AP62" t="s">
        <v>9605</v>
      </c>
      <c r="AQ62" t="s">
        <v>3</v>
      </c>
      <c r="AR62" s="1">
        <v>44134</v>
      </c>
      <c r="AS62" t="s">
        <v>9605</v>
      </c>
      <c r="AT62" t="s">
        <v>3</v>
      </c>
      <c r="AU62" s="1">
        <f t="shared" si="11"/>
        <v>44196</v>
      </c>
      <c r="AV62" s="1" t="str">
        <f t="shared" si="12"/>
        <v>AAA</v>
      </c>
      <c r="AW62" s="52">
        <f t="shared" si="13"/>
        <v>280</v>
      </c>
      <c r="AZ62" s="1"/>
      <c r="BB62" t="e">
        <f t="shared" si="16"/>
        <v>#N/A</v>
      </c>
      <c r="BC62" s="1"/>
      <c r="BF62" s="1"/>
      <c r="BI62" s="1"/>
      <c r="BL62" s="1" t="e">
        <f t="shared" si="43"/>
        <v>#N/A</v>
      </c>
      <c r="BM62" s="1" t="e">
        <f t="shared" si="44"/>
        <v>#N/A</v>
      </c>
      <c r="BN62" s="1" t="e">
        <f t="shared" si="45"/>
        <v>#N/A</v>
      </c>
      <c r="BP62" s="1"/>
      <c r="BR62" t="e">
        <f t="shared" si="20"/>
        <v>#N/A</v>
      </c>
      <c r="BS62" s="1"/>
      <c r="BU62" s="1"/>
      <c r="BW62" s="1"/>
      <c r="BY62" s="1" t="e">
        <f t="shared" si="21"/>
        <v>#N/A</v>
      </c>
      <c r="BZ62" s="1" t="e">
        <f t="shared" si="22"/>
        <v>#N/A</v>
      </c>
      <c r="CA62" s="1" t="e">
        <f t="shared" si="23"/>
        <v>#N/A</v>
      </c>
    </row>
    <row r="63" spans="2:79">
      <c r="B63" s="4">
        <v>6</v>
      </c>
      <c r="C63" s="7" t="e">
        <f t="shared" si="35"/>
        <v>#N/A</v>
      </c>
      <c r="D63" s="13" t="e">
        <f t="shared" si="36"/>
        <v>#N/A</v>
      </c>
      <c r="E63" s="7" t="e">
        <f t="shared" si="37"/>
        <v>#N/A</v>
      </c>
      <c r="F63" s="9" t="e">
        <f t="shared" si="38"/>
        <v>#N/A</v>
      </c>
      <c r="G63" s="7" t="e">
        <f t="shared" si="39"/>
        <v>#N/A</v>
      </c>
      <c r="H63" s="9" t="e">
        <f t="shared" si="40"/>
        <v>#N/A</v>
      </c>
      <c r="I63" s="15" t="e">
        <f t="shared" si="41"/>
        <v>#N/A</v>
      </c>
      <c r="J63" s="9" t="e">
        <f t="shared" si="42"/>
        <v>#N/A</v>
      </c>
      <c r="K63" s="5"/>
      <c r="L63" s="6"/>
      <c r="M63" s="6"/>
      <c r="AI63" s="1">
        <v>44165</v>
      </c>
      <c r="AJ63" t="s">
        <v>9605</v>
      </c>
      <c r="AK63">
        <f t="shared" si="15"/>
        <v>280</v>
      </c>
      <c r="AL63" s="1">
        <v>44074</v>
      </c>
      <c r="AM63" t="s">
        <v>9605</v>
      </c>
      <c r="AN63" t="s">
        <v>3</v>
      </c>
      <c r="AO63" s="1">
        <v>44103</v>
      </c>
      <c r="AP63" t="s">
        <v>9605</v>
      </c>
      <c r="AQ63" t="s">
        <v>3</v>
      </c>
      <c r="AR63" s="1">
        <v>44103</v>
      </c>
      <c r="AS63" t="s">
        <v>9605</v>
      </c>
      <c r="AT63" t="s">
        <v>3</v>
      </c>
      <c r="AU63" s="1">
        <f t="shared" si="11"/>
        <v>44165</v>
      </c>
      <c r="AV63" s="1" t="str">
        <f t="shared" si="12"/>
        <v>AAA</v>
      </c>
      <c r="AW63" s="52">
        <f t="shared" si="13"/>
        <v>280</v>
      </c>
      <c r="AZ63" s="1"/>
      <c r="BB63" t="e">
        <f t="shared" si="16"/>
        <v>#N/A</v>
      </c>
      <c r="BC63" s="1"/>
      <c r="BF63" s="1"/>
      <c r="BI63" s="1"/>
      <c r="BL63" s="1" t="e">
        <f t="shared" si="43"/>
        <v>#N/A</v>
      </c>
      <c r="BM63" s="1" t="e">
        <f t="shared" si="44"/>
        <v>#N/A</v>
      </c>
      <c r="BN63" s="1" t="e">
        <f t="shared" si="45"/>
        <v>#N/A</v>
      </c>
      <c r="BP63" s="1"/>
      <c r="BR63" t="e">
        <f t="shared" si="20"/>
        <v>#N/A</v>
      </c>
      <c r="BS63" s="1"/>
      <c r="BU63" s="1"/>
      <c r="BW63" s="1"/>
      <c r="BY63" s="1" t="e">
        <f t="shared" si="21"/>
        <v>#N/A</v>
      </c>
      <c r="BZ63" s="1" t="e">
        <f t="shared" si="22"/>
        <v>#N/A</v>
      </c>
      <c r="CA63" s="1" t="e">
        <f t="shared" si="23"/>
        <v>#N/A</v>
      </c>
    </row>
    <row r="64" spans="2:79">
      <c r="B64" s="4">
        <v>7</v>
      </c>
      <c r="C64" s="7" t="e">
        <f t="shared" si="35"/>
        <v>#N/A</v>
      </c>
      <c r="D64" s="13" t="e">
        <f t="shared" si="36"/>
        <v>#N/A</v>
      </c>
      <c r="E64" s="7" t="e">
        <f t="shared" si="37"/>
        <v>#N/A</v>
      </c>
      <c r="F64" s="9" t="e">
        <f t="shared" si="38"/>
        <v>#N/A</v>
      </c>
      <c r="G64" s="7" t="e">
        <f t="shared" si="39"/>
        <v>#N/A</v>
      </c>
      <c r="H64" s="9" t="e">
        <f t="shared" si="40"/>
        <v>#N/A</v>
      </c>
      <c r="I64" s="15" t="e">
        <f t="shared" si="41"/>
        <v>#N/A</v>
      </c>
      <c r="J64" s="9" t="e">
        <f t="shared" si="42"/>
        <v>#N/A</v>
      </c>
      <c r="K64" s="5"/>
      <c r="L64" s="6"/>
      <c r="M64" s="6"/>
      <c r="AI64" s="1">
        <v>44134</v>
      </c>
      <c r="AJ64" t="s">
        <v>9605</v>
      </c>
      <c r="AK64">
        <f t="shared" si="15"/>
        <v>280</v>
      </c>
      <c r="AL64" s="1">
        <v>44043</v>
      </c>
      <c r="AM64" t="s">
        <v>9605</v>
      </c>
      <c r="AN64" t="s">
        <v>3</v>
      </c>
      <c r="AO64" s="1">
        <v>44074</v>
      </c>
      <c r="AP64" t="s">
        <v>9605</v>
      </c>
      <c r="AQ64" t="s">
        <v>3</v>
      </c>
      <c r="AR64" s="1">
        <v>44074</v>
      </c>
      <c r="AS64" t="s">
        <v>9605</v>
      </c>
      <c r="AT64" t="s">
        <v>3</v>
      </c>
      <c r="AU64" s="1">
        <f t="shared" si="11"/>
        <v>44134</v>
      </c>
      <c r="AV64" s="1" t="str">
        <f t="shared" si="12"/>
        <v>AAA</v>
      </c>
      <c r="AW64" s="52">
        <f t="shared" si="13"/>
        <v>280</v>
      </c>
      <c r="AZ64" s="1"/>
      <c r="BB64" t="e">
        <f t="shared" si="16"/>
        <v>#N/A</v>
      </c>
      <c r="BC64" s="1"/>
      <c r="BF64" s="1"/>
      <c r="BI64" s="1"/>
      <c r="BL64" s="1" t="e">
        <f t="shared" si="43"/>
        <v>#N/A</v>
      </c>
      <c r="BM64" s="1" t="e">
        <f t="shared" si="44"/>
        <v>#N/A</v>
      </c>
      <c r="BN64" s="1" t="e">
        <f t="shared" si="45"/>
        <v>#N/A</v>
      </c>
      <c r="BP64" s="1"/>
      <c r="BR64" t="e">
        <f t="shared" si="20"/>
        <v>#N/A</v>
      </c>
      <c r="BS64" s="1"/>
      <c r="BU64" s="1"/>
      <c r="BW64" s="1"/>
      <c r="BY64" s="1" t="e">
        <f t="shared" si="21"/>
        <v>#N/A</v>
      </c>
      <c r="BZ64" s="1" t="e">
        <f t="shared" si="22"/>
        <v>#N/A</v>
      </c>
      <c r="CA64" s="1" t="e">
        <f t="shared" si="23"/>
        <v>#N/A</v>
      </c>
    </row>
    <row r="65" spans="2:79">
      <c r="B65" s="4">
        <v>8</v>
      </c>
      <c r="C65" s="7" t="e">
        <f t="shared" si="35"/>
        <v>#N/A</v>
      </c>
      <c r="D65" s="13" t="e">
        <f t="shared" si="36"/>
        <v>#N/A</v>
      </c>
      <c r="E65" s="7" t="e">
        <f t="shared" si="37"/>
        <v>#N/A</v>
      </c>
      <c r="F65" s="9" t="e">
        <f t="shared" si="38"/>
        <v>#N/A</v>
      </c>
      <c r="G65" s="7" t="e">
        <f t="shared" si="39"/>
        <v>#N/A</v>
      </c>
      <c r="H65" s="9" t="e">
        <f t="shared" si="40"/>
        <v>#N/A</v>
      </c>
      <c r="I65" s="15" t="e">
        <f t="shared" si="41"/>
        <v>#N/A</v>
      </c>
      <c r="J65" s="9" t="e">
        <f t="shared" si="42"/>
        <v>#N/A</v>
      </c>
      <c r="K65" s="5"/>
      <c r="L65" s="6"/>
      <c r="M65" s="6"/>
      <c r="AI65" s="1">
        <v>44103</v>
      </c>
      <c r="AJ65" t="s">
        <v>9605</v>
      </c>
      <c r="AK65">
        <f t="shared" si="15"/>
        <v>280</v>
      </c>
      <c r="AL65" s="1">
        <v>44012</v>
      </c>
      <c r="AM65" t="s">
        <v>9605</v>
      </c>
      <c r="AN65" t="s">
        <v>3</v>
      </c>
      <c r="AO65" s="1">
        <v>44043</v>
      </c>
      <c r="AP65" t="s">
        <v>9605</v>
      </c>
      <c r="AQ65" t="s">
        <v>3</v>
      </c>
      <c r="AR65" s="1">
        <v>44043</v>
      </c>
      <c r="AS65" t="s">
        <v>9605</v>
      </c>
      <c r="AT65" t="s">
        <v>3</v>
      </c>
      <c r="AU65" s="1">
        <f t="shared" si="11"/>
        <v>44103</v>
      </c>
      <c r="AV65" s="1" t="str">
        <f t="shared" si="12"/>
        <v>AAA</v>
      </c>
      <c r="AW65" s="52">
        <f t="shared" si="13"/>
        <v>280</v>
      </c>
      <c r="AZ65" s="1"/>
      <c r="BB65" t="e">
        <f t="shared" si="16"/>
        <v>#N/A</v>
      </c>
      <c r="BC65" s="1"/>
      <c r="BF65" s="1"/>
      <c r="BI65" s="1"/>
      <c r="BL65" s="1" t="e">
        <f t="shared" si="43"/>
        <v>#N/A</v>
      </c>
      <c r="BM65" s="1" t="e">
        <f t="shared" si="44"/>
        <v>#N/A</v>
      </c>
      <c r="BN65" s="1" t="e">
        <f t="shared" si="45"/>
        <v>#N/A</v>
      </c>
      <c r="BP65" s="1"/>
      <c r="BR65" t="e">
        <f t="shared" si="20"/>
        <v>#N/A</v>
      </c>
      <c r="BS65" s="1"/>
      <c r="BU65" s="1"/>
      <c r="BW65" s="1"/>
      <c r="BY65" s="1" t="e">
        <f t="shared" si="21"/>
        <v>#N/A</v>
      </c>
      <c r="BZ65" s="1" t="e">
        <f t="shared" si="22"/>
        <v>#N/A</v>
      </c>
      <c r="CA65" s="1" t="e">
        <f t="shared" si="23"/>
        <v>#N/A</v>
      </c>
    </row>
    <row r="66" spans="2:79">
      <c r="B66" s="4">
        <v>9</v>
      </c>
      <c r="C66" s="7" t="e">
        <f t="shared" si="35"/>
        <v>#N/A</v>
      </c>
      <c r="D66" s="13" t="e">
        <f t="shared" si="36"/>
        <v>#N/A</v>
      </c>
      <c r="E66" s="7" t="e">
        <f t="shared" si="37"/>
        <v>#N/A</v>
      </c>
      <c r="F66" s="9" t="e">
        <f t="shared" si="38"/>
        <v>#N/A</v>
      </c>
      <c r="G66" s="7" t="e">
        <f t="shared" si="39"/>
        <v>#N/A</v>
      </c>
      <c r="H66" s="9" t="e">
        <f t="shared" si="40"/>
        <v>#N/A</v>
      </c>
      <c r="I66" s="15" t="e">
        <f t="shared" si="41"/>
        <v>#N/A</v>
      </c>
      <c r="J66" s="9" t="e">
        <f t="shared" si="42"/>
        <v>#N/A</v>
      </c>
      <c r="K66" s="5"/>
      <c r="L66" s="6"/>
      <c r="M66" s="6"/>
      <c r="AI66" s="1">
        <v>44074</v>
      </c>
      <c r="AJ66" t="s">
        <v>9605</v>
      </c>
      <c r="AK66">
        <f t="shared" si="15"/>
        <v>280</v>
      </c>
      <c r="AL66" s="1">
        <v>43950</v>
      </c>
      <c r="AM66" t="s">
        <v>9605</v>
      </c>
      <c r="AN66" t="s">
        <v>3</v>
      </c>
      <c r="AO66" s="1">
        <v>44012</v>
      </c>
      <c r="AP66" t="s">
        <v>9605</v>
      </c>
      <c r="AQ66" t="s">
        <v>3</v>
      </c>
      <c r="AR66" s="1">
        <v>44012</v>
      </c>
      <c r="AS66" t="s">
        <v>9605</v>
      </c>
      <c r="AT66" t="s">
        <v>3</v>
      </c>
      <c r="AU66" s="1">
        <f t="shared" si="11"/>
        <v>44074</v>
      </c>
      <c r="AV66" s="1" t="str">
        <f t="shared" si="12"/>
        <v>AAA</v>
      </c>
      <c r="AW66" s="52">
        <f t="shared" si="13"/>
        <v>280</v>
      </c>
      <c r="AZ66" s="1"/>
      <c r="BB66" t="e">
        <f t="shared" si="16"/>
        <v>#N/A</v>
      </c>
      <c r="BC66" s="1"/>
      <c r="BF66" s="1"/>
      <c r="BI66" s="1"/>
      <c r="BL66" s="1" t="e">
        <f t="shared" si="43"/>
        <v>#N/A</v>
      </c>
      <c r="BM66" s="1" t="e">
        <f t="shared" si="44"/>
        <v>#N/A</v>
      </c>
      <c r="BN66" s="1" t="e">
        <f t="shared" si="45"/>
        <v>#N/A</v>
      </c>
      <c r="BP66" s="1"/>
      <c r="BR66" t="e">
        <f t="shared" si="20"/>
        <v>#N/A</v>
      </c>
      <c r="BS66" s="1"/>
      <c r="BU66" s="1"/>
      <c r="BW66" s="1"/>
      <c r="BY66" s="1" t="e">
        <f t="shared" si="21"/>
        <v>#N/A</v>
      </c>
      <c r="BZ66" s="1" t="e">
        <f t="shared" si="22"/>
        <v>#N/A</v>
      </c>
      <c r="CA66" s="1" t="e">
        <f t="shared" si="23"/>
        <v>#N/A</v>
      </c>
    </row>
    <row r="67" spans="2:79" ht="17.25" thickBot="1">
      <c r="B67" s="4">
        <v>10</v>
      </c>
      <c r="C67" s="10" t="e">
        <f t="shared" si="35"/>
        <v>#N/A</v>
      </c>
      <c r="D67" s="14" t="e">
        <f t="shared" si="36"/>
        <v>#N/A</v>
      </c>
      <c r="E67" s="10" t="e">
        <f t="shared" si="37"/>
        <v>#N/A</v>
      </c>
      <c r="F67" s="12" t="e">
        <f t="shared" si="38"/>
        <v>#N/A</v>
      </c>
      <c r="G67" s="10" t="e">
        <f t="shared" si="39"/>
        <v>#N/A</v>
      </c>
      <c r="H67" s="12" t="e">
        <f t="shared" si="40"/>
        <v>#N/A</v>
      </c>
      <c r="I67" s="16" t="e">
        <f t="shared" si="41"/>
        <v>#N/A</v>
      </c>
      <c r="J67" s="12" t="e">
        <f t="shared" si="42"/>
        <v>#N/A</v>
      </c>
      <c r="K67" s="5"/>
      <c r="L67" s="6"/>
      <c r="M67" s="6"/>
      <c r="AI67" s="1">
        <v>44043</v>
      </c>
      <c r="AJ67" t="s">
        <v>9605</v>
      </c>
      <c r="AK67">
        <f t="shared" si="15"/>
        <v>280</v>
      </c>
      <c r="AL67" s="1">
        <v>43921</v>
      </c>
      <c r="AM67" t="s">
        <v>9605</v>
      </c>
      <c r="AN67" t="s">
        <v>3</v>
      </c>
      <c r="AO67" s="1">
        <v>43980</v>
      </c>
      <c r="AP67" t="s">
        <v>9605</v>
      </c>
      <c r="AQ67" t="s">
        <v>3</v>
      </c>
      <c r="AR67" s="1">
        <v>43987</v>
      </c>
      <c r="AS67" t="s">
        <v>9605</v>
      </c>
      <c r="AT67" t="s">
        <v>3</v>
      </c>
      <c r="AU67" s="1">
        <f t="shared" si="11"/>
        <v>44043</v>
      </c>
      <c r="AV67" s="1" t="str">
        <f t="shared" si="12"/>
        <v>AAA</v>
      </c>
      <c r="AW67" s="52">
        <f t="shared" si="13"/>
        <v>280</v>
      </c>
      <c r="AZ67" s="1"/>
      <c r="BB67" t="e">
        <f t="shared" si="16"/>
        <v>#N/A</v>
      </c>
      <c r="BC67" s="1"/>
      <c r="BF67" s="1"/>
      <c r="BI67" s="1"/>
      <c r="BL67" s="1" t="e">
        <f t="shared" si="43"/>
        <v>#N/A</v>
      </c>
      <c r="BM67" s="1" t="e">
        <f t="shared" si="44"/>
        <v>#N/A</v>
      </c>
      <c r="BN67" s="1" t="e">
        <f t="shared" si="45"/>
        <v>#N/A</v>
      </c>
      <c r="BP67" s="1"/>
      <c r="BR67" t="e">
        <f t="shared" si="20"/>
        <v>#N/A</v>
      </c>
      <c r="BS67" s="1"/>
      <c r="BU67" s="1"/>
      <c r="BW67" s="1"/>
      <c r="BY67" s="1" t="e">
        <f t="shared" si="21"/>
        <v>#N/A</v>
      </c>
      <c r="BZ67" s="1" t="e">
        <f t="shared" si="22"/>
        <v>#N/A</v>
      </c>
      <c r="CA67" s="1" t="e">
        <f t="shared" si="23"/>
        <v>#N/A</v>
      </c>
    </row>
    <row r="68" spans="2:79">
      <c r="C68" s="5"/>
      <c r="D68" s="6"/>
      <c r="E68" s="5"/>
      <c r="F68" s="6"/>
      <c r="G68" s="6"/>
      <c r="H68" s="5"/>
      <c r="I68" s="6"/>
      <c r="J68" s="6"/>
      <c r="K68" s="5"/>
      <c r="L68" s="6"/>
      <c r="M68" s="6"/>
      <c r="AI68" s="1">
        <v>44012</v>
      </c>
      <c r="AJ68" t="s">
        <v>9605</v>
      </c>
      <c r="AK68">
        <f t="shared" si="15"/>
        <v>280</v>
      </c>
      <c r="AL68" s="1">
        <v>43889</v>
      </c>
      <c r="AM68" t="s">
        <v>9605</v>
      </c>
      <c r="AN68" t="s">
        <v>3</v>
      </c>
      <c r="AO68" s="1">
        <v>43950</v>
      </c>
      <c r="AP68" t="s">
        <v>9605</v>
      </c>
      <c r="AQ68" t="s">
        <v>3</v>
      </c>
      <c r="AR68" s="1">
        <v>43949</v>
      </c>
      <c r="AS68" t="s">
        <v>9605</v>
      </c>
      <c r="AT68" t="s">
        <v>3</v>
      </c>
      <c r="AU68" s="1">
        <f t="shared" si="11"/>
        <v>44012</v>
      </c>
      <c r="AV68" s="1" t="str">
        <f t="shared" si="12"/>
        <v>AAA</v>
      </c>
      <c r="AW68" s="52">
        <f t="shared" si="13"/>
        <v>280</v>
      </c>
      <c r="AZ68" s="1"/>
      <c r="BB68" t="e">
        <f t="shared" si="16"/>
        <v>#N/A</v>
      </c>
      <c r="BC68" s="1"/>
      <c r="BF68" s="1"/>
      <c r="BI68" s="1"/>
      <c r="BL68" s="1" t="e">
        <f t="shared" si="43"/>
        <v>#N/A</v>
      </c>
      <c r="BM68" s="1" t="e">
        <f t="shared" si="44"/>
        <v>#N/A</v>
      </c>
      <c r="BN68" s="1" t="e">
        <f t="shared" si="45"/>
        <v>#N/A</v>
      </c>
      <c r="BP68" s="1"/>
      <c r="BR68" t="e">
        <f t="shared" si="20"/>
        <v>#N/A</v>
      </c>
      <c r="BS68" s="1"/>
      <c r="BU68" s="1"/>
      <c r="BW68" s="1"/>
      <c r="BY68" s="1" t="e">
        <f t="shared" si="21"/>
        <v>#N/A</v>
      </c>
      <c r="BZ68" s="1" t="e">
        <f t="shared" si="22"/>
        <v>#N/A</v>
      </c>
      <c r="CA68" s="1" t="e">
        <f t="shared" si="23"/>
        <v>#N/A</v>
      </c>
    </row>
    <row r="69" spans="2:79">
      <c r="C69" s="5"/>
      <c r="D69" s="6"/>
      <c r="E69" s="5"/>
      <c r="F69" s="6"/>
      <c r="G69" s="6"/>
      <c r="H69" s="5"/>
      <c r="I69" s="6"/>
      <c r="J69" s="6"/>
      <c r="K69" s="5"/>
      <c r="L69" s="6"/>
      <c r="M69" s="6"/>
      <c r="AI69" s="1">
        <v>43987</v>
      </c>
      <c r="AJ69" t="s">
        <v>9605</v>
      </c>
      <c r="AK69">
        <f t="shared" si="15"/>
        <v>280</v>
      </c>
      <c r="AL69" s="1">
        <v>43861</v>
      </c>
      <c r="AM69" t="s">
        <v>9605</v>
      </c>
      <c r="AN69" t="s">
        <v>3</v>
      </c>
      <c r="AO69" s="1">
        <v>43923</v>
      </c>
      <c r="AP69" t="s">
        <v>9605</v>
      </c>
      <c r="AQ69" t="s">
        <v>3</v>
      </c>
      <c r="AR69" s="1">
        <v>43889</v>
      </c>
      <c r="AS69" t="s">
        <v>9605</v>
      </c>
      <c r="AT69" t="s">
        <v>3</v>
      </c>
      <c r="AU69" s="1">
        <f t="shared" si="11"/>
        <v>43987</v>
      </c>
      <c r="AV69" s="1" t="str">
        <f t="shared" si="12"/>
        <v>AAA</v>
      </c>
      <c r="AW69" s="52">
        <f t="shared" si="13"/>
        <v>280</v>
      </c>
      <c r="AZ69" s="1"/>
      <c r="BB69" t="e">
        <f t="shared" si="16"/>
        <v>#N/A</v>
      </c>
      <c r="BC69" s="1"/>
      <c r="BF69" s="1"/>
      <c r="BI69" s="1"/>
      <c r="BL69" s="1" t="e">
        <f t="shared" si="43"/>
        <v>#N/A</v>
      </c>
      <c r="BM69" s="1" t="e">
        <f t="shared" si="44"/>
        <v>#N/A</v>
      </c>
      <c r="BN69" s="1" t="e">
        <f t="shared" si="45"/>
        <v>#N/A</v>
      </c>
      <c r="BP69" s="1"/>
      <c r="BR69" t="e">
        <f t="shared" si="20"/>
        <v>#N/A</v>
      </c>
      <c r="BS69" s="1"/>
      <c r="BU69" s="1"/>
      <c r="BW69" s="1"/>
      <c r="BY69" s="1" t="e">
        <f t="shared" si="21"/>
        <v>#N/A</v>
      </c>
      <c r="BZ69" s="1" t="e">
        <f t="shared" si="22"/>
        <v>#N/A</v>
      </c>
      <c r="CA69" s="1" t="e">
        <f t="shared" si="23"/>
        <v>#N/A</v>
      </c>
    </row>
    <row r="70" spans="2:79">
      <c r="C70" s="5"/>
      <c r="D70" s="6"/>
      <c r="E70" s="5"/>
      <c r="F70" s="6"/>
      <c r="G70" s="6"/>
      <c r="H70" s="5"/>
      <c r="I70" s="6"/>
      <c r="J70" s="6"/>
      <c r="K70" s="5"/>
      <c r="L70" s="6"/>
      <c r="M70" s="6"/>
      <c r="AI70" s="1">
        <v>43980</v>
      </c>
      <c r="AJ70" t="s">
        <v>9605</v>
      </c>
      <c r="AK70">
        <f t="shared" si="15"/>
        <v>280</v>
      </c>
      <c r="AL70" s="1">
        <v>43830</v>
      </c>
      <c r="AM70" t="s">
        <v>9605</v>
      </c>
      <c r="AN70" t="s">
        <v>3</v>
      </c>
      <c r="AO70" s="1">
        <v>43889</v>
      </c>
      <c r="AP70" t="s">
        <v>9605</v>
      </c>
      <c r="AQ70" t="s">
        <v>3</v>
      </c>
      <c r="AR70" s="1">
        <v>43861</v>
      </c>
      <c r="AS70" t="s">
        <v>9605</v>
      </c>
      <c r="AT70" t="s">
        <v>3</v>
      </c>
      <c r="AU70" s="1">
        <f t="shared" si="11"/>
        <v>43980</v>
      </c>
      <c r="AV70" s="1" t="str">
        <f t="shared" si="12"/>
        <v>AAA</v>
      </c>
      <c r="AW70" s="52">
        <f t="shared" si="13"/>
        <v>280</v>
      </c>
      <c r="AZ70" s="1"/>
      <c r="BB70" t="e">
        <f t="shared" si="16"/>
        <v>#N/A</v>
      </c>
      <c r="BC70" s="1"/>
      <c r="BF70" s="1"/>
      <c r="BI70" s="1"/>
      <c r="BL70" s="1" t="e">
        <f t="shared" si="43"/>
        <v>#N/A</v>
      </c>
      <c r="BM70" s="1" t="e">
        <f t="shared" si="44"/>
        <v>#N/A</v>
      </c>
      <c r="BN70" s="1" t="e">
        <f t="shared" si="45"/>
        <v>#N/A</v>
      </c>
      <c r="BP70" s="1"/>
      <c r="BR70" t="e">
        <f t="shared" si="20"/>
        <v>#N/A</v>
      </c>
      <c r="BS70" s="1"/>
      <c r="BU70" s="1"/>
      <c r="BW70" s="1"/>
      <c r="BY70" s="1" t="e">
        <f t="shared" si="21"/>
        <v>#N/A</v>
      </c>
      <c r="BZ70" s="1" t="e">
        <f t="shared" si="22"/>
        <v>#N/A</v>
      </c>
      <c r="CA70" s="1" t="e">
        <f t="shared" si="23"/>
        <v>#N/A</v>
      </c>
    </row>
    <row r="71" spans="2:79">
      <c r="C71" s="5"/>
      <c r="D71" s="6"/>
      <c r="E71" s="5"/>
      <c r="F71" s="6"/>
      <c r="G71" s="6"/>
      <c r="H71" s="5"/>
      <c r="I71" s="6"/>
      <c r="J71" s="6"/>
      <c r="K71" s="5"/>
      <c r="L71" s="6"/>
      <c r="M71" s="6"/>
      <c r="AI71" s="1">
        <v>43950</v>
      </c>
      <c r="AJ71" t="s">
        <v>9605</v>
      </c>
      <c r="AK71">
        <f t="shared" si="15"/>
        <v>280</v>
      </c>
      <c r="AL71" s="1">
        <v>43798</v>
      </c>
      <c r="AM71" t="s">
        <v>9605</v>
      </c>
      <c r="AN71" t="s">
        <v>3</v>
      </c>
      <c r="AO71" s="1">
        <v>43861</v>
      </c>
      <c r="AP71" t="s">
        <v>9605</v>
      </c>
      <c r="AQ71" t="s">
        <v>3</v>
      </c>
      <c r="AR71" s="1">
        <v>43829</v>
      </c>
      <c r="AS71" t="s">
        <v>9605</v>
      </c>
      <c r="AT71" t="s">
        <v>3</v>
      </c>
      <c r="AU71" s="1">
        <f t="shared" si="11"/>
        <v>43950</v>
      </c>
      <c r="AV71" s="1" t="str">
        <f t="shared" si="12"/>
        <v>AAA</v>
      </c>
      <c r="AW71" s="52">
        <f t="shared" si="13"/>
        <v>280</v>
      </c>
      <c r="AZ71" s="1"/>
      <c r="BB71" t="e">
        <f t="shared" si="16"/>
        <v>#N/A</v>
      </c>
      <c r="BC71" s="1"/>
      <c r="BF71" s="1"/>
      <c r="BI71" s="1"/>
      <c r="BL71" s="1" t="e">
        <f t="shared" si="43"/>
        <v>#N/A</v>
      </c>
      <c r="BM71" s="1" t="e">
        <f t="shared" si="44"/>
        <v>#N/A</v>
      </c>
      <c r="BN71" s="1" t="e">
        <f t="shared" si="45"/>
        <v>#N/A</v>
      </c>
      <c r="BP71" s="1"/>
      <c r="BR71" t="e">
        <f t="shared" si="20"/>
        <v>#N/A</v>
      </c>
      <c r="BS71" s="1"/>
      <c r="BU71" s="1"/>
      <c r="BW71" s="1"/>
      <c r="BY71" s="1" t="e">
        <f t="shared" si="21"/>
        <v>#N/A</v>
      </c>
      <c r="BZ71" s="1" t="e">
        <f t="shared" si="22"/>
        <v>#N/A</v>
      </c>
      <c r="CA71" s="1" t="e">
        <f t="shared" si="23"/>
        <v>#N/A</v>
      </c>
    </row>
    <row r="72" spans="2:79">
      <c r="C72" s="5"/>
      <c r="D72" s="6"/>
      <c r="E72" s="5"/>
      <c r="F72" s="6"/>
      <c r="G72" s="6"/>
      <c r="H72" s="5"/>
      <c r="I72" s="6"/>
      <c r="J72" s="6"/>
      <c r="K72" s="5"/>
      <c r="L72" s="6"/>
      <c r="M72" s="6"/>
      <c r="AI72" s="1">
        <v>43949</v>
      </c>
      <c r="AJ72" t="s">
        <v>9605</v>
      </c>
      <c r="AK72">
        <f t="shared" si="15"/>
        <v>280</v>
      </c>
      <c r="AL72" s="1">
        <v>43769</v>
      </c>
      <c r="AM72" t="s">
        <v>9605</v>
      </c>
      <c r="AN72" t="s">
        <v>3</v>
      </c>
      <c r="AO72" s="1">
        <v>43798</v>
      </c>
      <c r="AP72" t="s">
        <v>9605</v>
      </c>
      <c r="AQ72" t="s">
        <v>3</v>
      </c>
      <c r="AR72" s="1">
        <v>43798</v>
      </c>
      <c r="AS72" t="s">
        <v>9605</v>
      </c>
      <c r="AT72" t="s">
        <v>3</v>
      </c>
      <c r="AU72" s="1">
        <f t="shared" si="11"/>
        <v>43949</v>
      </c>
      <c r="AV72" s="1" t="str">
        <f t="shared" si="12"/>
        <v>AAA</v>
      </c>
      <c r="AW72" s="52">
        <f t="shared" si="13"/>
        <v>280</v>
      </c>
      <c r="AZ72" s="1"/>
      <c r="BB72" t="e">
        <f t="shared" si="16"/>
        <v>#N/A</v>
      </c>
      <c r="BC72" s="1"/>
      <c r="BF72" s="1"/>
      <c r="BI72" s="1"/>
      <c r="BL72" s="1" t="e">
        <f t="shared" si="43"/>
        <v>#N/A</v>
      </c>
      <c r="BM72" s="1" t="e">
        <f t="shared" si="44"/>
        <v>#N/A</v>
      </c>
      <c r="BN72" s="1" t="e">
        <f t="shared" si="45"/>
        <v>#N/A</v>
      </c>
      <c r="BP72" s="1"/>
      <c r="BR72" t="e">
        <f t="shared" si="20"/>
        <v>#N/A</v>
      </c>
      <c r="BS72" s="1"/>
      <c r="BU72" s="1"/>
      <c r="BW72" s="1"/>
      <c r="BY72" s="1" t="e">
        <f t="shared" si="21"/>
        <v>#N/A</v>
      </c>
      <c r="BZ72" s="1" t="e">
        <f t="shared" si="22"/>
        <v>#N/A</v>
      </c>
      <c r="CA72" s="1" t="e">
        <f t="shared" si="23"/>
        <v>#N/A</v>
      </c>
    </row>
    <row r="73" spans="2:79">
      <c r="C73" s="5"/>
      <c r="D73" s="6"/>
      <c r="E73" s="5"/>
      <c r="F73" s="6"/>
      <c r="G73" s="6"/>
      <c r="H73" s="5"/>
      <c r="I73" s="6"/>
      <c r="J73" s="6"/>
      <c r="K73" s="5"/>
      <c r="L73" s="6"/>
      <c r="M73" s="6"/>
      <c r="AI73" s="1">
        <v>43923</v>
      </c>
      <c r="AJ73" t="s">
        <v>9605</v>
      </c>
      <c r="AK73">
        <f t="shared" si="15"/>
        <v>280</v>
      </c>
      <c r="AL73" s="1">
        <v>43738</v>
      </c>
      <c r="AM73" t="s">
        <v>9605</v>
      </c>
      <c r="AN73" t="s">
        <v>3</v>
      </c>
      <c r="AO73" s="1">
        <v>43738</v>
      </c>
      <c r="AP73" t="s">
        <v>9605</v>
      </c>
      <c r="AQ73" t="s">
        <v>3</v>
      </c>
      <c r="AR73" s="1">
        <v>43769</v>
      </c>
      <c r="AS73" t="s">
        <v>9605</v>
      </c>
      <c r="AT73" t="s">
        <v>3</v>
      </c>
      <c r="AU73" s="1">
        <f t="shared" si="11"/>
        <v>43923</v>
      </c>
      <c r="AV73" s="1" t="str">
        <f t="shared" si="12"/>
        <v>AAA</v>
      </c>
      <c r="AW73" s="52">
        <f t="shared" si="13"/>
        <v>280</v>
      </c>
      <c r="AZ73" s="1"/>
      <c r="BB73" t="e">
        <f t="shared" si="16"/>
        <v>#N/A</v>
      </c>
      <c r="BC73" s="1"/>
      <c r="BF73" s="1"/>
      <c r="BI73" s="1"/>
      <c r="BL73" s="1" t="e">
        <f t="shared" si="43"/>
        <v>#N/A</v>
      </c>
      <c r="BM73" s="1" t="e">
        <f t="shared" si="44"/>
        <v>#N/A</v>
      </c>
      <c r="BN73" s="1" t="e">
        <f t="shared" si="45"/>
        <v>#N/A</v>
      </c>
      <c r="BP73" s="1"/>
      <c r="BR73" t="e">
        <f t="shared" si="20"/>
        <v>#N/A</v>
      </c>
      <c r="BS73" s="1"/>
      <c r="BU73" s="1"/>
      <c r="BW73" s="1"/>
      <c r="BY73" s="1" t="e">
        <f t="shared" si="21"/>
        <v>#N/A</v>
      </c>
      <c r="BZ73" s="1" t="e">
        <f t="shared" si="22"/>
        <v>#N/A</v>
      </c>
      <c r="CA73" s="1" t="e">
        <f t="shared" si="23"/>
        <v>#N/A</v>
      </c>
    </row>
    <row r="74" spans="2:79">
      <c r="C74" s="5"/>
      <c r="D74" s="6"/>
      <c r="E74" s="5"/>
      <c r="F74" s="6"/>
      <c r="G74" s="6"/>
      <c r="H74" s="5"/>
      <c r="I74" s="6"/>
      <c r="J74" s="6"/>
      <c r="K74" s="5"/>
      <c r="L74" s="6"/>
      <c r="M74" s="6"/>
      <c r="AI74" s="1">
        <v>43889</v>
      </c>
      <c r="AJ74" t="s">
        <v>9605</v>
      </c>
      <c r="AK74">
        <f t="shared" si="15"/>
        <v>280</v>
      </c>
      <c r="AL74" s="1">
        <v>43707</v>
      </c>
      <c r="AM74" t="s">
        <v>9605</v>
      </c>
      <c r="AN74" t="s">
        <v>3</v>
      </c>
      <c r="AO74" s="1">
        <v>43707</v>
      </c>
      <c r="AP74" t="s">
        <v>9605</v>
      </c>
      <c r="AQ74" t="s">
        <v>3</v>
      </c>
      <c r="AR74" s="1">
        <v>43738</v>
      </c>
      <c r="AS74" t="s">
        <v>9605</v>
      </c>
      <c r="AT74" t="s">
        <v>3</v>
      </c>
      <c r="AU74" s="1">
        <f t="shared" si="11"/>
        <v>43889</v>
      </c>
      <c r="AV74" s="1" t="str">
        <f t="shared" si="12"/>
        <v>AAA</v>
      </c>
      <c r="AW74" s="52">
        <f t="shared" si="13"/>
        <v>280</v>
      </c>
      <c r="AZ74" s="1"/>
      <c r="BB74" t="e">
        <f t="shared" si="16"/>
        <v>#N/A</v>
      </c>
      <c r="BC74" s="1"/>
      <c r="BF74" s="1"/>
      <c r="BI74" s="1"/>
      <c r="BL74" s="1" t="e">
        <f t="shared" si="43"/>
        <v>#N/A</v>
      </c>
      <c r="BM74" s="1" t="e">
        <f t="shared" si="44"/>
        <v>#N/A</v>
      </c>
      <c r="BN74" s="1" t="e">
        <f t="shared" si="45"/>
        <v>#N/A</v>
      </c>
      <c r="BP74" s="1"/>
      <c r="BR74" t="e">
        <f t="shared" si="20"/>
        <v>#N/A</v>
      </c>
      <c r="BS74" s="1"/>
      <c r="BU74" s="1"/>
      <c r="BW74" s="1"/>
      <c r="BY74" s="1" t="e">
        <f t="shared" si="21"/>
        <v>#N/A</v>
      </c>
      <c r="BZ74" s="1" t="e">
        <f t="shared" si="22"/>
        <v>#N/A</v>
      </c>
      <c r="CA74" s="1" t="e">
        <f t="shared" si="23"/>
        <v>#N/A</v>
      </c>
    </row>
    <row r="75" spans="2:79">
      <c r="C75" s="5"/>
      <c r="D75" s="6"/>
      <c r="E75" s="5"/>
      <c r="F75" s="6"/>
      <c r="G75" s="6"/>
      <c r="H75" s="5"/>
      <c r="I75" s="6"/>
      <c r="J75" s="6"/>
      <c r="K75" s="5"/>
      <c r="L75" s="6"/>
      <c r="M75" s="6"/>
      <c r="AI75" s="1">
        <v>43861</v>
      </c>
      <c r="AJ75" t="s">
        <v>9605</v>
      </c>
      <c r="AK75">
        <f t="shared" si="15"/>
        <v>280</v>
      </c>
      <c r="AL75" s="1">
        <v>43677</v>
      </c>
      <c r="AM75" t="s">
        <v>9605</v>
      </c>
      <c r="AN75" t="s">
        <v>3</v>
      </c>
      <c r="AO75" s="1">
        <v>43677</v>
      </c>
      <c r="AP75" t="s">
        <v>9605</v>
      </c>
      <c r="AQ75" t="s">
        <v>3</v>
      </c>
      <c r="AR75" s="1">
        <v>43707</v>
      </c>
      <c r="AS75" t="s">
        <v>9605</v>
      </c>
      <c r="AT75" t="s">
        <v>3</v>
      </c>
      <c r="AU75" s="1">
        <f t="shared" si="11"/>
        <v>43861</v>
      </c>
      <c r="AV75" s="1" t="str">
        <f t="shared" si="12"/>
        <v>AAA</v>
      </c>
      <c r="AW75" s="52">
        <f t="shared" si="13"/>
        <v>280</v>
      </c>
      <c r="AZ75" s="1"/>
      <c r="BB75" t="e">
        <f t="shared" si="16"/>
        <v>#N/A</v>
      </c>
      <c r="BC75" s="1"/>
      <c r="BF75" s="1"/>
      <c r="BI75" s="1"/>
      <c r="BL75" s="1" t="e">
        <f t="shared" si="43"/>
        <v>#N/A</v>
      </c>
      <c r="BM75" s="1" t="e">
        <f t="shared" si="44"/>
        <v>#N/A</v>
      </c>
      <c r="BN75" s="1" t="e">
        <f t="shared" si="45"/>
        <v>#N/A</v>
      </c>
      <c r="BP75" s="1"/>
      <c r="BR75" t="e">
        <f t="shared" si="20"/>
        <v>#N/A</v>
      </c>
      <c r="BS75" s="1"/>
      <c r="BU75" s="1"/>
      <c r="BW75" s="1"/>
      <c r="BY75" s="1" t="e">
        <f t="shared" si="21"/>
        <v>#N/A</v>
      </c>
      <c r="BZ75" s="1" t="e">
        <f t="shared" si="22"/>
        <v>#N/A</v>
      </c>
      <c r="CA75" s="1" t="e">
        <f t="shared" si="23"/>
        <v>#N/A</v>
      </c>
    </row>
    <row r="76" spans="2:79">
      <c r="C76" s="5"/>
      <c r="D76" s="6"/>
      <c r="E76" s="5"/>
      <c r="F76" s="6"/>
      <c r="G76" s="6"/>
      <c r="H76" s="5"/>
      <c r="I76" s="6"/>
      <c r="J76" s="6"/>
      <c r="K76" s="5"/>
      <c r="L76" s="6"/>
      <c r="M76" s="6"/>
      <c r="AI76" s="1">
        <v>43830</v>
      </c>
      <c r="AJ76" t="s">
        <v>9605</v>
      </c>
      <c r="AK76">
        <f t="shared" si="15"/>
        <v>280</v>
      </c>
      <c r="AL76" s="1">
        <v>43644</v>
      </c>
      <c r="AM76" t="s">
        <v>9605</v>
      </c>
      <c r="AN76" t="s">
        <v>3</v>
      </c>
      <c r="AO76" s="1">
        <v>43644</v>
      </c>
      <c r="AP76" t="s">
        <v>9605</v>
      </c>
      <c r="AQ76" t="s">
        <v>3</v>
      </c>
      <c r="AR76" s="1">
        <v>43677</v>
      </c>
      <c r="AS76" t="s">
        <v>9605</v>
      </c>
      <c r="AT76" t="s">
        <v>3</v>
      </c>
      <c r="AU76" s="1">
        <f t="shared" si="11"/>
        <v>43830</v>
      </c>
      <c r="AV76" s="1" t="str">
        <f t="shared" si="12"/>
        <v>AAA</v>
      </c>
      <c r="AW76" s="52">
        <f t="shared" si="13"/>
        <v>280</v>
      </c>
      <c r="AZ76" s="1"/>
      <c r="BB76" t="e">
        <f t="shared" si="16"/>
        <v>#N/A</v>
      </c>
      <c r="BC76" s="1"/>
      <c r="BF76" s="1"/>
      <c r="BI76" s="1"/>
      <c r="BL76" s="1" t="e">
        <f t="shared" si="43"/>
        <v>#N/A</v>
      </c>
      <c r="BM76" s="1" t="e">
        <f t="shared" si="44"/>
        <v>#N/A</v>
      </c>
      <c r="BN76" s="1" t="e">
        <f t="shared" si="45"/>
        <v>#N/A</v>
      </c>
      <c r="BP76" s="1"/>
      <c r="BR76" t="e">
        <f t="shared" si="20"/>
        <v>#N/A</v>
      </c>
      <c r="BS76" s="1"/>
      <c r="BU76" s="1"/>
      <c r="BW76" s="1"/>
      <c r="BY76" s="1" t="e">
        <f t="shared" si="21"/>
        <v>#N/A</v>
      </c>
      <c r="BZ76" s="1" t="e">
        <f t="shared" si="22"/>
        <v>#N/A</v>
      </c>
      <c r="CA76" s="1" t="e">
        <f t="shared" si="23"/>
        <v>#N/A</v>
      </c>
    </row>
    <row r="77" spans="2:79">
      <c r="C77" s="5"/>
      <c r="D77" s="6"/>
      <c r="E77" s="5"/>
      <c r="F77" s="6"/>
      <c r="G77" s="6"/>
      <c r="H77" s="5"/>
      <c r="I77" s="6"/>
      <c r="J77" s="6"/>
      <c r="K77" s="5"/>
      <c r="L77" s="6"/>
      <c r="M77" s="6"/>
      <c r="AI77" s="1">
        <v>43829</v>
      </c>
      <c r="AJ77" t="s">
        <v>9605</v>
      </c>
      <c r="AK77">
        <f t="shared" si="15"/>
        <v>280</v>
      </c>
      <c r="AL77" s="1">
        <v>43616</v>
      </c>
      <c r="AM77" t="s">
        <v>9605</v>
      </c>
      <c r="AN77" t="s">
        <v>3</v>
      </c>
      <c r="AO77" s="1">
        <v>43616</v>
      </c>
      <c r="AP77" t="s">
        <v>9605</v>
      </c>
      <c r="AQ77" t="s">
        <v>3</v>
      </c>
      <c r="AR77" s="1">
        <v>43643</v>
      </c>
      <c r="AS77" t="s">
        <v>9605</v>
      </c>
      <c r="AT77" t="s">
        <v>3</v>
      </c>
      <c r="AU77" s="1">
        <f t="shared" si="11"/>
        <v>43829</v>
      </c>
      <c r="AV77" s="1" t="str">
        <f t="shared" si="12"/>
        <v>AAA</v>
      </c>
      <c r="AW77" s="52">
        <f t="shared" si="13"/>
        <v>280</v>
      </c>
      <c r="AZ77" s="1"/>
      <c r="BB77" t="e">
        <f t="shared" si="16"/>
        <v>#N/A</v>
      </c>
      <c r="BC77" s="1"/>
      <c r="BF77" s="1"/>
      <c r="BI77" s="1"/>
      <c r="BL77" s="1" t="e">
        <f t="shared" si="43"/>
        <v>#N/A</v>
      </c>
      <c r="BM77" s="1" t="e">
        <f t="shared" si="44"/>
        <v>#N/A</v>
      </c>
      <c r="BN77" s="1" t="e">
        <f t="shared" si="45"/>
        <v>#N/A</v>
      </c>
      <c r="BP77" s="1"/>
      <c r="BR77" t="e">
        <f t="shared" si="20"/>
        <v>#N/A</v>
      </c>
      <c r="BS77" s="1"/>
      <c r="BU77" s="1"/>
      <c r="BW77" s="1"/>
      <c r="BY77" s="1" t="e">
        <f t="shared" si="21"/>
        <v>#N/A</v>
      </c>
      <c r="BZ77" s="1" t="e">
        <f t="shared" si="22"/>
        <v>#N/A</v>
      </c>
      <c r="CA77" s="1" t="e">
        <f t="shared" si="23"/>
        <v>#N/A</v>
      </c>
    </row>
    <row r="78" spans="2:79">
      <c r="C78" s="5"/>
      <c r="D78" s="6"/>
      <c r="E78" s="5"/>
      <c r="F78" s="6"/>
      <c r="G78" s="6"/>
      <c r="H78" s="5"/>
      <c r="I78" s="6"/>
      <c r="J78" s="6"/>
      <c r="K78" s="5"/>
      <c r="L78" s="6"/>
      <c r="M78" s="6"/>
      <c r="AI78" s="1">
        <v>43798</v>
      </c>
      <c r="AJ78" t="s">
        <v>9605</v>
      </c>
      <c r="AK78">
        <f t="shared" si="15"/>
        <v>280</v>
      </c>
      <c r="AL78" s="1">
        <v>43585</v>
      </c>
      <c r="AM78" t="s">
        <v>9605</v>
      </c>
      <c r="AN78" t="s">
        <v>3</v>
      </c>
      <c r="AO78" s="1">
        <v>43585</v>
      </c>
      <c r="AP78" t="s">
        <v>9605</v>
      </c>
      <c r="AQ78" t="s">
        <v>3</v>
      </c>
      <c r="AR78" s="1">
        <v>43616</v>
      </c>
      <c r="AS78" t="s">
        <v>9605</v>
      </c>
      <c r="AT78" t="s">
        <v>3</v>
      </c>
      <c r="AU78" s="1">
        <f t="shared" si="11"/>
        <v>43798</v>
      </c>
      <c r="AV78" s="1" t="str">
        <f t="shared" si="12"/>
        <v>AAA</v>
      </c>
      <c r="AW78" s="52">
        <f t="shared" si="13"/>
        <v>280</v>
      </c>
      <c r="AZ78" s="1"/>
      <c r="BB78" t="e">
        <f t="shared" si="16"/>
        <v>#N/A</v>
      </c>
      <c r="BC78" s="1"/>
      <c r="BF78" s="1"/>
      <c r="BI78" s="1"/>
      <c r="BL78" s="1" t="e">
        <f t="shared" si="43"/>
        <v>#N/A</v>
      </c>
      <c r="BM78" s="1" t="e">
        <f t="shared" si="44"/>
        <v>#N/A</v>
      </c>
      <c r="BN78" s="1" t="e">
        <f t="shared" si="45"/>
        <v>#N/A</v>
      </c>
      <c r="BP78" s="1"/>
      <c r="BR78" t="e">
        <f t="shared" si="20"/>
        <v>#N/A</v>
      </c>
      <c r="BS78" s="1"/>
      <c r="BU78" s="1"/>
      <c r="BW78" s="1"/>
      <c r="BY78" s="1" t="e">
        <f t="shared" si="21"/>
        <v>#N/A</v>
      </c>
      <c r="BZ78" s="1" t="e">
        <f t="shared" si="22"/>
        <v>#N/A</v>
      </c>
      <c r="CA78" s="1" t="e">
        <f t="shared" si="23"/>
        <v>#N/A</v>
      </c>
    </row>
    <row r="79" spans="2:79">
      <c r="C79" s="5"/>
      <c r="D79" s="6"/>
      <c r="E79" s="5"/>
      <c r="F79" s="6"/>
      <c r="G79" s="6"/>
      <c r="H79" s="5"/>
      <c r="I79" s="6"/>
      <c r="J79" s="6"/>
      <c r="K79" s="5"/>
      <c r="L79" s="6"/>
      <c r="M79" s="6"/>
      <c r="AI79" s="1">
        <v>43769</v>
      </c>
      <c r="AJ79" t="s">
        <v>9605</v>
      </c>
      <c r="AK79">
        <f t="shared" si="15"/>
        <v>280</v>
      </c>
      <c r="AL79" s="1">
        <v>43553</v>
      </c>
      <c r="AM79" t="s">
        <v>9605</v>
      </c>
      <c r="AN79" t="s">
        <v>3</v>
      </c>
      <c r="AO79" s="1">
        <v>43566</v>
      </c>
      <c r="AP79" t="s">
        <v>9605</v>
      </c>
      <c r="AQ79" t="s">
        <v>3</v>
      </c>
      <c r="AR79" s="1">
        <v>43585</v>
      </c>
      <c r="AS79" t="s">
        <v>9605</v>
      </c>
      <c r="AT79" t="s">
        <v>3</v>
      </c>
      <c r="AU79" s="1">
        <f t="shared" si="11"/>
        <v>43769</v>
      </c>
      <c r="AV79" s="1" t="str">
        <f t="shared" si="12"/>
        <v>AAA</v>
      </c>
      <c r="AW79" s="52">
        <f t="shared" si="13"/>
        <v>280</v>
      </c>
      <c r="AZ79" s="1"/>
      <c r="BB79" t="e">
        <f t="shared" si="16"/>
        <v>#N/A</v>
      </c>
      <c r="BC79" s="1"/>
      <c r="BF79" s="1"/>
      <c r="BI79" s="1"/>
      <c r="BL79" s="1" t="e">
        <f t="shared" si="43"/>
        <v>#N/A</v>
      </c>
      <c r="BM79" s="1" t="e">
        <f t="shared" si="44"/>
        <v>#N/A</v>
      </c>
      <c r="BN79" s="1" t="e">
        <f t="shared" si="45"/>
        <v>#N/A</v>
      </c>
      <c r="BP79" s="1"/>
      <c r="BR79" t="e">
        <f t="shared" si="20"/>
        <v>#N/A</v>
      </c>
      <c r="BS79" s="1"/>
      <c r="BU79" s="1"/>
      <c r="BW79" s="1"/>
      <c r="BY79" s="1" t="e">
        <f t="shared" si="21"/>
        <v>#N/A</v>
      </c>
      <c r="BZ79" s="1" t="e">
        <f t="shared" si="22"/>
        <v>#N/A</v>
      </c>
      <c r="CA79" s="1" t="e">
        <f t="shared" si="23"/>
        <v>#N/A</v>
      </c>
    </row>
    <row r="80" spans="2:79">
      <c r="C80" s="5"/>
      <c r="D80" s="6"/>
      <c r="E80" s="5"/>
      <c r="F80" s="6"/>
      <c r="G80" s="6"/>
      <c r="H80" s="5"/>
      <c r="I80" s="6"/>
      <c r="J80" s="6"/>
      <c r="K80" s="5"/>
      <c r="L80" s="6"/>
      <c r="M80" s="6"/>
      <c r="AI80" s="1">
        <v>43738</v>
      </c>
      <c r="AJ80" t="s">
        <v>9605</v>
      </c>
      <c r="AK80">
        <f t="shared" si="15"/>
        <v>280</v>
      </c>
      <c r="AL80" s="1">
        <v>43524</v>
      </c>
      <c r="AM80" t="s">
        <v>9605</v>
      </c>
      <c r="AN80" t="s">
        <v>3</v>
      </c>
      <c r="AO80" s="1">
        <v>43558</v>
      </c>
      <c r="AP80" t="s">
        <v>9605</v>
      </c>
      <c r="AQ80" t="s">
        <v>3</v>
      </c>
      <c r="AR80" s="1">
        <v>43556</v>
      </c>
      <c r="AS80" t="s">
        <v>9605</v>
      </c>
      <c r="AT80" t="s">
        <v>3</v>
      </c>
      <c r="AU80" s="1">
        <f t="shared" si="11"/>
        <v>43738</v>
      </c>
      <c r="AV80" s="1" t="str">
        <f t="shared" si="12"/>
        <v>AAA</v>
      </c>
      <c r="AW80" s="52">
        <f t="shared" si="13"/>
        <v>280</v>
      </c>
      <c r="AZ80" s="1"/>
      <c r="BB80" t="e">
        <f t="shared" si="16"/>
        <v>#N/A</v>
      </c>
      <c r="BC80" s="1"/>
      <c r="BF80" s="1"/>
      <c r="BI80" s="1"/>
      <c r="BL80" s="1" t="e">
        <f t="shared" si="43"/>
        <v>#N/A</v>
      </c>
      <c r="BM80" s="1" t="e">
        <f t="shared" si="44"/>
        <v>#N/A</v>
      </c>
      <c r="BN80" s="1" t="e">
        <f t="shared" si="45"/>
        <v>#N/A</v>
      </c>
      <c r="BP80" s="1"/>
      <c r="BR80" t="e">
        <f t="shared" si="20"/>
        <v>#N/A</v>
      </c>
      <c r="BS80" s="1"/>
      <c r="BU80" s="1"/>
      <c r="BW80" s="1"/>
      <c r="BY80" s="1" t="e">
        <f t="shared" si="21"/>
        <v>#N/A</v>
      </c>
      <c r="BZ80" s="1" t="e">
        <f t="shared" si="22"/>
        <v>#N/A</v>
      </c>
      <c r="CA80" s="1" t="e">
        <f t="shared" si="23"/>
        <v>#N/A</v>
      </c>
    </row>
    <row r="81" spans="3:79">
      <c r="C81" s="5"/>
      <c r="D81" s="6"/>
      <c r="E81" s="5"/>
      <c r="F81" s="6"/>
      <c r="G81" s="6"/>
      <c r="H81" s="5"/>
      <c r="I81" s="6"/>
      <c r="J81" s="6"/>
      <c r="K81" s="5"/>
      <c r="L81" s="6"/>
      <c r="M81" s="6"/>
      <c r="AI81" s="1">
        <v>43707</v>
      </c>
      <c r="AJ81" t="s">
        <v>9605</v>
      </c>
      <c r="AK81">
        <f t="shared" ref="AK81" si="46">IF(AJ81="",NA(),VLOOKUP(AJ81,$AB$28:$AC$49,2,0))</f>
        <v>280</v>
      </c>
      <c r="AL81" s="1">
        <v>43496</v>
      </c>
      <c r="AM81" t="s">
        <v>9605</v>
      </c>
      <c r="AN81" t="s">
        <v>3</v>
      </c>
      <c r="AO81" s="1">
        <v>43524</v>
      </c>
      <c r="AP81" t="s">
        <v>9605</v>
      </c>
      <c r="AQ81" t="s">
        <v>3</v>
      </c>
      <c r="AR81" s="1">
        <v>43524</v>
      </c>
      <c r="AS81" t="s">
        <v>9605</v>
      </c>
      <c r="AT81" t="s">
        <v>3</v>
      </c>
      <c r="AU81" s="1">
        <f t="shared" si="11"/>
        <v>43707</v>
      </c>
      <c r="AV81" s="1" t="str">
        <f t="shared" si="12"/>
        <v>AAA</v>
      </c>
      <c r="AW81" s="52">
        <f t="shared" si="13"/>
        <v>280</v>
      </c>
      <c r="AZ81" s="1"/>
      <c r="BB81" t="e">
        <f t="shared" si="16"/>
        <v>#N/A</v>
      </c>
      <c r="BC81" s="1"/>
      <c r="BF81" s="1"/>
      <c r="BI81" s="1"/>
      <c r="BL81" s="1" t="e">
        <f t="shared" si="43"/>
        <v>#N/A</v>
      </c>
      <c r="BM81" s="1" t="e">
        <f t="shared" si="44"/>
        <v>#N/A</v>
      </c>
      <c r="BN81" s="1" t="e">
        <f t="shared" si="45"/>
        <v>#N/A</v>
      </c>
      <c r="BP81" s="1"/>
      <c r="BR81" t="e">
        <f t="shared" si="20"/>
        <v>#N/A</v>
      </c>
      <c r="BS81" s="1"/>
      <c r="BU81" s="1"/>
      <c r="BW81" s="1"/>
      <c r="BY81" s="1" t="e">
        <f t="shared" si="21"/>
        <v>#N/A</v>
      </c>
      <c r="BZ81" s="1" t="e">
        <f t="shared" si="22"/>
        <v>#N/A</v>
      </c>
      <c r="CA81" s="1" t="e">
        <f t="shared" si="23"/>
        <v>#N/A</v>
      </c>
    </row>
    <row r="82" spans="3:79">
      <c r="C82" s="5"/>
      <c r="D82" s="6"/>
      <c r="E82" s="5"/>
      <c r="F82" s="6"/>
      <c r="G82" s="6"/>
      <c r="H82" s="5"/>
      <c r="I82" s="6"/>
      <c r="J82" s="6"/>
      <c r="K82" s="5"/>
      <c r="L82" s="6"/>
      <c r="M82" s="6"/>
      <c r="AI82" s="1">
        <v>43677</v>
      </c>
      <c r="AJ82" t="s">
        <v>9605</v>
      </c>
      <c r="AK82">
        <f t="shared" ref="AK82" si="47">IF(AJ82="",NA(),VLOOKUP(AJ82,$AB$28:$AC$49,2,0))</f>
        <v>280</v>
      </c>
      <c r="AL82" s="1">
        <v>43472</v>
      </c>
      <c r="AM82" t="s">
        <v>9605</v>
      </c>
      <c r="AN82" t="s">
        <v>3</v>
      </c>
      <c r="AO82" s="1">
        <v>43496</v>
      </c>
      <c r="AP82" t="s">
        <v>9605</v>
      </c>
      <c r="AQ82" t="s">
        <v>3</v>
      </c>
      <c r="AR82" s="1">
        <v>43469</v>
      </c>
      <c r="AS82" t="s">
        <v>9605</v>
      </c>
      <c r="AT82" t="s">
        <v>3</v>
      </c>
      <c r="AU82" s="1">
        <f t="shared" si="11"/>
        <v>43677</v>
      </c>
      <c r="AV82" s="1" t="str">
        <f t="shared" si="12"/>
        <v>AAA</v>
      </c>
      <c r="AW82" s="52">
        <f t="shared" si="13"/>
        <v>280</v>
      </c>
      <c r="AZ82" s="1"/>
      <c r="BB82" t="e">
        <f t="shared" si="16"/>
        <v>#N/A</v>
      </c>
      <c r="BC82" s="1"/>
      <c r="BF82" s="1"/>
      <c r="BI82" s="1"/>
      <c r="BL82" s="1" t="e">
        <f t="shared" si="43"/>
        <v>#N/A</v>
      </c>
      <c r="BM82" s="1" t="e">
        <f t="shared" si="44"/>
        <v>#N/A</v>
      </c>
      <c r="BN82" s="1" t="e">
        <f t="shared" si="45"/>
        <v>#N/A</v>
      </c>
      <c r="BP82" s="1"/>
      <c r="BR82" t="e">
        <f t="shared" si="20"/>
        <v>#N/A</v>
      </c>
      <c r="BS82" s="1"/>
      <c r="BU82" s="1"/>
      <c r="BW82" s="1"/>
      <c r="BY82" s="1" t="e">
        <f t="shared" si="21"/>
        <v>#N/A</v>
      </c>
      <c r="BZ82" s="1" t="e">
        <f t="shared" si="22"/>
        <v>#N/A</v>
      </c>
      <c r="CA82" s="1" t="e">
        <f t="shared" si="23"/>
        <v>#N/A</v>
      </c>
    </row>
    <row r="83" spans="3:79">
      <c r="C83" s="5"/>
      <c r="D83" s="6"/>
      <c r="E83" s="5"/>
      <c r="F83" s="6"/>
      <c r="G83" s="6"/>
      <c r="H83" s="5"/>
      <c r="I83" s="6"/>
      <c r="J83" s="6"/>
      <c r="K83" s="5"/>
      <c r="L83" s="6"/>
      <c r="M83" s="6"/>
      <c r="AI83" s="1">
        <v>43644</v>
      </c>
      <c r="AJ83" t="s">
        <v>9605</v>
      </c>
      <c r="AK83">
        <f t="shared" ref="AK83" si="48">IF(AJ83="",NA(),VLOOKUP(AJ83,$AB$28:$AC$49,2,0))</f>
        <v>280</v>
      </c>
      <c r="AL83" s="1">
        <v>43434</v>
      </c>
      <c r="AM83" t="s">
        <v>9605</v>
      </c>
      <c r="AN83" t="s">
        <v>3</v>
      </c>
      <c r="AO83" s="1">
        <v>43476</v>
      </c>
      <c r="AP83" t="s">
        <v>9605</v>
      </c>
      <c r="AQ83" t="s">
        <v>3</v>
      </c>
      <c r="AR83" s="1">
        <v>43434</v>
      </c>
      <c r="AS83" t="s">
        <v>9605</v>
      </c>
      <c r="AT83" t="s">
        <v>3</v>
      </c>
      <c r="AU83" s="1">
        <f t="shared" si="11"/>
        <v>43644</v>
      </c>
      <c r="AV83" s="1" t="str">
        <f t="shared" si="12"/>
        <v>AAA</v>
      </c>
      <c r="AW83" s="52">
        <f t="shared" si="13"/>
        <v>280</v>
      </c>
      <c r="AZ83" s="1"/>
      <c r="BB83" t="e">
        <f t="shared" si="16"/>
        <v>#N/A</v>
      </c>
      <c r="BC83" s="1"/>
      <c r="BF83" s="1"/>
      <c r="BI83" s="1"/>
      <c r="BL83" s="1" t="e">
        <f t="shared" si="43"/>
        <v>#N/A</v>
      </c>
      <c r="BM83" s="1" t="e">
        <f t="shared" si="44"/>
        <v>#N/A</v>
      </c>
      <c r="BN83" s="1" t="e">
        <f t="shared" si="45"/>
        <v>#N/A</v>
      </c>
      <c r="BP83" s="1"/>
      <c r="BR83" t="e">
        <f t="shared" si="20"/>
        <v>#N/A</v>
      </c>
      <c r="BS83" s="1"/>
      <c r="BU83" s="1"/>
      <c r="BW83" s="1"/>
      <c r="BY83" s="1" t="e">
        <f t="shared" si="21"/>
        <v>#N/A</v>
      </c>
      <c r="BZ83" s="1" t="e">
        <f t="shared" si="22"/>
        <v>#N/A</v>
      </c>
      <c r="CA83" s="1" t="e">
        <f t="shared" si="23"/>
        <v>#N/A</v>
      </c>
    </row>
    <row r="84" spans="3:79">
      <c r="C84" s="5"/>
      <c r="D84" s="6"/>
      <c r="E84" s="5"/>
      <c r="F84" s="6"/>
      <c r="G84" s="6"/>
      <c r="H84" s="5"/>
      <c r="I84" s="6"/>
      <c r="J84" s="6"/>
      <c r="K84" s="5"/>
      <c r="L84" s="6"/>
      <c r="M84" s="6"/>
      <c r="AI84" s="1">
        <v>43616</v>
      </c>
      <c r="AJ84" t="s">
        <v>9605</v>
      </c>
      <c r="AK84">
        <f t="shared" ref="AK84" si="49">IF(AJ84="",NA(),VLOOKUP(AJ84,$AB$28:$AC$49,2,0))</f>
        <v>280</v>
      </c>
      <c r="AL84" s="1">
        <v>43404</v>
      </c>
      <c r="AM84" t="s">
        <v>9605</v>
      </c>
      <c r="AN84" t="s">
        <v>3</v>
      </c>
      <c r="AO84" s="1">
        <v>43434</v>
      </c>
      <c r="AP84" t="s">
        <v>9605</v>
      </c>
      <c r="AQ84" t="s">
        <v>3</v>
      </c>
      <c r="AR84" s="1">
        <v>43404</v>
      </c>
      <c r="AS84" t="s">
        <v>9605</v>
      </c>
      <c r="AT84" t="s">
        <v>3</v>
      </c>
      <c r="AU84" s="1">
        <f t="shared" si="11"/>
        <v>43616</v>
      </c>
      <c r="AV84" s="1" t="str">
        <f t="shared" si="12"/>
        <v>AAA</v>
      </c>
      <c r="AW84" s="52">
        <f t="shared" si="13"/>
        <v>280</v>
      </c>
      <c r="AZ84" s="1"/>
      <c r="BB84" t="e">
        <f t="shared" si="16"/>
        <v>#N/A</v>
      </c>
      <c r="BC84" s="1"/>
      <c r="BF84" s="1"/>
      <c r="BI84" s="1"/>
      <c r="BL84" s="1" t="e">
        <f t="shared" si="43"/>
        <v>#N/A</v>
      </c>
      <c r="BM84" s="1" t="e">
        <f t="shared" si="44"/>
        <v>#N/A</v>
      </c>
      <c r="BN84" s="1" t="e">
        <f t="shared" si="45"/>
        <v>#N/A</v>
      </c>
      <c r="BP84" s="1"/>
      <c r="BR84" t="e">
        <f t="shared" si="20"/>
        <v>#N/A</v>
      </c>
      <c r="BS84" s="1"/>
      <c r="BU84" s="1"/>
      <c r="BW84" s="1"/>
      <c r="BY84" s="1" t="e">
        <f t="shared" si="21"/>
        <v>#N/A</v>
      </c>
      <c r="BZ84" s="1" t="e">
        <f t="shared" si="22"/>
        <v>#N/A</v>
      </c>
      <c r="CA84" s="1" t="e">
        <f t="shared" si="23"/>
        <v>#N/A</v>
      </c>
    </row>
    <row r="85" spans="3:79">
      <c r="C85" s="5"/>
      <c r="D85" s="6"/>
      <c r="E85" s="5"/>
      <c r="F85" s="6"/>
      <c r="G85" s="6"/>
      <c r="H85" s="5"/>
      <c r="I85" s="6"/>
      <c r="J85" s="6"/>
      <c r="K85" s="5"/>
      <c r="L85" s="6"/>
      <c r="M85" s="6"/>
      <c r="AI85" s="1">
        <v>43585</v>
      </c>
      <c r="AJ85" t="s">
        <v>9605</v>
      </c>
      <c r="AK85">
        <f t="shared" ref="AK85" si="50">IF(AJ85="",NA(),VLOOKUP(AJ85,$AB$28:$AC$49,2,0))</f>
        <v>280</v>
      </c>
      <c r="AL85" s="1">
        <v>43371</v>
      </c>
      <c r="AM85" t="s">
        <v>9605</v>
      </c>
      <c r="AN85" t="s">
        <v>3</v>
      </c>
      <c r="AO85" s="1">
        <v>43404</v>
      </c>
      <c r="AP85" t="s">
        <v>9605</v>
      </c>
      <c r="AQ85" t="s">
        <v>3</v>
      </c>
      <c r="AR85" s="1">
        <v>43371</v>
      </c>
      <c r="AS85" t="s">
        <v>9605</v>
      </c>
      <c r="AT85" t="s">
        <v>3</v>
      </c>
      <c r="AU85" s="1">
        <f t="shared" si="11"/>
        <v>43585</v>
      </c>
      <c r="AV85" s="1" t="str">
        <f t="shared" si="12"/>
        <v>AAA</v>
      </c>
      <c r="AW85" s="52">
        <f t="shared" si="13"/>
        <v>280</v>
      </c>
      <c r="AZ85" s="1"/>
      <c r="BB85" t="e">
        <f t="shared" si="16"/>
        <v>#N/A</v>
      </c>
      <c r="BC85" s="1"/>
      <c r="BF85" s="1"/>
      <c r="BI85" s="1"/>
      <c r="BL85" s="1" t="e">
        <f t="shared" si="43"/>
        <v>#N/A</v>
      </c>
      <c r="BM85" s="1" t="e">
        <f t="shared" si="44"/>
        <v>#N/A</v>
      </c>
      <c r="BN85" s="1" t="e">
        <f t="shared" si="45"/>
        <v>#N/A</v>
      </c>
      <c r="BP85" s="1"/>
      <c r="BR85" t="e">
        <f t="shared" si="20"/>
        <v>#N/A</v>
      </c>
      <c r="BS85" s="1"/>
      <c r="BU85" s="1"/>
      <c r="BW85" s="1"/>
      <c r="BY85" s="1" t="e">
        <f t="shared" si="21"/>
        <v>#N/A</v>
      </c>
      <c r="BZ85" s="1" t="e">
        <f t="shared" si="22"/>
        <v>#N/A</v>
      </c>
      <c r="CA85" s="1" t="e">
        <f t="shared" si="23"/>
        <v>#N/A</v>
      </c>
    </row>
    <row r="86" spans="3:79">
      <c r="C86" s="5"/>
      <c r="D86" s="6"/>
      <c r="E86" s="5"/>
      <c r="F86" s="6"/>
      <c r="G86" s="6"/>
      <c r="H86" s="5"/>
      <c r="I86" s="6"/>
      <c r="J86" s="6"/>
      <c r="K86" s="5"/>
      <c r="L86" s="6"/>
      <c r="M86" s="6"/>
      <c r="AI86" s="1">
        <v>43566</v>
      </c>
      <c r="AJ86" t="s">
        <v>9605</v>
      </c>
      <c r="AK86">
        <f t="shared" ref="AK86" si="51">IF(AJ86="",NA(),VLOOKUP(AJ86,$AB$28:$AC$49,2,0))</f>
        <v>280</v>
      </c>
      <c r="AL86" s="1">
        <v>43360</v>
      </c>
      <c r="AM86" t="s">
        <v>9605</v>
      </c>
      <c r="AN86" t="s">
        <v>3</v>
      </c>
      <c r="AO86" s="1">
        <v>43371</v>
      </c>
      <c r="AP86" t="s">
        <v>9605</v>
      </c>
      <c r="AQ86" t="s">
        <v>3</v>
      </c>
      <c r="AR86" s="1">
        <v>43363</v>
      </c>
      <c r="AS86" t="s">
        <v>9605</v>
      </c>
      <c r="AT86" t="s">
        <v>3</v>
      </c>
      <c r="AU86" s="1">
        <f t="shared" si="11"/>
        <v>43566</v>
      </c>
      <c r="AV86" s="1" t="str">
        <f t="shared" si="12"/>
        <v>AAA</v>
      </c>
      <c r="AW86" s="52">
        <f t="shared" si="13"/>
        <v>280</v>
      </c>
      <c r="AZ86" s="1"/>
      <c r="BB86" t="e">
        <f t="shared" si="16"/>
        <v>#N/A</v>
      </c>
      <c r="BC86" s="1"/>
      <c r="BF86" s="1"/>
      <c r="BI86" s="1"/>
      <c r="BL86" s="1" t="e">
        <f t="shared" si="43"/>
        <v>#N/A</v>
      </c>
      <c r="BM86" s="1" t="e">
        <f t="shared" si="44"/>
        <v>#N/A</v>
      </c>
      <c r="BN86" s="1" t="e">
        <f t="shared" si="45"/>
        <v>#N/A</v>
      </c>
      <c r="BP86" s="1"/>
      <c r="BR86" t="e">
        <f t="shared" si="20"/>
        <v>#N/A</v>
      </c>
      <c r="BS86" s="1"/>
      <c r="BU86" s="1"/>
      <c r="BW86" s="1"/>
      <c r="BY86" s="1" t="e">
        <f t="shared" si="21"/>
        <v>#N/A</v>
      </c>
      <c r="BZ86" s="1" t="e">
        <f t="shared" si="22"/>
        <v>#N/A</v>
      </c>
      <c r="CA86" s="1" t="e">
        <f t="shared" si="23"/>
        <v>#N/A</v>
      </c>
    </row>
    <row r="87" spans="3:79">
      <c r="C87" s="5"/>
      <c r="D87" s="6"/>
      <c r="E87" s="5"/>
      <c r="F87" s="6"/>
      <c r="G87" s="6"/>
      <c r="H87" s="5"/>
      <c r="I87" s="6"/>
      <c r="J87" s="6"/>
      <c r="K87" s="5"/>
      <c r="L87" s="6"/>
      <c r="M87" s="6"/>
      <c r="AI87" s="1">
        <v>43558</v>
      </c>
      <c r="AJ87" t="s">
        <v>9605</v>
      </c>
      <c r="AK87">
        <f t="shared" ref="AK87" si="52">IF(AJ87="",NA(),VLOOKUP(AJ87,$AB$28:$AC$49,2,0))</f>
        <v>280</v>
      </c>
      <c r="AL87" s="1">
        <v>43343</v>
      </c>
      <c r="AM87" t="s">
        <v>9605</v>
      </c>
      <c r="AN87" t="s">
        <v>3</v>
      </c>
      <c r="AO87" s="1">
        <v>43343</v>
      </c>
      <c r="AP87" t="s">
        <v>9605</v>
      </c>
      <c r="AQ87" t="s">
        <v>3</v>
      </c>
      <c r="AR87" s="1">
        <v>43356</v>
      </c>
      <c r="AS87" t="s">
        <v>9605</v>
      </c>
      <c r="AT87" t="s">
        <v>3</v>
      </c>
      <c r="AU87" s="1">
        <f t="shared" si="11"/>
        <v>43558</v>
      </c>
      <c r="AV87" s="1" t="str">
        <f t="shared" si="12"/>
        <v>AAA</v>
      </c>
      <c r="AW87" s="52">
        <f t="shared" si="13"/>
        <v>280</v>
      </c>
      <c r="AZ87" s="1"/>
      <c r="BB87" t="e">
        <f t="shared" si="16"/>
        <v>#N/A</v>
      </c>
      <c r="BC87" s="1"/>
      <c r="BF87" s="1"/>
      <c r="BI87" s="1"/>
      <c r="BL87" s="1" t="e">
        <f t="shared" si="43"/>
        <v>#N/A</v>
      </c>
      <c r="BM87" s="1" t="e">
        <f t="shared" si="44"/>
        <v>#N/A</v>
      </c>
      <c r="BN87" s="1" t="e">
        <f t="shared" si="45"/>
        <v>#N/A</v>
      </c>
      <c r="BP87" s="1"/>
      <c r="BR87" t="e">
        <f t="shared" si="20"/>
        <v>#N/A</v>
      </c>
      <c r="BS87" s="1"/>
      <c r="BU87" s="1"/>
      <c r="BW87" s="1"/>
      <c r="BY87" s="1" t="e">
        <f t="shared" si="21"/>
        <v>#N/A</v>
      </c>
      <c r="BZ87" s="1" t="e">
        <f t="shared" si="22"/>
        <v>#N/A</v>
      </c>
      <c r="CA87" s="1" t="e">
        <f t="shared" si="23"/>
        <v>#N/A</v>
      </c>
    </row>
    <row r="88" spans="3:79">
      <c r="C88" s="5"/>
      <c r="D88" s="6"/>
      <c r="E88" s="5"/>
      <c r="F88" s="6"/>
      <c r="G88" s="6"/>
      <c r="H88" s="5"/>
      <c r="I88" s="6"/>
      <c r="J88" s="6"/>
      <c r="K88" s="5"/>
      <c r="L88" s="6"/>
      <c r="M88" s="6"/>
      <c r="AI88" s="1">
        <v>43556</v>
      </c>
      <c r="AJ88" t="s">
        <v>9605</v>
      </c>
      <c r="AK88">
        <f t="shared" ref="AK88" si="53">IF(AJ88="",NA(),VLOOKUP(AJ88,$AB$28:$AC$49,2,0))</f>
        <v>280</v>
      </c>
      <c r="AL88" s="1">
        <v>43312</v>
      </c>
      <c r="AM88" t="s">
        <v>9605</v>
      </c>
      <c r="AN88" t="s">
        <v>3</v>
      </c>
      <c r="AO88" s="1">
        <v>43307</v>
      </c>
      <c r="AP88" t="s">
        <v>9605</v>
      </c>
      <c r="AQ88" t="s">
        <v>3</v>
      </c>
      <c r="AR88" s="1">
        <v>43343</v>
      </c>
      <c r="AS88" t="s">
        <v>9605</v>
      </c>
      <c r="AT88" t="s">
        <v>3</v>
      </c>
      <c r="AU88" s="1">
        <f t="shared" si="11"/>
        <v>43556</v>
      </c>
      <c r="AV88" s="1" t="str">
        <f t="shared" si="12"/>
        <v>AAA</v>
      </c>
      <c r="AW88" s="52">
        <f t="shared" si="13"/>
        <v>280</v>
      </c>
      <c r="AZ88" s="1"/>
      <c r="BB88" t="e">
        <f t="shared" si="16"/>
        <v>#N/A</v>
      </c>
      <c r="BC88" s="1"/>
      <c r="BF88" s="1"/>
      <c r="BI88" s="1"/>
      <c r="BL88" s="1" t="e">
        <f t="shared" si="43"/>
        <v>#N/A</v>
      </c>
      <c r="BM88" s="1" t="e">
        <f t="shared" si="44"/>
        <v>#N/A</v>
      </c>
      <c r="BN88" s="1" t="e">
        <f t="shared" si="45"/>
        <v>#N/A</v>
      </c>
      <c r="BP88" s="1"/>
      <c r="BR88" t="e">
        <f t="shared" si="20"/>
        <v>#N/A</v>
      </c>
      <c r="BS88" s="1"/>
      <c r="BU88" s="1"/>
      <c r="BW88" s="1"/>
      <c r="BY88" s="1" t="e">
        <f t="shared" si="21"/>
        <v>#N/A</v>
      </c>
      <c r="BZ88" s="1" t="e">
        <f t="shared" si="22"/>
        <v>#N/A</v>
      </c>
      <c r="CA88" s="1" t="e">
        <f t="shared" si="23"/>
        <v>#N/A</v>
      </c>
    </row>
    <row r="89" spans="3:79">
      <c r="C89" s="5"/>
      <c r="D89" s="6"/>
      <c r="E89" s="5"/>
      <c r="F89" s="6"/>
      <c r="G89" s="6"/>
      <c r="H89" s="5"/>
      <c r="I89" s="6"/>
      <c r="J89" s="6"/>
      <c r="K89" s="5"/>
      <c r="L89" s="6"/>
      <c r="M89" s="6"/>
      <c r="AI89" s="1">
        <v>43553</v>
      </c>
      <c r="AJ89" t="s">
        <v>9605</v>
      </c>
      <c r="AK89">
        <f t="shared" ref="AK89" si="54">IF(AJ89="",NA(),VLOOKUP(AJ89,$AB$28:$AC$49,2,0))</f>
        <v>280</v>
      </c>
      <c r="AL89" s="1">
        <v>43280</v>
      </c>
      <c r="AM89" t="s">
        <v>9605</v>
      </c>
      <c r="AN89" t="s">
        <v>3</v>
      </c>
      <c r="AO89" s="1">
        <v>43280</v>
      </c>
      <c r="AP89" t="s">
        <v>9605</v>
      </c>
      <c r="AQ89" t="s">
        <v>3</v>
      </c>
      <c r="AR89" s="1">
        <v>43312</v>
      </c>
      <c r="AS89" t="s">
        <v>9605</v>
      </c>
      <c r="AT89" t="s">
        <v>3</v>
      </c>
      <c r="AU89" s="1">
        <f t="shared" si="11"/>
        <v>43553</v>
      </c>
      <c r="AV89" s="1" t="str">
        <f t="shared" si="12"/>
        <v>AAA</v>
      </c>
      <c r="AW89" s="52">
        <f t="shared" si="13"/>
        <v>280</v>
      </c>
      <c r="AZ89" s="1"/>
      <c r="BB89" t="e">
        <f t="shared" si="16"/>
        <v>#N/A</v>
      </c>
      <c r="BC89" s="1"/>
      <c r="BF89" s="1"/>
      <c r="BI89" s="1"/>
      <c r="BL89" s="1" t="e">
        <f t="shared" si="43"/>
        <v>#N/A</v>
      </c>
      <c r="BM89" s="1" t="e">
        <f t="shared" si="44"/>
        <v>#N/A</v>
      </c>
      <c r="BN89" s="1" t="e">
        <f t="shared" si="45"/>
        <v>#N/A</v>
      </c>
      <c r="BP89" s="1"/>
      <c r="BR89" t="e">
        <f t="shared" si="20"/>
        <v>#N/A</v>
      </c>
      <c r="BS89" s="1"/>
      <c r="BU89" s="1"/>
      <c r="BW89" s="1"/>
      <c r="BY89" s="1" t="e">
        <f t="shared" si="21"/>
        <v>#N/A</v>
      </c>
      <c r="BZ89" s="1" t="e">
        <f t="shared" si="22"/>
        <v>#N/A</v>
      </c>
      <c r="CA89" s="1" t="e">
        <f t="shared" si="23"/>
        <v>#N/A</v>
      </c>
    </row>
    <row r="90" spans="3:79">
      <c r="C90" s="5"/>
      <c r="D90" s="6"/>
      <c r="E90" s="5"/>
      <c r="F90" s="6"/>
      <c r="G90" s="6"/>
      <c r="H90" s="5"/>
      <c r="I90" s="6"/>
      <c r="J90" s="6"/>
      <c r="K90" s="5"/>
      <c r="L90" s="6"/>
      <c r="M90" s="6"/>
      <c r="AI90" s="1">
        <v>43524</v>
      </c>
      <c r="AJ90" t="s">
        <v>9605</v>
      </c>
      <c r="AK90">
        <f t="shared" ref="AK90" si="55">IF(AJ90="",NA(),VLOOKUP(AJ90,$AB$28:$AC$49,2,0))</f>
        <v>280</v>
      </c>
      <c r="AL90" s="1">
        <v>43251</v>
      </c>
      <c r="AM90" t="s">
        <v>9605</v>
      </c>
      <c r="AN90" t="s">
        <v>3</v>
      </c>
      <c r="AO90" s="1">
        <v>43251</v>
      </c>
      <c r="AP90" t="s">
        <v>9605</v>
      </c>
      <c r="AQ90" t="s">
        <v>3</v>
      </c>
      <c r="AR90" s="1">
        <v>43280</v>
      </c>
      <c r="AS90" t="s">
        <v>9605</v>
      </c>
      <c r="AT90" t="s">
        <v>3</v>
      </c>
      <c r="AU90" s="1">
        <f t="shared" si="11"/>
        <v>43524</v>
      </c>
      <c r="AV90" s="1" t="str">
        <f t="shared" si="12"/>
        <v>AAA</v>
      </c>
      <c r="AW90" s="52">
        <f t="shared" si="13"/>
        <v>280</v>
      </c>
      <c r="AZ90" s="1"/>
      <c r="BB90" t="e">
        <f t="shared" si="16"/>
        <v>#N/A</v>
      </c>
      <c r="BC90" s="1"/>
      <c r="BF90" s="1"/>
      <c r="BI90" s="1"/>
      <c r="BL90" s="1" t="e">
        <f t="shared" si="43"/>
        <v>#N/A</v>
      </c>
      <c r="BM90" s="1" t="e">
        <f t="shared" si="44"/>
        <v>#N/A</v>
      </c>
      <c r="BN90" s="1" t="e">
        <f t="shared" si="45"/>
        <v>#N/A</v>
      </c>
      <c r="BP90" s="1"/>
      <c r="BR90" t="e">
        <f t="shared" si="20"/>
        <v>#N/A</v>
      </c>
      <c r="BS90" s="1"/>
      <c r="BU90" s="1"/>
      <c r="BW90" s="1"/>
      <c r="BY90" s="1" t="e">
        <f t="shared" si="21"/>
        <v>#N/A</v>
      </c>
      <c r="BZ90" s="1" t="e">
        <f t="shared" si="22"/>
        <v>#N/A</v>
      </c>
      <c r="CA90" s="1" t="e">
        <f t="shared" si="23"/>
        <v>#N/A</v>
      </c>
    </row>
    <row r="91" spans="3:79">
      <c r="C91" s="5"/>
      <c r="D91" s="6"/>
      <c r="E91" s="5"/>
      <c r="F91" s="6"/>
      <c r="G91" s="6"/>
      <c r="H91" s="5"/>
      <c r="I91" s="6"/>
      <c r="J91" s="6"/>
      <c r="K91" s="5"/>
      <c r="L91" s="6"/>
      <c r="M91" s="6"/>
      <c r="AI91" s="1">
        <v>43496</v>
      </c>
      <c r="AJ91" t="s">
        <v>9605</v>
      </c>
      <c r="AK91">
        <f t="shared" ref="AK91" si="56">IF(AJ91="",NA(),VLOOKUP(AJ91,$AB$28:$AC$49,2,0))</f>
        <v>280</v>
      </c>
      <c r="AL91" s="1">
        <v>43220</v>
      </c>
      <c r="AM91" t="s">
        <v>9605</v>
      </c>
      <c r="AN91" t="s">
        <v>3</v>
      </c>
      <c r="AO91" s="1">
        <v>43220</v>
      </c>
      <c r="AP91" t="s">
        <v>9605</v>
      </c>
      <c r="AQ91" t="s">
        <v>3</v>
      </c>
      <c r="AR91" s="1">
        <v>43251</v>
      </c>
      <c r="AS91" t="s">
        <v>9605</v>
      </c>
      <c r="AT91" t="s">
        <v>3</v>
      </c>
      <c r="AU91" s="1">
        <f t="shared" si="11"/>
        <v>43496</v>
      </c>
      <c r="AV91" s="1" t="str">
        <f t="shared" si="12"/>
        <v>AAA</v>
      </c>
      <c r="AW91" s="52">
        <f t="shared" si="13"/>
        <v>280</v>
      </c>
      <c r="AZ91" s="1"/>
      <c r="BB91" t="e">
        <f t="shared" si="16"/>
        <v>#N/A</v>
      </c>
      <c r="BC91" s="1"/>
      <c r="BF91" s="1"/>
      <c r="BI91" s="1"/>
      <c r="BL91" s="1" t="e">
        <f t="shared" si="43"/>
        <v>#N/A</v>
      </c>
      <c r="BM91" s="1" t="e">
        <f t="shared" si="44"/>
        <v>#N/A</v>
      </c>
      <c r="BN91" s="1" t="e">
        <f t="shared" si="45"/>
        <v>#N/A</v>
      </c>
      <c r="BP91" s="1"/>
      <c r="BR91" t="e">
        <f t="shared" si="20"/>
        <v>#N/A</v>
      </c>
      <c r="BS91" s="1"/>
      <c r="BU91" s="1"/>
      <c r="BW91" s="1"/>
      <c r="BY91" s="1" t="e">
        <f t="shared" si="21"/>
        <v>#N/A</v>
      </c>
      <c r="BZ91" s="1" t="e">
        <f t="shared" si="22"/>
        <v>#N/A</v>
      </c>
      <c r="CA91" s="1" t="e">
        <f t="shared" si="23"/>
        <v>#N/A</v>
      </c>
    </row>
    <row r="92" spans="3:79">
      <c r="C92" s="5"/>
      <c r="D92" s="6"/>
      <c r="E92" s="5"/>
      <c r="F92" s="6"/>
      <c r="G92" s="6"/>
      <c r="H92" s="5"/>
      <c r="I92" s="6"/>
      <c r="J92" s="6"/>
      <c r="K92" s="5"/>
      <c r="L92" s="6"/>
      <c r="M92" s="6"/>
      <c r="AI92" s="1">
        <v>43476</v>
      </c>
      <c r="AJ92" t="s">
        <v>9605</v>
      </c>
      <c r="AK92">
        <f t="shared" ref="AK92" si="57">IF(AJ92="",NA(),VLOOKUP(AJ92,$AB$28:$AC$49,2,0))</f>
        <v>280</v>
      </c>
      <c r="AL92" s="1">
        <v>43189</v>
      </c>
      <c r="AM92" t="s">
        <v>9605</v>
      </c>
      <c r="AN92" t="s">
        <v>3</v>
      </c>
      <c r="AO92" s="1">
        <v>43193</v>
      </c>
      <c r="AP92" t="s">
        <v>9605</v>
      </c>
      <c r="AQ92" t="s">
        <v>3</v>
      </c>
      <c r="AR92" s="1">
        <v>43220</v>
      </c>
      <c r="AS92" t="s">
        <v>9605</v>
      </c>
      <c r="AT92" t="s">
        <v>3</v>
      </c>
      <c r="AU92" s="1">
        <f t="shared" ref="AU92:AU155" si="58">IF(AI92="",NA(),AI92)</f>
        <v>43476</v>
      </c>
      <c r="AV92" s="1" t="str">
        <f t="shared" ref="AV92:AV155" si="59">IF(AJ92="",NA(),AJ92)</f>
        <v>AAA</v>
      </c>
      <c r="AW92" s="52">
        <f t="shared" ref="AW92:AW155" si="60">IF(AK92="",NA(),AK92)</f>
        <v>280</v>
      </c>
      <c r="AZ92" s="1"/>
      <c r="BB92" t="e">
        <f t="shared" si="16"/>
        <v>#N/A</v>
      </c>
      <c r="BC92" s="1"/>
      <c r="BF92" s="1"/>
      <c r="BI92" s="1"/>
      <c r="BL92" s="1" t="e">
        <f t="shared" si="43"/>
        <v>#N/A</v>
      </c>
      <c r="BM92" s="1" t="e">
        <f t="shared" si="44"/>
        <v>#N/A</v>
      </c>
      <c r="BN92" s="1" t="e">
        <f t="shared" si="45"/>
        <v>#N/A</v>
      </c>
      <c r="BP92" s="1"/>
      <c r="BR92" t="e">
        <f t="shared" si="20"/>
        <v>#N/A</v>
      </c>
      <c r="BS92" s="1"/>
      <c r="BU92" s="1"/>
      <c r="BW92" s="1"/>
      <c r="BY92" s="1" t="e">
        <f t="shared" si="21"/>
        <v>#N/A</v>
      </c>
      <c r="BZ92" s="1" t="e">
        <f t="shared" si="22"/>
        <v>#N/A</v>
      </c>
      <c r="CA92" s="1" t="e">
        <f t="shared" si="23"/>
        <v>#N/A</v>
      </c>
    </row>
    <row r="93" spans="3:79">
      <c r="C93" s="5"/>
      <c r="D93" s="6"/>
      <c r="E93" s="5"/>
      <c r="F93" s="6"/>
      <c r="G93" s="6"/>
      <c r="H93" s="5"/>
      <c r="I93" s="6"/>
      <c r="J93" s="6"/>
      <c r="K93" s="5"/>
      <c r="L93" s="6"/>
      <c r="M93" s="6"/>
      <c r="AI93" s="1">
        <v>43472</v>
      </c>
      <c r="AJ93" t="s">
        <v>9605</v>
      </c>
      <c r="AK93">
        <f t="shared" ref="AK93" si="61">IF(AJ93="",NA(),VLOOKUP(AJ93,$AB$28:$AC$49,2,0))</f>
        <v>280</v>
      </c>
      <c r="AL93" s="1">
        <v>43161</v>
      </c>
      <c r="AM93" t="s">
        <v>9605</v>
      </c>
      <c r="AN93" t="s">
        <v>3</v>
      </c>
      <c r="AO93" s="1">
        <v>43159</v>
      </c>
      <c r="AP93" t="s">
        <v>9605</v>
      </c>
      <c r="AQ93" t="s">
        <v>3</v>
      </c>
      <c r="AR93" s="1">
        <v>43195</v>
      </c>
      <c r="AS93" t="s">
        <v>9605</v>
      </c>
      <c r="AT93" t="s">
        <v>3</v>
      </c>
      <c r="AU93" s="1">
        <f t="shared" si="58"/>
        <v>43472</v>
      </c>
      <c r="AV93" s="1" t="str">
        <f t="shared" si="59"/>
        <v>AAA</v>
      </c>
      <c r="AW93" s="52">
        <f t="shared" si="60"/>
        <v>280</v>
      </c>
      <c r="AZ93" s="1"/>
      <c r="BB93" t="e">
        <f t="shared" ref="BB93:BB156" si="62">IF(BA93="",NA(),VLOOKUP(BA93,$AD$28:$AE$49,2,0))</f>
        <v>#N/A</v>
      </c>
      <c r="BC93" s="1"/>
      <c r="BF93" s="1"/>
      <c r="BI93" s="1"/>
      <c r="BL93" s="1" t="e">
        <f t="shared" si="43"/>
        <v>#N/A</v>
      </c>
      <c r="BM93" s="1" t="e">
        <f t="shared" si="44"/>
        <v>#N/A</v>
      </c>
      <c r="BN93" s="1" t="e">
        <f t="shared" si="45"/>
        <v>#N/A</v>
      </c>
      <c r="BP93" s="1"/>
      <c r="BR93" t="e">
        <f t="shared" ref="BR93:BR156" si="63">IF(BQ93="",NA(),VLOOKUP(BQ93,$AF$28:$AG$39,2,0))</f>
        <v>#N/A</v>
      </c>
      <c r="BS93" s="1"/>
      <c r="BU93" s="1"/>
      <c r="BW93" s="1"/>
      <c r="BY93" s="1" t="e">
        <f t="shared" ref="BY93:BY156" si="64">IF(BP93="",NA(),BP93)</f>
        <v>#N/A</v>
      </c>
      <c r="BZ93" s="1" t="e">
        <f t="shared" ref="BZ93:BZ156" si="65">IF(BQ93="",NA(),BQ93)</f>
        <v>#N/A</v>
      </c>
      <c r="CA93" s="1" t="e">
        <f t="shared" ref="CA93:CA156" si="66">IF(BR93="",NA(),BR93)</f>
        <v>#N/A</v>
      </c>
    </row>
    <row r="94" spans="3:79">
      <c r="C94" s="5"/>
      <c r="D94" s="6"/>
      <c r="E94" s="5"/>
      <c r="F94" s="6"/>
      <c r="G94" s="6"/>
      <c r="H94" s="5"/>
      <c r="I94" s="6"/>
      <c r="J94" s="6"/>
      <c r="K94" s="5"/>
      <c r="L94" s="6"/>
      <c r="M94" s="6"/>
      <c r="AI94" s="1">
        <v>43469</v>
      </c>
      <c r="AJ94" t="s">
        <v>9605</v>
      </c>
      <c r="AK94">
        <f t="shared" ref="AK94" si="67">IF(AJ94="",NA(),VLOOKUP(AJ94,$AB$28:$AC$49,2,0))</f>
        <v>280</v>
      </c>
      <c r="AL94" s="1">
        <v>43159</v>
      </c>
      <c r="AM94" t="s">
        <v>9605</v>
      </c>
      <c r="AN94" t="s">
        <v>3</v>
      </c>
      <c r="AO94" s="1">
        <v>43131</v>
      </c>
      <c r="AP94" t="s">
        <v>9605</v>
      </c>
      <c r="AQ94" t="s">
        <v>3</v>
      </c>
      <c r="AR94" s="1">
        <v>43192</v>
      </c>
      <c r="AS94" t="s">
        <v>9605</v>
      </c>
      <c r="AT94" t="s">
        <v>3</v>
      </c>
      <c r="AU94" s="1">
        <f t="shared" si="58"/>
        <v>43469</v>
      </c>
      <c r="AV94" s="1" t="str">
        <f t="shared" si="59"/>
        <v>AAA</v>
      </c>
      <c r="AW94" s="52">
        <f t="shared" si="60"/>
        <v>280</v>
      </c>
      <c r="AZ94" s="1"/>
      <c r="BB94" t="e">
        <f t="shared" si="62"/>
        <v>#N/A</v>
      </c>
      <c r="BC94" s="1"/>
      <c r="BF94" s="1"/>
      <c r="BI94" s="1"/>
      <c r="BL94" s="1" t="e">
        <f t="shared" si="43"/>
        <v>#N/A</v>
      </c>
      <c r="BM94" s="1" t="e">
        <f t="shared" si="44"/>
        <v>#N/A</v>
      </c>
      <c r="BN94" s="1" t="e">
        <f t="shared" si="45"/>
        <v>#N/A</v>
      </c>
      <c r="BP94" s="1"/>
      <c r="BR94" t="e">
        <f t="shared" si="63"/>
        <v>#N/A</v>
      </c>
      <c r="BS94" s="1"/>
      <c r="BU94" s="1"/>
      <c r="BW94" s="1"/>
      <c r="BY94" s="1" t="e">
        <f t="shared" si="64"/>
        <v>#N/A</v>
      </c>
      <c r="BZ94" s="1" t="e">
        <f t="shared" si="65"/>
        <v>#N/A</v>
      </c>
      <c r="CA94" s="1" t="e">
        <f t="shared" si="66"/>
        <v>#N/A</v>
      </c>
    </row>
    <row r="95" spans="3:79">
      <c r="C95" s="5"/>
      <c r="D95" s="6"/>
      <c r="E95" s="5"/>
      <c r="F95" s="6"/>
      <c r="G95" s="6"/>
      <c r="H95" s="5"/>
      <c r="I95" s="6"/>
      <c r="J95" s="6"/>
      <c r="K95" s="5"/>
      <c r="L95" s="6"/>
      <c r="M95" s="6"/>
      <c r="AI95" s="1">
        <v>43434</v>
      </c>
      <c r="AJ95" t="s">
        <v>9605</v>
      </c>
      <c r="AK95">
        <f t="shared" ref="AK95" si="68">IF(AJ95="",NA(),VLOOKUP(AJ95,$AB$28:$AC$49,2,0))</f>
        <v>280</v>
      </c>
      <c r="AL95" s="1">
        <v>43131</v>
      </c>
      <c r="AM95" t="s">
        <v>9605</v>
      </c>
      <c r="AN95" t="s">
        <v>3</v>
      </c>
      <c r="AO95" s="1">
        <v>43098</v>
      </c>
      <c r="AP95" t="s">
        <v>9605</v>
      </c>
      <c r="AQ95" t="s">
        <v>3</v>
      </c>
      <c r="AR95" s="1">
        <v>43159</v>
      </c>
      <c r="AS95" t="s">
        <v>9605</v>
      </c>
      <c r="AT95" t="s">
        <v>3</v>
      </c>
      <c r="AU95" s="1">
        <f t="shared" si="58"/>
        <v>43434</v>
      </c>
      <c r="AV95" s="1" t="str">
        <f t="shared" si="59"/>
        <v>AAA</v>
      </c>
      <c r="AW95" s="52">
        <f t="shared" si="60"/>
        <v>280</v>
      </c>
      <c r="AZ95" s="1"/>
      <c r="BB95" t="e">
        <f t="shared" si="62"/>
        <v>#N/A</v>
      </c>
      <c r="BC95" s="1"/>
      <c r="BF95" s="1"/>
      <c r="BI95" s="1"/>
      <c r="BL95" s="1" t="e">
        <f t="shared" si="43"/>
        <v>#N/A</v>
      </c>
      <c r="BM95" s="1" t="e">
        <f t="shared" si="44"/>
        <v>#N/A</v>
      </c>
      <c r="BN95" s="1" t="e">
        <f t="shared" si="45"/>
        <v>#N/A</v>
      </c>
      <c r="BP95" s="1"/>
      <c r="BR95" t="e">
        <f t="shared" si="63"/>
        <v>#N/A</v>
      </c>
      <c r="BS95" s="1"/>
      <c r="BU95" s="1"/>
      <c r="BW95" s="1"/>
      <c r="BY95" s="1" t="e">
        <f t="shared" si="64"/>
        <v>#N/A</v>
      </c>
      <c r="BZ95" s="1" t="e">
        <f t="shared" si="65"/>
        <v>#N/A</v>
      </c>
      <c r="CA95" s="1" t="e">
        <f t="shared" si="66"/>
        <v>#N/A</v>
      </c>
    </row>
    <row r="96" spans="3:79">
      <c r="C96" s="5"/>
      <c r="D96" s="6"/>
      <c r="E96" s="5"/>
      <c r="F96" s="6"/>
      <c r="G96" s="6"/>
      <c r="H96" s="5"/>
      <c r="I96" s="6"/>
      <c r="J96" s="6"/>
      <c r="K96" s="5"/>
      <c r="L96" s="6"/>
      <c r="M96" s="6"/>
      <c r="AI96" s="1">
        <v>43404</v>
      </c>
      <c r="AJ96" t="s">
        <v>9605</v>
      </c>
      <c r="AK96">
        <f t="shared" ref="AK96" si="69">IF(AJ96="",NA(),VLOOKUP(AJ96,$AB$28:$AC$49,2,0))</f>
        <v>280</v>
      </c>
      <c r="AL96" s="1">
        <v>43097</v>
      </c>
      <c r="AM96" t="s">
        <v>9605</v>
      </c>
      <c r="AN96" t="s">
        <v>3</v>
      </c>
      <c r="AO96" s="1">
        <v>43069</v>
      </c>
      <c r="AP96" t="s">
        <v>9605</v>
      </c>
      <c r="AQ96" t="s">
        <v>3</v>
      </c>
      <c r="AR96" s="1">
        <v>43131</v>
      </c>
      <c r="AS96" t="s">
        <v>9605</v>
      </c>
      <c r="AT96" t="s">
        <v>3</v>
      </c>
      <c r="AU96" s="1">
        <f t="shared" si="58"/>
        <v>43404</v>
      </c>
      <c r="AV96" s="1" t="str">
        <f t="shared" si="59"/>
        <v>AAA</v>
      </c>
      <c r="AW96" s="52">
        <f t="shared" si="60"/>
        <v>280</v>
      </c>
      <c r="AZ96" s="1"/>
      <c r="BB96" t="e">
        <f t="shared" si="62"/>
        <v>#N/A</v>
      </c>
      <c r="BC96" s="1"/>
      <c r="BF96" s="1"/>
      <c r="BI96" s="1"/>
      <c r="BL96" s="1" t="e">
        <f t="shared" si="43"/>
        <v>#N/A</v>
      </c>
      <c r="BM96" s="1" t="e">
        <f t="shared" si="44"/>
        <v>#N/A</v>
      </c>
      <c r="BN96" s="1" t="e">
        <f t="shared" si="45"/>
        <v>#N/A</v>
      </c>
      <c r="BP96" s="1"/>
      <c r="BR96" t="e">
        <f t="shared" si="63"/>
        <v>#N/A</v>
      </c>
      <c r="BS96" s="1"/>
      <c r="BU96" s="1"/>
      <c r="BW96" s="1"/>
      <c r="BY96" s="1" t="e">
        <f t="shared" si="64"/>
        <v>#N/A</v>
      </c>
      <c r="BZ96" s="1" t="e">
        <f t="shared" si="65"/>
        <v>#N/A</v>
      </c>
      <c r="CA96" s="1" t="e">
        <f t="shared" si="66"/>
        <v>#N/A</v>
      </c>
    </row>
    <row r="97" spans="3:79">
      <c r="C97" s="5"/>
      <c r="D97" s="6"/>
      <c r="E97" s="5"/>
      <c r="F97" s="6"/>
      <c r="G97" s="6"/>
      <c r="H97" s="5"/>
      <c r="I97" s="6"/>
      <c r="J97" s="6"/>
      <c r="K97" s="5"/>
      <c r="L97" s="6"/>
      <c r="M97" s="6"/>
      <c r="AI97" s="1">
        <v>43371</v>
      </c>
      <c r="AJ97" t="s">
        <v>9605</v>
      </c>
      <c r="AK97">
        <f t="shared" ref="AK97" si="70">IF(AJ97="",NA(),VLOOKUP(AJ97,$AB$28:$AC$49,2,0))</f>
        <v>280</v>
      </c>
      <c r="AL97" s="1">
        <v>43069</v>
      </c>
      <c r="AM97" t="s">
        <v>9605</v>
      </c>
      <c r="AN97" t="s">
        <v>3</v>
      </c>
      <c r="AO97" s="1">
        <v>43039</v>
      </c>
      <c r="AP97" t="s">
        <v>9605</v>
      </c>
      <c r="AQ97" t="s">
        <v>3</v>
      </c>
      <c r="AR97" s="1">
        <v>43097</v>
      </c>
      <c r="AS97" t="s">
        <v>9605</v>
      </c>
      <c r="AT97" t="s">
        <v>3</v>
      </c>
      <c r="AU97" s="1">
        <f t="shared" si="58"/>
        <v>43371</v>
      </c>
      <c r="AV97" s="1" t="str">
        <f t="shared" si="59"/>
        <v>AAA</v>
      </c>
      <c r="AW97" s="52">
        <f t="shared" si="60"/>
        <v>280</v>
      </c>
      <c r="AZ97" s="1"/>
      <c r="BB97" t="e">
        <f t="shared" si="62"/>
        <v>#N/A</v>
      </c>
      <c r="BC97" s="1"/>
      <c r="BF97" s="1"/>
      <c r="BI97" s="1"/>
      <c r="BL97" s="1" t="e">
        <f t="shared" si="43"/>
        <v>#N/A</v>
      </c>
      <c r="BM97" s="1" t="e">
        <f t="shared" si="44"/>
        <v>#N/A</v>
      </c>
      <c r="BN97" s="1" t="e">
        <f t="shared" si="45"/>
        <v>#N/A</v>
      </c>
      <c r="BP97" s="1"/>
      <c r="BR97" t="e">
        <f t="shared" si="63"/>
        <v>#N/A</v>
      </c>
      <c r="BS97" s="1"/>
      <c r="BU97" s="1"/>
      <c r="BW97" s="1"/>
      <c r="BY97" s="1" t="e">
        <f t="shared" si="64"/>
        <v>#N/A</v>
      </c>
      <c r="BZ97" s="1" t="e">
        <f t="shared" si="65"/>
        <v>#N/A</v>
      </c>
      <c r="CA97" s="1" t="e">
        <f t="shared" si="66"/>
        <v>#N/A</v>
      </c>
    </row>
    <row r="98" spans="3:79">
      <c r="C98" s="5"/>
      <c r="D98" s="6"/>
      <c r="E98" s="5"/>
      <c r="F98" s="6"/>
      <c r="G98" s="6"/>
      <c r="H98" s="5"/>
      <c r="I98" s="6"/>
      <c r="J98" s="6"/>
      <c r="K98" s="5"/>
      <c r="L98" s="6"/>
      <c r="M98" s="6"/>
      <c r="AI98" s="1">
        <v>43363</v>
      </c>
      <c r="AJ98" t="s">
        <v>9605</v>
      </c>
      <c r="AK98">
        <f t="shared" ref="AK98" si="71">IF(AJ98="",NA(),VLOOKUP(AJ98,$AB$28:$AC$49,2,0))</f>
        <v>280</v>
      </c>
      <c r="AL98" s="1">
        <v>43056</v>
      </c>
      <c r="AM98" t="s">
        <v>9605</v>
      </c>
      <c r="AN98" t="s">
        <v>3</v>
      </c>
      <c r="AO98" s="1">
        <v>43007</v>
      </c>
      <c r="AP98" t="s">
        <v>9605</v>
      </c>
      <c r="AQ98" t="s">
        <v>3</v>
      </c>
      <c r="AR98" s="1">
        <v>43069</v>
      </c>
      <c r="AS98" t="s">
        <v>9605</v>
      </c>
      <c r="AT98" t="s">
        <v>3</v>
      </c>
      <c r="AU98" s="1">
        <f t="shared" si="58"/>
        <v>43363</v>
      </c>
      <c r="AV98" s="1" t="str">
        <f t="shared" si="59"/>
        <v>AAA</v>
      </c>
      <c r="AW98" s="52">
        <f t="shared" si="60"/>
        <v>280</v>
      </c>
      <c r="AZ98" s="1"/>
      <c r="BB98" t="e">
        <f t="shared" si="62"/>
        <v>#N/A</v>
      </c>
      <c r="BC98" s="1"/>
      <c r="BF98" s="1"/>
      <c r="BI98" s="1"/>
      <c r="BL98" s="1" t="e">
        <f t="shared" si="43"/>
        <v>#N/A</v>
      </c>
      <c r="BM98" s="1" t="e">
        <f t="shared" si="44"/>
        <v>#N/A</v>
      </c>
      <c r="BN98" s="1" t="e">
        <f t="shared" si="45"/>
        <v>#N/A</v>
      </c>
      <c r="BP98" s="1"/>
      <c r="BR98" t="e">
        <f t="shared" si="63"/>
        <v>#N/A</v>
      </c>
      <c r="BS98" s="1"/>
      <c r="BU98" s="1"/>
      <c r="BW98" s="1"/>
      <c r="BY98" s="1" t="e">
        <f t="shared" si="64"/>
        <v>#N/A</v>
      </c>
      <c r="BZ98" s="1" t="e">
        <f t="shared" si="65"/>
        <v>#N/A</v>
      </c>
      <c r="CA98" s="1" t="e">
        <f t="shared" si="66"/>
        <v>#N/A</v>
      </c>
    </row>
    <row r="99" spans="3:79">
      <c r="C99" s="5"/>
      <c r="D99" s="6"/>
      <c r="E99" s="5"/>
      <c r="F99" s="6"/>
      <c r="G99" s="6"/>
      <c r="H99" s="5"/>
      <c r="I99" s="6"/>
      <c r="J99" s="6"/>
      <c r="K99" s="5"/>
      <c r="L99" s="6"/>
      <c r="M99" s="6"/>
      <c r="AI99" s="1">
        <v>43360</v>
      </c>
      <c r="AJ99" t="s">
        <v>9605</v>
      </c>
      <c r="AK99">
        <f t="shared" ref="AK99" si="72">IF(AJ99="",NA(),VLOOKUP(AJ99,$AB$28:$AC$49,2,0))</f>
        <v>280</v>
      </c>
      <c r="AL99" s="1">
        <v>43039</v>
      </c>
      <c r="AM99" t="s">
        <v>9605</v>
      </c>
      <c r="AN99" t="s">
        <v>3</v>
      </c>
      <c r="AO99" s="1">
        <v>42978</v>
      </c>
      <c r="AP99" t="s">
        <v>9605</v>
      </c>
      <c r="AQ99" t="s">
        <v>3</v>
      </c>
      <c r="AR99" s="1">
        <v>43056</v>
      </c>
      <c r="AS99" t="s">
        <v>9605</v>
      </c>
      <c r="AT99" t="s">
        <v>3</v>
      </c>
      <c r="AU99" s="1">
        <f t="shared" si="58"/>
        <v>43360</v>
      </c>
      <c r="AV99" s="1" t="str">
        <f t="shared" si="59"/>
        <v>AAA</v>
      </c>
      <c r="AW99" s="52">
        <f t="shared" si="60"/>
        <v>280</v>
      </c>
      <c r="AZ99" s="1"/>
      <c r="BB99" t="e">
        <f t="shared" si="62"/>
        <v>#N/A</v>
      </c>
      <c r="BC99" s="1"/>
      <c r="BF99" s="1"/>
      <c r="BI99" s="1"/>
      <c r="BL99" s="1" t="e">
        <f t="shared" si="43"/>
        <v>#N/A</v>
      </c>
      <c r="BM99" s="1" t="e">
        <f t="shared" si="44"/>
        <v>#N/A</v>
      </c>
      <c r="BN99" s="1" t="e">
        <f t="shared" si="45"/>
        <v>#N/A</v>
      </c>
      <c r="BP99" s="1"/>
      <c r="BR99" t="e">
        <f t="shared" si="63"/>
        <v>#N/A</v>
      </c>
      <c r="BS99" s="1"/>
      <c r="BU99" s="1"/>
      <c r="BW99" s="1"/>
      <c r="BY99" s="1" t="e">
        <f t="shared" si="64"/>
        <v>#N/A</v>
      </c>
      <c r="BZ99" s="1" t="e">
        <f t="shared" si="65"/>
        <v>#N/A</v>
      </c>
      <c r="CA99" s="1" t="e">
        <f t="shared" si="66"/>
        <v>#N/A</v>
      </c>
    </row>
    <row r="100" spans="3:79">
      <c r="C100" s="5"/>
      <c r="D100" s="6"/>
      <c r="E100" s="5"/>
      <c r="F100" s="6"/>
      <c r="G100" s="6"/>
      <c r="H100" s="5"/>
      <c r="I100" s="6"/>
      <c r="J100" s="6"/>
      <c r="K100" s="5"/>
      <c r="L100" s="6"/>
      <c r="M100" s="6"/>
      <c r="AI100" s="1">
        <v>43356</v>
      </c>
      <c r="AJ100" t="s">
        <v>9605</v>
      </c>
      <c r="AK100">
        <f t="shared" ref="AK100" si="73">IF(AJ100="",NA(),VLOOKUP(AJ100,$AB$28:$AC$49,2,0))</f>
        <v>280</v>
      </c>
      <c r="AL100" s="1">
        <v>43007</v>
      </c>
      <c r="AM100" t="s">
        <v>9605</v>
      </c>
      <c r="AN100" t="s">
        <v>3</v>
      </c>
      <c r="AO100" s="1">
        <v>42947</v>
      </c>
      <c r="AP100" t="s">
        <v>9605</v>
      </c>
      <c r="AQ100" t="s">
        <v>3</v>
      </c>
      <c r="AR100" s="1">
        <v>43039</v>
      </c>
      <c r="AS100" t="s">
        <v>9605</v>
      </c>
      <c r="AT100" t="s">
        <v>3</v>
      </c>
      <c r="AU100" s="1">
        <f t="shared" si="58"/>
        <v>43356</v>
      </c>
      <c r="AV100" s="1" t="str">
        <f t="shared" si="59"/>
        <v>AAA</v>
      </c>
      <c r="AW100" s="52">
        <f t="shared" si="60"/>
        <v>280</v>
      </c>
      <c r="AZ100" s="1"/>
      <c r="BB100" t="e">
        <f t="shared" si="62"/>
        <v>#N/A</v>
      </c>
      <c r="BC100" s="1"/>
      <c r="BF100" s="1"/>
      <c r="BI100" s="1"/>
      <c r="BL100" s="1" t="e">
        <f t="shared" si="43"/>
        <v>#N/A</v>
      </c>
      <c r="BM100" s="1" t="e">
        <f t="shared" si="44"/>
        <v>#N/A</v>
      </c>
      <c r="BN100" s="1" t="e">
        <f t="shared" si="45"/>
        <v>#N/A</v>
      </c>
      <c r="BP100" s="1"/>
      <c r="BR100" t="e">
        <f t="shared" si="63"/>
        <v>#N/A</v>
      </c>
      <c r="BS100" s="1"/>
      <c r="BU100" s="1"/>
      <c r="BW100" s="1"/>
      <c r="BY100" s="1" t="e">
        <f t="shared" si="64"/>
        <v>#N/A</v>
      </c>
      <c r="BZ100" s="1" t="e">
        <f t="shared" si="65"/>
        <v>#N/A</v>
      </c>
      <c r="CA100" s="1" t="e">
        <f t="shared" si="66"/>
        <v>#N/A</v>
      </c>
    </row>
    <row r="101" spans="3:79">
      <c r="C101" s="5"/>
      <c r="D101" s="6"/>
      <c r="E101" s="5"/>
      <c r="F101" s="6"/>
      <c r="G101" s="6"/>
      <c r="H101" s="5"/>
      <c r="I101" s="6"/>
      <c r="J101" s="6"/>
      <c r="K101" s="5"/>
      <c r="L101" s="6"/>
      <c r="M101" s="6"/>
      <c r="AI101" s="1">
        <v>43343</v>
      </c>
      <c r="AJ101" t="s">
        <v>9605</v>
      </c>
      <c r="AK101">
        <f t="shared" ref="AK101" si="74">IF(AJ101="",NA(),VLOOKUP(AJ101,$AB$28:$AC$49,2,0))</f>
        <v>280</v>
      </c>
      <c r="AL101" s="1">
        <v>42978</v>
      </c>
      <c r="AM101" t="s">
        <v>9605</v>
      </c>
      <c r="AN101" t="s">
        <v>3</v>
      </c>
      <c r="AO101" s="1">
        <v>42916</v>
      </c>
      <c r="AP101" t="s">
        <v>9605</v>
      </c>
      <c r="AQ101" t="s">
        <v>3</v>
      </c>
      <c r="AR101" s="1">
        <v>43007</v>
      </c>
      <c r="AS101" t="s">
        <v>9605</v>
      </c>
      <c r="AT101" t="s">
        <v>3</v>
      </c>
      <c r="AU101" s="1">
        <f t="shared" si="58"/>
        <v>43343</v>
      </c>
      <c r="AV101" s="1" t="str">
        <f t="shared" si="59"/>
        <v>AAA</v>
      </c>
      <c r="AW101" s="52">
        <f t="shared" si="60"/>
        <v>280</v>
      </c>
      <c r="AZ101" s="1"/>
      <c r="BB101" t="e">
        <f t="shared" si="62"/>
        <v>#N/A</v>
      </c>
      <c r="BC101" s="1"/>
      <c r="BF101" s="1"/>
      <c r="BI101" s="1"/>
      <c r="BL101" s="1" t="e">
        <f t="shared" si="43"/>
        <v>#N/A</v>
      </c>
      <c r="BM101" s="1" t="e">
        <f t="shared" si="44"/>
        <v>#N/A</v>
      </c>
      <c r="BN101" s="1" t="e">
        <f t="shared" si="45"/>
        <v>#N/A</v>
      </c>
      <c r="BP101" s="1"/>
      <c r="BR101" t="e">
        <f t="shared" si="63"/>
        <v>#N/A</v>
      </c>
      <c r="BS101" s="1"/>
      <c r="BU101" s="1"/>
      <c r="BW101" s="1"/>
      <c r="BY101" s="1" t="e">
        <f t="shared" si="64"/>
        <v>#N/A</v>
      </c>
      <c r="BZ101" s="1" t="e">
        <f t="shared" si="65"/>
        <v>#N/A</v>
      </c>
      <c r="CA101" s="1" t="e">
        <f t="shared" si="66"/>
        <v>#N/A</v>
      </c>
    </row>
    <row r="102" spans="3:79">
      <c r="C102" s="5"/>
      <c r="D102" s="6"/>
      <c r="E102" s="5"/>
      <c r="F102" s="6"/>
      <c r="G102" s="6"/>
      <c r="H102" s="5"/>
      <c r="I102" s="6"/>
      <c r="J102" s="6"/>
      <c r="K102" s="5"/>
      <c r="L102" s="6"/>
      <c r="M102" s="6"/>
      <c r="AI102" s="1">
        <v>43312</v>
      </c>
      <c r="AJ102" t="s">
        <v>9605</v>
      </c>
      <c r="AK102">
        <f t="shared" ref="AK102" si="75">IF(AJ102="",NA(),VLOOKUP(AJ102,$AB$28:$AC$49,2,0))</f>
        <v>280</v>
      </c>
      <c r="AL102" s="1">
        <v>42947</v>
      </c>
      <c r="AM102" t="s">
        <v>9605</v>
      </c>
      <c r="AN102" t="s">
        <v>3</v>
      </c>
      <c r="AO102" s="1">
        <v>42902</v>
      </c>
      <c r="AP102" t="s">
        <v>9605</v>
      </c>
      <c r="AQ102" t="s">
        <v>3</v>
      </c>
      <c r="AR102" s="1">
        <v>42978</v>
      </c>
      <c r="AS102" t="s">
        <v>9605</v>
      </c>
      <c r="AT102" t="s">
        <v>3</v>
      </c>
      <c r="AU102" s="1">
        <f t="shared" si="58"/>
        <v>43312</v>
      </c>
      <c r="AV102" s="1" t="str">
        <f t="shared" si="59"/>
        <v>AAA</v>
      </c>
      <c r="AW102" s="52">
        <f t="shared" si="60"/>
        <v>280</v>
      </c>
      <c r="AZ102" s="1"/>
      <c r="BB102" t="e">
        <f t="shared" si="62"/>
        <v>#N/A</v>
      </c>
      <c r="BC102" s="1"/>
      <c r="BF102" s="1"/>
      <c r="BI102" s="1"/>
      <c r="BL102" s="1" t="e">
        <f t="shared" si="43"/>
        <v>#N/A</v>
      </c>
      <c r="BM102" s="1" t="e">
        <f t="shared" si="44"/>
        <v>#N/A</v>
      </c>
      <c r="BN102" s="1" t="e">
        <f t="shared" si="45"/>
        <v>#N/A</v>
      </c>
      <c r="BP102" s="1"/>
      <c r="BR102" t="e">
        <f t="shared" si="63"/>
        <v>#N/A</v>
      </c>
      <c r="BS102" s="1"/>
      <c r="BU102" s="1"/>
      <c r="BW102" s="1"/>
      <c r="BY102" s="1" t="e">
        <f t="shared" si="64"/>
        <v>#N/A</v>
      </c>
      <c r="BZ102" s="1" t="e">
        <f t="shared" si="65"/>
        <v>#N/A</v>
      </c>
      <c r="CA102" s="1" t="e">
        <f t="shared" si="66"/>
        <v>#N/A</v>
      </c>
    </row>
    <row r="103" spans="3:79">
      <c r="C103" s="5"/>
      <c r="D103" s="6"/>
      <c r="E103" s="5"/>
      <c r="F103" s="6"/>
      <c r="G103" s="6"/>
      <c r="H103" s="5"/>
      <c r="I103" s="6"/>
      <c r="J103" s="6"/>
      <c r="K103" s="5"/>
      <c r="L103" s="6"/>
      <c r="M103" s="6"/>
      <c r="AI103" s="1">
        <v>43307</v>
      </c>
      <c r="AJ103" t="s">
        <v>9605</v>
      </c>
      <c r="AK103">
        <f t="shared" ref="AK103" si="76">IF(AJ103="",NA(),VLOOKUP(AJ103,$AB$28:$AC$49,2,0))</f>
        <v>280</v>
      </c>
      <c r="AL103" s="1">
        <v>42916</v>
      </c>
      <c r="AM103" t="s">
        <v>9605</v>
      </c>
      <c r="AN103" t="s">
        <v>3</v>
      </c>
      <c r="AO103" s="1">
        <v>42886</v>
      </c>
      <c r="AP103" t="s">
        <v>9605</v>
      </c>
      <c r="AQ103" t="s">
        <v>3</v>
      </c>
      <c r="AR103" s="1">
        <v>42947</v>
      </c>
      <c r="AS103" t="s">
        <v>9605</v>
      </c>
      <c r="AT103" t="s">
        <v>3</v>
      </c>
      <c r="AU103" s="1">
        <f t="shared" si="58"/>
        <v>43307</v>
      </c>
      <c r="AV103" s="1" t="str">
        <f t="shared" si="59"/>
        <v>AAA</v>
      </c>
      <c r="AW103" s="52">
        <f t="shared" si="60"/>
        <v>280</v>
      </c>
      <c r="AZ103" s="1"/>
      <c r="BB103" t="e">
        <f t="shared" si="62"/>
        <v>#N/A</v>
      </c>
      <c r="BC103" s="1"/>
      <c r="BF103" s="1"/>
      <c r="BI103" s="1"/>
      <c r="BL103" s="1" t="e">
        <f t="shared" si="43"/>
        <v>#N/A</v>
      </c>
      <c r="BM103" s="1" t="e">
        <f t="shared" si="44"/>
        <v>#N/A</v>
      </c>
      <c r="BN103" s="1" t="e">
        <f t="shared" si="45"/>
        <v>#N/A</v>
      </c>
      <c r="BP103" s="1"/>
      <c r="BR103" t="e">
        <f t="shared" si="63"/>
        <v>#N/A</v>
      </c>
      <c r="BS103" s="1"/>
      <c r="BU103" s="1"/>
      <c r="BW103" s="1"/>
      <c r="BY103" s="1" t="e">
        <f t="shared" si="64"/>
        <v>#N/A</v>
      </c>
      <c r="BZ103" s="1" t="e">
        <f t="shared" si="65"/>
        <v>#N/A</v>
      </c>
      <c r="CA103" s="1" t="e">
        <f t="shared" si="66"/>
        <v>#N/A</v>
      </c>
    </row>
    <row r="104" spans="3:79">
      <c r="C104" s="5"/>
      <c r="D104" s="6"/>
      <c r="E104" s="5"/>
      <c r="F104" s="6"/>
      <c r="G104" s="6"/>
      <c r="H104" s="5"/>
      <c r="I104" s="6"/>
      <c r="J104" s="6"/>
      <c r="K104" s="5"/>
      <c r="L104" s="6"/>
      <c r="M104" s="6"/>
      <c r="AI104" s="1">
        <v>43280</v>
      </c>
      <c r="AJ104" t="s">
        <v>9605</v>
      </c>
      <c r="AK104">
        <f t="shared" ref="AK104" si="77">IF(AJ104="",NA(),VLOOKUP(AJ104,$AB$28:$AC$49,2,0))</f>
        <v>280</v>
      </c>
      <c r="AL104" s="1">
        <v>42853</v>
      </c>
      <c r="AM104" t="s">
        <v>9605</v>
      </c>
      <c r="AN104" t="s">
        <v>3</v>
      </c>
      <c r="AO104" s="1">
        <v>42853</v>
      </c>
      <c r="AP104" t="s">
        <v>9605</v>
      </c>
      <c r="AQ104" t="s">
        <v>3</v>
      </c>
      <c r="AR104" s="1">
        <v>42916</v>
      </c>
      <c r="AS104" t="s">
        <v>9605</v>
      </c>
      <c r="AT104" t="s">
        <v>3</v>
      </c>
      <c r="AU104" s="1">
        <f t="shared" si="58"/>
        <v>43280</v>
      </c>
      <c r="AV104" s="1" t="str">
        <f t="shared" si="59"/>
        <v>AAA</v>
      </c>
      <c r="AW104" s="52">
        <f t="shared" si="60"/>
        <v>280</v>
      </c>
      <c r="AZ104" s="1"/>
      <c r="BB104" t="e">
        <f t="shared" si="62"/>
        <v>#N/A</v>
      </c>
      <c r="BC104" s="1"/>
      <c r="BF104" s="1"/>
      <c r="BI104" s="1"/>
      <c r="BL104" s="1" t="e">
        <f t="shared" si="43"/>
        <v>#N/A</v>
      </c>
      <c r="BM104" s="1" t="e">
        <f t="shared" si="44"/>
        <v>#N/A</v>
      </c>
      <c r="BN104" s="1" t="e">
        <f t="shared" si="45"/>
        <v>#N/A</v>
      </c>
      <c r="BP104" s="1"/>
      <c r="BR104" t="e">
        <f t="shared" si="63"/>
        <v>#N/A</v>
      </c>
      <c r="BS104" s="1"/>
      <c r="BU104" s="1"/>
      <c r="BW104" s="1"/>
      <c r="BY104" s="1" t="e">
        <f t="shared" si="64"/>
        <v>#N/A</v>
      </c>
      <c r="BZ104" s="1" t="e">
        <f t="shared" si="65"/>
        <v>#N/A</v>
      </c>
      <c r="CA104" s="1" t="e">
        <f t="shared" si="66"/>
        <v>#N/A</v>
      </c>
    </row>
    <row r="105" spans="3:79">
      <c r="C105" s="5"/>
      <c r="D105" s="6"/>
      <c r="E105" s="5"/>
      <c r="F105" s="6"/>
      <c r="G105" s="6"/>
      <c r="H105" s="5"/>
      <c r="I105" s="6"/>
      <c r="J105" s="6"/>
      <c r="K105" s="5"/>
      <c r="L105" s="6"/>
      <c r="M105" s="6"/>
      <c r="AI105" s="1">
        <v>43251</v>
      </c>
      <c r="AJ105" t="s">
        <v>9605</v>
      </c>
      <c r="AK105">
        <f t="shared" ref="AK105" si="78">IF(AJ105="",NA(),VLOOKUP(AJ105,$AB$28:$AC$49,2,0))</f>
        <v>280</v>
      </c>
      <c r="AL105" s="1">
        <v>42825</v>
      </c>
      <c r="AM105" t="s">
        <v>9605</v>
      </c>
      <c r="AN105" t="s">
        <v>3</v>
      </c>
      <c r="AO105" s="1">
        <v>42825</v>
      </c>
      <c r="AP105" t="s">
        <v>9605</v>
      </c>
      <c r="AQ105" t="s">
        <v>3</v>
      </c>
      <c r="AR105" s="1">
        <v>42902</v>
      </c>
      <c r="AS105" t="s">
        <v>9605</v>
      </c>
      <c r="AT105" t="s">
        <v>3</v>
      </c>
      <c r="AU105" s="1">
        <f t="shared" si="58"/>
        <v>43251</v>
      </c>
      <c r="AV105" s="1" t="str">
        <f t="shared" si="59"/>
        <v>AAA</v>
      </c>
      <c r="AW105" s="52">
        <f t="shared" si="60"/>
        <v>280</v>
      </c>
      <c r="AZ105" s="1"/>
      <c r="BB105" t="e">
        <f t="shared" si="62"/>
        <v>#N/A</v>
      </c>
      <c r="BC105" s="1"/>
      <c r="BF105" s="1"/>
      <c r="BI105" s="1"/>
      <c r="BL105" s="1" t="e">
        <f t="shared" si="43"/>
        <v>#N/A</v>
      </c>
      <c r="BM105" s="1" t="e">
        <f t="shared" si="44"/>
        <v>#N/A</v>
      </c>
      <c r="BN105" s="1" t="e">
        <f t="shared" si="45"/>
        <v>#N/A</v>
      </c>
      <c r="BP105" s="1"/>
      <c r="BR105" t="e">
        <f t="shared" si="63"/>
        <v>#N/A</v>
      </c>
      <c r="BS105" s="1"/>
      <c r="BU105" s="1"/>
      <c r="BW105" s="1"/>
      <c r="BY105" s="1" t="e">
        <f t="shared" si="64"/>
        <v>#N/A</v>
      </c>
      <c r="BZ105" s="1" t="e">
        <f t="shared" si="65"/>
        <v>#N/A</v>
      </c>
      <c r="CA105" s="1" t="e">
        <f t="shared" si="66"/>
        <v>#N/A</v>
      </c>
    </row>
    <row r="106" spans="3:79">
      <c r="C106" s="5"/>
      <c r="D106" s="6"/>
      <c r="E106" s="5"/>
      <c r="F106" s="6"/>
      <c r="G106" s="6"/>
      <c r="H106" s="5"/>
      <c r="I106" s="6"/>
      <c r="J106" s="6"/>
      <c r="K106" s="5"/>
      <c r="L106" s="6"/>
      <c r="M106" s="6"/>
      <c r="AI106" s="1">
        <v>43220</v>
      </c>
      <c r="AJ106" t="s">
        <v>9605</v>
      </c>
      <c r="AK106">
        <f t="shared" ref="AK106" si="79">IF(AJ106="",NA(),VLOOKUP(AJ106,$AB$28:$AC$49,2,0))</f>
        <v>280</v>
      </c>
      <c r="AL106" s="1">
        <v>42794</v>
      </c>
      <c r="AM106" t="s">
        <v>9605</v>
      </c>
      <c r="AN106" t="s">
        <v>3</v>
      </c>
      <c r="AO106" s="1">
        <v>42794</v>
      </c>
      <c r="AP106" t="s">
        <v>9605</v>
      </c>
      <c r="AQ106" t="s">
        <v>3</v>
      </c>
      <c r="AR106" s="1">
        <v>42886</v>
      </c>
      <c r="AS106" t="s">
        <v>9605</v>
      </c>
      <c r="AT106" t="s">
        <v>3</v>
      </c>
      <c r="AU106" s="1">
        <f t="shared" si="58"/>
        <v>43220</v>
      </c>
      <c r="AV106" s="1" t="str">
        <f t="shared" si="59"/>
        <v>AAA</v>
      </c>
      <c r="AW106" s="52">
        <f t="shared" si="60"/>
        <v>280</v>
      </c>
      <c r="AZ106" s="1"/>
      <c r="BB106" t="e">
        <f t="shared" si="62"/>
        <v>#N/A</v>
      </c>
      <c r="BC106" s="1"/>
      <c r="BF106" s="1"/>
      <c r="BI106" s="1"/>
      <c r="BL106" s="1" t="e">
        <f t="shared" si="43"/>
        <v>#N/A</v>
      </c>
      <c r="BM106" s="1" t="e">
        <f t="shared" si="44"/>
        <v>#N/A</v>
      </c>
      <c r="BN106" s="1" t="e">
        <f t="shared" si="45"/>
        <v>#N/A</v>
      </c>
      <c r="BP106" s="1"/>
      <c r="BR106" t="e">
        <f t="shared" si="63"/>
        <v>#N/A</v>
      </c>
      <c r="BS106" s="1"/>
      <c r="BU106" s="1"/>
      <c r="BW106" s="1"/>
      <c r="BY106" s="1" t="e">
        <f t="shared" si="64"/>
        <v>#N/A</v>
      </c>
      <c r="BZ106" s="1" t="e">
        <f t="shared" si="65"/>
        <v>#N/A</v>
      </c>
      <c r="CA106" s="1" t="e">
        <f t="shared" si="66"/>
        <v>#N/A</v>
      </c>
    </row>
    <row r="107" spans="3:79">
      <c r="C107" s="5"/>
      <c r="D107" s="6"/>
      <c r="E107" s="5"/>
      <c r="F107" s="6"/>
      <c r="G107" s="6"/>
      <c r="H107" s="5"/>
      <c r="I107" s="6"/>
      <c r="J107" s="6"/>
      <c r="K107" s="5"/>
      <c r="L107" s="6"/>
      <c r="M107" s="6"/>
      <c r="AI107" s="1">
        <v>43195</v>
      </c>
      <c r="AJ107" t="s">
        <v>9605</v>
      </c>
      <c r="AK107">
        <f t="shared" ref="AK107" si="80">IF(AJ107="",NA(),VLOOKUP(AJ107,$AB$28:$AC$49,2,0))</f>
        <v>280</v>
      </c>
      <c r="AL107" s="1">
        <v>42766</v>
      </c>
      <c r="AM107" t="s">
        <v>9605</v>
      </c>
      <c r="AN107" t="s">
        <v>3</v>
      </c>
      <c r="AO107" s="1">
        <v>42766</v>
      </c>
      <c r="AP107" t="s">
        <v>9605</v>
      </c>
      <c r="AQ107" t="s">
        <v>3</v>
      </c>
      <c r="AR107" s="1">
        <v>42853</v>
      </c>
      <c r="AS107" t="s">
        <v>9605</v>
      </c>
      <c r="AT107" t="s">
        <v>3</v>
      </c>
      <c r="AU107" s="1">
        <f t="shared" si="58"/>
        <v>43195</v>
      </c>
      <c r="AV107" s="1" t="str">
        <f t="shared" si="59"/>
        <v>AAA</v>
      </c>
      <c r="AW107" s="52">
        <f t="shared" si="60"/>
        <v>280</v>
      </c>
      <c r="AZ107" s="1"/>
      <c r="BB107" t="e">
        <f t="shared" si="62"/>
        <v>#N/A</v>
      </c>
      <c r="BC107" s="1"/>
      <c r="BF107" s="1"/>
      <c r="BI107" s="1"/>
      <c r="BL107" s="1" t="e">
        <f t="shared" si="43"/>
        <v>#N/A</v>
      </c>
      <c r="BM107" s="1" t="e">
        <f t="shared" si="44"/>
        <v>#N/A</v>
      </c>
      <c r="BN107" s="1" t="e">
        <f t="shared" si="45"/>
        <v>#N/A</v>
      </c>
      <c r="BP107" s="1"/>
      <c r="BR107" t="e">
        <f t="shared" si="63"/>
        <v>#N/A</v>
      </c>
      <c r="BS107" s="1"/>
      <c r="BU107" s="1"/>
      <c r="BW107" s="1"/>
      <c r="BY107" s="1" t="e">
        <f t="shared" si="64"/>
        <v>#N/A</v>
      </c>
      <c r="BZ107" s="1" t="e">
        <f t="shared" si="65"/>
        <v>#N/A</v>
      </c>
      <c r="CA107" s="1" t="e">
        <f t="shared" si="66"/>
        <v>#N/A</v>
      </c>
    </row>
    <row r="108" spans="3:79">
      <c r="C108" s="5"/>
      <c r="D108" s="6"/>
      <c r="E108" s="5"/>
      <c r="F108" s="6"/>
      <c r="G108" s="6"/>
      <c r="H108" s="5"/>
      <c r="I108" s="6"/>
      <c r="J108" s="6"/>
      <c r="K108" s="5"/>
      <c r="L108" s="6"/>
      <c r="M108" s="6"/>
      <c r="AI108" s="1">
        <v>43193</v>
      </c>
      <c r="AJ108" t="s">
        <v>9605</v>
      </c>
      <c r="AK108">
        <f t="shared" ref="AK108" si="81">IF(AJ108="",NA(),VLOOKUP(AJ108,$AB$28:$AC$49,2,0))</f>
        <v>280</v>
      </c>
      <c r="AL108" s="1">
        <v>42734</v>
      </c>
      <c r="AM108" t="s">
        <v>9605</v>
      </c>
      <c r="AN108" t="s">
        <v>3</v>
      </c>
      <c r="AO108" s="1">
        <v>42734</v>
      </c>
      <c r="AP108" t="s">
        <v>9605</v>
      </c>
      <c r="AQ108" t="s">
        <v>3</v>
      </c>
      <c r="AR108" s="1">
        <v>42828</v>
      </c>
      <c r="AS108" t="s">
        <v>9605</v>
      </c>
      <c r="AT108" t="s">
        <v>3</v>
      </c>
      <c r="AU108" s="1">
        <f t="shared" si="58"/>
        <v>43193</v>
      </c>
      <c r="AV108" s="1" t="str">
        <f t="shared" si="59"/>
        <v>AAA</v>
      </c>
      <c r="AW108" s="52">
        <f t="shared" si="60"/>
        <v>280</v>
      </c>
      <c r="AZ108" s="1"/>
      <c r="BB108" t="e">
        <f t="shared" si="62"/>
        <v>#N/A</v>
      </c>
      <c r="BC108" s="1"/>
      <c r="BF108" s="1"/>
      <c r="BI108" s="1"/>
      <c r="BL108" s="1" t="e">
        <f t="shared" si="43"/>
        <v>#N/A</v>
      </c>
      <c r="BM108" s="1" t="e">
        <f t="shared" si="44"/>
        <v>#N/A</v>
      </c>
      <c r="BN108" s="1" t="e">
        <f t="shared" si="45"/>
        <v>#N/A</v>
      </c>
      <c r="BP108" s="1"/>
      <c r="BR108" t="e">
        <f t="shared" si="63"/>
        <v>#N/A</v>
      </c>
      <c r="BS108" s="1"/>
      <c r="BU108" s="1"/>
      <c r="BW108" s="1"/>
      <c r="BY108" s="1" t="e">
        <f t="shared" si="64"/>
        <v>#N/A</v>
      </c>
      <c r="BZ108" s="1" t="e">
        <f t="shared" si="65"/>
        <v>#N/A</v>
      </c>
      <c r="CA108" s="1" t="e">
        <f t="shared" si="66"/>
        <v>#N/A</v>
      </c>
    </row>
    <row r="109" spans="3:79">
      <c r="C109" s="5"/>
      <c r="D109" s="6"/>
      <c r="E109" s="5"/>
      <c r="F109" s="6"/>
      <c r="G109" s="6"/>
      <c r="H109" s="5"/>
      <c r="I109" s="6"/>
      <c r="J109" s="6"/>
      <c r="K109" s="5"/>
      <c r="L109" s="6"/>
      <c r="M109" s="6"/>
      <c r="AI109" s="1">
        <v>43192</v>
      </c>
      <c r="AJ109" t="s">
        <v>9605</v>
      </c>
      <c r="AK109">
        <f t="shared" ref="AK109" si="82">IF(AJ109="",NA(),VLOOKUP(AJ109,$AB$28:$AC$49,2,0))</f>
        <v>280</v>
      </c>
      <c r="AL109" s="1">
        <v>42674</v>
      </c>
      <c r="AM109" t="s">
        <v>9605</v>
      </c>
      <c r="AN109" t="s">
        <v>3</v>
      </c>
      <c r="AO109" s="1">
        <v>42704</v>
      </c>
      <c r="AP109" t="s">
        <v>9605</v>
      </c>
      <c r="AQ109" t="s">
        <v>3</v>
      </c>
      <c r="AR109" s="1">
        <v>42803</v>
      </c>
      <c r="AS109" t="s">
        <v>9605</v>
      </c>
      <c r="AT109" t="s">
        <v>3</v>
      </c>
      <c r="AU109" s="1">
        <f t="shared" si="58"/>
        <v>43192</v>
      </c>
      <c r="AV109" s="1" t="str">
        <f t="shared" si="59"/>
        <v>AAA</v>
      </c>
      <c r="AW109" s="52">
        <f t="shared" si="60"/>
        <v>280</v>
      </c>
      <c r="AZ109" s="1"/>
      <c r="BB109" t="e">
        <f t="shared" si="62"/>
        <v>#N/A</v>
      </c>
      <c r="BC109" s="1"/>
      <c r="BF109" s="1"/>
      <c r="BI109" s="1"/>
      <c r="BL109" s="1" t="e">
        <f t="shared" si="43"/>
        <v>#N/A</v>
      </c>
      <c r="BM109" s="1" t="e">
        <f t="shared" si="44"/>
        <v>#N/A</v>
      </c>
      <c r="BN109" s="1" t="e">
        <f t="shared" si="45"/>
        <v>#N/A</v>
      </c>
      <c r="BP109" s="1"/>
      <c r="BR109" t="e">
        <f t="shared" si="63"/>
        <v>#N/A</v>
      </c>
      <c r="BS109" s="1"/>
      <c r="BU109" s="1"/>
      <c r="BW109" s="1"/>
      <c r="BY109" s="1" t="e">
        <f t="shared" si="64"/>
        <v>#N/A</v>
      </c>
      <c r="BZ109" s="1" t="e">
        <f t="shared" si="65"/>
        <v>#N/A</v>
      </c>
      <c r="CA109" s="1" t="e">
        <f t="shared" si="66"/>
        <v>#N/A</v>
      </c>
    </row>
    <row r="110" spans="3:79">
      <c r="C110" s="5"/>
      <c r="D110" s="6"/>
      <c r="E110" s="5"/>
      <c r="F110" s="6"/>
      <c r="G110" s="6"/>
      <c r="H110" s="5"/>
      <c r="I110" s="6"/>
      <c r="J110" s="6"/>
      <c r="K110" s="5"/>
      <c r="L110" s="6"/>
      <c r="M110" s="6"/>
      <c r="AI110" s="1">
        <v>43161</v>
      </c>
      <c r="AJ110" t="s">
        <v>9605</v>
      </c>
      <c r="AK110">
        <f t="shared" ref="AK110" si="83">IF(AJ110="",NA(),VLOOKUP(AJ110,$AB$28:$AC$49,2,0))</f>
        <v>280</v>
      </c>
      <c r="AL110" s="1">
        <v>42643</v>
      </c>
      <c r="AM110" t="s">
        <v>9605</v>
      </c>
      <c r="AN110" t="s">
        <v>3</v>
      </c>
      <c r="AO110" s="1">
        <v>42674</v>
      </c>
      <c r="AP110" t="s">
        <v>9605</v>
      </c>
      <c r="AQ110" t="s">
        <v>3</v>
      </c>
      <c r="AR110" s="1">
        <v>42766</v>
      </c>
      <c r="AS110" t="s">
        <v>9605</v>
      </c>
      <c r="AT110" t="s">
        <v>3</v>
      </c>
      <c r="AU110" s="1">
        <f t="shared" si="58"/>
        <v>43161</v>
      </c>
      <c r="AV110" s="1" t="str">
        <f t="shared" si="59"/>
        <v>AAA</v>
      </c>
      <c r="AW110" s="52">
        <f t="shared" si="60"/>
        <v>280</v>
      </c>
      <c r="AZ110" s="1"/>
      <c r="BB110" t="e">
        <f t="shared" si="62"/>
        <v>#N/A</v>
      </c>
      <c r="BC110" s="1"/>
      <c r="BF110" s="1"/>
      <c r="BI110" s="1"/>
      <c r="BL110" s="1" t="e">
        <f t="shared" si="43"/>
        <v>#N/A</v>
      </c>
      <c r="BM110" s="1" t="e">
        <f t="shared" si="44"/>
        <v>#N/A</v>
      </c>
      <c r="BN110" s="1" t="e">
        <f t="shared" si="45"/>
        <v>#N/A</v>
      </c>
      <c r="BP110" s="1"/>
      <c r="BR110" t="e">
        <f t="shared" si="63"/>
        <v>#N/A</v>
      </c>
      <c r="BS110" s="1"/>
      <c r="BU110" s="1"/>
      <c r="BW110" s="1"/>
      <c r="BY110" s="1" t="e">
        <f t="shared" si="64"/>
        <v>#N/A</v>
      </c>
      <c r="BZ110" s="1" t="e">
        <f t="shared" si="65"/>
        <v>#N/A</v>
      </c>
      <c r="CA110" s="1" t="e">
        <f t="shared" si="66"/>
        <v>#N/A</v>
      </c>
    </row>
    <row r="111" spans="3:79">
      <c r="C111" s="5"/>
      <c r="D111" s="6"/>
      <c r="E111" s="5"/>
      <c r="F111" s="6"/>
      <c r="G111" s="6"/>
      <c r="H111" s="5"/>
      <c r="I111" s="6"/>
      <c r="J111" s="6"/>
      <c r="K111" s="5"/>
      <c r="L111" s="6"/>
      <c r="M111" s="6"/>
      <c r="AI111" s="1">
        <v>43159</v>
      </c>
      <c r="AJ111" t="s">
        <v>9605</v>
      </c>
      <c r="AK111">
        <f t="shared" ref="AK111" si="84">IF(AJ111="",NA(),VLOOKUP(AJ111,$AB$28:$AC$49,2,0))</f>
        <v>280</v>
      </c>
      <c r="AL111" s="1">
        <v>42622</v>
      </c>
      <c r="AM111" t="s">
        <v>9605</v>
      </c>
      <c r="AN111" t="s">
        <v>3</v>
      </c>
      <c r="AO111" s="1">
        <v>42643</v>
      </c>
      <c r="AP111" t="s">
        <v>9605</v>
      </c>
      <c r="AQ111" t="s">
        <v>3</v>
      </c>
      <c r="AR111" s="1">
        <v>42734</v>
      </c>
      <c r="AS111" t="s">
        <v>9605</v>
      </c>
      <c r="AT111" t="s">
        <v>3</v>
      </c>
      <c r="AU111" s="1">
        <f t="shared" si="58"/>
        <v>43159</v>
      </c>
      <c r="AV111" s="1" t="str">
        <f t="shared" si="59"/>
        <v>AAA</v>
      </c>
      <c r="AW111" s="52">
        <f t="shared" si="60"/>
        <v>280</v>
      </c>
      <c r="AZ111" s="1"/>
      <c r="BB111" t="e">
        <f t="shared" si="62"/>
        <v>#N/A</v>
      </c>
      <c r="BC111" s="1"/>
      <c r="BF111" s="1"/>
      <c r="BI111" s="1"/>
      <c r="BL111" s="1" t="e">
        <f t="shared" si="43"/>
        <v>#N/A</v>
      </c>
      <c r="BM111" s="1" t="e">
        <f t="shared" si="44"/>
        <v>#N/A</v>
      </c>
      <c r="BN111" s="1" t="e">
        <f t="shared" si="45"/>
        <v>#N/A</v>
      </c>
      <c r="BP111" s="1"/>
      <c r="BR111" t="e">
        <f t="shared" si="63"/>
        <v>#N/A</v>
      </c>
      <c r="BS111" s="1"/>
      <c r="BU111" s="1"/>
      <c r="BW111" s="1"/>
      <c r="BY111" s="1" t="e">
        <f t="shared" si="64"/>
        <v>#N/A</v>
      </c>
      <c r="BZ111" s="1" t="e">
        <f t="shared" si="65"/>
        <v>#N/A</v>
      </c>
      <c r="CA111" s="1" t="e">
        <f t="shared" si="66"/>
        <v>#N/A</v>
      </c>
    </row>
    <row r="112" spans="3:79">
      <c r="C112" s="5"/>
      <c r="D112" s="6"/>
      <c r="E112" s="5"/>
      <c r="F112" s="6"/>
      <c r="G112" s="6"/>
      <c r="H112" s="5"/>
      <c r="I112" s="6"/>
      <c r="J112" s="6"/>
      <c r="K112" s="5"/>
      <c r="L112" s="6"/>
      <c r="M112" s="6"/>
      <c r="AI112" s="1">
        <v>43131</v>
      </c>
      <c r="AJ112" t="s">
        <v>9605</v>
      </c>
      <c r="AK112">
        <f t="shared" ref="AK112" si="85">IF(AJ112="",NA(),VLOOKUP(AJ112,$AB$28:$AC$49,2,0))</f>
        <v>280</v>
      </c>
      <c r="AL112" s="1">
        <v>42613</v>
      </c>
      <c r="AM112" t="s">
        <v>9605</v>
      </c>
      <c r="AN112" t="s">
        <v>3</v>
      </c>
      <c r="AO112" s="1">
        <v>42613</v>
      </c>
      <c r="AP112" t="s">
        <v>9605</v>
      </c>
      <c r="AQ112" t="s">
        <v>3</v>
      </c>
      <c r="AR112" s="1">
        <v>42704</v>
      </c>
      <c r="AS112" t="s">
        <v>9605</v>
      </c>
      <c r="AT112" t="s">
        <v>3</v>
      </c>
      <c r="AU112" s="1">
        <f t="shared" si="58"/>
        <v>43131</v>
      </c>
      <c r="AV112" s="1" t="str">
        <f t="shared" si="59"/>
        <v>AAA</v>
      </c>
      <c r="AW112" s="52">
        <f t="shared" si="60"/>
        <v>280</v>
      </c>
      <c r="AZ112" s="1"/>
      <c r="BB112" t="e">
        <f t="shared" si="62"/>
        <v>#N/A</v>
      </c>
      <c r="BC112" s="1"/>
      <c r="BF112" s="1"/>
      <c r="BI112" s="1"/>
      <c r="BL112" s="1" t="e">
        <f t="shared" si="43"/>
        <v>#N/A</v>
      </c>
      <c r="BM112" s="1" t="e">
        <f t="shared" si="44"/>
        <v>#N/A</v>
      </c>
      <c r="BN112" s="1" t="e">
        <f t="shared" si="45"/>
        <v>#N/A</v>
      </c>
      <c r="BP112" s="1"/>
      <c r="BR112" t="e">
        <f t="shared" si="63"/>
        <v>#N/A</v>
      </c>
      <c r="BS112" s="1"/>
      <c r="BU112" s="1"/>
      <c r="BW112" s="1"/>
      <c r="BY112" s="1" t="e">
        <f t="shared" si="64"/>
        <v>#N/A</v>
      </c>
      <c r="BZ112" s="1" t="e">
        <f t="shared" si="65"/>
        <v>#N/A</v>
      </c>
      <c r="CA112" s="1" t="e">
        <f t="shared" si="66"/>
        <v>#N/A</v>
      </c>
    </row>
    <row r="113" spans="3:79">
      <c r="C113" s="5"/>
      <c r="D113" s="6"/>
      <c r="E113" s="5"/>
      <c r="F113" s="6"/>
      <c r="G113" s="6"/>
      <c r="H113" s="5"/>
      <c r="I113" s="6"/>
      <c r="J113" s="6"/>
      <c r="K113" s="5"/>
      <c r="L113" s="6"/>
      <c r="M113" s="6"/>
      <c r="AI113" s="1">
        <v>43098</v>
      </c>
      <c r="AJ113" t="s">
        <v>9605</v>
      </c>
      <c r="AK113">
        <f t="shared" ref="AK113" si="86">IF(AJ113="",NA(),VLOOKUP(AJ113,$AB$28:$AC$49,2,0))</f>
        <v>280</v>
      </c>
      <c r="AL113" s="1">
        <v>42580</v>
      </c>
      <c r="AM113" t="s">
        <v>9605</v>
      </c>
      <c r="AN113" t="s">
        <v>3</v>
      </c>
      <c r="AO113" s="1">
        <v>42580</v>
      </c>
      <c r="AP113" t="s">
        <v>9605</v>
      </c>
      <c r="AQ113" t="s">
        <v>3</v>
      </c>
      <c r="AR113" s="1">
        <v>42674</v>
      </c>
      <c r="AS113" t="s">
        <v>9605</v>
      </c>
      <c r="AT113" t="s">
        <v>3</v>
      </c>
      <c r="AU113" s="1">
        <f t="shared" si="58"/>
        <v>43098</v>
      </c>
      <c r="AV113" s="1" t="str">
        <f t="shared" si="59"/>
        <v>AAA</v>
      </c>
      <c r="AW113" s="52">
        <f t="shared" si="60"/>
        <v>280</v>
      </c>
      <c r="AZ113" s="1"/>
      <c r="BB113" t="e">
        <f t="shared" si="62"/>
        <v>#N/A</v>
      </c>
      <c r="BC113" s="1"/>
      <c r="BF113" s="1"/>
      <c r="BI113" s="1"/>
      <c r="BL113" s="1" t="e">
        <f t="shared" si="43"/>
        <v>#N/A</v>
      </c>
      <c r="BM113" s="1" t="e">
        <f t="shared" si="44"/>
        <v>#N/A</v>
      </c>
      <c r="BN113" s="1" t="e">
        <f t="shared" si="45"/>
        <v>#N/A</v>
      </c>
      <c r="BP113" s="1"/>
      <c r="BR113" t="e">
        <f t="shared" si="63"/>
        <v>#N/A</v>
      </c>
      <c r="BS113" s="1"/>
      <c r="BU113" s="1"/>
      <c r="BW113" s="1"/>
      <c r="BY113" s="1" t="e">
        <f t="shared" si="64"/>
        <v>#N/A</v>
      </c>
      <c r="BZ113" s="1" t="e">
        <f t="shared" si="65"/>
        <v>#N/A</v>
      </c>
      <c r="CA113" s="1" t="e">
        <f t="shared" si="66"/>
        <v>#N/A</v>
      </c>
    </row>
    <row r="114" spans="3:79">
      <c r="C114" s="5"/>
      <c r="D114" s="6"/>
      <c r="E114" s="5"/>
      <c r="F114" s="6"/>
      <c r="G114" s="6"/>
      <c r="H114" s="5"/>
      <c r="I114" s="6"/>
      <c r="J114" s="6"/>
      <c r="K114" s="5"/>
      <c r="L114" s="6"/>
      <c r="M114" s="6"/>
      <c r="AI114" s="1">
        <v>43097</v>
      </c>
      <c r="AJ114" t="s">
        <v>9605</v>
      </c>
      <c r="AK114">
        <f t="shared" ref="AK114" si="87">IF(AJ114="",NA(),VLOOKUP(AJ114,$AB$28:$AC$49,2,0))</f>
        <v>280</v>
      </c>
      <c r="AL114" s="1">
        <v>42551</v>
      </c>
      <c r="AM114" t="s">
        <v>9605</v>
      </c>
      <c r="AN114" t="s">
        <v>3</v>
      </c>
      <c r="AO114" s="1">
        <v>42551</v>
      </c>
      <c r="AP114" t="s">
        <v>9605</v>
      </c>
      <c r="AQ114" t="s">
        <v>3</v>
      </c>
      <c r="AR114" s="1">
        <v>42643</v>
      </c>
      <c r="AS114" t="s">
        <v>9605</v>
      </c>
      <c r="AT114" t="s">
        <v>3</v>
      </c>
      <c r="AU114" s="1">
        <f t="shared" si="58"/>
        <v>43097</v>
      </c>
      <c r="AV114" s="1" t="str">
        <f t="shared" si="59"/>
        <v>AAA</v>
      </c>
      <c r="AW114" s="52">
        <f t="shared" si="60"/>
        <v>280</v>
      </c>
      <c r="AZ114" s="1"/>
      <c r="BB114" t="e">
        <f t="shared" si="62"/>
        <v>#N/A</v>
      </c>
      <c r="BC114" s="1"/>
      <c r="BF114" s="1"/>
      <c r="BI114" s="1"/>
      <c r="BL114" s="1" t="e">
        <f t="shared" si="43"/>
        <v>#N/A</v>
      </c>
      <c r="BM114" s="1" t="e">
        <f t="shared" si="44"/>
        <v>#N/A</v>
      </c>
      <c r="BN114" s="1" t="e">
        <f t="shared" si="45"/>
        <v>#N/A</v>
      </c>
      <c r="BP114" s="1"/>
      <c r="BR114" t="e">
        <f t="shared" si="63"/>
        <v>#N/A</v>
      </c>
      <c r="BS114" s="1"/>
      <c r="BU114" s="1"/>
      <c r="BW114" s="1"/>
      <c r="BY114" s="1" t="e">
        <f t="shared" si="64"/>
        <v>#N/A</v>
      </c>
      <c r="BZ114" s="1" t="e">
        <f t="shared" si="65"/>
        <v>#N/A</v>
      </c>
      <c r="CA114" s="1" t="e">
        <f t="shared" si="66"/>
        <v>#N/A</v>
      </c>
    </row>
    <row r="115" spans="3:79">
      <c r="C115" s="5"/>
      <c r="D115" s="6"/>
      <c r="E115" s="5"/>
      <c r="F115" s="6"/>
      <c r="G115" s="6"/>
      <c r="H115" s="5"/>
      <c r="I115" s="6"/>
      <c r="J115" s="6"/>
      <c r="K115" s="5"/>
      <c r="L115" s="6"/>
      <c r="M115" s="6"/>
      <c r="AI115" s="1">
        <v>43069</v>
      </c>
      <c r="AJ115" t="s">
        <v>9605</v>
      </c>
      <c r="AK115">
        <f t="shared" ref="AK115" si="88">IF(AJ115="",NA(),VLOOKUP(AJ115,$AB$28:$AC$49,2,0))</f>
        <v>280</v>
      </c>
      <c r="AL115" s="1">
        <v>42521</v>
      </c>
      <c r="AM115" t="s">
        <v>9605</v>
      </c>
      <c r="AN115" t="s">
        <v>3</v>
      </c>
      <c r="AO115" s="1">
        <v>42521</v>
      </c>
      <c r="AP115" t="s">
        <v>9605</v>
      </c>
      <c r="AQ115" t="s">
        <v>3</v>
      </c>
      <c r="AR115" s="1">
        <v>42613</v>
      </c>
      <c r="AS115" t="s">
        <v>9605</v>
      </c>
      <c r="AT115" t="s">
        <v>3</v>
      </c>
      <c r="AU115" s="1">
        <f t="shared" si="58"/>
        <v>43069</v>
      </c>
      <c r="AV115" s="1" t="str">
        <f t="shared" si="59"/>
        <v>AAA</v>
      </c>
      <c r="AW115" s="52">
        <f t="shared" si="60"/>
        <v>280</v>
      </c>
      <c r="AZ115" s="1"/>
      <c r="BB115" t="e">
        <f t="shared" si="62"/>
        <v>#N/A</v>
      </c>
      <c r="BC115" s="1"/>
      <c r="BF115" s="1"/>
      <c r="BI115" s="1"/>
      <c r="BL115" s="1" t="e">
        <f t="shared" si="43"/>
        <v>#N/A</v>
      </c>
      <c r="BM115" s="1" t="e">
        <f t="shared" si="44"/>
        <v>#N/A</v>
      </c>
      <c r="BN115" s="1" t="e">
        <f t="shared" si="45"/>
        <v>#N/A</v>
      </c>
      <c r="BP115" s="1"/>
      <c r="BR115" t="e">
        <f t="shared" si="63"/>
        <v>#N/A</v>
      </c>
      <c r="BS115" s="1"/>
      <c r="BU115" s="1"/>
      <c r="BW115" s="1"/>
      <c r="BY115" s="1" t="e">
        <f t="shared" si="64"/>
        <v>#N/A</v>
      </c>
      <c r="BZ115" s="1" t="e">
        <f t="shared" si="65"/>
        <v>#N/A</v>
      </c>
      <c r="CA115" s="1" t="e">
        <f t="shared" si="66"/>
        <v>#N/A</v>
      </c>
    </row>
    <row r="116" spans="3:79">
      <c r="C116" s="5"/>
      <c r="D116" s="6"/>
      <c r="E116" s="5"/>
      <c r="F116" s="6"/>
      <c r="G116" s="6"/>
      <c r="H116" s="5"/>
      <c r="I116" s="6"/>
      <c r="J116" s="6"/>
      <c r="K116" s="5"/>
      <c r="L116" s="6"/>
      <c r="M116" s="6"/>
      <c r="AI116" s="1">
        <v>43056</v>
      </c>
      <c r="AJ116" t="s">
        <v>9605</v>
      </c>
      <c r="AK116">
        <f t="shared" ref="AK116" si="89">IF(AJ116="",NA(),VLOOKUP(AJ116,$AB$28:$AC$49,2,0))</f>
        <v>280</v>
      </c>
      <c r="AL116" s="1">
        <v>42489</v>
      </c>
      <c r="AM116" t="s">
        <v>9605</v>
      </c>
      <c r="AN116" t="s">
        <v>3</v>
      </c>
      <c r="AO116" s="1">
        <v>42489</v>
      </c>
      <c r="AP116" t="s">
        <v>9605</v>
      </c>
      <c r="AQ116" t="s">
        <v>3</v>
      </c>
      <c r="AR116" s="1">
        <v>42580</v>
      </c>
      <c r="AS116" t="s">
        <v>9605</v>
      </c>
      <c r="AT116" t="s">
        <v>3</v>
      </c>
      <c r="AU116" s="1">
        <f t="shared" si="58"/>
        <v>43056</v>
      </c>
      <c r="AV116" s="1" t="str">
        <f t="shared" si="59"/>
        <v>AAA</v>
      </c>
      <c r="AW116" s="52">
        <f t="shared" si="60"/>
        <v>280</v>
      </c>
      <c r="AZ116" s="1"/>
      <c r="BB116" t="e">
        <f t="shared" si="62"/>
        <v>#N/A</v>
      </c>
      <c r="BC116" s="1"/>
      <c r="BF116" s="1"/>
      <c r="BI116" s="1"/>
      <c r="BL116" s="1" t="e">
        <f t="shared" si="43"/>
        <v>#N/A</v>
      </c>
      <c r="BM116" s="1" t="e">
        <f t="shared" si="44"/>
        <v>#N/A</v>
      </c>
      <c r="BN116" s="1" t="e">
        <f t="shared" si="45"/>
        <v>#N/A</v>
      </c>
      <c r="BP116" s="1"/>
      <c r="BR116" t="e">
        <f t="shared" si="63"/>
        <v>#N/A</v>
      </c>
      <c r="BS116" s="1"/>
      <c r="BU116" s="1"/>
      <c r="BW116" s="1"/>
      <c r="BY116" s="1" t="e">
        <f t="shared" si="64"/>
        <v>#N/A</v>
      </c>
      <c r="BZ116" s="1" t="e">
        <f t="shared" si="65"/>
        <v>#N/A</v>
      </c>
      <c r="CA116" s="1" t="e">
        <f t="shared" si="66"/>
        <v>#N/A</v>
      </c>
    </row>
    <row r="117" spans="3:79">
      <c r="C117" s="5"/>
      <c r="D117" s="6"/>
      <c r="E117" s="5"/>
      <c r="F117" s="6"/>
      <c r="G117" s="6"/>
      <c r="H117" s="5"/>
      <c r="I117" s="6"/>
      <c r="J117" s="6"/>
      <c r="K117" s="5"/>
      <c r="L117" s="6"/>
      <c r="M117" s="6"/>
      <c r="AI117" s="1">
        <v>43039</v>
      </c>
      <c r="AJ117" t="s">
        <v>9605</v>
      </c>
      <c r="AK117">
        <f t="shared" ref="AK117" si="90">IF(AJ117="",NA(),VLOOKUP(AJ117,$AB$28:$AC$49,2,0))</f>
        <v>280</v>
      </c>
      <c r="AL117" s="1">
        <v>42447</v>
      </c>
      <c r="AM117" t="s">
        <v>9605</v>
      </c>
      <c r="AN117" t="s">
        <v>3</v>
      </c>
      <c r="AO117" s="1">
        <v>42460</v>
      </c>
      <c r="AP117" t="s">
        <v>9605</v>
      </c>
      <c r="AQ117" t="s">
        <v>3</v>
      </c>
      <c r="AR117" s="1">
        <v>42551</v>
      </c>
      <c r="AS117" t="s">
        <v>9605</v>
      </c>
      <c r="AT117" t="s">
        <v>3</v>
      </c>
      <c r="AU117" s="1">
        <f t="shared" si="58"/>
        <v>43039</v>
      </c>
      <c r="AV117" s="1" t="str">
        <f t="shared" si="59"/>
        <v>AAA</v>
      </c>
      <c r="AW117" s="52">
        <f t="shared" si="60"/>
        <v>280</v>
      </c>
      <c r="AZ117" s="1"/>
      <c r="BB117" t="e">
        <f t="shared" si="62"/>
        <v>#N/A</v>
      </c>
      <c r="BC117" s="1"/>
      <c r="BF117" s="1"/>
      <c r="BI117" s="1"/>
      <c r="BL117" s="1" t="e">
        <f t="shared" si="43"/>
        <v>#N/A</v>
      </c>
      <c r="BM117" s="1" t="e">
        <f t="shared" si="44"/>
        <v>#N/A</v>
      </c>
      <c r="BN117" s="1" t="e">
        <f t="shared" si="45"/>
        <v>#N/A</v>
      </c>
      <c r="BP117" s="1"/>
      <c r="BR117" t="e">
        <f t="shared" si="63"/>
        <v>#N/A</v>
      </c>
      <c r="BS117" s="1"/>
      <c r="BU117" s="1"/>
      <c r="BW117" s="1"/>
      <c r="BY117" s="1" t="e">
        <f t="shared" si="64"/>
        <v>#N/A</v>
      </c>
      <c r="BZ117" s="1" t="e">
        <f t="shared" si="65"/>
        <v>#N/A</v>
      </c>
      <c r="CA117" s="1" t="e">
        <f t="shared" si="66"/>
        <v>#N/A</v>
      </c>
    </row>
    <row r="118" spans="3:79">
      <c r="C118" s="5"/>
      <c r="D118" s="6"/>
      <c r="E118" s="5"/>
      <c r="F118" s="6"/>
      <c r="G118" s="6"/>
      <c r="H118" s="5"/>
      <c r="I118" s="6"/>
      <c r="J118" s="6"/>
      <c r="K118" s="5"/>
      <c r="L118" s="6"/>
      <c r="M118" s="6"/>
      <c r="AI118" s="1">
        <v>43007</v>
      </c>
      <c r="AJ118" t="s">
        <v>9605</v>
      </c>
      <c r="AK118">
        <f t="shared" ref="AK118" si="91">IF(AJ118="",NA(),VLOOKUP(AJ118,$AB$28:$AC$49,2,0))</f>
        <v>280</v>
      </c>
      <c r="AL118" s="1">
        <v>42398</v>
      </c>
      <c r="AM118" t="s">
        <v>9605</v>
      </c>
      <c r="AN118" t="s">
        <v>3</v>
      </c>
      <c r="AO118" s="1">
        <v>42429</v>
      </c>
      <c r="AP118" t="s">
        <v>9605</v>
      </c>
      <c r="AQ118" t="s">
        <v>3</v>
      </c>
      <c r="AR118" s="1">
        <v>42521</v>
      </c>
      <c r="AS118" t="s">
        <v>9605</v>
      </c>
      <c r="AT118" t="s">
        <v>3</v>
      </c>
      <c r="AU118" s="1">
        <f t="shared" si="58"/>
        <v>43007</v>
      </c>
      <c r="AV118" s="1" t="str">
        <f t="shared" si="59"/>
        <v>AAA</v>
      </c>
      <c r="AW118" s="52">
        <f t="shared" si="60"/>
        <v>280</v>
      </c>
      <c r="AZ118" s="1"/>
      <c r="BB118" t="e">
        <f t="shared" si="62"/>
        <v>#N/A</v>
      </c>
      <c r="BC118" s="1"/>
      <c r="BF118" s="1"/>
      <c r="BI118" s="1"/>
      <c r="BL118" s="1" t="e">
        <f t="shared" si="43"/>
        <v>#N/A</v>
      </c>
      <c r="BM118" s="1" t="e">
        <f t="shared" si="44"/>
        <v>#N/A</v>
      </c>
      <c r="BN118" s="1" t="e">
        <f t="shared" si="45"/>
        <v>#N/A</v>
      </c>
      <c r="BP118" s="1"/>
      <c r="BR118" t="e">
        <f t="shared" si="63"/>
        <v>#N/A</v>
      </c>
      <c r="BS118" s="1"/>
      <c r="BU118" s="1"/>
      <c r="BW118" s="1"/>
      <c r="BY118" s="1" t="e">
        <f t="shared" si="64"/>
        <v>#N/A</v>
      </c>
      <c r="BZ118" s="1" t="e">
        <f t="shared" si="65"/>
        <v>#N/A</v>
      </c>
      <c r="CA118" s="1" t="e">
        <f t="shared" si="66"/>
        <v>#N/A</v>
      </c>
    </row>
    <row r="119" spans="3:79">
      <c r="C119" s="5"/>
      <c r="D119" s="6"/>
      <c r="E119" s="5"/>
      <c r="F119" s="6"/>
      <c r="G119" s="6"/>
      <c r="H119" s="5"/>
      <c r="I119" s="6"/>
      <c r="J119" s="6"/>
      <c r="K119" s="5"/>
      <c r="L119" s="6"/>
      <c r="M119" s="6"/>
      <c r="AI119" s="1">
        <v>42978</v>
      </c>
      <c r="AJ119" t="s">
        <v>9605</v>
      </c>
      <c r="AK119">
        <f t="shared" ref="AK119" si="92">IF(AJ119="",NA(),VLOOKUP(AJ119,$AB$28:$AC$49,2,0))</f>
        <v>280</v>
      </c>
      <c r="AL119" s="1">
        <v>42338</v>
      </c>
      <c r="AM119" t="s">
        <v>9605</v>
      </c>
      <c r="AN119" t="s">
        <v>3</v>
      </c>
      <c r="AO119" s="1">
        <v>42398</v>
      </c>
      <c r="AP119" t="s">
        <v>9605</v>
      </c>
      <c r="AQ119" t="s">
        <v>3</v>
      </c>
      <c r="AR119" s="1">
        <v>42489</v>
      </c>
      <c r="AS119" t="s">
        <v>9605</v>
      </c>
      <c r="AT119" t="s">
        <v>3</v>
      </c>
      <c r="AU119" s="1">
        <f t="shared" si="58"/>
        <v>42978</v>
      </c>
      <c r="AV119" s="1" t="str">
        <f t="shared" si="59"/>
        <v>AAA</v>
      </c>
      <c r="AW119" s="52">
        <f t="shared" si="60"/>
        <v>280</v>
      </c>
      <c r="AZ119" s="1"/>
      <c r="BB119" t="e">
        <f t="shared" si="62"/>
        <v>#N/A</v>
      </c>
      <c r="BC119" s="1"/>
      <c r="BF119" s="1"/>
      <c r="BI119" s="1"/>
      <c r="BL119" s="1" t="e">
        <f t="shared" si="43"/>
        <v>#N/A</v>
      </c>
      <c r="BM119" s="1" t="e">
        <f t="shared" si="44"/>
        <v>#N/A</v>
      </c>
      <c r="BN119" s="1" t="e">
        <f t="shared" si="45"/>
        <v>#N/A</v>
      </c>
      <c r="BP119" s="1"/>
      <c r="BR119" t="e">
        <f t="shared" si="63"/>
        <v>#N/A</v>
      </c>
      <c r="BS119" s="1"/>
      <c r="BU119" s="1"/>
      <c r="BW119" s="1"/>
      <c r="BY119" s="1" t="e">
        <f t="shared" si="64"/>
        <v>#N/A</v>
      </c>
      <c r="BZ119" s="1" t="e">
        <f t="shared" si="65"/>
        <v>#N/A</v>
      </c>
      <c r="CA119" s="1" t="e">
        <f t="shared" si="66"/>
        <v>#N/A</v>
      </c>
    </row>
    <row r="120" spans="3:79">
      <c r="C120" s="5"/>
      <c r="D120" s="6"/>
      <c r="E120" s="5"/>
      <c r="F120" s="6"/>
      <c r="G120" s="6"/>
      <c r="H120" s="5"/>
      <c r="I120" s="6"/>
      <c r="J120" s="6"/>
      <c r="K120" s="5"/>
      <c r="L120" s="6"/>
      <c r="M120" s="6"/>
      <c r="AI120" s="1">
        <v>42947</v>
      </c>
      <c r="AJ120" t="s">
        <v>9605</v>
      </c>
      <c r="AK120">
        <f t="shared" ref="AK120" si="93">IF(AJ120="",NA(),VLOOKUP(AJ120,$AB$28:$AC$49,2,0))</f>
        <v>280</v>
      </c>
      <c r="AL120" s="1">
        <v>42277</v>
      </c>
      <c r="AM120" t="s">
        <v>9605</v>
      </c>
      <c r="AN120" t="s">
        <v>3</v>
      </c>
      <c r="AO120" s="1">
        <v>42369</v>
      </c>
      <c r="AP120" t="s">
        <v>9605</v>
      </c>
      <c r="AQ120" t="s">
        <v>3</v>
      </c>
      <c r="AR120" s="1">
        <v>42461</v>
      </c>
      <c r="AS120" t="s">
        <v>9605</v>
      </c>
      <c r="AT120" t="s">
        <v>3</v>
      </c>
      <c r="AU120" s="1">
        <f t="shared" si="58"/>
        <v>42947</v>
      </c>
      <c r="AV120" s="1" t="str">
        <f t="shared" si="59"/>
        <v>AAA</v>
      </c>
      <c r="AW120" s="52">
        <f t="shared" si="60"/>
        <v>280</v>
      </c>
      <c r="AZ120" s="1"/>
      <c r="BB120" t="e">
        <f t="shared" si="62"/>
        <v>#N/A</v>
      </c>
      <c r="BC120" s="1"/>
      <c r="BF120" s="1"/>
      <c r="BI120" s="1"/>
      <c r="BL120" s="1" t="e">
        <f t="shared" si="43"/>
        <v>#N/A</v>
      </c>
      <c r="BM120" s="1" t="e">
        <f t="shared" si="44"/>
        <v>#N/A</v>
      </c>
      <c r="BN120" s="1" t="e">
        <f t="shared" si="45"/>
        <v>#N/A</v>
      </c>
      <c r="BP120" s="1"/>
      <c r="BR120" t="e">
        <f t="shared" si="63"/>
        <v>#N/A</v>
      </c>
      <c r="BS120" s="1"/>
      <c r="BU120" s="1"/>
      <c r="BW120" s="1"/>
      <c r="BY120" s="1" t="e">
        <f t="shared" si="64"/>
        <v>#N/A</v>
      </c>
      <c r="BZ120" s="1" t="e">
        <f t="shared" si="65"/>
        <v>#N/A</v>
      </c>
      <c r="CA120" s="1" t="e">
        <f t="shared" si="66"/>
        <v>#N/A</v>
      </c>
    </row>
    <row r="121" spans="3:79">
      <c r="C121" s="5"/>
      <c r="D121" s="6"/>
      <c r="E121" s="5"/>
      <c r="F121" s="6"/>
      <c r="G121" s="6"/>
      <c r="H121" s="5"/>
      <c r="I121" s="6"/>
      <c r="J121" s="6"/>
      <c r="K121" s="5"/>
      <c r="L121" s="6"/>
      <c r="M121" s="6"/>
      <c r="AI121" s="1">
        <v>42916</v>
      </c>
      <c r="AJ121" t="s">
        <v>9605</v>
      </c>
      <c r="AK121">
        <f t="shared" ref="AK121" si="94">IF(AJ121="",NA(),VLOOKUP(AJ121,$AB$28:$AC$49,2,0))</f>
        <v>280</v>
      </c>
      <c r="AL121" s="1">
        <v>42255</v>
      </c>
      <c r="AM121" t="s">
        <v>9605</v>
      </c>
      <c r="AN121" t="s">
        <v>3</v>
      </c>
      <c r="AO121" s="1">
        <v>42338</v>
      </c>
      <c r="AP121" t="s">
        <v>9605</v>
      </c>
      <c r="AQ121" t="s">
        <v>3</v>
      </c>
      <c r="AR121" s="1">
        <v>42447</v>
      </c>
      <c r="AS121" t="s">
        <v>9605</v>
      </c>
      <c r="AT121" t="s">
        <v>3</v>
      </c>
      <c r="AU121" s="1">
        <f t="shared" si="58"/>
        <v>42916</v>
      </c>
      <c r="AV121" s="1" t="str">
        <f t="shared" si="59"/>
        <v>AAA</v>
      </c>
      <c r="AW121" s="52">
        <f t="shared" si="60"/>
        <v>280</v>
      </c>
      <c r="AZ121" s="1"/>
      <c r="BB121" t="e">
        <f t="shared" si="62"/>
        <v>#N/A</v>
      </c>
      <c r="BC121" s="1"/>
      <c r="BF121" s="1"/>
      <c r="BI121" s="1"/>
      <c r="BL121" s="1" t="e">
        <f t="shared" si="43"/>
        <v>#N/A</v>
      </c>
      <c r="BM121" s="1" t="e">
        <f t="shared" si="44"/>
        <v>#N/A</v>
      </c>
      <c r="BN121" s="1" t="e">
        <f t="shared" si="45"/>
        <v>#N/A</v>
      </c>
      <c r="BP121" s="1"/>
      <c r="BR121" t="e">
        <f t="shared" si="63"/>
        <v>#N/A</v>
      </c>
      <c r="BS121" s="1"/>
      <c r="BU121" s="1"/>
      <c r="BW121" s="1"/>
      <c r="BY121" s="1" t="e">
        <f t="shared" si="64"/>
        <v>#N/A</v>
      </c>
      <c r="BZ121" s="1" t="e">
        <f t="shared" si="65"/>
        <v>#N/A</v>
      </c>
      <c r="CA121" s="1" t="e">
        <f t="shared" si="66"/>
        <v>#N/A</v>
      </c>
    </row>
    <row r="122" spans="3:79">
      <c r="C122" s="5"/>
      <c r="D122" s="6"/>
      <c r="E122" s="5"/>
      <c r="F122" s="6"/>
      <c r="G122" s="6"/>
      <c r="H122" s="5"/>
      <c r="I122" s="6"/>
      <c r="J122" s="6"/>
      <c r="K122" s="5"/>
      <c r="L122" s="6"/>
      <c r="M122" s="6"/>
      <c r="AI122" s="1">
        <v>42902</v>
      </c>
      <c r="AJ122" t="s">
        <v>9605</v>
      </c>
      <c r="AK122">
        <f t="shared" ref="AK122" si="95">IF(AJ122="",NA(),VLOOKUP(AJ122,$AB$28:$AC$49,2,0))</f>
        <v>280</v>
      </c>
      <c r="AL122" s="1">
        <v>42216</v>
      </c>
      <c r="AM122" t="s">
        <v>9605</v>
      </c>
      <c r="AN122" t="s">
        <v>3</v>
      </c>
      <c r="AO122" s="1">
        <v>42306</v>
      </c>
      <c r="AP122" t="s">
        <v>9605</v>
      </c>
      <c r="AQ122" t="s">
        <v>3</v>
      </c>
      <c r="AR122" s="1">
        <v>42398</v>
      </c>
      <c r="AS122" t="s">
        <v>9605</v>
      </c>
      <c r="AT122" t="s">
        <v>3</v>
      </c>
      <c r="AU122" s="1">
        <f t="shared" si="58"/>
        <v>42902</v>
      </c>
      <c r="AV122" s="1" t="str">
        <f t="shared" si="59"/>
        <v>AAA</v>
      </c>
      <c r="AW122" s="52">
        <f t="shared" si="60"/>
        <v>280</v>
      </c>
      <c r="AZ122" s="1"/>
      <c r="BB122" t="e">
        <f t="shared" si="62"/>
        <v>#N/A</v>
      </c>
      <c r="BC122" s="1"/>
      <c r="BF122" s="1"/>
      <c r="BI122" s="1"/>
      <c r="BL122" s="1" t="e">
        <f t="shared" ref="BL122:BL185" si="96">IF(AZ122="",NA(),AZ122)</f>
        <v>#N/A</v>
      </c>
      <c r="BM122" s="1" t="e">
        <f t="shared" ref="BM122:BM185" si="97">IF(BA122="",NA(),BA122)</f>
        <v>#N/A</v>
      </c>
      <c r="BN122" s="1" t="e">
        <f t="shared" ref="BN122:BN185" si="98">IF(BB122="",NA(),BB122)</f>
        <v>#N/A</v>
      </c>
      <c r="BP122" s="1"/>
      <c r="BR122" t="e">
        <f t="shared" si="63"/>
        <v>#N/A</v>
      </c>
      <c r="BS122" s="1"/>
      <c r="BU122" s="1"/>
      <c r="BW122" s="1"/>
      <c r="BY122" s="1" t="e">
        <f t="shared" si="64"/>
        <v>#N/A</v>
      </c>
      <c r="BZ122" s="1" t="e">
        <f t="shared" si="65"/>
        <v>#N/A</v>
      </c>
      <c r="CA122" s="1" t="e">
        <f t="shared" si="66"/>
        <v>#N/A</v>
      </c>
    </row>
    <row r="123" spans="3:79">
      <c r="C123" s="5"/>
      <c r="D123" s="6"/>
      <c r="E123" s="5"/>
      <c r="F123" s="6"/>
      <c r="G123" s="6"/>
      <c r="H123" s="5"/>
      <c r="I123" s="6"/>
      <c r="J123" s="6"/>
      <c r="K123" s="5"/>
      <c r="L123" s="6"/>
      <c r="M123" s="6"/>
      <c r="AI123" s="1">
        <v>42886</v>
      </c>
      <c r="AJ123" t="s">
        <v>9605</v>
      </c>
      <c r="AK123">
        <f t="shared" ref="AK123" si="99">IF(AJ123="",NA(),VLOOKUP(AJ123,$AB$28:$AC$49,2,0))</f>
        <v>280</v>
      </c>
      <c r="AL123" s="1">
        <v>42153</v>
      </c>
      <c r="AM123" t="s">
        <v>9605</v>
      </c>
      <c r="AN123" t="s">
        <v>3</v>
      </c>
      <c r="AO123" s="1">
        <v>42277</v>
      </c>
      <c r="AP123" t="s">
        <v>9605</v>
      </c>
      <c r="AQ123" t="s">
        <v>3</v>
      </c>
      <c r="AR123" s="1">
        <v>42369</v>
      </c>
      <c r="AS123" t="s">
        <v>9605</v>
      </c>
      <c r="AT123" t="s">
        <v>3</v>
      </c>
      <c r="AU123" s="1">
        <f t="shared" si="58"/>
        <v>42886</v>
      </c>
      <c r="AV123" s="1" t="str">
        <f t="shared" si="59"/>
        <v>AAA</v>
      </c>
      <c r="AW123" s="52">
        <f t="shared" si="60"/>
        <v>280</v>
      </c>
      <c r="AZ123" s="1"/>
      <c r="BB123" t="e">
        <f t="shared" si="62"/>
        <v>#N/A</v>
      </c>
      <c r="BC123" s="1"/>
      <c r="BF123" s="1"/>
      <c r="BI123" s="1"/>
      <c r="BL123" s="1" t="e">
        <f t="shared" si="96"/>
        <v>#N/A</v>
      </c>
      <c r="BM123" s="1" t="e">
        <f t="shared" si="97"/>
        <v>#N/A</v>
      </c>
      <c r="BN123" s="1" t="e">
        <f t="shared" si="98"/>
        <v>#N/A</v>
      </c>
      <c r="BP123" s="1"/>
      <c r="BR123" t="e">
        <f t="shared" si="63"/>
        <v>#N/A</v>
      </c>
      <c r="BS123" s="1"/>
      <c r="BU123" s="1"/>
      <c r="BW123" s="1"/>
      <c r="BY123" s="1" t="e">
        <f t="shared" si="64"/>
        <v>#N/A</v>
      </c>
      <c r="BZ123" s="1" t="e">
        <f t="shared" si="65"/>
        <v>#N/A</v>
      </c>
      <c r="CA123" s="1" t="e">
        <f t="shared" si="66"/>
        <v>#N/A</v>
      </c>
    </row>
    <row r="124" spans="3:79">
      <c r="C124" s="5"/>
      <c r="D124" s="6"/>
      <c r="E124" s="5"/>
      <c r="F124" s="6"/>
      <c r="G124" s="6"/>
      <c r="H124" s="5"/>
      <c r="I124" s="6"/>
      <c r="J124" s="6"/>
      <c r="K124" s="5"/>
      <c r="L124" s="6"/>
      <c r="M124" s="6"/>
      <c r="AI124" s="1">
        <v>42853</v>
      </c>
      <c r="AJ124" t="s">
        <v>9605</v>
      </c>
      <c r="AK124">
        <f t="shared" ref="AK124" si="100">IF(AJ124="",NA(),VLOOKUP(AJ124,$AB$28:$AC$49,2,0))</f>
        <v>280</v>
      </c>
      <c r="AL124" s="1">
        <v>42124</v>
      </c>
      <c r="AM124" t="s">
        <v>9605</v>
      </c>
      <c r="AN124" t="s">
        <v>3</v>
      </c>
      <c r="AO124" s="1">
        <v>42247</v>
      </c>
      <c r="AP124" t="s">
        <v>9605</v>
      </c>
      <c r="AQ124" t="s">
        <v>3</v>
      </c>
      <c r="AR124" s="1">
        <v>42338</v>
      </c>
      <c r="AS124" t="s">
        <v>9605</v>
      </c>
      <c r="AT124" t="s">
        <v>3</v>
      </c>
      <c r="AU124" s="1">
        <f t="shared" si="58"/>
        <v>42853</v>
      </c>
      <c r="AV124" s="1" t="str">
        <f t="shared" si="59"/>
        <v>AAA</v>
      </c>
      <c r="AW124" s="52">
        <f t="shared" si="60"/>
        <v>280</v>
      </c>
      <c r="AZ124" s="1"/>
      <c r="BB124" t="e">
        <f t="shared" si="62"/>
        <v>#N/A</v>
      </c>
      <c r="BC124" s="1"/>
      <c r="BF124" s="1"/>
      <c r="BI124" s="1"/>
      <c r="BL124" s="1" t="e">
        <f t="shared" si="96"/>
        <v>#N/A</v>
      </c>
      <c r="BM124" s="1" t="e">
        <f t="shared" si="97"/>
        <v>#N/A</v>
      </c>
      <c r="BN124" s="1" t="e">
        <f t="shared" si="98"/>
        <v>#N/A</v>
      </c>
      <c r="BP124" s="1"/>
      <c r="BR124" t="e">
        <f t="shared" si="63"/>
        <v>#N/A</v>
      </c>
      <c r="BS124" s="1"/>
      <c r="BU124" s="1"/>
      <c r="BW124" s="1"/>
      <c r="BY124" s="1" t="e">
        <f t="shared" si="64"/>
        <v>#N/A</v>
      </c>
      <c r="BZ124" s="1" t="e">
        <f t="shared" si="65"/>
        <v>#N/A</v>
      </c>
      <c r="CA124" s="1" t="e">
        <f t="shared" si="66"/>
        <v>#N/A</v>
      </c>
    </row>
    <row r="125" spans="3:79">
      <c r="C125" s="5"/>
      <c r="D125" s="6"/>
      <c r="E125" s="5"/>
      <c r="F125" s="6"/>
      <c r="G125" s="6"/>
      <c r="H125" s="5"/>
      <c r="I125" s="6"/>
      <c r="J125" s="6"/>
      <c r="K125" s="5"/>
      <c r="L125" s="6"/>
      <c r="M125" s="6"/>
      <c r="AI125" s="1">
        <v>42828</v>
      </c>
      <c r="AJ125" t="s">
        <v>9605</v>
      </c>
      <c r="AK125">
        <f t="shared" ref="AK125" si="101">IF(AJ125="",NA(),VLOOKUP(AJ125,$AB$28:$AC$49,2,0))</f>
        <v>280</v>
      </c>
      <c r="AL125" s="1">
        <v>42094</v>
      </c>
      <c r="AM125" t="s">
        <v>9605</v>
      </c>
      <c r="AN125" t="s">
        <v>3</v>
      </c>
      <c r="AO125" s="1">
        <v>42216</v>
      </c>
      <c r="AP125" t="s">
        <v>9605</v>
      </c>
      <c r="AQ125" t="s">
        <v>3</v>
      </c>
      <c r="AR125" s="1">
        <v>42307</v>
      </c>
      <c r="AS125" t="s">
        <v>9605</v>
      </c>
      <c r="AT125" t="s">
        <v>3</v>
      </c>
      <c r="AU125" s="1">
        <f t="shared" si="58"/>
        <v>42828</v>
      </c>
      <c r="AV125" s="1" t="str">
        <f t="shared" si="59"/>
        <v>AAA</v>
      </c>
      <c r="AW125" s="52">
        <f t="shared" si="60"/>
        <v>280</v>
      </c>
      <c r="AZ125" s="1"/>
      <c r="BB125" t="e">
        <f t="shared" si="62"/>
        <v>#N/A</v>
      </c>
      <c r="BC125" s="1"/>
      <c r="BF125" s="1"/>
      <c r="BI125" s="1"/>
      <c r="BL125" s="1" t="e">
        <f t="shared" si="96"/>
        <v>#N/A</v>
      </c>
      <c r="BM125" s="1" t="e">
        <f t="shared" si="97"/>
        <v>#N/A</v>
      </c>
      <c r="BN125" s="1" t="e">
        <f t="shared" si="98"/>
        <v>#N/A</v>
      </c>
      <c r="BP125" s="1"/>
      <c r="BR125" t="e">
        <f t="shared" si="63"/>
        <v>#N/A</v>
      </c>
      <c r="BS125" s="1"/>
      <c r="BU125" s="1"/>
      <c r="BW125" s="1"/>
      <c r="BY125" s="1" t="e">
        <f t="shared" si="64"/>
        <v>#N/A</v>
      </c>
      <c r="BZ125" s="1" t="e">
        <f t="shared" si="65"/>
        <v>#N/A</v>
      </c>
      <c r="CA125" s="1" t="e">
        <f t="shared" si="66"/>
        <v>#N/A</v>
      </c>
    </row>
    <row r="126" spans="3:79">
      <c r="C126" s="5"/>
      <c r="D126" s="6"/>
      <c r="E126" s="5"/>
      <c r="F126" s="6"/>
      <c r="G126" s="6"/>
      <c r="H126" s="5"/>
      <c r="I126" s="6"/>
      <c r="J126" s="6"/>
      <c r="K126" s="5"/>
      <c r="L126" s="6"/>
      <c r="M126" s="6"/>
      <c r="AI126" s="1">
        <v>42803</v>
      </c>
      <c r="AJ126" t="s">
        <v>9605</v>
      </c>
      <c r="AK126">
        <f t="shared" ref="AK126" si="102">IF(AJ126="",NA(),VLOOKUP(AJ126,$AB$28:$AC$49,2,0))</f>
        <v>280</v>
      </c>
      <c r="AL126" s="1">
        <v>42065</v>
      </c>
      <c r="AM126" t="s">
        <v>9605</v>
      </c>
      <c r="AN126" t="s">
        <v>3</v>
      </c>
      <c r="AO126" s="1">
        <v>42185</v>
      </c>
      <c r="AP126" t="s">
        <v>9605</v>
      </c>
      <c r="AQ126" t="s">
        <v>3</v>
      </c>
      <c r="AR126" s="1">
        <v>42277</v>
      </c>
      <c r="AS126" t="s">
        <v>9605</v>
      </c>
      <c r="AT126" t="s">
        <v>3</v>
      </c>
      <c r="AU126" s="1">
        <f t="shared" si="58"/>
        <v>42803</v>
      </c>
      <c r="AV126" s="1" t="str">
        <f t="shared" si="59"/>
        <v>AAA</v>
      </c>
      <c r="AW126" s="52">
        <f t="shared" si="60"/>
        <v>280</v>
      </c>
      <c r="AZ126" s="1"/>
      <c r="BB126" t="e">
        <f t="shared" si="62"/>
        <v>#N/A</v>
      </c>
      <c r="BC126" s="1"/>
      <c r="BF126" s="1"/>
      <c r="BI126" s="1"/>
      <c r="BL126" s="1" t="e">
        <f t="shared" si="96"/>
        <v>#N/A</v>
      </c>
      <c r="BM126" s="1" t="e">
        <f t="shared" si="97"/>
        <v>#N/A</v>
      </c>
      <c r="BN126" s="1" t="e">
        <f t="shared" si="98"/>
        <v>#N/A</v>
      </c>
      <c r="BP126" s="1"/>
      <c r="BR126" t="e">
        <f t="shared" si="63"/>
        <v>#N/A</v>
      </c>
      <c r="BS126" s="1"/>
      <c r="BU126" s="1"/>
      <c r="BW126" s="1"/>
      <c r="BY126" s="1" t="e">
        <f t="shared" si="64"/>
        <v>#N/A</v>
      </c>
      <c r="BZ126" s="1" t="e">
        <f t="shared" si="65"/>
        <v>#N/A</v>
      </c>
      <c r="CA126" s="1" t="e">
        <f t="shared" si="66"/>
        <v>#N/A</v>
      </c>
    </row>
    <row r="127" spans="3:79">
      <c r="C127" s="5"/>
      <c r="D127" s="6"/>
      <c r="E127" s="5"/>
      <c r="F127" s="6"/>
      <c r="G127" s="6"/>
      <c r="H127" s="5"/>
      <c r="I127" s="6"/>
      <c r="J127" s="6"/>
      <c r="K127" s="5"/>
      <c r="L127" s="6"/>
      <c r="M127" s="6"/>
      <c r="AI127" s="1">
        <v>42794</v>
      </c>
      <c r="AJ127" t="s">
        <v>9605</v>
      </c>
      <c r="AK127">
        <f t="shared" ref="AK127" si="103">IF(AJ127="",NA(),VLOOKUP(AJ127,$AB$28:$AC$49,2,0))</f>
        <v>280</v>
      </c>
      <c r="AL127" s="1">
        <v>42034</v>
      </c>
      <c r="AM127" t="s">
        <v>9605</v>
      </c>
      <c r="AN127" t="s">
        <v>3</v>
      </c>
      <c r="AO127" s="1">
        <v>42153</v>
      </c>
      <c r="AP127" t="s">
        <v>9605</v>
      </c>
      <c r="AQ127" t="s">
        <v>3</v>
      </c>
      <c r="AR127" s="1">
        <v>42247</v>
      </c>
      <c r="AS127" t="s">
        <v>9605</v>
      </c>
      <c r="AT127" t="s">
        <v>3</v>
      </c>
      <c r="AU127" s="1">
        <f t="shared" si="58"/>
        <v>42794</v>
      </c>
      <c r="AV127" s="1" t="str">
        <f t="shared" si="59"/>
        <v>AAA</v>
      </c>
      <c r="AW127" s="52">
        <f t="shared" si="60"/>
        <v>280</v>
      </c>
      <c r="AZ127" s="1"/>
      <c r="BB127" t="e">
        <f t="shared" si="62"/>
        <v>#N/A</v>
      </c>
      <c r="BC127" s="1"/>
      <c r="BF127" s="1"/>
      <c r="BI127" s="1"/>
      <c r="BL127" s="1" t="e">
        <f t="shared" si="96"/>
        <v>#N/A</v>
      </c>
      <c r="BM127" s="1" t="e">
        <f t="shared" si="97"/>
        <v>#N/A</v>
      </c>
      <c r="BN127" s="1" t="e">
        <f t="shared" si="98"/>
        <v>#N/A</v>
      </c>
      <c r="BP127" s="1"/>
      <c r="BR127" t="e">
        <f t="shared" si="63"/>
        <v>#N/A</v>
      </c>
      <c r="BS127" s="1"/>
      <c r="BU127" s="1"/>
      <c r="BW127" s="1"/>
      <c r="BY127" s="1" t="e">
        <f t="shared" si="64"/>
        <v>#N/A</v>
      </c>
      <c r="BZ127" s="1" t="e">
        <f t="shared" si="65"/>
        <v>#N/A</v>
      </c>
      <c r="CA127" s="1" t="e">
        <f t="shared" si="66"/>
        <v>#N/A</v>
      </c>
    </row>
    <row r="128" spans="3:79">
      <c r="C128" s="5"/>
      <c r="D128" s="6"/>
      <c r="E128" s="5"/>
      <c r="F128" s="6"/>
      <c r="G128" s="6"/>
      <c r="H128" s="5"/>
      <c r="I128" s="6"/>
      <c r="J128" s="6"/>
      <c r="K128" s="5"/>
      <c r="L128" s="6"/>
      <c r="M128" s="6"/>
      <c r="AI128" s="1">
        <v>42766</v>
      </c>
      <c r="AJ128" t="s">
        <v>9605</v>
      </c>
      <c r="AK128">
        <f t="shared" ref="AK128" si="104">IF(AJ128="",NA(),VLOOKUP(AJ128,$AB$28:$AC$49,2,0))</f>
        <v>280</v>
      </c>
      <c r="AL128" s="1">
        <v>42030</v>
      </c>
      <c r="AM128" t="s">
        <v>9605</v>
      </c>
      <c r="AN128" t="s">
        <v>3</v>
      </c>
      <c r="AO128" s="1">
        <v>42124</v>
      </c>
      <c r="AP128" t="s">
        <v>9605</v>
      </c>
      <c r="AQ128" t="s">
        <v>3</v>
      </c>
      <c r="AR128" s="1">
        <v>42216</v>
      </c>
      <c r="AS128" t="s">
        <v>9605</v>
      </c>
      <c r="AT128" t="s">
        <v>3</v>
      </c>
      <c r="AU128" s="1">
        <f t="shared" si="58"/>
        <v>42766</v>
      </c>
      <c r="AV128" s="1" t="str">
        <f t="shared" si="59"/>
        <v>AAA</v>
      </c>
      <c r="AW128" s="52">
        <f t="shared" si="60"/>
        <v>280</v>
      </c>
      <c r="AZ128" s="1"/>
      <c r="BB128" t="e">
        <f t="shared" si="62"/>
        <v>#N/A</v>
      </c>
      <c r="BC128" s="1"/>
      <c r="BF128" s="1"/>
      <c r="BI128" s="1"/>
      <c r="BL128" s="1" t="e">
        <f t="shared" si="96"/>
        <v>#N/A</v>
      </c>
      <c r="BM128" s="1" t="e">
        <f t="shared" si="97"/>
        <v>#N/A</v>
      </c>
      <c r="BN128" s="1" t="e">
        <f t="shared" si="98"/>
        <v>#N/A</v>
      </c>
      <c r="BP128" s="1"/>
      <c r="BR128" t="e">
        <f t="shared" si="63"/>
        <v>#N/A</v>
      </c>
      <c r="BS128" s="1"/>
      <c r="BU128" s="1"/>
      <c r="BW128" s="1"/>
      <c r="BY128" s="1" t="e">
        <f t="shared" si="64"/>
        <v>#N/A</v>
      </c>
      <c r="BZ128" s="1" t="e">
        <f t="shared" si="65"/>
        <v>#N/A</v>
      </c>
      <c r="CA128" s="1" t="e">
        <f t="shared" si="66"/>
        <v>#N/A</v>
      </c>
    </row>
    <row r="129" spans="3:79">
      <c r="C129" s="5"/>
      <c r="D129" s="6"/>
      <c r="E129" s="5"/>
      <c r="F129" s="6"/>
      <c r="G129" s="6"/>
      <c r="H129" s="5"/>
      <c r="I129" s="6"/>
      <c r="J129" s="6"/>
      <c r="K129" s="5"/>
      <c r="L129" s="6"/>
      <c r="M129" s="6"/>
      <c r="AI129" s="1">
        <v>42734</v>
      </c>
      <c r="AJ129" t="s">
        <v>9605</v>
      </c>
      <c r="AK129">
        <f t="shared" ref="AK129" si="105">IF(AJ129="",NA(),VLOOKUP(AJ129,$AB$28:$AC$49,2,0))</f>
        <v>280</v>
      </c>
      <c r="AL129" s="1">
        <v>41974</v>
      </c>
      <c r="AM129" t="s">
        <v>9605</v>
      </c>
      <c r="AN129" t="s">
        <v>3</v>
      </c>
      <c r="AO129" s="1">
        <v>42094</v>
      </c>
      <c r="AP129" t="s">
        <v>9605</v>
      </c>
      <c r="AQ129" t="s">
        <v>3</v>
      </c>
      <c r="AR129" s="1">
        <v>42185</v>
      </c>
      <c r="AS129" t="s">
        <v>9605</v>
      </c>
      <c r="AT129" t="s">
        <v>3</v>
      </c>
      <c r="AU129" s="1">
        <f t="shared" si="58"/>
        <v>42734</v>
      </c>
      <c r="AV129" s="1" t="str">
        <f t="shared" si="59"/>
        <v>AAA</v>
      </c>
      <c r="AW129" s="52">
        <f t="shared" si="60"/>
        <v>280</v>
      </c>
      <c r="AZ129" s="1"/>
      <c r="BB129" t="e">
        <f t="shared" si="62"/>
        <v>#N/A</v>
      </c>
      <c r="BC129" s="1"/>
      <c r="BF129" s="1"/>
      <c r="BI129" s="1"/>
      <c r="BL129" s="1" t="e">
        <f t="shared" si="96"/>
        <v>#N/A</v>
      </c>
      <c r="BM129" s="1" t="e">
        <f t="shared" si="97"/>
        <v>#N/A</v>
      </c>
      <c r="BN129" s="1" t="e">
        <f t="shared" si="98"/>
        <v>#N/A</v>
      </c>
      <c r="BP129" s="1"/>
      <c r="BR129" t="e">
        <f t="shared" si="63"/>
        <v>#N/A</v>
      </c>
      <c r="BS129" s="1"/>
      <c r="BU129" s="1"/>
      <c r="BW129" s="1"/>
      <c r="BY129" s="1" t="e">
        <f t="shared" si="64"/>
        <v>#N/A</v>
      </c>
      <c r="BZ129" s="1" t="e">
        <f t="shared" si="65"/>
        <v>#N/A</v>
      </c>
      <c r="CA129" s="1" t="e">
        <f t="shared" si="66"/>
        <v>#N/A</v>
      </c>
    </row>
    <row r="130" spans="3:79">
      <c r="C130" s="5"/>
      <c r="D130" s="6"/>
      <c r="E130" s="5"/>
      <c r="F130" s="6"/>
      <c r="G130" s="6"/>
      <c r="H130" s="5"/>
      <c r="I130" s="6"/>
      <c r="J130" s="6"/>
      <c r="K130" s="5"/>
      <c r="L130" s="6"/>
      <c r="M130" s="6"/>
      <c r="AI130" s="1">
        <v>42704</v>
      </c>
      <c r="AJ130" t="s">
        <v>9605</v>
      </c>
      <c r="AK130">
        <f t="shared" ref="AK130" si="106">IF(AJ130="",NA(),VLOOKUP(AJ130,$AB$28:$AC$49,2,0))</f>
        <v>280</v>
      </c>
      <c r="AL130" s="1">
        <v>41943</v>
      </c>
      <c r="AM130" t="s">
        <v>9605</v>
      </c>
      <c r="AN130" t="s">
        <v>3</v>
      </c>
      <c r="AO130" s="1">
        <v>42062</v>
      </c>
      <c r="AP130" t="s">
        <v>9605</v>
      </c>
      <c r="AQ130" t="s">
        <v>3</v>
      </c>
      <c r="AR130" s="1">
        <v>42153</v>
      </c>
      <c r="AS130" t="s">
        <v>9605</v>
      </c>
      <c r="AT130" t="s">
        <v>3</v>
      </c>
      <c r="AU130" s="1">
        <f t="shared" si="58"/>
        <v>42704</v>
      </c>
      <c r="AV130" s="1" t="str">
        <f t="shared" si="59"/>
        <v>AAA</v>
      </c>
      <c r="AW130" s="52">
        <f t="shared" si="60"/>
        <v>280</v>
      </c>
      <c r="AZ130" s="1"/>
      <c r="BB130" t="e">
        <f t="shared" si="62"/>
        <v>#N/A</v>
      </c>
      <c r="BC130" s="1"/>
      <c r="BF130" s="1"/>
      <c r="BI130" s="1"/>
      <c r="BL130" s="1" t="e">
        <f t="shared" si="96"/>
        <v>#N/A</v>
      </c>
      <c r="BM130" s="1" t="e">
        <f t="shared" si="97"/>
        <v>#N/A</v>
      </c>
      <c r="BN130" s="1" t="e">
        <f t="shared" si="98"/>
        <v>#N/A</v>
      </c>
      <c r="BP130" s="1"/>
      <c r="BR130" t="e">
        <f t="shared" si="63"/>
        <v>#N/A</v>
      </c>
      <c r="BS130" s="1"/>
      <c r="BU130" s="1"/>
      <c r="BW130" s="1"/>
      <c r="BY130" s="1" t="e">
        <f t="shared" si="64"/>
        <v>#N/A</v>
      </c>
      <c r="BZ130" s="1" t="e">
        <f t="shared" si="65"/>
        <v>#N/A</v>
      </c>
      <c r="CA130" s="1" t="e">
        <f t="shared" si="66"/>
        <v>#N/A</v>
      </c>
    </row>
    <row r="131" spans="3:79">
      <c r="C131" s="5"/>
      <c r="D131" s="6"/>
      <c r="E131" s="5"/>
      <c r="F131" s="6"/>
      <c r="G131" s="6"/>
      <c r="H131" s="5"/>
      <c r="I131" s="6"/>
      <c r="J131" s="6"/>
      <c r="K131" s="5"/>
      <c r="L131" s="6"/>
      <c r="M131" s="6"/>
      <c r="AI131" s="1">
        <v>42674</v>
      </c>
      <c r="AJ131" t="s">
        <v>9605</v>
      </c>
      <c r="AK131">
        <f t="shared" ref="AK131" si="107">IF(AJ131="",NA(),VLOOKUP(AJ131,$AB$28:$AC$49,2,0))</f>
        <v>280</v>
      </c>
      <c r="AL131" s="1">
        <v>41912</v>
      </c>
      <c r="AM131" t="s">
        <v>9605</v>
      </c>
      <c r="AN131" t="s">
        <v>3</v>
      </c>
      <c r="AO131" s="1">
        <v>42034</v>
      </c>
      <c r="AP131" t="s">
        <v>9605</v>
      </c>
      <c r="AQ131" t="s">
        <v>3</v>
      </c>
      <c r="AR131" s="1">
        <v>42123</v>
      </c>
      <c r="AS131" t="s">
        <v>9605</v>
      </c>
      <c r="AT131" t="s">
        <v>3</v>
      </c>
      <c r="AU131" s="1">
        <f t="shared" si="58"/>
        <v>42674</v>
      </c>
      <c r="AV131" s="1" t="str">
        <f t="shared" si="59"/>
        <v>AAA</v>
      </c>
      <c r="AW131" s="52">
        <f t="shared" si="60"/>
        <v>280</v>
      </c>
      <c r="AZ131" s="1"/>
      <c r="BB131" t="e">
        <f t="shared" si="62"/>
        <v>#N/A</v>
      </c>
      <c r="BC131" s="1"/>
      <c r="BF131" s="1"/>
      <c r="BI131" s="1"/>
      <c r="BL131" s="1" t="e">
        <f t="shared" si="96"/>
        <v>#N/A</v>
      </c>
      <c r="BM131" s="1" t="e">
        <f t="shared" si="97"/>
        <v>#N/A</v>
      </c>
      <c r="BN131" s="1" t="e">
        <f t="shared" si="98"/>
        <v>#N/A</v>
      </c>
      <c r="BP131" s="1"/>
      <c r="BR131" t="e">
        <f t="shared" si="63"/>
        <v>#N/A</v>
      </c>
      <c r="BS131" s="1"/>
      <c r="BU131" s="1"/>
      <c r="BW131" s="1"/>
      <c r="BY131" s="1" t="e">
        <f t="shared" si="64"/>
        <v>#N/A</v>
      </c>
      <c r="BZ131" s="1" t="e">
        <f t="shared" si="65"/>
        <v>#N/A</v>
      </c>
      <c r="CA131" s="1" t="e">
        <f t="shared" si="66"/>
        <v>#N/A</v>
      </c>
    </row>
    <row r="132" spans="3:79">
      <c r="C132" s="5"/>
      <c r="D132" s="6"/>
      <c r="E132" s="5"/>
      <c r="F132" s="6"/>
      <c r="G132" s="6"/>
      <c r="H132" s="5"/>
      <c r="I132" s="6"/>
      <c r="J132" s="6"/>
      <c r="K132" s="5"/>
      <c r="L132" s="6"/>
      <c r="M132" s="6"/>
      <c r="AI132" s="1">
        <v>42643</v>
      </c>
      <c r="AJ132" t="s">
        <v>9605</v>
      </c>
      <c r="AK132">
        <f t="shared" ref="AK132" si="108">IF(AJ132="",NA(),VLOOKUP(AJ132,$AB$28:$AC$49,2,0))</f>
        <v>280</v>
      </c>
      <c r="AL132" s="1">
        <v>41880</v>
      </c>
      <c r="AM132" t="s">
        <v>9605</v>
      </c>
      <c r="AN132" t="s">
        <v>3</v>
      </c>
      <c r="AO132" s="1">
        <v>42004</v>
      </c>
      <c r="AP132" t="s">
        <v>9605</v>
      </c>
      <c r="AQ132" t="s">
        <v>3</v>
      </c>
      <c r="AR132" s="1">
        <v>42094</v>
      </c>
      <c r="AS132" t="s">
        <v>9605</v>
      </c>
      <c r="AT132" t="s">
        <v>3</v>
      </c>
      <c r="AU132" s="1">
        <f t="shared" si="58"/>
        <v>42643</v>
      </c>
      <c r="AV132" s="1" t="str">
        <f t="shared" si="59"/>
        <v>AAA</v>
      </c>
      <c r="AW132" s="52">
        <f t="shared" si="60"/>
        <v>280</v>
      </c>
      <c r="AZ132" s="1"/>
      <c r="BB132" t="e">
        <f t="shared" si="62"/>
        <v>#N/A</v>
      </c>
      <c r="BC132" s="1"/>
      <c r="BF132" s="1"/>
      <c r="BI132" s="1"/>
      <c r="BL132" s="1" t="e">
        <f t="shared" si="96"/>
        <v>#N/A</v>
      </c>
      <c r="BM132" s="1" t="e">
        <f t="shared" si="97"/>
        <v>#N/A</v>
      </c>
      <c r="BN132" s="1" t="e">
        <f t="shared" si="98"/>
        <v>#N/A</v>
      </c>
      <c r="BP132" s="1"/>
      <c r="BR132" t="e">
        <f t="shared" si="63"/>
        <v>#N/A</v>
      </c>
      <c r="BS132" s="1"/>
      <c r="BU132" s="1"/>
      <c r="BW132" s="1"/>
      <c r="BY132" s="1" t="e">
        <f t="shared" si="64"/>
        <v>#N/A</v>
      </c>
      <c r="BZ132" s="1" t="e">
        <f t="shared" si="65"/>
        <v>#N/A</v>
      </c>
      <c r="CA132" s="1" t="e">
        <f t="shared" si="66"/>
        <v>#N/A</v>
      </c>
    </row>
    <row r="133" spans="3:79">
      <c r="C133" s="5"/>
      <c r="D133" s="6"/>
      <c r="E133" s="5"/>
      <c r="F133" s="6"/>
      <c r="G133" s="6"/>
      <c r="H133" s="5"/>
      <c r="I133" s="6"/>
      <c r="J133" s="6"/>
      <c r="K133" s="5"/>
      <c r="L133" s="6"/>
      <c r="M133" s="6"/>
      <c r="AI133" s="1">
        <v>42622</v>
      </c>
      <c r="AJ133" t="s">
        <v>9605</v>
      </c>
      <c r="AK133">
        <f t="shared" ref="AK133" si="109">IF(AJ133="",NA(),VLOOKUP(AJ133,$AB$28:$AC$49,2,0))</f>
        <v>280</v>
      </c>
      <c r="AL133" s="1">
        <v>41851</v>
      </c>
      <c r="AM133" t="s">
        <v>9605</v>
      </c>
      <c r="AN133" t="s">
        <v>3</v>
      </c>
      <c r="AO133" s="1">
        <v>41971</v>
      </c>
      <c r="AP133" t="s">
        <v>9605</v>
      </c>
      <c r="AQ133" t="s">
        <v>3</v>
      </c>
      <c r="AR133" s="1">
        <v>42062</v>
      </c>
      <c r="AS133" t="s">
        <v>9605</v>
      </c>
      <c r="AT133" t="s">
        <v>3</v>
      </c>
      <c r="AU133" s="1">
        <f t="shared" si="58"/>
        <v>42622</v>
      </c>
      <c r="AV133" s="1" t="str">
        <f t="shared" si="59"/>
        <v>AAA</v>
      </c>
      <c r="AW133" s="52">
        <f t="shared" si="60"/>
        <v>280</v>
      </c>
      <c r="AZ133" s="1"/>
      <c r="BB133" t="e">
        <f t="shared" si="62"/>
        <v>#N/A</v>
      </c>
      <c r="BC133" s="1"/>
      <c r="BF133" s="1"/>
      <c r="BI133" s="1"/>
      <c r="BL133" s="1" t="e">
        <f t="shared" si="96"/>
        <v>#N/A</v>
      </c>
      <c r="BM133" s="1" t="e">
        <f t="shared" si="97"/>
        <v>#N/A</v>
      </c>
      <c r="BN133" s="1" t="e">
        <f t="shared" si="98"/>
        <v>#N/A</v>
      </c>
      <c r="BP133" s="1"/>
      <c r="BR133" t="e">
        <f t="shared" si="63"/>
        <v>#N/A</v>
      </c>
      <c r="BS133" s="1"/>
      <c r="BU133" s="1"/>
      <c r="BW133" s="1"/>
      <c r="BY133" s="1" t="e">
        <f t="shared" si="64"/>
        <v>#N/A</v>
      </c>
      <c r="BZ133" s="1" t="e">
        <f t="shared" si="65"/>
        <v>#N/A</v>
      </c>
      <c r="CA133" s="1" t="e">
        <f t="shared" si="66"/>
        <v>#N/A</v>
      </c>
    </row>
    <row r="134" spans="3:79">
      <c r="C134" s="5"/>
      <c r="D134" s="6"/>
      <c r="E134" s="5"/>
      <c r="F134" s="6"/>
      <c r="G134" s="6"/>
      <c r="H134" s="5"/>
      <c r="I134" s="6"/>
      <c r="J134" s="6"/>
      <c r="K134" s="5"/>
      <c r="L134" s="6"/>
      <c r="M134" s="6"/>
      <c r="AI134" s="1">
        <v>42613</v>
      </c>
      <c r="AJ134" t="s">
        <v>9605</v>
      </c>
      <c r="AK134">
        <f t="shared" ref="AK134" si="110">IF(AJ134="",NA(),VLOOKUP(AJ134,$AB$28:$AC$49,2,0))</f>
        <v>280</v>
      </c>
      <c r="AL134" s="1">
        <v>41820</v>
      </c>
      <c r="AM134" t="s">
        <v>9605</v>
      </c>
      <c r="AN134" t="s">
        <v>3</v>
      </c>
      <c r="AO134" s="1">
        <v>41943</v>
      </c>
      <c r="AP134" t="s">
        <v>9605</v>
      </c>
      <c r="AQ134" t="s">
        <v>3</v>
      </c>
      <c r="AR134" s="1">
        <v>42034</v>
      </c>
      <c r="AS134" t="s">
        <v>9605</v>
      </c>
      <c r="AT134" t="s">
        <v>3</v>
      </c>
      <c r="AU134" s="1">
        <f t="shared" si="58"/>
        <v>42613</v>
      </c>
      <c r="AV134" s="1" t="str">
        <f t="shared" si="59"/>
        <v>AAA</v>
      </c>
      <c r="AW134" s="52">
        <f t="shared" si="60"/>
        <v>280</v>
      </c>
      <c r="AZ134" s="1"/>
      <c r="BB134" t="e">
        <f t="shared" si="62"/>
        <v>#N/A</v>
      </c>
      <c r="BC134" s="1"/>
      <c r="BF134" s="1"/>
      <c r="BI134" s="1"/>
      <c r="BL134" s="1" t="e">
        <f t="shared" si="96"/>
        <v>#N/A</v>
      </c>
      <c r="BM134" s="1" t="e">
        <f t="shared" si="97"/>
        <v>#N/A</v>
      </c>
      <c r="BN134" s="1" t="e">
        <f t="shared" si="98"/>
        <v>#N/A</v>
      </c>
      <c r="BP134" s="1"/>
      <c r="BR134" t="e">
        <f t="shared" si="63"/>
        <v>#N/A</v>
      </c>
      <c r="BS134" s="1"/>
      <c r="BU134" s="1"/>
      <c r="BW134" s="1"/>
      <c r="BY134" s="1" t="e">
        <f t="shared" si="64"/>
        <v>#N/A</v>
      </c>
      <c r="BZ134" s="1" t="e">
        <f t="shared" si="65"/>
        <v>#N/A</v>
      </c>
      <c r="CA134" s="1" t="e">
        <f t="shared" si="66"/>
        <v>#N/A</v>
      </c>
    </row>
    <row r="135" spans="3:79">
      <c r="C135" s="5"/>
      <c r="D135" s="6"/>
      <c r="E135" s="5"/>
      <c r="F135" s="6"/>
      <c r="G135" s="6"/>
      <c r="H135" s="5"/>
      <c r="I135" s="6"/>
      <c r="J135" s="6"/>
      <c r="K135" s="5"/>
      <c r="L135" s="6"/>
      <c r="M135" s="6"/>
      <c r="AI135" s="1">
        <v>42580</v>
      </c>
      <c r="AJ135" t="s">
        <v>9605</v>
      </c>
      <c r="AK135">
        <f t="shared" ref="AK135" si="111">IF(AJ135="",NA(),VLOOKUP(AJ135,$AB$28:$AC$49,2,0))</f>
        <v>280</v>
      </c>
      <c r="AL135" s="1">
        <v>41789</v>
      </c>
      <c r="AM135" t="s">
        <v>9605</v>
      </c>
      <c r="AN135" t="s">
        <v>3</v>
      </c>
      <c r="AO135" s="1">
        <v>41912</v>
      </c>
      <c r="AP135" t="s">
        <v>9605</v>
      </c>
      <c r="AQ135" t="s">
        <v>3</v>
      </c>
      <c r="AR135" s="1">
        <v>42027</v>
      </c>
      <c r="AS135" t="s">
        <v>9605</v>
      </c>
      <c r="AT135" t="s">
        <v>3</v>
      </c>
      <c r="AU135" s="1">
        <f t="shared" si="58"/>
        <v>42580</v>
      </c>
      <c r="AV135" s="1" t="str">
        <f t="shared" si="59"/>
        <v>AAA</v>
      </c>
      <c r="AW135" s="52">
        <f t="shared" si="60"/>
        <v>280</v>
      </c>
      <c r="AZ135" s="1"/>
      <c r="BB135" t="e">
        <f t="shared" si="62"/>
        <v>#N/A</v>
      </c>
      <c r="BC135" s="1"/>
      <c r="BF135" s="1"/>
      <c r="BI135" s="1"/>
      <c r="BL135" s="1" t="e">
        <f t="shared" si="96"/>
        <v>#N/A</v>
      </c>
      <c r="BM135" s="1" t="e">
        <f t="shared" si="97"/>
        <v>#N/A</v>
      </c>
      <c r="BN135" s="1" t="e">
        <f t="shared" si="98"/>
        <v>#N/A</v>
      </c>
      <c r="BP135" s="1"/>
      <c r="BR135" t="e">
        <f t="shared" si="63"/>
        <v>#N/A</v>
      </c>
      <c r="BS135" s="1"/>
      <c r="BU135" s="1"/>
      <c r="BW135" s="1"/>
      <c r="BY135" s="1" t="e">
        <f t="shared" si="64"/>
        <v>#N/A</v>
      </c>
      <c r="BZ135" s="1" t="e">
        <f t="shared" si="65"/>
        <v>#N/A</v>
      </c>
      <c r="CA135" s="1" t="e">
        <f t="shared" si="66"/>
        <v>#N/A</v>
      </c>
    </row>
    <row r="136" spans="3:79">
      <c r="C136" s="5"/>
      <c r="D136" s="6"/>
      <c r="E136" s="5"/>
      <c r="F136" s="6"/>
      <c r="G136" s="6"/>
      <c r="H136" s="5"/>
      <c r="I136" s="6"/>
      <c r="J136" s="6"/>
      <c r="K136" s="5"/>
      <c r="L136" s="6"/>
      <c r="M136" s="6"/>
      <c r="AI136" s="1">
        <v>42551</v>
      </c>
      <c r="AJ136" t="s">
        <v>9605</v>
      </c>
      <c r="AK136">
        <f t="shared" ref="AK136" si="112">IF(AJ136="",NA(),VLOOKUP(AJ136,$AB$28:$AC$49,2,0))</f>
        <v>280</v>
      </c>
      <c r="AL136" s="1">
        <v>41759</v>
      </c>
      <c r="AM136" t="s">
        <v>9605</v>
      </c>
      <c r="AN136" t="s">
        <v>3</v>
      </c>
      <c r="AO136" s="1">
        <v>41880</v>
      </c>
      <c r="AP136" t="s">
        <v>9605</v>
      </c>
      <c r="AQ136" t="s">
        <v>3</v>
      </c>
      <c r="AR136" s="1">
        <v>41971</v>
      </c>
      <c r="AS136" t="s">
        <v>9605</v>
      </c>
      <c r="AT136" t="s">
        <v>3</v>
      </c>
      <c r="AU136" s="1">
        <f t="shared" si="58"/>
        <v>42551</v>
      </c>
      <c r="AV136" s="1" t="str">
        <f t="shared" si="59"/>
        <v>AAA</v>
      </c>
      <c r="AW136" s="52">
        <f t="shared" si="60"/>
        <v>280</v>
      </c>
      <c r="AZ136" s="1"/>
      <c r="BB136" t="e">
        <f t="shared" si="62"/>
        <v>#N/A</v>
      </c>
      <c r="BC136" s="1"/>
      <c r="BF136" s="1"/>
      <c r="BI136" s="1"/>
      <c r="BL136" s="1" t="e">
        <f t="shared" si="96"/>
        <v>#N/A</v>
      </c>
      <c r="BM136" s="1" t="e">
        <f t="shared" si="97"/>
        <v>#N/A</v>
      </c>
      <c r="BN136" s="1" t="e">
        <f t="shared" si="98"/>
        <v>#N/A</v>
      </c>
      <c r="BP136" s="1"/>
      <c r="BR136" t="e">
        <f t="shared" si="63"/>
        <v>#N/A</v>
      </c>
      <c r="BS136" s="1"/>
      <c r="BU136" s="1"/>
      <c r="BW136" s="1"/>
      <c r="BY136" s="1" t="e">
        <f t="shared" si="64"/>
        <v>#N/A</v>
      </c>
      <c r="BZ136" s="1" t="e">
        <f t="shared" si="65"/>
        <v>#N/A</v>
      </c>
      <c r="CA136" s="1" t="e">
        <f t="shared" si="66"/>
        <v>#N/A</v>
      </c>
    </row>
    <row r="137" spans="3:79">
      <c r="C137" s="5"/>
      <c r="D137" s="6"/>
      <c r="E137" s="5"/>
      <c r="F137" s="6"/>
      <c r="G137" s="6"/>
      <c r="H137" s="5"/>
      <c r="I137" s="6"/>
      <c r="J137" s="6"/>
      <c r="K137" s="5"/>
      <c r="L137" s="6"/>
      <c r="M137" s="6"/>
      <c r="AI137" s="1">
        <v>42521</v>
      </c>
      <c r="AJ137" t="s">
        <v>9605</v>
      </c>
      <c r="AK137">
        <f t="shared" ref="AK137" si="113">IF(AJ137="",NA(),VLOOKUP(AJ137,$AB$28:$AC$49,2,0))</f>
        <v>280</v>
      </c>
      <c r="AL137" s="1">
        <v>41729</v>
      </c>
      <c r="AM137" t="s">
        <v>9605</v>
      </c>
      <c r="AN137" t="s">
        <v>3</v>
      </c>
      <c r="AO137" s="1">
        <v>41851</v>
      </c>
      <c r="AP137" t="s">
        <v>9605</v>
      </c>
      <c r="AQ137" t="s">
        <v>3</v>
      </c>
      <c r="AR137" s="1">
        <v>41943</v>
      </c>
      <c r="AS137" t="s">
        <v>9605</v>
      </c>
      <c r="AT137" t="s">
        <v>3</v>
      </c>
      <c r="AU137" s="1">
        <f t="shared" si="58"/>
        <v>42521</v>
      </c>
      <c r="AV137" s="1" t="str">
        <f t="shared" si="59"/>
        <v>AAA</v>
      </c>
      <c r="AW137" s="52">
        <f t="shared" si="60"/>
        <v>280</v>
      </c>
      <c r="AZ137" s="1"/>
      <c r="BB137" t="e">
        <f t="shared" si="62"/>
        <v>#N/A</v>
      </c>
      <c r="BC137" s="1"/>
      <c r="BF137" s="1"/>
      <c r="BI137" s="1"/>
      <c r="BL137" s="1" t="e">
        <f t="shared" si="96"/>
        <v>#N/A</v>
      </c>
      <c r="BM137" s="1" t="e">
        <f t="shared" si="97"/>
        <v>#N/A</v>
      </c>
      <c r="BN137" s="1" t="e">
        <f t="shared" si="98"/>
        <v>#N/A</v>
      </c>
      <c r="BP137" s="1"/>
      <c r="BR137" t="e">
        <f t="shared" si="63"/>
        <v>#N/A</v>
      </c>
      <c r="BS137" s="1"/>
      <c r="BU137" s="1"/>
      <c r="BW137" s="1"/>
      <c r="BY137" s="1" t="e">
        <f t="shared" si="64"/>
        <v>#N/A</v>
      </c>
      <c r="BZ137" s="1" t="e">
        <f t="shared" si="65"/>
        <v>#N/A</v>
      </c>
      <c r="CA137" s="1" t="e">
        <f t="shared" si="66"/>
        <v>#N/A</v>
      </c>
    </row>
    <row r="138" spans="3:79">
      <c r="C138" s="5"/>
      <c r="D138" s="6"/>
      <c r="E138" s="5"/>
      <c r="F138" s="6"/>
      <c r="G138" s="6"/>
      <c r="H138" s="5"/>
      <c r="I138" s="6"/>
      <c r="J138" s="6"/>
      <c r="K138" s="5"/>
      <c r="L138" s="6"/>
      <c r="M138" s="6"/>
      <c r="AI138" s="1">
        <v>42489</v>
      </c>
      <c r="AJ138" t="s">
        <v>9605</v>
      </c>
      <c r="AK138">
        <f t="shared" ref="AK138" si="114">IF(AJ138="",NA(),VLOOKUP(AJ138,$AB$28:$AC$49,2,0))</f>
        <v>280</v>
      </c>
      <c r="AL138" s="1">
        <v>41698</v>
      </c>
      <c r="AM138" t="s">
        <v>9605</v>
      </c>
      <c r="AN138" t="s">
        <v>3</v>
      </c>
      <c r="AO138" s="1">
        <v>41820</v>
      </c>
      <c r="AP138" t="s">
        <v>9605</v>
      </c>
      <c r="AQ138" t="s">
        <v>3</v>
      </c>
      <c r="AR138" s="1">
        <v>41912</v>
      </c>
      <c r="AS138" t="s">
        <v>9605</v>
      </c>
      <c r="AT138" t="s">
        <v>3</v>
      </c>
      <c r="AU138" s="1">
        <f t="shared" si="58"/>
        <v>42489</v>
      </c>
      <c r="AV138" s="1" t="str">
        <f t="shared" si="59"/>
        <v>AAA</v>
      </c>
      <c r="AW138" s="52">
        <f t="shared" si="60"/>
        <v>280</v>
      </c>
      <c r="AZ138" s="1"/>
      <c r="BB138" t="e">
        <f t="shared" si="62"/>
        <v>#N/A</v>
      </c>
      <c r="BC138" s="1"/>
      <c r="BF138" s="1"/>
      <c r="BI138" s="1"/>
      <c r="BL138" s="1" t="e">
        <f t="shared" si="96"/>
        <v>#N/A</v>
      </c>
      <c r="BM138" s="1" t="e">
        <f t="shared" si="97"/>
        <v>#N/A</v>
      </c>
      <c r="BN138" s="1" t="e">
        <f t="shared" si="98"/>
        <v>#N/A</v>
      </c>
      <c r="BP138" s="1"/>
      <c r="BR138" t="e">
        <f t="shared" si="63"/>
        <v>#N/A</v>
      </c>
      <c r="BS138" s="1"/>
      <c r="BU138" s="1"/>
      <c r="BW138" s="1"/>
      <c r="BY138" s="1" t="e">
        <f t="shared" si="64"/>
        <v>#N/A</v>
      </c>
      <c r="BZ138" s="1" t="e">
        <f t="shared" si="65"/>
        <v>#N/A</v>
      </c>
      <c r="CA138" s="1" t="e">
        <f t="shared" si="66"/>
        <v>#N/A</v>
      </c>
    </row>
    <row r="139" spans="3:79">
      <c r="C139" s="5"/>
      <c r="D139" s="6"/>
      <c r="E139" s="5"/>
      <c r="F139" s="6"/>
      <c r="G139" s="6"/>
      <c r="H139" s="5"/>
      <c r="I139" s="6"/>
      <c r="J139" s="6"/>
      <c r="K139" s="5"/>
      <c r="L139" s="6"/>
      <c r="M139" s="6"/>
      <c r="AI139" s="1">
        <v>42461</v>
      </c>
      <c r="AJ139" t="s">
        <v>9605</v>
      </c>
      <c r="AK139">
        <f t="shared" ref="AK139" si="115">IF(AJ139="",NA(),VLOOKUP(AJ139,$AB$28:$AC$49,2,0))</f>
        <v>280</v>
      </c>
      <c r="AL139" s="1">
        <v>41673</v>
      </c>
      <c r="AM139" t="s">
        <v>9605</v>
      </c>
      <c r="AN139" t="s">
        <v>3</v>
      </c>
      <c r="AO139" s="1">
        <v>41789</v>
      </c>
      <c r="AP139" t="s">
        <v>9605</v>
      </c>
      <c r="AQ139" t="s">
        <v>3</v>
      </c>
      <c r="AR139" s="1">
        <v>41880</v>
      </c>
      <c r="AS139" t="s">
        <v>9605</v>
      </c>
      <c r="AT139" t="s">
        <v>3</v>
      </c>
      <c r="AU139" s="1">
        <f t="shared" si="58"/>
        <v>42461</v>
      </c>
      <c r="AV139" s="1" t="str">
        <f t="shared" si="59"/>
        <v>AAA</v>
      </c>
      <c r="AW139" s="52">
        <f t="shared" si="60"/>
        <v>280</v>
      </c>
      <c r="AZ139" s="1"/>
      <c r="BB139" t="e">
        <f t="shared" si="62"/>
        <v>#N/A</v>
      </c>
      <c r="BC139" s="1"/>
      <c r="BF139" s="1"/>
      <c r="BI139" s="1"/>
      <c r="BL139" s="1" t="e">
        <f t="shared" si="96"/>
        <v>#N/A</v>
      </c>
      <c r="BM139" s="1" t="e">
        <f t="shared" si="97"/>
        <v>#N/A</v>
      </c>
      <c r="BN139" s="1" t="e">
        <f t="shared" si="98"/>
        <v>#N/A</v>
      </c>
      <c r="BP139" s="1"/>
      <c r="BR139" t="e">
        <f t="shared" si="63"/>
        <v>#N/A</v>
      </c>
      <c r="BS139" s="1"/>
      <c r="BU139" s="1"/>
      <c r="BW139" s="1"/>
      <c r="BY139" s="1" t="e">
        <f t="shared" si="64"/>
        <v>#N/A</v>
      </c>
      <c r="BZ139" s="1" t="e">
        <f t="shared" si="65"/>
        <v>#N/A</v>
      </c>
      <c r="CA139" s="1" t="e">
        <f t="shared" si="66"/>
        <v>#N/A</v>
      </c>
    </row>
    <row r="140" spans="3:79">
      <c r="C140" s="5"/>
      <c r="D140" s="6"/>
      <c r="E140" s="5"/>
      <c r="F140" s="6"/>
      <c r="G140" s="6"/>
      <c r="H140" s="5"/>
      <c r="I140" s="6"/>
      <c r="J140" s="6"/>
      <c r="K140" s="5"/>
      <c r="L140" s="6"/>
      <c r="M140" s="6"/>
      <c r="AI140" s="1">
        <v>42447</v>
      </c>
      <c r="AJ140" t="s">
        <v>9605</v>
      </c>
      <c r="AK140">
        <f t="shared" ref="AK140" si="116">IF(AJ140="",NA(),VLOOKUP(AJ140,$AB$28:$AC$49,2,0))</f>
        <v>280</v>
      </c>
      <c r="AL140" s="1">
        <v>41639</v>
      </c>
      <c r="AM140" t="s">
        <v>9605</v>
      </c>
      <c r="AN140" t="s">
        <v>3</v>
      </c>
      <c r="AO140" s="1">
        <v>41759</v>
      </c>
      <c r="AP140" t="s">
        <v>9605</v>
      </c>
      <c r="AQ140" t="s">
        <v>3</v>
      </c>
      <c r="AR140" s="1">
        <v>41851</v>
      </c>
      <c r="AS140" t="s">
        <v>9605</v>
      </c>
      <c r="AT140" t="s">
        <v>3</v>
      </c>
      <c r="AU140" s="1">
        <f t="shared" si="58"/>
        <v>42447</v>
      </c>
      <c r="AV140" s="1" t="str">
        <f t="shared" si="59"/>
        <v>AAA</v>
      </c>
      <c r="AW140" s="52">
        <f t="shared" si="60"/>
        <v>280</v>
      </c>
      <c r="AZ140" s="1"/>
      <c r="BB140" t="e">
        <f t="shared" si="62"/>
        <v>#N/A</v>
      </c>
      <c r="BC140" s="1"/>
      <c r="BF140" s="1"/>
      <c r="BI140" s="1"/>
      <c r="BL140" s="1" t="e">
        <f t="shared" si="96"/>
        <v>#N/A</v>
      </c>
      <c r="BM140" s="1" t="e">
        <f t="shared" si="97"/>
        <v>#N/A</v>
      </c>
      <c r="BN140" s="1" t="e">
        <f t="shared" si="98"/>
        <v>#N/A</v>
      </c>
      <c r="BP140" s="1"/>
      <c r="BR140" t="e">
        <f t="shared" si="63"/>
        <v>#N/A</v>
      </c>
      <c r="BS140" s="1"/>
      <c r="BU140" s="1"/>
      <c r="BW140" s="1"/>
      <c r="BY140" s="1" t="e">
        <f t="shared" si="64"/>
        <v>#N/A</v>
      </c>
      <c r="BZ140" s="1" t="e">
        <f t="shared" si="65"/>
        <v>#N/A</v>
      </c>
      <c r="CA140" s="1" t="e">
        <f t="shared" si="66"/>
        <v>#N/A</v>
      </c>
    </row>
    <row r="141" spans="3:79">
      <c r="C141" s="5"/>
      <c r="D141" s="6"/>
      <c r="E141" s="5"/>
      <c r="F141" s="6"/>
      <c r="G141" s="6"/>
      <c r="H141" s="5"/>
      <c r="I141" s="6"/>
      <c r="J141" s="6"/>
      <c r="K141" s="5"/>
      <c r="L141" s="6"/>
      <c r="M141" s="6"/>
      <c r="AI141" s="1">
        <v>42429</v>
      </c>
      <c r="AJ141" t="s">
        <v>9605</v>
      </c>
      <c r="AK141">
        <f t="shared" ref="AK141" si="117">IF(AJ141="",NA(),VLOOKUP(AJ141,$AB$28:$AC$49,2,0))</f>
        <v>280</v>
      </c>
      <c r="AL141" s="1">
        <v>41607</v>
      </c>
      <c r="AM141" t="s">
        <v>9605</v>
      </c>
      <c r="AN141" t="s">
        <v>3</v>
      </c>
      <c r="AO141" s="1">
        <v>41729</v>
      </c>
      <c r="AP141" t="s">
        <v>9605</v>
      </c>
      <c r="AQ141" t="s">
        <v>3</v>
      </c>
      <c r="AR141" s="1">
        <v>41820</v>
      </c>
      <c r="AS141" t="s">
        <v>9605</v>
      </c>
      <c r="AT141" t="s">
        <v>3</v>
      </c>
      <c r="AU141" s="1">
        <f t="shared" si="58"/>
        <v>42429</v>
      </c>
      <c r="AV141" s="1" t="str">
        <f t="shared" si="59"/>
        <v>AAA</v>
      </c>
      <c r="AW141" s="52">
        <f t="shared" si="60"/>
        <v>280</v>
      </c>
      <c r="AZ141" s="1"/>
      <c r="BB141" t="e">
        <f t="shared" si="62"/>
        <v>#N/A</v>
      </c>
      <c r="BC141" s="1"/>
      <c r="BF141" s="1"/>
      <c r="BI141" s="1"/>
      <c r="BL141" s="1" t="e">
        <f t="shared" si="96"/>
        <v>#N/A</v>
      </c>
      <c r="BM141" s="1" t="e">
        <f t="shared" si="97"/>
        <v>#N/A</v>
      </c>
      <c r="BN141" s="1" t="e">
        <f t="shared" si="98"/>
        <v>#N/A</v>
      </c>
      <c r="BP141" s="1"/>
      <c r="BR141" t="e">
        <f t="shared" si="63"/>
        <v>#N/A</v>
      </c>
      <c r="BS141" s="1"/>
      <c r="BU141" s="1"/>
      <c r="BW141" s="1"/>
      <c r="BY141" s="1" t="e">
        <f t="shared" si="64"/>
        <v>#N/A</v>
      </c>
      <c r="BZ141" s="1" t="e">
        <f t="shared" si="65"/>
        <v>#N/A</v>
      </c>
      <c r="CA141" s="1" t="e">
        <f t="shared" si="66"/>
        <v>#N/A</v>
      </c>
    </row>
    <row r="142" spans="3:79">
      <c r="C142" s="5"/>
      <c r="D142" s="6"/>
      <c r="E142" s="5"/>
      <c r="F142" s="6"/>
      <c r="G142" s="6"/>
      <c r="H142" s="5"/>
      <c r="I142" s="6"/>
      <c r="J142" s="6"/>
      <c r="K142" s="5"/>
      <c r="L142" s="6"/>
      <c r="M142" s="6"/>
      <c r="AI142" s="1">
        <v>42398</v>
      </c>
      <c r="AJ142" t="s">
        <v>9605</v>
      </c>
      <c r="AK142">
        <f t="shared" ref="AK142" si="118">IF(AJ142="",NA(),VLOOKUP(AJ142,$AB$28:$AC$49,2,0))</f>
        <v>280</v>
      </c>
      <c r="AL142" s="1">
        <v>41578</v>
      </c>
      <c r="AM142" t="s">
        <v>9605</v>
      </c>
      <c r="AN142" t="s">
        <v>3</v>
      </c>
      <c r="AO142" s="1">
        <v>41698</v>
      </c>
      <c r="AP142" t="s">
        <v>9605</v>
      </c>
      <c r="AQ142" t="s">
        <v>3</v>
      </c>
      <c r="AR142" s="1">
        <v>41789</v>
      </c>
      <c r="AS142" t="s">
        <v>9605</v>
      </c>
      <c r="AT142" t="s">
        <v>3</v>
      </c>
      <c r="AU142" s="1">
        <f t="shared" si="58"/>
        <v>42398</v>
      </c>
      <c r="AV142" s="1" t="str">
        <f t="shared" si="59"/>
        <v>AAA</v>
      </c>
      <c r="AW142" s="52">
        <f t="shared" si="60"/>
        <v>280</v>
      </c>
      <c r="AZ142" s="1"/>
      <c r="BB142" t="e">
        <f t="shared" si="62"/>
        <v>#N/A</v>
      </c>
      <c r="BC142" s="1"/>
      <c r="BF142" s="1"/>
      <c r="BI142" s="1"/>
      <c r="BL142" s="1" t="e">
        <f t="shared" si="96"/>
        <v>#N/A</v>
      </c>
      <c r="BM142" s="1" t="e">
        <f t="shared" si="97"/>
        <v>#N/A</v>
      </c>
      <c r="BN142" s="1" t="e">
        <f t="shared" si="98"/>
        <v>#N/A</v>
      </c>
      <c r="BP142" s="1"/>
      <c r="BR142" t="e">
        <f t="shared" si="63"/>
        <v>#N/A</v>
      </c>
      <c r="BS142" s="1"/>
      <c r="BU142" s="1"/>
      <c r="BW142" s="1"/>
      <c r="BY142" s="1" t="e">
        <f t="shared" si="64"/>
        <v>#N/A</v>
      </c>
      <c r="BZ142" s="1" t="e">
        <f t="shared" si="65"/>
        <v>#N/A</v>
      </c>
      <c r="CA142" s="1" t="e">
        <f t="shared" si="66"/>
        <v>#N/A</v>
      </c>
    </row>
    <row r="143" spans="3:79">
      <c r="C143" s="5"/>
      <c r="D143" s="6"/>
      <c r="E143" s="5"/>
      <c r="F143" s="6"/>
      <c r="G143" s="6"/>
      <c r="H143" s="5"/>
      <c r="I143" s="6"/>
      <c r="J143" s="6"/>
      <c r="K143" s="5"/>
      <c r="L143" s="6"/>
      <c r="M143" s="6"/>
      <c r="AI143" s="1">
        <v>42369</v>
      </c>
      <c r="AJ143" t="s">
        <v>9605</v>
      </c>
      <c r="AK143">
        <f t="shared" ref="AK143" si="119">IF(AJ143="",NA(),VLOOKUP(AJ143,$AB$28:$AC$49,2,0))</f>
        <v>280</v>
      </c>
      <c r="AL143" s="1">
        <v>41547</v>
      </c>
      <c r="AM143" t="s">
        <v>9605</v>
      </c>
      <c r="AN143" t="s">
        <v>3</v>
      </c>
      <c r="AO143" s="1">
        <v>41668</v>
      </c>
      <c r="AP143" t="s">
        <v>9605</v>
      </c>
      <c r="AQ143" t="s">
        <v>3</v>
      </c>
      <c r="AR143" s="1">
        <v>41759</v>
      </c>
      <c r="AS143" t="s">
        <v>9605</v>
      </c>
      <c r="AT143" t="s">
        <v>3</v>
      </c>
      <c r="AU143" s="1">
        <f t="shared" si="58"/>
        <v>42369</v>
      </c>
      <c r="AV143" s="1" t="str">
        <f t="shared" si="59"/>
        <v>AAA</v>
      </c>
      <c r="AW143" s="52">
        <f t="shared" si="60"/>
        <v>280</v>
      </c>
      <c r="AZ143" s="1"/>
      <c r="BB143" t="e">
        <f t="shared" si="62"/>
        <v>#N/A</v>
      </c>
      <c r="BC143" s="1"/>
      <c r="BF143" s="1"/>
      <c r="BI143" s="1"/>
      <c r="BL143" s="1" t="e">
        <f t="shared" si="96"/>
        <v>#N/A</v>
      </c>
      <c r="BM143" s="1" t="e">
        <f t="shared" si="97"/>
        <v>#N/A</v>
      </c>
      <c r="BN143" s="1" t="e">
        <f t="shared" si="98"/>
        <v>#N/A</v>
      </c>
      <c r="BP143" s="1"/>
      <c r="BR143" t="e">
        <f t="shared" si="63"/>
        <v>#N/A</v>
      </c>
      <c r="BS143" s="1"/>
      <c r="BU143" s="1"/>
      <c r="BW143" s="1"/>
      <c r="BY143" s="1" t="e">
        <f t="shared" si="64"/>
        <v>#N/A</v>
      </c>
      <c r="BZ143" s="1" t="e">
        <f t="shared" si="65"/>
        <v>#N/A</v>
      </c>
      <c r="CA143" s="1" t="e">
        <f t="shared" si="66"/>
        <v>#N/A</v>
      </c>
    </row>
    <row r="144" spans="3:79">
      <c r="C144" s="5"/>
      <c r="D144" s="6"/>
      <c r="E144" s="5"/>
      <c r="F144" s="6"/>
      <c r="G144" s="6"/>
      <c r="H144" s="5"/>
      <c r="I144" s="6"/>
      <c r="J144" s="6"/>
      <c r="K144" s="5"/>
      <c r="L144" s="6"/>
      <c r="M144" s="6"/>
      <c r="AI144" s="1">
        <v>42338</v>
      </c>
      <c r="AJ144" t="s">
        <v>9605</v>
      </c>
      <c r="AK144">
        <f t="shared" ref="AK144" si="120">IF(AJ144="",NA(),VLOOKUP(AJ144,$AB$28:$AC$49,2,0))</f>
        <v>280</v>
      </c>
      <c r="AL144" s="1">
        <v>41516</v>
      </c>
      <c r="AM144" t="s">
        <v>9605</v>
      </c>
      <c r="AN144" t="s">
        <v>3</v>
      </c>
      <c r="AO144" s="1">
        <v>41639</v>
      </c>
      <c r="AP144" t="s">
        <v>9605</v>
      </c>
      <c r="AQ144" t="s">
        <v>3</v>
      </c>
      <c r="AR144" s="1">
        <v>41730</v>
      </c>
      <c r="AS144" t="s">
        <v>9605</v>
      </c>
      <c r="AT144" t="s">
        <v>3</v>
      </c>
      <c r="AU144" s="1">
        <f t="shared" si="58"/>
        <v>42338</v>
      </c>
      <c r="AV144" s="1" t="str">
        <f t="shared" si="59"/>
        <v>AAA</v>
      </c>
      <c r="AW144" s="52">
        <f t="shared" si="60"/>
        <v>280</v>
      </c>
      <c r="AZ144" s="1"/>
      <c r="BB144" t="e">
        <f t="shared" si="62"/>
        <v>#N/A</v>
      </c>
      <c r="BC144" s="1"/>
      <c r="BF144" s="1"/>
      <c r="BI144" s="1"/>
      <c r="BL144" s="1" t="e">
        <f t="shared" si="96"/>
        <v>#N/A</v>
      </c>
      <c r="BM144" s="1" t="e">
        <f t="shared" si="97"/>
        <v>#N/A</v>
      </c>
      <c r="BN144" s="1" t="e">
        <f t="shared" si="98"/>
        <v>#N/A</v>
      </c>
      <c r="BP144" s="1"/>
      <c r="BR144" t="e">
        <f t="shared" si="63"/>
        <v>#N/A</v>
      </c>
      <c r="BS144" s="1"/>
      <c r="BU144" s="1"/>
      <c r="BW144" s="1"/>
      <c r="BY144" s="1" t="e">
        <f t="shared" si="64"/>
        <v>#N/A</v>
      </c>
      <c r="BZ144" s="1" t="e">
        <f t="shared" si="65"/>
        <v>#N/A</v>
      </c>
      <c r="CA144" s="1" t="e">
        <f t="shared" si="66"/>
        <v>#N/A</v>
      </c>
    </row>
    <row r="145" spans="3:79">
      <c r="C145" s="5"/>
      <c r="D145" s="6"/>
      <c r="E145" s="5"/>
      <c r="F145" s="6"/>
      <c r="G145" s="6"/>
      <c r="H145" s="5"/>
      <c r="I145" s="6"/>
      <c r="J145" s="6"/>
      <c r="K145" s="5"/>
      <c r="L145" s="6"/>
      <c r="M145" s="6"/>
      <c r="AI145" s="1">
        <v>42307</v>
      </c>
      <c r="AJ145" t="s">
        <v>9605</v>
      </c>
      <c r="AK145">
        <f t="shared" ref="AK145" si="121">IF(AJ145="",NA(),VLOOKUP(AJ145,$AB$28:$AC$49,2,0))</f>
        <v>280</v>
      </c>
      <c r="AL145" s="1">
        <v>41486</v>
      </c>
      <c r="AM145" t="s">
        <v>9605</v>
      </c>
      <c r="AN145" t="s">
        <v>3</v>
      </c>
      <c r="AO145" s="1">
        <v>41607</v>
      </c>
      <c r="AP145" t="s">
        <v>9605</v>
      </c>
      <c r="AQ145" t="s">
        <v>3</v>
      </c>
      <c r="AR145" s="1">
        <v>41698</v>
      </c>
      <c r="AS145" t="s">
        <v>9605</v>
      </c>
      <c r="AT145" t="s">
        <v>3</v>
      </c>
      <c r="AU145" s="1">
        <f t="shared" si="58"/>
        <v>42307</v>
      </c>
      <c r="AV145" s="1" t="str">
        <f t="shared" si="59"/>
        <v>AAA</v>
      </c>
      <c r="AW145" s="52">
        <f t="shared" si="60"/>
        <v>280</v>
      </c>
      <c r="AZ145" s="1"/>
      <c r="BB145" t="e">
        <f t="shared" si="62"/>
        <v>#N/A</v>
      </c>
      <c r="BC145" s="1"/>
      <c r="BF145" s="1"/>
      <c r="BI145" s="1"/>
      <c r="BL145" s="1" t="e">
        <f t="shared" si="96"/>
        <v>#N/A</v>
      </c>
      <c r="BM145" s="1" t="e">
        <f t="shared" si="97"/>
        <v>#N/A</v>
      </c>
      <c r="BN145" s="1" t="e">
        <f t="shared" si="98"/>
        <v>#N/A</v>
      </c>
      <c r="BP145" s="1"/>
      <c r="BR145" t="e">
        <f t="shared" si="63"/>
        <v>#N/A</v>
      </c>
      <c r="BS145" s="1"/>
      <c r="BU145" s="1"/>
      <c r="BW145" s="1"/>
      <c r="BY145" s="1" t="e">
        <f t="shared" si="64"/>
        <v>#N/A</v>
      </c>
      <c r="BZ145" s="1" t="e">
        <f t="shared" si="65"/>
        <v>#N/A</v>
      </c>
      <c r="CA145" s="1" t="e">
        <f t="shared" si="66"/>
        <v>#N/A</v>
      </c>
    </row>
    <row r="146" spans="3:79">
      <c r="C146" s="5"/>
      <c r="D146" s="6"/>
      <c r="E146" s="5"/>
      <c r="F146" s="6"/>
      <c r="G146" s="6"/>
      <c r="H146" s="5"/>
      <c r="I146" s="6"/>
      <c r="J146" s="6"/>
      <c r="K146" s="5"/>
      <c r="L146" s="6"/>
      <c r="M146" s="6"/>
      <c r="AI146" s="1">
        <v>42306</v>
      </c>
      <c r="AJ146" t="s">
        <v>9605</v>
      </c>
      <c r="AK146">
        <f t="shared" ref="AK146" si="122">IF(AJ146="",NA(),VLOOKUP(AJ146,$AB$28:$AC$49,2,0))</f>
        <v>280</v>
      </c>
      <c r="AL146" s="1">
        <v>41453</v>
      </c>
      <c r="AM146" t="s">
        <v>9605</v>
      </c>
      <c r="AN146" t="s">
        <v>3</v>
      </c>
      <c r="AO146" s="1">
        <v>41578</v>
      </c>
      <c r="AP146" t="s">
        <v>9605</v>
      </c>
      <c r="AQ146" t="s">
        <v>3</v>
      </c>
      <c r="AR146" s="1">
        <v>41668</v>
      </c>
      <c r="AS146" t="s">
        <v>9605</v>
      </c>
      <c r="AT146" t="s">
        <v>3</v>
      </c>
      <c r="AU146" s="1">
        <f t="shared" si="58"/>
        <v>42306</v>
      </c>
      <c r="AV146" s="1" t="str">
        <f t="shared" si="59"/>
        <v>AAA</v>
      </c>
      <c r="AW146" s="52">
        <f t="shared" si="60"/>
        <v>280</v>
      </c>
      <c r="AZ146" s="1"/>
      <c r="BB146" t="e">
        <f t="shared" si="62"/>
        <v>#N/A</v>
      </c>
      <c r="BC146" s="1"/>
      <c r="BF146" s="1"/>
      <c r="BI146" s="1"/>
      <c r="BL146" s="1" t="e">
        <f t="shared" si="96"/>
        <v>#N/A</v>
      </c>
      <c r="BM146" s="1" t="e">
        <f t="shared" si="97"/>
        <v>#N/A</v>
      </c>
      <c r="BN146" s="1" t="e">
        <f t="shared" si="98"/>
        <v>#N/A</v>
      </c>
      <c r="BP146" s="1"/>
      <c r="BR146" t="e">
        <f t="shared" si="63"/>
        <v>#N/A</v>
      </c>
      <c r="BS146" s="1"/>
      <c r="BU146" s="1"/>
      <c r="BW146" s="1"/>
      <c r="BY146" s="1" t="e">
        <f t="shared" si="64"/>
        <v>#N/A</v>
      </c>
      <c r="BZ146" s="1" t="e">
        <f t="shared" si="65"/>
        <v>#N/A</v>
      </c>
      <c r="CA146" s="1" t="e">
        <f t="shared" si="66"/>
        <v>#N/A</v>
      </c>
    </row>
    <row r="147" spans="3:79">
      <c r="C147" s="5"/>
      <c r="D147" s="6"/>
      <c r="E147" s="5"/>
      <c r="F147" s="6"/>
      <c r="G147" s="6"/>
      <c r="H147" s="5"/>
      <c r="I147" s="6"/>
      <c r="J147" s="6"/>
      <c r="K147" s="5"/>
      <c r="L147" s="6"/>
      <c r="M147" s="6"/>
      <c r="AI147" s="1">
        <v>42277</v>
      </c>
      <c r="AJ147" t="s">
        <v>9605</v>
      </c>
      <c r="AK147">
        <f t="shared" ref="AK147" si="123">IF(AJ147="",NA(),VLOOKUP(AJ147,$AB$28:$AC$49,2,0))</f>
        <v>280</v>
      </c>
      <c r="AL147" s="1">
        <v>41425</v>
      </c>
      <c r="AM147" t="s">
        <v>9605</v>
      </c>
      <c r="AN147" t="s">
        <v>3</v>
      </c>
      <c r="AO147" s="1">
        <v>41516</v>
      </c>
      <c r="AP147" t="s">
        <v>9605</v>
      </c>
      <c r="AQ147" t="s">
        <v>3</v>
      </c>
      <c r="AR147" s="1">
        <v>41639</v>
      </c>
      <c r="AS147" t="s">
        <v>9605</v>
      </c>
      <c r="AT147" t="s">
        <v>3</v>
      </c>
      <c r="AU147" s="1">
        <f t="shared" si="58"/>
        <v>42277</v>
      </c>
      <c r="AV147" s="1" t="str">
        <f t="shared" si="59"/>
        <v>AAA</v>
      </c>
      <c r="AW147" s="52">
        <f t="shared" si="60"/>
        <v>280</v>
      </c>
      <c r="AZ147" s="1"/>
      <c r="BB147" t="e">
        <f t="shared" si="62"/>
        <v>#N/A</v>
      </c>
      <c r="BC147" s="1"/>
      <c r="BF147" s="1"/>
      <c r="BI147" s="1"/>
      <c r="BL147" s="1" t="e">
        <f t="shared" si="96"/>
        <v>#N/A</v>
      </c>
      <c r="BM147" s="1" t="e">
        <f t="shared" si="97"/>
        <v>#N/A</v>
      </c>
      <c r="BN147" s="1" t="e">
        <f t="shared" si="98"/>
        <v>#N/A</v>
      </c>
      <c r="BP147" s="1"/>
      <c r="BR147" t="e">
        <f t="shared" si="63"/>
        <v>#N/A</v>
      </c>
      <c r="BS147" s="1"/>
      <c r="BU147" s="1"/>
      <c r="BW147" s="1"/>
      <c r="BY147" s="1" t="e">
        <f t="shared" si="64"/>
        <v>#N/A</v>
      </c>
      <c r="BZ147" s="1" t="e">
        <f t="shared" si="65"/>
        <v>#N/A</v>
      </c>
      <c r="CA147" s="1" t="e">
        <f t="shared" si="66"/>
        <v>#N/A</v>
      </c>
    </row>
    <row r="148" spans="3:79">
      <c r="C148" s="5"/>
      <c r="D148" s="6"/>
      <c r="E148" s="5"/>
      <c r="F148" s="6"/>
      <c r="G148" s="6"/>
      <c r="H148" s="5"/>
      <c r="I148" s="6"/>
      <c r="J148" s="6"/>
      <c r="K148" s="5"/>
      <c r="L148" s="6"/>
      <c r="M148" s="6"/>
      <c r="AI148" s="1">
        <v>42255</v>
      </c>
      <c r="AJ148" t="s">
        <v>9605</v>
      </c>
      <c r="AK148">
        <f t="shared" ref="AK148" si="124">IF(AJ148="",NA(),VLOOKUP(AJ148,$AB$28:$AC$49,2,0))</f>
        <v>280</v>
      </c>
      <c r="AL148" s="1">
        <v>41394</v>
      </c>
      <c r="AM148" t="s">
        <v>9605</v>
      </c>
      <c r="AN148" t="s">
        <v>3</v>
      </c>
      <c r="AO148" s="1">
        <v>41486</v>
      </c>
      <c r="AP148" t="s">
        <v>9605</v>
      </c>
      <c r="AQ148" t="s">
        <v>3</v>
      </c>
      <c r="AR148" s="1">
        <v>41607</v>
      </c>
      <c r="AS148" t="s">
        <v>9605</v>
      </c>
      <c r="AT148" t="s">
        <v>3</v>
      </c>
      <c r="AU148" s="1">
        <f t="shared" si="58"/>
        <v>42255</v>
      </c>
      <c r="AV148" s="1" t="str">
        <f t="shared" si="59"/>
        <v>AAA</v>
      </c>
      <c r="AW148" s="52">
        <f t="shared" si="60"/>
        <v>280</v>
      </c>
      <c r="AZ148" s="1"/>
      <c r="BB148" t="e">
        <f t="shared" si="62"/>
        <v>#N/A</v>
      </c>
      <c r="BC148" s="1"/>
      <c r="BF148" s="1"/>
      <c r="BI148" s="1"/>
      <c r="BL148" s="1" t="e">
        <f t="shared" si="96"/>
        <v>#N/A</v>
      </c>
      <c r="BM148" s="1" t="e">
        <f t="shared" si="97"/>
        <v>#N/A</v>
      </c>
      <c r="BN148" s="1" t="e">
        <f t="shared" si="98"/>
        <v>#N/A</v>
      </c>
      <c r="BP148" s="1"/>
      <c r="BR148" t="e">
        <f t="shared" si="63"/>
        <v>#N/A</v>
      </c>
      <c r="BS148" s="1"/>
      <c r="BU148" s="1"/>
      <c r="BW148" s="1"/>
      <c r="BY148" s="1" t="e">
        <f t="shared" si="64"/>
        <v>#N/A</v>
      </c>
      <c r="BZ148" s="1" t="e">
        <f t="shared" si="65"/>
        <v>#N/A</v>
      </c>
      <c r="CA148" s="1" t="e">
        <f t="shared" si="66"/>
        <v>#N/A</v>
      </c>
    </row>
    <row r="149" spans="3:79">
      <c r="C149" s="5"/>
      <c r="D149" s="6"/>
      <c r="E149" s="5"/>
      <c r="F149" s="6"/>
      <c r="G149" s="6"/>
      <c r="H149" s="5"/>
      <c r="I149" s="6"/>
      <c r="J149" s="6"/>
      <c r="K149" s="5"/>
      <c r="L149" s="6"/>
      <c r="M149" s="6"/>
      <c r="AI149" s="1">
        <v>42247</v>
      </c>
      <c r="AJ149" t="s">
        <v>9605</v>
      </c>
      <c r="AK149">
        <f t="shared" ref="AK149" si="125">IF(AJ149="",NA(),VLOOKUP(AJ149,$AB$28:$AC$49,2,0))</f>
        <v>280</v>
      </c>
      <c r="AL149" s="1">
        <v>41365</v>
      </c>
      <c r="AM149" t="s">
        <v>9605</v>
      </c>
      <c r="AN149" t="s">
        <v>3</v>
      </c>
      <c r="AO149" s="1">
        <v>41453</v>
      </c>
      <c r="AP149" t="s">
        <v>9605</v>
      </c>
      <c r="AQ149" t="s">
        <v>3</v>
      </c>
      <c r="AR149" s="1">
        <v>41578</v>
      </c>
      <c r="AS149" t="s">
        <v>9605</v>
      </c>
      <c r="AT149" t="s">
        <v>3</v>
      </c>
      <c r="AU149" s="1">
        <f t="shared" si="58"/>
        <v>42247</v>
      </c>
      <c r="AV149" s="1" t="str">
        <f t="shared" si="59"/>
        <v>AAA</v>
      </c>
      <c r="AW149" s="52">
        <f t="shared" si="60"/>
        <v>280</v>
      </c>
      <c r="AZ149" s="1"/>
      <c r="BB149" t="e">
        <f t="shared" si="62"/>
        <v>#N/A</v>
      </c>
      <c r="BC149" s="1"/>
      <c r="BF149" s="1"/>
      <c r="BI149" s="1"/>
      <c r="BL149" s="1" t="e">
        <f t="shared" si="96"/>
        <v>#N/A</v>
      </c>
      <c r="BM149" s="1" t="e">
        <f t="shared" si="97"/>
        <v>#N/A</v>
      </c>
      <c r="BN149" s="1" t="e">
        <f t="shared" si="98"/>
        <v>#N/A</v>
      </c>
      <c r="BP149" s="1"/>
      <c r="BR149" t="e">
        <f t="shared" si="63"/>
        <v>#N/A</v>
      </c>
      <c r="BS149" s="1"/>
      <c r="BU149" s="1"/>
      <c r="BW149" s="1"/>
      <c r="BY149" s="1" t="e">
        <f t="shared" si="64"/>
        <v>#N/A</v>
      </c>
      <c r="BZ149" s="1" t="e">
        <f t="shared" si="65"/>
        <v>#N/A</v>
      </c>
      <c r="CA149" s="1" t="e">
        <f t="shared" si="66"/>
        <v>#N/A</v>
      </c>
    </row>
    <row r="150" spans="3:79">
      <c r="C150" s="5"/>
      <c r="D150" s="6"/>
      <c r="E150" s="5"/>
      <c r="F150" s="6"/>
      <c r="G150" s="6"/>
      <c r="H150" s="5"/>
      <c r="I150" s="6"/>
      <c r="J150" s="6"/>
      <c r="K150" s="5"/>
      <c r="L150" s="6"/>
      <c r="M150" s="6"/>
      <c r="AI150" s="1">
        <v>42216</v>
      </c>
      <c r="AJ150" t="s">
        <v>9605</v>
      </c>
      <c r="AK150">
        <f t="shared" ref="AK150" si="126">IF(AJ150="",NA(),VLOOKUP(AJ150,$AB$28:$AC$49,2,0))</f>
        <v>280</v>
      </c>
      <c r="AL150" s="1">
        <v>41333</v>
      </c>
      <c r="AM150" t="s">
        <v>9605</v>
      </c>
      <c r="AN150" t="s">
        <v>3</v>
      </c>
      <c r="AO150" s="1">
        <v>41425</v>
      </c>
      <c r="AP150" t="s">
        <v>9605</v>
      </c>
      <c r="AQ150" t="s">
        <v>3</v>
      </c>
      <c r="AR150" s="1">
        <v>41547</v>
      </c>
      <c r="AS150" t="s">
        <v>9605</v>
      </c>
      <c r="AT150" t="s">
        <v>3</v>
      </c>
      <c r="AU150" s="1">
        <f t="shared" si="58"/>
        <v>42216</v>
      </c>
      <c r="AV150" s="1" t="str">
        <f t="shared" si="59"/>
        <v>AAA</v>
      </c>
      <c r="AW150" s="52">
        <f t="shared" si="60"/>
        <v>280</v>
      </c>
      <c r="AZ150" s="1"/>
      <c r="BB150" t="e">
        <f t="shared" si="62"/>
        <v>#N/A</v>
      </c>
      <c r="BC150" s="1"/>
      <c r="BF150" s="1"/>
      <c r="BI150" s="1"/>
      <c r="BL150" s="1" t="e">
        <f t="shared" si="96"/>
        <v>#N/A</v>
      </c>
      <c r="BM150" s="1" t="e">
        <f t="shared" si="97"/>
        <v>#N/A</v>
      </c>
      <c r="BN150" s="1" t="e">
        <f t="shared" si="98"/>
        <v>#N/A</v>
      </c>
      <c r="BP150" s="1"/>
      <c r="BR150" t="e">
        <f t="shared" si="63"/>
        <v>#N/A</v>
      </c>
      <c r="BS150" s="1"/>
      <c r="BU150" s="1"/>
      <c r="BW150" s="1"/>
      <c r="BY150" s="1" t="e">
        <f t="shared" si="64"/>
        <v>#N/A</v>
      </c>
      <c r="BZ150" s="1" t="e">
        <f t="shared" si="65"/>
        <v>#N/A</v>
      </c>
      <c r="CA150" s="1" t="e">
        <f t="shared" si="66"/>
        <v>#N/A</v>
      </c>
    </row>
    <row r="151" spans="3:79">
      <c r="C151" s="5"/>
      <c r="D151" s="6"/>
      <c r="E151" s="5"/>
      <c r="F151" s="6"/>
      <c r="G151" s="6"/>
      <c r="H151" s="5"/>
      <c r="I151" s="6"/>
      <c r="J151" s="6"/>
      <c r="K151" s="5"/>
      <c r="L151" s="6"/>
      <c r="M151" s="6"/>
      <c r="AI151" s="1">
        <v>42185</v>
      </c>
      <c r="AJ151" t="s">
        <v>9605</v>
      </c>
      <c r="AK151">
        <f t="shared" ref="AK151" si="127">IF(AJ151="",NA(),VLOOKUP(AJ151,$AB$28:$AC$49,2,0))</f>
        <v>280</v>
      </c>
      <c r="AL151" s="1">
        <v>41305</v>
      </c>
      <c r="AM151" t="s">
        <v>9605</v>
      </c>
      <c r="AN151" t="s">
        <v>3</v>
      </c>
      <c r="AO151" s="1">
        <v>41394</v>
      </c>
      <c r="AP151" t="s">
        <v>9605</v>
      </c>
      <c r="AQ151" t="s">
        <v>3</v>
      </c>
      <c r="AR151" s="1">
        <v>41516</v>
      </c>
      <c r="AS151" t="s">
        <v>9605</v>
      </c>
      <c r="AT151" t="s">
        <v>3</v>
      </c>
      <c r="AU151" s="1">
        <f t="shared" si="58"/>
        <v>42185</v>
      </c>
      <c r="AV151" s="1" t="str">
        <f t="shared" si="59"/>
        <v>AAA</v>
      </c>
      <c r="AW151" s="52">
        <f t="shared" si="60"/>
        <v>280</v>
      </c>
      <c r="AZ151" s="1"/>
      <c r="BB151" t="e">
        <f t="shared" si="62"/>
        <v>#N/A</v>
      </c>
      <c r="BC151" s="1"/>
      <c r="BF151" s="1"/>
      <c r="BI151" s="1"/>
      <c r="BL151" s="1" t="e">
        <f t="shared" si="96"/>
        <v>#N/A</v>
      </c>
      <c r="BM151" s="1" t="e">
        <f t="shared" si="97"/>
        <v>#N/A</v>
      </c>
      <c r="BN151" s="1" t="e">
        <f t="shared" si="98"/>
        <v>#N/A</v>
      </c>
      <c r="BP151" s="1"/>
      <c r="BR151" t="e">
        <f t="shared" si="63"/>
        <v>#N/A</v>
      </c>
      <c r="BS151" s="1"/>
      <c r="BU151" s="1"/>
      <c r="BW151" s="1"/>
      <c r="BY151" s="1" t="e">
        <f t="shared" si="64"/>
        <v>#N/A</v>
      </c>
      <c r="BZ151" s="1" t="e">
        <f t="shared" si="65"/>
        <v>#N/A</v>
      </c>
      <c r="CA151" s="1" t="e">
        <f t="shared" si="66"/>
        <v>#N/A</v>
      </c>
    </row>
    <row r="152" spans="3:79">
      <c r="C152" s="5"/>
      <c r="D152" s="6"/>
      <c r="E152" s="5"/>
      <c r="F152" s="6"/>
      <c r="G152" s="6"/>
      <c r="H152" s="5"/>
      <c r="I152" s="6"/>
      <c r="J152" s="6"/>
      <c r="K152" s="5"/>
      <c r="L152" s="6"/>
      <c r="M152" s="6"/>
      <c r="AI152" s="1">
        <v>42153</v>
      </c>
      <c r="AJ152" t="s">
        <v>9605</v>
      </c>
      <c r="AK152">
        <f t="shared" ref="AK152" si="128">IF(AJ152="",NA(),VLOOKUP(AJ152,$AB$28:$AC$49,2,0))</f>
        <v>280</v>
      </c>
      <c r="AL152" s="1">
        <v>41276</v>
      </c>
      <c r="AM152" t="s">
        <v>9605</v>
      </c>
      <c r="AN152" t="s">
        <v>3</v>
      </c>
      <c r="AO152" s="1">
        <v>41362</v>
      </c>
      <c r="AP152" t="s">
        <v>9605</v>
      </c>
      <c r="AQ152" t="s">
        <v>3</v>
      </c>
      <c r="AR152" s="1">
        <v>41507</v>
      </c>
      <c r="AS152" t="s">
        <v>9605</v>
      </c>
      <c r="AT152" t="s">
        <v>3</v>
      </c>
      <c r="AU152" s="1">
        <f t="shared" si="58"/>
        <v>42153</v>
      </c>
      <c r="AV152" s="1" t="str">
        <f t="shared" si="59"/>
        <v>AAA</v>
      </c>
      <c r="AW152" s="52">
        <f t="shared" si="60"/>
        <v>280</v>
      </c>
      <c r="AZ152" s="1"/>
      <c r="BB152" t="e">
        <f t="shared" si="62"/>
        <v>#N/A</v>
      </c>
      <c r="BC152" s="1"/>
      <c r="BF152" s="1"/>
      <c r="BI152" s="1"/>
      <c r="BL152" s="1" t="e">
        <f t="shared" si="96"/>
        <v>#N/A</v>
      </c>
      <c r="BM152" s="1" t="e">
        <f t="shared" si="97"/>
        <v>#N/A</v>
      </c>
      <c r="BN152" s="1" t="e">
        <f t="shared" si="98"/>
        <v>#N/A</v>
      </c>
      <c r="BP152" s="1"/>
      <c r="BR152" t="e">
        <f t="shared" si="63"/>
        <v>#N/A</v>
      </c>
      <c r="BS152" s="1"/>
      <c r="BU152" s="1"/>
      <c r="BW152" s="1"/>
      <c r="BY152" s="1" t="e">
        <f t="shared" si="64"/>
        <v>#N/A</v>
      </c>
      <c r="BZ152" s="1" t="e">
        <f t="shared" si="65"/>
        <v>#N/A</v>
      </c>
      <c r="CA152" s="1" t="e">
        <f t="shared" si="66"/>
        <v>#N/A</v>
      </c>
    </row>
    <row r="153" spans="3:79">
      <c r="C153" s="5"/>
      <c r="D153" s="6"/>
      <c r="E153" s="5"/>
      <c r="F153" s="6"/>
      <c r="G153" s="6"/>
      <c r="H153" s="5"/>
      <c r="I153" s="6"/>
      <c r="J153" s="6"/>
      <c r="K153" s="5"/>
      <c r="L153" s="6"/>
      <c r="M153" s="6"/>
      <c r="AI153" s="1">
        <v>42124</v>
      </c>
      <c r="AJ153" t="s">
        <v>9605</v>
      </c>
      <c r="AK153">
        <f t="shared" ref="AK153" si="129">IF(AJ153="",NA(),VLOOKUP(AJ153,$AB$28:$AC$49,2,0))</f>
        <v>280</v>
      </c>
      <c r="AL153" s="1">
        <v>41246</v>
      </c>
      <c r="AM153" t="s">
        <v>9605</v>
      </c>
      <c r="AN153" t="s">
        <v>3</v>
      </c>
      <c r="AO153" s="1">
        <v>41333</v>
      </c>
      <c r="AP153" t="s">
        <v>9605</v>
      </c>
      <c r="AQ153" t="s">
        <v>3</v>
      </c>
      <c r="AR153" s="1">
        <v>41486</v>
      </c>
      <c r="AS153" t="s">
        <v>9605</v>
      </c>
      <c r="AT153" t="s">
        <v>3</v>
      </c>
      <c r="AU153" s="1">
        <f t="shared" si="58"/>
        <v>42124</v>
      </c>
      <c r="AV153" s="1" t="str">
        <f t="shared" si="59"/>
        <v>AAA</v>
      </c>
      <c r="AW153" s="52">
        <f t="shared" si="60"/>
        <v>280</v>
      </c>
      <c r="AZ153" s="1"/>
      <c r="BB153" t="e">
        <f t="shared" si="62"/>
        <v>#N/A</v>
      </c>
      <c r="BC153" s="1"/>
      <c r="BF153" s="1"/>
      <c r="BI153" s="1"/>
      <c r="BL153" s="1" t="e">
        <f t="shared" si="96"/>
        <v>#N/A</v>
      </c>
      <c r="BM153" s="1" t="e">
        <f t="shared" si="97"/>
        <v>#N/A</v>
      </c>
      <c r="BN153" s="1" t="e">
        <f t="shared" si="98"/>
        <v>#N/A</v>
      </c>
      <c r="BP153" s="1"/>
      <c r="BR153" t="e">
        <f t="shared" si="63"/>
        <v>#N/A</v>
      </c>
      <c r="BS153" s="1"/>
      <c r="BU153" s="1"/>
      <c r="BW153" s="1"/>
      <c r="BY153" s="1" t="e">
        <f t="shared" si="64"/>
        <v>#N/A</v>
      </c>
      <c r="BZ153" s="1" t="e">
        <f t="shared" si="65"/>
        <v>#N/A</v>
      </c>
      <c r="CA153" s="1" t="e">
        <f t="shared" si="66"/>
        <v>#N/A</v>
      </c>
    </row>
    <row r="154" spans="3:79">
      <c r="C154" s="5"/>
      <c r="D154" s="6"/>
      <c r="E154" s="5"/>
      <c r="F154" s="6"/>
      <c r="G154" s="6"/>
      <c r="H154" s="5"/>
      <c r="I154" s="6"/>
      <c r="J154" s="6"/>
      <c r="K154" s="5"/>
      <c r="L154" s="6"/>
      <c r="M154" s="6"/>
      <c r="AI154" s="1">
        <v>42094</v>
      </c>
      <c r="AJ154" t="s">
        <v>9605</v>
      </c>
      <c r="AK154">
        <f t="shared" ref="AK154" si="130">IF(AJ154="",NA(),VLOOKUP(AJ154,$AB$28:$AC$49,2,0))</f>
        <v>280</v>
      </c>
      <c r="AL154" s="1">
        <v>41212</v>
      </c>
      <c r="AM154" t="s">
        <v>9605</v>
      </c>
      <c r="AN154" t="s">
        <v>3</v>
      </c>
      <c r="AO154" s="1">
        <v>41305</v>
      </c>
      <c r="AP154" t="s">
        <v>9605</v>
      </c>
      <c r="AQ154" t="s">
        <v>3</v>
      </c>
      <c r="AR154" s="1">
        <v>41453</v>
      </c>
      <c r="AS154" t="s">
        <v>9605</v>
      </c>
      <c r="AT154" t="s">
        <v>3</v>
      </c>
      <c r="AU154" s="1">
        <f t="shared" si="58"/>
        <v>42094</v>
      </c>
      <c r="AV154" s="1" t="str">
        <f t="shared" si="59"/>
        <v>AAA</v>
      </c>
      <c r="AW154" s="52">
        <f t="shared" si="60"/>
        <v>280</v>
      </c>
      <c r="AZ154" s="1"/>
      <c r="BB154" t="e">
        <f t="shared" si="62"/>
        <v>#N/A</v>
      </c>
      <c r="BC154" s="1"/>
      <c r="BF154" s="1"/>
      <c r="BI154" s="1"/>
      <c r="BL154" s="1" t="e">
        <f t="shared" si="96"/>
        <v>#N/A</v>
      </c>
      <c r="BM154" s="1" t="e">
        <f t="shared" si="97"/>
        <v>#N/A</v>
      </c>
      <c r="BN154" s="1" t="e">
        <f t="shared" si="98"/>
        <v>#N/A</v>
      </c>
      <c r="BP154" s="1"/>
      <c r="BR154" t="e">
        <f t="shared" si="63"/>
        <v>#N/A</v>
      </c>
      <c r="BS154" s="1"/>
      <c r="BU154" s="1"/>
      <c r="BW154" s="1"/>
      <c r="BY154" s="1" t="e">
        <f t="shared" si="64"/>
        <v>#N/A</v>
      </c>
      <c r="BZ154" s="1" t="e">
        <f t="shared" si="65"/>
        <v>#N/A</v>
      </c>
      <c r="CA154" s="1" t="e">
        <f t="shared" si="66"/>
        <v>#N/A</v>
      </c>
    </row>
    <row r="155" spans="3:79">
      <c r="C155" s="5"/>
      <c r="D155" s="6"/>
      <c r="E155" s="5"/>
      <c r="F155" s="6"/>
      <c r="G155" s="6"/>
      <c r="H155" s="5"/>
      <c r="I155" s="6"/>
      <c r="J155" s="6"/>
      <c r="K155" s="5"/>
      <c r="L155" s="6"/>
      <c r="M155" s="6"/>
      <c r="AI155" s="1">
        <v>42065</v>
      </c>
      <c r="AJ155" t="s">
        <v>9605</v>
      </c>
      <c r="AK155">
        <f t="shared" ref="AK155" si="131">IF(AJ155="",NA(),VLOOKUP(AJ155,$AB$28:$AC$49,2,0))</f>
        <v>280</v>
      </c>
      <c r="AL155" s="1">
        <v>41180</v>
      </c>
      <c r="AM155" t="s">
        <v>9605</v>
      </c>
      <c r="AN155" t="s">
        <v>3</v>
      </c>
      <c r="AO155" s="1">
        <v>41282</v>
      </c>
      <c r="AP155" t="s">
        <v>9605</v>
      </c>
      <c r="AQ155" t="s">
        <v>3</v>
      </c>
      <c r="AR155" s="1">
        <v>41425</v>
      </c>
      <c r="AS155" t="s">
        <v>9605</v>
      </c>
      <c r="AT155" t="s">
        <v>3</v>
      </c>
      <c r="AU155" s="1">
        <f t="shared" si="58"/>
        <v>42065</v>
      </c>
      <c r="AV155" s="1" t="str">
        <f t="shared" si="59"/>
        <v>AAA</v>
      </c>
      <c r="AW155" s="52">
        <f t="shared" si="60"/>
        <v>280</v>
      </c>
      <c r="AZ155" s="1"/>
      <c r="BB155" t="e">
        <f t="shared" si="62"/>
        <v>#N/A</v>
      </c>
      <c r="BC155" s="1"/>
      <c r="BF155" s="1"/>
      <c r="BI155" s="1"/>
      <c r="BL155" s="1" t="e">
        <f t="shared" si="96"/>
        <v>#N/A</v>
      </c>
      <c r="BM155" s="1" t="e">
        <f t="shared" si="97"/>
        <v>#N/A</v>
      </c>
      <c r="BN155" s="1" t="e">
        <f t="shared" si="98"/>
        <v>#N/A</v>
      </c>
      <c r="BP155" s="1"/>
      <c r="BR155" t="e">
        <f t="shared" si="63"/>
        <v>#N/A</v>
      </c>
      <c r="BS155" s="1"/>
      <c r="BU155" s="1"/>
      <c r="BW155" s="1"/>
      <c r="BY155" s="1" t="e">
        <f t="shared" si="64"/>
        <v>#N/A</v>
      </c>
      <c r="BZ155" s="1" t="e">
        <f t="shared" si="65"/>
        <v>#N/A</v>
      </c>
      <c r="CA155" s="1" t="e">
        <f t="shared" si="66"/>
        <v>#N/A</v>
      </c>
    </row>
    <row r="156" spans="3:79">
      <c r="C156" s="5"/>
      <c r="D156" s="6"/>
      <c r="E156" s="5"/>
      <c r="F156" s="6"/>
      <c r="G156" s="6"/>
      <c r="H156" s="5"/>
      <c r="I156" s="6"/>
      <c r="J156" s="6"/>
      <c r="K156" s="5"/>
      <c r="L156" s="6"/>
      <c r="M156" s="6"/>
      <c r="AI156" s="1">
        <v>42062</v>
      </c>
      <c r="AJ156" t="s">
        <v>9605</v>
      </c>
      <c r="AK156">
        <f t="shared" ref="AK156" si="132">IF(AJ156="",NA(),VLOOKUP(AJ156,$AB$28:$AC$49,2,0))</f>
        <v>280</v>
      </c>
      <c r="AL156" s="1">
        <v>41155</v>
      </c>
      <c r="AM156" t="s">
        <v>9605</v>
      </c>
      <c r="AN156" t="s">
        <v>3</v>
      </c>
      <c r="AO156" s="1">
        <v>41243</v>
      </c>
      <c r="AP156" t="s">
        <v>9605</v>
      </c>
      <c r="AQ156" t="s">
        <v>3</v>
      </c>
      <c r="AR156" s="1">
        <v>41394</v>
      </c>
      <c r="AS156" t="s">
        <v>9605</v>
      </c>
      <c r="AT156" t="s">
        <v>3</v>
      </c>
      <c r="AU156" s="1">
        <f t="shared" ref="AU156:AU219" si="133">IF(AI156="",NA(),AI156)</f>
        <v>42062</v>
      </c>
      <c r="AV156" s="1" t="str">
        <f t="shared" ref="AV156:AV219" si="134">IF(AJ156="",NA(),AJ156)</f>
        <v>AAA</v>
      </c>
      <c r="AW156" s="52">
        <f t="shared" ref="AW156:AW219" si="135">IF(AK156="",NA(),AK156)</f>
        <v>280</v>
      </c>
      <c r="AZ156" s="1"/>
      <c r="BB156" t="e">
        <f t="shared" si="62"/>
        <v>#N/A</v>
      </c>
      <c r="BC156" s="1"/>
      <c r="BF156" s="1"/>
      <c r="BI156" s="1"/>
      <c r="BL156" s="1" t="e">
        <f t="shared" si="96"/>
        <v>#N/A</v>
      </c>
      <c r="BM156" s="1" t="e">
        <f t="shared" si="97"/>
        <v>#N/A</v>
      </c>
      <c r="BN156" s="1" t="e">
        <f t="shared" si="98"/>
        <v>#N/A</v>
      </c>
      <c r="BP156" s="1"/>
      <c r="BR156" t="e">
        <f t="shared" si="63"/>
        <v>#N/A</v>
      </c>
      <c r="BS156" s="1"/>
      <c r="BU156" s="1"/>
      <c r="BW156" s="1"/>
      <c r="BY156" s="1" t="e">
        <f t="shared" si="64"/>
        <v>#N/A</v>
      </c>
      <c r="BZ156" s="1" t="e">
        <f t="shared" si="65"/>
        <v>#N/A</v>
      </c>
      <c r="CA156" s="1" t="e">
        <f t="shared" si="66"/>
        <v>#N/A</v>
      </c>
    </row>
    <row r="157" spans="3:79">
      <c r="C157" s="5"/>
      <c r="D157" s="6"/>
      <c r="E157" s="5"/>
      <c r="F157" s="6"/>
      <c r="G157" s="6"/>
      <c r="H157" s="5"/>
      <c r="I157" s="6"/>
      <c r="J157" s="6"/>
      <c r="K157" s="5"/>
      <c r="L157" s="6"/>
      <c r="M157" s="6"/>
      <c r="AI157" s="1">
        <v>42034</v>
      </c>
      <c r="AJ157" t="s">
        <v>9605</v>
      </c>
      <c r="AK157">
        <f t="shared" ref="AK157" si="136">IF(AJ157="",NA(),VLOOKUP(AJ157,$AB$28:$AC$49,2,0))</f>
        <v>280</v>
      </c>
      <c r="AL157" s="1">
        <v>41121</v>
      </c>
      <c r="AM157" t="s">
        <v>9605</v>
      </c>
      <c r="AN157" t="s">
        <v>3</v>
      </c>
      <c r="AO157" s="1">
        <v>41212</v>
      </c>
      <c r="AP157" t="s">
        <v>9605</v>
      </c>
      <c r="AQ157" t="s">
        <v>3</v>
      </c>
      <c r="AR157" s="1">
        <v>41366</v>
      </c>
      <c r="AS157" t="s">
        <v>9605</v>
      </c>
      <c r="AT157" t="s">
        <v>3</v>
      </c>
      <c r="AU157" s="1">
        <f t="shared" si="133"/>
        <v>42034</v>
      </c>
      <c r="AV157" s="1" t="str">
        <f t="shared" si="134"/>
        <v>AAA</v>
      </c>
      <c r="AW157" s="52">
        <f t="shared" si="135"/>
        <v>280</v>
      </c>
      <c r="AZ157" s="1"/>
      <c r="BB157" t="e">
        <f t="shared" ref="BB157:BB220" si="137">IF(BA157="",NA(),VLOOKUP(BA157,$AD$28:$AE$49,2,0))</f>
        <v>#N/A</v>
      </c>
      <c r="BC157" s="1"/>
      <c r="BF157" s="1"/>
      <c r="BI157" s="1"/>
      <c r="BL157" s="1" t="e">
        <f t="shared" si="96"/>
        <v>#N/A</v>
      </c>
      <c r="BM157" s="1" t="e">
        <f t="shared" si="97"/>
        <v>#N/A</v>
      </c>
      <c r="BN157" s="1" t="e">
        <f t="shared" si="98"/>
        <v>#N/A</v>
      </c>
      <c r="BP157" s="1"/>
      <c r="BR157" t="e">
        <f t="shared" ref="BR157:BR220" si="138">IF(BQ157="",NA(),VLOOKUP(BQ157,$AF$28:$AG$39,2,0))</f>
        <v>#N/A</v>
      </c>
      <c r="BS157" s="1"/>
      <c r="BU157" s="1"/>
      <c r="BW157" s="1"/>
      <c r="BY157" s="1" t="e">
        <f t="shared" ref="BY157:BY220" si="139">IF(BP157="",NA(),BP157)</f>
        <v>#N/A</v>
      </c>
      <c r="BZ157" s="1" t="e">
        <f t="shared" ref="BZ157:BZ220" si="140">IF(BQ157="",NA(),BQ157)</f>
        <v>#N/A</v>
      </c>
      <c r="CA157" s="1" t="e">
        <f t="shared" ref="CA157:CA220" si="141">IF(BR157="",NA(),BR157)</f>
        <v>#N/A</v>
      </c>
    </row>
    <row r="158" spans="3:79">
      <c r="C158" s="5"/>
      <c r="D158" s="6"/>
      <c r="E158" s="5"/>
      <c r="F158" s="6"/>
      <c r="G158" s="6"/>
      <c r="H158" s="5"/>
      <c r="I158" s="6"/>
      <c r="J158" s="6"/>
      <c r="K158" s="5"/>
      <c r="L158" s="6"/>
      <c r="M158" s="6"/>
      <c r="AI158" s="1">
        <v>42030</v>
      </c>
      <c r="AJ158" t="s">
        <v>9605</v>
      </c>
      <c r="AK158">
        <f t="shared" ref="AK158" si="142">IF(AJ158="",NA(),VLOOKUP(AJ158,$AB$28:$AC$49,2,0))</f>
        <v>280</v>
      </c>
      <c r="AL158" s="1">
        <v>41089</v>
      </c>
      <c r="AM158" t="s">
        <v>9605</v>
      </c>
      <c r="AN158" t="s">
        <v>3</v>
      </c>
      <c r="AO158" s="1">
        <v>41180</v>
      </c>
      <c r="AP158" t="s">
        <v>9605</v>
      </c>
      <c r="AQ158" t="s">
        <v>3</v>
      </c>
      <c r="AR158" s="1">
        <v>41333</v>
      </c>
      <c r="AS158" t="s">
        <v>9605</v>
      </c>
      <c r="AT158" t="s">
        <v>3</v>
      </c>
      <c r="AU158" s="1">
        <f t="shared" si="133"/>
        <v>42030</v>
      </c>
      <c r="AV158" s="1" t="str">
        <f t="shared" si="134"/>
        <v>AAA</v>
      </c>
      <c r="AW158" s="52">
        <f t="shared" si="135"/>
        <v>280</v>
      </c>
      <c r="AZ158" s="1"/>
      <c r="BB158" t="e">
        <f t="shared" si="137"/>
        <v>#N/A</v>
      </c>
      <c r="BC158" s="1"/>
      <c r="BF158" s="1"/>
      <c r="BI158" s="1"/>
      <c r="BL158" s="1" t="e">
        <f t="shared" si="96"/>
        <v>#N/A</v>
      </c>
      <c r="BM158" s="1" t="e">
        <f t="shared" si="97"/>
        <v>#N/A</v>
      </c>
      <c r="BN158" s="1" t="e">
        <f t="shared" si="98"/>
        <v>#N/A</v>
      </c>
      <c r="BP158" s="1"/>
      <c r="BR158" t="e">
        <f t="shared" si="138"/>
        <v>#N/A</v>
      </c>
      <c r="BS158" s="1"/>
      <c r="BU158" s="1"/>
      <c r="BW158" s="1"/>
      <c r="BY158" s="1" t="e">
        <f t="shared" si="139"/>
        <v>#N/A</v>
      </c>
      <c r="BZ158" s="1" t="e">
        <f t="shared" si="140"/>
        <v>#N/A</v>
      </c>
      <c r="CA158" s="1" t="e">
        <f t="shared" si="141"/>
        <v>#N/A</v>
      </c>
    </row>
    <row r="159" spans="3:79">
      <c r="C159" s="5"/>
      <c r="D159" s="6"/>
      <c r="E159" s="5"/>
      <c r="F159" s="6"/>
      <c r="G159" s="6"/>
      <c r="H159" s="5"/>
      <c r="I159" s="6"/>
      <c r="J159" s="6"/>
      <c r="K159" s="5"/>
      <c r="L159" s="6"/>
      <c r="M159" s="6"/>
      <c r="AI159" s="1">
        <v>42027</v>
      </c>
      <c r="AJ159" t="s">
        <v>9605</v>
      </c>
      <c r="AK159">
        <f t="shared" ref="AK159" si="143">IF(AJ159="",NA(),VLOOKUP(AJ159,$AB$28:$AC$49,2,0))</f>
        <v>280</v>
      </c>
      <c r="AL159" s="1">
        <v>41065</v>
      </c>
      <c r="AM159" t="s">
        <v>9605</v>
      </c>
      <c r="AN159" t="s">
        <v>3</v>
      </c>
      <c r="AO159" s="1">
        <v>41152</v>
      </c>
      <c r="AP159" t="s">
        <v>9605</v>
      </c>
      <c r="AQ159" t="s">
        <v>3</v>
      </c>
      <c r="AR159" s="1">
        <v>41305</v>
      </c>
      <c r="AS159" t="s">
        <v>9605</v>
      </c>
      <c r="AT159" t="s">
        <v>3</v>
      </c>
      <c r="AU159" s="1">
        <f t="shared" si="133"/>
        <v>42027</v>
      </c>
      <c r="AV159" s="1" t="str">
        <f t="shared" si="134"/>
        <v>AAA</v>
      </c>
      <c r="AW159" s="52">
        <f t="shared" si="135"/>
        <v>280</v>
      </c>
      <c r="AZ159" s="1"/>
      <c r="BB159" t="e">
        <f t="shared" si="137"/>
        <v>#N/A</v>
      </c>
      <c r="BC159" s="1"/>
      <c r="BF159" s="1"/>
      <c r="BI159" s="1"/>
      <c r="BL159" s="1" t="e">
        <f t="shared" si="96"/>
        <v>#N/A</v>
      </c>
      <c r="BM159" s="1" t="e">
        <f t="shared" si="97"/>
        <v>#N/A</v>
      </c>
      <c r="BN159" s="1" t="e">
        <f t="shared" si="98"/>
        <v>#N/A</v>
      </c>
      <c r="BP159" s="1"/>
      <c r="BR159" t="e">
        <f t="shared" si="138"/>
        <v>#N/A</v>
      </c>
      <c r="BS159" s="1"/>
      <c r="BU159" s="1"/>
      <c r="BW159" s="1"/>
      <c r="BY159" s="1" t="e">
        <f t="shared" si="139"/>
        <v>#N/A</v>
      </c>
      <c r="BZ159" s="1" t="e">
        <f t="shared" si="140"/>
        <v>#N/A</v>
      </c>
      <c r="CA159" s="1" t="e">
        <f t="shared" si="141"/>
        <v>#N/A</v>
      </c>
    </row>
    <row r="160" spans="3:79">
      <c r="C160" s="5"/>
      <c r="D160" s="6"/>
      <c r="E160" s="5"/>
      <c r="F160" s="6"/>
      <c r="G160" s="6"/>
      <c r="H160" s="5"/>
      <c r="I160" s="6"/>
      <c r="J160" s="6"/>
      <c r="K160" s="5"/>
      <c r="L160" s="6"/>
      <c r="M160" s="6"/>
      <c r="AI160" s="1">
        <v>42004</v>
      </c>
      <c r="AJ160" t="s">
        <v>9605</v>
      </c>
      <c r="AK160">
        <f t="shared" ref="AK160" si="144">IF(AJ160="",NA(),VLOOKUP(AJ160,$AB$28:$AC$49,2,0))</f>
        <v>280</v>
      </c>
      <c r="AL160" s="1">
        <v>41029</v>
      </c>
      <c r="AM160" t="s">
        <v>9605</v>
      </c>
      <c r="AN160" t="s">
        <v>3</v>
      </c>
      <c r="AO160" s="1">
        <v>41121</v>
      </c>
      <c r="AP160" t="s">
        <v>9605</v>
      </c>
      <c r="AQ160" t="s">
        <v>3</v>
      </c>
      <c r="AR160" s="1">
        <v>41282</v>
      </c>
      <c r="AS160" t="s">
        <v>9605</v>
      </c>
      <c r="AT160" t="s">
        <v>3</v>
      </c>
      <c r="AU160" s="1">
        <f t="shared" si="133"/>
        <v>42004</v>
      </c>
      <c r="AV160" s="1" t="str">
        <f t="shared" si="134"/>
        <v>AAA</v>
      </c>
      <c r="AW160" s="52">
        <f t="shared" si="135"/>
        <v>280</v>
      </c>
      <c r="AZ160" s="1"/>
      <c r="BB160" t="e">
        <f t="shared" si="137"/>
        <v>#N/A</v>
      </c>
      <c r="BC160" s="1"/>
      <c r="BF160" s="1"/>
      <c r="BI160" s="1"/>
      <c r="BL160" s="1" t="e">
        <f t="shared" si="96"/>
        <v>#N/A</v>
      </c>
      <c r="BM160" s="1" t="e">
        <f t="shared" si="97"/>
        <v>#N/A</v>
      </c>
      <c r="BN160" s="1" t="e">
        <f t="shared" si="98"/>
        <v>#N/A</v>
      </c>
      <c r="BP160" s="1"/>
      <c r="BR160" t="e">
        <f t="shared" si="138"/>
        <v>#N/A</v>
      </c>
      <c r="BS160" s="1"/>
      <c r="BU160" s="1"/>
      <c r="BW160" s="1"/>
      <c r="BY160" s="1" t="e">
        <f t="shared" si="139"/>
        <v>#N/A</v>
      </c>
      <c r="BZ160" s="1" t="e">
        <f t="shared" si="140"/>
        <v>#N/A</v>
      </c>
      <c r="CA160" s="1" t="e">
        <f t="shared" si="141"/>
        <v>#N/A</v>
      </c>
    </row>
    <row r="161" spans="3:79">
      <c r="C161" s="5"/>
      <c r="D161" s="6"/>
      <c r="E161" s="5"/>
      <c r="F161" s="6"/>
      <c r="G161" s="6"/>
      <c r="H161" s="5"/>
      <c r="I161" s="6"/>
      <c r="J161" s="6"/>
      <c r="K161" s="5"/>
      <c r="L161" s="6"/>
      <c r="M161" s="6"/>
      <c r="AI161" s="1">
        <v>41974</v>
      </c>
      <c r="AJ161" t="s">
        <v>9605</v>
      </c>
      <c r="AK161">
        <f t="shared" ref="AK161" si="145">IF(AJ161="",NA(),VLOOKUP(AJ161,$AB$28:$AC$49,2,0))</f>
        <v>280</v>
      </c>
      <c r="AL161" s="1">
        <v>41004</v>
      </c>
      <c r="AM161" t="s">
        <v>9605</v>
      </c>
      <c r="AN161" t="s">
        <v>3</v>
      </c>
      <c r="AO161" s="1">
        <v>41089</v>
      </c>
      <c r="AP161" t="s">
        <v>9605</v>
      </c>
      <c r="AQ161" t="s">
        <v>3</v>
      </c>
      <c r="AR161" s="1">
        <v>41246</v>
      </c>
      <c r="AS161" t="s">
        <v>9605</v>
      </c>
      <c r="AT161" t="s">
        <v>3</v>
      </c>
      <c r="AU161" s="1">
        <f t="shared" si="133"/>
        <v>41974</v>
      </c>
      <c r="AV161" s="1" t="str">
        <f t="shared" si="134"/>
        <v>AAA</v>
      </c>
      <c r="AW161" s="52">
        <f t="shared" si="135"/>
        <v>280</v>
      </c>
      <c r="AZ161" s="1"/>
      <c r="BB161" t="e">
        <f t="shared" si="137"/>
        <v>#N/A</v>
      </c>
      <c r="BC161" s="1"/>
      <c r="BF161" s="1"/>
      <c r="BI161" s="1"/>
      <c r="BL161" s="1" t="e">
        <f t="shared" si="96"/>
        <v>#N/A</v>
      </c>
      <c r="BM161" s="1" t="e">
        <f t="shared" si="97"/>
        <v>#N/A</v>
      </c>
      <c r="BN161" s="1" t="e">
        <f t="shared" si="98"/>
        <v>#N/A</v>
      </c>
      <c r="BP161" s="1"/>
      <c r="BR161" t="e">
        <f t="shared" si="138"/>
        <v>#N/A</v>
      </c>
      <c r="BS161" s="1"/>
      <c r="BU161" s="1"/>
      <c r="BW161" s="1"/>
      <c r="BY161" s="1" t="e">
        <f t="shared" si="139"/>
        <v>#N/A</v>
      </c>
      <c r="BZ161" s="1" t="e">
        <f t="shared" si="140"/>
        <v>#N/A</v>
      </c>
      <c r="CA161" s="1" t="e">
        <f t="shared" si="141"/>
        <v>#N/A</v>
      </c>
    </row>
    <row r="162" spans="3:79">
      <c r="C162" s="5"/>
      <c r="D162" s="6"/>
      <c r="E162" s="5"/>
      <c r="F162" s="6"/>
      <c r="G162" s="6"/>
      <c r="H162" s="5"/>
      <c r="I162" s="6"/>
      <c r="J162" s="6"/>
      <c r="K162" s="5"/>
      <c r="L162" s="6"/>
      <c r="M162" s="6"/>
      <c r="AI162" s="1">
        <v>41971</v>
      </c>
      <c r="AJ162" t="s">
        <v>9605</v>
      </c>
      <c r="AK162">
        <f t="shared" ref="AK162" si="146">IF(AJ162="",NA(),VLOOKUP(AJ162,$AB$28:$AC$49,2,0))</f>
        <v>280</v>
      </c>
      <c r="AL162" s="1">
        <v>40968</v>
      </c>
      <c r="AM162" t="s">
        <v>9605</v>
      </c>
      <c r="AN162" t="s">
        <v>3</v>
      </c>
      <c r="AO162" s="1">
        <v>41065</v>
      </c>
      <c r="AP162" t="s">
        <v>9605</v>
      </c>
      <c r="AQ162" t="s">
        <v>3</v>
      </c>
      <c r="AR162" s="1">
        <v>41213</v>
      </c>
      <c r="AS162" t="s">
        <v>9605</v>
      </c>
      <c r="AT162" t="s">
        <v>3</v>
      </c>
      <c r="AU162" s="1">
        <f t="shared" si="133"/>
        <v>41971</v>
      </c>
      <c r="AV162" s="1" t="str">
        <f t="shared" si="134"/>
        <v>AAA</v>
      </c>
      <c r="AW162" s="52">
        <f t="shared" si="135"/>
        <v>280</v>
      </c>
      <c r="AZ162" s="1"/>
      <c r="BB162" t="e">
        <f t="shared" si="137"/>
        <v>#N/A</v>
      </c>
      <c r="BC162" s="1"/>
      <c r="BF162" s="1"/>
      <c r="BI162" s="1"/>
      <c r="BL162" s="1" t="e">
        <f t="shared" si="96"/>
        <v>#N/A</v>
      </c>
      <c r="BM162" s="1" t="e">
        <f t="shared" si="97"/>
        <v>#N/A</v>
      </c>
      <c r="BN162" s="1" t="e">
        <f t="shared" si="98"/>
        <v>#N/A</v>
      </c>
      <c r="BP162" s="1"/>
      <c r="BR162" t="e">
        <f t="shared" si="138"/>
        <v>#N/A</v>
      </c>
      <c r="BS162" s="1"/>
      <c r="BU162" s="1"/>
      <c r="BW162" s="1"/>
      <c r="BY162" s="1" t="e">
        <f t="shared" si="139"/>
        <v>#N/A</v>
      </c>
      <c r="BZ162" s="1" t="e">
        <f t="shared" si="140"/>
        <v>#N/A</v>
      </c>
      <c r="CA162" s="1" t="e">
        <f t="shared" si="141"/>
        <v>#N/A</v>
      </c>
    </row>
    <row r="163" spans="3:79">
      <c r="C163" s="5"/>
      <c r="D163" s="6"/>
      <c r="E163" s="5"/>
      <c r="F163" s="6"/>
      <c r="G163" s="6"/>
      <c r="H163" s="5"/>
      <c r="I163" s="6"/>
      <c r="J163" s="6"/>
      <c r="K163" s="5"/>
      <c r="L163" s="6"/>
      <c r="M163" s="6"/>
      <c r="AI163" s="1">
        <v>41943</v>
      </c>
      <c r="AJ163" t="s">
        <v>9605</v>
      </c>
      <c r="AK163">
        <f t="shared" ref="AK163" si="147">IF(AJ163="",NA(),VLOOKUP(AJ163,$AB$28:$AC$49,2,0))</f>
        <v>280</v>
      </c>
      <c r="AL163" s="1">
        <v>40939</v>
      </c>
      <c r="AM163" t="s">
        <v>9605</v>
      </c>
      <c r="AN163" t="s">
        <v>3</v>
      </c>
      <c r="AO163" s="1">
        <v>41038</v>
      </c>
      <c r="AP163" t="s">
        <v>9605</v>
      </c>
      <c r="AQ163" t="s">
        <v>3</v>
      </c>
      <c r="AR163" s="1">
        <v>41180</v>
      </c>
      <c r="AS163" t="s">
        <v>9605</v>
      </c>
      <c r="AT163" t="s">
        <v>3</v>
      </c>
      <c r="AU163" s="1">
        <f t="shared" si="133"/>
        <v>41943</v>
      </c>
      <c r="AV163" s="1" t="str">
        <f t="shared" si="134"/>
        <v>AAA</v>
      </c>
      <c r="AW163" s="52">
        <f t="shared" si="135"/>
        <v>280</v>
      </c>
      <c r="AZ163" s="1"/>
      <c r="BB163" t="e">
        <f t="shared" si="137"/>
        <v>#N/A</v>
      </c>
      <c r="BC163" s="1"/>
      <c r="BF163" s="1"/>
      <c r="BI163" s="1"/>
      <c r="BL163" s="1" t="e">
        <f t="shared" si="96"/>
        <v>#N/A</v>
      </c>
      <c r="BM163" s="1" t="e">
        <f t="shared" si="97"/>
        <v>#N/A</v>
      </c>
      <c r="BN163" s="1" t="e">
        <f t="shared" si="98"/>
        <v>#N/A</v>
      </c>
      <c r="BP163" s="1"/>
      <c r="BR163" t="e">
        <f t="shared" si="138"/>
        <v>#N/A</v>
      </c>
      <c r="BS163" s="1"/>
      <c r="BU163" s="1"/>
      <c r="BW163" s="1"/>
      <c r="BY163" s="1" t="e">
        <f t="shared" si="139"/>
        <v>#N/A</v>
      </c>
      <c r="BZ163" s="1" t="e">
        <f t="shared" si="140"/>
        <v>#N/A</v>
      </c>
      <c r="CA163" s="1" t="e">
        <f t="shared" si="141"/>
        <v>#N/A</v>
      </c>
    </row>
    <row r="164" spans="3:79">
      <c r="C164" s="5"/>
      <c r="D164" s="6"/>
      <c r="E164" s="5"/>
      <c r="F164" s="6"/>
      <c r="G164" s="6"/>
      <c r="H164" s="5"/>
      <c r="I164" s="6"/>
      <c r="J164" s="6"/>
      <c r="K164" s="5"/>
      <c r="L164" s="6"/>
      <c r="M164" s="6"/>
      <c r="AI164" s="1">
        <v>41912</v>
      </c>
      <c r="AJ164" t="s">
        <v>9605</v>
      </c>
      <c r="AK164">
        <f t="shared" ref="AK164" si="148">IF(AJ164="",NA(),VLOOKUP(AJ164,$AB$28:$AC$49,2,0))</f>
        <v>280</v>
      </c>
      <c r="AL164" s="1">
        <v>40913</v>
      </c>
      <c r="AM164" t="s">
        <v>9605</v>
      </c>
      <c r="AN164" t="s">
        <v>3</v>
      </c>
      <c r="AO164" s="1">
        <v>41029</v>
      </c>
      <c r="AP164" t="s">
        <v>9605</v>
      </c>
      <c r="AQ164" t="s">
        <v>3</v>
      </c>
      <c r="AR164" s="1">
        <v>41156</v>
      </c>
      <c r="AS164" t="s">
        <v>9605</v>
      </c>
      <c r="AT164" t="s">
        <v>3</v>
      </c>
      <c r="AU164" s="1">
        <f t="shared" si="133"/>
        <v>41912</v>
      </c>
      <c r="AV164" s="1" t="str">
        <f t="shared" si="134"/>
        <v>AAA</v>
      </c>
      <c r="AW164" s="52">
        <f t="shared" si="135"/>
        <v>280</v>
      </c>
      <c r="AZ164" s="1"/>
      <c r="BB164" t="e">
        <f t="shared" si="137"/>
        <v>#N/A</v>
      </c>
      <c r="BC164" s="1"/>
      <c r="BF164" s="1"/>
      <c r="BI164" s="1"/>
      <c r="BL164" s="1" t="e">
        <f t="shared" si="96"/>
        <v>#N/A</v>
      </c>
      <c r="BM164" s="1" t="e">
        <f t="shared" si="97"/>
        <v>#N/A</v>
      </c>
      <c r="BN164" s="1" t="e">
        <f t="shared" si="98"/>
        <v>#N/A</v>
      </c>
      <c r="BP164" s="1"/>
      <c r="BR164" t="e">
        <f t="shared" si="138"/>
        <v>#N/A</v>
      </c>
      <c r="BS164" s="1"/>
      <c r="BU164" s="1"/>
      <c r="BW164" s="1"/>
      <c r="BY164" s="1" t="e">
        <f t="shared" si="139"/>
        <v>#N/A</v>
      </c>
      <c r="BZ164" s="1" t="e">
        <f t="shared" si="140"/>
        <v>#N/A</v>
      </c>
      <c r="CA164" s="1" t="e">
        <f t="shared" si="141"/>
        <v>#N/A</v>
      </c>
    </row>
    <row r="165" spans="3:79">
      <c r="C165" s="5"/>
      <c r="D165" s="6"/>
      <c r="E165" s="5"/>
      <c r="F165" s="6"/>
      <c r="G165" s="6"/>
      <c r="H165" s="5"/>
      <c r="I165" s="6"/>
      <c r="J165" s="6"/>
      <c r="K165" s="5"/>
      <c r="L165" s="6"/>
      <c r="M165" s="6"/>
      <c r="AI165" s="1">
        <v>41880</v>
      </c>
      <c r="AJ165" t="s">
        <v>9605</v>
      </c>
      <c r="AK165">
        <f t="shared" ref="AK165" si="149">IF(AJ165="",NA(),VLOOKUP(AJ165,$AB$28:$AC$49,2,0))</f>
        <v>280</v>
      </c>
      <c r="AL165" s="1">
        <v>40882</v>
      </c>
      <c r="AM165" t="s">
        <v>9605</v>
      </c>
      <c r="AN165" t="s">
        <v>3</v>
      </c>
      <c r="AO165" s="1">
        <v>41003</v>
      </c>
      <c r="AP165" t="s">
        <v>9605</v>
      </c>
      <c r="AQ165" t="s">
        <v>3</v>
      </c>
      <c r="AR165" s="1">
        <v>41121</v>
      </c>
      <c r="AS165" t="s">
        <v>9605</v>
      </c>
      <c r="AT165" t="s">
        <v>3</v>
      </c>
      <c r="AU165" s="1">
        <f t="shared" si="133"/>
        <v>41880</v>
      </c>
      <c r="AV165" s="1" t="str">
        <f t="shared" si="134"/>
        <v>AAA</v>
      </c>
      <c r="AW165" s="52">
        <f t="shared" si="135"/>
        <v>280</v>
      </c>
      <c r="AZ165" s="1"/>
      <c r="BB165" t="e">
        <f t="shared" si="137"/>
        <v>#N/A</v>
      </c>
      <c r="BC165" s="1"/>
      <c r="BF165" s="1"/>
      <c r="BI165" s="1"/>
      <c r="BL165" s="1" t="e">
        <f t="shared" si="96"/>
        <v>#N/A</v>
      </c>
      <c r="BM165" s="1" t="e">
        <f t="shared" si="97"/>
        <v>#N/A</v>
      </c>
      <c r="BN165" s="1" t="e">
        <f t="shared" si="98"/>
        <v>#N/A</v>
      </c>
      <c r="BP165" s="1"/>
      <c r="BR165" t="e">
        <f t="shared" si="138"/>
        <v>#N/A</v>
      </c>
      <c r="BS165" s="1"/>
      <c r="BU165" s="1"/>
      <c r="BW165" s="1"/>
      <c r="BY165" s="1" t="e">
        <f t="shared" si="139"/>
        <v>#N/A</v>
      </c>
      <c r="BZ165" s="1" t="e">
        <f t="shared" si="140"/>
        <v>#N/A</v>
      </c>
      <c r="CA165" s="1" t="e">
        <f t="shared" si="141"/>
        <v>#N/A</v>
      </c>
    </row>
    <row r="166" spans="3:79">
      <c r="C166" s="5"/>
      <c r="D166" s="6"/>
      <c r="E166" s="5"/>
      <c r="F166" s="6"/>
      <c r="G166" s="6"/>
      <c r="H166" s="5"/>
      <c r="I166" s="6"/>
      <c r="J166" s="6"/>
      <c r="K166" s="5"/>
      <c r="L166" s="6"/>
      <c r="M166" s="6"/>
      <c r="AI166" s="1">
        <v>41851</v>
      </c>
      <c r="AJ166" t="s">
        <v>9605</v>
      </c>
      <c r="AK166">
        <f t="shared" ref="AK166" si="150">IF(AJ166="",NA(),VLOOKUP(AJ166,$AB$28:$AC$49,2,0))</f>
        <v>280</v>
      </c>
      <c r="AL166" s="1">
        <v>40847</v>
      </c>
      <c r="AM166" t="s">
        <v>9605</v>
      </c>
      <c r="AN166" t="s">
        <v>3</v>
      </c>
      <c r="AO166" s="1">
        <v>40968</v>
      </c>
      <c r="AP166" t="s">
        <v>9605</v>
      </c>
      <c r="AQ166" t="s">
        <v>3</v>
      </c>
      <c r="AR166" s="1">
        <v>41089</v>
      </c>
      <c r="AS166" t="s">
        <v>9605</v>
      </c>
      <c r="AT166" t="s">
        <v>3</v>
      </c>
      <c r="AU166" s="1">
        <f t="shared" si="133"/>
        <v>41851</v>
      </c>
      <c r="AV166" s="1" t="str">
        <f t="shared" si="134"/>
        <v>AAA</v>
      </c>
      <c r="AW166" s="52">
        <f t="shared" si="135"/>
        <v>280</v>
      </c>
      <c r="AZ166" s="1"/>
      <c r="BB166" t="e">
        <f t="shared" si="137"/>
        <v>#N/A</v>
      </c>
      <c r="BC166" s="1"/>
      <c r="BF166" s="1"/>
      <c r="BI166" s="1"/>
      <c r="BL166" s="1" t="e">
        <f t="shared" si="96"/>
        <v>#N/A</v>
      </c>
      <c r="BM166" s="1" t="e">
        <f t="shared" si="97"/>
        <v>#N/A</v>
      </c>
      <c r="BN166" s="1" t="e">
        <f t="shared" si="98"/>
        <v>#N/A</v>
      </c>
      <c r="BP166" s="1"/>
      <c r="BR166" t="e">
        <f t="shared" si="138"/>
        <v>#N/A</v>
      </c>
      <c r="BS166" s="1"/>
      <c r="BU166" s="1"/>
      <c r="BW166" s="1"/>
      <c r="BY166" s="1" t="e">
        <f t="shared" si="139"/>
        <v>#N/A</v>
      </c>
      <c r="BZ166" s="1" t="e">
        <f t="shared" si="140"/>
        <v>#N/A</v>
      </c>
      <c r="CA166" s="1" t="e">
        <f t="shared" si="141"/>
        <v>#N/A</v>
      </c>
    </row>
    <row r="167" spans="3:79">
      <c r="C167" s="5"/>
      <c r="D167" s="6"/>
      <c r="E167" s="5"/>
      <c r="F167" s="6"/>
      <c r="G167" s="6"/>
      <c r="H167" s="5"/>
      <c r="I167" s="6"/>
      <c r="J167" s="6"/>
      <c r="K167" s="5"/>
      <c r="L167" s="6"/>
      <c r="M167" s="6"/>
      <c r="AI167" s="1">
        <v>41820</v>
      </c>
      <c r="AJ167" t="s">
        <v>9605</v>
      </c>
      <c r="AK167">
        <f t="shared" ref="AK167" si="151">IF(AJ167="",NA(),VLOOKUP(AJ167,$AB$28:$AC$49,2,0))</f>
        <v>280</v>
      </c>
      <c r="AL167" s="1">
        <v>40816</v>
      </c>
      <c r="AM167" t="s">
        <v>9605</v>
      </c>
      <c r="AN167" t="s">
        <v>3</v>
      </c>
      <c r="AO167" s="1">
        <v>40939</v>
      </c>
      <c r="AP167" t="s">
        <v>9605</v>
      </c>
      <c r="AQ167" t="s">
        <v>3</v>
      </c>
      <c r="AR167" s="1">
        <v>41065</v>
      </c>
      <c r="AS167" t="s">
        <v>9605</v>
      </c>
      <c r="AT167" t="s">
        <v>3</v>
      </c>
      <c r="AU167" s="1">
        <f t="shared" si="133"/>
        <v>41820</v>
      </c>
      <c r="AV167" s="1" t="str">
        <f t="shared" si="134"/>
        <v>AAA</v>
      </c>
      <c r="AW167" s="52">
        <f t="shared" si="135"/>
        <v>280</v>
      </c>
      <c r="AZ167" s="1"/>
      <c r="BB167" t="e">
        <f t="shared" si="137"/>
        <v>#N/A</v>
      </c>
      <c r="BC167" s="1"/>
      <c r="BF167" s="1"/>
      <c r="BI167" s="1"/>
      <c r="BL167" s="1" t="e">
        <f t="shared" si="96"/>
        <v>#N/A</v>
      </c>
      <c r="BM167" s="1" t="e">
        <f t="shared" si="97"/>
        <v>#N/A</v>
      </c>
      <c r="BN167" s="1" t="e">
        <f t="shared" si="98"/>
        <v>#N/A</v>
      </c>
      <c r="BP167" s="1"/>
      <c r="BR167" t="e">
        <f t="shared" si="138"/>
        <v>#N/A</v>
      </c>
      <c r="BS167" s="1"/>
      <c r="BU167" s="1"/>
      <c r="BW167" s="1"/>
      <c r="BY167" s="1" t="e">
        <f t="shared" si="139"/>
        <v>#N/A</v>
      </c>
      <c r="BZ167" s="1" t="e">
        <f t="shared" si="140"/>
        <v>#N/A</v>
      </c>
      <c r="CA167" s="1" t="e">
        <f t="shared" si="141"/>
        <v>#N/A</v>
      </c>
    </row>
    <row r="168" spans="3:79">
      <c r="C168" s="5"/>
      <c r="D168" s="6"/>
      <c r="E168" s="5"/>
      <c r="F168" s="6"/>
      <c r="G168" s="6"/>
      <c r="H168" s="5"/>
      <c r="I168" s="6"/>
      <c r="J168" s="6"/>
      <c r="K168" s="5"/>
      <c r="L168" s="6"/>
      <c r="M168" s="6"/>
      <c r="AI168" s="1">
        <v>41789</v>
      </c>
      <c r="AJ168" t="s">
        <v>9605</v>
      </c>
      <c r="AK168">
        <f t="shared" ref="AK168" si="152">IF(AJ168="",NA(),VLOOKUP(AJ168,$AB$28:$AC$49,2,0))</f>
        <v>280</v>
      </c>
      <c r="AL168" s="1">
        <v>40786</v>
      </c>
      <c r="AM168" t="s">
        <v>9605</v>
      </c>
      <c r="AN168" t="s">
        <v>3</v>
      </c>
      <c r="AO168" s="1">
        <v>40907</v>
      </c>
      <c r="AP168" t="s">
        <v>9605</v>
      </c>
      <c r="AQ168" t="s">
        <v>3</v>
      </c>
      <c r="AR168" s="1">
        <v>41029</v>
      </c>
      <c r="AS168" t="s">
        <v>9605</v>
      </c>
      <c r="AT168" t="s">
        <v>3</v>
      </c>
      <c r="AU168" s="1">
        <f t="shared" si="133"/>
        <v>41789</v>
      </c>
      <c r="AV168" s="1" t="str">
        <f t="shared" si="134"/>
        <v>AAA</v>
      </c>
      <c r="AW168" s="52">
        <f t="shared" si="135"/>
        <v>280</v>
      </c>
      <c r="AZ168" s="1"/>
      <c r="BB168" t="e">
        <f t="shared" si="137"/>
        <v>#N/A</v>
      </c>
      <c r="BC168" s="1"/>
      <c r="BF168" s="1"/>
      <c r="BI168" s="1"/>
      <c r="BL168" s="1" t="e">
        <f t="shared" si="96"/>
        <v>#N/A</v>
      </c>
      <c r="BM168" s="1" t="e">
        <f t="shared" si="97"/>
        <v>#N/A</v>
      </c>
      <c r="BN168" s="1" t="e">
        <f t="shared" si="98"/>
        <v>#N/A</v>
      </c>
      <c r="BP168" s="1"/>
      <c r="BR168" t="e">
        <f t="shared" si="138"/>
        <v>#N/A</v>
      </c>
      <c r="BS168" s="1"/>
      <c r="BU168" s="1"/>
      <c r="BW168" s="1"/>
      <c r="BY168" s="1" t="e">
        <f t="shared" si="139"/>
        <v>#N/A</v>
      </c>
      <c r="BZ168" s="1" t="e">
        <f t="shared" si="140"/>
        <v>#N/A</v>
      </c>
      <c r="CA168" s="1" t="e">
        <f t="shared" si="141"/>
        <v>#N/A</v>
      </c>
    </row>
    <row r="169" spans="3:79">
      <c r="C169" s="5"/>
      <c r="D169" s="6"/>
      <c r="E169" s="5"/>
      <c r="F169" s="6"/>
      <c r="G169" s="6"/>
      <c r="H169" s="5"/>
      <c r="I169" s="6"/>
      <c r="J169" s="6"/>
      <c r="K169" s="5"/>
      <c r="L169" s="6"/>
      <c r="M169" s="6"/>
      <c r="AI169" s="1">
        <v>41759</v>
      </c>
      <c r="AJ169" t="s">
        <v>9605</v>
      </c>
      <c r="AK169">
        <f t="shared" ref="AK169" si="153">IF(AJ169="",NA(),VLOOKUP(AJ169,$AB$28:$AC$49,2,0))</f>
        <v>280</v>
      </c>
      <c r="AL169" s="1">
        <v>40753</v>
      </c>
      <c r="AM169" t="s">
        <v>9605</v>
      </c>
      <c r="AN169" t="s">
        <v>3</v>
      </c>
      <c r="AO169" s="1">
        <v>40877</v>
      </c>
      <c r="AP169" t="s">
        <v>9605</v>
      </c>
      <c r="AQ169" t="s">
        <v>3</v>
      </c>
      <c r="AR169" s="1">
        <v>41003</v>
      </c>
      <c r="AS169" t="s">
        <v>9605</v>
      </c>
      <c r="AT169" t="s">
        <v>3</v>
      </c>
      <c r="AU169" s="1">
        <f t="shared" si="133"/>
        <v>41759</v>
      </c>
      <c r="AV169" s="1" t="str">
        <f t="shared" si="134"/>
        <v>AAA</v>
      </c>
      <c r="AW169" s="52">
        <f t="shared" si="135"/>
        <v>280</v>
      </c>
      <c r="AZ169" s="1"/>
      <c r="BB169" t="e">
        <f t="shared" si="137"/>
        <v>#N/A</v>
      </c>
      <c r="BC169" s="1"/>
      <c r="BF169" s="1"/>
      <c r="BI169" s="1"/>
      <c r="BL169" s="1" t="e">
        <f t="shared" si="96"/>
        <v>#N/A</v>
      </c>
      <c r="BM169" s="1" t="e">
        <f t="shared" si="97"/>
        <v>#N/A</v>
      </c>
      <c r="BN169" s="1" t="e">
        <f t="shared" si="98"/>
        <v>#N/A</v>
      </c>
      <c r="BP169" s="1"/>
      <c r="BR169" t="e">
        <f t="shared" si="138"/>
        <v>#N/A</v>
      </c>
      <c r="BS169" s="1"/>
      <c r="BU169" s="1"/>
      <c r="BW169" s="1"/>
      <c r="BY169" s="1" t="e">
        <f t="shared" si="139"/>
        <v>#N/A</v>
      </c>
      <c r="BZ169" s="1" t="e">
        <f t="shared" si="140"/>
        <v>#N/A</v>
      </c>
      <c r="CA169" s="1" t="e">
        <f t="shared" si="141"/>
        <v>#N/A</v>
      </c>
    </row>
    <row r="170" spans="3:79">
      <c r="C170" s="5"/>
      <c r="D170" s="6"/>
      <c r="E170" s="5"/>
      <c r="F170" s="6"/>
      <c r="G170" s="6"/>
      <c r="H170" s="5"/>
      <c r="I170" s="6"/>
      <c r="J170" s="6"/>
      <c r="K170" s="5"/>
      <c r="L170" s="6"/>
      <c r="M170" s="6"/>
      <c r="AI170" s="1">
        <v>41730</v>
      </c>
      <c r="AJ170" t="s">
        <v>9605</v>
      </c>
      <c r="AK170">
        <f t="shared" ref="AK170" si="154">IF(AJ170="",NA(),VLOOKUP(AJ170,$AB$28:$AC$49,2,0))</f>
        <v>280</v>
      </c>
      <c r="AL170" s="1">
        <v>40724</v>
      </c>
      <c r="AM170" t="s">
        <v>9605</v>
      </c>
      <c r="AN170" t="s">
        <v>3</v>
      </c>
      <c r="AO170" s="1">
        <v>40847</v>
      </c>
      <c r="AP170" t="s">
        <v>9605</v>
      </c>
      <c r="AQ170" t="s">
        <v>3</v>
      </c>
      <c r="AR170" s="1">
        <v>40968</v>
      </c>
      <c r="AS170" t="s">
        <v>9605</v>
      </c>
      <c r="AT170" t="s">
        <v>3</v>
      </c>
      <c r="AU170" s="1">
        <f t="shared" si="133"/>
        <v>41730</v>
      </c>
      <c r="AV170" s="1" t="str">
        <f t="shared" si="134"/>
        <v>AAA</v>
      </c>
      <c r="AW170" s="52">
        <f t="shared" si="135"/>
        <v>280</v>
      </c>
      <c r="AZ170" s="1"/>
      <c r="BB170" t="e">
        <f t="shared" si="137"/>
        <v>#N/A</v>
      </c>
      <c r="BC170" s="1"/>
      <c r="BF170" s="1"/>
      <c r="BI170" s="1"/>
      <c r="BL170" s="1" t="e">
        <f t="shared" si="96"/>
        <v>#N/A</v>
      </c>
      <c r="BM170" s="1" t="e">
        <f t="shared" si="97"/>
        <v>#N/A</v>
      </c>
      <c r="BN170" s="1" t="e">
        <f t="shared" si="98"/>
        <v>#N/A</v>
      </c>
      <c r="BP170" s="1"/>
      <c r="BR170" t="e">
        <f t="shared" si="138"/>
        <v>#N/A</v>
      </c>
      <c r="BS170" s="1"/>
      <c r="BU170" s="1"/>
      <c r="BW170" s="1"/>
      <c r="BY170" s="1" t="e">
        <f t="shared" si="139"/>
        <v>#N/A</v>
      </c>
      <c r="BZ170" s="1" t="e">
        <f t="shared" si="140"/>
        <v>#N/A</v>
      </c>
      <c r="CA170" s="1" t="e">
        <f t="shared" si="141"/>
        <v>#N/A</v>
      </c>
    </row>
    <row r="171" spans="3:79">
      <c r="C171" s="5"/>
      <c r="D171" s="6"/>
      <c r="E171" s="5"/>
      <c r="F171" s="6"/>
      <c r="G171" s="6"/>
      <c r="H171" s="5"/>
      <c r="I171" s="6"/>
      <c r="J171" s="6"/>
      <c r="K171" s="5"/>
      <c r="L171" s="6"/>
      <c r="M171" s="6"/>
      <c r="AI171" s="1">
        <v>41729</v>
      </c>
      <c r="AJ171" t="s">
        <v>9605</v>
      </c>
      <c r="AK171">
        <f t="shared" ref="AK171" si="155">IF(AJ171="",NA(),VLOOKUP(AJ171,$AB$28:$AC$49,2,0))</f>
        <v>280</v>
      </c>
      <c r="AL171" s="1">
        <v>40694</v>
      </c>
      <c r="AM171" t="s">
        <v>9605</v>
      </c>
      <c r="AN171" t="s">
        <v>3</v>
      </c>
      <c r="AO171" s="1">
        <v>40816</v>
      </c>
      <c r="AP171" t="s">
        <v>9605</v>
      </c>
      <c r="AQ171" t="s">
        <v>3</v>
      </c>
      <c r="AR171" s="1">
        <v>40939</v>
      </c>
      <c r="AS171" t="s">
        <v>9605</v>
      </c>
      <c r="AT171" t="s">
        <v>3</v>
      </c>
      <c r="AU171" s="1">
        <f t="shared" si="133"/>
        <v>41729</v>
      </c>
      <c r="AV171" s="1" t="str">
        <f t="shared" si="134"/>
        <v>AAA</v>
      </c>
      <c r="AW171" s="52">
        <f t="shared" si="135"/>
        <v>280</v>
      </c>
      <c r="AZ171" s="1"/>
      <c r="BB171" t="e">
        <f t="shared" si="137"/>
        <v>#N/A</v>
      </c>
      <c r="BC171" s="1"/>
      <c r="BF171" s="1"/>
      <c r="BI171" s="1"/>
      <c r="BL171" s="1" t="e">
        <f t="shared" si="96"/>
        <v>#N/A</v>
      </c>
      <c r="BM171" s="1" t="e">
        <f t="shared" si="97"/>
        <v>#N/A</v>
      </c>
      <c r="BN171" s="1" t="e">
        <f t="shared" si="98"/>
        <v>#N/A</v>
      </c>
      <c r="BP171" s="1"/>
      <c r="BR171" t="e">
        <f t="shared" si="138"/>
        <v>#N/A</v>
      </c>
      <c r="BS171" s="1"/>
      <c r="BU171" s="1"/>
      <c r="BW171" s="1"/>
      <c r="BY171" s="1" t="e">
        <f t="shared" si="139"/>
        <v>#N/A</v>
      </c>
      <c r="BZ171" s="1" t="e">
        <f t="shared" si="140"/>
        <v>#N/A</v>
      </c>
      <c r="CA171" s="1" t="e">
        <f t="shared" si="141"/>
        <v>#N/A</v>
      </c>
    </row>
    <row r="172" spans="3:79">
      <c r="C172" s="5"/>
      <c r="D172" s="6"/>
      <c r="E172" s="5"/>
      <c r="F172" s="6"/>
      <c r="G172" s="6"/>
      <c r="H172" s="5"/>
      <c r="I172" s="6"/>
      <c r="J172" s="6"/>
      <c r="K172" s="5"/>
      <c r="L172" s="6"/>
      <c r="M172" s="6"/>
      <c r="AI172" s="1">
        <v>41698</v>
      </c>
      <c r="AJ172" t="s">
        <v>9605</v>
      </c>
      <c r="AK172">
        <f t="shared" ref="AK172" si="156">IF(AJ172="",NA(),VLOOKUP(AJ172,$AB$28:$AC$49,2,0))</f>
        <v>280</v>
      </c>
      <c r="AL172" s="1">
        <v>40633</v>
      </c>
      <c r="AM172" t="s">
        <v>9605</v>
      </c>
      <c r="AN172" t="s">
        <v>3</v>
      </c>
      <c r="AO172" s="1">
        <v>40786</v>
      </c>
      <c r="AP172" t="s">
        <v>9605</v>
      </c>
      <c r="AQ172" t="s">
        <v>3</v>
      </c>
      <c r="AR172" s="1">
        <v>40913</v>
      </c>
      <c r="AS172" t="s">
        <v>9605</v>
      </c>
      <c r="AT172" t="s">
        <v>3</v>
      </c>
      <c r="AU172" s="1">
        <f t="shared" si="133"/>
        <v>41698</v>
      </c>
      <c r="AV172" s="1" t="str">
        <f t="shared" si="134"/>
        <v>AAA</v>
      </c>
      <c r="AW172" s="52">
        <f t="shared" si="135"/>
        <v>280</v>
      </c>
      <c r="AZ172" s="1"/>
      <c r="BB172" t="e">
        <f t="shared" si="137"/>
        <v>#N/A</v>
      </c>
      <c r="BC172" s="1"/>
      <c r="BF172" s="1"/>
      <c r="BI172" s="1"/>
      <c r="BL172" s="1" t="e">
        <f t="shared" si="96"/>
        <v>#N/A</v>
      </c>
      <c r="BM172" s="1" t="e">
        <f t="shared" si="97"/>
        <v>#N/A</v>
      </c>
      <c r="BN172" s="1" t="e">
        <f t="shared" si="98"/>
        <v>#N/A</v>
      </c>
      <c r="BP172" s="1"/>
      <c r="BR172" t="e">
        <f t="shared" si="138"/>
        <v>#N/A</v>
      </c>
      <c r="BS172" s="1"/>
      <c r="BU172" s="1"/>
      <c r="BW172" s="1"/>
      <c r="BY172" s="1" t="e">
        <f t="shared" si="139"/>
        <v>#N/A</v>
      </c>
      <c r="BZ172" s="1" t="e">
        <f t="shared" si="140"/>
        <v>#N/A</v>
      </c>
      <c r="CA172" s="1" t="e">
        <f t="shared" si="141"/>
        <v>#N/A</v>
      </c>
    </row>
    <row r="173" spans="3:79">
      <c r="C173" s="5"/>
      <c r="D173" s="6"/>
      <c r="E173" s="5"/>
      <c r="F173" s="6"/>
      <c r="G173" s="6"/>
      <c r="H173" s="5"/>
      <c r="I173" s="6"/>
      <c r="J173" s="6"/>
      <c r="K173" s="5"/>
      <c r="L173" s="6"/>
      <c r="M173" s="6"/>
      <c r="AI173" s="1">
        <v>41673</v>
      </c>
      <c r="AJ173" t="s">
        <v>9605</v>
      </c>
      <c r="AK173">
        <f t="shared" ref="AK173" si="157">IF(AJ173="",NA(),VLOOKUP(AJ173,$AB$28:$AC$49,2,0))</f>
        <v>280</v>
      </c>
      <c r="AL173" s="1">
        <v>40602</v>
      </c>
      <c r="AM173" t="s">
        <v>9605</v>
      </c>
      <c r="AN173" t="s">
        <v>3</v>
      </c>
      <c r="AO173" s="1">
        <v>40753</v>
      </c>
      <c r="AP173" t="s">
        <v>9605</v>
      </c>
      <c r="AQ173" t="s">
        <v>3</v>
      </c>
      <c r="AR173" s="1">
        <v>40879</v>
      </c>
      <c r="AS173" t="s">
        <v>9605</v>
      </c>
      <c r="AT173" t="s">
        <v>3</v>
      </c>
      <c r="AU173" s="1">
        <f t="shared" si="133"/>
        <v>41673</v>
      </c>
      <c r="AV173" s="1" t="str">
        <f t="shared" si="134"/>
        <v>AAA</v>
      </c>
      <c r="AW173" s="52">
        <f t="shared" si="135"/>
        <v>280</v>
      </c>
      <c r="AZ173" s="1"/>
      <c r="BB173" t="e">
        <f t="shared" si="137"/>
        <v>#N/A</v>
      </c>
      <c r="BC173" s="1"/>
      <c r="BF173" s="1"/>
      <c r="BI173" s="1"/>
      <c r="BL173" s="1" t="e">
        <f t="shared" si="96"/>
        <v>#N/A</v>
      </c>
      <c r="BM173" s="1" t="e">
        <f t="shared" si="97"/>
        <v>#N/A</v>
      </c>
      <c r="BN173" s="1" t="e">
        <f t="shared" si="98"/>
        <v>#N/A</v>
      </c>
      <c r="BP173" s="1"/>
      <c r="BR173" t="e">
        <f t="shared" si="138"/>
        <v>#N/A</v>
      </c>
      <c r="BS173" s="1"/>
      <c r="BU173" s="1"/>
      <c r="BW173" s="1"/>
      <c r="BY173" s="1" t="e">
        <f t="shared" si="139"/>
        <v>#N/A</v>
      </c>
      <c r="BZ173" s="1" t="e">
        <f t="shared" si="140"/>
        <v>#N/A</v>
      </c>
      <c r="CA173" s="1" t="e">
        <f t="shared" si="141"/>
        <v>#N/A</v>
      </c>
    </row>
    <row r="174" spans="3:79">
      <c r="C174" s="5"/>
      <c r="D174" s="6"/>
      <c r="E174" s="5"/>
      <c r="F174" s="6"/>
      <c r="G174" s="6"/>
      <c r="H174" s="5"/>
      <c r="I174" s="6"/>
      <c r="J174" s="6"/>
      <c r="K174" s="5"/>
      <c r="L174" s="6"/>
      <c r="M174" s="6"/>
      <c r="AI174" s="1">
        <v>41668</v>
      </c>
      <c r="AJ174" t="s">
        <v>9605</v>
      </c>
      <c r="AK174">
        <f t="shared" ref="AK174" si="158">IF(AJ174="",NA(),VLOOKUP(AJ174,$AB$28:$AC$49,2,0))</f>
        <v>280</v>
      </c>
      <c r="AL174" s="1">
        <v>40574</v>
      </c>
      <c r="AM174" t="s">
        <v>9605</v>
      </c>
      <c r="AN174" t="s">
        <v>3</v>
      </c>
      <c r="AO174" s="1">
        <v>40724</v>
      </c>
      <c r="AP174" t="s">
        <v>9605</v>
      </c>
      <c r="AQ174" t="s">
        <v>3</v>
      </c>
      <c r="AR174" s="1">
        <v>40847</v>
      </c>
      <c r="AS174" t="s">
        <v>9605</v>
      </c>
      <c r="AT174" t="s">
        <v>3</v>
      </c>
      <c r="AU174" s="1">
        <f t="shared" si="133"/>
        <v>41668</v>
      </c>
      <c r="AV174" s="1" t="str">
        <f t="shared" si="134"/>
        <v>AAA</v>
      </c>
      <c r="AW174" s="52">
        <f t="shared" si="135"/>
        <v>280</v>
      </c>
      <c r="AZ174" s="1"/>
      <c r="BB174" t="e">
        <f t="shared" si="137"/>
        <v>#N/A</v>
      </c>
      <c r="BC174" s="1"/>
      <c r="BF174" s="1"/>
      <c r="BI174" s="1"/>
      <c r="BL174" s="1" t="e">
        <f t="shared" si="96"/>
        <v>#N/A</v>
      </c>
      <c r="BM174" s="1" t="e">
        <f t="shared" si="97"/>
        <v>#N/A</v>
      </c>
      <c r="BN174" s="1" t="e">
        <f t="shared" si="98"/>
        <v>#N/A</v>
      </c>
      <c r="BP174" s="1"/>
      <c r="BR174" t="e">
        <f t="shared" si="138"/>
        <v>#N/A</v>
      </c>
      <c r="BS174" s="1"/>
      <c r="BU174" s="1"/>
      <c r="BW174" s="1"/>
      <c r="BY174" s="1" t="e">
        <f t="shared" si="139"/>
        <v>#N/A</v>
      </c>
      <c r="BZ174" s="1" t="e">
        <f t="shared" si="140"/>
        <v>#N/A</v>
      </c>
      <c r="CA174" s="1" t="e">
        <f t="shared" si="141"/>
        <v>#N/A</v>
      </c>
    </row>
    <row r="175" spans="3:79">
      <c r="C175" s="5"/>
      <c r="D175" s="6"/>
      <c r="E175" s="5"/>
      <c r="F175" s="6"/>
      <c r="G175" s="6"/>
      <c r="H175" s="5"/>
      <c r="I175" s="6"/>
      <c r="J175" s="6"/>
      <c r="K175" s="5"/>
      <c r="L175" s="6"/>
      <c r="M175" s="6"/>
      <c r="AI175" s="1">
        <v>41639</v>
      </c>
      <c r="AJ175" t="s">
        <v>9605</v>
      </c>
      <c r="AK175">
        <f t="shared" ref="AK175" si="159">IF(AJ175="",NA(),VLOOKUP(AJ175,$AB$28:$AC$49,2,0))</f>
        <v>280</v>
      </c>
      <c r="AL175" s="1">
        <v>40546</v>
      </c>
      <c r="AM175" t="s">
        <v>9605</v>
      </c>
      <c r="AN175" t="s">
        <v>3</v>
      </c>
      <c r="AO175" s="1">
        <v>40694</v>
      </c>
      <c r="AP175" t="s">
        <v>9605</v>
      </c>
      <c r="AQ175" t="s">
        <v>3</v>
      </c>
      <c r="AR175" s="1">
        <v>40816</v>
      </c>
      <c r="AS175" t="s">
        <v>9605</v>
      </c>
      <c r="AT175" t="s">
        <v>3</v>
      </c>
      <c r="AU175" s="1">
        <f t="shared" si="133"/>
        <v>41639</v>
      </c>
      <c r="AV175" s="1" t="str">
        <f t="shared" si="134"/>
        <v>AAA</v>
      </c>
      <c r="AW175" s="52">
        <f t="shared" si="135"/>
        <v>280</v>
      </c>
      <c r="AZ175" s="1"/>
      <c r="BB175" t="e">
        <f t="shared" si="137"/>
        <v>#N/A</v>
      </c>
      <c r="BC175" s="1"/>
      <c r="BF175" s="1"/>
      <c r="BI175" s="1"/>
      <c r="BL175" s="1" t="e">
        <f t="shared" si="96"/>
        <v>#N/A</v>
      </c>
      <c r="BM175" s="1" t="e">
        <f t="shared" si="97"/>
        <v>#N/A</v>
      </c>
      <c r="BN175" s="1" t="e">
        <f t="shared" si="98"/>
        <v>#N/A</v>
      </c>
      <c r="BP175" s="1"/>
      <c r="BR175" t="e">
        <f t="shared" si="138"/>
        <v>#N/A</v>
      </c>
      <c r="BS175" s="1"/>
      <c r="BU175" s="1"/>
      <c r="BW175" s="1"/>
      <c r="BY175" s="1" t="e">
        <f t="shared" si="139"/>
        <v>#N/A</v>
      </c>
      <c r="BZ175" s="1" t="e">
        <f t="shared" si="140"/>
        <v>#N/A</v>
      </c>
      <c r="CA175" s="1" t="e">
        <f t="shared" si="141"/>
        <v>#N/A</v>
      </c>
    </row>
    <row r="176" spans="3:79">
      <c r="C176" s="5"/>
      <c r="D176" s="6"/>
      <c r="E176" s="5"/>
      <c r="F176" s="6"/>
      <c r="G176" s="6"/>
      <c r="H176" s="5"/>
      <c r="I176" s="6"/>
      <c r="J176" s="6"/>
      <c r="K176" s="5"/>
      <c r="L176" s="6"/>
      <c r="M176" s="6"/>
      <c r="AI176" s="1">
        <v>41607</v>
      </c>
      <c r="AJ176" t="s">
        <v>9605</v>
      </c>
      <c r="AK176">
        <f t="shared" ref="AK176" si="160">IF(AJ176="",NA(),VLOOKUP(AJ176,$AB$28:$AC$49,2,0))</f>
        <v>280</v>
      </c>
      <c r="AL176" s="1">
        <v>40512</v>
      </c>
      <c r="AM176" t="s">
        <v>9605</v>
      </c>
      <c r="AN176" t="s">
        <v>3</v>
      </c>
      <c r="AO176" s="1">
        <v>40662</v>
      </c>
      <c r="AP176" t="s">
        <v>9605</v>
      </c>
      <c r="AQ176" t="s">
        <v>3</v>
      </c>
      <c r="AR176" s="1">
        <v>40786</v>
      </c>
      <c r="AS176" t="s">
        <v>9605</v>
      </c>
      <c r="AT176" t="s">
        <v>3</v>
      </c>
      <c r="AU176" s="1">
        <f t="shared" si="133"/>
        <v>41607</v>
      </c>
      <c r="AV176" s="1" t="str">
        <f t="shared" si="134"/>
        <v>AAA</v>
      </c>
      <c r="AW176" s="52">
        <f t="shared" si="135"/>
        <v>280</v>
      </c>
      <c r="AZ176" s="1"/>
      <c r="BB176" t="e">
        <f t="shared" si="137"/>
        <v>#N/A</v>
      </c>
      <c r="BC176" s="1"/>
      <c r="BF176" s="1"/>
      <c r="BI176" s="1"/>
      <c r="BL176" s="1" t="e">
        <f t="shared" si="96"/>
        <v>#N/A</v>
      </c>
      <c r="BM176" s="1" t="e">
        <f t="shared" si="97"/>
        <v>#N/A</v>
      </c>
      <c r="BN176" s="1" t="e">
        <f t="shared" si="98"/>
        <v>#N/A</v>
      </c>
      <c r="BP176" s="1"/>
      <c r="BR176" t="e">
        <f t="shared" si="138"/>
        <v>#N/A</v>
      </c>
      <c r="BS176" s="1"/>
      <c r="BU176" s="1"/>
      <c r="BW176" s="1"/>
      <c r="BY176" s="1" t="e">
        <f t="shared" si="139"/>
        <v>#N/A</v>
      </c>
      <c r="BZ176" s="1" t="e">
        <f t="shared" si="140"/>
        <v>#N/A</v>
      </c>
      <c r="CA176" s="1" t="e">
        <f t="shared" si="141"/>
        <v>#N/A</v>
      </c>
    </row>
    <row r="177" spans="3:79">
      <c r="C177" s="5"/>
      <c r="D177" s="6"/>
      <c r="E177" s="5"/>
      <c r="F177" s="6"/>
      <c r="G177" s="6"/>
      <c r="H177" s="5"/>
      <c r="I177" s="6"/>
      <c r="J177" s="6"/>
      <c r="K177" s="5"/>
      <c r="L177" s="6"/>
      <c r="M177" s="6"/>
      <c r="AI177" s="1">
        <v>41578</v>
      </c>
      <c r="AJ177" t="s">
        <v>9605</v>
      </c>
      <c r="AK177">
        <f t="shared" ref="AK177" si="161">IF(AJ177="",NA(),VLOOKUP(AJ177,$AB$28:$AC$49,2,0))</f>
        <v>280</v>
      </c>
      <c r="AL177" s="1">
        <v>40480</v>
      </c>
      <c r="AM177" t="s">
        <v>9605</v>
      </c>
      <c r="AN177" t="s">
        <v>3</v>
      </c>
      <c r="AO177" s="1">
        <v>40633</v>
      </c>
      <c r="AP177" t="s">
        <v>9605</v>
      </c>
      <c r="AQ177" t="s">
        <v>3</v>
      </c>
      <c r="AR177" s="1">
        <v>40753</v>
      </c>
      <c r="AS177" t="s">
        <v>9605</v>
      </c>
      <c r="AT177" t="s">
        <v>3</v>
      </c>
      <c r="AU177" s="1">
        <f t="shared" si="133"/>
        <v>41578</v>
      </c>
      <c r="AV177" s="1" t="str">
        <f t="shared" si="134"/>
        <v>AAA</v>
      </c>
      <c r="AW177" s="52">
        <f t="shared" si="135"/>
        <v>280</v>
      </c>
      <c r="AZ177" s="1"/>
      <c r="BB177" t="e">
        <f t="shared" si="137"/>
        <v>#N/A</v>
      </c>
      <c r="BC177" s="1"/>
      <c r="BF177" s="1"/>
      <c r="BI177" s="1"/>
      <c r="BL177" s="1" t="e">
        <f t="shared" si="96"/>
        <v>#N/A</v>
      </c>
      <c r="BM177" s="1" t="e">
        <f t="shared" si="97"/>
        <v>#N/A</v>
      </c>
      <c r="BN177" s="1" t="e">
        <f t="shared" si="98"/>
        <v>#N/A</v>
      </c>
      <c r="BP177" s="1"/>
      <c r="BR177" t="e">
        <f t="shared" si="138"/>
        <v>#N/A</v>
      </c>
      <c r="BS177" s="1"/>
      <c r="BU177" s="1"/>
      <c r="BW177" s="1"/>
      <c r="BY177" s="1" t="e">
        <f t="shared" si="139"/>
        <v>#N/A</v>
      </c>
      <c r="BZ177" s="1" t="e">
        <f t="shared" si="140"/>
        <v>#N/A</v>
      </c>
      <c r="CA177" s="1" t="e">
        <f t="shared" si="141"/>
        <v>#N/A</v>
      </c>
    </row>
    <row r="178" spans="3:79">
      <c r="C178" s="5"/>
      <c r="D178" s="6"/>
      <c r="E178" s="5"/>
      <c r="F178" s="6"/>
      <c r="G178" s="6"/>
      <c r="H178" s="5"/>
      <c r="I178" s="6"/>
      <c r="J178" s="6"/>
      <c r="K178" s="5"/>
      <c r="L178" s="6"/>
      <c r="M178" s="6"/>
      <c r="AI178" s="1">
        <v>41547</v>
      </c>
      <c r="AJ178" t="s">
        <v>9605</v>
      </c>
      <c r="AK178">
        <f t="shared" ref="AK178" si="162">IF(AJ178="",NA(),VLOOKUP(AJ178,$AB$28:$AC$49,2,0))</f>
        <v>280</v>
      </c>
      <c r="AL178" s="1">
        <v>40451</v>
      </c>
      <c r="AM178" t="s">
        <v>9605</v>
      </c>
      <c r="AN178" t="s">
        <v>3</v>
      </c>
      <c r="AO178" s="1">
        <v>40602</v>
      </c>
      <c r="AP178" t="s">
        <v>9605</v>
      </c>
      <c r="AQ178" t="s">
        <v>3</v>
      </c>
      <c r="AR178" s="1">
        <v>40724</v>
      </c>
      <c r="AS178" t="s">
        <v>9605</v>
      </c>
      <c r="AT178" t="s">
        <v>3</v>
      </c>
      <c r="AU178" s="1">
        <f t="shared" si="133"/>
        <v>41547</v>
      </c>
      <c r="AV178" s="1" t="str">
        <f t="shared" si="134"/>
        <v>AAA</v>
      </c>
      <c r="AW178" s="52">
        <f t="shared" si="135"/>
        <v>280</v>
      </c>
      <c r="AZ178" s="1"/>
      <c r="BB178" t="e">
        <f t="shared" si="137"/>
        <v>#N/A</v>
      </c>
      <c r="BC178" s="1"/>
      <c r="BF178" s="1"/>
      <c r="BI178" s="1"/>
      <c r="BL178" s="1" t="e">
        <f t="shared" si="96"/>
        <v>#N/A</v>
      </c>
      <c r="BM178" s="1" t="e">
        <f t="shared" si="97"/>
        <v>#N/A</v>
      </c>
      <c r="BN178" s="1" t="e">
        <f t="shared" si="98"/>
        <v>#N/A</v>
      </c>
      <c r="BP178" s="1"/>
      <c r="BR178" t="e">
        <f t="shared" si="138"/>
        <v>#N/A</v>
      </c>
      <c r="BS178" s="1"/>
      <c r="BU178" s="1"/>
      <c r="BW178" s="1"/>
      <c r="BY178" s="1" t="e">
        <f t="shared" si="139"/>
        <v>#N/A</v>
      </c>
      <c r="BZ178" s="1" t="e">
        <f t="shared" si="140"/>
        <v>#N/A</v>
      </c>
      <c r="CA178" s="1" t="e">
        <f t="shared" si="141"/>
        <v>#N/A</v>
      </c>
    </row>
    <row r="179" spans="3:79">
      <c r="C179" s="5"/>
      <c r="D179" s="6"/>
      <c r="E179" s="5"/>
      <c r="F179" s="6"/>
      <c r="G179" s="6"/>
      <c r="H179" s="5"/>
      <c r="I179" s="6"/>
      <c r="J179" s="6"/>
      <c r="K179" s="5"/>
      <c r="L179" s="6"/>
      <c r="M179" s="6"/>
      <c r="AI179" s="1">
        <v>41516</v>
      </c>
      <c r="AJ179" t="s">
        <v>9605</v>
      </c>
      <c r="AK179">
        <f t="shared" ref="AK179" si="163">IF(AJ179="",NA(),VLOOKUP(AJ179,$AB$28:$AC$49,2,0))</f>
        <v>280</v>
      </c>
      <c r="AL179" s="1">
        <v>40421</v>
      </c>
      <c r="AM179" t="s">
        <v>9605</v>
      </c>
      <c r="AN179" t="s">
        <v>3</v>
      </c>
      <c r="AO179" s="1">
        <v>40574</v>
      </c>
      <c r="AP179" t="s">
        <v>9605</v>
      </c>
      <c r="AQ179" t="s">
        <v>3</v>
      </c>
      <c r="AR179" s="1">
        <v>40694</v>
      </c>
      <c r="AS179" t="s">
        <v>9605</v>
      </c>
      <c r="AT179" t="s">
        <v>3</v>
      </c>
      <c r="AU179" s="1">
        <f t="shared" si="133"/>
        <v>41516</v>
      </c>
      <c r="AV179" s="1" t="str">
        <f t="shared" si="134"/>
        <v>AAA</v>
      </c>
      <c r="AW179" s="52">
        <f t="shared" si="135"/>
        <v>280</v>
      </c>
      <c r="AZ179" s="1"/>
      <c r="BB179" t="e">
        <f t="shared" si="137"/>
        <v>#N/A</v>
      </c>
      <c r="BC179" s="1"/>
      <c r="BF179" s="1"/>
      <c r="BI179" s="1"/>
      <c r="BL179" s="1" t="e">
        <f t="shared" si="96"/>
        <v>#N/A</v>
      </c>
      <c r="BM179" s="1" t="e">
        <f t="shared" si="97"/>
        <v>#N/A</v>
      </c>
      <c r="BN179" s="1" t="e">
        <f t="shared" si="98"/>
        <v>#N/A</v>
      </c>
      <c r="BP179" s="1"/>
      <c r="BR179" t="e">
        <f t="shared" si="138"/>
        <v>#N/A</v>
      </c>
      <c r="BS179" s="1"/>
      <c r="BU179" s="1"/>
      <c r="BW179" s="1"/>
      <c r="BY179" s="1" t="e">
        <f t="shared" si="139"/>
        <v>#N/A</v>
      </c>
      <c r="BZ179" s="1" t="e">
        <f t="shared" si="140"/>
        <v>#N/A</v>
      </c>
      <c r="CA179" s="1" t="e">
        <f t="shared" si="141"/>
        <v>#N/A</v>
      </c>
    </row>
    <row r="180" spans="3:79">
      <c r="C180" s="5"/>
      <c r="D180" s="6"/>
      <c r="E180" s="5"/>
      <c r="F180" s="6"/>
      <c r="G180" s="6"/>
      <c r="H180" s="5"/>
      <c r="I180" s="6"/>
      <c r="J180" s="6"/>
      <c r="K180" s="5"/>
      <c r="L180" s="6"/>
      <c r="M180" s="6"/>
      <c r="AI180" s="1">
        <v>41507</v>
      </c>
      <c r="AJ180" t="s">
        <v>9605</v>
      </c>
      <c r="AK180">
        <f t="shared" ref="AK180" si="164">IF(AJ180="",NA(),VLOOKUP(AJ180,$AB$28:$AC$49,2,0))</f>
        <v>280</v>
      </c>
      <c r="AL180" s="1">
        <v>40389</v>
      </c>
      <c r="AM180" t="s">
        <v>9605</v>
      </c>
      <c r="AN180" t="s">
        <v>3</v>
      </c>
      <c r="AO180" s="1">
        <v>40543</v>
      </c>
      <c r="AP180" t="s">
        <v>9605</v>
      </c>
      <c r="AQ180" t="s">
        <v>3</v>
      </c>
      <c r="AR180" s="1">
        <v>40662</v>
      </c>
      <c r="AS180" t="s">
        <v>9605</v>
      </c>
      <c r="AT180" t="s">
        <v>3</v>
      </c>
      <c r="AU180" s="1">
        <f t="shared" si="133"/>
        <v>41507</v>
      </c>
      <c r="AV180" s="1" t="str">
        <f t="shared" si="134"/>
        <v>AAA</v>
      </c>
      <c r="AW180" s="52">
        <f t="shared" si="135"/>
        <v>280</v>
      </c>
      <c r="AZ180" s="1"/>
      <c r="BB180" t="e">
        <f t="shared" si="137"/>
        <v>#N/A</v>
      </c>
      <c r="BC180" s="1"/>
      <c r="BF180" s="1"/>
      <c r="BI180" s="1"/>
      <c r="BL180" s="1" t="e">
        <f t="shared" si="96"/>
        <v>#N/A</v>
      </c>
      <c r="BM180" s="1" t="e">
        <f t="shared" si="97"/>
        <v>#N/A</v>
      </c>
      <c r="BN180" s="1" t="e">
        <f t="shared" si="98"/>
        <v>#N/A</v>
      </c>
      <c r="BP180" s="1"/>
      <c r="BR180" t="e">
        <f t="shared" si="138"/>
        <v>#N/A</v>
      </c>
      <c r="BS180" s="1"/>
      <c r="BU180" s="1"/>
      <c r="BW180" s="1"/>
      <c r="BY180" s="1" t="e">
        <f t="shared" si="139"/>
        <v>#N/A</v>
      </c>
      <c r="BZ180" s="1" t="e">
        <f t="shared" si="140"/>
        <v>#N/A</v>
      </c>
      <c r="CA180" s="1" t="e">
        <f t="shared" si="141"/>
        <v>#N/A</v>
      </c>
    </row>
    <row r="181" spans="3:79">
      <c r="C181" s="5"/>
      <c r="D181" s="6"/>
      <c r="E181" s="5"/>
      <c r="F181" s="6"/>
      <c r="G181" s="6"/>
      <c r="H181" s="5"/>
      <c r="I181" s="6"/>
      <c r="J181" s="6"/>
      <c r="K181" s="5"/>
      <c r="L181" s="6"/>
      <c r="M181" s="6"/>
      <c r="AI181" s="1">
        <v>41486</v>
      </c>
      <c r="AJ181" t="s">
        <v>9605</v>
      </c>
      <c r="AK181">
        <f t="shared" ref="AK181" si="165">IF(AJ181="",NA(),VLOOKUP(AJ181,$AB$28:$AC$49,2,0))</f>
        <v>280</v>
      </c>
      <c r="AL181" s="1">
        <v>40359</v>
      </c>
      <c r="AM181" t="s">
        <v>9605</v>
      </c>
      <c r="AN181" t="s">
        <v>3</v>
      </c>
      <c r="AO181" s="1">
        <v>40512</v>
      </c>
      <c r="AP181" t="s">
        <v>9605</v>
      </c>
      <c r="AQ181" t="s">
        <v>3</v>
      </c>
      <c r="AR181" s="1">
        <v>40633</v>
      </c>
      <c r="AS181" t="s">
        <v>9605</v>
      </c>
      <c r="AT181" t="s">
        <v>3</v>
      </c>
      <c r="AU181" s="1">
        <f t="shared" si="133"/>
        <v>41486</v>
      </c>
      <c r="AV181" s="1" t="str">
        <f t="shared" si="134"/>
        <v>AAA</v>
      </c>
      <c r="AW181" s="52">
        <f t="shared" si="135"/>
        <v>280</v>
      </c>
      <c r="AZ181" s="1"/>
      <c r="BB181" t="e">
        <f t="shared" si="137"/>
        <v>#N/A</v>
      </c>
      <c r="BC181" s="1"/>
      <c r="BF181" s="1"/>
      <c r="BI181" s="1"/>
      <c r="BL181" s="1" t="e">
        <f t="shared" si="96"/>
        <v>#N/A</v>
      </c>
      <c r="BM181" s="1" t="e">
        <f t="shared" si="97"/>
        <v>#N/A</v>
      </c>
      <c r="BN181" s="1" t="e">
        <f t="shared" si="98"/>
        <v>#N/A</v>
      </c>
      <c r="BP181" s="1"/>
      <c r="BR181" t="e">
        <f t="shared" si="138"/>
        <v>#N/A</v>
      </c>
      <c r="BS181" s="1"/>
      <c r="BU181" s="1"/>
      <c r="BW181" s="1"/>
      <c r="BY181" s="1" t="e">
        <f t="shared" si="139"/>
        <v>#N/A</v>
      </c>
      <c r="BZ181" s="1" t="e">
        <f t="shared" si="140"/>
        <v>#N/A</v>
      </c>
      <c r="CA181" s="1" t="e">
        <f t="shared" si="141"/>
        <v>#N/A</v>
      </c>
    </row>
    <row r="182" spans="3:79">
      <c r="C182" s="5"/>
      <c r="D182" s="6"/>
      <c r="E182" s="5"/>
      <c r="F182" s="6"/>
      <c r="G182" s="6"/>
      <c r="H182" s="5"/>
      <c r="I182" s="6"/>
      <c r="J182" s="6"/>
      <c r="K182" s="5"/>
      <c r="L182" s="6"/>
      <c r="M182" s="6"/>
      <c r="AI182" s="1">
        <v>41453</v>
      </c>
      <c r="AJ182" t="s">
        <v>9605</v>
      </c>
      <c r="AK182">
        <f t="shared" ref="AK182" si="166">IF(AJ182="",NA(),VLOOKUP(AJ182,$AB$28:$AC$49,2,0))</f>
        <v>280</v>
      </c>
      <c r="AL182" s="1">
        <v>40329</v>
      </c>
      <c r="AM182" t="s">
        <v>9605</v>
      </c>
      <c r="AN182" t="s">
        <v>3</v>
      </c>
      <c r="AO182" s="1">
        <v>40480</v>
      </c>
      <c r="AP182" t="s">
        <v>9605</v>
      </c>
      <c r="AQ182" t="s">
        <v>3</v>
      </c>
      <c r="AR182" s="1">
        <v>40602</v>
      </c>
      <c r="AS182" t="s">
        <v>9605</v>
      </c>
      <c r="AT182" t="s">
        <v>3</v>
      </c>
      <c r="AU182" s="1">
        <f t="shared" si="133"/>
        <v>41453</v>
      </c>
      <c r="AV182" s="1" t="str">
        <f t="shared" si="134"/>
        <v>AAA</v>
      </c>
      <c r="AW182" s="52">
        <f t="shared" si="135"/>
        <v>280</v>
      </c>
      <c r="AZ182" s="1"/>
      <c r="BB182" t="e">
        <f t="shared" si="137"/>
        <v>#N/A</v>
      </c>
      <c r="BC182" s="1"/>
      <c r="BF182" s="1"/>
      <c r="BI182" s="1"/>
      <c r="BL182" s="1" t="e">
        <f t="shared" si="96"/>
        <v>#N/A</v>
      </c>
      <c r="BM182" s="1" t="e">
        <f t="shared" si="97"/>
        <v>#N/A</v>
      </c>
      <c r="BN182" s="1" t="e">
        <f t="shared" si="98"/>
        <v>#N/A</v>
      </c>
      <c r="BP182" s="1"/>
      <c r="BR182" t="e">
        <f t="shared" si="138"/>
        <v>#N/A</v>
      </c>
      <c r="BS182" s="1"/>
      <c r="BU182" s="1"/>
      <c r="BW182" s="1"/>
      <c r="BY182" s="1" t="e">
        <f t="shared" si="139"/>
        <v>#N/A</v>
      </c>
      <c r="BZ182" s="1" t="e">
        <f t="shared" si="140"/>
        <v>#N/A</v>
      </c>
      <c r="CA182" s="1" t="e">
        <f t="shared" si="141"/>
        <v>#N/A</v>
      </c>
    </row>
    <row r="183" spans="3:79">
      <c r="C183" s="5"/>
      <c r="D183" s="6"/>
      <c r="E183" s="5"/>
      <c r="F183" s="6"/>
      <c r="G183" s="6"/>
      <c r="H183" s="5"/>
      <c r="I183" s="6"/>
      <c r="J183" s="6"/>
      <c r="K183" s="5"/>
      <c r="L183" s="6"/>
      <c r="M183" s="6"/>
      <c r="AI183" s="1">
        <v>41425</v>
      </c>
      <c r="AJ183" t="s">
        <v>9605</v>
      </c>
      <c r="AK183">
        <f t="shared" ref="AK183" si="167">IF(AJ183="",NA(),VLOOKUP(AJ183,$AB$28:$AC$49,2,0))</f>
        <v>280</v>
      </c>
      <c r="AL183" s="1">
        <v>40298</v>
      </c>
      <c r="AM183" t="s">
        <v>9605</v>
      </c>
      <c r="AN183" t="s">
        <v>3</v>
      </c>
      <c r="AO183" s="1">
        <v>40451</v>
      </c>
      <c r="AP183" t="s">
        <v>9605</v>
      </c>
      <c r="AQ183" t="s">
        <v>3</v>
      </c>
      <c r="AR183" s="1">
        <v>40574</v>
      </c>
      <c r="AS183" t="s">
        <v>9605</v>
      </c>
      <c r="AT183" t="s">
        <v>3</v>
      </c>
      <c r="AU183" s="1">
        <f t="shared" si="133"/>
        <v>41425</v>
      </c>
      <c r="AV183" s="1" t="str">
        <f t="shared" si="134"/>
        <v>AAA</v>
      </c>
      <c r="AW183" s="52">
        <f t="shared" si="135"/>
        <v>280</v>
      </c>
      <c r="AZ183" s="1"/>
      <c r="BB183" t="e">
        <f t="shared" si="137"/>
        <v>#N/A</v>
      </c>
      <c r="BC183" s="1"/>
      <c r="BF183" s="1"/>
      <c r="BI183" s="1"/>
      <c r="BL183" s="1" t="e">
        <f t="shared" si="96"/>
        <v>#N/A</v>
      </c>
      <c r="BM183" s="1" t="e">
        <f t="shared" si="97"/>
        <v>#N/A</v>
      </c>
      <c r="BN183" s="1" t="e">
        <f t="shared" si="98"/>
        <v>#N/A</v>
      </c>
      <c r="BP183" s="1"/>
      <c r="BR183" t="e">
        <f t="shared" si="138"/>
        <v>#N/A</v>
      </c>
      <c r="BS183" s="1"/>
      <c r="BU183" s="1"/>
      <c r="BW183" s="1"/>
      <c r="BY183" s="1" t="e">
        <f t="shared" si="139"/>
        <v>#N/A</v>
      </c>
      <c r="BZ183" s="1" t="e">
        <f t="shared" si="140"/>
        <v>#N/A</v>
      </c>
      <c r="CA183" s="1" t="e">
        <f t="shared" si="141"/>
        <v>#N/A</v>
      </c>
    </row>
    <row r="184" spans="3:79">
      <c r="C184" s="5"/>
      <c r="D184" s="6"/>
      <c r="E184" s="5"/>
      <c r="F184" s="6"/>
      <c r="G184" s="6"/>
      <c r="H184" s="5"/>
      <c r="I184" s="6"/>
      <c r="J184" s="6"/>
      <c r="K184" s="5"/>
      <c r="L184" s="6"/>
      <c r="M184" s="6"/>
      <c r="AI184" s="1">
        <v>41394</v>
      </c>
      <c r="AJ184" t="s">
        <v>9605</v>
      </c>
      <c r="AK184">
        <f t="shared" ref="AK184" si="168">IF(AJ184="",NA(),VLOOKUP(AJ184,$AB$28:$AC$49,2,0))</f>
        <v>280</v>
      </c>
      <c r="AL184" s="1">
        <v>40268</v>
      </c>
      <c r="AM184" t="s">
        <v>9605</v>
      </c>
      <c r="AN184" t="s">
        <v>3</v>
      </c>
      <c r="AO184" s="1">
        <v>40421</v>
      </c>
      <c r="AP184" t="s">
        <v>9605</v>
      </c>
      <c r="AQ184" t="s">
        <v>3</v>
      </c>
      <c r="AR184" s="1">
        <v>40546</v>
      </c>
      <c r="AS184" t="s">
        <v>9605</v>
      </c>
      <c r="AT184" t="s">
        <v>3</v>
      </c>
      <c r="AU184" s="1">
        <f t="shared" si="133"/>
        <v>41394</v>
      </c>
      <c r="AV184" s="1" t="str">
        <f t="shared" si="134"/>
        <v>AAA</v>
      </c>
      <c r="AW184" s="52">
        <f t="shared" si="135"/>
        <v>280</v>
      </c>
      <c r="AZ184" s="1"/>
      <c r="BB184" t="e">
        <f t="shared" si="137"/>
        <v>#N/A</v>
      </c>
      <c r="BC184" s="1"/>
      <c r="BF184" s="1"/>
      <c r="BI184" s="1"/>
      <c r="BL184" s="1" t="e">
        <f t="shared" si="96"/>
        <v>#N/A</v>
      </c>
      <c r="BM184" s="1" t="e">
        <f t="shared" si="97"/>
        <v>#N/A</v>
      </c>
      <c r="BN184" s="1" t="e">
        <f t="shared" si="98"/>
        <v>#N/A</v>
      </c>
      <c r="BP184" s="1"/>
      <c r="BR184" t="e">
        <f t="shared" si="138"/>
        <v>#N/A</v>
      </c>
      <c r="BS184" s="1"/>
      <c r="BU184" s="1"/>
      <c r="BW184" s="1"/>
      <c r="BY184" s="1" t="e">
        <f t="shared" si="139"/>
        <v>#N/A</v>
      </c>
      <c r="BZ184" s="1" t="e">
        <f t="shared" si="140"/>
        <v>#N/A</v>
      </c>
      <c r="CA184" s="1" t="e">
        <f t="shared" si="141"/>
        <v>#N/A</v>
      </c>
    </row>
    <row r="185" spans="3:79">
      <c r="C185" s="5"/>
      <c r="D185" s="6"/>
      <c r="E185" s="5"/>
      <c r="F185" s="6"/>
      <c r="G185" s="6"/>
      <c r="H185" s="5"/>
      <c r="I185" s="6"/>
      <c r="J185" s="6"/>
      <c r="K185" s="5"/>
      <c r="L185" s="6"/>
      <c r="M185" s="6"/>
      <c r="AI185" s="1">
        <v>41366</v>
      </c>
      <c r="AJ185" t="s">
        <v>9605</v>
      </c>
      <c r="AK185">
        <f t="shared" ref="AK185" si="169">IF(AJ185="",NA(),VLOOKUP(AJ185,$AB$28:$AC$49,2,0))</f>
        <v>280</v>
      </c>
      <c r="AL185" s="1">
        <v>40239</v>
      </c>
      <c r="AM185" t="s">
        <v>9605</v>
      </c>
      <c r="AN185" t="s">
        <v>3</v>
      </c>
      <c r="AO185" s="1">
        <v>40389</v>
      </c>
      <c r="AP185" t="s">
        <v>9605</v>
      </c>
      <c r="AQ185" t="s">
        <v>3</v>
      </c>
      <c r="AR185" s="1">
        <v>40512</v>
      </c>
      <c r="AS185" t="s">
        <v>9605</v>
      </c>
      <c r="AT185" t="s">
        <v>3</v>
      </c>
      <c r="AU185" s="1">
        <f t="shared" si="133"/>
        <v>41366</v>
      </c>
      <c r="AV185" s="1" t="str">
        <f t="shared" si="134"/>
        <v>AAA</v>
      </c>
      <c r="AW185" s="52">
        <f t="shared" si="135"/>
        <v>280</v>
      </c>
      <c r="AZ185" s="1"/>
      <c r="BB185" t="e">
        <f t="shared" si="137"/>
        <v>#N/A</v>
      </c>
      <c r="BC185" s="1"/>
      <c r="BF185" s="1"/>
      <c r="BI185" s="1"/>
      <c r="BL185" s="1" t="e">
        <f t="shared" si="96"/>
        <v>#N/A</v>
      </c>
      <c r="BM185" s="1" t="e">
        <f t="shared" si="97"/>
        <v>#N/A</v>
      </c>
      <c r="BN185" s="1" t="e">
        <f t="shared" si="98"/>
        <v>#N/A</v>
      </c>
      <c r="BP185" s="1"/>
      <c r="BR185" t="e">
        <f t="shared" si="138"/>
        <v>#N/A</v>
      </c>
      <c r="BS185" s="1"/>
      <c r="BU185" s="1"/>
      <c r="BW185" s="1"/>
      <c r="BY185" s="1" t="e">
        <f t="shared" si="139"/>
        <v>#N/A</v>
      </c>
      <c r="BZ185" s="1" t="e">
        <f t="shared" si="140"/>
        <v>#N/A</v>
      </c>
      <c r="CA185" s="1" t="e">
        <f t="shared" si="141"/>
        <v>#N/A</v>
      </c>
    </row>
    <row r="186" spans="3:79">
      <c r="C186" s="1"/>
      <c r="E186" s="1"/>
      <c r="H186" s="1"/>
      <c r="K186" s="1"/>
      <c r="AI186" s="1">
        <v>41365</v>
      </c>
      <c r="AJ186" t="s">
        <v>9605</v>
      </c>
      <c r="AK186">
        <f t="shared" ref="AK186" si="170">IF(AJ186="",NA(),VLOOKUP(AJ186,$AB$28:$AC$49,2,0))</f>
        <v>280</v>
      </c>
      <c r="AL186" s="1">
        <v>40207</v>
      </c>
      <c r="AM186" t="s">
        <v>9605</v>
      </c>
      <c r="AN186" t="s">
        <v>3</v>
      </c>
      <c r="AO186" s="1">
        <v>40359</v>
      </c>
      <c r="AP186" t="s">
        <v>9605</v>
      </c>
      <c r="AQ186" t="s">
        <v>3</v>
      </c>
      <c r="AR186" s="1">
        <v>40480</v>
      </c>
      <c r="AS186" t="s">
        <v>9605</v>
      </c>
      <c r="AT186" t="s">
        <v>3</v>
      </c>
      <c r="AU186" s="1">
        <f t="shared" si="133"/>
        <v>41365</v>
      </c>
      <c r="AV186" s="1" t="str">
        <f t="shared" si="134"/>
        <v>AAA</v>
      </c>
      <c r="AW186" s="52">
        <f t="shared" si="135"/>
        <v>280</v>
      </c>
      <c r="AZ186" s="1"/>
      <c r="BB186" t="e">
        <f t="shared" si="137"/>
        <v>#N/A</v>
      </c>
      <c r="BC186" s="1"/>
      <c r="BF186" s="1"/>
      <c r="BI186" s="1"/>
      <c r="BL186" s="1" t="e">
        <f t="shared" ref="BL186:BL227" si="171">IF(AZ186="",NA(),AZ186)</f>
        <v>#N/A</v>
      </c>
      <c r="BM186" s="1" t="e">
        <f t="shared" ref="BM186:BM227" si="172">IF(BA186="",NA(),BA186)</f>
        <v>#N/A</v>
      </c>
      <c r="BN186" s="1" t="e">
        <f t="shared" ref="BN186:BN227" si="173">IF(BB186="",NA(),BB186)</f>
        <v>#N/A</v>
      </c>
      <c r="BP186" s="1"/>
      <c r="BR186" t="e">
        <f t="shared" si="138"/>
        <v>#N/A</v>
      </c>
      <c r="BS186" s="1"/>
      <c r="BU186" s="1"/>
      <c r="BW186" s="1"/>
      <c r="BY186" s="1" t="e">
        <f t="shared" si="139"/>
        <v>#N/A</v>
      </c>
      <c r="BZ186" s="1" t="e">
        <f t="shared" si="140"/>
        <v>#N/A</v>
      </c>
      <c r="CA186" s="1" t="e">
        <f t="shared" si="141"/>
        <v>#N/A</v>
      </c>
    </row>
    <row r="187" spans="3:79">
      <c r="C187" s="1"/>
      <c r="E187" s="1"/>
      <c r="H187" s="1"/>
      <c r="K187" s="1"/>
      <c r="AI187" s="1">
        <v>41333</v>
      </c>
      <c r="AJ187" t="s">
        <v>9605</v>
      </c>
      <c r="AK187">
        <f t="shared" ref="AK187" si="174">IF(AJ187="",NA(),VLOOKUP(AJ187,$AB$28:$AC$49,2,0))</f>
        <v>280</v>
      </c>
      <c r="AL187" s="1">
        <v>40182</v>
      </c>
      <c r="AM187" t="s">
        <v>9605</v>
      </c>
      <c r="AN187" t="s">
        <v>3</v>
      </c>
      <c r="AO187" s="1">
        <v>40329</v>
      </c>
      <c r="AP187" t="s">
        <v>9605</v>
      </c>
      <c r="AQ187" t="s">
        <v>3</v>
      </c>
      <c r="AR187" s="1">
        <v>40451</v>
      </c>
      <c r="AS187" t="s">
        <v>9605</v>
      </c>
      <c r="AT187" t="s">
        <v>3</v>
      </c>
      <c r="AU187" s="1">
        <f t="shared" si="133"/>
        <v>41333</v>
      </c>
      <c r="AV187" s="1" t="str">
        <f t="shared" si="134"/>
        <v>AAA</v>
      </c>
      <c r="AW187" s="52">
        <f t="shared" si="135"/>
        <v>280</v>
      </c>
      <c r="AZ187" s="1"/>
      <c r="BB187" t="e">
        <f t="shared" si="137"/>
        <v>#N/A</v>
      </c>
      <c r="BC187" s="1"/>
      <c r="BF187" s="1"/>
      <c r="BI187" s="1"/>
      <c r="BL187" s="1" t="e">
        <f t="shared" si="171"/>
        <v>#N/A</v>
      </c>
      <c r="BM187" s="1" t="e">
        <f t="shared" si="172"/>
        <v>#N/A</v>
      </c>
      <c r="BN187" s="1" t="e">
        <f t="shared" si="173"/>
        <v>#N/A</v>
      </c>
      <c r="BP187" s="1"/>
      <c r="BR187" t="e">
        <f t="shared" si="138"/>
        <v>#N/A</v>
      </c>
      <c r="BS187" s="1"/>
      <c r="BU187" s="1"/>
      <c r="BW187" s="1"/>
      <c r="BY187" s="1" t="e">
        <f t="shared" si="139"/>
        <v>#N/A</v>
      </c>
      <c r="BZ187" s="1" t="e">
        <f t="shared" si="140"/>
        <v>#N/A</v>
      </c>
      <c r="CA187" s="1" t="e">
        <f t="shared" si="141"/>
        <v>#N/A</v>
      </c>
    </row>
    <row r="188" spans="3:79">
      <c r="C188" s="1"/>
      <c r="E188" s="1"/>
      <c r="H188" s="1"/>
      <c r="K188" s="1"/>
      <c r="AI188" s="1">
        <v>41305</v>
      </c>
      <c r="AJ188" t="s">
        <v>9605</v>
      </c>
      <c r="AK188">
        <f t="shared" ref="AK188" si="175">IF(AJ188="",NA(),VLOOKUP(AJ188,$AB$28:$AC$49,2,0))</f>
        <v>280</v>
      </c>
      <c r="AL188" s="1">
        <v>40147</v>
      </c>
      <c r="AM188" t="s">
        <v>9605</v>
      </c>
      <c r="AN188" t="s">
        <v>3</v>
      </c>
      <c r="AO188" s="1">
        <v>40298</v>
      </c>
      <c r="AP188" t="s">
        <v>9605</v>
      </c>
      <c r="AQ188" t="s">
        <v>3</v>
      </c>
      <c r="AR188" s="1">
        <v>40421</v>
      </c>
      <c r="AS188" t="s">
        <v>9605</v>
      </c>
      <c r="AT188" t="s">
        <v>3</v>
      </c>
      <c r="AU188" s="1">
        <f t="shared" si="133"/>
        <v>41305</v>
      </c>
      <c r="AV188" s="1" t="str">
        <f t="shared" si="134"/>
        <v>AAA</v>
      </c>
      <c r="AW188" s="52">
        <f t="shared" si="135"/>
        <v>280</v>
      </c>
      <c r="AZ188" s="1"/>
      <c r="BB188" t="e">
        <f t="shared" si="137"/>
        <v>#N/A</v>
      </c>
      <c r="BC188" s="1"/>
      <c r="BF188" s="1"/>
      <c r="BI188" s="1"/>
      <c r="BL188" s="1" t="e">
        <f t="shared" si="171"/>
        <v>#N/A</v>
      </c>
      <c r="BM188" s="1" t="e">
        <f t="shared" si="172"/>
        <v>#N/A</v>
      </c>
      <c r="BN188" s="1" t="e">
        <f t="shared" si="173"/>
        <v>#N/A</v>
      </c>
      <c r="BP188" s="1"/>
      <c r="BR188" t="e">
        <f t="shared" si="138"/>
        <v>#N/A</v>
      </c>
      <c r="BS188" s="1"/>
      <c r="BU188" s="1"/>
      <c r="BW188" s="1"/>
      <c r="BY188" s="1" t="e">
        <f t="shared" si="139"/>
        <v>#N/A</v>
      </c>
      <c r="BZ188" s="1" t="e">
        <f t="shared" si="140"/>
        <v>#N/A</v>
      </c>
      <c r="CA188" s="1" t="e">
        <f t="shared" si="141"/>
        <v>#N/A</v>
      </c>
    </row>
    <row r="189" spans="3:79">
      <c r="C189" s="1"/>
      <c r="E189" s="1"/>
      <c r="H189" s="1"/>
      <c r="K189" s="1"/>
      <c r="AI189" s="1">
        <v>41282</v>
      </c>
      <c r="AJ189" t="s">
        <v>9605</v>
      </c>
      <c r="AK189">
        <f t="shared" ref="AK189" si="176">IF(AJ189="",NA(),VLOOKUP(AJ189,$AB$28:$AC$49,2,0))</f>
        <v>280</v>
      </c>
      <c r="AL189" s="1">
        <v>40116</v>
      </c>
      <c r="AM189" t="s">
        <v>9605</v>
      </c>
      <c r="AN189" t="s">
        <v>3</v>
      </c>
      <c r="AO189" s="1">
        <v>40268</v>
      </c>
      <c r="AP189" t="s">
        <v>9605</v>
      </c>
      <c r="AQ189" t="s">
        <v>3</v>
      </c>
      <c r="AR189" s="1">
        <v>40389</v>
      </c>
      <c r="AS189" t="s">
        <v>9605</v>
      </c>
      <c r="AT189" t="s">
        <v>3</v>
      </c>
      <c r="AU189" s="1">
        <f t="shared" si="133"/>
        <v>41282</v>
      </c>
      <c r="AV189" s="1" t="str">
        <f t="shared" si="134"/>
        <v>AAA</v>
      </c>
      <c r="AW189" s="52">
        <f t="shared" si="135"/>
        <v>280</v>
      </c>
      <c r="AZ189" s="1"/>
      <c r="BB189" t="e">
        <f t="shared" si="137"/>
        <v>#N/A</v>
      </c>
      <c r="BC189" s="1"/>
      <c r="BF189" s="1"/>
      <c r="BI189" s="1"/>
      <c r="BL189" s="1" t="e">
        <f t="shared" si="171"/>
        <v>#N/A</v>
      </c>
      <c r="BM189" s="1" t="e">
        <f t="shared" si="172"/>
        <v>#N/A</v>
      </c>
      <c r="BN189" s="1" t="e">
        <f t="shared" si="173"/>
        <v>#N/A</v>
      </c>
      <c r="BP189" s="1"/>
      <c r="BR189" t="e">
        <f t="shared" si="138"/>
        <v>#N/A</v>
      </c>
      <c r="BS189" s="1"/>
      <c r="BU189" s="1"/>
      <c r="BW189" s="1"/>
      <c r="BY189" s="1" t="e">
        <f t="shared" si="139"/>
        <v>#N/A</v>
      </c>
      <c r="BZ189" s="1" t="e">
        <f t="shared" si="140"/>
        <v>#N/A</v>
      </c>
      <c r="CA189" s="1" t="e">
        <f t="shared" si="141"/>
        <v>#N/A</v>
      </c>
    </row>
    <row r="190" spans="3:79">
      <c r="C190" s="1"/>
      <c r="E190" s="1"/>
      <c r="H190" s="1"/>
      <c r="K190" s="1"/>
      <c r="AI190" s="1">
        <v>41276</v>
      </c>
      <c r="AJ190" t="s">
        <v>9605</v>
      </c>
      <c r="AK190">
        <f t="shared" ref="AK190" si="177">IF(AJ190="",NA(),VLOOKUP(AJ190,$AB$28:$AC$49,2,0))</f>
        <v>280</v>
      </c>
      <c r="AL190" s="1">
        <v>40086</v>
      </c>
      <c r="AM190" t="s">
        <v>9605</v>
      </c>
      <c r="AN190" t="s">
        <v>3</v>
      </c>
      <c r="AO190" s="1">
        <v>40235</v>
      </c>
      <c r="AP190" t="s">
        <v>9605</v>
      </c>
      <c r="AQ190" t="s">
        <v>3</v>
      </c>
      <c r="AR190" s="1">
        <v>40359</v>
      </c>
      <c r="AS190" t="s">
        <v>9605</v>
      </c>
      <c r="AT190" t="s">
        <v>3</v>
      </c>
      <c r="AU190" s="1">
        <f t="shared" si="133"/>
        <v>41276</v>
      </c>
      <c r="AV190" s="1" t="str">
        <f t="shared" si="134"/>
        <v>AAA</v>
      </c>
      <c r="AW190" s="52">
        <f t="shared" si="135"/>
        <v>280</v>
      </c>
      <c r="AZ190" s="1"/>
      <c r="BB190" t="e">
        <f t="shared" si="137"/>
        <v>#N/A</v>
      </c>
      <c r="BC190" s="1"/>
      <c r="BF190" s="1"/>
      <c r="BI190" s="1"/>
      <c r="BL190" s="1" t="e">
        <f t="shared" si="171"/>
        <v>#N/A</v>
      </c>
      <c r="BM190" s="1" t="e">
        <f t="shared" si="172"/>
        <v>#N/A</v>
      </c>
      <c r="BN190" s="1" t="e">
        <f t="shared" si="173"/>
        <v>#N/A</v>
      </c>
      <c r="BP190" s="1"/>
      <c r="BR190" t="e">
        <f t="shared" si="138"/>
        <v>#N/A</v>
      </c>
      <c r="BS190" s="1"/>
      <c r="BU190" s="1"/>
      <c r="BW190" s="1"/>
      <c r="BY190" s="1" t="e">
        <f t="shared" si="139"/>
        <v>#N/A</v>
      </c>
      <c r="BZ190" s="1" t="e">
        <f t="shared" si="140"/>
        <v>#N/A</v>
      </c>
      <c r="CA190" s="1" t="e">
        <f t="shared" si="141"/>
        <v>#N/A</v>
      </c>
    </row>
    <row r="191" spans="3:79">
      <c r="AI191" s="1">
        <v>41246</v>
      </c>
      <c r="AJ191" t="s">
        <v>9605</v>
      </c>
      <c r="AK191">
        <f t="shared" ref="AK191" si="178">IF(AJ191="",NA(),VLOOKUP(AJ191,$AB$28:$AC$49,2,0))</f>
        <v>280</v>
      </c>
      <c r="AL191" s="1">
        <v>40056</v>
      </c>
      <c r="AM191" t="s">
        <v>9605</v>
      </c>
      <c r="AN191" t="s">
        <v>3</v>
      </c>
      <c r="AO191" s="1">
        <v>40207</v>
      </c>
      <c r="AP191" t="s">
        <v>9605</v>
      </c>
      <c r="AQ191" t="s">
        <v>3</v>
      </c>
      <c r="AR191" s="1">
        <v>40329</v>
      </c>
      <c r="AS191" t="s">
        <v>9605</v>
      </c>
      <c r="AT191" t="s">
        <v>3</v>
      </c>
      <c r="AU191" s="1">
        <f t="shared" si="133"/>
        <v>41246</v>
      </c>
      <c r="AV191" s="1" t="str">
        <f t="shared" si="134"/>
        <v>AAA</v>
      </c>
      <c r="AW191" s="52">
        <f t="shared" si="135"/>
        <v>280</v>
      </c>
      <c r="AZ191" s="1"/>
      <c r="BB191" t="e">
        <f t="shared" si="137"/>
        <v>#N/A</v>
      </c>
      <c r="BC191" s="1"/>
      <c r="BF191" s="1"/>
      <c r="BI191" s="1"/>
      <c r="BL191" s="1" t="e">
        <f t="shared" si="171"/>
        <v>#N/A</v>
      </c>
      <c r="BM191" s="1" t="e">
        <f t="shared" si="172"/>
        <v>#N/A</v>
      </c>
      <c r="BN191" s="1" t="e">
        <f t="shared" si="173"/>
        <v>#N/A</v>
      </c>
      <c r="BP191" s="1"/>
      <c r="BR191" t="e">
        <f t="shared" si="138"/>
        <v>#N/A</v>
      </c>
      <c r="BS191" s="1"/>
      <c r="BU191" s="1"/>
      <c r="BW191" s="1"/>
      <c r="BY191" s="1" t="e">
        <f t="shared" si="139"/>
        <v>#N/A</v>
      </c>
      <c r="BZ191" s="1" t="e">
        <f t="shared" si="140"/>
        <v>#N/A</v>
      </c>
      <c r="CA191" s="1" t="e">
        <f t="shared" si="141"/>
        <v>#N/A</v>
      </c>
    </row>
    <row r="192" spans="3:79">
      <c r="AI192" s="1">
        <v>41213</v>
      </c>
      <c r="AJ192" t="s">
        <v>9605</v>
      </c>
      <c r="AK192">
        <f t="shared" ref="AK192" si="179">IF(AJ192="",NA(),VLOOKUP(AJ192,$AB$28:$AC$49,2,0))</f>
        <v>280</v>
      </c>
      <c r="AL192" s="1">
        <v>40025</v>
      </c>
      <c r="AM192" t="s">
        <v>9605</v>
      </c>
      <c r="AN192" t="s">
        <v>3</v>
      </c>
      <c r="AO192" s="1">
        <v>40178</v>
      </c>
      <c r="AP192" t="s">
        <v>9605</v>
      </c>
      <c r="AQ192" t="s">
        <v>3</v>
      </c>
      <c r="AR192" s="1">
        <v>40298</v>
      </c>
      <c r="AS192" t="s">
        <v>9605</v>
      </c>
      <c r="AT192" t="s">
        <v>3</v>
      </c>
      <c r="AU192" s="1">
        <f t="shared" si="133"/>
        <v>41213</v>
      </c>
      <c r="AV192" s="1" t="str">
        <f t="shared" si="134"/>
        <v>AAA</v>
      </c>
      <c r="AW192" s="52">
        <f t="shared" si="135"/>
        <v>280</v>
      </c>
      <c r="AZ192" s="1"/>
      <c r="BB192" t="e">
        <f t="shared" si="137"/>
        <v>#N/A</v>
      </c>
      <c r="BC192" s="1"/>
      <c r="BF192" s="1"/>
      <c r="BI192" s="1"/>
      <c r="BL192" s="1" t="e">
        <f t="shared" si="171"/>
        <v>#N/A</v>
      </c>
      <c r="BM192" s="1" t="e">
        <f t="shared" si="172"/>
        <v>#N/A</v>
      </c>
      <c r="BN192" s="1" t="e">
        <f t="shared" si="173"/>
        <v>#N/A</v>
      </c>
      <c r="BP192" s="1"/>
      <c r="BR192" t="e">
        <f t="shared" si="138"/>
        <v>#N/A</v>
      </c>
      <c r="BS192" s="1"/>
      <c r="BU192" s="1"/>
      <c r="BW192" s="1"/>
      <c r="BY192" s="1" t="e">
        <f t="shared" si="139"/>
        <v>#N/A</v>
      </c>
      <c r="BZ192" s="1" t="e">
        <f t="shared" si="140"/>
        <v>#N/A</v>
      </c>
      <c r="CA192" s="1" t="e">
        <f t="shared" si="141"/>
        <v>#N/A</v>
      </c>
    </row>
    <row r="193" spans="35:79">
      <c r="AI193" s="1">
        <v>41212</v>
      </c>
      <c r="AJ193" t="s">
        <v>9605</v>
      </c>
      <c r="AK193">
        <f t="shared" ref="AK193" si="180">IF(AJ193="",NA(),VLOOKUP(AJ193,$AB$28:$AC$49,2,0))</f>
        <v>280</v>
      </c>
      <c r="AL193" s="1"/>
      <c r="AO193" s="1">
        <v>40147</v>
      </c>
      <c r="AP193" t="s">
        <v>9605</v>
      </c>
      <c r="AQ193" t="s">
        <v>3</v>
      </c>
      <c r="AR193" s="1">
        <v>40268</v>
      </c>
      <c r="AS193" t="s">
        <v>9605</v>
      </c>
      <c r="AT193" t="s">
        <v>3</v>
      </c>
      <c r="AU193" s="1">
        <f t="shared" si="133"/>
        <v>41212</v>
      </c>
      <c r="AV193" s="1" t="str">
        <f t="shared" si="134"/>
        <v>AAA</v>
      </c>
      <c r="AW193" s="52">
        <f t="shared" si="135"/>
        <v>280</v>
      </c>
      <c r="AZ193" s="1"/>
      <c r="BB193" t="e">
        <f t="shared" si="137"/>
        <v>#N/A</v>
      </c>
      <c r="BC193" s="1"/>
      <c r="BF193" s="1"/>
      <c r="BI193" s="1"/>
      <c r="BL193" s="1" t="e">
        <f t="shared" si="171"/>
        <v>#N/A</v>
      </c>
      <c r="BM193" s="1" t="e">
        <f t="shared" si="172"/>
        <v>#N/A</v>
      </c>
      <c r="BN193" s="1" t="e">
        <f t="shared" si="173"/>
        <v>#N/A</v>
      </c>
      <c r="BP193" s="1"/>
      <c r="BR193" t="e">
        <f t="shared" si="138"/>
        <v>#N/A</v>
      </c>
      <c r="BS193" s="1"/>
      <c r="BU193" s="1"/>
      <c r="BW193" s="1"/>
      <c r="BY193" s="1" t="e">
        <f t="shared" si="139"/>
        <v>#N/A</v>
      </c>
      <c r="BZ193" s="1" t="e">
        <f t="shared" si="140"/>
        <v>#N/A</v>
      </c>
      <c r="CA193" s="1" t="e">
        <f t="shared" si="141"/>
        <v>#N/A</v>
      </c>
    </row>
    <row r="194" spans="35:79">
      <c r="AI194" s="1">
        <v>41180</v>
      </c>
      <c r="AJ194" t="s">
        <v>9605</v>
      </c>
      <c r="AK194">
        <f t="shared" ref="AK194" si="181">IF(AJ194="",NA(),VLOOKUP(AJ194,$AB$28:$AC$49,2,0))</f>
        <v>280</v>
      </c>
      <c r="AL194" s="1"/>
      <c r="AO194" s="1">
        <v>40086</v>
      </c>
      <c r="AP194" t="s">
        <v>9605</v>
      </c>
      <c r="AQ194" t="s">
        <v>3</v>
      </c>
      <c r="AR194" s="1">
        <v>40235</v>
      </c>
      <c r="AS194" t="s">
        <v>9605</v>
      </c>
      <c r="AT194" t="s">
        <v>3</v>
      </c>
      <c r="AU194" s="1">
        <f t="shared" si="133"/>
        <v>41180</v>
      </c>
      <c r="AV194" s="1" t="str">
        <f t="shared" si="134"/>
        <v>AAA</v>
      </c>
      <c r="AW194" s="52">
        <f t="shared" si="135"/>
        <v>280</v>
      </c>
      <c r="AZ194" s="1"/>
      <c r="BB194" t="e">
        <f t="shared" si="137"/>
        <v>#N/A</v>
      </c>
      <c r="BC194" s="1"/>
      <c r="BF194" s="1"/>
      <c r="BI194" s="1"/>
      <c r="BL194" s="1" t="e">
        <f t="shared" si="171"/>
        <v>#N/A</v>
      </c>
      <c r="BM194" s="1" t="e">
        <f t="shared" si="172"/>
        <v>#N/A</v>
      </c>
      <c r="BN194" s="1" t="e">
        <f t="shared" si="173"/>
        <v>#N/A</v>
      </c>
      <c r="BP194" s="1"/>
      <c r="BR194" t="e">
        <f t="shared" si="138"/>
        <v>#N/A</v>
      </c>
      <c r="BS194" s="1"/>
      <c r="BU194" s="1"/>
      <c r="BW194" s="1"/>
      <c r="BY194" s="1" t="e">
        <f t="shared" si="139"/>
        <v>#N/A</v>
      </c>
      <c r="BZ194" s="1" t="e">
        <f t="shared" si="140"/>
        <v>#N/A</v>
      </c>
      <c r="CA194" s="1" t="e">
        <f t="shared" si="141"/>
        <v>#N/A</v>
      </c>
    </row>
    <row r="195" spans="35:79">
      <c r="AI195" s="1">
        <v>41156</v>
      </c>
      <c r="AJ195" t="s">
        <v>9605</v>
      </c>
      <c r="AK195">
        <f t="shared" ref="AK195" si="182">IF(AJ195="",NA(),VLOOKUP(AJ195,$AB$28:$AC$49,2,0))</f>
        <v>280</v>
      </c>
      <c r="AL195" s="1"/>
      <c r="AO195" s="1">
        <v>40056</v>
      </c>
      <c r="AP195" t="s">
        <v>9605</v>
      </c>
      <c r="AQ195" t="s">
        <v>3</v>
      </c>
      <c r="AR195" s="1">
        <v>40207</v>
      </c>
      <c r="AS195" t="s">
        <v>9605</v>
      </c>
      <c r="AT195" t="s">
        <v>3</v>
      </c>
      <c r="AU195" s="1">
        <f t="shared" si="133"/>
        <v>41156</v>
      </c>
      <c r="AV195" s="1" t="str">
        <f t="shared" si="134"/>
        <v>AAA</v>
      </c>
      <c r="AW195" s="52">
        <f t="shared" si="135"/>
        <v>280</v>
      </c>
      <c r="AZ195" s="1"/>
      <c r="BB195" t="e">
        <f t="shared" si="137"/>
        <v>#N/A</v>
      </c>
      <c r="BC195" s="1"/>
      <c r="BF195" s="1"/>
      <c r="BI195" s="1"/>
      <c r="BL195" s="1" t="e">
        <f t="shared" si="171"/>
        <v>#N/A</v>
      </c>
      <c r="BM195" s="1" t="e">
        <f t="shared" si="172"/>
        <v>#N/A</v>
      </c>
      <c r="BN195" s="1" t="e">
        <f t="shared" si="173"/>
        <v>#N/A</v>
      </c>
      <c r="BP195" s="1"/>
      <c r="BR195" t="e">
        <f t="shared" si="138"/>
        <v>#N/A</v>
      </c>
      <c r="BS195" s="1"/>
      <c r="BU195" s="1"/>
      <c r="BW195" s="1"/>
      <c r="BY195" s="1" t="e">
        <f t="shared" si="139"/>
        <v>#N/A</v>
      </c>
      <c r="BZ195" s="1" t="e">
        <f t="shared" si="140"/>
        <v>#N/A</v>
      </c>
      <c r="CA195" s="1" t="e">
        <f t="shared" si="141"/>
        <v>#N/A</v>
      </c>
    </row>
    <row r="196" spans="35:79">
      <c r="AI196" s="1">
        <v>41121</v>
      </c>
      <c r="AJ196" t="s">
        <v>9605</v>
      </c>
      <c r="AK196">
        <f t="shared" ref="AK196" si="183">IF(AJ196="",NA(),VLOOKUP(AJ196,$AB$28:$AC$49,2,0))</f>
        <v>280</v>
      </c>
      <c r="AL196" s="1"/>
      <c r="AO196" s="1">
        <v>40025</v>
      </c>
      <c r="AP196" t="s">
        <v>9605</v>
      </c>
      <c r="AQ196" t="s">
        <v>3</v>
      </c>
      <c r="AR196" s="1">
        <v>40177</v>
      </c>
      <c r="AS196" t="s">
        <v>9605</v>
      </c>
      <c r="AT196" t="s">
        <v>3</v>
      </c>
      <c r="AU196" s="1">
        <f t="shared" si="133"/>
        <v>41121</v>
      </c>
      <c r="AV196" s="1" t="str">
        <f t="shared" si="134"/>
        <v>AAA</v>
      </c>
      <c r="AW196" s="52">
        <f t="shared" si="135"/>
        <v>280</v>
      </c>
      <c r="AZ196" s="1"/>
      <c r="BB196" t="e">
        <f t="shared" si="137"/>
        <v>#N/A</v>
      </c>
      <c r="BC196" s="1"/>
      <c r="BF196" s="1"/>
      <c r="BI196" s="1"/>
      <c r="BL196" s="1" t="e">
        <f t="shared" si="171"/>
        <v>#N/A</v>
      </c>
      <c r="BM196" s="1" t="e">
        <f t="shared" si="172"/>
        <v>#N/A</v>
      </c>
      <c r="BN196" s="1" t="e">
        <f t="shared" si="173"/>
        <v>#N/A</v>
      </c>
      <c r="BP196" s="1"/>
      <c r="BR196" t="e">
        <f t="shared" si="138"/>
        <v>#N/A</v>
      </c>
      <c r="BS196" s="1"/>
      <c r="BU196" s="1"/>
      <c r="BW196" s="1"/>
      <c r="BY196" s="1" t="e">
        <f t="shared" si="139"/>
        <v>#N/A</v>
      </c>
      <c r="BZ196" s="1" t="e">
        <f t="shared" si="140"/>
        <v>#N/A</v>
      </c>
      <c r="CA196" s="1" t="e">
        <f t="shared" si="141"/>
        <v>#N/A</v>
      </c>
    </row>
    <row r="197" spans="35:79">
      <c r="AI197" s="1">
        <v>41089</v>
      </c>
      <c r="AJ197" t="s">
        <v>9605</v>
      </c>
      <c r="AK197">
        <f t="shared" ref="AK197" si="184">IF(AJ197="",NA(),VLOOKUP(AJ197,$AB$28:$AC$49,2,0))</f>
        <v>280</v>
      </c>
      <c r="AL197" s="1"/>
      <c r="AO197" s="1"/>
      <c r="AR197" s="1">
        <v>40147</v>
      </c>
      <c r="AS197" t="s">
        <v>9605</v>
      </c>
      <c r="AT197" t="s">
        <v>3</v>
      </c>
      <c r="AU197" s="1">
        <f t="shared" si="133"/>
        <v>41089</v>
      </c>
      <c r="AV197" s="1" t="str">
        <f t="shared" si="134"/>
        <v>AAA</v>
      </c>
      <c r="AW197" s="52">
        <f t="shared" si="135"/>
        <v>280</v>
      </c>
      <c r="AZ197" s="1"/>
      <c r="BB197" t="e">
        <f t="shared" si="137"/>
        <v>#N/A</v>
      </c>
      <c r="BC197" s="1"/>
      <c r="BF197" s="1"/>
      <c r="BI197" s="1"/>
      <c r="BL197" s="1" t="e">
        <f t="shared" si="171"/>
        <v>#N/A</v>
      </c>
      <c r="BM197" s="1" t="e">
        <f t="shared" si="172"/>
        <v>#N/A</v>
      </c>
      <c r="BN197" s="1" t="e">
        <f t="shared" si="173"/>
        <v>#N/A</v>
      </c>
      <c r="BP197" s="1"/>
      <c r="BR197" t="e">
        <f t="shared" si="138"/>
        <v>#N/A</v>
      </c>
      <c r="BS197" s="1"/>
      <c r="BU197" s="1"/>
      <c r="BW197" s="1"/>
      <c r="BY197" s="1" t="e">
        <f t="shared" si="139"/>
        <v>#N/A</v>
      </c>
      <c r="BZ197" s="1" t="e">
        <f t="shared" si="140"/>
        <v>#N/A</v>
      </c>
      <c r="CA197" s="1" t="e">
        <f t="shared" si="141"/>
        <v>#N/A</v>
      </c>
    </row>
    <row r="198" spans="35:79">
      <c r="AI198" s="1">
        <v>41065</v>
      </c>
      <c r="AJ198" t="s">
        <v>9605</v>
      </c>
      <c r="AK198">
        <f t="shared" ref="AK198" si="185">IF(AJ198="",NA(),VLOOKUP(AJ198,$AB$28:$AC$49,2,0))</f>
        <v>280</v>
      </c>
      <c r="AL198" s="1"/>
      <c r="AO198" s="1"/>
      <c r="AR198" s="1">
        <v>40116</v>
      </c>
      <c r="AS198" t="s">
        <v>9605</v>
      </c>
      <c r="AT198" t="s">
        <v>3</v>
      </c>
      <c r="AU198" s="1">
        <f t="shared" si="133"/>
        <v>41065</v>
      </c>
      <c r="AV198" s="1" t="str">
        <f t="shared" si="134"/>
        <v>AAA</v>
      </c>
      <c r="AW198" s="52">
        <f t="shared" si="135"/>
        <v>280</v>
      </c>
      <c r="AZ198" s="1"/>
      <c r="BB198" t="e">
        <f t="shared" si="137"/>
        <v>#N/A</v>
      </c>
      <c r="BC198" s="1"/>
      <c r="BF198" s="1"/>
      <c r="BI198" s="1"/>
      <c r="BL198" s="1" t="e">
        <f t="shared" si="171"/>
        <v>#N/A</v>
      </c>
      <c r="BM198" s="1" t="e">
        <f t="shared" si="172"/>
        <v>#N/A</v>
      </c>
      <c r="BN198" s="1" t="e">
        <f t="shared" si="173"/>
        <v>#N/A</v>
      </c>
      <c r="BP198" s="1"/>
      <c r="BR198" t="e">
        <f t="shared" si="138"/>
        <v>#N/A</v>
      </c>
      <c r="BS198" s="1"/>
      <c r="BU198" s="1"/>
      <c r="BW198" s="1"/>
      <c r="BY198" s="1" t="e">
        <f t="shared" si="139"/>
        <v>#N/A</v>
      </c>
      <c r="BZ198" s="1" t="e">
        <f t="shared" si="140"/>
        <v>#N/A</v>
      </c>
      <c r="CA198" s="1" t="e">
        <f t="shared" si="141"/>
        <v>#N/A</v>
      </c>
    </row>
    <row r="199" spans="35:79">
      <c r="AI199" s="1">
        <v>41038</v>
      </c>
      <c r="AJ199" t="s">
        <v>9605</v>
      </c>
      <c r="AK199">
        <f t="shared" ref="AK199" si="186">IF(AJ199="",NA(),VLOOKUP(AJ199,$AB$28:$AC$49,2,0))</f>
        <v>280</v>
      </c>
      <c r="AL199" s="1"/>
      <c r="AO199" s="1"/>
      <c r="AR199" s="1">
        <v>40086</v>
      </c>
      <c r="AS199" t="s">
        <v>9605</v>
      </c>
      <c r="AT199" t="s">
        <v>3</v>
      </c>
      <c r="AU199" s="1">
        <f t="shared" si="133"/>
        <v>41038</v>
      </c>
      <c r="AV199" s="1" t="str">
        <f t="shared" si="134"/>
        <v>AAA</v>
      </c>
      <c r="AW199" s="52">
        <f t="shared" si="135"/>
        <v>280</v>
      </c>
      <c r="AZ199" s="1"/>
      <c r="BB199" t="e">
        <f t="shared" si="137"/>
        <v>#N/A</v>
      </c>
      <c r="BC199" s="1"/>
      <c r="BF199" s="1"/>
      <c r="BI199" s="1"/>
      <c r="BL199" s="1" t="e">
        <f t="shared" si="171"/>
        <v>#N/A</v>
      </c>
      <c r="BM199" s="1" t="e">
        <f t="shared" si="172"/>
        <v>#N/A</v>
      </c>
      <c r="BN199" s="1" t="e">
        <f t="shared" si="173"/>
        <v>#N/A</v>
      </c>
      <c r="BP199" s="1"/>
      <c r="BR199" t="e">
        <f t="shared" si="138"/>
        <v>#N/A</v>
      </c>
      <c r="BS199" s="1"/>
      <c r="BU199" s="1"/>
      <c r="BW199" s="1"/>
      <c r="BY199" s="1" t="e">
        <f t="shared" si="139"/>
        <v>#N/A</v>
      </c>
      <c r="BZ199" s="1" t="e">
        <f t="shared" si="140"/>
        <v>#N/A</v>
      </c>
      <c r="CA199" s="1" t="e">
        <f t="shared" si="141"/>
        <v>#N/A</v>
      </c>
    </row>
    <row r="200" spans="35:79">
      <c r="AI200" s="1">
        <v>41029</v>
      </c>
      <c r="AJ200" t="s">
        <v>9605</v>
      </c>
      <c r="AK200">
        <f t="shared" ref="AK200" si="187">IF(AJ200="",NA(),VLOOKUP(AJ200,$AB$28:$AC$49,2,0))</f>
        <v>280</v>
      </c>
      <c r="AL200" s="1"/>
      <c r="AO200" s="1"/>
      <c r="AR200" s="1">
        <v>40056</v>
      </c>
      <c r="AS200" t="s">
        <v>9605</v>
      </c>
      <c r="AT200" t="s">
        <v>3</v>
      </c>
      <c r="AU200" s="1">
        <f t="shared" si="133"/>
        <v>41029</v>
      </c>
      <c r="AV200" s="1" t="str">
        <f t="shared" si="134"/>
        <v>AAA</v>
      </c>
      <c r="AW200" s="52">
        <f t="shared" si="135"/>
        <v>280</v>
      </c>
      <c r="AZ200" s="1"/>
      <c r="BB200" t="e">
        <f t="shared" si="137"/>
        <v>#N/A</v>
      </c>
      <c r="BC200" s="1"/>
      <c r="BF200" s="1"/>
      <c r="BI200" s="1"/>
      <c r="BL200" s="1" t="e">
        <f t="shared" si="171"/>
        <v>#N/A</v>
      </c>
      <c r="BM200" s="1" t="e">
        <f t="shared" si="172"/>
        <v>#N/A</v>
      </c>
      <c r="BN200" s="1" t="e">
        <f t="shared" si="173"/>
        <v>#N/A</v>
      </c>
      <c r="BP200" s="1"/>
      <c r="BR200" t="e">
        <f t="shared" si="138"/>
        <v>#N/A</v>
      </c>
      <c r="BS200" s="1"/>
      <c r="BU200" s="1"/>
      <c r="BW200" s="1"/>
      <c r="BY200" s="1" t="e">
        <f t="shared" si="139"/>
        <v>#N/A</v>
      </c>
      <c r="BZ200" s="1" t="e">
        <f t="shared" si="140"/>
        <v>#N/A</v>
      </c>
      <c r="CA200" s="1" t="e">
        <f t="shared" si="141"/>
        <v>#N/A</v>
      </c>
    </row>
    <row r="201" spans="35:79">
      <c r="AI201" s="1">
        <v>41004</v>
      </c>
      <c r="AJ201" t="s">
        <v>9605</v>
      </c>
      <c r="AK201">
        <f t="shared" ref="AK201" si="188">IF(AJ201="",NA(),VLOOKUP(AJ201,$AB$28:$AC$49,2,0))</f>
        <v>280</v>
      </c>
      <c r="AL201" s="1"/>
      <c r="AO201" s="1"/>
      <c r="AR201" s="1">
        <v>40025</v>
      </c>
      <c r="AS201" t="s">
        <v>9605</v>
      </c>
      <c r="AT201" t="s">
        <v>3</v>
      </c>
      <c r="AU201" s="1">
        <f t="shared" si="133"/>
        <v>41004</v>
      </c>
      <c r="AV201" s="1" t="str">
        <f t="shared" si="134"/>
        <v>AAA</v>
      </c>
      <c r="AW201" s="52">
        <f t="shared" si="135"/>
        <v>280</v>
      </c>
      <c r="AZ201" s="1"/>
      <c r="BB201" t="e">
        <f t="shared" si="137"/>
        <v>#N/A</v>
      </c>
      <c r="BC201" s="1"/>
      <c r="BF201" s="1"/>
      <c r="BI201" s="1"/>
      <c r="BL201" s="1" t="e">
        <f t="shared" si="171"/>
        <v>#N/A</v>
      </c>
      <c r="BM201" s="1" t="e">
        <f t="shared" si="172"/>
        <v>#N/A</v>
      </c>
      <c r="BN201" s="1" t="e">
        <f t="shared" si="173"/>
        <v>#N/A</v>
      </c>
      <c r="BP201" s="1"/>
      <c r="BR201" t="e">
        <f t="shared" si="138"/>
        <v>#N/A</v>
      </c>
      <c r="BS201" s="1"/>
      <c r="BU201" s="1"/>
      <c r="BW201" s="1"/>
      <c r="BY201" s="1" t="e">
        <f t="shared" si="139"/>
        <v>#N/A</v>
      </c>
      <c r="BZ201" s="1" t="e">
        <f t="shared" si="140"/>
        <v>#N/A</v>
      </c>
      <c r="CA201" s="1" t="e">
        <f t="shared" si="141"/>
        <v>#N/A</v>
      </c>
    </row>
    <row r="202" spans="35:79">
      <c r="AI202" s="1">
        <v>41003</v>
      </c>
      <c r="AJ202" t="s">
        <v>9605</v>
      </c>
      <c r="AK202">
        <f t="shared" ref="AK202" si="189">IF(AJ202="",NA(),VLOOKUP(AJ202,$AB$28:$AC$49,2,0))</f>
        <v>280</v>
      </c>
      <c r="AL202" s="1"/>
      <c r="AO202" s="1"/>
      <c r="AR202" s="1"/>
      <c r="AU202" s="1">
        <f t="shared" si="133"/>
        <v>41003</v>
      </c>
      <c r="AV202" s="1" t="str">
        <f t="shared" si="134"/>
        <v>AAA</v>
      </c>
      <c r="AW202" s="52">
        <f t="shared" si="135"/>
        <v>280</v>
      </c>
      <c r="AZ202" s="1"/>
      <c r="BB202" t="e">
        <f t="shared" si="137"/>
        <v>#N/A</v>
      </c>
      <c r="BC202" s="1"/>
      <c r="BF202" s="1"/>
      <c r="BI202" s="1"/>
      <c r="BL202" s="1" t="e">
        <f t="shared" si="171"/>
        <v>#N/A</v>
      </c>
      <c r="BM202" s="1" t="e">
        <f t="shared" si="172"/>
        <v>#N/A</v>
      </c>
      <c r="BN202" s="1" t="e">
        <f t="shared" si="173"/>
        <v>#N/A</v>
      </c>
      <c r="BP202" s="1"/>
      <c r="BR202" t="e">
        <f t="shared" si="138"/>
        <v>#N/A</v>
      </c>
      <c r="BS202" s="1"/>
      <c r="BU202" s="1"/>
      <c r="BW202" s="1"/>
      <c r="BY202" s="1" t="e">
        <f t="shared" si="139"/>
        <v>#N/A</v>
      </c>
      <c r="BZ202" s="1" t="e">
        <f t="shared" si="140"/>
        <v>#N/A</v>
      </c>
      <c r="CA202" s="1" t="e">
        <f t="shared" si="141"/>
        <v>#N/A</v>
      </c>
    </row>
    <row r="203" spans="35:79">
      <c r="AI203" s="1">
        <v>40968</v>
      </c>
      <c r="AJ203" t="s">
        <v>9605</v>
      </c>
      <c r="AK203">
        <f t="shared" ref="AK203" si="190">IF(AJ203="",NA(),VLOOKUP(AJ203,$AB$28:$AC$49,2,0))</f>
        <v>280</v>
      </c>
      <c r="AL203" s="1"/>
      <c r="AO203" s="1"/>
      <c r="AR203" s="1"/>
      <c r="AU203" s="1">
        <f t="shared" si="133"/>
        <v>40968</v>
      </c>
      <c r="AV203" s="1" t="str">
        <f t="shared" si="134"/>
        <v>AAA</v>
      </c>
      <c r="AW203" s="52">
        <f t="shared" si="135"/>
        <v>280</v>
      </c>
      <c r="AZ203" s="1"/>
      <c r="BB203" t="e">
        <f t="shared" si="137"/>
        <v>#N/A</v>
      </c>
      <c r="BC203" s="1"/>
      <c r="BF203" s="1"/>
      <c r="BI203" s="1"/>
      <c r="BL203" s="1" t="e">
        <f t="shared" si="171"/>
        <v>#N/A</v>
      </c>
      <c r="BM203" s="1" t="e">
        <f t="shared" si="172"/>
        <v>#N/A</v>
      </c>
      <c r="BN203" s="1" t="e">
        <f t="shared" si="173"/>
        <v>#N/A</v>
      </c>
      <c r="BP203" s="1"/>
      <c r="BR203" t="e">
        <f t="shared" si="138"/>
        <v>#N/A</v>
      </c>
      <c r="BS203" s="1"/>
      <c r="BU203" s="1"/>
      <c r="BW203" s="1"/>
      <c r="BY203" s="1" t="e">
        <f t="shared" si="139"/>
        <v>#N/A</v>
      </c>
      <c r="BZ203" s="1" t="e">
        <f t="shared" si="140"/>
        <v>#N/A</v>
      </c>
      <c r="CA203" s="1" t="e">
        <f t="shared" si="141"/>
        <v>#N/A</v>
      </c>
    </row>
    <row r="204" spans="35:79">
      <c r="AI204" s="1">
        <v>40939</v>
      </c>
      <c r="AJ204" t="s">
        <v>9605</v>
      </c>
      <c r="AK204">
        <f t="shared" ref="AK204" si="191">IF(AJ204="",NA(),VLOOKUP(AJ204,$AB$28:$AC$49,2,0))</f>
        <v>280</v>
      </c>
      <c r="AL204" s="1"/>
      <c r="AO204" s="1"/>
      <c r="AR204" s="1"/>
      <c r="AU204" s="1">
        <f t="shared" si="133"/>
        <v>40939</v>
      </c>
      <c r="AV204" s="1" t="str">
        <f t="shared" si="134"/>
        <v>AAA</v>
      </c>
      <c r="AW204" s="52">
        <f t="shared" si="135"/>
        <v>280</v>
      </c>
      <c r="AZ204" s="1"/>
      <c r="BB204" t="e">
        <f t="shared" si="137"/>
        <v>#N/A</v>
      </c>
      <c r="BC204" s="1"/>
      <c r="BF204" s="1"/>
      <c r="BI204" s="1"/>
      <c r="BL204" s="1" t="e">
        <f t="shared" si="171"/>
        <v>#N/A</v>
      </c>
      <c r="BM204" s="1" t="e">
        <f t="shared" si="172"/>
        <v>#N/A</v>
      </c>
      <c r="BN204" s="1" t="e">
        <f t="shared" si="173"/>
        <v>#N/A</v>
      </c>
      <c r="BP204" s="1"/>
      <c r="BR204" t="e">
        <f t="shared" si="138"/>
        <v>#N/A</v>
      </c>
      <c r="BS204" s="1"/>
      <c r="BU204" s="1"/>
      <c r="BW204" s="1"/>
      <c r="BY204" s="1" t="e">
        <f t="shared" si="139"/>
        <v>#N/A</v>
      </c>
      <c r="BZ204" s="1" t="e">
        <f t="shared" si="140"/>
        <v>#N/A</v>
      </c>
      <c r="CA204" s="1" t="e">
        <f t="shared" si="141"/>
        <v>#N/A</v>
      </c>
    </row>
    <row r="205" spans="35:79">
      <c r="AI205" s="1">
        <v>40913</v>
      </c>
      <c r="AJ205" t="s">
        <v>9605</v>
      </c>
      <c r="AK205">
        <f t="shared" ref="AK205" si="192">IF(AJ205="",NA(),VLOOKUP(AJ205,$AB$28:$AC$49,2,0))</f>
        <v>280</v>
      </c>
      <c r="AL205" s="1"/>
      <c r="AO205" s="1"/>
      <c r="AR205" s="1"/>
      <c r="AU205" s="1">
        <f t="shared" si="133"/>
        <v>40913</v>
      </c>
      <c r="AV205" s="1" t="str">
        <f t="shared" si="134"/>
        <v>AAA</v>
      </c>
      <c r="AW205" s="52">
        <f t="shared" si="135"/>
        <v>280</v>
      </c>
      <c r="AZ205" s="1"/>
      <c r="BB205" t="e">
        <f t="shared" si="137"/>
        <v>#N/A</v>
      </c>
      <c r="BC205" s="1"/>
      <c r="BF205" s="1"/>
      <c r="BI205" s="1"/>
      <c r="BL205" s="1" t="e">
        <f t="shared" si="171"/>
        <v>#N/A</v>
      </c>
      <c r="BM205" s="1" t="e">
        <f t="shared" si="172"/>
        <v>#N/A</v>
      </c>
      <c r="BN205" s="1" t="e">
        <f t="shared" si="173"/>
        <v>#N/A</v>
      </c>
      <c r="BP205" s="1"/>
      <c r="BR205" t="e">
        <f t="shared" si="138"/>
        <v>#N/A</v>
      </c>
      <c r="BS205" s="1"/>
      <c r="BU205" s="1"/>
      <c r="BW205" s="1"/>
      <c r="BY205" s="1" t="e">
        <f t="shared" si="139"/>
        <v>#N/A</v>
      </c>
      <c r="BZ205" s="1" t="e">
        <f t="shared" si="140"/>
        <v>#N/A</v>
      </c>
      <c r="CA205" s="1" t="e">
        <f t="shared" si="141"/>
        <v>#N/A</v>
      </c>
    </row>
    <row r="206" spans="35:79">
      <c r="AI206" s="1">
        <v>40907</v>
      </c>
      <c r="AJ206" t="s">
        <v>9605</v>
      </c>
      <c r="AK206">
        <f t="shared" ref="AK206" si="193">IF(AJ206="",NA(),VLOOKUP(AJ206,$AB$28:$AC$49,2,0))</f>
        <v>280</v>
      </c>
      <c r="AL206" s="1"/>
      <c r="AO206" s="1"/>
      <c r="AR206" s="1"/>
      <c r="AU206" s="1">
        <f t="shared" si="133"/>
        <v>40907</v>
      </c>
      <c r="AV206" s="1" t="str">
        <f t="shared" si="134"/>
        <v>AAA</v>
      </c>
      <c r="AW206" s="52">
        <f t="shared" si="135"/>
        <v>280</v>
      </c>
      <c r="AZ206" s="1"/>
      <c r="BB206" t="e">
        <f t="shared" si="137"/>
        <v>#N/A</v>
      </c>
      <c r="BC206" s="1"/>
      <c r="BF206" s="1"/>
      <c r="BI206" s="1"/>
      <c r="BL206" s="1" t="e">
        <f t="shared" si="171"/>
        <v>#N/A</v>
      </c>
      <c r="BM206" s="1" t="e">
        <f t="shared" si="172"/>
        <v>#N/A</v>
      </c>
      <c r="BN206" s="1" t="e">
        <f t="shared" si="173"/>
        <v>#N/A</v>
      </c>
      <c r="BP206" s="1"/>
      <c r="BR206" t="e">
        <f t="shared" si="138"/>
        <v>#N/A</v>
      </c>
      <c r="BS206" s="1"/>
      <c r="BU206" s="1"/>
      <c r="BW206" s="1"/>
      <c r="BY206" s="1" t="e">
        <f t="shared" si="139"/>
        <v>#N/A</v>
      </c>
      <c r="BZ206" s="1" t="e">
        <f t="shared" si="140"/>
        <v>#N/A</v>
      </c>
      <c r="CA206" s="1" t="e">
        <f t="shared" si="141"/>
        <v>#N/A</v>
      </c>
    </row>
    <row r="207" spans="35:79">
      <c r="AI207" s="1">
        <v>40882</v>
      </c>
      <c r="AJ207" t="s">
        <v>9605</v>
      </c>
      <c r="AK207">
        <f t="shared" ref="AK207" si="194">IF(AJ207="",NA(),VLOOKUP(AJ207,$AB$28:$AC$49,2,0))</f>
        <v>280</v>
      </c>
      <c r="AL207" s="1"/>
      <c r="AO207" s="1"/>
      <c r="AR207" s="1"/>
      <c r="AU207" s="1">
        <f t="shared" si="133"/>
        <v>40882</v>
      </c>
      <c r="AV207" s="1" t="str">
        <f t="shared" si="134"/>
        <v>AAA</v>
      </c>
      <c r="AW207" s="52">
        <f t="shared" si="135"/>
        <v>280</v>
      </c>
      <c r="AZ207" s="1"/>
      <c r="BB207" t="e">
        <f t="shared" si="137"/>
        <v>#N/A</v>
      </c>
      <c r="BC207" s="1"/>
      <c r="BF207" s="1"/>
      <c r="BI207" s="1"/>
      <c r="BL207" s="1" t="e">
        <f t="shared" si="171"/>
        <v>#N/A</v>
      </c>
      <c r="BM207" s="1" t="e">
        <f t="shared" si="172"/>
        <v>#N/A</v>
      </c>
      <c r="BN207" s="1" t="e">
        <f t="shared" si="173"/>
        <v>#N/A</v>
      </c>
      <c r="BP207" s="1"/>
      <c r="BR207" t="e">
        <f t="shared" si="138"/>
        <v>#N/A</v>
      </c>
      <c r="BS207" s="1"/>
      <c r="BU207" s="1"/>
      <c r="BW207" s="1"/>
      <c r="BY207" s="1" t="e">
        <f t="shared" si="139"/>
        <v>#N/A</v>
      </c>
      <c r="BZ207" s="1" t="e">
        <f t="shared" si="140"/>
        <v>#N/A</v>
      </c>
      <c r="CA207" s="1" t="e">
        <f t="shared" si="141"/>
        <v>#N/A</v>
      </c>
    </row>
    <row r="208" spans="35:79">
      <c r="AI208" s="1">
        <v>40877</v>
      </c>
      <c r="AJ208" t="s">
        <v>9605</v>
      </c>
      <c r="AK208">
        <f t="shared" ref="AK208" si="195">IF(AJ208="",NA(),VLOOKUP(AJ208,$AB$28:$AC$49,2,0))</f>
        <v>280</v>
      </c>
      <c r="AL208" s="1"/>
      <c r="AO208" s="1"/>
      <c r="AR208" s="1"/>
      <c r="AU208" s="1">
        <f t="shared" si="133"/>
        <v>40877</v>
      </c>
      <c r="AV208" s="1" t="str">
        <f t="shared" si="134"/>
        <v>AAA</v>
      </c>
      <c r="AW208" s="52">
        <f t="shared" si="135"/>
        <v>280</v>
      </c>
      <c r="AZ208" s="1"/>
      <c r="BB208" t="e">
        <f t="shared" si="137"/>
        <v>#N/A</v>
      </c>
      <c r="BC208" s="1"/>
      <c r="BF208" s="1"/>
      <c r="BI208" s="1"/>
      <c r="BL208" s="1" t="e">
        <f t="shared" si="171"/>
        <v>#N/A</v>
      </c>
      <c r="BM208" s="1" t="e">
        <f t="shared" si="172"/>
        <v>#N/A</v>
      </c>
      <c r="BN208" s="1" t="e">
        <f t="shared" si="173"/>
        <v>#N/A</v>
      </c>
      <c r="BP208" s="1"/>
      <c r="BR208" t="e">
        <f t="shared" si="138"/>
        <v>#N/A</v>
      </c>
      <c r="BS208" s="1"/>
      <c r="BU208" s="1"/>
      <c r="BW208" s="1"/>
      <c r="BY208" s="1" t="e">
        <f t="shared" si="139"/>
        <v>#N/A</v>
      </c>
      <c r="BZ208" s="1" t="e">
        <f t="shared" si="140"/>
        <v>#N/A</v>
      </c>
      <c r="CA208" s="1" t="e">
        <f t="shared" si="141"/>
        <v>#N/A</v>
      </c>
    </row>
    <row r="209" spans="35:79">
      <c r="AI209" s="1">
        <v>40847</v>
      </c>
      <c r="AJ209" t="s">
        <v>9605</v>
      </c>
      <c r="AK209">
        <f t="shared" ref="AK209" si="196">IF(AJ209="",NA(),VLOOKUP(AJ209,$AB$28:$AC$49,2,0))</f>
        <v>280</v>
      </c>
      <c r="AL209" s="1"/>
      <c r="AO209" s="1"/>
      <c r="AR209" s="1"/>
      <c r="AU209" s="1">
        <f t="shared" si="133"/>
        <v>40847</v>
      </c>
      <c r="AV209" s="1" t="str">
        <f t="shared" si="134"/>
        <v>AAA</v>
      </c>
      <c r="AW209" s="52">
        <f t="shared" si="135"/>
        <v>280</v>
      </c>
      <c r="AZ209" s="1"/>
      <c r="BB209" t="e">
        <f t="shared" si="137"/>
        <v>#N/A</v>
      </c>
      <c r="BC209" s="1"/>
      <c r="BF209" s="1"/>
      <c r="BI209" s="1"/>
      <c r="BL209" s="1" t="e">
        <f t="shared" si="171"/>
        <v>#N/A</v>
      </c>
      <c r="BM209" s="1" t="e">
        <f t="shared" si="172"/>
        <v>#N/A</v>
      </c>
      <c r="BN209" s="1" t="e">
        <f t="shared" si="173"/>
        <v>#N/A</v>
      </c>
      <c r="BP209" s="1"/>
      <c r="BR209" t="e">
        <f t="shared" si="138"/>
        <v>#N/A</v>
      </c>
      <c r="BS209" s="1"/>
      <c r="BU209" s="1"/>
      <c r="BW209" s="1"/>
      <c r="BY209" s="1" t="e">
        <f t="shared" si="139"/>
        <v>#N/A</v>
      </c>
      <c r="BZ209" s="1" t="e">
        <f t="shared" si="140"/>
        <v>#N/A</v>
      </c>
      <c r="CA209" s="1" t="e">
        <f t="shared" si="141"/>
        <v>#N/A</v>
      </c>
    </row>
    <row r="210" spans="35:79">
      <c r="AI210" s="1">
        <v>40816</v>
      </c>
      <c r="AJ210" t="s">
        <v>9605</v>
      </c>
      <c r="AK210">
        <f t="shared" ref="AK210" si="197">IF(AJ210="",NA(),VLOOKUP(AJ210,$AB$28:$AC$49,2,0))</f>
        <v>280</v>
      </c>
      <c r="AL210" s="1"/>
      <c r="AO210" s="1"/>
      <c r="AR210" s="1"/>
      <c r="AU210" s="1">
        <f t="shared" si="133"/>
        <v>40816</v>
      </c>
      <c r="AV210" s="1" t="str">
        <f t="shared" si="134"/>
        <v>AAA</v>
      </c>
      <c r="AW210" s="52">
        <f t="shared" si="135"/>
        <v>280</v>
      </c>
      <c r="AZ210" s="1"/>
      <c r="BB210" t="e">
        <f t="shared" si="137"/>
        <v>#N/A</v>
      </c>
      <c r="BC210" s="1"/>
      <c r="BF210" s="1"/>
      <c r="BI210" s="1"/>
      <c r="BL210" s="1" t="e">
        <f t="shared" si="171"/>
        <v>#N/A</v>
      </c>
      <c r="BM210" s="1" t="e">
        <f t="shared" si="172"/>
        <v>#N/A</v>
      </c>
      <c r="BN210" s="1" t="e">
        <f t="shared" si="173"/>
        <v>#N/A</v>
      </c>
      <c r="BP210" s="1"/>
      <c r="BR210" t="e">
        <f t="shared" si="138"/>
        <v>#N/A</v>
      </c>
      <c r="BS210" s="1"/>
      <c r="BU210" s="1"/>
      <c r="BW210" s="1"/>
      <c r="BY210" s="1" t="e">
        <f t="shared" si="139"/>
        <v>#N/A</v>
      </c>
      <c r="BZ210" s="1" t="e">
        <f t="shared" si="140"/>
        <v>#N/A</v>
      </c>
      <c r="CA210" s="1" t="e">
        <f t="shared" si="141"/>
        <v>#N/A</v>
      </c>
    </row>
    <row r="211" spans="35:79">
      <c r="AI211" s="1">
        <v>40786</v>
      </c>
      <c r="AJ211" t="s">
        <v>9605</v>
      </c>
      <c r="AK211">
        <f t="shared" ref="AK211" si="198">IF(AJ211="",NA(),VLOOKUP(AJ211,$AB$28:$AC$49,2,0))</f>
        <v>280</v>
      </c>
      <c r="AL211" s="1"/>
      <c r="AO211" s="1"/>
      <c r="AR211" s="1"/>
      <c r="AU211" s="1">
        <f t="shared" si="133"/>
        <v>40786</v>
      </c>
      <c r="AV211" s="1" t="str">
        <f t="shared" si="134"/>
        <v>AAA</v>
      </c>
      <c r="AW211" s="52">
        <f t="shared" si="135"/>
        <v>280</v>
      </c>
      <c r="AZ211" s="1"/>
      <c r="BB211" t="e">
        <f t="shared" si="137"/>
        <v>#N/A</v>
      </c>
      <c r="BC211" s="1"/>
      <c r="BF211" s="1"/>
      <c r="BI211" s="1"/>
      <c r="BL211" s="1" t="e">
        <f t="shared" si="171"/>
        <v>#N/A</v>
      </c>
      <c r="BM211" s="1" t="e">
        <f t="shared" si="172"/>
        <v>#N/A</v>
      </c>
      <c r="BN211" s="1" t="e">
        <f t="shared" si="173"/>
        <v>#N/A</v>
      </c>
      <c r="BP211" s="1"/>
      <c r="BR211" t="e">
        <f t="shared" si="138"/>
        <v>#N/A</v>
      </c>
      <c r="BS211" s="1"/>
      <c r="BU211" s="1"/>
      <c r="BW211" s="1"/>
      <c r="BY211" s="1" t="e">
        <f t="shared" si="139"/>
        <v>#N/A</v>
      </c>
      <c r="BZ211" s="1" t="e">
        <f t="shared" si="140"/>
        <v>#N/A</v>
      </c>
      <c r="CA211" s="1" t="e">
        <f t="shared" si="141"/>
        <v>#N/A</v>
      </c>
    </row>
    <row r="212" spans="35:79">
      <c r="AI212" s="1">
        <v>40753</v>
      </c>
      <c r="AJ212" t="s">
        <v>9605</v>
      </c>
      <c r="AK212">
        <f t="shared" ref="AK212" si="199">IF(AJ212="",NA(),VLOOKUP(AJ212,$AB$28:$AC$49,2,0))</f>
        <v>280</v>
      </c>
      <c r="AL212" s="1"/>
      <c r="AO212" s="1"/>
      <c r="AR212" s="1"/>
      <c r="AU212" s="1">
        <f t="shared" si="133"/>
        <v>40753</v>
      </c>
      <c r="AV212" s="1" t="str">
        <f t="shared" si="134"/>
        <v>AAA</v>
      </c>
      <c r="AW212" s="52">
        <f t="shared" si="135"/>
        <v>280</v>
      </c>
      <c r="AZ212" s="1"/>
      <c r="BB212" t="e">
        <f t="shared" si="137"/>
        <v>#N/A</v>
      </c>
      <c r="BC212" s="1"/>
      <c r="BF212" s="1"/>
      <c r="BI212" s="1"/>
      <c r="BL212" s="1" t="e">
        <f t="shared" si="171"/>
        <v>#N/A</v>
      </c>
      <c r="BM212" s="1" t="e">
        <f t="shared" si="172"/>
        <v>#N/A</v>
      </c>
      <c r="BN212" s="1" t="e">
        <f t="shared" si="173"/>
        <v>#N/A</v>
      </c>
      <c r="BP212" s="1"/>
      <c r="BR212" t="e">
        <f t="shared" si="138"/>
        <v>#N/A</v>
      </c>
      <c r="BS212" s="1"/>
      <c r="BU212" s="1"/>
      <c r="BW212" s="1"/>
      <c r="BY212" s="1" t="e">
        <f t="shared" si="139"/>
        <v>#N/A</v>
      </c>
      <c r="BZ212" s="1" t="e">
        <f t="shared" si="140"/>
        <v>#N/A</v>
      </c>
      <c r="CA212" s="1" t="e">
        <f t="shared" si="141"/>
        <v>#N/A</v>
      </c>
    </row>
    <row r="213" spans="35:79">
      <c r="AI213" s="1">
        <v>40724</v>
      </c>
      <c r="AJ213" t="s">
        <v>9605</v>
      </c>
      <c r="AK213">
        <f t="shared" ref="AK213" si="200">IF(AJ213="",NA(),VLOOKUP(AJ213,$AB$28:$AC$49,2,0))</f>
        <v>280</v>
      </c>
      <c r="AL213" s="1"/>
      <c r="AO213" s="1"/>
      <c r="AR213" s="1"/>
      <c r="AU213" s="1">
        <f t="shared" si="133"/>
        <v>40724</v>
      </c>
      <c r="AV213" s="1" t="str">
        <f t="shared" si="134"/>
        <v>AAA</v>
      </c>
      <c r="AW213" s="52">
        <f t="shared" si="135"/>
        <v>280</v>
      </c>
      <c r="AZ213" s="1"/>
      <c r="BB213" t="e">
        <f t="shared" si="137"/>
        <v>#N/A</v>
      </c>
      <c r="BC213" s="1"/>
      <c r="BF213" s="1"/>
      <c r="BI213" s="1"/>
      <c r="BL213" s="1" t="e">
        <f t="shared" si="171"/>
        <v>#N/A</v>
      </c>
      <c r="BM213" s="1" t="e">
        <f t="shared" si="172"/>
        <v>#N/A</v>
      </c>
      <c r="BN213" s="1" t="e">
        <f t="shared" si="173"/>
        <v>#N/A</v>
      </c>
      <c r="BP213" s="1"/>
      <c r="BR213" t="e">
        <f t="shared" si="138"/>
        <v>#N/A</v>
      </c>
      <c r="BS213" s="1"/>
      <c r="BU213" s="1"/>
      <c r="BW213" s="1"/>
      <c r="BY213" s="1" t="e">
        <f t="shared" si="139"/>
        <v>#N/A</v>
      </c>
      <c r="BZ213" s="1" t="e">
        <f t="shared" si="140"/>
        <v>#N/A</v>
      </c>
      <c r="CA213" s="1" t="e">
        <f t="shared" si="141"/>
        <v>#N/A</v>
      </c>
    </row>
    <row r="214" spans="35:79">
      <c r="AI214" s="1">
        <v>40694</v>
      </c>
      <c r="AJ214" t="s">
        <v>9605</v>
      </c>
      <c r="AK214">
        <f t="shared" ref="AK214" si="201">IF(AJ214="",NA(),VLOOKUP(AJ214,$AB$28:$AC$49,2,0))</f>
        <v>280</v>
      </c>
      <c r="AL214" s="1"/>
      <c r="AO214" s="1"/>
      <c r="AR214" s="1"/>
      <c r="AU214" s="1">
        <f t="shared" si="133"/>
        <v>40694</v>
      </c>
      <c r="AV214" s="1" t="str">
        <f t="shared" si="134"/>
        <v>AAA</v>
      </c>
      <c r="AW214" s="52">
        <f t="shared" si="135"/>
        <v>280</v>
      </c>
      <c r="AZ214" s="1"/>
      <c r="BB214" t="e">
        <f t="shared" si="137"/>
        <v>#N/A</v>
      </c>
      <c r="BC214" s="1"/>
      <c r="BF214" s="1"/>
      <c r="BI214" s="1"/>
      <c r="BL214" s="1" t="e">
        <f t="shared" si="171"/>
        <v>#N/A</v>
      </c>
      <c r="BM214" s="1" t="e">
        <f t="shared" si="172"/>
        <v>#N/A</v>
      </c>
      <c r="BN214" s="1" t="e">
        <f t="shared" si="173"/>
        <v>#N/A</v>
      </c>
      <c r="BP214" s="1"/>
      <c r="BR214" t="e">
        <f t="shared" si="138"/>
        <v>#N/A</v>
      </c>
      <c r="BS214" s="1"/>
      <c r="BU214" s="1"/>
      <c r="BW214" s="1"/>
      <c r="BY214" s="1" t="e">
        <f t="shared" si="139"/>
        <v>#N/A</v>
      </c>
      <c r="BZ214" s="1" t="e">
        <f t="shared" si="140"/>
        <v>#N/A</v>
      </c>
      <c r="CA214" s="1" t="e">
        <f t="shared" si="141"/>
        <v>#N/A</v>
      </c>
    </row>
    <row r="215" spans="35:79">
      <c r="AI215" s="1">
        <v>40662</v>
      </c>
      <c r="AJ215" t="s">
        <v>9605</v>
      </c>
      <c r="AK215">
        <f t="shared" ref="AK215" si="202">IF(AJ215="",NA(),VLOOKUP(AJ215,$AB$28:$AC$49,2,0))</f>
        <v>280</v>
      </c>
      <c r="AL215" s="1"/>
      <c r="AO215" s="1"/>
      <c r="AR215" s="1"/>
      <c r="AU215" s="1">
        <f t="shared" si="133"/>
        <v>40662</v>
      </c>
      <c r="AV215" s="1" t="str">
        <f t="shared" si="134"/>
        <v>AAA</v>
      </c>
      <c r="AW215" s="52">
        <f t="shared" si="135"/>
        <v>280</v>
      </c>
      <c r="AZ215" s="1"/>
      <c r="BB215" t="e">
        <f t="shared" si="137"/>
        <v>#N/A</v>
      </c>
      <c r="BC215" s="1"/>
      <c r="BF215" s="1"/>
      <c r="BI215" s="1"/>
      <c r="BL215" s="1" t="e">
        <f t="shared" si="171"/>
        <v>#N/A</v>
      </c>
      <c r="BM215" s="1" t="e">
        <f t="shared" si="172"/>
        <v>#N/A</v>
      </c>
      <c r="BN215" s="1" t="e">
        <f t="shared" si="173"/>
        <v>#N/A</v>
      </c>
      <c r="BP215" s="1"/>
      <c r="BR215" t="e">
        <f t="shared" si="138"/>
        <v>#N/A</v>
      </c>
      <c r="BS215" s="1"/>
      <c r="BU215" s="1"/>
      <c r="BW215" s="1"/>
      <c r="BY215" s="1" t="e">
        <f t="shared" si="139"/>
        <v>#N/A</v>
      </c>
      <c r="BZ215" s="1" t="e">
        <f t="shared" si="140"/>
        <v>#N/A</v>
      </c>
      <c r="CA215" s="1" t="e">
        <f t="shared" si="141"/>
        <v>#N/A</v>
      </c>
    </row>
    <row r="216" spans="35:79">
      <c r="AI216" s="1">
        <v>40633</v>
      </c>
      <c r="AJ216" t="s">
        <v>9605</v>
      </c>
      <c r="AK216">
        <f t="shared" ref="AK216" si="203">IF(AJ216="",NA(),VLOOKUP(AJ216,$AB$28:$AC$49,2,0))</f>
        <v>280</v>
      </c>
      <c r="AL216" s="1"/>
      <c r="AO216" s="1"/>
      <c r="AR216" s="1"/>
      <c r="AU216" s="1">
        <f t="shared" si="133"/>
        <v>40633</v>
      </c>
      <c r="AV216" s="1" t="str">
        <f t="shared" si="134"/>
        <v>AAA</v>
      </c>
      <c r="AW216" s="52">
        <f t="shared" si="135"/>
        <v>280</v>
      </c>
      <c r="AZ216" s="1"/>
      <c r="BB216" t="e">
        <f t="shared" si="137"/>
        <v>#N/A</v>
      </c>
      <c r="BC216" s="1"/>
      <c r="BF216" s="1"/>
      <c r="BI216" s="1"/>
      <c r="BL216" s="1" t="e">
        <f t="shared" si="171"/>
        <v>#N/A</v>
      </c>
      <c r="BM216" s="1" t="e">
        <f t="shared" si="172"/>
        <v>#N/A</v>
      </c>
      <c r="BN216" s="1" t="e">
        <f t="shared" si="173"/>
        <v>#N/A</v>
      </c>
      <c r="BP216" s="1"/>
      <c r="BR216" t="e">
        <f t="shared" si="138"/>
        <v>#N/A</v>
      </c>
      <c r="BS216" s="1"/>
      <c r="BU216" s="1"/>
      <c r="BW216" s="1"/>
      <c r="BY216" s="1" t="e">
        <f t="shared" si="139"/>
        <v>#N/A</v>
      </c>
      <c r="BZ216" s="1" t="e">
        <f t="shared" si="140"/>
        <v>#N/A</v>
      </c>
      <c r="CA216" s="1" t="e">
        <f t="shared" si="141"/>
        <v>#N/A</v>
      </c>
    </row>
    <row r="217" spans="35:79">
      <c r="AI217" s="1">
        <v>40602</v>
      </c>
      <c r="AJ217" t="s">
        <v>9605</v>
      </c>
      <c r="AK217">
        <f t="shared" ref="AK217" si="204">IF(AJ217="",NA(),VLOOKUP(AJ217,$AB$28:$AC$49,2,0))</f>
        <v>280</v>
      </c>
      <c r="AL217" s="1"/>
      <c r="AO217" s="1"/>
      <c r="AR217" s="1"/>
      <c r="AU217" s="1">
        <f t="shared" si="133"/>
        <v>40602</v>
      </c>
      <c r="AV217" s="1" t="str">
        <f t="shared" si="134"/>
        <v>AAA</v>
      </c>
      <c r="AW217" s="52">
        <f t="shared" si="135"/>
        <v>280</v>
      </c>
      <c r="AZ217" s="1"/>
      <c r="BB217" t="e">
        <f t="shared" si="137"/>
        <v>#N/A</v>
      </c>
      <c r="BC217" s="1"/>
      <c r="BF217" s="1"/>
      <c r="BI217" s="1"/>
      <c r="BL217" s="1" t="e">
        <f t="shared" si="171"/>
        <v>#N/A</v>
      </c>
      <c r="BM217" s="1" t="e">
        <f t="shared" si="172"/>
        <v>#N/A</v>
      </c>
      <c r="BN217" s="1" t="e">
        <f t="shared" si="173"/>
        <v>#N/A</v>
      </c>
      <c r="BP217" s="1"/>
      <c r="BR217" t="e">
        <f t="shared" si="138"/>
        <v>#N/A</v>
      </c>
      <c r="BS217" s="1"/>
      <c r="BU217" s="1"/>
      <c r="BW217" s="1"/>
      <c r="BY217" s="1" t="e">
        <f t="shared" si="139"/>
        <v>#N/A</v>
      </c>
      <c r="BZ217" s="1" t="e">
        <f t="shared" si="140"/>
        <v>#N/A</v>
      </c>
      <c r="CA217" s="1" t="e">
        <f t="shared" si="141"/>
        <v>#N/A</v>
      </c>
    </row>
    <row r="218" spans="35:79">
      <c r="AI218" s="1">
        <v>40574</v>
      </c>
      <c r="AJ218" t="s">
        <v>9605</v>
      </c>
      <c r="AK218">
        <f t="shared" ref="AK218" si="205">IF(AJ218="",NA(),VLOOKUP(AJ218,$AB$28:$AC$49,2,0))</f>
        <v>280</v>
      </c>
      <c r="AL218" s="1"/>
      <c r="AO218" s="1"/>
      <c r="AR218" s="1"/>
      <c r="AU218" s="1">
        <f t="shared" si="133"/>
        <v>40574</v>
      </c>
      <c r="AV218" s="1" t="str">
        <f t="shared" si="134"/>
        <v>AAA</v>
      </c>
      <c r="AW218" s="52">
        <f t="shared" si="135"/>
        <v>280</v>
      </c>
      <c r="AZ218" s="1"/>
      <c r="BB218" t="e">
        <f t="shared" si="137"/>
        <v>#N/A</v>
      </c>
      <c r="BC218" s="1"/>
      <c r="BF218" s="1"/>
      <c r="BI218" s="1"/>
      <c r="BL218" s="1" t="e">
        <f t="shared" si="171"/>
        <v>#N/A</v>
      </c>
      <c r="BM218" s="1" t="e">
        <f t="shared" si="172"/>
        <v>#N/A</v>
      </c>
      <c r="BN218" s="1" t="e">
        <f t="shared" si="173"/>
        <v>#N/A</v>
      </c>
      <c r="BP218" s="1"/>
      <c r="BR218" t="e">
        <f t="shared" si="138"/>
        <v>#N/A</v>
      </c>
      <c r="BS218" s="1"/>
      <c r="BU218" s="1"/>
      <c r="BW218" s="1"/>
      <c r="BY218" s="1" t="e">
        <f t="shared" si="139"/>
        <v>#N/A</v>
      </c>
      <c r="BZ218" s="1" t="e">
        <f t="shared" si="140"/>
        <v>#N/A</v>
      </c>
      <c r="CA218" s="1" t="e">
        <f t="shared" si="141"/>
        <v>#N/A</v>
      </c>
    </row>
    <row r="219" spans="35:79">
      <c r="AI219" s="1">
        <v>40546</v>
      </c>
      <c r="AJ219" t="s">
        <v>9605</v>
      </c>
      <c r="AK219">
        <f t="shared" ref="AK219" si="206">IF(AJ219="",NA(),VLOOKUP(AJ219,$AB$28:$AC$49,2,0))</f>
        <v>280</v>
      </c>
      <c r="AL219" s="1"/>
      <c r="AO219" s="1"/>
      <c r="AR219" s="1"/>
      <c r="AU219" s="1">
        <f t="shared" si="133"/>
        <v>40546</v>
      </c>
      <c r="AV219" s="1" t="str">
        <f t="shared" si="134"/>
        <v>AAA</v>
      </c>
      <c r="AW219" s="52">
        <f t="shared" si="135"/>
        <v>280</v>
      </c>
      <c r="AZ219" s="1"/>
      <c r="BB219" t="e">
        <f t="shared" si="137"/>
        <v>#N/A</v>
      </c>
      <c r="BC219" s="1"/>
      <c r="BF219" s="1"/>
      <c r="BI219" s="1"/>
      <c r="BL219" s="1" t="e">
        <f t="shared" si="171"/>
        <v>#N/A</v>
      </c>
      <c r="BM219" s="1" t="e">
        <f t="shared" si="172"/>
        <v>#N/A</v>
      </c>
      <c r="BN219" s="1" t="e">
        <f t="shared" si="173"/>
        <v>#N/A</v>
      </c>
      <c r="BP219" s="1"/>
      <c r="BR219" t="e">
        <f t="shared" si="138"/>
        <v>#N/A</v>
      </c>
      <c r="BS219" s="1"/>
      <c r="BU219" s="1"/>
      <c r="BW219" s="1"/>
      <c r="BY219" s="1" t="e">
        <f t="shared" si="139"/>
        <v>#N/A</v>
      </c>
      <c r="BZ219" s="1" t="e">
        <f t="shared" si="140"/>
        <v>#N/A</v>
      </c>
      <c r="CA219" s="1" t="e">
        <f t="shared" si="141"/>
        <v>#N/A</v>
      </c>
    </row>
    <row r="220" spans="35:79">
      <c r="AI220" s="1">
        <v>40543</v>
      </c>
      <c r="AJ220" t="s">
        <v>9605</v>
      </c>
      <c r="AK220">
        <f t="shared" ref="AK220" si="207">IF(AJ220="",NA(),VLOOKUP(AJ220,$AB$28:$AC$49,2,0))</f>
        <v>280</v>
      </c>
      <c r="AL220" s="1"/>
      <c r="AO220" s="1"/>
      <c r="AR220" s="1"/>
      <c r="AU220" s="1">
        <f t="shared" ref="AU220:AU227" si="208">IF(AI220="",NA(),AI220)</f>
        <v>40543</v>
      </c>
      <c r="AV220" s="1" t="str">
        <f t="shared" ref="AV220:AV227" si="209">IF(AJ220="",NA(),AJ220)</f>
        <v>AAA</v>
      </c>
      <c r="AW220" s="52">
        <f t="shared" ref="AW220:AW227" si="210">IF(AK220="",NA(),AK220)</f>
        <v>280</v>
      </c>
      <c r="AZ220" s="1"/>
      <c r="BB220" t="e">
        <f t="shared" si="137"/>
        <v>#N/A</v>
      </c>
      <c r="BC220" s="1"/>
      <c r="BF220" s="1"/>
      <c r="BI220" s="1"/>
      <c r="BL220" s="1" t="e">
        <f t="shared" si="171"/>
        <v>#N/A</v>
      </c>
      <c r="BM220" s="1" t="e">
        <f t="shared" si="172"/>
        <v>#N/A</v>
      </c>
      <c r="BN220" s="1" t="e">
        <f t="shared" si="173"/>
        <v>#N/A</v>
      </c>
      <c r="BP220" s="1"/>
      <c r="BR220" t="e">
        <f t="shared" si="138"/>
        <v>#N/A</v>
      </c>
      <c r="BS220" s="1"/>
      <c r="BU220" s="1"/>
      <c r="BW220" s="1"/>
      <c r="BY220" s="1" t="e">
        <f t="shared" si="139"/>
        <v>#N/A</v>
      </c>
      <c r="BZ220" s="1" t="e">
        <f t="shared" si="140"/>
        <v>#N/A</v>
      </c>
      <c r="CA220" s="1" t="e">
        <f t="shared" si="141"/>
        <v>#N/A</v>
      </c>
    </row>
    <row r="221" spans="35:79">
      <c r="AI221" s="1">
        <v>40512</v>
      </c>
      <c r="AJ221" t="s">
        <v>9605</v>
      </c>
      <c r="AK221">
        <f t="shared" ref="AK221" si="211">IF(AJ221="",NA(),VLOOKUP(AJ221,$AB$28:$AC$49,2,0))</f>
        <v>280</v>
      </c>
      <c r="AL221" s="1"/>
      <c r="AO221" s="1"/>
      <c r="AR221" s="1"/>
      <c r="AU221" s="1">
        <f t="shared" si="208"/>
        <v>40512</v>
      </c>
      <c r="AV221" s="1" t="str">
        <f t="shared" si="209"/>
        <v>AAA</v>
      </c>
      <c r="AW221" s="52">
        <f t="shared" si="210"/>
        <v>280</v>
      </c>
      <c r="AZ221" s="1"/>
      <c r="BB221" t="e">
        <f t="shared" ref="BB221:BB227" si="212">IF(BA221="",NA(),VLOOKUP(BA221,$AD$28:$AE$49,2,0))</f>
        <v>#N/A</v>
      </c>
      <c r="BC221" s="1"/>
      <c r="BF221" s="1"/>
      <c r="BI221" s="1"/>
      <c r="BL221" s="1" t="e">
        <f t="shared" si="171"/>
        <v>#N/A</v>
      </c>
      <c r="BM221" s="1" t="e">
        <f t="shared" si="172"/>
        <v>#N/A</v>
      </c>
      <c r="BN221" s="1" t="e">
        <f t="shared" si="173"/>
        <v>#N/A</v>
      </c>
      <c r="BP221" s="1"/>
      <c r="BR221" t="e">
        <f t="shared" ref="BR221:BR227" si="213">IF(BQ221="",NA(),VLOOKUP(BQ221,$AF$28:$AG$39,2,0))</f>
        <v>#N/A</v>
      </c>
      <c r="BS221" s="1"/>
      <c r="BU221" s="1"/>
      <c r="BW221" s="1"/>
      <c r="BY221" s="1" t="e">
        <f t="shared" ref="BY221:BY227" si="214">IF(BP221="",NA(),BP221)</f>
        <v>#N/A</v>
      </c>
      <c r="BZ221" s="1" t="e">
        <f t="shared" ref="BZ221:BZ227" si="215">IF(BQ221="",NA(),BQ221)</f>
        <v>#N/A</v>
      </c>
      <c r="CA221" s="1" t="e">
        <f t="shared" ref="CA221:CA227" si="216">IF(BR221="",NA(),BR221)</f>
        <v>#N/A</v>
      </c>
    </row>
    <row r="222" spans="35:79">
      <c r="AI222" s="1">
        <v>40480</v>
      </c>
      <c r="AJ222" t="s">
        <v>9605</v>
      </c>
      <c r="AK222">
        <f t="shared" ref="AK222" si="217">IF(AJ222="",NA(),VLOOKUP(AJ222,$AB$28:$AC$49,2,0))</f>
        <v>280</v>
      </c>
      <c r="AL222" s="1"/>
      <c r="AO222" s="1"/>
      <c r="AR222" s="1"/>
      <c r="AU222" s="1">
        <f t="shared" si="208"/>
        <v>40480</v>
      </c>
      <c r="AV222" s="1" t="str">
        <f t="shared" si="209"/>
        <v>AAA</v>
      </c>
      <c r="AW222" s="52">
        <f t="shared" si="210"/>
        <v>280</v>
      </c>
      <c r="AZ222" s="1"/>
      <c r="BB222" t="e">
        <f t="shared" si="212"/>
        <v>#N/A</v>
      </c>
      <c r="BC222" s="1"/>
      <c r="BF222" s="1"/>
      <c r="BI222" s="1"/>
      <c r="BL222" s="1" t="e">
        <f t="shared" si="171"/>
        <v>#N/A</v>
      </c>
      <c r="BM222" s="1" t="e">
        <f t="shared" si="172"/>
        <v>#N/A</v>
      </c>
      <c r="BN222" s="1" t="e">
        <f t="shared" si="173"/>
        <v>#N/A</v>
      </c>
      <c r="BP222" s="1"/>
      <c r="BR222" t="e">
        <f t="shared" si="213"/>
        <v>#N/A</v>
      </c>
      <c r="BS222" s="1"/>
      <c r="BU222" s="1"/>
      <c r="BW222" s="1"/>
      <c r="BY222" s="1" t="e">
        <f t="shared" si="214"/>
        <v>#N/A</v>
      </c>
      <c r="BZ222" s="1" t="e">
        <f t="shared" si="215"/>
        <v>#N/A</v>
      </c>
      <c r="CA222" s="1" t="e">
        <f t="shared" si="216"/>
        <v>#N/A</v>
      </c>
    </row>
    <row r="223" spans="35:79">
      <c r="AI223" s="1">
        <v>40451</v>
      </c>
      <c r="AJ223" t="s">
        <v>9605</v>
      </c>
      <c r="AK223">
        <f t="shared" ref="AK223" si="218">IF(AJ223="",NA(),VLOOKUP(AJ223,$AB$28:$AC$49,2,0))</f>
        <v>280</v>
      </c>
      <c r="AL223" s="1"/>
      <c r="AO223" s="1"/>
      <c r="AR223" s="1"/>
      <c r="AU223" s="1">
        <f t="shared" si="208"/>
        <v>40451</v>
      </c>
      <c r="AV223" s="1" t="str">
        <f t="shared" si="209"/>
        <v>AAA</v>
      </c>
      <c r="AW223" s="52">
        <f t="shared" si="210"/>
        <v>280</v>
      </c>
      <c r="AZ223" s="1"/>
      <c r="BB223" t="e">
        <f t="shared" si="212"/>
        <v>#N/A</v>
      </c>
      <c r="BC223" s="1"/>
      <c r="BF223" s="1"/>
      <c r="BI223" s="1"/>
      <c r="BL223" s="1" t="e">
        <f t="shared" si="171"/>
        <v>#N/A</v>
      </c>
      <c r="BM223" s="1" t="e">
        <f t="shared" si="172"/>
        <v>#N/A</v>
      </c>
      <c r="BN223" s="1" t="e">
        <f t="shared" si="173"/>
        <v>#N/A</v>
      </c>
      <c r="BP223" s="1"/>
      <c r="BR223" t="e">
        <f t="shared" si="213"/>
        <v>#N/A</v>
      </c>
      <c r="BS223" s="1"/>
      <c r="BU223" s="1"/>
      <c r="BW223" s="1"/>
      <c r="BY223" s="1" t="e">
        <f t="shared" si="214"/>
        <v>#N/A</v>
      </c>
      <c r="BZ223" s="1" t="e">
        <f t="shared" si="215"/>
        <v>#N/A</v>
      </c>
      <c r="CA223" s="1" t="e">
        <f t="shared" si="216"/>
        <v>#N/A</v>
      </c>
    </row>
    <row r="224" spans="35:79">
      <c r="AI224" s="1">
        <v>40421</v>
      </c>
      <c r="AJ224" t="s">
        <v>9605</v>
      </c>
      <c r="AK224">
        <f t="shared" ref="AK224" si="219">IF(AJ224="",NA(),VLOOKUP(AJ224,$AB$28:$AC$49,2,0))</f>
        <v>280</v>
      </c>
      <c r="AL224" s="1"/>
      <c r="AO224" s="1"/>
      <c r="AR224" s="1"/>
      <c r="AU224" s="1">
        <f t="shared" si="208"/>
        <v>40421</v>
      </c>
      <c r="AV224" s="1" t="str">
        <f t="shared" si="209"/>
        <v>AAA</v>
      </c>
      <c r="AW224" s="52">
        <f t="shared" si="210"/>
        <v>280</v>
      </c>
      <c r="AZ224" s="1"/>
      <c r="BB224" t="e">
        <f t="shared" si="212"/>
        <v>#N/A</v>
      </c>
      <c r="BC224" s="1"/>
      <c r="BF224" s="1"/>
      <c r="BI224" s="1"/>
      <c r="BL224" s="1" t="e">
        <f t="shared" si="171"/>
        <v>#N/A</v>
      </c>
      <c r="BM224" s="1" t="e">
        <f t="shared" si="172"/>
        <v>#N/A</v>
      </c>
      <c r="BN224" s="1" t="e">
        <f t="shared" si="173"/>
        <v>#N/A</v>
      </c>
      <c r="BP224" s="1"/>
      <c r="BR224" t="e">
        <f t="shared" si="213"/>
        <v>#N/A</v>
      </c>
      <c r="BS224" s="1"/>
      <c r="BU224" s="1"/>
      <c r="BW224" s="1"/>
      <c r="BY224" s="1" t="e">
        <f t="shared" si="214"/>
        <v>#N/A</v>
      </c>
      <c r="BZ224" s="1" t="e">
        <f t="shared" si="215"/>
        <v>#N/A</v>
      </c>
      <c r="CA224" s="1" t="e">
        <f t="shared" si="216"/>
        <v>#N/A</v>
      </c>
    </row>
    <row r="225" spans="35:79">
      <c r="AI225" s="1">
        <v>40389</v>
      </c>
      <c r="AJ225" t="s">
        <v>9605</v>
      </c>
      <c r="AK225">
        <f t="shared" ref="AK225" si="220">IF(AJ225="",NA(),VLOOKUP(AJ225,$AB$28:$AC$49,2,0))</f>
        <v>280</v>
      </c>
      <c r="AL225" s="1"/>
      <c r="AO225" s="1"/>
      <c r="AR225" s="1"/>
      <c r="AU225" s="1">
        <f t="shared" si="208"/>
        <v>40389</v>
      </c>
      <c r="AV225" s="1" t="str">
        <f t="shared" si="209"/>
        <v>AAA</v>
      </c>
      <c r="AW225" s="52">
        <f t="shared" si="210"/>
        <v>280</v>
      </c>
      <c r="AZ225" s="1"/>
      <c r="BB225" t="e">
        <f t="shared" si="212"/>
        <v>#N/A</v>
      </c>
      <c r="BC225" s="1"/>
      <c r="BF225" s="1"/>
      <c r="BI225" s="1"/>
      <c r="BL225" s="1" t="e">
        <f t="shared" si="171"/>
        <v>#N/A</v>
      </c>
      <c r="BM225" s="1" t="e">
        <f t="shared" si="172"/>
        <v>#N/A</v>
      </c>
      <c r="BN225" s="1" t="e">
        <f t="shared" si="173"/>
        <v>#N/A</v>
      </c>
      <c r="BP225" s="1"/>
      <c r="BR225" t="e">
        <f t="shared" si="213"/>
        <v>#N/A</v>
      </c>
      <c r="BS225" s="1"/>
      <c r="BU225" s="1"/>
      <c r="BW225" s="1"/>
      <c r="BY225" s="1" t="e">
        <f t="shared" si="214"/>
        <v>#N/A</v>
      </c>
      <c r="BZ225" s="1" t="e">
        <f t="shared" si="215"/>
        <v>#N/A</v>
      </c>
      <c r="CA225" s="1" t="e">
        <f t="shared" si="216"/>
        <v>#N/A</v>
      </c>
    </row>
    <row r="226" spans="35:79">
      <c r="AI226" s="1">
        <v>40359</v>
      </c>
      <c r="AJ226" t="s">
        <v>9605</v>
      </c>
      <c r="AK226">
        <f t="shared" ref="AK226" si="221">IF(AJ226="",NA(),VLOOKUP(AJ226,$AB$28:$AC$49,2,0))</f>
        <v>280</v>
      </c>
      <c r="AL226" s="1"/>
      <c r="AO226" s="1"/>
      <c r="AR226" s="1"/>
      <c r="AU226" s="1">
        <f t="shared" si="208"/>
        <v>40359</v>
      </c>
      <c r="AV226" s="1" t="str">
        <f t="shared" si="209"/>
        <v>AAA</v>
      </c>
      <c r="AW226" s="52">
        <f t="shared" si="210"/>
        <v>280</v>
      </c>
      <c r="AZ226" s="1"/>
      <c r="BB226" t="e">
        <f t="shared" si="212"/>
        <v>#N/A</v>
      </c>
      <c r="BC226" s="1"/>
      <c r="BF226" s="1"/>
      <c r="BI226" s="1"/>
      <c r="BL226" s="1" t="e">
        <f t="shared" si="171"/>
        <v>#N/A</v>
      </c>
      <c r="BM226" s="1" t="e">
        <f t="shared" si="172"/>
        <v>#N/A</v>
      </c>
      <c r="BN226" s="1" t="e">
        <f t="shared" si="173"/>
        <v>#N/A</v>
      </c>
      <c r="BP226" s="1"/>
      <c r="BR226" t="e">
        <f t="shared" si="213"/>
        <v>#N/A</v>
      </c>
      <c r="BS226" s="1"/>
      <c r="BU226" s="1"/>
      <c r="BW226" s="1"/>
      <c r="BY226" s="1" t="e">
        <f t="shared" si="214"/>
        <v>#N/A</v>
      </c>
      <c r="BZ226" s="1" t="e">
        <f t="shared" si="215"/>
        <v>#N/A</v>
      </c>
      <c r="CA226" s="1" t="e">
        <f t="shared" si="216"/>
        <v>#N/A</v>
      </c>
    </row>
    <row r="227" spans="35:79">
      <c r="AI227" s="1">
        <v>40329</v>
      </c>
      <c r="AJ227" t="s">
        <v>9605</v>
      </c>
      <c r="AK227">
        <f t="shared" ref="AK227:AK240" si="222">IF(AJ227="",NA(),VLOOKUP(AJ227,$AB$28:$AC$49,2,0))</f>
        <v>280</v>
      </c>
      <c r="AL227" s="1"/>
      <c r="AO227" s="1"/>
      <c r="AR227" s="1"/>
      <c r="AU227" s="1">
        <f>IF(AI227="",NA(),AI227)</f>
        <v>40329</v>
      </c>
      <c r="AV227" s="1" t="str">
        <f>IF(AJ227="",NA(),AJ227)</f>
        <v>AAA</v>
      </c>
      <c r="AW227" s="52">
        <f>IF(AK227="",NA(),AK227)</f>
        <v>280</v>
      </c>
      <c r="AZ227" s="1"/>
      <c r="BB227" t="e">
        <f t="shared" si="212"/>
        <v>#N/A</v>
      </c>
      <c r="BC227" s="1"/>
      <c r="BF227" s="1"/>
      <c r="BI227" s="1"/>
      <c r="BL227" s="1" t="e">
        <f t="shared" si="171"/>
        <v>#N/A</v>
      </c>
      <c r="BM227" s="1" t="e">
        <f t="shared" si="172"/>
        <v>#N/A</v>
      </c>
      <c r="BN227" s="1" t="e">
        <f t="shared" si="173"/>
        <v>#N/A</v>
      </c>
      <c r="BP227" s="1"/>
      <c r="BR227" t="e">
        <f t="shared" si="213"/>
        <v>#N/A</v>
      </c>
      <c r="BS227" s="1"/>
      <c r="BU227" s="1"/>
      <c r="BW227" s="1"/>
      <c r="BY227" s="1" t="e">
        <f t="shared" si="214"/>
        <v>#N/A</v>
      </c>
      <c r="BZ227" s="1" t="e">
        <f t="shared" si="215"/>
        <v>#N/A</v>
      </c>
      <c r="CA227" s="1" t="e">
        <f t="shared" si="216"/>
        <v>#N/A</v>
      </c>
    </row>
    <row r="228" spans="35:79">
      <c r="AI228" s="1">
        <v>40298</v>
      </c>
      <c r="AJ228" t="s">
        <v>9605</v>
      </c>
      <c r="AK228">
        <f t="shared" si="222"/>
        <v>280</v>
      </c>
      <c r="AL228" s="1"/>
      <c r="AO228" s="1"/>
      <c r="AR228" s="1"/>
      <c r="AZ228" s="1"/>
      <c r="BC228" s="1"/>
      <c r="BF228" s="1"/>
      <c r="BI228" s="1"/>
      <c r="BP228" s="1"/>
      <c r="BS228" s="1"/>
      <c r="BU228" s="1"/>
      <c r="BW228" s="1"/>
    </row>
    <row r="229" spans="35:79">
      <c r="AI229" s="1">
        <v>40268</v>
      </c>
      <c r="AJ229" t="s">
        <v>9605</v>
      </c>
      <c r="AK229">
        <f t="shared" si="222"/>
        <v>280</v>
      </c>
      <c r="AL229" s="1"/>
      <c r="AO229" s="1"/>
      <c r="AR229" s="1"/>
      <c r="AZ229" s="1"/>
      <c r="BC229" s="1"/>
      <c r="BF229" s="1"/>
      <c r="BI229" s="1"/>
      <c r="BP229" s="1"/>
      <c r="BS229" s="1"/>
      <c r="BU229" s="1"/>
      <c r="BW229" s="1"/>
    </row>
    <row r="230" spans="35:79">
      <c r="AI230" s="1">
        <v>40239</v>
      </c>
      <c r="AJ230" t="s">
        <v>9605</v>
      </c>
      <c r="AK230">
        <f t="shared" si="222"/>
        <v>280</v>
      </c>
      <c r="AL230" s="1"/>
      <c r="AO230" s="1"/>
      <c r="AR230" s="1"/>
      <c r="AZ230" s="1"/>
      <c r="BC230" s="1"/>
      <c r="BF230" s="1"/>
      <c r="BI230" s="1"/>
      <c r="BP230" s="1"/>
      <c r="BS230" s="1"/>
      <c r="BU230" s="1"/>
      <c r="BW230" s="1"/>
    </row>
    <row r="231" spans="35:79">
      <c r="AI231" s="1">
        <v>40235</v>
      </c>
      <c r="AJ231" t="s">
        <v>9605</v>
      </c>
      <c r="AK231">
        <f t="shared" si="222"/>
        <v>280</v>
      </c>
      <c r="AL231" s="1"/>
      <c r="AO231" s="1"/>
      <c r="AR231" s="1"/>
      <c r="AZ231" s="1"/>
      <c r="BC231" s="1"/>
      <c r="BF231" s="1"/>
      <c r="BI231" s="1"/>
      <c r="BP231" s="1"/>
      <c r="BS231" s="1"/>
      <c r="BU231" s="1"/>
      <c r="BW231" s="1"/>
    </row>
    <row r="232" spans="35:79">
      <c r="AI232" s="1">
        <v>40207</v>
      </c>
      <c r="AJ232" t="s">
        <v>9605</v>
      </c>
      <c r="AK232">
        <f t="shared" si="222"/>
        <v>280</v>
      </c>
      <c r="AL232" s="1"/>
      <c r="AO232" s="1"/>
      <c r="AR232" s="1"/>
      <c r="AZ232" s="1"/>
      <c r="BC232" s="1"/>
      <c r="BF232" s="1"/>
      <c r="BI232" s="1"/>
      <c r="BP232" s="1"/>
      <c r="BS232" s="1"/>
      <c r="BU232" s="1"/>
      <c r="BW232" s="1"/>
    </row>
    <row r="233" spans="35:79">
      <c r="AI233" s="1">
        <v>40182</v>
      </c>
      <c r="AJ233" t="s">
        <v>9605</v>
      </c>
      <c r="AK233">
        <f t="shared" si="222"/>
        <v>280</v>
      </c>
      <c r="AL233" s="1"/>
      <c r="AO233" s="1"/>
      <c r="AR233" s="1"/>
      <c r="AZ233" s="1"/>
      <c r="BC233" s="1"/>
      <c r="BF233" s="1"/>
      <c r="BI233" s="1"/>
      <c r="BP233" s="1"/>
      <c r="BS233" s="1"/>
      <c r="BU233" s="1"/>
      <c r="BW233" s="1"/>
    </row>
    <row r="234" spans="35:79">
      <c r="AI234" s="1">
        <v>40178</v>
      </c>
      <c r="AJ234" t="s">
        <v>9605</v>
      </c>
      <c r="AK234">
        <f t="shared" si="222"/>
        <v>280</v>
      </c>
      <c r="AL234" s="1"/>
      <c r="AO234" s="1"/>
      <c r="AR234" s="1"/>
      <c r="AZ234" s="1"/>
      <c r="BC234" s="1"/>
      <c r="BF234" s="1"/>
      <c r="BI234" s="1"/>
      <c r="BP234" s="1"/>
      <c r="BS234" s="1"/>
      <c r="BU234" s="1"/>
      <c r="BW234" s="1"/>
    </row>
    <row r="235" spans="35:79">
      <c r="AI235" s="1">
        <v>40177</v>
      </c>
      <c r="AJ235" t="s">
        <v>9605</v>
      </c>
      <c r="AK235">
        <f t="shared" si="222"/>
        <v>280</v>
      </c>
      <c r="AL235" s="1"/>
      <c r="AO235" s="1"/>
      <c r="AR235" s="1"/>
      <c r="AZ235" s="1"/>
      <c r="BC235" s="1"/>
      <c r="BF235" s="1"/>
      <c r="BI235" s="1"/>
      <c r="BP235" s="1"/>
      <c r="BS235" s="1"/>
      <c r="BU235" s="1"/>
      <c r="BW235" s="1"/>
    </row>
    <row r="236" spans="35:79">
      <c r="AI236" s="1">
        <v>40147</v>
      </c>
      <c r="AJ236" t="s">
        <v>9605</v>
      </c>
      <c r="AK236">
        <f t="shared" si="222"/>
        <v>280</v>
      </c>
      <c r="AL236" s="1"/>
      <c r="AO236" s="1"/>
      <c r="AR236" s="1"/>
      <c r="AZ236" s="1"/>
      <c r="BC236" s="1"/>
      <c r="BF236" s="1"/>
      <c r="BI236" s="1"/>
      <c r="BP236" s="1"/>
      <c r="BS236" s="1"/>
      <c r="BU236" s="1"/>
      <c r="BW236" s="1"/>
    </row>
    <row r="237" spans="35:79">
      <c r="AI237" s="1">
        <v>40116</v>
      </c>
      <c r="AJ237" t="s">
        <v>9605</v>
      </c>
      <c r="AK237">
        <f t="shared" si="222"/>
        <v>280</v>
      </c>
      <c r="AL237" s="1"/>
      <c r="AO237" s="1"/>
      <c r="AR237" s="1"/>
      <c r="AZ237" s="1"/>
      <c r="BC237" s="1"/>
      <c r="BF237" s="1"/>
      <c r="BI237" s="1"/>
      <c r="BP237" s="1"/>
      <c r="BS237" s="1"/>
      <c r="BU237" s="1"/>
      <c r="BW237" s="1"/>
    </row>
    <row r="238" spans="35:79">
      <c r="AI238" s="1">
        <v>40086</v>
      </c>
      <c r="AJ238" t="s">
        <v>9605</v>
      </c>
      <c r="AK238">
        <f t="shared" si="222"/>
        <v>280</v>
      </c>
      <c r="AL238" s="1"/>
      <c r="AO238" s="1"/>
      <c r="AR238" s="1"/>
      <c r="AZ238" s="1"/>
      <c r="BC238" s="1"/>
      <c r="BF238" s="1"/>
      <c r="BI238" s="1"/>
      <c r="BP238" s="1"/>
      <c r="BS238" s="1"/>
      <c r="BU238" s="1"/>
      <c r="BW238" s="1"/>
    </row>
    <row r="239" spans="35:79">
      <c r="AI239" s="1">
        <v>40056</v>
      </c>
      <c r="AJ239" t="s">
        <v>9605</v>
      </c>
      <c r="AK239">
        <f t="shared" si="222"/>
        <v>280</v>
      </c>
      <c r="AL239" s="1"/>
      <c r="AO239" s="1"/>
      <c r="AR239" s="1"/>
      <c r="AZ239" s="1"/>
      <c r="BC239" s="1"/>
      <c r="BF239" s="1"/>
      <c r="BI239" s="1"/>
      <c r="BP239" s="1"/>
      <c r="BS239" s="1"/>
      <c r="BU239" s="1"/>
      <c r="BW239" s="1"/>
    </row>
    <row r="240" spans="35:79">
      <c r="AI240" s="1">
        <v>40025</v>
      </c>
      <c r="AJ240" t="s">
        <v>9605</v>
      </c>
      <c r="AK240">
        <f t="shared" si="222"/>
        <v>280</v>
      </c>
      <c r="AL240" s="1"/>
      <c r="AO240" s="1"/>
      <c r="AR240" s="1"/>
      <c r="AZ240" s="1"/>
      <c r="BC240" s="1"/>
      <c r="BF240" s="1"/>
      <c r="BI240" s="1"/>
      <c r="BP240" s="1"/>
      <c r="BS240" s="1"/>
      <c r="BU240" s="1"/>
      <c r="BW240" s="1"/>
    </row>
    <row r="241" spans="35:75">
      <c r="AI241" s="1"/>
      <c r="AL241" s="1"/>
      <c r="AO241" s="1"/>
      <c r="AR241" s="1"/>
      <c r="AZ241" s="1"/>
      <c r="BC241" s="1"/>
      <c r="BF241" s="1"/>
      <c r="BI241" s="1"/>
      <c r="BP241" s="1"/>
      <c r="BS241" s="1"/>
      <c r="BU241" s="1"/>
      <c r="BW241" s="1"/>
    </row>
    <row r="242" spans="35:75">
      <c r="AI242" s="1"/>
      <c r="AL242" s="1"/>
      <c r="AO242" s="1"/>
      <c r="AR242" s="1"/>
      <c r="AZ242" s="1"/>
      <c r="BC242" s="1"/>
      <c r="BF242" s="1"/>
      <c r="BI242" s="1"/>
      <c r="BP242" s="1"/>
      <c r="BS242" s="1"/>
      <c r="BU242" s="1"/>
      <c r="BW242" s="1"/>
    </row>
    <row r="243" spans="35:75">
      <c r="AI243" s="1"/>
      <c r="AL243" s="1"/>
      <c r="AO243" s="1"/>
      <c r="AR243" s="1"/>
      <c r="AZ243" s="1"/>
      <c r="BC243" s="1"/>
      <c r="BF243" s="1"/>
      <c r="BI243" s="1"/>
      <c r="BP243" s="1"/>
      <c r="BS243" s="1"/>
      <c r="BU243" s="1"/>
      <c r="BW243" s="1"/>
    </row>
    <row r="244" spans="35:75">
      <c r="AI244" s="1"/>
      <c r="AL244" s="1"/>
      <c r="AO244" s="1"/>
      <c r="AR244" s="1"/>
      <c r="AZ244" s="1"/>
      <c r="BC244" s="1"/>
      <c r="BF244" s="1"/>
      <c r="BI244" s="1"/>
      <c r="BP244" s="1"/>
      <c r="BS244" s="1"/>
      <c r="BU244" s="1"/>
      <c r="BW244" s="1"/>
    </row>
    <row r="245" spans="35:75">
      <c r="AI245" s="1"/>
      <c r="AL245" s="1"/>
      <c r="AO245" s="1"/>
      <c r="AR245" s="1"/>
      <c r="AZ245" s="1"/>
      <c r="BC245" s="1"/>
      <c r="BF245" s="1"/>
      <c r="BI245" s="1"/>
      <c r="BP245" s="1"/>
      <c r="BS245" s="1"/>
      <c r="BU245" s="1"/>
      <c r="BW245" s="1"/>
    </row>
    <row r="246" spans="35:75">
      <c r="AI246" s="1"/>
      <c r="AL246" s="1"/>
      <c r="AO246" s="1"/>
      <c r="AR246" s="1"/>
      <c r="AZ246" s="1"/>
      <c r="BC246" s="1"/>
      <c r="BF246" s="1"/>
      <c r="BI246" s="1"/>
      <c r="BP246" s="1"/>
      <c r="BS246" s="1"/>
      <c r="BU246" s="1"/>
      <c r="BW246" s="1"/>
    </row>
    <row r="247" spans="35:75">
      <c r="AI247" s="1"/>
      <c r="AL247" s="1"/>
      <c r="AO247" s="1"/>
      <c r="AR247" s="1"/>
      <c r="AZ247" s="1"/>
      <c r="BC247" s="1"/>
      <c r="BF247" s="1"/>
      <c r="BI247" s="1"/>
      <c r="BP247" s="1"/>
      <c r="BS247" s="1"/>
      <c r="BU247" s="1"/>
      <c r="BW247" s="1"/>
    </row>
    <row r="248" spans="35:75">
      <c r="AI248" s="1"/>
      <c r="AL248" s="1"/>
      <c r="AO248" s="1"/>
      <c r="AR248" s="1"/>
      <c r="AZ248" s="1"/>
      <c r="BC248" s="1"/>
      <c r="BF248" s="1"/>
      <c r="BI248" s="1"/>
      <c r="BP248" s="1"/>
      <c r="BS248" s="1"/>
      <c r="BU248" s="1"/>
      <c r="BW248" s="1"/>
    </row>
    <row r="249" spans="35:75">
      <c r="AI249" s="1"/>
      <c r="AL249" s="1"/>
      <c r="AO249" s="1"/>
      <c r="AR249" s="1"/>
      <c r="AZ249" s="1"/>
      <c r="BC249" s="1"/>
      <c r="BF249" s="1"/>
      <c r="BI249" s="1"/>
      <c r="BP249" s="1"/>
      <c r="BS249" s="1"/>
      <c r="BU249" s="1"/>
      <c r="BW249" s="1"/>
    </row>
    <row r="250" spans="35:75">
      <c r="AI250" s="1"/>
      <c r="AL250" s="1"/>
      <c r="AO250" s="1"/>
      <c r="AR250" s="1"/>
      <c r="AZ250" s="1"/>
      <c r="BC250" s="1"/>
      <c r="BF250" s="1"/>
      <c r="BI250" s="1"/>
      <c r="BP250" s="1"/>
      <c r="BS250" s="1"/>
      <c r="BU250" s="1"/>
      <c r="BW250" s="1"/>
    </row>
    <row r="251" spans="35:75">
      <c r="AI251" s="1"/>
      <c r="AL251" s="1"/>
      <c r="AO251" s="1"/>
      <c r="AR251" s="1"/>
      <c r="AZ251" s="1"/>
      <c r="BC251" s="1"/>
      <c r="BF251" s="1"/>
      <c r="BI251" s="1"/>
      <c r="BP251" s="1"/>
      <c r="BS251" s="1"/>
      <c r="BU251" s="1"/>
      <c r="BW251" s="1"/>
    </row>
    <row r="252" spans="35:75">
      <c r="AI252" s="1"/>
      <c r="AL252" s="1"/>
      <c r="AO252" s="1"/>
      <c r="AR252" s="1"/>
      <c r="AZ252" s="1"/>
      <c r="BC252" s="1"/>
      <c r="BF252" s="1"/>
      <c r="BI252" s="1"/>
      <c r="BP252" s="1"/>
      <c r="BS252" s="1"/>
      <c r="BU252" s="1"/>
      <c r="BW252" s="1"/>
    </row>
    <row r="253" spans="35:75">
      <c r="AI253" s="1"/>
      <c r="AL253" s="1"/>
      <c r="AO253" s="1"/>
      <c r="AR253" s="1"/>
      <c r="AZ253" s="1"/>
      <c r="BC253" s="1"/>
      <c r="BF253" s="1"/>
      <c r="BI253" s="1"/>
      <c r="BP253" s="1"/>
      <c r="BS253" s="1"/>
      <c r="BU253" s="1"/>
      <c r="BW253" s="1"/>
    </row>
    <row r="254" spans="35:75">
      <c r="AI254" s="1"/>
      <c r="AL254" s="1"/>
      <c r="AO254" s="1"/>
      <c r="AR254" s="1"/>
      <c r="AZ254" s="1"/>
      <c r="BC254" s="1"/>
      <c r="BF254" s="1"/>
      <c r="BI254" s="1"/>
      <c r="BP254" s="1"/>
      <c r="BS254" s="1"/>
      <c r="BU254" s="1"/>
      <c r="BW254" s="1"/>
    </row>
    <row r="255" spans="35:75">
      <c r="AI255" s="1"/>
      <c r="AL255" s="1"/>
      <c r="AO255" s="1"/>
      <c r="AR255" s="1"/>
      <c r="AZ255" s="1"/>
      <c r="BC255" s="1"/>
      <c r="BF255" s="1"/>
      <c r="BI255" s="1"/>
      <c r="BP255" s="1"/>
      <c r="BS255" s="1"/>
      <c r="BU255" s="1"/>
      <c r="BW255" s="1"/>
    </row>
    <row r="256" spans="35:75">
      <c r="AI256" s="1"/>
      <c r="AL256" s="1"/>
      <c r="AO256" s="1"/>
      <c r="AR256" s="1"/>
      <c r="AZ256" s="1"/>
      <c r="BC256" s="1"/>
      <c r="BF256" s="1"/>
      <c r="BI256" s="1"/>
      <c r="BP256" s="1"/>
      <c r="BS256" s="1"/>
      <c r="BU256" s="1"/>
      <c r="BW256" s="1"/>
    </row>
    <row r="257" spans="35:75">
      <c r="AI257" s="1"/>
      <c r="AL257" s="1"/>
      <c r="AO257" s="1"/>
      <c r="AR257" s="1"/>
      <c r="AZ257" s="1"/>
      <c r="BC257" s="1"/>
      <c r="BF257" s="1"/>
      <c r="BI257" s="1"/>
      <c r="BP257" s="1"/>
      <c r="BS257" s="1"/>
      <c r="BU257" s="1"/>
      <c r="BW257" s="1"/>
    </row>
    <row r="258" spans="35:75">
      <c r="AI258" s="1"/>
      <c r="AL258" s="1"/>
      <c r="AO258" s="1"/>
      <c r="AR258" s="1"/>
      <c r="AZ258" s="1"/>
      <c r="BC258" s="1"/>
      <c r="BF258" s="1"/>
      <c r="BI258" s="1"/>
      <c r="BP258" s="1"/>
      <c r="BS258" s="1"/>
      <c r="BU258" s="1"/>
      <c r="BW258" s="1"/>
    </row>
    <row r="259" spans="35:75">
      <c r="AI259" s="1"/>
      <c r="AL259" s="1"/>
      <c r="AO259" s="1"/>
      <c r="AR259" s="1"/>
      <c r="AZ259" s="1"/>
      <c r="BC259" s="1"/>
      <c r="BF259" s="1"/>
      <c r="BI259" s="1"/>
      <c r="BP259" s="1"/>
      <c r="BS259" s="1"/>
      <c r="BU259" s="1"/>
      <c r="BW259" s="1"/>
    </row>
    <row r="260" spans="35:75">
      <c r="AI260" s="1"/>
      <c r="AL260" s="1"/>
      <c r="AO260" s="1"/>
      <c r="AR260" s="1"/>
      <c r="AZ260" s="1"/>
      <c r="BC260" s="1"/>
      <c r="BF260" s="1"/>
      <c r="BI260" s="1"/>
      <c r="BP260" s="1"/>
      <c r="BS260" s="1"/>
      <c r="BU260" s="1"/>
      <c r="BW260" s="1"/>
    </row>
    <row r="261" spans="35:75">
      <c r="AI261" s="1"/>
      <c r="AL261" s="1"/>
      <c r="AO261" s="1"/>
      <c r="AR261" s="1"/>
      <c r="AZ261" s="1"/>
      <c r="BC261" s="1"/>
      <c r="BF261" s="1"/>
      <c r="BI261" s="1"/>
      <c r="BP261" s="1"/>
      <c r="BS261" s="1"/>
      <c r="BU261" s="1"/>
      <c r="BW261" s="1"/>
    </row>
    <row r="262" spans="35:75">
      <c r="AI262" s="1"/>
      <c r="AL262" s="1"/>
      <c r="AO262" s="1"/>
      <c r="AR262" s="1"/>
      <c r="AZ262" s="1"/>
      <c r="BC262" s="1"/>
      <c r="BF262" s="1"/>
      <c r="BI262" s="1"/>
      <c r="BP262" s="1"/>
      <c r="BS262" s="1"/>
      <c r="BU262" s="1"/>
      <c r="BW262" s="1"/>
    </row>
    <row r="263" spans="35:75">
      <c r="AI263" s="1"/>
      <c r="AL263" s="1"/>
      <c r="AO263" s="1"/>
      <c r="AR263" s="1"/>
      <c r="AZ263" s="1"/>
      <c r="BC263" s="1"/>
      <c r="BF263" s="1"/>
      <c r="BI263" s="1"/>
      <c r="BP263" s="1"/>
      <c r="BS263" s="1"/>
      <c r="BU263" s="1"/>
      <c r="BW263" s="1"/>
    </row>
    <row r="264" spans="35:75">
      <c r="AI264" s="1"/>
      <c r="AL264" s="1"/>
      <c r="AO264" s="1"/>
      <c r="AR264" s="1"/>
      <c r="AZ264" s="1"/>
      <c r="BC264" s="1"/>
      <c r="BF264" s="1"/>
      <c r="BI264" s="1"/>
      <c r="BP264" s="1"/>
      <c r="BS264" s="1"/>
      <c r="BU264" s="1"/>
      <c r="BW264" s="1"/>
    </row>
    <row r="265" spans="35:75">
      <c r="AI265" s="1"/>
      <c r="AL265" s="1"/>
      <c r="AO265" s="1"/>
      <c r="AR265" s="1"/>
      <c r="AZ265" s="1"/>
      <c r="BC265" s="1"/>
      <c r="BF265" s="1"/>
      <c r="BI265" s="1"/>
      <c r="BP265" s="1"/>
      <c r="BS265" s="1"/>
      <c r="BU265" s="1"/>
      <c r="BW265" s="1"/>
    </row>
    <row r="266" spans="35:75">
      <c r="AI266" s="1"/>
      <c r="AL266" s="1"/>
      <c r="AO266" s="1"/>
      <c r="AR266" s="1"/>
      <c r="AZ266" s="1"/>
      <c r="BC266" s="1"/>
      <c r="BF266" s="1"/>
      <c r="BI266" s="1"/>
      <c r="BP266" s="1"/>
      <c r="BS266" s="1"/>
      <c r="BU266" s="1"/>
      <c r="BW266" s="1"/>
    </row>
    <row r="267" spans="35:75">
      <c r="AI267" s="1"/>
      <c r="AL267" s="1"/>
      <c r="AO267" s="1"/>
      <c r="AR267" s="1"/>
      <c r="AZ267" s="1"/>
      <c r="BC267" s="1"/>
      <c r="BF267" s="1"/>
      <c r="BI267" s="1"/>
      <c r="BP267" s="1"/>
      <c r="BS267" s="1"/>
      <c r="BU267" s="1"/>
      <c r="BW267" s="1"/>
    </row>
    <row r="268" spans="35:75">
      <c r="AI268" s="1"/>
      <c r="AL268" s="1"/>
      <c r="AO268" s="1"/>
      <c r="AR268" s="1"/>
      <c r="AZ268" s="1"/>
      <c r="BC268" s="1"/>
      <c r="BF268" s="1"/>
      <c r="BI268" s="1"/>
      <c r="BP268" s="1"/>
      <c r="BS268" s="1"/>
      <c r="BU268" s="1"/>
      <c r="BW268" s="1"/>
    </row>
    <row r="269" spans="35:75">
      <c r="AI269" s="1"/>
      <c r="AL269" s="1"/>
      <c r="AO269" s="1"/>
      <c r="AR269" s="1"/>
      <c r="AZ269" s="1"/>
      <c r="BC269" s="1"/>
      <c r="BF269" s="1"/>
      <c r="BI269" s="1"/>
      <c r="BP269" s="1"/>
      <c r="BS269" s="1"/>
      <c r="BU269" s="1"/>
      <c r="BW269" s="1"/>
    </row>
    <row r="270" spans="35:75">
      <c r="AI270" s="1"/>
      <c r="AL270" s="1"/>
      <c r="AO270" s="1"/>
      <c r="AR270" s="1"/>
      <c r="AZ270" s="1"/>
      <c r="BC270" s="1"/>
      <c r="BF270" s="1"/>
      <c r="BI270" s="1"/>
      <c r="BP270" s="1"/>
      <c r="BS270" s="1"/>
      <c r="BU270" s="1"/>
      <c r="BW270" s="1"/>
    </row>
    <row r="271" spans="35:75">
      <c r="AI271" s="1"/>
      <c r="AL271" s="1"/>
      <c r="AO271" s="1"/>
      <c r="AR271" s="1"/>
      <c r="AZ271" s="1"/>
      <c r="BC271" s="1"/>
      <c r="BF271" s="1"/>
      <c r="BI271" s="1"/>
      <c r="BP271" s="1"/>
      <c r="BS271" s="1"/>
      <c r="BU271" s="1"/>
      <c r="BW271" s="1"/>
    </row>
    <row r="272" spans="35:75">
      <c r="AI272" s="1"/>
      <c r="AL272" s="1"/>
      <c r="AO272" s="1"/>
      <c r="AR272" s="1"/>
      <c r="AZ272" s="1"/>
      <c r="BC272" s="1"/>
      <c r="BF272" s="1"/>
      <c r="BI272" s="1"/>
      <c r="BP272" s="1"/>
      <c r="BS272" s="1"/>
      <c r="BU272" s="1"/>
      <c r="BW272" s="1"/>
    </row>
    <row r="273" spans="35:75">
      <c r="AI273" s="1"/>
      <c r="AL273" s="1"/>
      <c r="AO273" s="1"/>
      <c r="AR273" s="1"/>
      <c r="AZ273" s="1"/>
      <c r="BC273" s="1"/>
      <c r="BF273" s="1"/>
      <c r="BI273" s="1"/>
      <c r="BP273" s="1"/>
      <c r="BS273" s="1"/>
      <c r="BU273" s="1"/>
      <c r="BW273" s="1"/>
    </row>
    <row r="274" spans="35:75">
      <c r="AI274" s="1"/>
      <c r="AL274" s="1"/>
      <c r="AO274" s="1"/>
      <c r="AR274" s="1"/>
      <c r="AZ274" s="1"/>
      <c r="BC274" s="1"/>
      <c r="BF274" s="1"/>
      <c r="BI274" s="1"/>
      <c r="BP274" s="1"/>
      <c r="BS274" s="1"/>
      <c r="BU274" s="1"/>
      <c r="BW274" s="1"/>
    </row>
    <row r="275" spans="35:75">
      <c r="AI275" s="1"/>
      <c r="AL275" s="1"/>
      <c r="AO275" s="1"/>
      <c r="AR275" s="1"/>
      <c r="AZ275" s="1"/>
      <c r="BC275" s="1"/>
      <c r="BF275" s="1"/>
      <c r="BI275" s="1"/>
      <c r="BP275" s="1"/>
      <c r="BS275" s="1"/>
      <c r="BU275" s="1"/>
      <c r="BW275" s="1"/>
    </row>
    <row r="276" spans="35:75">
      <c r="AI276" s="1"/>
      <c r="AL276" s="1"/>
      <c r="AO276" s="1"/>
      <c r="AR276" s="1"/>
      <c r="AZ276" s="1"/>
      <c r="BC276" s="1"/>
      <c r="BF276" s="1"/>
      <c r="BI276" s="1"/>
      <c r="BP276" s="1"/>
      <c r="BS276" s="1"/>
      <c r="BU276" s="1"/>
      <c r="BW276" s="1"/>
    </row>
    <row r="277" spans="35:75">
      <c r="AI277" s="1"/>
      <c r="AL277" s="1"/>
      <c r="AO277" s="1"/>
      <c r="AR277" s="1"/>
      <c r="AZ277" s="1"/>
      <c r="BC277" s="1"/>
      <c r="BF277" s="1"/>
      <c r="BI277" s="1"/>
      <c r="BP277" s="1"/>
      <c r="BS277" s="1"/>
      <c r="BU277" s="1"/>
      <c r="BW277" s="1"/>
    </row>
    <row r="278" spans="35:75">
      <c r="AI278" s="1"/>
      <c r="AL278" s="1"/>
      <c r="AO278" s="1"/>
      <c r="AR278" s="1"/>
      <c r="AZ278" s="1"/>
      <c r="BC278" s="1"/>
      <c r="BF278" s="1"/>
      <c r="BI278" s="1"/>
      <c r="BP278" s="1"/>
      <c r="BS278" s="1"/>
      <c r="BU278" s="1"/>
      <c r="BW278" s="1"/>
    </row>
    <row r="279" spans="35:75">
      <c r="AI279" s="1"/>
      <c r="AL279" s="1"/>
      <c r="AO279" s="1"/>
      <c r="AR279" s="1"/>
      <c r="AZ279" s="1"/>
      <c r="BC279" s="1"/>
      <c r="BF279" s="1"/>
      <c r="BI279" s="1"/>
      <c r="BP279" s="1"/>
      <c r="BS279" s="1"/>
      <c r="BU279" s="1"/>
      <c r="BW279" s="1"/>
    </row>
    <row r="280" spans="35:75">
      <c r="AI280" s="1"/>
      <c r="AL280" s="1"/>
      <c r="AO280" s="1"/>
      <c r="AR280" s="1"/>
      <c r="AZ280" s="1"/>
      <c r="BC280" s="1"/>
      <c r="BF280" s="1"/>
      <c r="BI280" s="1"/>
      <c r="BP280" s="1"/>
      <c r="BS280" s="1"/>
      <c r="BU280" s="1"/>
      <c r="BW280" s="1"/>
    </row>
    <row r="281" spans="35:75">
      <c r="AI281" s="1"/>
      <c r="AL281" s="1"/>
      <c r="AO281" s="1"/>
      <c r="AR281" s="1"/>
      <c r="AZ281" s="1"/>
      <c r="BC281" s="1"/>
      <c r="BF281" s="1"/>
      <c r="BI281" s="1"/>
      <c r="BP281" s="1"/>
      <c r="BS281" s="1"/>
      <c r="BU281" s="1"/>
      <c r="BW281" s="1"/>
    </row>
    <row r="282" spans="35:75">
      <c r="AI282" s="1"/>
      <c r="AL282" s="1"/>
      <c r="AO282" s="1"/>
      <c r="AR282" s="1"/>
      <c r="AZ282" s="1"/>
      <c r="BC282" s="1"/>
      <c r="BF282" s="1"/>
      <c r="BI282" s="1"/>
      <c r="BP282" s="1"/>
      <c r="BS282" s="1"/>
      <c r="BU282" s="1"/>
      <c r="BW282" s="1"/>
    </row>
    <row r="283" spans="35:75">
      <c r="AI283" s="1"/>
      <c r="AL283" s="1"/>
      <c r="AO283" s="1"/>
      <c r="AR283" s="1"/>
      <c r="AZ283" s="1"/>
      <c r="BC283" s="1"/>
      <c r="BF283" s="1"/>
      <c r="BI283" s="1"/>
      <c r="BP283" s="1"/>
      <c r="BS283" s="1"/>
      <c r="BU283" s="1"/>
      <c r="BW283" s="1"/>
    </row>
    <row r="284" spans="35:75">
      <c r="AI284" s="1"/>
      <c r="AL284" s="1"/>
      <c r="AO284" s="1"/>
      <c r="AR284" s="1"/>
      <c r="AZ284" s="1"/>
      <c r="BC284" s="1"/>
      <c r="BF284" s="1"/>
      <c r="BI284" s="1"/>
      <c r="BP284" s="1"/>
      <c r="BS284" s="1"/>
      <c r="BU284" s="1"/>
      <c r="BW284" s="1"/>
    </row>
    <row r="285" spans="35:75">
      <c r="AI285" s="1"/>
      <c r="AL285" s="1"/>
      <c r="AO285" s="1"/>
      <c r="AR285" s="1"/>
      <c r="AZ285" s="1"/>
      <c r="BC285" s="1"/>
      <c r="BF285" s="1"/>
      <c r="BI285" s="1"/>
      <c r="BP285" s="1"/>
      <c r="BS285" s="1"/>
      <c r="BU285" s="1"/>
      <c r="BW285" s="1"/>
    </row>
    <row r="286" spans="35:75">
      <c r="AI286" s="1"/>
      <c r="AL286" s="1"/>
      <c r="AO286" s="1"/>
      <c r="AR286" s="1"/>
      <c r="AZ286" s="1"/>
      <c r="BC286" s="1"/>
      <c r="BF286" s="1"/>
      <c r="BI286" s="1"/>
      <c r="BP286" s="1"/>
      <c r="BS286" s="1"/>
      <c r="BU286" s="1"/>
      <c r="BW286" s="1"/>
    </row>
    <row r="287" spans="35:75">
      <c r="AI287" s="1"/>
      <c r="AL287" s="1"/>
      <c r="AO287" s="1"/>
      <c r="AR287" s="1"/>
      <c r="AZ287" s="1"/>
      <c r="BC287" s="1"/>
      <c r="BF287" s="1"/>
      <c r="BI287" s="1"/>
      <c r="BP287" s="1"/>
      <c r="BS287" s="1"/>
      <c r="BU287" s="1"/>
      <c r="BW287" s="1"/>
    </row>
    <row r="288" spans="35:75">
      <c r="AI288" s="1"/>
      <c r="AL288" s="1"/>
      <c r="AO288" s="1"/>
      <c r="AR288" s="1"/>
      <c r="AZ288" s="1"/>
      <c r="BC288" s="1"/>
      <c r="BF288" s="1"/>
      <c r="BI288" s="1"/>
      <c r="BP288" s="1"/>
      <c r="BS288" s="1"/>
      <c r="BU288" s="1"/>
      <c r="BW288" s="1"/>
    </row>
    <row r="289" spans="35:75">
      <c r="AI289" s="1"/>
      <c r="AL289" s="1"/>
      <c r="AO289" s="1"/>
      <c r="AR289" s="1"/>
      <c r="AZ289" s="1"/>
      <c r="BC289" s="1"/>
      <c r="BF289" s="1"/>
      <c r="BI289" s="1"/>
      <c r="BP289" s="1"/>
      <c r="BS289" s="1"/>
      <c r="BU289" s="1"/>
      <c r="BW289" s="1"/>
    </row>
    <row r="290" spans="35:75">
      <c r="AI290" s="1"/>
      <c r="AL290" s="1"/>
      <c r="AO290" s="1"/>
      <c r="AR290" s="1"/>
      <c r="AZ290" s="1"/>
      <c r="BC290" s="1"/>
      <c r="BF290" s="1"/>
      <c r="BI290" s="1"/>
      <c r="BP290" s="1"/>
      <c r="BS290" s="1"/>
      <c r="BU290" s="1"/>
      <c r="BW290" s="1"/>
    </row>
    <row r="291" spans="35:75">
      <c r="AI291" s="1"/>
      <c r="AL291" s="1"/>
      <c r="AO291" s="1"/>
      <c r="AR291" s="1"/>
      <c r="AZ291" s="1"/>
      <c r="BC291" s="1"/>
      <c r="BF291" s="1"/>
      <c r="BI291" s="1"/>
      <c r="BP291" s="1"/>
      <c r="BS291" s="1"/>
      <c r="BU291" s="1"/>
      <c r="BW291" s="1"/>
    </row>
    <row r="292" spans="35:75">
      <c r="AI292" s="1"/>
      <c r="AL292" s="1"/>
      <c r="AO292" s="1"/>
      <c r="AR292" s="1"/>
      <c r="AZ292" s="1"/>
      <c r="BC292" s="1"/>
      <c r="BF292" s="1"/>
      <c r="BI292" s="1"/>
      <c r="BP292" s="1"/>
      <c r="BS292" s="1"/>
      <c r="BU292" s="1"/>
      <c r="BW292" s="1"/>
    </row>
    <row r="293" spans="35:75">
      <c r="AI293" s="1"/>
      <c r="AL293" s="1"/>
      <c r="AO293" s="1"/>
      <c r="AR293" s="1"/>
      <c r="AZ293" s="1"/>
      <c r="BC293" s="1"/>
      <c r="BF293" s="1"/>
      <c r="BI293" s="1"/>
      <c r="BP293" s="1"/>
      <c r="BS293" s="1"/>
      <c r="BU293" s="1"/>
      <c r="BW293" s="1"/>
    </row>
    <row r="294" spans="35:75">
      <c r="AI294" s="1"/>
      <c r="AL294" s="1"/>
      <c r="AO294" s="1"/>
      <c r="AR294" s="1"/>
      <c r="AZ294" s="1"/>
      <c r="BC294" s="1"/>
      <c r="BF294" s="1"/>
      <c r="BI294" s="1"/>
      <c r="BP294" s="1"/>
      <c r="BS294" s="1"/>
      <c r="BU294" s="1"/>
      <c r="BW294" s="1"/>
    </row>
    <row r="295" spans="35:75">
      <c r="AI295" s="1"/>
      <c r="AL295" s="1"/>
      <c r="AO295" s="1"/>
      <c r="AR295" s="1"/>
      <c r="AZ295" s="1"/>
      <c r="BC295" s="1"/>
      <c r="BF295" s="1"/>
      <c r="BI295" s="1"/>
      <c r="BP295" s="1"/>
      <c r="BS295" s="1"/>
      <c r="BU295" s="1"/>
      <c r="BW295" s="1"/>
    </row>
    <row r="296" spans="35:75">
      <c r="AI296" s="1"/>
      <c r="AL296" s="1"/>
      <c r="AO296" s="1"/>
      <c r="AR296" s="1"/>
      <c r="AZ296" s="1"/>
      <c r="BC296" s="1"/>
      <c r="BF296" s="1"/>
      <c r="BI296" s="1"/>
      <c r="BP296" s="1"/>
      <c r="BS296" s="1"/>
      <c r="BU296" s="1"/>
      <c r="BW296" s="1"/>
    </row>
    <row r="297" spans="35:75">
      <c r="AI297" s="1"/>
      <c r="AL297" s="1"/>
      <c r="AO297" s="1"/>
      <c r="AR297" s="1"/>
      <c r="AZ297" s="1"/>
      <c r="BC297" s="1"/>
      <c r="BF297" s="1"/>
      <c r="BI297" s="1"/>
      <c r="BP297" s="1"/>
      <c r="BS297" s="1"/>
      <c r="BU297" s="1"/>
      <c r="BW297" s="1"/>
    </row>
    <row r="298" spans="35:75">
      <c r="AI298" s="1"/>
      <c r="AL298" s="1"/>
      <c r="AO298" s="1"/>
      <c r="AR298" s="1"/>
      <c r="AZ298" s="1"/>
      <c r="BC298" s="1"/>
      <c r="BF298" s="1"/>
      <c r="BI298" s="1"/>
      <c r="BP298" s="1"/>
      <c r="BS298" s="1"/>
      <c r="BU298" s="1"/>
      <c r="BW298" s="1"/>
    </row>
    <row r="299" spans="35:75">
      <c r="AI299" s="1"/>
      <c r="AL299" s="1"/>
      <c r="AO299" s="1"/>
      <c r="AR299" s="1"/>
      <c r="AZ299" s="1"/>
      <c r="BC299" s="1"/>
      <c r="BF299" s="1"/>
      <c r="BI299" s="1"/>
      <c r="BP299" s="1"/>
      <c r="BS299" s="1"/>
      <c r="BU299" s="1"/>
      <c r="BW299" s="1"/>
    </row>
    <row r="300" spans="35:75">
      <c r="AI300" s="1"/>
      <c r="AL300" s="1"/>
      <c r="AO300" s="1"/>
      <c r="AR300" s="1"/>
      <c r="AZ300" s="1"/>
      <c r="BC300" s="1"/>
      <c r="BF300" s="1"/>
      <c r="BI300" s="1"/>
      <c r="BP300" s="1"/>
      <c r="BS300" s="1"/>
      <c r="BU300" s="1"/>
      <c r="BW300" s="1"/>
    </row>
    <row r="301" spans="35:75">
      <c r="AI301" s="1"/>
      <c r="AL301" s="1"/>
      <c r="AO301" s="1"/>
      <c r="AR301" s="1"/>
      <c r="AZ301" s="1"/>
      <c r="BC301" s="1"/>
      <c r="BF301" s="1"/>
      <c r="BI301" s="1"/>
      <c r="BP301" s="1"/>
      <c r="BS301" s="1"/>
      <c r="BU301" s="1"/>
      <c r="BW301" s="1"/>
    </row>
    <row r="302" spans="35:75">
      <c r="AI302" s="1"/>
      <c r="AL302" s="1"/>
      <c r="AO302" s="1"/>
      <c r="AR302" s="1"/>
      <c r="AZ302" s="1"/>
      <c r="BC302" s="1"/>
      <c r="BF302" s="1"/>
      <c r="BI302" s="1"/>
      <c r="BP302" s="1"/>
      <c r="BS302" s="1"/>
      <c r="BU302" s="1"/>
      <c r="BW302" s="1"/>
    </row>
    <row r="303" spans="35:75">
      <c r="AI303" s="1"/>
      <c r="AL303" s="1"/>
      <c r="AO303" s="1"/>
      <c r="AR303" s="1"/>
      <c r="AZ303" s="1"/>
      <c r="BC303" s="1"/>
      <c r="BF303" s="1"/>
      <c r="BI303" s="1"/>
      <c r="BP303" s="1"/>
      <c r="BS303" s="1"/>
      <c r="BU303" s="1"/>
      <c r="BW303" s="1"/>
    </row>
    <row r="304" spans="35:75">
      <c r="AI304" s="1"/>
      <c r="AL304" s="1"/>
      <c r="AO304" s="1"/>
      <c r="AR304" s="1"/>
      <c r="AZ304" s="1"/>
      <c r="BC304" s="1"/>
      <c r="BF304" s="1"/>
      <c r="BI304" s="1"/>
      <c r="BP304" s="1"/>
      <c r="BS304" s="1"/>
      <c r="BU304" s="1"/>
      <c r="BW304" s="1"/>
    </row>
    <row r="305" spans="35:75">
      <c r="AI305" s="1"/>
      <c r="AL305" s="1"/>
      <c r="AO305" s="1"/>
      <c r="AR305" s="1"/>
      <c r="AZ305" s="1"/>
      <c r="BC305" s="1"/>
      <c r="BF305" s="1"/>
      <c r="BI305" s="1"/>
      <c r="BP305" s="1"/>
      <c r="BS305" s="1"/>
      <c r="BU305" s="1"/>
      <c r="BW305" s="1"/>
    </row>
    <row r="306" spans="35:75">
      <c r="AI306" s="1"/>
      <c r="AL306" s="1"/>
      <c r="AO306" s="1"/>
      <c r="AR306" s="1"/>
      <c r="AZ306" s="1"/>
      <c r="BC306" s="1"/>
      <c r="BF306" s="1"/>
      <c r="BI306" s="1"/>
      <c r="BP306" s="1"/>
      <c r="BS306" s="1"/>
      <c r="BU306" s="1"/>
      <c r="BW306" s="1"/>
    </row>
    <row r="307" spans="35:75">
      <c r="AI307" s="1"/>
      <c r="AL307" s="1"/>
      <c r="AO307" s="1"/>
      <c r="AR307" s="1"/>
      <c r="AZ307" s="1"/>
      <c r="BC307" s="1"/>
      <c r="BF307" s="1"/>
      <c r="BI307" s="1"/>
      <c r="BP307" s="1"/>
      <c r="BS307" s="1"/>
      <c r="BU307" s="1"/>
      <c r="BW307" s="1"/>
    </row>
    <row r="308" spans="35:75">
      <c r="AI308" s="1"/>
      <c r="AL308" s="1"/>
      <c r="AO308" s="1"/>
      <c r="AR308" s="1"/>
      <c r="AZ308" s="1"/>
      <c r="BC308" s="1"/>
      <c r="BF308" s="1"/>
      <c r="BI308" s="1"/>
      <c r="BP308" s="1"/>
      <c r="BS308" s="1"/>
      <c r="BU308" s="1"/>
      <c r="BW308" s="1"/>
    </row>
    <row r="309" spans="35:75">
      <c r="AI309" s="1"/>
      <c r="AL309" s="1"/>
      <c r="AO309" s="1"/>
      <c r="AR309" s="1"/>
      <c r="AZ309" s="1"/>
      <c r="BC309" s="1"/>
      <c r="BF309" s="1"/>
      <c r="BI309" s="1"/>
      <c r="BP309" s="1"/>
      <c r="BS309" s="1"/>
      <c r="BU309" s="1"/>
      <c r="BW309" s="1"/>
    </row>
    <row r="310" spans="35:75">
      <c r="AI310" s="1"/>
      <c r="AL310" s="1"/>
      <c r="AO310" s="1"/>
      <c r="AR310" s="1"/>
      <c r="AZ310" s="1"/>
      <c r="BC310" s="1"/>
      <c r="BF310" s="1"/>
      <c r="BI310" s="1"/>
      <c r="BP310" s="1"/>
      <c r="BS310" s="1"/>
      <c r="BU310" s="1"/>
      <c r="BW310" s="1"/>
    </row>
    <row r="311" spans="35:75">
      <c r="AI311" s="1"/>
      <c r="AL311" s="1"/>
      <c r="AO311" s="1"/>
      <c r="AR311" s="1"/>
      <c r="AZ311" s="1"/>
      <c r="BC311" s="1"/>
      <c r="BF311" s="1"/>
      <c r="BI311" s="1"/>
      <c r="BP311" s="1"/>
      <c r="BS311" s="1"/>
      <c r="BU311" s="1"/>
      <c r="BW311" s="1"/>
    </row>
    <row r="312" spans="35:75">
      <c r="AI312" s="1"/>
      <c r="AL312" s="1"/>
      <c r="AO312" s="1"/>
      <c r="AR312" s="1"/>
      <c r="AZ312" s="1"/>
      <c r="BC312" s="1"/>
      <c r="BF312" s="1"/>
      <c r="BI312" s="1"/>
      <c r="BP312" s="1"/>
      <c r="BS312" s="1"/>
      <c r="BU312" s="1"/>
      <c r="BW312" s="1"/>
    </row>
    <row r="313" spans="35:75">
      <c r="AI313" s="1"/>
      <c r="AL313" s="1"/>
      <c r="AO313" s="1"/>
      <c r="AR313" s="1"/>
      <c r="AZ313" s="1"/>
      <c r="BC313" s="1"/>
      <c r="BF313" s="1"/>
      <c r="BI313" s="1"/>
      <c r="BP313" s="1"/>
      <c r="BS313" s="1"/>
      <c r="BU313" s="1"/>
      <c r="BW313" s="1"/>
    </row>
    <row r="314" spans="35:75">
      <c r="AI314" s="1"/>
      <c r="AL314" s="1"/>
      <c r="AO314" s="1"/>
      <c r="AR314" s="1"/>
      <c r="AZ314" s="1"/>
      <c r="BC314" s="1"/>
      <c r="BF314" s="1"/>
      <c r="BI314" s="1"/>
      <c r="BP314" s="1"/>
      <c r="BS314" s="1"/>
      <c r="BU314" s="1"/>
      <c r="BW314" s="1"/>
    </row>
    <row r="315" spans="35:75">
      <c r="AI315" s="1"/>
      <c r="AL315" s="1"/>
      <c r="AO315" s="1"/>
      <c r="AR315" s="1"/>
      <c r="AZ315" s="1"/>
      <c r="BC315" s="1"/>
      <c r="BF315" s="1"/>
      <c r="BI315" s="1"/>
      <c r="BP315" s="1"/>
      <c r="BS315" s="1"/>
      <c r="BU315" s="1"/>
      <c r="BW315" s="1"/>
    </row>
    <row r="316" spans="35:75">
      <c r="AI316" s="1"/>
      <c r="AL316" s="1"/>
      <c r="AO316" s="1"/>
      <c r="AR316" s="1"/>
      <c r="AZ316" s="1"/>
      <c r="BC316" s="1"/>
      <c r="BF316" s="1"/>
      <c r="BI316" s="1"/>
      <c r="BP316" s="1"/>
      <c r="BS316" s="1"/>
      <c r="BU316" s="1"/>
      <c r="BW316" s="1"/>
    </row>
    <row r="317" spans="35:75">
      <c r="AI317" s="1"/>
      <c r="AL317" s="1"/>
      <c r="AO317" s="1"/>
      <c r="AR317" s="1"/>
      <c r="AZ317" s="1"/>
      <c r="BC317" s="1"/>
      <c r="BF317" s="1"/>
      <c r="BI317" s="1"/>
      <c r="BP317" s="1"/>
      <c r="BS317" s="1"/>
      <c r="BU317" s="1"/>
      <c r="BW317" s="1"/>
    </row>
    <row r="318" spans="35:75">
      <c r="AI318" s="1"/>
      <c r="AL318" s="1"/>
      <c r="AO318" s="1"/>
      <c r="AR318" s="1"/>
      <c r="AZ318" s="1"/>
      <c r="BC318" s="1"/>
      <c r="BF318" s="1"/>
      <c r="BI318" s="1"/>
      <c r="BP318" s="1"/>
      <c r="BS318" s="1"/>
      <c r="BU318" s="1"/>
      <c r="BW318" s="1"/>
    </row>
    <row r="319" spans="35:75">
      <c r="AI319" s="1"/>
      <c r="AL319" s="1"/>
      <c r="AO319" s="1"/>
      <c r="AR319" s="1"/>
      <c r="AZ319" s="1"/>
      <c r="BC319" s="1"/>
      <c r="BF319" s="1"/>
      <c r="BI319" s="1"/>
      <c r="BP319" s="1"/>
      <c r="BS319" s="1"/>
      <c r="BU319" s="1"/>
      <c r="BW319" s="1"/>
    </row>
    <row r="320" spans="35:75">
      <c r="AI320" s="1"/>
      <c r="AL320" s="1"/>
      <c r="AO320" s="1"/>
      <c r="AR320" s="1"/>
      <c r="AZ320" s="1"/>
      <c r="BC320" s="1"/>
      <c r="BF320" s="1"/>
      <c r="BI320" s="1"/>
      <c r="BP320" s="1"/>
      <c r="BS320" s="1"/>
      <c r="BU320" s="1"/>
      <c r="BW320" s="1"/>
    </row>
    <row r="321" spans="35:75">
      <c r="AI321" s="1"/>
      <c r="AL321" s="1"/>
      <c r="AO321" s="1"/>
      <c r="AR321" s="1"/>
      <c r="AZ321" s="1"/>
      <c r="BC321" s="1"/>
      <c r="BF321" s="1"/>
      <c r="BI321" s="1"/>
      <c r="BP321" s="1"/>
      <c r="BS321" s="1"/>
      <c r="BU321" s="1"/>
      <c r="BW321" s="1"/>
    </row>
    <row r="322" spans="35:75">
      <c r="AI322" s="1"/>
      <c r="AL322" s="1"/>
      <c r="AO322" s="1"/>
      <c r="AR322" s="1"/>
      <c r="AZ322" s="1"/>
      <c r="BC322" s="1"/>
      <c r="BF322" s="1"/>
      <c r="BI322" s="1"/>
      <c r="BP322" s="1"/>
      <c r="BS322" s="1"/>
      <c r="BU322" s="1"/>
      <c r="BW322" s="1"/>
    </row>
    <row r="323" spans="35:75">
      <c r="AI323" s="1"/>
      <c r="AL323" s="1"/>
      <c r="AO323" s="1"/>
      <c r="AR323" s="1"/>
      <c r="AZ323" s="1"/>
      <c r="BC323" s="1"/>
      <c r="BF323" s="1"/>
      <c r="BI323" s="1"/>
      <c r="BP323" s="1"/>
      <c r="BS323" s="1"/>
      <c r="BU323" s="1"/>
      <c r="BW323" s="1"/>
    </row>
    <row r="324" spans="35:75">
      <c r="AI324" s="1"/>
      <c r="AL324" s="1"/>
      <c r="AO324" s="1"/>
      <c r="AR324" s="1"/>
      <c r="AZ324" s="1"/>
      <c r="BC324" s="1"/>
      <c r="BF324" s="1"/>
      <c r="BI324" s="1"/>
      <c r="BP324" s="1"/>
      <c r="BS324" s="1"/>
      <c r="BU324" s="1"/>
      <c r="BW324" s="1"/>
    </row>
    <row r="325" spans="35:75">
      <c r="AI325" s="1"/>
      <c r="AL325" s="1"/>
      <c r="AO325" s="1"/>
      <c r="AR325" s="1"/>
      <c r="AZ325" s="1"/>
      <c r="BC325" s="1"/>
      <c r="BF325" s="1"/>
      <c r="BI325" s="1"/>
      <c r="BP325" s="1"/>
      <c r="BS325" s="1"/>
      <c r="BU325" s="1"/>
      <c r="BW325" s="1"/>
    </row>
    <row r="326" spans="35:75">
      <c r="AI326" s="1"/>
      <c r="AL326" s="1"/>
      <c r="AO326" s="1"/>
      <c r="AR326" s="1"/>
      <c r="AZ326" s="1"/>
      <c r="BC326" s="1"/>
      <c r="BF326" s="1"/>
      <c r="BI326" s="1"/>
      <c r="BP326" s="1"/>
      <c r="BS326" s="1"/>
      <c r="BU326" s="1"/>
      <c r="BW326" s="1"/>
    </row>
    <row r="327" spans="35:75">
      <c r="AI327" s="1"/>
      <c r="AL327" s="1"/>
      <c r="AO327" s="1"/>
      <c r="AR327" s="1"/>
      <c r="AZ327" s="1"/>
      <c r="BC327" s="1"/>
      <c r="BF327" s="1"/>
      <c r="BI327" s="1"/>
      <c r="BP327" s="1"/>
      <c r="BS327" s="1"/>
      <c r="BU327" s="1"/>
      <c r="BW327" s="1"/>
    </row>
    <row r="328" spans="35:75">
      <c r="AI328" s="1"/>
      <c r="AL328" s="1"/>
      <c r="AO328" s="1"/>
      <c r="AR328" s="1"/>
      <c r="AZ328" s="1"/>
      <c r="BC328" s="1"/>
      <c r="BF328" s="1"/>
      <c r="BI328" s="1"/>
      <c r="BP328" s="1"/>
      <c r="BS328" s="1"/>
      <c r="BU328" s="1"/>
      <c r="BW328" s="1"/>
    </row>
    <row r="329" spans="35:75">
      <c r="AI329" s="1"/>
      <c r="AL329" s="1"/>
      <c r="AO329" s="1"/>
      <c r="AR329" s="1"/>
      <c r="AZ329" s="1"/>
      <c r="BC329" s="1"/>
      <c r="BF329" s="1"/>
      <c r="BI329" s="1"/>
      <c r="BP329" s="1"/>
      <c r="BS329" s="1"/>
      <c r="BU329" s="1"/>
      <c r="BW329" s="1"/>
    </row>
    <row r="330" spans="35:75">
      <c r="AI330" s="1"/>
      <c r="AL330" s="1"/>
      <c r="AO330" s="1"/>
      <c r="AR330" s="1"/>
      <c r="AZ330" s="1"/>
      <c r="BC330" s="1"/>
      <c r="BF330" s="1"/>
      <c r="BI330" s="1"/>
      <c r="BP330" s="1"/>
      <c r="BS330" s="1"/>
      <c r="BU330" s="1"/>
      <c r="BW330" s="1"/>
    </row>
    <row r="331" spans="35:75">
      <c r="AI331" s="1"/>
      <c r="AL331" s="1"/>
      <c r="AO331" s="1"/>
      <c r="AR331" s="1"/>
      <c r="AZ331" s="1"/>
      <c r="BC331" s="1"/>
      <c r="BF331" s="1"/>
      <c r="BI331" s="1"/>
      <c r="BP331" s="1"/>
      <c r="BS331" s="1"/>
      <c r="BU331" s="1"/>
      <c r="BW331" s="1"/>
    </row>
    <row r="332" spans="35:75">
      <c r="AI332" s="1"/>
      <c r="AL332" s="1"/>
      <c r="AO332" s="1"/>
      <c r="AR332" s="1"/>
      <c r="AZ332" s="1"/>
      <c r="BC332" s="1"/>
      <c r="BF332" s="1"/>
      <c r="BI332" s="1"/>
      <c r="BP332" s="1"/>
      <c r="BS332" s="1"/>
      <c r="BU332" s="1"/>
      <c r="BW332" s="1"/>
    </row>
    <row r="333" spans="35:75">
      <c r="AI333" s="1"/>
      <c r="AL333" s="1"/>
      <c r="AO333" s="1"/>
      <c r="AR333" s="1"/>
      <c r="AZ333" s="1"/>
      <c r="BC333" s="1"/>
      <c r="BF333" s="1"/>
      <c r="BI333" s="1"/>
      <c r="BP333" s="1"/>
      <c r="BS333" s="1"/>
      <c r="BU333" s="1"/>
      <c r="BW333" s="1"/>
    </row>
    <row r="334" spans="35:75">
      <c r="AI334" s="1"/>
      <c r="AL334" s="1"/>
      <c r="AO334" s="1"/>
      <c r="AR334" s="1"/>
      <c r="AZ334" s="1"/>
      <c r="BC334" s="1"/>
      <c r="BF334" s="1"/>
      <c r="BI334" s="1"/>
      <c r="BP334" s="1"/>
      <c r="BS334" s="1"/>
      <c r="BU334" s="1"/>
      <c r="BW334" s="1"/>
    </row>
    <row r="335" spans="35:75">
      <c r="AI335" s="1"/>
      <c r="AL335" s="1"/>
      <c r="AO335" s="1"/>
      <c r="AR335" s="1"/>
      <c r="AZ335" s="1"/>
      <c r="BC335" s="1"/>
      <c r="BF335" s="1"/>
      <c r="BI335" s="1"/>
      <c r="BP335" s="1"/>
      <c r="BS335" s="1"/>
      <c r="BU335" s="1"/>
      <c r="BW335" s="1"/>
    </row>
    <row r="336" spans="35:75">
      <c r="AI336" s="1"/>
      <c r="AL336" s="1"/>
      <c r="AO336" s="1"/>
      <c r="AR336" s="1"/>
      <c r="AZ336" s="1"/>
      <c r="BC336" s="1"/>
      <c r="BF336" s="1"/>
      <c r="BI336" s="1"/>
      <c r="BP336" s="1"/>
      <c r="BS336" s="1"/>
      <c r="BU336" s="1"/>
      <c r="BW336" s="1"/>
    </row>
    <row r="337" spans="35:75">
      <c r="AI337" s="1"/>
      <c r="AL337" s="1"/>
      <c r="AO337" s="1"/>
      <c r="AR337" s="1"/>
      <c r="AZ337" s="1"/>
      <c r="BC337" s="1"/>
      <c r="BF337" s="1"/>
      <c r="BI337" s="1"/>
      <c r="BP337" s="1"/>
      <c r="BS337" s="1"/>
      <c r="BU337" s="1"/>
      <c r="BW337" s="1"/>
    </row>
    <row r="338" spans="35:75">
      <c r="AI338" s="1"/>
      <c r="AL338" s="1"/>
      <c r="AO338" s="1"/>
      <c r="AR338" s="1"/>
      <c r="AZ338" s="1"/>
      <c r="BC338" s="1"/>
      <c r="BF338" s="1"/>
      <c r="BI338" s="1"/>
      <c r="BP338" s="1"/>
      <c r="BS338" s="1"/>
      <c r="BU338" s="1"/>
      <c r="BW338" s="1"/>
    </row>
    <row r="339" spans="35:75">
      <c r="AI339" s="1"/>
      <c r="AL339" s="1"/>
      <c r="AO339" s="1"/>
      <c r="AR339" s="1"/>
      <c r="AZ339" s="1"/>
      <c r="BC339" s="1"/>
      <c r="BF339" s="1"/>
      <c r="BI339" s="1"/>
      <c r="BP339" s="1"/>
      <c r="BS339" s="1"/>
      <c r="BU339" s="1"/>
      <c r="BW339" s="1"/>
    </row>
    <row r="340" spans="35:75">
      <c r="AI340" s="1"/>
      <c r="AL340" s="1"/>
      <c r="AO340" s="1"/>
      <c r="AR340" s="1"/>
      <c r="AZ340" s="1"/>
      <c r="BC340" s="1"/>
      <c r="BF340" s="1"/>
      <c r="BI340" s="1"/>
      <c r="BP340" s="1"/>
      <c r="BS340" s="1"/>
      <c r="BU340" s="1"/>
      <c r="BW340" s="1"/>
    </row>
    <row r="341" spans="35:75">
      <c r="AI341" s="1"/>
      <c r="AL341" s="1"/>
      <c r="AO341" s="1"/>
      <c r="AR341" s="1"/>
      <c r="AZ341" s="1"/>
      <c r="BC341" s="1"/>
      <c r="BF341" s="1"/>
      <c r="BI341" s="1"/>
      <c r="BP341" s="1"/>
      <c r="BS341" s="1"/>
      <c r="BU341" s="1"/>
      <c r="BW341" s="1"/>
    </row>
    <row r="342" spans="35:75">
      <c r="AI342" s="1"/>
      <c r="AL342" s="1"/>
      <c r="AO342" s="1"/>
      <c r="AR342" s="1"/>
      <c r="AZ342" s="1"/>
      <c r="BC342" s="1"/>
      <c r="BF342" s="1"/>
      <c r="BI342" s="1"/>
      <c r="BP342" s="1"/>
      <c r="BS342" s="1"/>
      <c r="BU342" s="1"/>
      <c r="BW342" s="1"/>
    </row>
    <row r="343" spans="35:75">
      <c r="AI343" s="1"/>
      <c r="AL343" s="1"/>
      <c r="AO343" s="1"/>
      <c r="AR343" s="1"/>
      <c r="AZ343" s="1"/>
      <c r="BC343" s="1"/>
      <c r="BF343" s="1"/>
      <c r="BI343" s="1"/>
      <c r="BP343" s="1"/>
      <c r="BS343" s="1"/>
      <c r="BU343" s="1"/>
      <c r="BW343" s="1"/>
    </row>
    <row r="344" spans="35:75">
      <c r="AI344" s="1"/>
      <c r="AL344" s="1"/>
      <c r="AO344" s="1"/>
      <c r="AR344" s="1"/>
      <c r="AZ344" s="1"/>
      <c r="BC344" s="1"/>
      <c r="BF344" s="1"/>
      <c r="BI344" s="1"/>
      <c r="BP344" s="1"/>
      <c r="BS344" s="1"/>
      <c r="BU344" s="1"/>
      <c r="BW344" s="1"/>
    </row>
    <row r="345" spans="35:75">
      <c r="AI345" s="1"/>
      <c r="AL345" s="1"/>
      <c r="AO345" s="1"/>
      <c r="AR345" s="1"/>
      <c r="AZ345" s="1"/>
      <c r="BC345" s="1"/>
      <c r="BF345" s="1"/>
      <c r="BI345" s="1"/>
      <c r="BP345" s="1"/>
      <c r="BS345" s="1"/>
      <c r="BU345" s="1"/>
      <c r="BW345" s="1"/>
    </row>
    <row r="346" spans="35:75">
      <c r="AI346" s="1"/>
      <c r="AL346" s="1"/>
      <c r="AO346" s="1"/>
      <c r="AR346" s="1"/>
      <c r="AZ346" s="1"/>
      <c r="BC346" s="1"/>
      <c r="BF346" s="1"/>
      <c r="BI346" s="1"/>
      <c r="BP346" s="1"/>
      <c r="BS346" s="1"/>
      <c r="BU346" s="1"/>
      <c r="BW346" s="1"/>
    </row>
    <row r="347" spans="35:75">
      <c r="AI347" s="1"/>
      <c r="AL347" s="1"/>
      <c r="AO347" s="1"/>
      <c r="AR347" s="1"/>
      <c r="AZ347" s="1"/>
      <c r="BC347" s="1"/>
      <c r="BF347" s="1"/>
      <c r="BI347" s="1"/>
      <c r="BP347" s="1"/>
      <c r="BS347" s="1"/>
      <c r="BU347" s="1"/>
      <c r="BW347" s="1"/>
    </row>
    <row r="348" spans="35:75">
      <c r="AI348" s="1"/>
      <c r="AL348" s="1"/>
      <c r="AO348" s="1"/>
      <c r="AR348" s="1"/>
      <c r="AZ348" s="1"/>
      <c r="BC348" s="1"/>
      <c r="BF348" s="1"/>
      <c r="BI348" s="1"/>
      <c r="BP348" s="1"/>
      <c r="BS348" s="1"/>
      <c r="BU348" s="1"/>
      <c r="BW348" s="1"/>
    </row>
    <row r="349" spans="35:75">
      <c r="AI349" s="1"/>
      <c r="AL349" s="1"/>
      <c r="AO349" s="1"/>
      <c r="AR349" s="1"/>
      <c r="AZ349" s="1"/>
      <c r="BC349" s="1"/>
      <c r="BF349" s="1"/>
      <c r="BI349" s="1"/>
      <c r="BP349" s="1"/>
      <c r="BS349" s="1"/>
      <c r="BU349" s="1"/>
      <c r="BW349" s="1"/>
    </row>
    <row r="350" spans="35:75">
      <c r="AI350" s="1"/>
      <c r="AL350" s="1"/>
      <c r="AO350" s="1"/>
      <c r="AR350" s="1"/>
      <c r="AZ350" s="1"/>
      <c r="BC350" s="1"/>
      <c r="BF350" s="1"/>
      <c r="BI350" s="1"/>
      <c r="BP350" s="1"/>
      <c r="BS350" s="1"/>
      <c r="BU350" s="1"/>
      <c r="BW350" s="1"/>
    </row>
    <row r="351" spans="35:75">
      <c r="AI351" s="1"/>
      <c r="AL351" s="1"/>
      <c r="AO351" s="1"/>
      <c r="AR351" s="1"/>
      <c r="AZ351" s="1"/>
      <c r="BC351" s="1"/>
      <c r="BF351" s="1"/>
      <c r="BI351" s="1"/>
      <c r="BP351" s="1"/>
      <c r="BS351" s="1"/>
      <c r="BU351" s="1"/>
      <c r="BW351" s="1"/>
    </row>
    <row r="352" spans="35:75">
      <c r="AI352" s="1"/>
      <c r="AL352" s="1"/>
      <c r="AO352" s="1"/>
      <c r="AR352" s="1"/>
      <c r="AZ352" s="1"/>
      <c r="BC352" s="1"/>
      <c r="BF352" s="1"/>
      <c r="BI352" s="1"/>
      <c r="BP352" s="1"/>
      <c r="BS352" s="1"/>
      <c r="BU352" s="1"/>
      <c r="BW352" s="1"/>
    </row>
    <row r="353" spans="35:75">
      <c r="AI353" s="1"/>
      <c r="AL353" s="1"/>
      <c r="AO353" s="1"/>
      <c r="AR353" s="1"/>
      <c r="AZ353" s="1"/>
      <c r="BC353" s="1"/>
      <c r="BF353" s="1"/>
      <c r="BI353" s="1"/>
      <c r="BP353" s="1"/>
      <c r="BS353" s="1"/>
      <c r="BU353" s="1"/>
      <c r="BW353" s="1"/>
    </row>
    <row r="354" spans="35:75">
      <c r="AI354" s="1"/>
      <c r="AL354" s="1"/>
      <c r="AO354" s="1"/>
      <c r="AR354" s="1"/>
      <c r="AZ354" s="1"/>
      <c r="BC354" s="1"/>
      <c r="BF354" s="1"/>
      <c r="BI354" s="1"/>
      <c r="BP354" s="1"/>
      <c r="BS354" s="1"/>
      <c r="BU354" s="1"/>
      <c r="BW354" s="1"/>
    </row>
    <row r="355" spans="35:75">
      <c r="AI355" s="1"/>
      <c r="AL355" s="1"/>
      <c r="AO355" s="1"/>
      <c r="AR355" s="1"/>
      <c r="AZ355" s="1"/>
      <c r="BC355" s="1"/>
      <c r="BF355" s="1"/>
      <c r="BI355" s="1"/>
      <c r="BP355" s="1"/>
      <c r="BS355" s="1"/>
      <c r="BU355" s="1"/>
      <c r="BW355" s="1"/>
    </row>
    <row r="356" spans="35:75">
      <c r="AI356" s="1"/>
      <c r="AL356" s="1"/>
      <c r="AO356" s="1"/>
      <c r="AR356" s="1"/>
      <c r="AZ356" s="1"/>
      <c r="BC356" s="1"/>
      <c r="BF356" s="1"/>
      <c r="BI356" s="1"/>
      <c r="BP356" s="1"/>
      <c r="BS356" s="1"/>
      <c r="BU356" s="1"/>
      <c r="BW356" s="1"/>
    </row>
    <row r="357" spans="35:75">
      <c r="AI357" s="1"/>
      <c r="AL357" s="1"/>
      <c r="AO357" s="1"/>
      <c r="AR357" s="1"/>
      <c r="AZ357" s="1"/>
      <c r="BC357" s="1"/>
      <c r="BF357" s="1"/>
      <c r="BI357" s="1"/>
      <c r="BP357" s="1"/>
      <c r="BS357" s="1"/>
      <c r="BU357" s="1"/>
      <c r="BW357" s="1"/>
    </row>
    <row r="358" spans="35:75">
      <c r="AI358" s="1"/>
      <c r="AL358" s="1"/>
      <c r="AO358" s="1"/>
      <c r="AR358" s="1"/>
      <c r="AZ358" s="1"/>
      <c r="BC358" s="1"/>
      <c r="BF358" s="1"/>
      <c r="BI358" s="1"/>
      <c r="BP358" s="1"/>
      <c r="BS358" s="1"/>
      <c r="BU358" s="1"/>
      <c r="BW358" s="1"/>
    </row>
    <row r="359" spans="35:75">
      <c r="AI359" s="1"/>
      <c r="AL359" s="1"/>
      <c r="AO359" s="1"/>
      <c r="AR359" s="1"/>
      <c r="AZ359" s="1"/>
      <c r="BC359" s="1"/>
      <c r="BF359" s="1"/>
      <c r="BI359" s="1"/>
      <c r="BP359" s="1"/>
      <c r="BS359" s="1"/>
      <c r="BU359" s="1"/>
      <c r="BW359" s="1"/>
    </row>
    <row r="360" spans="35:75">
      <c r="AI360" s="1"/>
      <c r="AL360" s="1"/>
      <c r="AO360" s="1"/>
      <c r="AR360" s="1"/>
      <c r="AZ360" s="1"/>
      <c r="BC360" s="1"/>
      <c r="BF360" s="1"/>
      <c r="BI360" s="1"/>
      <c r="BP360" s="1"/>
      <c r="BS360" s="1"/>
      <c r="BU360" s="1"/>
      <c r="BW360" s="1"/>
    </row>
    <row r="361" spans="35:75">
      <c r="AI361" s="1"/>
      <c r="AL361" s="1"/>
      <c r="AO361" s="1"/>
      <c r="AR361" s="1"/>
      <c r="AZ361" s="1"/>
      <c r="BC361" s="1"/>
      <c r="BF361" s="1"/>
      <c r="BI361" s="1"/>
      <c r="BP361" s="1"/>
      <c r="BS361" s="1"/>
      <c r="BU361" s="1"/>
      <c r="BW361" s="1"/>
    </row>
    <row r="362" spans="35:75">
      <c r="AI362" s="1"/>
      <c r="AL362" s="1"/>
      <c r="AO362" s="1"/>
      <c r="AR362" s="1"/>
      <c r="AZ362" s="1"/>
      <c r="BC362" s="1"/>
      <c r="BF362" s="1"/>
      <c r="BI362" s="1"/>
      <c r="BP362" s="1"/>
      <c r="BS362" s="1"/>
      <c r="BU362" s="1"/>
      <c r="BW362" s="1"/>
    </row>
    <row r="363" spans="35:75">
      <c r="AI363" s="1"/>
      <c r="AL363" s="1"/>
      <c r="AO363" s="1"/>
      <c r="AR363" s="1"/>
      <c r="AZ363" s="1"/>
      <c r="BC363" s="1"/>
      <c r="BF363" s="1"/>
      <c r="BI363" s="1"/>
      <c r="BP363" s="1"/>
      <c r="BS363" s="1"/>
      <c r="BU363" s="1"/>
      <c r="BW363" s="1"/>
    </row>
    <row r="364" spans="35:75">
      <c r="AI364" s="1"/>
      <c r="AL364" s="1"/>
      <c r="AO364" s="1"/>
      <c r="AR364" s="1"/>
      <c r="AZ364" s="1"/>
      <c r="BC364" s="1"/>
      <c r="BF364" s="1"/>
      <c r="BI364" s="1"/>
      <c r="BP364" s="1"/>
      <c r="BS364" s="1"/>
      <c r="BU364" s="1"/>
      <c r="BW364" s="1"/>
    </row>
    <row r="365" spans="35:75">
      <c r="AI365" s="1"/>
      <c r="AL365" s="1"/>
      <c r="AO365" s="1"/>
      <c r="AR365" s="1"/>
      <c r="AZ365" s="1"/>
      <c r="BC365" s="1"/>
      <c r="BF365" s="1"/>
      <c r="BI365" s="1"/>
      <c r="BP365" s="1"/>
      <c r="BS365" s="1"/>
      <c r="BU365" s="1"/>
      <c r="BW365" s="1"/>
    </row>
    <row r="366" spans="35:75">
      <c r="AI366" s="1"/>
      <c r="AL366" s="1"/>
      <c r="AO366" s="1"/>
      <c r="AR366" s="1"/>
      <c r="AZ366" s="1"/>
      <c r="BC366" s="1"/>
      <c r="BF366" s="1"/>
      <c r="BI366" s="1"/>
      <c r="BP366" s="1"/>
      <c r="BS366" s="1"/>
      <c r="BU366" s="1"/>
      <c r="BW366" s="1"/>
    </row>
    <row r="367" spans="35:75">
      <c r="AI367" s="1"/>
      <c r="AL367" s="1"/>
      <c r="AO367" s="1"/>
      <c r="AR367" s="1"/>
      <c r="AZ367" s="1"/>
      <c r="BC367" s="1"/>
      <c r="BF367" s="1"/>
      <c r="BI367" s="1"/>
      <c r="BP367" s="1"/>
      <c r="BS367" s="1"/>
      <c r="BU367" s="1"/>
      <c r="BW367" s="1"/>
    </row>
    <row r="368" spans="35:75">
      <c r="AI368" s="1"/>
      <c r="AL368" s="1"/>
      <c r="AO368" s="1"/>
      <c r="AR368" s="1"/>
      <c r="AZ368" s="1"/>
      <c r="BC368" s="1"/>
      <c r="BF368" s="1"/>
      <c r="BI368" s="1"/>
      <c r="BP368" s="1"/>
      <c r="BS368" s="1"/>
      <c r="BU368" s="1"/>
      <c r="BW368" s="1"/>
    </row>
    <row r="369" spans="35:75">
      <c r="AI369" s="1"/>
      <c r="AL369" s="1"/>
      <c r="AO369" s="1"/>
      <c r="AR369" s="1"/>
      <c r="AZ369" s="1"/>
      <c r="BC369" s="1"/>
      <c r="BF369" s="1"/>
      <c r="BI369" s="1"/>
      <c r="BP369" s="1"/>
      <c r="BS369" s="1"/>
      <c r="BU369" s="1"/>
      <c r="BW369" s="1"/>
    </row>
    <row r="370" spans="35:75">
      <c r="AI370" s="1"/>
      <c r="AL370" s="1"/>
      <c r="AO370" s="1"/>
      <c r="AR370" s="1"/>
      <c r="AZ370" s="1"/>
      <c r="BC370" s="1"/>
      <c r="BF370" s="1"/>
      <c r="BI370" s="1"/>
      <c r="BP370" s="1"/>
      <c r="BS370" s="1"/>
      <c r="BU370" s="1"/>
      <c r="BW370" s="1"/>
    </row>
    <row r="371" spans="35:75">
      <c r="AI371" s="1"/>
      <c r="AL371" s="1"/>
      <c r="AO371" s="1"/>
      <c r="AR371" s="1"/>
      <c r="AZ371" s="1"/>
      <c r="BC371" s="1"/>
      <c r="BF371" s="1"/>
      <c r="BI371" s="1"/>
      <c r="BP371" s="1"/>
      <c r="BS371" s="1"/>
      <c r="BU371" s="1"/>
      <c r="BW371" s="1"/>
    </row>
    <row r="372" spans="35:75">
      <c r="AI372" s="1"/>
      <c r="AL372" s="1"/>
      <c r="AO372" s="1"/>
      <c r="AR372" s="1"/>
      <c r="AZ372" s="1"/>
      <c r="BC372" s="1"/>
      <c r="BF372" s="1"/>
      <c r="BI372" s="1"/>
      <c r="BP372" s="1"/>
      <c r="BS372" s="1"/>
      <c r="BU372" s="1"/>
      <c r="BW372" s="1"/>
    </row>
    <row r="373" spans="35:75">
      <c r="AI373" s="1"/>
      <c r="AL373" s="1"/>
      <c r="AO373" s="1"/>
      <c r="AR373" s="1"/>
      <c r="AZ373" s="1"/>
      <c r="BC373" s="1"/>
      <c r="BF373" s="1"/>
      <c r="BI373" s="1"/>
      <c r="BP373" s="1"/>
      <c r="BS373" s="1"/>
      <c r="BU373" s="1"/>
      <c r="BW373" s="1"/>
    </row>
    <row r="374" spans="35:75">
      <c r="AI374" s="1"/>
      <c r="AL374" s="1"/>
      <c r="AO374" s="1"/>
      <c r="AR374" s="1"/>
      <c r="AZ374" s="1"/>
      <c r="BC374" s="1"/>
      <c r="BF374" s="1"/>
      <c r="BI374" s="1"/>
      <c r="BP374" s="1"/>
      <c r="BS374" s="1"/>
      <c r="BU374" s="1"/>
      <c r="BW374" s="1"/>
    </row>
    <row r="375" spans="35:75">
      <c r="AI375" s="1"/>
      <c r="AL375" s="1"/>
      <c r="AO375" s="1"/>
      <c r="AR375" s="1"/>
      <c r="AZ375" s="1"/>
      <c r="BC375" s="1"/>
      <c r="BF375" s="1"/>
      <c r="BI375" s="1"/>
      <c r="BP375" s="1"/>
      <c r="BS375" s="1"/>
      <c r="BU375" s="1"/>
      <c r="BW375" s="1"/>
    </row>
    <row r="376" spans="35:75">
      <c r="AI376" s="1"/>
      <c r="AL376" s="1"/>
      <c r="AO376" s="1"/>
      <c r="AR376" s="1"/>
      <c r="AZ376" s="1"/>
      <c r="BC376" s="1"/>
      <c r="BF376" s="1"/>
      <c r="BI376" s="1"/>
      <c r="BP376" s="1"/>
      <c r="BS376" s="1"/>
      <c r="BU376" s="1"/>
      <c r="BW376" s="1"/>
    </row>
    <row r="377" spans="35:75">
      <c r="AI377" s="1"/>
      <c r="AL377" s="1"/>
      <c r="AO377" s="1"/>
      <c r="AR377" s="1"/>
      <c r="AZ377" s="1"/>
      <c r="BC377" s="1"/>
      <c r="BF377" s="1"/>
      <c r="BI377" s="1"/>
      <c r="BP377" s="1"/>
      <c r="BS377" s="1"/>
      <c r="BU377" s="1"/>
      <c r="BW377" s="1"/>
    </row>
    <row r="378" spans="35:75">
      <c r="AI378" s="1"/>
      <c r="AL378" s="1"/>
      <c r="AO378" s="1"/>
      <c r="AR378" s="1"/>
      <c r="AZ378" s="1"/>
      <c r="BC378" s="1"/>
      <c r="BF378" s="1"/>
      <c r="BI378" s="1"/>
      <c r="BP378" s="1"/>
      <c r="BS378" s="1"/>
      <c r="BU378" s="1"/>
      <c r="BW378" s="1"/>
    </row>
    <row r="379" spans="35:75">
      <c r="AI379" s="1"/>
      <c r="AL379" s="1"/>
      <c r="AO379" s="1"/>
      <c r="AR379" s="1"/>
      <c r="AZ379" s="1"/>
      <c r="BC379" s="1"/>
      <c r="BF379" s="1"/>
      <c r="BI379" s="1"/>
      <c r="BP379" s="1"/>
      <c r="BS379" s="1"/>
      <c r="BU379" s="1"/>
      <c r="BW379" s="1"/>
    </row>
    <row r="380" spans="35:75">
      <c r="AI380" s="1"/>
      <c r="AL380" s="1"/>
      <c r="AO380" s="1"/>
      <c r="AR380" s="1"/>
      <c r="AZ380" s="1"/>
      <c r="BC380" s="1"/>
      <c r="BF380" s="1"/>
      <c r="BI380" s="1"/>
      <c r="BP380" s="1"/>
      <c r="BS380" s="1"/>
      <c r="BU380" s="1"/>
      <c r="BW380" s="1"/>
    </row>
    <row r="381" spans="35:75">
      <c r="AI381" s="1"/>
      <c r="AL381" s="1"/>
      <c r="AO381" s="1"/>
      <c r="AR381" s="1"/>
      <c r="AZ381" s="1"/>
      <c r="BC381" s="1"/>
      <c r="BF381" s="1"/>
      <c r="BI381" s="1"/>
      <c r="BP381" s="1"/>
      <c r="BS381" s="1"/>
      <c r="BU381" s="1"/>
      <c r="BW381" s="1"/>
    </row>
    <row r="382" spans="35:75">
      <c r="AI382" s="1"/>
      <c r="AL382" s="1"/>
      <c r="AO382" s="1"/>
      <c r="AR382" s="1"/>
      <c r="AZ382" s="1"/>
      <c r="BC382" s="1"/>
      <c r="BF382" s="1"/>
      <c r="BI382" s="1"/>
      <c r="BP382" s="1"/>
      <c r="BS382" s="1"/>
      <c r="BU382" s="1"/>
      <c r="BW382" s="1"/>
    </row>
    <row r="383" spans="35:75">
      <c r="AI383" s="1"/>
      <c r="AL383" s="1"/>
      <c r="AO383" s="1"/>
      <c r="AR383" s="1"/>
      <c r="AZ383" s="1"/>
      <c r="BC383" s="1"/>
      <c r="BF383" s="1"/>
      <c r="BI383" s="1"/>
      <c r="BP383" s="1"/>
      <c r="BS383" s="1"/>
      <c r="BU383" s="1"/>
      <c r="BW383" s="1"/>
    </row>
    <row r="384" spans="35:75">
      <c r="AI384" s="1"/>
      <c r="AL384" s="1"/>
      <c r="AO384" s="1"/>
      <c r="AR384" s="1"/>
      <c r="AZ384" s="1"/>
      <c r="BC384" s="1"/>
      <c r="BF384" s="1"/>
      <c r="BI384" s="1"/>
      <c r="BP384" s="1"/>
      <c r="BS384" s="1"/>
      <c r="BU384" s="1"/>
      <c r="BW384" s="1"/>
    </row>
    <row r="385" spans="35:75">
      <c r="AI385" s="1"/>
      <c r="AL385" s="1"/>
      <c r="AO385" s="1"/>
      <c r="AR385" s="1"/>
      <c r="AZ385" s="1"/>
      <c r="BC385" s="1"/>
      <c r="BF385" s="1"/>
      <c r="BI385" s="1"/>
      <c r="BP385" s="1"/>
      <c r="BS385" s="1"/>
      <c r="BU385" s="1"/>
      <c r="BW385" s="1"/>
    </row>
    <row r="386" spans="35:75">
      <c r="AI386" s="1"/>
      <c r="AL386" s="1"/>
      <c r="AO386" s="1"/>
      <c r="AR386" s="1"/>
      <c r="AZ386" s="1"/>
      <c r="BC386" s="1"/>
      <c r="BF386" s="1"/>
      <c r="BI386" s="1"/>
      <c r="BP386" s="1"/>
      <c r="BS386" s="1"/>
      <c r="BU386" s="1"/>
      <c r="BW386" s="1"/>
    </row>
    <row r="387" spans="35:75">
      <c r="AI387" s="1"/>
      <c r="AL387" s="1"/>
      <c r="AO387" s="1"/>
      <c r="AR387" s="1"/>
      <c r="AZ387" s="1"/>
      <c r="BC387" s="1"/>
      <c r="BF387" s="1"/>
      <c r="BI387" s="1"/>
      <c r="BP387" s="1"/>
      <c r="BS387" s="1"/>
      <c r="BU387" s="1"/>
      <c r="BW387" s="1"/>
    </row>
    <row r="388" spans="35:75">
      <c r="AI388" s="1"/>
      <c r="AL388" s="1"/>
      <c r="AO388" s="1"/>
      <c r="AR388" s="1"/>
      <c r="AZ388" s="1"/>
      <c r="BC388" s="1"/>
      <c r="BF388" s="1"/>
      <c r="BI388" s="1"/>
      <c r="BP388" s="1"/>
      <c r="BS388" s="1"/>
      <c r="BU388" s="1"/>
      <c r="BW388" s="1"/>
    </row>
    <row r="389" spans="35:75">
      <c r="AI389" s="1"/>
      <c r="AL389" s="1"/>
      <c r="AO389" s="1"/>
      <c r="AR389" s="1"/>
      <c r="AZ389" s="1"/>
      <c r="BC389" s="1"/>
      <c r="BF389" s="1"/>
      <c r="BI389" s="1"/>
      <c r="BP389" s="1"/>
      <c r="BS389" s="1"/>
      <c r="BU389" s="1"/>
      <c r="BW389" s="1"/>
    </row>
    <row r="390" spans="35:75">
      <c r="AI390" s="1"/>
      <c r="AL390" s="1"/>
      <c r="AO390" s="1"/>
      <c r="AR390" s="1"/>
      <c r="AZ390" s="1"/>
      <c r="BC390" s="1"/>
      <c r="BF390" s="1"/>
      <c r="BI390" s="1"/>
      <c r="BP390" s="1"/>
      <c r="BS390" s="1"/>
      <c r="BU390" s="1"/>
      <c r="BW390" s="1"/>
    </row>
    <row r="391" spans="35:75">
      <c r="AI391" s="1"/>
      <c r="AL391" s="1"/>
      <c r="AO391" s="1"/>
      <c r="AR391" s="1"/>
      <c r="AZ391" s="1"/>
      <c r="BC391" s="1"/>
      <c r="BF391" s="1"/>
      <c r="BI391" s="1"/>
      <c r="BP391" s="1"/>
      <c r="BS391" s="1"/>
      <c r="BU391" s="1"/>
      <c r="BW391" s="1"/>
    </row>
    <row r="392" spans="35:75">
      <c r="AI392" s="1"/>
      <c r="AL392" s="1"/>
      <c r="AO392" s="1"/>
      <c r="AR392" s="1"/>
      <c r="AZ392" s="1"/>
      <c r="BC392" s="1"/>
      <c r="BF392" s="1"/>
      <c r="BI392" s="1"/>
      <c r="BP392" s="1"/>
      <c r="BS392" s="1"/>
      <c r="BU392" s="1"/>
      <c r="BW392" s="1"/>
    </row>
    <row r="393" spans="35:75">
      <c r="AI393" s="1"/>
      <c r="AL393" s="1"/>
      <c r="AO393" s="1"/>
      <c r="AR393" s="1"/>
      <c r="AZ393" s="1"/>
      <c r="BC393" s="1"/>
      <c r="BF393" s="1"/>
      <c r="BI393" s="1"/>
      <c r="BP393" s="1"/>
      <c r="BS393" s="1"/>
      <c r="BU393" s="1"/>
      <c r="BW393" s="1"/>
    </row>
    <row r="394" spans="35:75">
      <c r="AI394" s="1"/>
      <c r="AL394" s="1"/>
      <c r="AO394" s="1"/>
      <c r="AR394" s="1"/>
      <c r="AZ394" s="1"/>
      <c r="BC394" s="1"/>
      <c r="BF394" s="1"/>
      <c r="BI394" s="1"/>
      <c r="BP394" s="1"/>
      <c r="BS394" s="1"/>
      <c r="BU394" s="1"/>
      <c r="BW394" s="1"/>
    </row>
    <row r="395" spans="35:75">
      <c r="AI395" s="1"/>
      <c r="AL395" s="1"/>
      <c r="AO395" s="1"/>
      <c r="AR395" s="1"/>
      <c r="AZ395" s="1"/>
      <c r="BC395" s="1"/>
      <c r="BF395" s="1"/>
      <c r="BI395" s="1"/>
      <c r="BP395" s="1"/>
      <c r="BS395" s="1"/>
      <c r="BU395" s="1"/>
      <c r="BW395" s="1"/>
    </row>
    <row r="396" spans="35:75">
      <c r="AI396" s="1"/>
      <c r="AL396" s="1"/>
      <c r="AO396" s="1"/>
      <c r="AR396" s="1"/>
      <c r="AZ396" s="1"/>
      <c r="BC396" s="1"/>
      <c r="BF396" s="1"/>
      <c r="BI396" s="1"/>
      <c r="BP396" s="1"/>
      <c r="BS396" s="1"/>
      <c r="BU396" s="1"/>
      <c r="BW396" s="1"/>
    </row>
    <row r="397" spans="35:75">
      <c r="AI397" s="1"/>
      <c r="AL397" s="1"/>
      <c r="AO397" s="1"/>
      <c r="AR397" s="1"/>
      <c r="AZ397" s="1"/>
      <c r="BC397" s="1"/>
      <c r="BF397" s="1"/>
      <c r="BI397" s="1"/>
      <c r="BP397" s="1"/>
      <c r="BS397" s="1"/>
      <c r="BU397" s="1"/>
      <c r="BW397" s="1"/>
    </row>
    <row r="398" spans="35:75">
      <c r="AI398" s="1"/>
      <c r="AL398" s="1"/>
      <c r="AO398" s="1"/>
      <c r="AR398" s="1"/>
      <c r="AZ398" s="1"/>
      <c r="BC398" s="1"/>
      <c r="BF398" s="1"/>
      <c r="BI398" s="1"/>
      <c r="BP398" s="1"/>
      <c r="BS398" s="1"/>
      <c r="BU398" s="1"/>
      <c r="BW398" s="1"/>
    </row>
    <row r="399" spans="35:75">
      <c r="AI399" s="1"/>
      <c r="AL399" s="1"/>
      <c r="AO399" s="1"/>
      <c r="AR399" s="1"/>
      <c r="AZ399" s="1"/>
      <c r="BC399" s="1"/>
      <c r="BF399" s="1"/>
      <c r="BI399" s="1"/>
      <c r="BP399" s="1"/>
      <c r="BS399" s="1"/>
      <c r="BU399" s="1"/>
      <c r="BW399" s="1"/>
    </row>
    <row r="400" spans="35:75">
      <c r="AI400" s="1"/>
      <c r="AL400" s="1"/>
      <c r="AO400" s="1"/>
      <c r="AR400" s="1"/>
      <c r="AZ400" s="1"/>
      <c r="BC400" s="1"/>
      <c r="BF400" s="1"/>
      <c r="BI400" s="1"/>
      <c r="BP400" s="1"/>
      <c r="BS400" s="1"/>
      <c r="BU400" s="1"/>
      <c r="BW400" s="1"/>
    </row>
    <row r="401" spans="35:75">
      <c r="AI401" s="1"/>
      <c r="AL401" s="1"/>
      <c r="AO401" s="1"/>
      <c r="AR401" s="1"/>
      <c r="AZ401" s="1"/>
      <c r="BC401" s="1"/>
      <c r="BF401" s="1"/>
      <c r="BI401" s="1"/>
      <c r="BP401" s="1"/>
      <c r="BS401" s="1"/>
      <c r="BU401" s="1"/>
      <c r="BW401" s="1"/>
    </row>
    <row r="402" spans="35:75">
      <c r="AI402" s="1"/>
      <c r="AL402" s="1"/>
      <c r="AO402" s="1"/>
      <c r="AR402" s="1"/>
      <c r="AZ402" s="1"/>
      <c r="BC402" s="1"/>
      <c r="BF402" s="1"/>
      <c r="BI402" s="1"/>
      <c r="BP402" s="1"/>
      <c r="BS402" s="1"/>
      <c r="BU402" s="1"/>
      <c r="BW402" s="1"/>
    </row>
    <row r="403" spans="35:75">
      <c r="AI403" s="1"/>
      <c r="AL403" s="1"/>
      <c r="AO403" s="1"/>
      <c r="AR403" s="1"/>
      <c r="AZ403" s="1"/>
      <c r="BC403" s="1"/>
      <c r="BF403" s="1"/>
      <c r="BI403" s="1"/>
      <c r="BP403" s="1"/>
      <c r="BS403" s="1"/>
      <c r="BU403" s="1"/>
      <c r="BW403" s="1"/>
    </row>
    <row r="404" spans="35:75">
      <c r="AI404" s="1"/>
      <c r="AL404" s="1"/>
      <c r="AO404" s="1"/>
      <c r="AR404" s="1"/>
      <c r="AZ404" s="1"/>
      <c r="BC404" s="1"/>
      <c r="BF404" s="1"/>
      <c r="BI404" s="1"/>
      <c r="BP404" s="1"/>
      <c r="BS404" s="1"/>
      <c r="BU404" s="1"/>
      <c r="BW404" s="1"/>
    </row>
    <row r="405" spans="35:75">
      <c r="AI405" s="1"/>
      <c r="AL405" s="1"/>
      <c r="AO405" s="1"/>
      <c r="AR405" s="1"/>
      <c r="AZ405" s="1"/>
      <c r="BC405" s="1"/>
      <c r="BF405" s="1"/>
      <c r="BI405" s="1"/>
      <c r="BP405" s="1"/>
      <c r="BS405" s="1"/>
      <c r="BU405" s="1"/>
      <c r="BW405" s="1"/>
    </row>
    <row r="406" spans="35:75">
      <c r="AI406" s="1"/>
      <c r="AL406" s="1"/>
      <c r="AO406" s="1"/>
      <c r="AR406" s="1"/>
      <c r="AZ406" s="1"/>
      <c r="BC406" s="1"/>
      <c r="BF406" s="1"/>
      <c r="BI406" s="1"/>
      <c r="BP406" s="1"/>
      <c r="BS406" s="1"/>
      <c r="BU406" s="1"/>
      <c r="BW406" s="1"/>
    </row>
    <row r="407" spans="35:75">
      <c r="AI407" s="1"/>
      <c r="AL407" s="1"/>
      <c r="AO407" s="1"/>
      <c r="AR407" s="1"/>
      <c r="AZ407" s="1"/>
      <c r="BC407" s="1"/>
      <c r="BF407" s="1"/>
      <c r="BI407" s="1"/>
      <c r="BP407" s="1"/>
      <c r="BS407" s="1"/>
      <c r="BU407" s="1"/>
      <c r="BW407" s="1"/>
    </row>
    <row r="408" spans="35:75">
      <c r="AI408" s="1"/>
      <c r="AL408" s="1"/>
      <c r="AO408" s="1"/>
      <c r="AR408" s="1"/>
      <c r="AZ408" s="1"/>
      <c r="BC408" s="1"/>
      <c r="BF408" s="1"/>
      <c r="BI408" s="1"/>
      <c r="BP408" s="1"/>
      <c r="BS408" s="1"/>
      <c r="BU408" s="1"/>
      <c r="BW408" s="1"/>
    </row>
    <row r="409" spans="35:75">
      <c r="AI409" s="1"/>
      <c r="AL409" s="1"/>
      <c r="AO409" s="1"/>
      <c r="AR409" s="1"/>
      <c r="AZ409" s="1"/>
      <c r="BC409" s="1"/>
      <c r="BF409" s="1"/>
      <c r="BI409" s="1"/>
      <c r="BP409" s="1"/>
      <c r="BS409" s="1"/>
      <c r="BU409" s="1"/>
      <c r="BW409" s="1"/>
    </row>
    <row r="410" spans="35:75">
      <c r="AI410" s="1"/>
      <c r="AL410" s="1"/>
      <c r="AO410" s="1"/>
      <c r="AR410" s="1"/>
      <c r="AZ410" s="1"/>
      <c r="BC410" s="1"/>
      <c r="BF410" s="1"/>
      <c r="BI410" s="1"/>
      <c r="BP410" s="1"/>
      <c r="BS410" s="1"/>
      <c r="BU410" s="1"/>
      <c r="BW410" s="1"/>
    </row>
    <row r="411" spans="35:75">
      <c r="AI411" s="1"/>
      <c r="AL411" s="1"/>
      <c r="AO411" s="1"/>
      <c r="AR411" s="1"/>
      <c r="AZ411" s="1"/>
      <c r="BC411" s="1"/>
      <c r="BF411" s="1"/>
      <c r="BI411" s="1"/>
      <c r="BP411" s="1"/>
      <c r="BS411" s="1"/>
      <c r="BU411" s="1"/>
      <c r="BW411" s="1"/>
    </row>
    <row r="412" spans="35:75">
      <c r="AI412" s="1"/>
      <c r="AL412" s="1"/>
      <c r="AO412" s="1"/>
      <c r="AR412" s="1"/>
      <c r="AZ412" s="1"/>
      <c r="BC412" s="1"/>
      <c r="BF412" s="1"/>
      <c r="BI412" s="1"/>
      <c r="BP412" s="1"/>
      <c r="BS412" s="1"/>
      <c r="BU412" s="1"/>
      <c r="BW412" s="1"/>
    </row>
    <row r="413" spans="35:75">
      <c r="AI413" s="1"/>
      <c r="AL413" s="1"/>
      <c r="AO413" s="1"/>
      <c r="AR413" s="1"/>
      <c r="AZ413" s="1"/>
      <c r="BC413" s="1"/>
      <c r="BF413" s="1"/>
      <c r="BI413" s="1"/>
      <c r="BP413" s="1"/>
      <c r="BS413" s="1"/>
      <c r="BU413" s="1"/>
      <c r="BW413" s="1"/>
    </row>
    <row r="414" spans="35:75">
      <c r="AI414" s="1"/>
      <c r="AL414" s="1"/>
      <c r="AO414" s="1"/>
      <c r="AR414" s="1"/>
      <c r="AZ414" s="1"/>
      <c r="BC414" s="1"/>
      <c r="BF414" s="1"/>
      <c r="BI414" s="1"/>
      <c r="BP414" s="1"/>
      <c r="BS414" s="1"/>
      <c r="BU414" s="1"/>
      <c r="BW414" s="1"/>
    </row>
    <row r="415" spans="35:75">
      <c r="AI415" s="1"/>
      <c r="AL415" s="1"/>
      <c r="AO415" s="1"/>
      <c r="AR415" s="1"/>
      <c r="AZ415" s="1"/>
      <c r="BC415" s="1"/>
      <c r="BF415" s="1"/>
      <c r="BI415" s="1"/>
      <c r="BP415" s="1"/>
      <c r="BS415" s="1"/>
      <c r="BU415" s="1"/>
      <c r="BW415" s="1"/>
    </row>
    <row r="416" spans="35:75">
      <c r="AI416" s="1"/>
      <c r="AL416" s="1"/>
      <c r="AO416" s="1"/>
      <c r="AR416" s="1"/>
      <c r="AZ416" s="1"/>
      <c r="BC416" s="1"/>
      <c r="BF416" s="1"/>
      <c r="BI416" s="1"/>
      <c r="BP416" s="1"/>
      <c r="BS416" s="1"/>
      <c r="BU416" s="1"/>
      <c r="BW416" s="1"/>
    </row>
    <row r="417" spans="35:75">
      <c r="AI417" s="1"/>
      <c r="AL417" s="1"/>
      <c r="AO417" s="1"/>
      <c r="AR417" s="1"/>
      <c r="AZ417" s="1"/>
      <c r="BC417" s="1"/>
      <c r="BF417" s="1"/>
      <c r="BI417" s="1"/>
      <c r="BP417" s="1"/>
      <c r="BS417" s="1"/>
      <c r="BU417" s="1"/>
      <c r="BW417" s="1"/>
    </row>
    <row r="418" spans="35:75">
      <c r="AI418" s="1"/>
      <c r="AL418" s="1"/>
      <c r="AO418" s="1"/>
      <c r="AR418" s="1"/>
      <c r="AZ418" s="1"/>
      <c r="BC418" s="1"/>
      <c r="BF418" s="1"/>
      <c r="BI418" s="1"/>
      <c r="BP418" s="1"/>
      <c r="BS418" s="1"/>
      <c r="BU418" s="1"/>
      <c r="BW418" s="1"/>
    </row>
    <row r="419" spans="35:75">
      <c r="AI419" s="1"/>
      <c r="AL419" s="1"/>
      <c r="AO419" s="1"/>
      <c r="AR419" s="1"/>
      <c r="AZ419" s="1"/>
      <c r="BC419" s="1"/>
      <c r="BF419" s="1"/>
      <c r="BI419" s="1"/>
      <c r="BP419" s="1"/>
      <c r="BS419" s="1"/>
      <c r="BU419" s="1"/>
      <c r="BW419" s="1"/>
    </row>
    <row r="420" spans="35:75">
      <c r="AI420" s="1"/>
      <c r="AL420" s="1"/>
      <c r="AO420" s="1"/>
      <c r="AR420" s="1"/>
      <c r="AZ420" s="1"/>
      <c r="BC420" s="1"/>
      <c r="BF420" s="1"/>
      <c r="BI420" s="1"/>
      <c r="BP420" s="1"/>
      <c r="BS420" s="1"/>
      <c r="BU420" s="1"/>
      <c r="BW420" s="1"/>
    </row>
    <row r="421" spans="35:75">
      <c r="AI421" s="1"/>
      <c r="AL421" s="1"/>
      <c r="AO421" s="1"/>
      <c r="AR421" s="1"/>
      <c r="AZ421" s="1"/>
      <c r="BC421" s="1"/>
      <c r="BF421" s="1"/>
      <c r="BI421" s="1"/>
      <c r="BP421" s="1"/>
      <c r="BS421" s="1"/>
      <c r="BU421" s="1"/>
      <c r="BW421" s="1"/>
    </row>
    <row r="422" spans="35:75">
      <c r="AI422" s="1"/>
      <c r="AL422" s="1"/>
      <c r="AO422" s="1"/>
      <c r="AR422" s="1"/>
      <c r="AZ422" s="1"/>
      <c r="BC422" s="1"/>
      <c r="BF422" s="1"/>
      <c r="BI422" s="1"/>
      <c r="BP422" s="1"/>
      <c r="BS422" s="1"/>
      <c r="BU422" s="1"/>
      <c r="BW422" s="1"/>
    </row>
    <row r="423" spans="35:75">
      <c r="AI423" s="1"/>
      <c r="AL423" s="1"/>
      <c r="AO423" s="1"/>
      <c r="AR423" s="1"/>
      <c r="AZ423" s="1"/>
      <c r="BC423" s="1"/>
      <c r="BF423" s="1"/>
      <c r="BI423" s="1"/>
      <c r="BP423" s="1"/>
      <c r="BS423" s="1"/>
      <c r="BU423" s="1"/>
      <c r="BW423" s="1"/>
    </row>
    <row r="424" spans="35:75">
      <c r="AI424" s="1"/>
      <c r="AL424" s="1"/>
      <c r="AO424" s="1"/>
      <c r="AR424" s="1"/>
      <c r="AZ424" s="1"/>
      <c r="BC424" s="1"/>
      <c r="BF424" s="1"/>
      <c r="BI424" s="1"/>
      <c r="BP424" s="1"/>
      <c r="BS424" s="1"/>
      <c r="BU424" s="1"/>
      <c r="BW424" s="1"/>
    </row>
    <row r="425" spans="35:75">
      <c r="AI425" s="1"/>
      <c r="AL425" s="1"/>
      <c r="AO425" s="1"/>
      <c r="AR425" s="1"/>
      <c r="AZ425" s="1"/>
      <c r="BC425" s="1"/>
      <c r="BF425" s="1"/>
      <c r="BI425" s="1"/>
      <c r="BP425" s="1"/>
      <c r="BS425" s="1"/>
      <c r="BU425" s="1"/>
      <c r="BW425" s="1"/>
    </row>
    <row r="426" spans="35:75">
      <c r="AI426" s="1"/>
      <c r="AL426" s="1"/>
      <c r="AO426" s="1"/>
      <c r="AR426" s="1"/>
      <c r="AZ426" s="1"/>
      <c r="BC426" s="1"/>
      <c r="BF426" s="1"/>
      <c r="BI426" s="1"/>
      <c r="BP426" s="1"/>
      <c r="BS426" s="1"/>
      <c r="BU426" s="1"/>
      <c r="BW426" s="1"/>
    </row>
    <row r="427" spans="35:75">
      <c r="AI427" s="1"/>
      <c r="AL427" s="1"/>
      <c r="AO427" s="1"/>
      <c r="AR427" s="1"/>
      <c r="AZ427" s="1"/>
      <c r="BC427" s="1"/>
      <c r="BF427" s="1"/>
      <c r="BI427" s="1"/>
      <c r="BP427" s="1"/>
      <c r="BS427" s="1"/>
      <c r="BU427" s="1"/>
      <c r="BW427" s="1"/>
    </row>
    <row r="428" spans="35:75">
      <c r="AI428" s="1"/>
      <c r="AL428" s="1"/>
      <c r="AO428" s="1"/>
      <c r="AR428" s="1"/>
      <c r="AZ428" s="1"/>
      <c r="BC428" s="1"/>
      <c r="BF428" s="1"/>
      <c r="BI428" s="1"/>
      <c r="BP428" s="1"/>
      <c r="BS428" s="1"/>
      <c r="BU428" s="1"/>
      <c r="BW428" s="1"/>
    </row>
    <row r="429" spans="35:75">
      <c r="AI429" s="1"/>
      <c r="AL429" s="1"/>
      <c r="AO429" s="1"/>
      <c r="AR429" s="1"/>
      <c r="AZ429" s="1"/>
      <c r="BC429" s="1"/>
      <c r="BF429" s="1"/>
      <c r="BI429" s="1"/>
      <c r="BP429" s="1"/>
      <c r="BS429" s="1"/>
      <c r="BU429" s="1"/>
      <c r="BW429" s="1"/>
    </row>
    <row r="430" spans="35:75">
      <c r="AI430" s="1"/>
      <c r="AL430" s="1"/>
      <c r="AO430" s="1"/>
      <c r="AR430" s="1"/>
      <c r="AZ430" s="1"/>
      <c r="BC430" s="1"/>
      <c r="BF430" s="1"/>
      <c r="BI430" s="1"/>
      <c r="BP430" s="1"/>
      <c r="BS430" s="1"/>
      <c r="BU430" s="1"/>
      <c r="BW430" s="1"/>
    </row>
    <row r="431" spans="35:75">
      <c r="AI431" s="1"/>
      <c r="AL431" s="1"/>
      <c r="AO431" s="1"/>
      <c r="AR431" s="1"/>
      <c r="AZ431" s="1"/>
      <c r="BC431" s="1"/>
      <c r="BF431" s="1"/>
      <c r="BI431" s="1"/>
      <c r="BP431" s="1"/>
      <c r="BS431" s="1"/>
      <c r="BU431" s="1"/>
      <c r="BW431" s="1"/>
    </row>
    <row r="432" spans="35:75">
      <c r="AI432" s="1"/>
      <c r="AL432" s="1"/>
      <c r="AO432" s="1"/>
      <c r="AR432" s="1"/>
      <c r="AZ432" s="1"/>
      <c r="BC432" s="1"/>
      <c r="BF432" s="1"/>
      <c r="BI432" s="1"/>
      <c r="BP432" s="1"/>
      <c r="BS432" s="1"/>
      <c r="BU432" s="1"/>
      <c r="BW432" s="1"/>
    </row>
    <row r="433" spans="35:75">
      <c r="AI433" s="1"/>
      <c r="AL433" s="1"/>
      <c r="AO433" s="1"/>
      <c r="AR433" s="1"/>
      <c r="AZ433" s="1"/>
      <c r="BC433" s="1"/>
      <c r="BF433" s="1"/>
      <c r="BI433" s="1"/>
      <c r="BP433" s="1"/>
      <c r="BS433" s="1"/>
      <c r="BU433" s="1"/>
      <c r="BW433" s="1"/>
    </row>
    <row r="434" spans="35:75">
      <c r="AI434" s="1"/>
      <c r="AL434" s="1"/>
      <c r="AO434" s="1"/>
      <c r="AR434" s="1"/>
      <c r="AZ434" s="1"/>
      <c r="BC434" s="1"/>
      <c r="BF434" s="1"/>
      <c r="BI434" s="1"/>
      <c r="BP434" s="1"/>
      <c r="BS434" s="1"/>
      <c r="BU434" s="1"/>
      <c r="BW434" s="1"/>
    </row>
    <row r="435" spans="35:75">
      <c r="AI435" s="1"/>
      <c r="AL435" s="1"/>
      <c r="AO435" s="1"/>
      <c r="AR435" s="1"/>
      <c r="AZ435" s="1"/>
      <c r="BC435" s="1"/>
      <c r="BF435" s="1"/>
      <c r="BI435" s="1"/>
      <c r="BP435" s="1"/>
      <c r="BS435" s="1"/>
      <c r="BU435" s="1"/>
      <c r="BW435" s="1"/>
    </row>
    <row r="436" spans="35:75">
      <c r="AI436" s="1"/>
      <c r="AL436" s="1"/>
      <c r="AO436" s="1"/>
      <c r="AR436" s="1"/>
      <c r="AZ436" s="1"/>
      <c r="BC436" s="1"/>
      <c r="BF436" s="1"/>
      <c r="BI436" s="1"/>
      <c r="BP436" s="1"/>
      <c r="BS436" s="1"/>
      <c r="BU436" s="1"/>
      <c r="BW436" s="1"/>
    </row>
    <row r="437" spans="35:75">
      <c r="AI437" s="1"/>
      <c r="AL437" s="1"/>
      <c r="AO437" s="1"/>
      <c r="AR437" s="1"/>
      <c r="AZ437" s="1"/>
      <c r="BC437" s="1"/>
      <c r="BF437" s="1"/>
      <c r="BI437" s="1"/>
      <c r="BP437" s="1"/>
      <c r="BS437" s="1"/>
      <c r="BU437" s="1"/>
      <c r="BW437" s="1"/>
    </row>
    <row r="438" spans="35:75">
      <c r="AI438" s="1"/>
      <c r="AL438" s="1"/>
      <c r="AO438" s="1"/>
      <c r="AR438" s="1"/>
      <c r="AZ438" s="1"/>
      <c r="BC438" s="1"/>
      <c r="BF438" s="1"/>
      <c r="BI438" s="1"/>
      <c r="BP438" s="1"/>
      <c r="BS438" s="1"/>
      <c r="BU438" s="1"/>
      <c r="BW438" s="1"/>
    </row>
    <row r="439" spans="35:75">
      <c r="AI439" s="1"/>
      <c r="AL439" s="1"/>
      <c r="AO439" s="1"/>
      <c r="AR439" s="1"/>
      <c r="AZ439" s="1"/>
      <c r="BC439" s="1"/>
      <c r="BF439" s="1"/>
      <c r="BI439" s="1"/>
      <c r="BP439" s="1"/>
      <c r="BS439" s="1"/>
      <c r="BU439" s="1"/>
      <c r="BW439" s="1"/>
    </row>
    <row r="440" spans="35:75">
      <c r="AI440" s="1"/>
      <c r="AL440" s="1"/>
      <c r="AO440" s="1"/>
      <c r="AR440" s="1"/>
      <c r="AZ440" s="1"/>
      <c r="BC440" s="1"/>
      <c r="BF440" s="1"/>
      <c r="BI440" s="1"/>
      <c r="BP440" s="1"/>
      <c r="BS440" s="1"/>
      <c r="BU440" s="1"/>
      <c r="BW440" s="1"/>
    </row>
    <row r="441" spans="35:75">
      <c r="AI441" s="1"/>
      <c r="AL441" s="1"/>
      <c r="AO441" s="1"/>
      <c r="AR441" s="1"/>
      <c r="AZ441" s="1"/>
      <c r="BC441" s="1"/>
      <c r="BF441" s="1"/>
      <c r="BI441" s="1"/>
      <c r="BP441" s="1"/>
      <c r="BS441" s="1"/>
      <c r="BU441" s="1"/>
      <c r="BW441" s="1"/>
    </row>
    <row r="442" spans="35:75">
      <c r="AI442" s="1"/>
      <c r="AL442" s="1"/>
      <c r="AO442" s="1"/>
      <c r="AR442" s="1"/>
      <c r="AZ442" s="1"/>
      <c r="BC442" s="1"/>
      <c r="BF442" s="1"/>
      <c r="BI442" s="1"/>
      <c r="BP442" s="1"/>
      <c r="BS442" s="1"/>
      <c r="BU442" s="1"/>
      <c r="BW442" s="1"/>
    </row>
    <row r="443" spans="35:75">
      <c r="AI443" s="1"/>
      <c r="AL443" s="1"/>
      <c r="AO443" s="1"/>
      <c r="AR443" s="1"/>
      <c r="AZ443" s="1"/>
      <c r="BC443" s="1"/>
      <c r="BF443" s="1"/>
      <c r="BI443" s="1"/>
      <c r="BP443" s="1"/>
      <c r="BS443" s="1"/>
      <c r="BU443" s="1"/>
      <c r="BW443" s="1"/>
    </row>
    <row r="444" spans="35:75">
      <c r="AI444" s="1"/>
      <c r="AL444" s="1"/>
      <c r="AO444" s="1"/>
      <c r="AR444" s="1"/>
      <c r="AZ444" s="1"/>
      <c r="BC444" s="1"/>
      <c r="BF444" s="1"/>
      <c r="BI444" s="1"/>
      <c r="BP444" s="1"/>
      <c r="BS444" s="1"/>
      <c r="BU444" s="1"/>
      <c r="BW444" s="1"/>
    </row>
    <row r="445" spans="35:75">
      <c r="AI445" s="1"/>
      <c r="AL445" s="1"/>
      <c r="AO445" s="1"/>
      <c r="AR445" s="1"/>
      <c r="AZ445" s="1"/>
      <c r="BC445" s="1"/>
      <c r="BF445" s="1"/>
      <c r="BI445" s="1"/>
      <c r="BP445" s="1"/>
      <c r="BS445" s="1"/>
      <c r="BU445" s="1"/>
      <c r="BW445" s="1"/>
    </row>
    <row r="446" spans="35:75">
      <c r="AI446" s="1"/>
      <c r="AL446" s="1"/>
      <c r="AO446" s="1"/>
      <c r="AR446" s="1"/>
      <c r="AZ446" s="1"/>
      <c r="BC446" s="1"/>
      <c r="BF446" s="1"/>
      <c r="BI446" s="1"/>
      <c r="BP446" s="1"/>
      <c r="BS446" s="1"/>
      <c r="BU446" s="1"/>
      <c r="BW446" s="1"/>
    </row>
    <row r="447" spans="35:75">
      <c r="AI447" s="1"/>
      <c r="AL447" s="1"/>
      <c r="AO447" s="1"/>
      <c r="AR447" s="1"/>
      <c r="AZ447" s="1"/>
      <c r="BC447" s="1"/>
      <c r="BF447" s="1"/>
      <c r="BI447" s="1"/>
      <c r="BP447" s="1"/>
      <c r="BS447" s="1"/>
      <c r="BU447" s="1"/>
      <c r="BW447" s="1"/>
    </row>
    <row r="448" spans="35:75">
      <c r="AI448" s="1"/>
      <c r="AL448" s="1"/>
      <c r="AO448" s="1"/>
      <c r="AR448" s="1"/>
      <c r="AZ448" s="1"/>
      <c r="BC448" s="1"/>
      <c r="BF448" s="1"/>
      <c r="BI448" s="1"/>
      <c r="BP448" s="1"/>
      <c r="BS448" s="1"/>
      <c r="BU448" s="1"/>
      <c r="BW448" s="1"/>
    </row>
    <row r="449" spans="35:75">
      <c r="AI449" s="1"/>
      <c r="AL449" s="1"/>
      <c r="AO449" s="1"/>
      <c r="AR449" s="1"/>
      <c r="AZ449" s="1"/>
      <c r="BC449" s="1"/>
      <c r="BF449" s="1"/>
      <c r="BI449" s="1"/>
      <c r="BP449" s="1"/>
      <c r="BS449" s="1"/>
      <c r="BU449" s="1"/>
      <c r="BW449" s="1"/>
    </row>
    <row r="450" spans="35:75">
      <c r="AI450" s="1"/>
      <c r="AL450" s="1"/>
      <c r="AO450" s="1"/>
      <c r="AR450" s="1"/>
      <c r="AZ450" s="1"/>
      <c r="BC450" s="1"/>
      <c r="BF450" s="1"/>
      <c r="BI450" s="1"/>
      <c r="BP450" s="1"/>
      <c r="BS450" s="1"/>
      <c r="BU450" s="1"/>
      <c r="BW450" s="1"/>
    </row>
    <row r="451" spans="35:75">
      <c r="AI451" s="1"/>
      <c r="AL451" s="1"/>
      <c r="AO451" s="1"/>
      <c r="AR451" s="1"/>
      <c r="AZ451" s="1"/>
      <c r="BC451" s="1"/>
      <c r="BF451" s="1"/>
      <c r="BI451" s="1"/>
      <c r="BP451" s="1"/>
      <c r="BS451" s="1"/>
      <c r="BU451" s="1"/>
      <c r="BW451" s="1"/>
    </row>
    <row r="452" spans="35:75">
      <c r="AI452" s="1"/>
      <c r="AL452" s="1"/>
      <c r="AO452" s="1"/>
      <c r="AR452" s="1"/>
      <c r="AZ452" s="1"/>
      <c r="BC452" s="1"/>
      <c r="BF452" s="1"/>
      <c r="BI452" s="1"/>
      <c r="BP452" s="1"/>
      <c r="BS452" s="1"/>
      <c r="BU452" s="1"/>
      <c r="BW452" s="1"/>
    </row>
    <row r="453" spans="35:75">
      <c r="AI453" s="1"/>
      <c r="AL453" s="1"/>
      <c r="AO453" s="1"/>
      <c r="AR453" s="1"/>
      <c r="AZ453" s="1"/>
      <c r="BC453" s="1"/>
      <c r="BF453" s="1"/>
      <c r="BI453" s="1"/>
      <c r="BP453" s="1"/>
      <c r="BS453" s="1"/>
      <c r="BU453" s="1"/>
      <c r="BW453" s="1"/>
    </row>
    <row r="454" spans="35:75">
      <c r="AI454" s="1"/>
      <c r="AL454" s="1"/>
      <c r="AO454" s="1"/>
      <c r="AR454" s="1"/>
      <c r="AZ454" s="1"/>
      <c r="BC454" s="1"/>
      <c r="BF454" s="1"/>
      <c r="BI454" s="1"/>
      <c r="BP454" s="1"/>
      <c r="BS454" s="1"/>
      <c r="BU454" s="1"/>
      <c r="BW454" s="1"/>
    </row>
    <row r="455" spans="35:75">
      <c r="AI455" s="1"/>
      <c r="AL455" s="1"/>
      <c r="AO455" s="1"/>
      <c r="AR455" s="1"/>
      <c r="AZ455" s="1"/>
      <c r="BC455" s="1"/>
      <c r="BF455" s="1"/>
      <c r="BI455" s="1"/>
      <c r="BP455" s="1"/>
      <c r="BS455" s="1"/>
      <c r="BU455" s="1"/>
      <c r="BW455" s="1"/>
    </row>
    <row r="456" spans="35:75">
      <c r="AI456" s="1"/>
      <c r="AL456" s="1"/>
      <c r="AO456" s="1"/>
      <c r="AR456" s="1"/>
      <c r="AZ456" s="1"/>
      <c r="BC456" s="1"/>
      <c r="BF456" s="1"/>
      <c r="BI456" s="1"/>
      <c r="BP456" s="1"/>
      <c r="BS456" s="1"/>
      <c r="BU456" s="1"/>
      <c r="BW456" s="1"/>
    </row>
    <row r="457" spans="35:75">
      <c r="AI457" s="1"/>
      <c r="AL457" s="1"/>
      <c r="AO457" s="1"/>
      <c r="AR457" s="1"/>
      <c r="AZ457" s="1"/>
      <c r="BC457" s="1"/>
      <c r="BF457" s="1"/>
      <c r="BI457" s="1"/>
      <c r="BP457" s="1"/>
      <c r="BS457" s="1"/>
      <c r="BU457" s="1"/>
      <c r="BW457" s="1"/>
    </row>
    <row r="458" spans="35:75">
      <c r="AI458" s="1"/>
      <c r="AL458" s="1"/>
      <c r="AO458" s="1"/>
      <c r="AR458" s="1"/>
      <c r="AZ458" s="1"/>
      <c r="BC458" s="1"/>
      <c r="BF458" s="1"/>
      <c r="BI458" s="1"/>
      <c r="BP458" s="1"/>
      <c r="BS458" s="1"/>
      <c r="BU458" s="1"/>
      <c r="BW458" s="1"/>
    </row>
    <row r="459" spans="35:75">
      <c r="AI459" s="1"/>
      <c r="AL459" s="1"/>
      <c r="AO459" s="1"/>
      <c r="AR459" s="1"/>
      <c r="AZ459" s="1"/>
      <c r="BC459" s="1"/>
      <c r="BF459" s="1"/>
      <c r="BI459" s="1"/>
      <c r="BP459" s="1"/>
      <c r="BS459" s="1"/>
      <c r="BU459" s="1"/>
      <c r="BW459" s="1"/>
    </row>
    <row r="460" spans="35:75">
      <c r="AI460" s="1"/>
      <c r="AL460" s="1"/>
      <c r="AO460" s="1"/>
      <c r="AR460" s="1"/>
      <c r="AZ460" s="1"/>
      <c r="BC460" s="1"/>
      <c r="BF460" s="1"/>
      <c r="BI460" s="1"/>
      <c r="BP460" s="1"/>
      <c r="BS460" s="1"/>
      <c r="BU460" s="1"/>
      <c r="BW460" s="1"/>
    </row>
    <row r="461" spans="35:75">
      <c r="AI461" s="1"/>
      <c r="AL461" s="1"/>
      <c r="AO461" s="1"/>
      <c r="AR461" s="1"/>
      <c r="AZ461" s="1"/>
      <c r="BC461" s="1"/>
      <c r="BF461" s="1"/>
      <c r="BI461" s="1"/>
      <c r="BP461" s="1"/>
      <c r="BS461" s="1"/>
      <c r="BU461" s="1"/>
      <c r="BW461" s="1"/>
    </row>
    <row r="462" spans="35:75">
      <c r="AI462" s="1"/>
      <c r="AL462" s="1"/>
      <c r="AO462" s="1"/>
      <c r="AR462" s="1"/>
      <c r="AZ462" s="1"/>
      <c r="BC462" s="1"/>
      <c r="BF462" s="1"/>
      <c r="BI462" s="1"/>
      <c r="BP462" s="1"/>
      <c r="BS462" s="1"/>
      <c r="BU462" s="1"/>
      <c r="BW462" s="1"/>
    </row>
    <row r="463" spans="35:75">
      <c r="AI463" s="1"/>
      <c r="AL463" s="1"/>
      <c r="AO463" s="1"/>
      <c r="AR463" s="1"/>
      <c r="AZ463" s="1"/>
      <c r="BC463" s="1"/>
      <c r="BF463" s="1"/>
      <c r="BI463" s="1"/>
      <c r="BP463" s="1"/>
      <c r="BS463" s="1"/>
      <c r="BU463" s="1"/>
      <c r="BW463" s="1"/>
    </row>
    <row r="464" spans="35:75">
      <c r="AI464" s="1"/>
      <c r="AL464" s="1"/>
      <c r="AO464" s="1"/>
      <c r="AR464" s="1"/>
      <c r="AZ464" s="1"/>
      <c r="BC464" s="1"/>
      <c r="BF464" s="1"/>
      <c r="BI464" s="1"/>
      <c r="BP464" s="1"/>
      <c r="BS464" s="1"/>
      <c r="BU464" s="1"/>
      <c r="BW464" s="1"/>
    </row>
    <row r="465" spans="35:75">
      <c r="AI465" s="1"/>
      <c r="AL465" s="1"/>
      <c r="AO465" s="1"/>
      <c r="AR465" s="1"/>
      <c r="AZ465" s="1"/>
      <c r="BC465" s="1"/>
      <c r="BF465" s="1"/>
      <c r="BI465" s="1"/>
      <c r="BP465" s="1"/>
      <c r="BS465" s="1"/>
      <c r="BU465" s="1"/>
      <c r="BW465" s="1"/>
    </row>
    <row r="466" spans="35:75">
      <c r="AI466" s="1"/>
      <c r="AL466" s="1"/>
      <c r="AO466" s="1"/>
      <c r="AR466" s="1"/>
      <c r="AZ466" s="1"/>
      <c r="BC466" s="1"/>
      <c r="BF466" s="1"/>
      <c r="BI466" s="1"/>
      <c r="BP466" s="1"/>
      <c r="BS466" s="1"/>
      <c r="BU466" s="1"/>
      <c r="BW466" s="1"/>
    </row>
    <row r="467" spans="35:75">
      <c r="AI467" s="1"/>
      <c r="AL467" s="1"/>
      <c r="AO467" s="1"/>
      <c r="AR467" s="1"/>
      <c r="AZ467" s="1"/>
      <c r="BC467" s="1"/>
      <c r="BF467" s="1"/>
      <c r="BI467" s="1"/>
      <c r="BP467" s="1"/>
      <c r="BS467" s="1"/>
      <c r="BU467" s="1"/>
      <c r="BW467" s="1"/>
    </row>
    <row r="468" spans="35:75">
      <c r="AI468" s="1"/>
      <c r="AL468" s="1"/>
      <c r="AO468" s="1"/>
      <c r="AR468" s="1"/>
      <c r="AZ468" s="1"/>
      <c r="BC468" s="1"/>
      <c r="BF468" s="1"/>
      <c r="BI468" s="1"/>
      <c r="BP468" s="1"/>
      <c r="BS468" s="1"/>
      <c r="BU468" s="1"/>
      <c r="BW468" s="1"/>
    </row>
    <row r="469" spans="35:75">
      <c r="AI469" s="1"/>
      <c r="AL469" s="1"/>
      <c r="AO469" s="1"/>
      <c r="AR469" s="1"/>
      <c r="AZ469" s="1"/>
      <c r="BC469" s="1"/>
      <c r="BF469" s="1"/>
      <c r="BI469" s="1"/>
      <c r="BP469" s="1"/>
      <c r="BS469" s="1"/>
      <c r="BU469" s="1"/>
      <c r="BW469" s="1"/>
    </row>
    <row r="470" spans="35:75">
      <c r="AI470" s="1"/>
      <c r="AL470" s="1"/>
      <c r="AO470" s="1"/>
      <c r="AR470" s="1"/>
      <c r="AZ470" s="1"/>
      <c r="BC470" s="1"/>
      <c r="BF470" s="1"/>
      <c r="BI470" s="1"/>
      <c r="BP470" s="1"/>
      <c r="BS470" s="1"/>
      <c r="BU470" s="1"/>
      <c r="BW470" s="1"/>
    </row>
    <row r="471" spans="35:75">
      <c r="AI471" s="1"/>
      <c r="AL471" s="1"/>
      <c r="AO471" s="1"/>
      <c r="AR471" s="1"/>
      <c r="AZ471" s="1"/>
      <c r="BC471" s="1"/>
      <c r="BF471" s="1"/>
      <c r="BI471" s="1"/>
      <c r="BP471" s="1"/>
      <c r="BS471" s="1"/>
      <c r="BU471" s="1"/>
      <c r="BW471" s="1"/>
    </row>
    <row r="472" spans="35:75">
      <c r="AI472" s="1"/>
      <c r="AL472" s="1"/>
      <c r="AO472" s="1"/>
      <c r="AR472" s="1"/>
      <c r="AZ472" s="1"/>
      <c r="BC472" s="1"/>
      <c r="BF472" s="1"/>
      <c r="BI472" s="1"/>
      <c r="BP472" s="1"/>
      <c r="BS472" s="1"/>
      <c r="BU472" s="1"/>
      <c r="BW472" s="1"/>
    </row>
    <row r="473" spans="35:75">
      <c r="AI473" s="1"/>
      <c r="AL473" s="1"/>
      <c r="AO473" s="1"/>
      <c r="AR473" s="1"/>
      <c r="AZ473" s="1"/>
      <c r="BC473" s="1"/>
      <c r="BF473" s="1"/>
      <c r="BI473" s="1"/>
      <c r="BP473" s="1"/>
      <c r="BS473" s="1"/>
      <c r="BU473" s="1"/>
      <c r="BW473" s="1"/>
    </row>
    <row r="474" spans="35:75">
      <c r="AI474" s="1"/>
      <c r="AL474" s="1"/>
      <c r="AO474" s="1"/>
      <c r="AR474" s="1"/>
      <c r="AZ474" s="1"/>
      <c r="BC474" s="1"/>
      <c r="BF474" s="1"/>
      <c r="BI474" s="1"/>
      <c r="BP474" s="1"/>
      <c r="BS474" s="1"/>
      <c r="BU474" s="1"/>
      <c r="BW474" s="1"/>
    </row>
    <row r="475" spans="35:75">
      <c r="AI475" s="1"/>
      <c r="AL475" s="1"/>
      <c r="AO475" s="1"/>
      <c r="AR475" s="1"/>
      <c r="AZ475" s="1"/>
      <c r="BC475" s="1"/>
      <c r="BF475" s="1"/>
      <c r="BI475" s="1"/>
      <c r="BP475" s="1"/>
      <c r="BS475" s="1"/>
      <c r="BU475" s="1"/>
      <c r="BW475" s="1"/>
    </row>
    <row r="476" spans="35:75">
      <c r="AI476" s="1"/>
      <c r="AL476" s="1"/>
      <c r="AO476" s="1"/>
      <c r="AR476" s="1"/>
      <c r="AZ476" s="1"/>
      <c r="BC476" s="1"/>
      <c r="BF476" s="1"/>
      <c r="BI476" s="1"/>
      <c r="BP476" s="1"/>
      <c r="BS476" s="1"/>
      <c r="BU476" s="1"/>
      <c r="BW476" s="1"/>
    </row>
    <row r="477" spans="35:75">
      <c r="AI477" s="1"/>
      <c r="AL477" s="1"/>
      <c r="AO477" s="1"/>
      <c r="AR477" s="1"/>
      <c r="AZ477" s="1"/>
      <c r="BC477" s="1"/>
      <c r="BF477" s="1"/>
      <c r="BI477" s="1"/>
      <c r="BP477" s="1"/>
      <c r="BS477" s="1"/>
      <c r="BU477" s="1"/>
      <c r="BW477" s="1"/>
    </row>
    <row r="478" spans="35:75">
      <c r="AI478" s="1"/>
      <c r="AL478" s="1"/>
      <c r="AO478" s="1"/>
      <c r="AR478" s="1"/>
      <c r="AZ478" s="1"/>
      <c r="BC478" s="1"/>
      <c r="BF478" s="1"/>
      <c r="BI478" s="1"/>
      <c r="BP478" s="1"/>
      <c r="BS478" s="1"/>
      <c r="BU478" s="1"/>
      <c r="BW478" s="1"/>
    </row>
    <row r="479" spans="35:75">
      <c r="AI479" s="1"/>
      <c r="AL479" s="1"/>
      <c r="AO479" s="1"/>
      <c r="AR479" s="1"/>
      <c r="AZ479" s="1"/>
      <c r="BC479" s="1"/>
      <c r="BF479" s="1"/>
      <c r="BI479" s="1"/>
      <c r="BP479" s="1"/>
      <c r="BS479" s="1"/>
      <c r="BU479" s="1"/>
      <c r="BW479" s="1"/>
    </row>
    <row r="480" spans="35:75">
      <c r="AI480" s="1"/>
      <c r="AL480" s="1"/>
      <c r="AO480" s="1"/>
      <c r="AR480" s="1"/>
      <c r="AZ480" s="1"/>
      <c r="BC480" s="1"/>
      <c r="BF480" s="1"/>
      <c r="BI480" s="1"/>
      <c r="BP480" s="1"/>
      <c r="BS480" s="1"/>
      <c r="BU480" s="1"/>
      <c r="BW480" s="1"/>
    </row>
    <row r="481" spans="35:75">
      <c r="AI481" s="1"/>
      <c r="AL481" s="1"/>
      <c r="AO481" s="1"/>
      <c r="AR481" s="1"/>
      <c r="AZ481" s="1"/>
      <c r="BC481" s="1"/>
      <c r="BF481" s="1"/>
      <c r="BI481" s="1"/>
      <c r="BP481" s="1"/>
      <c r="BS481" s="1"/>
      <c r="BU481" s="1"/>
      <c r="BW481" s="1"/>
    </row>
    <row r="482" spans="35:75">
      <c r="AI482" s="1"/>
      <c r="AL482" s="1"/>
      <c r="AO482" s="1"/>
      <c r="AR482" s="1"/>
      <c r="AZ482" s="1"/>
      <c r="BC482" s="1"/>
      <c r="BF482" s="1"/>
      <c r="BI482" s="1"/>
      <c r="BP482" s="1"/>
      <c r="BS482" s="1"/>
      <c r="BU482" s="1"/>
      <c r="BW482" s="1"/>
    </row>
    <row r="483" spans="35:75">
      <c r="AI483" s="1"/>
      <c r="AL483" s="1"/>
      <c r="AO483" s="1"/>
      <c r="AR483" s="1"/>
      <c r="AZ483" s="1"/>
      <c r="BC483" s="1"/>
      <c r="BF483" s="1"/>
      <c r="BI483" s="1"/>
      <c r="BP483" s="1"/>
      <c r="BS483" s="1"/>
      <c r="BU483" s="1"/>
      <c r="BW483" s="1"/>
    </row>
    <row r="484" spans="35:75">
      <c r="AI484" s="1"/>
      <c r="AL484" s="1"/>
      <c r="AO484" s="1"/>
      <c r="AR484" s="1"/>
      <c r="AZ484" s="1"/>
      <c r="BC484" s="1"/>
      <c r="BF484" s="1"/>
      <c r="BI484" s="1"/>
      <c r="BP484" s="1"/>
      <c r="BS484" s="1"/>
      <c r="BU484" s="1"/>
      <c r="BW484" s="1"/>
    </row>
    <row r="485" spans="35:75">
      <c r="AI485" s="1"/>
      <c r="AL485" s="1"/>
      <c r="AO485" s="1"/>
      <c r="AR485" s="1"/>
      <c r="AZ485" s="1"/>
      <c r="BC485" s="1"/>
      <c r="BF485" s="1"/>
      <c r="BI485" s="1"/>
      <c r="BP485" s="1"/>
      <c r="BS485" s="1"/>
      <c r="BU485" s="1"/>
      <c r="BW485" s="1"/>
    </row>
    <row r="486" spans="35:75">
      <c r="AI486" s="1"/>
      <c r="AL486" s="1"/>
      <c r="AO486" s="1"/>
      <c r="AR486" s="1"/>
      <c r="AZ486" s="1"/>
      <c r="BC486" s="1"/>
      <c r="BF486" s="1"/>
      <c r="BI486" s="1"/>
      <c r="BP486" s="1"/>
      <c r="BS486" s="1"/>
      <c r="BU486" s="1"/>
      <c r="BW486" s="1"/>
    </row>
    <row r="487" spans="35:75">
      <c r="AI487" s="1"/>
      <c r="AL487" s="1"/>
      <c r="AO487" s="1"/>
      <c r="AR487" s="1"/>
      <c r="AZ487" s="1"/>
      <c r="BC487" s="1"/>
      <c r="BF487" s="1"/>
      <c r="BI487" s="1"/>
      <c r="BP487" s="1"/>
      <c r="BS487" s="1"/>
      <c r="BU487" s="1"/>
      <c r="BW487" s="1"/>
    </row>
    <row r="488" spans="35:75">
      <c r="AI488" s="1"/>
      <c r="AL488" s="1"/>
      <c r="AO488" s="1"/>
      <c r="AR488" s="1"/>
      <c r="AZ488" s="1"/>
      <c r="BC488" s="1"/>
      <c r="BF488" s="1"/>
      <c r="BI488" s="1"/>
      <c r="BP488" s="1"/>
      <c r="BS488" s="1"/>
      <c r="BU488" s="1"/>
      <c r="BW488" s="1"/>
    </row>
    <row r="489" spans="35:75">
      <c r="AI489" s="1"/>
      <c r="AL489" s="1"/>
      <c r="AO489" s="1"/>
      <c r="AR489" s="1"/>
      <c r="AZ489" s="1"/>
      <c r="BC489" s="1"/>
      <c r="BF489" s="1"/>
      <c r="BI489" s="1"/>
      <c r="BP489" s="1"/>
      <c r="BS489" s="1"/>
      <c r="BU489" s="1"/>
      <c r="BW489" s="1"/>
    </row>
    <row r="490" spans="35:75">
      <c r="AI490" s="1"/>
      <c r="AL490" s="1"/>
      <c r="AO490" s="1"/>
      <c r="AR490" s="1"/>
      <c r="AZ490" s="1"/>
      <c r="BC490" s="1"/>
      <c r="BF490" s="1"/>
      <c r="BI490" s="1"/>
      <c r="BP490" s="1"/>
      <c r="BS490" s="1"/>
      <c r="BU490" s="1"/>
      <c r="BW490" s="1"/>
    </row>
    <row r="491" spans="35:75">
      <c r="AI491" s="1"/>
      <c r="AL491" s="1"/>
      <c r="AO491" s="1"/>
      <c r="AR491" s="1"/>
      <c r="AZ491" s="1"/>
      <c r="BC491" s="1"/>
      <c r="BF491" s="1"/>
      <c r="BI491" s="1"/>
      <c r="BP491" s="1"/>
      <c r="BS491" s="1"/>
      <c r="BU491" s="1"/>
      <c r="BW491" s="1"/>
    </row>
    <row r="492" spans="35:75">
      <c r="AI492" s="1"/>
      <c r="AL492" s="1"/>
      <c r="AO492" s="1"/>
      <c r="AR492" s="1"/>
      <c r="AZ492" s="1"/>
      <c r="BC492" s="1"/>
      <c r="BF492" s="1"/>
      <c r="BI492" s="1"/>
      <c r="BP492" s="1"/>
      <c r="BS492" s="1"/>
      <c r="BU492" s="1"/>
      <c r="BW492" s="1"/>
    </row>
    <row r="493" spans="35:75">
      <c r="AI493" s="1"/>
      <c r="AL493" s="1"/>
      <c r="AO493" s="1"/>
      <c r="AR493" s="1"/>
      <c r="AZ493" s="1"/>
      <c r="BC493" s="1"/>
      <c r="BF493" s="1"/>
      <c r="BI493" s="1"/>
      <c r="BP493" s="1"/>
      <c r="BS493" s="1"/>
      <c r="BU493" s="1"/>
      <c r="BW493" s="1"/>
    </row>
    <row r="494" spans="35:75">
      <c r="AI494" s="1"/>
      <c r="AL494" s="1"/>
      <c r="AO494" s="1"/>
      <c r="AR494" s="1"/>
      <c r="AZ494" s="1"/>
      <c r="BC494" s="1"/>
      <c r="BF494" s="1"/>
      <c r="BI494" s="1"/>
      <c r="BP494" s="1"/>
      <c r="BS494" s="1"/>
      <c r="BU494" s="1"/>
      <c r="BW494" s="1"/>
    </row>
    <row r="495" spans="35:75">
      <c r="AI495" s="1"/>
      <c r="AL495" s="1"/>
      <c r="AO495" s="1"/>
      <c r="AR495" s="1"/>
      <c r="AZ495" s="1"/>
      <c r="BC495" s="1"/>
      <c r="BF495" s="1"/>
      <c r="BI495" s="1"/>
      <c r="BP495" s="1"/>
      <c r="BS495" s="1"/>
      <c r="BU495" s="1"/>
      <c r="BW495" s="1"/>
    </row>
    <row r="496" spans="35:75">
      <c r="AI496" s="1"/>
      <c r="AL496" s="1"/>
      <c r="AO496" s="1"/>
      <c r="AR496" s="1"/>
      <c r="AZ496" s="1"/>
      <c r="BC496" s="1"/>
      <c r="BF496" s="1"/>
      <c r="BI496" s="1"/>
      <c r="BP496" s="1"/>
      <c r="BS496" s="1"/>
      <c r="BU496" s="1"/>
      <c r="BW496" s="1"/>
    </row>
    <row r="497" spans="35:75">
      <c r="AI497" s="1"/>
      <c r="AL497" s="1"/>
      <c r="AO497" s="1"/>
      <c r="AR497" s="1"/>
      <c r="AZ497" s="1"/>
      <c r="BC497" s="1"/>
      <c r="BF497" s="1"/>
      <c r="BI497" s="1"/>
      <c r="BP497" s="1"/>
      <c r="BS497" s="1"/>
      <c r="BU497" s="1"/>
      <c r="BW497" s="1"/>
    </row>
    <row r="498" spans="35:75">
      <c r="AI498" s="1"/>
      <c r="AL498" s="1"/>
      <c r="AO498" s="1"/>
      <c r="AR498" s="1"/>
      <c r="AZ498" s="1"/>
      <c r="BC498" s="1"/>
      <c r="BF498" s="1"/>
      <c r="BI498" s="1"/>
      <c r="BP498" s="1"/>
      <c r="BS498" s="1"/>
      <c r="BU498" s="1"/>
      <c r="BW498" s="1"/>
    </row>
    <row r="499" spans="35:75">
      <c r="AI499" s="1"/>
      <c r="AL499" s="1"/>
      <c r="AO499" s="1"/>
      <c r="AR499" s="1"/>
      <c r="AZ499" s="1"/>
      <c r="BC499" s="1"/>
      <c r="BF499" s="1"/>
      <c r="BI499" s="1"/>
      <c r="BP499" s="1"/>
      <c r="BS499" s="1"/>
      <c r="BU499" s="1"/>
      <c r="BW499" s="1"/>
    </row>
    <row r="500" spans="35:75">
      <c r="AI500" s="1"/>
      <c r="AL500" s="1"/>
      <c r="AO500" s="1"/>
      <c r="AR500" s="1"/>
      <c r="AZ500" s="1"/>
      <c r="BC500" s="1"/>
      <c r="BF500" s="1"/>
      <c r="BI500" s="1"/>
      <c r="BP500" s="1"/>
      <c r="BS500" s="1"/>
      <c r="BU500" s="1"/>
      <c r="BW500" s="1"/>
    </row>
    <row r="501" spans="35:75">
      <c r="AI501" s="1"/>
      <c r="AL501" s="1"/>
      <c r="AO501" s="1"/>
      <c r="AR501" s="1"/>
      <c r="AZ501" s="1"/>
      <c r="BC501" s="1"/>
      <c r="BF501" s="1"/>
      <c r="BI501" s="1"/>
      <c r="BP501" s="1"/>
      <c r="BS501" s="1"/>
      <c r="BU501" s="1"/>
      <c r="BW501" s="1"/>
    </row>
    <row r="502" spans="35:75">
      <c r="AI502" s="1"/>
      <c r="AL502" s="1"/>
      <c r="AO502" s="1"/>
      <c r="AR502" s="1"/>
      <c r="AZ502" s="1"/>
      <c r="BC502" s="1"/>
      <c r="BF502" s="1"/>
      <c r="BI502" s="1"/>
      <c r="BP502" s="1"/>
      <c r="BS502" s="1"/>
      <c r="BU502" s="1"/>
      <c r="BW502" s="1"/>
    </row>
    <row r="503" spans="35:75">
      <c r="AI503" s="1"/>
      <c r="AL503" s="1"/>
      <c r="AO503" s="1"/>
      <c r="AR503" s="1"/>
      <c r="AZ503" s="1"/>
      <c r="BC503" s="1"/>
      <c r="BF503" s="1"/>
      <c r="BI503" s="1"/>
      <c r="BP503" s="1"/>
      <c r="BS503" s="1"/>
      <c r="BU503" s="1"/>
      <c r="BW503" s="1"/>
    </row>
    <row r="504" spans="35:75">
      <c r="AI504" s="1"/>
      <c r="AL504" s="1"/>
      <c r="AO504" s="1"/>
      <c r="AR504" s="1"/>
      <c r="AZ504" s="1"/>
      <c r="BC504" s="1"/>
      <c r="BF504" s="1"/>
      <c r="BI504" s="1"/>
      <c r="BP504" s="1"/>
      <c r="BS504" s="1"/>
      <c r="BU504" s="1"/>
      <c r="BW504" s="1"/>
    </row>
    <row r="505" spans="35:75">
      <c r="AI505" s="1"/>
      <c r="AL505" s="1"/>
      <c r="AO505" s="1"/>
      <c r="AR505" s="1"/>
      <c r="AZ505" s="1"/>
      <c r="BC505" s="1"/>
      <c r="BF505" s="1"/>
      <c r="BI505" s="1"/>
      <c r="BP505" s="1"/>
      <c r="BS505" s="1"/>
      <c r="BU505" s="1"/>
      <c r="BW505" s="1"/>
    </row>
    <row r="506" spans="35:75">
      <c r="AI506" s="1"/>
      <c r="AL506" s="1"/>
      <c r="AO506" s="1"/>
      <c r="AR506" s="1"/>
      <c r="AZ506" s="1"/>
      <c r="BC506" s="1"/>
      <c r="BF506" s="1"/>
      <c r="BI506" s="1"/>
      <c r="BP506" s="1"/>
      <c r="BS506" s="1"/>
      <c r="BU506" s="1"/>
      <c r="BW506" s="1"/>
    </row>
    <row r="507" spans="35:75">
      <c r="AI507" s="1"/>
      <c r="AL507" s="1"/>
      <c r="AO507" s="1"/>
      <c r="AR507" s="1"/>
      <c r="AZ507" s="1"/>
      <c r="BC507" s="1"/>
      <c r="BF507" s="1"/>
      <c r="BI507" s="1"/>
      <c r="BP507" s="1"/>
      <c r="BS507" s="1"/>
      <c r="BU507" s="1"/>
      <c r="BW507" s="1"/>
    </row>
    <row r="508" spans="35:75">
      <c r="AI508" s="1"/>
      <c r="AL508" s="1"/>
      <c r="AO508" s="1"/>
      <c r="AR508" s="1"/>
      <c r="AZ508" s="1"/>
      <c r="BC508" s="1"/>
      <c r="BF508" s="1"/>
      <c r="BI508" s="1"/>
      <c r="BP508" s="1"/>
      <c r="BS508" s="1"/>
      <c r="BU508" s="1"/>
      <c r="BW508" s="1"/>
    </row>
    <row r="509" spans="35:75">
      <c r="AI509" s="1"/>
      <c r="AL509" s="1"/>
      <c r="AO509" s="1"/>
      <c r="AR509" s="1"/>
      <c r="AZ509" s="1"/>
      <c r="BC509" s="1"/>
      <c r="BF509" s="1"/>
      <c r="BI509" s="1"/>
      <c r="BP509" s="1"/>
      <c r="BS509" s="1"/>
      <c r="BU509" s="1"/>
      <c r="BW509" s="1"/>
    </row>
    <row r="510" spans="35:75">
      <c r="AI510" s="1"/>
      <c r="AL510" s="1"/>
      <c r="AO510" s="1"/>
      <c r="AR510" s="1"/>
      <c r="AZ510" s="1"/>
      <c r="BC510" s="1"/>
      <c r="BF510" s="1"/>
      <c r="BI510" s="1"/>
      <c r="BP510" s="1"/>
      <c r="BS510" s="1"/>
      <c r="BU510" s="1"/>
      <c r="BW510" s="1"/>
    </row>
    <row r="511" spans="35:75">
      <c r="AI511" s="1"/>
      <c r="AL511" s="1"/>
      <c r="AO511" s="1"/>
      <c r="AR511" s="1"/>
      <c r="AZ511" s="1"/>
      <c r="BC511" s="1"/>
      <c r="BF511" s="1"/>
      <c r="BI511" s="1"/>
      <c r="BP511" s="1"/>
      <c r="BS511" s="1"/>
      <c r="BU511" s="1"/>
      <c r="BW511" s="1"/>
    </row>
    <row r="512" spans="35:75">
      <c r="AI512" s="1"/>
      <c r="AL512" s="1"/>
      <c r="AO512" s="1"/>
      <c r="AR512" s="1"/>
      <c r="AZ512" s="1"/>
      <c r="BC512" s="1"/>
      <c r="BF512" s="1"/>
      <c r="BI512" s="1"/>
      <c r="BP512" s="1"/>
      <c r="BS512" s="1"/>
      <c r="BU512" s="1"/>
      <c r="BW512" s="1"/>
    </row>
    <row r="513" spans="35:75">
      <c r="AI513" s="1"/>
      <c r="AL513" s="1"/>
      <c r="AO513" s="1"/>
      <c r="AR513" s="1"/>
      <c r="AZ513" s="1"/>
      <c r="BC513" s="1"/>
      <c r="BF513" s="1"/>
      <c r="BI513" s="1"/>
      <c r="BP513" s="1"/>
      <c r="BS513" s="1"/>
      <c r="BU513" s="1"/>
      <c r="BW513" s="1"/>
    </row>
    <row r="514" spans="35:75">
      <c r="AI514" s="1"/>
      <c r="AL514" s="1"/>
      <c r="AO514" s="1"/>
      <c r="AR514" s="1"/>
      <c r="AZ514" s="1"/>
      <c r="BC514" s="1"/>
      <c r="BF514" s="1"/>
      <c r="BI514" s="1"/>
      <c r="BP514" s="1"/>
      <c r="BS514" s="1"/>
      <c r="BU514" s="1"/>
      <c r="BW514" s="1"/>
    </row>
    <row r="515" spans="35:75">
      <c r="AI515" s="1"/>
      <c r="AL515" s="1"/>
      <c r="AO515" s="1"/>
      <c r="AR515" s="1"/>
      <c r="AZ515" s="1"/>
      <c r="BC515" s="1"/>
      <c r="BF515" s="1"/>
      <c r="BI515" s="1"/>
      <c r="BP515" s="1"/>
      <c r="BS515" s="1"/>
      <c r="BU515" s="1"/>
      <c r="BW515" s="1"/>
    </row>
    <row r="516" spans="35:75">
      <c r="AI516" s="1"/>
      <c r="AL516" s="1"/>
      <c r="AO516" s="1"/>
      <c r="AR516" s="1"/>
      <c r="AZ516" s="1"/>
      <c r="BC516" s="1"/>
      <c r="BF516" s="1"/>
      <c r="BI516" s="1"/>
      <c r="BP516" s="1"/>
      <c r="BS516" s="1"/>
      <c r="BU516" s="1"/>
      <c r="BW516" s="1"/>
    </row>
    <row r="517" spans="35:75">
      <c r="AI517" s="1"/>
      <c r="AL517" s="1"/>
      <c r="AO517" s="1"/>
      <c r="AR517" s="1"/>
      <c r="AZ517" s="1"/>
      <c r="BC517" s="1"/>
      <c r="BF517" s="1"/>
      <c r="BI517" s="1"/>
      <c r="BP517" s="1"/>
      <c r="BS517" s="1"/>
      <c r="BU517" s="1"/>
      <c r="BW517" s="1"/>
    </row>
    <row r="518" spans="35:75">
      <c r="AI518" s="1"/>
      <c r="AL518" s="1"/>
      <c r="AO518" s="1"/>
      <c r="AR518" s="1"/>
      <c r="AZ518" s="1"/>
      <c r="BC518" s="1"/>
      <c r="BF518" s="1"/>
      <c r="BI518" s="1"/>
      <c r="BP518" s="1"/>
      <c r="BS518" s="1"/>
      <c r="BU518" s="1"/>
      <c r="BW518" s="1"/>
    </row>
    <row r="519" spans="35:75">
      <c r="AI519" s="1"/>
      <c r="AL519" s="1"/>
      <c r="AO519" s="1"/>
      <c r="AR519" s="1"/>
      <c r="AZ519" s="1"/>
      <c r="BC519" s="1"/>
      <c r="BF519" s="1"/>
      <c r="BI519" s="1"/>
      <c r="BP519" s="1"/>
      <c r="BS519" s="1"/>
      <c r="BU519" s="1"/>
      <c r="BW519" s="1"/>
    </row>
    <row r="520" spans="35:75">
      <c r="AI520" s="1"/>
      <c r="AL520" s="1"/>
      <c r="AO520" s="1"/>
      <c r="AR520" s="1"/>
      <c r="AZ520" s="1"/>
      <c r="BC520" s="1"/>
      <c r="BF520" s="1"/>
      <c r="BI520" s="1"/>
      <c r="BP520" s="1"/>
      <c r="BS520" s="1"/>
      <c r="BU520" s="1"/>
      <c r="BW520" s="1"/>
    </row>
    <row r="521" spans="35:75">
      <c r="AI521" s="1"/>
      <c r="AL521" s="1"/>
      <c r="AO521" s="1"/>
      <c r="AR521" s="1"/>
      <c r="AZ521" s="1"/>
      <c r="BC521" s="1"/>
      <c r="BF521" s="1"/>
      <c r="BI521" s="1"/>
      <c r="BP521" s="1"/>
      <c r="BS521" s="1"/>
      <c r="BU521" s="1"/>
      <c r="BW521" s="1"/>
    </row>
    <row r="522" spans="35:75">
      <c r="AI522" s="1"/>
      <c r="AL522" s="1"/>
      <c r="AO522" s="1"/>
      <c r="AR522" s="1"/>
      <c r="AZ522" s="1"/>
      <c r="BC522" s="1"/>
      <c r="BF522" s="1"/>
      <c r="BI522" s="1"/>
      <c r="BP522" s="1"/>
      <c r="BS522" s="1"/>
      <c r="BU522" s="1"/>
      <c r="BW522" s="1"/>
    </row>
    <row r="523" spans="35:75">
      <c r="AI523" s="1"/>
      <c r="AL523" s="1"/>
      <c r="AO523" s="1"/>
      <c r="AR523" s="1"/>
      <c r="AZ523" s="1"/>
      <c r="BC523" s="1"/>
      <c r="BF523" s="1"/>
      <c r="BI523" s="1"/>
      <c r="BP523" s="1"/>
      <c r="BS523" s="1"/>
      <c r="BU523" s="1"/>
      <c r="BW523" s="1"/>
    </row>
    <row r="524" spans="35:75">
      <c r="AI524" s="1"/>
      <c r="AL524" s="1"/>
      <c r="AO524" s="1"/>
      <c r="AR524" s="1"/>
      <c r="AZ524" s="1"/>
      <c r="BC524" s="1"/>
      <c r="BF524" s="1"/>
      <c r="BI524" s="1"/>
      <c r="BP524" s="1"/>
      <c r="BS524" s="1"/>
      <c r="BU524" s="1"/>
      <c r="BW524" s="1"/>
    </row>
    <row r="525" spans="35:75">
      <c r="AI525" s="1"/>
      <c r="AL525" s="1"/>
      <c r="AO525" s="1"/>
      <c r="AR525" s="1"/>
      <c r="AZ525" s="1"/>
      <c r="BC525" s="1"/>
      <c r="BF525" s="1"/>
      <c r="BI525" s="1"/>
      <c r="BP525" s="1"/>
      <c r="BS525" s="1"/>
      <c r="BU525" s="1"/>
      <c r="BW525" s="1"/>
    </row>
    <row r="526" spans="35:75">
      <c r="AI526" s="1"/>
      <c r="AL526" s="1"/>
      <c r="AO526" s="1"/>
      <c r="AR526" s="1"/>
      <c r="AZ526" s="1"/>
      <c r="BC526" s="1"/>
      <c r="BF526" s="1"/>
      <c r="BI526" s="1"/>
      <c r="BP526" s="1"/>
      <c r="BS526" s="1"/>
      <c r="BU526" s="1"/>
      <c r="BW526" s="1"/>
    </row>
    <row r="527" spans="35:75">
      <c r="AI527" s="1"/>
      <c r="AL527" s="1"/>
      <c r="AO527" s="1"/>
      <c r="AR527" s="1"/>
      <c r="AZ527" s="1"/>
      <c r="BC527" s="1"/>
      <c r="BF527" s="1"/>
      <c r="BI527" s="1"/>
      <c r="BP527" s="1"/>
      <c r="BS527" s="1"/>
      <c r="BU527" s="1"/>
      <c r="BW527" s="1"/>
    </row>
    <row r="528" spans="35:75">
      <c r="AI528" s="1"/>
      <c r="AL528" s="1"/>
      <c r="AO528" s="1"/>
      <c r="AR528" s="1"/>
      <c r="AZ528" s="1"/>
      <c r="BC528" s="1"/>
      <c r="BF528" s="1"/>
      <c r="BI528" s="1"/>
      <c r="BP528" s="1"/>
      <c r="BS528" s="1"/>
      <c r="BU528" s="1"/>
      <c r="BW528" s="1"/>
    </row>
    <row r="529" spans="35:75">
      <c r="AI529" s="1"/>
      <c r="AL529" s="1"/>
      <c r="AO529" s="1"/>
      <c r="AR529" s="1"/>
      <c r="AZ529" s="1"/>
      <c r="BC529" s="1"/>
      <c r="BF529" s="1"/>
      <c r="BI529" s="1"/>
      <c r="BP529" s="1"/>
      <c r="BS529" s="1"/>
      <c r="BU529" s="1"/>
      <c r="BW529" s="1"/>
    </row>
    <row r="530" spans="35:75">
      <c r="AI530" s="1"/>
      <c r="AL530" s="1"/>
      <c r="AO530" s="1"/>
      <c r="AR530" s="1"/>
      <c r="AZ530" s="1"/>
      <c r="BC530" s="1"/>
      <c r="BF530" s="1"/>
      <c r="BI530" s="1"/>
      <c r="BP530" s="1"/>
      <c r="BS530" s="1"/>
      <c r="BU530" s="1"/>
      <c r="BW530" s="1"/>
    </row>
    <row r="531" spans="35:75">
      <c r="AI531" s="1"/>
      <c r="AL531" s="1"/>
      <c r="AO531" s="1"/>
      <c r="AR531" s="1"/>
      <c r="AZ531" s="1"/>
      <c r="BC531" s="1"/>
      <c r="BF531" s="1"/>
      <c r="BI531" s="1"/>
      <c r="BP531" s="1"/>
      <c r="BS531" s="1"/>
      <c r="BU531" s="1"/>
      <c r="BW531" s="1"/>
    </row>
    <row r="532" spans="35:75">
      <c r="AI532" s="1"/>
      <c r="AL532" s="1"/>
      <c r="AO532" s="1"/>
      <c r="AR532" s="1"/>
      <c r="AZ532" s="1"/>
      <c r="BC532" s="1"/>
      <c r="BF532" s="1"/>
      <c r="BI532" s="1"/>
      <c r="BP532" s="1"/>
      <c r="BS532" s="1"/>
      <c r="BU532" s="1"/>
      <c r="BW532" s="1"/>
    </row>
    <row r="533" spans="35:75">
      <c r="AI533" s="1"/>
      <c r="AL533" s="1"/>
      <c r="AO533" s="1"/>
      <c r="AR533" s="1"/>
      <c r="AZ533" s="1"/>
      <c r="BC533" s="1"/>
      <c r="BF533" s="1"/>
      <c r="BI533" s="1"/>
      <c r="BP533" s="1"/>
      <c r="BS533" s="1"/>
      <c r="BU533" s="1"/>
      <c r="BW533" s="1"/>
    </row>
    <row r="534" spans="35:75">
      <c r="AI534" s="1"/>
      <c r="AL534" s="1"/>
      <c r="AO534" s="1"/>
      <c r="AR534" s="1"/>
      <c r="AZ534" s="1"/>
      <c r="BC534" s="1"/>
      <c r="BF534" s="1"/>
      <c r="BI534" s="1"/>
      <c r="BP534" s="1"/>
      <c r="BS534" s="1"/>
      <c r="BU534" s="1"/>
      <c r="BW534" s="1"/>
    </row>
    <row r="535" spans="35:75">
      <c r="AI535" s="1"/>
      <c r="AL535" s="1"/>
      <c r="AO535" s="1"/>
      <c r="AR535" s="1"/>
      <c r="AZ535" s="1"/>
      <c r="BC535" s="1"/>
      <c r="BF535" s="1"/>
      <c r="BI535" s="1"/>
      <c r="BP535" s="1"/>
      <c r="BS535" s="1"/>
      <c r="BU535" s="1"/>
      <c r="BW535" s="1"/>
    </row>
    <row r="536" spans="35:75">
      <c r="AI536" s="1"/>
      <c r="AL536" s="1"/>
      <c r="AO536" s="1"/>
      <c r="AR536" s="1"/>
      <c r="AZ536" s="1"/>
      <c r="BC536" s="1"/>
      <c r="BF536" s="1"/>
      <c r="BI536" s="1"/>
      <c r="BP536" s="1"/>
      <c r="BS536" s="1"/>
      <c r="BU536" s="1"/>
      <c r="BW536" s="1"/>
    </row>
    <row r="537" spans="35:75">
      <c r="AI537" s="1"/>
      <c r="AL537" s="1"/>
      <c r="AO537" s="1"/>
      <c r="AR537" s="1"/>
      <c r="AZ537" s="1"/>
      <c r="BC537" s="1"/>
      <c r="BF537" s="1"/>
      <c r="BI537" s="1"/>
      <c r="BP537" s="1"/>
      <c r="BS537" s="1"/>
      <c r="BU537" s="1"/>
      <c r="BW537" s="1"/>
    </row>
    <row r="538" spans="35:75">
      <c r="AI538" s="1"/>
      <c r="AL538" s="1"/>
      <c r="AO538" s="1"/>
      <c r="AR538" s="1"/>
      <c r="AZ538" s="1"/>
      <c r="BC538" s="1"/>
      <c r="BF538" s="1"/>
      <c r="BI538" s="1"/>
      <c r="BP538" s="1"/>
      <c r="BS538" s="1"/>
      <c r="BU538" s="1"/>
      <c r="BW538" s="1"/>
    </row>
    <row r="539" spans="35:75">
      <c r="AI539" s="1"/>
      <c r="AL539" s="1"/>
      <c r="AO539" s="1"/>
      <c r="AR539" s="1"/>
      <c r="AZ539" s="1"/>
      <c r="BC539" s="1"/>
      <c r="BF539" s="1"/>
      <c r="BI539" s="1"/>
      <c r="BP539" s="1"/>
      <c r="BS539" s="1"/>
      <c r="BU539" s="1"/>
      <c r="BW539" s="1"/>
    </row>
    <row r="540" spans="35:75">
      <c r="AI540" s="1"/>
      <c r="AL540" s="1"/>
      <c r="AO540" s="1"/>
      <c r="AR540" s="1"/>
      <c r="AZ540" s="1"/>
      <c r="BC540" s="1"/>
      <c r="BF540" s="1"/>
      <c r="BI540" s="1"/>
      <c r="BP540" s="1"/>
      <c r="BS540" s="1"/>
      <c r="BU540" s="1"/>
      <c r="BW540" s="1"/>
    </row>
    <row r="541" spans="35:75">
      <c r="AI541" s="1"/>
      <c r="AL541" s="1"/>
      <c r="AO541" s="1"/>
      <c r="AR541" s="1"/>
      <c r="AZ541" s="1"/>
      <c r="BC541" s="1"/>
      <c r="BF541" s="1"/>
      <c r="BI541" s="1"/>
      <c r="BP541" s="1"/>
      <c r="BS541" s="1"/>
      <c r="BU541" s="1"/>
      <c r="BW541" s="1"/>
    </row>
    <row r="542" spans="35:75">
      <c r="AI542" s="1"/>
      <c r="AL542" s="1"/>
      <c r="AO542" s="1"/>
      <c r="AR542" s="1"/>
      <c r="AZ542" s="1"/>
      <c r="BC542" s="1"/>
      <c r="BF542" s="1"/>
      <c r="BI542" s="1"/>
      <c r="BP542" s="1"/>
      <c r="BS542" s="1"/>
      <c r="BU542" s="1"/>
      <c r="BW542" s="1"/>
    </row>
    <row r="543" spans="35:75">
      <c r="AI543" s="1"/>
      <c r="AL543" s="1"/>
      <c r="AO543" s="1"/>
      <c r="AR543" s="1"/>
      <c r="AZ543" s="1"/>
      <c r="BC543" s="1"/>
      <c r="BF543" s="1"/>
      <c r="BI543" s="1"/>
      <c r="BP543" s="1"/>
      <c r="BS543" s="1"/>
      <c r="BU543" s="1"/>
      <c r="BW543" s="1"/>
    </row>
    <row r="544" spans="35:75">
      <c r="AI544" s="1"/>
      <c r="AL544" s="1"/>
      <c r="AO544" s="1"/>
      <c r="AR544" s="1"/>
      <c r="AZ544" s="1"/>
      <c r="BC544" s="1"/>
      <c r="BF544" s="1"/>
      <c r="BI544" s="1"/>
      <c r="BP544" s="1"/>
      <c r="BS544" s="1"/>
      <c r="BU544" s="1"/>
      <c r="BW544" s="1"/>
    </row>
    <row r="545" spans="35:75">
      <c r="AI545" s="1"/>
      <c r="AL545" s="1"/>
      <c r="AO545" s="1"/>
      <c r="AR545" s="1"/>
      <c r="AZ545" s="1"/>
      <c r="BC545" s="1"/>
      <c r="BF545" s="1"/>
      <c r="BI545" s="1"/>
      <c r="BP545" s="1"/>
      <c r="BS545" s="1"/>
      <c r="BU545" s="1"/>
      <c r="BW545" s="1"/>
    </row>
    <row r="546" spans="35:75">
      <c r="AI546" s="1"/>
      <c r="AL546" s="1"/>
      <c r="AO546" s="1"/>
      <c r="AR546" s="1"/>
      <c r="AZ546" s="1"/>
      <c r="BC546" s="1"/>
      <c r="BF546" s="1"/>
      <c r="BI546" s="1"/>
      <c r="BP546" s="1"/>
      <c r="BS546" s="1"/>
      <c r="BU546" s="1"/>
      <c r="BW546" s="1"/>
    </row>
    <row r="547" spans="35:75">
      <c r="AI547" s="1"/>
      <c r="AL547" s="1"/>
      <c r="AO547" s="1"/>
      <c r="AR547" s="1"/>
      <c r="AZ547" s="1"/>
      <c r="BC547" s="1"/>
      <c r="BF547" s="1"/>
      <c r="BI547" s="1"/>
      <c r="BP547" s="1"/>
      <c r="BS547" s="1"/>
      <c r="BU547" s="1"/>
      <c r="BW547" s="1"/>
    </row>
    <row r="548" spans="35:75">
      <c r="AI548" s="1"/>
      <c r="AL548" s="1"/>
      <c r="AO548" s="1"/>
      <c r="AR548" s="1"/>
      <c r="AZ548" s="1"/>
      <c r="BC548" s="1"/>
      <c r="BF548" s="1"/>
      <c r="BI548" s="1"/>
      <c r="BP548" s="1"/>
      <c r="BS548" s="1"/>
      <c r="BU548" s="1"/>
      <c r="BW548" s="1"/>
    </row>
    <row r="549" spans="35:75">
      <c r="AI549" s="1"/>
      <c r="AL549" s="1"/>
      <c r="AO549" s="1"/>
      <c r="AR549" s="1"/>
      <c r="AZ549" s="1"/>
      <c r="BC549" s="1"/>
      <c r="BF549" s="1"/>
      <c r="BI549" s="1"/>
      <c r="BP549" s="1"/>
      <c r="BS549" s="1"/>
      <c r="BU549" s="1"/>
      <c r="BW549" s="1"/>
    </row>
    <row r="550" spans="35:75">
      <c r="AI550" s="1"/>
      <c r="AL550" s="1"/>
      <c r="AO550" s="1"/>
      <c r="AR550" s="1"/>
      <c r="AZ550" s="1"/>
      <c r="BC550" s="1"/>
      <c r="BF550" s="1"/>
      <c r="BI550" s="1"/>
      <c r="BP550" s="1"/>
      <c r="BS550" s="1"/>
      <c r="BU550" s="1"/>
      <c r="BW550" s="1"/>
    </row>
    <row r="551" spans="35:75">
      <c r="AI551" s="1"/>
      <c r="AL551" s="1"/>
      <c r="AO551" s="1"/>
      <c r="AR551" s="1"/>
      <c r="AZ551" s="1"/>
      <c r="BC551" s="1"/>
      <c r="BF551" s="1"/>
      <c r="BI551" s="1"/>
      <c r="BP551" s="1"/>
      <c r="BS551" s="1"/>
      <c r="BU551" s="1"/>
      <c r="BW551" s="1"/>
    </row>
    <row r="552" spans="35:75">
      <c r="AI552" s="1"/>
      <c r="AL552" s="1"/>
      <c r="AO552" s="1"/>
      <c r="AR552" s="1"/>
      <c r="AZ552" s="1"/>
      <c r="BC552" s="1"/>
      <c r="BF552" s="1"/>
      <c r="BI552" s="1"/>
      <c r="BP552" s="1"/>
      <c r="BS552" s="1"/>
      <c r="BU552" s="1"/>
      <c r="BW552" s="1"/>
    </row>
    <row r="553" spans="35:75">
      <c r="AI553" s="1"/>
      <c r="AL553" s="1"/>
      <c r="AO553" s="1"/>
      <c r="AR553" s="1"/>
      <c r="AZ553" s="1"/>
      <c r="BC553" s="1"/>
      <c r="BF553" s="1"/>
      <c r="BI553" s="1"/>
      <c r="BP553" s="1"/>
      <c r="BS553" s="1"/>
      <c r="BU553" s="1"/>
      <c r="BW553" s="1"/>
    </row>
    <row r="554" spans="35:75">
      <c r="AI554" s="1"/>
      <c r="AL554" s="1"/>
      <c r="AO554" s="1"/>
      <c r="AR554" s="1"/>
      <c r="AZ554" s="1"/>
      <c r="BC554" s="1"/>
      <c r="BF554" s="1"/>
      <c r="BI554" s="1"/>
      <c r="BP554" s="1"/>
      <c r="BS554" s="1"/>
      <c r="BU554" s="1"/>
      <c r="BW554" s="1"/>
    </row>
    <row r="555" spans="35:75">
      <c r="AI555" s="1"/>
      <c r="AL555" s="1"/>
      <c r="AO555" s="1"/>
      <c r="AR555" s="1"/>
      <c r="AZ555" s="1"/>
      <c r="BC555" s="1"/>
      <c r="BF555" s="1"/>
      <c r="BI555" s="1"/>
      <c r="BP555" s="1"/>
      <c r="BS555" s="1"/>
      <c r="BU555" s="1"/>
      <c r="BW555" s="1"/>
    </row>
    <row r="556" spans="35:75">
      <c r="AI556" s="1"/>
      <c r="AL556" s="1"/>
      <c r="AO556" s="1"/>
      <c r="AR556" s="1"/>
      <c r="AZ556" s="1"/>
      <c r="BC556" s="1"/>
      <c r="BF556" s="1"/>
      <c r="BI556" s="1"/>
      <c r="BP556" s="1"/>
      <c r="BS556" s="1"/>
      <c r="BU556" s="1"/>
      <c r="BW556" s="1"/>
    </row>
    <row r="557" spans="35:75">
      <c r="AI557" s="1"/>
      <c r="AL557" s="1"/>
      <c r="AO557" s="1"/>
      <c r="AR557" s="1"/>
      <c r="AZ557" s="1"/>
      <c r="BC557" s="1"/>
      <c r="BF557" s="1"/>
      <c r="BI557" s="1"/>
      <c r="BP557" s="1"/>
      <c r="BS557" s="1"/>
      <c r="BU557" s="1"/>
      <c r="BW557" s="1"/>
    </row>
    <row r="558" spans="35:75">
      <c r="AI558" s="1"/>
      <c r="AL558" s="1"/>
      <c r="AO558" s="1"/>
      <c r="AR558" s="1"/>
      <c r="AZ558" s="1"/>
      <c r="BC558" s="1"/>
      <c r="BF558" s="1"/>
      <c r="BI558" s="1"/>
      <c r="BP558" s="1"/>
      <c r="BS558" s="1"/>
      <c r="BU558" s="1"/>
      <c r="BW558" s="1"/>
    </row>
    <row r="559" spans="35:75">
      <c r="AI559" s="1"/>
      <c r="AL559" s="1"/>
      <c r="AO559" s="1"/>
      <c r="AR559" s="1"/>
      <c r="AZ559" s="1"/>
      <c r="BC559" s="1"/>
      <c r="BF559" s="1"/>
      <c r="BI559" s="1"/>
      <c r="BP559" s="1"/>
      <c r="BS559" s="1"/>
      <c r="BU559" s="1"/>
      <c r="BW559" s="1"/>
    </row>
    <row r="560" spans="35:75">
      <c r="AI560" s="1"/>
      <c r="AL560" s="1"/>
      <c r="AO560" s="1"/>
      <c r="AR560" s="1"/>
      <c r="AZ560" s="1"/>
      <c r="BC560" s="1"/>
      <c r="BF560" s="1"/>
      <c r="BI560" s="1"/>
      <c r="BP560" s="1"/>
      <c r="BS560" s="1"/>
      <c r="BU560" s="1"/>
      <c r="BW560" s="1"/>
    </row>
    <row r="561" spans="35:75">
      <c r="AI561" s="1"/>
      <c r="AL561" s="1"/>
      <c r="AO561" s="1"/>
      <c r="AR561" s="1"/>
      <c r="AZ561" s="1"/>
      <c r="BC561" s="1"/>
      <c r="BF561" s="1"/>
      <c r="BI561" s="1"/>
      <c r="BP561" s="1"/>
      <c r="BS561" s="1"/>
      <c r="BU561" s="1"/>
      <c r="BW561" s="1"/>
    </row>
    <row r="562" spans="35:75">
      <c r="AI562" s="1"/>
      <c r="AL562" s="1"/>
      <c r="AO562" s="1"/>
      <c r="AR562" s="1"/>
      <c r="AZ562" s="1"/>
      <c r="BC562" s="1"/>
      <c r="BF562" s="1"/>
      <c r="BI562" s="1"/>
      <c r="BP562" s="1"/>
      <c r="BS562" s="1"/>
      <c r="BU562" s="1"/>
      <c r="BW562" s="1"/>
    </row>
    <row r="563" spans="35:75">
      <c r="AI563" s="1"/>
      <c r="AL563" s="1"/>
      <c r="AO563" s="1"/>
      <c r="AR563" s="1"/>
      <c r="AZ563" s="1"/>
      <c r="BC563" s="1"/>
      <c r="BF563" s="1"/>
      <c r="BI563" s="1"/>
      <c r="BP563" s="1"/>
      <c r="BS563" s="1"/>
      <c r="BU563" s="1"/>
      <c r="BW563" s="1"/>
    </row>
    <row r="564" spans="35:75">
      <c r="AI564" s="1"/>
      <c r="AL564" s="1"/>
      <c r="AO564" s="1"/>
      <c r="AR564" s="1"/>
      <c r="AZ564" s="1"/>
      <c r="BC564" s="1"/>
      <c r="BF564" s="1"/>
      <c r="BI564" s="1"/>
      <c r="BP564" s="1"/>
      <c r="BS564" s="1"/>
      <c r="BU564" s="1"/>
      <c r="BW564" s="1"/>
    </row>
    <row r="565" spans="35:75">
      <c r="AI565" s="1"/>
      <c r="AL565" s="1"/>
      <c r="AO565" s="1"/>
      <c r="AR565" s="1"/>
      <c r="AZ565" s="1"/>
      <c r="BC565" s="1"/>
      <c r="BF565" s="1"/>
      <c r="BI565" s="1"/>
      <c r="BP565" s="1"/>
      <c r="BS565" s="1"/>
      <c r="BU565" s="1"/>
      <c r="BW565" s="1"/>
    </row>
    <row r="566" spans="35:75">
      <c r="AI566" s="1"/>
      <c r="AL566" s="1"/>
      <c r="AO566" s="1"/>
      <c r="AR566" s="1"/>
      <c r="AZ566" s="1"/>
      <c r="BC566" s="1"/>
      <c r="BF566" s="1"/>
      <c r="BI566" s="1"/>
      <c r="BP566" s="1"/>
      <c r="BS566" s="1"/>
      <c r="BU566" s="1"/>
      <c r="BW566" s="1"/>
    </row>
    <row r="567" spans="35:75">
      <c r="AI567" s="1"/>
      <c r="AL567" s="1"/>
      <c r="AO567" s="1"/>
      <c r="AR567" s="1"/>
      <c r="AZ567" s="1"/>
      <c r="BC567" s="1"/>
      <c r="BF567" s="1"/>
      <c r="BI567" s="1"/>
      <c r="BP567" s="1"/>
      <c r="BS567" s="1"/>
      <c r="BU567" s="1"/>
      <c r="BW567" s="1"/>
    </row>
    <row r="568" spans="35:75">
      <c r="AI568" s="1"/>
      <c r="AL568" s="1"/>
      <c r="AO568" s="1"/>
      <c r="AR568" s="1"/>
      <c r="AZ568" s="1"/>
      <c r="BC568" s="1"/>
      <c r="BF568" s="1"/>
      <c r="BI568" s="1"/>
      <c r="BP568" s="1"/>
      <c r="BS568" s="1"/>
      <c r="BU568" s="1"/>
      <c r="BW568" s="1"/>
    </row>
    <row r="569" spans="35:75">
      <c r="AI569" s="1"/>
      <c r="AL569" s="1"/>
      <c r="AO569" s="1"/>
      <c r="AR569" s="1"/>
      <c r="AZ569" s="1"/>
      <c r="BC569" s="1"/>
      <c r="BF569" s="1"/>
      <c r="BI569" s="1"/>
      <c r="BP569" s="1"/>
      <c r="BS569" s="1"/>
      <c r="BU569" s="1"/>
      <c r="BW569" s="1"/>
    </row>
    <row r="570" spans="35:75">
      <c r="AI570" s="1"/>
      <c r="AL570" s="1"/>
      <c r="AO570" s="1"/>
      <c r="AR570" s="1"/>
      <c r="AZ570" s="1"/>
      <c r="BC570" s="1"/>
      <c r="BF570" s="1"/>
      <c r="BI570" s="1"/>
      <c r="BP570" s="1"/>
      <c r="BS570" s="1"/>
      <c r="BU570" s="1"/>
      <c r="BW570" s="1"/>
    </row>
    <row r="571" spans="35:75">
      <c r="AI571" s="1"/>
      <c r="AL571" s="1"/>
      <c r="AO571" s="1"/>
      <c r="AR571" s="1"/>
      <c r="AZ571" s="1"/>
      <c r="BC571" s="1"/>
      <c r="BF571" s="1"/>
      <c r="BI571" s="1"/>
      <c r="BP571" s="1"/>
      <c r="BS571" s="1"/>
      <c r="BU571" s="1"/>
      <c r="BW571" s="1"/>
    </row>
    <row r="572" spans="35:75">
      <c r="AI572" s="1"/>
      <c r="AL572" s="1"/>
      <c r="AO572" s="1"/>
      <c r="AR572" s="1"/>
      <c r="AZ572" s="1"/>
      <c r="BC572" s="1"/>
      <c r="BF572" s="1"/>
      <c r="BI572" s="1"/>
      <c r="BP572" s="1"/>
      <c r="BS572" s="1"/>
      <c r="BU572" s="1"/>
      <c r="BW572" s="1"/>
    </row>
    <row r="573" spans="35:75">
      <c r="AI573" s="1"/>
      <c r="AL573" s="1"/>
      <c r="AO573" s="1"/>
      <c r="AR573" s="1"/>
      <c r="AZ573" s="1"/>
      <c r="BC573" s="1"/>
      <c r="BF573" s="1"/>
      <c r="BI573" s="1"/>
      <c r="BP573" s="1"/>
      <c r="BS573" s="1"/>
      <c r="BU573" s="1"/>
      <c r="BW573" s="1"/>
    </row>
    <row r="574" spans="35:75">
      <c r="AI574" s="1"/>
      <c r="AL574" s="1"/>
      <c r="AO574" s="1"/>
      <c r="AR574" s="1"/>
      <c r="AZ574" s="1"/>
      <c r="BC574" s="1"/>
      <c r="BF574" s="1"/>
      <c r="BI574" s="1"/>
      <c r="BP574" s="1"/>
      <c r="BS574" s="1"/>
      <c r="BU574" s="1"/>
      <c r="BW574" s="1"/>
    </row>
    <row r="575" spans="35:75">
      <c r="AI575" s="1"/>
      <c r="AL575" s="1"/>
      <c r="AO575" s="1"/>
      <c r="AR575" s="1"/>
      <c r="AZ575" s="1"/>
      <c r="BC575" s="1"/>
      <c r="BF575" s="1"/>
      <c r="BI575" s="1"/>
      <c r="BP575" s="1"/>
      <c r="BS575" s="1"/>
      <c r="BU575" s="1"/>
      <c r="BW575" s="1"/>
    </row>
    <row r="576" spans="35:75">
      <c r="AI576" s="1"/>
      <c r="AL576" s="1"/>
      <c r="AO576" s="1"/>
      <c r="AR576" s="1"/>
      <c r="AZ576" s="1"/>
      <c r="BC576" s="1"/>
      <c r="BF576" s="1"/>
      <c r="BI576" s="1"/>
      <c r="BP576" s="1"/>
      <c r="BS576" s="1"/>
      <c r="BU576" s="1"/>
      <c r="BW576" s="1"/>
    </row>
    <row r="577" spans="35:75">
      <c r="AI577" s="1"/>
      <c r="AL577" s="1"/>
      <c r="AO577" s="1"/>
      <c r="AR577" s="1"/>
      <c r="AZ577" s="1"/>
      <c r="BC577" s="1"/>
      <c r="BF577" s="1"/>
      <c r="BI577" s="1"/>
      <c r="BP577" s="1"/>
      <c r="BS577" s="1"/>
      <c r="BU577" s="1"/>
      <c r="BW577" s="1"/>
    </row>
    <row r="578" spans="35:75">
      <c r="AI578" s="1"/>
      <c r="AL578" s="1"/>
      <c r="AO578" s="1"/>
      <c r="AR578" s="1"/>
      <c r="AZ578" s="1"/>
      <c r="BC578" s="1"/>
      <c r="BF578" s="1"/>
      <c r="BI578" s="1"/>
      <c r="BP578" s="1"/>
      <c r="BS578" s="1"/>
      <c r="BU578" s="1"/>
      <c r="BW578" s="1"/>
    </row>
    <row r="579" spans="35:75">
      <c r="AI579" s="1"/>
      <c r="AL579" s="1"/>
      <c r="AO579" s="1"/>
      <c r="AR579" s="1"/>
      <c r="AZ579" s="1"/>
      <c r="BC579" s="1"/>
      <c r="BF579" s="1"/>
      <c r="BI579" s="1"/>
      <c r="BP579" s="1"/>
      <c r="BS579" s="1"/>
      <c r="BU579" s="1"/>
      <c r="BW579" s="1"/>
    </row>
    <row r="580" spans="35:75">
      <c r="AI580" s="1"/>
      <c r="AL580" s="1"/>
      <c r="AO580" s="1"/>
      <c r="AR580" s="1"/>
      <c r="AZ580" s="1"/>
      <c r="BC580" s="1"/>
      <c r="BF580" s="1"/>
      <c r="BI580" s="1"/>
      <c r="BP580" s="1"/>
      <c r="BS580" s="1"/>
      <c r="BU580" s="1"/>
      <c r="BW580" s="1"/>
    </row>
    <row r="581" spans="35:75">
      <c r="AI581" s="1"/>
      <c r="AL581" s="1"/>
      <c r="AO581" s="1"/>
      <c r="AR581" s="1"/>
      <c r="AZ581" s="1"/>
      <c r="BC581" s="1"/>
      <c r="BF581" s="1"/>
      <c r="BI581" s="1"/>
      <c r="BP581" s="1"/>
      <c r="BS581" s="1"/>
      <c r="BU581" s="1"/>
      <c r="BW581" s="1"/>
    </row>
    <row r="582" spans="35:75">
      <c r="AI582" s="1"/>
      <c r="AL582" s="1"/>
      <c r="AO582" s="1"/>
      <c r="AR582" s="1"/>
      <c r="AZ582" s="1"/>
      <c r="BC582" s="1"/>
      <c r="BF582" s="1"/>
      <c r="BI582" s="1"/>
      <c r="BP582" s="1"/>
      <c r="BS582" s="1"/>
      <c r="BU582" s="1"/>
      <c r="BW582" s="1"/>
    </row>
    <row r="583" spans="35:75">
      <c r="AI583" s="1"/>
      <c r="AL583" s="1"/>
      <c r="AO583" s="1"/>
      <c r="AR583" s="1"/>
      <c r="AZ583" s="1"/>
      <c r="BC583" s="1"/>
      <c r="BF583" s="1"/>
      <c r="BI583" s="1"/>
      <c r="BP583" s="1"/>
      <c r="BS583" s="1"/>
      <c r="BU583" s="1"/>
      <c r="BW583" s="1"/>
    </row>
    <row r="584" spans="35:75">
      <c r="AI584" s="1"/>
      <c r="AL584" s="1"/>
      <c r="AO584" s="1"/>
      <c r="AR584" s="1"/>
      <c r="AZ584" s="1"/>
      <c r="BC584" s="1"/>
      <c r="BF584" s="1"/>
      <c r="BI584" s="1"/>
      <c r="BP584" s="1"/>
      <c r="BS584" s="1"/>
      <c r="BU584" s="1"/>
      <c r="BW584" s="1"/>
    </row>
    <row r="585" spans="35:75">
      <c r="AI585" s="1"/>
      <c r="AL585" s="1"/>
      <c r="AO585" s="1"/>
      <c r="AR585" s="1"/>
      <c r="AZ585" s="1"/>
      <c r="BC585" s="1"/>
      <c r="BF585" s="1"/>
      <c r="BI585" s="1"/>
      <c r="BP585" s="1"/>
      <c r="BS585" s="1"/>
      <c r="BU585" s="1"/>
      <c r="BW585" s="1"/>
    </row>
    <row r="586" spans="35:75">
      <c r="AI586" s="1"/>
      <c r="AL586" s="1"/>
      <c r="AO586" s="1"/>
      <c r="AR586" s="1"/>
      <c r="AZ586" s="1"/>
      <c r="BC586" s="1"/>
      <c r="BF586" s="1"/>
      <c r="BI586" s="1"/>
      <c r="BP586" s="1"/>
      <c r="BS586" s="1"/>
      <c r="BU586" s="1"/>
      <c r="BW586" s="1"/>
    </row>
    <row r="587" spans="35:75">
      <c r="AI587" s="1"/>
      <c r="AL587" s="1"/>
      <c r="AO587" s="1"/>
      <c r="AR587" s="1"/>
      <c r="AZ587" s="1"/>
      <c r="BC587" s="1"/>
      <c r="BF587" s="1"/>
      <c r="BI587" s="1"/>
      <c r="BP587" s="1"/>
      <c r="BS587" s="1"/>
      <c r="BU587" s="1"/>
      <c r="BW587" s="1"/>
    </row>
    <row r="588" spans="35:75">
      <c r="AI588" s="1"/>
      <c r="AL588" s="1"/>
      <c r="AO588" s="1"/>
      <c r="AR588" s="1"/>
      <c r="AZ588" s="1"/>
      <c r="BC588" s="1"/>
      <c r="BF588" s="1"/>
      <c r="BI588" s="1"/>
      <c r="BP588" s="1"/>
      <c r="BS588" s="1"/>
      <c r="BU588" s="1"/>
      <c r="BW588" s="1"/>
    </row>
    <row r="589" spans="35:75">
      <c r="AI589" s="1"/>
      <c r="AL589" s="1"/>
      <c r="AO589" s="1"/>
      <c r="AR589" s="1"/>
      <c r="AZ589" s="1"/>
      <c r="BC589" s="1"/>
      <c r="BF589" s="1"/>
      <c r="BI589" s="1"/>
      <c r="BP589" s="1"/>
      <c r="BS589" s="1"/>
      <c r="BU589" s="1"/>
      <c r="BW589" s="1"/>
    </row>
    <row r="590" spans="35:75">
      <c r="AI590" s="1"/>
      <c r="AL590" s="1"/>
      <c r="AO590" s="1"/>
      <c r="AR590" s="1"/>
      <c r="AZ590" s="1"/>
      <c r="BC590" s="1"/>
      <c r="BF590" s="1"/>
      <c r="BI590" s="1"/>
      <c r="BP590" s="1"/>
      <c r="BS590" s="1"/>
      <c r="BU590" s="1"/>
      <c r="BW590" s="1"/>
    </row>
    <row r="591" spans="35:75">
      <c r="AI591" s="1"/>
      <c r="AL591" s="1"/>
      <c r="AO591" s="1"/>
      <c r="AR591" s="1"/>
      <c r="AZ591" s="1"/>
      <c r="BC591" s="1"/>
      <c r="BF591" s="1"/>
      <c r="BI591" s="1"/>
      <c r="BP591" s="1"/>
      <c r="BS591" s="1"/>
      <c r="BU591" s="1"/>
      <c r="BW591" s="1"/>
    </row>
    <row r="592" spans="35:75">
      <c r="AI592" s="1"/>
      <c r="AL592" s="1"/>
      <c r="AO592" s="1"/>
      <c r="AR592" s="1"/>
      <c r="AZ592" s="1"/>
      <c r="BC592" s="1"/>
      <c r="BF592" s="1"/>
      <c r="BI592" s="1"/>
      <c r="BP592" s="1"/>
      <c r="BS592" s="1"/>
      <c r="BU592" s="1"/>
      <c r="BW592" s="1"/>
    </row>
    <row r="593" spans="35:75">
      <c r="AI593" s="1"/>
      <c r="AL593" s="1"/>
      <c r="AO593" s="1"/>
      <c r="AR593" s="1"/>
      <c r="AZ593" s="1"/>
      <c r="BC593" s="1"/>
      <c r="BF593" s="1"/>
      <c r="BI593" s="1"/>
      <c r="BP593" s="1"/>
      <c r="BS593" s="1"/>
      <c r="BU593" s="1"/>
      <c r="BW593" s="1"/>
    </row>
    <row r="594" spans="35:75">
      <c r="AI594" s="1"/>
      <c r="AL594" s="1"/>
      <c r="AO594" s="1"/>
      <c r="AR594" s="1"/>
      <c r="AZ594" s="1"/>
      <c r="BC594" s="1"/>
      <c r="BF594" s="1"/>
      <c r="BI594" s="1"/>
      <c r="BP594" s="1"/>
      <c r="BS594" s="1"/>
      <c r="BU594" s="1"/>
      <c r="BW594" s="1"/>
    </row>
    <row r="595" spans="35:75">
      <c r="AI595" s="1"/>
      <c r="AL595" s="1"/>
      <c r="AO595" s="1"/>
      <c r="AR595" s="1"/>
      <c r="AZ595" s="1"/>
      <c r="BC595" s="1"/>
      <c r="BF595" s="1"/>
      <c r="BI595" s="1"/>
      <c r="BP595" s="1"/>
      <c r="BS595" s="1"/>
      <c r="BU595" s="1"/>
      <c r="BW595" s="1"/>
    </row>
    <row r="596" spans="35:75">
      <c r="AI596" s="1"/>
      <c r="AL596" s="1"/>
      <c r="AO596" s="1"/>
      <c r="AR596" s="1"/>
      <c r="AZ596" s="1"/>
      <c r="BC596" s="1"/>
      <c r="BF596" s="1"/>
      <c r="BI596" s="1"/>
      <c r="BP596" s="1"/>
      <c r="BS596" s="1"/>
      <c r="BU596" s="1"/>
      <c r="BW596" s="1"/>
    </row>
    <row r="597" spans="35:75">
      <c r="AI597" s="1"/>
      <c r="AL597" s="1"/>
      <c r="AO597" s="1"/>
      <c r="AR597" s="1"/>
      <c r="AZ597" s="1"/>
      <c r="BC597" s="1"/>
      <c r="BF597" s="1"/>
      <c r="BI597" s="1"/>
      <c r="BP597" s="1"/>
      <c r="BS597" s="1"/>
      <c r="BU597" s="1"/>
      <c r="BW597" s="1"/>
    </row>
    <row r="598" spans="35:75">
      <c r="AI598" s="1"/>
      <c r="AL598" s="1"/>
      <c r="AO598" s="1"/>
      <c r="AR598" s="1"/>
      <c r="AZ598" s="1"/>
      <c r="BC598" s="1"/>
      <c r="BF598" s="1"/>
      <c r="BI598" s="1"/>
      <c r="BP598" s="1"/>
      <c r="BS598" s="1"/>
      <c r="BU598" s="1"/>
      <c r="BW598" s="1"/>
    </row>
    <row r="599" spans="35:75">
      <c r="AI599" s="1"/>
      <c r="AL599" s="1"/>
      <c r="AO599" s="1"/>
      <c r="AR599" s="1"/>
      <c r="AZ599" s="1"/>
      <c r="BC599" s="1"/>
      <c r="BF599" s="1"/>
      <c r="BI599" s="1"/>
      <c r="BP599" s="1"/>
      <c r="BS599" s="1"/>
      <c r="BU599" s="1"/>
      <c r="BW599" s="1"/>
    </row>
    <row r="600" spans="35:75">
      <c r="AI600" s="1"/>
      <c r="AL600" s="1"/>
      <c r="AO600" s="1"/>
      <c r="AR600" s="1"/>
      <c r="AZ600" s="1"/>
      <c r="BC600" s="1"/>
      <c r="BF600" s="1"/>
      <c r="BI600" s="1"/>
      <c r="BP600" s="1"/>
      <c r="BS600" s="1"/>
      <c r="BU600" s="1"/>
      <c r="BW600" s="1"/>
    </row>
    <row r="601" spans="35:75">
      <c r="AI601" s="1"/>
      <c r="AL601" s="1"/>
      <c r="AO601" s="1"/>
      <c r="AR601" s="1"/>
      <c r="AZ601" s="1"/>
      <c r="BC601" s="1"/>
      <c r="BF601" s="1"/>
      <c r="BI601" s="1"/>
      <c r="BP601" s="1"/>
      <c r="BS601" s="1"/>
      <c r="BU601" s="1"/>
      <c r="BW601" s="1"/>
    </row>
    <row r="602" spans="35:75">
      <c r="AI602" s="1"/>
      <c r="AL602" s="1"/>
      <c r="AO602" s="1"/>
      <c r="AR602" s="1"/>
      <c r="AZ602" s="1"/>
      <c r="BC602" s="1"/>
      <c r="BF602" s="1"/>
      <c r="BI602" s="1"/>
      <c r="BP602" s="1"/>
      <c r="BS602" s="1"/>
      <c r="BU602" s="1"/>
      <c r="BW602" s="1"/>
    </row>
    <row r="603" spans="35:75">
      <c r="AI603" s="1"/>
      <c r="AL603" s="1"/>
      <c r="AO603" s="1"/>
      <c r="AR603" s="1"/>
      <c r="AZ603" s="1"/>
      <c r="BC603" s="1"/>
      <c r="BF603" s="1"/>
      <c r="BI603" s="1"/>
      <c r="BP603" s="1"/>
      <c r="BS603" s="1"/>
      <c r="BU603" s="1"/>
      <c r="BW603" s="1"/>
    </row>
    <row r="604" spans="35:75">
      <c r="AI604" s="1"/>
      <c r="AL604" s="1"/>
      <c r="AO604" s="1"/>
      <c r="AR604" s="1"/>
      <c r="AZ604" s="1"/>
      <c r="BC604" s="1"/>
      <c r="BF604" s="1"/>
      <c r="BI604" s="1"/>
      <c r="BP604" s="1"/>
      <c r="BS604" s="1"/>
      <c r="BU604" s="1"/>
      <c r="BW604" s="1"/>
    </row>
    <row r="605" spans="35:75">
      <c r="AI605" s="1"/>
      <c r="AL605" s="1"/>
      <c r="AO605" s="1"/>
      <c r="AR605" s="1"/>
      <c r="AZ605" s="1"/>
      <c r="BC605" s="1"/>
      <c r="BF605" s="1"/>
      <c r="BI605" s="1"/>
      <c r="BP605" s="1"/>
      <c r="BS605" s="1"/>
      <c r="BU605" s="1"/>
      <c r="BW605" s="1"/>
    </row>
    <row r="606" spans="35:75">
      <c r="AI606" s="1"/>
      <c r="AL606" s="1"/>
      <c r="AO606" s="1"/>
      <c r="AR606" s="1"/>
      <c r="AZ606" s="1"/>
      <c r="BC606" s="1"/>
      <c r="BF606" s="1"/>
      <c r="BI606" s="1"/>
      <c r="BP606" s="1"/>
      <c r="BS606" s="1"/>
      <c r="BU606" s="1"/>
      <c r="BW606" s="1"/>
    </row>
    <row r="607" spans="35:75">
      <c r="AI607" s="1"/>
      <c r="AL607" s="1"/>
      <c r="AO607" s="1"/>
      <c r="AR607" s="1"/>
      <c r="AZ607" s="1"/>
      <c r="BC607" s="1"/>
      <c r="BF607" s="1"/>
      <c r="BI607" s="1"/>
      <c r="BP607" s="1"/>
      <c r="BS607" s="1"/>
      <c r="BU607" s="1"/>
      <c r="BW607" s="1"/>
    </row>
    <row r="608" spans="35:75">
      <c r="AI608" s="1"/>
      <c r="AL608" s="1"/>
      <c r="AO608" s="1"/>
      <c r="AR608" s="1"/>
      <c r="AZ608" s="1"/>
      <c r="BC608" s="1"/>
      <c r="BF608" s="1"/>
      <c r="BI608" s="1"/>
      <c r="BP608" s="1"/>
      <c r="BS608" s="1"/>
      <c r="BU608" s="1"/>
      <c r="BW608" s="1"/>
    </row>
    <row r="609" spans="35:75">
      <c r="AI609" s="1"/>
      <c r="AL609" s="1"/>
      <c r="AO609" s="1"/>
      <c r="AR609" s="1"/>
      <c r="AZ609" s="1"/>
      <c r="BC609" s="1"/>
      <c r="BF609" s="1"/>
      <c r="BI609" s="1"/>
      <c r="BP609" s="1"/>
      <c r="BS609" s="1"/>
      <c r="BU609" s="1"/>
      <c r="BW609" s="1"/>
    </row>
    <row r="610" spans="35:75">
      <c r="AI610" s="1"/>
      <c r="AL610" s="1"/>
      <c r="AO610" s="1"/>
      <c r="AR610" s="1"/>
      <c r="AZ610" s="1"/>
      <c r="BC610" s="1"/>
      <c r="BF610" s="1"/>
      <c r="BI610" s="1"/>
      <c r="BP610" s="1"/>
      <c r="BS610" s="1"/>
      <c r="BU610" s="1"/>
      <c r="BW610" s="1"/>
    </row>
    <row r="611" spans="35:75">
      <c r="AI611" s="1"/>
      <c r="AL611" s="1"/>
      <c r="AO611" s="1"/>
      <c r="AR611" s="1"/>
      <c r="AZ611" s="1"/>
      <c r="BC611" s="1"/>
      <c r="BF611" s="1"/>
      <c r="BI611" s="1"/>
      <c r="BP611" s="1"/>
      <c r="BS611" s="1"/>
      <c r="BU611" s="1"/>
      <c r="BW611" s="1"/>
    </row>
    <row r="612" spans="35:75">
      <c r="AI612" s="1"/>
      <c r="AL612" s="1"/>
      <c r="AO612" s="1"/>
      <c r="AR612" s="1"/>
      <c r="AZ612" s="1"/>
      <c r="BC612" s="1"/>
      <c r="BF612" s="1"/>
      <c r="BI612" s="1"/>
      <c r="BP612" s="1"/>
      <c r="BS612" s="1"/>
      <c r="BU612" s="1"/>
      <c r="BW612" s="1"/>
    </row>
    <row r="613" spans="35:75">
      <c r="AI613" s="1"/>
      <c r="AL613" s="1"/>
      <c r="AO613" s="1"/>
      <c r="AR613" s="1"/>
      <c r="AZ613" s="1"/>
      <c r="BC613" s="1"/>
      <c r="BF613" s="1"/>
      <c r="BI613" s="1"/>
      <c r="BP613" s="1"/>
      <c r="BS613" s="1"/>
      <c r="BU613" s="1"/>
      <c r="BW613" s="1"/>
    </row>
    <row r="614" spans="35:75">
      <c r="AI614" s="1"/>
      <c r="AL614" s="1"/>
      <c r="AO614" s="1"/>
      <c r="AR614" s="1"/>
      <c r="AZ614" s="1"/>
      <c r="BC614" s="1"/>
      <c r="BF614" s="1"/>
      <c r="BI614" s="1"/>
      <c r="BP614" s="1"/>
      <c r="BS614" s="1"/>
      <c r="BU614" s="1"/>
      <c r="BW614" s="1"/>
    </row>
    <row r="615" spans="35:75">
      <c r="AI615" s="1"/>
      <c r="AL615" s="1"/>
      <c r="AO615" s="1"/>
      <c r="AR615" s="1"/>
      <c r="AZ615" s="1"/>
      <c r="BC615" s="1"/>
      <c r="BF615" s="1"/>
      <c r="BI615" s="1"/>
      <c r="BP615" s="1"/>
      <c r="BS615" s="1"/>
      <c r="BU615" s="1"/>
      <c r="BW615" s="1"/>
    </row>
    <row r="616" spans="35:75">
      <c r="AI616" s="1"/>
      <c r="AL616" s="1"/>
      <c r="AO616" s="1"/>
      <c r="AR616" s="1"/>
      <c r="AZ616" s="1"/>
      <c r="BC616" s="1"/>
      <c r="BF616" s="1"/>
      <c r="BI616" s="1"/>
      <c r="BP616" s="1"/>
      <c r="BS616" s="1"/>
      <c r="BU616" s="1"/>
      <c r="BW616" s="1"/>
    </row>
    <row r="617" spans="35:75">
      <c r="AI617" s="1"/>
      <c r="AL617" s="1"/>
      <c r="AO617" s="1"/>
      <c r="AR617" s="1"/>
      <c r="AZ617" s="1"/>
      <c r="BC617" s="1"/>
      <c r="BF617" s="1"/>
      <c r="BI617" s="1"/>
      <c r="BP617" s="1"/>
      <c r="BS617" s="1"/>
      <c r="BU617" s="1"/>
      <c r="BW617" s="1"/>
    </row>
    <row r="618" spans="35:75">
      <c r="AI618" s="1"/>
      <c r="AL618" s="1"/>
      <c r="AO618" s="1"/>
      <c r="AR618" s="1"/>
      <c r="AZ618" s="1"/>
      <c r="BC618" s="1"/>
      <c r="BF618" s="1"/>
      <c r="BI618" s="1"/>
      <c r="BP618" s="1"/>
      <c r="BS618" s="1"/>
      <c r="BU618" s="1"/>
      <c r="BW618" s="1"/>
    </row>
    <row r="619" spans="35:75">
      <c r="AI619" s="1"/>
      <c r="AL619" s="1"/>
      <c r="AO619" s="1"/>
      <c r="AR619" s="1"/>
      <c r="AZ619" s="1"/>
      <c r="BC619" s="1"/>
      <c r="BF619" s="1"/>
      <c r="BI619" s="1"/>
      <c r="BP619" s="1"/>
      <c r="BS619" s="1"/>
      <c r="BU619" s="1"/>
      <c r="BW619" s="1"/>
    </row>
    <row r="620" spans="35:75">
      <c r="AI620" s="1"/>
      <c r="AL620" s="1"/>
      <c r="AO620" s="1"/>
      <c r="AR620" s="1"/>
      <c r="AZ620" s="1"/>
      <c r="BC620" s="1"/>
      <c r="BF620" s="1"/>
      <c r="BI620" s="1"/>
      <c r="BP620" s="1"/>
      <c r="BS620" s="1"/>
      <c r="BU620" s="1"/>
      <c r="BW620" s="1"/>
    </row>
    <row r="621" spans="35:75">
      <c r="AI621" s="1"/>
      <c r="AL621" s="1"/>
      <c r="AO621" s="1"/>
      <c r="AR621" s="1"/>
      <c r="AZ621" s="1"/>
      <c r="BC621" s="1"/>
      <c r="BF621" s="1"/>
      <c r="BI621" s="1"/>
      <c r="BP621" s="1"/>
      <c r="BS621" s="1"/>
      <c r="BU621" s="1"/>
      <c r="BW621" s="1"/>
    </row>
    <row r="622" spans="35:75">
      <c r="AI622" s="1"/>
      <c r="AL622" s="1"/>
      <c r="AO622" s="1"/>
      <c r="AR622" s="1"/>
      <c r="AZ622" s="1"/>
      <c r="BC622" s="1"/>
      <c r="BF622" s="1"/>
      <c r="BI622" s="1"/>
      <c r="BP622" s="1"/>
      <c r="BS622" s="1"/>
      <c r="BU622" s="1"/>
      <c r="BW622" s="1"/>
    </row>
    <row r="623" spans="35:75">
      <c r="AI623" s="1"/>
      <c r="AL623" s="1"/>
      <c r="AO623" s="1"/>
      <c r="AR623" s="1"/>
      <c r="AZ623" s="1"/>
      <c r="BC623" s="1"/>
      <c r="BF623" s="1"/>
      <c r="BI623" s="1"/>
      <c r="BP623" s="1"/>
      <c r="BS623" s="1"/>
      <c r="BU623" s="1"/>
      <c r="BW623" s="1"/>
    </row>
    <row r="624" spans="35:75">
      <c r="AI624" s="1"/>
      <c r="AL624" s="1"/>
      <c r="AO624" s="1"/>
      <c r="AR624" s="1"/>
      <c r="AZ624" s="1"/>
      <c r="BC624" s="1"/>
      <c r="BF624" s="1"/>
      <c r="BI624" s="1"/>
      <c r="BP624" s="1"/>
      <c r="BS624" s="1"/>
      <c r="BU624" s="1"/>
      <c r="BW624" s="1"/>
    </row>
    <row r="625" spans="35:75">
      <c r="AI625" s="1"/>
      <c r="AL625" s="1"/>
      <c r="AO625" s="1"/>
      <c r="AR625" s="1"/>
      <c r="AZ625" s="1"/>
      <c r="BC625" s="1"/>
      <c r="BF625" s="1"/>
      <c r="BI625" s="1"/>
      <c r="BP625" s="1"/>
      <c r="BS625" s="1"/>
      <c r="BU625" s="1"/>
      <c r="BW625" s="1"/>
    </row>
    <row r="626" spans="35:75">
      <c r="AI626" s="1"/>
      <c r="AL626" s="1"/>
      <c r="AO626" s="1"/>
      <c r="AR626" s="1"/>
      <c r="AZ626" s="1"/>
      <c r="BC626" s="1"/>
      <c r="BF626" s="1"/>
      <c r="BI626" s="1"/>
      <c r="BP626" s="1"/>
      <c r="BS626" s="1"/>
      <c r="BU626" s="1"/>
      <c r="BW626" s="1"/>
    </row>
    <row r="627" spans="35:75">
      <c r="AI627" s="1"/>
      <c r="AL627" s="1"/>
      <c r="AO627" s="1"/>
      <c r="AR627" s="1"/>
      <c r="AZ627" s="1"/>
      <c r="BC627" s="1"/>
      <c r="BF627" s="1"/>
      <c r="BI627" s="1"/>
      <c r="BP627" s="1"/>
      <c r="BS627" s="1"/>
      <c r="BU627" s="1"/>
      <c r="BW627" s="1"/>
    </row>
    <row r="628" spans="35:75">
      <c r="AI628" s="1"/>
      <c r="AL628" s="1"/>
      <c r="AO628" s="1"/>
      <c r="AR628" s="1"/>
      <c r="AZ628" s="1"/>
      <c r="BC628" s="1"/>
      <c r="BF628" s="1"/>
      <c r="BI628" s="1"/>
      <c r="BP628" s="1"/>
      <c r="BS628" s="1"/>
      <c r="BU628" s="1"/>
      <c r="BW628" s="1"/>
    </row>
    <row r="629" spans="35:75">
      <c r="AI629" s="1"/>
      <c r="AL629" s="1"/>
      <c r="AO629" s="1"/>
      <c r="AR629" s="1"/>
      <c r="AZ629" s="1"/>
      <c r="BC629" s="1"/>
      <c r="BF629" s="1"/>
      <c r="BI629" s="1"/>
      <c r="BP629" s="1"/>
      <c r="BS629" s="1"/>
      <c r="BU629" s="1"/>
      <c r="BW629" s="1"/>
    </row>
    <row r="630" spans="35:75">
      <c r="AI630" s="1"/>
      <c r="AL630" s="1"/>
      <c r="AO630" s="1"/>
      <c r="AR630" s="1"/>
      <c r="AZ630" s="1"/>
      <c r="BC630" s="1"/>
      <c r="BF630" s="1"/>
      <c r="BI630" s="1"/>
      <c r="BP630" s="1"/>
      <c r="BS630" s="1"/>
      <c r="BU630" s="1"/>
      <c r="BW630" s="1"/>
    </row>
    <row r="631" spans="35:75">
      <c r="AI631" s="1"/>
      <c r="AL631" s="1"/>
      <c r="AO631" s="1"/>
      <c r="AR631" s="1"/>
      <c r="AZ631" s="1"/>
      <c r="BC631" s="1"/>
      <c r="BF631" s="1"/>
      <c r="BI631" s="1"/>
      <c r="BP631" s="1"/>
      <c r="BS631" s="1"/>
      <c r="BU631" s="1"/>
      <c r="BW631" s="1"/>
    </row>
    <row r="632" spans="35:75">
      <c r="AI632" s="1"/>
      <c r="AL632" s="1"/>
      <c r="AO632" s="1"/>
      <c r="AR632" s="1"/>
      <c r="AZ632" s="1"/>
      <c r="BC632" s="1"/>
      <c r="BF632" s="1"/>
      <c r="BI632" s="1"/>
      <c r="BP632" s="1"/>
      <c r="BS632" s="1"/>
      <c r="BU632" s="1"/>
      <c r="BW632" s="1"/>
    </row>
    <row r="633" spans="35:75">
      <c r="AI633" s="1"/>
      <c r="AL633" s="1"/>
      <c r="AO633" s="1"/>
      <c r="AR633" s="1"/>
      <c r="AZ633" s="1"/>
      <c r="BC633" s="1"/>
      <c r="BF633" s="1"/>
      <c r="BI633" s="1"/>
      <c r="BP633" s="1"/>
      <c r="BS633" s="1"/>
      <c r="BU633" s="1"/>
      <c r="BW633" s="1"/>
    </row>
    <row r="634" spans="35:75">
      <c r="AI634" s="1"/>
      <c r="AL634" s="1"/>
      <c r="AO634" s="1"/>
      <c r="AR634" s="1"/>
      <c r="AZ634" s="1"/>
      <c r="BC634" s="1"/>
      <c r="BF634" s="1"/>
      <c r="BI634" s="1"/>
      <c r="BP634" s="1"/>
      <c r="BS634" s="1"/>
      <c r="BU634" s="1"/>
      <c r="BW634" s="1"/>
    </row>
    <row r="635" spans="35:75">
      <c r="AI635" s="1"/>
      <c r="AL635" s="1"/>
      <c r="AO635" s="1"/>
      <c r="AR635" s="1"/>
      <c r="AZ635" s="1"/>
      <c r="BC635" s="1"/>
      <c r="BF635" s="1"/>
      <c r="BI635" s="1"/>
      <c r="BP635" s="1"/>
      <c r="BS635" s="1"/>
      <c r="BU635" s="1"/>
      <c r="BW635" s="1"/>
    </row>
    <row r="636" spans="35:75">
      <c r="AI636" s="1"/>
      <c r="AL636" s="1"/>
      <c r="AO636" s="1"/>
      <c r="AR636" s="1"/>
      <c r="AZ636" s="1"/>
      <c r="BC636" s="1"/>
      <c r="BF636" s="1"/>
      <c r="BI636" s="1"/>
      <c r="BP636" s="1"/>
      <c r="BS636" s="1"/>
      <c r="BU636" s="1"/>
      <c r="BW636" s="1"/>
    </row>
    <row r="637" spans="35:75">
      <c r="AI637" s="1"/>
      <c r="AL637" s="1"/>
      <c r="AO637" s="1"/>
      <c r="AR637" s="1"/>
      <c r="AZ637" s="1"/>
      <c r="BC637" s="1"/>
      <c r="BF637" s="1"/>
      <c r="BI637" s="1"/>
      <c r="BP637" s="1"/>
      <c r="BS637" s="1"/>
      <c r="BU637" s="1"/>
      <c r="BW637" s="1"/>
    </row>
    <row r="638" spans="35:75">
      <c r="AI638" s="1"/>
      <c r="AL638" s="1"/>
      <c r="AO638" s="1"/>
      <c r="AR638" s="1"/>
      <c r="AZ638" s="1"/>
      <c r="BC638" s="1"/>
      <c r="BF638" s="1"/>
      <c r="BI638" s="1"/>
      <c r="BP638" s="1"/>
      <c r="BS638" s="1"/>
      <c r="BU638" s="1"/>
      <c r="BW638" s="1"/>
    </row>
    <row r="639" spans="35:75">
      <c r="AI639" s="1"/>
      <c r="AL639" s="1"/>
      <c r="AO639" s="1"/>
      <c r="AR639" s="1"/>
      <c r="AZ639" s="1"/>
      <c r="BC639" s="1"/>
      <c r="BF639" s="1"/>
      <c r="BI639" s="1"/>
      <c r="BP639" s="1"/>
      <c r="BS639" s="1"/>
      <c r="BU639" s="1"/>
      <c r="BW639" s="1"/>
    </row>
    <row r="640" spans="35:75">
      <c r="AI640" s="1"/>
      <c r="AL640" s="1"/>
      <c r="AO640" s="1"/>
      <c r="AR640" s="1"/>
      <c r="AZ640" s="1"/>
      <c r="BC640" s="1"/>
      <c r="BF640" s="1"/>
      <c r="BI640" s="1"/>
      <c r="BP640" s="1"/>
      <c r="BS640" s="1"/>
      <c r="BU640" s="1"/>
      <c r="BW640" s="1"/>
    </row>
    <row r="641" spans="35:75">
      <c r="AI641" s="1"/>
      <c r="AL641" s="1"/>
      <c r="AO641" s="1"/>
      <c r="AR641" s="1"/>
      <c r="AZ641" s="1"/>
      <c r="BC641" s="1"/>
      <c r="BF641" s="1"/>
      <c r="BI641" s="1"/>
      <c r="BP641" s="1"/>
      <c r="BS641" s="1"/>
      <c r="BU641" s="1"/>
      <c r="BW641" s="1"/>
    </row>
    <row r="642" spans="35:75">
      <c r="AI642" s="1"/>
      <c r="AL642" s="1"/>
      <c r="AO642" s="1"/>
      <c r="AR642" s="1"/>
      <c r="AZ642" s="1"/>
      <c r="BC642" s="1"/>
      <c r="BF642" s="1"/>
      <c r="BI642" s="1"/>
      <c r="BP642" s="1"/>
      <c r="BS642" s="1"/>
      <c r="BU642" s="1"/>
      <c r="BW642" s="1"/>
    </row>
    <row r="643" spans="35:75">
      <c r="AI643" s="1"/>
      <c r="AL643" s="1"/>
      <c r="AO643" s="1"/>
      <c r="AR643" s="1"/>
      <c r="AZ643" s="1"/>
      <c r="BC643" s="1"/>
      <c r="BF643" s="1"/>
      <c r="BI643" s="1"/>
      <c r="BP643" s="1"/>
      <c r="BS643" s="1"/>
      <c r="BU643" s="1"/>
      <c r="BW643" s="1"/>
    </row>
    <row r="644" spans="35:75">
      <c r="AI644" s="1"/>
      <c r="AL644" s="1"/>
      <c r="AO644" s="1"/>
      <c r="AR644" s="1"/>
      <c r="AZ644" s="1"/>
      <c r="BC644" s="1"/>
      <c r="BF644" s="1"/>
      <c r="BI644" s="1"/>
      <c r="BP644" s="1"/>
      <c r="BS644" s="1"/>
      <c r="BU644" s="1"/>
      <c r="BW644" s="1"/>
    </row>
    <row r="645" spans="35:75">
      <c r="AI645" s="1"/>
      <c r="AL645" s="1"/>
      <c r="AO645" s="1"/>
      <c r="AR645" s="1"/>
      <c r="AZ645" s="1"/>
      <c r="BC645" s="1"/>
      <c r="BF645" s="1"/>
      <c r="BI645" s="1"/>
      <c r="BP645" s="1"/>
      <c r="BS645" s="1"/>
      <c r="BU645" s="1"/>
      <c r="BW645" s="1"/>
    </row>
    <row r="646" spans="35:75">
      <c r="AI646" s="1"/>
      <c r="AL646" s="1"/>
      <c r="AO646" s="1"/>
      <c r="AR646" s="1"/>
      <c r="AZ646" s="1"/>
      <c r="BC646" s="1"/>
      <c r="BF646" s="1"/>
      <c r="BI646" s="1"/>
      <c r="BP646" s="1"/>
      <c r="BS646" s="1"/>
      <c r="BU646" s="1"/>
      <c r="BW646" s="1"/>
    </row>
    <row r="647" spans="35:75">
      <c r="AI647" s="1"/>
      <c r="AL647" s="1"/>
      <c r="AO647" s="1"/>
      <c r="AR647" s="1"/>
      <c r="AZ647" s="1"/>
      <c r="BC647" s="1"/>
      <c r="BF647" s="1"/>
      <c r="BI647" s="1"/>
      <c r="BP647" s="1"/>
      <c r="BS647" s="1"/>
      <c r="BU647" s="1"/>
      <c r="BW647" s="1"/>
    </row>
    <row r="648" spans="35:75">
      <c r="AI648" s="1"/>
      <c r="AL648" s="1"/>
      <c r="AO648" s="1"/>
      <c r="AR648" s="1"/>
      <c r="AZ648" s="1"/>
      <c r="BC648" s="1"/>
      <c r="BF648" s="1"/>
      <c r="BI648" s="1"/>
      <c r="BP648" s="1"/>
      <c r="BS648" s="1"/>
      <c r="BU648" s="1"/>
      <c r="BW648" s="1"/>
    </row>
    <row r="649" spans="35:75">
      <c r="AI649" s="1"/>
      <c r="AL649" s="1"/>
      <c r="AO649" s="1"/>
      <c r="AR649" s="1"/>
      <c r="AZ649" s="1"/>
      <c r="BC649" s="1"/>
      <c r="BF649" s="1"/>
      <c r="BI649" s="1"/>
      <c r="BP649" s="1"/>
      <c r="BS649" s="1"/>
      <c r="BU649" s="1"/>
      <c r="BW649" s="1"/>
    </row>
    <row r="650" spans="35:75">
      <c r="AI650" s="1"/>
      <c r="AL650" s="1"/>
      <c r="AO650" s="1"/>
      <c r="AR650" s="1"/>
      <c r="AZ650" s="1"/>
      <c r="BC650" s="1"/>
      <c r="BF650" s="1"/>
      <c r="BI650" s="1"/>
      <c r="BP650" s="1"/>
      <c r="BS650" s="1"/>
      <c r="BU650" s="1"/>
      <c r="BW650" s="1"/>
    </row>
    <row r="651" spans="35:75">
      <c r="AI651" s="1"/>
      <c r="AL651" s="1"/>
      <c r="AO651" s="1"/>
      <c r="AR651" s="1"/>
      <c r="AZ651" s="1"/>
      <c r="BC651" s="1"/>
      <c r="BF651" s="1"/>
      <c r="BI651" s="1"/>
      <c r="BP651" s="1"/>
      <c r="BS651" s="1"/>
      <c r="BU651" s="1"/>
      <c r="BW651" s="1"/>
    </row>
    <row r="652" spans="35:75">
      <c r="AI652" s="1"/>
      <c r="AL652" s="1"/>
      <c r="AO652" s="1"/>
      <c r="AR652" s="1"/>
      <c r="AZ652" s="1"/>
      <c r="BC652" s="1"/>
      <c r="BF652" s="1"/>
      <c r="BI652" s="1"/>
      <c r="BP652" s="1"/>
      <c r="BS652" s="1"/>
      <c r="BU652" s="1"/>
      <c r="BW652" s="1"/>
    </row>
    <row r="653" spans="35:75">
      <c r="AI653" s="1"/>
      <c r="AL653" s="1"/>
      <c r="AO653" s="1"/>
      <c r="AR653" s="1"/>
      <c r="AZ653" s="1"/>
      <c r="BC653" s="1"/>
      <c r="BF653" s="1"/>
      <c r="BI653" s="1"/>
      <c r="BP653" s="1"/>
      <c r="BS653" s="1"/>
      <c r="BU653" s="1"/>
      <c r="BW653" s="1"/>
    </row>
    <row r="654" spans="35:75">
      <c r="AI654" s="1"/>
      <c r="AL654" s="1"/>
      <c r="AO654" s="1"/>
      <c r="AR654" s="1"/>
      <c r="AZ654" s="1"/>
      <c r="BC654" s="1"/>
      <c r="BF654" s="1"/>
      <c r="BI654" s="1"/>
      <c r="BP654" s="1"/>
      <c r="BS654" s="1"/>
      <c r="BU654" s="1"/>
      <c r="BW654" s="1"/>
    </row>
    <row r="655" spans="35:75">
      <c r="AI655" s="1"/>
      <c r="AL655" s="1"/>
      <c r="AO655" s="1"/>
      <c r="AR655" s="1"/>
      <c r="AZ655" s="1"/>
      <c r="BC655" s="1"/>
      <c r="BF655" s="1"/>
      <c r="BI655" s="1"/>
      <c r="BP655" s="1"/>
      <c r="BS655" s="1"/>
      <c r="BU655" s="1"/>
      <c r="BW655" s="1"/>
    </row>
    <row r="656" spans="35:75">
      <c r="AI656" s="1"/>
      <c r="AL656" s="1"/>
      <c r="AO656" s="1"/>
      <c r="AR656" s="1"/>
      <c r="AZ656" s="1"/>
      <c r="BC656" s="1"/>
      <c r="BF656" s="1"/>
      <c r="BI656" s="1"/>
      <c r="BP656" s="1"/>
      <c r="BS656" s="1"/>
      <c r="BU656" s="1"/>
      <c r="BW656" s="1"/>
    </row>
    <row r="657" spans="35:75">
      <c r="AI657" s="1"/>
      <c r="AL657" s="1"/>
      <c r="AO657" s="1"/>
      <c r="AR657" s="1"/>
      <c r="AZ657" s="1"/>
      <c r="BC657" s="1"/>
      <c r="BF657" s="1"/>
      <c r="BI657" s="1"/>
      <c r="BP657" s="1"/>
      <c r="BS657" s="1"/>
      <c r="BU657" s="1"/>
      <c r="BW657" s="1"/>
    </row>
    <row r="658" spans="35:75">
      <c r="AI658" s="1"/>
      <c r="AL658" s="1"/>
      <c r="AO658" s="1"/>
      <c r="AR658" s="1"/>
      <c r="AZ658" s="1"/>
      <c r="BC658" s="1"/>
      <c r="BF658" s="1"/>
      <c r="BI658" s="1"/>
      <c r="BP658" s="1"/>
      <c r="BS658" s="1"/>
      <c r="BU658" s="1"/>
      <c r="BW658" s="1"/>
    </row>
    <row r="659" spans="35:75">
      <c r="AI659" s="1"/>
      <c r="AL659" s="1"/>
      <c r="AO659" s="1"/>
      <c r="AR659" s="1"/>
      <c r="AZ659" s="1"/>
      <c r="BC659" s="1"/>
      <c r="BF659" s="1"/>
      <c r="BI659" s="1"/>
      <c r="BP659" s="1"/>
      <c r="BS659" s="1"/>
      <c r="BU659" s="1"/>
      <c r="BW659" s="1"/>
    </row>
    <row r="660" spans="35:75">
      <c r="AI660" s="1"/>
      <c r="AL660" s="1"/>
      <c r="AO660" s="1"/>
      <c r="AR660" s="1"/>
      <c r="AZ660" s="1"/>
      <c r="BC660" s="1"/>
      <c r="BF660" s="1"/>
      <c r="BI660" s="1"/>
      <c r="BP660" s="1"/>
      <c r="BS660" s="1"/>
      <c r="BU660" s="1"/>
      <c r="BW660" s="1"/>
    </row>
    <row r="661" spans="35:75">
      <c r="AI661" s="1"/>
      <c r="AL661" s="1"/>
      <c r="AO661" s="1"/>
      <c r="AR661" s="1"/>
      <c r="AZ661" s="1"/>
      <c r="BC661" s="1"/>
      <c r="BF661" s="1"/>
      <c r="BI661" s="1"/>
      <c r="BP661" s="1"/>
      <c r="BS661" s="1"/>
      <c r="BU661" s="1"/>
      <c r="BW661" s="1"/>
    </row>
    <row r="662" spans="35:75">
      <c r="AI662" s="1"/>
      <c r="AL662" s="1"/>
      <c r="AO662" s="1"/>
      <c r="AR662" s="1"/>
      <c r="AZ662" s="1"/>
      <c r="BC662" s="1"/>
      <c r="BF662" s="1"/>
      <c r="BI662" s="1"/>
      <c r="BP662" s="1"/>
      <c r="BS662" s="1"/>
      <c r="BU662" s="1"/>
      <c r="BW662" s="1"/>
    </row>
    <row r="663" spans="35:75">
      <c r="AI663" s="1"/>
      <c r="AL663" s="1"/>
      <c r="AO663" s="1"/>
      <c r="AR663" s="1"/>
      <c r="AZ663" s="1"/>
      <c r="BC663" s="1"/>
      <c r="BF663" s="1"/>
      <c r="BI663" s="1"/>
      <c r="BP663" s="1"/>
      <c r="BS663" s="1"/>
      <c r="BU663" s="1"/>
      <c r="BW663" s="1"/>
    </row>
    <row r="664" spans="35:75">
      <c r="AI664" s="1"/>
      <c r="AL664" s="1"/>
      <c r="AO664" s="1"/>
      <c r="AR664" s="1"/>
      <c r="AZ664" s="1"/>
      <c r="BC664" s="1"/>
      <c r="BF664" s="1"/>
      <c r="BI664" s="1"/>
      <c r="BP664" s="1"/>
      <c r="BS664" s="1"/>
      <c r="BU664" s="1"/>
      <c r="BW664" s="1"/>
    </row>
    <row r="665" spans="35:75">
      <c r="AI665" s="1"/>
      <c r="AL665" s="1"/>
      <c r="AO665" s="1"/>
      <c r="AR665" s="1"/>
      <c r="AZ665" s="1"/>
      <c r="BC665" s="1"/>
      <c r="BF665" s="1"/>
      <c r="BI665" s="1"/>
      <c r="BP665" s="1"/>
      <c r="BS665" s="1"/>
      <c r="BU665" s="1"/>
      <c r="BW665" s="1"/>
    </row>
    <row r="666" spans="35:75">
      <c r="AI666" s="1"/>
      <c r="AL666" s="1"/>
      <c r="AO666" s="1"/>
      <c r="AR666" s="1"/>
      <c r="AZ666" s="1"/>
      <c r="BC666" s="1"/>
      <c r="BF666" s="1"/>
      <c r="BI666" s="1"/>
      <c r="BP666" s="1"/>
      <c r="BS666" s="1"/>
      <c r="BU666" s="1"/>
      <c r="BW666" s="1"/>
    </row>
    <row r="667" spans="35:75">
      <c r="AI667" s="1"/>
      <c r="AL667" s="1"/>
      <c r="AO667" s="1"/>
      <c r="AR667" s="1"/>
      <c r="AZ667" s="1"/>
      <c r="BC667" s="1"/>
      <c r="BF667" s="1"/>
      <c r="BI667" s="1"/>
      <c r="BP667" s="1"/>
      <c r="BS667" s="1"/>
      <c r="BU667" s="1"/>
      <c r="BW667" s="1"/>
    </row>
    <row r="668" spans="35:75">
      <c r="AI668" s="1"/>
      <c r="AL668" s="1"/>
      <c r="AO668" s="1"/>
      <c r="AR668" s="1"/>
      <c r="AZ668" s="1"/>
      <c r="BC668" s="1"/>
      <c r="BF668" s="1"/>
      <c r="BI668" s="1"/>
      <c r="BP668" s="1"/>
      <c r="BS668" s="1"/>
      <c r="BU668" s="1"/>
      <c r="BW668" s="1"/>
    </row>
    <row r="669" spans="35:75">
      <c r="AI669" s="1"/>
      <c r="AL669" s="1"/>
      <c r="AO669" s="1"/>
      <c r="AR669" s="1"/>
      <c r="AZ669" s="1"/>
      <c r="BC669" s="1"/>
      <c r="BF669" s="1"/>
      <c r="BI669" s="1"/>
      <c r="BP669" s="1"/>
      <c r="BS669" s="1"/>
      <c r="BU669" s="1"/>
      <c r="BW669" s="1"/>
    </row>
    <row r="670" spans="35:75">
      <c r="AI670" s="1"/>
      <c r="AL670" s="1"/>
      <c r="AO670" s="1"/>
      <c r="AR670" s="1"/>
      <c r="AZ670" s="1"/>
      <c r="BC670" s="1"/>
      <c r="BF670" s="1"/>
      <c r="BI670" s="1"/>
      <c r="BP670" s="1"/>
      <c r="BS670" s="1"/>
      <c r="BU670" s="1"/>
      <c r="BW670" s="1"/>
    </row>
    <row r="671" spans="35:75">
      <c r="AI671" s="1"/>
      <c r="AL671" s="1"/>
      <c r="AO671" s="1"/>
      <c r="AR671" s="1"/>
      <c r="AZ671" s="1"/>
      <c r="BC671" s="1"/>
      <c r="BF671" s="1"/>
      <c r="BI671" s="1"/>
      <c r="BP671" s="1"/>
      <c r="BS671" s="1"/>
      <c r="BU671" s="1"/>
      <c r="BW671" s="1"/>
    </row>
    <row r="672" spans="35:75">
      <c r="AI672" s="1"/>
      <c r="AL672" s="1"/>
      <c r="AO672" s="1"/>
      <c r="AR672" s="1"/>
      <c r="AZ672" s="1"/>
      <c r="BC672" s="1"/>
      <c r="BF672" s="1"/>
      <c r="BI672" s="1"/>
      <c r="BP672" s="1"/>
      <c r="BS672" s="1"/>
      <c r="BU672" s="1"/>
      <c r="BW672" s="1"/>
    </row>
    <row r="673" spans="35:75">
      <c r="AI673" s="1"/>
      <c r="AL673" s="1"/>
      <c r="AO673" s="1"/>
      <c r="AR673" s="1"/>
      <c r="AZ673" s="1"/>
      <c r="BC673" s="1"/>
      <c r="BF673" s="1"/>
      <c r="BI673" s="1"/>
      <c r="BP673" s="1"/>
      <c r="BS673" s="1"/>
      <c r="BU673" s="1"/>
      <c r="BW673" s="1"/>
    </row>
    <row r="674" spans="35:75">
      <c r="AI674" s="1"/>
      <c r="AL674" s="1"/>
      <c r="AO674" s="1"/>
      <c r="AR674" s="1"/>
      <c r="AZ674" s="1"/>
      <c r="BC674" s="1"/>
      <c r="BF674" s="1"/>
      <c r="BI674" s="1"/>
      <c r="BP674" s="1"/>
      <c r="BS674" s="1"/>
      <c r="BU674" s="1"/>
      <c r="BW674" s="1"/>
    </row>
    <row r="675" spans="35:75">
      <c r="AI675" s="1"/>
      <c r="AL675" s="1"/>
      <c r="AO675" s="1"/>
      <c r="AR675" s="1"/>
      <c r="AZ675" s="1"/>
      <c r="BC675" s="1"/>
      <c r="BF675" s="1"/>
      <c r="BI675" s="1"/>
      <c r="BP675" s="1"/>
      <c r="BS675" s="1"/>
      <c r="BU675" s="1"/>
      <c r="BW675" s="1"/>
    </row>
    <row r="676" spans="35:75">
      <c r="AI676" s="1"/>
      <c r="AL676" s="1"/>
      <c r="AO676" s="1"/>
      <c r="AR676" s="1"/>
      <c r="AZ676" s="1"/>
      <c r="BC676" s="1"/>
      <c r="BF676" s="1"/>
      <c r="BI676" s="1"/>
      <c r="BP676" s="1"/>
      <c r="BS676" s="1"/>
      <c r="BU676" s="1"/>
      <c r="BW676" s="1"/>
    </row>
    <row r="677" spans="35:75">
      <c r="AI677" s="1"/>
      <c r="AL677" s="1"/>
      <c r="AO677" s="1"/>
      <c r="AR677" s="1"/>
      <c r="AZ677" s="1"/>
      <c r="BC677" s="1"/>
      <c r="BF677" s="1"/>
      <c r="BI677" s="1"/>
      <c r="BP677" s="1"/>
      <c r="BS677" s="1"/>
      <c r="BU677" s="1"/>
      <c r="BW677" s="1"/>
    </row>
    <row r="678" spans="35:75">
      <c r="AI678" s="1"/>
      <c r="AL678" s="1"/>
      <c r="AO678" s="1"/>
      <c r="AR678" s="1"/>
      <c r="AZ678" s="1"/>
      <c r="BC678" s="1"/>
      <c r="BF678" s="1"/>
      <c r="BI678" s="1"/>
      <c r="BP678" s="1"/>
      <c r="BS678" s="1"/>
      <c r="BU678" s="1"/>
      <c r="BW678" s="1"/>
    </row>
    <row r="679" spans="35:75">
      <c r="AI679" s="1"/>
      <c r="AL679" s="1"/>
      <c r="AO679" s="1"/>
      <c r="AR679" s="1"/>
      <c r="AZ679" s="1"/>
      <c r="BC679" s="1"/>
      <c r="BF679" s="1"/>
      <c r="BI679" s="1"/>
      <c r="BP679" s="1"/>
      <c r="BS679" s="1"/>
      <c r="BU679" s="1"/>
      <c r="BW679" s="1"/>
    </row>
    <row r="680" spans="35:75">
      <c r="AI680" s="1"/>
      <c r="AL680" s="1"/>
      <c r="AO680" s="1"/>
      <c r="AR680" s="1"/>
      <c r="AZ680" s="1"/>
      <c r="BC680" s="1"/>
      <c r="BF680" s="1"/>
      <c r="BI680" s="1"/>
      <c r="BP680" s="1"/>
      <c r="BS680" s="1"/>
      <c r="BU680" s="1"/>
      <c r="BW680" s="1"/>
    </row>
    <row r="681" spans="35:75">
      <c r="AI681" s="1"/>
      <c r="AL681" s="1"/>
      <c r="AO681" s="1"/>
      <c r="AR681" s="1"/>
      <c r="AZ681" s="1"/>
      <c r="BC681" s="1"/>
      <c r="BF681" s="1"/>
      <c r="BI681" s="1"/>
      <c r="BP681" s="1"/>
      <c r="BS681" s="1"/>
      <c r="BU681" s="1"/>
      <c r="BW681" s="1"/>
    </row>
    <row r="682" spans="35:75">
      <c r="AI682" s="1"/>
      <c r="AL682" s="1"/>
      <c r="AO682" s="1"/>
      <c r="AR682" s="1"/>
      <c r="AZ682" s="1"/>
      <c r="BC682" s="1"/>
      <c r="BF682" s="1"/>
      <c r="BI682" s="1"/>
      <c r="BP682" s="1"/>
      <c r="BS682" s="1"/>
      <c r="BU682" s="1"/>
      <c r="BW682" s="1"/>
    </row>
    <row r="683" spans="35:75">
      <c r="AI683" s="1"/>
      <c r="AL683" s="1"/>
      <c r="AO683" s="1"/>
      <c r="AR683" s="1"/>
      <c r="AZ683" s="1"/>
      <c r="BC683" s="1"/>
      <c r="BF683" s="1"/>
      <c r="BI683" s="1"/>
      <c r="BP683" s="1"/>
      <c r="BS683" s="1"/>
      <c r="BU683" s="1"/>
      <c r="BW683" s="1"/>
    </row>
    <row r="684" spans="35:75">
      <c r="AI684" s="1"/>
      <c r="AL684" s="1"/>
      <c r="AO684" s="1"/>
      <c r="AR684" s="1"/>
      <c r="AZ684" s="1"/>
      <c r="BC684" s="1"/>
      <c r="BF684" s="1"/>
      <c r="BI684" s="1"/>
      <c r="BP684" s="1"/>
      <c r="BS684" s="1"/>
      <c r="BU684" s="1"/>
      <c r="BW684" s="1"/>
    </row>
    <row r="685" spans="35:75">
      <c r="AI685" s="1"/>
      <c r="AL685" s="1"/>
      <c r="AO685" s="1"/>
      <c r="AR685" s="1"/>
      <c r="AZ685" s="1"/>
      <c r="BC685" s="1"/>
      <c r="BF685" s="1"/>
      <c r="BI685" s="1"/>
      <c r="BP685" s="1"/>
      <c r="BS685" s="1"/>
      <c r="BU685" s="1"/>
      <c r="BW685" s="1"/>
    </row>
    <row r="686" spans="35:75">
      <c r="AI686" s="1"/>
      <c r="AL686" s="1"/>
      <c r="AO686" s="1"/>
      <c r="AR686" s="1"/>
      <c r="AZ686" s="1"/>
      <c r="BC686" s="1"/>
      <c r="BF686" s="1"/>
      <c r="BI686" s="1"/>
      <c r="BP686" s="1"/>
      <c r="BS686" s="1"/>
      <c r="BU686" s="1"/>
      <c r="BW686" s="1"/>
    </row>
    <row r="687" spans="35:75">
      <c r="AI687" s="1"/>
      <c r="AL687" s="1"/>
      <c r="AO687" s="1"/>
      <c r="AR687" s="1"/>
      <c r="AZ687" s="1"/>
      <c r="BC687" s="1"/>
      <c r="BF687" s="1"/>
      <c r="BI687" s="1"/>
      <c r="BP687" s="1"/>
      <c r="BS687" s="1"/>
      <c r="BU687" s="1"/>
      <c r="BW687" s="1"/>
    </row>
    <row r="688" spans="35:75">
      <c r="AI688" s="1"/>
      <c r="AL688" s="1"/>
      <c r="AO688" s="1"/>
      <c r="AR688" s="1"/>
      <c r="AZ688" s="1"/>
      <c r="BC688" s="1"/>
      <c r="BF688" s="1"/>
      <c r="BI688" s="1"/>
      <c r="BP688" s="1"/>
      <c r="BS688" s="1"/>
      <c r="BU688" s="1"/>
      <c r="BW688" s="1"/>
    </row>
    <row r="689" spans="35:75">
      <c r="AI689" s="1"/>
      <c r="AL689" s="1"/>
      <c r="AO689" s="1"/>
      <c r="AR689" s="1"/>
      <c r="AZ689" s="1"/>
      <c r="BC689" s="1"/>
      <c r="BF689" s="1"/>
      <c r="BI689" s="1"/>
      <c r="BP689" s="1"/>
      <c r="BS689" s="1"/>
      <c r="BU689" s="1"/>
      <c r="BW689" s="1"/>
    </row>
    <row r="690" spans="35:75">
      <c r="AI690" s="1"/>
      <c r="AL690" s="1"/>
      <c r="AO690" s="1"/>
      <c r="AR690" s="1"/>
      <c r="AZ690" s="1"/>
      <c r="BC690" s="1"/>
      <c r="BF690" s="1"/>
      <c r="BI690" s="1"/>
      <c r="BP690" s="1"/>
      <c r="BS690" s="1"/>
      <c r="BU690" s="1"/>
      <c r="BW690" s="1"/>
    </row>
    <row r="691" spans="35:75">
      <c r="AI691" s="1"/>
      <c r="AL691" s="1"/>
      <c r="AO691" s="1"/>
      <c r="AR691" s="1"/>
      <c r="AZ691" s="1"/>
      <c r="BC691" s="1"/>
      <c r="BF691" s="1"/>
      <c r="BI691" s="1"/>
      <c r="BP691" s="1"/>
      <c r="BS691" s="1"/>
      <c r="BU691" s="1"/>
      <c r="BW691" s="1"/>
    </row>
    <row r="692" spans="35:75">
      <c r="AI692" s="1"/>
      <c r="AL692" s="1"/>
      <c r="AO692" s="1"/>
      <c r="AR692" s="1"/>
      <c r="AZ692" s="1"/>
      <c r="BC692" s="1"/>
      <c r="BF692" s="1"/>
      <c r="BI692" s="1"/>
      <c r="BP692" s="1"/>
      <c r="BS692" s="1"/>
      <c r="BU692" s="1"/>
      <c r="BW692" s="1"/>
    </row>
    <row r="693" spans="35:75">
      <c r="AI693" s="1"/>
      <c r="AL693" s="1"/>
      <c r="AO693" s="1"/>
      <c r="AR693" s="1"/>
      <c r="AZ693" s="1"/>
      <c r="BC693" s="1"/>
      <c r="BF693" s="1"/>
      <c r="BI693" s="1"/>
      <c r="BP693" s="1"/>
      <c r="BS693" s="1"/>
      <c r="BU693" s="1"/>
      <c r="BW693" s="1"/>
    </row>
    <row r="694" spans="35:75">
      <c r="AI694" s="1"/>
      <c r="AL694" s="1"/>
      <c r="AO694" s="1"/>
      <c r="AR694" s="1"/>
      <c r="AZ694" s="1"/>
      <c r="BC694" s="1"/>
      <c r="BF694" s="1"/>
      <c r="BI694" s="1"/>
      <c r="BP694" s="1"/>
      <c r="BS694" s="1"/>
      <c r="BU694" s="1"/>
      <c r="BW694" s="1"/>
    </row>
    <row r="695" spans="35:75">
      <c r="AI695" s="1"/>
      <c r="AL695" s="1"/>
      <c r="AO695" s="1"/>
      <c r="AR695" s="1"/>
      <c r="AZ695" s="1"/>
      <c r="BC695" s="1"/>
      <c r="BF695" s="1"/>
      <c r="BI695" s="1"/>
      <c r="BP695" s="1"/>
      <c r="BS695" s="1"/>
      <c r="BU695" s="1"/>
      <c r="BW695" s="1"/>
    </row>
    <row r="696" spans="35:75">
      <c r="AI696" s="1"/>
      <c r="AL696" s="1"/>
      <c r="AO696" s="1"/>
      <c r="AR696" s="1"/>
      <c r="AZ696" s="1"/>
      <c r="BC696" s="1"/>
      <c r="BF696" s="1"/>
      <c r="BI696" s="1"/>
      <c r="BP696" s="1"/>
      <c r="BS696" s="1"/>
      <c r="BU696" s="1"/>
      <c r="BW696" s="1"/>
    </row>
    <row r="697" spans="35:75">
      <c r="AI697" s="1"/>
      <c r="AL697" s="1"/>
      <c r="AO697" s="1"/>
      <c r="AR697" s="1"/>
      <c r="AZ697" s="1"/>
      <c r="BC697" s="1"/>
      <c r="BF697" s="1"/>
      <c r="BI697" s="1"/>
      <c r="BP697" s="1"/>
      <c r="BS697" s="1"/>
      <c r="BU697" s="1"/>
      <c r="BW697" s="1"/>
    </row>
    <row r="698" spans="35:75">
      <c r="AI698" s="1"/>
      <c r="AL698" s="1"/>
      <c r="AO698" s="1"/>
      <c r="AR698" s="1"/>
      <c r="AZ698" s="1"/>
      <c r="BC698" s="1"/>
      <c r="BF698" s="1"/>
      <c r="BI698" s="1"/>
      <c r="BP698" s="1"/>
      <c r="BS698" s="1"/>
      <c r="BU698" s="1"/>
      <c r="BW698" s="1"/>
    </row>
    <row r="699" spans="35:75">
      <c r="AI699" s="1"/>
      <c r="AL699" s="1"/>
      <c r="AO699" s="1"/>
      <c r="AR699" s="1"/>
      <c r="AZ699" s="1"/>
      <c r="BC699" s="1"/>
      <c r="BF699" s="1"/>
      <c r="BI699" s="1"/>
      <c r="BP699" s="1"/>
      <c r="BS699" s="1"/>
      <c r="BU699" s="1"/>
      <c r="BW699" s="1"/>
    </row>
    <row r="700" spans="35:75">
      <c r="AI700" s="1"/>
      <c r="AL700" s="1"/>
      <c r="AO700" s="1"/>
      <c r="AR700" s="1"/>
      <c r="AZ700" s="1"/>
      <c r="BC700" s="1"/>
      <c r="BF700" s="1"/>
      <c r="BI700" s="1"/>
      <c r="BP700" s="1"/>
      <c r="BS700" s="1"/>
      <c r="BU700" s="1"/>
      <c r="BW700" s="1"/>
    </row>
    <row r="701" spans="35:75">
      <c r="AI701" s="1"/>
      <c r="AL701" s="1"/>
      <c r="AO701" s="1"/>
      <c r="AR701" s="1"/>
      <c r="AZ701" s="1"/>
      <c r="BC701" s="1"/>
      <c r="BF701" s="1"/>
      <c r="BI701" s="1"/>
      <c r="BP701" s="1"/>
      <c r="BS701" s="1"/>
      <c r="BU701" s="1"/>
      <c r="BW701" s="1"/>
    </row>
    <row r="702" spans="35:75">
      <c r="AI702" s="1"/>
      <c r="AL702" s="1"/>
      <c r="AO702" s="1"/>
      <c r="AR702" s="1"/>
      <c r="AZ702" s="1"/>
      <c r="BC702" s="1"/>
      <c r="BF702" s="1"/>
      <c r="BI702" s="1"/>
      <c r="BP702" s="1"/>
      <c r="BS702" s="1"/>
      <c r="BU702" s="1"/>
      <c r="BW702" s="1"/>
    </row>
    <row r="703" spans="35:75">
      <c r="AI703" s="1"/>
      <c r="AL703" s="1"/>
      <c r="AO703" s="1"/>
      <c r="AR703" s="1"/>
      <c r="AZ703" s="1"/>
      <c r="BC703" s="1"/>
      <c r="BF703" s="1"/>
      <c r="BI703" s="1"/>
      <c r="BP703" s="1"/>
      <c r="BS703" s="1"/>
      <c r="BU703" s="1"/>
      <c r="BW703" s="1"/>
    </row>
    <row r="704" spans="35:75">
      <c r="AI704" s="1"/>
      <c r="AL704" s="1"/>
      <c r="AO704" s="1"/>
      <c r="AR704" s="1"/>
      <c r="AZ704" s="1"/>
      <c r="BC704" s="1"/>
      <c r="BF704" s="1"/>
      <c r="BI704" s="1"/>
      <c r="BP704" s="1"/>
      <c r="BS704" s="1"/>
      <c r="BU704" s="1"/>
      <c r="BW704" s="1"/>
    </row>
    <row r="705" spans="35:75">
      <c r="AI705" s="1"/>
      <c r="AL705" s="1"/>
      <c r="AO705" s="1"/>
      <c r="AR705" s="1"/>
      <c r="AZ705" s="1"/>
      <c r="BC705" s="1"/>
      <c r="BF705" s="1"/>
      <c r="BI705" s="1"/>
      <c r="BP705" s="1"/>
      <c r="BS705" s="1"/>
      <c r="BU705" s="1"/>
      <c r="BW705" s="1"/>
    </row>
    <row r="706" spans="35:75">
      <c r="AI706" s="1"/>
      <c r="AL706" s="1"/>
      <c r="AO706" s="1"/>
      <c r="AR706" s="1"/>
      <c r="AZ706" s="1"/>
      <c r="BC706" s="1"/>
      <c r="BF706" s="1"/>
      <c r="BI706" s="1"/>
      <c r="BP706" s="1"/>
      <c r="BS706" s="1"/>
      <c r="BU706" s="1"/>
      <c r="BW706" s="1"/>
    </row>
    <row r="707" spans="35:75">
      <c r="AI707" s="1"/>
      <c r="AL707" s="1"/>
      <c r="AO707" s="1"/>
      <c r="AR707" s="1"/>
      <c r="AZ707" s="1"/>
      <c r="BC707" s="1"/>
      <c r="BF707" s="1"/>
      <c r="BI707" s="1"/>
      <c r="BP707" s="1"/>
      <c r="BS707" s="1"/>
      <c r="BU707" s="1"/>
      <c r="BW707" s="1"/>
    </row>
    <row r="708" spans="35:75">
      <c r="AI708" s="1"/>
      <c r="AL708" s="1"/>
      <c r="AO708" s="1"/>
      <c r="AR708" s="1"/>
      <c r="AZ708" s="1"/>
      <c r="BC708" s="1"/>
      <c r="BF708" s="1"/>
      <c r="BI708" s="1"/>
      <c r="BP708" s="1"/>
      <c r="BS708" s="1"/>
      <c r="BU708" s="1"/>
      <c r="BW708" s="1"/>
    </row>
    <row r="709" spans="35:75">
      <c r="AI709" s="1"/>
      <c r="AL709" s="1"/>
      <c r="AO709" s="1"/>
      <c r="AR709" s="1"/>
      <c r="AZ709" s="1"/>
      <c r="BC709" s="1"/>
      <c r="BF709" s="1"/>
      <c r="BI709" s="1"/>
      <c r="BP709" s="1"/>
      <c r="BS709" s="1"/>
      <c r="BU709" s="1"/>
      <c r="BW709" s="1"/>
    </row>
    <row r="710" spans="35:75">
      <c r="AI710" s="1"/>
      <c r="AL710" s="1"/>
      <c r="AO710" s="1"/>
      <c r="AR710" s="1"/>
      <c r="AZ710" s="1"/>
      <c r="BC710" s="1"/>
      <c r="BF710" s="1"/>
      <c r="BI710" s="1"/>
      <c r="BP710" s="1"/>
      <c r="BS710" s="1"/>
      <c r="BU710" s="1"/>
      <c r="BW710" s="1"/>
    </row>
    <row r="711" spans="35:75">
      <c r="AI711" s="1"/>
      <c r="AL711" s="1"/>
      <c r="AO711" s="1"/>
      <c r="AR711" s="1"/>
      <c r="AZ711" s="1"/>
      <c r="BC711" s="1"/>
      <c r="BF711" s="1"/>
      <c r="BI711" s="1"/>
      <c r="BP711" s="1"/>
      <c r="BS711" s="1"/>
      <c r="BU711" s="1"/>
      <c r="BW711" s="1"/>
    </row>
    <row r="712" spans="35:75">
      <c r="AI712" s="1"/>
      <c r="AL712" s="1"/>
      <c r="AO712" s="1"/>
      <c r="AR712" s="1"/>
      <c r="AZ712" s="1"/>
      <c r="BC712" s="1"/>
      <c r="BF712" s="1"/>
      <c r="BI712" s="1"/>
      <c r="BP712" s="1"/>
      <c r="BS712" s="1"/>
      <c r="BU712" s="1"/>
      <c r="BW712" s="1"/>
    </row>
    <row r="713" spans="35:75">
      <c r="AI713" s="1"/>
      <c r="AL713" s="1"/>
      <c r="AO713" s="1"/>
      <c r="AR713" s="1"/>
      <c r="AZ713" s="1"/>
      <c r="BC713" s="1"/>
      <c r="BF713" s="1"/>
      <c r="BI713" s="1"/>
      <c r="BP713" s="1"/>
      <c r="BS713" s="1"/>
      <c r="BU713" s="1"/>
      <c r="BW713" s="1"/>
    </row>
    <row r="714" spans="35:75">
      <c r="AI714" s="1"/>
      <c r="AL714" s="1"/>
      <c r="AO714" s="1"/>
      <c r="AR714" s="1"/>
      <c r="AZ714" s="1"/>
      <c r="BC714" s="1"/>
      <c r="BF714" s="1"/>
      <c r="BI714" s="1"/>
      <c r="BP714" s="1"/>
      <c r="BS714" s="1"/>
      <c r="BU714" s="1"/>
      <c r="BW714" s="1"/>
    </row>
    <row r="715" spans="35:75">
      <c r="AI715" s="1"/>
      <c r="AL715" s="1"/>
      <c r="AO715" s="1"/>
      <c r="AR715" s="1"/>
      <c r="AZ715" s="1"/>
      <c r="BC715" s="1"/>
      <c r="BF715" s="1"/>
      <c r="BI715" s="1"/>
      <c r="BP715" s="1"/>
      <c r="BS715" s="1"/>
      <c r="BU715" s="1"/>
      <c r="BW715" s="1"/>
    </row>
    <row r="716" spans="35:75">
      <c r="AI716" s="1"/>
      <c r="AL716" s="1"/>
      <c r="AO716" s="1"/>
      <c r="AR716" s="1"/>
      <c r="AZ716" s="1"/>
      <c r="BC716" s="1"/>
      <c r="BF716" s="1"/>
      <c r="BI716" s="1"/>
      <c r="BP716" s="1"/>
      <c r="BS716" s="1"/>
      <c r="BU716" s="1"/>
      <c r="BW716" s="1"/>
    </row>
    <row r="717" spans="35:75">
      <c r="AI717" s="1"/>
      <c r="AL717" s="1"/>
      <c r="AO717" s="1"/>
      <c r="AR717" s="1"/>
      <c r="AZ717" s="1"/>
      <c r="BC717" s="1"/>
      <c r="BF717" s="1"/>
      <c r="BI717" s="1"/>
      <c r="BP717" s="1"/>
      <c r="BS717" s="1"/>
      <c r="BU717" s="1"/>
      <c r="BW717" s="1"/>
    </row>
    <row r="718" spans="35:75">
      <c r="AI718" s="1"/>
      <c r="AL718" s="1"/>
      <c r="AO718" s="1"/>
      <c r="AR718" s="1"/>
      <c r="AZ718" s="1"/>
      <c r="BC718" s="1"/>
      <c r="BF718" s="1"/>
      <c r="BI718" s="1"/>
      <c r="BP718" s="1"/>
      <c r="BS718" s="1"/>
      <c r="BU718" s="1"/>
      <c r="BW718" s="1"/>
    </row>
    <row r="719" spans="35:75">
      <c r="AI719" s="1"/>
      <c r="AL719" s="1"/>
      <c r="AO719" s="1"/>
      <c r="AR719" s="1"/>
      <c r="AZ719" s="1"/>
      <c r="BC719" s="1"/>
      <c r="BF719" s="1"/>
      <c r="BI719" s="1"/>
      <c r="BP719" s="1"/>
      <c r="BS719" s="1"/>
      <c r="BU719" s="1"/>
      <c r="BW719" s="1"/>
    </row>
    <row r="720" spans="35:75">
      <c r="AI720" s="1"/>
      <c r="AL720" s="1"/>
      <c r="AO720" s="1"/>
      <c r="AR720" s="1"/>
      <c r="AZ720" s="1"/>
      <c r="BC720" s="1"/>
      <c r="BF720" s="1"/>
      <c r="BI720" s="1"/>
      <c r="BP720" s="1"/>
      <c r="BS720" s="1"/>
      <c r="BU720" s="1"/>
      <c r="BW720" s="1"/>
    </row>
    <row r="721" spans="35:75">
      <c r="AI721" s="1"/>
      <c r="AL721" s="1"/>
      <c r="AO721" s="1"/>
      <c r="AR721" s="1"/>
      <c r="AZ721" s="1"/>
      <c r="BC721" s="1"/>
      <c r="BF721" s="1"/>
      <c r="BI721" s="1"/>
      <c r="BP721" s="1"/>
      <c r="BS721" s="1"/>
      <c r="BU721" s="1"/>
      <c r="BW721" s="1"/>
    </row>
    <row r="722" spans="35:75">
      <c r="AI722" s="1"/>
      <c r="AL722" s="1"/>
      <c r="AO722" s="1"/>
      <c r="AR722" s="1"/>
      <c r="AZ722" s="1"/>
      <c r="BC722" s="1"/>
      <c r="BF722" s="1"/>
      <c r="BI722" s="1"/>
      <c r="BP722" s="1"/>
      <c r="BS722" s="1"/>
      <c r="BU722" s="1"/>
      <c r="BW722" s="1"/>
    </row>
    <row r="723" spans="35:75">
      <c r="AI723" s="1"/>
      <c r="AL723" s="1"/>
      <c r="AO723" s="1"/>
      <c r="AR723" s="1"/>
      <c r="AZ723" s="1"/>
      <c r="BC723" s="1"/>
      <c r="BF723" s="1"/>
      <c r="BI723" s="1"/>
      <c r="BP723" s="1"/>
      <c r="BS723" s="1"/>
      <c r="BU723" s="1"/>
      <c r="BW723" s="1"/>
    </row>
    <row r="724" spans="35:75">
      <c r="AI724" s="1"/>
      <c r="AL724" s="1"/>
      <c r="AO724" s="1"/>
      <c r="AR724" s="1"/>
      <c r="AZ724" s="1"/>
      <c r="BC724" s="1"/>
      <c r="BF724" s="1"/>
      <c r="BI724" s="1"/>
      <c r="BP724" s="1"/>
      <c r="BS724" s="1"/>
      <c r="BU724" s="1"/>
      <c r="BW724" s="1"/>
    </row>
    <row r="725" spans="35:75">
      <c r="AI725" s="1"/>
      <c r="AL725" s="1"/>
      <c r="AO725" s="1"/>
      <c r="AR725" s="1"/>
      <c r="AZ725" s="1"/>
      <c r="BC725" s="1"/>
      <c r="BF725" s="1"/>
      <c r="BI725" s="1"/>
      <c r="BP725" s="1"/>
      <c r="BS725" s="1"/>
      <c r="BU725" s="1"/>
      <c r="BW725" s="1"/>
    </row>
    <row r="726" spans="35:75">
      <c r="AI726" s="1"/>
      <c r="AL726" s="1"/>
      <c r="AO726" s="1"/>
      <c r="AR726" s="1"/>
      <c r="AZ726" s="1"/>
      <c r="BC726" s="1"/>
      <c r="BF726" s="1"/>
      <c r="BI726" s="1"/>
      <c r="BP726" s="1"/>
      <c r="BS726" s="1"/>
      <c r="BU726" s="1"/>
      <c r="BW726" s="1"/>
    </row>
    <row r="727" spans="35:75">
      <c r="AI727" s="1"/>
      <c r="AL727" s="1"/>
      <c r="AO727" s="1"/>
      <c r="AR727" s="1"/>
      <c r="AZ727" s="1"/>
      <c r="BC727" s="1"/>
      <c r="BF727" s="1"/>
      <c r="BI727" s="1"/>
      <c r="BP727" s="1"/>
      <c r="BS727" s="1"/>
      <c r="BU727" s="1"/>
      <c r="BW727" s="1"/>
    </row>
    <row r="728" spans="35:75">
      <c r="AI728" s="1"/>
      <c r="AL728" s="1"/>
      <c r="AO728" s="1"/>
      <c r="AR728" s="1"/>
      <c r="AZ728" s="1"/>
      <c r="BC728" s="1"/>
      <c r="BF728" s="1"/>
      <c r="BI728" s="1"/>
      <c r="BP728" s="1"/>
      <c r="BS728" s="1"/>
      <c r="BU728" s="1"/>
      <c r="BW728" s="1"/>
    </row>
    <row r="729" spans="35:75">
      <c r="AI729" s="1"/>
      <c r="AL729" s="1"/>
      <c r="AO729" s="1"/>
      <c r="AR729" s="1"/>
      <c r="AZ729" s="1"/>
      <c r="BC729" s="1"/>
      <c r="BF729" s="1"/>
      <c r="BI729" s="1"/>
      <c r="BP729" s="1"/>
      <c r="BS729" s="1"/>
      <c r="BU729" s="1"/>
      <c r="BW729" s="1"/>
    </row>
    <row r="730" spans="35:75">
      <c r="AI730" s="1"/>
      <c r="AL730" s="1"/>
      <c r="AO730" s="1"/>
      <c r="AR730" s="1"/>
      <c r="AZ730" s="1"/>
      <c r="BC730" s="1"/>
      <c r="BF730" s="1"/>
      <c r="BI730" s="1"/>
      <c r="BP730" s="1"/>
      <c r="BS730" s="1"/>
      <c r="BU730" s="1"/>
      <c r="BW730" s="1"/>
    </row>
    <row r="731" spans="35:75">
      <c r="AI731" s="1"/>
      <c r="AL731" s="1"/>
      <c r="AO731" s="1"/>
      <c r="AR731" s="1"/>
      <c r="AZ731" s="1"/>
      <c r="BC731" s="1"/>
      <c r="BF731" s="1"/>
      <c r="BI731" s="1"/>
      <c r="BP731" s="1"/>
      <c r="BS731" s="1"/>
      <c r="BU731" s="1"/>
      <c r="BW731" s="1"/>
    </row>
    <row r="732" spans="35:75">
      <c r="AI732" s="1"/>
      <c r="AL732" s="1"/>
      <c r="AO732" s="1"/>
      <c r="AR732" s="1"/>
      <c r="AZ732" s="1"/>
      <c r="BC732" s="1"/>
      <c r="BF732" s="1"/>
      <c r="BI732" s="1"/>
      <c r="BP732" s="1"/>
      <c r="BS732" s="1"/>
      <c r="BU732" s="1"/>
      <c r="BW732" s="1"/>
    </row>
    <row r="733" spans="35:75">
      <c r="AI733" s="1"/>
      <c r="AL733" s="1"/>
      <c r="AO733" s="1"/>
      <c r="AR733" s="1"/>
      <c r="AZ733" s="1"/>
      <c r="BC733" s="1"/>
      <c r="BF733" s="1"/>
      <c r="BI733" s="1"/>
      <c r="BP733" s="1"/>
      <c r="BS733" s="1"/>
      <c r="BU733" s="1"/>
      <c r="BW733" s="1"/>
    </row>
    <row r="734" spans="35:75">
      <c r="AI734" s="1"/>
      <c r="AL734" s="1"/>
      <c r="AO734" s="1"/>
      <c r="AR734" s="1"/>
      <c r="AZ734" s="1"/>
      <c r="BC734" s="1"/>
      <c r="BF734" s="1"/>
      <c r="BI734" s="1"/>
      <c r="BP734" s="1"/>
      <c r="BS734" s="1"/>
      <c r="BU734" s="1"/>
      <c r="BW734" s="1"/>
    </row>
    <row r="735" spans="35:75">
      <c r="AI735" s="1"/>
      <c r="AL735" s="1"/>
      <c r="AO735" s="1"/>
      <c r="AR735" s="1"/>
      <c r="AZ735" s="1"/>
      <c r="BC735" s="1"/>
      <c r="BF735" s="1"/>
      <c r="BI735" s="1"/>
      <c r="BP735" s="1"/>
      <c r="BS735" s="1"/>
      <c r="BU735" s="1"/>
      <c r="BW735" s="1"/>
    </row>
    <row r="736" spans="35:75">
      <c r="AI736" s="1"/>
      <c r="AL736" s="1"/>
      <c r="AO736" s="1"/>
      <c r="AR736" s="1"/>
      <c r="AZ736" s="1"/>
      <c r="BC736" s="1"/>
      <c r="BF736" s="1"/>
      <c r="BI736" s="1"/>
      <c r="BP736" s="1"/>
      <c r="BS736" s="1"/>
      <c r="BU736" s="1"/>
      <c r="BW736" s="1"/>
    </row>
    <row r="737" spans="35:75">
      <c r="AI737" s="1"/>
      <c r="AL737" s="1"/>
      <c r="AO737" s="1"/>
      <c r="AR737" s="1"/>
      <c r="AZ737" s="1"/>
      <c r="BC737" s="1"/>
      <c r="BF737" s="1"/>
      <c r="BI737" s="1"/>
      <c r="BP737" s="1"/>
      <c r="BS737" s="1"/>
      <c r="BU737" s="1"/>
      <c r="BW737" s="1"/>
    </row>
    <row r="738" spans="35:75">
      <c r="AI738" s="1"/>
      <c r="AL738" s="1"/>
      <c r="AO738" s="1"/>
      <c r="AR738" s="1"/>
      <c r="AZ738" s="1"/>
      <c r="BC738" s="1"/>
      <c r="BF738" s="1"/>
      <c r="BI738" s="1"/>
      <c r="BP738" s="1"/>
      <c r="BS738" s="1"/>
      <c r="BU738" s="1"/>
      <c r="BW738" s="1"/>
    </row>
    <row r="739" spans="35:75">
      <c r="AI739" s="1"/>
      <c r="AL739" s="1"/>
      <c r="AO739" s="1"/>
      <c r="AR739" s="1"/>
      <c r="AZ739" s="1"/>
      <c r="BC739" s="1"/>
      <c r="BF739" s="1"/>
      <c r="BI739" s="1"/>
      <c r="BP739" s="1"/>
      <c r="BS739" s="1"/>
      <c r="BU739" s="1"/>
      <c r="BW739" s="1"/>
    </row>
    <row r="740" spans="35:75">
      <c r="AI740" s="1"/>
      <c r="AL740" s="1"/>
      <c r="AO740" s="1"/>
      <c r="AR740" s="1"/>
      <c r="AZ740" s="1"/>
      <c r="BC740" s="1"/>
      <c r="BF740" s="1"/>
      <c r="BI740" s="1"/>
      <c r="BP740" s="1"/>
      <c r="BS740" s="1"/>
      <c r="BU740" s="1"/>
      <c r="BW740" s="1"/>
    </row>
    <row r="741" spans="35:75">
      <c r="AI741" s="1"/>
      <c r="AL741" s="1"/>
      <c r="AO741" s="1"/>
      <c r="AR741" s="1"/>
      <c r="AZ741" s="1"/>
      <c r="BC741" s="1"/>
      <c r="BF741" s="1"/>
      <c r="BI741" s="1"/>
      <c r="BP741" s="1"/>
      <c r="BS741" s="1"/>
      <c r="BU741" s="1"/>
      <c r="BW741" s="1"/>
    </row>
    <row r="742" spans="35:75">
      <c r="AI742" s="1"/>
      <c r="AL742" s="1"/>
      <c r="AO742" s="1"/>
      <c r="AR742" s="1"/>
      <c r="AZ742" s="1"/>
      <c r="BC742" s="1"/>
      <c r="BF742" s="1"/>
      <c r="BI742" s="1"/>
      <c r="BP742" s="1"/>
      <c r="BS742" s="1"/>
      <c r="BU742" s="1"/>
      <c r="BW742" s="1"/>
    </row>
    <row r="743" spans="35:75">
      <c r="AI743" s="1"/>
      <c r="AL743" s="1"/>
      <c r="AO743" s="1"/>
      <c r="AR743" s="1"/>
      <c r="AZ743" s="1"/>
      <c r="BC743" s="1"/>
      <c r="BF743" s="1"/>
      <c r="BI743" s="1"/>
      <c r="BP743" s="1"/>
      <c r="BS743" s="1"/>
      <c r="BU743" s="1"/>
      <c r="BW743" s="1"/>
    </row>
    <row r="744" spans="35:75">
      <c r="AI744" s="1"/>
      <c r="AL744" s="1"/>
      <c r="AO744" s="1"/>
      <c r="AR744" s="1"/>
      <c r="AZ744" s="1"/>
      <c r="BC744" s="1"/>
      <c r="BF744" s="1"/>
      <c r="BI744" s="1"/>
      <c r="BP744" s="1"/>
      <c r="BS744" s="1"/>
      <c r="BU744" s="1"/>
      <c r="BW744" s="1"/>
    </row>
    <row r="745" spans="35:75">
      <c r="AI745" s="1"/>
      <c r="AL745" s="1"/>
      <c r="AO745" s="1"/>
      <c r="AR745" s="1"/>
      <c r="AZ745" s="1"/>
      <c r="BC745" s="1"/>
      <c r="BF745" s="1"/>
      <c r="BI745" s="1"/>
      <c r="BP745" s="1"/>
      <c r="BS745" s="1"/>
      <c r="BU745" s="1"/>
      <c r="BW745" s="1"/>
    </row>
    <row r="746" spans="35:75">
      <c r="AI746" s="1"/>
      <c r="AL746" s="1"/>
      <c r="AO746" s="1"/>
      <c r="AR746" s="1"/>
      <c r="AZ746" s="1"/>
      <c r="BC746" s="1"/>
      <c r="BF746" s="1"/>
      <c r="BI746" s="1"/>
      <c r="BP746" s="1"/>
      <c r="BS746" s="1"/>
      <c r="BU746" s="1"/>
      <c r="BW746" s="1"/>
    </row>
    <row r="747" spans="35:75">
      <c r="AI747" s="1"/>
      <c r="AL747" s="1"/>
      <c r="AO747" s="1"/>
      <c r="AR747" s="1"/>
      <c r="AZ747" s="1"/>
      <c r="BC747" s="1"/>
      <c r="BF747" s="1"/>
      <c r="BI747" s="1"/>
      <c r="BP747" s="1"/>
      <c r="BS747" s="1"/>
      <c r="BU747" s="1"/>
      <c r="BW747" s="1"/>
    </row>
    <row r="748" spans="35:75">
      <c r="AI748" s="1"/>
      <c r="AL748" s="1"/>
      <c r="AO748" s="1"/>
      <c r="AR748" s="1"/>
      <c r="AZ748" s="1"/>
      <c r="BC748" s="1"/>
      <c r="BF748" s="1"/>
      <c r="BI748" s="1"/>
      <c r="BP748" s="1"/>
      <c r="BS748" s="1"/>
      <c r="BU748" s="1"/>
      <c r="BW748" s="1"/>
    </row>
    <row r="749" spans="35:75">
      <c r="AI749" s="1"/>
      <c r="AL749" s="1"/>
      <c r="AO749" s="1"/>
      <c r="AR749" s="1"/>
      <c r="AZ749" s="1"/>
      <c r="BC749" s="1"/>
      <c r="BF749" s="1"/>
      <c r="BI749" s="1"/>
      <c r="BP749" s="1"/>
      <c r="BS749" s="1"/>
      <c r="BU749" s="1"/>
      <c r="BW749" s="1"/>
    </row>
    <row r="750" spans="35:75">
      <c r="AI750" s="1"/>
      <c r="AL750" s="1"/>
      <c r="AO750" s="1"/>
      <c r="AR750" s="1"/>
      <c r="AZ750" s="1"/>
      <c r="BC750" s="1"/>
      <c r="BF750" s="1"/>
      <c r="BI750" s="1"/>
      <c r="BP750" s="1"/>
      <c r="BS750" s="1"/>
      <c r="BU750" s="1"/>
      <c r="BW750" s="1"/>
    </row>
    <row r="751" spans="35:75">
      <c r="AI751" s="1"/>
      <c r="AL751" s="1"/>
      <c r="AO751" s="1"/>
      <c r="AR751" s="1"/>
      <c r="AZ751" s="1"/>
      <c r="BC751" s="1"/>
      <c r="BF751" s="1"/>
      <c r="BI751" s="1"/>
      <c r="BP751" s="1"/>
      <c r="BS751" s="1"/>
      <c r="BU751" s="1"/>
      <c r="BW751" s="1"/>
    </row>
    <row r="752" spans="35:75">
      <c r="AI752" s="1"/>
      <c r="AL752" s="1"/>
      <c r="AO752" s="1"/>
      <c r="AR752" s="1"/>
      <c r="AZ752" s="1"/>
      <c r="BC752" s="1"/>
      <c r="BF752" s="1"/>
      <c r="BI752" s="1"/>
      <c r="BP752" s="1"/>
      <c r="BS752" s="1"/>
      <c r="BU752" s="1"/>
      <c r="BW752" s="1"/>
    </row>
    <row r="753" spans="35:75">
      <c r="AI753" s="1"/>
      <c r="AL753" s="1"/>
      <c r="AO753" s="1"/>
      <c r="AR753" s="1"/>
      <c r="AZ753" s="1"/>
      <c r="BC753" s="1"/>
      <c r="BF753" s="1"/>
      <c r="BI753" s="1"/>
      <c r="BP753" s="1"/>
      <c r="BS753" s="1"/>
      <c r="BU753" s="1"/>
      <c r="BW753" s="1"/>
    </row>
    <row r="754" spans="35:75">
      <c r="AI754" s="1"/>
      <c r="AL754" s="1"/>
      <c r="AO754" s="1"/>
      <c r="AR754" s="1"/>
      <c r="AZ754" s="1"/>
      <c r="BC754" s="1"/>
      <c r="BF754" s="1"/>
      <c r="BI754" s="1"/>
      <c r="BP754" s="1"/>
      <c r="BS754" s="1"/>
      <c r="BU754" s="1"/>
      <c r="BW754" s="1"/>
    </row>
    <row r="755" spans="35:75">
      <c r="AI755" s="1"/>
      <c r="AL755" s="1"/>
      <c r="AO755" s="1"/>
      <c r="AR755" s="1"/>
      <c r="AZ755" s="1"/>
      <c r="BC755" s="1"/>
      <c r="BF755" s="1"/>
      <c r="BI755" s="1"/>
      <c r="BP755" s="1"/>
      <c r="BS755" s="1"/>
      <c r="BU755" s="1"/>
      <c r="BW755" s="1"/>
    </row>
    <row r="756" spans="35:75">
      <c r="AI756" s="1"/>
      <c r="AL756" s="1"/>
      <c r="AO756" s="1"/>
      <c r="AR756" s="1"/>
      <c r="AZ756" s="1"/>
      <c r="BC756" s="1"/>
      <c r="BF756" s="1"/>
      <c r="BI756" s="1"/>
      <c r="BP756" s="1"/>
      <c r="BS756" s="1"/>
      <c r="BU756" s="1"/>
      <c r="BW756" s="1"/>
    </row>
    <row r="757" spans="35:75">
      <c r="AI757" s="1"/>
      <c r="AL757" s="1"/>
      <c r="AO757" s="1"/>
      <c r="AR757" s="1"/>
      <c r="AZ757" s="1"/>
      <c r="BC757" s="1"/>
      <c r="BF757" s="1"/>
      <c r="BI757" s="1"/>
      <c r="BP757" s="1"/>
      <c r="BS757" s="1"/>
      <c r="BU757" s="1"/>
      <c r="BW757" s="1"/>
    </row>
    <row r="758" spans="35:75">
      <c r="AI758" s="1"/>
      <c r="AL758" s="1"/>
      <c r="AO758" s="1"/>
      <c r="AR758" s="1"/>
      <c r="AZ758" s="1"/>
      <c r="BC758" s="1"/>
      <c r="BF758" s="1"/>
      <c r="BI758" s="1"/>
      <c r="BP758" s="1"/>
      <c r="BS758" s="1"/>
      <c r="BU758" s="1"/>
      <c r="BW758" s="1"/>
    </row>
    <row r="759" spans="35:75">
      <c r="AI759" s="1"/>
      <c r="AL759" s="1"/>
      <c r="AO759" s="1"/>
      <c r="AR759" s="1"/>
      <c r="AZ759" s="1"/>
      <c r="BC759" s="1"/>
      <c r="BF759" s="1"/>
      <c r="BI759" s="1"/>
      <c r="BP759" s="1"/>
      <c r="BS759" s="1"/>
      <c r="BU759" s="1"/>
      <c r="BW759" s="1"/>
    </row>
    <row r="760" spans="35:75">
      <c r="AI760" s="1"/>
      <c r="AL760" s="1"/>
      <c r="AO760" s="1"/>
      <c r="AR760" s="1"/>
      <c r="AZ760" s="1"/>
      <c r="BC760" s="1"/>
      <c r="BF760" s="1"/>
      <c r="BI760" s="1"/>
      <c r="BP760" s="1"/>
      <c r="BS760" s="1"/>
      <c r="BU760" s="1"/>
      <c r="BW760" s="1"/>
    </row>
    <row r="761" spans="35:75">
      <c r="AI761" s="1"/>
      <c r="AL761" s="1"/>
      <c r="AO761" s="1"/>
      <c r="AR761" s="1"/>
      <c r="AZ761" s="1"/>
      <c r="BC761" s="1"/>
      <c r="BF761" s="1"/>
      <c r="BI761" s="1"/>
      <c r="BP761" s="1"/>
      <c r="BS761" s="1"/>
      <c r="BU761" s="1"/>
      <c r="BW761" s="1"/>
    </row>
    <row r="762" spans="35:75">
      <c r="AI762" s="1"/>
      <c r="AL762" s="1"/>
      <c r="AO762" s="1"/>
      <c r="AR762" s="1"/>
      <c r="AZ762" s="1"/>
      <c r="BC762" s="1"/>
      <c r="BF762" s="1"/>
      <c r="BI762" s="1"/>
      <c r="BP762" s="1"/>
      <c r="BS762" s="1"/>
      <c r="BU762" s="1"/>
      <c r="BW762" s="1"/>
    </row>
    <row r="763" spans="35:75">
      <c r="AI763" s="1"/>
      <c r="AL763" s="1"/>
      <c r="AO763" s="1"/>
      <c r="AR763" s="1"/>
      <c r="AZ763" s="1"/>
      <c r="BC763" s="1"/>
      <c r="BF763" s="1"/>
      <c r="BI763" s="1"/>
      <c r="BP763" s="1"/>
      <c r="BS763" s="1"/>
      <c r="BU763" s="1"/>
      <c r="BW763" s="1"/>
    </row>
    <row r="764" spans="35:75">
      <c r="AI764" s="1"/>
      <c r="AL764" s="1"/>
      <c r="AO764" s="1"/>
      <c r="AR764" s="1"/>
      <c r="AZ764" s="1"/>
      <c r="BC764" s="1"/>
      <c r="BF764" s="1"/>
      <c r="BI764" s="1"/>
      <c r="BP764" s="1"/>
      <c r="BS764" s="1"/>
      <c r="BU764" s="1"/>
      <c r="BW764" s="1"/>
    </row>
    <row r="765" spans="35:75">
      <c r="AI765" s="1"/>
      <c r="AL765" s="1"/>
      <c r="AO765" s="1"/>
      <c r="AR765" s="1"/>
      <c r="AZ765" s="1"/>
      <c r="BC765" s="1"/>
      <c r="BF765" s="1"/>
      <c r="BI765" s="1"/>
      <c r="BP765" s="1"/>
      <c r="BS765" s="1"/>
      <c r="BU765" s="1"/>
      <c r="BW765" s="1"/>
    </row>
    <row r="766" spans="35:75">
      <c r="AI766" s="1"/>
      <c r="AL766" s="1"/>
      <c r="AO766" s="1"/>
      <c r="AR766" s="1"/>
      <c r="AZ766" s="1"/>
      <c r="BC766" s="1"/>
      <c r="BF766" s="1"/>
      <c r="BI766" s="1"/>
      <c r="BP766" s="1"/>
      <c r="BS766" s="1"/>
      <c r="BU766" s="1"/>
      <c r="BW766" s="1"/>
    </row>
    <row r="767" spans="35:75">
      <c r="AI767" s="1"/>
      <c r="AL767" s="1"/>
      <c r="AO767" s="1"/>
      <c r="AR767" s="1"/>
      <c r="AZ767" s="1"/>
      <c r="BC767" s="1"/>
      <c r="BF767" s="1"/>
      <c r="BI767" s="1"/>
      <c r="BP767" s="1"/>
      <c r="BS767" s="1"/>
      <c r="BU767" s="1"/>
      <c r="BW767" s="1"/>
    </row>
    <row r="768" spans="35:75">
      <c r="AI768" s="1"/>
      <c r="AL768" s="1"/>
      <c r="AO768" s="1"/>
      <c r="AR768" s="1"/>
      <c r="AZ768" s="1"/>
      <c r="BC768" s="1"/>
      <c r="BF768" s="1"/>
      <c r="BI768" s="1"/>
      <c r="BP768" s="1"/>
      <c r="BS768" s="1"/>
      <c r="BU768" s="1"/>
      <c r="BW768" s="1"/>
    </row>
    <row r="769" spans="35:75">
      <c r="AI769" s="1"/>
      <c r="AL769" s="1"/>
      <c r="AO769" s="1"/>
      <c r="AR769" s="1"/>
      <c r="AZ769" s="1"/>
      <c r="BC769" s="1"/>
      <c r="BF769" s="1"/>
      <c r="BI769" s="1"/>
      <c r="BP769" s="1"/>
      <c r="BS769" s="1"/>
      <c r="BU769" s="1"/>
      <c r="BW769" s="1"/>
    </row>
    <row r="770" spans="35:75">
      <c r="AI770" s="1"/>
      <c r="AL770" s="1"/>
      <c r="AO770" s="1"/>
      <c r="AR770" s="1"/>
      <c r="AZ770" s="1"/>
      <c r="BC770" s="1"/>
      <c r="BF770" s="1"/>
      <c r="BI770" s="1"/>
      <c r="BP770" s="1"/>
      <c r="BS770" s="1"/>
      <c r="BU770" s="1"/>
      <c r="BW770" s="1"/>
    </row>
    <row r="771" spans="35:75">
      <c r="AI771" s="1"/>
      <c r="AL771" s="1"/>
      <c r="AO771" s="1"/>
      <c r="AR771" s="1"/>
      <c r="AZ771" s="1"/>
      <c r="BC771" s="1"/>
      <c r="BF771" s="1"/>
      <c r="BI771" s="1"/>
      <c r="BP771" s="1"/>
      <c r="BS771" s="1"/>
      <c r="BU771" s="1"/>
      <c r="BW771" s="1"/>
    </row>
    <row r="772" spans="35:75">
      <c r="AI772" s="1"/>
      <c r="AL772" s="1"/>
      <c r="AO772" s="1"/>
      <c r="AR772" s="1"/>
      <c r="AZ772" s="1"/>
      <c r="BC772" s="1"/>
      <c r="BF772" s="1"/>
      <c r="BI772" s="1"/>
      <c r="BP772" s="1"/>
      <c r="BS772" s="1"/>
      <c r="BU772" s="1"/>
      <c r="BW772" s="1"/>
    </row>
    <row r="773" spans="35:75">
      <c r="AI773" s="1"/>
      <c r="AL773" s="1"/>
      <c r="AO773" s="1"/>
      <c r="AR773" s="1"/>
      <c r="AZ773" s="1"/>
      <c r="BC773" s="1"/>
      <c r="BF773" s="1"/>
      <c r="BI773" s="1"/>
      <c r="BP773" s="1"/>
      <c r="BS773" s="1"/>
      <c r="BU773" s="1"/>
      <c r="BW773" s="1"/>
    </row>
    <row r="774" spans="35:75">
      <c r="AI774" s="1"/>
      <c r="AL774" s="1"/>
      <c r="AO774" s="1"/>
      <c r="AR774" s="1"/>
      <c r="AZ774" s="1"/>
      <c r="BC774" s="1"/>
      <c r="BF774" s="1"/>
      <c r="BI774" s="1"/>
      <c r="BP774" s="1"/>
      <c r="BS774" s="1"/>
      <c r="BU774" s="1"/>
      <c r="BW774" s="1"/>
    </row>
    <row r="775" spans="35:75">
      <c r="AI775" s="1"/>
      <c r="AL775" s="1"/>
      <c r="AO775" s="1"/>
      <c r="AR775" s="1"/>
      <c r="AZ775" s="1"/>
      <c r="BC775" s="1"/>
      <c r="BF775" s="1"/>
      <c r="BI775" s="1"/>
      <c r="BP775" s="1"/>
      <c r="BS775" s="1"/>
      <c r="BU775" s="1"/>
      <c r="BW775" s="1"/>
    </row>
    <row r="776" spans="35:75">
      <c r="AI776" s="1"/>
      <c r="AL776" s="1"/>
      <c r="AO776" s="1"/>
      <c r="AR776" s="1"/>
      <c r="AZ776" s="1"/>
      <c r="BC776" s="1"/>
      <c r="BF776" s="1"/>
      <c r="BI776" s="1"/>
      <c r="BP776" s="1"/>
      <c r="BS776" s="1"/>
      <c r="BU776" s="1"/>
      <c r="BW776" s="1"/>
    </row>
    <row r="777" spans="35:75">
      <c r="AI777" s="1"/>
      <c r="AL777" s="1"/>
      <c r="AO777" s="1"/>
      <c r="AR777" s="1"/>
      <c r="AZ777" s="1"/>
      <c r="BC777" s="1"/>
      <c r="BF777" s="1"/>
      <c r="BI777" s="1"/>
      <c r="BP777" s="1"/>
      <c r="BS777" s="1"/>
      <c r="BU777" s="1"/>
      <c r="BW777" s="1"/>
    </row>
    <row r="778" spans="35:75">
      <c r="AI778" s="1"/>
      <c r="AL778" s="1"/>
      <c r="AO778" s="1"/>
      <c r="AR778" s="1"/>
      <c r="AZ778" s="1"/>
      <c r="BC778" s="1"/>
      <c r="BF778" s="1"/>
      <c r="BI778" s="1"/>
      <c r="BP778" s="1"/>
      <c r="BS778" s="1"/>
      <c r="BU778" s="1"/>
      <c r="BW778" s="1"/>
    </row>
    <row r="779" spans="35:75">
      <c r="AI779" s="1"/>
      <c r="AL779" s="1"/>
      <c r="AO779" s="1"/>
      <c r="AR779" s="1"/>
      <c r="AZ779" s="1"/>
      <c r="BC779" s="1"/>
      <c r="BF779" s="1"/>
      <c r="BI779" s="1"/>
      <c r="BP779" s="1"/>
      <c r="BS779" s="1"/>
      <c r="BU779" s="1"/>
      <c r="BW779" s="1"/>
    </row>
    <row r="780" spans="35:75">
      <c r="AI780" s="1"/>
      <c r="AL780" s="1"/>
      <c r="AO780" s="1"/>
      <c r="AR780" s="1"/>
      <c r="AZ780" s="1"/>
      <c r="BC780" s="1"/>
      <c r="BF780" s="1"/>
      <c r="BI780" s="1"/>
      <c r="BP780" s="1"/>
      <c r="BS780" s="1"/>
      <c r="BU780" s="1"/>
      <c r="BW780" s="1"/>
    </row>
    <row r="781" spans="35:75">
      <c r="AI781" s="1"/>
      <c r="AL781" s="1"/>
      <c r="AO781" s="1"/>
      <c r="AR781" s="1"/>
      <c r="AZ781" s="1"/>
      <c r="BC781" s="1"/>
      <c r="BF781" s="1"/>
      <c r="BI781" s="1"/>
      <c r="BP781" s="1"/>
      <c r="BS781" s="1"/>
      <c r="BU781" s="1"/>
      <c r="BW781" s="1"/>
    </row>
    <row r="782" spans="35:75">
      <c r="AI782" s="1"/>
      <c r="AL782" s="1"/>
      <c r="AO782" s="1"/>
      <c r="AR782" s="1"/>
      <c r="AZ782" s="1"/>
      <c r="BC782" s="1"/>
      <c r="BF782" s="1"/>
      <c r="BI782" s="1"/>
      <c r="BP782" s="1"/>
      <c r="BS782" s="1"/>
      <c r="BU782" s="1"/>
      <c r="BW782" s="1"/>
    </row>
    <row r="783" spans="35:75">
      <c r="AI783" s="1"/>
      <c r="AL783" s="1"/>
      <c r="AO783" s="1"/>
      <c r="AR783" s="1"/>
      <c r="AZ783" s="1"/>
      <c r="BC783" s="1"/>
      <c r="BF783" s="1"/>
      <c r="BI783" s="1"/>
      <c r="BP783" s="1"/>
      <c r="BS783" s="1"/>
      <c r="BU783" s="1"/>
      <c r="BW783" s="1"/>
    </row>
    <row r="784" spans="35:75">
      <c r="AI784" s="1"/>
      <c r="AL784" s="1"/>
      <c r="AO784" s="1"/>
      <c r="AR784" s="1"/>
      <c r="AZ784" s="1"/>
      <c r="BC784" s="1"/>
      <c r="BF784" s="1"/>
      <c r="BI784" s="1"/>
      <c r="BP784" s="1"/>
      <c r="BS784" s="1"/>
      <c r="BU784" s="1"/>
      <c r="BW784" s="1"/>
    </row>
    <row r="785" spans="35:75">
      <c r="AI785" s="1"/>
      <c r="AL785" s="1"/>
      <c r="AO785" s="1"/>
      <c r="AR785" s="1"/>
      <c r="AZ785" s="1"/>
      <c r="BC785" s="1"/>
      <c r="BF785" s="1"/>
      <c r="BI785" s="1"/>
      <c r="BP785" s="1"/>
      <c r="BS785" s="1"/>
      <c r="BU785" s="1"/>
      <c r="BW785" s="1"/>
    </row>
    <row r="786" spans="35:75">
      <c r="AI786" s="1"/>
      <c r="AL786" s="1"/>
      <c r="AO786" s="1"/>
      <c r="AR786" s="1"/>
      <c r="AZ786" s="1"/>
      <c r="BC786" s="1"/>
      <c r="BF786" s="1"/>
      <c r="BI786" s="1"/>
      <c r="BP786" s="1"/>
      <c r="BS786" s="1"/>
      <c r="BU786" s="1"/>
      <c r="BW786" s="1"/>
    </row>
    <row r="787" spans="35:75">
      <c r="AI787" s="1"/>
      <c r="AL787" s="1"/>
      <c r="AO787" s="1"/>
      <c r="AR787" s="1"/>
      <c r="AZ787" s="1"/>
      <c r="BC787" s="1"/>
      <c r="BF787" s="1"/>
      <c r="BI787" s="1"/>
      <c r="BP787" s="1"/>
      <c r="BS787" s="1"/>
      <c r="BU787" s="1"/>
      <c r="BW787" s="1"/>
    </row>
    <row r="788" spans="35:75">
      <c r="AI788" s="1"/>
      <c r="AL788" s="1"/>
      <c r="AO788" s="1"/>
      <c r="AR788" s="1"/>
      <c r="AZ788" s="1"/>
      <c r="BC788" s="1"/>
      <c r="BF788" s="1"/>
      <c r="BI788" s="1"/>
      <c r="BP788" s="1"/>
      <c r="BS788" s="1"/>
      <c r="BU788" s="1"/>
      <c r="BW788" s="1"/>
    </row>
    <row r="789" spans="35:75">
      <c r="AI789" s="1"/>
      <c r="AL789" s="1"/>
      <c r="AO789" s="1"/>
      <c r="AR789" s="1"/>
      <c r="AZ789" s="1"/>
      <c r="BC789" s="1"/>
      <c r="BF789" s="1"/>
      <c r="BI789" s="1"/>
      <c r="BP789" s="1"/>
      <c r="BS789" s="1"/>
      <c r="BU789" s="1"/>
      <c r="BW789" s="1"/>
    </row>
    <row r="790" spans="35:75">
      <c r="AI790" s="1"/>
      <c r="AL790" s="1"/>
      <c r="AO790" s="1"/>
      <c r="AR790" s="1"/>
      <c r="AZ790" s="1"/>
      <c r="BC790" s="1"/>
      <c r="BF790" s="1"/>
      <c r="BI790" s="1"/>
      <c r="BP790" s="1"/>
      <c r="BS790" s="1"/>
      <c r="BU790" s="1"/>
      <c r="BW790" s="1"/>
    </row>
    <row r="791" spans="35:75">
      <c r="AI791" s="1"/>
      <c r="AL791" s="1"/>
      <c r="AO791" s="1"/>
      <c r="AR791" s="1"/>
      <c r="AZ791" s="1"/>
      <c r="BC791" s="1"/>
      <c r="BF791" s="1"/>
      <c r="BI791" s="1"/>
      <c r="BP791" s="1"/>
      <c r="BS791" s="1"/>
      <c r="BU791" s="1"/>
      <c r="BW791" s="1"/>
    </row>
    <row r="792" spans="35:75">
      <c r="AI792" s="1"/>
      <c r="AL792" s="1"/>
      <c r="AO792" s="1"/>
      <c r="AR792" s="1"/>
      <c r="AZ792" s="1"/>
      <c r="BC792" s="1"/>
      <c r="BF792" s="1"/>
      <c r="BI792" s="1"/>
      <c r="BP792" s="1"/>
      <c r="BS792" s="1"/>
      <c r="BU792" s="1"/>
      <c r="BW792" s="1"/>
    </row>
    <row r="793" spans="35:75">
      <c r="AI793" s="1"/>
      <c r="AL793" s="1"/>
      <c r="AO793" s="1"/>
      <c r="AR793" s="1"/>
      <c r="AZ793" s="1"/>
      <c r="BC793" s="1"/>
      <c r="BF793" s="1"/>
      <c r="BI793" s="1"/>
      <c r="BP793" s="1"/>
      <c r="BS793" s="1"/>
      <c r="BU793" s="1"/>
      <c r="BW793" s="1"/>
    </row>
    <row r="794" spans="35:75">
      <c r="AI794" s="1"/>
      <c r="AL794" s="1"/>
      <c r="AO794" s="1"/>
      <c r="AR794" s="1"/>
      <c r="AZ794" s="1"/>
      <c r="BC794" s="1"/>
      <c r="BF794" s="1"/>
      <c r="BI794" s="1"/>
      <c r="BP794" s="1"/>
      <c r="BS794" s="1"/>
      <c r="BU794" s="1"/>
      <c r="BW794" s="1"/>
    </row>
    <row r="795" spans="35:75">
      <c r="AI795" s="1"/>
      <c r="AL795" s="1"/>
      <c r="AO795" s="1"/>
      <c r="AR795" s="1"/>
      <c r="AZ795" s="1"/>
      <c r="BC795" s="1"/>
      <c r="BF795" s="1"/>
      <c r="BI795" s="1"/>
      <c r="BP795" s="1"/>
      <c r="BS795" s="1"/>
      <c r="BU795" s="1"/>
      <c r="BW795" s="1"/>
    </row>
    <row r="796" spans="35:75">
      <c r="AI796" s="1"/>
      <c r="AL796" s="1"/>
      <c r="AO796" s="1"/>
      <c r="AR796" s="1"/>
      <c r="AZ796" s="1"/>
      <c r="BC796" s="1"/>
      <c r="BF796" s="1"/>
      <c r="BI796" s="1"/>
      <c r="BP796" s="1"/>
      <c r="BS796" s="1"/>
      <c r="BU796" s="1"/>
      <c r="BW796" s="1"/>
    </row>
    <row r="797" spans="35:75">
      <c r="AI797" s="1"/>
      <c r="AL797" s="1"/>
      <c r="AO797" s="1"/>
      <c r="AR797" s="1"/>
      <c r="AZ797" s="1"/>
      <c r="BC797" s="1"/>
      <c r="BF797" s="1"/>
      <c r="BI797" s="1"/>
      <c r="BP797" s="1"/>
      <c r="BS797" s="1"/>
      <c r="BU797" s="1"/>
      <c r="BW797" s="1"/>
    </row>
    <row r="798" spans="35:75">
      <c r="AI798" s="1"/>
      <c r="AL798" s="1"/>
      <c r="AO798" s="1"/>
      <c r="AR798" s="1"/>
      <c r="AZ798" s="1"/>
      <c r="BC798" s="1"/>
      <c r="BF798" s="1"/>
      <c r="BI798" s="1"/>
      <c r="BP798" s="1"/>
      <c r="BS798" s="1"/>
      <c r="BU798" s="1"/>
      <c r="BW798" s="1"/>
    </row>
    <row r="799" spans="35:75">
      <c r="AI799" s="1"/>
      <c r="AL799" s="1"/>
      <c r="AO799" s="1"/>
      <c r="AR799" s="1"/>
      <c r="AZ799" s="1"/>
      <c r="BC799" s="1"/>
      <c r="BF799" s="1"/>
      <c r="BI799" s="1"/>
      <c r="BP799" s="1"/>
      <c r="BS799" s="1"/>
      <c r="BU799" s="1"/>
      <c r="BW799" s="1"/>
    </row>
    <row r="800" spans="35:75">
      <c r="AI800" s="1"/>
      <c r="AL800" s="1"/>
      <c r="AO800" s="1"/>
      <c r="AR800" s="1"/>
      <c r="AZ800" s="1"/>
      <c r="BC800" s="1"/>
      <c r="BF800" s="1"/>
      <c r="BI800" s="1"/>
      <c r="BP800" s="1"/>
      <c r="BS800" s="1"/>
      <c r="BU800" s="1"/>
      <c r="BW800" s="1"/>
    </row>
    <row r="801" spans="35:75">
      <c r="AI801" s="1"/>
      <c r="AL801" s="1"/>
      <c r="AO801" s="1"/>
      <c r="AR801" s="1"/>
      <c r="AZ801" s="1"/>
      <c r="BC801" s="1"/>
      <c r="BF801" s="1"/>
      <c r="BI801" s="1"/>
      <c r="BP801" s="1"/>
      <c r="BS801" s="1"/>
      <c r="BU801" s="1"/>
      <c r="BW801" s="1"/>
    </row>
    <row r="802" spans="35:75">
      <c r="AI802" s="1"/>
      <c r="AL802" s="1"/>
      <c r="AO802" s="1"/>
      <c r="AR802" s="1"/>
      <c r="AZ802" s="1"/>
      <c r="BC802" s="1"/>
      <c r="BF802" s="1"/>
      <c r="BI802" s="1"/>
      <c r="BP802" s="1"/>
      <c r="BS802" s="1"/>
      <c r="BU802" s="1"/>
      <c r="BW802" s="1"/>
    </row>
    <row r="803" spans="35:75">
      <c r="AI803" s="1"/>
      <c r="AL803" s="1"/>
      <c r="AO803" s="1"/>
      <c r="AR803" s="1"/>
      <c r="AZ803" s="1"/>
      <c r="BC803" s="1"/>
      <c r="BF803" s="1"/>
      <c r="BI803" s="1"/>
      <c r="BP803" s="1"/>
      <c r="BS803" s="1"/>
      <c r="BU803" s="1"/>
      <c r="BW803" s="1"/>
    </row>
    <row r="804" spans="35:75">
      <c r="AI804" s="1"/>
      <c r="AL804" s="1"/>
      <c r="AO804" s="1"/>
      <c r="AR804" s="1"/>
      <c r="AZ804" s="1"/>
      <c r="BC804" s="1"/>
      <c r="BF804" s="1"/>
      <c r="BI804" s="1"/>
      <c r="BP804" s="1"/>
      <c r="BS804" s="1"/>
      <c r="BU804" s="1"/>
      <c r="BW804" s="1"/>
    </row>
    <row r="805" spans="35:75">
      <c r="AI805" s="1"/>
      <c r="AL805" s="1"/>
      <c r="AO805" s="1"/>
      <c r="AR805" s="1"/>
      <c r="AZ805" s="1"/>
      <c r="BC805" s="1"/>
      <c r="BF805" s="1"/>
      <c r="BI805" s="1"/>
      <c r="BP805" s="1"/>
      <c r="BS805" s="1"/>
      <c r="BU805" s="1"/>
      <c r="BW805" s="1"/>
    </row>
    <row r="806" spans="35:75">
      <c r="AI806" s="1"/>
      <c r="AL806" s="1"/>
      <c r="AO806" s="1"/>
      <c r="AR806" s="1"/>
      <c r="AZ806" s="1"/>
      <c r="BC806" s="1"/>
      <c r="BF806" s="1"/>
      <c r="BI806" s="1"/>
      <c r="BP806" s="1"/>
      <c r="BS806" s="1"/>
      <c r="BU806" s="1"/>
      <c r="BW806" s="1"/>
    </row>
    <row r="807" spans="35:75">
      <c r="AI807" s="1"/>
      <c r="AL807" s="1"/>
      <c r="AO807" s="1"/>
      <c r="AR807" s="1"/>
      <c r="AZ807" s="1"/>
      <c r="BC807" s="1"/>
      <c r="BF807" s="1"/>
      <c r="BI807" s="1"/>
      <c r="BP807" s="1"/>
      <c r="BS807" s="1"/>
      <c r="BU807" s="1"/>
      <c r="BW807" s="1"/>
    </row>
    <row r="808" spans="35:75">
      <c r="AI808" s="1"/>
      <c r="AL808" s="1"/>
      <c r="AO808" s="1"/>
      <c r="AR808" s="1"/>
      <c r="AZ808" s="1"/>
      <c r="BC808" s="1"/>
      <c r="BF808" s="1"/>
      <c r="BI808" s="1"/>
      <c r="BP808" s="1"/>
      <c r="BS808" s="1"/>
      <c r="BU808" s="1"/>
      <c r="BW808" s="1"/>
    </row>
    <row r="809" spans="35:75">
      <c r="AI809" s="1"/>
      <c r="AL809" s="1"/>
      <c r="AO809" s="1"/>
      <c r="AR809" s="1"/>
      <c r="AZ809" s="1"/>
      <c r="BC809" s="1"/>
      <c r="BF809" s="1"/>
      <c r="BI809" s="1"/>
      <c r="BP809" s="1"/>
      <c r="BS809" s="1"/>
      <c r="BU809" s="1"/>
      <c r="BW809" s="1"/>
    </row>
    <row r="810" spans="35:75">
      <c r="AI810" s="1"/>
      <c r="AL810" s="1"/>
      <c r="AO810" s="1"/>
      <c r="AR810" s="1"/>
      <c r="AZ810" s="1"/>
      <c r="BC810" s="1"/>
      <c r="BF810" s="1"/>
      <c r="BI810" s="1"/>
      <c r="BP810" s="1"/>
      <c r="BS810" s="1"/>
      <c r="BU810" s="1"/>
      <c r="BW810" s="1"/>
    </row>
    <row r="811" spans="35:75">
      <c r="AI811" s="1"/>
      <c r="AL811" s="1"/>
      <c r="AO811" s="1"/>
      <c r="AR811" s="1"/>
      <c r="AZ811" s="1"/>
      <c r="BC811" s="1"/>
      <c r="BF811" s="1"/>
      <c r="BI811" s="1"/>
      <c r="BP811" s="1"/>
      <c r="BS811" s="1"/>
      <c r="BU811" s="1"/>
      <c r="BW811" s="1"/>
    </row>
    <row r="812" spans="35:75">
      <c r="AI812" s="1"/>
      <c r="AL812" s="1"/>
      <c r="AO812" s="1"/>
      <c r="AR812" s="1"/>
      <c r="AZ812" s="1"/>
      <c r="BC812" s="1"/>
      <c r="BF812" s="1"/>
      <c r="BI812" s="1"/>
      <c r="BP812" s="1"/>
      <c r="BS812" s="1"/>
      <c r="BU812" s="1"/>
      <c r="BW812" s="1"/>
    </row>
    <row r="813" spans="35:75">
      <c r="AI813" s="1"/>
      <c r="AL813" s="1"/>
      <c r="AO813" s="1"/>
      <c r="AR813" s="1"/>
      <c r="AZ813" s="1"/>
      <c r="BC813" s="1"/>
      <c r="BF813" s="1"/>
      <c r="BI813" s="1"/>
      <c r="BP813" s="1"/>
      <c r="BS813" s="1"/>
      <c r="BU813" s="1"/>
      <c r="BW813" s="1"/>
    </row>
    <row r="814" spans="35:75">
      <c r="AI814" s="1"/>
      <c r="AL814" s="1"/>
      <c r="AO814" s="1"/>
      <c r="AR814" s="1"/>
      <c r="AZ814" s="1"/>
      <c r="BC814" s="1"/>
      <c r="BF814" s="1"/>
      <c r="BI814" s="1"/>
      <c r="BP814" s="1"/>
      <c r="BS814" s="1"/>
      <c r="BU814" s="1"/>
      <c r="BW814" s="1"/>
    </row>
    <row r="815" spans="35:75">
      <c r="AI815" s="1"/>
      <c r="AL815" s="1"/>
      <c r="AO815" s="1"/>
      <c r="AR815" s="1"/>
      <c r="AZ815" s="1"/>
      <c r="BC815" s="1"/>
      <c r="BF815" s="1"/>
      <c r="BI815" s="1"/>
      <c r="BP815" s="1"/>
      <c r="BS815" s="1"/>
      <c r="BU815" s="1"/>
      <c r="BW815" s="1"/>
    </row>
    <row r="816" spans="35:75">
      <c r="AI816" s="1"/>
      <c r="AL816" s="1"/>
      <c r="AO816" s="1"/>
      <c r="AR816" s="1"/>
      <c r="AZ816" s="1"/>
      <c r="BC816" s="1"/>
      <c r="BF816" s="1"/>
      <c r="BI816" s="1"/>
      <c r="BP816" s="1"/>
      <c r="BS816" s="1"/>
      <c r="BU816" s="1"/>
      <c r="BW816" s="1"/>
    </row>
    <row r="817" spans="35:75">
      <c r="AI817" s="1"/>
      <c r="AL817" s="1"/>
      <c r="AO817" s="1"/>
      <c r="AR817" s="1"/>
      <c r="AZ817" s="1"/>
      <c r="BC817" s="1"/>
      <c r="BF817" s="1"/>
      <c r="BI817" s="1"/>
      <c r="BP817" s="1"/>
      <c r="BS817" s="1"/>
      <c r="BU817" s="1"/>
      <c r="BW817" s="1"/>
    </row>
    <row r="818" spans="35:75">
      <c r="AI818" s="1"/>
      <c r="AL818" s="1"/>
      <c r="AO818" s="1"/>
      <c r="AR818" s="1"/>
      <c r="AZ818" s="1"/>
      <c r="BC818" s="1"/>
      <c r="BF818" s="1"/>
      <c r="BI818" s="1"/>
      <c r="BP818" s="1"/>
      <c r="BS818" s="1"/>
      <c r="BU818" s="1"/>
      <c r="BW818" s="1"/>
    </row>
    <row r="819" spans="35:75">
      <c r="AI819" s="1"/>
      <c r="AL819" s="1"/>
      <c r="AO819" s="1"/>
      <c r="AR819" s="1"/>
      <c r="AZ819" s="1"/>
      <c r="BC819" s="1"/>
      <c r="BF819" s="1"/>
      <c r="BI819" s="1"/>
      <c r="BP819" s="1"/>
      <c r="BS819" s="1"/>
      <c r="BU819" s="1"/>
      <c r="BW819" s="1"/>
    </row>
    <row r="820" spans="35:75">
      <c r="AI820" s="1"/>
      <c r="AL820" s="1"/>
      <c r="AO820" s="1"/>
      <c r="AR820" s="1"/>
      <c r="AZ820" s="1"/>
      <c r="BC820" s="1"/>
      <c r="BF820" s="1"/>
      <c r="BI820" s="1"/>
      <c r="BP820" s="1"/>
      <c r="BS820" s="1"/>
      <c r="BU820" s="1"/>
      <c r="BW820" s="1"/>
    </row>
    <row r="821" spans="35:75">
      <c r="AI821" s="1"/>
      <c r="AL821" s="1"/>
      <c r="AO821" s="1"/>
      <c r="AR821" s="1"/>
      <c r="AZ821" s="1"/>
      <c r="BC821" s="1"/>
      <c r="BF821" s="1"/>
      <c r="BI821" s="1"/>
      <c r="BP821" s="1"/>
      <c r="BS821" s="1"/>
      <c r="BU821" s="1"/>
      <c r="BW821" s="1"/>
    </row>
    <row r="822" spans="35:75">
      <c r="AI822" s="1"/>
      <c r="AL822" s="1"/>
      <c r="AO822" s="1"/>
      <c r="AR822" s="1"/>
      <c r="AZ822" s="1"/>
      <c r="BC822" s="1"/>
      <c r="BF822" s="1"/>
      <c r="BI822" s="1"/>
      <c r="BP822" s="1"/>
      <c r="BS822" s="1"/>
      <c r="BU822" s="1"/>
      <c r="BW822" s="1"/>
    </row>
    <row r="823" spans="35:75">
      <c r="AI823" s="1"/>
      <c r="AL823" s="1"/>
      <c r="AO823" s="1"/>
      <c r="AR823" s="1"/>
      <c r="AZ823" s="1"/>
      <c r="BC823" s="1"/>
      <c r="BF823" s="1"/>
      <c r="BI823" s="1"/>
      <c r="BP823" s="1"/>
      <c r="BS823" s="1"/>
      <c r="BU823" s="1"/>
      <c r="BW823" s="1"/>
    </row>
    <row r="824" spans="35:75">
      <c r="AI824" s="1"/>
      <c r="AL824" s="1"/>
      <c r="AO824" s="1"/>
      <c r="AR824" s="1"/>
      <c r="AZ824" s="1"/>
      <c r="BC824" s="1"/>
      <c r="BF824" s="1"/>
      <c r="BI824" s="1"/>
      <c r="BP824" s="1"/>
      <c r="BS824" s="1"/>
      <c r="BU824" s="1"/>
      <c r="BW824" s="1"/>
    </row>
    <row r="825" spans="35:75">
      <c r="AI825" s="1"/>
      <c r="AL825" s="1"/>
      <c r="AO825" s="1"/>
      <c r="AR825" s="1"/>
      <c r="AZ825" s="1"/>
      <c r="BC825" s="1"/>
      <c r="BF825" s="1"/>
      <c r="BI825" s="1"/>
      <c r="BP825" s="1"/>
      <c r="BS825" s="1"/>
      <c r="BU825" s="1"/>
      <c r="BW825" s="1"/>
    </row>
    <row r="826" spans="35:75">
      <c r="AI826" s="1"/>
      <c r="AL826" s="1"/>
      <c r="AO826" s="1"/>
      <c r="AR826" s="1"/>
      <c r="AZ826" s="1"/>
      <c r="BC826" s="1"/>
      <c r="BF826" s="1"/>
      <c r="BI826" s="1"/>
      <c r="BP826" s="1"/>
      <c r="BS826" s="1"/>
      <c r="BU826" s="1"/>
      <c r="BW826" s="1"/>
    </row>
    <row r="827" spans="35:75">
      <c r="AI827" s="1"/>
      <c r="AL827" s="1"/>
      <c r="AO827" s="1"/>
      <c r="AR827" s="1"/>
      <c r="AZ827" s="1"/>
      <c r="BC827" s="1"/>
      <c r="BF827" s="1"/>
      <c r="BI827" s="1"/>
      <c r="BP827" s="1"/>
      <c r="BS827" s="1"/>
      <c r="BU827" s="1"/>
      <c r="BW827" s="1"/>
    </row>
    <row r="828" spans="35:75">
      <c r="AI828" s="1"/>
      <c r="AL828" s="1"/>
      <c r="AO828" s="1"/>
      <c r="AR828" s="1"/>
      <c r="AZ828" s="1"/>
      <c r="BC828" s="1"/>
      <c r="BF828" s="1"/>
      <c r="BI828" s="1"/>
      <c r="BP828" s="1"/>
      <c r="BS828" s="1"/>
      <c r="BU828" s="1"/>
      <c r="BW828" s="1"/>
    </row>
    <row r="829" spans="35:75">
      <c r="AI829" s="1"/>
      <c r="AL829" s="1"/>
      <c r="AO829" s="1"/>
      <c r="AR829" s="1"/>
      <c r="AZ829" s="1"/>
      <c r="BC829" s="1"/>
      <c r="BF829" s="1"/>
      <c r="BI829" s="1"/>
      <c r="BP829" s="1"/>
      <c r="BS829" s="1"/>
      <c r="BU829" s="1"/>
      <c r="BW829" s="1"/>
    </row>
    <row r="830" spans="35:75">
      <c r="AI830" s="1"/>
      <c r="AL830" s="1"/>
      <c r="AO830" s="1"/>
      <c r="AR830" s="1"/>
      <c r="AZ830" s="1"/>
      <c r="BC830" s="1"/>
      <c r="BF830" s="1"/>
      <c r="BI830" s="1"/>
      <c r="BP830" s="1"/>
      <c r="BS830" s="1"/>
      <c r="BU830" s="1"/>
      <c r="BW830" s="1"/>
    </row>
    <row r="831" spans="35:75">
      <c r="AI831" s="1"/>
      <c r="AL831" s="1"/>
      <c r="AO831" s="1"/>
      <c r="AR831" s="1"/>
      <c r="AZ831" s="1"/>
      <c r="BC831" s="1"/>
      <c r="BF831" s="1"/>
      <c r="BI831" s="1"/>
      <c r="BP831" s="1"/>
      <c r="BS831" s="1"/>
      <c r="BU831" s="1"/>
      <c r="BW831" s="1"/>
    </row>
    <row r="832" spans="35:75">
      <c r="AI832" s="1"/>
      <c r="AL832" s="1"/>
      <c r="AO832" s="1"/>
      <c r="AR832" s="1"/>
      <c r="AZ832" s="1"/>
      <c r="BC832" s="1"/>
      <c r="BF832" s="1"/>
      <c r="BI832" s="1"/>
      <c r="BP832" s="1"/>
      <c r="BS832" s="1"/>
      <c r="BU832" s="1"/>
      <c r="BW832" s="1"/>
    </row>
    <row r="833" spans="35:75">
      <c r="AI833" s="1"/>
      <c r="AL833" s="1"/>
      <c r="AO833" s="1"/>
      <c r="AR833" s="1"/>
      <c r="AZ833" s="1"/>
      <c r="BC833" s="1"/>
      <c r="BF833" s="1"/>
      <c r="BI833" s="1"/>
      <c r="BP833" s="1"/>
      <c r="BS833" s="1"/>
      <c r="BU833" s="1"/>
      <c r="BW833" s="1"/>
    </row>
    <row r="834" spans="35:75">
      <c r="AI834" s="1"/>
      <c r="AL834" s="1"/>
      <c r="AO834" s="1"/>
      <c r="AR834" s="1"/>
      <c r="AZ834" s="1"/>
      <c r="BC834" s="1"/>
      <c r="BF834" s="1"/>
      <c r="BI834" s="1"/>
      <c r="BP834" s="1"/>
      <c r="BS834" s="1"/>
      <c r="BU834" s="1"/>
      <c r="BW834" s="1"/>
    </row>
    <row r="835" spans="35:75">
      <c r="AI835" s="1"/>
      <c r="AL835" s="1"/>
      <c r="AO835" s="1"/>
      <c r="AR835" s="1"/>
      <c r="AZ835" s="1"/>
      <c r="BC835" s="1"/>
      <c r="BF835" s="1"/>
      <c r="BI835" s="1"/>
      <c r="BP835" s="1"/>
      <c r="BS835" s="1"/>
      <c r="BU835" s="1"/>
      <c r="BW835" s="1"/>
    </row>
    <row r="836" spans="35:75">
      <c r="AI836" s="1"/>
      <c r="AL836" s="1"/>
      <c r="AO836" s="1"/>
      <c r="AR836" s="1"/>
      <c r="AZ836" s="1"/>
      <c r="BC836" s="1"/>
      <c r="BF836" s="1"/>
      <c r="BI836" s="1"/>
      <c r="BP836" s="1"/>
      <c r="BS836" s="1"/>
      <c r="BU836" s="1"/>
      <c r="BW836" s="1"/>
    </row>
    <row r="837" spans="35:75">
      <c r="AI837" s="1"/>
      <c r="AL837" s="1"/>
      <c r="AO837" s="1"/>
      <c r="AR837" s="1"/>
      <c r="AZ837" s="1"/>
      <c r="BC837" s="1"/>
      <c r="BF837" s="1"/>
      <c r="BI837" s="1"/>
      <c r="BP837" s="1"/>
      <c r="BS837" s="1"/>
      <c r="BU837" s="1"/>
      <c r="BW837" s="1"/>
    </row>
    <row r="838" spans="35:75">
      <c r="AI838" s="1"/>
      <c r="AL838" s="1"/>
      <c r="AO838" s="1"/>
      <c r="AR838" s="1"/>
      <c r="AZ838" s="1"/>
      <c r="BC838" s="1"/>
      <c r="BF838" s="1"/>
      <c r="BI838" s="1"/>
      <c r="BP838" s="1"/>
      <c r="BS838" s="1"/>
      <c r="BU838" s="1"/>
      <c r="BW838" s="1"/>
    </row>
    <row r="839" spans="35:75">
      <c r="AI839" s="1"/>
      <c r="AL839" s="1"/>
      <c r="AO839" s="1"/>
      <c r="AR839" s="1"/>
      <c r="AZ839" s="1"/>
      <c r="BC839" s="1"/>
      <c r="BF839" s="1"/>
      <c r="BI839" s="1"/>
      <c r="BP839" s="1"/>
      <c r="BS839" s="1"/>
      <c r="BU839" s="1"/>
      <c r="BW839" s="1"/>
    </row>
    <row r="840" spans="35:75">
      <c r="AI840" s="1"/>
      <c r="AL840" s="1"/>
      <c r="AO840" s="1"/>
      <c r="AR840" s="1"/>
      <c r="AZ840" s="1"/>
      <c r="BC840" s="1"/>
      <c r="BF840" s="1"/>
      <c r="BI840" s="1"/>
      <c r="BP840" s="1"/>
      <c r="BS840" s="1"/>
      <c r="BU840" s="1"/>
      <c r="BW840" s="1"/>
    </row>
    <row r="841" spans="35:75">
      <c r="AI841" s="1"/>
      <c r="AL841" s="1"/>
      <c r="AO841" s="1"/>
      <c r="AR841" s="1"/>
      <c r="AZ841" s="1"/>
      <c r="BC841" s="1"/>
      <c r="BF841" s="1"/>
      <c r="BI841" s="1"/>
      <c r="BP841" s="1"/>
      <c r="BS841" s="1"/>
      <c r="BU841" s="1"/>
      <c r="BW841" s="1"/>
    </row>
    <row r="842" spans="35:75">
      <c r="AI842" s="1"/>
      <c r="AL842" s="1"/>
      <c r="AO842" s="1"/>
      <c r="AR842" s="1"/>
      <c r="AZ842" s="1"/>
      <c r="BC842" s="1"/>
      <c r="BF842" s="1"/>
      <c r="BI842" s="1"/>
      <c r="BP842" s="1"/>
      <c r="BS842" s="1"/>
      <c r="BU842" s="1"/>
      <c r="BW842" s="1"/>
    </row>
    <row r="843" spans="35:75">
      <c r="AI843" s="1"/>
      <c r="AL843" s="1"/>
      <c r="AO843" s="1"/>
      <c r="AR843" s="1"/>
      <c r="AZ843" s="1"/>
      <c r="BC843" s="1"/>
      <c r="BF843" s="1"/>
      <c r="BI843" s="1"/>
      <c r="BP843" s="1"/>
      <c r="BS843" s="1"/>
      <c r="BU843" s="1"/>
      <c r="BW843" s="1"/>
    </row>
    <row r="844" spans="35:75">
      <c r="AI844" s="1"/>
      <c r="AL844" s="1"/>
      <c r="AO844" s="1"/>
      <c r="AR844" s="1"/>
      <c r="AZ844" s="1"/>
      <c r="BC844" s="1"/>
      <c r="BF844" s="1"/>
      <c r="BI844" s="1"/>
      <c r="BP844" s="1"/>
      <c r="BS844" s="1"/>
      <c r="BU844" s="1"/>
      <c r="BW844" s="1"/>
    </row>
    <row r="845" spans="35:75">
      <c r="AI845" s="1"/>
      <c r="AL845" s="1"/>
      <c r="AO845" s="1"/>
      <c r="AR845" s="1"/>
      <c r="AZ845" s="1"/>
      <c r="BC845" s="1"/>
      <c r="BF845" s="1"/>
      <c r="BI845" s="1"/>
      <c r="BP845" s="1"/>
      <c r="BS845" s="1"/>
      <c r="BU845" s="1"/>
      <c r="BW845" s="1"/>
    </row>
    <row r="846" spans="35:75">
      <c r="AI846" s="1"/>
      <c r="AL846" s="1"/>
      <c r="AO846" s="1"/>
      <c r="AR846" s="1"/>
      <c r="AZ846" s="1"/>
      <c r="BC846" s="1"/>
      <c r="BF846" s="1"/>
      <c r="BI846" s="1"/>
      <c r="BP846" s="1"/>
      <c r="BS846" s="1"/>
      <c r="BU846" s="1"/>
      <c r="BW846" s="1"/>
    </row>
    <row r="847" spans="35:75">
      <c r="AI847" s="1"/>
      <c r="AL847" s="1"/>
      <c r="AO847" s="1"/>
      <c r="AR847" s="1"/>
      <c r="AZ847" s="1"/>
      <c r="BC847" s="1"/>
      <c r="BF847" s="1"/>
      <c r="BI847" s="1"/>
      <c r="BP847" s="1"/>
      <c r="BS847" s="1"/>
      <c r="BU847" s="1"/>
      <c r="BW847" s="1"/>
    </row>
    <row r="848" spans="35:75">
      <c r="AI848" s="1"/>
      <c r="AL848" s="1"/>
      <c r="AO848" s="1"/>
      <c r="AR848" s="1"/>
      <c r="AZ848" s="1"/>
      <c r="BC848" s="1"/>
      <c r="BF848" s="1"/>
      <c r="BI848" s="1"/>
      <c r="BP848" s="1"/>
      <c r="BS848" s="1"/>
      <c r="BU848" s="1"/>
      <c r="BW848" s="1"/>
    </row>
    <row r="849" spans="35:75">
      <c r="AI849" s="1"/>
      <c r="AL849" s="1"/>
      <c r="AO849" s="1"/>
      <c r="AR849" s="1"/>
      <c r="AZ849" s="1"/>
      <c r="BC849" s="1"/>
      <c r="BF849" s="1"/>
      <c r="BI849" s="1"/>
      <c r="BP849" s="1"/>
      <c r="BS849" s="1"/>
      <c r="BU849" s="1"/>
      <c r="BW849" s="1"/>
    </row>
    <row r="850" spans="35:75">
      <c r="AI850" s="1"/>
      <c r="AL850" s="1"/>
      <c r="AO850" s="1"/>
      <c r="AR850" s="1"/>
      <c r="AZ850" s="1"/>
      <c r="BC850" s="1"/>
      <c r="BF850" s="1"/>
      <c r="BI850" s="1"/>
      <c r="BP850" s="1"/>
      <c r="BS850" s="1"/>
      <c r="BU850" s="1"/>
      <c r="BW850" s="1"/>
    </row>
    <row r="851" spans="35:75">
      <c r="AI851" s="1"/>
      <c r="AL851" s="1"/>
      <c r="AO851" s="1"/>
      <c r="AR851" s="1"/>
      <c r="AZ851" s="1"/>
      <c r="BC851" s="1"/>
      <c r="BF851" s="1"/>
      <c r="BI851" s="1"/>
      <c r="BP851" s="1"/>
      <c r="BS851" s="1"/>
      <c r="BU851" s="1"/>
      <c r="BW851" s="1"/>
    </row>
    <row r="852" spans="35:75">
      <c r="AI852" s="1"/>
      <c r="AL852" s="1"/>
      <c r="AO852" s="1"/>
      <c r="AR852" s="1"/>
      <c r="AZ852" s="1"/>
      <c r="BC852" s="1"/>
      <c r="BF852" s="1"/>
      <c r="BI852" s="1"/>
      <c r="BP852" s="1"/>
      <c r="BS852" s="1"/>
      <c r="BU852" s="1"/>
      <c r="BW852" s="1"/>
    </row>
    <row r="853" spans="35:75">
      <c r="AI853" s="1"/>
      <c r="AL853" s="1"/>
      <c r="AO853" s="1"/>
      <c r="AR853" s="1"/>
      <c r="AZ853" s="1"/>
      <c r="BC853" s="1"/>
      <c r="BF853" s="1"/>
      <c r="BI853" s="1"/>
      <c r="BP853" s="1"/>
      <c r="BS853" s="1"/>
      <c r="BU853" s="1"/>
      <c r="BW853" s="1"/>
    </row>
    <row r="854" spans="35:75">
      <c r="AI854" s="1"/>
      <c r="AL854" s="1"/>
      <c r="AO854" s="1"/>
      <c r="AR854" s="1"/>
      <c r="AZ854" s="1"/>
      <c r="BC854" s="1"/>
      <c r="BF854" s="1"/>
      <c r="BI854" s="1"/>
      <c r="BP854" s="1"/>
      <c r="BS854" s="1"/>
      <c r="BU854" s="1"/>
      <c r="BW854" s="1"/>
    </row>
    <row r="855" spans="35:75">
      <c r="AI855" s="1"/>
      <c r="AL855" s="1"/>
      <c r="AO855" s="1"/>
      <c r="AR855" s="1"/>
      <c r="AZ855" s="1"/>
      <c r="BC855" s="1"/>
      <c r="BF855" s="1"/>
      <c r="BI855" s="1"/>
      <c r="BP855" s="1"/>
      <c r="BS855" s="1"/>
      <c r="BU855" s="1"/>
      <c r="BW855" s="1"/>
    </row>
    <row r="856" spans="35:75">
      <c r="AI856" s="1"/>
      <c r="AL856" s="1"/>
      <c r="AO856" s="1"/>
      <c r="AR856" s="1"/>
      <c r="AZ856" s="1"/>
      <c r="BC856" s="1"/>
      <c r="BF856" s="1"/>
      <c r="BI856" s="1"/>
      <c r="BP856" s="1"/>
      <c r="BS856" s="1"/>
      <c r="BU856" s="1"/>
      <c r="BW856" s="1"/>
    </row>
    <row r="857" spans="35:75">
      <c r="AI857" s="1"/>
      <c r="AL857" s="1"/>
      <c r="AO857" s="1"/>
      <c r="AR857" s="1"/>
      <c r="AZ857" s="1"/>
      <c r="BC857" s="1"/>
      <c r="BF857" s="1"/>
      <c r="BI857" s="1"/>
      <c r="BP857" s="1"/>
      <c r="BS857" s="1"/>
      <c r="BU857" s="1"/>
      <c r="BW857" s="1"/>
    </row>
    <row r="858" spans="35:75">
      <c r="AI858" s="1"/>
      <c r="AL858" s="1"/>
      <c r="AO858" s="1"/>
      <c r="AR858" s="1"/>
      <c r="AZ858" s="1"/>
      <c r="BC858" s="1"/>
      <c r="BF858" s="1"/>
      <c r="BI858" s="1"/>
      <c r="BP858" s="1"/>
      <c r="BS858" s="1"/>
      <c r="BU858" s="1"/>
      <c r="BW858" s="1"/>
    </row>
    <row r="859" spans="35:75">
      <c r="AI859" s="1"/>
      <c r="AL859" s="1"/>
      <c r="AO859" s="1"/>
      <c r="AR859" s="1"/>
      <c r="AZ859" s="1"/>
      <c r="BC859" s="1"/>
      <c r="BF859" s="1"/>
      <c r="BI859" s="1"/>
      <c r="BP859" s="1"/>
      <c r="BS859" s="1"/>
      <c r="BU859" s="1"/>
      <c r="BW859" s="1"/>
    </row>
    <row r="860" spans="35:75">
      <c r="AI860" s="1"/>
      <c r="AL860" s="1"/>
      <c r="AO860" s="1"/>
      <c r="AR860" s="1"/>
      <c r="AZ860" s="1"/>
      <c r="BC860" s="1"/>
      <c r="BF860" s="1"/>
      <c r="BI860" s="1"/>
      <c r="BP860" s="1"/>
      <c r="BS860" s="1"/>
      <c r="BU860" s="1"/>
      <c r="BW860" s="1"/>
    </row>
    <row r="861" spans="35:75">
      <c r="AI861" s="1"/>
      <c r="AL861" s="1"/>
      <c r="AO861" s="1"/>
      <c r="AR861" s="1"/>
      <c r="AZ861" s="1"/>
      <c r="BC861" s="1"/>
      <c r="BF861" s="1"/>
      <c r="BI861" s="1"/>
      <c r="BP861" s="1"/>
      <c r="BS861" s="1"/>
      <c r="BU861" s="1"/>
      <c r="BW861" s="1"/>
    </row>
    <row r="862" spans="35:75">
      <c r="AI862" s="1"/>
      <c r="AL862" s="1"/>
      <c r="AO862" s="1"/>
      <c r="AR862" s="1"/>
      <c r="AZ862" s="1"/>
      <c r="BC862" s="1"/>
      <c r="BF862" s="1"/>
      <c r="BI862" s="1"/>
      <c r="BP862" s="1"/>
      <c r="BS862" s="1"/>
      <c r="BU862" s="1"/>
      <c r="BW862" s="1"/>
    </row>
    <row r="863" spans="35:75">
      <c r="AI863" s="1"/>
      <c r="AL863" s="1"/>
      <c r="AO863" s="1"/>
      <c r="AR863" s="1"/>
      <c r="AZ863" s="1"/>
      <c r="BC863" s="1"/>
      <c r="BF863" s="1"/>
      <c r="BI863" s="1"/>
      <c r="BP863" s="1"/>
      <c r="BS863" s="1"/>
      <c r="BU863" s="1"/>
      <c r="BW863" s="1"/>
    </row>
    <row r="864" spans="35:75">
      <c r="AI864" s="1"/>
      <c r="AL864" s="1"/>
      <c r="AO864" s="1"/>
      <c r="AR864" s="1"/>
      <c r="AZ864" s="1"/>
      <c r="BC864" s="1"/>
      <c r="BF864" s="1"/>
      <c r="BI864" s="1"/>
      <c r="BP864" s="1"/>
      <c r="BS864" s="1"/>
      <c r="BU864" s="1"/>
      <c r="BW864" s="1"/>
    </row>
    <row r="865" spans="35:75">
      <c r="AI865" s="1"/>
      <c r="AL865" s="1"/>
      <c r="AO865" s="1"/>
      <c r="AR865" s="1"/>
      <c r="AZ865" s="1"/>
      <c r="BC865" s="1"/>
      <c r="BF865" s="1"/>
      <c r="BI865" s="1"/>
      <c r="BP865" s="1"/>
      <c r="BS865" s="1"/>
      <c r="BU865" s="1"/>
      <c r="BW865" s="1"/>
    </row>
    <row r="866" spans="35:75">
      <c r="AI866" s="1"/>
      <c r="AL866" s="1"/>
      <c r="AO866" s="1"/>
      <c r="AR866" s="1"/>
      <c r="AZ866" s="1"/>
      <c r="BC866" s="1"/>
      <c r="BF866" s="1"/>
      <c r="BI866" s="1"/>
      <c r="BP866" s="1"/>
      <c r="BS866" s="1"/>
      <c r="BU866" s="1"/>
      <c r="BW866" s="1"/>
    </row>
    <row r="867" spans="35:75">
      <c r="AI867" s="1"/>
      <c r="AL867" s="1"/>
      <c r="AO867" s="1"/>
      <c r="AR867" s="1"/>
      <c r="AZ867" s="1"/>
      <c r="BC867" s="1"/>
      <c r="BF867" s="1"/>
      <c r="BI867" s="1"/>
      <c r="BP867" s="1"/>
      <c r="BS867" s="1"/>
      <c r="BU867" s="1"/>
      <c r="BW867" s="1"/>
    </row>
    <row r="868" spans="35:75">
      <c r="AI868" s="1"/>
      <c r="AL868" s="1"/>
      <c r="AO868" s="1"/>
      <c r="AR868" s="1"/>
      <c r="AZ868" s="1"/>
      <c r="BC868" s="1"/>
      <c r="BF868" s="1"/>
      <c r="BI868" s="1"/>
      <c r="BP868" s="1"/>
      <c r="BS868" s="1"/>
      <c r="BU868" s="1"/>
      <c r="BW868" s="1"/>
    </row>
    <row r="869" spans="35:75">
      <c r="AI869" s="1"/>
      <c r="AL869" s="1"/>
      <c r="AO869" s="1"/>
      <c r="AR869" s="1"/>
      <c r="AZ869" s="1"/>
      <c r="BC869" s="1"/>
      <c r="BF869" s="1"/>
      <c r="BI869" s="1"/>
      <c r="BP869" s="1"/>
      <c r="BS869" s="1"/>
      <c r="BU869" s="1"/>
      <c r="BW869" s="1"/>
    </row>
    <row r="870" spans="35:75">
      <c r="AI870" s="1"/>
      <c r="AL870" s="1"/>
      <c r="AO870" s="1"/>
      <c r="AR870" s="1"/>
      <c r="AZ870" s="1"/>
      <c r="BC870" s="1"/>
      <c r="BF870" s="1"/>
      <c r="BI870" s="1"/>
      <c r="BP870" s="1"/>
      <c r="BS870" s="1"/>
      <c r="BU870" s="1"/>
      <c r="BW870" s="1"/>
    </row>
    <row r="871" spans="35:75">
      <c r="AI871" s="1"/>
      <c r="AL871" s="1"/>
      <c r="AO871" s="1"/>
      <c r="AR871" s="1"/>
      <c r="AZ871" s="1"/>
      <c r="BC871" s="1"/>
      <c r="BF871" s="1"/>
      <c r="BI871" s="1"/>
      <c r="BP871" s="1"/>
      <c r="BS871" s="1"/>
      <c r="BU871" s="1"/>
      <c r="BW871" s="1"/>
    </row>
    <row r="872" spans="35:75">
      <c r="AI872" s="1"/>
      <c r="AL872" s="1"/>
      <c r="AO872" s="1"/>
      <c r="AR872" s="1"/>
      <c r="AZ872" s="1"/>
      <c r="BC872" s="1"/>
      <c r="BF872" s="1"/>
      <c r="BI872" s="1"/>
      <c r="BP872" s="1"/>
      <c r="BS872" s="1"/>
      <c r="BU872" s="1"/>
      <c r="BW872" s="1"/>
    </row>
    <row r="873" spans="35:75">
      <c r="AI873" s="1"/>
      <c r="AL873" s="1"/>
      <c r="AO873" s="1"/>
      <c r="AR873" s="1"/>
      <c r="AZ873" s="1"/>
      <c r="BC873" s="1"/>
      <c r="BF873" s="1"/>
      <c r="BI873" s="1"/>
      <c r="BP873" s="1"/>
      <c r="BS873" s="1"/>
      <c r="BU873" s="1"/>
      <c r="BW873" s="1"/>
    </row>
    <row r="874" spans="35:75">
      <c r="AI874" s="1"/>
      <c r="AL874" s="1"/>
      <c r="AO874" s="1"/>
      <c r="AR874" s="1"/>
      <c r="AZ874" s="1"/>
      <c r="BC874" s="1"/>
      <c r="BF874" s="1"/>
      <c r="BI874" s="1"/>
      <c r="BP874" s="1"/>
      <c r="BS874" s="1"/>
      <c r="BU874" s="1"/>
      <c r="BW874" s="1"/>
    </row>
    <row r="875" spans="35:75">
      <c r="AI875" s="1"/>
      <c r="AL875" s="1"/>
      <c r="AO875" s="1"/>
      <c r="AR875" s="1"/>
      <c r="AZ875" s="1"/>
      <c r="BC875" s="1"/>
      <c r="BF875" s="1"/>
      <c r="BI875" s="1"/>
      <c r="BP875" s="1"/>
      <c r="BS875" s="1"/>
      <c r="BU875" s="1"/>
      <c r="BW875" s="1"/>
    </row>
    <row r="876" spans="35:75">
      <c r="AI876" s="1"/>
      <c r="AL876" s="1"/>
      <c r="AO876" s="1"/>
      <c r="AR876" s="1"/>
      <c r="AZ876" s="1"/>
      <c r="BC876" s="1"/>
      <c r="BF876" s="1"/>
      <c r="BI876" s="1"/>
      <c r="BP876" s="1"/>
      <c r="BS876" s="1"/>
      <c r="BU876" s="1"/>
      <c r="BW876" s="1"/>
    </row>
    <row r="877" spans="35:75">
      <c r="AI877" s="1"/>
      <c r="AL877" s="1"/>
      <c r="AO877" s="1"/>
      <c r="AR877" s="1"/>
      <c r="AZ877" s="1"/>
      <c r="BC877" s="1"/>
      <c r="BF877" s="1"/>
      <c r="BI877" s="1"/>
      <c r="BP877" s="1"/>
      <c r="BS877" s="1"/>
      <c r="BU877" s="1"/>
      <c r="BW877" s="1"/>
    </row>
    <row r="878" spans="35:75">
      <c r="AI878" s="1"/>
      <c r="AL878" s="1"/>
      <c r="AO878" s="1"/>
      <c r="AR878" s="1"/>
      <c r="AZ878" s="1"/>
      <c r="BC878" s="1"/>
      <c r="BF878" s="1"/>
      <c r="BI878" s="1"/>
      <c r="BP878" s="1"/>
      <c r="BS878" s="1"/>
      <c r="BU878" s="1"/>
      <c r="BW878" s="1"/>
    </row>
    <row r="879" spans="35:75">
      <c r="AI879" s="1"/>
      <c r="AL879" s="1"/>
      <c r="AO879" s="1"/>
      <c r="AR879" s="1"/>
      <c r="AZ879" s="1"/>
      <c r="BC879" s="1"/>
      <c r="BF879" s="1"/>
      <c r="BI879" s="1"/>
      <c r="BP879" s="1"/>
      <c r="BS879" s="1"/>
      <c r="BU879" s="1"/>
      <c r="BW879" s="1"/>
    </row>
    <row r="880" spans="35:75">
      <c r="AI880" s="1"/>
      <c r="AL880" s="1"/>
      <c r="AO880" s="1"/>
      <c r="AR880" s="1"/>
      <c r="AZ880" s="1"/>
      <c r="BC880" s="1"/>
      <c r="BF880" s="1"/>
      <c r="BI880" s="1"/>
      <c r="BP880" s="1"/>
      <c r="BS880" s="1"/>
      <c r="BU880" s="1"/>
      <c r="BW880" s="1"/>
    </row>
    <row r="881" spans="35:75">
      <c r="AI881" s="1"/>
      <c r="AL881" s="1"/>
      <c r="AO881" s="1"/>
      <c r="AR881" s="1"/>
      <c r="AZ881" s="1"/>
      <c r="BC881" s="1"/>
      <c r="BF881" s="1"/>
      <c r="BI881" s="1"/>
      <c r="BP881" s="1"/>
      <c r="BS881" s="1"/>
      <c r="BU881" s="1"/>
      <c r="BW881" s="1"/>
    </row>
    <row r="882" spans="35:75">
      <c r="AI882" s="1"/>
      <c r="AL882" s="1"/>
      <c r="AO882" s="1"/>
      <c r="AR882" s="1"/>
      <c r="AZ882" s="1"/>
      <c r="BC882" s="1"/>
      <c r="BF882" s="1"/>
      <c r="BI882" s="1"/>
      <c r="BP882" s="1"/>
      <c r="BS882" s="1"/>
      <c r="BU882" s="1"/>
      <c r="BW882" s="1"/>
    </row>
    <row r="883" spans="35:75">
      <c r="AI883" s="1"/>
      <c r="AL883" s="1"/>
      <c r="AO883" s="1"/>
      <c r="AR883" s="1"/>
      <c r="AZ883" s="1"/>
      <c r="BC883" s="1"/>
      <c r="BF883" s="1"/>
      <c r="BI883" s="1"/>
      <c r="BP883" s="1"/>
      <c r="BS883" s="1"/>
      <c r="BU883" s="1"/>
      <c r="BW883" s="1"/>
    </row>
    <row r="884" spans="35:75">
      <c r="AI884" s="1"/>
      <c r="AL884" s="1"/>
      <c r="AO884" s="1"/>
      <c r="AR884" s="1"/>
      <c r="AZ884" s="1"/>
      <c r="BC884" s="1"/>
      <c r="BF884" s="1"/>
      <c r="BI884" s="1"/>
      <c r="BP884" s="1"/>
      <c r="BS884" s="1"/>
      <c r="BU884" s="1"/>
      <c r="BW884" s="1"/>
    </row>
    <row r="885" spans="35:75">
      <c r="AI885" s="1"/>
      <c r="AL885" s="1"/>
      <c r="AO885" s="1"/>
      <c r="AR885" s="1"/>
      <c r="AZ885" s="1"/>
      <c r="BC885" s="1"/>
      <c r="BF885" s="1"/>
      <c r="BI885" s="1"/>
      <c r="BP885" s="1"/>
      <c r="BS885" s="1"/>
      <c r="BU885" s="1"/>
      <c r="BW885" s="1"/>
    </row>
    <row r="886" spans="35:75">
      <c r="AI886" s="1"/>
      <c r="AL886" s="1"/>
      <c r="AO886" s="1"/>
      <c r="AR886" s="1"/>
      <c r="AZ886" s="1"/>
      <c r="BC886" s="1"/>
      <c r="BF886" s="1"/>
      <c r="BI886" s="1"/>
      <c r="BP886" s="1"/>
      <c r="BS886" s="1"/>
      <c r="BU886" s="1"/>
      <c r="BW886" s="1"/>
    </row>
    <row r="887" spans="35:75">
      <c r="AI887" s="1"/>
      <c r="AL887" s="1"/>
      <c r="AO887" s="1"/>
      <c r="AR887" s="1"/>
      <c r="AZ887" s="1"/>
      <c r="BC887" s="1"/>
      <c r="BF887" s="1"/>
      <c r="BI887" s="1"/>
      <c r="BP887" s="1"/>
      <c r="BS887" s="1"/>
      <c r="BU887" s="1"/>
      <c r="BW887" s="1"/>
    </row>
    <row r="888" spans="35:75">
      <c r="AI888" s="1"/>
      <c r="AL888" s="1"/>
      <c r="AO888" s="1"/>
      <c r="AR888" s="1"/>
      <c r="AZ888" s="1"/>
      <c r="BC888" s="1"/>
      <c r="BF888" s="1"/>
      <c r="BI888" s="1"/>
      <c r="BP888" s="1"/>
      <c r="BS888" s="1"/>
      <c r="BU888" s="1"/>
      <c r="BW888" s="1"/>
    </row>
    <row r="889" spans="35:75">
      <c r="AI889" s="1"/>
      <c r="AL889" s="1"/>
      <c r="AO889" s="1"/>
      <c r="AR889" s="1"/>
      <c r="AZ889" s="1"/>
      <c r="BC889" s="1"/>
      <c r="BF889" s="1"/>
      <c r="BI889" s="1"/>
      <c r="BP889" s="1"/>
      <c r="BS889" s="1"/>
      <c r="BU889" s="1"/>
      <c r="BW889" s="1"/>
    </row>
    <row r="890" spans="35:75">
      <c r="AI890" s="1"/>
      <c r="AL890" s="1"/>
      <c r="AO890" s="1"/>
      <c r="AR890" s="1"/>
      <c r="AZ890" s="1"/>
      <c r="BC890" s="1"/>
      <c r="BF890" s="1"/>
      <c r="BI890" s="1"/>
      <c r="BP890" s="1"/>
      <c r="BS890" s="1"/>
      <c r="BU890" s="1"/>
      <c r="BW890" s="1"/>
    </row>
    <row r="891" spans="35:75">
      <c r="AI891" s="1"/>
      <c r="AL891" s="1"/>
      <c r="AO891" s="1"/>
      <c r="AR891" s="1"/>
      <c r="AZ891" s="1"/>
      <c r="BC891" s="1"/>
      <c r="BF891" s="1"/>
      <c r="BI891" s="1"/>
      <c r="BP891" s="1"/>
      <c r="BS891" s="1"/>
      <c r="BU891" s="1"/>
      <c r="BW891" s="1"/>
    </row>
    <row r="892" spans="35:75">
      <c r="AI892" s="1"/>
      <c r="AL892" s="1"/>
      <c r="AO892" s="1"/>
      <c r="AR892" s="1"/>
      <c r="AZ892" s="1"/>
      <c r="BC892" s="1"/>
      <c r="BF892" s="1"/>
      <c r="BI892" s="1"/>
      <c r="BP892" s="1"/>
      <c r="BS892" s="1"/>
      <c r="BU892" s="1"/>
      <c r="BW892" s="1"/>
    </row>
    <row r="893" spans="35:75">
      <c r="AI893" s="1"/>
      <c r="AL893" s="1"/>
      <c r="AO893" s="1"/>
      <c r="AR893" s="1"/>
      <c r="AZ893" s="1"/>
      <c r="BC893" s="1"/>
      <c r="BF893" s="1"/>
      <c r="BI893" s="1"/>
      <c r="BP893" s="1"/>
      <c r="BS893" s="1"/>
      <c r="BU893" s="1"/>
      <c r="BW893" s="1"/>
    </row>
    <row r="894" spans="35:75">
      <c r="AI894" s="1"/>
      <c r="AL894" s="1"/>
      <c r="AO894" s="1"/>
      <c r="AR894" s="1"/>
      <c r="AZ894" s="1"/>
      <c r="BC894" s="1"/>
      <c r="BF894" s="1"/>
      <c r="BI894" s="1"/>
      <c r="BP894" s="1"/>
      <c r="BS894" s="1"/>
      <c r="BU894" s="1"/>
      <c r="BW894" s="1"/>
    </row>
    <row r="895" spans="35:75">
      <c r="AI895" s="1"/>
      <c r="AL895" s="1"/>
      <c r="AO895" s="1"/>
      <c r="AR895" s="1"/>
      <c r="AZ895" s="1"/>
      <c r="BC895" s="1"/>
      <c r="BF895" s="1"/>
      <c r="BI895" s="1"/>
      <c r="BP895" s="1"/>
      <c r="BS895" s="1"/>
      <c r="BU895" s="1"/>
      <c r="BW895" s="1"/>
    </row>
    <row r="896" spans="35:75">
      <c r="AI896" s="1"/>
      <c r="AL896" s="1"/>
      <c r="AO896" s="1"/>
      <c r="AR896" s="1"/>
      <c r="AZ896" s="1"/>
      <c r="BC896" s="1"/>
      <c r="BF896" s="1"/>
      <c r="BI896" s="1"/>
      <c r="BP896" s="1"/>
      <c r="BS896" s="1"/>
      <c r="BU896" s="1"/>
      <c r="BW896" s="1"/>
    </row>
    <row r="897" spans="35:75">
      <c r="AI897" s="1"/>
      <c r="AL897" s="1"/>
      <c r="AO897" s="1"/>
      <c r="AR897" s="1"/>
      <c r="AZ897" s="1"/>
      <c r="BC897" s="1"/>
      <c r="BF897" s="1"/>
      <c r="BI897" s="1"/>
      <c r="BP897" s="1"/>
      <c r="BS897" s="1"/>
      <c r="BU897" s="1"/>
      <c r="BW897" s="1"/>
    </row>
    <row r="898" spans="35:75">
      <c r="AI898" s="1"/>
      <c r="AL898" s="1"/>
      <c r="AO898" s="1"/>
      <c r="AR898" s="1"/>
      <c r="AZ898" s="1"/>
      <c r="BC898" s="1"/>
      <c r="BF898" s="1"/>
      <c r="BI898" s="1"/>
      <c r="BP898" s="1"/>
      <c r="BS898" s="1"/>
      <c r="BU898" s="1"/>
      <c r="BW898" s="1"/>
    </row>
    <row r="899" spans="35:75">
      <c r="AI899" s="1"/>
      <c r="AL899" s="1"/>
      <c r="AO899" s="1"/>
      <c r="AR899" s="1"/>
      <c r="AZ899" s="1"/>
      <c r="BC899" s="1"/>
      <c r="BF899" s="1"/>
      <c r="BI899" s="1"/>
      <c r="BP899" s="1"/>
      <c r="BS899" s="1"/>
      <c r="BU899" s="1"/>
      <c r="BW899" s="1"/>
    </row>
    <row r="900" spans="35:75">
      <c r="AI900" s="1"/>
      <c r="AL900" s="1"/>
      <c r="AO900" s="1"/>
      <c r="AR900" s="1"/>
      <c r="AZ900" s="1"/>
      <c r="BC900" s="1"/>
      <c r="BF900" s="1"/>
      <c r="BI900" s="1"/>
      <c r="BP900" s="1"/>
      <c r="BS900" s="1"/>
      <c r="BU900" s="1"/>
      <c r="BW900" s="1"/>
    </row>
    <row r="901" spans="35:75">
      <c r="AI901" s="1"/>
      <c r="AL901" s="1"/>
      <c r="AO901" s="1"/>
      <c r="AR901" s="1"/>
      <c r="AZ901" s="1"/>
      <c r="BC901" s="1"/>
      <c r="BF901" s="1"/>
      <c r="BI901" s="1"/>
      <c r="BP901" s="1"/>
      <c r="BS901" s="1"/>
      <c r="BU901" s="1"/>
      <c r="BW901" s="1"/>
    </row>
    <row r="902" spans="35:75">
      <c r="AI902" s="1"/>
      <c r="AL902" s="1"/>
      <c r="AO902" s="1"/>
      <c r="AR902" s="1"/>
      <c r="AZ902" s="1"/>
      <c r="BC902" s="1"/>
      <c r="BF902" s="1"/>
      <c r="BI902" s="1"/>
      <c r="BP902" s="1"/>
      <c r="BS902" s="1"/>
      <c r="BU902" s="1"/>
      <c r="BW902" s="1"/>
    </row>
    <row r="903" spans="35:75">
      <c r="AI903" s="1"/>
      <c r="AL903" s="1"/>
      <c r="AO903" s="1"/>
      <c r="AR903" s="1"/>
      <c r="AZ903" s="1"/>
      <c r="BC903" s="1"/>
      <c r="BF903" s="1"/>
      <c r="BI903" s="1"/>
      <c r="BP903" s="1"/>
      <c r="BS903" s="1"/>
      <c r="BU903" s="1"/>
      <c r="BW903" s="1"/>
    </row>
    <row r="904" spans="35:75">
      <c r="AI904" s="1"/>
      <c r="AL904" s="1"/>
      <c r="AO904" s="1"/>
      <c r="AR904" s="1"/>
      <c r="AZ904" s="1"/>
      <c r="BC904" s="1"/>
      <c r="BF904" s="1"/>
      <c r="BI904" s="1"/>
      <c r="BP904" s="1"/>
      <c r="BS904" s="1"/>
      <c r="BU904" s="1"/>
      <c r="BW904" s="1"/>
    </row>
    <row r="905" spans="35:75">
      <c r="AI905" s="1"/>
      <c r="AL905" s="1"/>
      <c r="AO905" s="1"/>
      <c r="AR905" s="1"/>
      <c r="AZ905" s="1"/>
      <c r="BC905" s="1"/>
      <c r="BF905" s="1"/>
      <c r="BI905" s="1"/>
      <c r="BP905" s="1"/>
      <c r="BS905" s="1"/>
      <c r="BU905" s="1"/>
      <c r="BW905" s="1"/>
    </row>
    <row r="906" spans="35:75">
      <c r="AI906" s="1"/>
      <c r="AL906" s="1"/>
      <c r="AO906" s="1"/>
      <c r="AR906" s="1"/>
      <c r="AZ906" s="1"/>
      <c r="BC906" s="1"/>
      <c r="BF906" s="1"/>
      <c r="BI906" s="1"/>
      <c r="BP906" s="1"/>
      <c r="BS906" s="1"/>
      <c r="BU906" s="1"/>
      <c r="BW906" s="1"/>
    </row>
    <row r="907" spans="35:75">
      <c r="AI907" s="1"/>
      <c r="AL907" s="1"/>
      <c r="AO907" s="1"/>
      <c r="AR907" s="1"/>
      <c r="AZ907" s="1"/>
      <c r="BC907" s="1"/>
      <c r="BF907" s="1"/>
      <c r="BI907" s="1"/>
      <c r="BP907" s="1"/>
      <c r="BS907" s="1"/>
      <c r="BU907" s="1"/>
      <c r="BW907" s="1"/>
    </row>
    <row r="908" spans="35:75">
      <c r="AI908" s="1"/>
      <c r="AL908" s="1"/>
      <c r="AO908" s="1"/>
      <c r="AR908" s="1"/>
      <c r="AZ908" s="1"/>
      <c r="BC908" s="1"/>
      <c r="BF908" s="1"/>
      <c r="BI908" s="1"/>
      <c r="BP908" s="1"/>
      <c r="BS908" s="1"/>
      <c r="BU908" s="1"/>
      <c r="BW908" s="1"/>
    </row>
    <row r="909" spans="35:75">
      <c r="AI909" s="1"/>
      <c r="AL909" s="1"/>
      <c r="AO909" s="1"/>
      <c r="AR909" s="1"/>
      <c r="AZ909" s="1"/>
      <c r="BC909" s="1"/>
      <c r="BF909" s="1"/>
      <c r="BI909" s="1"/>
      <c r="BP909" s="1"/>
      <c r="BS909" s="1"/>
      <c r="BU909" s="1"/>
      <c r="BW909" s="1"/>
    </row>
    <row r="910" spans="35:75">
      <c r="AI910" s="1"/>
      <c r="AL910" s="1"/>
      <c r="AO910" s="1"/>
      <c r="AR910" s="1"/>
      <c r="AZ910" s="1"/>
      <c r="BC910" s="1"/>
      <c r="BF910" s="1"/>
      <c r="BI910" s="1"/>
      <c r="BP910" s="1"/>
      <c r="BS910" s="1"/>
      <c r="BU910" s="1"/>
      <c r="BW910" s="1"/>
    </row>
    <row r="911" spans="35:75">
      <c r="AI911" s="1"/>
      <c r="AL911" s="1"/>
      <c r="AO911" s="1"/>
      <c r="AR911" s="1"/>
      <c r="AZ911" s="1"/>
      <c r="BC911" s="1"/>
      <c r="BF911" s="1"/>
      <c r="BI911" s="1"/>
      <c r="BP911" s="1"/>
      <c r="BS911" s="1"/>
      <c r="BU911" s="1"/>
      <c r="BW911" s="1"/>
    </row>
    <row r="912" spans="35:75">
      <c r="AI912" s="1"/>
      <c r="AL912" s="1"/>
      <c r="AO912" s="1"/>
      <c r="AR912" s="1"/>
      <c r="AZ912" s="1"/>
      <c r="BC912" s="1"/>
      <c r="BF912" s="1"/>
      <c r="BI912" s="1"/>
      <c r="BP912" s="1"/>
      <c r="BS912" s="1"/>
      <c r="BU912" s="1"/>
      <c r="BW912" s="1"/>
    </row>
    <row r="913" spans="35:75">
      <c r="AI913" s="1"/>
      <c r="AL913" s="1"/>
      <c r="AO913" s="1"/>
      <c r="AR913" s="1"/>
      <c r="AZ913" s="1"/>
      <c r="BC913" s="1"/>
      <c r="BF913" s="1"/>
      <c r="BI913" s="1"/>
      <c r="BP913" s="1"/>
      <c r="BS913" s="1"/>
      <c r="BU913" s="1"/>
      <c r="BW913" s="1"/>
    </row>
    <row r="914" spans="35:75">
      <c r="AI914" s="1"/>
      <c r="AL914" s="1"/>
      <c r="AO914" s="1"/>
      <c r="AR914" s="1"/>
      <c r="AZ914" s="1"/>
      <c r="BC914" s="1"/>
      <c r="BF914" s="1"/>
      <c r="BI914" s="1"/>
      <c r="BP914" s="1"/>
      <c r="BS914" s="1"/>
      <c r="BU914" s="1"/>
      <c r="BW914" s="1"/>
    </row>
    <row r="915" spans="35:75">
      <c r="AI915" s="1"/>
      <c r="AL915" s="1"/>
      <c r="AO915" s="1"/>
      <c r="AR915" s="1"/>
      <c r="AZ915" s="1"/>
      <c r="BC915" s="1"/>
      <c r="BF915" s="1"/>
      <c r="BI915" s="1"/>
      <c r="BP915" s="1"/>
      <c r="BS915" s="1"/>
      <c r="BU915" s="1"/>
      <c r="BW915" s="1"/>
    </row>
    <row r="916" spans="35:75">
      <c r="AI916" s="1"/>
      <c r="AL916" s="1"/>
      <c r="AO916" s="1"/>
      <c r="AR916" s="1"/>
      <c r="AZ916" s="1"/>
      <c r="BC916" s="1"/>
      <c r="BF916" s="1"/>
      <c r="BI916" s="1"/>
      <c r="BP916" s="1"/>
      <c r="BS916" s="1"/>
      <c r="BU916" s="1"/>
      <c r="BW916" s="1"/>
    </row>
    <row r="917" spans="35:75">
      <c r="AI917" s="1"/>
      <c r="AL917" s="1"/>
      <c r="AO917" s="1"/>
      <c r="AR917" s="1"/>
      <c r="AZ917" s="1"/>
      <c r="BC917" s="1"/>
      <c r="BF917" s="1"/>
      <c r="BI917" s="1"/>
      <c r="BP917" s="1"/>
      <c r="BS917" s="1"/>
      <c r="BU917" s="1"/>
      <c r="BW917" s="1"/>
    </row>
    <row r="918" spans="35:75">
      <c r="AI918" s="1"/>
      <c r="AL918" s="1"/>
      <c r="AO918" s="1"/>
      <c r="AR918" s="1"/>
      <c r="AZ918" s="1"/>
      <c r="BC918" s="1"/>
      <c r="BF918" s="1"/>
      <c r="BI918" s="1"/>
      <c r="BP918" s="1"/>
      <c r="BS918" s="1"/>
      <c r="BU918" s="1"/>
      <c r="BW918" s="1"/>
    </row>
    <row r="919" spans="35:75">
      <c r="AI919" s="1"/>
      <c r="AL919" s="1"/>
      <c r="AO919" s="1"/>
      <c r="AR919" s="1"/>
      <c r="AZ919" s="1"/>
      <c r="BC919" s="1"/>
      <c r="BF919" s="1"/>
      <c r="BI919" s="1"/>
      <c r="BP919" s="1"/>
      <c r="BS919" s="1"/>
      <c r="BU919" s="1"/>
      <c r="BW919" s="1"/>
    </row>
    <row r="920" spans="35:75">
      <c r="AI920" s="1"/>
      <c r="AL920" s="1"/>
      <c r="AO920" s="1"/>
      <c r="AR920" s="1"/>
      <c r="AZ920" s="1"/>
      <c r="BC920" s="1"/>
      <c r="BF920" s="1"/>
      <c r="BI920" s="1"/>
      <c r="BP920" s="1"/>
      <c r="BS920" s="1"/>
      <c r="BU920" s="1"/>
      <c r="BW920" s="1"/>
    </row>
    <row r="921" spans="35:75">
      <c r="AI921" s="1"/>
      <c r="AL921" s="1"/>
      <c r="AO921" s="1"/>
      <c r="AR921" s="1"/>
      <c r="AZ921" s="1"/>
      <c r="BC921" s="1"/>
      <c r="BF921" s="1"/>
      <c r="BI921" s="1"/>
      <c r="BP921" s="1"/>
      <c r="BS921" s="1"/>
      <c r="BU921" s="1"/>
      <c r="BW921" s="1"/>
    </row>
    <row r="922" spans="35:75">
      <c r="AI922" s="1"/>
      <c r="AL922" s="1"/>
      <c r="AO922" s="1"/>
      <c r="AR922" s="1"/>
      <c r="AZ922" s="1"/>
      <c r="BC922" s="1"/>
      <c r="BF922" s="1"/>
      <c r="BI922" s="1"/>
      <c r="BP922" s="1"/>
      <c r="BS922" s="1"/>
      <c r="BU922" s="1"/>
      <c r="BW922" s="1"/>
    </row>
    <row r="923" spans="35:75">
      <c r="AI923" s="1"/>
      <c r="AL923" s="1"/>
      <c r="AO923" s="1"/>
      <c r="AR923" s="1"/>
      <c r="AZ923" s="1"/>
      <c r="BC923" s="1"/>
      <c r="BF923" s="1"/>
      <c r="BI923" s="1"/>
      <c r="BP923" s="1"/>
      <c r="BS923" s="1"/>
      <c r="BU923" s="1"/>
      <c r="BW923" s="1"/>
    </row>
    <row r="924" spans="35:75">
      <c r="AI924" s="1"/>
      <c r="AL924" s="1"/>
      <c r="AO924" s="1"/>
      <c r="AR924" s="1"/>
      <c r="AZ924" s="1"/>
      <c r="BC924" s="1"/>
      <c r="BF924" s="1"/>
      <c r="BI924" s="1"/>
      <c r="BP924" s="1"/>
      <c r="BS924" s="1"/>
      <c r="BU924" s="1"/>
      <c r="BW924" s="1"/>
    </row>
    <row r="925" spans="35:75">
      <c r="AI925" s="1"/>
      <c r="AL925" s="1"/>
      <c r="AO925" s="1"/>
      <c r="AR925" s="1"/>
      <c r="AZ925" s="1"/>
      <c r="BC925" s="1"/>
      <c r="BF925" s="1"/>
      <c r="BI925" s="1"/>
      <c r="BP925" s="1"/>
      <c r="BS925" s="1"/>
      <c r="BU925" s="1"/>
      <c r="BW925" s="1"/>
    </row>
    <row r="926" spans="35:75">
      <c r="AI926" s="1"/>
      <c r="AL926" s="1"/>
      <c r="AO926" s="1"/>
      <c r="AR926" s="1"/>
      <c r="AZ926" s="1"/>
      <c r="BC926" s="1"/>
      <c r="BF926" s="1"/>
      <c r="BI926" s="1"/>
      <c r="BP926" s="1"/>
      <c r="BS926" s="1"/>
      <c r="BU926" s="1"/>
      <c r="BW926" s="1"/>
    </row>
    <row r="927" spans="35:75">
      <c r="AI927" s="1"/>
      <c r="AL927" s="1"/>
      <c r="AO927" s="1"/>
      <c r="AR927" s="1"/>
      <c r="AZ927" s="1"/>
      <c r="BC927" s="1"/>
      <c r="BF927" s="1"/>
      <c r="BI927" s="1"/>
      <c r="BP927" s="1"/>
      <c r="BS927" s="1"/>
      <c r="BU927" s="1"/>
      <c r="BW927" s="1"/>
    </row>
    <row r="928" spans="35:75">
      <c r="AI928" s="1"/>
      <c r="AL928" s="1"/>
      <c r="AO928" s="1"/>
      <c r="AR928" s="1"/>
      <c r="AZ928" s="1"/>
      <c r="BC928" s="1"/>
      <c r="BF928" s="1"/>
      <c r="BI928" s="1"/>
      <c r="BP928" s="1"/>
      <c r="BS928" s="1"/>
      <c r="BU928" s="1"/>
      <c r="BW928" s="1"/>
    </row>
    <row r="929" spans="35:75">
      <c r="AI929" s="1"/>
      <c r="AL929" s="1"/>
      <c r="AO929" s="1"/>
      <c r="AR929" s="1"/>
      <c r="AZ929" s="1"/>
      <c r="BC929" s="1"/>
      <c r="BF929" s="1"/>
      <c r="BI929" s="1"/>
      <c r="BP929" s="1"/>
      <c r="BS929" s="1"/>
      <c r="BU929" s="1"/>
      <c r="BW929" s="1"/>
    </row>
    <row r="930" spans="35:75">
      <c r="AI930" s="1"/>
      <c r="AL930" s="1"/>
      <c r="AO930" s="1"/>
      <c r="AR930" s="1"/>
      <c r="AZ930" s="1"/>
      <c r="BC930" s="1"/>
      <c r="BF930" s="1"/>
      <c r="BI930" s="1"/>
      <c r="BP930" s="1"/>
      <c r="BS930" s="1"/>
      <c r="BU930" s="1"/>
      <c r="BW930" s="1"/>
    </row>
    <row r="931" spans="35:75">
      <c r="AI931" s="1"/>
      <c r="AL931" s="1"/>
      <c r="AO931" s="1"/>
      <c r="AR931" s="1"/>
      <c r="AZ931" s="1"/>
      <c r="BC931" s="1"/>
      <c r="BF931" s="1"/>
      <c r="BI931" s="1"/>
      <c r="BP931" s="1"/>
      <c r="BS931" s="1"/>
      <c r="BU931" s="1"/>
      <c r="BW931" s="1"/>
    </row>
    <row r="932" spans="35:75">
      <c r="AI932" s="1"/>
      <c r="AL932" s="1"/>
      <c r="AO932" s="1"/>
      <c r="AR932" s="1"/>
      <c r="AZ932" s="1"/>
      <c r="BC932" s="1"/>
      <c r="BF932" s="1"/>
      <c r="BI932" s="1"/>
      <c r="BP932" s="1"/>
      <c r="BS932" s="1"/>
      <c r="BU932" s="1"/>
      <c r="BW932" s="1"/>
    </row>
    <row r="933" spans="35:75">
      <c r="AI933" s="1"/>
      <c r="AL933" s="1"/>
      <c r="AO933" s="1"/>
      <c r="AR933" s="1"/>
      <c r="AZ933" s="1"/>
      <c r="BC933" s="1"/>
      <c r="BF933" s="1"/>
      <c r="BI933" s="1"/>
      <c r="BP933" s="1"/>
      <c r="BS933" s="1"/>
      <c r="BU933" s="1"/>
      <c r="BW933" s="1"/>
    </row>
    <row r="934" spans="35:75">
      <c r="AI934" s="1"/>
      <c r="AL934" s="1"/>
      <c r="AO934" s="1"/>
      <c r="AR934" s="1"/>
      <c r="AZ934" s="1"/>
      <c r="BC934" s="1"/>
      <c r="BF934" s="1"/>
      <c r="BI934" s="1"/>
      <c r="BP934" s="1"/>
      <c r="BS934" s="1"/>
      <c r="BU934" s="1"/>
      <c r="BW934" s="1"/>
    </row>
    <row r="935" spans="35:75">
      <c r="AI935" s="1"/>
      <c r="AL935" s="1"/>
      <c r="AO935" s="1"/>
      <c r="AR935" s="1"/>
      <c r="AZ935" s="1"/>
      <c r="BC935" s="1"/>
      <c r="BF935" s="1"/>
      <c r="BI935" s="1"/>
      <c r="BP935" s="1"/>
      <c r="BS935" s="1"/>
      <c r="BU935" s="1"/>
      <c r="BW935" s="1"/>
    </row>
    <row r="936" spans="35:75">
      <c r="AI936" s="1"/>
      <c r="AL936" s="1"/>
      <c r="AO936" s="1"/>
      <c r="AR936" s="1"/>
      <c r="AZ936" s="1"/>
      <c r="BC936" s="1"/>
      <c r="BF936" s="1"/>
      <c r="BI936" s="1"/>
      <c r="BP936" s="1"/>
      <c r="BS936" s="1"/>
      <c r="BU936" s="1"/>
      <c r="BW936" s="1"/>
    </row>
    <row r="937" spans="35:75">
      <c r="AI937" s="1"/>
      <c r="AL937" s="1"/>
      <c r="AO937" s="1"/>
      <c r="AR937" s="1"/>
      <c r="AZ937" s="1"/>
      <c r="BC937" s="1"/>
      <c r="BF937" s="1"/>
      <c r="BI937" s="1"/>
      <c r="BP937" s="1"/>
      <c r="BS937" s="1"/>
      <c r="BU937" s="1"/>
      <c r="BW937" s="1"/>
    </row>
    <row r="938" spans="35:75">
      <c r="AI938" s="1"/>
      <c r="AL938" s="1"/>
      <c r="AO938" s="1"/>
      <c r="AR938" s="1"/>
      <c r="AZ938" s="1"/>
      <c r="BC938" s="1"/>
      <c r="BF938" s="1"/>
      <c r="BI938" s="1"/>
      <c r="BP938" s="1"/>
      <c r="BS938" s="1"/>
      <c r="BU938" s="1"/>
      <c r="BW938" s="1"/>
    </row>
    <row r="939" spans="35:75">
      <c r="AI939" s="1"/>
      <c r="AL939" s="1"/>
      <c r="AO939" s="1"/>
      <c r="AR939" s="1"/>
      <c r="AZ939" s="1"/>
      <c r="BC939" s="1"/>
      <c r="BF939" s="1"/>
      <c r="BI939" s="1"/>
      <c r="BP939" s="1"/>
      <c r="BS939" s="1"/>
      <c r="BU939" s="1"/>
      <c r="BW939" s="1"/>
    </row>
    <row r="940" spans="35:75">
      <c r="AI940" s="1"/>
      <c r="AL940" s="1"/>
      <c r="AO940" s="1"/>
      <c r="AR940" s="1"/>
      <c r="AZ940" s="1"/>
      <c r="BC940" s="1"/>
      <c r="BF940" s="1"/>
      <c r="BI940" s="1"/>
      <c r="BP940" s="1"/>
      <c r="BS940" s="1"/>
      <c r="BU940" s="1"/>
      <c r="BW940" s="1"/>
    </row>
    <row r="941" spans="35:75">
      <c r="AI941" s="1"/>
      <c r="AL941" s="1"/>
      <c r="AO941" s="1"/>
      <c r="AR941" s="1"/>
      <c r="AZ941" s="1"/>
      <c r="BC941" s="1"/>
      <c r="BF941" s="1"/>
      <c r="BI941" s="1"/>
      <c r="BP941" s="1"/>
      <c r="BS941" s="1"/>
      <c r="BU941" s="1"/>
      <c r="BW941" s="1"/>
    </row>
    <row r="942" spans="35:75">
      <c r="AI942" s="1"/>
      <c r="AL942" s="1"/>
      <c r="AO942" s="1"/>
      <c r="AR942" s="1"/>
      <c r="AZ942" s="1"/>
      <c r="BC942" s="1"/>
      <c r="BF942" s="1"/>
      <c r="BI942" s="1"/>
      <c r="BP942" s="1"/>
      <c r="BS942" s="1"/>
      <c r="BU942" s="1"/>
      <c r="BW942" s="1"/>
    </row>
    <row r="943" spans="35:75">
      <c r="AI943" s="1"/>
      <c r="AL943" s="1"/>
      <c r="AO943" s="1"/>
      <c r="AR943" s="1"/>
      <c r="AZ943" s="1"/>
      <c r="BC943" s="1"/>
      <c r="BF943" s="1"/>
      <c r="BI943" s="1"/>
      <c r="BP943" s="1"/>
      <c r="BS943" s="1"/>
      <c r="BU943" s="1"/>
      <c r="BW943" s="1"/>
    </row>
    <row r="944" spans="35:75">
      <c r="AI944" s="1"/>
      <c r="AL944" s="1"/>
      <c r="AO944" s="1"/>
      <c r="AR944" s="1"/>
      <c r="AZ944" s="1"/>
      <c r="BC944" s="1"/>
      <c r="BF944" s="1"/>
      <c r="BI944" s="1"/>
      <c r="BP944" s="1"/>
      <c r="BS944" s="1"/>
      <c r="BU944" s="1"/>
      <c r="BW944" s="1"/>
    </row>
    <row r="945" spans="35:75">
      <c r="AI945" s="1"/>
      <c r="AL945" s="1"/>
      <c r="AO945" s="1"/>
      <c r="AR945" s="1"/>
      <c r="AZ945" s="1"/>
      <c r="BC945" s="1"/>
      <c r="BF945" s="1"/>
      <c r="BI945" s="1"/>
      <c r="BP945" s="1"/>
      <c r="BS945" s="1"/>
      <c r="BU945" s="1"/>
      <c r="BW945" s="1"/>
    </row>
    <row r="946" spans="35:75">
      <c r="AI946" s="1"/>
      <c r="AL946" s="1"/>
      <c r="AO946" s="1"/>
      <c r="AR946" s="1"/>
      <c r="AZ946" s="1"/>
      <c r="BC946" s="1"/>
      <c r="BF946" s="1"/>
      <c r="BI946" s="1"/>
      <c r="BP946" s="1"/>
      <c r="BS946" s="1"/>
      <c r="BU946" s="1"/>
      <c r="BW946" s="1"/>
    </row>
    <row r="947" spans="35:75">
      <c r="AI947" s="1"/>
      <c r="AL947" s="1"/>
      <c r="AO947" s="1"/>
      <c r="AR947" s="1"/>
      <c r="AZ947" s="1"/>
      <c r="BC947" s="1"/>
      <c r="BF947" s="1"/>
      <c r="BI947" s="1"/>
      <c r="BP947" s="1"/>
      <c r="BS947" s="1"/>
      <c r="BU947" s="1"/>
      <c r="BW947" s="1"/>
    </row>
    <row r="948" spans="35:75">
      <c r="AI948" s="1"/>
      <c r="AL948" s="1"/>
      <c r="AO948" s="1"/>
      <c r="AR948" s="1"/>
      <c r="AZ948" s="1"/>
      <c r="BC948" s="1"/>
      <c r="BF948" s="1"/>
      <c r="BI948" s="1"/>
      <c r="BP948" s="1"/>
      <c r="BS948" s="1"/>
      <c r="BU948" s="1"/>
      <c r="BW948" s="1"/>
    </row>
    <row r="949" spans="35:75">
      <c r="AI949" s="1"/>
      <c r="AL949" s="1"/>
      <c r="AO949" s="1"/>
      <c r="AR949" s="1"/>
      <c r="AZ949" s="1"/>
      <c r="BC949" s="1"/>
      <c r="BF949" s="1"/>
      <c r="BI949" s="1"/>
      <c r="BP949" s="1"/>
      <c r="BS949" s="1"/>
      <c r="BU949" s="1"/>
      <c r="BW949" s="1"/>
    </row>
    <row r="950" spans="35:75">
      <c r="AI950" s="1"/>
      <c r="AL950" s="1"/>
      <c r="AO950" s="1"/>
      <c r="AR950" s="1"/>
      <c r="AZ950" s="1"/>
      <c r="BC950" s="1"/>
      <c r="BF950" s="1"/>
      <c r="BI950" s="1"/>
      <c r="BP950" s="1"/>
      <c r="BS950" s="1"/>
      <c r="BU950" s="1"/>
      <c r="BW950" s="1"/>
    </row>
    <row r="951" spans="35:75">
      <c r="AI951" s="1"/>
      <c r="AL951" s="1"/>
      <c r="AO951" s="1"/>
      <c r="AR951" s="1"/>
      <c r="AZ951" s="1"/>
      <c r="BC951" s="1"/>
      <c r="BF951" s="1"/>
      <c r="BI951" s="1"/>
      <c r="BP951" s="1"/>
      <c r="BS951" s="1"/>
      <c r="BU951" s="1"/>
      <c r="BW951" s="1"/>
    </row>
    <row r="952" spans="35:75">
      <c r="AI952" s="1"/>
      <c r="AL952" s="1"/>
      <c r="AO952" s="1"/>
      <c r="AR952" s="1"/>
      <c r="AZ952" s="1"/>
      <c r="BC952" s="1"/>
      <c r="BF952" s="1"/>
      <c r="BI952" s="1"/>
      <c r="BP952" s="1"/>
      <c r="BS952" s="1"/>
      <c r="BU952" s="1"/>
      <c r="BW952" s="1"/>
    </row>
    <row r="953" spans="35:75">
      <c r="AI953" s="1"/>
      <c r="AL953" s="1"/>
      <c r="AO953" s="1"/>
      <c r="AR953" s="1"/>
      <c r="AZ953" s="1"/>
      <c r="BC953" s="1"/>
      <c r="BF953" s="1"/>
      <c r="BI953" s="1"/>
      <c r="BP953" s="1"/>
      <c r="BS953" s="1"/>
      <c r="BU953" s="1"/>
      <c r="BW953" s="1"/>
    </row>
    <row r="954" spans="35:75">
      <c r="AI954" s="1"/>
      <c r="AL954" s="1"/>
      <c r="AO954" s="1"/>
      <c r="AR954" s="1"/>
      <c r="AZ954" s="1"/>
      <c r="BC954" s="1"/>
      <c r="BF954" s="1"/>
      <c r="BI954" s="1"/>
      <c r="BP954" s="1"/>
      <c r="BS954" s="1"/>
      <c r="BU954" s="1"/>
      <c r="BW954" s="1"/>
    </row>
    <row r="955" spans="35:75">
      <c r="AI955" s="1"/>
      <c r="AL955" s="1"/>
      <c r="AO955" s="1"/>
      <c r="AR955" s="1"/>
      <c r="AZ955" s="1"/>
      <c r="BC955" s="1"/>
      <c r="BF955" s="1"/>
      <c r="BI955" s="1"/>
      <c r="BP955" s="1"/>
      <c r="BS955" s="1"/>
      <c r="BU955" s="1"/>
      <c r="BW955" s="1"/>
    </row>
    <row r="956" spans="35:75">
      <c r="AI956" s="1"/>
      <c r="AL956" s="1"/>
      <c r="AO956" s="1"/>
      <c r="AR956" s="1"/>
      <c r="AZ956" s="1"/>
      <c r="BC956" s="1"/>
      <c r="BF956" s="1"/>
      <c r="BI956" s="1"/>
      <c r="BP956" s="1"/>
      <c r="BS956" s="1"/>
      <c r="BU956" s="1"/>
      <c r="BW956" s="1"/>
    </row>
    <row r="957" spans="35:75">
      <c r="AI957" s="1"/>
      <c r="AL957" s="1"/>
      <c r="AO957" s="1"/>
      <c r="AR957" s="1"/>
      <c r="AZ957" s="1"/>
      <c r="BC957" s="1"/>
      <c r="BF957" s="1"/>
      <c r="BI957" s="1"/>
      <c r="BP957" s="1"/>
      <c r="BS957" s="1"/>
      <c r="BU957" s="1"/>
      <c r="BW957" s="1"/>
    </row>
    <row r="958" spans="35:75">
      <c r="AI958" s="1"/>
      <c r="AL958" s="1"/>
      <c r="AO958" s="1"/>
      <c r="AR958" s="1"/>
      <c r="AZ958" s="1"/>
      <c r="BC958" s="1"/>
      <c r="BF958" s="1"/>
      <c r="BI958" s="1"/>
      <c r="BP958" s="1"/>
      <c r="BS958" s="1"/>
      <c r="BU958" s="1"/>
      <c r="BW958" s="1"/>
    </row>
    <row r="959" spans="35:75">
      <c r="AI959" s="1"/>
      <c r="AL959" s="1"/>
      <c r="AO959" s="1"/>
      <c r="AR959" s="1"/>
      <c r="AZ959" s="1"/>
      <c r="BC959" s="1"/>
      <c r="BF959" s="1"/>
      <c r="BI959" s="1"/>
      <c r="BP959" s="1"/>
      <c r="BS959" s="1"/>
      <c r="BU959" s="1"/>
      <c r="BW959" s="1"/>
    </row>
    <row r="960" spans="35:75">
      <c r="AI960" s="1"/>
      <c r="AL960" s="1"/>
      <c r="AO960" s="1"/>
      <c r="AR960" s="1"/>
      <c r="AZ960" s="1"/>
      <c r="BC960" s="1"/>
      <c r="BF960" s="1"/>
      <c r="BI960" s="1"/>
      <c r="BP960" s="1"/>
      <c r="BS960" s="1"/>
      <c r="BU960" s="1"/>
      <c r="BW960" s="1"/>
    </row>
    <row r="961" spans="35:75">
      <c r="AI961" s="1"/>
      <c r="AL961" s="1"/>
      <c r="AO961" s="1"/>
      <c r="AR961" s="1"/>
      <c r="AZ961" s="1"/>
      <c r="BC961" s="1"/>
      <c r="BF961" s="1"/>
      <c r="BI961" s="1"/>
      <c r="BP961" s="1"/>
      <c r="BS961" s="1"/>
      <c r="BU961" s="1"/>
      <c r="BW961" s="1"/>
    </row>
    <row r="962" spans="35:75">
      <c r="AI962" s="1"/>
      <c r="AL962" s="1"/>
      <c r="AO962" s="1"/>
      <c r="AR962" s="1"/>
      <c r="AZ962" s="1"/>
      <c r="BC962" s="1"/>
      <c r="BF962" s="1"/>
      <c r="BI962" s="1"/>
      <c r="BP962" s="1"/>
      <c r="BS962" s="1"/>
      <c r="BU962" s="1"/>
      <c r="BW962" s="1"/>
    </row>
    <row r="963" spans="35:75">
      <c r="AI963" s="1"/>
      <c r="AL963" s="1"/>
      <c r="AO963" s="1"/>
      <c r="AR963" s="1"/>
      <c r="AZ963" s="1"/>
      <c r="BC963" s="1"/>
      <c r="BF963" s="1"/>
      <c r="BI963" s="1"/>
      <c r="BP963" s="1"/>
      <c r="BS963" s="1"/>
      <c r="BU963" s="1"/>
      <c r="BW963" s="1"/>
    </row>
    <row r="964" spans="35:75">
      <c r="AI964" s="1"/>
      <c r="AL964" s="1"/>
      <c r="AO964" s="1"/>
      <c r="AR964" s="1"/>
      <c r="AZ964" s="1"/>
      <c r="BC964" s="1"/>
      <c r="BF964" s="1"/>
      <c r="BI964" s="1"/>
      <c r="BP964" s="1"/>
      <c r="BS964" s="1"/>
      <c r="BU964" s="1"/>
      <c r="BW964" s="1"/>
    </row>
    <row r="965" spans="35:75">
      <c r="AI965" s="1"/>
      <c r="AL965" s="1"/>
      <c r="AO965" s="1"/>
      <c r="AR965" s="1"/>
      <c r="AZ965" s="1"/>
      <c r="BC965" s="1"/>
      <c r="BF965" s="1"/>
      <c r="BI965" s="1"/>
      <c r="BP965" s="1"/>
      <c r="BS965" s="1"/>
      <c r="BU965" s="1"/>
      <c r="BW965" s="1"/>
    </row>
    <row r="966" spans="35:75">
      <c r="AI966" s="1"/>
      <c r="AL966" s="1"/>
      <c r="AO966" s="1"/>
      <c r="AR966" s="1"/>
      <c r="AZ966" s="1"/>
      <c r="BC966" s="1"/>
      <c r="BF966" s="1"/>
      <c r="BI966" s="1"/>
      <c r="BP966" s="1"/>
      <c r="BS966" s="1"/>
      <c r="BU966" s="1"/>
      <c r="BW966" s="1"/>
    </row>
    <row r="967" spans="35:75">
      <c r="AI967" s="1"/>
      <c r="AL967" s="1"/>
      <c r="AO967" s="1"/>
      <c r="AR967" s="1"/>
      <c r="AZ967" s="1"/>
      <c r="BC967" s="1"/>
      <c r="BF967" s="1"/>
      <c r="BI967" s="1"/>
      <c r="BP967" s="1"/>
      <c r="BS967" s="1"/>
      <c r="BU967" s="1"/>
      <c r="BW967" s="1"/>
    </row>
    <row r="968" spans="35:75">
      <c r="AI968" s="1"/>
      <c r="AL968" s="1"/>
      <c r="AO968" s="1"/>
      <c r="AR968" s="1"/>
      <c r="AZ968" s="1"/>
      <c r="BC968" s="1"/>
      <c r="BF968" s="1"/>
      <c r="BI968" s="1"/>
      <c r="BP968" s="1"/>
      <c r="BS968" s="1"/>
      <c r="BU968" s="1"/>
      <c r="BW968" s="1"/>
    </row>
    <row r="969" spans="35:75">
      <c r="AI969" s="1"/>
      <c r="AL969" s="1"/>
      <c r="AO969" s="1"/>
      <c r="AR969" s="1"/>
      <c r="AZ969" s="1"/>
      <c r="BC969" s="1"/>
      <c r="BF969" s="1"/>
      <c r="BI969" s="1"/>
      <c r="BP969" s="1"/>
      <c r="BS969" s="1"/>
      <c r="BU969" s="1"/>
      <c r="BW969" s="1"/>
    </row>
    <row r="970" spans="35:75">
      <c r="AI970" s="1"/>
      <c r="AL970" s="1"/>
      <c r="AO970" s="1"/>
      <c r="AR970" s="1"/>
      <c r="AZ970" s="1"/>
      <c r="BC970" s="1"/>
      <c r="BF970" s="1"/>
      <c r="BI970" s="1"/>
      <c r="BP970" s="1"/>
      <c r="BS970" s="1"/>
      <c r="BU970" s="1"/>
      <c r="BW970" s="1"/>
    </row>
    <row r="971" spans="35:75">
      <c r="AI971" s="1"/>
      <c r="AL971" s="1"/>
      <c r="AO971" s="1"/>
      <c r="AR971" s="1"/>
      <c r="AZ971" s="1"/>
      <c r="BC971" s="1"/>
      <c r="BF971" s="1"/>
      <c r="BI971" s="1"/>
      <c r="BP971" s="1"/>
      <c r="BS971" s="1"/>
      <c r="BU971" s="1"/>
      <c r="BW971" s="1"/>
    </row>
    <row r="972" spans="35:75">
      <c r="AI972" s="1"/>
      <c r="AL972" s="1"/>
      <c r="AO972" s="1"/>
      <c r="AR972" s="1"/>
      <c r="AZ972" s="1"/>
      <c r="BC972" s="1"/>
      <c r="BF972" s="1"/>
      <c r="BI972" s="1"/>
      <c r="BP972" s="1"/>
      <c r="BS972" s="1"/>
      <c r="BU972" s="1"/>
      <c r="BW972" s="1"/>
    </row>
    <row r="973" spans="35:75">
      <c r="AI973" s="1"/>
      <c r="AL973" s="1"/>
      <c r="AO973" s="1"/>
      <c r="AR973" s="1"/>
      <c r="AZ973" s="1"/>
      <c r="BC973" s="1"/>
      <c r="BF973" s="1"/>
      <c r="BI973" s="1"/>
      <c r="BP973" s="1"/>
      <c r="BS973" s="1"/>
      <c r="BU973" s="1"/>
      <c r="BW973" s="1"/>
    </row>
    <row r="974" spans="35:75">
      <c r="AI974" s="1"/>
      <c r="AL974" s="1"/>
      <c r="AO974" s="1"/>
      <c r="AR974" s="1"/>
      <c r="AZ974" s="1"/>
      <c r="BC974" s="1"/>
      <c r="BF974" s="1"/>
      <c r="BI974" s="1"/>
      <c r="BP974" s="1"/>
      <c r="BS974" s="1"/>
      <c r="BU974" s="1"/>
      <c r="BW974" s="1"/>
    </row>
    <row r="975" spans="35:75">
      <c r="AI975" s="1"/>
      <c r="AL975" s="1"/>
      <c r="AO975" s="1"/>
      <c r="AR975" s="1"/>
      <c r="AZ975" s="1"/>
      <c r="BC975" s="1"/>
      <c r="BF975" s="1"/>
      <c r="BI975" s="1"/>
      <c r="BP975" s="1"/>
      <c r="BS975" s="1"/>
      <c r="BU975" s="1"/>
      <c r="BW975" s="1"/>
    </row>
    <row r="976" spans="35:75">
      <c r="AI976" s="1"/>
      <c r="AL976" s="1"/>
      <c r="AO976" s="1"/>
      <c r="AR976" s="1"/>
      <c r="AZ976" s="1"/>
      <c r="BC976" s="1"/>
      <c r="BF976" s="1"/>
      <c r="BI976" s="1"/>
      <c r="BP976" s="1"/>
      <c r="BS976" s="1"/>
      <c r="BU976" s="1"/>
      <c r="BW976" s="1"/>
    </row>
    <row r="977" spans="35:75">
      <c r="AI977" s="1"/>
      <c r="AL977" s="1"/>
      <c r="AO977" s="1"/>
      <c r="AR977" s="1"/>
      <c r="AZ977" s="1"/>
      <c r="BC977" s="1"/>
      <c r="BF977" s="1"/>
      <c r="BI977" s="1"/>
      <c r="BP977" s="1"/>
      <c r="BS977" s="1"/>
      <c r="BU977" s="1"/>
      <c r="BW977" s="1"/>
    </row>
    <row r="978" spans="35:75">
      <c r="AI978" s="1"/>
      <c r="AL978" s="1"/>
      <c r="AO978" s="1"/>
      <c r="AR978" s="1"/>
      <c r="AZ978" s="1"/>
      <c r="BC978" s="1"/>
      <c r="BF978" s="1"/>
      <c r="BI978" s="1"/>
      <c r="BP978" s="1"/>
      <c r="BS978" s="1"/>
      <c r="BU978" s="1"/>
      <c r="BW978" s="1"/>
    </row>
    <row r="979" spans="35:75">
      <c r="AI979" s="1"/>
      <c r="AL979" s="1"/>
      <c r="AO979" s="1"/>
      <c r="AR979" s="1"/>
      <c r="AZ979" s="1"/>
      <c r="BC979" s="1"/>
      <c r="BF979" s="1"/>
      <c r="BI979" s="1"/>
      <c r="BP979" s="1"/>
      <c r="BS979" s="1"/>
      <c r="BU979" s="1"/>
      <c r="BW979" s="1"/>
    </row>
    <row r="980" spans="35:75">
      <c r="AI980" s="1"/>
      <c r="AL980" s="1"/>
      <c r="AO980" s="1"/>
      <c r="AR980" s="1"/>
      <c r="AZ980" s="1"/>
      <c r="BC980" s="1"/>
      <c r="BF980" s="1"/>
      <c r="BI980" s="1"/>
      <c r="BP980" s="1"/>
      <c r="BS980" s="1"/>
      <c r="BU980" s="1"/>
      <c r="BW980" s="1"/>
    </row>
    <row r="981" spans="35:75">
      <c r="AI981" s="1"/>
      <c r="AL981" s="1"/>
      <c r="AO981" s="1"/>
      <c r="AR981" s="1"/>
      <c r="AZ981" s="1"/>
      <c r="BC981" s="1"/>
      <c r="BF981" s="1"/>
      <c r="BI981" s="1"/>
      <c r="BP981" s="1"/>
      <c r="BS981" s="1"/>
      <c r="BU981" s="1"/>
      <c r="BW981" s="1"/>
    </row>
    <row r="982" spans="35:75">
      <c r="AI982" s="1"/>
      <c r="AL982" s="1"/>
      <c r="AO982" s="1"/>
      <c r="AR982" s="1"/>
      <c r="AZ982" s="1"/>
      <c r="BC982" s="1"/>
      <c r="BF982" s="1"/>
      <c r="BI982" s="1"/>
      <c r="BP982" s="1"/>
      <c r="BS982" s="1"/>
      <c r="BU982" s="1"/>
      <c r="BW982" s="1"/>
    </row>
    <row r="983" spans="35:75">
      <c r="AI983" s="1"/>
      <c r="AL983" s="1"/>
      <c r="AO983" s="1"/>
      <c r="AR983" s="1"/>
      <c r="AZ983" s="1"/>
      <c r="BC983" s="1"/>
      <c r="BF983" s="1"/>
      <c r="BI983" s="1"/>
      <c r="BP983" s="1"/>
      <c r="BS983" s="1"/>
      <c r="BU983" s="1"/>
      <c r="BW983" s="1"/>
    </row>
    <row r="984" spans="35:75">
      <c r="AI984" s="1"/>
      <c r="AL984" s="1"/>
      <c r="AO984" s="1"/>
      <c r="AR984" s="1"/>
      <c r="AZ984" s="1"/>
      <c r="BC984" s="1"/>
      <c r="BF984" s="1"/>
      <c r="BI984" s="1"/>
      <c r="BP984" s="1"/>
      <c r="BS984" s="1"/>
      <c r="BU984" s="1"/>
      <c r="BW984" s="1"/>
    </row>
    <row r="985" spans="35:75">
      <c r="AI985" s="1"/>
      <c r="AL985" s="1"/>
      <c r="AO985" s="1"/>
      <c r="AR985" s="1"/>
      <c r="AZ985" s="1"/>
      <c r="BC985" s="1"/>
      <c r="BF985" s="1"/>
      <c r="BI985" s="1"/>
      <c r="BP985" s="1"/>
      <c r="BS985" s="1"/>
      <c r="BU985" s="1"/>
      <c r="BW985" s="1"/>
    </row>
    <row r="986" spans="35:75">
      <c r="AI986" s="1"/>
      <c r="AL986" s="1"/>
      <c r="AO986" s="1"/>
      <c r="AR986" s="1"/>
      <c r="AZ986" s="1"/>
      <c r="BC986" s="1"/>
      <c r="BF986" s="1"/>
      <c r="BI986" s="1"/>
      <c r="BP986" s="1"/>
      <c r="BS986" s="1"/>
      <c r="BU986" s="1"/>
      <c r="BW986" s="1"/>
    </row>
    <row r="987" spans="35:75">
      <c r="AI987" s="1"/>
      <c r="AL987" s="1"/>
      <c r="AO987" s="1"/>
      <c r="AR987" s="1"/>
      <c r="AZ987" s="1"/>
      <c r="BC987" s="1"/>
      <c r="BF987" s="1"/>
      <c r="BI987" s="1"/>
      <c r="BP987" s="1"/>
      <c r="BS987" s="1"/>
      <c r="BU987" s="1"/>
      <c r="BW987" s="1"/>
    </row>
    <row r="988" spans="35:75">
      <c r="AI988" s="1"/>
      <c r="AL988" s="1"/>
      <c r="AO988" s="1"/>
      <c r="AR988" s="1"/>
      <c r="AZ988" s="1"/>
      <c r="BC988" s="1"/>
      <c r="BF988" s="1"/>
      <c r="BI988" s="1"/>
      <c r="BP988" s="1"/>
      <c r="BS988" s="1"/>
      <c r="BU988" s="1"/>
      <c r="BW988" s="1"/>
    </row>
    <row r="989" spans="35:75">
      <c r="AI989" s="1"/>
      <c r="AL989" s="1"/>
      <c r="AO989" s="1"/>
      <c r="AR989" s="1"/>
      <c r="AZ989" s="1"/>
      <c r="BC989" s="1"/>
      <c r="BF989" s="1"/>
      <c r="BI989" s="1"/>
      <c r="BP989" s="1"/>
      <c r="BS989" s="1"/>
      <c r="BU989" s="1"/>
      <c r="BW989" s="1"/>
    </row>
    <row r="990" spans="35:75">
      <c r="AI990" s="1"/>
      <c r="AL990" s="1"/>
      <c r="AO990" s="1"/>
      <c r="AR990" s="1"/>
      <c r="AZ990" s="1"/>
      <c r="BC990" s="1"/>
      <c r="BF990" s="1"/>
      <c r="BI990" s="1"/>
      <c r="BP990" s="1"/>
      <c r="BS990" s="1"/>
      <c r="BU990" s="1"/>
      <c r="BW990" s="1"/>
    </row>
    <row r="991" spans="35:75">
      <c r="AI991" s="1"/>
      <c r="AL991" s="1"/>
      <c r="AO991" s="1"/>
      <c r="AR991" s="1"/>
      <c r="AZ991" s="1"/>
      <c r="BC991" s="1"/>
      <c r="BF991" s="1"/>
      <c r="BI991" s="1"/>
      <c r="BP991" s="1"/>
      <c r="BS991" s="1"/>
      <c r="BU991" s="1"/>
      <c r="BW991" s="1"/>
    </row>
    <row r="992" spans="35:75">
      <c r="AI992" s="1"/>
      <c r="AL992" s="1"/>
      <c r="AO992" s="1"/>
      <c r="AR992" s="1"/>
      <c r="AZ992" s="1"/>
      <c r="BC992" s="1"/>
      <c r="BF992" s="1"/>
      <c r="BI992" s="1"/>
      <c r="BP992" s="1"/>
      <c r="BS992" s="1"/>
      <c r="BU992" s="1"/>
      <c r="BW992" s="1"/>
    </row>
    <row r="993" spans="35:75">
      <c r="AI993" s="1"/>
      <c r="AL993" s="1"/>
      <c r="AO993" s="1"/>
      <c r="AR993" s="1"/>
      <c r="AZ993" s="1"/>
      <c r="BC993" s="1"/>
      <c r="BF993" s="1"/>
      <c r="BI993" s="1"/>
      <c r="BP993" s="1"/>
      <c r="BS993" s="1"/>
      <c r="BU993" s="1"/>
      <c r="BW993" s="1"/>
    </row>
    <row r="994" spans="35:75">
      <c r="AI994" s="1"/>
      <c r="AL994" s="1"/>
      <c r="AO994" s="1"/>
      <c r="AR994" s="1"/>
      <c r="AZ994" s="1"/>
      <c r="BC994" s="1"/>
      <c r="BF994" s="1"/>
      <c r="BI994" s="1"/>
      <c r="BP994" s="1"/>
      <c r="BS994" s="1"/>
      <c r="BU994" s="1"/>
      <c r="BW994" s="1"/>
    </row>
    <row r="995" spans="35:75">
      <c r="AI995" s="1"/>
      <c r="AL995" s="1"/>
      <c r="AO995" s="1"/>
      <c r="AR995" s="1"/>
      <c r="AZ995" s="1"/>
      <c r="BC995" s="1"/>
      <c r="BF995" s="1"/>
      <c r="BI995" s="1"/>
      <c r="BP995" s="1"/>
      <c r="BS995" s="1"/>
      <c r="BU995" s="1"/>
      <c r="BW995" s="1"/>
    </row>
    <row r="996" spans="35:75">
      <c r="AI996" s="1"/>
      <c r="AL996" s="1"/>
      <c r="AO996" s="1"/>
      <c r="AR996" s="1"/>
      <c r="AZ996" s="1"/>
      <c r="BC996" s="1"/>
      <c r="BF996" s="1"/>
      <c r="BI996" s="1"/>
      <c r="BP996" s="1"/>
      <c r="BS996" s="1"/>
      <c r="BU996" s="1"/>
      <c r="BW996" s="1"/>
    </row>
    <row r="997" spans="35:75">
      <c r="AI997" s="1"/>
      <c r="AL997" s="1"/>
      <c r="AO997" s="1"/>
      <c r="AR997" s="1"/>
      <c r="AZ997" s="1"/>
      <c r="BC997" s="1"/>
      <c r="BF997" s="1"/>
      <c r="BI997" s="1"/>
      <c r="BP997" s="1"/>
      <c r="BS997" s="1"/>
      <c r="BU997" s="1"/>
      <c r="BW997" s="1"/>
    </row>
    <row r="998" spans="35:75">
      <c r="AI998" s="1"/>
      <c r="AL998" s="1"/>
      <c r="AO998" s="1"/>
      <c r="AR998" s="1"/>
      <c r="AZ998" s="1"/>
      <c r="BC998" s="1"/>
      <c r="BF998" s="1"/>
      <c r="BI998" s="1"/>
      <c r="BP998" s="1"/>
      <c r="BS998" s="1"/>
      <c r="BU998" s="1"/>
      <c r="BW998" s="1"/>
    </row>
    <row r="999" spans="35:75">
      <c r="AI999" s="1"/>
      <c r="AL999" s="1"/>
      <c r="AO999" s="1"/>
      <c r="AR999" s="1"/>
      <c r="AZ999" s="1"/>
      <c r="BC999" s="1"/>
      <c r="BF999" s="1"/>
      <c r="BI999" s="1"/>
      <c r="BP999" s="1"/>
      <c r="BS999" s="1"/>
      <c r="BU999" s="1"/>
      <c r="BW999" s="1"/>
    </row>
    <row r="1000" spans="35:75">
      <c r="AI1000" s="1"/>
      <c r="AL1000" s="1"/>
      <c r="AO1000" s="1"/>
      <c r="AR1000" s="1"/>
      <c r="AZ1000" s="1"/>
      <c r="BC1000" s="1"/>
      <c r="BF1000" s="1"/>
      <c r="BI1000" s="1"/>
      <c r="BP1000" s="1"/>
      <c r="BS1000" s="1"/>
      <c r="BU1000" s="1"/>
      <c r="BW1000" s="1"/>
    </row>
    <row r="1001" spans="35:75">
      <c r="AI1001" s="1"/>
      <c r="AL1001" s="1"/>
      <c r="AO1001" s="1"/>
      <c r="AR1001" s="1"/>
      <c r="AZ1001" s="1"/>
      <c r="BC1001" s="1"/>
      <c r="BF1001" s="1"/>
      <c r="BI1001" s="1"/>
      <c r="BP1001" s="1"/>
      <c r="BS1001" s="1"/>
      <c r="BU1001" s="1"/>
      <c r="BW1001" s="1"/>
    </row>
    <row r="1002" spans="35:75">
      <c r="AI1002" s="1"/>
      <c r="AL1002" s="1"/>
      <c r="AO1002" s="1"/>
      <c r="AR1002" s="1"/>
      <c r="AZ1002" s="1"/>
      <c r="BC1002" s="1"/>
      <c r="BF1002" s="1"/>
      <c r="BI1002" s="1"/>
      <c r="BP1002" s="1"/>
      <c r="BS1002" s="1"/>
      <c r="BU1002" s="1"/>
      <c r="BW1002" s="1"/>
    </row>
    <row r="1003" spans="35:75">
      <c r="AI1003" s="1"/>
      <c r="AL1003" s="1"/>
      <c r="AO1003" s="1"/>
      <c r="AR1003" s="1"/>
      <c r="AZ1003" s="1"/>
      <c r="BC1003" s="1"/>
      <c r="BF1003" s="1"/>
      <c r="BI1003" s="1"/>
      <c r="BP1003" s="1"/>
      <c r="BS1003" s="1"/>
      <c r="BU1003" s="1"/>
      <c r="BW1003" s="1"/>
    </row>
    <row r="1004" spans="35:75">
      <c r="AI1004" s="1"/>
      <c r="AL1004" s="1"/>
      <c r="AO1004" s="1"/>
      <c r="AR1004" s="1"/>
      <c r="AZ1004" s="1"/>
      <c r="BC1004" s="1"/>
      <c r="BF1004" s="1"/>
      <c r="BI1004" s="1"/>
      <c r="BP1004" s="1"/>
      <c r="BS1004" s="1"/>
      <c r="BU1004" s="1"/>
      <c r="BW1004" s="1"/>
    </row>
    <row r="1005" spans="35:75">
      <c r="AI1005" s="1"/>
      <c r="AL1005" s="1"/>
      <c r="AO1005" s="1"/>
      <c r="AR1005" s="1"/>
      <c r="AZ1005" s="1"/>
      <c r="BC1005" s="1"/>
      <c r="BF1005" s="1"/>
      <c r="BI1005" s="1"/>
      <c r="BP1005" s="1"/>
      <c r="BS1005" s="1"/>
      <c r="BU1005" s="1"/>
      <c r="BW1005" s="1"/>
    </row>
    <row r="1006" spans="35:75">
      <c r="AI1006" s="1"/>
      <c r="AL1006" s="1"/>
      <c r="AO1006" s="1"/>
      <c r="AR1006" s="1"/>
      <c r="AZ1006" s="1"/>
      <c r="BC1006" s="1"/>
      <c r="BF1006" s="1"/>
      <c r="BI1006" s="1"/>
      <c r="BP1006" s="1"/>
      <c r="BS1006" s="1"/>
      <c r="BU1006" s="1"/>
      <c r="BW1006" s="1"/>
    </row>
    <row r="1007" spans="35:75">
      <c r="AI1007" s="1"/>
      <c r="AL1007" s="1"/>
      <c r="AO1007" s="1"/>
      <c r="AR1007" s="1"/>
      <c r="AZ1007" s="1"/>
      <c r="BC1007" s="1"/>
      <c r="BF1007" s="1"/>
      <c r="BI1007" s="1"/>
      <c r="BP1007" s="1"/>
      <c r="BS1007" s="1"/>
      <c r="BU1007" s="1"/>
      <c r="BW1007" s="1"/>
    </row>
    <row r="1008" spans="35:75">
      <c r="AI1008" s="1"/>
      <c r="AL1008" s="1"/>
      <c r="AO1008" s="1"/>
      <c r="AR1008" s="1"/>
      <c r="AZ1008" s="1"/>
      <c r="BC1008" s="1"/>
      <c r="BF1008" s="1"/>
      <c r="BI1008" s="1"/>
      <c r="BP1008" s="1"/>
      <c r="BS1008" s="1"/>
      <c r="BU1008" s="1"/>
      <c r="BW1008" s="1"/>
    </row>
    <row r="1009" spans="35:75">
      <c r="AI1009" s="1"/>
      <c r="AL1009" s="1"/>
      <c r="AO1009" s="1"/>
      <c r="AR1009" s="1"/>
      <c r="AZ1009" s="1"/>
      <c r="BC1009" s="1"/>
      <c r="BF1009" s="1"/>
      <c r="BI1009" s="1"/>
      <c r="BP1009" s="1"/>
      <c r="BS1009" s="1"/>
      <c r="BU1009" s="1"/>
      <c r="BW1009" s="1"/>
    </row>
    <row r="1010" spans="35:75">
      <c r="AI1010" s="1"/>
      <c r="AL1010" s="1"/>
      <c r="AO1010" s="1"/>
      <c r="AR1010" s="1"/>
      <c r="AZ1010" s="1"/>
      <c r="BC1010" s="1"/>
      <c r="BF1010" s="1"/>
      <c r="BI1010" s="1"/>
      <c r="BP1010" s="1"/>
      <c r="BS1010" s="1"/>
      <c r="BU1010" s="1"/>
      <c r="BW1010" s="1"/>
    </row>
    <row r="1011" spans="35:75">
      <c r="AI1011" s="1"/>
      <c r="AL1011" s="1"/>
      <c r="AO1011" s="1"/>
      <c r="AR1011" s="1"/>
      <c r="AZ1011" s="1"/>
      <c r="BC1011" s="1"/>
      <c r="BF1011" s="1"/>
      <c r="BI1011" s="1"/>
      <c r="BP1011" s="1"/>
      <c r="BS1011" s="1"/>
      <c r="BU1011" s="1"/>
      <c r="BW1011" s="1"/>
    </row>
    <row r="1012" spans="35:75">
      <c r="AI1012" s="1"/>
      <c r="AL1012" s="1"/>
      <c r="AO1012" s="1"/>
      <c r="AR1012" s="1"/>
      <c r="AZ1012" s="1"/>
      <c r="BC1012" s="1"/>
      <c r="BF1012" s="1"/>
      <c r="BI1012" s="1"/>
      <c r="BP1012" s="1"/>
      <c r="BS1012" s="1"/>
      <c r="BU1012" s="1"/>
      <c r="BW1012" s="1"/>
    </row>
    <row r="1013" spans="35:75">
      <c r="AI1013" s="1"/>
      <c r="AL1013" s="1"/>
      <c r="AO1013" s="1"/>
      <c r="AR1013" s="1"/>
      <c r="AZ1013" s="1"/>
      <c r="BC1013" s="1"/>
      <c r="BF1013" s="1"/>
      <c r="BI1013" s="1"/>
      <c r="BP1013" s="1"/>
      <c r="BS1013" s="1"/>
      <c r="BU1013" s="1"/>
      <c r="BW1013" s="1"/>
    </row>
    <row r="1014" spans="35:75">
      <c r="AI1014" s="1"/>
      <c r="AL1014" s="1"/>
      <c r="AO1014" s="1"/>
      <c r="AR1014" s="1"/>
      <c r="AZ1014" s="1"/>
      <c r="BC1014" s="1"/>
      <c r="BF1014" s="1"/>
      <c r="BI1014" s="1"/>
      <c r="BP1014" s="1"/>
      <c r="BS1014" s="1"/>
      <c r="BU1014" s="1"/>
      <c r="BW1014" s="1"/>
    </row>
    <row r="1015" spans="35:75">
      <c r="AI1015" s="1"/>
      <c r="AL1015" s="1"/>
      <c r="AO1015" s="1"/>
      <c r="AR1015" s="1"/>
      <c r="AZ1015" s="1"/>
      <c r="BC1015" s="1"/>
      <c r="BF1015" s="1"/>
      <c r="BI1015" s="1"/>
      <c r="BP1015" s="1"/>
      <c r="BS1015" s="1"/>
      <c r="BU1015" s="1"/>
      <c r="BW1015" s="1"/>
    </row>
    <row r="1016" spans="35:75">
      <c r="AI1016" s="1"/>
      <c r="AL1016" s="1"/>
      <c r="AO1016" s="1"/>
      <c r="AR1016" s="1"/>
      <c r="AZ1016" s="1"/>
      <c r="BC1016" s="1"/>
      <c r="BF1016" s="1"/>
      <c r="BI1016" s="1"/>
      <c r="BP1016" s="1"/>
      <c r="BS1016" s="1"/>
      <c r="BU1016" s="1"/>
      <c r="BW1016" s="1"/>
    </row>
    <row r="1017" spans="35:75">
      <c r="AI1017" s="1"/>
      <c r="AL1017" s="1"/>
      <c r="AO1017" s="1"/>
      <c r="AR1017" s="1"/>
      <c r="AZ1017" s="1"/>
      <c r="BC1017" s="1"/>
      <c r="BF1017" s="1"/>
      <c r="BI1017" s="1"/>
      <c r="BP1017" s="1"/>
      <c r="BS1017" s="1"/>
      <c r="BU1017" s="1"/>
      <c r="BW1017" s="1"/>
    </row>
    <row r="1018" spans="35:75">
      <c r="AI1018" s="1"/>
      <c r="AL1018" s="1"/>
      <c r="AO1018" s="1"/>
      <c r="AR1018" s="1"/>
      <c r="AZ1018" s="1"/>
      <c r="BC1018" s="1"/>
      <c r="BF1018" s="1"/>
      <c r="BI1018" s="1"/>
      <c r="BP1018" s="1"/>
      <c r="BS1018" s="1"/>
      <c r="BU1018" s="1"/>
      <c r="BW1018" s="1"/>
    </row>
    <row r="1019" spans="35:75">
      <c r="AI1019" s="1"/>
      <c r="AL1019" s="1"/>
      <c r="AO1019" s="1"/>
      <c r="AR1019" s="1"/>
      <c r="AZ1019" s="1"/>
      <c r="BC1019" s="1"/>
      <c r="BF1019" s="1"/>
      <c r="BI1019" s="1"/>
      <c r="BP1019" s="1"/>
      <c r="BS1019" s="1"/>
      <c r="BU1019" s="1"/>
      <c r="BW1019" s="1"/>
    </row>
    <row r="1020" spans="35:75">
      <c r="AI1020" s="1"/>
      <c r="AL1020" s="1"/>
      <c r="AO1020" s="1"/>
      <c r="AR1020" s="1"/>
      <c r="AZ1020" s="1"/>
      <c r="BC1020" s="1"/>
      <c r="BF1020" s="1"/>
      <c r="BI1020" s="1"/>
      <c r="BP1020" s="1"/>
      <c r="BS1020" s="1"/>
      <c r="BU1020" s="1"/>
      <c r="BW1020" s="1"/>
    </row>
    <row r="1021" spans="35:75">
      <c r="AI1021" s="1"/>
      <c r="AL1021" s="1"/>
      <c r="AO1021" s="1"/>
      <c r="AR1021" s="1"/>
      <c r="AZ1021" s="1"/>
      <c r="BC1021" s="1"/>
      <c r="BF1021" s="1"/>
      <c r="BI1021" s="1"/>
      <c r="BP1021" s="1"/>
      <c r="BS1021" s="1"/>
      <c r="BU1021" s="1"/>
      <c r="BW1021" s="1"/>
    </row>
    <row r="1022" spans="35:75">
      <c r="AI1022" s="1"/>
      <c r="AL1022" s="1"/>
      <c r="AO1022" s="1"/>
      <c r="AR1022" s="1"/>
      <c r="AZ1022" s="1"/>
      <c r="BC1022" s="1"/>
      <c r="BF1022" s="1"/>
      <c r="BI1022" s="1"/>
      <c r="BP1022" s="1"/>
      <c r="BS1022" s="1"/>
      <c r="BU1022" s="1"/>
      <c r="BW1022" s="1"/>
    </row>
    <row r="1023" spans="35:75">
      <c r="AI1023" s="1"/>
      <c r="AL1023" s="1"/>
      <c r="AO1023" s="1"/>
      <c r="AR1023" s="1"/>
      <c r="AZ1023" s="1"/>
      <c r="BC1023" s="1"/>
      <c r="BF1023" s="1"/>
      <c r="BI1023" s="1"/>
      <c r="BP1023" s="1"/>
      <c r="BS1023" s="1"/>
      <c r="BU1023" s="1"/>
      <c r="BW1023" s="1"/>
    </row>
    <row r="1024" spans="35:75">
      <c r="AI1024" s="1"/>
      <c r="AL1024" s="1"/>
      <c r="AO1024" s="1"/>
      <c r="AR1024" s="1"/>
      <c r="AZ1024" s="1"/>
      <c r="BC1024" s="1"/>
      <c r="BF1024" s="1"/>
      <c r="BI1024" s="1"/>
      <c r="BP1024" s="1"/>
      <c r="BS1024" s="1"/>
      <c r="BU1024" s="1"/>
      <c r="BW1024" s="1"/>
    </row>
    <row r="1025" spans="35:75">
      <c r="AI1025" s="1"/>
      <c r="AL1025" s="1"/>
      <c r="AO1025" s="1"/>
      <c r="AR1025" s="1"/>
      <c r="AZ1025" s="1"/>
      <c r="BC1025" s="1"/>
      <c r="BF1025" s="1"/>
      <c r="BI1025" s="1"/>
      <c r="BP1025" s="1"/>
      <c r="BS1025" s="1"/>
      <c r="BU1025" s="1"/>
      <c r="BW1025" s="1"/>
    </row>
    <row r="1026" spans="35:75">
      <c r="AI1026" s="1"/>
      <c r="AL1026" s="1"/>
      <c r="AO1026" s="1"/>
      <c r="AR1026" s="1"/>
      <c r="AZ1026" s="1"/>
      <c r="BC1026" s="1"/>
      <c r="BF1026" s="1"/>
      <c r="BI1026" s="1"/>
      <c r="BP1026" s="1"/>
      <c r="BS1026" s="1"/>
      <c r="BU1026" s="1"/>
      <c r="BW1026" s="1"/>
    </row>
    <row r="1027" spans="35:75">
      <c r="AI1027" s="1"/>
      <c r="AL1027" s="1"/>
      <c r="AO1027" s="1"/>
      <c r="AR1027" s="1"/>
      <c r="AZ1027" s="1"/>
      <c r="BC1027" s="1"/>
      <c r="BF1027" s="1"/>
      <c r="BI1027" s="1"/>
      <c r="BP1027" s="1"/>
      <c r="BS1027" s="1"/>
      <c r="BU1027" s="1"/>
      <c r="BW1027" s="1"/>
    </row>
    <row r="1028" spans="35:75">
      <c r="AI1028" s="1"/>
      <c r="AL1028" s="1"/>
      <c r="AO1028" s="1"/>
      <c r="AR1028" s="1"/>
      <c r="AZ1028" s="1"/>
      <c r="BC1028" s="1"/>
      <c r="BF1028" s="1"/>
      <c r="BI1028" s="1"/>
      <c r="BP1028" s="1"/>
      <c r="BS1028" s="1"/>
      <c r="BU1028" s="1"/>
      <c r="BW1028" s="1"/>
    </row>
    <row r="1029" spans="35:75">
      <c r="AI1029" s="1"/>
      <c r="AL1029" s="1"/>
      <c r="AO1029" s="1"/>
      <c r="AR1029" s="1"/>
      <c r="AZ1029" s="1"/>
      <c r="BC1029" s="1"/>
      <c r="BF1029" s="1"/>
      <c r="BI1029" s="1"/>
      <c r="BP1029" s="1"/>
      <c r="BS1029" s="1"/>
      <c r="BU1029" s="1"/>
      <c r="BW1029" s="1"/>
    </row>
    <row r="1030" spans="35:75">
      <c r="AI1030" s="1"/>
      <c r="AL1030" s="1"/>
      <c r="AO1030" s="1"/>
      <c r="AR1030" s="1"/>
      <c r="AZ1030" s="1"/>
      <c r="BC1030" s="1"/>
      <c r="BF1030" s="1"/>
      <c r="BI1030" s="1"/>
      <c r="BP1030" s="1"/>
      <c r="BS1030" s="1"/>
      <c r="BU1030" s="1"/>
      <c r="BW1030" s="1"/>
    </row>
    <row r="1031" spans="35:75">
      <c r="AI1031" s="1"/>
      <c r="AL1031" s="1"/>
      <c r="AO1031" s="1"/>
      <c r="AR1031" s="1"/>
      <c r="AZ1031" s="1"/>
      <c r="BC1031" s="1"/>
      <c r="BF1031" s="1"/>
      <c r="BI1031" s="1"/>
      <c r="BP1031" s="1"/>
      <c r="BS1031" s="1"/>
      <c r="BU1031" s="1"/>
      <c r="BW1031" s="1"/>
    </row>
    <row r="1032" spans="35:75">
      <c r="AI1032" s="1"/>
      <c r="AL1032" s="1"/>
      <c r="AO1032" s="1"/>
      <c r="AR1032" s="1"/>
      <c r="AZ1032" s="1"/>
      <c r="BC1032" s="1"/>
      <c r="BF1032" s="1"/>
      <c r="BI1032" s="1"/>
      <c r="BP1032" s="1"/>
      <c r="BS1032" s="1"/>
      <c r="BU1032" s="1"/>
      <c r="BW1032" s="1"/>
    </row>
    <row r="1033" spans="35:75">
      <c r="AI1033" s="1"/>
      <c r="AL1033" s="1"/>
      <c r="AO1033" s="1"/>
      <c r="AR1033" s="1"/>
      <c r="AZ1033" s="1"/>
      <c r="BC1033" s="1"/>
      <c r="BF1033" s="1"/>
      <c r="BI1033" s="1"/>
      <c r="BP1033" s="1"/>
      <c r="BS1033" s="1"/>
      <c r="BU1033" s="1"/>
      <c r="BW1033" s="1"/>
    </row>
    <row r="1034" spans="35:75">
      <c r="AI1034" s="1"/>
      <c r="AL1034" s="1"/>
      <c r="AO1034" s="1"/>
      <c r="AR1034" s="1"/>
      <c r="AZ1034" s="1"/>
      <c r="BC1034" s="1"/>
      <c r="BF1034" s="1"/>
      <c r="BI1034" s="1"/>
      <c r="BP1034" s="1"/>
      <c r="BS1034" s="1"/>
      <c r="BU1034" s="1"/>
      <c r="BW1034" s="1"/>
    </row>
    <row r="1035" spans="35:75">
      <c r="AI1035" s="1"/>
      <c r="AL1035" s="1"/>
      <c r="AO1035" s="1"/>
      <c r="AR1035" s="1"/>
      <c r="AZ1035" s="1"/>
      <c r="BC1035" s="1"/>
      <c r="BF1035" s="1"/>
      <c r="BI1035" s="1"/>
      <c r="BP1035" s="1"/>
      <c r="BS1035" s="1"/>
      <c r="BU1035" s="1"/>
      <c r="BW1035" s="1"/>
    </row>
    <row r="1036" spans="35:75">
      <c r="AI1036" s="1"/>
      <c r="AL1036" s="1"/>
      <c r="AO1036" s="1"/>
      <c r="AR1036" s="1"/>
      <c r="AZ1036" s="1"/>
      <c r="BC1036" s="1"/>
      <c r="BF1036" s="1"/>
      <c r="BI1036" s="1"/>
      <c r="BP1036" s="1"/>
      <c r="BS1036" s="1"/>
      <c r="BU1036" s="1"/>
      <c r="BW1036" s="1"/>
    </row>
    <row r="1037" spans="35:75">
      <c r="AI1037" s="1"/>
      <c r="AL1037" s="1"/>
      <c r="AO1037" s="1"/>
      <c r="AR1037" s="1"/>
      <c r="AZ1037" s="1"/>
      <c r="BC1037" s="1"/>
      <c r="BF1037" s="1"/>
      <c r="BI1037" s="1"/>
      <c r="BP1037" s="1"/>
      <c r="BS1037" s="1"/>
      <c r="BU1037" s="1"/>
      <c r="BW1037" s="1"/>
    </row>
    <row r="1038" spans="35:75">
      <c r="AI1038" s="1"/>
      <c r="AL1038" s="1"/>
      <c r="AO1038" s="1"/>
      <c r="AR1038" s="1"/>
      <c r="AZ1038" s="1"/>
      <c r="BC1038" s="1"/>
      <c r="BF1038" s="1"/>
      <c r="BI1038" s="1"/>
      <c r="BP1038" s="1"/>
      <c r="BS1038" s="1"/>
      <c r="BU1038" s="1"/>
      <c r="BW1038" s="1"/>
    </row>
    <row r="1039" spans="35:75">
      <c r="AI1039" s="1"/>
      <c r="AL1039" s="1"/>
      <c r="AO1039" s="1"/>
      <c r="AR1039" s="1"/>
      <c r="AZ1039" s="1"/>
      <c r="BC1039" s="1"/>
      <c r="BF1039" s="1"/>
      <c r="BI1039" s="1"/>
      <c r="BP1039" s="1"/>
      <c r="BS1039" s="1"/>
      <c r="BU1039" s="1"/>
      <c r="BW1039" s="1"/>
    </row>
    <row r="1040" spans="35:75">
      <c r="AI1040" s="1"/>
      <c r="AL1040" s="1"/>
      <c r="AO1040" s="1"/>
      <c r="AR1040" s="1"/>
      <c r="AZ1040" s="1"/>
      <c r="BC1040" s="1"/>
      <c r="BF1040" s="1"/>
      <c r="BI1040" s="1"/>
      <c r="BP1040" s="1"/>
      <c r="BS1040" s="1"/>
      <c r="BU1040" s="1"/>
      <c r="BW1040" s="1"/>
    </row>
    <row r="1041" spans="35:75">
      <c r="AI1041" s="1"/>
      <c r="AL1041" s="1"/>
      <c r="AO1041" s="1"/>
      <c r="AR1041" s="1"/>
      <c r="AZ1041" s="1"/>
      <c r="BC1041" s="1"/>
      <c r="BF1041" s="1"/>
      <c r="BI1041" s="1"/>
      <c r="BP1041" s="1"/>
      <c r="BS1041" s="1"/>
      <c r="BU1041" s="1"/>
      <c r="BW1041" s="1"/>
    </row>
    <row r="1042" spans="35:75">
      <c r="AI1042" s="1"/>
      <c r="AL1042" s="1"/>
      <c r="AO1042" s="1"/>
      <c r="AR1042" s="1"/>
      <c r="AZ1042" s="1"/>
      <c r="BC1042" s="1"/>
      <c r="BF1042" s="1"/>
      <c r="BI1042" s="1"/>
      <c r="BP1042" s="1"/>
      <c r="BS1042" s="1"/>
      <c r="BU1042" s="1"/>
      <c r="BW1042" s="1"/>
    </row>
    <row r="1043" spans="35:75">
      <c r="AI1043" s="1"/>
      <c r="AL1043" s="1"/>
      <c r="AO1043" s="1"/>
      <c r="AR1043" s="1"/>
      <c r="AZ1043" s="1"/>
      <c r="BC1043" s="1"/>
      <c r="BF1043" s="1"/>
      <c r="BI1043" s="1"/>
      <c r="BP1043" s="1"/>
      <c r="BS1043" s="1"/>
      <c r="BU1043" s="1"/>
      <c r="BW1043" s="1"/>
    </row>
    <row r="1044" spans="35:75">
      <c r="AI1044" s="1"/>
      <c r="AL1044" s="1"/>
      <c r="AO1044" s="1"/>
      <c r="AR1044" s="1"/>
      <c r="AZ1044" s="1"/>
      <c r="BC1044" s="1"/>
      <c r="BF1044" s="1"/>
      <c r="BI1044" s="1"/>
      <c r="BP1044" s="1"/>
      <c r="BS1044" s="1"/>
      <c r="BU1044" s="1"/>
      <c r="BW1044" s="1"/>
    </row>
    <row r="1045" spans="35:75">
      <c r="AI1045" s="1"/>
      <c r="AL1045" s="1"/>
      <c r="AO1045" s="1"/>
      <c r="AR1045" s="1"/>
      <c r="AZ1045" s="1"/>
      <c r="BC1045" s="1"/>
      <c r="BF1045" s="1"/>
      <c r="BI1045" s="1"/>
      <c r="BP1045" s="1"/>
      <c r="BS1045" s="1"/>
      <c r="BU1045" s="1"/>
      <c r="BW1045" s="1"/>
    </row>
    <row r="1046" spans="35:75">
      <c r="AI1046" s="1"/>
      <c r="AL1046" s="1"/>
      <c r="AO1046" s="1"/>
      <c r="AR1046" s="1"/>
      <c r="AZ1046" s="1"/>
      <c r="BC1046" s="1"/>
      <c r="BF1046" s="1"/>
      <c r="BI1046" s="1"/>
      <c r="BP1046" s="1"/>
      <c r="BS1046" s="1"/>
      <c r="BU1046" s="1"/>
      <c r="BW1046" s="1"/>
    </row>
    <row r="1047" spans="35:75">
      <c r="AI1047" s="1"/>
      <c r="AL1047" s="1"/>
      <c r="AO1047" s="1"/>
      <c r="AR1047" s="1"/>
      <c r="AZ1047" s="1"/>
      <c r="BC1047" s="1"/>
      <c r="BF1047" s="1"/>
      <c r="BI1047" s="1"/>
      <c r="BP1047" s="1"/>
      <c r="BS1047" s="1"/>
      <c r="BU1047" s="1"/>
      <c r="BW1047" s="1"/>
    </row>
    <row r="1048" spans="35:75">
      <c r="AI1048" s="1"/>
      <c r="AL1048" s="1"/>
      <c r="AO1048" s="1"/>
      <c r="AR1048" s="1"/>
      <c r="AZ1048" s="1"/>
      <c r="BC1048" s="1"/>
      <c r="BF1048" s="1"/>
      <c r="BI1048" s="1"/>
      <c r="BP1048" s="1"/>
      <c r="BS1048" s="1"/>
      <c r="BU1048" s="1"/>
      <c r="BW1048" s="1"/>
    </row>
    <row r="1049" spans="35:75">
      <c r="AI1049" s="1"/>
      <c r="AL1049" s="1"/>
      <c r="AO1049" s="1"/>
      <c r="AR1049" s="1"/>
      <c r="AZ1049" s="1"/>
      <c r="BC1049" s="1"/>
      <c r="BF1049" s="1"/>
      <c r="BI1049" s="1"/>
      <c r="BP1049" s="1"/>
      <c r="BS1049" s="1"/>
      <c r="BU1049" s="1"/>
      <c r="BW1049" s="1"/>
    </row>
    <row r="1050" spans="35:75">
      <c r="AI1050" s="1"/>
      <c r="AL1050" s="1"/>
      <c r="AO1050" s="1"/>
      <c r="AR1050" s="1"/>
      <c r="AZ1050" s="1"/>
      <c r="BC1050" s="1"/>
      <c r="BF1050" s="1"/>
      <c r="BI1050" s="1"/>
      <c r="BP1050" s="1"/>
      <c r="BS1050" s="1"/>
      <c r="BU1050" s="1"/>
      <c r="BW1050" s="1"/>
    </row>
    <row r="1051" spans="35:75">
      <c r="AI1051" s="1"/>
      <c r="AL1051" s="1"/>
      <c r="AO1051" s="1"/>
      <c r="AR1051" s="1"/>
      <c r="AZ1051" s="1"/>
      <c r="BC1051" s="1"/>
      <c r="BF1051" s="1"/>
      <c r="BI1051" s="1"/>
      <c r="BP1051" s="1"/>
      <c r="BS1051" s="1"/>
      <c r="BU1051" s="1"/>
      <c r="BW1051" s="1"/>
    </row>
    <row r="1052" spans="35:75">
      <c r="AI1052" s="1"/>
      <c r="AL1052" s="1"/>
      <c r="AO1052" s="1"/>
      <c r="AR1052" s="1"/>
      <c r="AZ1052" s="1"/>
      <c r="BC1052" s="1"/>
      <c r="BF1052" s="1"/>
      <c r="BI1052" s="1"/>
      <c r="BP1052" s="1"/>
      <c r="BS1052" s="1"/>
      <c r="BU1052" s="1"/>
      <c r="BW1052" s="1"/>
    </row>
    <row r="1053" spans="35:75">
      <c r="AI1053" s="1"/>
      <c r="AL1053" s="1"/>
      <c r="AO1053" s="1"/>
      <c r="AR1053" s="1"/>
      <c r="AZ1053" s="1"/>
      <c r="BC1053" s="1"/>
      <c r="BF1053" s="1"/>
      <c r="BI1053" s="1"/>
      <c r="BP1053" s="1"/>
      <c r="BS1053" s="1"/>
      <c r="BU1053" s="1"/>
      <c r="BW1053" s="1"/>
    </row>
    <row r="1054" spans="35:75">
      <c r="AI1054" s="1"/>
      <c r="AL1054" s="1"/>
      <c r="AO1054" s="1"/>
      <c r="AR1054" s="1"/>
      <c r="AZ1054" s="1"/>
      <c r="BC1054" s="1"/>
      <c r="BF1054" s="1"/>
      <c r="BI1054" s="1"/>
      <c r="BP1054" s="1"/>
      <c r="BS1054" s="1"/>
      <c r="BU1054" s="1"/>
      <c r="BW1054" s="1"/>
    </row>
    <row r="1055" spans="35:75">
      <c r="AI1055" s="1"/>
      <c r="AL1055" s="1"/>
      <c r="AO1055" s="1"/>
      <c r="AR1055" s="1"/>
      <c r="AZ1055" s="1"/>
      <c r="BC1055" s="1"/>
      <c r="BF1055" s="1"/>
      <c r="BI1055" s="1"/>
      <c r="BP1055" s="1"/>
      <c r="BS1055" s="1"/>
      <c r="BU1055" s="1"/>
      <c r="BW1055" s="1"/>
    </row>
    <row r="1056" spans="35:75">
      <c r="AI1056" s="1"/>
      <c r="AL1056" s="1"/>
      <c r="AO1056" s="1"/>
      <c r="AR1056" s="1"/>
      <c r="AZ1056" s="1"/>
      <c r="BC1056" s="1"/>
      <c r="BF1056" s="1"/>
      <c r="BI1056" s="1"/>
      <c r="BP1056" s="1"/>
      <c r="BS1056" s="1"/>
      <c r="BU1056" s="1"/>
      <c r="BW1056" s="1"/>
    </row>
    <row r="1057" spans="35:75">
      <c r="AI1057" s="1"/>
      <c r="AL1057" s="1"/>
      <c r="AO1057" s="1"/>
      <c r="AR1057" s="1"/>
      <c r="AZ1057" s="1"/>
      <c r="BC1057" s="1"/>
      <c r="BF1057" s="1"/>
      <c r="BI1057" s="1"/>
      <c r="BP1057" s="1"/>
      <c r="BS1057" s="1"/>
      <c r="BU1057" s="1"/>
      <c r="BW1057" s="1"/>
    </row>
    <row r="1058" spans="35:75">
      <c r="AI1058" s="1"/>
      <c r="AL1058" s="1"/>
      <c r="AO1058" s="1"/>
      <c r="AR1058" s="1"/>
      <c r="AZ1058" s="1"/>
      <c r="BC1058" s="1"/>
      <c r="BF1058" s="1"/>
      <c r="BI1058" s="1"/>
      <c r="BP1058" s="1"/>
      <c r="BS1058" s="1"/>
      <c r="BU1058" s="1"/>
      <c r="BW1058" s="1"/>
    </row>
    <row r="1059" spans="35:75">
      <c r="AI1059" s="1"/>
      <c r="AL1059" s="1"/>
      <c r="AO1059" s="1"/>
      <c r="AR1059" s="1"/>
      <c r="AZ1059" s="1"/>
      <c r="BC1059" s="1"/>
      <c r="BF1059" s="1"/>
      <c r="BI1059" s="1"/>
      <c r="BP1059" s="1"/>
      <c r="BS1059" s="1"/>
      <c r="BU1059" s="1"/>
      <c r="BW1059" s="1"/>
    </row>
    <row r="1060" spans="35:75">
      <c r="AI1060" s="1"/>
      <c r="AL1060" s="1"/>
      <c r="AO1060" s="1"/>
      <c r="AR1060" s="1"/>
      <c r="AZ1060" s="1"/>
      <c r="BC1060" s="1"/>
      <c r="BF1060" s="1"/>
      <c r="BI1060" s="1"/>
      <c r="BP1060" s="1"/>
      <c r="BS1060" s="1"/>
      <c r="BU1060" s="1"/>
      <c r="BW1060" s="1"/>
    </row>
    <row r="1061" spans="35:75">
      <c r="AI1061" s="1"/>
      <c r="AL1061" s="1"/>
      <c r="AO1061" s="1"/>
      <c r="AR1061" s="1"/>
      <c r="AZ1061" s="1"/>
      <c r="BC1061" s="1"/>
      <c r="BF1061" s="1"/>
      <c r="BI1061" s="1"/>
      <c r="BP1061" s="1"/>
      <c r="BS1061" s="1"/>
      <c r="BU1061" s="1"/>
      <c r="BW1061" s="1"/>
    </row>
    <row r="1062" spans="35:75">
      <c r="AI1062" s="1"/>
      <c r="AL1062" s="1"/>
      <c r="AO1062" s="1"/>
      <c r="AR1062" s="1"/>
      <c r="AZ1062" s="1"/>
      <c r="BC1062" s="1"/>
      <c r="BF1062" s="1"/>
      <c r="BI1062" s="1"/>
      <c r="BP1062" s="1"/>
      <c r="BS1062" s="1"/>
      <c r="BU1062" s="1"/>
      <c r="BW1062" s="1"/>
    </row>
    <row r="1063" spans="35:75">
      <c r="AI1063" s="1"/>
      <c r="AL1063" s="1"/>
      <c r="AO1063" s="1"/>
      <c r="AR1063" s="1"/>
      <c r="AZ1063" s="1"/>
      <c r="BC1063" s="1"/>
      <c r="BF1063" s="1"/>
      <c r="BI1063" s="1"/>
      <c r="BP1063" s="1"/>
      <c r="BS1063" s="1"/>
      <c r="BU1063" s="1"/>
      <c r="BW1063" s="1"/>
    </row>
    <row r="1064" spans="35:75">
      <c r="AI1064" s="1"/>
      <c r="AL1064" s="1"/>
      <c r="AO1064" s="1"/>
      <c r="AR1064" s="1"/>
      <c r="AZ1064" s="1"/>
      <c r="BC1064" s="1"/>
      <c r="BF1064" s="1"/>
      <c r="BI1064" s="1"/>
      <c r="BP1064" s="1"/>
      <c r="BS1064" s="1"/>
      <c r="BU1064" s="1"/>
      <c r="BW1064" s="1"/>
    </row>
    <row r="1065" spans="35:75">
      <c r="AI1065" s="1"/>
      <c r="AL1065" s="1"/>
      <c r="AO1065" s="1"/>
      <c r="AR1065" s="1"/>
      <c r="AZ1065" s="1"/>
      <c r="BC1065" s="1"/>
      <c r="BF1065" s="1"/>
      <c r="BI1065" s="1"/>
      <c r="BP1065" s="1"/>
      <c r="BS1065" s="1"/>
      <c r="BU1065" s="1"/>
      <c r="BW1065" s="1"/>
    </row>
    <row r="1066" spans="35:75">
      <c r="AI1066" s="1"/>
      <c r="AL1066" s="1"/>
      <c r="AO1066" s="1"/>
      <c r="AR1066" s="1"/>
      <c r="AZ1066" s="1"/>
      <c r="BC1066" s="1"/>
      <c r="BF1066" s="1"/>
      <c r="BI1066" s="1"/>
      <c r="BP1066" s="1"/>
      <c r="BS1066" s="1"/>
      <c r="BU1066" s="1"/>
      <c r="BW1066" s="1"/>
    </row>
    <row r="1067" spans="35:75">
      <c r="AI1067" s="1"/>
      <c r="AL1067" s="1"/>
      <c r="AO1067" s="1"/>
      <c r="AR1067" s="1"/>
      <c r="AZ1067" s="1"/>
      <c r="BC1067" s="1"/>
      <c r="BF1067" s="1"/>
      <c r="BI1067" s="1"/>
      <c r="BP1067" s="1"/>
      <c r="BS1067" s="1"/>
      <c r="BU1067" s="1"/>
      <c r="BW1067" s="1"/>
    </row>
    <row r="1068" spans="35:75">
      <c r="AI1068" s="1"/>
      <c r="AL1068" s="1"/>
      <c r="AO1068" s="1"/>
      <c r="AR1068" s="1"/>
      <c r="AZ1068" s="1"/>
      <c r="BC1068" s="1"/>
      <c r="BF1068" s="1"/>
      <c r="BI1068" s="1"/>
      <c r="BP1068" s="1"/>
      <c r="BS1068" s="1"/>
      <c r="BU1068" s="1"/>
      <c r="BW1068" s="1"/>
    </row>
    <row r="1069" spans="35:75">
      <c r="AI1069" s="1"/>
      <c r="AL1069" s="1"/>
      <c r="AO1069" s="1"/>
      <c r="AR1069" s="1"/>
      <c r="AZ1069" s="1"/>
      <c r="BC1069" s="1"/>
      <c r="BF1069" s="1"/>
      <c r="BI1069" s="1"/>
      <c r="BP1069" s="1"/>
      <c r="BS1069" s="1"/>
      <c r="BU1069" s="1"/>
      <c r="BW1069" s="1"/>
    </row>
    <row r="1070" spans="35:75">
      <c r="AI1070" s="1"/>
      <c r="AL1070" s="1"/>
      <c r="AO1070" s="1"/>
      <c r="AR1070" s="1"/>
      <c r="AZ1070" s="1"/>
      <c r="BC1070" s="1"/>
      <c r="BF1070" s="1"/>
      <c r="BI1070" s="1"/>
      <c r="BP1070" s="1"/>
      <c r="BS1070" s="1"/>
      <c r="BU1070" s="1"/>
      <c r="BW1070" s="1"/>
    </row>
    <row r="1071" spans="35:75">
      <c r="AI1071" s="1"/>
      <c r="AL1071" s="1"/>
      <c r="AO1071" s="1"/>
      <c r="AR1071" s="1"/>
      <c r="AZ1071" s="1"/>
      <c r="BC1071" s="1"/>
      <c r="BF1071" s="1"/>
      <c r="BI1071" s="1"/>
      <c r="BP1071" s="1"/>
      <c r="BS1071" s="1"/>
      <c r="BU1071" s="1"/>
      <c r="BW1071" s="1"/>
    </row>
    <row r="1072" spans="35:75">
      <c r="AI1072" s="1"/>
      <c r="AL1072" s="1"/>
      <c r="AO1072" s="1"/>
      <c r="AR1072" s="1"/>
      <c r="AZ1072" s="1"/>
      <c r="BC1072" s="1"/>
      <c r="BF1072" s="1"/>
      <c r="BI1072" s="1"/>
      <c r="BP1072" s="1"/>
      <c r="BS1072" s="1"/>
      <c r="BU1072" s="1"/>
      <c r="BW1072" s="1"/>
    </row>
    <row r="1073" spans="35:75">
      <c r="AI1073" s="1"/>
      <c r="AL1073" s="1"/>
      <c r="AO1073" s="1"/>
      <c r="AR1073" s="1"/>
      <c r="AZ1073" s="1"/>
      <c r="BC1073" s="1"/>
      <c r="BF1073" s="1"/>
      <c r="BI1073" s="1"/>
      <c r="BP1073" s="1"/>
      <c r="BS1073" s="1"/>
      <c r="BU1073" s="1"/>
      <c r="BW1073" s="1"/>
    </row>
    <row r="1074" spans="35:75">
      <c r="AI1074" s="1"/>
      <c r="AL1074" s="1"/>
      <c r="AO1074" s="1"/>
      <c r="AR1074" s="1"/>
      <c r="AZ1074" s="1"/>
      <c r="BC1074" s="1"/>
      <c r="BF1074" s="1"/>
      <c r="BI1074" s="1"/>
      <c r="BP1074" s="1"/>
      <c r="BS1074" s="1"/>
      <c r="BU1074" s="1"/>
      <c r="BW1074" s="1"/>
    </row>
    <row r="1075" spans="35:75">
      <c r="AI1075" s="1"/>
      <c r="AL1075" s="1"/>
      <c r="AO1075" s="1"/>
      <c r="AR1075" s="1"/>
      <c r="AZ1075" s="1"/>
      <c r="BC1075" s="1"/>
      <c r="BF1075" s="1"/>
      <c r="BI1075" s="1"/>
      <c r="BP1075" s="1"/>
      <c r="BS1075" s="1"/>
      <c r="BU1075" s="1"/>
      <c r="BW1075" s="1"/>
    </row>
    <row r="1076" spans="35:75">
      <c r="AI1076" s="1"/>
      <c r="AL1076" s="1"/>
      <c r="AO1076" s="1"/>
      <c r="AR1076" s="1"/>
      <c r="AZ1076" s="1"/>
      <c r="BC1076" s="1"/>
      <c r="BF1076" s="1"/>
      <c r="BI1076" s="1"/>
      <c r="BP1076" s="1"/>
      <c r="BS1076" s="1"/>
      <c r="BU1076" s="1"/>
      <c r="BW1076" s="1"/>
    </row>
    <row r="1077" spans="35:75">
      <c r="AI1077" s="1"/>
      <c r="AL1077" s="1"/>
      <c r="AO1077" s="1"/>
      <c r="AR1077" s="1"/>
      <c r="AZ1077" s="1"/>
      <c r="BC1077" s="1"/>
      <c r="BF1077" s="1"/>
      <c r="BI1077" s="1"/>
      <c r="BP1077" s="1"/>
      <c r="BS1077" s="1"/>
      <c r="BU1077" s="1"/>
      <c r="BW1077" s="1"/>
    </row>
    <row r="1078" spans="35:75">
      <c r="AI1078" s="1"/>
      <c r="AL1078" s="1"/>
      <c r="AO1078" s="1"/>
      <c r="AR1078" s="1"/>
      <c r="AZ1078" s="1"/>
      <c r="BC1078" s="1"/>
      <c r="BF1078" s="1"/>
      <c r="BI1078" s="1"/>
      <c r="BP1078" s="1"/>
      <c r="BS1078" s="1"/>
      <c r="BU1078" s="1"/>
      <c r="BW1078" s="1"/>
    </row>
    <row r="1079" spans="35:75">
      <c r="AI1079" s="1"/>
      <c r="AL1079" s="1"/>
      <c r="AO1079" s="1"/>
      <c r="AR1079" s="1"/>
      <c r="AZ1079" s="1"/>
      <c r="BC1079" s="1"/>
      <c r="BF1079" s="1"/>
      <c r="BI1079" s="1"/>
      <c r="BP1079" s="1"/>
      <c r="BS1079" s="1"/>
      <c r="BU1079" s="1"/>
      <c r="BW1079" s="1"/>
    </row>
    <row r="1080" spans="35:75">
      <c r="AI1080" s="1"/>
      <c r="AL1080" s="1"/>
      <c r="AO1080" s="1"/>
      <c r="AR1080" s="1"/>
      <c r="AZ1080" s="1"/>
      <c r="BC1080" s="1"/>
      <c r="BF1080" s="1"/>
      <c r="BI1080" s="1"/>
      <c r="BP1080" s="1"/>
      <c r="BS1080" s="1"/>
      <c r="BU1080" s="1"/>
      <c r="BW1080" s="1"/>
    </row>
    <row r="1081" spans="35:75">
      <c r="AI1081" s="1"/>
      <c r="AL1081" s="1"/>
      <c r="AO1081" s="1"/>
      <c r="AR1081" s="1"/>
      <c r="AZ1081" s="1"/>
      <c r="BC1081" s="1"/>
      <c r="BF1081" s="1"/>
      <c r="BI1081" s="1"/>
      <c r="BP1081" s="1"/>
      <c r="BS1081" s="1"/>
      <c r="BU1081" s="1"/>
      <c r="BW1081" s="1"/>
    </row>
    <row r="1082" spans="35:75">
      <c r="AI1082" s="1"/>
      <c r="AL1082" s="1"/>
      <c r="AO1082" s="1"/>
      <c r="AR1082" s="1"/>
      <c r="AZ1082" s="1"/>
      <c r="BC1082" s="1"/>
      <c r="BF1082" s="1"/>
      <c r="BI1082" s="1"/>
      <c r="BP1082" s="1"/>
      <c r="BS1082" s="1"/>
      <c r="BU1082" s="1"/>
      <c r="BW1082" s="1"/>
    </row>
    <row r="1083" spans="35:75">
      <c r="AI1083" s="1"/>
      <c r="AL1083" s="1"/>
      <c r="AO1083" s="1"/>
      <c r="AR1083" s="1"/>
      <c r="AZ1083" s="1"/>
      <c r="BC1083" s="1"/>
      <c r="BF1083" s="1"/>
      <c r="BI1083" s="1"/>
      <c r="BP1083" s="1"/>
      <c r="BS1083" s="1"/>
      <c r="BU1083" s="1"/>
      <c r="BW1083" s="1"/>
    </row>
    <row r="1084" spans="35:75">
      <c r="AI1084" s="1"/>
      <c r="AL1084" s="1"/>
      <c r="AO1084" s="1"/>
      <c r="AR1084" s="1"/>
      <c r="AZ1084" s="1"/>
      <c r="BC1084" s="1"/>
      <c r="BF1084" s="1"/>
      <c r="BI1084" s="1"/>
      <c r="BP1084" s="1"/>
      <c r="BS1084" s="1"/>
      <c r="BU1084" s="1"/>
      <c r="BW1084" s="1"/>
    </row>
    <row r="1085" spans="35:75">
      <c r="AI1085" s="1"/>
      <c r="AL1085" s="1"/>
      <c r="AO1085" s="1"/>
      <c r="AR1085" s="1"/>
      <c r="AZ1085" s="1"/>
      <c r="BC1085" s="1"/>
      <c r="BF1085" s="1"/>
      <c r="BI1085" s="1"/>
      <c r="BP1085" s="1"/>
      <c r="BS1085" s="1"/>
      <c r="BU1085" s="1"/>
      <c r="BW1085" s="1"/>
    </row>
    <row r="1086" spans="35:75">
      <c r="AI1086" s="1"/>
      <c r="AL1086" s="1"/>
      <c r="AO1086" s="1"/>
      <c r="AR1086" s="1"/>
      <c r="AZ1086" s="1"/>
      <c r="BC1086" s="1"/>
      <c r="BF1086" s="1"/>
      <c r="BI1086" s="1"/>
      <c r="BP1086" s="1"/>
      <c r="BS1086" s="1"/>
      <c r="BU1086" s="1"/>
      <c r="BW1086" s="1"/>
    </row>
    <row r="1087" spans="35:75">
      <c r="AI1087" s="1"/>
      <c r="AL1087" s="1"/>
      <c r="AO1087" s="1"/>
      <c r="AR1087" s="1"/>
      <c r="AZ1087" s="1"/>
      <c r="BC1087" s="1"/>
      <c r="BF1087" s="1"/>
      <c r="BI1087" s="1"/>
      <c r="BP1087" s="1"/>
      <c r="BS1087" s="1"/>
      <c r="BU1087" s="1"/>
      <c r="BW1087" s="1"/>
    </row>
    <row r="1088" spans="35:75">
      <c r="AI1088" s="1"/>
      <c r="AL1088" s="1"/>
      <c r="AO1088" s="1"/>
      <c r="AR1088" s="1"/>
      <c r="AZ1088" s="1"/>
      <c r="BC1088" s="1"/>
      <c r="BF1088" s="1"/>
      <c r="BI1088" s="1"/>
      <c r="BP1088" s="1"/>
      <c r="BS1088" s="1"/>
      <c r="BU1088" s="1"/>
      <c r="BW1088" s="1"/>
    </row>
    <row r="1089" spans="35:75">
      <c r="AI1089" s="1"/>
      <c r="AL1089" s="1"/>
      <c r="AO1089" s="1"/>
      <c r="AR1089" s="1"/>
      <c r="AZ1089" s="1"/>
      <c r="BC1089" s="1"/>
      <c r="BF1089" s="1"/>
      <c r="BI1089" s="1"/>
      <c r="BP1089" s="1"/>
      <c r="BS1089" s="1"/>
      <c r="BU1089" s="1"/>
      <c r="BW1089" s="1"/>
    </row>
    <row r="1090" spans="35:75">
      <c r="AI1090" s="1"/>
      <c r="AL1090" s="1"/>
      <c r="AO1090" s="1"/>
      <c r="AR1090" s="1"/>
      <c r="AZ1090" s="1"/>
      <c r="BC1090" s="1"/>
      <c r="BF1090" s="1"/>
      <c r="BI1090" s="1"/>
      <c r="BP1090" s="1"/>
      <c r="BS1090" s="1"/>
      <c r="BU1090" s="1"/>
      <c r="BW1090" s="1"/>
    </row>
    <row r="1091" spans="35:75">
      <c r="AI1091" s="1"/>
      <c r="AL1091" s="1"/>
      <c r="AO1091" s="1"/>
      <c r="AR1091" s="1"/>
      <c r="AZ1091" s="1"/>
      <c r="BC1091" s="1"/>
      <c r="BF1091" s="1"/>
      <c r="BI1091" s="1"/>
      <c r="BP1091" s="1"/>
      <c r="BS1091" s="1"/>
      <c r="BU1091" s="1"/>
      <c r="BW1091" s="1"/>
    </row>
    <row r="1092" spans="35:75">
      <c r="AI1092" s="1"/>
      <c r="AL1092" s="1"/>
      <c r="AO1092" s="1"/>
      <c r="AR1092" s="1"/>
      <c r="AZ1092" s="1"/>
      <c r="BC1092" s="1"/>
      <c r="BF1092" s="1"/>
      <c r="BI1092" s="1"/>
      <c r="BP1092" s="1"/>
      <c r="BS1092" s="1"/>
      <c r="BU1092" s="1"/>
      <c r="BW1092" s="1"/>
    </row>
    <row r="1093" spans="35:75">
      <c r="AI1093" s="1"/>
      <c r="AL1093" s="1"/>
      <c r="AO1093" s="1"/>
      <c r="AR1093" s="1"/>
      <c r="AZ1093" s="1"/>
      <c r="BC1093" s="1"/>
      <c r="BF1093" s="1"/>
      <c r="BI1093" s="1"/>
      <c r="BP1093" s="1"/>
      <c r="BS1093" s="1"/>
      <c r="BU1093" s="1"/>
      <c r="BW1093" s="1"/>
    </row>
    <row r="1094" spans="35:75">
      <c r="AI1094" s="1"/>
      <c r="AL1094" s="1"/>
      <c r="AO1094" s="1"/>
      <c r="AR1094" s="1"/>
      <c r="AZ1094" s="1"/>
      <c r="BC1094" s="1"/>
      <c r="BF1094" s="1"/>
      <c r="BI1094" s="1"/>
      <c r="BP1094" s="1"/>
      <c r="BS1094" s="1"/>
      <c r="BU1094" s="1"/>
      <c r="BW1094" s="1"/>
    </row>
    <row r="1095" spans="35:75">
      <c r="AI1095" s="1"/>
      <c r="AL1095" s="1"/>
      <c r="AO1095" s="1"/>
      <c r="AR1095" s="1"/>
      <c r="AZ1095" s="1"/>
      <c r="BC1095" s="1"/>
      <c r="BF1095" s="1"/>
      <c r="BI1095" s="1"/>
      <c r="BP1095" s="1"/>
      <c r="BS1095" s="1"/>
      <c r="BU1095" s="1"/>
      <c r="BW1095" s="1"/>
    </row>
    <row r="1096" spans="35:75">
      <c r="AI1096" s="1"/>
      <c r="AL1096" s="1"/>
      <c r="AO1096" s="1"/>
      <c r="AR1096" s="1"/>
      <c r="AZ1096" s="1"/>
      <c r="BC1096" s="1"/>
      <c r="BF1096" s="1"/>
      <c r="BI1096" s="1"/>
      <c r="BP1096" s="1"/>
      <c r="BS1096" s="1"/>
      <c r="BU1096" s="1"/>
      <c r="BW1096" s="1"/>
    </row>
    <row r="1097" spans="35:75">
      <c r="AI1097" s="1"/>
      <c r="AL1097" s="1"/>
      <c r="AO1097" s="1"/>
      <c r="AR1097" s="1"/>
      <c r="AZ1097" s="1"/>
      <c r="BC1097" s="1"/>
      <c r="BF1097" s="1"/>
      <c r="BI1097" s="1"/>
      <c r="BP1097" s="1"/>
      <c r="BS1097" s="1"/>
      <c r="BU1097" s="1"/>
      <c r="BW1097" s="1"/>
    </row>
    <row r="1098" spans="35:75">
      <c r="AI1098" s="1"/>
      <c r="AL1098" s="1"/>
      <c r="AO1098" s="1"/>
      <c r="AR1098" s="1"/>
      <c r="AZ1098" s="1"/>
      <c r="BC1098" s="1"/>
      <c r="BF1098" s="1"/>
      <c r="BI1098" s="1"/>
      <c r="BP1098" s="1"/>
      <c r="BS1098" s="1"/>
      <c r="BU1098" s="1"/>
      <c r="BW1098" s="1"/>
    </row>
    <row r="1099" spans="35:75">
      <c r="AI1099" s="1"/>
      <c r="AL1099" s="1"/>
      <c r="AO1099" s="1"/>
      <c r="AR1099" s="1"/>
      <c r="AZ1099" s="1"/>
      <c r="BC1099" s="1"/>
      <c r="BF1099" s="1"/>
      <c r="BI1099" s="1"/>
      <c r="BP1099" s="1"/>
      <c r="BS1099" s="1"/>
      <c r="BU1099" s="1"/>
      <c r="BW1099" s="1"/>
    </row>
    <row r="1100" spans="35:75">
      <c r="AI1100" s="1"/>
      <c r="AL1100" s="1"/>
      <c r="AO1100" s="1"/>
      <c r="AR1100" s="1"/>
      <c r="AZ1100" s="1"/>
      <c r="BC1100" s="1"/>
      <c r="BF1100" s="1"/>
      <c r="BI1100" s="1"/>
      <c r="BP1100" s="1"/>
      <c r="BS1100" s="1"/>
      <c r="BU1100" s="1"/>
      <c r="BW1100" s="1"/>
    </row>
    <row r="1101" spans="35:75">
      <c r="AI1101" s="1"/>
      <c r="AL1101" s="1"/>
      <c r="AO1101" s="1"/>
      <c r="AR1101" s="1"/>
      <c r="AZ1101" s="1"/>
      <c r="BC1101" s="1"/>
      <c r="BF1101" s="1"/>
      <c r="BI1101" s="1"/>
      <c r="BP1101" s="1"/>
      <c r="BS1101" s="1"/>
      <c r="BU1101" s="1"/>
      <c r="BW1101" s="1"/>
    </row>
    <row r="1102" spans="35:75">
      <c r="AI1102" s="1"/>
      <c r="AL1102" s="1"/>
      <c r="AO1102" s="1"/>
      <c r="AR1102" s="1"/>
      <c r="AZ1102" s="1"/>
      <c r="BC1102" s="1"/>
      <c r="BF1102" s="1"/>
      <c r="BI1102" s="1"/>
      <c r="BP1102" s="1"/>
      <c r="BS1102" s="1"/>
      <c r="BU1102" s="1"/>
      <c r="BW1102" s="1"/>
    </row>
    <row r="1103" spans="35:75">
      <c r="AI1103" s="1"/>
      <c r="AL1103" s="1"/>
      <c r="AO1103" s="1"/>
      <c r="AR1103" s="1"/>
      <c r="AZ1103" s="1"/>
      <c r="BC1103" s="1"/>
      <c r="BF1103" s="1"/>
      <c r="BI1103" s="1"/>
      <c r="BP1103" s="1"/>
      <c r="BS1103" s="1"/>
      <c r="BU1103" s="1"/>
      <c r="BW1103" s="1"/>
    </row>
    <row r="1104" spans="35:75">
      <c r="AI1104" s="1"/>
      <c r="AL1104" s="1"/>
      <c r="AO1104" s="1"/>
      <c r="AR1104" s="1"/>
      <c r="AZ1104" s="1"/>
      <c r="BC1104" s="1"/>
      <c r="BF1104" s="1"/>
      <c r="BI1104" s="1"/>
      <c r="BP1104" s="1"/>
      <c r="BS1104" s="1"/>
      <c r="BU1104" s="1"/>
      <c r="BW1104" s="1"/>
    </row>
    <row r="1105" spans="35:75">
      <c r="AI1105" s="1"/>
      <c r="AL1105" s="1"/>
      <c r="AO1105" s="1"/>
      <c r="AR1105" s="1"/>
      <c r="AZ1105" s="1"/>
      <c r="BC1105" s="1"/>
      <c r="BF1105" s="1"/>
      <c r="BI1105" s="1"/>
      <c r="BP1105" s="1"/>
      <c r="BS1105" s="1"/>
      <c r="BU1105" s="1"/>
      <c r="BW1105" s="1"/>
    </row>
    <row r="1106" spans="35:75">
      <c r="AI1106" s="1"/>
      <c r="AL1106" s="1"/>
      <c r="AO1106" s="1"/>
      <c r="AR1106" s="1"/>
      <c r="AZ1106" s="1"/>
      <c r="BC1106" s="1"/>
      <c r="BF1106" s="1"/>
      <c r="BI1106" s="1"/>
      <c r="BP1106" s="1"/>
      <c r="BS1106" s="1"/>
      <c r="BU1106" s="1"/>
      <c r="BW1106" s="1"/>
    </row>
    <row r="1107" spans="35:75">
      <c r="AI1107" s="1"/>
      <c r="AL1107" s="1"/>
      <c r="AO1107" s="1"/>
      <c r="AR1107" s="1"/>
      <c r="AZ1107" s="1"/>
      <c r="BC1107" s="1"/>
      <c r="BF1107" s="1"/>
      <c r="BI1107" s="1"/>
      <c r="BP1107" s="1"/>
      <c r="BS1107" s="1"/>
      <c r="BU1107" s="1"/>
      <c r="BW1107" s="1"/>
    </row>
    <row r="1108" spans="35:75">
      <c r="AI1108" s="1"/>
      <c r="AL1108" s="1"/>
      <c r="AO1108" s="1"/>
      <c r="AR1108" s="1"/>
      <c r="AZ1108" s="1"/>
      <c r="BC1108" s="1"/>
      <c r="BF1108" s="1"/>
      <c r="BI1108" s="1"/>
      <c r="BP1108" s="1"/>
      <c r="BS1108" s="1"/>
      <c r="BU1108" s="1"/>
      <c r="BW1108" s="1"/>
    </row>
    <row r="1109" spans="35:75">
      <c r="AI1109" s="1"/>
      <c r="AL1109" s="1"/>
      <c r="AO1109" s="1"/>
      <c r="AR1109" s="1"/>
      <c r="AZ1109" s="1"/>
      <c r="BC1109" s="1"/>
      <c r="BF1109" s="1"/>
      <c r="BI1109" s="1"/>
      <c r="BP1109" s="1"/>
      <c r="BS1109" s="1"/>
      <c r="BU1109" s="1"/>
      <c r="BW1109" s="1"/>
    </row>
    <row r="1110" spans="35:75">
      <c r="AI1110" s="1"/>
      <c r="AL1110" s="1"/>
      <c r="AO1110" s="1"/>
      <c r="AR1110" s="1"/>
      <c r="AZ1110" s="1"/>
      <c r="BC1110" s="1"/>
      <c r="BF1110" s="1"/>
      <c r="BI1110" s="1"/>
      <c r="BP1110" s="1"/>
      <c r="BS1110" s="1"/>
      <c r="BU1110" s="1"/>
      <c r="BW1110" s="1"/>
    </row>
    <row r="1111" spans="35:75">
      <c r="AI1111" s="1"/>
      <c r="AL1111" s="1"/>
      <c r="AO1111" s="1"/>
      <c r="AR1111" s="1"/>
      <c r="AZ1111" s="1"/>
      <c r="BC1111" s="1"/>
      <c r="BF1111" s="1"/>
      <c r="BI1111" s="1"/>
      <c r="BP1111" s="1"/>
      <c r="BS1111" s="1"/>
      <c r="BU1111" s="1"/>
      <c r="BW1111" s="1"/>
    </row>
    <row r="1112" spans="35:75">
      <c r="AI1112" s="1"/>
      <c r="AL1112" s="1"/>
      <c r="AO1112" s="1"/>
      <c r="AR1112" s="1"/>
      <c r="AZ1112" s="1"/>
      <c r="BC1112" s="1"/>
      <c r="BF1112" s="1"/>
      <c r="BI1112" s="1"/>
      <c r="BP1112" s="1"/>
      <c r="BS1112" s="1"/>
      <c r="BU1112" s="1"/>
      <c r="BW1112" s="1"/>
    </row>
    <row r="1113" spans="35:75">
      <c r="AI1113" s="1"/>
      <c r="AL1113" s="1"/>
      <c r="AO1113" s="1"/>
      <c r="AR1113" s="1"/>
      <c r="AZ1113" s="1"/>
      <c r="BC1113" s="1"/>
      <c r="BF1113" s="1"/>
      <c r="BI1113" s="1"/>
      <c r="BP1113" s="1"/>
      <c r="BS1113" s="1"/>
      <c r="BU1113" s="1"/>
      <c r="BW1113" s="1"/>
    </row>
    <row r="1114" spans="35:75">
      <c r="AI1114" s="1"/>
      <c r="AL1114" s="1"/>
      <c r="AO1114" s="1"/>
      <c r="AR1114" s="1"/>
      <c r="AZ1114" s="1"/>
      <c r="BC1114" s="1"/>
      <c r="BF1114" s="1"/>
      <c r="BI1114" s="1"/>
      <c r="BP1114" s="1"/>
      <c r="BS1114" s="1"/>
      <c r="BU1114" s="1"/>
      <c r="BW1114" s="1"/>
    </row>
    <row r="1115" spans="35:75">
      <c r="AI1115" s="1"/>
      <c r="AL1115" s="1"/>
      <c r="AO1115" s="1"/>
      <c r="AR1115" s="1"/>
      <c r="AZ1115" s="1"/>
      <c r="BC1115" s="1"/>
      <c r="BF1115" s="1"/>
      <c r="BI1115" s="1"/>
      <c r="BP1115" s="1"/>
      <c r="BS1115" s="1"/>
      <c r="BU1115" s="1"/>
      <c r="BW1115" s="1"/>
    </row>
    <row r="1116" spans="35:75">
      <c r="AI1116" s="1"/>
      <c r="AL1116" s="1"/>
      <c r="AO1116" s="1"/>
      <c r="AR1116" s="1"/>
      <c r="AZ1116" s="1"/>
      <c r="BC1116" s="1"/>
      <c r="BF1116" s="1"/>
      <c r="BI1116" s="1"/>
      <c r="BP1116" s="1"/>
      <c r="BS1116" s="1"/>
      <c r="BU1116" s="1"/>
      <c r="BW1116" s="1"/>
    </row>
    <row r="1117" spans="35:75">
      <c r="AI1117" s="1"/>
      <c r="AL1117" s="1"/>
      <c r="AO1117" s="1"/>
      <c r="AR1117" s="1"/>
      <c r="AZ1117" s="1"/>
      <c r="BC1117" s="1"/>
      <c r="BF1117" s="1"/>
      <c r="BI1117" s="1"/>
      <c r="BP1117" s="1"/>
      <c r="BS1117" s="1"/>
      <c r="BU1117" s="1"/>
      <c r="BW1117" s="1"/>
    </row>
    <row r="1118" spans="35:75">
      <c r="AI1118" s="1"/>
      <c r="AL1118" s="1"/>
      <c r="AO1118" s="1"/>
      <c r="AR1118" s="1"/>
      <c r="AZ1118" s="1"/>
      <c r="BC1118" s="1"/>
      <c r="BF1118" s="1"/>
      <c r="BI1118" s="1"/>
      <c r="BP1118" s="1"/>
      <c r="BS1118" s="1"/>
      <c r="BU1118" s="1"/>
      <c r="BW1118" s="1"/>
    </row>
    <row r="1119" spans="35:75">
      <c r="AI1119" s="1"/>
      <c r="AL1119" s="1"/>
      <c r="AO1119" s="1"/>
      <c r="AR1119" s="1"/>
      <c r="AZ1119" s="1"/>
      <c r="BC1119" s="1"/>
      <c r="BF1119" s="1"/>
      <c r="BI1119" s="1"/>
      <c r="BP1119" s="1"/>
      <c r="BS1119" s="1"/>
      <c r="BU1119" s="1"/>
      <c r="BW1119" s="1"/>
    </row>
    <row r="1120" spans="35:75">
      <c r="AI1120" s="1"/>
      <c r="AL1120" s="1"/>
      <c r="AO1120" s="1"/>
      <c r="AR1120" s="1"/>
      <c r="AZ1120" s="1"/>
      <c r="BC1120" s="1"/>
      <c r="BF1120" s="1"/>
      <c r="BI1120" s="1"/>
      <c r="BP1120" s="1"/>
      <c r="BS1120" s="1"/>
      <c r="BU1120" s="1"/>
      <c r="BW1120" s="1"/>
    </row>
    <row r="1121" spans="35:75">
      <c r="AI1121" s="1"/>
      <c r="AL1121" s="1"/>
      <c r="AO1121" s="1"/>
      <c r="AR1121" s="1"/>
      <c r="AZ1121" s="1"/>
      <c r="BC1121" s="1"/>
      <c r="BF1121" s="1"/>
      <c r="BI1121" s="1"/>
      <c r="BP1121" s="1"/>
      <c r="BS1121" s="1"/>
      <c r="BU1121" s="1"/>
      <c r="BW1121" s="1"/>
    </row>
    <row r="1122" spans="35:75">
      <c r="AI1122" s="1"/>
      <c r="AL1122" s="1"/>
      <c r="AO1122" s="1"/>
      <c r="AR1122" s="1"/>
      <c r="AZ1122" s="1"/>
      <c r="BC1122" s="1"/>
      <c r="BF1122" s="1"/>
      <c r="BI1122" s="1"/>
      <c r="BP1122" s="1"/>
      <c r="BS1122" s="1"/>
      <c r="BU1122" s="1"/>
      <c r="BW1122" s="1"/>
    </row>
    <row r="1123" spans="35:75">
      <c r="AI1123" s="1"/>
      <c r="AL1123" s="1"/>
      <c r="AO1123" s="1"/>
      <c r="AR1123" s="1"/>
      <c r="AZ1123" s="1"/>
      <c r="BC1123" s="1"/>
      <c r="BF1123" s="1"/>
      <c r="BI1123" s="1"/>
      <c r="BP1123" s="1"/>
      <c r="BS1123" s="1"/>
      <c r="BU1123" s="1"/>
      <c r="BW1123" s="1"/>
    </row>
    <row r="1124" spans="35:75">
      <c r="AI1124" s="1"/>
      <c r="AL1124" s="1"/>
      <c r="AO1124" s="1"/>
      <c r="AR1124" s="1"/>
      <c r="AZ1124" s="1"/>
      <c r="BC1124" s="1"/>
      <c r="BF1124" s="1"/>
      <c r="BI1124" s="1"/>
      <c r="BP1124" s="1"/>
      <c r="BS1124" s="1"/>
      <c r="BU1124" s="1"/>
      <c r="BW1124" s="1"/>
    </row>
    <row r="1125" spans="35:75">
      <c r="AI1125" s="1"/>
      <c r="AL1125" s="1"/>
      <c r="AO1125" s="1"/>
      <c r="AR1125" s="1"/>
      <c r="AZ1125" s="1"/>
      <c r="BC1125" s="1"/>
      <c r="BF1125" s="1"/>
      <c r="BI1125" s="1"/>
      <c r="BP1125" s="1"/>
      <c r="BS1125" s="1"/>
      <c r="BU1125" s="1"/>
      <c r="BW1125" s="1"/>
    </row>
    <row r="1126" spans="35:75">
      <c r="AI1126" s="1"/>
      <c r="AL1126" s="1"/>
      <c r="AO1126" s="1"/>
      <c r="AR1126" s="1"/>
      <c r="AZ1126" s="1"/>
      <c r="BC1126" s="1"/>
      <c r="BF1126" s="1"/>
      <c r="BI1126" s="1"/>
      <c r="BP1126" s="1"/>
      <c r="BS1126" s="1"/>
      <c r="BU1126" s="1"/>
      <c r="BW1126" s="1"/>
    </row>
    <row r="1127" spans="35:75">
      <c r="AI1127" s="1"/>
      <c r="AL1127" s="1"/>
      <c r="AO1127" s="1"/>
      <c r="AR1127" s="1"/>
      <c r="AZ1127" s="1"/>
      <c r="BC1127" s="1"/>
      <c r="BF1127" s="1"/>
      <c r="BI1127" s="1"/>
      <c r="BP1127" s="1"/>
      <c r="BS1127" s="1"/>
      <c r="BU1127" s="1"/>
      <c r="BW1127" s="1"/>
    </row>
    <row r="1128" spans="35:75">
      <c r="AI1128" s="1"/>
      <c r="AL1128" s="1"/>
      <c r="AO1128" s="1"/>
      <c r="AR1128" s="1"/>
      <c r="AZ1128" s="1"/>
      <c r="BC1128" s="1"/>
      <c r="BF1128" s="1"/>
      <c r="BI1128" s="1"/>
      <c r="BP1128" s="1"/>
      <c r="BS1128" s="1"/>
      <c r="BU1128" s="1"/>
      <c r="BW1128" s="1"/>
    </row>
    <row r="1129" spans="35:75">
      <c r="AI1129" s="1"/>
      <c r="AL1129" s="1"/>
      <c r="AO1129" s="1"/>
      <c r="AR1129" s="1"/>
      <c r="AZ1129" s="1"/>
      <c r="BC1129" s="1"/>
      <c r="BF1129" s="1"/>
      <c r="BI1129" s="1"/>
      <c r="BP1129" s="1"/>
      <c r="BS1129" s="1"/>
      <c r="BU1129" s="1"/>
      <c r="BW1129" s="1"/>
    </row>
    <row r="1130" spans="35:75">
      <c r="AI1130" s="1"/>
      <c r="AL1130" s="1"/>
      <c r="AO1130" s="1"/>
      <c r="AR1130" s="1"/>
      <c r="AZ1130" s="1"/>
      <c r="BC1130" s="1"/>
      <c r="BF1130" s="1"/>
      <c r="BI1130" s="1"/>
      <c r="BP1130" s="1"/>
      <c r="BS1130" s="1"/>
      <c r="BU1130" s="1"/>
      <c r="BW1130" s="1"/>
    </row>
    <row r="1131" spans="35:75">
      <c r="AI1131" s="1"/>
      <c r="AL1131" s="1"/>
      <c r="AO1131" s="1"/>
      <c r="AR1131" s="1"/>
      <c r="AZ1131" s="1"/>
      <c r="BC1131" s="1"/>
      <c r="BF1131" s="1"/>
      <c r="BI1131" s="1"/>
      <c r="BP1131" s="1"/>
      <c r="BS1131" s="1"/>
      <c r="BU1131" s="1"/>
      <c r="BW1131" s="1"/>
    </row>
    <row r="1132" spans="35:75">
      <c r="AI1132" s="1"/>
      <c r="AL1132" s="1"/>
      <c r="AO1132" s="1"/>
      <c r="AR1132" s="1"/>
      <c r="AZ1132" s="1"/>
      <c r="BC1132" s="1"/>
      <c r="BF1132" s="1"/>
      <c r="BI1132" s="1"/>
      <c r="BP1132" s="1"/>
      <c r="BS1132" s="1"/>
      <c r="BU1132" s="1"/>
      <c r="BW1132" s="1"/>
    </row>
    <row r="1133" spans="35:75">
      <c r="AI1133" s="1"/>
      <c r="AL1133" s="1"/>
      <c r="AO1133" s="1"/>
      <c r="AR1133" s="1"/>
      <c r="AZ1133" s="1"/>
      <c r="BC1133" s="1"/>
      <c r="BF1133" s="1"/>
      <c r="BI1133" s="1"/>
      <c r="BP1133" s="1"/>
      <c r="BS1133" s="1"/>
      <c r="BU1133" s="1"/>
      <c r="BW1133" s="1"/>
    </row>
    <row r="1134" spans="35:75">
      <c r="AI1134" s="1"/>
      <c r="AL1134" s="1"/>
      <c r="AO1134" s="1"/>
      <c r="AR1134" s="1"/>
      <c r="AZ1134" s="1"/>
      <c r="BC1134" s="1"/>
      <c r="BF1134" s="1"/>
      <c r="BI1134" s="1"/>
      <c r="BP1134" s="1"/>
      <c r="BS1134" s="1"/>
      <c r="BU1134" s="1"/>
      <c r="BW1134" s="1"/>
    </row>
    <row r="1135" spans="35:75">
      <c r="AI1135" s="1"/>
      <c r="AL1135" s="1"/>
      <c r="AO1135" s="1"/>
      <c r="AR1135" s="1"/>
      <c r="AZ1135" s="1"/>
      <c r="BC1135" s="1"/>
      <c r="BF1135" s="1"/>
      <c r="BI1135" s="1"/>
      <c r="BP1135" s="1"/>
      <c r="BS1135" s="1"/>
      <c r="BU1135" s="1"/>
      <c r="BW1135" s="1"/>
    </row>
    <row r="1136" spans="35:75">
      <c r="AI1136" s="1"/>
      <c r="AL1136" s="1"/>
      <c r="AO1136" s="1"/>
      <c r="AR1136" s="1"/>
      <c r="AZ1136" s="1"/>
      <c r="BC1136" s="1"/>
      <c r="BF1136" s="1"/>
      <c r="BI1136" s="1"/>
      <c r="BP1136" s="1"/>
      <c r="BS1136" s="1"/>
      <c r="BU1136" s="1"/>
      <c r="BW1136" s="1"/>
    </row>
    <row r="1137" spans="35:75">
      <c r="AI1137" s="1"/>
      <c r="AL1137" s="1"/>
      <c r="AO1137" s="1"/>
      <c r="AR1137" s="1"/>
      <c r="AZ1137" s="1"/>
      <c r="BC1137" s="1"/>
      <c r="BF1137" s="1"/>
      <c r="BI1137" s="1"/>
      <c r="BP1137" s="1"/>
      <c r="BS1137" s="1"/>
      <c r="BU1137" s="1"/>
      <c r="BW1137" s="1"/>
    </row>
    <row r="1138" spans="35:75">
      <c r="AI1138" s="1"/>
      <c r="AL1138" s="1"/>
      <c r="AO1138" s="1"/>
      <c r="AR1138" s="1"/>
      <c r="AZ1138" s="1"/>
      <c r="BC1138" s="1"/>
      <c r="BF1138" s="1"/>
      <c r="BI1138" s="1"/>
      <c r="BP1138" s="1"/>
      <c r="BS1138" s="1"/>
      <c r="BU1138" s="1"/>
      <c r="BW1138" s="1"/>
    </row>
    <row r="1139" spans="35:75">
      <c r="AI1139" s="1"/>
      <c r="AL1139" s="1"/>
      <c r="AO1139" s="1"/>
      <c r="AR1139" s="1"/>
      <c r="AZ1139" s="1"/>
      <c r="BC1139" s="1"/>
      <c r="BF1139" s="1"/>
      <c r="BI1139" s="1"/>
      <c r="BP1139" s="1"/>
      <c r="BS1139" s="1"/>
      <c r="BU1139" s="1"/>
      <c r="BW1139" s="1"/>
    </row>
    <row r="1140" spans="35:75">
      <c r="AI1140" s="1"/>
      <c r="AL1140" s="1"/>
      <c r="AO1140" s="1"/>
      <c r="AR1140" s="1"/>
      <c r="AZ1140" s="1"/>
      <c r="BC1140" s="1"/>
      <c r="BF1140" s="1"/>
      <c r="BI1140" s="1"/>
      <c r="BP1140" s="1"/>
      <c r="BS1140" s="1"/>
      <c r="BU1140" s="1"/>
      <c r="BW1140" s="1"/>
    </row>
    <row r="1141" spans="35:75">
      <c r="AI1141" s="1"/>
      <c r="AL1141" s="1"/>
      <c r="AO1141" s="1"/>
      <c r="AR1141" s="1"/>
      <c r="AZ1141" s="1"/>
      <c r="BC1141" s="1"/>
      <c r="BF1141" s="1"/>
      <c r="BI1141" s="1"/>
      <c r="BP1141" s="1"/>
      <c r="BS1141" s="1"/>
      <c r="BU1141" s="1"/>
      <c r="BW1141" s="1"/>
    </row>
    <row r="1142" spans="35:75">
      <c r="AI1142" s="1"/>
      <c r="AL1142" s="1"/>
      <c r="AO1142" s="1"/>
      <c r="AR1142" s="1"/>
      <c r="AZ1142" s="1"/>
      <c r="BC1142" s="1"/>
      <c r="BF1142" s="1"/>
      <c r="BI1142" s="1"/>
      <c r="BP1142" s="1"/>
      <c r="BS1142" s="1"/>
      <c r="BU1142" s="1"/>
      <c r="BW1142" s="1"/>
    </row>
    <row r="1143" spans="35:75">
      <c r="AI1143" s="1"/>
      <c r="AL1143" s="1"/>
      <c r="AO1143" s="1"/>
      <c r="AR1143" s="1"/>
      <c r="AZ1143" s="1"/>
      <c r="BC1143" s="1"/>
      <c r="BF1143" s="1"/>
      <c r="BI1143" s="1"/>
      <c r="BP1143" s="1"/>
      <c r="BS1143" s="1"/>
      <c r="BU1143" s="1"/>
      <c r="BW1143" s="1"/>
    </row>
    <row r="1144" spans="35:75">
      <c r="AI1144" s="1"/>
      <c r="AL1144" s="1"/>
      <c r="AO1144" s="1"/>
      <c r="AR1144" s="1"/>
      <c r="AZ1144" s="1"/>
      <c r="BC1144" s="1"/>
      <c r="BF1144" s="1"/>
      <c r="BI1144" s="1"/>
      <c r="BP1144" s="1"/>
      <c r="BS1144" s="1"/>
      <c r="BU1144" s="1"/>
      <c r="BW1144" s="1"/>
    </row>
    <row r="1145" spans="35:75">
      <c r="AI1145" s="1"/>
      <c r="AL1145" s="1"/>
      <c r="AO1145" s="1"/>
      <c r="AR1145" s="1"/>
      <c r="AZ1145" s="1"/>
      <c r="BC1145" s="1"/>
      <c r="BF1145" s="1"/>
      <c r="BI1145" s="1"/>
      <c r="BP1145" s="1"/>
      <c r="BS1145" s="1"/>
      <c r="BU1145" s="1"/>
      <c r="BW1145" s="1"/>
    </row>
    <row r="1146" spans="35:75">
      <c r="AI1146" s="1"/>
      <c r="AL1146" s="1"/>
      <c r="AO1146" s="1"/>
      <c r="AR1146" s="1"/>
      <c r="AZ1146" s="1"/>
      <c r="BC1146" s="1"/>
      <c r="BF1146" s="1"/>
      <c r="BI1146" s="1"/>
      <c r="BP1146" s="1"/>
      <c r="BS1146" s="1"/>
      <c r="BU1146" s="1"/>
      <c r="BW1146" s="1"/>
    </row>
    <row r="1147" spans="35:75">
      <c r="AI1147" s="1"/>
      <c r="AL1147" s="1"/>
      <c r="AO1147" s="1"/>
      <c r="AR1147" s="1"/>
      <c r="AZ1147" s="1"/>
      <c r="BC1147" s="1"/>
      <c r="BF1147" s="1"/>
      <c r="BI1147" s="1"/>
      <c r="BP1147" s="1"/>
      <c r="BS1147" s="1"/>
      <c r="BU1147" s="1"/>
      <c r="BW1147" s="1"/>
    </row>
    <row r="1148" spans="35:75">
      <c r="AI1148" s="1"/>
      <c r="AL1148" s="1"/>
      <c r="AO1148" s="1"/>
      <c r="AR1148" s="1"/>
      <c r="AZ1148" s="1"/>
      <c r="BC1148" s="1"/>
      <c r="BF1148" s="1"/>
      <c r="BI1148" s="1"/>
      <c r="BP1148" s="1"/>
      <c r="BS1148" s="1"/>
      <c r="BU1148" s="1"/>
      <c r="BW1148" s="1"/>
    </row>
    <row r="1149" spans="35:75">
      <c r="AI1149" s="1"/>
      <c r="AL1149" s="1"/>
      <c r="AO1149" s="1"/>
      <c r="AR1149" s="1"/>
      <c r="AZ1149" s="1"/>
      <c r="BC1149" s="1"/>
      <c r="BF1149" s="1"/>
      <c r="BI1149" s="1"/>
      <c r="BP1149" s="1"/>
      <c r="BS1149" s="1"/>
      <c r="BU1149" s="1"/>
      <c r="BW1149" s="1"/>
    </row>
    <row r="1150" spans="35:75">
      <c r="AI1150" s="1"/>
      <c r="AL1150" s="1"/>
      <c r="AO1150" s="1"/>
      <c r="AR1150" s="1"/>
      <c r="AZ1150" s="1"/>
      <c r="BC1150" s="1"/>
      <c r="BF1150" s="1"/>
      <c r="BI1150" s="1"/>
      <c r="BP1150" s="1"/>
      <c r="BS1150" s="1"/>
      <c r="BU1150" s="1"/>
      <c r="BW1150" s="1"/>
    </row>
    <row r="1151" spans="35:75">
      <c r="AI1151" s="1"/>
      <c r="AL1151" s="1"/>
      <c r="AO1151" s="1"/>
      <c r="AR1151" s="1"/>
      <c r="AZ1151" s="1"/>
      <c r="BC1151" s="1"/>
      <c r="BF1151" s="1"/>
      <c r="BI1151" s="1"/>
      <c r="BP1151" s="1"/>
      <c r="BS1151" s="1"/>
      <c r="BU1151" s="1"/>
      <c r="BW1151" s="1"/>
    </row>
    <row r="1152" spans="35:75">
      <c r="AI1152" s="1"/>
      <c r="AL1152" s="1"/>
      <c r="AO1152" s="1"/>
      <c r="AR1152" s="1"/>
      <c r="AZ1152" s="1"/>
      <c r="BC1152" s="1"/>
      <c r="BF1152" s="1"/>
      <c r="BI1152" s="1"/>
      <c r="BP1152" s="1"/>
      <c r="BS1152" s="1"/>
      <c r="BU1152" s="1"/>
      <c r="BW1152" s="1"/>
    </row>
    <row r="1153" spans="35:75">
      <c r="AI1153" s="1"/>
      <c r="AL1153" s="1"/>
      <c r="AO1153" s="1"/>
      <c r="AR1153" s="1"/>
      <c r="AZ1153" s="1"/>
      <c r="BC1153" s="1"/>
      <c r="BF1153" s="1"/>
      <c r="BI1153" s="1"/>
      <c r="BP1153" s="1"/>
      <c r="BS1153" s="1"/>
      <c r="BU1153" s="1"/>
      <c r="BW1153" s="1"/>
    </row>
    <row r="1154" spans="35:75">
      <c r="AI1154" s="1"/>
      <c r="AL1154" s="1"/>
      <c r="AO1154" s="1"/>
      <c r="AR1154" s="1"/>
      <c r="AZ1154" s="1"/>
      <c r="BC1154" s="1"/>
      <c r="BF1154" s="1"/>
      <c r="BI1154" s="1"/>
      <c r="BP1154" s="1"/>
      <c r="BS1154" s="1"/>
      <c r="BU1154" s="1"/>
      <c r="BW1154" s="1"/>
    </row>
    <row r="1155" spans="35:75">
      <c r="AI1155" s="1"/>
      <c r="AL1155" s="1"/>
      <c r="AO1155" s="1"/>
      <c r="AR1155" s="1"/>
      <c r="AZ1155" s="1"/>
      <c r="BC1155" s="1"/>
      <c r="BF1155" s="1"/>
      <c r="BI1155" s="1"/>
      <c r="BP1155" s="1"/>
      <c r="BS1155" s="1"/>
      <c r="BU1155" s="1"/>
      <c r="BW1155" s="1"/>
    </row>
    <row r="1156" spans="35:75">
      <c r="AI1156" s="1"/>
      <c r="AL1156" s="1"/>
      <c r="AO1156" s="1"/>
      <c r="AR1156" s="1"/>
      <c r="AZ1156" s="1"/>
      <c r="BC1156" s="1"/>
      <c r="BF1156" s="1"/>
      <c r="BI1156" s="1"/>
      <c r="BP1156" s="1"/>
      <c r="BS1156" s="1"/>
      <c r="BU1156" s="1"/>
      <c r="BW1156" s="1"/>
    </row>
    <row r="1157" spans="35:75">
      <c r="AI1157" s="1"/>
      <c r="AL1157" s="1"/>
      <c r="AO1157" s="1"/>
      <c r="AR1157" s="1"/>
      <c r="AZ1157" s="1"/>
      <c r="BC1157" s="1"/>
      <c r="BF1157" s="1"/>
      <c r="BI1157" s="1"/>
      <c r="BP1157" s="1"/>
      <c r="BS1157" s="1"/>
      <c r="BU1157" s="1"/>
      <c r="BW1157" s="1"/>
    </row>
    <row r="1158" spans="35:75">
      <c r="AI1158" s="1"/>
      <c r="AL1158" s="1"/>
      <c r="AO1158" s="1"/>
      <c r="AR1158" s="1"/>
      <c r="AZ1158" s="1"/>
      <c r="BC1158" s="1"/>
      <c r="BF1158" s="1"/>
      <c r="BI1158" s="1"/>
      <c r="BP1158" s="1"/>
      <c r="BS1158" s="1"/>
      <c r="BU1158" s="1"/>
      <c r="BW1158" s="1"/>
    </row>
    <row r="1159" spans="35:75">
      <c r="AI1159" s="1"/>
      <c r="AL1159" s="1"/>
      <c r="AO1159" s="1"/>
      <c r="AR1159" s="1"/>
      <c r="AZ1159" s="1"/>
      <c r="BC1159" s="1"/>
      <c r="BF1159" s="1"/>
      <c r="BI1159" s="1"/>
      <c r="BP1159" s="1"/>
      <c r="BS1159" s="1"/>
      <c r="BU1159" s="1"/>
      <c r="BW1159" s="1"/>
    </row>
    <row r="1160" spans="35:75">
      <c r="AI1160" s="1"/>
      <c r="AL1160" s="1"/>
      <c r="AO1160" s="1"/>
      <c r="AR1160" s="1"/>
      <c r="AZ1160" s="1"/>
      <c r="BC1160" s="1"/>
      <c r="BF1160" s="1"/>
      <c r="BI1160" s="1"/>
      <c r="BP1160" s="1"/>
      <c r="BS1160" s="1"/>
      <c r="BU1160" s="1"/>
      <c r="BW1160" s="1"/>
    </row>
    <row r="1161" spans="35:75">
      <c r="AI1161" s="1"/>
      <c r="AL1161" s="1"/>
      <c r="AO1161" s="1"/>
      <c r="AR1161" s="1"/>
      <c r="AZ1161" s="1"/>
      <c r="BC1161" s="1"/>
      <c r="BF1161" s="1"/>
      <c r="BI1161" s="1"/>
      <c r="BP1161" s="1"/>
      <c r="BS1161" s="1"/>
      <c r="BU1161" s="1"/>
      <c r="BW1161" s="1"/>
    </row>
    <row r="1162" spans="35:75">
      <c r="AI1162" s="1"/>
      <c r="AL1162" s="1"/>
      <c r="AO1162" s="1"/>
      <c r="AR1162" s="1"/>
      <c r="AZ1162" s="1"/>
      <c r="BC1162" s="1"/>
      <c r="BF1162" s="1"/>
      <c r="BI1162" s="1"/>
      <c r="BP1162" s="1"/>
      <c r="BS1162" s="1"/>
      <c r="BU1162" s="1"/>
      <c r="BW1162" s="1"/>
    </row>
    <row r="1163" spans="35:75">
      <c r="AI1163" s="1"/>
      <c r="AL1163" s="1"/>
      <c r="AO1163" s="1"/>
      <c r="AR1163" s="1"/>
      <c r="AZ1163" s="1"/>
      <c r="BC1163" s="1"/>
      <c r="BF1163" s="1"/>
      <c r="BI1163" s="1"/>
      <c r="BP1163" s="1"/>
      <c r="BS1163" s="1"/>
      <c r="BU1163" s="1"/>
      <c r="BW1163" s="1"/>
    </row>
    <row r="1164" spans="35:75">
      <c r="AI1164" s="1"/>
      <c r="AL1164" s="1"/>
      <c r="AO1164" s="1"/>
      <c r="AR1164" s="1"/>
      <c r="AZ1164" s="1"/>
      <c r="BC1164" s="1"/>
      <c r="BF1164" s="1"/>
      <c r="BI1164" s="1"/>
      <c r="BP1164" s="1"/>
      <c r="BS1164" s="1"/>
      <c r="BU1164" s="1"/>
      <c r="BW1164" s="1"/>
    </row>
    <row r="1165" spans="35:75">
      <c r="AI1165" s="1"/>
      <c r="AL1165" s="1"/>
      <c r="AO1165" s="1"/>
      <c r="AR1165" s="1"/>
      <c r="AZ1165" s="1"/>
      <c r="BC1165" s="1"/>
      <c r="BF1165" s="1"/>
      <c r="BI1165" s="1"/>
      <c r="BP1165" s="1"/>
      <c r="BS1165" s="1"/>
      <c r="BU1165" s="1"/>
      <c r="BW1165" s="1"/>
    </row>
    <row r="1166" spans="35:75">
      <c r="AI1166" s="1"/>
      <c r="AL1166" s="1"/>
      <c r="AO1166" s="1"/>
      <c r="AR1166" s="1"/>
      <c r="AZ1166" s="1"/>
      <c r="BC1166" s="1"/>
      <c r="BF1166" s="1"/>
      <c r="BI1166" s="1"/>
      <c r="BP1166" s="1"/>
      <c r="BS1166" s="1"/>
      <c r="BU1166" s="1"/>
      <c r="BW1166" s="1"/>
    </row>
    <row r="1167" spans="35:75">
      <c r="AI1167" s="1"/>
      <c r="AL1167" s="1"/>
      <c r="AO1167" s="1"/>
      <c r="AR1167" s="1"/>
      <c r="AZ1167" s="1"/>
      <c r="BC1167" s="1"/>
      <c r="BF1167" s="1"/>
      <c r="BI1167" s="1"/>
      <c r="BP1167" s="1"/>
      <c r="BS1167" s="1"/>
      <c r="BU1167" s="1"/>
      <c r="BW1167" s="1"/>
    </row>
    <row r="1168" spans="35:75">
      <c r="AI1168" s="1"/>
      <c r="AL1168" s="1"/>
      <c r="AO1168" s="1"/>
      <c r="AR1168" s="1"/>
      <c r="AZ1168" s="1"/>
      <c r="BC1168" s="1"/>
      <c r="BF1168" s="1"/>
      <c r="BI1168" s="1"/>
      <c r="BP1168" s="1"/>
      <c r="BS1168" s="1"/>
      <c r="BU1168" s="1"/>
      <c r="BW1168" s="1"/>
    </row>
    <row r="1169" spans="35:75">
      <c r="AI1169" s="1"/>
      <c r="AL1169" s="1"/>
      <c r="AO1169" s="1"/>
      <c r="AR1169" s="1"/>
      <c r="AZ1169" s="1"/>
      <c r="BC1169" s="1"/>
      <c r="BF1169" s="1"/>
      <c r="BI1169" s="1"/>
      <c r="BP1169" s="1"/>
      <c r="BS1169" s="1"/>
      <c r="BU1169" s="1"/>
      <c r="BW1169" s="1"/>
    </row>
    <row r="1170" spans="35:75">
      <c r="AI1170" s="1"/>
      <c r="AL1170" s="1"/>
      <c r="AO1170" s="1"/>
      <c r="AR1170" s="1"/>
      <c r="AZ1170" s="1"/>
      <c r="BC1170" s="1"/>
      <c r="BF1170" s="1"/>
      <c r="BI1170" s="1"/>
      <c r="BP1170" s="1"/>
      <c r="BS1170" s="1"/>
      <c r="BU1170" s="1"/>
      <c r="BW1170" s="1"/>
    </row>
    <row r="1171" spans="35:75">
      <c r="AI1171" s="1"/>
      <c r="AL1171" s="1"/>
      <c r="AO1171" s="1"/>
      <c r="AR1171" s="1"/>
      <c r="AZ1171" s="1"/>
      <c r="BC1171" s="1"/>
      <c r="BF1171" s="1"/>
      <c r="BI1171" s="1"/>
      <c r="BP1171" s="1"/>
      <c r="BS1171" s="1"/>
      <c r="BU1171" s="1"/>
      <c r="BW1171" s="1"/>
    </row>
    <row r="1172" spans="35:75">
      <c r="AI1172" s="1"/>
      <c r="AL1172" s="1"/>
      <c r="AO1172" s="1"/>
      <c r="AR1172" s="1"/>
      <c r="AZ1172" s="1"/>
      <c r="BC1172" s="1"/>
      <c r="BF1172" s="1"/>
      <c r="BI1172" s="1"/>
      <c r="BP1172" s="1"/>
      <c r="BS1172" s="1"/>
      <c r="BU1172" s="1"/>
      <c r="BW1172" s="1"/>
    </row>
    <row r="1173" spans="35:75">
      <c r="AI1173" s="1"/>
      <c r="AL1173" s="1"/>
      <c r="AO1173" s="1"/>
      <c r="AR1173" s="1"/>
      <c r="AZ1173" s="1"/>
      <c r="BC1173" s="1"/>
      <c r="BF1173" s="1"/>
      <c r="BI1173" s="1"/>
      <c r="BP1173" s="1"/>
      <c r="BS1173" s="1"/>
      <c r="BU1173" s="1"/>
      <c r="BW1173" s="1"/>
    </row>
    <row r="1174" spans="35:75">
      <c r="AI1174" s="1"/>
      <c r="AL1174" s="1"/>
      <c r="AO1174" s="1"/>
      <c r="AR1174" s="1"/>
      <c r="AZ1174" s="1"/>
      <c r="BC1174" s="1"/>
      <c r="BF1174" s="1"/>
      <c r="BI1174" s="1"/>
      <c r="BP1174" s="1"/>
      <c r="BS1174" s="1"/>
      <c r="BU1174" s="1"/>
      <c r="BW1174" s="1"/>
    </row>
    <row r="1175" spans="35:75">
      <c r="AI1175" s="1"/>
      <c r="AL1175" s="1"/>
      <c r="AO1175" s="1"/>
      <c r="AR1175" s="1"/>
      <c r="AZ1175" s="1"/>
      <c r="BC1175" s="1"/>
      <c r="BF1175" s="1"/>
      <c r="BI1175" s="1"/>
      <c r="BP1175" s="1"/>
      <c r="BS1175" s="1"/>
      <c r="BU1175" s="1"/>
      <c r="BW1175" s="1"/>
    </row>
    <row r="1176" spans="35:75">
      <c r="AI1176" s="1"/>
      <c r="AL1176" s="1"/>
      <c r="AO1176" s="1"/>
      <c r="AR1176" s="1"/>
      <c r="AZ1176" s="1"/>
      <c r="BC1176" s="1"/>
      <c r="BF1176" s="1"/>
      <c r="BI1176" s="1"/>
      <c r="BP1176" s="1"/>
      <c r="BS1176" s="1"/>
      <c r="BU1176" s="1"/>
      <c r="BW1176" s="1"/>
    </row>
    <row r="1177" spans="35:75">
      <c r="AI1177" s="1"/>
      <c r="AL1177" s="1"/>
      <c r="AO1177" s="1"/>
      <c r="AR1177" s="1"/>
      <c r="AZ1177" s="1"/>
      <c r="BC1177" s="1"/>
      <c r="BF1177" s="1"/>
      <c r="BI1177" s="1"/>
      <c r="BP1177" s="1"/>
      <c r="BS1177" s="1"/>
      <c r="BU1177" s="1"/>
      <c r="BW1177" s="1"/>
    </row>
    <row r="1178" spans="35:75">
      <c r="AI1178" s="1"/>
      <c r="AL1178" s="1"/>
      <c r="AO1178" s="1"/>
      <c r="AR1178" s="1"/>
      <c r="AZ1178" s="1"/>
      <c r="BC1178" s="1"/>
      <c r="BF1178" s="1"/>
      <c r="BI1178" s="1"/>
      <c r="BP1178" s="1"/>
      <c r="BS1178" s="1"/>
      <c r="BU1178" s="1"/>
      <c r="BW1178" s="1"/>
    </row>
    <row r="1179" spans="35:75">
      <c r="AI1179" s="1"/>
      <c r="AL1179" s="1"/>
      <c r="AO1179" s="1"/>
      <c r="AR1179" s="1"/>
      <c r="AZ1179" s="1"/>
      <c r="BC1179" s="1"/>
      <c r="BF1179" s="1"/>
      <c r="BI1179" s="1"/>
      <c r="BP1179" s="1"/>
      <c r="BS1179" s="1"/>
      <c r="BU1179" s="1"/>
      <c r="BW1179" s="1"/>
    </row>
    <row r="1180" spans="35:75">
      <c r="AI1180" s="1"/>
      <c r="AL1180" s="1"/>
      <c r="AO1180" s="1"/>
      <c r="AR1180" s="1"/>
      <c r="AZ1180" s="1"/>
      <c r="BC1180" s="1"/>
      <c r="BF1180" s="1"/>
      <c r="BI1180" s="1"/>
      <c r="BP1180" s="1"/>
      <c r="BS1180" s="1"/>
      <c r="BU1180" s="1"/>
      <c r="BW1180" s="1"/>
    </row>
    <row r="1181" spans="35:75">
      <c r="AI1181" s="1"/>
      <c r="AL1181" s="1"/>
      <c r="AO1181" s="1"/>
      <c r="AR1181" s="1"/>
      <c r="AZ1181" s="1"/>
      <c r="BC1181" s="1"/>
      <c r="BF1181" s="1"/>
      <c r="BI1181" s="1"/>
      <c r="BP1181" s="1"/>
      <c r="BS1181" s="1"/>
      <c r="BU1181" s="1"/>
      <c r="BW1181" s="1"/>
    </row>
    <row r="1182" spans="35:75">
      <c r="AI1182" s="1"/>
      <c r="AL1182" s="1"/>
      <c r="AO1182" s="1"/>
      <c r="AR1182" s="1"/>
      <c r="AZ1182" s="1"/>
      <c r="BC1182" s="1"/>
      <c r="BF1182" s="1"/>
      <c r="BI1182" s="1"/>
      <c r="BP1182" s="1"/>
      <c r="BS1182" s="1"/>
      <c r="BU1182" s="1"/>
      <c r="BW1182" s="1"/>
    </row>
    <row r="1183" spans="35:75">
      <c r="AI1183" s="1"/>
      <c r="AL1183" s="1"/>
      <c r="AO1183" s="1"/>
      <c r="AR1183" s="1"/>
      <c r="AZ1183" s="1"/>
      <c r="BC1183" s="1"/>
      <c r="BF1183" s="1"/>
      <c r="BI1183" s="1"/>
      <c r="BP1183" s="1"/>
      <c r="BS1183" s="1"/>
      <c r="BU1183" s="1"/>
      <c r="BW1183" s="1"/>
    </row>
    <row r="1184" spans="35:75">
      <c r="AI1184" s="1"/>
      <c r="AL1184" s="1"/>
      <c r="AO1184" s="1"/>
      <c r="AR1184" s="1"/>
      <c r="AZ1184" s="1"/>
      <c r="BC1184" s="1"/>
      <c r="BF1184" s="1"/>
      <c r="BI1184" s="1"/>
      <c r="BP1184" s="1"/>
      <c r="BS1184" s="1"/>
      <c r="BU1184" s="1"/>
      <c r="BW1184" s="1"/>
    </row>
    <row r="1185" spans="35:75">
      <c r="AI1185" s="1"/>
      <c r="AL1185" s="1"/>
      <c r="AO1185" s="1"/>
      <c r="AR1185" s="1"/>
      <c r="AZ1185" s="1"/>
      <c r="BC1185" s="1"/>
      <c r="BF1185" s="1"/>
      <c r="BI1185" s="1"/>
      <c r="BP1185" s="1"/>
      <c r="BS1185" s="1"/>
      <c r="BU1185" s="1"/>
      <c r="BW1185" s="1"/>
    </row>
    <row r="1186" spans="35:75">
      <c r="AI1186" s="1"/>
      <c r="AL1186" s="1"/>
      <c r="AO1186" s="1"/>
      <c r="AR1186" s="1"/>
      <c r="AZ1186" s="1"/>
      <c r="BC1186" s="1"/>
      <c r="BF1186" s="1"/>
      <c r="BI1186" s="1"/>
      <c r="BP1186" s="1"/>
      <c r="BS1186" s="1"/>
      <c r="BU1186" s="1"/>
      <c r="BW1186" s="1"/>
    </row>
    <row r="1187" spans="35:75">
      <c r="AI1187" s="1"/>
      <c r="AL1187" s="1"/>
      <c r="AO1187" s="1"/>
      <c r="AR1187" s="1"/>
      <c r="AZ1187" s="1"/>
      <c r="BC1187" s="1"/>
      <c r="BF1187" s="1"/>
      <c r="BI1187" s="1"/>
      <c r="BP1187" s="1"/>
      <c r="BS1187" s="1"/>
      <c r="BU1187" s="1"/>
      <c r="BW1187" s="1"/>
    </row>
    <row r="1188" spans="35:75">
      <c r="AI1188" s="1"/>
      <c r="AL1188" s="1"/>
      <c r="AO1188" s="1"/>
      <c r="AR1188" s="1"/>
      <c r="AZ1188" s="1"/>
      <c r="BC1188" s="1"/>
      <c r="BF1188" s="1"/>
      <c r="BI1188" s="1"/>
      <c r="BP1188" s="1"/>
      <c r="BS1188" s="1"/>
      <c r="BU1188" s="1"/>
      <c r="BW1188" s="1"/>
    </row>
    <row r="1189" spans="35:75">
      <c r="AI1189" s="1"/>
      <c r="AL1189" s="1"/>
      <c r="AO1189" s="1"/>
      <c r="AR1189" s="1"/>
      <c r="AZ1189" s="1"/>
      <c r="BC1189" s="1"/>
      <c r="BF1189" s="1"/>
      <c r="BI1189" s="1"/>
      <c r="BP1189" s="1"/>
      <c r="BS1189" s="1"/>
      <c r="BU1189" s="1"/>
      <c r="BW1189" s="1"/>
    </row>
    <row r="1190" spans="35:75">
      <c r="AI1190" s="1"/>
      <c r="AL1190" s="1"/>
      <c r="AO1190" s="1"/>
      <c r="AR1190" s="1"/>
      <c r="AZ1190" s="1"/>
      <c r="BC1190" s="1"/>
      <c r="BF1190" s="1"/>
      <c r="BI1190" s="1"/>
      <c r="BP1190" s="1"/>
      <c r="BS1190" s="1"/>
      <c r="BU1190" s="1"/>
      <c r="BW1190" s="1"/>
    </row>
    <row r="1191" spans="35:75">
      <c r="AI1191" s="1"/>
      <c r="AL1191" s="1"/>
      <c r="AO1191" s="1"/>
      <c r="AR1191" s="1"/>
      <c r="AZ1191" s="1"/>
      <c r="BC1191" s="1"/>
      <c r="BF1191" s="1"/>
      <c r="BI1191" s="1"/>
      <c r="BP1191" s="1"/>
      <c r="BS1191" s="1"/>
      <c r="BU1191" s="1"/>
      <c r="BW1191" s="1"/>
    </row>
    <row r="1192" spans="35:75">
      <c r="AI1192" s="1"/>
      <c r="AL1192" s="1"/>
      <c r="AO1192" s="1"/>
      <c r="AR1192" s="1"/>
      <c r="AZ1192" s="1"/>
      <c r="BC1192" s="1"/>
      <c r="BF1192" s="1"/>
      <c r="BI1192" s="1"/>
      <c r="BP1192" s="1"/>
      <c r="BS1192" s="1"/>
      <c r="BU1192" s="1"/>
      <c r="BW1192" s="1"/>
    </row>
    <row r="1193" spans="35:75">
      <c r="AI1193" s="1"/>
      <c r="AL1193" s="1"/>
      <c r="AO1193" s="1"/>
      <c r="AR1193" s="1"/>
      <c r="AZ1193" s="1"/>
      <c r="BC1193" s="1"/>
      <c r="BF1193" s="1"/>
      <c r="BI1193" s="1"/>
      <c r="BP1193" s="1"/>
      <c r="BS1193" s="1"/>
      <c r="BU1193" s="1"/>
      <c r="BW1193" s="1"/>
    </row>
    <row r="1194" spans="35:75">
      <c r="AI1194" s="1"/>
      <c r="AL1194" s="1"/>
      <c r="AO1194" s="1"/>
      <c r="AR1194" s="1"/>
      <c r="AZ1194" s="1"/>
      <c r="BC1194" s="1"/>
      <c r="BF1194" s="1"/>
      <c r="BI1194" s="1"/>
      <c r="BP1194" s="1"/>
      <c r="BS1194" s="1"/>
      <c r="BU1194" s="1"/>
      <c r="BW1194" s="1"/>
    </row>
    <row r="1195" spans="35:75">
      <c r="AI1195" s="1"/>
      <c r="AL1195" s="1"/>
      <c r="AO1195" s="1"/>
      <c r="AR1195" s="1"/>
      <c r="AZ1195" s="1"/>
      <c r="BC1195" s="1"/>
      <c r="BF1195" s="1"/>
      <c r="BI1195" s="1"/>
      <c r="BP1195" s="1"/>
      <c r="BS1195" s="1"/>
      <c r="BU1195" s="1"/>
      <c r="BW1195" s="1"/>
    </row>
    <row r="1196" spans="35:75">
      <c r="AI1196" s="1"/>
      <c r="AL1196" s="1"/>
      <c r="AO1196" s="1"/>
      <c r="AR1196" s="1"/>
      <c r="AZ1196" s="1"/>
      <c r="BC1196" s="1"/>
      <c r="BF1196" s="1"/>
      <c r="BI1196" s="1"/>
      <c r="BP1196" s="1"/>
      <c r="BS1196" s="1"/>
      <c r="BU1196" s="1"/>
      <c r="BW1196" s="1"/>
    </row>
    <row r="1197" spans="35:75">
      <c r="AI1197" s="1"/>
      <c r="AL1197" s="1"/>
      <c r="AO1197" s="1"/>
      <c r="AR1197" s="1"/>
      <c r="AZ1197" s="1"/>
      <c r="BC1197" s="1"/>
      <c r="BF1197" s="1"/>
      <c r="BI1197" s="1"/>
      <c r="BP1197" s="1"/>
      <c r="BS1197" s="1"/>
      <c r="BU1197" s="1"/>
      <c r="BW1197" s="1"/>
    </row>
    <row r="1198" spans="35:75">
      <c r="AI1198" s="1"/>
      <c r="AL1198" s="1"/>
      <c r="AO1198" s="1"/>
      <c r="AR1198" s="1"/>
      <c r="AZ1198" s="1"/>
      <c r="BC1198" s="1"/>
      <c r="BF1198" s="1"/>
      <c r="BI1198" s="1"/>
      <c r="BP1198" s="1"/>
      <c r="BS1198" s="1"/>
      <c r="BU1198" s="1"/>
      <c r="BW1198" s="1"/>
    </row>
    <row r="1199" spans="35:75">
      <c r="AI1199" s="1"/>
      <c r="AL1199" s="1"/>
      <c r="AO1199" s="1"/>
      <c r="AR1199" s="1"/>
      <c r="AZ1199" s="1"/>
      <c r="BC1199" s="1"/>
      <c r="BF1199" s="1"/>
      <c r="BI1199" s="1"/>
      <c r="BP1199" s="1"/>
      <c r="BS1199" s="1"/>
      <c r="BU1199" s="1"/>
      <c r="BW1199" s="1"/>
    </row>
    <row r="1200" spans="35:75">
      <c r="AI1200" s="1"/>
      <c r="AL1200" s="1"/>
      <c r="AO1200" s="1"/>
      <c r="AR1200" s="1"/>
      <c r="AZ1200" s="1"/>
      <c r="BC1200" s="1"/>
      <c r="BF1200" s="1"/>
      <c r="BI1200" s="1"/>
      <c r="BP1200" s="1"/>
      <c r="BS1200" s="1"/>
      <c r="BU1200" s="1"/>
      <c r="BW1200" s="1"/>
    </row>
    <row r="1201" spans="35:75">
      <c r="AI1201" s="1"/>
      <c r="AL1201" s="1"/>
      <c r="AO1201" s="1"/>
      <c r="AR1201" s="1"/>
      <c r="AZ1201" s="1"/>
      <c r="BC1201" s="1"/>
      <c r="BF1201" s="1"/>
      <c r="BI1201" s="1"/>
      <c r="BP1201" s="1"/>
      <c r="BS1201" s="1"/>
      <c r="BU1201" s="1"/>
      <c r="BW1201" s="1"/>
    </row>
    <row r="1202" spans="35:75">
      <c r="AI1202" s="1"/>
      <c r="AL1202" s="1"/>
      <c r="AO1202" s="1"/>
      <c r="AR1202" s="1"/>
      <c r="AZ1202" s="1"/>
      <c r="BC1202" s="1"/>
      <c r="BF1202" s="1"/>
      <c r="BI1202" s="1"/>
      <c r="BP1202" s="1"/>
      <c r="BS1202" s="1"/>
      <c r="BU1202" s="1"/>
      <c r="BW1202" s="1"/>
    </row>
    <row r="1203" spans="35:75">
      <c r="AI1203" s="1"/>
      <c r="AL1203" s="1"/>
      <c r="AO1203" s="1"/>
      <c r="AR1203" s="1"/>
      <c r="AZ1203" s="1"/>
      <c r="BC1203" s="1"/>
      <c r="BF1203" s="1"/>
      <c r="BI1203" s="1"/>
      <c r="BP1203" s="1"/>
      <c r="BS1203" s="1"/>
      <c r="BU1203" s="1"/>
      <c r="BW1203" s="1"/>
    </row>
    <row r="1204" spans="35:75">
      <c r="AI1204" s="1"/>
      <c r="AL1204" s="1"/>
      <c r="AO1204" s="1"/>
      <c r="AR1204" s="1"/>
      <c r="AZ1204" s="1"/>
      <c r="BC1204" s="1"/>
      <c r="BF1204" s="1"/>
      <c r="BI1204" s="1"/>
      <c r="BP1204" s="1"/>
      <c r="BS1204" s="1"/>
      <c r="BU1204" s="1"/>
      <c r="BW1204" s="1"/>
    </row>
    <row r="1205" spans="35:75">
      <c r="AI1205" s="1"/>
      <c r="AL1205" s="1"/>
      <c r="AO1205" s="1"/>
      <c r="AR1205" s="1"/>
      <c r="AZ1205" s="1"/>
      <c r="BC1205" s="1"/>
      <c r="BF1205" s="1"/>
      <c r="BI1205" s="1"/>
      <c r="BP1205" s="1"/>
      <c r="BS1205" s="1"/>
      <c r="BU1205" s="1"/>
      <c r="BW1205" s="1"/>
    </row>
    <row r="1206" spans="35:75">
      <c r="AI1206" s="1"/>
      <c r="AL1206" s="1"/>
      <c r="AO1206" s="1"/>
      <c r="AR1206" s="1"/>
      <c r="AZ1206" s="1"/>
      <c r="BC1206" s="1"/>
      <c r="BF1206" s="1"/>
      <c r="BI1206" s="1"/>
      <c r="BP1206" s="1"/>
      <c r="BS1206" s="1"/>
      <c r="BU1206" s="1"/>
      <c r="BW1206" s="1"/>
    </row>
    <row r="1207" spans="35:75">
      <c r="AI1207" s="1"/>
      <c r="AL1207" s="1"/>
      <c r="AO1207" s="1"/>
      <c r="AR1207" s="1"/>
      <c r="AZ1207" s="1"/>
      <c r="BC1207" s="1"/>
      <c r="BF1207" s="1"/>
      <c r="BI1207" s="1"/>
      <c r="BP1207" s="1"/>
      <c r="BS1207" s="1"/>
      <c r="BU1207" s="1"/>
      <c r="BW1207" s="1"/>
    </row>
    <row r="1208" spans="35:75">
      <c r="AI1208" s="1"/>
      <c r="AL1208" s="1"/>
      <c r="AO1208" s="1"/>
      <c r="AR1208" s="1"/>
      <c r="AZ1208" s="1"/>
      <c r="BC1208" s="1"/>
      <c r="BF1208" s="1"/>
      <c r="BI1208" s="1"/>
      <c r="BP1208" s="1"/>
      <c r="BS1208" s="1"/>
      <c r="BU1208" s="1"/>
      <c r="BW1208" s="1"/>
    </row>
    <row r="1209" spans="35:75">
      <c r="AI1209" s="1"/>
      <c r="AL1209" s="1"/>
      <c r="AO1209" s="1"/>
      <c r="AR1209" s="1"/>
      <c r="AZ1209" s="1"/>
      <c r="BC1209" s="1"/>
      <c r="BF1209" s="1"/>
      <c r="BI1209" s="1"/>
      <c r="BP1209" s="1"/>
      <c r="BS1209" s="1"/>
      <c r="BU1209" s="1"/>
      <c r="BW1209" s="1"/>
    </row>
    <row r="1210" spans="35:75">
      <c r="AI1210" s="1"/>
      <c r="AL1210" s="1"/>
      <c r="AO1210" s="1"/>
      <c r="AR1210" s="1"/>
      <c r="AZ1210" s="1"/>
      <c r="BC1210" s="1"/>
      <c r="BF1210" s="1"/>
      <c r="BI1210" s="1"/>
      <c r="BP1210" s="1"/>
      <c r="BS1210" s="1"/>
      <c r="BU1210" s="1"/>
      <c r="BW1210" s="1"/>
    </row>
    <row r="1211" spans="35:75">
      <c r="AI1211" s="1"/>
      <c r="AL1211" s="1"/>
      <c r="AO1211" s="1"/>
      <c r="AR1211" s="1"/>
      <c r="AZ1211" s="1"/>
      <c r="BC1211" s="1"/>
      <c r="BF1211" s="1"/>
      <c r="BI1211" s="1"/>
      <c r="BP1211" s="1"/>
      <c r="BS1211" s="1"/>
      <c r="BU1211" s="1"/>
      <c r="BW1211" s="1"/>
    </row>
    <row r="1212" spans="35:75">
      <c r="AI1212" s="1"/>
      <c r="AL1212" s="1"/>
      <c r="AO1212" s="1"/>
      <c r="AR1212" s="1"/>
      <c r="AZ1212" s="1"/>
      <c r="BC1212" s="1"/>
      <c r="BF1212" s="1"/>
      <c r="BI1212" s="1"/>
      <c r="BP1212" s="1"/>
      <c r="BS1212" s="1"/>
      <c r="BU1212" s="1"/>
      <c r="BW1212" s="1"/>
    </row>
    <row r="1213" spans="35:75">
      <c r="AI1213" s="1"/>
      <c r="AL1213" s="1"/>
      <c r="AO1213" s="1"/>
      <c r="AR1213" s="1"/>
      <c r="AZ1213" s="1"/>
      <c r="BC1213" s="1"/>
      <c r="BF1213" s="1"/>
      <c r="BI1213" s="1"/>
      <c r="BP1213" s="1"/>
      <c r="BS1213" s="1"/>
      <c r="BU1213" s="1"/>
      <c r="BW1213" s="1"/>
    </row>
    <row r="1214" spans="35:75">
      <c r="AI1214" s="1"/>
      <c r="AL1214" s="1"/>
      <c r="AO1214" s="1"/>
      <c r="AR1214" s="1"/>
      <c r="AZ1214" s="1"/>
      <c r="BC1214" s="1"/>
      <c r="BF1214" s="1"/>
      <c r="BI1214" s="1"/>
      <c r="BP1214" s="1"/>
      <c r="BS1214" s="1"/>
      <c r="BU1214" s="1"/>
      <c r="BW1214" s="1"/>
    </row>
    <row r="1215" spans="35:75">
      <c r="AI1215" s="1"/>
      <c r="AL1215" s="1"/>
      <c r="AO1215" s="1"/>
      <c r="AR1215" s="1"/>
      <c r="AZ1215" s="1"/>
      <c r="BC1215" s="1"/>
      <c r="BF1215" s="1"/>
      <c r="BI1215" s="1"/>
      <c r="BP1215" s="1"/>
      <c r="BS1215" s="1"/>
      <c r="BU1215" s="1"/>
      <c r="BW1215" s="1"/>
    </row>
    <row r="1216" spans="35:75">
      <c r="AI1216" s="1"/>
      <c r="AL1216" s="1"/>
      <c r="AO1216" s="1"/>
      <c r="AR1216" s="1"/>
      <c r="AZ1216" s="1"/>
      <c r="BC1216" s="1"/>
      <c r="BF1216" s="1"/>
      <c r="BI1216" s="1"/>
      <c r="BP1216" s="1"/>
      <c r="BS1216" s="1"/>
      <c r="BU1216" s="1"/>
      <c r="BW1216" s="1"/>
    </row>
    <row r="1217" spans="35:75">
      <c r="AI1217" s="1"/>
      <c r="AL1217" s="1"/>
      <c r="AO1217" s="1"/>
      <c r="AR1217" s="1"/>
      <c r="AZ1217" s="1"/>
      <c r="BC1217" s="1"/>
      <c r="BF1217" s="1"/>
      <c r="BI1217" s="1"/>
      <c r="BP1217" s="1"/>
      <c r="BS1217" s="1"/>
      <c r="BU1217" s="1"/>
      <c r="BW1217" s="1"/>
    </row>
    <row r="1218" spans="35:75">
      <c r="AI1218" s="1"/>
      <c r="AL1218" s="1"/>
      <c r="AO1218" s="1"/>
      <c r="AR1218" s="1"/>
      <c r="AZ1218" s="1"/>
      <c r="BC1218" s="1"/>
      <c r="BF1218" s="1"/>
      <c r="BI1218" s="1"/>
      <c r="BP1218" s="1"/>
      <c r="BS1218" s="1"/>
      <c r="BU1218" s="1"/>
      <c r="BW1218" s="1"/>
    </row>
    <row r="1219" spans="35:75">
      <c r="AI1219" s="1"/>
      <c r="AL1219" s="1"/>
      <c r="AO1219" s="1"/>
      <c r="AR1219" s="1"/>
      <c r="AZ1219" s="1"/>
      <c r="BC1219" s="1"/>
      <c r="BF1219" s="1"/>
      <c r="BI1219" s="1"/>
      <c r="BP1219" s="1"/>
      <c r="BS1219" s="1"/>
      <c r="BU1219" s="1"/>
      <c r="BW1219" s="1"/>
    </row>
    <row r="1220" spans="35:75">
      <c r="AI1220" s="1"/>
      <c r="AL1220" s="1"/>
      <c r="AO1220" s="1"/>
      <c r="AR1220" s="1"/>
      <c r="AZ1220" s="1"/>
      <c r="BC1220" s="1"/>
      <c r="BF1220" s="1"/>
      <c r="BI1220" s="1"/>
      <c r="BP1220" s="1"/>
      <c r="BS1220" s="1"/>
      <c r="BU1220" s="1"/>
      <c r="BW1220" s="1"/>
    </row>
    <row r="1221" spans="35:75">
      <c r="AI1221" s="1"/>
      <c r="AL1221" s="1"/>
      <c r="AO1221" s="1"/>
      <c r="AR1221" s="1"/>
      <c r="AZ1221" s="1"/>
      <c r="BC1221" s="1"/>
      <c r="BF1221" s="1"/>
      <c r="BI1221" s="1"/>
      <c r="BP1221" s="1"/>
      <c r="BS1221" s="1"/>
      <c r="BU1221" s="1"/>
      <c r="BW1221" s="1"/>
    </row>
    <row r="1222" spans="35:75">
      <c r="AI1222" s="1"/>
      <c r="AL1222" s="1"/>
      <c r="AO1222" s="1"/>
      <c r="AR1222" s="1"/>
      <c r="AZ1222" s="1"/>
      <c r="BC1222" s="1"/>
      <c r="BF1222" s="1"/>
      <c r="BI1222" s="1"/>
      <c r="BP1222" s="1"/>
      <c r="BS1222" s="1"/>
      <c r="BU1222" s="1"/>
      <c r="BW1222" s="1"/>
    </row>
    <row r="1223" spans="35:75">
      <c r="AI1223" s="1"/>
      <c r="AL1223" s="1"/>
      <c r="AO1223" s="1"/>
      <c r="AR1223" s="1"/>
      <c r="AZ1223" s="1"/>
      <c r="BC1223" s="1"/>
      <c r="BF1223" s="1"/>
      <c r="BI1223" s="1"/>
      <c r="BP1223" s="1"/>
      <c r="BS1223" s="1"/>
      <c r="BU1223" s="1"/>
      <c r="BW1223" s="1"/>
    </row>
    <row r="1224" spans="35:75">
      <c r="AI1224" s="1"/>
      <c r="AL1224" s="1"/>
      <c r="AO1224" s="1"/>
      <c r="AR1224" s="1"/>
      <c r="AZ1224" s="1"/>
      <c r="BC1224" s="1"/>
      <c r="BF1224" s="1"/>
      <c r="BI1224" s="1"/>
      <c r="BP1224" s="1"/>
      <c r="BS1224" s="1"/>
      <c r="BU1224" s="1"/>
      <c r="BW1224" s="1"/>
    </row>
    <row r="1225" spans="35:75">
      <c r="AI1225" s="1"/>
      <c r="AL1225" s="1"/>
      <c r="AO1225" s="1"/>
      <c r="AR1225" s="1"/>
      <c r="AZ1225" s="1"/>
      <c r="BC1225" s="1"/>
      <c r="BF1225" s="1"/>
      <c r="BI1225" s="1"/>
      <c r="BP1225" s="1"/>
      <c r="BS1225" s="1"/>
      <c r="BU1225" s="1"/>
      <c r="BW1225" s="1"/>
    </row>
    <row r="1226" spans="35:75">
      <c r="AI1226" s="1"/>
      <c r="AL1226" s="1"/>
      <c r="AO1226" s="1"/>
      <c r="AR1226" s="1"/>
      <c r="AZ1226" s="1"/>
      <c r="BC1226" s="1"/>
      <c r="BF1226" s="1"/>
      <c r="BI1226" s="1"/>
      <c r="BP1226" s="1"/>
      <c r="BS1226" s="1"/>
      <c r="BU1226" s="1"/>
      <c r="BW1226" s="1"/>
    </row>
    <row r="1227" spans="35:75">
      <c r="AI1227" s="1"/>
      <c r="AL1227" s="1"/>
      <c r="AO1227" s="1"/>
      <c r="AR1227" s="1"/>
      <c r="AZ1227" s="1"/>
      <c r="BC1227" s="1"/>
      <c r="BF1227" s="1"/>
      <c r="BI1227" s="1"/>
      <c r="BP1227" s="1"/>
      <c r="BS1227" s="1"/>
      <c r="BU1227" s="1"/>
      <c r="BW1227" s="1"/>
    </row>
    <row r="1228" spans="35:75">
      <c r="AI1228" s="1"/>
      <c r="AL1228" s="1"/>
      <c r="AO1228" s="1"/>
      <c r="AR1228" s="1"/>
      <c r="AZ1228" s="1"/>
      <c r="BC1228" s="1"/>
      <c r="BF1228" s="1"/>
      <c r="BI1228" s="1"/>
      <c r="BP1228" s="1"/>
      <c r="BS1228" s="1"/>
      <c r="BU1228" s="1"/>
      <c r="BW1228" s="1"/>
    </row>
    <row r="1229" spans="35:75">
      <c r="AI1229" s="1"/>
      <c r="AL1229" s="1"/>
      <c r="AO1229" s="1"/>
      <c r="AR1229" s="1"/>
      <c r="AZ1229" s="1"/>
      <c r="BC1229" s="1"/>
      <c r="BF1229" s="1"/>
      <c r="BI1229" s="1"/>
      <c r="BP1229" s="1"/>
      <c r="BS1229" s="1"/>
      <c r="BU1229" s="1"/>
      <c r="BW1229" s="1"/>
    </row>
    <row r="1230" spans="35:75">
      <c r="AI1230" s="1"/>
      <c r="AL1230" s="1"/>
      <c r="AO1230" s="1"/>
      <c r="AR1230" s="1"/>
      <c r="AZ1230" s="1"/>
      <c r="BC1230" s="1"/>
      <c r="BF1230" s="1"/>
      <c r="BI1230" s="1"/>
      <c r="BP1230" s="1"/>
      <c r="BS1230" s="1"/>
      <c r="BU1230" s="1"/>
      <c r="BW1230" s="1"/>
    </row>
    <row r="1231" spans="35:75">
      <c r="AI1231" s="1"/>
      <c r="AL1231" s="1"/>
      <c r="AO1231" s="1"/>
      <c r="AR1231" s="1"/>
      <c r="AZ1231" s="1"/>
      <c r="BC1231" s="1"/>
      <c r="BF1231" s="1"/>
      <c r="BI1231" s="1"/>
      <c r="BP1231" s="1"/>
      <c r="BS1231" s="1"/>
      <c r="BU1231" s="1"/>
      <c r="BW1231" s="1"/>
    </row>
    <row r="1232" spans="35:75">
      <c r="AI1232" s="1"/>
      <c r="AL1232" s="1"/>
      <c r="AO1232" s="1"/>
      <c r="AR1232" s="1"/>
      <c r="AZ1232" s="1"/>
      <c r="BC1232" s="1"/>
      <c r="BF1232" s="1"/>
      <c r="BI1232" s="1"/>
      <c r="BP1232" s="1"/>
      <c r="BS1232" s="1"/>
      <c r="BU1232" s="1"/>
      <c r="BW1232" s="1"/>
    </row>
    <row r="1233" spans="35:75">
      <c r="AI1233" s="1"/>
      <c r="AL1233" s="1"/>
      <c r="AO1233" s="1"/>
      <c r="AR1233" s="1"/>
      <c r="AZ1233" s="1"/>
      <c r="BC1233" s="1"/>
      <c r="BF1233" s="1"/>
      <c r="BI1233" s="1"/>
      <c r="BP1233" s="1"/>
      <c r="BS1233" s="1"/>
      <c r="BU1233" s="1"/>
      <c r="BW1233" s="1"/>
    </row>
    <row r="1234" spans="35:75">
      <c r="AI1234" s="1"/>
      <c r="AL1234" s="1"/>
      <c r="AO1234" s="1"/>
      <c r="AR1234" s="1"/>
      <c r="AZ1234" s="1"/>
      <c r="BC1234" s="1"/>
      <c r="BF1234" s="1"/>
      <c r="BI1234" s="1"/>
      <c r="BP1234" s="1"/>
      <c r="BS1234" s="1"/>
      <c r="BU1234" s="1"/>
      <c r="BW1234" s="1"/>
    </row>
    <row r="1235" spans="35:75">
      <c r="AI1235" s="1"/>
      <c r="AL1235" s="1"/>
      <c r="AO1235" s="1"/>
      <c r="AR1235" s="1"/>
      <c r="AZ1235" s="1"/>
      <c r="BC1235" s="1"/>
      <c r="BF1235" s="1"/>
      <c r="BI1235" s="1"/>
      <c r="BP1235" s="1"/>
      <c r="BS1235" s="1"/>
      <c r="BU1235" s="1"/>
      <c r="BW1235" s="1"/>
    </row>
    <row r="1236" spans="35:75">
      <c r="AI1236" s="1"/>
      <c r="AL1236" s="1"/>
      <c r="AO1236" s="1"/>
      <c r="AR1236" s="1"/>
      <c r="AZ1236" s="1"/>
      <c r="BC1236" s="1"/>
      <c r="BF1236" s="1"/>
      <c r="BI1236" s="1"/>
      <c r="BP1236" s="1"/>
      <c r="BS1236" s="1"/>
      <c r="BU1236" s="1"/>
      <c r="BW1236" s="1"/>
    </row>
    <row r="1237" spans="35:75">
      <c r="AI1237" s="1"/>
      <c r="AL1237" s="1"/>
      <c r="AO1237" s="1"/>
      <c r="AR1237" s="1"/>
      <c r="AZ1237" s="1"/>
      <c r="BC1237" s="1"/>
      <c r="BF1237" s="1"/>
      <c r="BI1237" s="1"/>
      <c r="BP1237" s="1"/>
      <c r="BS1237" s="1"/>
      <c r="BU1237" s="1"/>
      <c r="BW1237" s="1"/>
    </row>
    <row r="1238" spans="35:75">
      <c r="AI1238" s="1"/>
      <c r="AL1238" s="1"/>
      <c r="AO1238" s="1"/>
      <c r="AR1238" s="1"/>
      <c r="AZ1238" s="1"/>
      <c r="BC1238" s="1"/>
      <c r="BF1238" s="1"/>
      <c r="BI1238" s="1"/>
      <c r="BP1238" s="1"/>
      <c r="BS1238" s="1"/>
      <c r="BU1238" s="1"/>
      <c r="BW1238" s="1"/>
    </row>
    <row r="1239" spans="35:75">
      <c r="AI1239" s="1"/>
      <c r="AL1239" s="1"/>
      <c r="AO1239" s="1"/>
      <c r="AR1239" s="1"/>
      <c r="AZ1239" s="1"/>
      <c r="BC1239" s="1"/>
      <c r="BF1239" s="1"/>
      <c r="BI1239" s="1"/>
      <c r="BP1239" s="1"/>
      <c r="BS1239" s="1"/>
      <c r="BU1239" s="1"/>
      <c r="BW1239" s="1"/>
    </row>
    <row r="1240" spans="35:75">
      <c r="AI1240" s="1"/>
      <c r="AL1240" s="1"/>
      <c r="AO1240" s="1"/>
      <c r="AR1240" s="1"/>
      <c r="AZ1240" s="1"/>
      <c r="BC1240" s="1"/>
      <c r="BF1240" s="1"/>
      <c r="BI1240" s="1"/>
      <c r="BP1240" s="1"/>
      <c r="BS1240" s="1"/>
      <c r="BU1240" s="1"/>
      <c r="BW1240" s="1"/>
    </row>
    <row r="1241" spans="35:75">
      <c r="AI1241" s="1"/>
      <c r="AL1241" s="1"/>
      <c r="AO1241" s="1"/>
      <c r="AR1241" s="1"/>
      <c r="AZ1241" s="1"/>
      <c r="BC1241" s="1"/>
      <c r="BF1241" s="1"/>
      <c r="BI1241" s="1"/>
      <c r="BP1241" s="1"/>
      <c r="BS1241" s="1"/>
      <c r="BU1241" s="1"/>
      <c r="BW1241" s="1"/>
    </row>
    <row r="1242" spans="35:75">
      <c r="AI1242" s="1"/>
      <c r="AL1242" s="1"/>
      <c r="AO1242" s="1"/>
      <c r="AR1242" s="1"/>
      <c r="AZ1242" s="1"/>
      <c r="BC1242" s="1"/>
      <c r="BF1242" s="1"/>
      <c r="BI1242" s="1"/>
      <c r="BP1242" s="1"/>
      <c r="BS1242" s="1"/>
      <c r="BU1242" s="1"/>
      <c r="BW1242" s="1"/>
    </row>
    <row r="1243" spans="35:75">
      <c r="AI1243" s="1"/>
      <c r="AL1243" s="1"/>
      <c r="AO1243" s="1"/>
      <c r="AR1243" s="1"/>
      <c r="AZ1243" s="1"/>
      <c r="BC1243" s="1"/>
      <c r="BF1243" s="1"/>
      <c r="BI1243" s="1"/>
      <c r="BP1243" s="1"/>
      <c r="BS1243" s="1"/>
      <c r="BU1243" s="1"/>
      <c r="BW1243" s="1"/>
    </row>
    <row r="1244" spans="35:75">
      <c r="AI1244" s="1"/>
      <c r="AL1244" s="1"/>
      <c r="AO1244" s="1"/>
      <c r="AR1244" s="1"/>
      <c r="AZ1244" s="1"/>
      <c r="BC1244" s="1"/>
      <c r="BF1244" s="1"/>
      <c r="BI1244" s="1"/>
      <c r="BP1244" s="1"/>
      <c r="BS1244" s="1"/>
      <c r="BU1244" s="1"/>
      <c r="BW1244" s="1"/>
    </row>
    <row r="1245" spans="35:75">
      <c r="AI1245" s="1"/>
      <c r="AL1245" s="1"/>
      <c r="AO1245" s="1"/>
      <c r="AR1245" s="1"/>
      <c r="AZ1245" s="1"/>
      <c r="BC1245" s="1"/>
      <c r="BF1245" s="1"/>
      <c r="BI1245" s="1"/>
      <c r="BP1245" s="1"/>
      <c r="BS1245" s="1"/>
      <c r="BU1245" s="1"/>
      <c r="BW1245" s="1"/>
    </row>
    <row r="1246" spans="35:75">
      <c r="AI1246" s="1"/>
      <c r="AL1246" s="1"/>
      <c r="AO1246" s="1"/>
      <c r="AR1246" s="1"/>
      <c r="AZ1246" s="1"/>
      <c r="BC1246" s="1"/>
      <c r="BF1246" s="1"/>
      <c r="BI1246" s="1"/>
      <c r="BP1246" s="1"/>
      <c r="BS1246" s="1"/>
      <c r="BU1246" s="1"/>
      <c r="BW1246" s="1"/>
    </row>
    <row r="1247" spans="35:75">
      <c r="AI1247" s="1"/>
      <c r="AL1247" s="1"/>
      <c r="AO1247" s="1"/>
      <c r="AR1247" s="1"/>
      <c r="AZ1247" s="1"/>
      <c r="BC1247" s="1"/>
      <c r="BF1247" s="1"/>
      <c r="BI1247" s="1"/>
      <c r="BP1247" s="1"/>
      <c r="BS1247" s="1"/>
      <c r="BU1247" s="1"/>
      <c r="BW1247" s="1"/>
    </row>
    <row r="1248" spans="35:75">
      <c r="AI1248" s="1"/>
      <c r="AL1248" s="1"/>
      <c r="AO1248" s="1"/>
      <c r="AR1248" s="1"/>
      <c r="AZ1248" s="1"/>
      <c r="BC1248" s="1"/>
      <c r="BF1248" s="1"/>
      <c r="BI1248" s="1"/>
      <c r="BP1248" s="1"/>
      <c r="BS1248" s="1"/>
      <c r="BU1248" s="1"/>
      <c r="BW1248" s="1"/>
    </row>
    <row r="1249" spans="35:75">
      <c r="AI1249" s="1"/>
      <c r="AL1249" s="1"/>
      <c r="AO1249" s="1"/>
      <c r="AR1249" s="1"/>
      <c r="AZ1249" s="1"/>
      <c r="BC1249" s="1"/>
      <c r="BF1249" s="1"/>
      <c r="BI1249" s="1"/>
      <c r="BP1249" s="1"/>
      <c r="BS1249" s="1"/>
      <c r="BU1249" s="1"/>
      <c r="BW1249" s="1"/>
    </row>
    <row r="1250" spans="35:75">
      <c r="AI1250" s="1"/>
      <c r="AL1250" s="1"/>
      <c r="AO1250" s="1"/>
      <c r="AR1250" s="1"/>
      <c r="AZ1250" s="1"/>
      <c r="BC1250" s="1"/>
      <c r="BF1250" s="1"/>
      <c r="BI1250" s="1"/>
      <c r="BP1250" s="1"/>
      <c r="BS1250" s="1"/>
      <c r="BU1250" s="1"/>
      <c r="BW1250" s="1"/>
    </row>
    <row r="1251" spans="35:75">
      <c r="AI1251" s="1"/>
      <c r="AL1251" s="1"/>
      <c r="AO1251" s="1"/>
      <c r="AR1251" s="1"/>
      <c r="AZ1251" s="1"/>
      <c r="BC1251" s="1"/>
      <c r="BF1251" s="1"/>
      <c r="BI1251" s="1"/>
      <c r="BP1251" s="1"/>
      <c r="BS1251" s="1"/>
      <c r="BU1251" s="1"/>
      <c r="BW1251" s="1"/>
    </row>
    <row r="1252" spans="35:75">
      <c r="AI1252" s="1"/>
      <c r="AL1252" s="1"/>
      <c r="AO1252" s="1"/>
      <c r="AR1252" s="1"/>
      <c r="AZ1252" s="1"/>
      <c r="BC1252" s="1"/>
      <c r="BF1252" s="1"/>
      <c r="BI1252" s="1"/>
      <c r="BP1252" s="1"/>
      <c r="BS1252" s="1"/>
      <c r="BU1252" s="1"/>
      <c r="BW1252" s="1"/>
    </row>
    <row r="1253" spans="35:75">
      <c r="AI1253" s="1"/>
      <c r="AL1253" s="1"/>
      <c r="AO1253" s="1"/>
      <c r="AR1253" s="1"/>
      <c r="AZ1253" s="1"/>
      <c r="BC1253" s="1"/>
      <c r="BF1253" s="1"/>
      <c r="BI1253" s="1"/>
      <c r="BP1253" s="1"/>
      <c r="BS1253" s="1"/>
      <c r="BU1253" s="1"/>
      <c r="BW1253" s="1"/>
    </row>
    <row r="1254" spans="35:75">
      <c r="AI1254" s="1"/>
      <c r="AL1254" s="1"/>
      <c r="AO1254" s="1"/>
      <c r="AR1254" s="1"/>
      <c r="AZ1254" s="1"/>
      <c r="BC1254" s="1"/>
      <c r="BF1254" s="1"/>
      <c r="BI1254" s="1"/>
      <c r="BP1254" s="1"/>
      <c r="BS1254" s="1"/>
      <c r="BU1254" s="1"/>
      <c r="BW1254" s="1"/>
    </row>
    <row r="1255" spans="35:75">
      <c r="AI1255" s="1"/>
      <c r="AL1255" s="1"/>
      <c r="AO1255" s="1"/>
      <c r="AR1255" s="1"/>
      <c r="AZ1255" s="1"/>
      <c r="BC1255" s="1"/>
      <c r="BF1255" s="1"/>
      <c r="BI1255" s="1"/>
      <c r="BP1255" s="1"/>
      <c r="BS1255" s="1"/>
      <c r="BU1255" s="1"/>
      <c r="BW1255" s="1"/>
    </row>
    <row r="1256" spans="35:75">
      <c r="AI1256" s="1"/>
      <c r="AL1256" s="1"/>
      <c r="AO1256" s="1"/>
      <c r="AR1256" s="1"/>
      <c r="AZ1256" s="1"/>
      <c r="BC1256" s="1"/>
      <c r="BF1256" s="1"/>
      <c r="BI1256" s="1"/>
      <c r="BP1256" s="1"/>
      <c r="BS1256" s="1"/>
      <c r="BU1256" s="1"/>
      <c r="BW1256" s="1"/>
    </row>
    <row r="1257" spans="35:75">
      <c r="AI1257" s="1"/>
      <c r="AL1257" s="1"/>
      <c r="AO1257" s="1"/>
      <c r="AR1257" s="1"/>
      <c r="AZ1257" s="1"/>
      <c r="BC1257" s="1"/>
      <c r="BF1257" s="1"/>
      <c r="BI1257" s="1"/>
      <c r="BP1257" s="1"/>
      <c r="BS1257" s="1"/>
      <c r="BU1257" s="1"/>
      <c r="BW1257" s="1"/>
    </row>
    <row r="1258" spans="35:75">
      <c r="AI1258" s="1"/>
      <c r="AL1258" s="1"/>
      <c r="AO1258" s="1"/>
      <c r="AR1258" s="1"/>
      <c r="AZ1258" s="1"/>
      <c r="BC1258" s="1"/>
      <c r="BF1258" s="1"/>
      <c r="BI1258" s="1"/>
      <c r="BP1258" s="1"/>
      <c r="BS1258" s="1"/>
      <c r="BU1258" s="1"/>
      <c r="BW1258" s="1"/>
    </row>
    <row r="1259" spans="35:75">
      <c r="AI1259" s="1"/>
      <c r="AL1259" s="1"/>
      <c r="AO1259" s="1"/>
      <c r="AR1259" s="1"/>
      <c r="AZ1259" s="1"/>
      <c r="BC1259" s="1"/>
      <c r="BF1259" s="1"/>
      <c r="BI1259" s="1"/>
      <c r="BP1259" s="1"/>
      <c r="BS1259" s="1"/>
      <c r="BU1259" s="1"/>
      <c r="BW1259" s="1"/>
    </row>
    <row r="1260" spans="35:75">
      <c r="AI1260" s="1"/>
      <c r="AL1260" s="1"/>
      <c r="AO1260" s="1"/>
      <c r="AR1260" s="1"/>
      <c r="AZ1260" s="1"/>
      <c r="BC1260" s="1"/>
      <c r="BF1260" s="1"/>
      <c r="BI1260" s="1"/>
      <c r="BP1260" s="1"/>
      <c r="BS1260" s="1"/>
      <c r="BU1260" s="1"/>
      <c r="BW1260" s="1"/>
    </row>
    <row r="1261" spans="35:75">
      <c r="AI1261" s="1"/>
      <c r="AL1261" s="1"/>
      <c r="AO1261" s="1"/>
      <c r="AR1261" s="1"/>
      <c r="AZ1261" s="1"/>
      <c r="BC1261" s="1"/>
      <c r="BF1261" s="1"/>
      <c r="BI1261" s="1"/>
      <c r="BP1261" s="1"/>
      <c r="BS1261" s="1"/>
      <c r="BU1261" s="1"/>
      <c r="BW1261" s="1"/>
    </row>
    <row r="1262" spans="35:75">
      <c r="AI1262" s="1"/>
      <c r="AL1262" s="1"/>
      <c r="AO1262" s="1"/>
      <c r="AR1262" s="1"/>
      <c r="AZ1262" s="1"/>
      <c r="BC1262" s="1"/>
      <c r="BF1262" s="1"/>
      <c r="BI1262" s="1"/>
      <c r="BP1262" s="1"/>
      <c r="BS1262" s="1"/>
      <c r="BU1262" s="1"/>
      <c r="BW1262" s="1"/>
    </row>
    <row r="1263" spans="35:75">
      <c r="AI1263" s="1"/>
      <c r="AL1263" s="1"/>
      <c r="AO1263" s="1"/>
      <c r="AR1263" s="1"/>
      <c r="AZ1263" s="1"/>
      <c r="BC1263" s="1"/>
      <c r="BF1263" s="1"/>
      <c r="BI1263" s="1"/>
      <c r="BP1263" s="1"/>
      <c r="BS1263" s="1"/>
      <c r="BU1263" s="1"/>
      <c r="BW1263" s="1"/>
    </row>
    <row r="1264" spans="35:75">
      <c r="AI1264" s="1"/>
      <c r="AL1264" s="1"/>
      <c r="AO1264" s="1"/>
      <c r="AR1264" s="1"/>
      <c r="AZ1264" s="1"/>
      <c r="BC1264" s="1"/>
      <c r="BF1264" s="1"/>
      <c r="BI1264" s="1"/>
      <c r="BP1264" s="1"/>
      <c r="BS1264" s="1"/>
      <c r="BU1264" s="1"/>
      <c r="BW1264" s="1"/>
    </row>
    <row r="1265" spans="35:75">
      <c r="AI1265" s="1"/>
      <c r="AL1265" s="1"/>
      <c r="AO1265" s="1"/>
      <c r="AR1265" s="1"/>
      <c r="AZ1265" s="1"/>
      <c r="BC1265" s="1"/>
      <c r="BF1265" s="1"/>
      <c r="BI1265" s="1"/>
      <c r="BP1265" s="1"/>
      <c r="BS1265" s="1"/>
      <c r="BU1265" s="1"/>
      <c r="BW1265" s="1"/>
    </row>
    <row r="1266" spans="35:75">
      <c r="AI1266" s="1"/>
      <c r="AL1266" s="1"/>
      <c r="AO1266" s="1"/>
      <c r="AR1266" s="1"/>
      <c r="AZ1266" s="1"/>
      <c r="BC1266" s="1"/>
      <c r="BF1266" s="1"/>
      <c r="BI1266" s="1"/>
      <c r="BP1266" s="1"/>
      <c r="BS1266" s="1"/>
      <c r="BU1266" s="1"/>
      <c r="BW1266" s="1"/>
    </row>
    <row r="1267" spans="35:75">
      <c r="AI1267" s="1"/>
      <c r="AL1267" s="1"/>
      <c r="AO1267" s="1"/>
      <c r="AR1267" s="1"/>
      <c r="AZ1267" s="1"/>
      <c r="BC1267" s="1"/>
      <c r="BF1267" s="1"/>
      <c r="BI1267" s="1"/>
      <c r="BP1267" s="1"/>
      <c r="BS1267" s="1"/>
      <c r="BU1267" s="1"/>
      <c r="BW1267" s="1"/>
    </row>
    <row r="1268" spans="35:75">
      <c r="AI1268" s="1"/>
      <c r="AL1268" s="1"/>
      <c r="AO1268" s="1"/>
      <c r="AR1268" s="1"/>
      <c r="AZ1268" s="1"/>
      <c r="BC1268" s="1"/>
      <c r="BF1268" s="1"/>
      <c r="BI1268" s="1"/>
      <c r="BP1268" s="1"/>
      <c r="BS1268" s="1"/>
      <c r="BU1268" s="1"/>
      <c r="BW1268" s="1"/>
    </row>
    <row r="1269" spans="35:75">
      <c r="AI1269" s="1"/>
      <c r="AL1269" s="1"/>
      <c r="AO1269" s="1"/>
      <c r="AR1269" s="1"/>
      <c r="AZ1269" s="1"/>
      <c r="BC1269" s="1"/>
      <c r="BF1269" s="1"/>
      <c r="BI1269" s="1"/>
      <c r="BP1269" s="1"/>
      <c r="BS1269" s="1"/>
      <c r="BU1269" s="1"/>
      <c r="BW1269" s="1"/>
    </row>
    <row r="1270" spans="35:75">
      <c r="AI1270" s="1"/>
      <c r="AL1270" s="1"/>
      <c r="AO1270" s="1"/>
      <c r="AR1270" s="1"/>
      <c r="AZ1270" s="1"/>
      <c r="BC1270" s="1"/>
      <c r="BF1270" s="1"/>
      <c r="BI1270" s="1"/>
      <c r="BP1270" s="1"/>
      <c r="BS1270" s="1"/>
      <c r="BU1270" s="1"/>
      <c r="BW1270" s="1"/>
    </row>
    <row r="1271" spans="35:75">
      <c r="AI1271" s="1"/>
      <c r="AL1271" s="1"/>
      <c r="AO1271" s="1"/>
      <c r="AR1271" s="1"/>
      <c r="AZ1271" s="1"/>
      <c r="BC1271" s="1"/>
      <c r="BF1271" s="1"/>
      <c r="BI1271" s="1"/>
      <c r="BP1271" s="1"/>
      <c r="BS1271" s="1"/>
      <c r="BU1271" s="1"/>
      <c r="BW1271" s="1"/>
    </row>
    <row r="1272" spans="35:75">
      <c r="AI1272" s="1"/>
      <c r="AL1272" s="1"/>
      <c r="AO1272" s="1"/>
      <c r="AR1272" s="1"/>
      <c r="AZ1272" s="1"/>
      <c r="BC1272" s="1"/>
      <c r="BF1272" s="1"/>
      <c r="BI1272" s="1"/>
      <c r="BP1272" s="1"/>
      <c r="BS1272" s="1"/>
      <c r="BU1272" s="1"/>
      <c r="BW1272" s="1"/>
    </row>
    <row r="1273" spans="35:75">
      <c r="AI1273" s="1"/>
      <c r="AL1273" s="1"/>
      <c r="AO1273" s="1"/>
      <c r="AR1273" s="1"/>
      <c r="AZ1273" s="1"/>
      <c r="BC1273" s="1"/>
      <c r="BF1273" s="1"/>
      <c r="BI1273" s="1"/>
      <c r="BP1273" s="1"/>
      <c r="BS1273" s="1"/>
      <c r="BU1273" s="1"/>
      <c r="BW1273" s="1"/>
    </row>
    <row r="1274" spans="35:75">
      <c r="AI1274" s="1"/>
      <c r="AL1274" s="1"/>
      <c r="AO1274" s="1"/>
      <c r="AR1274" s="1"/>
      <c r="AZ1274" s="1"/>
      <c r="BC1274" s="1"/>
      <c r="BF1274" s="1"/>
      <c r="BI1274" s="1"/>
      <c r="BP1274" s="1"/>
      <c r="BS1274" s="1"/>
      <c r="BU1274" s="1"/>
      <c r="BW1274" s="1"/>
    </row>
    <row r="1275" spans="35:75">
      <c r="AI1275" s="1"/>
      <c r="AL1275" s="1"/>
      <c r="AO1275" s="1"/>
      <c r="AR1275" s="1"/>
      <c r="AZ1275" s="1"/>
      <c r="BC1275" s="1"/>
      <c r="BF1275" s="1"/>
      <c r="BI1275" s="1"/>
      <c r="BP1275" s="1"/>
      <c r="BS1275" s="1"/>
      <c r="BU1275" s="1"/>
      <c r="BW1275" s="1"/>
    </row>
    <row r="1276" spans="35:75">
      <c r="AI1276" s="1"/>
      <c r="AL1276" s="1"/>
      <c r="AO1276" s="1"/>
      <c r="AR1276" s="1"/>
      <c r="AZ1276" s="1"/>
      <c r="BC1276" s="1"/>
      <c r="BF1276" s="1"/>
      <c r="BI1276" s="1"/>
      <c r="BP1276" s="1"/>
      <c r="BS1276" s="1"/>
      <c r="BU1276" s="1"/>
      <c r="BW1276" s="1"/>
    </row>
    <row r="1277" spans="35:75">
      <c r="AI1277" s="1"/>
      <c r="AL1277" s="1"/>
      <c r="AO1277" s="1"/>
      <c r="AR1277" s="1"/>
      <c r="AZ1277" s="1"/>
      <c r="BC1277" s="1"/>
      <c r="BF1277" s="1"/>
      <c r="BI1277" s="1"/>
      <c r="BP1277" s="1"/>
      <c r="BS1277" s="1"/>
      <c r="BU1277" s="1"/>
      <c r="BW1277" s="1"/>
    </row>
    <row r="1278" spans="35:75">
      <c r="AI1278" s="1"/>
      <c r="AL1278" s="1"/>
      <c r="AO1278" s="1"/>
      <c r="AR1278" s="1"/>
      <c r="AZ1278" s="1"/>
      <c r="BC1278" s="1"/>
      <c r="BF1278" s="1"/>
      <c r="BI1278" s="1"/>
      <c r="BP1278" s="1"/>
      <c r="BS1278" s="1"/>
      <c r="BU1278" s="1"/>
      <c r="BW1278" s="1"/>
    </row>
    <row r="1279" spans="35:75">
      <c r="AI1279" s="1"/>
      <c r="AL1279" s="1"/>
      <c r="AO1279" s="1"/>
      <c r="AR1279" s="1"/>
      <c r="AZ1279" s="1"/>
      <c r="BC1279" s="1"/>
      <c r="BF1279" s="1"/>
      <c r="BI1279" s="1"/>
      <c r="BP1279" s="1"/>
      <c r="BS1279" s="1"/>
      <c r="BU1279" s="1"/>
      <c r="BW1279" s="1"/>
    </row>
    <row r="1280" spans="35:75">
      <c r="AI1280" s="1"/>
      <c r="AL1280" s="1"/>
      <c r="AO1280" s="1"/>
      <c r="AR1280" s="1"/>
      <c r="AZ1280" s="1"/>
      <c r="BC1280" s="1"/>
      <c r="BF1280" s="1"/>
      <c r="BI1280" s="1"/>
      <c r="BP1280" s="1"/>
      <c r="BS1280" s="1"/>
      <c r="BU1280" s="1"/>
      <c r="BW1280" s="1"/>
    </row>
    <row r="1281" spans="35:75">
      <c r="AI1281" s="1"/>
      <c r="AL1281" s="1"/>
      <c r="AO1281" s="1"/>
      <c r="AR1281" s="1"/>
      <c r="AZ1281" s="1"/>
      <c r="BC1281" s="1"/>
      <c r="BF1281" s="1"/>
      <c r="BI1281" s="1"/>
      <c r="BP1281" s="1"/>
      <c r="BS1281" s="1"/>
      <c r="BU1281" s="1"/>
      <c r="BW1281" s="1"/>
    </row>
    <row r="1282" spans="35:75">
      <c r="AI1282" s="1"/>
      <c r="AL1282" s="1"/>
      <c r="AO1282" s="1"/>
      <c r="AR1282" s="1"/>
      <c r="AZ1282" s="1"/>
      <c r="BC1282" s="1"/>
      <c r="BF1282" s="1"/>
      <c r="BI1282" s="1"/>
      <c r="BP1282" s="1"/>
      <c r="BS1282" s="1"/>
      <c r="BU1282" s="1"/>
      <c r="BW1282" s="1"/>
    </row>
    <row r="1283" spans="35:75">
      <c r="AI1283" s="1"/>
      <c r="AL1283" s="1"/>
      <c r="AO1283" s="1"/>
      <c r="AR1283" s="1"/>
      <c r="AZ1283" s="1"/>
      <c r="BC1283" s="1"/>
      <c r="BF1283" s="1"/>
      <c r="BI1283" s="1"/>
      <c r="BP1283" s="1"/>
      <c r="BS1283" s="1"/>
      <c r="BU1283" s="1"/>
      <c r="BW1283" s="1"/>
    </row>
    <row r="1284" spans="35:75">
      <c r="AI1284" s="1"/>
      <c r="AL1284" s="1"/>
      <c r="AO1284" s="1"/>
      <c r="AR1284" s="1"/>
      <c r="AZ1284" s="1"/>
      <c r="BC1284" s="1"/>
      <c r="BF1284" s="1"/>
      <c r="BI1284" s="1"/>
      <c r="BP1284" s="1"/>
      <c r="BS1284" s="1"/>
      <c r="BU1284" s="1"/>
      <c r="BW1284" s="1"/>
    </row>
    <row r="1285" spans="35:75">
      <c r="AI1285" s="1"/>
      <c r="AL1285" s="1"/>
      <c r="AO1285" s="1"/>
      <c r="AR1285" s="1"/>
      <c r="AZ1285" s="1"/>
      <c r="BC1285" s="1"/>
      <c r="BF1285" s="1"/>
      <c r="BI1285" s="1"/>
      <c r="BP1285" s="1"/>
      <c r="BS1285" s="1"/>
      <c r="BU1285" s="1"/>
      <c r="BW1285" s="1"/>
    </row>
    <row r="1286" spans="35:75">
      <c r="AI1286" s="1"/>
      <c r="AL1286" s="1"/>
      <c r="AO1286" s="1"/>
      <c r="AR1286" s="1"/>
      <c r="AZ1286" s="1"/>
      <c r="BC1286" s="1"/>
      <c r="BF1286" s="1"/>
      <c r="BI1286" s="1"/>
      <c r="BP1286" s="1"/>
      <c r="BS1286" s="1"/>
      <c r="BU1286" s="1"/>
      <c r="BW1286" s="1"/>
    </row>
    <row r="1287" spans="35:75">
      <c r="AI1287" s="1"/>
      <c r="AL1287" s="1"/>
      <c r="AO1287" s="1"/>
      <c r="AR1287" s="1"/>
      <c r="AZ1287" s="1"/>
      <c r="BC1287" s="1"/>
      <c r="BF1287" s="1"/>
      <c r="BI1287" s="1"/>
      <c r="BP1287" s="1"/>
      <c r="BS1287" s="1"/>
      <c r="BU1287" s="1"/>
      <c r="BW1287" s="1"/>
    </row>
    <row r="1288" spans="35:75">
      <c r="AI1288" s="1"/>
      <c r="AL1288" s="1"/>
      <c r="AO1288" s="1"/>
      <c r="AR1288" s="1"/>
      <c r="AZ1288" s="1"/>
      <c r="BC1288" s="1"/>
      <c r="BF1288" s="1"/>
      <c r="BI1288" s="1"/>
      <c r="BP1288" s="1"/>
      <c r="BS1288" s="1"/>
      <c r="BU1288" s="1"/>
      <c r="BW1288" s="1"/>
    </row>
    <row r="1289" spans="35:75">
      <c r="AI1289" s="1"/>
      <c r="AL1289" s="1"/>
      <c r="AO1289" s="1"/>
      <c r="AR1289" s="1"/>
      <c r="AZ1289" s="1"/>
      <c r="BC1289" s="1"/>
      <c r="BF1289" s="1"/>
      <c r="BI1289" s="1"/>
      <c r="BP1289" s="1"/>
      <c r="BS1289" s="1"/>
      <c r="BU1289" s="1"/>
      <c r="BW1289" s="1"/>
    </row>
    <row r="1290" spans="35:75">
      <c r="AI1290" s="1"/>
      <c r="AL1290" s="1"/>
      <c r="AO1290" s="1"/>
      <c r="AR1290" s="1"/>
      <c r="AZ1290" s="1"/>
      <c r="BC1290" s="1"/>
      <c r="BF1290" s="1"/>
      <c r="BI1290" s="1"/>
      <c r="BP1290" s="1"/>
      <c r="BS1290" s="1"/>
      <c r="BU1290" s="1"/>
      <c r="BW1290" s="1"/>
    </row>
    <row r="1291" spans="35:75">
      <c r="AI1291" s="1"/>
      <c r="AL1291" s="1"/>
      <c r="AO1291" s="1"/>
      <c r="AR1291" s="1"/>
      <c r="AZ1291" s="1"/>
      <c r="BC1291" s="1"/>
      <c r="BF1291" s="1"/>
      <c r="BI1291" s="1"/>
      <c r="BP1291" s="1"/>
      <c r="BS1291" s="1"/>
      <c r="BU1291" s="1"/>
      <c r="BW1291" s="1"/>
    </row>
    <row r="1292" spans="35:75">
      <c r="AI1292" s="1"/>
      <c r="AL1292" s="1"/>
      <c r="AO1292" s="1"/>
      <c r="AR1292" s="1"/>
      <c r="AZ1292" s="1"/>
      <c r="BC1292" s="1"/>
      <c r="BF1292" s="1"/>
      <c r="BI1292" s="1"/>
      <c r="BP1292" s="1"/>
      <c r="BS1292" s="1"/>
      <c r="BU1292" s="1"/>
      <c r="BW1292" s="1"/>
    </row>
    <row r="1293" spans="35:75">
      <c r="AI1293" s="1"/>
      <c r="AL1293" s="1"/>
      <c r="AO1293" s="1"/>
      <c r="AR1293" s="1"/>
      <c r="AZ1293" s="1"/>
      <c r="BC1293" s="1"/>
      <c r="BF1293" s="1"/>
      <c r="BI1293" s="1"/>
      <c r="BP1293" s="1"/>
      <c r="BS1293" s="1"/>
      <c r="BU1293" s="1"/>
      <c r="BW1293" s="1"/>
    </row>
    <row r="1294" spans="35:75">
      <c r="AI1294" s="1"/>
      <c r="AL1294" s="1"/>
      <c r="AO1294" s="1"/>
      <c r="AR1294" s="1"/>
      <c r="AZ1294" s="1"/>
      <c r="BC1294" s="1"/>
      <c r="BF1294" s="1"/>
      <c r="BI1294" s="1"/>
      <c r="BP1294" s="1"/>
      <c r="BS1294" s="1"/>
      <c r="BU1294" s="1"/>
      <c r="BW1294" s="1"/>
    </row>
    <row r="1295" spans="35:75">
      <c r="AI1295" s="1"/>
      <c r="AL1295" s="1"/>
      <c r="AO1295" s="1"/>
      <c r="AR1295" s="1"/>
      <c r="AZ1295" s="1"/>
      <c r="BC1295" s="1"/>
      <c r="BF1295" s="1"/>
      <c r="BI1295" s="1"/>
      <c r="BP1295" s="1"/>
      <c r="BS1295" s="1"/>
      <c r="BU1295" s="1"/>
      <c r="BW1295" s="1"/>
    </row>
    <row r="1296" spans="35:75">
      <c r="AI1296" s="1"/>
      <c r="AL1296" s="1"/>
      <c r="AO1296" s="1"/>
      <c r="AR1296" s="1"/>
      <c r="AZ1296" s="1"/>
      <c r="BC1296" s="1"/>
      <c r="BF1296" s="1"/>
      <c r="BI1296" s="1"/>
      <c r="BP1296" s="1"/>
      <c r="BS1296" s="1"/>
      <c r="BU1296" s="1"/>
      <c r="BW1296" s="1"/>
    </row>
    <row r="1297" spans="35:75">
      <c r="AI1297" s="1"/>
      <c r="AL1297" s="1"/>
      <c r="AO1297" s="1"/>
      <c r="AR1297" s="1"/>
      <c r="AZ1297" s="1"/>
      <c r="BC1297" s="1"/>
      <c r="BF1297" s="1"/>
      <c r="BI1297" s="1"/>
      <c r="BP1297" s="1"/>
      <c r="BS1297" s="1"/>
      <c r="BU1297" s="1"/>
      <c r="BW1297" s="1"/>
    </row>
    <row r="1298" spans="35:75">
      <c r="AI1298" s="1"/>
      <c r="AL1298" s="1"/>
      <c r="AO1298" s="1"/>
      <c r="AR1298" s="1"/>
      <c r="AZ1298" s="1"/>
      <c r="BC1298" s="1"/>
      <c r="BF1298" s="1"/>
      <c r="BI1298" s="1"/>
      <c r="BP1298" s="1"/>
      <c r="BS1298" s="1"/>
      <c r="BU1298" s="1"/>
      <c r="BW1298" s="1"/>
    </row>
    <row r="1299" spans="35:75">
      <c r="AI1299" s="1"/>
      <c r="AL1299" s="1"/>
      <c r="AO1299" s="1"/>
      <c r="AR1299" s="1"/>
      <c r="AZ1299" s="1"/>
      <c r="BC1299" s="1"/>
      <c r="BF1299" s="1"/>
      <c r="BI1299" s="1"/>
      <c r="BP1299" s="1"/>
      <c r="BS1299" s="1"/>
      <c r="BU1299" s="1"/>
      <c r="BW1299" s="1"/>
    </row>
    <row r="1300" spans="35:75">
      <c r="AI1300" s="1"/>
      <c r="AL1300" s="1"/>
      <c r="AO1300" s="1"/>
      <c r="AR1300" s="1"/>
      <c r="AZ1300" s="1"/>
      <c r="BC1300" s="1"/>
      <c r="BF1300" s="1"/>
      <c r="BI1300" s="1"/>
      <c r="BP1300" s="1"/>
      <c r="BS1300" s="1"/>
      <c r="BU1300" s="1"/>
      <c r="BW1300" s="1"/>
    </row>
    <row r="1301" spans="35:75">
      <c r="AI1301" s="1"/>
      <c r="AL1301" s="1"/>
      <c r="AO1301" s="1"/>
      <c r="AR1301" s="1"/>
      <c r="AZ1301" s="1"/>
      <c r="BC1301" s="1"/>
      <c r="BF1301" s="1"/>
      <c r="BI1301" s="1"/>
      <c r="BP1301" s="1"/>
      <c r="BS1301" s="1"/>
      <c r="BU1301" s="1"/>
      <c r="BW1301" s="1"/>
    </row>
    <row r="1302" spans="35:75">
      <c r="AI1302" s="1"/>
      <c r="AL1302" s="1"/>
      <c r="AO1302" s="1"/>
      <c r="AR1302" s="1"/>
      <c r="AZ1302" s="1"/>
      <c r="BC1302" s="1"/>
      <c r="BF1302" s="1"/>
      <c r="BI1302" s="1"/>
      <c r="BP1302" s="1"/>
      <c r="BS1302" s="1"/>
      <c r="BU1302" s="1"/>
      <c r="BW1302" s="1"/>
    </row>
    <row r="1303" spans="35:75">
      <c r="AI1303" s="1"/>
      <c r="AL1303" s="1"/>
      <c r="AO1303" s="1"/>
      <c r="AR1303" s="1"/>
      <c r="AZ1303" s="1"/>
      <c r="BC1303" s="1"/>
      <c r="BF1303" s="1"/>
      <c r="BI1303" s="1"/>
      <c r="BP1303" s="1"/>
      <c r="BS1303" s="1"/>
      <c r="BU1303" s="1"/>
      <c r="BW1303" s="1"/>
    </row>
    <row r="1304" spans="35:75">
      <c r="AI1304" s="1"/>
      <c r="AL1304" s="1"/>
      <c r="AO1304" s="1"/>
      <c r="AR1304" s="1"/>
      <c r="AZ1304" s="1"/>
      <c r="BC1304" s="1"/>
      <c r="BF1304" s="1"/>
      <c r="BI1304" s="1"/>
      <c r="BP1304" s="1"/>
      <c r="BS1304" s="1"/>
      <c r="BU1304" s="1"/>
      <c r="BW1304" s="1"/>
    </row>
    <row r="1305" spans="35:75">
      <c r="AI1305" s="1"/>
      <c r="AL1305" s="1"/>
      <c r="AO1305" s="1"/>
      <c r="AR1305" s="1"/>
      <c r="AZ1305" s="1"/>
      <c r="BC1305" s="1"/>
      <c r="BF1305" s="1"/>
      <c r="BI1305" s="1"/>
      <c r="BP1305" s="1"/>
      <c r="BS1305" s="1"/>
      <c r="BU1305" s="1"/>
      <c r="BW1305" s="1"/>
    </row>
    <row r="1306" spans="35:75">
      <c r="AI1306" s="1"/>
      <c r="AL1306" s="1"/>
      <c r="AO1306" s="1"/>
      <c r="AR1306" s="1"/>
      <c r="AZ1306" s="1"/>
      <c r="BC1306" s="1"/>
      <c r="BF1306" s="1"/>
      <c r="BI1306" s="1"/>
      <c r="BP1306" s="1"/>
      <c r="BS1306" s="1"/>
      <c r="BU1306" s="1"/>
      <c r="BW1306" s="1"/>
    </row>
    <row r="1307" spans="35:75">
      <c r="AI1307" s="1"/>
      <c r="AL1307" s="1"/>
      <c r="AO1307" s="1"/>
      <c r="AR1307" s="1"/>
      <c r="AZ1307" s="1"/>
      <c r="BC1307" s="1"/>
      <c r="BF1307" s="1"/>
      <c r="BI1307" s="1"/>
      <c r="BP1307" s="1"/>
      <c r="BS1307" s="1"/>
      <c r="BU1307" s="1"/>
      <c r="BW1307" s="1"/>
    </row>
    <row r="1308" spans="35:75">
      <c r="AI1308" s="1"/>
      <c r="AL1308" s="1"/>
      <c r="AO1308" s="1"/>
      <c r="AR1308" s="1"/>
      <c r="AZ1308" s="1"/>
      <c r="BC1308" s="1"/>
      <c r="BF1308" s="1"/>
      <c r="BI1308" s="1"/>
      <c r="BP1308" s="1"/>
      <c r="BS1308" s="1"/>
      <c r="BU1308" s="1"/>
      <c r="BW1308" s="1"/>
    </row>
    <row r="1309" spans="35:75">
      <c r="AI1309" s="1"/>
      <c r="AL1309" s="1"/>
      <c r="AO1309" s="1"/>
      <c r="AR1309" s="1"/>
      <c r="AZ1309" s="1"/>
      <c r="BC1309" s="1"/>
      <c r="BF1309" s="1"/>
      <c r="BI1309" s="1"/>
      <c r="BP1309" s="1"/>
      <c r="BS1309" s="1"/>
      <c r="BU1309" s="1"/>
      <c r="BW1309" s="1"/>
    </row>
    <row r="1310" spans="35:75">
      <c r="AI1310" s="1"/>
      <c r="AL1310" s="1"/>
      <c r="AO1310" s="1"/>
      <c r="AR1310" s="1"/>
      <c r="AZ1310" s="1"/>
      <c r="BC1310" s="1"/>
      <c r="BF1310" s="1"/>
      <c r="BI1310" s="1"/>
      <c r="BP1310" s="1"/>
      <c r="BS1310" s="1"/>
      <c r="BU1310" s="1"/>
      <c r="BW1310" s="1"/>
    </row>
    <row r="1311" spans="35:75">
      <c r="AI1311" s="1"/>
      <c r="AL1311" s="1"/>
      <c r="AO1311" s="1"/>
      <c r="AR1311" s="1"/>
      <c r="AZ1311" s="1"/>
      <c r="BC1311" s="1"/>
      <c r="BF1311" s="1"/>
      <c r="BI1311" s="1"/>
      <c r="BP1311" s="1"/>
      <c r="BS1311" s="1"/>
      <c r="BU1311" s="1"/>
      <c r="BW1311" s="1"/>
    </row>
    <row r="1312" spans="35:75">
      <c r="AI1312" s="1"/>
      <c r="AL1312" s="1"/>
      <c r="AO1312" s="1"/>
      <c r="AR1312" s="1"/>
      <c r="AZ1312" s="1"/>
      <c r="BC1312" s="1"/>
      <c r="BF1312" s="1"/>
      <c r="BI1312" s="1"/>
      <c r="BP1312" s="1"/>
      <c r="BS1312" s="1"/>
      <c r="BU1312" s="1"/>
      <c r="BW1312" s="1"/>
    </row>
    <row r="1313" spans="35:75">
      <c r="AI1313" s="1"/>
      <c r="AL1313" s="1"/>
      <c r="AO1313" s="1"/>
      <c r="AR1313" s="1"/>
      <c r="AZ1313" s="1"/>
      <c r="BC1313" s="1"/>
      <c r="BF1313" s="1"/>
      <c r="BI1313" s="1"/>
      <c r="BP1313" s="1"/>
      <c r="BS1313" s="1"/>
      <c r="BU1313" s="1"/>
      <c r="BW1313" s="1"/>
    </row>
    <row r="1314" spans="35:75">
      <c r="AI1314" s="1"/>
      <c r="AL1314" s="1"/>
      <c r="AO1314" s="1"/>
      <c r="AR1314" s="1"/>
      <c r="AZ1314" s="1"/>
      <c r="BC1314" s="1"/>
      <c r="BF1314" s="1"/>
      <c r="BI1314" s="1"/>
      <c r="BP1314" s="1"/>
      <c r="BS1314" s="1"/>
      <c r="BU1314" s="1"/>
      <c r="BW1314" s="1"/>
    </row>
    <row r="1315" spans="35:75">
      <c r="AI1315" s="1"/>
      <c r="AL1315" s="1"/>
      <c r="AO1315" s="1"/>
      <c r="AR1315" s="1"/>
      <c r="AZ1315" s="1"/>
      <c r="BC1315" s="1"/>
      <c r="BF1315" s="1"/>
      <c r="BI1315" s="1"/>
      <c r="BP1315" s="1"/>
      <c r="BS1315" s="1"/>
      <c r="BU1315" s="1"/>
      <c r="BW1315" s="1"/>
    </row>
    <row r="1316" spans="35:75">
      <c r="AI1316" s="1"/>
      <c r="AL1316" s="1"/>
      <c r="AO1316" s="1"/>
      <c r="AR1316" s="1"/>
      <c r="AZ1316" s="1"/>
      <c r="BC1316" s="1"/>
      <c r="BF1316" s="1"/>
      <c r="BI1316" s="1"/>
      <c r="BP1316" s="1"/>
      <c r="BS1316" s="1"/>
      <c r="BU1316" s="1"/>
      <c r="BW1316" s="1"/>
    </row>
    <row r="1317" spans="35:75">
      <c r="AI1317" s="1"/>
      <c r="AL1317" s="1"/>
      <c r="AO1317" s="1"/>
      <c r="AR1317" s="1"/>
      <c r="AZ1317" s="1"/>
      <c r="BC1317" s="1"/>
      <c r="BF1317" s="1"/>
      <c r="BI1317" s="1"/>
      <c r="BP1317" s="1"/>
      <c r="BS1317" s="1"/>
      <c r="BU1317" s="1"/>
      <c r="BW1317" s="1"/>
    </row>
    <row r="1318" spans="35:75">
      <c r="AI1318" s="1"/>
      <c r="AL1318" s="1"/>
      <c r="AO1318" s="1"/>
      <c r="AR1318" s="1"/>
      <c r="AZ1318" s="1"/>
      <c r="BC1318" s="1"/>
      <c r="BF1318" s="1"/>
      <c r="BI1318" s="1"/>
      <c r="BP1318" s="1"/>
      <c r="BS1318" s="1"/>
      <c r="BU1318" s="1"/>
      <c r="BW1318" s="1"/>
    </row>
    <row r="1319" spans="35:75">
      <c r="AI1319" s="1"/>
      <c r="AL1319" s="1"/>
      <c r="AO1319" s="1"/>
      <c r="AR1319" s="1"/>
      <c r="AZ1319" s="1"/>
      <c r="BC1319" s="1"/>
      <c r="BF1319" s="1"/>
      <c r="BI1319" s="1"/>
      <c r="BP1319" s="1"/>
      <c r="BS1319" s="1"/>
      <c r="BU1319" s="1"/>
      <c r="BW1319" s="1"/>
    </row>
    <row r="1320" spans="35:75">
      <c r="AI1320" s="1"/>
      <c r="AL1320" s="1"/>
      <c r="AO1320" s="1"/>
      <c r="AR1320" s="1"/>
      <c r="AZ1320" s="1"/>
      <c r="BC1320" s="1"/>
      <c r="BF1320" s="1"/>
      <c r="BI1320" s="1"/>
      <c r="BP1320" s="1"/>
      <c r="BS1320" s="1"/>
      <c r="BU1320" s="1"/>
      <c r="BW1320" s="1"/>
    </row>
    <row r="1321" spans="35:75">
      <c r="AI1321" s="1"/>
      <c r="AL1321" s="1"/>
      <c r="AO1321" s="1"/>
      <c r="AR1321" s="1"/>
      <c r="AZ1321" s="1"/>
      <c r="BC1321" s="1"/>
      <c r="BF1321" s="1"/>
      <c r="BI1321" s="1"/>
      <c r="BP1321" s="1"/>
      <c r="BS1321" s="1"/>
      <c r="BU1321" s="1"/>
      <c r="BW1321" s="1"/>
    </row>
    <row r="1322" spans="35:75">
      <c r="AI1322" s="1"/>
      <c r="AL1322" s="1"/>
      <c r="AO1322" s="1"/>
      <c r="AR1322" s="1"/>
      <c r="AZ1322" s="1"/>
      <c r="BC1322" s="1"/>
      <c r="BF1322" s="1"/>
      <c r="BI1322" s="1"/>
      <c r="BP1322" s="1"/>
      <c r="BS1322" s="1"/>
      <c r="BU1322" s="1"/>
      <c r="BW1322" s="1"/>
    </row>
    <row r="1323" spans="35:75">
      <c r="AI1323" s="1"/>
      <c r="AL1323" s="1"/>
      <c r="AO1323" s="1"/>
      <c r="AR1323" s="1"/>
      <c r="AZ1323" s="1"/>
      <c r="BC1323" s="1"/>
      <c r="BF1323" s="1"/>
      <c r="BI1323" s="1"/>
      <c r="BP1323" s="1"/>
      <c r="BS1323" s="1"/>
      <c r="BU1323" s="1"/>
      <c r="BW1323" s="1"/>
    </row>
    <row r="1324" spans="35:75">
      <c r="AI1324" s="1"/>
      <c r="AL1324" s="1"/>
      <c r="AO1324" s="1"/>
      <c r="AR1324" s="1"/>
      <c r="AZ1324" s="1"/>
      <c r="BC1324" s="1"/>
      <c r="BF1324" s="1"/>
      <c r="BI1324" s="1"/>
      <c r="BP1324" s="1"/>
      <c r="BS1324" s="1"/>
      <c r="BU1324" s="1"/>
      <c r="BW1324" s="1"/>
    </row>
    <row r="1325" spans="35:75">
      <c r="AI1325" s="1"/>
      <c r="AL1325" s="1"/>
      <c r="AO1325" s="1"/>
      <c r="AR1325" s="1"/>
      <c r="AZ1325" s="1"/>
      <c r="BC1325" s="1"/>
      <c r="BF1325" s="1"/>
      <c r="BI1325" s="1"/>
      <c r="BP1325" s="1"/>
      <c r="BS1325" s="1"/>
      <c r="BU1325" s="1"/>
      <c r="BW1325" s="1"/>
    </row>
    <row r="1326" spans="35:75">
      <c r="AI1326" s="1"/>
      <c r="AL1326" s="1"/>
      <c r="AO1326" s="1"/>
      <c r="AR1326" s="1"/>
      <c r="AZ1326" s="1"/>
      <c r="BC1326" s="1"/>
      <c r="BF1326" s="1"/>
      <c r="BI1326" s="1"/>
      <c r="BP1326" s="1"/>
      <c r="BS1326" s="1"/>
      <c r="BU1326" s="1"/>
      <c r="BW1326" s="1"/>
    </row>
    <row r="1327" spans="35:75">
      <c r="AI1327" s="1"/>
      <c r="AL1327" s="1"/>
      <c r="AO1327" s="1"/>
      <c r="AR1327" s="1"/>
      <c r="AZ1327" s="1"/>
      <c r="BC1327" s="1"/>
      <c r="BF1327" s="1"/>
      <c r="BI1327" s="1"/>
      <c r="BP1327" s="1"/>
      <c r="BS1327" s="1"/>
      <c r="BU1327" s="1"/>
      <c r="BW1327" s="1"/>
    </row>
    <row r="1328" spans="35:75">
      <c r="AI1328" s="1"/>
      <c r="AL1328" s="1"/>
      <c r="AO1328" s="1"/>
      <c r="AR1328" s="1"/>
      <c r="AZ1328" s="1"/>
      <c r="BC1328" s="1"/>
      <c r="BF1328" s="1"/>
      <c r="BI1328" s="1"/>
      <c r="BP1328" s="1"/>
      <c r="BS1328" s="1"/>
      <c r="BU1328" s="1"/>
      <c r="BW1328" s="1"/>
    </row>
    <row r="1329" spans="35:75">
      <c r="AI1329" s="1"/>
      <c r="AL1329" s="1"/>
      <c r="AO1329" s="1"/>
      <c r="AR1329" s="1"/>
      <c r="AZ1329" s="1"/>
      <c r="BC1329" s="1"/>
      <c r="BF1329" s="1"/>
      <c r="BI1329" s="1"/>
      <c r="BP1329" s="1"/>
      <c r="BS1329" s="1"/>
      <c r="BU1329" s="1"/>
      <c r="BW1329" s="1"/>
    </row>
    <row r="1330" spans="35:75">
      <c r="AI1330" s="1"/>
      <c r="AL1330" s="1"/>
      <c r="AO1330" s="1"/>
      <c r="AR1330" s="1"/>
      <c r="AZ1330" s="1"/>
      <c r="BC1330" s="1"/>
      <c r="BF1330" s="1"/>
      <c r="BI1330" s="1"/>
      <c r="BP1330" s="1"/>
      <c r="BS1330" s="1"/>
      <c r="BU1330" s="1"/>
      <c r="BW1330" s="1"/>
    </row>
    <row r="1331" spans="35:75">
      <c r="AI1331" s="1"/>
      <c r="AL1331" s="1"/>
      <c r="AO1331" s="1"/>
      <c r="AR1331" s="1"/>
      <c r="AZ1331" s="1"/>
      <c r="BC1331" s="1"/>
      <c r="BF1331" s="1"/>
      <c r="BI1331" s="1"/>
      <c r="BP1331" s="1"/>
      <c r="BS1331" s="1"/>
      <c r="BU1331" s="1"/>
      <c r="BW1331" s="1"/>
    </row>
    <row r="1332" spans="35:75">
      <c r="AI1332" s="1"/>
      <c r="AL1332" s="1"/>
      <c r="AO1332" s="1"/>
      <c r="AR1332" s="1"/>
      <c r="AZ1332" s="1"/>
      <c r="BC1332" s="1"/>
      <c r="BF1332" s="1"/>
      <c r="BI1332" s="1"/>
      <c r="BP1332" s="1"/>
      <c r="BS1332" s="1"/>
      <c r="BU1332" s="1"/>
      <c r="BW1332" s="1"/>
    </row>
    <row r="1333" spans="35:75">
      <c r="AI1333" s="1"/>
      <c r="AL1333" s="1"/>
      <c r="AO1333" s="1"/>
      <c r="AR1333" s="1"/>
      <c r="AZ1333" s="1"/>
      <c r="BC1333" s="1"/>
      <c r="BF1333" s="1"/>
      <c r="BI1333" s="1"/>
      <c r="BP1333" s="1"/>
      <c r="BS1333" s="1"/>
      <c r="BU1333" s="1"/>
      <c r="BW1333" s="1"/>
    </row>
    <row r="1334" spans="35:75">
      <c r="AI1334" s="1"/>
      <c r="AL1334" s="1"/>
      <c r="AO1334" s="1"/>
      <c r="AR1334" s="1"/>
      <c r="AZ1334" s="1"/>
      <c r="BC1334" s="1"/>
      <c r="BF1334" s="1"/>
      <c r="BI1334" s="1"/>
      <c r="BP1334" s="1"/>
      <c r="BS1334" s="1"/>
      <c r="BU1334" s="1"/>
      <c r="BW1334" s="1"/>
    </row>
    <row r="1335" spans="35:75">
      <c r="AI1335" s="1"/>
      <c r="AL1335" s="1"/>
      <c r="AO1335" s="1"/>
      <c r="AR1335" s="1"/>
      <c r="AZ1335" s="1"/>
      <c r="BC1335" s="1"/>
      <c r="BF1335" s="1"/>
      <c r="BI1335" s="1"/>
      <c r="BP1335" s="1"/>
      <c r="BS1335" s="1"/>
      <c r="BU1335" s="1"/>
      <c r="BW1335" s="1"/>
    </row>
    <row r="1336" spans="35:75">
      <c r="AI1336" s="1"/>
      <c r="AL1336" s="1"/>
      <c r="AO1336" s="1"/>
      <c r="AR1336" s="1"/>
      <c r="AZ1336" s="1"/>
      <c r="BC1336" s="1"/>
      <c r="BF1336" s="1"/>
      <c r="BI1336" s="1"/>
      <c r="BP1336" s="1"/>
      <c r="BS1336" s="1"/>
      <c r="BU1336" s="1"/>
      <c r="BW1336" s="1"/>
    </row>
    <row r="1337" spans="35:75">
      <c r="AI1337" s="1"/>
      <c r="AL1337" s="1"/>
      <c r="AO1337" s="1"/>
      <c r="AR1337" s="1"/>
      <c r="AZ1337" s="1"/>
      <c r="BC1337" s="1"/>
      <c r="BF1337" s="1"/>
      <c r="BI1337" s="1"/>
      <c r="BP1337" s="1"/>
      <c r="BS1337" s="1"/>
      <c r="BU1337" s="1"/>
      <c r="BW1337" s="1"/>
    </row>
    <row r="1338" spans="35:75">
      <c r="AI1338" s="1"/>
      <c r="AL1338" s="1"/>
      <c r="AO1338" s="1"/>
      <c r="AR1338" s="1"/>
      <c r="AZ1338" s="1"/>
      <c r="BC1338" s="1"/>
      <c r="BF1338" s="1"/>
      <c r="BI1338" s="1"/>
      <c r="BP1338" s="1"/>
      <c r="BS1338" s="1"/>
      <c r="BU1338" s="1"/>
      <c r="BW1338" s="1"/>
    </row>
    <row r="1339" spans="35:75">
      <c r="AI1339" s="1"/>
      <c r="AL1339" s="1"/>
      <c r="AO1339" s="1"/>
      <c r="AR1339" s="1"/>
      <c r="AZ1339" s="1"/>
      <c r="BC1339" s="1"/>
      <c r="BF1339" s="1"/>
      <c r="BI1339" s="1"/>
      <c r="BP1339" s="1"/>
      <c r="BS1339" s="1"/>
      <c r="BU1339" s="1"/>
      <c r="BW1339" s="1"/>
    </row>
    <row r="1340" spans="35:75">
      <c r="AI1340" s="1"/>
      <c r="AL1340" s="1"/>
      <c r="AO1340" s="1"/>
      <c r="AR1340" s="1"/>
      <c r="AZ1340" s="1"/>
      <c r="BC1340" s="1"/>
      <c r="BF1340" s="1"/>
      <c r="BI1340" s="1"/>
      <c r="BP1340" s="1"/>
      <c r="BS1340" s="1"/>
      <c r="BU1340" s="1"/>
      <c r="BW1340" s="1"/>
    </row>
    <row r="1341" spans="35:75">
      <c r="AI1341" s="1"/>
      <c r="AL1341" s="1"/>
      <c r="AO1341" s="1"/>
      <c r="AR1341" s="1"/>
      <c r="AZ1341" s="1"/>
      <c r="BC1341" s="1"/>
      <c r="BF1341" s="1"/>
      <c r="BI1341" s="1"/>
      <c r="BP1341" s="1"/>
      <c r="BS1341" s="1"/>
      <c r="BU1341" s="1"/>
      <c r="BW1341" s="1"/>
    </row>
    <row r="1342" spans="35:75">
      <c r="AI1342" s="1"/>
      <c r="AL1342" s="1"/>
      <c r="AO1342" s="1"/>
      <c r="AR1342" s="1"/>
      <c r="AZ1342" s="1"/>
      <c r="BC1342" s="1"/>
      <c r="BF1342" s="1"/>
      <c r="BI1342" s="1"/>
      <c r="BP1342" s="1"/>
      <c r="BS1342" s="1"/>
      <c r="BU1342" s="1"/>
      <c r="BW1342" s="1"/>
    </row>
    <row r="1343" spans="35:75">
      <c r="AI1343" s="1"/>
      <c r="AL1343" s="1"/>
      <c r="AO1343" s="1"/>
      <c r="AR1343" s="1"/>
      <c r="AZ1343" s="1"/>
      <c r="BC1343" s="1"/>
      <c r="BF1343" s="1"/>
      <c r="BI1343" s="1"/>
      <c r="BP1343" s="1"/>
      <c r="BS1343" s="1"/>
      <c r="BU1343" s="1"/>
      <c r="BW1343" s="1"/>
    </row>
    <row r="1344" spans="35:75">
      <c r="AI1344" s="1"/>
      <c r="AL1344" s="1"/>
      <c r="AO1344" s="1"/>
      <c r="AR1344" s="1"/>
      <c r="AZ1344" s="1"/>
      <c r="BC1344" s="1"/>
      <c r="BF1344" s="1"/>
      <c r="BI1344" s="1"/>
      <c r="BP1344" s="1"/>
      <c r="BS1344" s="1"/>
      <c r="BU1344" s="1"/>
      <c r="BW1344" s="1"/>
    </row>
    <row r="1345" spans="35:75">
      <c r="AI1345" s="1"/>
      <c r="AL1345" s="1"/>
      <c r="AO1345" s="1"/>
      <c r="AR1345" s="1"/>
      <c r="AZ1345" s="1"/>
      <c r="BC1345" s="1"/>
      <c r="BF1345" s="1"/>
      <c r="BI1345" s="1"/>
      <c r="BP1345" s="1"/>
      <c r="BS1345" s="1"/>
      <c r="BU1345" s="1"/>
      <c r="BW1345" s="1"/>
    </row>
    <row r="1346" spans="35:75">
      <c r="AI1346" s="1"/>
      <c r="AL1346" s="1"/>
      <c r="AO1346" s="1"/>
      <c r="AR1346" s="1"/>
      <c r="AZ1346" s="1"/>
      <c r="BC1346" s="1"/>
      <c r="BF1346" s="1"/>
      <c r="BI1346" s="1"/>
      <c r="BP1346" s="1"/>
      <c r="BS1346" s="1"/>
      <c r="BU1346" s="1"/>
      <c r="BW1346" s="1"/>
    </row>
    <row r="1347" spans="35:75">
      <c r="AI1347" s="1"/>
      <c r="AL1347" s="1"/>
      <c r="AO1347" s="1"/>
      <c r="AR1347" s="1"/>
      <c r="AZ1347" s="1"/>
      <c r="BC1347" s="1"/>
      <c r="BF1347" s="1"/>
      <c r="BI1347" s="1"/>
      <c r="BP1347" s="1"/>
      <c r="BS1347" s="1"/>
      <c r="BU1347" s="1"/>
      <c r="BW1347" s="1"/>
    </row>
    <row r="1348" spans="35:75">
      <c r="AI1348" s="1"/>
      <c r="AL1348" s="1"/>
      <c r="AO1348" s="1"/>
      <c r="AR1348" s="1"/>
      <c r="AZ1348" s="1"/>
      <c r="BC1348" s="1"/>
      <c r="BF1348" s="1"/>
      <c r="BI1348" s="1"/>
      <c r="BP1348" s="1"/>
      <c r="BS1348" s="1"/>
      <c r="BU1348" s="1"/>
      <c r="BW1348" s="1"/>
    </row>
    <row r="1349" spans="35:75">
      <c r="AI1349" s="1"/>
      <c r="AL1349" s="1"/>
      <c r="AO1349" s="1"/>
      <c r="AR1349" s="1"/>
      <c r="AZ1349" s="1"/>
      <c r="BC1349" s="1"/>
      <c r="BF1349" s="1"/>
      <c r="BI1349" s="1"/>
      <c r="BP1349" s="1"/>
      <c r="BS1349" s="1"/>
      <c r="BU1349" s="1"/>
      <c r="BW1349" s="1"/>
    </row>
    <row r="1350" spans="35:75">
      <c r="AI1350" s="1"/>
      <c r="AL1350" s="1"/>
      <c r="AO1350" s="1"/>
      <c r="AR1350" s="1"/>
      <c r="AZ1350" s="1"/>
      <c r="BC1350" s="1"/>
      <c r="BF1350" s="1"/>
      <c r="BI1350" s="1"/>
      <c r="BP1350" s="1"/>
      <c r="BS1350" s="1"/>
      <c r="BU1350" s="1"/>
      <c r="BW1350" s="1"/>
    </row>
    <row r="1351" spans="35:75">
      <c r="AI1351" s="1"/>
      <c r="AL1351" s="1"/>
      <c r="AO1351" s="1"/>
      <c r="AR1351" s="1"/>
      <c r="AZ1351" s="1"/>
      <c r="BC1351" s="1"/>
      <c r="BF1351" s="1"/>
      <c r="BI1351" s="1"/>
      <c r="BP1351" s="1"/>
      <c r="BS1351" s="1"/>
      <c r="BU1351" s="1"/>
      <c r="BW1351" s="1"/>
    </row>
    <row r="1352" spans="35:75">
      <c r="AI1352" s="1"/>
      <c r="AL1352" s="1"/>
      <c r="AO1352" s="1"/>
      <c r="AR1352" s="1"/>
      <c r="AZ1352" s="1"/>
      <c r="BC1352" s="1"/>
      <c r="BF1352" s="1"/>
      <c r="BI1352" s="1"/>
      <c r="BP1352" s="1"/>
      <c r="BS1352" s="1"/>
      <c r="BU1352" s="1"/>
      <c r="BW1352" s="1"/>
    </row>
    <row r="1353" spans="35:75">
      <c r="AI1353" s="1"/>
      <c r="AL1353" s="1"/>
      <c r="AO1353" s="1"/>
      <c r="AR1353" s="1"/>
      <c r="AZ1353" s="1"/>
      <c r="BC1353" s="1"/>
      <c r="BF1353" s="1"/>
      <c r="BI1353" s="1"/>
      <c r="BP1353" s="1"/>
      <c r="BS1353" s="1"/>
      <c r="BU1353" s="1"/>
      <c r="BW1353" s="1"/>
    </row>
    <row r="1354" spans="35:75">
      <c r="AI1354" s="1"/>
      <c r="AL1354" s="1"/>
      <c r="AO1354" s="1"/>
      <c r="AR1354" s="1"/>
      <c r="AZ1354" s="1"/>
      <c r="BC1354" s="1"/>
      <c r="BF1354" s="1"/>
      <c r="BI1354" s="1"/>
      <c r="BP1354" s="1"/>
      <c r="BS1354" s="1"/>
      <c r="BU1354" s="1"/>
      <c r="BW1354" s="1"/>
    </row>
    <row r="1355" spans="35:75">
      <c r="AI1355" s="1"/>
      <c r="AL1355" s="1"/>
      <c r="AO1355" s="1"/>
      <c r="AR1355" s="1"/>
      <c r="AZ1355" s="1"/>
      <c r="BC1355" s="1"/>
      <c r="BF1355" s="1"/>
      <c r="BI1355" s="1"/>
      <c r="BP1355" s="1"/>
      <c r="BS1355" s="1"/>
      <c r="BU1355" s="1"/>
      <c r="BW1355" s="1"/>
    </row>
    <row r="1356" spans="35:75">
      <c r="AI1356" s="1"/>
      <c r="AL1356" s="1"/>
      <c r="AO1356" s="1"/>
      <c r="AR1356" s="1"/>
      <c r="AZ1356" s="1"/>
      <c r="BC1356" s="1"/>
      <c r="BF1356" s="1"/>
      <c r="BI1356" s="1"/>
      <c r="BP1356" s="1"/>
      <c r="BS1356" s="1"/>
      <c r="BU1356" s="1"/>
      <c r="BW1356" s="1"/>
    </row>
    <row r="1357" spans="35:75">
      <c r="AI1357" s="1"/>
      <c r="AL1357" s="1"/>
      <c r="AO1357" s="1"/>
      <c r="AR1357" s="1"/>
      <c r="AZ1357" s="1"/>
      <c r="BC1357" s="1"/>
      <c r="BF1357" s="1"/>
      <c r="BI1357" s="1"/>
      <c r="BP1357" s="1"/>
      <c r="BS1357" s="1"/>
      <c r="BU1357" s="1"/>
      <c r="BW1357" s="1"/>
    </row>
    <row r="1358" spans="35:75">
      <c r="AI1358" s="1"/>
      <c r="AL1358" s="1"/>
      <c r="AO1358" s="1"/>
      <c r="AR1358" s="1"/>
      <c r="AZ1358" s="1"/>
      <c r="BC1358" s="1"/>
      <c r="BF1358" s="1"/>
      <c r="BI1358" s="1"/>
      <c r="BP1358" s="1"/>
      <c r="BS1358" s="1"/>
      <c r="BU1358" s="1"/>
      <c r="BW1358" s="1"/>
    </row>
    <row r="1359" spans="35:75">
      <c r="AI1359" s="1"/>
      <c r="AL1359" s="1"/>
      <c r="AO1359" s="1"/>
      <c r="AR1359" s="1"/>
      <c r="AZ1359" s="1"/>
      <c r="BC1359" s="1"/>
      <c r="BF1359" s="1"/>
      <c r="BI1359" s="1"/>
      <c r="BP1359" s="1"/>
      <c r="BS1359" s="1"/>
      <c r="BU1359" s="1"/>
      <c r="BW1359" s="1"/>
    </row>
    <row r="1360" spans="35:75">
      <c r="AI1360" s="1"/>
      <c r="AL1360" s="1"/>
      <c r="AO1360" s="1"/>
      <c r="AR1360" s="1"/>
      <c r="AZ1360" s="1"/>
      <c r="BC1360" s="1"/>
      <c r="BF1360" s="1"/>
      <c r="BI1360" s="1"/>
      <c r="BP1360" s="1"/>
      <c r="BS1360" s="1"/>
      <c r="BU1360" s="1"/>
      <c r="BW1360" s="1"/>
    </row>
    <row r="1361" spans="35:75">
      <c r="AI1361" s="1"/>
      <c r="AL1361" s="1"/>
      <c r="AO1361" s="1"/>
      <c r="AR1361" s="1"/>
      <c r="AZ1361" s="1"/>
      <c r="BC1361" s="1"/>
      <c r="BF1361" s="1"/>
      <c r="BI1361" s="1"/>
      <c r="BP1361" s="1"/>
      <c r="BS1361" s="1"/>
      <c r="BU1361" s="1"/>
      <c r="BW1361" s="1"/>
    </row>
    <row r="1362" spans="35:75">
      <c r="AI1362" s="1"/>
      <c r="AL1362" s="1"/>
      <c r="AO1362" s="1"/>
      <c r="AR1362" s="1"/>
      <c r="AZ1362" s="1"/>
      <c r="BC1362" s="1"/>
      <c r="BF1362" s="1"/>
      <c r="BI1362" s="1"/>
      <c r="BP1362" s="1"/>
      <c r="BS1362" s="1"/>
      <c r="BU1362" s="1"/>
      <c r="BW1362" s="1"/>
    </row>
    <row r="1363" spans="35:75">
      <c r="AI1363" s="1"/>
      <c r="AL1363" s="1"/>
      <c r="AO1363" s="1"/>
      <c r="AR1363" s="1"/>
      <c r="AZ1363" s="1"/>
      <c r="BC1363" s="1"/>
      <c r="BF1363" s="1"/>
      <c r="BI1363" s="1"/>
      <c r="BP1363" s="1"/>
      <c r="BS1363" s="1"/>
      <c r="BU1363" s="1"/>
      <c r="BW1363" s="1"/>
    </row>
    <row r="1364" spans="35:75">
      <c r="AI1364" s="1"/>
      <c r="AL1364" s="1"/>
      <c r="AO1364" s="1"/>
      <c r="AR1364" s="1"/>
      <c r="AZ1364" s="1"/>
      <c r="BC1364" s="1"/>
      <c r="BF1364" s="1"/>
      <c r="BI1364" s="1"/>
      <c r="BP1364" s="1"/>
      <c r="BS1364" s="1"/>
      <c r="BU1364" s="1"/>
      <c r="BW1364" s="1"/>
    </row>
    <row r="1365" spans="35:75">
      <c r="AI1365" s="1"/>
      <c r="AL1365" s="1"/>
      <c r="AO1365" s="1"/>
      <c r="AR1365" s="1"/>
      <c r="AZ1365" s="1"/>
      <c r="BC1365" s="1"/>
      <c r="BF1365" s="1"/>
      <c r="BI1365" s="1"/>
      <c r="BP1365" s="1"/>
      <c r="BS1365" s="1"/>
      <c r="BU1365" s="1"/>
      <c r="BW1365" s="1"/>
    </row>
    <row r="1366" spans="35:75">
      <c r="AI1366" s="1"/>
      <c r="AL1366" s="1"/>
      <c r="AO1366" s="1"/>
      <c r="AR1366" s="1"/>
      <c r="AZ1366" s="1"/>
      <c r="BC1366" s="1"/>
      <c r="BF1366" s="1"/>
      <c r="BI1366" s="1"/>
      <c r="BP1366" s="1"/>
      <c r="BS1366" s="1"/>
      <c r="BU1366" s="1"/>
      <c r="BW1366" s="1"/>
    </row>
    <row r="1367" spans="35:75">
      <c r="AI1367" s="1"/>
      <c r="AL1367" s="1"/>
      <c r="AO1367" s="1"/>
      <c r="AR1367" s="1"/>
      <c r="AZ1367" s="1"/>
      <c r="BC1367" s="1"/>
      <c r="BF1367" s="1"/>
      <c r="BI1367" s="1"/>
      <c r="BP1367" s="1"/>
      <c r="BS1367" s="1"/>
      <c r="BU1367" s="1"/>
      <c r="BW1367" s="1"/>
    </row>
    <row r="1368" spans="35:75">
      <c r="AI1368" s="1"/>
      <c r="AL1368" s="1"/>
      <c r="AO1368" s="1"/>
      <c r="AR1368" s="1"/>
      <c r="AZ1368" s="1"/>
      <c r="BC1368" s="1"/>
      <c r="BF1368" s="1"/>
      <c r="BI1368" s="1"/>
      <c r="BP1368" s="1"/>
      <c r="BS1368" s="1"/>
      <c r="BU1368" s="1"/>
      <c r="BW1368" s="1"/>
    </row>
    <row r="1369" spans="35:75">
      <c r="AI1369" s="1"/>
      <c r="AL1369" s="1"/>
      <c r="AO1369" s="1"/>
      <c r="AR1369" s="1"/>
      <c r="AZ1369" s="1"/>
      <c r="BC1369" s="1"/>
      <c r="BF1369" s="1"/>
      <c r="BI1369" s="1"/>
      <c r="BP1369" s="1"/>
      <c r="BS1369" s="1"/>
      <c r="BU1369" s="1"/>
      <c r="BW1369" s="1"/>
    </row>
    <row r="1370" spans="35:75">
      <c r="AI1370" s="1"/>
      <c r="AL1370" s="1"/>
      <c r="AO1370" s="1"/>
      <c r="AR1370" s="1"/>
      <c r="AZ1370" s="1"/>
      <c r="BC1370" s="1"/>
      <c r="BF1370" s="1"/>
      <c r="BI1370" s="1"/>
      <c r="BP1370" s="1"/>
      <c r="BS1370" s="1"/>
      <c r="BU1370" s="1"/>
      <c r="BW1370" s="1"/>
    </row>
    <row r="1371" spans="35:75">
      <c r="AI1371" s="1"/>
      <c r="AL1371" s="1"/>
      <c r="AO1371" s="1"/>
      <c r="AR1371" s="1"/>
      <c r="AZ1371" s="1"/>
      <c r="BC1371" s="1"/>
      <c r="BF1371" s="1"/>
      <c r="BI1371" s="1"/>
      <c r="BP1371" s="1"/>
      <c r="BS1371" s="1"/>
      <c r="BU1371" s="1"/>
      <c r="BW1371" s="1"/>
    </row>
    <row r="1372" spans="35:75">
      <c r="AI1372" s="1"/>
      <c r="AL1372" s="1"/>
      <c r="AO1372" s="1"/>
      <c r="AR1372" s="1"/>
      <c r="AZ1372" s="1"/>
      <c r="BC1372" s="1"/>
      <c r="BF1372" s="1"/>
      <c r="BI1372" s="1"/>
      <c r="BP1372" s="1"/>
      <c r="BS1372" s="1"/>
      <c r="BU1372" s="1"/>
      <c r="BW1372" s="1"/>
    </row>
    <row r="1373" spans="35:75">
      <c r="AI1373" s="1"/>
      <c r="AL1373" s="1"/>
      <c r="AO1373" s="1"/>
      <c r="AR1373" s="1"/>
      <c r="AZ1373" s="1"/>
      <c r="BC1373" s="1"/>
      <c r="BF1373" s="1"/>
      <c r="BI1373" s="1"/>
      <c r="BP1373" s="1"/>
      <c r="BS1373" s="1"/>
      <c r="BU1373" s="1"/>
      <c r="BW1373" s="1"/>
    </row>
    <row r="1374" spans="35:75">
      <c r="AI1374" s="1"/>
      <c r="AL1374" s="1"/>
      <c r="AO1374" s="1"/>
      <c r="AR1374" s="1"/>
      <c r="AZ1374" s="1"/>
      <c r="BC1374" s="1"/>
      <c r="BF1374" s="1"/>
      <c r="BI1374" s="1"/>
      <c r="BP1374" s="1"/>
      <c r="BS1374" s="1"/>
      <c r="BU1374" s="1"/>
      <c r="BW1374" s="1"/>
    </row>
    <row r="1375" spans="35:75">
      <c r="AI1375" s="1"/>
      <c r="AL1375" s="1"/>
      <c r="AO1375" s="1"/>
      <c r="AR1375" s="1"/>
      <c r="AZ1375" s="1"/>
      <c r="BC1375" s="1"/>
      <c r="BF1375" s="1"/>
      <c r="BI1375" s="1"/>
      <c r="BP1375" s="1"/>
      <c r="BS1375" s="1"/>
      <c r="BU1375" s="1"/>
      <c r="BW1375" s="1"/>
    </row>
    <row r="1376" spans="35:75">
      <c r="AI1376" s="1"/>
      <c r="AL1376" s="1"/>
      <c r="AO1376" s="1"/>
      <c r="AR1376" s="1"/>
      <c r="AZ1376" s="1"/>
      <c r="BC1376" s="1"/>
      <c r="BF1376" s="1"/>
      <c r="BI1376" s="1"/>
      <c r="BP1376" s="1"/>
      <c r="BS1376" s="1"/>
      <c r="BU1376" s="1"/>
      <c r="BW1376" s="1"/>
    </row>
    <row r="1377" spans="35:75">
      <c r="AI1377" s="1"/>
      <c r="AL1377" s="1"/>
      <c r="AO1377" s="1"/>
      <c r="AR1377" s="1"/>
      <c r="AZ1377" s="1"/>
      <c r="BC1377" s="1"/>
      <c r="BF1377" s="1"/>
      <c r="BI1377" s="1"/>
      <c r="BP1377" s="1"/>
      <c r="BS1377" s="1"/>
      <c r="BU1377" s="1"/>
      <c r="BW1377" s="1"/>
    </row>
    <row r="1378" spans="35:75">
      <c r="AI1378" s="1"/>
      <c r="AL1378" s="1"/>
      <c r="AO1378" s="1"/>
      <c r="AR1378" s="1"/>
      <c r="AZ1378" s="1"/>
      <c r="BC1378" s="1"/>
      <c r="BF1378" s="1"/>
      <c r="BI1378" s="1"/>
      <c r="BP1378" s="1"/>
      <c r="BS1378" s="1"/>
      <c r="BU1378" s="1"/>
      <c r="BW1378" s="1"/>
    </row>
    <row r="1379" spans="35:75">
      <c r="AI1379" s="1"/>
      <c r="AL1379" s="1"/>
      <c r="AO1379" s="1"/>
      <c r="AR1379" s="1"/>
      <c r="AZ1379" s="1"/>
      <c r="BC1379" s="1"/>
      <c r="BF1379" s="1"/>
      <c r="BI1379" s="1"/>
      <c r="BP1379" s="1"/>
      <c r="BS1379" s="1"/>
      <c r="BU1379" s="1"/>
      <c r="BW1379" s="1"/>
    </row>
    <row r="1380" spans="35:75">
      <c r="AI1380" s="1"/>
      <c r="AL1380" s="1"/>
      <c r="AO1380" s="1"/>
      <c r="AR1380" s="1"/>
      <c r="AZ1380" s="1"/>
      <c r="BC1380" s="1"/>
      <c r="BF1380" s="1"/>
      <c r="BI1380" s="1"/>
      <c r="BP1380" s="1"/>
      <c r="BS1380" s="1"/>
      <c r="BU1380" s="1"/>
      <c r="BW1380" s="1"/>
    </row>
    <row r="1381" spans="35:75">
      <c r="AI1381" s="1"/>
      <c r="AL1381" s="1"/>
      <c r="AO1381" s="1"/>
      <c r="AR1381" s="1"/>
      <c r="AZ1381" s="1"/>
      <c r="BC1381" s="1"/>
      <c r="BF1381" s="1"/>
      <c r="BI1381" s="1"/>
      <c r="BP1381" s="1"/>
      <c r="BS1381" s="1"/>
      <c r="BU1381" s="1"/>
      <c r="BW1381" s="1"/>
    </row>
    <row r="1382" spans="35:75">
      <c r="AI1382" s="1"/>
      <c r="AL1382" s="1"/>
      <c r="AO1382" s="1"/>
      <c r="AR1382" s="1"/>
      <c r="AZ1382" s="1"/>
      <c r="BC1382" s="1"/>
      <c r="BF1382" s="1"/>
      <c r="BI1382" s="1"/>
      <c r="BP1382" s="1"/>
      <c r="BS1382" s="1"/>
      <c r="BU1382" s="1"/>
      <c r="BW1382" s="1"/>
    </row>
    <row r="1383" spans="35:75">
      <c r="AI1383" s="1"/>
      <c r="AL1383" s="1"/>
      <c r="AO1383" s="1"/>
      <c r="AR1383" s="1"/>
      <c r="AZ1383" s="1"/>
      <c r="BC1383" s="1"/>
      <c r="BF1383" s="1"/>
      <c r="BI1383" s="1"/>
      <c r="BP1383" s="1"/>
      <c r="BS1383" s="1"/>
      <c r="BU1383" s="1"/>
      <c r="BW1383" s="1"/>
    </row>
    <row r="1384" spans="35:75">
      <c r="AI1384" s="1"/>
      <c r="AL1384" s="1"/>
      <c r="AO1384" s="1"/>
      <c r="AR1384" s="1"/>
      <c r="AZ1384" s="1"/>
      <c r="BC1384" s="1"/>
      <c r="BF1384" s="1"/>
      <c r="BI1384" s="1"/>
      <c r="BP1384" s="1"/>
      <c r="BS1384" s="1"/>
      <c r="BU1384" s="1"/>
      <c r="BW1384" s="1"/>
    </row>
    <row r="1385" spans="35:75">
      <c r="AI1385" s="1"/>
      <c r="AL1385" s="1"/>
      <c r="AO1385" s="1"/>
      <c r="AR1385" s="1"/>
      <c r="AZ1385" s="1"/>
      <c r="BC1385" s="1"/>
      <c r="BF1385" s="1"/>
      <c r="BI1385" s="1"/>
      <c r="BP1385" s="1"/>
      <c r="BS1385" s="1"/>
      <c r="BU1385" s="1"/>
      <c r="BW1385" s="1"/>
    </row>
    <row r="1386" spans="35:75">
      <c r="AI1386" s="1"/>
      <c r="AL1386" s="1"/>
      <c r="AO1386" s="1"/>
      <c r="AR1386" s="1"/>
      <c r="AZ1386" s="1"/>
      <c r="BC1386" s="1"/>
      <c r="BF1386" s="1"/>
      <c r="BI1386" s="1"/>
      <c r="BP1386" s="1"/>
      <c r="BS1386" s="1"/>
      <c r="BU1386" s="1"/>
      <c r="BW1386" s="1"/>
    </row>
    <row r="1387" spans="35:75">
      <c r="AI1387" s="1"/>
      <c r="AL1387" s="1"/>
      <c r="AO1387" s="1"/>
      <c r="AR1387" s="1"/>
      <c r="AZ1387" s="1"/>
      <c r="BC1387" s="1"/>
      <c r="BF1387" s="1"/>
      <c r="BI1387" s="1"/>
      <c r="BP1387" s="1"/>
      <c r="BS1387" s="1"/>
      <c r="BU1387" s="1"/>
      <c r="BW1387" s="1"/>
    </row>
    <row r="1388" spans="35:75">
      <c r="AI1388" s="1"/>
      <c r="AL1388" s="1"/>
      <c r="AO1388" s="1"/>
      <c r="AR1388" s="1"/>
      <c r="AZ1388" s="1"/>
      <c r="BC1388" s="1"/>
      <c r="BF1388" s="1"/>
      <c r="BI1388" s="1"/>
      <c r="BP1388" s="1"/>
      <c r="BS1388" s="1"/>
      <c r="BU1388" s="1"/>
      <c r="BW1388" s="1"/>
    </row>
    <row r="1389" spans="35:75">
      <c r="AI1389" s="1"/>
      <c r="AL1389" s="1"/>
      <c r="AO1389" s="1"/>
      <c r="AR1389" s="1"/>
      <c r="AZ1389" s="1"/>
      <c r="BC1389" s="1"/>
      <c r="BF1389" s="1"/>
      <c r="BI1389" s="1"/>
      <c r="BP1389" s="1"/>
      <c r="BS1389" s="1"/>
      <c r="BU1389" s="1"/>
      <c r="BW1389" s="1"/>
    </row>
    <row r="1390" spans="35:75">
      <c r="AI1390" s="1"/>
      <c r="AL1390" s="1"/>
      <c r="AO1390" s="1"/>
      <c r="AR1390" s="1"/>
      <c r="AZ1390" s="1"/>
      <c r="BC1390" s="1"/>
      <c r="BF1390" s="1"/>
      <c r="BI1390" s="1"/>
      <c r="BP1390" s="1"/>
      <c r="BS1390" s="1"/>
      <c r="BU1390" s="1"/>
      <c r="BW1390" s="1"/>
    </row>
    <row r="1391" spans="35:75">
      <c r="AI1391" s="1"/>
      <c r="AL1391" s="1"/>
      <c r="AO1391" s="1"/>
      <c r="AR1391" s="1"/>
      <c r="AZ1391" s="1"/>
      <c r="BC1391" s="1"/>
      <c r="BF1391" s="1"/>
      <c r="BI1391" s="1"/>
      <c r="BP1391" s="1"/>
      <c r="BS1391" s="1"/>
      <c r="BU1391" s="1"/>
      <c r="BW1391" s="1"/>
    </row>
    <row r="1392" spans="35:75">
      <c r="AI1392" s="1"/>
      <c r="AL1392" s="1"/>
      <c r="AO1392" s="1"/>
      <c r="AR1392" s="1"/>
      <c r="AZ1392" s="1"/>
      <c r="BC1392" s="1"/>
      <c r="BF1392" s="1"/>
      <c r="BI1392" s="1"/>
      <c r="BP1392" s="1"/>
      <c r="BS1392" s="1"/>
      <c r="BU1392" s="1"/>
      <c r="BW1392" s="1"/>
    </row>
    <row r="1393" spans="35:75">
      <c r="AI1393" s="1"/>
      <c r="AL1393" s="1"/>
      <c r="AO1393" s="1"/>
      <c r="AR1393" s="1"/>
      <c r="AZ1393" s="1"/>
      <c r="BC1393" s="1"/>
      <c r="BF1393" s="1"/>
      <c r="BI1393" s="1"/>
      <c r="BP1393" s="1"/>
      <c r="BS1393" s="1"/>
      <c r="BU1393" s="1"/>
      <c r="BW1393" s="1"/>
    </row>
    <row r="1394" spans="35:75">
      <c r="AI1394" s="1"/>
      <c r="AL1394" s="1"/>
      <c r="AO1394" s="1"/>
      <c r="AR1394" s="1"/>
      <c r="AZ1394" s="1"/>
      <c r="BC1394" s="1"/>
      <c r="BF1394" s="1"/>
      <c r="BI1394" s="1"/>
      <c r="BP1394" s="1"/>
      <c r="BS1394" s="1"/>
      <c r="BU1394" s="1"/>
      <c r="BW1394" s="1"/>
    </row>
    <row r="1395" spans="35:75">
      <c r="AI1395" s="1"/>
      <c r="AL1395" s="1"/>
      <c r="AO1395" s="1"/>
      <c r="AR1395" s="1"/>
      <c r="AZ1395" s="1"/>
      <c r="BC1395" s="1"/>
      <c r="BF1395" s="1"/>
      <c r="BI1395" s="1"/>
      <c r="BP1395" s="1"/>
      <c r="BS1395" s="1"/>
      <c r="BU1395" s="1"/>
      <c r="BW1395" s="1"/>
    </row>
    <row r="1396" spans="35:75">
      <c r="AI1396" s="1"/>
      <c r="AL1396" s="1"/>
      <c r="AO1396" s="1"/>
      <c r="AR1396" s="1"/>
      <c r="AZ1396" s="1"/>
      <c r="BC1396" s="1"/>
      <c r="BF1396" s="1"/>
      <c r="BI1396" s="1"/>
      <c r="BP1396" s="1"/>
      <c r="BS1396" s="1"/>
      <c r="BU1396" s="1"/>
      <c r="BW1396" s="1"/>
    </row>
    <row r="1397" spans="35:75">
      <c r="AI1397" s="1"/>
      <c r="AL1397" s="1"/>
      <c r="AO1397" s="1"/>
      <c r="AR1397" s="1"/>
      <c r="AZ1397" s="1"/>
      <c r="BC1397" s="1"/>
      <c r="BF1397" s="1"/>
      <c r="BI1397" s="1"/>
      <c r="BP1397" s="1"/>
      <c r="BS1397" s="1"/>
      <c r="BU1397" s="1"/>
      <c r="BW1397" s="1"/>
    </row>
    <row r="1398" spans="35:75">
      <c r="AI1398" s="1"/>
      <c r="AL1398" s="1"/>
      <c r="AO1398" s="1"/>
      <c r="AR1398" s="1"/>
      <c r="AZ1398" s="1"/>
      <c r="BC1398" s="1"/>
      <c r="BF1398" s="1"/>
      <c r="BI1398" s="1"/>
      <c r="BP1398" s="1"/>
      <c r="BS1398" s="1"/>
      <c r="BU1398" s="1"/>
      <c r="BW1398" s="1"/>
    </row>
    <row r="1399" spans="35:75">
      <c r="AI1399" s="1"/>
      <c r="AL1399" s="1"/>
      <c r="AO1399" s="1"/>
      <c r="AR1399" s="1"/>
      <c r="AZ1399" s="1"/>
      <c r="BC1399" s="1"/>
      <c r="BF1399" s="1"/>
      <c r="BI1399" s="1"/>
      <c r="BP1399" s="1"/>
      <c r="BS1399" s="1"/>
      <c r="BU1399" s="1"/>
      <c r="BW1399" s="1"/>
    </row>
    <row r="1400" spans="35:75">
      <c r="AI1400" s="1"/>
      <c r="AL1400" s="1"/>
      <c r="AO1400" s="1"/>
      <c r="AR1400" s="1"/>
      <c r="AZ1400" s="1"/>
      <c r="BC1400" s="1"/>
      <c r="BF1400" s="1"/>
      <c r="BI1400" s="1"/>
      <c r="BP1400" s="1"/>
      <c r="BS1400" s="1"/>
      <c r="BU1400" s="1"/>
      <c r="BW1400" s="1"/>
    </row>
    <row r="1401" spans="35:75">
      <c r="AI1401" s="1"/>
      <c r="AL1401" s="1"/>
      <c r="AO1401" s="1"/>
      <c r="AR1401" s="1"/>
      <c r="AZ1401" s="1"/>
      <c r="BC1401" s="1"/>
      <c r="BF1401" s="1"/>
      <c r="BI1401" s="1"/>
      <c r="BP1401" s="1"/>
      <c r="BS1401" s="1"/>
      <c r="BU1401" s="1"/>
      <c r="BW1401" s="1"/>
    </row>
    <row r="1402" spans="35:75">
      <c r="AI1402" s="1"/>
      <c r="AL1402" s="1"/>
      <c r="AO1402" s="1"/>
      <c r="AR1402" s="1"/>
      <c r="AZ1402" s="1"/>
      <c r="BC1402" s="1"/>
      <c r="BF1402" s="1"/>
      <c r="BI1402" s="1"/>
      <c r="BP1402" s="1"/>
      <c r="BS1402" s="1"/>
      <c r="BU1402" s="1"/>
      <c r="BW1402" s="1"/>
    </row>
    <row r="1403" spans="35:75">
      <c r="AI1403" s="1"/>
      <c r="AL1403" s="1"/>
      <c r="AO1403" s="1"/>
      <c r="AR1403" s="1"/>
      <c r="AZ1403" s="1"/>
      <c r="BC1403" s="1"/>
      <c r="BF1403" s="1"/>
      <c r="BI1403" s="1"/>
      <c r="BP1403" s="1"/>
      <c r="BS1403" s="1"/>
      <c r="BU1403" s="1"/>
      <c r="BW1403" s="1"/>
    </row>
    <row r="1404" spans="35:75">
      <c r="AI1404" s="1"/>
      <c r="AL1404" s="1"/>
      <c r="AO1404" s="1"/>
      <c r="AR1404" s="1"/>
      <c r="AZ1404" s="1"/>
      <c r="BC1404" s="1"/>
      <c r="BF1404" s="1"/>
      <c r="BI1404" s="1"/>
      <c r="BP1404" s="1"/>
      <c r="BS1404" s="1"/>
      <c r="BU1404" s="1"/>
      <c r="BW1404" s="1"/>
    </row>
    <row r="1405" spans="35:75">
      <c r="AI1405" s="1"/>
      <c r="AL1405" s="1"/>
      <c r="AO1405" s="1"/>
      <c r="AR1405" s="1"/>
      <c r="AZ1405" s="1"/>
      <c r="BC1405" s="1"/>
      <c r="BF1405" s="1"/>
      <c r="BI1405" s="1"/>
      <c r="BP1405" s="1"/>
      <c r="BS1405" s="1"/>
      <c r="BU1405" s="1"/>
      <c r="BW1405" s="1"/>
    </row>
    <row r="1406" spans="35:75">
      <c r="AI1406" s="1"/>
      <c r="AL1406" s="1"/>
      <c r="AO1406" s="1"/>
      <c r="AR1406" s="1"/>
      <c r="AZ1406" s="1"/>
      <c r="BC1406" s="1"/>
      <c r="BF1406" s="1"/>
      <c r="BI1406" s="1"/>
      <c r="BP1406" s="1"/>
      <c r="BS1406" s="1"/>
      <c r="BU1406" s="1"/>
      <c r="BW1406" s="1"/>
    </row>
    <row r="1407" spans="35:75">
      <c r="AI1407" s="1"/>
      <c r="AL1407" s="1"/>
      <c r="AO1407" s="1"/>
      <c r="AR1407" s="1"/>
      <c r="AZ1407" s="1"/>
      <c r="BC1407" s="1"/>
      <c r="BF1407" s="1"/>
      <c r="BI1407" s="1"/>
      <c r="BP1407" s="1"/>
      <c r="BS1407" s="1"/>
      <c r="BU1407" s="1"/>
      <c r="BW1407" s="1"/>
    </row>
    <row r="1408" spans="35:75">
      <c r="AI1408" s="1"/>
      <c r="AL1408" s="1"/>
      <c r="AO1408" s="1"/>
      <c r="AR1408" s="1"/>
      <c r="AZ1408" s="1"/>
      <c r="BC1408" s="1"/>
      <c r="BF1408" s="1"/>
      <c r="BI1408" s="1"/>
      <c r="BP1408" s="1"/>
      <c r="BS1408" s="1"/>
      <c r="BU1408" s="1"/>
      <c r="BW1408" s="1"/>
    </row>
    <row r="1409" spans="35:75">
      <c r="AI1409" s="1"/>
      <c r="AL1409" s="1"/>
      <c r="AO1409" s="1"/>
      <c r="AR1409" s="1"/>
      <c r="AZ1409" s="1"/>
      <c r="BC1409" s="1"/>
      <c r="BF1409" s="1"/>
      <c r="BI1409" s="1"/>
      <c r="BP1409" s="1"/>
      <c r="BS1409" s="1"/>
      <c r="BU1409" s="1"/>
      <c r="BW1409" s="1"/>
    </row>
    <row r="1410" spans="35:75">
      <c r="AI1410" s="1"/>
      <c r="AL1410" s="1"/>
      <c r="AO1410" s="1"/>
      <c r="AR1410" s="1"/>
      <c r="AZ1410" s="1"/>
      <c r="BC1410" s="1"/>
      <c r="BF1410" s="1"/>
      <c r="BI1410" s="1"/>
      <c r="BP1410" s="1"/>
      <c r="BS1410" s="1"/>
      <c r="BU1410" s="1"/>
      <c r="BW1410" s="1"/>
    </row>
    <row r="1411" spans="35:75">
      <c r="AI1411" s="1"/>
      <c r="AL1411" s="1"/>
      <c r="AO1411" s="1"/>
      <c r="AR1411" s="1"/>
      <c r="AZ1411" s="1"/>
      <c r="BC1411" s="1"/>
      <c r="BF1411" s="1"/>
      <c r="BI1411" s="1"/>
      <c r="BP1411" s="1"/>
      <c r="BS1411" s="1"/>
      <c r="BU1411" s="1"/>
      <c r="BW1411" s="1"/>
    </row>
    <row r="1412" spans="35:75">
      <c r="AI1412" s="1"/>
      <c r="AL1412" s="1"/>
      <c r="AO1412" s="1"/>
      <c r="AR1412" s="1"/>
      <c r="AZ1412" s="1"/>
      <c r="BC1412" s="1"/>
      <c r="BF1412" s="1"/>
      <c r="BI1412" s="1"/>
      <c r="BP1412" s="1"/>
      <c r="BS1412" s="1"/>
      <c r="BU1412" s="1"/>
      <c r="BW1412" s="1"/>
    </row>
    <row r="1413" spans="35:75">
      <c r="AI1413" s="1"/>
      <c r="AL1413" s="1"/>
      <c r="AO1413" s="1"/>
      <c r="AR1413" s="1"/>
      <c r="AZ1413" s="1"/>
      <c r="BC1413" s="1"/>
      <c r="BF1413" s="1"/>
      <c r="BI1413" s="1"/>
      <c r="BP1413" s="1"/>
      <c r="BS1413" s="1"/>
      <c r="BU1413" s="1"/>
      <c r="BW1413" s="1"/>
    </row>
    <row r="1414" spans="35:75">
      <c r="AI1414" s="1"/>
      <c r="AL1414" s="1"/>
      <c r="AO1414" s="1"/>
      <c r="AR1414" s="1"/>
      <c r="AZ1414" s="1"/>
      <c r="BC1414" s="1"/>
      <c r="BF1414" s="1"/>
      <c r="BI1414" s="1"/>
      <c r="BP1414" s="1"/>
      <c r="BS1414" s="1"/>
      <c r="BU1414" s="1"/>
      <c r="BW1414" s="1"/>
    </row>
    <row r="1415" spans="35:75">
      <c r="AI1415" s="1"/>
      <c r="AL1415" s="1"/>
      <c r="AO1415" s="1"/>
      <c r="AR1415" s="1"/>
      <c r="AZ1415" s="1"/>
      <c r="BC1415" s="1"/>
      <c r="BF1415" s="1"/>
      <c r="BI1415" s="1"/>
      <c r="BP1415" s="1"/>
      <c r="BS1415" s="1"/>
      <c r="BU1415" s="1"/>
      <c r="BW1415" s="1"/>
    </row>
    <row r="1416" spans="35:75">
      <c r="AI1416" s="1"/>
      <c r="AL1416" s="1"/>
      <c r="AO1416" s="1"/>
      <c r="AR1416" s="1"/>
      <c r="AZ1416" s="1"/>
      <c r="BC1416" s="1"/>
      <c r="BF1416" s="1"/>
      <c r="BI1416" s="1"/>
      <c r="BP1416" s="1"/>
      <c r="BS1416" s="1"/>
      <c r="BU1416" s="1"/>
      <c r="BW1416" s="1"/>
    </row>
    <row r="1417" spans="35:75">
      <c r="AI1417" s="1"/>
      <c r="AL1417" s="1"/>
      <c r="AO1417" s="1"/>
      <c r="AR1417" s="1"/>
      <c r="AZ1417" s="1"/>
      <c r="BC1417" s="1"/>
      <c r="BF1417" s="1"/>
      <c r="BI1417" s="1"/>
      <c r="BP1417" s="1"/>
      <c r="BS1417" s="1"/>
      <c r="BU1417" s="1"/>
      <c r="BW1417" s="1"/>
    </row>
    <row r="1418" spans="35:75">
      <c r="AI1418" s="1"/>
      <c r="AL1418" s="1"/>
      <c r="AO1418" s="1"/>
      <c r="AR1418" s="1"/>
      <c r="AZ1418" s="1"/>
      <c r="BC1418" s="1"/>
      <c r="BF1418" s="1"/>
      <c r="BI1418" s="1"/>
      <c r="BP1418" s="1"/>
      <c r="BS1418" s="1"/>
      <c r="BU1418" s="1"/>
      <c r="BW1418" s="1"/>
    </row>
    <row r="1419" spans="35:75">
      <c r="AI1419" s="1"/>
      <c r="AL1419" s="1"/>
      <c r="AO1419" s="1"/>
      <c r="AR1419" s="1"/>
      <c r="AZ1419" s="1"/>
      <c r="BC1419" s="1"/>
      <c r="BF1419" s="1"/>
      <c r="BI1419" s="1"/>
      <c r="BP1419" s="1"/>
      <c r="BS1419" s="1"/>
      <c r="BU1419" s="1"/>
      <c r="BW1419" s="1"/>
    </row>
    <row r="1420" spans="35:75">
      <c r="AI1420" s="1"/>
      <c r="AL1420" s="1"/>
      <c r="AO1420" s="1"/>
      <c r="AR1420" s="1"/>
      <c r="AZ1420" s="1"/>
      <c r="BC1420" s="1"/>
      <c r="BF1420" s="1"/>
      <c r="BI1420" s="1"/>
      <c r="BP1420" s="1"/>
      <c r="BS1420" s="1"/>
      <c r="BU1420" s="1"/>
      <c r="BW1420" s="1"/>
    </row>
    <row r="1421" spans="35:75">
      <c r="AI1421" s="1"/>
      <c r="AL1421" s="1"/>
      <c r="AO1421" s="1"/>
      <c r="AR1421" s="1"/>
      <c r="AZ1421" s="1"/>
      <c r="BC1421" s="1"/>
      <c r="BF1421" s="1"/>
      <c r="BI1421" s="1"/>
      <c r="BP1421" s="1"/>
      <c r="BS1421" s="1"/>
      <c r="BU1421" s="1"/>
      <c r="BW1421" s="1"/>
    </row>
    <row r="1422" spans="35:75">
      <c r="AI1422" s="1"/>
      <c r="AL1422" s="1"/>
      <c r="AO1422" s="1"/>
      <c r="AR1422" s="1"/>
      <c r="AZ1422" s="1"/>
      <c r="BC1422" s="1"/>
      <c r="BF1422" s="1"/>
      <c r="BI1422" s="1"/>
      <c r="BP1422" s="1"/>
      <c r="BS1422" s="1"/>
      <c r="BU1422" s="1"/>
      <c r="BW1422" s="1"/>
    </row>
    <row r="1423" spans="35:75">
      <c r="AI1423" s="1"/>
      <c r="AL1423" s="1"/>
      <c r="AO1423" s="1"/>
      <c r="AR1423" s="1"/>
      <c r="AZ1423" s="1"/>
      <c r="BC1423" s="1"/>
      <c r="BF1423" s="1"/>
      <c r="BI1423" s="1"/>
      <c r="BP1423" s="1"/>
      <c r="BS1423" s="1"/>
      <c r="BU1423" s="1"/>
      <c r="BW1423" s="1"/>
    </row>
    <row r="1424" spans="35:75">
      <c r="AI1424" s="1"/>
      <c r="AL1424" s="1"/>
      <c r="AO1424" s="1"/>
      <c r="AR1424" s="1"/>
      <c r="AZ1424" s="1"/>
      <c r="BC1424" s="1"/>
      <c r="BF1424" s="1"/>
      <c r="BI1424" s="1"/>
      <c r="BP1424" s="1"/>
      <c r="BS1424" s="1"/>
      <c r="BU1424" s="1"/>
      <c r="BW1424" s="1"/>
    </row>
    <row r="1425" spans="35:75">
      <c r="AI1425" s="1"/>
      <c r="AL1425" s="1"/>
      <c r="AO1425" s="1"/>
      <c r="AR1425" s="1"/>
      <c r="AZ1425" s="1"/>
      <c r="BC1425" s="1"/>
      <c r="BF1425" s="1"/>
      <c r="BI1425" s="1"/>
      <c r="BP1425" s="1"/>
      <c r="BS1425" s="1"/>
      <c r="BU1425" s="1"/>
      <c r="BW1425" s="1"/>
    </row>
    <row r="1426" spans="35:75">
      <c r="AI1426" s="1"/>
      <c r="AL1426" s="1"/>
      <c r="AO1426" s="1"/>
      <c r="AR1426" s="1"/>
      <c r="AZ1426" s="1"/>
      <c r="BC1426" s="1"/>
      <c r="BF1426" s="1"/>
      <c r="BI1426" s="1"/>
      <c r="BP1426" s="1"/>
      <c r="BS1426" s="1"/>
      <c r="BU1426" s="1"/>
      <c r="BW1426" s="1"/>
    </row>
    <row r="1427" spans="35:75">
      <c r="AI1427" s="1"/>
      <c r="AL1427" s="1"/>
      <c r="AO1427" s="1"/>
      <c r="AR1427" s="1"/>
      <c r="AZ1427" s="1"/>
      <c r="BC1427" s="1"/>
      <c r="BF1427" s="1"/>
      <c r="BI1427" s="1"/>
      <c r="BP1427" s="1"/>
      <c r="BS1427" s="1"/>
      <c r="BU1427" s="1"/>
      <c r="BW1427" s="1"/>
    </row>
    <row r="1428" spans="35:75">
      <c r="AI1428" s="1"/>
      <c r="AL1428" s="1"/>
      <c r="AO1428" s="1"/>
      <c r="AR1428" s="1"/>
      <c r="AZ1428" s="1"/>
      <c r="BC1428" s="1"/>
      <c r="BF1428" s="1"/>
      <c r="BI1428" s="1"/>
      <c r="BP1428" s="1"/>
      <c r="BS1428" s="1"/>
      <c r="BU1428" s="1"/>
      <c r="BW1428" s="1"/>
    </row>
    <row r="1429" spans="35:75">
      <c r="AI1429" s="1"/>
      <c r="AL1429" s="1"/>
      <c r="AO1429" s="1"/>
      <c r="AR1429" s="1"/>
      <c r="AZ1429" s="1"/>
      <c r="BC1429" s="1"/>
      <c r="BF1429" s="1"/>
      <c r="BI1429" s="1"/>
      <c r="BP1429" s="1"/>
      <c r="BS1429" s="1"/>
      <c r="BU1429" s="1"/>
      <c r="BW1429" s="1"/>
    </row>
    <row r="1430" spans="35:75">
      <c r="AI1430" s="1"/>
      <c r="AL1430" s="1"/>
      <c r="AO1430" s="1"/>
      <c r="AR1430" s="1"/>
      <c r="AZ1430" s="1"/>
      <c r="BC1430" s="1"/>
      <c r="BF1430" s="1"/>
      <c r="BI1430" s="1"/>
      <c r="BP1430" s="1"/>
      <c r="BS1430" s="1"/>
      <c r="BU1430" s="1"/>
      <c r="BW1430" s="1"/>
    </row>
    <row r="1431" spans="35:75">
      <c r="AI1431" s="1"/>
      <c r="AL1431" s="1"/>
      <c r="AO1431" s="1"/>
      <c r="AR1431" s="1"/>
      <c r="AZ1431" s="1"/>
      <c r="BC1431" s="1"/>
      <c r="BF1431" s="1"/>
      <c r="BI1431" s="1"/>
      <c r="BP1431" s="1"/>
      <c r="BS1431" s="1"/>
      <c r="BU1431" s="1"/>
      <c r="BW1431" s="1"/>
    </row>
    <row r="1432" spans="35:75">
      <c r="AI1432" s="1"/>
      <c r="AL1432" s="1"/>
      <c r="AO1432" s="1"/>
      <c r="AR1432" s="1"/>
      <c r="AZ1432" s="1"/>
      <c r="BC1432" s="1"/>
      <c r="BF1432" s="1"/>
      <c r="BI1432" s="1"/>
      <c r="BP1432" s="1"/>
      <c r="BS1432" s="1"/>
      <c r="BU1432" s="1"/>
      <c r="BW1432" s="1"/>
    </row>
    <row r="1433" spans="35:75">
      <c r="AI1433" s="1"/>
      <c r="AL1433" s="1"/>
      <c r="AO1433" s="1"/>
      <c r="AR1433" s="1"/>
      <c r="AZ1433" s="1"/>
      <c r="BC1433" s="1"/>
      <c r="BF1433" s="1"/>
      <c r="BI1433" s="1"/>
      <c r="BP1433" s="1"/>
      <c r="BS1433" s="1"/>
      <c r="BU1433" s="1"/>
      <c r="BW1433" s="1"/>
    </row>
    <row r="1434" spans="35:75">
      <c r="AI1434" s="1"/>
      <c r="AL1434" s="1"/>
      <c r="AO1434" s="1"/>
      <c r="AR1434" s="1"/>
      <c r="AZ1434" s="1"/>
      <c r="BC1434" s="1"/>
      <c r="BF1434" s="1"/>
      <c r="BI1434" s="1"/>
      <c r="BP1434" s="1"/>
      <c r="BS1434" s="1"/>
      <c r="BU1434" s="1"/>
      <c r="BW1434" s="1"/>
    </row>
    <row r="1435" spans="35:75">
      <c r="AI1435" s="1"/>
      <c r="AL1435" s="1"/>
      <c r="AO1435" s="1"/>
      <c r="AR1435" s="1"/>
      <c r="AZ1435" s="1"/>
      <c r="BC1435" s="1"/>
      <c r="BF1435" s="1"/>
      <c r="BI1435" s="1"/>
      <c r="BP1435" s="1"/>
      <c r="BS1435" s="1"/>
      <c r="BU1435" s="1"/>
      <c r="BW1435" s="1"/>
    </row>
    <row r="1436" spans="35:75">
      <c r="AI1436" s="1"/>
      <c r="AL1436" s="1"/>
      <c r="AO1436" s="1"/>
      <c r="AR1436" s="1"/>
      <c r="AZ1436" s="1"/>
      <c r="BC1436" s="1"/>
      <c r="BF1436" s="1"/>
      <c r="BI1436" s="1"/>
      <c r="BP1436" s="1"/>
      <c r="BS1436" s="1"/>
      <c r="BU1436" s="1"/>
      <c r="BW1436" s="1"/>
    </row>
    <row r="1437" spans="35:75">
      <c r="AI1437" s="1"/>
      <c r="AL1437" s="1"/>
      <c r="AO1437" s="1"/>
      <c r="AR1437" s="1"/>
      <c r="AZ1437" s="1"/>
      <c r="BC1437" s="1"/>
      <c r="BF1437" s="1"/>
      <c r="BI1437" s="1"/>
      <c r="BP1437" s="1"/>
      <c r="BS1437" s="1"/>
      <c r="BU1437" s="1"/>
      <c r="BW1437" s="1"/>
    </row>
    <row r="1438" spans="35:75">
      <c r="AI1438" s="1"/>
      <c r="AL1438" s="1"/>
      <c r="AO1438" s="1"/>
      <c r="AR1438" s="1"/>
      <c r="AZ1438" s="1"/>
      <c r="BC1438" s="1"/>
      <c r="BF1438" s="1"/>
      <c r="BI1438" s="1"/>
      <c r="BP1438" s="1"/>
      <c r="BS1438" s="1"/>
      <c r="BU1438" s="1"/>
      <c r="BW1438" s="1"/>
    </row>
    <row r="1439" spans="35:75">
      <c r="AI1439" s="1"/>
      <c r="AL1439" s="1"/>
      <c r="AO1439" s="1"/>
      <c r="AR1439" s="1"/>
      <c r="AZ1439" s="1"/>
      <c r="BC1439" s="1"/>
      <c r="BF1439" s="1"/>
      <c r="BI1439" s="1"/>
      <c r="BP1439" s="1"/>
      <c r="BS1439" s="1"/>
      <c r="BU1439" s="1"/>
      <c r="BW1439" s="1"/>
    </row>
    <row r="1440" spans="35:75">
      <c r="AI1440" s="1"/>
      <c r="AL1440" s="1"/>
      <c r="AO1440" s="1"/>
      <c r="AR1440" s="1"/>
      <c r="AZ1440" s="1"/>
      <c r="BC1440" s="1"/>
      <c r="BF1440" s="1"/>
      <c r="BI1440" s="1"/>
      <c r="BP1440" s="1"/>
      <c r="BS1440" s="1"/>
      <c r="BU1440" s="1"/>
      <c r="BW1440" s="1"/>
    </row>
    <row r="1441" spans="35:75">
      <c r="AI1441" s="1"/>
      <c r="AL1441" s="1"/>
      <c r="AO1441" s="1"/>
      <c r="AR1441" s="1"/>
      <c r="AZ1441" s="1"/>
      <c r="BC1441" s="1"/>
      <c r="BF1441" s="1"/>
      <c r="BI1441" s="1"/>
      <c r="BP1441" s="1"/>
      <c r="BS1441" s="1"/>
      <c r="BU1441" s="1"/>
      <c r="BW1441" s="1"/>
    </row>
    <row r="1442" spans="35:75">
      <c r="AI1442" s="1"/>
      <c r="AL1442" s="1"/>
      <c r="AO1442" s="1"/>
      <c r="AR1442" s="1"/>
      <c r="AZ1442" s="1"/>
      <c r="BC1442" s="1"/>
      <c r="BF1442" s="1"/>
      <c r="BI1442" s="1"/>
      <c r="BP1442" s="1"/>
      <c r="BS1442" s="1"/>
      <c r="BU1442" s="1"/>
      <c r="BW1442" s="1"/>
    </row>
    <row r="1443" spans="35:75">
      <c r="AI1443" s="1"/>
      <c r="AL1443" s="1"/>
      <c r="AO1443" s="1"/>
      <c r="AR1443" s="1"/>
      <c r="AZ1443" s="1"/>
      <c r="BC1443" s="1"/>
      <c r="BF1443" s="1"/>
      <c r="BI1443" s="1"/>
      <c r="BP1443" s="1"/>
      <c r="BS1443" s="1"/>
      <c r="BU1443" s="1"/>
      <c r="BW1443" s="1"/>
    </row>
    <row r="1444" spans="35:75">
      <c r="AI1444" s="1"/>
      <c r="AL1444" s="1"/>
      <c r="AO1444" s="1"/>
      <c r="AR1444" s="1"/>
      <c r="AZ1444" s="1"/>
      <c r="BC1444" s="1"/>
      <c r="BF1444" s="1"/>
      <c r="BI1444" s="1"/>
      <c r="BP1444" s="1"/>
      <c r="BS1444" s="1"/>
      <c r="BU1444" s="1"/>
      <c r="BW1444" s="1"/>
    </row>
    <row r="1445" spans="35:75">
      <c r="AI1445" s="1"/>
      <c r="AL1445" s="1"/>
      <c r="AO1445" s="1"/>
      <c r="AR1445" s="1"/>
      <c r="AZ1445" s="1"/>
      <c r="BC1445" s="1"/>
      <c r="BF1445" s="1"/>
      <c r="BI1445" s="1"/>
      <c r="BP1445" s="1"/>
      <c r="BS1445" s="1"/>
      <c r="BU1445" s="1"/>
      <c r="BW1445" s="1"/>
    </row>
    <row r="1446" spans="35:75">
      <c r="AI1446" s="1"/>
      <c r="AL1446" s="1"/>
      <c r="AO1446" s="1"/>
      <c r="AR1446" s="1"/>
      <c r="AZ1446" s="1"/>
      <c r="BC1446" s="1"/>
      <c r="BF1446" s="1"/>
      <c r="BI1446" s="1"/>
      <c r="BP1446" s="1"/>
      <c r="BS1446" s="1"/>
      <c r="BU1446" s="1"/>
      <c r="BW1446" s="1"/>
    </row>
    <row r="1447" spans="35:75">
      <c r="AI1447" s="1"/>
      <c r="AL1447" s="1"/>
      <c r="AO1447" s="1"/>
      <c r="AR1447" s="1"/>
      <c r="AZ1447" s="1"/>
      <c r="BC1447" s="1"/>
      <c r="BF1447" s="1"/>
      <c r="BI1447" s="1"/>
      <c r="BP1447" s="1"/>
      <c r="BS1447" s="1"/>
      <c r="BU1447" s="1"/>
      <c r="BW1447" s="1"/>
    </row>
    <row r="1448" spans="35:75">
      <c r="AI1448" s="1"/>
      <c r="AL1448" s="1"/>
      <c r="AO1448" s="1"/>
      <c r="AR1448" s="1"/>
      <c r="AZ1448" s="1"/>
      <c r="BC1448" s="1"/>
      <c r="BF1448" s="1"/>
      <c r="BI1448" s="1"/>
      <c r="BP1448" s="1"/>
      <c r="BS1448" s="1"/>
      <c r="BU1448" s="1"/>
      <c r="BW1448" s="1"/>
    </row>
    <row r="1449" spans="35:75">
      <c r="AI1449" s="1"/>
      <c r="AL1449" s="1"/>
      <c r="AO1449" s="1"/>
      <c r="AR1449" s="1"/>
      <c r="AZ1449" s="1"/>
      <c r="BC1449" s="1"/>
      <c r="BF1449" s="1"/>
      <c r="BI1449" s="1"/>
      <c r="BP1449" s="1"/>
      <c r="BS1449" s="1"/>
      <c r="BU1449" s="1"/>
      <c r="BW1449" s="1"/>
    </row>
    <row r="1450" spans="35:75">
      <c r="AI1450" s="1"/>
      <c r="AL1450" s="1"/>
      <c r="AO1450" s="1"/>
      <c r="AR1450" s="1"/>
      <c r="AZ1450" s="1"/>
      <c r="BC1450" s="1"/>
      <c r="BF1450" s="1"/>
      <c r="BI1450" s="1"/>
      <c r="BP1450" s="1"/>
      <c r="BS1450" s="1"/>
      <c r="BU1450" s="1"/>
      <c r="BW1450" s="1"/>
    </row>
    <row r="1451" spans="35:75">
      <c r="AI1451" s="1"/>
      <c r="AL1451" s="1"/>
      <c r="AO1451" s="1"/>
      <c r="AR1451" s="1"/>
      <c r="AZ1451" s="1"/>
      <c r="BC1451" s="1"/>
      <c r="BF1451" s="1"/>
      <c r="BI1451" s="1"/>
      <c r="BP1451" s="1"/>
      <c r="BS1451" s="1"/>
      <c r="BU1451" s="1"/>
      <c r="BW1451" s="1"/>
    </row>
    <row r="1452" spans="35:75">
      <c r="AI1452" s="1"/>
      <c r="AL1452" s="1"/>
      <c r="AO1452" s="1"/>
      <c r="AR1452" s="1"/>
      <c r="AZ1452" s="1"/>
      <c r="BC1452" s="1"/>
      <c r="BF1452" s="1"/>
      <c r="BI1452" s="1"/>
      <c r="BP1452" s="1"/>
      <c r="BS1452" s="1"/>
      <c r="BU1452" s="1"/>
      <c r="BW1452" s="1"/>
    </row>
    <row r="1453" spans="35:75">
      <c r="AI1453" s="1"/>
      <c r="AL1453" s="1"/>
      <c r="AO1453" s="1"/>
      <c r="AR1453" s="1"/>
      <c r="AZ1453" s="1"/>
      <c r="BC1453" s="1"/>
      <c r="BF1453" s="1"/>
      <c r="BI1453" s="1"/>
      <c r="BP1453" s="1"/>
      <c r="BS1453" s="1"/>
      <c r="BU1453" s="1"/>
      <c r="BW1453" s="1"/>
    </row>
    <row r="1454" spans="35:75">
      <c r="AI1454" s="1"/>
      <c r="AL1454" s="1"/>
      <c r="AO1454" s="1"/>
      <c r="AR1454" s="1"/>
      <c r="AZ1454" s="1"/>
      <c r="BC1454" s="1"/>
      <c r="BF1454" s="1"/>
      <c r="BI1454" s="1"/>
      <c r="BP1454" s="1"/>
      <c r="BS1454" s="1"/>
      <c r="BU1454" s="1"/>
      <c r="BW1454" s="1"/>
    </row>
    <row r="1455" spans="35:75">
      <c r="AI1455" s="1"/>
      <c r="AL1455" s="1"/>
      <c r="AO1455" s="1"/>
      <c r="AR1455" s="1"/>
      <c r="AZ1455" s="1"/>
      <c r="BC1455" s="1"/>
      <c r="BF1455" s="1"/>
      <c r="BI1455" s="1"/>
      <c r="BP1455" s="1"/>
      <c r="BS1455" s="1"/>
      <c r="BU1455" s="1"/>
      <c r="BW1455" s="1"/>
    </row>
    <row r="1456" spans="35:75">
      <c r="AI1456" s="1"/>
      <c r="AL1456" s="1"/>
      <c r="AO1456" s="1"/>
      <c r="AR1456" s="1"/>
      <c r="AZ1456" s="1"/>
      <c r="BC1456" s="1"/>
      <c r="BF1456" s="1"/>
      <c r="BI1456" s="1"/>
      <c r="BP1456" s="1"/>
      <c r="BS1456" s="1"/>
      <c r="BU1456" s="1"/>
      <c r="BW1456" s="1"/>
    </row>
    <row r="1457" spans="35:75">
      <c r="AI1457" s="1"/>
      <c r="AL1457" s="1"/>
      <c r="AO1457" s="1"/>
      <c r="AR1457" s="1"/>
      <c r="AZ1457" s="1"/>
      <c r="BC1457" s="1"/>
      <c r="BF1457" s="1"/>
      <c r="BI1457" s="1"/>
      <c r="BP1457" s="1"/>
      <c r="BS1457" s="1"/>
      <c r="BU1457" s="1"/>
      <c r="BW1457" s="1"/>
    </row>
    <row r="1458" spans="35:75">
      <c r="AI1458" s="1"/>
      <c r="AL1458" s="1"/>
      <c r="AO1458" s="1"/>
      <c r="AR1458" s="1"/>
      <c r="AZ1458" s="1"/>
      <c r="BC1458" s="1"/>
      <c r="BF1458" s="1"/>
      <c r="BI1458" s="1"/>
      <c r="BP1458" s="1"/>
      <c r="BS1458" s="1"/>
      <c r="BU1458" s="1"/>
      <c r="BW1458" s="1"/>
    </row>
    <row r="1459" spans="35:75">
      <c r="AI1459" s="1"/>
      <c r="AL1459" s="1"/>
      <c r="AO1459" s="1"/>
      <c r="AR1459" s="1"/>
      <c r="AZ1459" s="1"/>
      <c r="BC1459" s="1"/>
      <c r="BF1459" s="1"/>
      <c r="BI1459" s="1"/>
      <c r="BP1459" s="1"/>
      <c r="BS1459" s="1"/>
      <c r="BU1459" s="1"/>
      <c r="BW1459" s="1"/>
    </row>
    <row r="1460" spans="35:75">
      <c r="AI1460" s="1"/>
      <c r="AL1460" s="1"/>
      <c r="AO1460" s="1"/>
      <c r="AR1460" s="1"/>
      <c r="AZ1460" s="1"/>
      <c r="BC1460" s="1"/>
      <c r="BF1460" s="1"/>
      <c r="BI1460" s="1"/>
      <c r="BP1460" s="1"/>
      <c r="BS1460" s="1"/>
      <c r="BU1460" s="1"/>
      <c r="BW1460" s="1"/>
    </row>
    <row r="1461" spans="35:75">
      <c r="AI1461" s="1"/>
      <c r="AL1461" s="1"/>
      <c r="AO1461" s="1"/>
      <c r="AR1461" s="1"/>
      <c r="AZ1461" s="1"/>
      <c r="BC1461" s="1"/>
      <c r="BF1461" s="1"/>
      <c r="BI1461" s="1"/>
      <c r="BP1461" s="1"/>
      <c r="BS1461" s="1"/>
      <c r="BU1461" s="1"/>
      <c r="BW1461" s="1"/>
    </row>
    <row r="1462" spans="35:75">
      <c r="AI1462" s="1"/>
      <c r="AL1462" s="1"/>
      <c r="AO1462" s="1"/>
      <c r="AR1462" s="1"/>
      <c r="AZ1462" s="1"/>
      <c r="BC1462" s="1"/>
      <c r="BF1462" s="1"/>
      <c r="BI1462" s="1"/>
      <c r="BP1462" s="1"/>
      <c r="BS1462" s="1"/>
      <c r="BU1462" s="1"/>
      <c r="BW1462" s="1"/>
    </row>
    <row r="1463" spans="35:75">
      <c r="AI1463" s="1"/>
      <c r="AL1463" s="1"/>
      <c r="AO1463" s="1"/>
      <c r="AR1463" s="1"/>
      <c r="AZ1463" s="1"/>
      <c r="BC1463" s="1"/>
      <c r="BF1463" s="1"/>
      <c r="BI1463" s="1"/>
      <c r="BP1463" s="1"/>
      <c r="BS1463" s="1"/>
      <c r="BU1463" s="1"/>
      <c r="BW1463" s="1"/>
    </row>
    <row r="1464" spans="35:75">
      <c r="AI1464" s="1"/>
      <c r="AL1464" s="1"/>
      <c r="AO1464" s="1"/>
      <c r="AR1464" s="1"/>
      <c r="AZ1464" s="1"/>
      <c r="BC1464" s="1"/>
      <c r="BF1464" s="1"/>
      <c r="BI1464" s="1"/>
      <c r="BP1464" s="1"/>
      <c r="BS1464" s="1"/>
      <c r="BU1464" s="1"/>
      <c r="BW1464" s="1"/>
    </row>
    <row r="1465" spans="35:75">
      <c r="AI1465" s="1"/>
      <c r="AL1465" s="1"/>
      <c r="AO1465" s="1"/>
      <c r="AR1465" s="1"/>
      <c r="AZ1465" s="1"/>
      <c r="BC1465" s="1"/>
      <c r="BF1465" s="1"/>
      <c r="BI1465" s="1"/>
      <c r="BP1465" s="1"/>
      <c r="BS1465" s="1"/>
      <c r="BU1465" s="1"/>
      <c r="BW1465" s="1"/>
    </row>
    <row r="1466" spans="35:75">
      <c r="AI1466" s="1"/>
      <c r="AL1466" s="1"/>
      <c r="AO1466" s="1"/>
      <c r="AR1466" s="1"/>
      <c r="AZ1466" s="1"/>
      <c r="BC1466" s="1"/>
      <c r="BF1466" s="1"/>
      <c r="BI1466" s="1"/>
      <c r="BP1466" s="1"/>
      <c r="BS1466" s="1"/>
      <c r="BU1466" s="1"/>
      <c r="BW1466" s="1"/>
    </row>
    <row r="1467" spans="35:75">
      <c r="AI1467" s="1"/>
      <c r="AL1467" s="1"/>
      <c r="AO1467" s="1"/>
      <c r="AR1467" s="1"/>
      <c r="AZ1467" s="1"/>
      <c r="BC1467" s="1"/>
      <c r="BF1467" s="1"/>
      <c r="BI1467" s="1"/>
      <c r="BP1467" s="1"/>
      <c r="BS1467" s="1"/>
      <c r="BU1467" s="1"/>
      <c r="BW1467" s="1"/>
    </row>
    <row r="1468" spans="35:75">
      <c r="AI1468" s="1"/>
      <c r="AL1468" s="1"/>
      <c r="AO1468" s="1"/>
      <c r="AR1468" s="1"/>
      <c r="AZ1468" s="1"/>
      <c r="BC1468" s="1"/>
      <c r="BF1468" s="1"/>
      <c r="BI1468" s="1"/>
      <c r="BP1468" s="1"/>
      <c r="BS1468" s="1"/>
      <c r="BU1468" s="1"/>
      <c r="BW1468" s="1"/>
    </row>
    <row r="1469" spans="35:75">
      <c r="AI1469" s="1"/>
      <c r="AL1469" s="1"/>
      <c r="AO1469" s="1"/>
      <c r="AR1469" s="1"/>
      <c r="AZ1469" s="1"/>
      <c r="BC1469" s="1"/>
      <c r="BF1469" s="1"/>
      <c r="BI1469" s="1"/>
      <c r="BP1469" s="1"/>
      <c r="BS1469" s="1"/>
      <c r="BU1469" s="1"/>
      <c r="BW1469" s="1"/>
    </row>
    <row r="1470" spans="35:75">
      <c r="AI1470" s="1"/>
      <c r="AL1470" s="1"/>
      <c r="AO1470" s="1"/>
      <c r="AR1470" s="1"/>
      <c r="AZ1470" s="1"/>
      <c r="BC1470" s="1"/>
      <c r="BF1470" s="1"/>
      <c r="BI1470" s="1"/>
      <c r="BP1470" s="1"/>
      <c r="BS1470" s="1"/>
      <c r="BU1470" s="1"/>
      <c r="BW1470" s="1"/>
    </row>
    <row r="1471" spans="35:75">
      <c r="AI1471" s="1"/>
      <c r="AL1471" s="1"/>
      <c r="AO1471" s="1"/>
      <c r="AR1471" s="1"/>
      <c r="AZ1471" s="1"/>
      <c r="BC1471" s="1"/>
      <c r="BF1471" s="1"/>
      <c r="BI1471" s="1"/>
      <c r="BP1471" s="1"/>
      <c r="BS1471" s="1"/>
      <c r="BU1471" s="1"/>
      <c r="BW1471" s="1"/>
    </row>
    <row r="1472" spans="35:75">
      <c r="AI1472" s="1"/>
      <c r="AL1472" s="1"/>
      <c r="AO1472" s="1"/>
      <c r="AR1472" s="1"/>
      <c r="AZ1472" s="1"/>
      <c r="BC1472" s="1"/>
      <c r="BF1472" s="1"/>
      <c r="BI1472" s="1"/>
      <c r="BP1472" s="1"/>
      <c r="BS1472" s="1"/>
      <c r="BU1472" s="1"/>
      <c r="BW1472" s="1"/>
    </row>
    <row r="1473" spans="35:75">
      <c r="AI1473" s="1"/>
      <c r="AL1473" s="1"/>
      <c r="AO1473" s="1"/>
      <c r="AR1473" s="1"/>
      <c r="AZ1473" s="1"/>
      <c r="BC1473" s="1"/>
      <c r="BF1473" s="1"/>
      <c r="BI1473" s="1"/>
      <c r="BP1473" s="1"/>
      <c r="BS1473" s="1"/>
      <c r="BU1473" s="1"/>
      <c r="BW1473" s="1"/>
    </row>
    <row r="1474" spans="35:75">
      <c r="AI1474" s="1"/>
      <c r="AL1474" s="1"/>
      <c r="AO1474" s="1"/>
      <c r="AR1474" s="1"/>
      <c r="AZ1474" s="1"/>
      <c r="BC1474" s="1"/>
      <c r="BF1474" s="1"/>
      <c r="BI1474" s="1"/>
      <c r="BP1474" s="1"/>
      <c r="BS1474" s="1"/>
      <c r="BU1474" s="1"/>
      <c r="BW1474" s="1"/>
    </row>
    <row r="1475" spans="35:75">
      <c r="AI1475" s="1"/>
      <c r="AL1475" s="1"/>
      <c r="AO1475" s="1"/>
      <c r="AR1475" s="1"/>
      <c r="AZ1475" s="1"/>
      <c r="BC1475" s="1"/>
      <c r="BF1475" s="1"/>
      <c r="BI1475" s="1"/>
      <c r="BP1475" s="1"/>
      <c r="BS1475" s="1"/>
      <c r="BU1475" s="1"/>
      <c r="BW1475" s="1"/>
    </row>
    <row r="1476" spans="35:75">
      <c r="AI1476" s="1"/>
      <c r="AL1476" s="1"/>
      <c r="AO1476" s="1"/>
      <c r="AR1476" s="1"/>
      <c r="AZ1476" s="1"/>
      <c r="BC1476" s="1"/>
      <c r="BF1476" s="1"/>
      <c r="BI1476" s="1"/>
      <c r="BP1476" s="1"/>
      <c r="BS1476" s="1"/>
      <c r="BU1476" s="1"/>
      <c r="BW1476" s="1"/>
    </row>
    <row r="1477" spans="35:75">
      <c r="AI1477" s="1"/>
      <c r="AL1477" s="1"/>
      <c r="AO1477" s="1"/>
      <c r="AR1477" s="1"/>
      <c r="AZ1477" s="1"/>
      <c r="BC1477" s="1"/>
      <c r="BF1477" s="1"/>
      <c r="BI1477" s="1"/>
      <c r="BP1477" s="1"/>
      <c r="BS1477" s="1"/>
      <c r="BU1477" s="1"/>
      <c r="BW1477" s="1"/>
    </row>
    <row r="1478" spans="35:75">
      <c r="AI1478" s="1"/>
      <c r="AL1478" s="1"/>
      <c r="AO1478" s="1"/>
      <c r="AR1478" s="1"/>
      <c r="AZ1478" s="1"/>
      <c r="BC1478" s="1"/>
      <c r="BF1478" s="1"/>
      <c r="BI1478" s="1"/>
      <c r="BP1478" s="1"/>
      <c r="BS1478" s="1"/>
      <c r="BU1478" s="1"/>
      <c r="BW1478" s="1"/>
    </row>
    <row r="1479" spans="35:75">
      <c r="AI1479" s="1"/>
      <c r="AL1479" s="1"/>
      <c r="AO1479" s="1"/>
      <c r="AR1479" s="1"/>
      <c r="AZ1479" s="1"/>
      <c r="BC1479" s="1"/>
      <c r="BF1479" s="1"/>
      <c r="BI1479" s="1"/>
      <c r="BP1479" s="1"/>
      <c r="BS1479" s="1"/>
      <c r="BU1479" s="1"/>
      <c r="BW1479" s="1"/>
    </row>
    <row r="1480" spans="35:75">
      <c r="AI1480" s="1"/>
      <c r="AL1480" s="1"/>
      <c r="AO1480" s="1"/>
      <c r="AR1480" s="1"/>
      <c r="AZ1480" s="1"/>
      <c r="BC1480" s="1"/>
      <c r="BF1480" s="1"/>
      <c r="BI1480" s="1"/>
      <c r="BP1480" s="1"/>
      <c r="BS1480" s="1"/>
      <c r="BU1480" s="1"/>
      <c r="BW1480" s="1"/>
    </row>
    <row r="1481" spans="35:75">
      <c r="AI1481" s="1"/>
      <c r="AL1481" s="1"/>
      <c r="AO1481" s="1"/>
      <c r="AR1481" s="1"/>
      <c r="AZ1481" s="1"/>
      <c r="BC1481" s="1"/>
      <c r="BF1481" s="1"/>
      <c r="BI1481" s="1"/>
      <c r="BP1481" s="1"/>
      <c r="BS1481" s="1"/>
      <c r="BU1481" s="1"/>
      <c r="BW1481" s="1"/>
    </row>
    <row r="1482" spans="35:75">
      <c r="AI1482" s="1"/>
      <c r="AL1482" s="1"/>
      <c r="AO1482" s="1"/>
      <c r="AR1482" s="1"/>
      <c r="AZ1482" s="1"/>
      <c r="BC1482" s="1"/>
      <c r="BF1482" s="1"/>
      <c r="BI1482" s="1"/>
      <c r="BP1482" s="1"/>
      <c r="BS1482" s="1"/>
      <c r="BU1482" s="1"/>
      <c r="BW1482" s="1"/>
    </row>
    <row r="1483" spans="35:75">
      <c r="AI1483" s="1"/>
      <c r="AL1483" s="1"/>
      <c r="AO1483" s="1"/>
      <c r="AR1483" s="1"/>
      <c r="AZ1483" s="1"/>
      <c r="BC1483" s="1"/>
      <c r="BF1483" s="1"/>
      <c r="BI1483" s="1"/>
      <c r="BP1483" s="1"/>
      <c r="BS1483" s="1"/>
      <c r="BU1483" s="1"/>
      <c r="BW1483" s="1"/>
    </row>
    <row r="1484" spans="35:75">
      <c r="AI1484" s="1"/>
      <c r="AL1484" s="1"/>
      <c r="AO1484" s="1"/>
      <c r="AR1484" s="1"/>
      <c r="AZ1484" s="1"/>
      <c r="BC1484" s="1"/>
      <c r="BF1484" s="1"/>
      <c r="BI1484" s="1"/>
      <c r="BP1484" s="1"/>
      <c r="BS1484" s="1"/>
      <c r="BU1484" s="1"/>
      <c r="BW1484" s="1"/>
    </row>
    <row r="1485" spans="35:75">
      <c r="AI1485" s="1"/>
      <c r="AL1485" s="1"/>
      <c r="AO1485" s="1"/>
      <c r="AR1485" s="1"/>
      <c r="AZ1485" s="1"/>
      <c r="BC1485" s="1"/>
      <c r="BF1485" s="1"/>
      <c r="BI1485" s="1"/>
      <c r="BP1485" s="1"/>
      <c r="BS1485" s="1"/>
      <c r="BU1485" s="1"/>
      <c r="BW1485" s="1"/>
    </row>
    <row r="1486" spans="35:75">
      <c r="AI1486" s="1"/>
      <c r="AL1486" s="1"/>
      <c r="AO1486" s="1"/>
      <c r="AR1486" s="1"/>
      <c r="AZ1486" s="1"/>
      <c r="BC1486" s="1"/>
      <c r="BF1486" s="1"/>
      <c r="BI1486" s="1"/>
      <c r="BP1486" s="1"/>
      <c r="BS1486" s="1"/>
      <c r="BU1486" s="1"/>
      <c r="BW1486" s="1"/>
    </row>
    <row r="1487" spans="35:75">
      <c r="AI1487" s="1"/>
      <c r="AL1487" s="1"/>
      <c r="AO1487" s="1"/>
      <c r="AR1487" s="1"/>
      <c r="AZ1487" s="1"/>
      <c r="BC1487" s="1"/>
      <c r="BF1487" s="1"/>
      <c r="BI1487" s="1"/>
      <c r="BP1487" s="1"/>
      <c r="BS1487" s="1"/>
      <c r="BU1487" s="1"/>
      <c r="BW1487" s="1"/>
    </row>
    <row r="1488" spans="35:75">
      <c r="AI1488" s="1"/>
      <c r="AL1488" s="1"/>
      <c r="AO1488" s="1"/>
      <c r="AR1488" s="1"/>
      <c r="AZ1488" s="1"/>
      <c r="BC1488" s="1"/>
      <c r="BF1488" s="1"/>
      <c r="BI1488" s="1"/>
      <c r="BP1488" s="1"/>
      <c r="BS1488" s="1"/>
      <c r="BU1488" s="1"/>
      <c r="BW1488" s="1"/>
    </row>
    <row r="1489" spans="35:75">
      <c r="AI1489" s="1"/>
      <c r="AL1489" s="1"/>
      <c r="AO1489" s="1"/>
      <c r="AR1489" s="1"/>
      <c r="AZ1489" s="1"/>
      <c r="BC1489" s="1"/>
      <c r="BF1489" s="1"/>
      <c r="BI1489" s="1"/>
      <c r="BP1489" s="1"/>
      <c r="BS1489" s="1"/>
      <c r="BU1489" s="1"/>
      <c r="BW1489" s="1"/>
    </row>
    <row r="1490" spans="35:75">
      <c r="AI1490" s="1"/>
      <c r="AL1490" s="1"/>
      <c r="AO1490" s="1"/>
      <c r="AR1490" s="1"/>
      <c r="AZ1490" s="1"/>
      <c r="BC1490" s="1"/>
      <c r="BF1490" s="1"/>
      <c r="BI1490" s="1"/>
      <c r="BP1490" s="1"/>
      <c r="BS1490" s="1"/>
      <c r="BU1490" s="1"/>
      <c r="BW1490" s="1"/>
    </row>
    <row r="1491" spans="35:75">
      <c r="AI1491" s="1"/>
      <c r="AL1491" s="1"/>
      <c r="AO1491" s="1"/>
      <c r="AR1491" s="1"/>
      <c r="AZ1491" s="1"/>
      <c r="BC1491" s="1"/>
      <c r="BF1491" s="1"/>
      <c r="BI1491" s="1"/>
      <c r="BP1491" s="1"/>
      <c r="BS1491" s="1"/>
      <c r="BU1491" s="1"/>
      <c r="BW1491" s="1"/>
    </row>
    <row r="1492" spans="35:75">
      <c r="AI1492" s="1"/>
      <c r="AL1492" s="1"/>
      <c r="AO1492" s="1"/>
      <c r="AR1492" s="1"/>
      <c r="AZ1492" s="1"/>
      <c r="BC1492" s="1"/>
      <c r="BF1492" s="1"/>
      <c r="BI1492" s="1"/>
      <c r="BP1492" s="1"/>
      <c r="BS1492" s="1"/>
      <c r="BU1492" s="1"/>
      <c r="BW1492" s="1"/>
    </row>
    <row r="1493" spans="35:75">
      <c r="AI1493" s="1"/>
      <c r="AL1493" s="1"/>
      <c r="AO1493" s="1"/>
      <c r="AR1493" s="1"/>
      <c r="AZ1493" s="1"/>
      <c r="BC1493" s="1"/>
      <c r="BF1493" s="1"/>
      <c r="BI1493" s="1"/>
      <c r="BP1493" s="1"/>
      <c r="BS1493" s="1"/>
      <c r="BU1493" s="1"/>
      <c r="BW1493" s="1"/>
    </row>
    <row r="1494" spans="35:75">
      <c r="AI1494" s="1"/>
      <c r="AL1494" s="1"/>
      <c r="AO1494" s="1"/>
      <c r="AR1494" s="1"/>
      <c r="AZ1494" s="1"/>
      <c r="BC1494" s="1"/>
      <c r="BF1494" s="1"/>
      <c r="BI1494" s="1"/>
      <c r="BP1494" s="1"/>
      <c r="BS1494" s="1"/>
      <c r="BU1494" s="1"/>
      <c r="BW1494" s="1"/>
    </row>
    <row r="1495" spans="35:75">
      <c r="AI1495" s="1"/>
      <c r="AL1495" s="1"/>
      <c r="AO1495" s="1"/>
      <c r="AR1495" s="1"/>
      <c r="AZ1495" s="1"/>
      <c r="BC1495" s="1"/>
      <c r="BF1495" s="1"/>
      <c r="BI1495" s="1"/>
      <c r="BP1495" s="1"/>
      <c r="BS1495" s="1"/>
      <c r="BU1495" s="1"/>
      <c r="BW1495" s="1"/>
    </row>
    <row r="1496" spans="35:75">
      <c r="AI1496" s="1"/>
      <c r="AL1496" s="1"/>
      <c r="AO1496" s="1"/>
      <c r="AR1496" s="1"/>
      <c r="AZ1496" s="1"/>
      <c r="BC1496" s="1"/>
      <c r="BF1496" s="1"/>
      <c r="BI1496" s="1"/>
      <c r="BP1496" s="1"/>
      <c r="BS1496" s="1"/>
      <c r="BU1496" s="1"/>
      <c r="BW1496" s="1"/>
    </row>
    <row r="1497" spans="35:75">
      <c r="AI1497" s="1"/>
      <c r="AL1497" s="1"/>
      <c r="AO1497" s="1"/>
      <c r="AR1497" s="1"/>
      <c r="AZ1497" s="1"/>
      <c r="BC1497" s="1"/>
      <c r="BF1497" s="1"/>
      <c r="BI1497" s="1"/>
      <c r="BP1497" s="1"/>
      <c r="BS1497" s="1"/>
      <c r="BU1497" s="1"/>
      <c r="BW1497" s="1"/>
    </row>
    <row r="1498" spans="35:75">
      <c r="AI1498" s="1"/>
      <c r="AL1498" s="1"/>
      <c r="AO1498" s="1"/>
      <c r="AR1498" s="1"/>
      <c r="AZ1498" s="1"/>
      <c r="BC1498" s="1"/>
      <c r="BF1498" s="1"/>
      <c r="BI1498" s="1"/>
      <c r="BP1498" s="1"/>
      <c r="BS1498" s="1"/>
      <c r="BU1498" s="1"/>
      <c r="BW1498" s="1"/>
    </row>
    <row r="1499" spans="35:75">
      <c r="AI1499" s="1"/>
      <c r="AL1499" s="1"/>
      <c r="AO1499" s="1"/>
      <c r="AR1499" s="1"/>
      <c r="AZ1499" s="1"/>
      <c r="BC1499" s="1"/>
      <c r="BF1499" s="1"/>
      <c r="BI1499" s="1"/>
      <c r="BP1499" s="1"/>
      <c r="BS1499" s="1"/>
      <c r="BU1499" s="1"/>
      <c r="BW1499" s="1"/>
    </row>
    <row r="1500" spans="35:75">
      <c r="AI1500" s="1"/>
      <c r="AL1500" s="1"/>
      <c r="AO1500" s="1"/>
      <c r="AR1500" s="1"/>
      <c r="AZ1500" s="1"/>
      <c r="BC1500" s="1"/>
      <c r="BF1500" s="1"/>
      <c r="BI1500" s="1"/>
      <c r="BP1500" s="1"/>
      <c r="BS1500" s="1"/>
      <c r="BU1500" s="1"/>
      <c r="BW1500" s="1"/>
    </row>
    <row r="1501" spans="35:75">
      <c r="AI1501" s="1"/>
      <c r="AL1501" s="1"/>
      <c r="AO1501" s="1"/>
      <c r="AR1501" s="1"/>
      <c r="AZ1501" s="1"/>
      <c r="BC1501" s="1"/>
      <c r="BF1501" s="1"/>
      <c r="BI1501" s="1"/>
      <c r="BP1501" s="1"/>
      <c r="BS1501" s="1"/>
      <c r="BU1501" s="1"/>
      <c r="BW1501" s="1"/>
    </row>
    <row r="1502" spans="35:75">
      <c r="AI1502" s="1"/>
      <c r="AL1502" s="1"/>
      <c r="AO1502" s="1"/>
      <c r="AR1502" s="1"/>
      <c r="AZ1502" s="1"/>
      <c r="BC1502" s="1"/>
      <c r="BF1502" s="1"/>
      <c r="BI1502" s="1"/>
      <c r="BP1502" s="1"/>
      <c r="BS1502" s="1"/>
      <c r="BU1502" s="1"/>
      <c r="BW1502" s="1"/>
    </row>
    <row r="1503" spans="35:75">
      <c r="AI1503" s="1"/>
      <c r="AL1503" s="1"/>
      <c r="AO1503" s="1"/>
      <c r="AR1503" s="1"/>
      <c r="AZ1503" s="1"/>
      <c r="BC1503" s="1"/>
      <c r="BF1503" s="1"/>
      <c r="BI1503" s="1"/>
      <c r="BP1503" s="1"/>
      <c r="BS1503" s="1"/>
      <c r="BU1503" s="1"/>
      <c r="BW1503" s="1"/>
    </row>
    <row r="1504" spans="35:75">
      <c r="AI1504" s="1"/>
      <c r="AL1504" s="1"/>
      <c r="AO1504" s="1"/>
      <c r="AR1504" s="1"/>
      <c r="AZ1504" s="1"/>
      <c r="BC1504" s="1"/>
      <c r="BF1504" s="1"/>
      <c r="BI1504" s="1"/>
      <c r="BP1504" s="1"/>
      <c r="BS1504" s="1"/>
      <c r="BU1504" s="1"/>
      <c r="BW1504" s="1"/>
    </row>
    <row r="1505" spans="35:75">
      <c r="AI1505" s="1"/>
      <c r="AL1505" s="1"/>
      <c r="AO1505" s="1"/>
      <c r="AR1505" s="1"/>
      <c r="AZ1505" s="1"/>
      <c r="BC1505" s="1"/>
      <c r="BF1505" s="1"/>
      <c r="BI1505" s="1"/>
      <c r="BP1505" s="1"/>
      <c r="BS1505" s="1"/>
      <c r="BU1505" s="1"/>
      <c r="BW1505" s="1"/>
    </row>
    <row r="1506" spans="35:75">
      <c r="AI1506" s="1"/>
      <c r="AL1506" s="1"/>
      <c r="AO1506" s="1"/>
      <c r="AR1506" s="1"/>
      <c r="AZ1506" s="1"/>
      <c r="BC1506" s="1"/>
      <c r="BF1506" s="1"/>
      <c r="BI1506" s="1"/>
      <c r="BP1506" s="1"/>
      <c r="BS1506" s="1"/>
      <c r="BU1506" s="1"/>
      <c r="BW1506" s="1"/>
    </row>
    <row r="1507" spans="35:75">
      <c r="AI1507" s="1"/>
      <c r="AL1507" s="1"/>
      <c r="AO1507" s="1"/>
      <c r="AR1507" s="1"/>
      <c r="AZ1507" s="1"/>
      <c r="BC1507" s="1"/>
      <c r="BF1507" s="1"/>
      <c r="BI1507" s="1"/>
      <c r="BP1507" s="1"/>
      <c r="BS1507" s="1"/>
      <c r="BU1507" s="1"/>
      <c r="BW1507" s="1"/>
    </row>
    <row r="1508" spans="35:75">
      <c r="AI1508" s="1"/>
      <c r="AL1508" s="1"/>
      <c r="AO1508" s="1"/>
      <c r="AR1508" s="1"/>
      <c r="AZ1508" s="1"/>
      <c r="BC1508" s="1"/>
      <c r="BF1508" s="1"/>
      <c r="BI1508" s="1"/>
      <c r="BP1508" s="1"/>
      <c r="BS1508" s="1"/>
      <c r="BU1508" s="1"/>
      <c r="BW1508" s="1"/>
    </row>
    <row r="1509" spans="35:75">
      <c r="AI1509" s="1"/>
      <c r="AL1509" s="1"/>
      <c r="AO1509" s="1"/>
      <c r="AR1509" s="1"/>
      <c r="AZ1509" s="1"/>
      <c r="BC1509" s="1"/>
      <c r="BF1509" s="1"/>
      <c r="BI1509" s="1"/>
      <c r="BP1509" s="1"/>
      <c r="BS1509" s="1"/>
      <c r="BU1509" s="1"/>
      <c r="BW1509" s="1"/>
    </row>
    <row r="1510" spans="35:75">
      <c r="AI1510" s="1"/>
      <c r="AL1510" s="1"/>
      <c r="AO1510" s="1"/>
      <c r="AR1510" s="1"/>
      <c r="AZ1510" s="1"/>
      <c r="BC1510" s="1"/>
      <c r="BF1510" s="1"/>
      <c r="BI1510" s="1"/>
      <c r="BP1510" s="1"/>
      <c r="BS1510" s="1"/>
      <c r="BU1510" s="1"/>
      <c r="BW1510" s="1"/>
    </row>
    <row r="1511" spans="35:75">
      <c r="AI1511" s="1"/>
      <c r="AL1511" s="1"/>
      <c r="AO1511" s="1"/>
      <c r="AR1511" s="1"/>
      <c r="AZ1511" s="1"/>
      <c r="BC1511" s="1"/>
      <c r="BF1511" s="1"/>
      <c r="BI1511" s="1"/>
      <c r="BP1511" s="1"/>
      <c r="BS1511" s="1"/>
      <c r="BU1511" s="1"/>
      <c r="BW1511" s="1"/>
    </row>
    <row r="1512" spans="35:75">
      <c r="AI1512" s="1"/>
      <c r="AL1512" s="1"/>
      <c r="AO1512" s="1"/>
      <c r="AR1512" s="1"/>
      <c r="AZ1512" s="1"/>
      <c r="BC1512" s="1"/>
      <c r="BF1512" s="1"/>
      <c r="BI1512" s="1"/>
      <c r="BP1512" s="1"/>
      <c r="BS1512" s="1"/>
      <c r="BU1512" s="1"/>
      <c r="BW1512" s="1"/>
    </row>
    <row r="1513" spans="35:75">
      <c r="AI1513" s="1"/>
      <c r="AL1513" s="1"/>
      <c r="AO1513" s="1"/>
      <c r="AR1513" s="1"/>
      <c r="AZ1513" s="1"/>
      <c r="BC1513" s="1"/>
      <c r="BF1513" s="1"/>
      <c r="BI1513" s="1"/>
      <c r="BP1513" s="1"/>
      <c r="BS1513" s="1"/>
      <c r="BU1513" s="1"/>
      <c r="BW1513" s="1"/>
    </row>
    <row r="1514" spans="35:75">
      <c r="AI1514" s="1"/>
      <c r="AL1514" s="1"/>
      <c r="AO1514" s="1"/>
      <c r="AR1514" s="1"/>
      <c r="AZ1514" s="1"/>
      <c r="BC1514" s="1"/>
      <c r="BF1514" s="1"/>
      <c r="BI1514" s="1"/>
      <c r="BP1514" s="1"/>
      <c r="BS1514" s="1"/>
      <c r="BU1514" s="1"/>
      <c r="BW1514" s="1"/>
    </row>
    <row r="1515" spans="35:75">
      <c r="AI1515" s="1"/>
      <c r="AL1515" s="1"/>
      <c r="AO1515" s="1"/>
      <c r="AR1515" s="1"/>
      <c r="AZ1515" s="1"/>
      <c r="BC1515" s="1"/>
      <c r="BF1515" s="1"/>
      <c r="BI1515" s="1"/>
      <c r="BP1515" s="1"/>
      <c r="BS1515" s="1"/>
      <c r="BU1515" s="1"/>
      <c r="BW1515" s="1"/>
    </row>
    <row r="1516" spans="35:75">
      <c r="AI1516" s="1"/>
      <c r="AL1516" s="1"/>
      <c r="AO1516" s="1"/>
      <c r="AR1516" s="1"/>
      <c r="AZ1516" s="1"/>
      <c r="BC1516" s="1"/>
      <c r="BF1516" s="1"/>
      <c r="BI1516" s="1"/>
      <c r="BP1516" s="1"/>
      <c r="BS1516" s="1"/>
      <c r="BU1516" s="1"/>
      <c r="BW1516" s="1"/>
    </row>
    <row r="1517" spans="35:75">
      <c r="AI1517" s="1"/>
      <c r="AL1517" s="1"/>
      <c r="AO1517" s="1"/>
      <c r="AR1517" s="1"/>
      <c r="AZ1517" s="1"/>
      <c r="BC1517" s="1"/>
      <c r="BF1517" s="1"/>
      <c r="BI1517" s="1"/>
      <c r="BP1517" s="1"/>
      <c r="BS1517" s="1"/>
      <c r="BU1517" s="1"/>
      <c r="BW1517" s="1"/>
    </row>
    <row r="1518" spans="35:75">
      <c r="AI1518" s="1"/>
      <c r="AL1518" s="1"/>
      <c r="AO1518" s="1"/>
      <c r="AR1518" s="1"/>
      <c r="AZ1518" s="1"/>
      <c r="BC1518" s="1"/>
      <c r="BF1518" s="1"/>
      <c r="BI1518" s="1"/>
      <c r="BP1518" s="1"/>
      <c r="BS1518" s="1"/>
      <c r="BU1518" s="1"/>
      <c r="BW1518" s="1"/>
    </row>
    <row r="1519" spans="35:75">
      <c r="AI1519" s="1"/>
      <c r="AL1519" s="1"/>
      <c r="AO1519" s="1"/>
      <c r="AR1519" s="1"/>
      <c r="AZ1519" s="1"/>
      <c r="BC1519" s="1"/>
      <c r="BF1519" s="1"/>
      <c r="BI1519" s="1"/>
      <c r="BP1519" s="1"/>
      <c r="BS1519" s="1"/>
      <c r="BU1519" s="1"/>
      <c r="BW1519" s="1"/>
    </row>
    <row r="1520" spans="35:75">
      <c r="AI1520" s="1"/>
      <c r="AL1520" s="1"/>
      <c r="AO1520" s="1"/>
      <c r="AR1520" s="1"/>
      <c r="AZ1520" s="1"/>
      <c r="BC1520" s="1"/>
      <c r="BF1520" s="1"/>
      <c r="BI1520" s="1"/>
      <c r="BP1520" s="1"/>
      <c r="BS1520" s="1"/>
      <c r="BU1520" s="1"/>
      <c r="BW1520" s="1"/>
    </row>
    <row r="1521" spans="35:75">
      <c r="AI1521" s="1"/>
      <c r="AL1521" s="1"/>
      <c r="AO1521" s="1"/>
      <c r="AR1521" s="1"/>
      <c r="AZ1521" s="1"/>
      <c r="BC1521" s="1"/>
      <c r="BF1521" s="1"/>
      <c r="BI1521" s="1"/>
      <c r="BP1521" s="1"/>
      <c r="BS1521" s="1"/>
      <c r="BU1521" s="1"/>
      <c r="BW1521" s="1"/>
    </row>
    <row r="1522" spans="35:75">
      <c r="AI1522" s="1"/>
      <c r="AL1522" s="1"/>
      <c r="AO1522" s="1"/>
      <c r="AR1522" s="1"/>
      <c r="AZ1522" s="1"/>
      <c r="BC1522" s="1"/>
      <c r="BF1522" s="1"/>
      <c r="BI1522" s="1"/>
      <c r="BP1522" s="1"/>
      <c r="BS1522" s="1"/>
      <c r="BU1522" s="1"/>
      <c r="BW1522" s="1"/>
    </row>
    <row r="1523" spans="35:75">
      <c r="AI1523" s="1"/>
      <c r="AL1523" s="1"/>
      <c r="AO1523" s="1"/>
      <c r="AR1523" s="1"/>
      <c r="AZ1523" s="1"/>
      <c r="BC1523" s="1"/>
      <c r="BF1523" s="1"/>
      <c r="BI1523" s="1"/>
      <c r="BP1523" s="1"/>
      <c r="BS1523" s="1"/>
      <c r="BU1523" s="1"/>
      <c r="BW1523" s="1"/>
    </row>
    <row r="1524" spans="35:75">
      <c r="AI1524" s="1"/>
      <c r="AL1524" s="1"/>
      <c r="AO1524" s="1"/>
      <c r="AR1524" s="1"/>
      <c r="AZ1524" s="1"/>
      <c r="BC1524" s="1"/>
      <c r="BF1524" s="1"/>
      <c r="BI1524" s="1"/>
      <c r="BP1524" s="1"/>
      <c r="BS1524" s="1"/>
      <c r="BU1524" s="1"/>
      <c r="BW1524" s="1"/>
    </row>
    <row r="1525" spans="35:75">
      <c r="AI1525" s="1"/>
      <c r="AL1525" s="1"/>
      <c r="AO1525" s="1"/>
      <c r="AR1525" s="1"/>
      <c r="AZ1525" s="1"/>
      <c r="BC1525" s="1"/>
      <c r="BF1525" s="1"/>
      <c r="BI1525" s="1"/>
      <c r="BP1525" s="1"/>
      <c r="BS1525" s="1"/>
      <c r="BU1525" s="1"/>
      <c r="BW1525" s="1"/>
    </row>
    <row r="1526" spans="35:75">
      <c r="AI1526" s="1"/>
      <c r="AL1526" s="1"/>
      <c r="AO1526" s="1"/>
      <c r="AR1526" s="1"/>
      <c r="AZ1526" s="1"/>
      <c r="BC1526" s="1"/>
      <c r="BF1526" s="1"/>
      <c r="BI1526" s="1"/>
      <c r="BP1526" s="1"/>
      <c r="BS1526" s="1"/>
      <c r="BU1526" s="1"/>
      <c r="BW1526" s="1"/>
    </row>
    <row r="1527" spans="35:75">
      <c r="AI1527" s="1"/>
      <c r="AL1527" s="1"/>
      <c r="AO1527" s="1"/>
      <c r="AR1527" s="1"/>
      <c r="AZ1527" s="1"/>
      <c r="BC1527" s="1"/>
      <c r="BF1527" s="1"/>
      <c r="BI1527" s="1"/>
      <c r="BP1527" s="1"/>
      <c r="BS1527" s="1"/>
      <c r="BU1527" s="1"/>
      <c r="BW1527" s="1"/>
    </row>
    <row r="1528" spans="35:75">
      <c r="AI1528" s="1"/>
      <c r="AL1528" s="1"/>
      <c r="AO1528" s="1"/>
      <c r="AR1528" s="1"/>
      <c r="AZ1528" s="1"/>
      <c r="BC1528" s="1"/>
      <c r="BF1528" s="1"/>
      <c r="BI1528" s="1"/>
      <c r="BP1528" s="1"/>
      <c r="BS1528" s="1"/>
      <c r="BU1528" s="1"/>
      <c r="BW1528" s="1"/>
    </row>
    <row r="1529" spans="35:75">
      <c r="AI1529" s="1"/>
      <c r="AL1529" s="1"/>
      <c r="AO1529" s="1"/>
      <c r="AR1529" s="1"/>
      <c r="AZ1529" s="1"/>
      <c r="BC1529" s="1"/>
      <c r="BF1529" s="1"/>
      <c r="BI1529" s="1"/>
      <c r="BP1529" s="1"/>
      <c r="BS1529" s="1"/>
      <c r="BU1529" s="1"/>
      <c r="BW1529" s="1"/>
    </row>
    <row r="1530" spans="35:75">
      <c r="AI1530" s="1"/>
      <c r="AL1530" s="1"/>
      <c r="AO1530" s="1"/>
      <c r="AR1530" s="1"/>
      <c r="AZ1530" s="1"/>
      <c r="BC1530" s="1"/>
      <c r="BF1530" s="1"/>
      <c r="BI1530" s="1"/>
      <c r="BP1530" s="1"/>
      <c r="BS1530" s="1"/>
      <c r="BU1530" s="1"/>
      <c r="BW1530" s="1"/>
    </row>
    <row r="1531" spans="35:75">
      <c r="AI1531" s="1"/>
      <c r="AL1531" s="1"/>
      <c r="AO1531" s="1"/>
      <c r="AR1531" s="1"/>
      <c r="AZ1531" s="1"/>
      <c r="BC1531" s="1"/>
      <c r="BF1531" s="1"/>
      <c r="BI1531" s="1"/>
      <c r="BP1531" s="1"/>
      <c r="BS1531" s="1"/>
      <c r="BU1531" s="1"/>
      <c r="BW1531" s="1"/>
    </row>
    <row r="1532" spans="35:75">
      <c r="AI1532" s="1"/>
      <c r="AL1532" s="1"/>
      <c r="AO1532" s="1"/>
      <c r="AR1532" s="1"/>
      <c r="AZ1532" s="1"/>
      <c r="BC1532" s="1"/>
      <c r="BF1532" s="1"/>
      <c r="BI1532" s="1"/>
      <c r="BP1532" s="1"/>
      <c r="BS1532" s="1"/>
      <c r="BU1532" s="1"/>
      <c r="BW1532" s="1"/>
    </row>
    <row r="1533" spans="35:75">
      <c r="AI1533" s="1"/>
      <c r="AL1533" s="1"/>
      <c r="AO1533" s="1"/>
      <c r="AR1533" s="1"/>
      <c r="AZ1533" s="1"/>
      <c r="BC1533" s="1"/>
      <c r="BF1533" s="1"/>
      <c r="BI1533" s="1"/>
      <c r="BP1533" s="1"/>
      <c r="BS1533" s="1"/>
      <c r="BU1533" s="1"/>
      <c r="BW1533" s="1"/>
    </row>
    <row r="1534" spans="35:75">
      <c r="AI1534" s="1"/>
      <c r="AL1534" s="1"/>
      <c r="AO1534" s="1"/>
      <c r="AR1534" s="1"/>
      <c r="AZ1534" s="1"/>
      <c r="BC1534" s="1"/>
      <c r="BF1534" s="1"/>
      <c r="BI1534" s="1"/>
      <c r="BP1534" s="1"/>
      <c r="BS1534" s="1"/>
      <c r="BU1534" s="1"/>
      <c r="BW1534" s="1"/>
    </row>
    <row r="1535" spans="35:75">
      <c r="AI1535" s="1"/>
      <c r="AL1535" s="1"/>
      <c r="AO1535" s="1"/>
      <c r="AR1535" s="1"/>
      <c r="AZ1535" s="1"/>
      <c r="BC1535" s="1"/>
      <c r="BF1535" s="1"/>
      <c r="BI1535" s="1"/>
      <c r="BP1535" s="1"/>
      <c r="BS1535" s="1"/>
      <c r="BU1535" s="1"/>
      <c r="BW1535" s="1"/>
    </row>
    <row r="1536" spans="35:75">
      <c r="AI1536" s="1"/>
      <c r="AL1536" s="1"/>
      <c r="AO1536" s="1"/>
      <c r="AR1536" s="1"/>
      <c r="AZ1536" s="1"/>
      <c r="BC1536" s="1"/>
      <c r="BF1536" s="1"/>
      <c r="BI1536" s="1"/>
      <c r="BP1536" s="1"/>
      <c r="BS1536" s="1"/>
      <c r="BU1536" s="1"/>
      <c r="BW1536" s="1"/>
    </row>
    <row r="1537" spans="35:75">
      <c r="AI1537" s="1"/>
      <c r="AL1537" s="1"/>
      <c r="AO1537" s="1"/>
      <c r="AR1537" s="1"/>
      <c r="AZ1537" s="1"/>
      <c r="BC1537" s="1"/>
      <c r="BF1537" s="1"/>
      <c r="BI1537" s="1"/>
      <c r="BP1537" s="1"/>
      <c r="BS1537" s="1"/>
      <c r="BU1537" s="1"/>
      <c r="BW1537" s="1"/>
    </row>
    <row r="1538" spans="35:75">
      <c r="AI1538" s="1"/>
      <c r="AL1538" s="1"/>
      <c r="AO1538" s="1"/>
      <c r="AR1538" s="1"/>
      <c r="AZ1538" s="1"/>
      <c r="BC1538" s="1"/>
      <c r="BF1538" s="1"/>
      <c r="BI1538" s="1"/>
      <c r="BP1538" s="1"/>
      <c r="BS1538" s="1"/>
      <c r="BU1538" s="1"/>
      <c r="BW1538" s="1"/>
    </row>
    <row r="1539" spans="35:75">
      <c r="AI1539" s="1"/>
      <c r="AL1539" s="1"/>
      <c r="AO1539" s="1"/>
      <c r="AR1539" s="1"/>
      <c r="AZ1539" s="1"/>
      <c r="BC1539" s="1"/>
      <c r="BF1539" s="1"/>
      <c r="BI1539" s="1"/>
      <c r="BP1539" s="1"/>
      <c r="BS1539" s="1"/>
      <c r="BU1539" s="1"/>
      <c r="BW1539" s="1"/>
    </row>
    <row r="1540" spans="35:75">
      <c r="AI1540" s="1"/>
      <c r="AL1540" s="1"/>
      <c r="AO1540" s="1"/>
      <c r="AR1540" s="1"/>
      <c r="AZ1540" s="1"/>
      <c r="BC1540" s="1"/>
      <c r="BF1540" s="1"/>
      <c r="BI1540" s="1"/>
      <c r="BP1540" s="1"/>
      <c r="BS1540" s="1"/>
      <c r="BU1540" s="1"/>
      <c r="BW1540" s="1"/>
    </row>
    <row r="1541" spans="35:75">
      <c r="AI1541" s="1"/>
      <c r="AL1541" s="1"/>
      <c r="AO1541" s="1"/>
      <c r="AR1541" s="1"/>
      <c r="AZ1541" s="1"/>
      <c r="BC1541" s="1"/>
      <c r="BF1541" s="1"/>
      <c r="BI1541" s="1"/>
      <c r="BP1541" s="1"/>
      <c r="BS1541" s="1"/>
      <c r="BU1541" s="1"/>
      <c r="BW1541" s="1"/>
    </row>
    <row r="1542" spans="35:75">
      <c r="AI1542" s="1"/>
      <c r="AL1542" s="1"/>
      <c r="AO1542" s="1"/>
      <c r="AR1542" s="1"/>
      <c r="AZ1542" s="1"/>
      <c r="BC1542" s="1"/>
      <c r="BF1542" s="1"/>
      <c r="BI1542" s="1"/>
      <c r="BP1542" s="1"/>
      <c r="BS1542" s="1"/>
      <c r="BU1542" s="1"/>
      <c r="BW1542" s="1"/>
    </row>
    <row r="1543" spans="35:75">
      <c r="AI1543" s="1"/>
      <c r="AL1543" s="1"/>
      <c r="AO1543" s="1"/>
      <c r="AR1543" s="1"/>
      <c r="AZ1543" s="1"/>
      <c r="BC1543" s="1"/>
      <c r="BF1543" s="1"/>
      <c r="BI1543" s="1"/>
      <c r="BP1543" s="1"/>
      <c r="BS1543" s="1"/>
      <c r="BU1543" s="1"/>
      <c r="BW1543" s="1"/>
    </row>
    <row r="1544" spans="35:75">
      <c r="AI1544" s="1"/>
      <c r="AL1544" s="1"/>
      <c r="AO1544" s="1"/>
      <c r="AR1544" s="1"/>
      <c r="AZ1544" s="1"/>
      <c r="BC1544" s="1"/>
      <c r="BF1544" s="1"/>
      <c r="BI1544" s="1"/>
      <c r="BP1544" s="1"/>
      <c r="BS1544" s="1"/>
      <c r="BU1544" s="1"/>
      <c r="BW1544" s="1"/>
    </row>
    <row r="1545" spans="35:75">
      <c r="AI1545" s="1"/>
      <c r="AL1545" s="1"/>
      <c r="AO1545" s="1"/>
      <c r="AR1545" s="1"/>
      <c r="AZ1545" s="1"/>
      <c r="BC1545" s="1"/>
      <c r="BF1545" s="1"/>
      <c r="BI1545" s="1"/>
      <c r="BP1545" s="1"/>
      <c r="BS1545" s="1"/>
      <c r="BU1545" s="1"/>
      <c r="BW1545" s="1"/>
    </row>
    <row r="1546" spans="35:75">
      <c r="AI1546" s="1"/>
      <c r="AL1546" s="1"/>
      <c r="AO1546" s="1"/>
      <c r="AR1546" s="1"/>
      <c r="AZ1546" s="1"/>
      <c r="BC1546" s="1"/>
      <c r="BF1546" s="1"/>
      <c r="BI1546" s="1"/>
      <c r="BP1546" s="1"/>
      <c r="BS1546" s="1"/>
      <c r="BU1546" s="1"/>
      <c r="BW1546" s="1"/>
    </row>
    <row r="1547" spans="35:75">
      <c r="AI1547" s="1"/>
      <c r="AL1547" s="1"/>
      <c r="AO1547" s="1"/>
      <c r="AR1547" s="1"/>
      <c r="AZ1547" s="1"/>
      <c r="BC1547" s="1"/>
      <c r="BF1547" s="1"/>
      <c r="BI1547" s="1"/>
      <c r="BP1547" s="1"/>
      <c r="BS1547" s="1"/>
      <c r="BU1547" s="1"/>
      <c r="BW1547" s="1"/>
    </row>
    <row r="1548" spans="35:75">
      <c r="AI1548" s="1"/>
      <c r="AL1548" s="1"/>
      <c r="AO1548" s="1"/>
      <c r="AR1548" s="1"/>
      <c r="AZ1548" s="1"/>
      <c r="BC1548" s="1"/>
      <c r="BF1548" s="1"/>
      <c r="BI1548" s="1"/>
      <c r="BP1548" s="1"/>
      <c r="BS1548" s="1"/>
      <c r="BU1548" s="1"/>
      <c r="BW1548" s="1"/>
    </row>
    <row r="1549" spans="35:75">
      <c r="AI1549" s="1"/>
      <c r="AL1549" s="1"/>
      <c r="AO1549" s="1"/>
      <c r="AR1549" s="1"/>
      <c r="AZ1549" s="1"/>
      <c r="BC1549" s="1"/>
      <c r="BF1549" s="1"/>
      <c r="BI1549" s="1"/>
      <c r="BP1549" s="1"/>
      <c r="BS1549" s="1"/>
      <c r="BU1549" s="1"/>
      <c r="BW1549" s="1"/>
    </row>
    <row r="1550" spans="35:75">
      <c r="AI1550" s="1"/>
      <c r="AL1550" s="1"/>
      <c r="AO1550" s="1"/>
      <c r="AR1550" s="1"/>
      <c r="AZ1550" s="1"/>
      <c r="BC1550" s="1"/>
      <c r="BF1550" s="1"/>
      <c r="BI1550" s="1"/>
      <c r="BP1550" s="1"/>
      <c r="BS1550" s="1"/>
      <c r="BU1550" s="1"/>
      <c r="BW1550" s="1"/>
    </row>
    <row r="1551" spans="35:75">
      <c r="AI1551" s="1"/>
      <c r="AL1551" s="1"/>
      <c r="AO1551" s="1"/>
      <c r="AR1551" s="1"/>
      <c r="AZ1551" s="1"/>
      <c r="BC1551" s="1"/>
      <c r="BF1551" s="1"/>
      <c r="BI1551" s="1"/>
      <c r="BP1551" s="1"/>
      <c r="BS1551" s="1"/>
      <c r="BU1551" s="1"/>
      <c r="BW1551" s="1"/>
    </row>
    <row r="1552" spans="35:75">
      <c r="AI1552" s="1"/>
      <c r="AL1552" s="1"/>
      <c r="AO1552" s="1"/>
      <c r="AR1552" s="1"/>
      <c r="AZ1552" s="1"/>
      <c r="BC1552" s="1"/>
      <c r="BF1552" s="1"/>
      <c r="BI1552" s="1"/>
      <c r="BP1552" s="1"/>
      <c r="BS1552" s="1"/>
      <c r="BU1552" s="1"/>
      <c r="BW1552" s="1"/>
    </row>
    <row r="1553" spans="35:75">
      <c r="AI1553" s="1"/>
      <c r="AL1553" s="1"/>
      <c r="AO1553" s="1"/>
      <c r="AR1553" s="1"/>
      <c r="AZ1553" s="1"/>
      <c r="BC1553" s="1"/>
      <c r="BF1553" s="1"/>
      <c r="BI1553" s="1"/>
      <c r="BP1553" s="1"/>
      <c r="BS1553" s="1"/>
      <c r="BU1553" s="1"/>
      <c r="BW1553" s="1"/>
    </row>
    <row r="1554" spans="35:75">
      <c r="AI1554" s="1"/>
      <c r="AL1554" s="1"/>
      <c r="AO1554" s="1"/>
      <c r="AR1554" s="1"/>
      <c r="AZ1554" s="1"/>
      <c r="BC1554" s="1"/>
      <c r="BF1554" s="1"/>
      <c r="BI1554" s="1"/>
      <c r="BP1554" s="1"/>
      <c r="BS1554" s="1"/>
      <c r="BU1554" s="1"/>
      <c r="BW1554" s="1"/>
    </row>
    <row r="1555" spans="35:75">
      <c r="AI1555" s="1"/>
      <c r="AL1555" s="1"/>
      <c r="AO1555" s="1"/>
      <c r="AR1555" s="1"/>
      <c r="AZ1555" s="1"/>
      <c r="BC1555" s="1"/>
      <c r="BF1555" s="1"/>
      <c r="BI1555" s="1"/>
      <c r="BP1555" s="1"/>
      <c r="BS1555" s="1"/>
      <c r="BU1555" s="1"/>
      <c r="BW1555" s="1"/>
    </row>
    <row r="1556" spans="35:75">
      <c r="AI1556" s="1"/>
      <c r="AL1556" s="1"/>
      <c r="AO1556" s="1"/>
      <c r="AR1556" s="1"/>
      <c r="AZ1556" s="1"/>
      <c r="BC1556" s="1"/>
      <c r="BF1556" s="1"/>
      <c r="BI1556" s="1"/>
      <c r="BP1556" s="1"/>
      <c r="BS1556" s="1"/>
      <c r="BU1556" s="1"/>
      <c r="BW1556" s="1"/>
    </row>
    <row r="1557" spans="35:75">
      <c r="AI1557" s="1"/>
      <c r="AL1557" s="1"/>
      <c r="AO1557" s="1"/>
      <c r="AR1557" s="1"/>
      <c r="AZ1557" s="1"/>
      <c r="BC1557" s="1"/>
      <c r="BF1557" s="1"/>
      <c r="BI1557" s="1"/>
      <c r="BP1557" s="1"/>
      <c r="BS1557" s="1"/>
      <c r="BU1557" s="1"/>
      <c r="BW1557" s="1"/>
    </row>
    <row r="1558" spans="35:75">
      <c r="AI1558" s="1"/>
      <c r="AL1558" s="1"/>
      <c r="AO1558" s="1"/>
      <c r="AR1558" s="1"/>
      <c r="AZ1558" s="1"/>
      <c r="BC1558" s="1"/>
      <c r="BF1558" s="1"/>
      <c r="BI1558" s="1"/>
      <c r="BP1558" s="1"/>
      <c r="BS1558" s="1"/>
      <c r="BU1558" s="1"/>
      <c r="BW1558" s="1"/>
    </row>
    <row r="1559" spans="35:75">
      <c r="AI1559" s="1"/>
      <c r="AL1559" s="1"/>
      <c r="AO1559" s="1"/>
      <c r="AR1559" s="1"/>
      <c r="AZ1559" s="1"/>
      <c r="BC1559" s="1"/>
      <c r="BF1559" s="1"/>
      <c r="BI1559" s="1"/>
      <c r="BP1559" s="1"/>
      <c r="BS1559" s="1"/>
      <c r="BU1559" s="1"/>
      <c r="BW1559" s="1"/>
    </row>
    <row r="1560" spans="35:75">
      <c r="AI1560" s="1"/>
      <c r="AL1560" s="1"/>
      <c r="AO1560" s="1"/>
      <c r="AR1560" s="1"/>
      <c r="AZ1560" s="1"/>
      <c r="BC1560" s="1"/>
      <c r="BF1560" s="1"/>
      <c r="BI1560" s="1"/>
      <c r="BP1560" s="1"/>
      <c r="BS1560" s="1"/>
      <c r="BU1560" s="1"/>
      <c r="BW1560" s="1"/>
    </row>
    <row r="1561" spans="35:75">
      <c r="AI1561" s="1"/>
      <c r="AL1561" s="1"/>
      <c r="AO1561" s="1"/>
      <c r="AR1561" s="1"/>
      <c r="AZ1561" s="1"/>
      <c r="BC1561" s="1"/>
      <c r="BF1561" s="1"/>
      <c r="BI1561" s="1"/>
      <c r="BP1561" s="1"/>
      <c r="BS1561" s="1"/>
      <c r="BU1561" s="1"/>
      <c r="BW1561" s="1"/>
    </row>
    <row r="1562" spans="35:75">
      <c r="AI1562" s="1"/>
      <c r="AL1562" s="1"/>
      <c r="AO1562" s="1"/>
      <c r="AR1562" s="1"/>
      <c r="AZ1562" s="1"/>
      <c r="BC1562" s="1"/>
      <c r="BF1562" s="1"/>
      <c r="BI1562" s="1"/>
      <c r="BP1562" s="1"/>
      <c r="BS1562" s="1"/>
      <c r="BU1562" s="1"/>
      <c r="BW1562" s="1"/>
    </row>
    <row r="1563" spans="35:75">
      <c r="AI1563" s="1"/>
      <c r="AL1563" s="1"/>
      <c r="AO1563" s="1"/>
      <c r="AR1563" s="1"/>
      <c r="AZ1563" s="1"/>
      <c r="BC1563" s="1"/>
      <c r="BF1563" s="1"/>
      <c r="BI1563" s="1"/>
      <c r="BP1563" s="1"/>
      <c r="BS1563" s="1"/>
      <c r="BU1563" s="1"/>
      <c r="BW1563" s="1"/>
    </row>
    <row r="1564" spans="35:75">
      <c r="AI1564" s="1"/>
      <c r="AL1564" s="1"/>
      <c r="AO1564" s="1"/>
      <c r="AR1564" s="1"/>
      <c r="AZ1564" s="1"/>
      <c r="BC1564" s="1"/>
      <c r="BF1564" s="1"/>
      <c r="BI1564" s="1"/>
      <c r="BP1564" s="1"/>
      <c r="BS1564" s="1"/>
      <c r="BU1564" s="1"/>
      <c r="BW1564" s="1"/>
    </row>
    <row r="1565" spans="35:75">
      <c r="AI1565" s="1"/>
      <c r="AL1565" s="1"/>
      <c r="AO1565" s="1"/>
      <c r="AR1565" s="1"/>
      <c r="AZ1565" s="1"/>
      <c r="BC1565" s="1"/>
      <c r="BF1565" s="1"/>
      <c r="BI1565" s="1"/>
      <c r="BP1565" s="1"/>
      <c r="BS1565" s="1"/>
      <c r="BU1565" s="1"/>
      <c r="BW1565" s="1"/>
    </row>
    <row r="1566" spans="35:75">
      <c r="AI1566" s="1"/>
      <c r="AL1566" s="1"/>
      <c r="AO1566" s="1"/>
      <c r="AR1566" s="1"/>
      <c r="AZ1566" s="1"/>
      <c r="BC1566" s="1"/>
      <c r="BF1566" s="1"/>
      <c r="BI1566" s="1"/>
      <c r="BP1566" s="1"/>
      <c r="BS1566" s="1"/>
      <c r="BU1566" s="1"/>
      <c r="BW1566" s="1"/>
    </row>
    <row r="1567" spans="35:75">
      <c r="AI1567" s="1"/>
      <c r="AL1567" s="1"/>
      <c r="AO1567" s="1"/>
      <c r="AR1567" s="1"/>
      <c r="AZ1567" s="1"/>
      <c r="BC1567" s="1"/>
      <c r="BF1567" s="1"/>
      <c r="BI1567" s="1"/>
      <c r="BP1567" s="1"/>
      <c r="BS1567" s="1"/>
      <c r="BU1567" s="1"/>
      <c r="BW1567" s="1"/>
    </row>
    <row r="1568" spans="35:75">
      <c r="AI1568" s="1"/>
      <c r="AL1568" s="1"/>
      <c r="AO1568" s="1"/>
      <c r="AR1568" s="1"/>
      <c r="AZ1568" s="1"/>
      <c r="BC1568" s="1"/>
      <c r="BF1568" s="1"/>
      <c r="BI1568" s="1"/>
      <c r="BP1568" s="1"/>
      <c r="BS1568" s="1"/>
      <c r="BU1568" s="1"/>
      <c r="BW1568" s="1"/>
    </row>
    <row r="1569" spans="35:75">
      <c r="AI1569" s="1"/>
      <c r="AL1569" s="1"/>
      <c r="AO1569" s="1"/>
      <c r="AR1569" s="1"/>
      <c r="AZ1569" s="1"/>
      <c r="BC1569" s="1"/>
      <c r="BF1569" s="1"/>
      <c r="BI1569" s="1"/>
      <c r="BP1569" s="1"/>
      <c r="BS1569" s="1"/>
      <c r="BU1569" s="1"/>
      <c r="BW1569" s="1"/>
    </row>
    <row r="1570" spans="35:75">
      <c r="AI1570" s="1"/>
      <c r="AL1570" s="1"/>
      <c r="AO1570" s="1"/>
      <c r="AR1570" s="1"/>
      <c r="AZ1570" s="1"/>
      <c r="BC1570" s="1"/>
      <c r="BF1570" s="1"/>
      <c r="BI1570" s="1"/>
      <c r="BP1570" s="1"/>
      <c r="BS1570" s="1"/>
      <c r="BU1570" s="1"/>
      <c r="BW1570" s="1"/>
    </row>
    <row r="1571" spans="35:75">
      <c r="AI1571" s="1"/>
      <c r="AL1571" s="1"/>
      <c r="AO1571" s="1"/>
      <c r="AR1571" s="1"/>
      <c r="AZ1571" s="1"/>
      <c r="BC1571" s="1"/>
      <c r="BF1571" s="1"/>
      <c r="BI1571" s="1"/>
      <c r="BP1571" s="1"/>
      <c r="BS1571" s="1"/>
      <c r="BU1571" s="1"/>
      <c r="BW1571" s="1"/>
    </row>
    <row r="1572" spans="35:75">
      <c r="AI1572" s="1"/>
      <c r="AL1572" s="1"/>
      <c r="AO1572" s="1"/>
      <c r="AR1572" s="1"/>
      <c r="AZ1572" s="1"/>
      <c r="BC1572" s="1"/>
      <c r="BF1572" s="1"/>
      <c r="BI1572" s="1"/>
      <c r="BP1572" s="1"/>
      <c r="BS1572" s="1"/>
      <c r="BU1572" s="1"/>
      <c r="BW1572" s="1"/>
    </row>
    <row r="1573" spans="35:75">
      <c r="AI1573" s="1"/>
      <c r="AL1573" s="1"/>
      <c r="AO1573" s="1"/>
      <c r="AR1573" s="1"/>
      <c r="AZ1573" s="1"/>
      <c r="BC1573" s="1"/>
      <c r="BF1573" s="1"/>
      <c r="BI1573" s="1"/>
      <c r="BP1573" s="1"/>
      <c r="BS1573" s="1"/>
      <c r="BU1573" s="1"/>
      <c r="BW1573" s="1"/>
    </row>
    <row r="1574" spans="35:75">
      <c r="AI1574" s="1"/>
      <c r="AL1574" s="1"/>
      <c r="AO1574" s="1"/>
      <c r="AR1574" s="1"/>
      <c r="AZ1574" s="1"/>
      <c r="BC1574" s="1"/>
      <c r="BF1574" s="1"/>
      <c r="BI1574" s="1"/>
      <c r="BP1574" s="1"/>
      <c r="BS1574" s="1"/>
      <c r="BU1574" s="1"/>
      <c r="BW1574" s="1"/>
    </row>
    <row r="1575" spans="35:75">
      <c r="AI1575" s="1"/>
      <c r="AL1575" s="1"/>
      <c r="AO1575" s="1"/>
      <c r="AR1575" s="1"/>
      <c r="AZ1575" s="1"/>
      <c r="BC1575" s="1"/>
      <c r="BF1575" s="1"/>
      <c r="BI1575" s="1"/>
      <c r="BP1575" s="1"/>
      <c r="BS1575" s="1"/>
      <c r="BU1575" s="1"/>
      <c r="BW1575" s="1"/>
    </row>
    <row r="1576" spans="35:75">
      <c r="AI1576" s="1"/>
      <c r="AL1576" s="1"/>
      <c r="AO1576" s="1"/>
      <c r="AR1576" s="1"/>
      <c r="AZ1576" s="1"/>
      <c r="BC1576" s="1"/>
      <c r="BF1576" s="1"/>
      <c r="BI1576" s="1"/>
      <c r="BP1576" s="1"/>
      <c r="BS1576" s="1"/>
      <c r="BU1576" s="1"/>
      <c r="BW1576" s="1"/>
    </row>
    <row r="1577" spans="35:75">
      <c r="AI1577" s="1"/>
      <c r="AL1577" s="1"/>
      <c r="AO1577" s="1"/>
      <c r="AR1577" s="1"/>
      <c r="AZ1577" s="1"/>
      <c r="BC1577" s="1"/>
      <c r="BF1577" s="1"/>
      <c r="BI1577" s="1"/>
      <c r="BP1577" s="1"/>
      <c r="BS1577" s="1"/>
      <c r="BU1577" s="1"/>
      <c r="BW1577" s="1"/>
    </row>
    <row r="1578" spans="35:75">
      <c r="AI1578" s="1"/>
      <c r="AL1578" s="1"/>
      <c r="AO1578" s="1"/>
      <c r="AR1578" s="1"/>
      <c r="AZ1578" s="1"/>
      <c r="BC1578" s="1"/>
      <c r="BF1578" s="1"/>
      <c r="BI1578" s="1"/>
      <c r="BP1578" s="1"/>
      <c r="BS1578" s="1"/>
      <c r="BU1578" s="1"/>
      <c r="BW1578" s="1"/>
    </row>
    <row r="1579" spans="35:75">
      <c r="AI1579" s="1"/>
      <c r="AL1579" s="1"/>
      <c r="AO1579" s="1"/>
      <c r="AR1579" s="1"/>
      <c r="AZ1579" s="1"/>
      <c r="BC1579" s="1"/>
      <c r="BF1579" s="1"/>
      <c r="BI1579" s="1"/>
      <c r="BP1579" s="1"/>
      <c r="BS1579" s="1"/>
      <c r="BU1579" s="1"/>
      <c r="BW1579" s="1"/>
    </row>
    <row r="1580" spans="35:75">
      <c r="AI1580" s="1"/>
      <c r="AL1580" s="1"/>
      <c r="AO1580" s="1"/>
      <c r="AR1580" s="1"/>
      <c r="AZ1580" s="1"/>
      <c r="BC1580" s="1"/>
      <c r="BF1580" s="1"/>
      <c r="BI1580" s="1"/>
      <c r="BP1580" s="1"/>
      <c r="BS1580" s="1"/>
      <c r="BU1580" s="1"/>
      <c r="BW1580" s="1"/>
    </row>
    <row r="1581" spans="35:75">
      <c r="AI1581" s="1"/>
      <c r="AL1581" s="1"/>
      <c r="AO1581" s="1"/>
      <c r="AR1581" s="1"/>
      <c r="AZ1581" s="1"/>
      <c r="BC1581" s="1"/>
      <c r="BF1581" s="1"/>
      <c r="BI1581" s="1"/>
      <c r="BP1581" s="1"/>
      <c r="BS1581" s="1"/>
      <c r="BU1581" s="1"/>
      <c r="BW1581" s="1"/>
    </row>
    <row r="1582" spans="35:75">
      <c r="AI1582" s="1"/>
      <c r="AL1582" s="1"/>
      <c r="AO1582" s="1"/>
      <c r="AR1582" s="1"/>
      <c r="AZ1582" s="1"/>
      <c r="BC1582" s="1"/>
      <c r="BF1582" s="1"/>
      <c r="BI1582" s="1"/>
      <c r="BP1582" s="1"/>
      <c r="BS1582" s="1"/>
      <c r="BU1582" s="1"/>
      <c r="BW1582" s="1"/>
    </row>
    <row r="1583" spans="35:75">
      <c r="AI1583" s="1"/>
      <c r="AL1583" s="1"/>
      <c r="AO1583" s="1"/>
      <c r="AR1583" s="1"/>
      <c r="AZ1583" s="1"/>
      <c r="BC1583" s="1"/>
      <c r="BF1583" s="1"/>
      <c r="BI1583" s="1"/>
      <c r="BP1583" s="1"/>
      <c r="BS1583" s="1"/>
      <c r="BU1583" s="1"/>
      <c r="BW1583" s="1"/>
    </row>
    <row r="1584" spans="35:75">
      <c r="AI1584" s="1"/>
      <c r="AL1584" s="1"/>
      <c r="AO1584" s="1"/>
      <c r="AR1584" s="1"/>
      <c r="AZ1584" s="1"/>
      <c r="BC1584" s="1"/>
      <c r="BF1584" s="1"/>
      <c r="BI1584" s="1"/>
      <c r="BP1584" s="1"/>
      <c r="BS1584" s="1"/>
      <c r="BU1584" s="1"/>
      <c r="BW1584" s="1"/>
    </row>
    <row r="1585" spans="35:75">
      <c r="AI1585" s="1"/>
      <c r="AL1585" s="1"/>
      <c r="AO1585" s="1"/>
      <c r="AR1585" s="1"/>
      <c r="AZ1585" s="1"/>
      <c r="BC1585" s="1"/>
      <c r="BF1585" s="1"/>
      <c r="BI1585" s="1"/>
      <c r="BP1585" s="1"/>
      <c r="BS1585" s="1"/>
      <c r="BU1585" s="1"/>
      <c r="BW1585" s="1"/>
    </row>
    <row r="1586" spans="35:75">
      <c r="AI1586" s="1"/>
      <c r="AL1586" s="1"/>
      <c r="AO1586" s="1"/>
      <c r="AR1586" s="1"/>
      <c r="AZ1586" s="1"/>
      <c r="BC1586" s="1"/>
      <c r="BF1586" s="1"/>
      <c r="BI1586" s="1"/>
      <c r="BP1586" s="1"/>
      <c r="BS1586" s="1"/>
      <c r="BU1586" s="1"/>
      <c r="BW1586" s="1"/>
    </row>
    <row r="1587" spans="35:75">
      <c r="AI1587" s="1"/>
      <c r="AL1587" s="1"/>
      <c r="AO1587" s="1"/>
      <c r="AR1587" s="1"/>
      <c r="AZ1587" s="1"/>
      <c r="BC1587" s="1"/>
      <c r="BF1587" s="1"/>
      <c r="BI1587" s="1"/>
      <c r="BP1587" s="1"/>
      <c r="BS1587" s="1"/>
      <c r="BU1587" s="1"/>
      <c r="BW1587" s="1"/>
    </row>
    <row r="1588" spans="35:75">
      <c r="AI1588" s="1"/>
      <c r="AL1588" s="1"/>
      <c r="AO1588" s="1"/>
      <c r="AR1588" s="1"/>
      <c r="AZ1588" s="1"/>
      <c r="BC1588" s="1"/>
      <c r="BF1588" s="1"/>
      <c r="BI1588" s="1"/>
      <c r="BP1588" s="1"/>
      <c r="BS1588" s="1"/>
      <c r="BU1588" s="1"/>
      <c r="BW1588" s="1"/>
    </row>
    <row r="1589" spans="35:75">
      <c r="AI1589" s="1"/>
      <c r="AL1589" s="1"/>
      <c r="AO1589" s="1"/>
      <c r="AR1589" s="1"/>
      <c r="AZ1589" s="1"/>
      <c r="BC1589" s="1"/>
      <c r="BF1589" s="1"/>
      <c r="BI1589" s="1"/>
      <c r="BP1589" s="1"/>
      <c r="BS1589" s="1"/>
      <c r="BU1589" s="1"/>
      <c r="BW1589" s="1"/>
    </row>
    <row r="1590" spans="35:75">
      <c r="AI1590" s="1"/>
      <c r="AL1590" s="1"/>
      <c r="AO1590" s="1"/>
      <c r="AR1590" s="1"/>
      <c r="AZ1590" s="1"/>
      <c r="BC1590" s="1"/>
      <c r="BF1590" s="1"/>
      <c r="BI1590" s="1"/>
      <c r="BP1590" s="1"/>
      <c r="BS1590" s="1"/>
      <c r="BU1590" s="1"/>
      <c r="BW1590" s="1"/>
    </row>
    <row r="1591" spans="35:75">
      <c r="AI1591" s="1"/>
      <c r="AL1591" s="1"/>
      <c r="AO1591" s="1"/>
      <c r="AR1591" s="1"/>
      <c r="AZ1591" s="1"/>
      <c r="BC1591" s="1"/>
      <c r="BF1591" s="1"/>
      <c r="BI1591" s="1"/>
      <c r="BP1591" s="1"/>
      <c r="BS1591" s="1"/>
      <c r="BU1591" s="1"/>
      <c r="BW1591" s="1"/>
    </row>
    <row r="1592" spans="35:75">
      <c r="AI1592" s="1"/>
      <c r="AL1592" s="1"/>
      <c r="AO1592" s="1"/>
      <c r="AR1592" s="1"/>
      <c r="AZ1592" s="1"/>
      <c r="BC1592" s="1"/>
      <c r="BF1592" s="1"/>
      <c r="BI1592" s="1"/>
      <c r="BP1592" s="1"/>
      <c r="BS1592" s="1"/>
      <c r="BU1592" s="1"/>
      <c r="BW1592" s="1"/>
    </row>
    <row r="1593" spans="35:75">
      <c r="AI1593" s="1"/>
      <c r="AL1593" s="1"/>
      <c r="AO1593" s="1"/>
      <c r="AR1593" s="1"/>
      <c r="AZ1593" s="1"/>
      <c r="BC1593" s="1"/>
      <c r="BF1593" s="1"/>
      <c r="BI1593" s="1"/>
      <c r="BP1593" s="1"/>
      <c r="BS1593" s="1"/>
      <c r="BU1593" s="1"/>
      <c r="BW1593" s="1"/>
    </row>
    <row r="1594" spans="35:75">
      <c r="AI1594" s="1"/>
      <c r="AL1594" s="1"/>
      <c r="AO1594" s="1"/>
      <c r="AR1594" s="1"/>
      <c r="AZ1594" s="1"/>
      <c r="BC1594" s="1"/>
      <c r="BF1594" s="1"/>
      <c r="BI1594" s="1"/>
      <c r="BP1594" s="1"/>
      <c r="BS1594" s="1"/>
      <c r="BU1594" s="1"/>
      <c r="BW1594" s="1"/>
    </row>
    <row r="1595" spans="35:75">
      <c r="AI1595" s="1"/>
      <c r="AL1595" s="1"/>
      <c r="AO1595" s="1"/>
      <c r="AR1595" s="1"/>
      <c r="AZ1595" s="1"/>
      <c r="BC1595" s="1"/>
      <c r="BF1595" s="1"/>
      <c r="BI1595" s="1"/>
      <c r="BP1595" s="1"/>
      <c r="BS1595" s="1"/>
      <c r="BU1595" s="1"/>
      <c r="BW1595" s="1"/>
    </row>
    <row r="1596" spans="35:75">
      <c r="AI1596" s="1"/>
      <c r="AL1596" s="1"/>
      <c r="AO1596" s="1"/>
      <c r="AR1596" s="1"/>
      <c r="AZ1596" s="1"/>
      <c r="BC1596" s="1"/>
      <c r="BF1596" s="1"/>
      <c r="BI1596" s="1"/>
      <c r="BP1596" s="1"/>
      <c r="BS1596" s="1"/>
      <c r="BU1596" s="1"/>
      <c r="BW1596" s="1"/>
    </row>
    <row r="1597" spans="35:75">
      <c r="AI1597" s="1"/>
      <c r="AL1597" s="1"/>
      <c r="AO1597" s="1"/>
      <c r="AR1597" s="1"/>
      <c r="AZ1597" s="1"/>
      <c r="BC1597" s="1"/>
      <c r="BF1597" s="1"/>
      <c r="BI1597" s="1"/>
      <c r="BP1597" s="1"/>
      <c r="BS1597" s="1"/>
      <c r="BU1597" s="1"/>
      <c r="BW1597" s="1"/>
    </row>
    <row r="1598" spans="35:75">
      <c r="AI1598" s="1"/>
      <c r="AL1598" s="1"/>
      <c r="AO1598" s="1"/>
      <c r="AR1598" s="1"/>
      <c r="AZ1598" s="1"/>
      <c r="BC1598" s="1"/>
      <c r="BF1598" s="1"/>
      <c r="BI1598" s="1"/>
      <c r="BP1598" s="1"/>
      <c r="BS1598" s="1"/>
      <c r="BU1598" s="1"/>
      <c r="BW1598" s="1"/>
    </row>
    <row r="1599" spans="35:75">
      <c r="AI1599" s="1"/>
      <c r="AL1599" s="1"/>
      <c r="AO1599" s="1"/>
      <c r="AR1599" s="1"/>
      <c r="AZ1599" s="1"/>
      <c r="BC1599" s="1"/>
      <c r="BF1599" s="1"/>
      <c r="BI1599" s="1"/>
      <c r="BP1599" s="1"/>
      <c r="BS1599" s="1"/>
      <c r="BU1599" s="1"/>
      <c r="BW1599" s="1"/>
    </row>
    <row r="1600" spans="35:75">
      <c r="AI1600" s="1"/>
      <c r="AL1600" s="1"/>
      <c r="AO1600" s="1"/>
      <c r="AR1600" s="1"/>
      <c r="AZ1600" s="1"/>
      <c r="BC1600" s="1"/>
      <c r="BF1600" s="1"/>
      <c r="BI1600" s="1"/>
      <c r="BP1600" s="1"/>
      <c r="BS1600" s="1"/>
      <c r="BU1600" s="1"/>
      <c r="BW1600" s="1"/>
    </row>
    <row r="1601" spans="35:75">
      <c r="AI1601" s="1"/>
      <c r="AL1601" s="1"/>
      <c r="AO1601" s="1"/>
      <c r="AR1601" s="1"/>
      <c r="AZ1601" s="1"/>
      <c r="BC1601" s="1"/>
      <c r="BF1601" s="1"/>
      <c r="BI1601" s="1"/>
      <c r="BP1601" s="1"/>
      <c r="BS1601" s="1"/>
      <c r="BU1601" s="1"/>
      <c r="BW1601" s="1"/>
    </row>
    <row r="1602" spans="35:75">
      <c r="AI1602" s="1"/>
      <c r="AL1602" s="1"/>
      <c r="AO1602" s="1"/>
      <c r="AR1602" s="1"/>
      <c r="AZ1602" s="1"/>
      <c r="BC1602" s="1"/>
      <c r="BF1602" s="1"/>
      <c r="BI1602" s="1"/>
      <c r="BP1602" s="1"/>
      <c r="BS1602" s="1"/>
      <c r="BU1602" s="1"/>
      <c r="BW1602" s="1"/>
    </row>
    <row r="1603" spans="35:75">
      <c r="AI1603" s="1"/>
      <c r="AL1603" s="1"/>
      <c r="AO1603" s="1"/>
      <c r="AR1603" s="1"/>
      <c r="AZ1603" s="1"/>
      <c r="BC1603" s="1"/>
      <c r="BF1603" s="1"/>
      <c r="BI1603" s="1"/>
      <c r="BP1603" s="1"/>
      <c r="BS1603" s="1"/>
      <c r="BU1603" s="1"/>
      <c r="BW1603" s="1"/>
    </row>
    <row r="1604" spans="35:75">
      <c r="AI1604" s="1"/>
      <c r="AL1604" s="1"/>
      <c r="AO1604" s="1"/>
      <c r="AR1604" s="1"/>
      <c r="AZ1604" s="1"/>
      <c r="BC1604" s="1"/>
      <c r="BF1604" s="1"/>
      <c r="BI1604" s="1"/>
      <c r="BP1604" s="1"/>
      <c r="BS1604" s="1"/>
      <c r="BU1604" s="1"/>
      <c r="BW1604" s="1"/>
    </row>
    <row r="1605" spans="35:75">
      <c r="AI1605" s="1"/>
      <c r="AL1605" s="1"/>
      <c r="AO1605" s="1"/>
      <c r="AR1605" s="1"/>
      <c r="AZ1605" s="1"/>
      <c r="BC1605" s="1"/>
      <c r="BF1605" s="1"/>
      <c r="BI1605" s="1"/>
      <c r="BP1605" s="1"/>
      <c r="BS1605" s="1"/>
      <c r="BU1605" s="1"/>
      <c r="BW1605" s="1"/>
    </row>
    <row r="1606" spans="35:75">
      <c r="AI1606" s="1"/>
      <c r="AL1606" s="1"/>
      <c r="AO1606" s="1"/>
      <c r="AR1606" s="1"/>
      <c r="AZ1606" s="1"/>
      <c r="BC1606" s="1"/>
      <c r="BF1606" s="1"/>
      <c r="BI1606" s="1"/>
      <c r="BP1606" s="1"/>
      <c r="BS1606" s="1"/>
      <c r="BU1606" s="1"/>
      <c r="BW1606" s="1"/>
    </row>
    <row r="1607" spans="35:75">
      <c r="AI1607" s="1"/>
      <c r="AL1607" s="1"/>
      <c r="AO1607" s="1"/>
      <c r="AR1607" s="1"/>
      <c r="AZ1607" s="1"/>
      <c r="BC1607" s="1"/>
      <c r="BF1607" s="1"/>
      <c r="BI1607" s="1"/>
      <c r="BP1607" s="1"/>
      <c r="BS1607" s="1"/>
      <c r="BU1607" s="1"/>
      <c r="BW1607" s="1"/>
    </row>
    <row r="1608" spans="35:75">
      <c r="AI1608" s="1"/>
      <c r="AL1608" s="1"/>
      <c r="AO1608" s="1"/>
      <c r="AR1608" s="1"/>
      <c r="AZ1608" s="1"/>
      <c r="BC1608" s="1"/>
      <c r="BF1608" s="1"/>
      <c r="BI1608" s="1"/>
      <c r="BP1608" s="1"/>
      <c r="BS1608" s="1"/>
      <c r="BU1608" s="1"/>
      <c r="BW1608" s="1"/>
    </row>
    <row r="1609" spans="35:75">
      <c r="AI1609" s="1"/>
      <c r="AL1609" s="1"/>
      <c r="AO1609" s="1"/>
      <c r="AR1609" s="1"/>
      <c r="AZ1609" s="1"/>
      <c r="BC1609" s="1"/>
      <c r="BF1609" s="1"/>
      <c r="BI1609" s="1"/>
      <c r="BP1609" s="1"/>
      <c r="BS1609" s="1"/>
      <c r="BU1609" s="1"/>
      <c r="BW1609" s="1"/>
    </row>
    <row r="1610" spans="35:75">
      <c r="AI1610" s="1"/>
      <c r="AL1610" s="1"/>
      <c r="AO1610" s="1"/>
      <c r="AR1610" s="1"/>
      <c r="AZ1610" s="1"/>
      <c r="BC1610" s="1"/>
      <c r="BF1610" s="1"/>
      <c r="BI1610" s="1"/>
      <c r="BP1610" s="1"/>
      <c r="BS1610" s="1"/>
      <c r="BU1610" s="1"/>
      <c r="BW1610" s="1"/>
    </row>
    <row r="1611" spans="35:75">
      <c r="AI1611" s="1"/>
      <c r="AL1611" s="1"/>
      <c r="AO1611" s="1"/>
      <c r="AR1611" s="1"/>
      <c r="AZ1611" s="1"/>
      <c r="BC1611" s="1"/>
      <c r="BF1611" s="1"/>
      <c r="BI1611" s="1"/>
      <c r="BP1611" s="1"/>
      <c r="BS1611" s="1"/>
      <c r="BU1611" s="1"/>
      <c r="BW1611" s="1"/>
    </row>
    <row r="1612" spans="35:75">
      <c r="AI1612" s="1"/>
      <c r="AL1612" s="1"/>
      <c r="AO1612" s="1"/>
      <c r="AR1612" s="1"/>
      <c r="AZ1612" s="1"/>
      <c r="BC1612" s="1"/>
      <c r="BF1612" s="1"/>
      <c r="BI1612" s="1"/>
      <c r="BP1612" s="1"/>
      <c r="BS1612" s="1"/>
      <c r="BU1612" s="1"/>
      <c r="BW1612" s="1"/>
    </row>
    <row r="1613" spans="35:75">
      <c r="AI1613" s="1"/>
      <c r="AL1613" s="1"/>
      <c r="AO1613" s="1"/>
      <c r="AR1613" s="1"/>
      <c r="AZ1613" s="1"/>
      <c r="BC1613" s="1"/>
      <c r="BF1613" s="1"/>
      <c r="BI1613" s="1"/>
      <c r="BP1613" s="1"/>
      <c r="BS1613" s="1"/>
      <c r="BU1613" s="1"/>
      <c r="BW1613" s="1"/>
    </row>
    <row r="1614" spans="35:75">
      <c r="AI1614" s="1"/>
      <c r="AL1614" s="1"/>
      <c r="AO1614" s="1"/>
      <c r="AR1614" s="1"/>
      <c r="AZ1614" s="1"/>
      <c r="BC1614" s="1"/>
      <c r="BF1614" s="1"/>
      <c r="BI1614" s="1"/>
      <c r="BP1614" s="1"/>
      <c r="BS1614" s="1"/>
      <c r="BU1614" s="1"/>
      <c r="BW1614" s="1"/>
    </row>
    <row r="1615" spans="35:75">
      <c r="AI1615" s="1"/>
      <c r="AL1615" s="1"/>
      <c r="AO1615" s="1"/>
      <c r="AR1615" s="1"/>
      <c r="AZ1615" s="1"/>
      <c r="BC1615" s="1"/>
      <c r="BF1615" s="1"/>
      <c r="BI1615" s="1"/>
      <c r="BP1615" s="1"/>
      <c r="BS1615" s="1"/>
      <c r="BU1615" s="1"/>
      <c r="BW1615" s="1"/>
    </row>
    <row r="1616" spans="35:75">
      <c r="AI1616" s="1"/>
      <c r="AL1616" s="1"/>
      <c r="AO1616" s="1"/>
      <c r="AR1616" s="1"/>
      <c r="AZ1616" s="1"/>
      <c r="BC1616" s="1"/>
      <c r="BF1616" s="1"/>
      <c r="BI1616" s="1"/>
      <c r="BP1616" s="1"/>
      <c r="BS1616" s="1"/>
      <c r="BU1616" s="1"/>
      <c r="BW1616" s="1"/>
    </row>
    <row r="1617" spans="35:75">
      <c r="AI1617" s="1"/>
      <c r="AL1617" s="1"/>
      <c r="AO1617" s="1"/>
      <c r="AR1617" s="1"/>
      <c r="AZ1617" s="1"/>
      <c r="BC1617" s="1"/>
      <c r="BF1617" s="1"/>
      <c r="BI1617" s="1"/>
      <c r="BP1617" s="1"/>
      <c r="BS1617" s="1"/>
      <c r="BU1617" s="1"/>
      <c r="BW1617" s="1"/>
    </row>
    <row r="1618" spans="35:75">
      <c r="AI1618" s="1"/>
      <c r="AL1618" s="1"/>
      <c r="AO1618" s="1"/>
      <c r="AR1618" s="1"/>
      <c r="AZ1618" s="1"/>
      <c r="BC1618" s="1"/>
      <c r="BF1618" s="1"/>
      <c r="BI1618" s="1"/>
      <c r="BP1618" s="1"/>
      <c r="BS1618" s="1"/>
      <c r="BU1618" s="1"/>
      <c r="BW1618" s="1"/>
    </row>
    <row r="1619" spans="35:75">
      <c r="AI1619" s="1"/>
      <c r="AL1619" s="1"/>
      <c r="AO1619" s="1"/>
      <c r="AR1619" s="1"/>
      <c r="AZ1619" s="1"/>
      <c r="BC1619" s="1"/>
      <c r="BF1619" s="1"/>
      <c r="BI1619" s="1"/>
      <c r="BP1619" s="1"/>
      <c r="BS1619" s="1"/>
      <c r="BU1619" s="1"/>
      <c r="BW1619" s="1"/>
    </row>
    <row r="1620" spans="35:75">
      <c r="AI1620" s="1"/>
      <c r="AL1620" s="1"/>
      <c r="AO1620" s="1"/>
      <c r="AR1620" s="1"/>
      <c r="AZ1620" s="1"/>
      <c r="BC1620" s="1"/>
      <c r="BF1620" s="1"/>
      <c r="BI1620" s="1"/>
      <c r="BP1620" s="1"/>
      <c r="BS1620" s="1"/>
      <c r="BU1620" s="1"/>
      <c r="BW1620" s="1"/>
    </row>
    <row r="1621" spans="35:75">
      <c r="AI1621" s="1"/>
      <c r="AL1621" s="1"/>
      <c r="AO1621" s="1"/>
      <c r="AR1621" s="1"/>
      <c r="AZ1621" s="1"/>
      <c r="BC1621" s="1"/>
      <c r="BF1621" s="1"/>
      <c r="BI1621" s="1"/>
      <c r="BP1621" s="1"/>
      <c r="BS1621" s="1"/>
      <c r="BU1621" s="1"/>
      <c r="BW1621" s="1"/>
    </row>
    <row r="1622" spans="35:75">
      <c r="AI1622" s="1"/>
      <c r="AL1622" s="1"/>
      <c r="AO1622" s="1"/>
      <c r="AR1622" s="1"/>
      <c r="AZ1622" s="1"/>
      <c r="BC1622" s="1"/>
      <c r="BF1622" s="1"/>
      <c r="BI1622" s="1"/>
      <c r="BP1622" s="1"/>
      <c r="BS1622" s="1"/>
      <c r="BU1622" s="1"/>
      <c r="BW1622" s="1"/>
    </row>
    <row r="1623" spans="35:75">
      <c r="AI1623" s="1"/>
      <c r="AL1623" s="1"/>
      <c r="AO1623" s="1"/>
      <c r="AR1623" s="1"/>
      <c r="AZ1623" s="1"/>
      <c r="BC1623" s="1"/>
      <c r="BF1623" s="1"/>
      <c r="BI1623" s="1"/>
      <c r="BP1623" s="1"/>
      <c r="BS1623" s="1"/>
      <c r="BU1623" s="1"/>
      <c r="BW1623" s="1"/>
    </row>
    <row r="1624" spans="35:75">
      <c r="AI1624" s="1"/>
      <c r="AL1624" s="1"/>
      <c r="AO1624" s="1"/>
      <c r="AR1624" s="1"/>
      <c r="AZ1624" s="1"/>
      <c r="BC1624" s="1"/>
      <c r="BF1624" s="1"/>
      <c r="BI1624" s="1"/>
      <c r="BP1624" s="1"/>
      <c r="BS1624" s="1"/>
      <c r="BU1624" s="1"/>
      <c r="BW1624" s="1"/>
    </row>
    <row r="1625" spans="35:75">
      <c r="AI1625" s="1"/>
      <c r="AL1625" s="1"/>
      <c r="AO1625" s="1"/>
      <c r="AR1625" s="1"/>
      <c r="AZ1625" s="1"/>
      <c r="BC1625" s="1"/>
      <c r="BF1625" s="1"/>
      <c r="BI1625" s="1"/>
      <c r="BP1625" s="1"/>
      <c r="BS1625" s="1"/>
      <c r="BU1625" s="1"/>
      <c r="BW1625" s="1"/>
    </row>
    <row r="1626" spans="35:75">
      <c r="AI1626" s="1"/>
      <c r="AL1626" s="1"/>
      <c r="AO1626" s="1"/>
      <c r="AR1626" s="1"/>
      <c r="AZ1626" s="1"/>
      <c r="BC1626" s="1"/>
      <c r="BF1626" s="1"/>
      <c r="BI1626" s="1"/>
      <c r="BP1626" s="1"/>
      <c r="BS1626" s="1"/>
      <c r="BU1626" s="1"/>
      <c r="BW1626" s="1"/>
    </row>
    <row r="1627" spans="35:75">
      <c r="AI1627" s="1"/>
      <c r="AL1627" s="1"/>
      <c r="AO1627" s="1"/>
      <c r="AR1627" s="1"/>
      <c r="AZ1627" s="1"/>
      <c r="BC1627" s="1"/>
      <c r="BF1627" s="1"/>
      <c r="BI1627" s="1"/>
      <c r="BP1627" s="1"/>
      <c r="BS1627" s="1"/>
      <c r="BU1627" s="1"/>
      <c r="BW1627" s="1"/>
    </row>
    <row r="1628" spans="35:75">
      <c r="AI1628" s="1"/>
      <c r="AL1628" s="1"/>
      <c r="AO1628" s="1"/>
      <c r="AR1628" s="1"/>
      <c r="AZ1628" s="1"/>
      <c r="BC1628" s="1"/>
      <c r="BF1628" s="1"/>
      <c r="BI1628" s="1"/>
      <c r="BP1628" s="1"/>
      <c r="BS1628" s="1"/>
      <c r="BU1628" s="1"/>
      <c r="BW1628" s="1"/>
    </row>
    <row r="1629" spans="35:75">
      <c r="AI1629" s="1"/>
      <c r="AL1629" s="1"/>
      <c r="AO1629" s="1"/>
      <c r="AR1629" s="1"/>
      <c r="AZ1629" s="1"/>
      <c r="BC1629" s="1"/>
      <c r="BF1629" s="1"/>
      <c r="BI1629" s="1"/>
      <c r="BP1629" s="1"/>
      <c r="BS1629" s="1"/>
      <c r="BU1629" s="1"/>
      <c r="BW1629" s="1"/>
    </row>
    <row r="1630" spans="35:75">
      <c r="AI1630" s="1"/>
      <c r="AL1630" s="1"/>
      <c r="AO1630" s="1"/>
      <c r="AR1630" s="1"/>
      <c r="AZ1630" s="1"/>
      <c r="BC1630" s="1"/>
      <c r="BF1630" s="1"/>
      <c r="BI1630" s="1"/>
      <c r="BP1630" s="1"/>
      <c r="BS1630" s="1"/>
      <c r="BU1630" s="1"/>
      <c r="BW1630" s="1"/>
    </row>
    <row r="1631" spans="35:75">
      <c r="AI1631" s="1"/>
      <c r="AL1631" s="1"/>
      <c r="AO1631" s="1"/>
      <c r="AR1631" s="1"/>
      <c r="AZ1631" s="1"/>
      <c r="BC1631" s="1"/>
      <c r="BF1631" s="1"/>
      <c r="BI1631" s="1"/>
      <c r="BP1631" s="1"/>
      <c r="BS1631" s="1"/>
      <c r="BU1631" s="1"/>
      <c r="BW1631" s="1"/>
    </row>
    <row r="1632" spans="35:75">
      <c r="AI1632" s="1"/>
      <c r="AL1632" s="1"/>
      <c r="AO1632" s="1"/>
      <c r="AR1632" s="1"/>
      <c r="AZ1632" s="1"/>
      <c r="BC1632" s="1"/>
      <c r="BF1632" s="1"/>
      <c r="BI1632" s="1"/>
      <c r="BP1632" s="1"/>
      <c r="BS1632" s="1"/>
      <c r="BU1632" s="1"/>
      <c r="BW1632" s="1"/>
    </row>
    <row r="1633" spans="35:75">
      <c r="AI1633" s="1"/>
      <c r="AL1633" s="1"/>
      <c r="AO1633" s="1"/>
      <c r="AR1633" s="1"/>
      <c r="AZ1633" s="1"/>
      <c r="BC1633" s="1"/>
      <c r="BF1633" s="1"/>
      <c r="BI1633" s="1"/>
      <c r="BP1633" s="1"/>
      <c r="BS1633" s="1"/>
      <c r="BU1633" s="1"/>
      <c r="BW1633" s="1"/>
    </row>
    <row r="1634" spans="35:75">
      <c r="AI1634" s="1"/>
      <c r="AL1634" s="1"/>
      <c r="AO1634" s="1"/>
      <c r="AR1634" s="1"/>
      <c r="AZ1634" s="1"/>
      <c r="BC1634" s="1"/>
      <c r="BF1634" s="1"/>
      <c r="BI1634" s="1"/>
      <c r="BP1634" s="1"/>
      <c r="BS1634" s="1"/>
      <c r="BU1634" s="1"/>
      <c r="BW1634" s="1"/>
    </row>
    <row r="1635" spans="35:75">
      <c r="AI1635" s="1"/>
      <c r="AL1635" s="1"/>
      <c r="AO1635" s="1"/>
      <c r="AR1635" s="1"/>
      <c r="AZ1635" s="1"/>
      <c r="BC1635" s="1"/>
      <c r="BF1635" s="1"/>
      <c r="BI1635" s="1"/>
      <c r="BP1635" s="1"/>
      <c r="BS1635" s="1"/>
      <c r="BU1635" s="1"/>
      <c r="BW1635" s="1"/>
    </row>
    <row r="1636" spans="35:75">
      <c r="AI1636" s="1"/>
      <c r="AL1636" s="1"/>
      <c r="AO1636" s="1"/>
      <c r="AR1636" s="1"/>
      <c r="AZ1636" s="1"/>
      <c r="BC1636" s="1"/>
      <c r="BF1636" s="1"/>
      <c r="BI1636" s="1"/>
      <c r="BP1636" s="1"/>
      <c r="BS1636" s="1"/>
      <c r="BU1636" s="1"/>
      <c r="BW1636" s="1"/>
    </row>
    <row r="1637" spans="35:75">
      <c r="AI1637" s="1"/>
      <c r="AL1637" s="1"/>
      <c r="AO1637" s="1"/>
      <c r="AR1637" s="1"/>
      <c r="AZ1637" s="1"/>
      <c r="BC1637" s="1"/>
      <c r="BF1637" s="1"/>
      <c r="BI1637" s="1"/>
      <c r="BP1637" s="1"/>
      <c r="BS1637" s="1"/>
      <c r="BU1637" s="1"/>
      <c r="BW1637" s="1"/>
    </row>
    <row r="1638" spans="35:75">
      <c r="AI1638" s="1"/>
      <c r="AL1638" s="1"/>
      <c r="AO1638" s="1"/>
      <c r="AR1638" s="1"/>
      <c r="AZ1638" s="1"/>
      <c r="BC1638" s="1"/>
      <c r="BF1638" s="1"/>
      <c r="BI1638" s="1"/>
      <c r="BP1638" s="1"/>
      <c r="BS1638" s="1"/>
      <c r="BU1638" s="1"/>
      <c r="BW1638" s="1"/>
    </row>
    <row r="1639" spans="35:75">
      <c r="AI1639" s="1"/>
      <c r="AL1639" s="1"/>
      <c r="AO1639" s="1"/>
      <c r="AR1639" s="1"/>
      <c r="AZ1639" s="1"/>
      <c r="BC1639" s="1"/>
      <c r="BF1639" s="1"/>
      <c r="BI1639" s="1"/>
      <c r="BP1639" s="1"/>
      <c r="BS1639" s="1"/>
      <c r="BU1639" s="1"/>
      <c r="BW1639" s="1"/>
    </row>
    <row r="1640" spans="35:75">
      <c r="AI1640" s="1"/>
      <c r="AL1640" s="1"/>
      <c r="AO1640" s="1"/>
      <c r="AR1640" s="1"/>
      <c r="AZ1640" s="1"/>
      <c r="BC1640" s="1"/>
      <c r="BF1640" s="1"/>
      <c r="BI1640" s="1"/>
      <c r="BP1640" s="1"/>
      <c r="BS1640" s="1"/>
      <c r="BU1640" s="1"/>
      <c r="BW1640" s="1"/>
    </row>
    <row r="1641" spans="35:75">
      <c r="AI1641" s="1"/>
      <c r="AL1641" s="1"/>
      <c r="AO1641" s="1"/>
      <c r="AR1641" s="1"/>
      <c r="AZ1641" s="1"/>
      <c r="BC1641" s="1"/>
      <c r="BF1641" s="1"/>
      <c r="BI1641" s="1"/>
      <c r="BP1641" s="1"/>
      <c r="BS1641" s="1"/>
      <c r="BU1641" s="1"/>
      <c r="BW1641" s="1"/>
    </row>
    <row r="1642" spans="35:75">
      <c r="AI1642" s="1"/>
      <c r="AL1642" s="1"/>
      <c r="AO1642" s="1"/>
      <c r="AR1642" s="1"/>
      <c r="AZ1642" s="1"/>
      <c r="BC1642" s="1"/>
      <c r="BF1642" s="1"/>
      <c r="BI1642" s="1"/>
      <c r="BP1642" s="1"/>
      <c r="BS1642" s="1"/>
      <c r="BU1642" s="1"/>
      <c r="BW1642" s="1"/>
    </row>
    <row r="1643" spans="35:75">
      <c r="AI1643" s="1"/>
      <c r="AL1643" s="1"/>
      <c r="AO1643" s="1"/>
      <c r="AR1643" s="1"/>
      <c r="AZ1643" s="1"/>
      <c r="BC1643" s="1"/>
      <c r="BF1643" s="1"/>
      <c r="BI1643" s="1"/>
      <c r="BP1643" s="1"/>
      <c r="BS1643" s="1"/>
      <c r="BU1643" s="1"/>
      <c r="BW1643" s="1"/>
    </row>
    <row r="1644" spans="35:75">
      <c r="AI1644" s="1"/>
      <c r="AL1644" s="1"/>
      <c r="AO1644" s="1"/>
      <c r="AR1644" s="1"/>
      <c r="AZ1644" s="1"/>
      <c r="BC1644" s="1"/>
      <c r="BF1644" s="1"/>
      <c r="BI1644" s="1"/>
      <c r="BP1644" s="1"/>
      <c r="BS1644" s="1"/>
      <c r="BU1644" s="1"/>
      <c r="BW1644" s="1"/>
    </row>
    <row r="1645" spans="35:75">
      <c r="AI1645" s="1"/>
      <c r="AL1645" s="1"/>
      <c r="AO1645" s="1"/>
      <c r="AR1645" s="1"/>
      <c r="AZ1645" s="1"/>
      <c r="BC1645" s="1"/>
      <c r="BF1645" s="1"/>
      <c r="BI1645" s="1"/>
      <c r="BP1645" s="1"/>
      <c r="BS1645" s="1"/>
      <c r="BU1645" s="1"/>
      <c r="BW1645" s="1"/>
    </row>
    <row r="1646" spans="35:75">
      <c r="AI1646" s="1"/>
      <c r="AL1646" s="1"/>
      <c r="AO1646" s="1"/>
      <c r="AR1646" s="1"/>
      <c r="AZ1646" s="1"/>
      <c r="BC1646" s="1"/>
      <c r="BF1646" s="1"/>
      <c r="BI1646" s="1"/>
      <c r="BP1646" s="1"/>
      <c r="BS1646" s="1"/>
      <c r="BU1646" s="1"/>
      <c r="BW1646" s="1"/>
    </row>
    <row r="1647" spans="35:75">
      <c r="AI1647" s="1"/>
      <c r="AL1647" s="1"/>
      <c r="AO1647" s="1"/>
      <c r="AR1647" s="1"/>
      <c r="AZ1647" s="1"/>
      <c r="BC1647" s="1"/>
      <c r="BF1647" s="1"/>
      <c r="BI1647" s="1"/>
      <c r="BP1647" s="1"/>
      <c r="BS1647" s="1"/>
      <c r="BU1647" s="1"/>
      <c r="BW1647" s="1"/>
    </row>
    <row r="1648" spans="35:75">
      <c r="AI1648" s="1"/>
      <c r="AL1648" s="1"/>
      <c r="AO1648" s="1"/>
      <c r="AR1648" s="1"/>
      <c r="AZ1648" s="1"/>
      <c r="BC1648" s="1"/>
      <c r="BF1648" s="1"/>
      <c r="BI1648" s="1"/>
      <c r="BP1648" s="1"/>
      <c r="BS1648" s="1"/>
      <c r="BU1648" s="1"/>
      <c r="BW1648" s="1"/>
    </row>
    <row r="1649" spans="35:75">
      <c r="AI1649" s="1"/>
      <c r="AL1649" s="1"/>
      <c r="AO1649" s="1"/>
      <c r="AR1649" s="1"/>
      <c r="AZ1649" s="1"/>
      <c r="BC1649" s="1"/>
      <c r="BF1649" s="1"/>
      <c r="BI1649" s="1"/>
      <c r="BP1649" s="1"/>
      <c r="BS1649" s="1"/>
      <c r="BU1649" s="1"/>
      <c r="BW1649" s="1"/>
    </row>
    <row r="1650" spans="35:75">
      <c r="AI1650" s="1"/>
      <c r="AL1650" s="1"/>
      <c r="AO1650" s="1"/>
      <c r="AR1650" s="1"/>
      <c r="AZ1650" s="1"/>
      <c r="BC1650" s="1"/>
      <c r="BF1650" s="1"/>
      <c r="BI1650" s="1"/>
      <c r="BP1650" s="1"/>
      <c r="BS1650" s="1"/>
      <c r="BU1650" s="1"/>
      <c r="BW1650" s="1"/>
    </row>
    <row r="1651" spans="35:75">
      <c r="AI1651" s="1"/>
      <c r="AL1651" s="1"/>
      <c r="AO1651" s="1"/>
      <c r="AR1651" s="1"/>
      <c r="AZ1651" s="1"/>
      <c r="BC1651" s="1"/>
      <c r="BF1651" s="1"/>
      <c r="BI1651" s="1"/>
      <c r="BP1651" s="1"/>
      <c r="BS1651" s="1"/>
      <c r="BU1651" s="1"/>
      <c r="BW1651" s="1"/>
    </row>
    <row r="1652" spans="35:75">
      <c r="AI1652" s="1"/>
      <c r="AL1652" s="1"/>
      <c r="AO1652" s="1"/>
      <c r="AR1652" s="1"/>
      <c r="AZ1652" s="1"/>
      <c r="BC1652" s="1"/>
      <c r="BF1652" s="1"/>
      <c r="BI1652" s="1"/>
      <c r="BP1652" s="1"/>
      <c r="BS1652" s="1"/>
      <c r="BU1652" s="1"/>
      <c r="BW1652" s="1"/>
    </row>
    <row r="1653" spans="35:75">
      <c r="AI1653" s="1"/>
      <c r="AL1653" s="1"/>
      <c r="AO1653" s="1"/>
      <c r="AR1653" s="1"/>
      <c r="AZ1653" s="1"/>
      <c r="BC1653" s="1"/>
      <c r="BF1653" s="1"/>
      <c r="BI1653" s="1"/>
      <c r="BP1653" s="1"/>
      <c r="BS1653" s="1"/>
      <c r="BU1653" s="1"/>
      <c r="BW1653" s="1"/>
    </row>
    <row r="1654" spans="35:75">
      <c r="AI1654" s="1"/>
      <c r="AL1654" s="1"/>
      <c r="AO1654" s="1"/>
      <c r="AR1654" s="1"/>
      <c r="AZ1654" s="1"/>
      <c r="BC1654" s="1"/>
      <c r="BF1654" s="1"/>
      <c r="BI1654" s="1"/>
      <c r="BP1654" s="1"/>
      <c r="BS1654" s="1"/>
      <c r="BU1654" s="1"/>
      <c r="BW1654" s="1"/>
    </row>
    <row r="1655" spans="35:75">
      <c r="AI1655" s="1"/>
      <c r="AL1655" s="1"/>
      <c r="AO1655" s="1"/>
      <c r="AR1655" s="1"/>
      <c r="AZ1655" s="1"/>
      <c r="BC1655" s="1"/>
      <c r="BF1655" s="1"/>
      <c r="BI1655" s="1"/>
      <c r="BP1655" s="1"/>
      <c r="BS1655" s="1"/>
      <c r="BU1655" s="1"/>
      <c r="BW1655" s="1"/>
    </row>
    <row r="1656" spans="35:75">
      <c r="AI1656" s="1"/>
      <c r="AL1656" s="1"/>
      <c r="AO1656" s="1"/>
      <c r="AR1656" s="1"/>
      <c r="AZ1656" s="1"/>
      <c r="BC1656" s="1"/>
      <c r="BF1656" s="1"/>
      <c r="BI1656" s="1"/>
      <c r="BP1656" s="1"/>
      <c r="BS1656" s="1"/>
      <c r="BU1656" s="1"/>
      <c r="BW1656" s="1"/>
    </row>
    <row r="1657" spans="35:75">
      <c r="AI1657" s="1"/>
      <c r="AL1657" s="1"/>
      <c r="AO1657" s="1"/>
      <c r="AR1657" s="1"/>
      <c r="AZ1657" s="1"/>
      <c r="BC1657" s="1"/>
      <c r="BF1657" s="1"/>
      <c r="BI1657" s="1"/>
      <c r="BP1657" s="1"/>
      <c r="BS1657" s="1"/>
      <c r="BU1657" s="1"/>
      <c r="BW1657" s="1"/>
    </row>
    <row r="1658" spans="35:75">
      <c r="AI1658" s="1"/>
      <c r="AL1658" s="1"/>
      <c r="AO1658" s="1"/>
      <c r="AR1658" s="1"/>
      <c r="AZ1658" s="1"/>
      <c r="BC1658" s="1"/>
      <c r="BF1658" s="1"/>
      <c r="BI1658" s="1"/>
      <c r="BP1658" s="1"/>
      <c r="BS1658" s="1"/>
      <c r="BU1658" s="1"/>
      <c r="BW1658" s="1"/>
    </row>
    <row r="1659" spans="35:75">
      <c r="AI1659" s="1"/>
      <c r="AL1659" s="1"/>
      <c r="AO1659" s="1"/>
      <c r="AR1659" s="1"/>
      <c r="AZ1659" s="1"/>
      <c r="BC1659" s="1"/>
      <c r="BF1659" s="1"/>
      <c r="BI1659" s="1"/>
      <c r="BP1659" s="1"/>
      <c r="BS1659" s="1"/>
      <c r="BU1659" s="1"/>
      <c r="BW1659" s="1"/>
    </row>
    <row r="1660" spans="35:75">
      <c r="AI1660" s="1"/>
      <c r="AL1660" s="1"/>
      <c r="AO1660" s="1"/>
      <c r="AR1660" s="1"/>
      <c r="AZ1660" s="1"/>
      <c r="BC1660" s="1"/>
      <c r="BF1660" s="1"/>
      <c r="BI1660" s="1"/>
      <c r="BP1660" s="1"/>
      <c r="BS1660" s="1"/>
      <c r="BU1660" s="1"/>
      <c r="BW1660" s="1"/>
    </row>
    <row r="1661" spans="35:75">
      <c r="AI1661" s="1"/>
      <c r="AL1661" s="1"/>
      <c r="AO1661" s="1"/>
      <c r="AR1661" s="1"/>
      <c r="AZ1661" s="1"/>
      <c r="BC1661" s="1"/>
      <c r="BF1661" s="1"/>
      <c r="BI1661" s="1"/>
      <c r="BP1661" s="1"/>
      <c r="BS1661" s="1"/>
      <c r="BU1661" s="1"/>
      <c r="BW1661" s="1"/>
    </row>
    <row r="1662" spans="35:75">
      <c r="AI1662" s="1"/>
      <c r="AL1662" s="1"/>
      <c r="AO1662" s="1"/>
      <c r="AR1662" s="1"/>
      <c r="AZ1662" s="1"/>
      <c r="BC1662" s="1"/>
      <c r="BF1662" s="1"/>
      <c r="BI1662" s="1"/>
      <c r="BP1662" s="1"/>
      <c r="BS1662" s="1"/>
      <c r="BU1662" s="1"/>
      <c r="BW1662" s="1"/>
    </row>
    <row r="1663" spans="35:75">
      <c r="AI1663" s="1"/>
      <c r="AL1663" s="1"/>
      <c r="AO1663" s="1"/>
      <c r="AR1663" s="1"/>
      <c r="AZ1663" s="1"/>
      <c r="BC1663" s="1"/>
      <c r="BF1663" s="1"/>
      <c r="BI1663" s="1"/>
      <c r="BP1663" s="1"/>
      <c r="BS1663" s="1"/>
      <c r="BU1663" s="1"/>
      <c r="BW1663" s="1"/>
    </row>
    <row r="1664" spans="35:75">
      <c r="AI1664" s="1"/>
      <c r="AL1664" s="1"/>
      <c r="AO1664" s="1"/>
      <c r="AR1664" s="1"/>
      <c r="AZ1664" s="1"/>
      <c r="BC1664" s="1"/>
      <c r="BF1664" s="1"/>
      <c r="BI1664" s="1"/>
      <c r="BP1664" s="1"/>
      <c r="BS1664" s="1"/>
      <c r="BU1664" s="1"/>
      <c r="BW1664" s="1"/>
    </row>
    <row r="1665" spans="35:75">
      <c r="AI1665" s="1"/>
      <c r="AL1665" s="1"/>
      <c r="AO1665" s="1"/>
      <c r="AR1665" s="1"/>
      <c r="AZ1665" s="1"/>
      <c r="BC1665" s="1"/>
      <c r="BF1665" s="1"/>
      <c r="BI1665" s="1"/>
      <c r="BP1665" s="1"/>
      <c r="BS1665" s="1"/>
      <c r="BU1665" s="1"/>
      <c r="BW1665" s="1"/>
    </row>
    <row r="1666" spans="35:75">
      <c r="AI1666" s="1"/>
      <c r="AL1666" s="1"/>
      <c r="AO1666" s="1"/>
      <c r="AR1666" s="1"/>
      <c r="AZ1666" s="1"/>
      <c r="BC1666" s="1"/>
      <c r="BF1666" s="1"/>
      <c r="BI1666" s="1"/>
      <c r="BP1666" s="1"/>
      <c r="BS1666" s="1"/>
      <c r="BU1666" s="1"/>
      <c r="BW1666" s="1"/>
    </row>
    <row r="1667" spans="35:75">
      <c r="AI1667" s="1"/>
      <c r="AL1667" s="1"/>
      <c r="AO1667" s="1"/>
      <c r="AR1667" s="1"/>
      <c r="AZ1667" s="1"/>
      <c r="BC1667" s="1"/>
      <c r="BF1667" s="1"/>
      <c r="BI1667" s="1"/>
      <c r="BP1667" s="1"/>
      <c r="BS1667" s="1"/>
      <c r="BU1667" s="1"/>
      <c r="BW1667" s="1"/>
    </row>
    <row r="1668" spans="35:75">
      <c r="AI1668" s="1"/>
      <c r="AL1668" s="1"/>
      <c r="AO1668" s="1"/>
      <c r="AR1668" s="1"/>
      <c r="AZ1668" s="1"/>
      <c r="BC1668" s="1"/>
      <c r="BF1668" s="1"/>
      <c r="BI1668" s="1"/>
      <c r="BP1668" s="1"/>
      <c r="BS1668" s="1"/>
      <c r="BU1668" s="1"/>
      <c r="BW1668" s="1"/>
    </row>
    <row r="1669" spans="35:75">
      <c r="AI1669" s="1"/>
      <c r="AL1669" s="1"/>
      <c r="AO1669" s="1"/>
      <c r="AR1669" s="1"/>
      <c r="AZ1669" s="1"/>
      <c r="BC1669" s="1"/>
      <c r="BF1669" s="1"/>
      <c r="BI1669" s="1"/>
      <c r="BP1669" s="1"/>
      <c r="BS1669" s="1"/>
      <c r="BU1669" s="1"/>
      <c r="BW1669" s="1"/>
    </row>
    <row r="1670" spans="35:75">
      <c r="AI1670" s="1"/>
      <c r="AL1670" s="1"/>
      <c r="AO1670" s="1"/>
      <c r="AR1670" s="1"/>
      <c r="AZ1670" s="1"/>
      <c r="BC1670" s="1"/>
      <c r="BF1670" s="1"/>
      <c r="BI1670" s="1"/>
      <c r="BP1670" s="1"/>
      <c r="BS1670" s="1"/>
      <c r="BU1670" s="1"/>
      <c r="BW1670" s="1"/>
    </row>
    <row r="1671" spans="35:75">
      <c r="AI1671" s="1"/>
      <c r="AL1671" s="1"/>
      <c r="AO1671" s="1"/>
      <c r="AR1671" s="1"/>
      <c r="AZ1671" s="1"/>
      <c r="BC1671" s="1"/>
      <c r="BF1671" s="1"/>
      <c r="BI1671" s="1"/>
      <c r="BP1671" s="1"/>
      <c r="BS1671" s="1"/>
      <c r="BU1671" s="1"/>
      <c r="BW1671" s="1"/>
    </row>
    <row r="1672" spans="35:75">
      <c r="AI1672" s="1"/>
      <c r="AL1672" s="1"/>
      <c r="AO1672" s="1"/>
      <c r="AR1672" s="1"/>
      <c r="AZ1672" s="1"/>
      <c r="BC1672" s="1"/>
      <c r="BF1672" s="1"/>
      <c r="BI1672" s="1"/>
      <c r="BP1672" s="1"/>
      <c r="BS1672" s="1"/>
      <c r="BU1672" s="1"/>
      <c r="BW1672" s="1"/>
    </row>
    <row r="1673" spans="35:75">
      <c r="AI1673" s="1"/>
      <c r="AL1673" s="1"/>
      <c r="AO1673" s="1"/>
      <c r="AR1673" s="1"/>
      <c r="AZ1673" s="1"/>
      <c r="BC1673" s="1"/>
      <c r="BF1673" s="1"/>
      <c r="BI1673" s="1"/>
      <c r="BP1673" s="1"/>
      <c r="BS1673" s="1"/>
      <c r="BU1673" s="1"/>
      <c r="BW1673" s="1"/>
    </row>
    <row r="1674" spans="35:75">
      <c r="AI1674" s="1"/>
      <c r="AL1674" s="1"/>
      <c r="AO1674" s="1"/>
      <c r="AR1674" s="1"/>
      <c r="AZ1674" s="1"/>
      <c r="BC1674" s="1"/>
      <c r="BF1674" s="1"/>
      <c r="BI1674" s="1"/>
      <c r="BP1674" s="1"/>
      <c r="BS1674" s="1"/>
      <c r="BU1674" s="1"/>
      <c r="BW1674" s="1"/>
    </row>
    <row r="1675" spans="35:75">
      <c r="AI1675" s="1"/>
      <c r="AL1675" s="1"/>
      <c r="AO1675" s="1"/>
      <c r="AR1675" s="1"/>
      <c r="AZ1675" s="1"/>
      <c r="BC1675" s="1"/>
      <c r="BF1675" s="1"/>
      <c r="BI1675" s="1"/>
      <c r="BP1675" s="1"/>
      <c r="BS1675" s="1"/>
      <c r="BU1675" s="1"/>
      <c r="BW1675" s="1"/>
    </row>
    <row r="1676" spans="35:75">
      <c r="AI1676" s="1"/>
      <c r="AL1676" s="1"/>
      <c r="AO1676" s="1"/>
      <c r="AR1676" s="1"/>
      <c r="AZ1676" s="1"/>
      <c r="BC1676" s="1"/>
      <c r="BF1676" s="1"/>
      <c r="BI1676" s="1"/>
      <c r="BP1676" s="1"/>
      <c r="BS1676" s="1"/>
      <c r="BU1676" s="1"/>
      <c r="BW1676" s="1"/>
    </row>
    <row r="1677" spans="35:75">
      <c r="AI1677" s="1"/>
      <c r="AL1677" s="1"/>
      <c r="AO1677" s="1"/>
      <c r="AR1677" s="1"/>
      <c r="AZ1677" s="1"/>
      <c r="BC1677" s="1"/>
      <c r="BF1677" s="1"/>
      <c r="BI1677" s="1"/>
      <c r="BP1677" s="1"/>
      <c r="BS1677" s="1"/>
      <c r="BU1677" s="1"/>
      <c r="BW1677" s="1"/>
    </row>
    <row r="1678" spans="35:75">
      <c r="AI1678" s="1"/>
      <c r="AL1678" s="1"/>
      <c r="AO1678" s="1"/>
      <c r="AR1678" s="1"/>
      <c r="AZ1678" s="1"/>
      <c r="BC1678" s="1"/>
      <c r="BF1678" s="1"/>
      <c r="BI1678" s="1"/>
      <c r="BP1678" s="1"/>
      <c r="BS1678" s="1"/>
      <c r="BU1678" s="1"/>
      <c r="BW1678" s="1"/>
    </row>
    <row r="1679" spans="35:75">
      <c r="AI1679" s="1"/>
      <c r="AL1679" s="1"/>
      <c r="AO1679" s="1"/>
      <c r="AR1679" s="1"/>
      <c r="AZ1679" s="1"/>
      <c r="BC1679" s="1"/>
      <c r="BF1679" s="1"/>
      <c r="BI1679" s="1"/>
      <c r="BP1679" s="1"/>
      <c r="BS1679" s="1"/>
      <c r="BU1679" s="1"/>
      <c r="BW1679" s="1"/>
    </row>
    <row r="1680" spans="35:75">
      <c r="AI1680" s="1"/>
      <c r="AL1680" s="1"/>
      <c r="AO1680" s="1"/>
      <c r="AR1680" s="1"/>
      <c r="AZ1680" s="1"/>
      <c r="BC1680" s="1"/>
      <c r="BF1680" s="1"/>
      <c r="BI1680" s="1"/>
      <c r="BP1680" s="1"/>
      <c r="BS1680" s="1"/>
      <c r="BU1680" s="1"/>
      <c r="BW1680" s="1"/>
    </row>
    <row r="1681" spans="35:75">
      <c r="AI1681" s="1"/>
      <c r="AL1681" s="1"/>
      <c r="AO1681" s="1"/>
      <c r="AR1681" s="1"/>
      <c r="AZ1681" s="1"/>
      <c r="BC1681" s="1"/>
      <c r="BF1681" s="1"/>
      <c r="BI1681" s="1"/>
      <c r="BP1681" s="1"/>
      <c r="BS1681" s="1"/>
      <c r="BU1681" s="1"/>
      <c r="BW1681" s="1"/>
    </row>
    <row r="1682" spans="35:75">
      <c r="AI1682" s="1"/>
      <c r="AL1682" s="1"/>
      <c r="AO1682" s="1"/>
      <c r="AR1682" s="1"/>
      <c r="AZ1682" s="1"/>
      <c r="BC1682" s="1"/>
      <c r="BF1682" s="1"/>
      <c r="BI1682" s="1"/>
      <c r="BP1682" s="1"/>
      <c r="BS1682" s="1"/>
      <c r="BU1682" s="1"/>
      <c r="BW1682" s="1"/>
    </row>
    <row r="1683" spans="35:75">
      <c r="AI1683" s="1"/>
      <c r="AL1683" s="1"/>
      <c r="AO1683" s="1"/>
      <c r="AR1683" s="1"/>
      <c r="AZ1683" s="1"/>
      <c r="BC1683" s="1"/>
      <c r="BF1683" s="1"/>
      <c r="BI1683" s="1"/>
      <c r="BP1683" s="1"/>
      <c r="BS1683" s="1"/>
      <c r="BU1683" s="1"/>
      <c r="BW1683" s="1"/>
    </row>
    <row r="1684" spans="35:75">
      <c r="AI1684" s="1"/>
      <c r="AL1684" s="1"/>
      <c r="AO1684" s="1"/>
      <c r="AR1684" s="1"/>
      <c r="AZ1684" s="1"/>
      <c r="BC1684" s="1"/>
      <c r="BF1684" s="1"/>
      <c r="BI1684" s="1"/>
      <c r="BP1684" s="1"/>
      <c r="BS1684" s="1"/>
      <c r="BU1684" s="1"/>
      <c r="BW1684" s="1"/>
    </row>
    <row r="1685" spans="35:75">
      <c r="AI1685" s="1"/>
      <c r="AL1685" s="1"/>
      <c r="AO1685" s="1"/>
      <c r="AR1685" s="1"/>
      <c r="AZ1685" s="1"/>
      <c r="BC1685" s="1"/>
      <c r="BF1685" s="1"/>
      <c r="BI1685" s="1"/>
      <c r="BP1685" s="1"/>
      <c r="BS1685" s="1"/>
      <c r="BU1685" s="1"/>
      <c r="BW1685" s="1"/>
    </row>
    <row r="1686" spans="35:75">
      <c r="AI1686" s="1"/>
      <c r="AL1686" s="1"/>
      <c r="AO1686" s="1"/>
      <c r="AR1686" s="1"/>
      <c r="AZ1686" s="1"/>
      <c r="BC1686" s="1"/>
      <c r="BF1686" s="1"/>
      <c r="BI1686" s="1"/>
      <c r="BP1686" s="1"/>
      <c r="BS1686" s="1"/>
      <c r="BU1686" s="1"/>
      <c r="BW1686" s="1"/>
    </row>
    <row r="1687" spans="35:75">
      <c r="AI1687" s="1"/>
      <c r="AL1687" s="1"/>
      <c r="AO1687" s="1"/>
      <c r="AR1687" s="1"/>
      <c r="AZ1687" s="1"/>
      <c r="BC1687" s="1"/>
      <c r="BF1687" s="1"/>
      <c r="BI1687" s="1"/>
      <c r="BP1687" s="1"/>
      <c r="BS1687" s="1"/>
      <c r="BU1687" s="1"/>
      <c r="BW1687" s="1"/>
    </row>
    <row r="1688" spans="35:75">
      <c r="AI1688" s="1"/>
      <c r="AL1688" s="1"/>
      <c r="AO1688" s="1"/>
      <c r="AR1688" s="1"/>
      <c r="AZ1688" s="1"/>
      <c r="BC1688" s="1"/>
      <c r="BF1688" s="1"/>
      <c r="BI1688" s="1"/>
      <c r="BP1688" s="1"/>
      <c r="BS1688" s="1"/>
      <c r="BU1688" s="1"/>
      <c r="BW1688" s="1"/>
    </row>
    <row r="1689" spans="35:75">
      <c r="AI1689" s="1"/>
      <c r="AL1689" s="1"/>
      <c r="AO1689" s="1"/>
      <c r="AR1689" s="1"/>
      <c r="AZ1689" s="1"/>
      <c r="BC1689" s="1"/>
      <c r="BF1689" s="1"/>
      <c r="BI1689" s="1"/>
      <c r="BP1689" s="1"/>
      <c r="BS1689" s="1"/>
      <c r="BU1689" s="1"/>
      <c r="BW1689" s="1"/>
    </row>
    <row r="1690" spans="35:75">
      <c r="AI1690" s="1"/>
      <c r="AL1690" s="1"/>
      <c r="AO1690" s="1"/>
      <c r="AR1690" s="1"/>
      <c r="AZ1690" s="1"/>
      <c r="BC1690" s="1"/>
      <c r="BF1690" s="1"/>
      <c r="BI1690" s="1"/>
      <c r="BP1690" s="1"/>
      <c r="BS1690" s="1"/>
      <c r="BU1690" s="1"/>
      <c r="BW1690" s="1"/>
    </row>
    <row r="1691" spans="35:75">
      <c r="AI1691" s="1"/>
      <c r="AL1691" s="1"/>
      <c r="AO1691" s="1"/>
      <c r="AR1691" s="1"/>
      <c r="AZ1691" s="1"/>
      <c r="BC1691" s="1"/>
      <c r="BF1691" s="1"/>
      <c r="BI1691" s="1"/>
      <c r="BP1691" s="1"/>
      <c r="BS1691" s="1"/>
      <c r="BU1691" s="1"/>
      <c r="BW1691" s="1"/>
    </row>
    <row r="1692" spans="35:75">
      <c r="AI1692" s="1"/>
      <c r="AL1692" s="1"/>
      <c r="AO1692" s="1"/>
      <c r="AR1692" s="1"/>
      <c r="AZ1692" s="1"/>
      <c r="BC1692" s="1"/>
      <c r="BF1692" s="1"/>
      <c r="BI1692" s="1"/>
      <c r="BP1692" s="1"/>
      <c r="BS1692" s="1"/>
      <c r="BU1692" s="1"/>
      <c r="BW1692" s="1"/>
    </row>
    <row r="1693" spans="35:75">
      <c r="AI1693" s="1"/>
      <c r="AL1693" s="1"/>
      <c r="AO1693" s="1"/>
      <c r="AR1693" s="1"/>
      <c r="AZ1693" s="1"/>
      <c r="BC1693" s="1"/>
      <c r="BF1693" s="1"/>
      <c r="BI1693" s="1"/>
      <c r="BP1693" s="1"/>
      <c r="BS1693" s="1"/>
      <c r="BU1693" s="1"/>
      <c r="BW1693" s="1"/>
    </row>
    <row r="1694" spans="35:75">
      <c r="AI1694" s="1"/>
      <c r="AL1694" s="1"/>
      <c r="AO1694" s="1"/>
      <c r="AR1694" s="1"/>
      <c r="AZ1694" s="1"/>
      <c r="BC1694" s="1"/>
      <c r="BF1694" s="1"/>
      <c r="BI1694" s="1"/>
      <c r="BP1694" s="1"/>
      <c r="BS1694" s="1"/>
      <c r="BU1694" s="1"/>
      <c r="BW1694" s="1"/>
    </row>
    <row r="1695" spans="35:75">
      <c r="AI1695" s="1"/>
      <c r="AL1695" s="1"/>
      <c r="AO1695" s="1"/>
      <c r="AR1695" s="1"/>
      <c r="AZ1695" s="1"/>
      <c r="BC1695" s="1"/>
      <c r="BF1695" s="1"/>
      <c r="BI1695" s="1"/>
      <c r="BP1695" s="1"/>
      <c r="BS1695" s="1"/>
      <c r="BU1695" s="1"/>
      <c r="BW1695" s="1"/>
    </row>
    <row r="1696" spans="35:75">
      <c r="AI1696" s="1"/>
      <c r="AL1696" s="1"/>
      <c r="AO1696" s="1"/>
      <c r="AR1696" s="1"/>
      <c r="AZ1696" s="1"/>
      <c r="BC1696" s="1"/>
      <c r="BF1696" s="1"/>
      <c r="BI1696" s="1"/>
      <c r="BP1696" s="1"/>
      <c r="BS1696" s="1"/>
      <c r="BU1696" s="1"/>
      <c r="BW1696" s="1"/>
    </row>
    <row r="1697" spans="35:75">
      <c r="AI1697" s="1"/>
      <c r="AL1697" s="1"/>
      <c r="AO1697" s="1"/>
      <c r="AR1697" s="1"/>
      <c r="AZ1697" s="1"/>
      <c r="BC1697" s="1"/>
      <c r="BF1697" s="1"/>
      <c r="BI1697" s="1"/>
      <c r="BP1697" s="1"/>
      <c r="BS1697" s="1"/>
      <c r="BU1697" s="1"/>
      <c r="BW1697" s="1"/>
    </row>
    <row r="1698" spans="35:75">
      <c r="AI1698" s="1"/>
      <c r="AL1698" s="1"/>
      <c r="AO1698" s="1"/>
      <c r="AR1698" s="1"/>
      <c r="AZ1698" s="1"/>
      <c r="BC1698" s="1"/>
      <c r="BF1698" s="1"/>
      <c r="BI1698" s="1"/>
      <c r="BP1698" s="1"/>
      <c r="BS1698" s="1"/>
      <c r="BU1698" s="1"/>
      <c r="BW1698" s="1"/>
    </row>
    <row r="1699" spans="35:75">
      <c r="AI1699" s="1"/>
      <c r="AL1699" s="1"/>
      <c r="AO1699" s="1"/>
      <c r="AR1699" s="1"/>
      <c r="AZ1699" s="1"/>
      <c r="BC1699" s="1"/>
      <c r="BF1699" s="1"/>
      <c r="BI1699" s="1"/>
      <c r="BP1699" s="1"/>
      <c r="BS1699" s="1"/>
      <c r="BU1699" s="1"/>
      <c r="BW1699" s="1"/>
    </row>
    <row r="1700" spans="35:75">
      <c r="AI1700" s="1"/>
      <c r="AL1700" s="1"/>
      <c r="AO1700" s="1"/>
      <c r="AR1700" s="1"/>
      <c r="AZ1700" s="1"/>
      <c r="BC1700" s="1"/>
      <c r="BF1700" s="1"/>
      <c r="BI1700" s="1"/>
      <c r="BP1700" s="1"/>
      <c r="BS1700" s="1"/>
      <c r="BU1700" s="1"/>
      <c r="BW1700" s="1"/>
    </row>
    <row r="1701" spans="35:75">
      <c r="AI1701" s="1"/>
      <c r="AL1701" s="1"/>
      <c r="AO1701" s="1"/>
      <c r="AR1701" s="1"/>
      <c r="AZ1701" s="1"/>
      <c r="BC1701" s="1"/>
      <c r="BF1701" s="1"/>
      <c r="BI1701" s="1"/>
      <c r="BP1701" s="1"/>
      <c r="BS1701" s="1"/>
      <c r="BU1701" s="1"/>
      <c r="BW1701" s="1"/>
    </row>
    <row r="1702" spans="35:75">
      <c r="AI1702" s="1"/>
      <c r="AL1702" s="1"/>
      <c r="AO1702" s="1"/>
      <c r="AR1702" s="1"/>
      <c r="AZ1702" s="1"/>
      <c r="BC1702" s="1"/>
      <c r="BF1702" s="1"/>
      <c r="BI1702" s="1"/>
      <c r="BP1702" s="1"/>
      <c r="BS1702" s="1"/>
      <c r="BU1702" s="1"/>
      <c r="BW1702" s="1"/>
    </row>
    <row r="1703" spans="35:75">
      <c r="AI1703" s="1"/>
      <c r="AL1703" s="1"/>
      <c r="AO1703" s="1"/>
      <c r="AR1703" s="1"/>
      <c r="AZ1703" s="1"/>
      <c r="BC1703" s="1"/>
      <c r="BF1703" s="1"/>
      <c r="BI1703" s="1"/>
      <c r="BP1703" s="1"/>
      <c r="BS1703" s="1"/>
      <c r="BU1703" s="1"/>
      <c r="BW1703" s="1"/>
    </row>
    <row r="1704" spans="35:75">
      <c r="AI1704" s="1"/>
      <c r="AL1704" s="1"/>
      <c r="AO1704" s="1"/>
      <c r="AR1704" s="1"/>
      <c r="AZ1704" s="1"/>
      <c r="BC1704" s="1"/>
      <c r="BF1704" s="1"/>
      <c r="BI1704" s="1"/>
      <c r="BP1704" s="1"/>
      <c r="BS1704" s="1"/>
      <c r="BU1704" s="1"/>
      <c r="BW1704" s="1"/>
    </row>
    <row r="1705" spans="35:75">
      <c r="AI1705" s="1"/>
      <c r="AL1705" s="1"/>
      <c r="AO1705" s="1"/>
      <c r="AR1705" s="1"/>
      <c r="AZ1705" s="1"/>
      <c r="BC1705" s="1"/>
      <c r="BF1705" s="1"/>
      <c r="BI1705" s="1"/>
      <c r="BP1705" s="1"/>
      <c r="BS1705" s="1"/>
      <c r="BU1705" s="1"/>
      <c r="BW1705" s="1"/>
    </row>
    <row r="1706" spans="35:75">
      <c r="AI1706" s="1"/>
      <c r="AL1706" s="1"/>
      <c r="AO1706" s="1"/>
      <c r="AR1706" s="1"/>
      <c r="AZ1706" s="1"/>
      <c r="BC1706" s="1"/>
      <c r="BF1706" s="1"/>
      <c r="BI1706" s="1"/>
      <c r="BP1706" s="1"/>
      <c r="BS1706" s="1"/>
      <c r="BU1706" s="1"/>
      <c r="BW1706" s="1"/>
    </row>
    <row r="1707" spans="35:75">
      <c r="AI1707" s="1"/>
      <c r="AL1707" s="1"/>
      <c r="AO1707" s="1"/>
      <c r="AR1707" s="1"/>
      <c r="AZ1707" s="1"/>
      <c r="BC1707" s="1"/>
      <c r="BF1707" s="1"/>
      <c r="BI1707" s="1"/>
      <c r="BP1707" s="1"/>
      <c r="BS1707" s="1"/>
      <c r="BU1707" s="1"/>
      <c r="BW1707" s="1"/>
    </row>
    <row r="1708" spans="35:75">
      <c r="AI1708" s="1"/>
      <c r="AL1708" s="1"/>
      <c r="AO1708" s="1"/>
      <c r="AR1708" s="1"/>
      <c r="AZ1708" s="1"/>
      <c r="BC1708" s="1"/>
      <c r="BF1708" s="1"/>
      <c r="BI1708" s="1"/>
      <c r="BP1708" s="1"/>
      <c r="BS1708" s="1"/>
      <c r="BU1708" s="1"/>
      <c r="BW1708" s="1"/>
    </row>
    <row r="1709" spans="35:75">
      <c r="AI1709" s="1"/>
      <c r="AL1709" s="1"/>
      <c r="AO1709" s="1"/>
      <c r="AR1709" s="1"/>
      <c r="AZ1709" s="1"/>
      <c r="BC1709" s="1"/>
      <c r="BF1709" s="1"/>
      <c r="BI1709" s="1"/>
      <c r="BP1709" s="1"/>
      <c r="BS1709" s="1"/>
      <c r="BU1709" s="1"/>
      <c r="BW1709" s="1"/>
    </row>
    <row r="1710" spans="35:75">
      <c r="AI1710" s="1"/>
      <c r="AL1710" s="1"/>
      <c r="AO1710" s="1"/>
      <c r="AR1710" s="1"/>
      <c r="AZ1710" s="1"/>
      <c r="BC1710" s="1"/>
      <c r="BF1710" s="1"/>
      <c r="BI1710" s="1"/>
      <c r="BP1710" s="1"/>
      <c r="BS1710" s="1"/>
      <c r="BU1710" s="1"/>
      <c r="BW1710" s="1"/>
    </row>
    <row r="1711" spans="35:75">
      <c r="AI1711" s="1"/>
      <c r="AL1711" s="1"/>
      <c r="AO1711" s="1"/>
      <c r="AR1711" s="1"/>
      <c r="AZ1711" s="1"/>
      <c r="BC1711" s="1"/>
      <c r="BF1711" s="1"/>
      <c r="BI1711" s="1"/>
      <c r="BP1711" s="1"/>
      <c r="BS1711" s="1"/>
      <c r="BU1711" s="1"/>
      <c r="BW1711" s="1"/>
    </row>
    <row r="1712" spans="35:75">
      <c r="AI1712" s="1"/>
      <c r="AL1712" s="1"/>
      <c r="AO1712" s="1"/>
      <c r="AR1712" s="1"/>
      <c r="AZ1712" s="1"/>
      <c r="BC1712" s="1"/>
      <c r="BF1712" s="1"/>
      <c r="BI1712" s="1"/>
      <c r="BP1712" s="1"/>
      <c r="BS1712" s="1"/>
      <c r="BU1712" s="1"/>
      <c r="BW1712" s="1"/>
    </row>
    <row r="1713" spans="35:75">
      <c r="AI1713" s="1"/>
      <c r="AL1713" s="1"/>
      <c r="AO1713" s="1"/>
      <c r="AR1713" s="1"/>
      <c r="AZ1713" s="1"/>
      <c r="BC1713" s="1"/>
      <c r="BF1713" s="1"/>
      <c r="BI1713" s="1"/>
      <c r="BP1713" s="1"/>
      <c r="BS1713" s="1"/>
      <c r="BU1713" s="1"/>
      <c r="BW1713" s="1"/>
    </row>
    <row r="1714" spans="35:75">
      <c r="AI1714" s="1"/>
      <c r="AL1714" s="1"/>
      <c r="AO1714" s="1"/>
      <c r="AR1714" s="1"/>
      <c r="AZ1714" s="1"/>
      <c r="BC1714" s="1"/>
      <c r="BF1714" s="1"/>
      <c r="BI1714" s="1"/>
      <c r="BP1714" s="1"/>
      <c r="BS1714" s="1"/>
      <c r="BU1714" s="1"/>
      <c r="BW1714" s="1"/>
    </row>
    <row r="1715" spans="35:75">
      <c r="AI1715" s="1"/>
      <c r="AL1715" s="1"/>
      <c r="AO1715" s="1"/>
      <c r="AR1715" s="1"/>
      <c r="AZ1715" s="1"/>
      <c r="BC1715" s="1"/>
      <c r="BF1715" s="1"/>
      <c r="BI1715" s="1"/>
      <c r="BP1715" s="1"/>
      <c r="BS1715" s="1"/>
      <c r="BU1715" s="1"/>
      <c r="BW1715" s="1"/>
    </row>
    <row r="1716" spans="35:75">
      <c r="AI1716" s="1"/>
      <c r="AL1716" s="1"/>
      <c r="AO1716" s="1"/>
      <c r="AR1716" s="1"/>
      <c r="AZ1716" s="1"/>
      <c r="BC1716" s="1"/>
      <c r="BF1716" s="1"/>
      <c r="BI1716" s="1"/>
      <c r="BP1716" s="1"/>
      <c r="BS1716" s="1"/>
      <c r="BU1716" s="1"/>
      <c r="BW1716" s="1"/>
    </row>
    <row r="1717" spans="35:75">
      <c r="AI1717" s="1"/>
      <c r="AL1717" s="1"/>
      <c r="AO1717" s="1"/>
      <c r="AR1717" s="1"/>
      <c r="AZ1717" s="1"/>
      <c r="BC1717" s="1"/>
      <c r="BF1717" s="1"/>
      <c r="BI1717" s="1"/>
      <c r="BP1717" s="1"/>
      <c r="BS1717" s="1"/>
      <c r="BU1717" s="1"/>
      <c r="BW1717" s="1"/>
    </row>
    <row r="1718" spans="35:75">
      <c r="AI1718" s="1"/>
      <c r="AL1718" s="1"/>
      <c r="AO1718" s="1"/>
      <c r="AR1718" s="1"/>
      <c r="AZ1718" s="1"/>
      <c r="BC1718" s="1"/>
      <c r="BF1718" s="1"/>
      <c r="BI1718" s="1"/>
      <c r="BP1718" s="1"/>
      <c r="BS1718" s="1"/>
      <c r="BU1718" s="1"/>
      <c r="BW1718" s="1"/>
    </row>
    <row r="1719" spans="35:75">
      <c r="AI1719" s="1"/>
      <c r="AL1719" s="1"/>
      <c r="AO1719" s="1"/>
      <c r="AR1719" s="1"/>
      <c r="AZ1719" s="1"/>
      <c r="BC1719" s="1"/>
      <c r="BF1719" s="1"/>
      <c r="BI1719" s="1"/>
      <c r="BP1719" s="1"/>
      <c r="BS1719" s="1"/>
      <c r="BU1719" s="1"/>
      <c r="BW1719" s="1"/>
    </row>
    <row r="1720" spans="35:75">
      <c r="AI1720" s="1"/>
      <c r="AL1720" s="1"/>
      <c r="AO1720" s="1"/>
      <c r="AR1720" s="1"/>
      <c r="AZ1720" s="1"/>
      <c r="BC1720" s="1"/>
      <c r="BF1720" s="1"/>
      <c r="BI1720" s="1"/>
      <c r="BP1720" s="1"/>
      <c r="BS1720" s="1"/>
      <c r="BU1720" s="1"/>
      <c r="BW1720" s="1"/>
    </row>
    <row r="1721" spans="35:75">
      <c r="AI1721" s="1"/>
      <c r="AL1721" s="1"/>
      <c r="AO1721" s="1"/>
      <c r="AR1721" s="1"/>
      <c r="AZ1721" s="1"/>
      <c r="BC1721" s="1"/>
      <c r="BF1721" s="1"/>
      <c r="BI1721" s="1"/>
      <c r="BP1721" s="1"/>
      <c r="BS1721" s="1"/>
      <c r="BU1721" s="1"/>
      <c r="BW1721" s="1"/>
    </row>
    <row r="1722" spans="35:75">
      <c r="AI1722" s="1"/>
      <c r="AL1722" s="1"/>
      <c r="AO1722" s="1"/>
      <c r="AR1722" s="1"/>
      <c r="AZ1722" s="1"/>
      <c r="BC1722" s="1"/>
      <c r="BF1722" s="1"/>
      <c r="BI1722" s="1"/>
      <c r="BP1722" s="1"/>
      <c r="BS1722" s="1"/>
      <c r="BU1722" s="1"/>
      <c r="BW1722" s="1"/>
    </row>
    <row r="1723" spans="35:75">
      <c r="AI1723" s="1"/>
      <c r="AL1723" s="1"/>
      <c r="AO1723" s="1"/>
      <c r="AR1723" s="1"/>
      <c r="AZ1723" s="1"/>
      <c r="BC1723" s="1"/>
      <c r="BF1723" s="1"/>
      <c r="BI1723" s="1"/>
      <c r="BP1723" s="1"/>
      <c r="BS1723" s="1"/>
      <c r="BU1723" s="1"/>
      <c r="BW1723" s="1"/>
    </row>
    <row r="1724" spans="35:75">
      <c r="AI1724" s="1"/>
      <c r="AL1724" s="1"/>
      <c r="AO1724" s="1"/>
      <c r="AR1724" s="1"/>
      <c r="AZ1724" s="1"/>
      <c r="BC1724" s="1"/>
      <c r="BF1724" s="1"/>
      <c r="BI1724" s="1"/>
      <c r="BP1724" s="1"/>
      <c r="BS1724" s="1"/>
      <c r="BU1724" s="1"/>
      <c r="BW1724" s="1"/>
    </row>
    <row r="1725" spans="35:75">
      <c r="AI1725" s="1"/>
      <c r="AL1725" s="1"/>
      <c r="AO1725" s="1"/>
      <c r="AR1725" s="1"/>
      <c r="AZ1725" s="1"/>
      <c r="BC1725" s="1"/>
      <c r="BF1725" s="1"/>
      <c r="BI1725" s="1"/>
      <c r="BP1725" s="1"/>
      <c r="BS1725" s="1"/>
      <c r="BU1725" s="1"/>
      <c r="BW1725" s="1"/>
    </row>
    <row r="1726" spans="35:75">
      <c r="AI1726" s="1"/>
      <c r="AL1726" s="1"/>
      <c r="AO1726" s="1"/>
      <c r="AR1726" s="1"/>
      <c r="AZ1726" s="1"/>
      <c r="BC1726" s="1"/>
      <c r="BF1726" s="1"/>
      <c r="BI1726" s="1"/>
      <c r="BP1726" s="1"/>
      <c r="BS1726" s="1"/>
      <c r="BU1726" s="1"/>
      <c r="BW1726" s="1"/>
    </row>
    <row r="1727" spans="35:75">
      <c r="AI1727" s="1"/>
      <c r="AL1727" s="1"/>
      <c r="AO1727" s="1"/>
      <c r="AR1727" s="1"/>
      <c r="AZ1727" s="1"/>
      <c r="BC1727" s="1"/>
      <c r="BF1727" s="1"/>
      <c r="BI1727" s="1"/>
      <c r="BP1727" s="1"/>
      <c r="BS1727" s="1"/>
      <c r="BU1727" s="1"/>
      <c r="BW1727" s="1"/>
    </row>
    <row r="1728" spans="35:75">
      <c r="AI1728" s="1"/>
      <c r="AL1728" s="1"/>
      <c r="AO1728" s="1"/>
      <c r="AR1728" s="1"/>
      <c r="AZ1728" s="1"/>
      <c r="BC1728" s="1"/>
      <c r="BF1728" s="1"/>
      <c r="BI1728" s="1"/>
      <c r="BP1728" s="1"/>
      <c r="BS1728" s="1"/>
      <c r="BU1728" s="1"/>
      <c r="BW1728" s="1"/>
    </row>
    <row r="1729" spans="35:75">
      <c r="AI1729" s="1"/>
      <c r="AL1729" s="1"/>
      <c r="AO1729" s="1"/>
      <c r="AR1729" s="1"/>
      <c r="AZ1729" s="1"/>
      <c r="BC1729" s="1"/>
      <c r="BF1729" s="1"/>
      <c r="BI1729" s="1"/>
      <c r="BP1729" s="1"/>
      <c r="BS1729" s="1"/>
      <c r="BU1729" s="1"/>
      <c r="BW1729" s="1"/>
    </row>
    <row r="1730" spans="35:75">
      <c r="AI1730" s="1"/>
      <c r="AL1730" s="1"/>
      <c r="AO1730" s="1"/>
      <c r="AR1730" s="1"/>
      <c r="AZ1730" s="1"/>
      <c r="BC1730" s="1"/>
      <c r="BF1730" s="1"/>
      <c r="BI1730" s="1"/>
      <c r="BP1730" s="1"/>
      <c r="BS1730" s="1"/>
      <c r="BU1730" s="1"/>
      <c r="BW1730" s="1"/>
    </row>
    <row r="1731" spans="35:75">
      <c r="AI1731" s="1"/>
      <c r="AL1731" s="1"/>
      <c r="AO1731" s="1"/>
      <c r="AR1731" s="1"/>
      <c r="AZ1731" s="1"/>
      <c r="BC1731" s="1"/>
      <c r="BF1731" s="1"/>
      <c r="BI1731" s="1"/>
      <c r="BP1731" s="1"/>
      <c r="BS1731" s="1"/>
      <c r="BU1731" s="1"/>
      <c r="BW1731" s="1"/>
    </row>
    <row r="1732" spans="35:75">
      <c r="AI1732" s="1"/>
      <c r="AL1732" s="1"/>
      <c r="AO1732" s="1"/>
      <c r="AR1732" s="1"/>
      <c r="AZ1732" s="1"/>
      <c r="BC1732" s="1"/>
      <c r="BF1732" s="1"/>
      <c r="BI1732" s="1"/>
      <c r="BP1732" s="1"/>
      <c r="BS1732" s="1"/>
      <c r="BU1732" s="1"/>
      <c r="BW1732" s="1"/>
    </row>
    <row r="1733" spans="35:75">
      <c r="AI1733" s="1"/>
      <c r="AL1733" s="1"/>
      <c r="AO1733" s="1"/>
      <c r="AR1733" s="1"/>
      <c r="AZ1733" s="1"/>
      <c r="BC1733" s="1"/>
      <c r="BF1733" s="1"/>
      <c r="BI1733" s="1"/>
      <c r="BP1733" s="1"/>
      <c r="BS1733" s="1"/>
      <c r="BU1733" s="1"/>
      <c r="BW1733" s="1"/>
    </row>
    <row r="1734" spans="35:75">
      <c r="AI1734" s="1"/>
      <c r="AL1734" s="1"/>
      <c r="AO1734" s="1"/>
      <c r="AR1734" s="1"/>
      <c r="AZ1734" s="1"/>
      <c r="BC1734" s="1"/>
      <c r="BF1734" s="1"/>
      <c r="BI1734" s="1"/>
      <c r="BP1734" s="1"/>
      <c r="BS1734" s="1"/>
      <c r="BU1734" s="1"/>
      <c r="BW1734" s="1"/>
    </row>
    <row r="1735" spans="35:75">
      <c r="AI1735" s="1"/>
      <c r="AL1735" s="1"/>
      <c r="AO1735" s="1"/>
      <c r="AR1735" s="1"/>
      <c r="AZ1735" s="1"/>
      <c r="BC1735" s="1"/>
      <c r="BF1735" s="1"/>
      <c r="BI1735" s="1"/>
      <c r="BP1735" s="1"/>
      <c r="BS1735" s="1"/>
      <c r="BU1735" s="1"/>
      <c r="BW1735" s="1"/>
    </row>
    <row r="1736" spans="35:75">
      <c r="AI1736" s="1"/>
      <c r="AL1736" s="1"/>
      <c r="AO1736" s="1"/>
      <c r="AR1736" s="1"/>
      <c r="AZ1736" s="1"/>
      <c r="BC1736" s="1"/>
      <c r="BF1736" s="1"/>
      <c r="BI1736" s="1"/>
      <c r="BP1736" s="1"/>
      <c r="BS1736" s="1"/>
      <c r="BU1736" s="1"/>
      <c r="BW1736" s="1"/>
    </row>
    <row r="1737" spans="35:75">
      <c r="AI1737" s="1"/>
      <c r="AL1737" s="1"/>
      <c r="AO1737" s="1"/>
      <c r="AR1737" s="1"/>
      <c r="AZ1737" s="1"/>
      <c r="BC1737" s="1"/>
      <c r="BF1737" s="1"/>
      <c r="BI1737" s="1"/>
      <c r="BP1737" s="1"/>
      <c r="BS1737" s="1"/>
      <c r="BU1737" s="1"/>
      <c r="BW1737" s="1"/>
    </row>
    <row r="1738" spans="35:75">
      <c r="AI1738" s="1"/>
      <c r="AL1738" s="1"/>
      <c r="AO1738" s="1"/>
      <c r="AR1738" s="1"/>
      <c r="AZ1738" s="1"/>
      <c r="BC1738" s="1"/>
      <c r="BF1738" s="1"/>
      <c r="BI1738" s="1"/>
      <c r="BP1738" s="1"/>
      <c r="BS1738" s="1"/>
      <c r="BU1738" s="1"/>
      <c r="BW1738" s="1"/>
    </row>
    <row r="1739" spans="35:75">
      <c r="AI1739" s="1"/>
      <c r="AL1739" s="1"/>
      <c r="AO1739" s="1"/>
      <c r="AR1739" s="1"/>
      <c r="AZ1739" s="1"/>
      <c r="BC1739" s="1"/>
      <c r="BF1739" s="1"/>
      <c r="BI1739" s="1"/>
      <c r="BP1739" s="1"/>
      <c r="BS1739" s="1"/>
      <c r="BU1739" s="1"/>
      <c r="BW1739" s="1"/>
    </row>
    <row r="1740" spans="35:75">
      <c r="AI1740" s="1"/>
      <c r="AL1740" s="1"/>
      <c r="AO1740" s="1"/>
      <c r="AR1740" s="1"/>
      <c r="AZ1740" s="1"/>
      <c r="BC1740" s="1"/>
      <c r="BF1740" s="1"/>
      <c r="BI1740" s="1"/>
      <c r="BP1740" s="1"/>
      <c r="BS1740" s="1"/>
      <c r="BU1740" s="1"/>
      <c r="BW1740" s="1"/>
    </row>
    <row r="1741" spans="35:75">
      <c r="AI1741" s="1"/>
      <c r="AL1741" s="1"/>
      <c r="AO1741" s="1"/>
      <c r="AR1741" s="1"/>
      <c r="AZ1741" s="1"/>
      <c r="BC1741" s="1"/>
      <c r="BF1741" s="1"/>
      <c r="BI1741" s="1"/>
      <c r="BP1741" s="1"/>
      <c r="BS1741" s="1"/>
      <c r="BU1741" s="1"/>
      <c r="BW1741" s="1"/>
    </row>
    <row r="1742" spans="35:75">
      <c r="AI1742" s="1"/>
      <c r="AL1742" s="1"/>
      <c r="AO1742" s="1"/>
      <c r="AR1742" s="1"/>
      <c r="AZ1742" s="1"/>
      <c r="BC1742" s="1"/>
      <c r="BF1742" s="1"/>
      <c r="BI1742" s="1"/>
      <c r="BP1742" s="1"/>
      <c r="BS1742" s="1"/>
      <c r="BU1742" s="1"/>
      <c r="BW1742" s="1"/>
    </row>
    <row r="1743" spans="35:75">
      <c r="AI1743" s="1"/>
      <c r="AL1743" s="1"/>
      <c r="AO1743" s="1"/>
      <c r="AR1743" s="1"/>
      <c r="AZ1743" s="1"/>
      <c r="BC1743" s="1"/>
      <c r="BF1743" s="1"/>
      <c r="BI1743" s="1"/>
      <c r="BP1743" s="1"/>
      <c r="BS1743" s="1"/>
      <c r="BU1743" s="1"/>
      <c r="BW1743" s="1"/>
    </row>
    <row r="1744" spans="35:75">
      <c r="AI1744" s="1"/>
      <c r="AL1744" s="1"/>
      <c r="AO1744" s="1"/>
      <c r="AR1744" s="1"/>
      <c r="AZ1744" s="1"/>
      <c r="BC1744" s="1"/>
      <c r="BF1744" s="1"/>
      <c r="BI1744" s="1"/>
      <c r="BP1744" s="1"/>
      <c r="BS1744" s="1"/>
      <c r="BU1744" s="1"/>
      <c r="BW1744" s="1"/>
    </row>
    <row r="1745" spans="35:75">
      <c r="AI1745" s="1"/>
      <c r="AL1745" s="1"/>
      <c r="AO1745" s="1"/>
      <c r="AR1745" s="1"/>
      <c r="AZ1745" s="1"/>
      <c r="BC1745" s="1"/>
      <c r="BF1745" s="1"/>
      <c r="BI1745" s="1"/>
      <c r="BP1745" s="1"/>
      <c r="BS1745" s="1"/>
      <c r="BU1745" s="1"/>
      <c r="BW1745" s="1"/>
    </row>
    <row r="1746" spans="35:75">
      <c r="AI1746" s="1"/>
      <c r="AL1746" s="1"/>
      <c r="AO1746" s="1"/>
      <c r="AR1746" s="1"/>
      <c r="AZ1746" s="1"/>
      <c r="BC1746" s="1"/>
      <c r="BF1746" s="1"/>
      <c r="BI1746" s="1"/>
      <c r="BP1746" s="1"/>
      <c r="BS1746" s="1"/>
      <c r="BU1746" s="1"/>
      <c r="BW1746" s="1"/>
    </row>
    <row r="1747" spans="35:75">
      <c r="AI1747" s="1"/>
      <c r="AL1747" s="1"/>
      <c r="AO1747" s="1"/>
      <c r="AR1747" s="1"/>
      <c r="AZ1747" s="1"/>
      <c r="BC1747" s="1"/>
      <c r="BF1747" s="1"/>
      <c r="BI1747" s="1"/>
      <c r="BP1747" s="1"/>
      <c r="BS1747" s="1"/>
      <c r="BU1747" s="1"/>
      <c r="BW1747" s="1"/>
    </row>
    <row r="1748" spans="35:75">
      <c r="AI1748" s="1"/>
      <c r="AL1748" s="1"/>
      <c r="AO1748" s="1"/>
      <c r="AR1748" s="1"/>
      <c r="AZ1748" s="1"/>
      <c r="BC1748" s="1"/>
      <c r="BF1748" s="1"/>
      <c r="BI1748" s="1"/>
      <c r="BP1748" s="1"/>
      <c r="BS1748" s="1"/>
      <c r="BU1748" s="1"/>
      <c r="BW1748" s="1"/>
    </row>
    <row r="1749" spans="35:75">
      <c r="AI1749" s="1"/>
      <c r="AL1749" s="1"/>
      <c r="AO1749" s="1"/>
      <c r="AR1749" s="1"/>
      <c r="AZ1749" s="1"/>
      <c r="BC1749" s="1"/>
      <c r="BF1749" s="1"/>
      <c r="BI1749" s="1"/>
      <c r="BP1749" s="1"/>
      <c r="BS1749" s="1"/>
      <c r="BU1749" s="1"/>
      <c r="BW1749" s="1"/>
    </row>
    <row r="1750" spans="35:75">
      <c r="AI1750" s="1"/>
      <c r="AL1750" s="1"/>
      <c r="AO1750" s="1"/>
      <c r="AR1750" s="1"/>
      <c r="AZ1750" s="1"/>
      <c r="BC1750" s="1"/>
      <c r="BF1750" s="1"/>
      <c r="BI1750" s="1"/>
      <c r="BP1750" s="1"/>
      <c r="BS1750" s="1"/>
      <c r="BU1750" s="1"/>
      <c r="BW1750" s="1"/>
    </row>
    <row r="1751" spans="35:75">
      <c r="AI1751" s="1"/>
      <c r="AL1751" s="1"/>
      <c r="AO1751" s="1"/>
      <c r="AR1751" s="1"/>
      <c r="AZ1751" s="1"/>
      <c r="BC1751" s="1"/>
      <c r="BF1751" s="1"/>
      <c r="BI1751" s="1"/>
      <c r="BP1751" s="1"/>
      <c r="BS1751" s="1"/>
      <c r="BU1751" s="1"/>
      <c r="BW1751" s="1"/>
    </row>
    <row r="1752" spans="35:75">
      <c r="AI1752" s="1"/>
      <c r="AL1752" s="1"/>
      <c r="AO1752" s="1"/>
      <c r="AR1752" s="1"/>
      <c r="AZ1752" s="1"/>
      <c r="BC1752" s="1"/>
      <c r="BF1752" s="1"/>
      <c r="BI1752" s="1"/>
      <c r="BP1752" s="1"/>
      <c r="BS1752" s="1"/>
      <c r="BU1752" s="1"/>
      <c r="BW1752" s="1"/>
    </row>
    <row r="1753" spans="35:75">
      <c r="AI1753" s="1"/>
      <c r="AL1753" s="1"/>
      <c r="AO1753" s="1"/>
      <c r="AR1753" s="1"/>
      <c r="AZ1753" s="1"/>
      <c r="BC1753" s="1"/>
      <c r="BF1753" s="1"/>
      <c r="BI1753" s="1"/>
      <c r="BP1753" s="1"/>
      <c r="BS1753" s="1"/>
      <c r="BU1753" s="1"/>
      <c r="BW1753" s="1"/>
    </row>
    <row r="1754" spans="35:75">
      <c r="AI1754" s="1"/>
      <c r="AL1754" s="1"/>
      <c r="AO1754" s="1"/>
      <c r="AR1754" s="1"/>
      <c r="AZ1754" s="1"/>
      <c r="BC1754" s="1"/>
      <c r="BF1754" s="1"/>
      <c r="BI1754" s="1"/>
      <c r="BP1754" s="1"/>
      <c r="BS1754" s="1"/>
      <c r="BU1754" s="1"/>
      <c r="BW1754" s="1"/>
    </row>
    <row r="1755" spans="35:75">
      <c r="AI1755" s="1"/>
      <c r="AL1755" s="1"/>
      <c r="AO1755" s="1"/>
      <c r="AR1755" s="1"/>
      <c r="AZ1755" s="1"/>
      <c r="BC1755" s="1"/>
      <c r="BF1755" s="1"/>
      <c r="BI1755" s="1"/>
      <c r="BP1755" s="1"/>
      <c r="BS1755" s="1"/>
      <c r="BU1755" s="1"/>
      <c r="BW1755" s="1"/>
    </row>
    <row r="1756" spans="35:75">
      <c r="AI1756" s="1"/>
      <c r="AL1756" s="1"/>
      <c r="AO1756" s="1"/>
      <c r="AR1756" s="1"/>
      <c r="AZ1756" s="1"/>
      <c r="BC1756" s="1"/>
      <c r="BF1756" s="1"/>
      <c r="BI1756" s="1"/>
      <c r="BP1756" s="1"/>
      <c r="BS1756" s="1"/>
      <c r="BU1756" s="1"/>
      <c r="BW1756" s="1"/>
    </row>
    <row r="1757" spans="35:75">
      <c r="AI1757" s="1"/>
      <c r="AL1757" s="1"/>
      <c r="AO1757" s="1"/>
      <c r="AR1757" s="1"/>
      <c r="AZ1757" s="1"/>
      <c r="BC1757" s="1"/>
      <c r="BF1757" s="1"/>
      <c r="BI1757" s="1"/>
      <c r="BP1757" s="1"/>
      <c r="BS1757" s="1"/>
      <c r="BU1757" s="1"/>
      <c r="BW1757" s="1"/>
    </row>
    <row r="1758" spans="35:75">
      <c r="AI1758" s="1"/>
      <c r="AL1758" s="1"/>
      <c r="AO1758" s="1"/>
      <c r="AR1758" s="1"/>
      <c r="AZ1758" s="1"/>
      <c r="BC1758" s="1"/>
      <c r="BF1758" s="1"/>
      <c r="BI1758" s="1"/>
      <c r="BP1758" s="1"/>
      <c r="BS1758" s="1"/>
      <c r="BU1758" s="1"/>
      <c r="BW1758" s="1"/>
    </row>
    <row r="1759" spans="35:75">
      <c r="AI1759" s="1"/>
      <c r="AL1759" s="1"/>
      <c r="AO1759" s="1"/>
      <c r="AR1759" s="1"/>
      <c r="AZ1759" s="1"/>
      <c r="BC1759" s="1"/>
      <c r="BF1759" s="1"/>
      <c r="BI1759" s="1"/>
      <c r="BP1759" s="1"/>
      <c r="BS1759" s="1"/>
      <c r="BU1759" s="1"/>
      <c r="BW1759" s="1"/>
    </row>
    <row r="1760" spans="35:75">
      <c r="AI1760" s="1"/>
      <c r="AL1760" s="1"/>
      <c r="AO1760" s="1"/>
      <c r="AR1760" s="1"/>
      <c r="AZ1760" s="1"/>
      <c r="BC1760" s="1"/>
      <c r="BF1760" s="1"/>
      <c r="BI1760" s="1"/>
      <c r="BP1760" s="1"/>
      <c r="BS1760" s="1"/>
      <c r="BU1760" s="1"/>
      <c r="BW1760" s="1"/>
    </row>
    <row r="1761" spans="35:75">
      <c r="AI1761" s="1"/>
      <c r="AL1761" s="1"/>
      <c r="AO1761" s="1"/>
      <c r="AR1761" s="1"/>
      <c r="AZ1761" s="1"/>
      <c r="BC1761" s="1"/>
      <c r="BF1761" s="1"/>
      <c r="BI1761" s="1"/>
      <c r="BP1761" s="1"/>
      <c r="BS1761" s="1"/>
      <c r="BU1761" s="1"/>
      <c r="BW1761" s="1"/>
    </row>
    <row r="1762" spans="35:75">
      <c r="AI1762" s="1"/>
      <c r="AL1762" s="1"/>
      <c r="AO1762" s="1"/>
      <c r="AR1762" s="1"/>
      <c r="AZ1762" s="1"/>
      <c r="BC1762" s="1"/>
      <c r="BF1762" s="1"/>
      <c r="BI1762" s="1"/>
      <c r="BP1762" s="1"/>
      <c r="BS1762" s="1"/>
      <c r="BU1762" s="1"/>
      <c r="BW1762" s="1"/>
    </row>
    <row r="1763" spans="35:75">
      <c r="AI1763" s="1"/>
      <c r="AL1763" s="1"/>
      <c r="AO1763" s="1"/>
      <c r="AR1763" s="1"/>
      <c r="AZ1763" s="1"/>
      <c r="BC1763" s="1"/>
      <c r="BF1763" s="1"/>
      <c r="BI1763" s="1"/>
      <c r="BP1763" s="1"/>
      <c r="BS1763" s="1"/>
      <c r="BU1763" s="1"/>
      <c r="BW1763" s="1"/>
    </row>
    <row r="1764" spans="35:75">
      <c r="AI1764" s="1"/>
      <c r="AL1764" s="1"/>
      <c r="AO1764" s="1"/>
      <c r="AR1764" s="1"/>
      <c r="AZ1764" s="1"/>
      <c r="BC1764" s="1"/>
      <c r="BF1764" s="1"/>
      <c r="BI1764" s="1"/>
      <c r="BP1764" s="1"/>
      <c r="BS1764" s="1"/>
      <c r="BU1764" s="1"/>
      <c r="BW1764" s="1"/>
    </row>
    <row r="1765" spans="35:75">
      <c r="AI1765" s="1"/>
      <c r="AL1765" s="1"/>
      <c r="AO1765" s="1"/>
      <c r="AR1765" s="1"/>
      <c r="AZ1765" s="1"/>
      <c r="BC1765" s="1"/>
      <c r="BF1765" s="1"/>
      <c r="BI1765" s="1"/>
      <c r="BP1765" s="1"/>
      <c r="BS1765" s="1"/>
      <c r="BU1765" s="1"/>
      <c r="BW1765" s="1"/>
    </row>
    <row r="1766" spans="35:75">
      <c r="AI1766" s="1"/>
      <c r="AL1766" s="1"/>
      <c r="AO1766" s="1"/>
      <c r="AR1766" s="1"/>
      <c r="AZ1766" s="1"/>
      <c r="BC1766" s="1"/>
      <c r="BF1766" s="1"/>
      <c r="BI1766" s="1"/>
      <c r="BP1766" s="1"/>
      <c r="BS1766" s="1"/>
      <c r="BU1766" s="1"/>
      <c r="BW1766" s="1"/>
    </row>
    <row r="1767" spans="35:75">
      <c r="AI1767" s="1"/>
      <c r="AL1767" s="1"/>
      <c r="AO1767" s="1"/>
      <c r="AR1767" s="1"/>
      <c r="AZ1767" s="1"/>
      <c r="BC1767" s="1"/>
      <c r="BF1767" s="1"/>
      <c r="BI1767" s="1"/>
      <c r="BP1767" s="1"/>
      <c r="BS1767" s="1"/>
      <c r="BU1767" s="1"/>
      <c r="BW1767" s="1"/>
    </row>
    <row r="1768" spans="35:75">
      <c r="AI1768" s="1"/>
      <c r="AL1768" s="1"/>
      <c r="AO1768" s="1"/>
      <c r="AR1768" s="1"/>
      <c r="AZ1768" s="1"/>
      <c r="BC1768" s="1"/>
      <c r="BF1768" s="1"/>
      <c r="BI1768" s="1"/>
      <c r="BP1768" s="1"/>
      <c r="BS1768" s="1"/>
      <c r="BU1768" s="1"/>
      <c r="BW1768" s="1"/>
    </row>
    <row r="1769" spans="35:75">
      <c r="AI1769" s="1"/>
      <c r="AL1769" s="1"/>
      <c r="AO1769" s="1"/>
      <c r="AR1769" s="1"/>
      <c r="AZ1769" s="1"/>
      <c r="BC1769" s="1"/>
      <c r="BF1769" s="1"/>
      <c r="BI1769" s="1"/>
      <c r="BP1769" s="1"/>
      <c r="BS1769" s="1"/>
      <c r="BU1769" s="1"/>
      <c r="BW1769" s="1"/>
    </row>
    <row r="1770" spans="35:75">
      <c r="AI1770" s="1"/>
      <c r="AL1770" s="1"/>
      <c r="AO1770" s="1"/>
      <c r="AR1770" s="1"/>
      <c r="AZ1770" s="1"/>
      <c r="BC1770" s="1"/>
      <c r="BF1770" s="1"/>
      <c r="BI1770" s="1"/>
      <c r="BP1770" s="1"/>
      <c r="BS1770" s="1"/>
      <c r="BU1770" s="1"/>
      <c r="BW1770" s="1"/>
    </row>
    <row r="1771" spans="35:75">
      <c r="AI1771" s="1"/>
      <c r="AL1771" s="1"/>
      <c r="AO1771" s="1"/>
      <c r="AR1771" s="1"/>
      <c r="AZ1771" s="1"/>
      <c r="BC1771" s="1"/>
      <c r="BF1771" s="1"/>
      <c r="BI1771" s="1"/>
      <c r="BP1771" s="1"/>
      <c r="BS1771" s="1"/>
      <c r="BU1771" s="1"/>
      <c r="BW1771" s="1"/>
    </row>
    <row r="1772" spans="35:75">
      <c r="AI1772" s="1"/>
      <c r="AL1772" s="1"/>
      <c r="AO1772" s="1"/>
      <c r="AR1772" s="1"/>
      <c r="AZ1772" s="1"/>
      <c r="BC1772" s="1"/>
      <c r="BF1772" s="1"/>
      <c r="BI1772" s="1"/>
      <c r="BP1772" s="1"/>
      <c r="BS1772" s="1"/>
      <c r="BU1772" s="1"/>
      <c r="BW1772" s="1"/>
    </row>
    <row r="1773" spans="35:75">
      <c r="AI1773" s="1"/>
      <c r="AL1773" s="1"/>
      <c r="AO1773" s="1"/>
      <c r="AR1773" s="1"/>
      <c r="AZ1773" s="1"/>
      <c r="BC1773" s="1"/>
      <c r="BF1773" s="1"/>
      <c r="BI1773" s="1"/>
      <c r="BP1773" s="1"/>
      <c r="BS1773" s="1"/>
      <c r="BU1773" s="1"/>
      <c r="BW1773" s="1"/>
    </row>
    <row r="1774" spans="35:75">
      <c r="AI1774" s="1"/>
      <c r="AL1774" s="1"/>
      <c r="AO1774" s="1"/>
      <c r="AR1774" s="1"/>
      <c r="AZ1774" s="1"/>
      <c r="BC1774" s="1"/>
      <c r="BF1774" s="1"/>
      <c r="BI1774" s="1"/>
      <c r="BP1774" s="1"/>
      <c r="BS1774" s="1"/>
      <c r="BU1774" s="1"/>
      <c r="BW1774" s="1"/>
    </row>
    <row r="1775" spans="35:75">
      <c r="AI1775" s="1"/>
      <c r="AL1775" s="1"/>
      <c r="AO1775" s="1"/>
      <c r="AR1775" s="1"/>
      <c r="AZ1775" s="1"/>
      <c r="BC1775" s="1"/>
      <c r="BF1775" s="1"/>
      <c r="BI1775" s="1"/>
      <c r="BP1775" s="1"/>
      <c r="BS1775" s="1"/>
      <c r="BU1775" s="1"/>
      <c r="BW1775" s="1"/>
    </row>
    <row r="1776" spans="35:75">
      <c r="AI1776" s="1"/>
      <c r="AL1776" s="1"/>
      <c r="AO1776" s="1"/>
      <c r="AR1776" s="1"/>
      <c r="AZ1776" s="1"/>
      <c r="BC1776" s="1"/>
      <c r="BF1776" s="1"/>
      <c r="BI1776" s="1"/>
      <c r="BP1776" s="1"/>
      <c r="BS1776" s="1"/>
      <c r="BU1776" s="1"/>
      <c r="BW1776" s="1"/>
    </row>
    <row r="1777" spans="35:75">
      <c r="AI1777" s="1"/>
      <c r="AL1777" s="1"/>
      <c r="AO1777" s="1"/>
      <c r="AR1777" s="1"/>
      <c r="AZ1777" s="1"/>
      <c r="BC1777" s="1"/>
      <c r="BF1777" s="1"/>
      <c r="BI1777" s="1"/>
      <c r="BP1777" s="1"/>
      <c r="BS1777" s="1"/>
      <c r="BU1777" s="1"/>
      <c r="BW1777" s="1"/>
    </row>
    <row r="1778" spans="35:75">
      <c r="AI1778" s="1"/>
      <c r="AL1778" s="1"/>
      <c r="AO1778" s="1"/>
      <c r="AR1778" s="1"/>
      <c r="AZ1778" s="1"/>
      <c r="BC1778" s="1"/>
      <c r="BF1778" s="1"/>
      <c r="BI1778" s="1"/>
      <c r="BP1778" s="1"/>
      <c r="BS1778" s="1"/>
      <c r="BU1778" s="1"/>
      <c r="BW1778" s="1"/>
    </row>
    <row r="1779" spans="35:75">
      <c r="AI1779" s="1"/>
      <c r="AL1779" s="1"/>
      <c r="AO1779" s="1"/>
      <c r="AR1779" s="1"/>
      <c r="AZ1779" s="1"/>
      <c r="BC1779" s="1"/>
      <c r="BF1779" s="1"/>
      <c r="BI1779" s="1"/>
      <c r="BP1779" s="1"/>
      <c r="BS1779" s="1"/>
      <c r="BU1779" s="1"/>
      <c r="BW1779" s="1"/>
    </row>
    <row r="1780" spans="35:75">
      <c r="AI1780" s="1"/>
      <c r="AL1780" s="1"/>
      <c r="AO1780" s="1"/>
      <c r="AR1780" s="1"/>
      <c r="AZ1780" s="1"/>
      <c r="BC1780" s="1"/>
      <c r="BF1780" s="1"/>
      <c r="BI1780" s="1"/>
      <c r="BP1780" s="1"/>
      <c r="BS1780" s="1"/>
      <c r="BU1780" s="1"/>
      <c r="BW1780" s="1"/>
    </row>
    <row r="1781" spans="35:75">
      <c r="AI1781" s="1"/>
      <c r="AL1781" s="1"/>
      <c r="AO1781" s="1"/>
      <c r="AR1781" s="1"/>
      <c r="AZ1781" s="1"/>
      <c r="BC1781" s="1"/>
      <c r="BF1781" s="1"/>
      <c r="BI1781" s="1"/>
      <c r="BP1781" s="1"/>
      <c r="BS1781" s="1"/>
      <c r="BU1781" s="1"/>
      <c r="BW1781" s="1"/>
    </row>
    <row r="1782" spans="35:75">
      <c r="AI1782" s="1"/>
      <c r="AL1782" s="1"/>
      <c r="AO1782" s="1"/>
      <c r="AR1782" s="1"/>
      <c r="AZ1782" s="1"/>
      <c r="BC1782" s="1"/>
      <c r="BF1782" s="1"/>
      <c r="BI1782" s="1"/>
      <c r="BP1782" s="1"/>
      <c r="BS1782" s="1"/>
      <c r="BU1782" s="1"/>
      <c r="BW1782" s="1"/>
    </row>
    <row r="1783" spans="35:75">
      <c r="AI1783" s="1"/>
      <c r="AL1783" s="1"/>
      <c r="AO1783" s="1"/>
      <c r="AR1783" s="1"/>
      <c r="AZ1783" s="1"/>
      <c r="BC1783" s="1"/>
      <c r="BF1783" s="1"/>
      <c r="BI1783" s="1"/>
      <c r="BP1783" s="1"/>
      <c r="BS1783" s="1"/>
      <c r="BU1783" s="1"/>
      <c r="BW1783" s="1"/>
    </row>
    <row r="1784" spans="35:75">
      <c r="AI1784" s="1"/>
      <c r="AL1784" s="1"/>
      <c r="AO1784" s="1"/>
      <c r="AR1784" s="1"/>
      <c r="AZ1784" s="1"/>
      <c r="BC1784" s="1"/>
      <c r="BF1784" s="1"/>
      <c r="BI1784" s="1"/>
      <c r="BP1784" s="1"/>
      <c r="BS1784" s="1"/>
      <c r="BU1784" s="1"/>
      <c r="BW1784" s="1"/>
    </row>
    <row r="1785" spans="35:75">
      <c r="AI1785" s="1"/>
      <c r="AL1785" s="1"/>
      <c r="AO1785" s="1"/>
      <c r="AR1785" s="1"/>
      <c r="AZ1785" s="1"/>
      <c r="BC1785" s="1"/>
      <c r="BF1785" s="1"/>
      <c r="BI1785" s="1"/>
      <c r="BP1785" s="1"/>
      <c r="BS1785" s="1"/>
      <c r="BU1785" s="1"/>
      <c r="BW1785" s="1"/>
    </row>
    <row r="1786" spans="35:75">
      <c r="AI1786" s="1"/>
      <c r="AL1786" s="1"/>
      <c r="AO1786" s="1"/>
      <c r="AR1786" s="1"/>
      <c r="AZ1786" s="1"/>
      <c r="BC1786" s="1"/>
      <c r="BF1786" s="1"/>
      <c r="BI1786" s="1"/>
      <c r="BP1786" s="1"/>
      <c r="BS1786" s="1"/>
      <c r="BU1786" s="1"/>
      <c r="BW1786" s="1"/>
    </row>
    <row r="1787" spans="35:75">
      <c r="AI1787" s="1"/>
      <c r="AL1787" s="1"/>
      <c r="AO1787" s="1"/>
      <c r="AR1787" s="1"/>
      <c r="AZ1787" s="1"/>
      <c r="BC1787" s="1"/>
      <c r="BF1787" s="1"/>
      <c r="BI1787" s="1"/>
      <c r="BP1787" s="1"/>
      <c r="BS1787" s="1"/>
      <c r="BU1787" s="1"/>
      <c r="BW1787" s="1"/>
    </row>
    <row r="1788" spans="35:75">
      <c r="AI1788" s="1"/>
      <c r="AL1788" s="1"/>
      <c r="AO1788" s="1"/>
      <c r="AR1788" s="1"/>
      <c r="AZ1788" s="1"/>
      <c r="BC1788" s="1"/>
      <c r="BF1788" s="1"/>
      <c r="BI1788" s="1"/>
      <c r="BP1788" s="1"/>
      <c r="BS1788" s="1"/>
      <c r="BU1788" s="1"/>
      <c r="BW1788" s="1"/>
    </row>
    <row r="1789" spans="35:75">
      <c r="AI1789" s="1"/>
      <c r="AL1789" s="1"/>
      <c r="AO1789" s="1"/>
      <c r="AR1789" s="1"/>
      <c r="AZ1789" s="1"/>
      <c r="BC1789" s="1"/>
      <c r="BF1789" s="1"/>
      <c r="BI1789" s="1"/>
      <c r="BP1789" s="1"/>
      <c r="BS1789" s="1"/>
      <c r="BU1789" s="1"/>
      <c r="BW1789" s="1"/>
    </row>
    <row r="1790" spans="35:75">
      <c r="AI1790" s="1"/>
      <c r="AL1790" s="1"/>
      <c r="AO1790" s="1"/>
      <c r="AR1790" s="1"/>
      <c r="AZ1790" s="1"/>
      <c r="BC1790" s="1"/>
      <c r="BF1790" s="1"/>
      <c r="BI1790" s="1"/>
      <c r="BP1790" s="1"/>
      <c r="BS1790" s="1"/>
      <c r="BU1790" s="1"/>
      <c r="BW1790" s="1"/>
    </row>
    <row r="1791" spans="35:75">
      <c r="AI1791" s="1"/>
      <c r="AL1791" s="1"/>
      <c r="AO1791" s="1"/>
      <c r="AR1791" s="1"/>
      <c r="AZ1791" s="1"/>
      <c r="BC1791" s="1"/>
      <c r="BF1791" s="1"/>
      <c r="BI1791" s="1"/>
      <c r="BP1791" s="1"/>
      <c r="BS1791" s="1"/>
      <c r="BU1791" s="1"/>
      <c r="BW1791" s="1"/>
    </row>
    <row r="1792" spans="35:75">
      <c r="AI1792" s="1"/>
      <c r="AL1792" s="1"/>
      <c r="AO1792" s="1"/>
      <c r="AR1792" s="1"/>
      <c r="AZ1792" s="1"/>
      <c r="BC1792" s="1"/>
      <c r="BF1792" s="1"/>
      <c r="BI1792" s="1"/>
      <c r="BP1792" s="1"/>
      <c r="BS1792" s="1"/>
      <c r="BU1792" s="1"/>
      <c r="BW1792" s="1"/>
    </row>
    <row r="1793" spans="35:75">
      <c r="AI1793" s="1"/>
      <c r="AL1793" s="1"/>
      <c r="AO1793" s="1"/>
      <c r="AR1793" s="1"/>
      <c r="AZ1793" s="1"/>
      <c r="BC1793" s="1"/>
      <c r="BF1793" s="1"/>
      <c r="BI1793" s="1"/>
      <c r="BP1793" s="1"/>
      <c r="BS1793" s="1"/>
      <c r="BU1793" s="1"/>
      <c r="BW1793" s="1"/>
    </row>
    <row r="1794" spans="35:75">
      <c r="AI1794" s="1"/>
      <c r="AL1794" s="1"/>
      <c r="AO1794" s="1"/>
      <c r="AR1794" s="1"/>
      <c r="AZ1794" s="1"/>
      <c r="BC1794" s="1"/>
      <c r="BF1794" s="1"/>
      <c r="BI1794" s="1"/>
      <c r="BP1794" s="1"/>
      <c r="BS1794" s="1"/>
      <c r="BU1794" s="1"/>
      <c r="BW1794" s="1"/>
    </row>
    <row r="1795" spans="35:75">
      <c r="AI1795" s="1"/>
      <c r="AL1795" s="1"/>
      <c r="AO1795" s="1"/>
      <c r="AR1795" s="1"/>
      <c r="AZ1795" s="1"/>
      <c r="BC1795" s="1"/>
      <c r="BF1795" s="1"/>
      <c r="BI1795" s="1"/>
      <c r="BP1795" s="1"/>
      <c r="BS1795" s="1"/>
      <c r="BU1795" s="1"/>
      <c r="BW1795" s="1"/>
    </row>
    <row r="1796" spans="35:75">
      <c r="AI1796" s="1"/>
      <c r="AL1796" s="1"/>
      <c r="AO1796" s="1"/>
      <c r="AR1796" s="1"/>
      <c r="AZ1796" s="1"/>
      <c r="BC1796" s="1"/>
      <c r="BF1796" s="1"/>
      <c r="BI1796" s="1"/>
      <c r="BP1796" s="1"/>
      <c r="BS1796" s="1"/>
      <c r="BU1796" s="1"/>
      <c r="BW1796" s="1"/>
    </row>
    <row r="1797" spans="35:75">
      <c r="AI1797" s="1"/>
      <c r="AL1797" s="1"/>
      <c r="AO1797" s="1"/>
      <c r="AR1797" s="1"/>
      <c r="AZ1797" s="1"/>
      <c r="BC1797" s="1"/>
      <c r="BF1797" s="1"/>
      <c r="BI1797" s="1"/>
      <c r="BP1797" s="1"/>
      <c r="BS1797" s="1"/>
      <c r="BU1797" s="1"/>
      <c r="BW1797" s="1"/>
    </row>
    <row r="1798" spans="35:75">
      <c r="AI1798" s="1"/>
      <c r="AL1798" s="1"/>
      <c r="AO1798" s="1"/>
      <c r="AR1798" s="1"/>
      <c r="AZ1798" s="1"/>
      <c r="BC1798" s="1"/>
      <c r="BF1798" s="1"/>
      <c r="BI1798" s="1"/>
      <c r="BP1798" s="1"/>
      <c r="BS1798" s="1"/>
      <c r="BU1798" s="1"/>
      <c r="BW1798" s="1"/>
    </row>
    <row r="1799" spans="35:75">
      <c r="AI1799" s="1"/>
      <c r="AL1799" s="1"/>
      <c r="AO1799" s="1"/>
      <c r="AR1799" s="1"/>
      <c r="AZ1799" s="1"/>
      <c r="BC1799" s="1"/>
      <c r="BF1799" s="1"/>
      <c r="BI1799" s="1"/>
      <c r="BP1799" s="1"/>
      <c r="BS1799" s="1"/>
      <c r="BU1799" s="1"/>
      <c r="BW1799" s="1"/>
    </row>
    <row r="1800" spans="35:75">
      <c r="AI1800" s="1"/>
      <c r="AL1800" s="1"/>
      <c r="AO1800" s="1"/>
      <c r="AR1800" s="1"/>
      <c r="AZ1800" s="1"/>
      <c r="BC1800" s="1"/>
      <c r="BF1800" s="1"/>
      <c r="BI1800" s="1"/>
      <c r="BP1800" s="1"/>
      <c r="BS1800" s="1"/>
      <c r="BU1800" s="1"/>
      <c r="BW1800" s="1"/>
    </row>
    <row r="1801" spans="35:75">
      <c r="AI1801" s="1"/>
      <c r="AL1801" s="1"/>
      <c r="AO1801" s="1"/>
      <c r="AR1801" s="1"/>
      <c r="AZ1801" s="1"/>
      <c r="BC1801" s="1"/>
      <c r="BF1801" s="1"/>
      <c r="BI1801" s="1"/>
      <c r="BP1801" s="1"/>
      <c r="BS1801" s="1"/>
      <c r="BU1801" s="1"/>
      <c r="BW1801" s="1"/>
    </row>
    <row r="1802" spans="35:75">
      <c r="AI1802" s="1"/>
      <c r="AL1802" s="1"/>
      <c r="AO1802" s="1"/>
      <c r="AR1802" s="1"/>
      <c r="AZ1802" s="1"/>
      <c r="BC1802" s="1"/>
      <c r="BF1802" s="1"/>
      <c r="BI1802" s="1"/>
      <c r="BP1802" s="1"/>
      <c r="BS1802" s="1"/>
      <c r="BU1802" s="1"/>
      <c r="BW1802" s="1"/>
    </row>
    <row r="1803" spans="35:75">
      <c r="AI1803" s="1"/>
      <c r="AL1803" s="1"/>
      <c r="AO1803" s="1"/>
      <c r="AR1803" s="1"/>
      <c r="AZ1803" s="1"/>
      <c r="BC1803" s="1"/>
      <c r="BF1803" s="1"/>
      <c r="BI1803" s="1"/>
      <c r="BP1803" s="1"/>
      <c r="BS1803" s="1"/>
      <c r="BU1803" s="1"/>
      <c r="BW1803" s="1"/>
    </row>
    <row r="1804" spans="35:75">
      <c r="AI1804" s="1"/>
      <c r="AL1804" s="1"/>
      <c r="AO1804" s="1"/>
      <c r="AR1804" s="1"/>
      <c r="AZ1804" s="1"/>
      <c r="BC1804" s="1"/>
      <c r="BF1804" s="1"/>
      <c r="BI1804" s="1"/>
      <c r="BP1804" s="1"/>
      <c r="BS1804" s="1"/>
      <c r="BU1804" s="1"/>
      <c r="BW1804" s="1"/>
    </row>
    <row r="1805" spans="35:75">
      <c r="AI1805" s="1"/>
      <c r="AL1805" s="1"/>
      <c r="AO1805" s="1"/>
      <c r="AR1805" s="1"/>
      <c r="AZ1805" s="1"/>
      <c r="BC1805" s="1"/>
      <c r="BF1805" s="1"/>
      <c r="BI1805" s="1"/>
      <c r="BP1805" s="1"/>
      <c r="BS1805" s="1"/>
      <c r="BU1805" s="1"/>
      <c r="BW1805" s="1"/>
    </row>
    <row r="1806" spans="35:75">
      <c r="AI1806" s="1"/>
      <c r="AL1806" s="1"/>
      <c r="AO1806" s="1"/>
      <c r="AR1806" s="1"/>
      <c r="AZ1806" s="1"/>
      <c r="BC1806" s="1"/>
      <c r="BF1806" s="1"/>
      <c r="BI1806" s="1"/>
      <c r="BP1806" s="1"/>
      <c r="BS1806" s="1"/>
      <c r="BU1806" s="1"/>
      <c r="BW1806" s="1"/>
    </row>
    <row r="1807" spans="35:75">
      <c r="AI1807" s="1"/>
      <c r="AL1807" s="1"/>
      <c r="AO1807" s="1"/>
      <c r="AR1807" s="1"/>
      <c r="AZ1807" s="1"/>
      <c r="BC1807" s="1"/>
      <c r="BF1807" s="1"/>
      <c r="BI1807" s="1"/>
      <c r="BP1807" s="1"/>
      <c r="BS1807" s="1"/>
      <c r="BU1807" s="1"/>
      <c r="BW1807" s="1"/>
    </row>
    <row r="1808" spans="35:75">
      <c r="AI1808" s="1"/>
      <c r="AL1808" s="1"/>
      <c r="AO1808" s="1"/>
      <c r="AR1808" s="1"/>
      <c r="AZ1808" s="1"/>
      <c r="BC1808" s="1"/>
      <c r="BF1808" s="1"/>
      <c r="BI1808" s="1"/>
      <c r="BP1808" s="1"/>
      <c r="BS1808" s="1"/>
      <c r="BU1808" s="1"/>
      <c r="BW1808" s="1"/>
    </row>
    <row r="1809" spans="35:75">
      <c r="AI1809" s="1"/>
      <c r="AL1809" s="1"/>
      <c r="AO1809" s="1"/>
      <c r="AR1809" s="1"/>
      <c r="AZ1809" s="1"/>
      <c r="BC1809" s="1"/>
      <c r="BF1809" s="1"/>
      <c r="BI1809" s="1"/>
      <c r="BP1809" s="1"/>
      <c r="BS1809" s="1"/>
      <c r="BU1809" s="1"/>
      <c r="BW1809" s="1"/>
    </row>
    <row r="1810" spans="35:75">
      <c r="AI1810" s="1"/>
      <c r="AL1810" s="1"/>
      <c r="AO1810" s="1"/>
      <c r="AR1810" s="1"/>
      <c r="AZ1810" s="1"/>
      <c r="BC1810" s="1"/>
      <c r="BF1810" s="1"/>
      <c r="BI1810" s="1"/>
      <c r="BP1810" s="1"/>
      <c r="BS1810" s="1"/>
      <c r="BU1810" s="1"/>
      <c r="BW1810" s="1"/>
    </row>
    <row r="1811" spans="35:75">
      <c r="AI1811" s="1"/>
      <c r="AL1811" s="1"/>
      <c r="AO1811" s="1"/>
      <c r="AR1811" s="1"/>
      <c r="AZ1811" s="1"/>
      <c r="BC1811" s="1"/>
      <c r="BF1811" s="1"/>
      <c r="BI1811" s="1"/>
      <c r="BP1811" s="1"/>
      <c r="BS1811" s="1"/>
      <c r="BU1811" s="1"/>
      <c r="BW1811" s="1"/>
    </row>
    <row r="1812" spans="35:75">
      <c r="AI1812" s="1"/>
      <c r="AL1812" s="1"/>
      <c r="AO1812" s="1"/>
      <c r="AR1812" s="1"/>
      <c r="AZ1812" s="1"/>
      <c r="BC1812" s="1"/>
      <c r="BF1812" s="1"/>
      <c r="BI1812" s="1"/>
      <c r="BP1812" s="1"/>
      <c r="BS1812" s="1"/>
      <c r="BU1812" s="1"/>
      <c r="BW1812" s="1"/>
    </row>
    <row r="1813" spans="35:75">
      <c r="AI1813" s="1"/>
      <c r="AL1813" s="1"/>
      <c r="AO1813" s="1"/>
      <c r="AR1813" s="1"/>
      <c r="AZ1813" s="1"/>
      <c r="BC1813" s="1"/>
      <c r="BF1813" s="1"/>
      <c r="BI1813" s="1"/>
      <c r="BP1813" s="1"/>
      <c r="BS1813" s="1"/>
      <c r="BU1813" s="1"/>
      <c r="BW1813" s="1"/>
    </row>
    <row r="1814" spans="35:75">
      <c r="AI1814" s="1"/>
      <c r="AL1814" s="1"/>
      <c r="AO1814" s="1"/>
      <c r="AR1814" s="1"/>
      <c r="AZ1814" s="1"/>
      <c r="BC1814" s="1"/>
      <c r="BF1814" s="1"/>
      <c r="BI1814" s="1"/>
      <c r="BP1814" s="1"/>
      <c r="BS1814" s="1"/>
      <c r="BU1814" s="1"/>
      <c r="BW1814" s="1"/>
    </row>
    <row r="1815" spans="35:75">
      <c r="AI1815" s="1"/>
      <c r="AL1815" s="1"/>
      <c r="AO1815" s="1"/>
      <c r="AR1815" s="1"/>
      <c r="AZ1815" s="1"/>
      <c r="BC1815" s="1"/>
      <c r="BF1815" s="1"/>
      <c r="BI1815" s="1"/>
      <c r="BP1815" s="1"/>
      <c r="BS1815" s="1"/>
      <c r="BU1815" s="1"/>
      <c r="BW1815" s="1"/>
    </row>
    <row r="1816" spans="35:75">
      <c r="AI1816" s="1"/>
      <c r="AL1816" s="1"/>
      <c r="AO1816" s="1"/>
      <c r="AR1816" s="1"/>
      <c r="AZ1816" s="1"/>
      <c r="BC1816" s="1"/>
      <c r="BF1816" s="1"/>
      <c r="BI1816" s="1"/>
      <c r="BP1816" s="1"/>
      <c r="BS1816" s="1"/>
      <c r="BU1816" s="1"/>
      <c r="BW1816" s="1"/>
    </row>
    <row r="1817" spans="35:75">
      <c r="AI1817" s="1"/>
      <c r="AL1817" s="1"/>
      <c r="AO1817" s="1"/>
      <c r="AR1817" s="1"/>
      <c r="AZ1817" s="1"/>
      <c r="BC1817" s="1"/>
      <c r="BF1817" s="1"/>
      <c r="BI1817" s="1"/>
      <c r="BP1817" s="1"/>
      <c r="BS1817" s="1"/>
      <c r="BU1817" s="1"/>
      <c r="BW1817" s="1"/>
    </row>
    <row r="1818" spans="35:75">
      <c r="AI1818" s="1"/>
      <c r="AL1818" s="1"/>
      <c r="AO1818" s="1"/>
      <c r="AR1818" s="1"/>
      <c r="AZ1818" s="1"/>
      <c r="BC1818" s="1"/>
      <c r="BF1818" s="1"/>
      <c r="BI1818" s="1"/>
      <c r="BP1818" s="1"/>
      <c r="BS1818" s="1"/>
      <c r="BU1818" s="1"/>
      <c r="BW1818" s="1"/>
    </row>
    <row r="1819" spans="35:75">
      <c r="AI1819" s="1"/>
      <c r="AL1819" s="1"/>
      <c r="AO1819" s="1"/>
      <c r="AR1819" s="1"/>
      <c r="AZ1819" s="1"/>
      <c r="BC1819" s="1"/>
      <c r="BF1819" s="1"/>
      <c r="BI1819" s="1"/>
      <c r="BP1819" s="1"/>
      <c r="BS1819" s="1"/>
      <c r="BU1819" s="1"/>
      <c r="BW1819" s="1"/>
    </row>
    <row r="1820" spans="35:75">
      <c r="AI1820" s="1"/>
      <c r="AL1820" s="1"/>
      <c r="AO1820" s="1"/>
      <c r="AR1820" s="1"/>
      <c r="AZ1820" s="1"/>
      <c r="BC1820" s="1"/>
      <c r="BF1820" s="1"/>
      <c r="BI1820" s="1"/>
      <c r="BP1820" s="1"/>
      <c r="BS1820" s="1"/>
      <c r="BU1820" s="1"/>
      <c r="BW1820" s="1"/>
    </row>
    <row r="1821" spans="35:75">
      <c r="AI1821" s="1"/>
      <c r="AL1821" s="1"/>
      <c r="AO1821" s="1"/>
      <c r="AR1821" s="1"/>
      <c r="AZ1821" s="1"/>
      <c r="BC1821" s="1"/>
      <c r="BF1821" s="1"/>
      <c r="BI1821" s="1"/>
      <c r="BP1821" s="1"/>
      <c r="BS1821" s="1"/>
      <c r="BU1821" s="1"/>
      <c r="BW1821" s="1"/>
    </row>
    <row r="1822" spans="35:75">
      <c r="AI1822" s="1"/>
      <c r="AL1822" s="1"/>
      <c r="AO1822" s="1"/>
      <c r="AR1822" s="1"/>
      <c r="AZ1822" s="1"/>
      <c r="BC1822" s="1"/>
      <c r="BF1822" s="1"/>
      <c r="BI1822" s="1"/>
      <c r="BP1822" s="1"/>
      <c r="BS1822" s="1"/>
      <c r="BU1822" s="1"/>
      <c r="BW1822" s="1"/>
    </row>
    <row r="1823" spans="35:75">
      <c r="AI1823" s="1"/>
      <c r="AL1823" s="1"/>
      <c r="AO1823" s="1"/>
      <c r="AR1823" s="1"/>
      <c r="AZ1823" s="1"/>
      <c r="BC1823" s="1"/>
      <c r="BF1823" s="1"/>
      <c r="BI1823" s="1"/>
      <c r="BP1823" s="1"/>
      <c r="BS1823" s="1"/>
      <c r="BU1823" s="1"/>
      <c r="BW1823" s="1"/>
    </row>
    <row r="1824" spans="35:75">
      <c r="AI1824" s="1"/>
      <c r="AL1824" s="1"/>
      <c r="AO1824" s="1"/>
      <c r="AR1824" s="1"/>
      <c r="AZ1824" s="1"/>
      <c r="BC1824" s="1"/>
      <c r="BF1824" s="1"/>
      <c r="BI1824" s="1"/>
      <c r="BP1824" s="1"/>
      <c r="BS1824" s="1"/>
      <c r="BU1824" s="1"/>
      <c r="BW1824" s="1"/>
    </row>
    <row r="1825" spans="35:75">
      <c r="AI1825" s="1"/>
      <c r="AL1825" s="1"/>
      <c r="AO1825" s="1"/>
      <c r="AR1825" s="1"/>
      <c r="AZ1825" s="1"/>
      <c r="BC1825" s="1"/>
      <c r="BF1825" s="1"/>
      <c r="BI1825" s="1"/>
      <c r="BP1825" s="1"/>
      <c r="BS1825" s="1"/>
      <c r="BU1825" s="1"/>
      <c r="BW1825" s="1"/>
    </row>
    <row r="1826" spans="35:75">
      <c r="AI1826" s="1"/>
      <c r="AL1826" s="1"/>
      <c r="AO1826" s="1"/>
      <c r="AR1826" s="1"/>
      <c r="AZ1826" s="1"/>
      <c r="BC1826" s="1"/>
      <c r="BF1826" s="1"/>
      <c r="BI1826" s="1"/>
      <c r="BP1826" s="1"/>
      <c r="BS1826" s="1"/>
      <c r="BU1826" s="1"/>
      <c r="BW1826" s="1"/>
    </row>
    <row r="1827" spans="35:75">
      <c r="AI1827" s="1"/>
      <c r="AL1827" s="1"/>
      <c r="AO1827" s="1"/>
      <c r="AR1827" s="1"/>
      <c r="AZ1827" s="1"/>
      <c r="BC1827" s="1"/>
      <c r="BF1827" s="1"/>
      <c r="BI1827" s="1"/>
      <c r="BP1827" s="1"/>
      <c r="BS1827" s="1"/>
      <c r="BU1827" s="1"/>
      <c r="BW1827" s="1"/>
    </row>
    <row r="1828" spans="35:75">
      <c r="AI1828" s="1"/>
      <c r="AL1828" s="1"/>
      <c r="AO1828" s="1"/>
      <c r="AR1828" s="1"/>
      <c r="AZ1828" s="1"/>
      <c r="BC1828" s="1"/>
      <c r="BF1828" s="1"/>
      <c r="BI1828" s="1"/>
      <c r="BP1828" s="1"/>
      <c r="BS1828" s="1"/>
      <c r="BU1828" s="1"/>
      <c r="BW1828" s="1"/>
    </row>
    <row r="1829" spans="35:75">
      <c r="AI1829" s="1"/>
      <c r="AL1829" s="1"/>
      <c r="AO1829" s="1"/>
      <c r="AR1829" s="1"/>
      <c r="AZ1829" s="1"/>
      <c r="BC1829" s="1"/>
      <c r="BF1829" s="1"/>
      <c r="BI1829" s="1"/>
      <c r="BP1829" s="1"/>
      <c r="BS1829" s="1"/>
      <c r="BU1829" s="1"/>
      <c r="BW1829" s="1"/>
    </row>
    <row r="1830" spans="35:75">
      <c r="AI1830" s="1"/>
      <c r="AL1830" s="1"/>
      <c r="AO1830" s="1"/>
      <c r="AR1830" s="1"/>
      <c r="AZ1830" s="1"/>
      <c r="BC1830" s="1"/>
      <c r="BF1830" s="1"/>
      <c r="BI1830" s="1"/>
      <c r="BP1830" s="1"/>
      <c r="BS1830" s="1"/>
      <c r="BU1830" s="1"/>
      <c r="BW1830" s="1"/>
    </row>
    <row r="1831" spans="35:75">
      <c r="AI1831" s="1"/>
      <c r="AL1831" s="1"/>
      <c r="AO1831" s="1"/>
      <c r="AR1831" s="1"/>
      <c r="AZ1831" s="1"/>
      <c r="BC1831" s="1"/>
      <c r="BF1831" s="1"/>
      <c r="BI1831" s="1"/>
      <c r="BP1831" s="1"/>
      <c r="BS1831" s="1"/>
      <c r="BU1831" s="1"/>
      <c r="BW1831" s="1"/>
    </row>
    <row r="1832" spans="35:75">
      <c r="AI1832" s="1"/>
      <c r="AL1832" s="1"/>
      <c r="AO1832" s="1"/>
      <c r="AR1832" s="1"/>
      <c r="AZ1832" s="1"/>
      <c r="BC1832" s="1"/>
      <c r="BF1832" s="1"/>
      <c r="BI1832" s="1"/>
      <c r="BP1832" s="1"/>
      <c r="BS1832" s="1"/>
      <c r="BU1832" s="1"/>
      <c r="BW1832" s="1"/>
    </row>
    <row r="1833" spans="35:75">
      <c r="AI1833" s="1"/>
      <c r="AL1833" s="1"/>
      <c r="AO1833" s="1"/>
      <c r="AR1833" s="1"/>
      <c r="AZ1833" s="1"/>
      <c r="BC1833" s="1"/>
      <c r="BF1833" s="1"/>
      <c r="BI1833" s="1"/>
      <c r="BP1833" s="1"/>
      <c r="BS1833" s="1"/>
      <c r="BU1833" s="1"/>
      <c r="BW1833" s="1"/>
    </row>
    <row r="1834" spans="35:75">
      <c r="AI1834" s="1"/>
      <c r="AL1834" s="1"/>
      <c r="AO1834" s="1"/>
      <c r="AR1834" s="1"/>
      <c r="AZ1834" s="1"/>
      <c r="BC1834" s="1"/>
      <c r="BF1834" s="1"/>
      <c r="BI1834" s="1"/>
      <c r="BP1834" s="1"/>
      <c r="BS1834" s="1"/>
      <c r="BU1834" s="1"/>
      <c r="BW1834" s="1"/>
    </row>
    <row r="1835" spans="35:75">
      <c r="AI1835" s="1"/>
      <c r="AL1835" s="1"/>
      <c r="AO1835" s="1"/>
      <c r="AR1835" s="1"/>
      <c r="AZ1835" s="1"/>
      <c r="BC1835" s="1"/>
      <c r="BF1835" s="1"/>
      <c r="BI1835" s="1"/>
      <c r="BP1835" s="1"/>
      <c r="BS1835" s="1"/>
      <c r="BU1835" s="1"/>
      <c r="BW1835" s="1"/>
    </row>
    <row r="1836" spans="35:75">
      <c r="AI1836" s="1"/>
      <c r="AL1836" s="1"/>
      <c r="AO1836" s="1"/>
      <c r="AR1836" s="1"/>
      <c r="AZ1836" s="1"/>
      <c r="BC1836" s="1"/>
      <c r="BF1836" s="1"/>
      <c r="BI1836" s="1"/>
      <c r="BP1836" s="1"/>
      <c r="BS1836" s="1"/>
      <c r="BU1836" s="1"/>
      <c r="BW1836" s="1"/>
    </row>
    <row r="1837" spans="35:75">
      <c r="AI1837" s="1"/>
      <c r="AL1837" s="1"/>
      <c r="AO1837" s="1"/>
      <c r="AR1837" s="1"/>
      <c r="AZ1837" s="1"/>
      <c r="BC1837" s="1"/>
      <c r="BF1837" s="1"/>
      <c r="BI1837" s="1"/>
      <c r="BP1837" s="1"/>
      <c r="BS1837" s="1"/>
      <c r="BU1837" s="1"/>
      <c r="BW1837" s="1"/>
    </row>
    <row r="1838" spans="35:75">
      <c r="AI1838" s="1"/>
      <c r="AL1838" s="1"/>
      <c r="AO1838" s="1"/>
      <c r="AR1838" s="1"/>
      <c r="AZ1838" s="1"/>
      <c r="BC1838" s="1"/>
      <c r="BF1838" s="1"/>
      <c r="BI1838" s="1"/>
      <c r="BP1838" s="1"/>
      <c r="BS1838" s="1"/>
      <c r="BU1838" s="1"/>
      <c r="BW1838" s="1"/>
    </row>
    <row r="1839" spans="35:75">
      <c r="AI1839" s="1"/>
      <c r="AL1839" s="1"/>
      <c r="AO1839" s="1"/>
      <c r="AR1839" s="1"/>
      <c r="AZ1839" s="1"/>
      <c r="BC1839" s="1"/>
      <c r="BF1839" s="1"/>
      <c r="BI1839" s="1"/>
      <c r="BP1839" s="1"/>
      <c r="BS1839" s="1"/>
      <c r="BU1839" s="1"/>
      <c r="BW1839" s="1"/>
    </row>
    <row r="1840" spans="35:75">
      <c r="AI1840" s="1"/>
      <c r="AL1840" s="1"/>
      <c r="AO1840" s="1"/>
      <c r="AR1840" s="1"/>
      <c r="AZ1840" s="1"/>
      <c r="BC1840" s="1"/>
      <c r="BF1840" s="1"/>
      <c r="BI1840" s="1"/>
      <c r="BP1840" s="1"/>
      <c r="BS1840" s="1"/>
      <c r="BU1840" s="1"/>
      <c r="BW1840" s="1"/>
    </row>
    <row r="1841" spans="35:75">
      <c r="AI1841" s="1"/>
      <c r="AL1841" s="1"/>
      <c r="AO1841" s="1"/>
      <c r="AR1841" s="1"/>
      <c r="AZ1841" s="1"/>
      <c r="BC1841" s="1"/>
      <c r="BF1841" s="1"/>
      <c r="BI1841" s="1"/>
      <c r="BP1841" s="1"/>
      <c r="BS1841" s="1"/>
      <c r="BU1841" s="1"/>
      <c r="BW1841" s="1"/>
    </row>
    <row r="1842" spans="35:75">
      <c r="AI1842" s="1"/>
      <c r="AL1842" s="1"/>
      <c r="AO1842" s="1"/>
      <c r="AR1842" s="1"/>
      <c r="AZ1842" s="1"/>
      <c r="BC1842" s="1"/>
      <c r="BF1842" s="1"/>
      <c r="BI1842" s="1"/>
      <c r="BP1842" s="1"/>
      <c r="BS1842" s="1"/>
      <c r="BU1842" s="1"/>
      <c r="BW1842" s="1"/>
    </row>
    <row r="1843" spans="35:75">
      <c r="AI1843" s="1"/>
      <c r="AL1843" s="1"/>
      <c r="AO1843" s="1"/>
      <c r="AR1843" s="1"/>
      <c r="AZ1843" s="1"/>
      <c r="BC1843" s="1"/>
      <c r="BF1843" s="1"/>
      <c r="BI1843" s="1"/>
      <c r="BP1843" s="1"/>
      <c r="BS1843" s="1"/>
      <c r="BU1843" s="1"/>
      <c r="BW1843" s="1"/>
    </row>
    <row r="1844" spans="35:75">
      <c r="AI1844" s="1"/>
      <c r="AL1844" s="1"/>
      <c r="AO1844" s="1"/>
      <c r="AR1844" s="1"/>
      <c r="AZ1844" s="1"/>
      <c r="BC1844" s="1"/>
      <c r="BF1844" s="1"/>
      <c r="BI1844" s="1"/>
      <c r="BP1844" s="1"/>
      <c r="BS1844" s="1"/>
      <c r="BU1844" s="1"/>
      <c r="BW1844" s="1"/>
    </row>
    <row r="1845" spans="35:75">
      <c r="AI1845" s="1"/>
      <c r="AL1845" s="1"/>
      <c r="AO1845" s="1"/>
      <c r="AR1845" s="1"/>
      <c r="AZ1845" s="1"/>
      <c r="BC1845" s="1"/>
      <c r="BF1845" s="1"/>
      <c r="BI1845" s="1"/>
      <c r="BP1845" s="1"/>
      <c r="BS1845" s="1"/>
      <c r="BU1845" s="1"/>
      <c r="BW1845" s="1"/>
    </row>
    <row r="1846" spans="35:75">
      <c r="AI1846" s="1"/>
      <c r="AL1846" s="1"/>
      <c r="AO1846" s="1"/>
      <c r="AR1846" s="1"/>
      <c r="AZ1846" s="1"/>
      <c r="BC1846" s="1"/>
      <c r="BF1846" s="1"/>
      <c r="BI1846" s="1"/>
      <c r="BP1846" s="1"/>
      <c r="BS1846" s="1"/>
      <c r="BU1846" s="1"/>
      <c r="BW1846" s="1"/>
    </row>
    <row r="1847" spans="35:75">
      <c r="AI1847" s="1"/>
      <c r="AL1847" s="1"/>
      <c r="AO1847" s="1"/>
      <c r="AR1847" s="1"/>
      <c r="AZ1847" s="1"/>
      <c r="BC1847" s="1"/>
      <c r="BF1847" s="1"/>
      <c r="BI1847" s="1"/>
      <c r="BP1847" s="1"/>
      <c r="BS1847" s="1"/>
      <c r="BU1847" s="1"/>
      <c r="BW1847" s="1"/>
    </row>
    <row r="1848" spans="35:75">
      <c r="AI1848" s="1"/>
      <c r="AL1848" s="1"/>
      <c r="AO1848" s="1"/>
      <c r="AR1848" s="1"/>
      <c r="AZ1848" s="1"/>
      <c r="BC1848" s="1"/>
      <c r="BF1848" s="1"/>
      <c r="BI1848" s="1"/>
      <c r="BP1848" s="1"/>
      <c r="BS1848" s="1"/>
      <c r="BU1848" s="1"/>
      <c r="BW1848" s="1"/>
    </row>
    <row r="1849" spans="35:75">
      <c r="AI1849" s="1"/>
      <c r="AL1849" s="1"/>
      <c r="AO1849" s="1"/>
      <c r="AR1849" s="1"/>
      <c r="AZ1849" s="1"/>
      <c r="BC1849" s="1"/>
      <c r="BF1849" s="1"/>
      <c r="BI1849" s="1"/>
      <c r="BP1849" s="1"/>
      <c r="BS1849" s="1"/>
      <c r="BU1849" s="1"/>
      <c r="BW1849" s="1"/>
    </row>
    <row r="1850" spans="35:75">
      <c r="AI1850" s="1"/>
      <c r="AL1850" s="1"/>
      <c r="AO1850" s="1"/>
      <c r="AR1850" s="1"/>
      <c r="AZ1850" s="1"/>
      <c r="BC1850" s="1"/>
      <c r="BF1850" s="1"/>
      <c r="BI1850" s="1"/>
      <c r="BP1850" s="1"/>
      <c r="BS1850" s="1"/>
      <c r="BU1850" s="1"/>
      <c r="BW1850" s="1"/>
    </row>
    <row r="1851" spans="35:75">
      <c r="AI1851" s="1"/>
      <c r="AL1851" s="1"/>
      <c r="AO1851" s="1"/>
      <c r="AR1851" s="1"/>
      <c r="AZ1851" s="1"/>
      <c r="BC1851" s="1"/>
      <c r="BF1851" s="1"/>
      <c r="BI1851" s="1"/>
      <c r="BP1851" s="1"/>
      <c r="BS1851" s="1"/>
      <c r="BU1851" s="1"/>
      <c r="BW1851" s="1"/>
    </row>
    <row r="1852" spans="35:75">
      <c r="AI1852" s="1"/>
      <c r="AL1852" s="1"/>
      <c r="AO1852" s="1"/>
      <c r="AR1852" s="1"/>
      <c r="AZ1852" s="1"/>
      <c r="BC1852" s="1"/>
      <c r="BF1852" s="1"/>
      <c r="BI1852" s="1"/>
      <c r="BP1852" s="1"/>
      <c r="BS1852" s="1"/>
      <c r="BU1852" s="1"/>
      <c r="BW1852" s="1"/>
    </row>
    <row r="1853" spans="35:75">
      <c r="AI1853" s="1"/>
      <c r="AL1853" s="1"/>
      <c r="AO1853" s="1"/>
      <c r="AR1853" s="1"/>
      <c r="AZ1853" s="1"/>
      <c r="BC1853" s="1"/>
      <c r="BF1853" s="1"/>
      <c r="BI1853" s="1"/>
      <c r="BP1853" s="1"/>
      <c r="BS1853" s="1"/>
      <c r="BU1853" s="1"/>
      <c r="BW1853" s="1"/>
    </row>
    <row r="1854" spans="35:75">
      <c r="AI1854" s="1"/>
      <c r="AL1854" s="1"/>
      <c r="AO1854" s="1"/>
      <c r="AR1854" s="1"/>
      <c r="AZ1854" s="1"/>
      <c r="BC1854" s="1"/>
      <c r="BF1854" s="1"/>
      <c r="BI1854" s="1"/>
      <c r="BP1854" s="1"/>
      <c r="BS1854" s="1"/>
      <c r="BU1854" s="1"/>
      <c r="BW1854" s="1"/>
    </row>
    <row r="1855" spans="35:75">
      <c r="AI1855" s="1"/>
      <c r="AL1855" s="1"/>
      <c r="AO1855" s="1"/>
      <c r="AR1855" s="1"/>
      <c r="AZ1855" s="1"/>
      <c r="BC1855" s="1"/>
      <c r="BF1855" s="1"/>
      <c r="BI1855" s="1"/>
      <c r="BP1855" s="1"/>
      <c r="BS1855" s="1"/>
      <c r="BU1855" s="1"/>
      <c r="BW1855" s="1"/>
    </row>
    <row r="1856" spans="35:75">
      <c r="AI1856" s="1"/>
      <c r="AL1856" s="1"/>
      <c r="AO1856" s="1"/>
      <c r="AR1856" s="1"/>
      <c r="AZ1856" s="1"/>
      <c r="BC1856" s="1"/>
      <c r="BF1856" s="1"/>
      <c r="BI1856" s="1"/>
      <c r="BP1856" s="1"/>
      <c r="BS1856" s="1"/>
      <c r="BU1856" s="1"/>
      <c r="BW1856" s="1"/>
    </row>
    <row r="1857" spans="35:75">
      <c r="AI1857" s="1"/>
      <c r="AL1857" s="1"/>
      <c r="AO1857" s="1"/>
      <c r="AR1857" s="1"/>
      <c r="AZ1857" s="1"/>
      <c r="BC1857" s="1"/>
      <c r="BF1857" s="1"/>
      <c r="BI1857" s="1"/>
      <c r="BP1857" s="1"/>
      <c r="BS1857" s="1"/>
      <c r="BU1857" s="1"/>
      <c r="BW1857" s="1"/>
    </row>
    <row r="1858" spans="35:75">
      <c r="AI1858" s="1"/>
      <c r="AL1858" s="1"/>
      <c r="AO1858" s="1"/>
      <c r="AR1858" s="1"/>
      <c r="AZ1858" s="1"/>
      <c r="BC1858" s="1"/>
      <c r="BF1858" s="1"/>
      <c r="BI1858" s="1"/>
      <c r="BP1858" s="1"/>
      <c r="BS1858" s="1"/>
      <c r="BU1858" s="1"/>
      <c r="BW1858" s="1"/>
    </row>
    <row r="1859" spans="35:75">
      <c r="AI1859" s="1"/>
      <c r="AL1859" s="1"/>
      <c r="AO1859" s="1"/>
      <c r="AR1859" s="1"/>
      <c r="AZ1859" s="1"/>
      <c r="BC1859" s="1"/>
      <c r="BF1859" s="1"/>
      <c r="BI1859" s="1"/>
      <c r="BP1859" s="1"/>
      <c r="BS1859" s="1"/>
      <c r="BU1859" s="1"/>
      <c r="BW1859" s="1"/>
    </row>
    <row r="1860" spans="35:75">
      <c r="AI1860" s="1"/>
      <c r="AL1860" s="1"/>
      <c r="AO1860" s="1"/>
      <c r="AR1860" s="1"/>
      <c r="AZ1860" s="1"/>
      <c r="BC1860" s="1"/>
      <c r="BF1860" s="1"/>
      <c r="BI1860" s="1"/>
      <c r="BP1860" s="1"/>
      <c r="BS1860" s="1"/>
      <c r="BU1860" s="1"/>
      <c r="BW1860" s="1"/>
    </row>
    <row r="1861" spans="35:75">
      <c r="AI1861" s="1"/>
      <c r="AL1861" s="1"/>
      <c r="AO1861" s="1"/>
      <c r="AR1861" s="1"/>
      <c r="AZ1861" s="1"/>
      <c r="BC1861" s="1"/>
      <c r="BF1861" s="1"/>
      <c r="BI1861" s="1"/>
      <c r="BP1861" s="1"/>
      <c r="BS1861" s="1"/>
      <c r="BU1861" s="1"/>
      <c r="BW1861" s="1"/>
    </row>
    <row r="1862" spans="35:75">
      <c r="AI1862" s="1"/>
      <c r="AL1862" s="1"/>
      <c r="AO1862" s="1"/>
      <c r="AR1862" s="1"/>
      <c r="AZ1862" s="1"/>
      <c r="BC1862" s="1"/>
      <c r="BF1862" s="1"/>
      <c r="BI1862" s="1"/>
      <c r="BP1862" s="1"/>
      <c r="BS1862" s="1"/>
      <c r="BU1862" s="1"/>
      <c r="BW1862" s="1"/>
    </row>
    <row r="1863" spans="35:75">
      <c r="AI1863" s="1"/>
      <c r="AL1863" s="1"/>
      <c r="AO1863" s="1"/>
      <c r="AR1863" s="1"/>
      <c r="AZ1863" s="1"/>
      <c r="BC1863" s="1"/>
      <c r="BF1863" s="1"/>
      <c r="BI1863" s="1"/>
      <c r="BP1863" s="1"/>
      <c r="BS1863" s="1"/>
      <c r="BU1863" s="1"/>
      <c r="BW1863" s="1"/>
    </row>
    <row r="1864" spans="35:75">
      <c r="AI1864" s="1"/>
      <c r="AL1864" s="1"/>
      <c r="AO1864" s="1"/>
      <c r="AR1864" s="1"/>
      <c r="AZ1864" s="1"/>
      <c r="BC1864" s="1"/>
      <c r="BF1864" s="1"/>
      <c r="BI1864" s="1"/>
      <c r="BP1864" s="1"/>
      <c r="BS1864" s="1"/>
      <c r="BU1864" s="1"/>
      <c r="BW1864" s="1"/>
    </row>
    <row r="1865" spans="35:75">
      <c r="AI1865" s="1"/>
      <c r="AL1865" s="1"/>
      <c r="AO1865" s="1"/>
      <c r="AR1865" s="1"/>
      <c r="AZ1865" s="1"/>
      <c r="BC1865" s="1"/>
      <c r="BF1865" s="1"/>
      <c r="BI1865" s="1"/>
      <c r="BP1865" s="1"/>
      <c r="BS1865" s="1"/>
      <c r="BU1865" s="1"/>
      <c r="BW1865" s="1"/>
    </row>
    <row r="1866" spans="35:75">
      <c r="AI1866" s="1"/>
      <c r="AL1866" s="1"/>
      <c r="AO1866" s="1"/>
      <c r="AR1866" s="1"/>
      <c r="AZ1866" s="1"/>
      <c r="BC1866" s="1"/>
      <c r="BF1866" s="1"/>
      <c r="BI1866" s="1"/>
      <c r="BP1866" s="1"/>
      <c r="BS1866" s="1"/>
      <c r="BU1866" s="1"/>
      <c r="BW1866" s="1"/>
    </row>
    <row r="1867" spans="35:75">
      <c r="AI1867" s="1"/>
      <c r="AL1867" s="1"/>
      <c r="AO1867" s="1"/>
      <c r="AR1867" s="1"/>
      <c r="AZ1867" s="1"/>
      <c r="BC1867" s="1"/>
      <c r="BF1867" s="1"/>
      <c r="BI1867" s="1"/>
      <c r="BP1867" s="1"/>
      <c r="BS1867" s="1"/>
      <c r="BU1867" s="1"/>
      <c r="BW1867" s="1"/>
    </row>
    <row r="1868" spans="35:75">
      <c r="AI1868" s="1"/>
      <c r="AL1868" s="1"/>
      <c r="AO1868" s="1"/>
      <c r="AR1868" s="1"/>
      <c r="AZ1868" s="1"/>
      <c r="BC1868" s="1"/>
      <c r="BF1868" s="1"/>
      <c r="BI1868" s="1"/>
      <c r="BP1868" s="1"/>
      <c r="BS1868" s="1"/>
      <c r="BU1868" s="1"/>
      <c r="BW1868" s="1"/>
    </row>
    <row r="1869" spans="35:75">
      <c r="AI1869" s="1"/>
      <c r="AL1869" s="1"/>
      <c r="AO1869" s="1"/>
      <c r="AR1869" s="1"/>
      <c r="AZ1869" s="1"/>
      <c r="BC1869" s="1"/>
      <c r="BF1869" s="1"/>
      <c r="BI1869" s="1"/>
      <c r="BP1869" s="1"/>
      <c r="BS1869" s="1"/>
      <c r="BU1869" s="1"/>
      <c r="BW1869" s="1"/>
    </row>
    <row r="1870" spans="35:75">
      <c r="AI1870" s="1"/>
      <c r="AL1870" s="1"/>
      <c r="AO1870" s="1"/>
      <c r="AR1870" s="1"/>
      <c r="AZ1870" s="1"/>
      <c r="BC1870" s="1"/>
      <c r="BF1870" s="1"/>
      <c r="BI1870" s="1"/>
      <c r="BP1870" s="1"/>
      <c r="BS1870" s="1"/>
      <c r="BU1870" s="1"/>
      <c r="BW1870" s="1"/>
    </row>
    <row r="1871" spans="35:75">
      <c r="AI1871" s="1"/>
      <c r="AL1871" s="1"/>
      <c r="AO1871" s="1"/>
      <c r="AR1871" s="1"/>
      <c r="AZ1871" s="1"/>
      <c r="BC1871" s="1"/>
      <c r="BF1871" s="1"/>
      <c r="BI1871" s="1"/>
      <c r="BP1871" s="1"/>
      <c r="BS1871" s="1"/>
      <c r="BU1871" s="1"/>
      <c r="BW1871" s="1"/>
    </row>
    <row r="1872" spans="35:75">
      <c r="AI1872" s="1"/>
      <c r="AL1872" s="1"/>
      <c r="AO1872" s="1"/>
      <c r="AR1872" s="1"/>
      <c r="AZ1872" s="1"/>
      <c r="BC1872" s="1"/>
      <c r="BF1872" s="1"/>
      <c r="BI1872" s="1"/>
      <c r="BP1872" s="1"/>
      <c r="BS1872" s="1"/>
      <c r="BU1872" s="1"/>
      <c r="BW1872" s="1"/>
    </row>
    <row r="1873" spans="35:75">
      <c r="AI1873" s="1"/>
      <c r="AL1873" s="1"/>
      <c r="AO1873" s="1"/>
      <c r="AR1873" s="1"/>
      <c r="AZ1873" s="1"/>
      <c r="BC1873" s="1"/>
      <c r="BF1873" s="1"/>
      <c r="BI1873" s="1"/>
      <c r="BP1873" s="1"/>
      <c r="BS1873" s="1"/>
      <c r="BU1873" s="1"/>
      <c r="BW1873" s="1"/>
    </row>
    <row r="1874" spans="35:75">
      <c r="AI1874" s="1"/>
      <c r="AL1874" s="1"/>
      <c r="AO1874" s="1"/>
      <c r="AR1874" s="1"/>
      <c r="AZ1874" s="1"/>
      <c r="BC1874" s="1"/>
      <c r="BF1874" s="1"/>
      <c r="BI1874" s="1"/>
      <c r="BP1874" s="1"/>
      <c r="BS1874" s="1"/>
      <c r="BU1874" s="1"/>
      <c r="BW1874" s="1"/>
    </row>
    <row r="1875" spans="35:75">
      <c r="AI1875" s="1"/>
      <c r="AL1875" s="1"/>
      <c r="AO1875" s="1"/>
      <c r="AR1875" s="1"/>
      <c r="AZ1875" s="1"/>
      <c r="BC1875" s="1"/>
      <c r="BF1875" s="1"/>
      <c r="BI1875" s="1"/>
      <c r="BP1875" s="1"/>
      <c r="BS1875" s="1"/>
      <c r="BU1875" s="1"/>
      <c r="BW1875" s="1"/>
    </row>
    <row r="1876" spans="35:75">
      <c r="AI1876" s="1"/>
      <c r="AL1876" s="1"/>
      <c r="AO1876" s="1"/>
      <c r="AR1876" s="1"/>
      <c r="AZ1876" s="1"/>
      <c r="BC1876" s="1"/>
      <c r="BF1876" s="1"/>
      <c r="BI1876" s="1"/>
      <c r="BP1876" s="1"/>
      <c r="BS1876" s="1"/>
      <c r="BU1876" s="1"/>
      <c r="BW1876" s="1"/>
    </row>
    <row r="1877" spans="35:75">
      <c r="AI1877" s="1"/>
      <c r="AL1877" s="1"/>
      <c r="AO1877" s="1"/>
      <c r="AR1877" s="1"/>
      <c r="AZ1877" s="1"/>
      <c r="BC1877" s="1"/>
      <c r="BF1877" s="1"/>
      <c r="BI1877" s="1"/>
      <c r="BP1877" s="1"/>
      <c r="BS1877" s="1"/>
      <c r="BU1877" s="1"/>
      <c r="BW1877" s="1"/>
    </row>
    <row r="1878" spans="35:75">
      <c r="AI1878" s="1"/>
      <c r="AL1878" s="1"/>
      <c r="AO1878" s="1"/>
      <c r="AR1878" s="1"/>
      <c r="AZ1878" s="1"/>
      <c r="BC1878" s="1"/>
      <c r="BF1878" s="1"/>
      <c r="BI1878" s="1"/>
      <c r="BP1878" s="1"/>
      <c r="BS1878" s="1"/>
      <c r="BU1878" s="1"/>
      <c r="BW1878" s="1"/>
    </row>
    <row r="1879" spans="35:75">
      <c r="AI1879" s="1"/>
      <c r="AL1879" s="1"/>
      <c r="AO1879" s="1"/>
      <c r="AR1879" s="1"/>
      <c r="AZ1879" s="1"/>
      <c r="BC1879" s="1"/>
      <c r="BF1879" s="1"/>
      <c r="BI1879" s="1"/>
      <c r="BP1879" s="1"/>
      <c r="BS1879" s="1"/>
      <c r="BU1879" s="1"/>
      <c r="BW1879" s="1"/>
    </row>
    <row r="1880" spans="35:75">
      <c r="AI1880" s="1"/>
      <c r="AL1880" s="1"/>
      <c r="AO1880" s="1"/>
      <c r="AR1880" s="1"/>
      <c r="AZ1880" s="1"/>
      <c r="BC1880" s="1"/>
      <c r="BF1880" s="1"/>
      <c r="BI1880" s="1"/>
      <c r="BP1880" s="1"/>
      <c r="BS1880" s="1"/>
      <c r="BU1880" s="1"/>
      <c r="BW1880" s="1"/>
    </row>
    <row r="1881" spans="35:75">
      <c r="AI1881" s="1"/>
      <c r="AL1881" s="1"/>
      <c r="AO1881" s="1"/>
      <c r="AR1881" s="1"/>
      <c r="AZ1881" s="1"/>
      <c r="BC1881" s="1"/>
      <c r="BF1881" s="1"/>
      <c r="BI1881" s="1"/>
      <c r="BP1881" s="1"/>
      <c r="BS1881" s="1"/>
      <c r="BU1881" s="1"/>
      <c r="BW1881" s="1"/>
    </row>
    <row r="1882" spans="35:75">
      <c r="AI1882" s="1"/>
      <c r="AL1882" s="1"/>
      <c r="AO1882" s="1"/>
      <c r="AR1882" s="1"/>
      <c r="AZ1882" s="1"/>
      <c r="BC1882" s="1"/>
      <c r="BF1882" s="1"/>
      <c r="BI1882" s="1"/>
      <c r="BP1882" s="1"/>
      <c r="BS1882" s="1"/>
      <c r="BU1882" s="1"/>
      <c r="BW1882" s="1"/>
    </row>
    <row r="1883" spans="35:75">
      <c r="AI1883" s="1"/>
      <c r="AL1883" s="1"/>
      <c r="AO1883" s="1"/>
      <c r="AR1883" s="1"/>
      <c r="AZ1883" s="1"/>
      <c r="BC1883" s="1"/>
      <c r="BF1883" s="1"/>
      <c r="BI1883" s="1"/>
      <c r="BP1883" s="1"/>
      <c r="BS1883" s="1"/>
      <c r="BU1883" s="1"/>
      <c r="BW1883" s="1"/>
    </row>
    <row r="1884" spans="35:75">
      <c r="AI1884" s="1"/>
      <c r="AL1884" s="1"/>
      <c r="AO1884" s="1"/>
      <c r="AR1884" s="1"/>
      <c r="AZ1884" s="1"/>
      <c r="BC1884" s="1"/>
      <c r="BF1884" s="1"/>
      <c r="BI1884" s="1"/>
      <c r="BP1884" s="1"/>
      <c r="BS1884" s="1"/>
      <c r="BU1884" s="1"/>
      <c r="BW1884" s="1"/>
    </row>
    <row r="1885" spans="35:75">
      <c r="AI1885" s="1"/>
      <c r="AL1885" s="1"/>
      <c r="AO1885" s="1"/>
      <c r="AR1885" s="1"/>
      <c r="AZ1885" s="1"/>
      <c r="BC1885" s="1"/>
      <c r="BF1885" s="1"/>
      <c r="BI1885" s="1"/>
      <c r="BP1885" s="1"/>
      <c r="BS1885" s="1"/>
      <c r="BU1885" s="1"/>
      <c r="BW1885" s="1"/>
    </row>
    <row r="1886" spans="35:75">
      <c r="AI1886" s="1"/>
      <c r="AL1886" s="1"/>
      <c r="AO1886" s="1"/>
      <c r="AR1886" s="1"/>
      <c r="AZ1886" s="1"/>
      <c r="BC1886" s="1"/>
      <c r="BF1886" s="1"/>
      <c r="BI1886" s="1"/>
      <c r="BP1886" s="1"/>
      <c r="BS1886" s="1"/>
      <c r="BU1886" s="1"/>
      <c r="BW1886" s="1"/>
    </row>
    <row r="1887" spans="35:75">
      <c r="AI1887" s="1"/>
      <c r="AL1887" s="1"/>
      <c r="AO1887" s="1"/>
      <c r="AR1887" s="1"/>
      <c r="AZ1887" s="1"/>
      <c r="BC1887" s="1"/>
      <c r="BF1887" s="1"/>
      <c r="BI1887" s="1"/>
      <c r="BP1887" s="1"/>
      <c r="BS1887" s="1"/>
      <c r="BU1887" s="1"/>
      <c r="BW1887" s="1"/>
    </row>
    <row r="1888" spans="35:75">
      <c r="AI1888" s="1"/>
      <c r="AL1888" s="1"/>
      <c r="AO1888" s="1"/>
      <c r="AR1888" s="1"/>
      <c r="AZ1888" s="1"/>
      <c r="BC1888" s="1"/>
      <c r="BF1888" s="1"/>
      <c r="BI1888" s="1"/>
      <c r="BP1888" s="1"/>
      <c r="BS1888" s="1"/>
      <c r="BU1888" s="1"/>
      <c r="BW1888" s="1"/>
    </row>
    <row r="1889" spans="35:75">
      <c r="AI1889" s="1"/>
      <c r="AL1889" s="1"/>
      <c r="AO1889" s="1"/>
      <c r="AR1889" s="1"/>
      <c r="AZ1889" s="1"/>
      <c r="BC1889" s="1"/>
      <c r="BF1889" s="1"/>
      <c r="BI1889" s="1"/>
      <c r="BP1889" s="1"/>
      <c r="BS1889" s="1"/>
      <c r="BU1889" s="1"/>
      <c r="BW1889" s="1"/>
    </row>
    <row r="1890" spans="35:75">
      <c r="AI1890" s="1"/>
      <c r="AL1890" s="1"/>
      <c r="AO1890" s="1"/>
      <c r="AR1890" s="1"/>
      <c r="AZ1890" s="1"/>
      <c r="BC1890" s="1"/>
      <c r="BF1890" s="1"/>
      <c r="BI1890" s="1"/>
      <c r="BP1890" s="1"/>
      <c r="BS1890" s="1"/>
      <c r="BU1890" s="1"/>
      <c r="BW1890" s="1"/>
    </row>
    <row r="1891" spans="35:75">
      <c r="AI1891" s="1"/>
      <c r="AL1891" s="1"/>
      <c r="AO1891" s="1"/>
      <c r="AR1891" s="1"/>
      <c r="AZ1891" s="1"/>
      <c r="BC1891" s="1"/>
      <c r="BF1891" s="1"/>
      <c r="BI1891" s="1"/>
      <c r="BP1891" s="1"/>
      <c r="BS1891" s="1"/>
      <c r="BU1891" s="1"/>
      <c r="BW1891" s="1"/>
    </row>
    <row r="1892" spans="35:75">
      <c r="AI1892" s="1"/>
      <c r="AL1892" s="1"/>
      <c r="AO1892" s="1"/>
      <c r="AR1892" s="1"/>
      <c r="AZ1892" s="1"/>
      <c r="BC1892" s="1"/>
      <c r="BF1892" s="1"/>
      <c r="BI1892" s="1"/>
      <c r="BP1892" s="1"/>
      <c r="BS1892" s="1"/>
      <c r="BU1892" s="1"/>
      <c r="BW1892" s="1"/>
    </row>
    <row r="1893" spans="35:75">
      <c r="AI1893" s="1"/>
      <c r="AL1893" s="1"/>
      <c r="AO1893" s="1"/>
      <c r="AR1893" s="1"/>
      <c r="AZ1893" s="1"/>
      <c r="BC1893" s="1"/>
      <c r="BF1893" s="1"/>
      <c r="BI1893" s="1"/>
      <c r="BP1893" s="1"/>
      <c r="BS1893" s="1"/>
      <c r="BU1893" s="1"/>
      <c r="BW1893" s="1"/>
    </row>
    <row r="1894" spans="35:75">
      <c r="AI1894" s="1"/>
      <c r="AL1894" s="1"/>
      <c r="AO1894" s="1"/>
      <c r="AR1894" s="1"/>
      <c r="AZ1894" s="1"/>
      <c r="BC1894" s="1"/>
      <c r="BF1894" s="1"/>
      <c r="BI1894" s="1"/>
      <c r="BP1894" s="1"/>
      <c r="BS1894" s="1"/>
      <c r="BU1894" s="1"/>
      <c r="BW1894" s="1"/>
    </row>
    <row r="1895" spans="35:75">
      <c r="AI1895" s="1"/>
      <c r="AL1895" s="1"/>
      <c r="AO1895" s="1"/>
      <c r="AR1895" s="1"/>
      <c r="AZ1895" s="1"/>
      <c r="BC1895" s="1"/>
      <c r="BF1895" s="1"/>
      <c r="BI1895" s="1"/>
      <c r="BP1895" s="1"/>
      <c r="BS1895" s="1"/>
      <c r="BU1895" s="1"/>
      <c r="BW1895" s="1"/>
    </row>
    <row r="1896" spans="35:75">
      <c r="AI1896" s="1"/>
      <c r="AL1896" s="1"/>
      <c r="AO1896" s="1"/>
      <c r="AR1896" s="1"/>
      <c r="AZ1896" s="1"/>
      <c r="BC1896" s="1"/>
      <c r="BF1896" s="1"/>
      <c r="BI1896" s="1"/>
      <c r="BP1896" s="1"/>
      <c r="BS1896" s="1"/>
      <c r="BU1896" s="1"/>
      <c r="BW1896" s="1"/>
    </row>
    <row r="1897" spans="35:75">
      <c r="AI1897" s="1"/>
      <c r="AL1897" s="1"/>
      <c r="AO1897" s="1"/>
      <c r="AR1897" s="1"/>
      <c r="AZ1897" s="1"/>
      <c r="BC1897" s="1"/>
      <c r="BF1897" s="1"/>
      <c r="BI1897" s="1"/>
      <c r="BP1897" s="1"/>
      <c r="BS1897" s="1"/>
      <c r="BU1897" s="1"/>
      <c r="BW1897" s="1"/>
    </row>
    <row r="1898" spans="35:75">
      <c r="AI1898" s="1"/>
      <c r="AL1898" s="1"/>
      <c r="AO1898" s="1"/>
      <c r="AR1898" s="1"/>
      <c r="AZ1898" s="1"/>
      <c r="BC1898" s="1"/>
      <c r="BF1898" s="1"/>
      <c r="BI1898" s="1"/>
      <c r="BP1898" s="1"/>
      <c r="BS1898" s="1"/>
      <c r="BU1898" s="1"/>
      <c r="BW1898" s="1"/>
    </row>
    <row r="1899" spans="35:75">
      <c r="AI1899" s="1"/>
      <c r="AL1899" s="1"/>
      <c r="AO1899" s="1"/>
      <c r="AR1899" s="1"/>
      <c r="AZ1899" s="1"/>
      <c r="BC1899" s="1"/>
      <c r="BF1899" s="1"/>
      <c r="BI1899" s="1"/>
      <c r="BP1899" s="1"/>
      <c r="BS1899" s="1"/>
      <c r="BU1899" s="1"/>
      <c r="BW1899" s="1"/>
    </row>
    <row r="1900" spans="35:75">
      <c r="AI1900" s="1"/>
      <c r="AL1900" s="1"/>
      <c r="AO1900" s="1"/>
      <c r="AR1900" s="1"/>
      <c r="AZ1900" s="1"/>
      <c r="BC1900" s="1"/>
      <c r="BF1900" s="1"/>
      <c r="BI1900" s="1"/>
      <c r="BP1900" s="1"/>
      <c r="BS1900" s="1"/>
      <c r="BU1900" s="1"/>
      <c r="BW1900" s="1"/>
    </row>
    <row r="1901" spans="35:75">
      <c r="AI1901" s="1"/>
      <c r="AL1901" s="1"/>
      <c r="AO1901" s="1"/>
      <c r="AR1901" s="1"/>
      <c r="AZ1901" s="1"/>
      <c r="BC1901" s="1"/>
      <c r="BF1901" s="1"/>
      <c r="BI1901" s="1"/>
      <c r="BP1901" s="1"/>
      <c r="BS1901" s="1"/>
      <c r="BU1901" s="1"/>
      <c r="BW1901" s="1"/>
    </row>
    <row r="1902" spans="35:75">
      <c r="AI1902" s="1"/>
      <c r="AL1902" s="1"/>
      <c r="AO1902" s="1"/>
      <c r="AR1902" s="1"/>
      <c r="AZ1902" s="1"/>
      <c r="BC1902" s="1"/>
      <c r="BF1902" s="1"/>
      <c r="BI1902" s="1"/>
      <c r="BP1902" s="1"/>
      <c r="BS1902" s="1"/>
      <c r="BU1902" s="1"/>
      <c r="BW1902" s="1"/>
    </row>
    <row r="1903" spans="35:75">
      <c r="AI1903" s="1"/>
      <c r="AL1903" s="1"/>
      <c r="AO1903" s="1"/>
      <c r="AR1903" s="1"/>
      <c r="AZ1903" s="1"/>
      <c r="BC1903" s="1"/>
      <c r="BF1903" s="1"/>
      <c r="BI1903" s="1"/>
      <c r="BP1903" s="1"/>
      <c r="BS1903" s="1"/>
      <c r="BU1903" s="1"/>
      <c r="BW1903" s="1"/>
    </row>
    <row r="1904" spans="35:75">
      <c r="AI1904" s="1"/>
      <c r="AL1904" s="1"/>
      <c r="AO1904" s="1"/>
      <c r="AR1904" s="1"/>
      <c r="AZ1904" s="1"/>
      <c r="BC1904" s="1"/>
      <c r="BF1904" s="1"/>
      <c r="BI1904" s="1"/>
      <c r="BP1904" s="1"/>
      <c r="BS1904" s="1"/>
      <c r="BU1904" s="1"/>
      <c r="BW1904" s="1"/>
    </row>
    <row r="1905" spans="35:75">
      <c r="AI1905" s="1"/>
      <c r="AL1905" s="1"/>
      <c r="AO1905" s="1"/>
      <c r="AR1905" s="1"/>
      <c r="AZ1905" s="1"/>
      <c r="BC1905" s="1"/>
      <c r="BF1905" s="1"/>
      <c r="BI1905" s="1"/>
      <c r="BP1905" s="1"/>
      <c r="BS1905" s="1"/>
      <c r="BU1905" s="1"/>
      <c r="BW1905" s="1"/>
    </row>
    <row r="1906" spans="35:75">
      <c r="AI1906" s="1"/>
      <c r="AL1906" s="1"/>
      <c r="AO1906" s="1"/>
      <c r="AR1906" s="1"/>
      <c r="AZ1906" s="1"/>
      <c r="BC1906" s="1"/>
      <c r="BF1906" s="1"/>
      <c r="BI1906" s="1"/>
      <c r="BP1906" s="1"/>
      <c r="BS1906" s="1"/>
      <c r="BU1906" s="1"/>
      <c r="BW1906" s="1"/>
    </row>
    <row r="1907" spans="35:75">
      <c r="AI1907" s="1"/>
      <c r="AL1907" s="1"/>
      <c r="AO1907" s="1"/>
      <c r="AR1907" s="1"/>
      <c r="AZ1907" s="1"/>
      <c r="BC1907" s="1"/>
      <c r="BF1907" s="1"/>
      <c r="BI1907" s="1"/>
      <c r="BP1907" s="1"/>
      <c r="BS1907" s="1"/>
      <c r="BU1907" s="1"/>
      <c r="BW1907" s="1"/>
    </row>
    <row r="1908" spans="35:75">
      <c r="AI1908" s="1"/>
      <c r="AL1908" s="1"/>
      <c r="AO1908" s="1"/>
      <c r="AR1908" s="1"/>
      <c r="AZ1908" s="1"/>
      <c r="BC1908" s="1"/>
      <c r="BF1908" s="1"/>
      <c r="BI1908" s="1"/>
      <c r="BP1908" s="1"/>
      <c r="BS1908" s="1"/>
      <c r="BU1908" s="1"/>
      <c r="BW1908" s="1"/>
    </row>
    <row r="1909" spans="35:75">
      <c r="AI1909" s="1"/>
      <c r="AL1909" s="1"/>
      <c r="AO1909" s="1"/>
      <c r="AR1909" s="1"/>
      <c r="AZ1909" s="1"/>
      <c r="BC1909" s="1"/>
      <c r="BF1909" s="1"/>
      <c r="BI1909" s="1"/>
      <c r="BP1909" s="1"/>
      <c r="BS1909" s="1"/>
      <c r="BU1909" s="1"/>
      <c r="BW1909" s="1"/>
    </row>
    <row r="1910" spans="35:75">
      <c r="AI1910" s="1"/>
      <c r="AL1910" s="1"/>
      <c r="AO1910" s="1"/>
      <c r="AR1910" s="1"/>
      <c r="AZ1910" s="1"/>
      <c r="BC1910" s="1"/>
      <c r="BF1910" s="1"/>
      <c r="BI1910" s="1"/>
      <c r="BP1910" s="1"/>
      <c r="BS1910" s="1"/>
      <c r="BU1910" s="1"/>
      <c r="BW1910" s="1"/>
    </row>
    <row r="1911" spans="35:75">
      <c r="AI1911" s="1"/>
      <c r="AL1911" s="1"/>
      <c r="AO1911" s="1"/>
      <c r="AR1911" s="1"/>
      <c r="AZ1911" s="1"/>
      <c r="BC1911" s="1"/>
      <c r="BF1911" s="1"/>
      <c r="BI1911" s="1"/>
      <c r="BP1911" s="1"/>
      <c r="BS1911" s="1"/>
      <c r="BU1911" s="1"/>
      <c r="BW1911" s="1"/>
    </row>
    <row r="1912" spans="35:75">
      <c r="AI1912" s="1"/>
      <c r="AL1912" s="1"/>
      <c r="AO1912" s="1"/>
      <c r="AR1912" s="1"/>
      <c r="AZ1912" s="1"/>
      <c r="BC1912" s="1"/>
      <c r="BF1912" s="1"/>
      <c r="BI1912" s="1"/>
      <c r="BP1912" s="1"/>
      <c r="BS1912" s="1"/>
      <c r="BU1912" s="1"/>
      <c r="BW1912" s="1"/>
    </row>
    <row r="1913" spans="35:75">
      <c r="AI1913" s="1"/>
      <c r="AL1913" s="1"/>
      <c r="AO1913" s="1"/>
      <c r="AR1913" s="1"/>
      <c r="AZ1913" s="1"/>
      <c r="BC1913" s="1"/>
      <c r="BF1913" s="1"/>
      <c r="BI1913" s="1"/>
      <c r="BP1913" s="1"/>
      <c r="BS1913" s="1"/>
      <c r="BU1913" s="1"/>
      <c r="BW1913" s="1"/>
    </row>
    <row r="1914" spans="35:75">
      <c r="AI1914" s="1"/>
      <c r="AL1914" s="1"/>
      <c r="AO1914" s="1"/>
      <c r="AR1914" s="1"/>
      <c r="AZ1914" s="1"/>
      <c r="BC1914" s="1"/>
      <c r="BF1914" s="1"/>
      <c r="BI1914" s="1"/>
      <c r="BP1914" s="1"/>
      <c r="BS1914" s="1"/>
      <c r="BU1914" s="1"/>
      <c r="BW1914" s="1"/>
    </row>
    <row r="1915" spans="35:75">
      <c r="AI1915" s="1"/>
      <c r="AL1915" s="1"/>
      <c r="AO1915" s="1"/>
      <c r="AR1915" s="1"/>
      <c r="AZ1915" s="1"/>
      <c r="BC1915" s="1"/>
      <c r="BF1915" s="1"/>
      <c r="BI1915" s="1"/>
      <c r="BP1915" s="1"/>
      <c r="BS1915" s="1"/>
      <c r="BU1915" s="1"/>
      <c r="BW1915" s="1"/>
    </row>
    <row r="1916" spans="35:75">
      <c r="AI1916" s="1"/>
      <c r="AL1916" s="1"/>
      <c r="AO1916" s="1"/>
      <c r="AR1916" s="1"/>
      <c r="AZ1916" s="1"/>
      <c r="BC1916" s="1"/>
      <c r="BF1916" s="1"/>
      <c r="BI1916" s="1"/>
      <c r="BP1916" s="1"/>
      <c r="BS1916" s="1"/>
      <c r="BU1916" s="1"/>
      <c r="BW1916" s="1"/>
    </row>
    <row r="1917" spans="35:75">
      <c r="AI1917" s="1"/>
      <c r="AL1917" s="1"/>
      <c r="AO1917" s="1"/>
      <c r="AR1917" s="1"/>
      <c r="AZ1917" s="1"/>
      <c r="BC1917" s="1"/>
      <c r="BF1917" s="1"/>
      <c r="BI1917" s="1"/>
      <c r="BP1917" s="1"/>
      <c r="BS1917" s="1"/>
      <c r="BU1917" s="1"/>
      <c r="BW1917" s="1"/>
    </row>
    <row r="1918" spans="35:75">
      <c r="AI1918" s="1"/>
      <c r="AL1918" s="1"/>
      <c r="AO1918" s="1"/>
      <c r="AR1918" s="1"/>
      <c r="AZ1918" s="1"/>
      <c r="BC1918" s="1"/>
      <c r="BF1918" s="1"/>
      <c r="BI1918" s="1"/>
      <c r="BP1918" s="1"/>
      <c r="BS1918" s="1"/>
      <c r="BU1918" s="1"/>
      <c r="BW1918" s="1"/>
    </row>
    <row r="1919" spans="35:75">
      <c r="AI1919" s="1"/>
      <c r="AL1919" s="1"/>
      <c r="AO1919" s="1"/>
      <c r="AR1919" s="1"/>
      <c r="AZ1919" s="1"/>
      <c r="BC1919" s="1"/>
      <c r="BF1919" s="1"/>
      <c r="BI1919" s="1"/>
      <c r="BP1919" s="1"/>
      <c r="BS1919" s="1"/>
      <c r="BU1919" s="1"/>
      <c r="BW1919" s="1"/>
    </row>
    <row r="1920" spans="35:75">
      <c r="AI1920" s="1"/>
      <c r="AL1920" s="1"/>
      <c r="AO1920" s="1"/>
      <c r="AR1920" s="1"/>
      <c r="AZ1920" s="1"/>
      <c r="BC1920" s="1"/>
      <c r="BF1920" s="1"/>
      <c r="BI1920" s="1"/>
      <c r="BP1920" s="1"/>
      <c r="BS1920" s="1"/>
      <c r="BU1920" s="1"/>
      <c r="BW1920" s="1"/>
    </row>
    <row r="1921" spans="35:75">
      <c r="AI1921" s="1"/>
      <c r="AL1921" s="1"/>
      <c r="AO1921" s="1"/>
      <c r="AR1921" s="1"/>
      <c r="AZ1921" s="1"/>
      <c r="BC1921" s="1"/>
      <c r="BF1921" s="1"/>
      <c r="BI1921" s="1"/>
      <c r="BP1921" s="1"/>
      <c r="BS1921" s="1"/>
      <c r="BU1921" s="1"/>
      <c r="BW1921" s="1"/>
    </row>
    <row r="1922" spans="35:75">
      <c r="AI1922" s="1"/>
      <c r="AL1922" s="1"/>
      <c r="AO1922" s="1"/>
      <c r="AR1922" s="1"/>
      <c r="AZ1922" s="1"/>
      <c r="BC1922" s="1"/>
      <c r="BF1922" s="1"/>
      <c r="BI1922" s="1"/>
      <c r="BP1922" s="1"/>
      <c r="BS1922" s="1"/>
      <c r="BU1922" s="1"/>
      <c r="BW1922" s="1"/>
    </row>
    <row r="1923" spans="35:75">
      <c r="AI1923" s="1"/>
      <c r="AL1923" s="1"/>
      <c r="AO1923" s="1"/>
      <c r="AR1923" s="1"/>
      <c r="AZ1923" s="1"/>
      <c r="BC1923" s="1"/>
      <c r="BF1923" s="1"/>
      <c r="BI1923" s="1"/>
      <c r="BP1923" s="1"/>
      <c r="BS1923" s="1"/>
      <c r="BU1923" s="1"/>
      <c r="BW1923" s="1"/>
    </row>
    <row r="1924" spans="35:75">
      <c r="AI1924" s="1"/>
      <c r="AL1924" s="1"/>
      <c r="AO1924" s="1"/>
      <c r="AR1924" s="1"/>
      <c r="AZ1924" s="1"/>
      <c r="BC1924" s="1"/>
      <c r="BF1924" s="1"/>
      <c r="BI1924" s="1"/>
      <c r="BP1924" s="1"/>
      <c r="BS1924" s="1"/>
      <c r="BU1924" s="1"/>
      <c r="BW1924" s="1"/>
    </row>
    <row r="1925" spans="35:75">
      <c r="AI1925" s="1"/>
      <c r="AL1925" s="1"/>
      <c r="AO1925" s="1"/>
      <c r="AR1925" s="1"/>
      <c r="AZ1925" s="1"/>
      <c r="BC1925" s="1"/>
      <c r="BF1925" s="1"/>
      <c r="BI1925" s="1"/>
      <c r="BP1925" s="1"/>
      <c r="BS1925" s="1"/>
      <c r="BU1925" s="1"/>
      <c r="BW1925" s="1"/>
    </row>
    <row r="1926" spans="35:75">
      <c r="AI1926" s="1"/>
      <c r="AL1926" s="1"/>
      <c r="AO1926" s="1"/>
      <c r="AR1926" s="1"/>
      <c r="AZ1926" s="1"/>
      <c r="BC1926" s="1"/>
      <c r="BF1926" s="1"/>
      <c r="BI1926" s="1"/>
      <c r="BP1926" s="1"/>
      <c r="BS1926" s="1"/>
      <c r="BU1926" s="1"/>
      <c r="BW1926" s="1"/>
    </row>
    <row r="1927" spans="35:75">
      <c r="AI1927" s="1"/>
      <c r="AL1927" s="1"/>
      <c r="AO1927" s="1"/>
      <c r="AR1927" s="1"/>
      <c r="AZ1927" s="1"/>
      <c r="BC1927" s="1"/>
      <c r="BF1927" s="1"/>
      <c r="BI1927" s="1"/>
      <c r="BP1927" s="1"/>
      <c r="BS1927" s="1"/>
      <c r="BU1927" s="1"/>
      <c r="BW1927" s="1"/>
    </row>
    <row r="1928" spans="35:75">
      <c r="AI1928" s="1"/>
      <c r="AL1928" s="1"/>
      <c r="AO1928" s="1"/>
      <c r="AR1928" s="1"/>
      <c r="AZ1928" s="1"/>
      <c r="BC1928" s="1"/>
      <c r="BF1928" s="1"/>
      <c r="BI1928" s="1"/>
      <c r="BP1928" s="1"/>
      <c r="BS1928" s="1"/>
      <c r="BU1928" s="1"/>
      <c r="BW1928" s="1"/>
    </row>
    <row r="1929" spans="35:75">
      <c r="AI1929" s="1"/>
      <c r="AL1929" s="1"/>
      <c r="AO1929" s="1"/>
      <c r="AR1929" s="1"/>
      <c r="AZ1929" s="1"/>
      <c r="BC1929" s="1"/>
      <c r="BF1929" s="1"/>
      <c r="BI1929" s="1"/>
      <c r="BP1929" s="1"/>
      <c r="BS1929" s="1"/>
      <c r="BU1929" s="1"/>
      <c r="BW1929" s="1"/>
    </row>
    <row r="1930" spans="35:75">
      <c r="AI1930" s="1"/>
      <c r="AL1930" s="1"/>
      <c r="AO1930" s="1"/>
      <c r="AR1930" s="1"/>
      <c r="AZ1930" s="1"/>
      <c r="BC1930" s="1"/>
      <c r="BF1930" s="1"/>
      <c r="BI1930" s="1"/>
      <c r="BP1930" s="1"/>
      <c r="BS1930" s="1"/>
      <c r="BU1930" s="1"/>
      <c r="BW1930" s="1"/>
    </row>
    <row r="1931" spans="35:75">
      <c r="AI1931" s="1"/>
      <c r="AL1931" s="1"/>
      <c r="AO1931" s="1"/>
      <c r="AR1931" s="1"/>
      <c r="AZ1931" s="1"/>
      <c r="BC1931" s="1"/>
      <c r="BF1931" s="1"/>
      <c r="BI1931" s="1"/>
      <c r="BP1931" s="1"/>
      <c r="BS1931" s="1"/>
      <c r="BU1931" s="1"/>
      <c r="BW1931" s="1"/>
    </row>
    <row r="1932" spans="35:75">
      <c r="AI1932" s="1"/>
      <c r="AL1932" s="1"/>
      <c r="AO1932" s="1"/>
      <c r="AR1932" s="1"/>
      <c r="AZ1932" s="1"/>
      <c r="BC1932" s="1"/>
      <c r="BF1932" s="1"/>
      <c r="BI1932" s="1"/>
      <c r="BP1932" s="1"/>
      <c r="BS1932" s="1"/>
      <c r="BU1932" s="1"/>
      <c r="BW1932" s="1"/>
    </row>
    <row r="1933" spans="35:75">
      <c r="AI1933" s="1"/>
      <c r="AL1933" s="1"/>
      <c r="AO1933" s="1"/>
      <c r="AR1933" s="1"/>
      <c r="AZ1933" s="1"/>
      <c r="BC1933" s="1"/>
      <c r="BF1933" s="1"/>
      <c r="BI1933" s="1"/>
      <c r="BP1933" s="1"/>
      <c r="BS1933" s="1"/>
      <c r="BU1933" s="1"/>
      <c r="BW1933" s="1"/>
    </row>
    <row r="1934" spans="35:75">
      <c r="AI1934" s="1"/>
      <c r="AL1934" s="1"/>
      <c r="AO1934" s="1"/>
      <c r="AR1934" s="1"/>
      <c r="AZ1934" s="1"/>
      <c r="BC1934" s="1"/>
      <c r="BF1934" s="1"/>
      <c r="BI1934" s="1"/>
      <c r="BP1934" s="1"/>
      <c r="BS1934" s="1"/>
      <c r="BU1934" s="1"/>
      <c r="BW1934" s="1"/>
    </row>
    <row r="1935" spans="35:75">
      <c r="AI1935" s="1"/>
      <c r="AL1935" s="1"/>
      <c r="AO1935" s="1"/>
      <c r="AR1935" s="1"/>
      <c r="AZ1935" s="1"/>
      <c r="BC1935" s="1"/>
      <c r="BF1935" s="1"/>
      <c r="BI1935" s="1"/>
      <c r="BP1935" s="1"/>
      <c r="BS1935" s="1"/>
      <c r="BU1935" s="1"/>
      <c r="BW1935" s="1"/>
    </row>
    <row r="1936" spans="35:75">
      <c r="AI1936" s="1"/>
      <c r="AL1936" s="1"/>
      <c r="AO1936" s="1"/>
      <c r="AR1936" s="1"/>
      <c r="AZ1936" s="1"/>
      <c r="BC1936" s="1"/>
      <c r="BF1936" s="1"/>
      <c r="BI1936" s="1"/>
      <c r="BP1936" s="1"/>
      <c r="BS1936" s="1"/>
      <c r="BU1936" s="1"/>
      <c r="BW1936" s="1"/>
    </row>
    <row r="1937" spans="35:75">
      <c r="AI1937" s="1"/>
      <c r="AL1937" s="1"/>
      <c r="AO1937" s="1"/>
      <c r="AR1937" s="1"/>
      <c r="AZ1937" s="1"/>
      <c r="BC1937" s="1"/>
      <c r="BF1937" s="1"/>
      <c r="BI1937" s="1"/>
      <c r="BP1937" s="1"/>
      <c r="BS1937" s="1"/>
      <c r="BU1937" s="1"/>
      <c r="BW1937" s="1"/>
    </row>
    <row r="1938" spans="35:75">
      <c r="AI1938" s="1"/>
      <c r="AL1938" s="1"/>
      <c r="AO1938" s="1"/>
      <c r="AR1938" s="1"/>
      <c r="AZ1938" s="1"/>
      <c r="BC1938" s="1"/>
      <c r="BF1938" s="1"/>
      <c r="BI1938" s="1"/>
      <c r="BP1938" s="1"/>
      <c r="BS1938" s="1"/>
      <c r="BU1938" s="1"/>
      <c r="BW1938" s="1"/>
    </row>
    <row r="1939" spans="35:75">
      <c r="AI1939" s="1"/>
      <c r="AL1939" s="1"/>
      <c r="AO1939" s="1"/>
      <c r="AR1939" s="1"/>
      <c r="AZ1939" s="1"/>
      <c r="BC1939" s="1"/>
      <c r="BF1939" s="1"/>
      <c r="BI1939" s="1"/>
      <c r="BP1939" s="1"/>
      <c r="BS1939" s="1"/>
      <c r="BU1939" s="1"/>
      <c r="BW1939" s="1"/>
    </row>
    <row r="1940" spans="35:75">
      <c r="AI1940" s="1"/>
      <c r="AL1940" s="1"/>
      <c r="AO1940" s="1"/>
      <c r="AR1940" s="1"/>
      <c r="AZ1940" s="1"/>
      <c r="BC1940" s="1"/>
      <c r="BF1940" s="1"/>
      <c r="BI1940" s="1"/>
      <c r="BP1940" s="1"/>
      <c r="BS1940" s="1"/>
      <c r="BU1940" s="1"/>
      <c r="BW1940" s="1"/>
    </row>
    <row r="1941" spans="35:75">
      <c r="AI1941" s="1"/>
      <c r="AL1941" s="1"/>
      <c r="AO1941" s="1"/>
      <c r="AR1941" s="1"/>
      <c r="AZ1941" s="1"/>
      <c r="BC1941" s="1"/>
      <c r="BF1941" s="1"/>
      <c r="BI1941" s="1"/>
      <c r="BP1941" s="1"/>
      <c r="BS1941" s="1"/>
      <c r="BU1941" s="1"/>
      <c r="BW1941" s="1"/>
    </row>
    <row r="1942" spans="35:75">
      <c r="AI1942" s="1"/>
      <c r="AL1942" s="1"/>
      <c r="AO1942" s="1"/>
      <c r="AR1942" s="1"/>
      <c r="AZ1942" s="1"/>
      <c r="BC1942" s="1"/>
      <c r="BF1942" s="1"/>
      <c r="BI1942" s="1"/>
      <c r="BP1942" s="1"/>
      <c r="BS1942" s="1"/>
      <c r="BU1942" s="1"/>
      <c r="BW1942" s="1"/>
    </row>
    <row r="1943" spans="35:75">
      <c r="AI1943" s="1"/>
      <c r="AL1943" s="1"/>
      <c r="AO1943" s="1"/>
      <c r="AR1943" s="1"/>
      <c r="AZ1943" s="1"/>
      <c r="BC1943" s="1"/>
      <c r="BF1943" s="1"/>
      <c r="BI1943" s="1"/>
      <c r="BP1943" s="1"/>
      <c r="BS1943" s="1"/>
      <c r="BU1943" s="1"/>
      <c r="BW1943" s="1"/>
    </row>
    <row r="1944" spans="35:75">
      <c r="AI1944" s="1"/>
      <c r="AL1944" s="1"/>
      <c r="AO1944" s="1"/>
      <c r="AR1944" s="1"/>
      <c r="AZ1944" s="1"/>
      <c r="BC1944" s="1"/>
      <c r="BF1944" s="1"/>
      <c r="BI1944" s="1"/>
      <c r="BP1944" s="1"/>
      <c r="BS1944" s="1"/>
      <c r="BU1944" s="1"/>
      <c r="BW1944" s="1"/>
    </row>
    <row r="1945" spans="35:75">
      <c r="AI1945" s="1"/>
      <c r="AL1945" s="1"/>
      <c r="AO1945" s="1"/>
      <c r="AR1945" s="1"/>
      <c r="AZ1945" s="1"/>
      <c r="BC1945" s="1"/>
      <c r="BF1945" s="1"/>
      <c r="BI1945" s="1"/>
      <c r="BP1945" s="1"/>
      <c r="BS1945" s="1"/>
      <c r="BU1945" s="1"/>
      <c r="BW1945" s="1"/>
    </row>
    <row r="1946" spans="35:75">
      <c r="AI1946" s="1"/>
      <c r="AL1946" s="1"/>
      <c r="AO1946" s="1"/>
      <c r="AR1946" s="1"/>
      <c r="AZ1946" s="1"/>
      <c r="BC1946" s="1"/>
      <c r="BF1946" s="1"/>
      <c r="BI1946" s="1"/>
      <c r="BP1946" s="1"/>
      <c r="BS1946" s="1"/>
      <c r="BU1946" s="1"/>
      <c r="BW1946" s="1"/>
    </row>
    <row r="1947" spans="35:75">
      <c r="AI1947" s="1"/>
      <c r="AL1947" s="1"/>
      <c r="AO1947" s="1"/>
      <c r="AR1947" s="1"/>
      <c r="AZ1947" s="1"/>
      <c r="BC1947" s="1"/>
      <c r="BF1947" s="1"/>
      <c r="BI1947" s="1"/>
      <c r="BP1947" s="1"/>
      <c r="BS1947" s="1"/>
      <c r="BU1947" s="1"/>
      <c r="BW1947" s="1"/>
    </row>
    <row r="1948" spans="35:75">
      <c r="AI1948" s="1"/>
      <c r="AL1948" s="1"/>
      <c r="AO1948" s="1"/>
      <c r="AR1948" s="1"/>
      <c r="AZ1948" s="1"/>
      <c r="BC1948" s="1"/>
      <c r="BF1948" s="1"/>
      <c r="BI1948" s="1"/>
      <c r="BP1948" s="1"/>
      <c r="BS1948" s="1"/>
      <c r="BU1948" s="1"/>
      <c r="BW1948" s="1"/>
    </row>
    <row r="1949" spans="35:75">
      <c r="AI1949" s="1"/>
      <c r="AL1949" s="1"/>
      <c r="AO1949" s="1"/>
      <c r="AR1949" s="1"/>
      <c r="AZ1949" s="1"/>
      <c r="BC1949" s="1"/>
      <c r="BF1949" s="1"/>
      <c r="BI1949" s="1"/>
      <c r="BP1949" s="1"/>
      <c r="BS1949" s="1"/>
      <c r="BU1949" s="1"/>
      <c r="BW1949" s="1"/>
    </row>
    <row r="1950" spans="35:75">
      <c r="AI1950" s="1"/>
      <c r="AL1950" s="1"/>
      <c r="AO1950" s="1"/>
      <c r="AR1950" s="1"/>
      <c r="AZ1950" s="1"/>
      <c r="BC1950" s="1"/>
      <c r="BF1950" s="1"/>
      <c r="BI1950" s="1"/>
      <c r="BP1950" s="1"/>
      <c r="BS1950" s="1"/>
      <c r="BU1950" s="1"/>
      <c r="BW1950" s="1"/>
    </row>
    <row r="1951" spans="35:75">
      <c r="AI1951" s="1"/>
      <c r="AL1951" s="1"/>
      <c r="AO1951" s="1"/>
      <c r="AR1951" s="1"/>
      <c r="AZ1951" s="1"/>
      <c r="BC1951" s="1"/>
      <c r="BF1951" s="1"/>
      <c r="BI1951" s="1"/>
      <c r="BP1951" s="1"/>
      <c r="BS1951" s="1"/>
      <c r="BU1951" s="1"/>
      <c r="BW1951" s="1"/>
    </row>
    <row r="1952" spans="35:75">
      <c r="AI1952" s="1"/>
      <c r="AL1952" s="1"/>
      <c r="AO1952" s="1"/>
      <c r="AR1952" s="1"/>
      <c r="AZ1952" s="1"/>
      <c r="BC1952" s="1"/>
      <c r="BF1952" s="1"/>
      <c r="BI1952" s="1"/>
      <c r="BP1952" s="1"/>
      <c r="BS1952" s="1"/>
      <c r="BU1952" s="1"/>
      <c r="BW1952" s="1"/>
    </row>
    <row r="1953" spans="35:75">
      <c r="AI1953" s="1"/>
      <c r="AL1953" s="1"/>
      <c r="AO1953" s="1"/>
      <c r="AR1953" s="1"/>
      <c r="AZ1953" s="1"/>
      <c r="BC1953" s="1"/>
      <c r="BF1953" s="1"/>
      <c r="BI1953" s="1"/>
      <c r="BP1953" s="1"/>
      <c r="BS1953" s="1"/>
      <c r="BU1953" s="1"/>
      <c r="BW1953" s="1"/>
    </row>
    <row r="1954" spans="35:75">
      <c r="AI1954" s="1"/>
      <c r="AL1954" s="1"/>
      <c r="AO1954" s="1"/>
      <c r="AR1954" s="1"/>
      <c r="AZ1954" s="1"/>
      <c r="BC1954" s="1"/>
      <c r="BF1954" s="1"/>
      <c r="BI1954" s="1"/>
      <c r="BP1954" s="1"/>
      <c r="BS1954" s="1"/>
      <c r="BU1954" s="1"/>
      <c r="BW1954" s="1"/>
    </row>
    <row r="1955" spans="35:75">
      <c r="AI1955" s="1"/>
      <c r="AL1955" s="1"/>
      <c r="AO1955" s="1"/>
      <c r="AR1955" s="1"/>
      <c r="AZ1955" s="1"/>
      <c r="BC1955" s="1"/>
      <c r="BF1955" s="1"/>
      <c r="BI1955" s="1"/>
      <c r="BP1955" s="1"/>
      <c r="BS1955" s="1"/>
      <c r="BU1955" s="1"/>
      <c r="BW1955" s="1"/>
    </row>
    <row r="1956" spans="35:75">
      <c r="AI1956" s="1"/>
      <c r="AL1956" s="1"/>
      <c r="AO1956" s="1"/>
      <c r="AR1956" s="1"/>
      <c r="AZ1956" s="1"/>
      <c r="BC1956" s="1"/>
      <c r="BF1956" s="1"/>
      <c r="BI1956" s="1"/>
      <c r="BP1956" s="1"/>
      <c r="BS1956" s="1"/>
      <c r="BU1956" s="1"/>
      <c r="BW1956" s="1"/>
    </row>
    <row r="1957" spans="35:75">
      <c r="AI1957" s="1"/>
      <c r="AL1957" s="1"/>
      <c r="AO1957" s="1"/>
      <c r="AR1957" s="1"/>
      <c r="AZ1957" s="1"/>
      <c r="BC1957" s="1"/>
      <c r="BF1957" s="1"/>
      <c r="BI1957" s="1"/>
      <c r="BP1957" s="1"/>
      <c r="BS1957" s="1"/>
      <c r="BU1957" s="1"/>
      <c r="BW1957" s="1"/>
    </row>
    <row r="1958" spans="35:75">
      <c r="AI1958" s="1"/>
      <c r="AL1958" s="1"/>
      <c r="AO1958" s="1"/>
      <c r="AR1958" s="1"/>
      <c r="AZ1958" s="1"/>
      <c r="BC1958" s="1"/>
      <c r="BF1958" s="1"/>
      <c r="BI1958" s="1"/>
      <c r="BP1958" s="1"/>
      <c r="BS1958" s="1"/>
      <c r="BU1958" s="1"/>
      <c r="BW1958" s="1"/>
    </row>
    <row r="1959" spans="35:75">
      <c r="AI1959" s="1"/>
      <c r="AL1959" s="1"/>
      <c r="AO1959" s="1"/>
      <c r="AR1959" s="1"/>
      <c r="AZ1959" s="1"/>
      <c r="BC1959" s="1"/>
      <c r="BF1959" s="1"/>
      <c r="BI1959" s="1"/>
      <c r="BP1959" s="1"/>
      <c r="BS1959" s="1"/>
      <c r="BU1959" s="1"/>
      <c r="BW1959" s="1"/>
    </row>
    <row r="1960" spans="35:75">
      <c r="AI1960" s="1"/>
      <c r="AL1960" s="1"/>
      <c r="AO1960" s="1"/>
      <c r="AR1960" s="1"/>
      <c r="AZ1960" s="1"/>
      <c r="BC1960" s="1"/>
      <c r="BF1960" s="1"/>
      <c r="BI1960" s="1"/>
      <c r="BP1960" s="1"/>
      <c r="BS1960" s="1"/>
      <c r="BU1960" s="1"/>
      <c r="BW1960" s="1"/>
    </row>
    <row r="1961" spans="35:75">
      <c r="AI1961" s="1"/>
      <c r="AL1961" s="1"/>
      <c r="AO1961" s="1"/>
      <c r="AR1961" s="1"/>
      <c r="AZ1961" s="1"/>
      <c r="BC1961" s="1"/>
      <c r="BF1961" s="1"/>
      <c r="BI1961" s="1"/>
      <c r="BP1961" s="1"/>
      <c r="BS1961" s="1"/>
      <c r="BU1961" s="1"/>
      <c r="BW1961" s="1"/>
    </row>
    <row r="1962" spans="35:75">
      <c r="AI1962" s="1"/>
      <c r="AL1962" s="1"/>
      <c r="AO1962" s="1"/>
      <c r="AR1962" s="1"/>
      <c r="AZ1962" s="1"/>
      <c r="BC1962" s="1"/>
      <c r="BF1962" s="1"/>
      <c r="BI1962" s="1"/>
      <c r="BP1962" s="1"/>
      <c r="BS1962" s="1"/>
      <c r="BU1962" s="1"/>
      <c r="BW1962" s="1"/>
    </row>
    <row r="1963" spans="35:75">
      <c r="AI1963" s="1"/>
      <c r="AL1963" s="1"/>
      <c r="AO1963" s="1"/>
      <c r="AR1963" s="1"/>
      <c r="AZ1963" s="1"/>
      <c r="BC1963" s="1"/>
      <c r="BF1963" s="1"/>
      <c r="BI1963" s="1"/>
      <c r="BP1963" s="1"/>
      <c r="BS1963" s="1"/>
      <c r="BU1963" s="1"/>
      <c r="BW1963" s="1"/>
    </row>
    <row r="1964" spans="35:75">
      <c r="AI1964" s="1"/>
      <c r="AL1964" s="1"/>
      <c r="AO1964" s="1"/>
      <c r="AR1964" s="1"/>
      <c r="AZ1964" s="1"/>
      <c r="BC1964" s="1"/>
      <c r="BF1964" s="1"/>
      <c r="BI1964" s="1"/>
      <c r="BP1964" s="1"/>
      <c r="BS1964" s="1"/>
      <c r="BU1964" s="1"/>
      <c r="BW1964" s="1"/>
    </row>
    <row r="1965" spans="35:75">
      <c r="AI1965" s="1"/>
      <c r="AL1965" s="1"/>
      <c r="AO1965" s="1"/>
      <c r="AR1965" s="1"/>
      <c r="AZ1965" s="1"/>
      <c r="BC1965" s="1"/>
      <c r="BF1965" s="1"/>
      <c r="BI1965" s="1"/>
      <c r="BP1965" s="1"/>
      <c r="BS1965" s="1"/>
      <c r="BU1965" s="1"/>
      <c r="BW1965" s="1"/>
    </row>
    <row r="1966" spans="35:75">
      <c r="AI1966" s="1"/>
      <c r="AL1966" s="1"/>
      <c r="AO1966" s="1"/>
      <c r="AR1966" s="1"/>
      <c r="AZ1966" s="1"/>
      <c r="BC1966" s="1"/>
      <c r="BF1966" s="1"/>
      <c r="BI1966" s="1"/>
      <c r="BP1966" s="1"/>
      <c r="BS1966" s="1"/>
      <c r="BU1966" s="1"/>
      <c r="BW1966" s="1"/>
    </row>
    <row r="1967" spans="35:75">
      <c r="AI1967" s="1"/>
      <c r="AL1967" s="1"/>
      <c r="AO1967" s="1"/>
      <c r="AR1967" s="1"/>
      <c r="AZ1967" s="1"/>
      <c r="BC1967" s="1"/>
      <c r="BF1967" s="1"/>
      <c r="BI1967" s="1"/>
      <c r="BP1967" s="1"/>
      <c r="BS1967" s="1"/>
      <c r="BU1967" s="1"/>
      <c r="BW1967" s="1"/>
    </row>
    <row r="1968" spans="35:75">
      <c r="AI1968" s="1"/>
      <c r="AL1968" s="1"/>
      <c r="AO1968" s="1"/>
      <c r="AR1968" s="1"/>
      <c r="AZ1968" s="1"/>
      <c r="BC1968" s="1"/>
      <c r="BF1968" s="1"/>
      <c r="BI1968" s="1"/>
      <c r="BP1968" s="1"/>
      <c r="BS1968" s="1"/>
      <c r="BU1968" s="1"/>
      <c r="BW1968" s="1"/>
    </row>
    <row r="1969" spans="35:75">
      <c r="AI1969" s="1"/>
      <c r="AL1969" s="1"/>
      <c r="AO1969" s="1"/>
      <c r="AR1969" s="1"/>
      <c r="AZ1969" s="1"/>
      <c r="BC1969" s="1"/>
      <c r="BF1969" s="1"/>
      <c r="BI1969" s="1"/>
      <c r="BP1969" s="1"/>
      <c r="BS1969" s="1"/>
      <c r="BU1969" s="1"/>
      <c r="BW1969" s="1"/>
    </row>
    <row r="1970" spans="35:75">
      <c r="AI1970" s="1"/>
      <c r="AL1970" s="1"/>
      <c r="AO1970" s="1"/>
      <c r="AR1970" s="1"/>
      <c r="AZ1970" s="1"/>
      <c r="BC1970" s="1"/>
      <c r="BF1970" s="1"/>
      <c r="BI1970" s="1"/>
      <c r="BP1970" s="1"/>
      <c r="BS1970" s="1"/>
      <c r="BU1970" s="1"/>
      <c r="BW1970" s="1"/>
    </row>
    <row r="1971" spans="35:75">
      <c r="AI1971" s="1"/>
      <c r="AL1971" s="1"/>
      <c r="AO1971" s="1"/>
      <c r="AR1971" s="1"/>
      <c r="AZ1971" s="1"/>
      <c r="BC1971" s="1"/>
      <c r="BF1971" s="1"/>
      <c r="BI1971" s="1"/>
      <c r="BP1971" s="1"/>
      <c r="BS1971" s="1"/>
      <c r="BU1971" s="1"/>
      <c r="BW1971" s="1"/>
    </row>
    <row r="1972" spans="35:75">
      <c r="AI1972" s="1"/>
      <c r="AL1972" s="1"/>
      <c r="AO1972" s="1"/>
      <c r="AR1972" s="1"/>
      <c r="AZ1972" s="1"/>
      <c r="BC1972" s="1"/>
      <c r="BF1972" s="1"/>
      <c r="BI1972" s="1"/>
      <c r="BP1972" s="1"/>
      <c r="BS1972" s="1"/>
      <c r="BU1972" s="1"/>
      <c r="BW1972" s="1"/>
    </row>
    <row r="1973" spans="35:75">
      <c r="AI1973" s="1"/>
      <c r="AL1973" s="1"/>
      <c r="AO1973" s="1"/>
      <c r="AR1973" s="1"/>
      <c r="AZ1973" s="1"/>
      <c r="BC1973" s="1"/>
      <c r="BF1973" s="1"/>
      <c r="BI1973" s="1"/>
      <c r="BP1973" s="1"/>
      <c r="BS1973" s="1"/>
      <c r="BU1973" s="1"/>
      <c r="BW1973" s="1"/>
    </row>
    <row r="1974" spans="35:75">
      <c r="AI1974" s="1"/>
      <c r="AL1974" s="1"/>
      <c r="AO1974" s="1"/>
      <c r="AR1974" s="1"/>
      <c r="AZ1974" s="1"/>
      <c r="BC1974" s="1"/>
      <c r="BF1974" s="1"/>
      <c r="BI1974" s="1"/>
      <c r="BP1974" s="1"/>
      <c r="BS1974" s="1"/>
      <c r="BU1974" s="1"/>
      <c r="BW1974" s="1"/>
    </row>
    <row r="1975" spans="35:75">
      <c r="AI1975" s="1"/>
      <c r="AL1975" s="1"/>
      <c r="AO1975" s="1"/>
      <c r="AR1975" s="1"/>
      <c r="AZ1975" s="1"/>
      <c r="BC1975" s="1"/>
      <c r="BF1975" s="1"/>
      <c r="BI1975" s="1"/>
      <c r="BP1975" s="1"/>
      <c r="BS1975" s="1"/>
      <c r="BU1975" s="1"/>
      <c r="BW1975" s="1"/>
    </row>
    <row r="1976" spans="35:75">
      <c r="AI1976" s="1"/>
      <c r="AL1976" s="1"/>
      <c r="AO1976" s="1"/>
      <c r="AR1976" s="1"/>
      <c r="AZ1976" s="1"/>
      <c r="BC1976" s="1"/>
      <c r="BF1976" s="1"/>
      <c r="BI1976" s="1"/>
      <c r="BP1976" s="1"/>
      <c r="BS1976" s="1"/>
      <c r="BU1976" s="1"/>
      <c r="BW1976" s="1"/>
    </row>
    <row r="1977" spans="35:75">
      <c r="AI1977" s="1"/>
      <c r="AL1977" s="1"/>
      <c r="AO1977" s="1"/>
      <c r="AR1977" s="1"/>
      <c r="AZ1977" s="1"/>
      <c r="BC1977" s="1"/>
      <c r="BF1977" s="1"/>
      <c r="BI1977" s="1"/>
      <c r="BP1977" s="1"/>
      <c r="BS1977" s="1"/>
      <c r="BU1977" s="1"/>
      <c r="BW1977" s="1"/>
    </row>
    <row r="1978" spans="35:75">
      <c r="AI1978" s="1"/>
      <c r="AL1978" s="1"/>
      <c r="AO1978" s="1"/>
      <c r="AR1978" s="1"/>
      <c r="AZ1978" s="1"/>
      <c r="BC1978" s="1"/>
      <c r="BF1978" s="1"/>
      <c r="BI1978" s="1"/>
      <c r="BP1978" s="1"/>
      <c r="BS1978" s="1"/>
      <c r="BU1978" s="1"/>
      <c r="BW1978" s="1"/>
    </row>
    <row r="1979" spans="35:75">
      <c r="AI1979" s="1"/>
      <c r="AL1979" s="1"/>
      <c r="AO1979" s="1"/>
      <c r="AR1979" s="1"/>
      <c r="AZ1979" s="1"/>
      <c r="BC1979" s="1"/>
      <c r="BF1979" s="1"/>
      <c r="BI1979" s="1"/>
      <c r="BP1979" s="1"/>
      <c r="BS1979" s="1"/>
      <c r="BU1979" s="1"/>
      <c r="BW1979" s="1"/>
    </row>
    <row r="1980" spans="35:75">
      <c r="AI1980" s="1"/>
      <c r="AL1980" s="1"/>
      <c r="AO1980" s="1"/>
      <c r="AR1980" s="1"/>
      <c r="AZ1980" s="1"/>
      <c r="BC1980" s="1"/>
      <c r="BF1980" s="1"/>
      <c r="BI1980" s="1"/>
      <c r="BP1980" s="1"/>
      <c r="BS1980" s="1"/>
      <c r="BU1980" s="1"/>
      <c r="BW1980" s="1"/>
    </row>
    <row r="1981" spans="35:75">
      <c r="AI1981" s="1"/>
      <c r="AL1981" s="1"/>
      <c r="AO1981" s="1"/>
      <c r="AR1981" s="1"/>
      <c r="AZ1981" s="1"/>
      <c r="BC1981" s="1"/>
      <c r="BF1981" s="1"/>
      <c r="BI1981" s="1"/>
      <c r="BP1981" s="1"/>
      <c r="BS1981" s="1"/>
      <c r="BU1981" s="1"/>
      <c r="BW1981" s="1"/>
    </row>
    <row r="1982" spans="35:75">
      <c r="AI1982" s="1"/>
      <c r="AL1982" s="1"/>
      <c r="AO1982" s="1"/>
      <c r="AR1982" s="1"/>
      <c r="AZ1982" s="1"/>
      <c r="BC1982" s="1"/>
      <c r="BF1982" s="1"/>
      <c r="BI1982" s="1"/>
      <c r="BP1982" s="1"/>
      <c r="BS1982" s="1"/>
      <c r="BU1982" s="1"/>
      <c r="BW1982" s="1"/>
    </row>
    <row r="1983" spans="35:75">
      <c r="AI1983" s="1"/>
      <c r="AL1983" s="1"/>
      <c r="AO1983" s="1"/>
      <c r="AR1983" s="1"/>
      <c r="AZ1983" s="1"/>
      <c r="BC1983" s="1"/>
      <c r="BF1983" s="1"/>
      <c r="BI1983" s="1"/>
      <c r="BP1983" s="1"/>
      <c r="BS1983" s="1"/>
      <c r="BU1983" s="1"/>
      <c r="BW1983" s="1"/>
    </row>
    <row r="1984" spans="35:75">
      <c r="AI1984" s="1"/>
      <c r="AL1984" s="1"/>
      <c r="AO1984" s="1"/>
      <c r="AR1984" s="1"/>
      <c r="AZ1984" s="1"/>
      <c r="BC1984" s="1"/>
      <c r="BF1984" s="1"/>
      <c r="BI1984" s="1"/>
      <c r="BP1984" s="1"/>
      <c r="BS1984" s="1"/>
      <c r="BU1984" s="1"/>
      <c r="BW1984" s="1"/>
    </row>
    <row r="1985" spans="35:75">
      <c r="AI1985" s="1"/>
      <c r="AL1985" s="1"/>
      <c r="AO1985" s="1"/>
      <c r="AR1985" s="1"/>
      <c r="AZ1985" s="1"/>
      <c r="BC1985" s="1"/>
      <c r="BF1985" s="1"/>
      <c r="BI1985" s="1"/>
      <c r="BP1985" s="1"/>
      <c r="BS1985" s="1"/>
      <c r="BU1985" s="1"/>
      <c r="BW1985" s="1"/>
    </row>
    <row r="1986" spans="35:75">
      <c r="AI1986" s="1"/>
      <c r="AL1986" s="1"/>
      <c r="AO1986" s="1"/>
      <c r="AR1986" s="1"/>
      <c r="AZ1986" s="1"/>
      <c r="BC1986" s="1"/>
      <c r="BF1986" s="1"/>
      <c r="BI1986" s="1"/>
      <c r="BP1986" s="1"/>
      <c r="BS1986" s="1"/>
      <c r="BU1986" s="1"/>
      <c r="BW1986" s="1"/>
    </row>
    <row r="1987" spans="35:75">
      <c r="AI1987" s="1"/>
      <c r="AL1987" s="1"/>
      <c r="AO1987" s="1"/>
      <c r="AR1987" s="1"/>
      <c r="AZ1987" s="1"/>
      <c r="BC1987" s="1"/>
      <c r="BF1987" s="1"/>
      <c r="BI1987" s="1"/>
      <c r="BP1987" s="1"/>
      <c r="BS1987" s="1"/>
      <c r="BU1987" s="1"/>
      <c r="BW1987" s="1"/>
    </row>
    <row r="1988" spans="35:75">
      <c r="AI1988" s="1"/>
      <c r="AL1988" s="1"/>
      <c r="AO1988" s="1"/>
      <c r="AR1988" s="1"/>
      <c r="AZ1988" s="1"/>
      <c r="BC1988" s="1"/>
      <c r="BF1988" s="1"/>
      <c r="BI1988" s="1"/>
      <c r="BP1988" s="1"/>
      <c r="BS1988" s="1"/>
      <c r="BU1988" s="1"/>
      <c r="BW1988" s="1"/>
    </row>
    <row r="1989" spans="35:75">
      <c r="AI1989" s="1"/>
      <c r="AL1989" s="1"/>
      <c r="AO1989" s="1"/>
      <c r="AR1989" s="1"/>
      <c r="AZ1989" s="1"/>
      <c r="BC1989" s="1"/>
      <c r="BF1989" s="1"/>
      <c r="BI1989" s="1"/>
      <c r="BP1989" s="1"/>
      <c r="BS1989" s="1"/>
      <c r="BU1989" s="1"/>
      <c r="BW1989" s="1"/>
    </row>
    <row r="1990" spans="35:75">
      <c r="AI1990" s="1"/>
      <c r="AL1990" s="1"/>
      <c r="AO1990" s="1"/>
      <c r="AR1990" s="1"/>
      <c r="AZ1990" s="1"/>
      <c r="BC1990" s="1"/>
      <c r="BF1990" s="1"/>
      <c r="BI1990" s="1"/>
      <c r="BP1990" s="1"/>
      <c r="BS1990" s="1"/>
      <c r="BU1990" s="1"/>
      <c r="BW1990" s="1"/>
    </row>
    <row r="1991" spans="35:75">
      <c r="AI1991" s="1"/>
      <c r="AL1991" s="1"/>
      <c r="AO1991" s="1"/>
      <c r="AR1991" s="1"/>
      <c r="AZ1991" s="1"/>
      <c r="BC1991" s="1"/>
      <c r="BF1991" s="1"/>
      <c r="BI1991" s="1"/>
      <c r="BP1991" s="1"/>
      <c r="BS1991" s="1"/>
      <c r="BU1991" s="1"/>
      <c r="BW1991" s="1"/>
    </row>
    <row r="1992" spans="35:75">
      <c r="AI1992" s="1"/>
      <c r="AL1992" s="1"/>
      <c r="AO1992" s="1"/>
      <c r="AR1992" s="1"/>
      <c r="AZ1992" s="1"/>
      <c r="BC1992" s="1"/>
      <c r="BF1992" s="1"/>
      <c r="BI1992" s="1"/>
      <c r="BP1992" s="1"/>
      <c r="BS1992" s="1"/>
      <c r="BU1992" s="1"/>
      <c r="BW1992" s="1"/>
    </row>
    <row r="1993" spans="35:75">
      <c r="AI1993" s="1"/>
      <c r="AL1993" s="1"/>
      <c r="AO1993" s="1"/>
      <c r="AR1993" s="1"/>
      <c r="AZ1993" s="1"/>
      <c r="BC1993" s="1"/>
      <c r="BF1993" s="1"/>
      <c r="BI1993" s="1"/>
      <c r="BP1993" s="1"/>
      <c r="BS1993" s="1"/>
      <c r="BU1993" s="1"/>
      <c r="BW1993" s="1"/>
    </row>
    <row r="1994" spans="35:75">
      <c r="AI1994" s="1"/>
      <c r="AL1994" s="1"/>
      <c r="AO1994" s="1"/>
      <c r="AR1994" s="1"/>
      <c r="AZ1994" s="1"/>
      <c r="BC1994" s="1"/>
      <c r="BF1994" s="1"/>
      <c r="BI1994" s="1"/>
      <c r="BP1994" s="1"/>
      <c r="BS1994" s="1"/>
      <c r="BU1994" s="1"/>
      <c r="BW1994" s="1"/>
    </row>
    <row r="1995" spans="35:75">
      <c r="AI1995" s="1"/>
      <c r="AL1995" s="1"/>
      <c r="AO1995" s="1"/>
      <c r="AR1995" s="1"/>
      <c r="AZ1995" s="1"/>
      <c r="BC1995" s="1"/>
      <c r="BF1995" s="1"/>
      <c r="BI1995" s="1"/>
      <c r="BP1995" s="1"/>
      <c r="BS1995" s="1"/>
      <c r="BU1995" s="1"/>
      <c r="BW1995" s="1"/>
    </row>
    <row r="1996" spans="35:75">
      <c r="AI1996" s="1"/>
      <c r="AL1996" s="1"/>
      <c r="AO1996" s="1"/>
      <c r="AR1996" s="1"/>
      <c r="AZ1996" s="1"/>
      <c r="BC1996" s="1"/>
      <c r="BF1996" s="1"/>
      <c r="BI1996" s="1"/>
      <c r="BP1996" s="1"/>
      <c r="BS1996" s="1"/>
      <c r="BU1996" s="1"/>
      <c r="BW1996" s="1"/>
    </row>
    <row r="1997" spans="35:75">
      <c r="AI1997" s="1"/>
      <c r="AL1997" s="1"/>
      <c r="AO1997" s="1"/>
      <c r="AR1997" s="1"/>
      <c r="AZ1997" s="1"/>
      <c r="BC1997" s="1"/>
      <c r="BF1997" s="1"/>
      <c r="BI1997" s="1"/>
      <c r="BP1997" s="1"/>
      <c r="BS1997" s="1"/>
      <c r="BU1997" s="1"/>
      <c r="BW1997" s="1"/>
    </row>
    <row r="1998" spans="35:75">
      <c r="AI1998" s="1"/>
      <c r="AL1998" s="1"/>
      <c r="AO1998" s="1"/>
      <c r="AR1998" s="1"/>
      <c r="AZ1998" s="1"/>
      <c r="BC1998" s="1"/>
      <c r="BF1998" s="1"/>
      <c r="BI1998" s="1"/>
      <c r="BP1998" s="1"/>
      <c r="BS1998" s="1"/>
      <c r="BU1998" s="1"/>
      <c r="BW1998" s="1"/>
    </row>
    <row r="1999" spans="35:75">
      <c r="AI1999" s="1"/>
      <c r="AL1999" s="1"/>
      <c r="AO1999" s="1"/>
      <c r="AR1999" s="1"/>
      <c r="AZ1999" s="1"/>
      <c r="BC1999" s="1"/>
      <c r="BF1999" s="1"/>
      <c r="BI1999" s="1"/>
      <c r="BP1999" s="1"/>
      <c r="BS1999" s="1"/>
      <c r="BU1999" s="1"/>
      <c r="BW1999" s="1"/>
    </row>
    <row r="2000" spans="35:75">
      <c r="AI2000" s="1"/>
      <c r="AL2000" s="1"/>
      <c r="AO2000" s="1"/>
      <c r="AR2000" s="1"/>
      <c r="AZ2000" s="1"/>
      <c r="BC2000" s="1"/>
      <c r="BF2000" s="1"/>
      <c r="BI2000" s="1"/>
      <c r="BP2000" s="1"/>
      <c r="BS2000" s="1"/>
      <c r="BU2000" s="1"/>
      <c r="BW2000" s="1"/>
    </row>
    <row r="2001" spans="35:75">
      <c r="AI2001" s="1"/>
      <c r="AL2001" s="1"/>
      <c r="AO2001" s="1"/>
      <c r="AR2001" s="1"/>
      <c r="AZ2001" s="1"/>
      <c r="BC2001" s="1"/>
      <c r="BF2001" s="1"/>
      <c r="BI2001" s="1"/>
      <c r="BP2001" s="1"/>
      <c r="BS2001" s="1"/>
      <c r="BU2001" s="1"/>
      <c r="BW2001" s="1"/>
    </row>
    <row r="2002" spans="35:75">
      <c r="AI2002" s="1"/>
      <c r="AL2002" s="1"/>
      <c r="AO2002" s="1"/>
      <c r="AR2002" s="1"/>
      <c r="AZ2002" s="1"/>
      <c r="BC2002" s="1"/>
      <c r="BF2002" s="1"/>
      <c r="BI2002" s="1"/>
      <c r="BP2002" s="1"/>
      <c r="BS2002" s="1"/>
      <c r="BU2002" s="1"/>
      <c r="BW2002" s="1"/>
    </row>
    <row r="2003" spans="35:75">
      <c r="AI2003" s="1"/>
      <c r="AL2003" s="1"/>
      <c r="AO2003" s="1"/>
      <c r="AR2003" s="1"/>
      <c r="AZ2003" s="1"/>
      <c r="BC2003" s="1"/>
      <c r="BF2003" s="1"/>
      <c r="BI2003" s="1"/>
      <c r="BP2003" s="1"/>
      <c r="BS2003" s="1"/>
      <c r="BU2003" s="1"/>
      <c r="BW2003" s="1"/>
    </row>
    <row r="2004" spans="35:75">
      <c r="AI2004" s="1"/>
      <c r="AL2004" s="1"/>
      <c r="AO2004" s="1"/>
      <c r="AR2004" s="1"/>
      <c r="AZ2004" s="1"/>
      <c r="BC2004" s="1"/>
      <c r="BF2004" s="1"/>
      <c r="BI2004" s="1"/>
      <c r="BP2004" s="1"/>
      <c r="BS2004" s="1"/>
      <c r="BU2004" s="1"/>
      <c r="BW2004" s="1"/>
    </row>
    <row r="2005" spans="35:75">
      <c r="AI2005" s="1"/>
      <c r="AL2005" s="1"/>
      <c r="AO2005" s="1"/>
      <c r="AR2005" s="1"/>
      <c r="AZ2005" s="1"/>
      <c r="BC2005" s="1"/>
      <c r="BF2005" s="1"/>
      <c r="BI2005" s="1"/>
      <c r="BP2005" s="1"/>
      <c r="BS2005" s="1"/>
      <c r="BU2005" s="1"/>
      <c r="BW2005" s="1"/>
    </row>
    <row r="2006" spans="35:75">
      <c r="AI2006" s="1"/>
      <c r="AL2006" s="1"/>
      <c r="AO2006" s="1"/>
      <c r="AR2006" s="1"/>
      <c r="AZ2006" s="1"/>
      <c r="BC2006" s="1"/>
      <c r="BF2006" s="1"/>
      <c r="BI2006" s="1"/>
      <c r="BP2006" s="1"/>
      <c r="BS2006" s="1"/>
      <c r="BU2006" s="1"/>
      <c r="BW2006" s="1"/>
    </row>
    <row r="2007" spans="35:75">
      <c r="AI2007" s="1"/>
      <c r="AL2007" s="1"/>
      <c r="AO2007" s="1"/>
      <c r="AR2007" s="1"/>
      <c r="AZ2007" s="1"/>
      <c r="BC2007" s="1"/>
      <c r="BF2007" s="1"/>
      <c r="BI2007" s="1"/>
      <c r="BP2007" s="1"/>
      <c r="BS2007" s="1"/>
      <c r="BU2007" s="1"/>
      <c r="BW2007" s="1"/>
    </row>
    <row r="2008" spans="35:75">
      <c r="AI2008" s="1"/>
      <c r="AL2008" s="1"/>
      <c r="AO2008" s="1"/>
      <c r="AR2008" s="1"/>
      <c r="AZ2008" s="1"/>
      <c r="BC2008" s="1"/>
      <c r="BF2008" s="1"/>
      <c r="BI2008" s="1"/>
      <c r="BP2008" s="1"/>
      <c r="BS2008" s="1"/>
      <c r="BU2008" s="1"/>
      <c r="BW2008" s="1"/>
    </row>
    <row r="2009" spans="35:75">
      <c r="AI2009" s="1"/>
      <c r="AL2009" s="1"/>
      <c r="AO2009" s="1"/>
      <c r="AR2009" s="1"/>
      <c r="AZ2009" s="1"/>
      <c r="BC2009" s="1"/>
      <c r="BF2009" s="1"/>
      <c r="BI2009" s="1"/>
      <c r="BP2009" s="1"/>
      <c r="BS2009" s="1"/>
      <c r="BU2009" s="1"/>
      <c r="BW2009" s="1"/>
    </row>
    <row r="2010" spans="35:75">
      <c r="AI2010" s="1"/>
      <c r="AL2010" s="1"/>
      <c r="AO2010" s="1"/>
      <c r="AR2010" s="1"/>
      <c r="AZ2010" s="1"/>
      <c r="BC2010" s="1"/>
      <c r="BF2010" s="1"/>
      <c r="BI2010" s="1"/>
      <c r="BP2010" s="1"/>
      <c r="BS2010" s="1"/>
      <c r="BU2010" s="1"/>
      <c r="BW2010" s="1"/>
    </row>
    <row r="2011" spans="35:75">
      <c r="AI2011" s="1"/>
      <c r="AL2011" s="1"/>
      <c r="AO2011" s="1"/>
      <c r="AR2011" s="1"/>
      <c r="AZ2011" s="1"/>
      <c r="BC2011" s="1"/>
      <c r="BF2011" s="1"/>
      <c r="BI2011" s="1"/>
      <c r="BP2011" s="1"/>
      <c r="BS2011" s="1"/>
      <c r="BU2011" s="1"/>
      <c r="BW2011" s="1"/>
    </row>
    <row r="2012" spans="35:75">
      <c r="AI2012" s="1"/>
      <c r="AL2012" s="1"/>
      <c r="AO2012" s="1"/>
      <c r="AR2012" s="1"/>
      <c r="AZ2012" s="1"/>
      <c r="BC2012" s="1"/>
      <c r="BF2012" s="1"/>
      <c r="BI2012" s="1"/>
      <c r="BP2012" s="1"/>
      <c r="BS2012" s="1"/>
      <c r="BU2012" s="1"/>
      <c r="BW2012" s="1"/>
    </row>
    <row r="2013" spans="35:75">
      <c r="AI2013" s="1"/>
      <c r="AL2013" s="1"/>
      <c r="AO2013" s="1"/>
      <c r="AR2013" s="1"/>
      <c r="AZ2013" s="1"/>
      <c r="BC2013" s="1"/>
      <c r="BF2013" s="1"/>
      <c r="BI2013" s="1"/>
      <c r="BP2013" s="1"/>
      <c r="BS2013" s="1"/>
      <c r="BU2013" s="1"/>
      <c r="BW2013" s="1"/>
    </row>
    <row r="2014" spans="35:75">
      <c r="AI2014" s="1"/>
      <c r="AL2014" s="1"/>
      <c r="AO2014" s="1"/>
      <c r="AR2014" s="1"/>
      <c r="AZ2014" s="1"/>
      <c r="BC2014" s="1"/>
      <c r="BF2014" s="1"/>
      <c r="BI2014" s="1"/>
      <c r="BP2014" s="1"/>
      <c r="BS2014" s="1"/>
      <c r="BU2014" s="1"/>
      <c r="BW2014" s="1"/>
    </row>
    <row r="2015" spans="35:75">
      <c r="AI2015" s="1"/>
      <c r="AL2015" s="1"/>
      <c r="AO2015" s="1"/>
      <c r="AR2015" s="1"/>
      <c r="AZ2015" s="1"/>
      <c r="BC2015" s="1"/>
      <c r="BF2015" s="1"/>
      <c r="BI2015" s="1"/>
      <c r="BP2015" s="1"/>
      <c r="BS2015" s="1"/>
      <c r="BU2015" s="1"/>
      <c r="BW2015" s="1"/>
    </row>
    <row r="2016" spans="35:75">
      <c r="AI2016" s="1"/>
      <c r="AL2016" s="1"/>
      <c r="AO2016" s="1"/>
      <c r="AR2016" s="1"/>
      <c r="AZ2016" s="1"/>
      <c r="BC2016" s="1"/>
      <c r="BF2016" s="1"/>
      <c r="BI2016" s="1"/>
      <c r="BP2016" s="1"/>
      <c r="BS2016" s="1"/>
      <c r="BU2016" s="1"/>
      <c r="BW2016" s="1"/>
    </row>
    <row r="2017" spans="35:75">
      <c r="AI2017" s="1"/>
      <c r="AL2017" s="1"/>
      <c r="AO2017" s="1"/>
      <c r="AR2017" s="1"/>
      <c r="AZ2017" s="1"/>
      <c r="BC2017" s="1"/>
      <c r="BF2017" s="1"/>
      <c r="BI2017" s="1"/>
      <c r="BP2017" s="1"/>
      <c r="BS2017" s="1"/>
      <c r="BU2017" s="1"/>
      <c r="BW2017" s="1"/>
    </row>
    <row r="2018" spans="35:75">
      <c r="AI2018" s="1"/>
      <c r="AL2018" s="1"/>
      <c r="AO2018" s="1"/>
      <c r="AR2018" s="1"/>
      <c r="AZ2018" s="1"/>
      <c r="BC2018" s="1"/>
      <c r="BF2018" s="1"/>
      <c r="BI2018" s="1"/>
      <c r="BP2018" s="1"/>
      <c r="BS2018" s="1"/>
      <c r="BU2018" s="1"/>
      <c r="BW2018" s="1"/>
    </row>
    <row r="2019" spans="35:75">
      <c r="AI2019" s="1"/>
      <c r="AL2019" s="1"/>
      <c r="AO2019" s="1"/>
      <c r="AR2019" s="1"/>
      <c r="AZ2019" s="1"/>
      <c r="BC2019" s="1"/>
      <c r="BF2019" s="1"/>
      <c r="BI2019" s="1"/>
      <c r="BP2019" s="1"/>
      <c r="BS2019" s="1"/>
      <c r="BU2019" s="1"/>
      <c r="BW2019" s="1"/>
    </row>
    <row r="2020" spans="35:75">
      <c r="AI2020" s="1"/>
      <c r="AL2020" s="1"/>
      <c r="AO2020" s="1"/>
      <c r="AR2020" s="1"/>
      <c r="AZ2020" s="1"/>
      <c r="BC2020" s="1"/>
      <c r="BF2020" s="1"/>
      <c r="BI2020" s="1"/>
      <c r="BP2020" s="1"/>
      <c r="BS2020" s="1"/>
      <c r="BU2020" s="1"/>
      <c r="BW2020" s="1"/>
    </row>
    <row r="2021" spans="35:75">
      <c r="AI2021" s="1"/>
      <c r="AL2021" s="1"/>
      <c r="AO2021" s="1"/>
      <c r="AR2021" s="1"/>
      <c r="AZ2021" s="1"/>
      <c r="BC2021" s="1"/>
      <c r="BF2021" s="1"/>
      <c r="BI2021" s="1"/>
      <c r="BP2021" s="1"/>
      <c r="BS2021" s="1"/>
      <c r="BU2021" s="1"/>
      <c r="BW2021" s="1"/>
    </row>
    <row r="2022" spans="35:75">
      <c r="AI2022" s="1"/>
      <c r="AL2022" s="1"/>
      <c r="AO2022" s="1"/>
      <c r="AR2022" s="1"/>
      <c r="AZ2022" s="1"/>
      <c r="BC2022" s="1"/>
      <c r="BF2022" s="1"/>
      <c r="BI2022" s="1"/>
      <c r="BP2022" s="1"/>
      <c r="BS2022" s="1"/>
      <c r="BU2022" s="1"/>
      <c r="BW2022" s="1"/>
    </row>
    <row r="2023" spans="35:75">
      <c r="AI2023" s="1"/>
      <c r="AL2023" s="1"/>
      <c r="AO2023" s="1"/>
      <c r="AR2023" s="1"/>
      <c r="AZ2023" s="1"/>
      <c r="BC2023" s="1"/>
      <c r="BF2023" s="1"/>
      <c r="BI2023" s="1"/>
      <c r="BP2023" s="1"/>
      <c r="BS2023" s="1"/>
      <c r="BU2023" s="1"/>
      <c r="BW2023" s="1"/>
    </row>
    <row r="2024" spans="35:75">
      <c r="AI2024" s="1"/>
      <c r="AL2024" s="1"/>
      <c r="AO2024" s="1"/>
      <c r="AR2024" s="1"/>
      <c r="AZ2024" s="1"/>
      <c r="BC2024" s="1"/>
      <c r="BF2024" s="1"/>
      <c r="BI2024" s="1"/>
      <c r="BP2024" s="1"/>
      <c r="BS2024" s="1"/>
      <c r="BU2024" s="1"/>
      <c r="BW2024" s="1"/>
    </row>
    <row r="2025" spans="35:75">
      <c r="AI2025" s="1"/>
      <c r="AL2025" s="1"/>
      <c r="AO2025" s="1"/>
      <c r="AR2025" s="1"/>
      <c r="AZ2025" s="1"/>
      <c r="BC2025" s="1"/>
      <c r="BF2025" s="1"/>
      <c r="BI2025" s="1"/>
      <c r="BP2025" s="1"/>
      <c r="BS2025" s="1"/>
      <c r="BU2025" s="1"/>
      <c r="BW2025" s="1"/>
    </row>
    <row r="2026" spans="35:75">
      <c r="AI2026" s="1"/>
      <c r="AL2026" s="1"/>
      <c r="AO2026" s="1"/>
      <c r="AR2026" s="1"/>
      <c r="AZ2026" s="1"/>
      <c r="BC2026" s="1"/>
      <c r="BF2026" s="1"/>
      <c r="BI2026" s="1"/>
      <c r="BP2026" s="1"/>
      <c r="BS2026" s="1"/>
      <c r="BU2026" s="1"/>
      <c r="BW2026" s="1"/>
    </row>
    <row r="2027" spans="35:75">
      <c r="AI2027" s="1"/>
      <c r="AL2027" s="1"/>
      <c r="AO2027" s="1"/>
      <c r="AR2027" s="1"/>
      <c r="AZ2027" s="1"/>
      <c r="BC2027" s="1"/>
      <c r="BF2027" s="1"/>
      <c r="BI2027" s="1"/>
      <c r="BP2027" s="1"/>
      <c r="BS2027" s="1"/>
      <c r="BU2027" s="1"/>
      <c r="BW2027" s="1"/>
    </row>
  </sheetData>
  <mergeCells count="13">
    <mergeCell ref="C40:D40"/>
    <mergeCell ref="E40:G40"/>
    <mergeCell ref="H40:J40"/>
    <mergeCell ref="K40:M40"/>
    <mergeCell ref="C55:D55"/>
    <mergeCell ref="E55:F55"/>
    <mergeCell ref="G55:H55"/>
    <mergeCell ref="I55:J55"/>
    <mergeCell ref="E25:G25"/>
    <mergeCell ref="H25:J25"/>
    <mergeCell ref="K25:M25"/>
    <mergeCell ref="C25:D25"/>
    <mergeCell ref="C2:U2"/>
  </mergeCells>
  <phoneticPr fontId="4" type="noConversion"/>
  <conditionalFormatting sqref="C25:D25 C26:M39 C40:D40 C41:M54 C55:D55 K55:M55 C56:M67">
    <cfRule type="containsErrors" dxfId="0" priority="1">
      <formula>ISERROR(C25)</formula>
    </cfRule>
  </conditionalFormatting>
  <pageMargins left="0.7" right="0.7" top="0.75" bottom="0.75" header="0.3" footer="0.3"/>
  <pageSetup paperSize="9" orientation="portrait" r:id="rId1"/>
  <ignoredErrors>
    <ignoredError sqref="H27:J27 H28:J28 E29:M37 E28:G28 K28:M28 E42:M52 E59:J67 E58:F58 I58:J58 G58:H58 G57:H57 E57:F57 I57:J57" evalError="1"/>
  </ignoredErrors>
  <drawing r:id="rId2"/>
  <legacyDrawing r:id="rId3"/>
  <controls>
    <mc:AlternateContent xmlns:mc="http://schemas.openxmlformats.org/markup-compatibility/2006">
      <mc:Choice Requires="x14">
        <control shapeId="1034" r:id="rId4" name="Box_1">
          <controlPr defaultSize="0" autoLine="0" linkedCell="D5" listFillRange="기관코드!F9:F5008" r:id="rId5">
            <anchor moveWithCells="1">
              <from>
                <xdr:col>2</xdr:col>
                <xdr:colOff>838200</xdr:colOff>
                <xdr:row>4</xdr:row>
                <xdr:rowOff>0</xdr:rowOff>
              </from>
              <to>
                <xdr:col>4</xdr:col>
                <xdr:colOff>28575</xdr:colOff>
                <xdr:row>5</xdr:row>
                <xdr:rowOff>9525</xdr:rowOff>
              </to>
            </anchor>
          </controlPr>
        </control>
      </mc:Choice>
      <mc:Fallback>
        <control shapeId="1034" r:id="rId4" name="Box_1"/>
      </mc:Fallback>
    </mc:AlternateContent>
    <mc:AlternateContent xmlns:mc="http://schemas.openxmlformats.org/markup-compatibility/2006">
      <mc:Choice Requires="x14">
        <control shapeId="1028" r:id="rId6" name="Scroll Bar 4">
          <controlPr defaultSize="0" autoPict="0">
            <anchor>
              <from>
                <xdr:col>1</xdr:col>
                <xdr:colOff>9525</xdr:colOff>
                <xdr:row>26</xdr:row>
                <xdr:rowOff>0</xdr:rowOff>
              </from>
              <to>
                <xdr:col>1</xdr:col>
                <xdr:colOff>161925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Scroll Bar 5">
          <controlPr defaultSize="0" autoPict="0">
            <anchor>
              <from>
                <xdr:col>1</xdr:col>
                <xdr:colOff>9525</xdr:colOff>
                <xdr:row>40</xdr:row>
                <xdr:rowOff>200025</xdr:rowOff>
              </from>
              <to>
                <xdr:col>1</xdr:col>
                <xdr:colOff>161925</xdr:colOff>
                <xdr:row>51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Scroll Bar 6">
          <controlPr defaultSize="0" autoPict="0">
            <anchor>
              <from>
                <xdr:col>1</xdr:col>
                <xdr:colOff>9525</xdr:colOff>
                <xdr:row>55</xdr:row>
                <xdr:rowOff>200025</xdr:rowOff>
              </from>
              <to>
                <xdr:col>1</xdr:col>
                <xdr:colOff>161925</xdr:colOff>
                <xdr:row>66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Option Button 7">
          <controlPr defaultSize="0" autoFill="0" autoLine="0" autoPict="0">
            <anchor>
              <from>
                <xdr:col>0</xdr:col>
                <xdr:colOff>257175</xdr:colOff>
                <xdr:row>2</xdr:row>
                <xdr:rowOff>190500</xdr:rowOff>
              </from>
              <to>
                <xdr:col>2</xdr:col>
                <xdr:colOff>533400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Option Button 8">
          <controlPr defaultSize="0" autoFill="0" autoLine="0" autoPict="0">
            <anchor>
              <from>
                <xdr:col>2</xdr:col>
                <xdr:colOff>504825</xdr:colOff>
                <xdr:row>2</xdr:row>
                <xdr:rowOff>190500</xdr:rowOff>
              </from>
              <to>
                <xdr:col>3</xdr:col>
                <xdr:colOff>228600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008"/>
  <sheetViews>
    <sheetView workbookViewId="0">
      <selection activeCell="B27" sqref="B27"/>
    </sheetView>
  </sheetViews>
  <sheetFormatPr defaultRowHeight="16.5"/>
  <cols>
    <col min="1" max="1" width="9.125" bestFit="1" customWidth="1"/>
    <col min="31" max="31" width="13.125" bestFit="1" customWidth="1"/>
  </cols>
  <sheetData>
    <row r="1" spans="1:36">
      <c r="A1" s="41" t="s">
        <v>2062</v>
      </c>
      <c r="B1" s="42" t="s">
        <v>2063</v>
      </c>
      <c r="C1">
        <v>1</v>
      </c>
    </row>
    <row r="2" spans="1:36">
      <c r="A2" s="41" t="s">
        <v>2064</v>
      </c>
      <c r="B2" s="42">
        <v>9999</v>
      </c>
    </row>
    <row r="3" spans="1:36">
      <c r="A3" s="41" t="s">
        <v>2007</v>
      </c>
      <c r="B3" s="43" t="s">
        <v>2065</v>
      </c>
    </row>
    <row r="4" spans="1:36">
      <c r="A4" s="41" t="s">
        <v>2066</v>
      </c>
      <c r="B4" s="42" t="s">
        <v>2067</v>
      </c>
    </row>
    <row r="5" spans="1:36">
      <c r="A5" s="41" t="s">
        <v>2068</v>
      </c>
      <c r="B5" s="42" t="s">
        <v>2069</v>
      </c>
    </row>
    <row r="6" spans="1:36">
      <c r="A6" s="41" t="s">
        <v>2070</v>
      </c>
      <c r="B6" s="42" t="s">
        <v>19</v>
      </c>
    </row>
    <row r="7" spans="1:36">
      <c r="A7" t="str">
        <f>_xll.IMDT("등급별기업",B1,A8:B8,B2,B3,B4,B5,"sort="&amp;B6&amp;",DtFmt=1,TmFmt=1,Pos=20,Orient=V,Title=등급별기업 채권등급기준 전체")</f>
        <v>등급별기업 채권등급기준 전체</v>
      </c>
      <c r="AE7">
        <v>1101110012809</v>
      </c>
      <c r="AG7" t="s">
        <v>4</v>
      </c>
      <c r="AH7" t="s">
        <v>5</v>
      </c>
      <c r="AI7" t="s">
        <v>6</v>
      </c>
      <c r="AJ7" t="s">
        <v>7</v>
      </c>
    </row>
    <row r="8" spans="1:36">
      <c r="A8" s="41" t="s">
        <v>2069</v>
      </c>
      <c r="B8" s="42" t="s">
        <v>2071</v>
      </c>
      <c r="F8" s="44" t="s">
        <v>2072</v>
      </c>
      <c r="AE8">
        <v>1101110043870</v>
      </c>
      <c r="AG8" t="s">
        <v>2</v>
      </c>
      <c r="AH8" t="s">
        <v>8</v>
      </c>
      <c r="AJ8" t="s">
        <v>9</v>
      </c>
    </row>
    <row r="9" spans="1:36">
      <c r="A9" t="s">
        <v>1716</v>
      </c>
      <c r="B9" t="s">
        <v>2072</v>
      </c>
      <c r="F9" t="str">
        <f>CHOOSE($C$1, A9, B9)</f>
        <v>00001</v>
      </c>
      <c r="AE9">
        <v>1601110007032</v>
      </c>
      <c r="AG9" t="s">
        <v>2</v>
      </c>
      <c r="AH9" t="s">
        <v>11</v>
      </c>
      <c r="AI9" t="s">
        <v>12</v>
      </c>
      <c r="AJ9" t="s">
        <v>13</v>
      </c>
    </row>
    <row r="10" spans="1:36">
      <c r="A10" t="s">
        <v>1717</v>
      </c>
      <c r="B10" t="s">
        <v>10</v>
      </c>
      <c r="F10" t="str">
        <f t="shared" ref="F10:F73" si="0">CHOOSE($C$1, A10, B10)</f>
        <v>00004</v>
      </c>
      <c r="AE10">
        <v>1101110026181</v>
      </c>
      <c r="AG10" t="s">
        <v>2</v>
      </c>
      <c r="AH10" t="s">
        <v>15</v>
      </c>
      <c r="AI10" t="s">
        <v>16</v>
      </c>
      <c r="AJ10" t="s">
        <v>17</v>
      </c>
    </row>
    <row r="11" spans="1:36">
      <c r="A11" t="s">
        <v>1718</v>
      </c>
      <c r="B11" t="s">
        <v>14</v>
      </c>
      <c r="F11" t="str">
        <f t="shared" si="0"/>
        <v>00007</v>
      </c>
      <c r="AE11">
        <v>1101110028591</v>
      </c>
      <c r="AF11" t="s">
        <v>18</v>
      </c>
      <c r="AG11" t="s">
        <v>2</v>
      </c>
      <c r="AH11" t="s">
        <v>20</v>
      </c>
      <c r="AI11" t="s">
        <v>21</v>
      </c>
      <c r="AJ11" t="s">
        <v>22</v>
      </c>
    </row>
    <row r="12" spans="1:36">
      <c r="A12" t="s">
        <v>1719</v>
      </c>
      <c r="B12" t="s">
        <v>18</v>
      </c>
      <c r="F12" t="str">
        <f t="shared" si="0"/>
        <v>00008</v>
      </c>
      <c r="AG12" t="s">
        <v>4</v>
      </c>
    </row>
    <row r="13" spans="1:36">
      <c r="A13" t="s">
        <v>1720</v>
      </c>
      <c r="B13" t="s">
        <v>23</v>
      </c>
      <c r="F13" t="str">
        <f t="shared" si="0"/>
        <v>00011</v>
      </c>
      <c r="AE13">
        <v>1101110014409</v>
      </c>
      <c r="AG13" t="s">
        <v>2</v>
      </c>
      <c r="AH13" t="s">
        <v>8</v>
      </c>
      <c r="AJ13" t="s">
        <v>9</v>
      </c>
    </row>
    <row r="14" spans="1:36">
      <c r="A14" t="s">
        <v>1721</v>
      </c>
      <c r="B14" t="s">
        <v>2073</v>
      </c>
      <c r="F14" t="str">
        <f t="shared" si="0"/>
        <v>00012</v>
      </c>
      <c r="AE14">
        <v>1101110013419</v>
      </c>
      <c r="AG14" t="s">
        <v>4</v>
      </c>
      <c r="AH14" t="s">
        <v>5</v>
      </c>
      <c r="AI14" t="s">
        <v>6</v>
      </c>
      <c r="AJ14" t="s">
        <v>7</v>
      </c>
    </row>
    <row r="15" spans="1:36">
      <c r="A15" t="s">
        <v>1722</v>
      </c>
      <c r="B15" t="s">
        <v>28</v>
      </c>
      <c r="F15" t="str">
        <f t="shared" si="0"/>
        <v>00014</v>
      </c>
      <c r="AE15">
        <v>1101110006167</v>
      </c>
      <c r="AF15" t="s">
        <v>24</v>
      </c>
      <c r="AG15" t="s">
        <v>2</v>
      </c>
      <c r="AH15" t="s">
        <v>25</v>
      </c>
      <c r="AI15" t="s">
        <v>26</v>
      </c>
      <c r="AJ15" t="s">
        <v>27</v>
      </c>
    </row>
    <row r="16" spans="1:36">
      <c r="A16" t="s">
        <v>1723</v>
      </c>
      <c r="B16" t="s">
        <v>29</v>
      </c>
      <c r="F16" t="str">
        <f t="shared" si="0"/>
        <v>00015</v>
      </c>
      <c r="AE16">
        <v>1101110013766</v>
      </c>
      <c r="AF16" t="s">
        <v>18</v>
      </c>
      <c r="AG16" t="s">
        <v>2</v>
      </c>
      <c r="AH16" t="s">
        <v>15</v>
      </c>
      <c r="AI16" t="s">
        <v>16</v>
      </c>
      <c r="AJ16" t="s">
        <v>17</v>
      </c>
    </row>
    <row r="17" spans="1:36">
      <c r="A17" t="s">
        <v>1724</v>
      </c>
      <c r="B17" t="s">
        <v>2074</v>
      </c>
      <c r="F17" t="str">
        <f t="shared" si="0"/>
        <v>00021</v>
      </c>
      <c r="AE17">
        <v>1101110013774</v>
      </c>
      <c r="AF17" t="s">
        <v>29</v>
      </c>
      <c r="AG17" t="s">
        <v>2</v>
      </c>
      <c r="AH17" t="s">
        <v>15</v>
      </c>
      <c r="AI17" t="s">
        <v>16</v>
      </c>
      <c r="AJ17" t="s">
        <v>17</v>
      </c>
    </row>
    <row r="18" spans="1:36">
      <c r="A18" t="s">
        <v>1725</v>
      </c>
      <c r="B18" t="s">
        <v>2075</v>
      </c>
      <c r="F18" t="str">
        <f t="shared" si="0"/>
        <v>00027</v>
      </c>
      <c r="AE18">
        <v>1101110084915</v>
      </c>
      <c r="AF18" t="s">
        <v>30</v>
      </c>
      <c r="AG18" t="s">
        <v>2</v>
      </c>
      <c r="AH18" t="s">
        <v>31</v>
      </c>
      <c r="AI18" t="s">
        <v>32</v>
      </c>
      <c r="AJ18" t="s">
        <v>33</v>
      </c>
    </row>
    <row r="19" spans="1:36">
      <c r="A19" t="s">
        <v>1726</v>
      </c>
      <c r="B19" t="s">
        <v>46</v>
      </c>
      <c r="F19" t="str">
        <f t="shared" si="0"/>
        <v>00030</v>
      </c>
      <c r="AE19">
        <v>1101110012776</v>
      </c>
      <c r="AG19" t="s">
        <v>2</v>
      </c>
      <c r="AH19" t="s">
        <v>34</v>
      </c>
      <c r="AI19" t="s">
        <v>35</v>
      </c>
      <c r="AJ19" t="s">
        <v>36</v>
      </c>
    </row>
    <row r="20" spans="1:36">
      <c r="A20" t="s">
        <v>1727</v>
      </c>
      <c r="B20" t="s">
        <v>57</v>
      </c>
      <c r="F20" t="str">
        <f t="shared" si="0"/>
        <v>00039</v>
      </c>
      <c r="AE20">
        <v>1101110034233</v>
      </c>
      <c r="AF20" t="s">
        <v>37</v>
      </c>
      <c r="AG20" t="s">
        <v>2</v>
      </c>
      <c r="AH20" t="s">
        <v>38</v>
      </c>
      <c r="AJ20" t="s">
        <v>39</v>
      </c>
    </row>
    <row r="21" spans="1:36">
      <c r="A21" t="s">
        <v>1728</v>
      </c>
      <c r="B21" t="s">
        <v>67</v>
      </c>
      <c r="F21" t="str">
        <f t="shared" si="0"/>
        <v>00050</v>
      </c>
      <c r="AE21">
        <v>1101110037998</v>
      </c>
      <c r="AF21" t="s">
        <v>40</v>
      </c>
      <c r="AG21" t="s">
        <v>2</v>
      </c>
      <c r="AH21" t="s">
        <v>41</v>
      </c>
      <c r="AJ21" t="s">
        <v>42</v>
      </c>
    </row>
    <row r="22" spans="1:36">
      <c r="A22" t="s">
        <v>1729</v>
      </c>
      <c r="B22" t="s">
        <v>2076</v>
      </c>
      <c r="F22" t="str">
        <f t="shared" si="0"/>
        <v>00064</v>
      </c>
      <c r="AE22">
        <v>1101110119762</v>
      </c>
      <c r="AF22" t="s">
        <v>43</v>
      </c>
      <c r="AG22" t="s">
        <v>4</v>
      </c>
      <c r="AH22" t="s">
        <v>44</v>
      </c>
      <c r="AI22" t="s">
        <v>32</v>
      </c>
      <c r="AJ22" t="s">
        <v>45</v>
      </c>
    </row>
    <row r="23" spans="1:36">
      <c r="A23" t="s">
        <v>1</v>
      </c>
      <c r="B23" t="s">
        <v>73</v>
      </c>
      <c r="F23" t="str">
        <f t="shared" si="0"/>
        <v>00066</v>
      </c>
      <c r="AE23">
        <v>1101110085541</v>
      </c>
      <c r="AG23" t="s">
        <v>2</v>
      </c>
      <c r="AH23" t="s">
        <v>47</v>
      </c>
      <c r="AJ23" t="s">
        <v>48</v>
      </c>
    </row>
    <row r="24" spans="1:36">
      <c r="A24" t="s">
        <v>1730</v>
      </c>
      <c r="B24" t="s">
        <v>81</v>
      </c>
      <c r="F24" t="str">
        <f t="shared" si="0"/>
        <v>00068</v>
      </c>
      <c r="AE24">
        <v>1341110002878</v>
      </c>
      <c r="AG24" t="s">
        <v>2</v>
      </c>
      <c r="AH24" t="s">
        <v>49</v>
      </c>
      <c r="AJ24" t="s">
        <v>50</v>
      </c>
    </row>
    <row r="25" spans="1:36">
      <c r="A25" t="s">
        <v>1731</v>
      </c>
      <c r="B25" t="s">
        <v>85</v>
      </c>
      <c r="F25" t="str">
        <f t="shared" si="0"/>
        <v>00072</v>
      </c>
      <c r="AE25">
        <v>1101110020307</v>
      </c>
      <c r="AF25" t="s">
        <v>43</v>
      </c>
      <c r="AG25" t="s">
        <v>4</v>
      </c>
      <c r="AH25" t="s">
        <v>51</v>
      </c>
      <c r="AI25" t="s">
        <v>32</v>
      </c>
      <c r="AJ25" t="s">
        <v>52</v>
      </c>
    </row>
    <row r="26" spans="1:36">
      <c r="A26" t="s">
        <v>1732</v>
      </c>
      <c r="B26" t="s">
        <v>92</v>
      </c>
      <c r="F26" t="str">
        <f t="shared" si="0"/>
        <v>00082</v>
      </c>
      <c r="AE26">
        <v>1101110006456</v>
      </c>
      <c r="AF26" t="s">
        <v>53</v>
      </c>
      <c r="AG26" t="s">
        <v>2</v>
      </c>
      <c r="AH26" t="s">
        <v>54</v>
      </c>
      <c r="AI26" t="s">
        <v>55</v>
      </c>
      <c r="AJ26" t="s">
        <v>56</v>
      </c>
    </row>
    <row r="27" spans="1:36">
      <c r="A27" t="s">
        <v>1733</v>
      </c>
      <c r="B27" t="s">
        <v>53</v>
      </c>
      <c r="F27" t="str">
        <f t="shared" si="0"/>
        <v>00088</v>
      </c>
      <c r="AE27">
        <v>1601110001844</v>
      </c>
      <c r="AG27" t="s">
        <v>4</v>
      </c>
    </row>
    <row r="28" spans="1:36">
      <c r="A28" t="s">
        <v>1734</v>
      </c>
      <c r="B28" t="s">
        <v>99</v>
      </c>
      <c r="F28" t="str">
        <f t="shared" si="0"/>
        <v>00102</v>
      </c>
      <c r="AE28">
        <v>1101110014433</v>
      </c>
      <c r="AG28" t="s">
        <v>2</v>
      </c>
      <c r="AH28" t="s">
        <v>58</v>
      </c>
      <c r="AI28" t="s">
        <v>59</v>
      </c>
      <c r="AJ28" t="s">
        <v>50</v>
      </c>
    </row>
    <row r="29" spans="1:36">
      <c r="A29" t="s">
        <v>1735</v>
      </c>
      <c r="B29" t="s">
        <v>103</v>
      </c>
      <c r="F29" t="str">
        <f t="shared" si="0"/>
        <v>00104</v>
      </c>
      <c r="AE29">
        <v>2001110002819</v>
      </c>
      <c r="AG29" t="s">
        <v>4</v>
      </c>
      <c r="AH29" t="s">
        <v>60</v>
      </c>
      <c r="AJ29" t="s">
        <v>61</v>
      </c>
    </row>
    <row r="30" spans="1:36">
      <c r="A30" t="s">
        <v>1736</v>
      </c>
      <c r="B30" t="s">
        <v>2077</v>
      </c>
      <c r="F30" t="str">
        <f t="shared" si="0"/>
        <v>00106</v>
      </c>
      <c r="AE30">
        <v>1101110007082</v>
      </c>
      <c r="AG30" t="s">
        <v>4</v>
      </c>
      <c r="AH30" t="s">
        <v>62</v>
      </c>
      <c r="AI30" t="s">
        <v>63</v>
      </c>
      <c r="AJ30" t="s">
        <v>56</v>
      </c>
    </row>
    <row r="31" spans="1:36">
      <c r="A31" t="s">
        <v>1737</v>
      </c>
      <c r="B31" t="s">
        <v>104</v>
      </c>
      <c r="F31" t="str">
        <f t="shared" si="0"/>
        <v>00107</v>
      </c>
      <c r="AE31">
        <v>1911110000104</v>
      </c>
      <c r="AG31" t="s">
        <v>2</v>
      </c>
      <c r="AH31" t="s">
        <v>64</v>
      </c>
      <c r="AI31" t="s">
        <v>65</v>
      </c>
      <c r="AJ31" t="s">
        <v>66</v>
      </c>
    </row>
    <row r="32" spans="1:36">
      <c r="A32" t="s">
        <v>1738</v>
      </c>
      <c r="B32" t="s">
        <v>2078</v>
      </c>
      <c r="F32" t="str">
        <f t="shared" si="0"/>
        <v>00112</v>
      </c>
      <c r="AE32">
        <v>1341110000567</v>
      </c>
      <c r="AF32" t="s">
        <v>68</v>
      </c>
      <c r="AG32" t="s">
        <v>2</v>
      </c>
      <c r="AH32" t="s">
        <v>69</v>
      </c>
      <c r="AI32" t="s">
        <v>70</v>
      </c>
      <c r="AJ32" t="s">
        <v>71</v>
      </c>
    </row>
    <row r="33" spans="1:36">
      <c r="A33" t="s">
        <v>1739</v>
      </c>
      <c r="B33" t="s">
        <v>112</v>
      </c>
      <c r="F33" t="str">
        <f t="shared" si="0"/>
        <v>00120</v>
      </c>
      <c r="AE33">
        <v>1101110016728</v>
      </c>
      <c r="AF33" t="s">
        <v>72</v>
      </c>
      <c r="AG33" t="s">
        <v>2</v>
      </c>
      <c r="AH33" t="s">
        <v>54</v>
      </c>
      <c r="AI33" t="s">
        <v>55</v>
      </c>
      <c r="AJ33" t="s">
        <v>56</v>
      </c>
    </row>
    <row r="34" spans="1:36">
      <c r="A34" t="s">
        <v>1740</v>
      </c>
      <c r="B34" t="s">
        <v>116</v>
      </c>
      <c r="F34" t="str">
        <f t="shared" si="0"/>
        <v>00121</v>
      </c>
      <c r="AE34">
        <v>1101110017586</v>
      </c>
      <c r="AG34" t="s">
        <v>4</v>
      </c>
      <c r="AH34" t="s">
        <v>62</v>
      </c>
      <c r="AI34" t="s">
        <v>63</v>
      </c>
      <c r="AJ34" t="s">
        <v>56</v>
      </c>
    </row>
    <row r="35" spans="1:36">
      <c r="A35" t="s">
        <v>1741</v>
      </c>
      <c r="B35" t="s">
        <v>126</v>
      </c>
      <c r="F35" t="str">
        <f t="shared" si="0"/>
        <v>00125</v>
      </c>
      <c r="AE35">
        <v>1101110017990</v>
      </c>
      <c r="AG35" t="s">
        <v>2</v>
      </c>
      <c r="AH35" t="s">
        <v>15</v>
      </c>
      <c r="AI35" t="s">
        <v>16</v>
      </c>
      <c r="AJ35" t="s">
        <v>17</v>
      </c>
    </row>
    <row r="36" spans="1:36">
      <c r="A36" t="s">
        <v>1742</v>
      </c>
      <c r="B36" t="s">
        <v>136</v>
      </c>
      <c r="F36" t="str">
        <f t="shared" si="0"/>
        <v>00150</v>
      </c>
      <c r="AE36">
        <v>1344110001387</v>
      </c>
      <c r="AF36" t="s">
        <v>74</v>
      </c>
      <c r="AG36" t="s">
        <v>2</v>
      </c>
      <c r="AH36" t="s">
        <v>75</v>
      </c>
      <c r="AI36" t="s">
        <v>76</v>
      </c>
      <c r="AJ36" t="s">
        <v>77</v>
      </c>
    </row>
    <row r="37" spans="1:36">
      <c r="A37" t="s">
        <v>1743</v>
      </c>
      <c r="B37" t="s">
        <v>137</v>
      </c>
      <c r="F37" t="str">
        <f t="shared" si="0"/>
        <v>00151</v>
      </c>
      <c r="AE37">
        <v>1101110003824</v>
      </c>
      <c r="AF37" t="s">
        <v>78</v>
      </c>
      <c r="AG37" t="s">
        <v>2</v>
      </c>
      <c r="AH37" t="s">
        <v>79</v>
      </c>
      <c r="AJ37" t="s">
        <v>80</v>
      </c>
    </row>
    <row r="38" spans="1:36">
      <c r="A38" t="s">
        <v>1744</v>
      </c>
      <c r="B38" t="s">
        <v>141</v>
      </c>
      <c r="F38" t="str">
        <f t="shared" si="0"/>
        <v>00157</v>
      </c>
      <c r="AE38">
        <v>1801110044717</v>
      </c>
      <c r="AF38" t="s">
        <v>68</v>
      </c>
      <c r="AG38" t="s">
        <v>2</v>
      </c>
      <c r="AH38" t="s">
        <v>82</v>
      </c>
      <c r="AI38" t="s">
        <v>83</v>
      </c>
      <c r="AJ38" t="s">
        <v>84</v>
      </c>
    </row>
    <row r="39" spans="1:36">
      <c r="A39" t="s">
        <v>1745</v>
      </c>
      <c r="B39" t="s">
        <v>144</v>
      </c>
      <c r="F39" t="str">
        <f t="shared" si="0"/>
        <v>00162</v>
      </c>
      <c r="AE39">
        <v>1101110003262</v>
      </c>
      <c r="AG39" t="s">
        <v>2</v>
      </c>
      <c r="AH39" t="s">
        <v>15</v>
      </c>
      <c r="AI39" t="s">
        <v>16</v>
      </c>
      <c r="AJ39" t="s">
        <v>17</v>
      </c>
    </row>
    <row r="40" spans="1:36">
      <c r="A40" t="s">
        <v>1746</v>
      </c>
      <c r="B40" t="s">
        <v>2079</v>
      </c>
      <c r="F40" t="str">
        <f t="shared" si="0"/>
        <v>00163</v>
      </c>
      <c r="AE40">
        <v>1101110007909</v>
      </c>
      <c r="AF40" t="s">
        <v>40</v>
      </c>
      <c r="AG40" t="s">
        <v>2</v>
      </c>
      <c r="AH40" t="s">
        <v>86</v>
      </c>
      <c r="AI40" t="s">
        <v>32</v>
      </c>
      <c r="AJ40" t="s">
        <v>32</v>
      </c>
    </row>
    <row r="41" spans="1:36">
      <c r="A41" t="s">
        <v>1747</v>
      </c>
      <c r="B41" t="s">
        <v>148</v>
      </c>
      <c r="F41" t="str">
        <f t="shared" si="0"/>
        <v>00168</v>
      </c>
      <c r="AE41">
        <v>1101110018486</v>
      </c>
      <c r="AG41" t="s">
        <v>4</v>
      </c>
    </row>
    <row r="42" spans="1:36">
      <c r="A42" t="s">
        <v>1748</v>
      </c>
      <c r="B42" t="s">
        <v>152</v>
      </c>
      <c r="F42" t="str">
        <f t="shared" si="0"/>
        <v>00172</v>
      </c>
      <c r="AE42">
        <v>1101110385256</v>
      </c>
      <c r="AG42" t="s">
        <v>4</v>
      </c>
      <c r="AH42" t="s">
        <v>88</v>
      </c>
      <c r="AJ42" t="s">
        <v>89</v>
      </c>
    </row>
    <row r="43" spans="1:36">
      <c r="A43" t="s">
        <v>1749</v>
      </c>
      <c r="B43" t="s">
        <v>153</v>
      </c>
      <c r="F43" t="str">
        <f t="shared" si="0"/>
        <v>00174</v>
      </c>
      <c r="AE43">
        <v>1101110008262</v>
      </c>
      <c r="AF43" t="s">
        <v>43</v>
      </c>
      <c r="AG43" t="s">
        <v>4</v>
      </c>
      <c r="AH43" t="s">
        <v>90</v>
      </c>
      <c r="AI43" t="s">
        <v>32</v>
      </c>
      <c r="AJ43" t="s">
        <v>91</v>
      </c>
    </row>
    <row r="44" spans="1:36">
      <c r="A44" t="s">
        <v>1750</v>
      </c>
      <c r="B44" t="s">
        <v>154</v>
      </c>
      <c r="F44" t="str">
        <f t="shared" si="0"/>
        <v>00178</v>
      </c>
      <c r="AE44">
        <v>1101110014764</v>
      </c>
      <c r="AF44" t="s">
        <v>93</v>
      </c>
      <c r="AG44" t="s">
        <v>4</v>
      </c>
      <c r="AH44" t="s">
        <v>94</v>
      </c>
      <c r="AI44" t="s">
        <v>32</v>
      </c>
      <c r="AJ44" t="s">
        <v>32</v>
      </c>
    </row>
    <row r="45" spans="1:36">
      <c r="A45" t="s">
        <v>1751</v>
      </c>
      <c r="B45" t="s">
        <v>157</v>
      </c>
      <c r="F45" t="str">
        <f t="shared" si="0"/>
        <v>00179</v>
      </c>
      <c r="AE45">
        <v>1101110002975</v>
      </c>
      <c r="AG45" t="s">
        <v>4</v>
      </c>
      <c r="AH45" t="s">
        <v>82</v>
      </c>
      <c r="AI45" t="s">
        <v>83</v>
      </c>
      <c r="AJ45" t="s">
        <v>84</v>
      </c>
    </row>
    <row r="46" spans="1:36">
      <c r="A46" t="s">
        <v>1752</v>
      </c>
      <c r="B46" t="s">
        <v>2080</v>
      </c>
      <c r="F46" t="str">
        <f t="shared" si="0"/>
        <v>00188</v>
      </c>
      <c r="AE46">
        <v>1101110002959</v>
      </c>
      <c r="AF46" t="s">
        <v>53</v>
      </c>
      <c r="AG46" t="s">
        <v>2</v>
      </c>
      <c r="AH46" t="s">
        <v>95</v>
      </c>
      <c r="AI46" t="s">
        <v>59</v>
      </c>
      <c r="AJ46" t="s">
        <v>96</v>
      </c>
    </row>
    <row r="47" spans="1:36">
      <c r="A47" t="s">
        <v>1753</v>
      </c>
      <c r="B47" t="s">
        <v>171</v>
      </c>
      <c r="F47" t="str">
        <f t="shared" si="0"/>
        <v>00202</v>
      </c>
      <c r="AE47">
        <v>1101110027858</v>
      </c>
      <c r="AG47" t="s">
        <v>4</v>
      </c>
      <c r="AH47" t="s">
        <v>44</v>
      </c>
      <c r="AI47" t="s">
        <v>32</v>
      </c>
      <c r="AJ47" t="s">
        <v>45</v>
      </c>
    </row>
    <row r="48" spans="1:36">
      <c r="A48" t="s">
        <v>1754</v>
      </c>
      <c r="B48" t="s">
        <v>181</v>
      </c>
      <c r="F48" t="str">
        <f t="shared" si="0"/>
        <v>00232</v>
      </c>
      <c r="AE48">
        <v>1101110026206</v>
      </c>
      <c r="AF48" t="s">
        <v>97</v>
      </c>
      <c r="AG48" t="s">
        <v>2</v>
      </c>
      <c r="AH48" t="s">
        <v>98</v>
      </c>
    </row>
    <row r="49" spans="1:36">
      <c r="A49" t="s">
        <v>1755</v>
      </c>
      <c r="B49" t="s">
        <v>184</v>
      </c>
      <c r="F49" t="str">
        <f t="shared" si="0"/>
        <v>00235</v>
      </c>
      <c r="AE49">
        <v>2111110000042</v>
      </c>
      <c r="AG49" t="s">
        <v>2</v>
      </c>
      <c r="AH49" t="s">
        <v>100</v>
      </c>
      <c r="AI49" t="s">
        <v>101</v>
      </c>
      <c r="AJ49" t="s">
        <v>102</v>
      </c>
    </row>
    <row r="50" spans="1:36">
      <c r="A50" t="s">
        <v>1756</v>
      </c>
      <c r="B50" t="s">
        <v>187</v>
      </c>
      <c r="F50" t="str">
        <f t="shared" si="0"/>
        <v>00238</v>
      </c>
      <c r="AE50">
        <v>1101110015639</v>
      </c>
      <c r="AF50" t="s">
        <v>24</v>
      </c>
      <c r="AG50" t="s">
        <v>2</v>
      </c>
      <c r="AH50" t="s">
        <v>15</v>
      </c>
      <c r="AI50" t="s">
        <v>16</v>
      </c>
      <c r="AJ50" t="s">
        <v>17</v>
      </c>
    </row>
    <row r="51" spans="1:36">
      <c r="A51" t="s">
        <v>1757</v>
      </c>
      <c r="B51" t="s">
        <v>188</v>
      </c>
      <c r="F51" t="str">
        <f t="shared" si="0"/>
        <v>00239</v>
      </c>
      <c r="AE51">
        <v>1101110019342</v>
      </c>
      <c r="AG51" t="s">
        <v>2</v>
      </c>
      <c r="AH51" t="s">
        <v>8</v>
      </c>
      <c r="AJ51" t="s">
        <v>9</v>
      </c>
    </row>
    <row r="52" spans="1:36">
      <c r="A52" t="s">
        <v>1758</v>
      </c>
      <c r="B52" t="s">
        <v>189</v>
      </c>
      <c r="F52" t="str">
        <f t="shared" si="0"/>
        <v>00243</v>
      </c>
      <c r="AE52">
        <v>1101110019350</v>
      </c>
      <c r="AG52" t="s">
        <v>2</v>
      </c>
      <c r="AH52" t="s">
        <v>105</v>
      </c>
      <c r="AJ52" t="s">
        <v>106</v>
      </c>
    </row>
    <row r="53" spans="1:36">
      <c r="A53" t="s">
        <v>2081</v>
      </c>
      <c r="B53" t="s">
        <v>2082</v>
      </c>
      <c r="F53" t="str">
        <f t="shared" si="0"/>
        <v>00271</v>
      </c>
      <c r="AE53">
        <v>1101110004632</v>
      </c>
      <c r="AF53" t="s">
        <v>107</v>
      </c>
      <c r="AG53" t="s">
        <v>2</v>
      </c>
      <c r="AH53" t="s">
        <v>108</v>
      </c>
      <c r="AI53" t="s">
        <v>83</v>
      </c>
      <c r="AJ53" t="s">
        <v>109</v>
      </c>
    </row>
    <row r="54" spans="1:36">
      <c r="A54" t="s">
        <v>2083</v>
      </c>
      <c r="B54" t="s">
        <v>2084</v>
      </c>
      <c r="F54" t="str">
        <f t="shared" si="0"/>
        <v>00288</v>
      </c>
      <c r="AE54">
        <v>1901110000155</v>
      </c>
      <c r="AG54" t="s">
        <v>4</v>
      </c>
      <c r="AH54" t="s">
        <v>110</v>
      </c>
      <c r="AJ54" t="s">
        <v>111</v>
      </c>
    </row>
    <row r="55" spans="1:36">
      <c r="A55" t="s">
        <v>1759</v>
      </c>
      <c r="B55" t="s">
        <v>2085</v>
      </c>
      <c r="F55" t="str">
        <f t="shared" si="0"/>
        <v>00290</v>
      </c>
      <c r="AE55">
        <v>1101110007826</v>
      </c>
      <c r="AF55" t="s">
        <v>113</v>
      </c>
      <c r="AG55" t="s">
        <v>2</v>
      </c>
      <c r="AH55" t="s">
        <v>114</v>
      </c>
      <c r="AI55" t="s">
        <v>63</v>
      </c>
      <c r="AJ55" t="s">
        <v>115</v>
      </c>
    </row>
    <row r="56" spans="1:36">
      <c r="A56" t="s">
        <v>2086</v>
      </c>
      <c r="B56" t="s">
        <v>2087</v>
      </c>
      <c r="F56" t="str">
        <f t="shared" si="0"/>
        <v>00323</v>
      </c>
      <c r="AE56">
        <v>1101110028541</v>
      </c>
      <c r="AG56" t="s">
        <v>2</v>
      </c>
      <c r="AH56" t="s">
        <v>117</v>
      </c>
      <c r="AI56" t="s">
        <v>70</v>
      </c>
      <c r="AJ56" t="s">
        <v>118</v>
      </c>
    </row>
    <row r="57" spans="1:36">
      <c r="A57" t="s">
        <v>1760</v>
      </c>
      <c r="B57" t="s">
        <v>2088</v>
      </c>
      <c r="F57" t="str">
        <f t="shared" si="0"/>
        <v>00334</v>
      </c>
      <c r="AE57">
        <v>1101110028575</v>
      </c>
      <c r="AF57" t="s">
        <v>119</v>
      </c>
      <c r="AG57" t="s">
        <v>4</v>
      </c>
      <c r="AH57" t="s">
        <v>120</v>
      </c>
      <c r="AJ57" t="s">
        <v>121</v>
      </c>
    </row>
    <row r="58" spans="1:36">
      <c r="A58" t="s">
        <v>1761</v>
      </c>
      <c r="B58" t="s">
        <v>2089</v>
      </c>
      <c r="F58" t="str">
        <f t="shared" si="0"/>
        <v>00341</v>
      </c>
      <c r="AE58">
        <v>1101110031338</v>
      </c>
      <c r="AF58" t="s">
        <v>122</v>
      </c>
      <c r="AG58" t="s">
        <v>2</v>
      </c>
      <c r="AH58" t="s">
        <v>123</v>
      </c>
      <c r="AI58" t="s">
        <v>124</v>
      </c>
      <c r="AJ58" t="s">
        <v>125</v>
      </c>
    </row>
    <row r="59" spans="1:36">
      <c r="A59" t="s">
        <v>1762</v>
      </c>
      <c r="B59" t="s">
        <v>221</v>
      </c>
      <c r="F59" t="str">
        <f t="shared" si="0"/>
        <v>00345</v>
      </c>
      <c r="AE59">
        <v>1101110031479</v>
      </c>
      <c r="AF59" t="s">
        <v>127</v>
      </c>
      <c r="AG59" t="s">
        <v>2</v>
      </c>
      <c r="AH59" t="s">
        <v>82</v>
      </c>
      <c r="AI59" t="s">
        <v>83</v>
      </c>
      <c r="AJ59" t="s">
        <v>84</v>
      </c>
    </row>
    <row r="60" spans="1:36">
      <c r="A60" t="s">
        <v>1763</v>
      </c>
      <c r="B60" t="s">
        <v>222</v>
      </c>
      <c r="F60" t="str">
        <f t="shared" si="0"/>
        <v>00347</v>
      </c>
      <c r="AE60">
        <v>1101110017411</v>
      </c>
      <c r="AG60" t="s">
        <v>2</v>
      </c>
      <c r="AH60" t="s">
        <v>51</v>
      </c>
      <c r="AI60" t="s">
        <v>32</v>
      </c>
      <c r="AJ60" t="s">
        <v>52</v>
      </c>
    </row>
    <row r="61" spans="1:36">
      <c r="A61" t="s">
        <v>1764</v>
      </c>
      <c r="B61" t="s">
        <v>223</v>
      </c>
      <c r="F61" t="str">
        <f t="shared" si="0"/>
        <v>00349</v>
      </c>
      <c r="AE61">
        <v>1101110031510</v>
      </c>
      <c r="AG61" t="s">
        <v>2</v>
      </c>
      <c r="AH61" t="s">
        <v>114</v>
      </c>
      <c r="AI61" t="s">
        <v>63</v>
      </c>
      <c r="AJ61" t="s">
        <v>115</v>
      </c>
    </row>
    <row r="62" spans="1:36">
      <c r="A62" t="s">
        <v>1765</v>
      </c>
      <c r="B62" t="s">
        <v>228</v>
      </c>
      <c r="F62" t="str">
        <f t="shared" si="0"/>
        <v>00353</v>
      </c>
      <c r="AE62">
        <v>1101110031560</v>
      </c>
      <c r="AG62" t="s">
        <v>2</v>
      </c>
      <c r="AH62" t="s">
        <v>114</v>
      </c>
      <c r="AI62" t="s">
        <v>63</v>
      </c>
      <c r="AJ62" t="s">
        <v>115</v>
      </c>
    </row>
    <row r="63" spans="1:36">
      <c r="A63" t="s">
        <v>1766</v>
      </c>
      <c r="B63" t="s">
        <v>229</v>
      </c>
      <c r="F63" t="str">
        <f t="shared" si="0"/>
        <v>00354</v>
      </c>
      <c r="AE63">
        <v>1701110000076</v>
      </c>
      <c r="AG63" t="s">
        <v>4</v>
      </c>
      <c r="AH63" t="s">
        <v>128</v>
      </c>
      <c r="AI63" t="s">
        <v>59</v>
      </c>
      <c r="AJ63" t="s">
        <v>129</v>
      </c>
    </row>
    <row r="64" spans="1:36">
      <c r="A64" t="s">
        <v>1767</v>
      </c>
      <c r="B64" t="s">
        <v>2090</v>
      </c>
      <c r="F64" t="str">
        <f t="shared" si="0"/>
        <v>00367</v>
      </c>
      <c r="AE64">
        <v>1101110031908</v>
      </c>
      <c r="AG64" t="s">
        <v>4</v>
      </c>
      <c r="AH64" t="s">
        <v>44</v>
      </c>
      <c r="AI64" t="s">
        <v>32</v>
      </c>
      <c r="AJ64" t="s">
        <v>45</v>
      </c>
    </row>
    <row r="65" spans="1:36">
      <c r="A65" t="s">
        <v>2091</v>
      </c>
      <c r="B65" t="s">
        <v>2092</v>
      </c>
      <c r="F65" t="str">
        <f t="shared" si="0"/>
        <v>00385</v>
      </c>
      <c r="AE65">
        <v>1101110032568</v>
      </c>
      <c r="AG65" t="s">
        <v>2</v>
      </c>
      <c r="AH65" t="s">
        <v>34</v>
      </c>
      <c r="AI65" t="s">
        <v>35</v>
      </c>
      <c r="AJ65" t="s">
        <v>36</v>
      </c>
    </row>
    <row r="66" spans="1:36">
      <c r="A66" t="s">
        <v>1768</v>
      </c>
      <c r="B66" t="s">
        <v>250</v>
      </c>
      <c r="F66" t="str">
        <f t="shared" si="0"/>
        <v>00402</v>
      </c>
      <c r="AE66">
        <v>1101110003973</v>
      </c>
      <c r="AG66" t="s">
        <v>4</v>
      </c>
      <c r="AH66" t="s">
        <v>130</v>
      </c>
      <c r="AJ66" t="s">
        <v>131</v>
      </c>
    </row>
    <row r="67" spans="1:36">
      <c r="A67" t="s">
        <v>1769</v>
      </c>
      <c r="B67" t="s">
        <v>2093</v>
      </c>
      <c r="F67" t="str">
        <f t="shared" si="0"/>
        <v>00405</v>
      </c>
      <c r="AE67">
        <v>1101110035794</v>
      </c>
      <c r="AF67" t="s">
        <v>133</v>
      </c>
      <c r="AG67" t="s">
        <v>2</v>
      </c>
      <c r="AH67" t="s">
        <v>123</v>
      </c>
      <c r="AI67" t="s">
        <v>124</v>
      </c>
      <c r="AJ67" t="s">
        <v>125</v>
      </c>
    </row>
    <row r="68" spans="1:36">
      <c r="A68" t="s">
        <v>1770</v>
      </c>
      <c r="B68" t="s">
        <v>257</v>
      </c>
      <c r="F68" t="str">
        <f t="shared" si="0"/>
        <v>00410</v>
      </c>
      <c r="AE68">
        <v>1101110035835</v>
      </c>
      <c r="AG68" t="s">
        <v>2</v>
      </c>
      <c r="AH68" t="s">
        <v>69</v>
      </c>
      <c r="AI68" t="s">
        <v>70</v>
      </c>
      <c r="AJ68" t="s">
        <v>71</v>
      </c>
    </row>
    <row r="69" spans="1:36">
      <c r="A69" t="s">
        <v>1771</v>
      </c>
      <c r="B69" t="s">
        <v>258</v>
      </c>
      <c r="F69" t="str">
        <f t="shared" si="0"/>
        <v>00414</v>
      </c>
      <c r="AE69">
        <v>1101110041634</v>
      </c>
      <c r="AG69" t="s">
        <v>2</v>
      </c>
      <c r="AH69" t="s">
        <v>134</v>
      </c>
      <c r="AI69" t="s">
        <v>32</v>
      </c>
      <c r="AJ69" t="s">
        <v>135</v>
      </c>
    </row>
    <row r="70" spans="1:36">
      <c r="A70" t="s">
        <v>1772</v>
      </c>
      <c r="B70" t="s">
        <v>261</v>
      </c>
      <c r="F70" t="str">
        <f t="shared" si="0"/>
        <v>00417</v>
      </c>
      <c r="AE70">
        <v>1101110019962</v>
      </c>
      <c r="AF70" t="s">
        <v>40</v>
      </c>
      <c r="AG70" t="s">
        <v>2</v>
      </c>
      <c r="AH70" t="s">
        <v>114</v>
      </c>
      <c r="AI70" t="s">
        <v>63</v>
      </c>
      <c r="AJ70" t="s">
        <v>115</v>
      </c>
    </row>
    <row r="71" spans="1:36">
      <c r="A71" t="s">
        <v>2094</v>
      </c>
      <c r="B71" t="s">
        <v>1279</v>
      </c>
      <c r="F71" t="str">
        <f t="shared" si="0"/>
        <v>00453</v>
      </c>
      <c r="AE71">
        <v>1101110037112</v>
      </c>
      <c r="AG71" t="s">
        <v>2</v>
      </c>
      <c r="AH71" t="s">
        <v>114</v>
      </c>
      <c r="AI71" t="s">
        <v>63</v>
      </c>
      <c r="AJ71" t="s">
        <v>115</v>
      </c>
    </row>
    <row r="72" spans="1:36">
      <c r="A72" t="s">
        <v>1773</v>
      </c>
      <c r="B72" t="s">
        <v>2095</v>
      </c>
      <c r="F72" t="str">
        <f t="shared" si="0"/>
        <v>00454</v>
      </c>
      <c r="AE72">
        <v>1101110005333</v>
      </c>
      <c r="AF72" t="s">
        <v>113</v>
      </c>
      <c r="AG72" t="s">
        <v>2</v>
      </c>
      <c r="AH72" t="s">
        <v>138</v>
      </c>
      <c r="AI72" t="s">
        <v>139</v>
      </c>
      <c r="AJ72" t="s">
        <v>140</v>
      </c>
    </row>
    <row r="73" spans="1:36">
      <c r="A73" t="s">
        <v>1774</v>
      </c>
      <c r="B73" t="s">
        <v>273</v>
      </c>
      <c r="F73" t="str">
        <f t="shared" si="0"/>
        <v>00456</v>
      </c>
      <c r="AE73">
        <v>1801110003101</v>
      </c>
      <c r="AG73" t="s">
        <v>2</v>
      </c>
      <c r="AH73" t="s">
        <v>142</v>
      </c>
      <c r="AJ73" t="s">
        <v>143</v>
      </c>
    </row>
    <row r="74" spans="1:36">
      <c r="A74" t="s">
        <v>1775</v>
      </c>
      <c r="B74" t="s">
        <v>276</v>
      </c>
      <c r="F74" t="str">
        <f t="shared" ref="F74:F137" si="1">CHOOSE($C$1, A74, B74)</f>
        <v>00469</v>
      </c>
      <c r="AE74">
        <v>1101110028939</v>
      </c>
      <c r="AG74" t="s">
        <v>2</v>
      </c>
      <c r="AH74" t="s">
        <v>145</v>
      </c>
      <c r="AI74" t="s">
        <v>146</v>
      </c>
      <c r="AJ74" t="s">
        <v>147</v>
      </c>
    </row>
    <row r="75" spans="1:36">
      <c r="A75" t="s">
        <v>1776</v>
      </c>
      <c r="B75" t="s">
        <v>282</v>
      </c>
      <c r="F75" t="str">
        <f t="shared" si="1"/>
        <v>00471</v>
      </c>
      <c r="AE75">
        <v>1101110028955</v>
      </c>
      <c r="AG75" t="s">
        <v>2</v>
      </c>
      <c r="AH75" t="s">
        <v>8</v>
      </c>
      <c r="AJ75" t="s">
        <v>9</v>
      </c>
    </row>
    <row r="76" spans="1:36">
      <c r="A76" t="s">
        <v>2096</v>
      </c>
      <c r="B76" t="s">
        <v>2097</v>
      </c>
      <c r="F76" t="str">
        <f t="shared" si="1"/>
        <v>00487</v>
      </c>
      <c r="AE76">
        <v>1101110029060</v>
      </c>
      <c r="AG76" t="s">
        <v>4</v>
      </c>
      <c r="AH76" t="s">
        <v>51</v>
      </c>
      <c r="AI76" t="s">
        <v>32</v>
      </c>
      <c r="AJ76" t="s">
        <v>52</v>
      </c>
    </row>
    <row r="77" spans="1:36">
      <c r="A77" t="s">
        <v>1777</v>
      </c>
      <c r="B77" t="s">
        <v>202</v>
      </c>
      <c r="F77" t="str">
        <f t="shared" si="1"/>
        <v>00494</v>
      </c>
      <c r="AE77">
        <v>1101110327125</v>
      </c>
      <c r="AG77" t="s">
        <v>2</v>
      </c>
      <c r="AH77" t="s">
        <v>149</v>
      </c>
      <c r="AI77" t="s">
        <v>150</v>
      </c>
      <c r="AJ77" t="s">
        <v>151</v>
      </c>
    </row>
    <row r="78" spans="1:36">
      <c r="A78" t="s">
        <v>1778</v>
      </c>
      <c r="B78" t="s">
        <v>299</v>
      </c>
      <c r="F78" t="str">
        <f t="shared" si="1"/>
        <v>00496</v>
      </c>
      <c r="AE78">
        <v>1101110006612</v>
      </c>
      <c r="AG78" t="s">
        <v>2</v>
      </c>
      <c r="AH78" t="s">
        <v>114</v>
      </c>
      <c r="AI78" t="s">
        <v>63</v>
      </c>
      <c r="AJ78" t="s">
        <v>115</v>
      </c>
    </row>
    <row r="79" spans="1:36">
      <c r="A79" t="s">
        <v>1779</v>
      </c>
      <c r="B79" t="s">
        <v>304</v>
      </c>
      <c r="F79" t="str">
        <f t="shared" si="1"/>
        <v>00499</v>
      </c>
      <c r="AE79">
        <v>1301110005199</v>
      </c>
      <c r="AF79" t="s">
        <v>74</v>
      </c>
      <c r="AG79" t="s">
        <v>2</v>
      </c>
      <c r="AH79" t="s">
        <v>82</v>
      </c>
      <c r="AI79" t="s">
        <v>83</v>
      </c>
      <c r="AJ79" t="s">
        <v>84</v>
      </c>
    </row>
    <row r="80" spans="1:36">
      <c r="A80" t="s">
        <v>1780</v>
      </c>
      <c r="B80" t="s">
        <v>307</v>
      </c>
      <c r="F80" t="str">
        <f t="shared" si="1"/>
        <v>00508</v>
      </c>
      <c r="AE80">
        <v>1101110026834</v>
      </c>
      <c r="AG80" t="s">
        <v>2</v>
      </c>
      <c r="AH80" t="s">
        <v>114</v>
      </c>
      <c r="AI80" t="s">
        <v>63</v>
      </c>
      <c r="AJ80" t="s">
        <v>115</v>
      </c>
    </row>
    <row r="81" spans="1:36">
      <c r="A81" t="s">
        <v>2098</v>
      </c>
      <c r="B81" t="s">
        <v>2099</v>
      </c>
      <c r="F81" t="str">
        <f t="shared" si="1"/>
        <v>00509</v>
      </c>
      <c r="AE81">
        <v>1601110002313</v>
      </c>
      <c r="AG81" t="s">
        <v>2</v>
      </c>
      <c r="AH81" t="s">
        <v>155</v>
      </c>
      <c r="AI81" t="s">
        <v>124</v>
      </c>
      <c r="AJ81" t="s">
        <v>156</v>
      </c>
    </row>
    <row r="82" spans="1:36">
      <c r="A82" t="s">
        <v>2100</v>
      </c>
      <c r="B82" t="s">
        <v>2101</v>
      </c>
      <c r="F82" t="str">
        <f t="shared" si="1"/>
        <v>00511</v>
      </c>
      <c r="AE82">
        <v>1201110018368</v>
      </c>
      <c r="AG82" t="s">
        <v>2</v>
      </c>
      <c r="AH82" t="s">
        <v>158</v>
      </c>
      <c r="AI82" t="s">
        <v>150</v>
      </c>
      <c r="AJ82" t="s">
        <v>159</v>
      </c>
    </row>
    <row r="83" spans="1:36">
      <c r="A83" t="s">
        <v>1781</v>
      </c>
      <c r="B83" t="s">
        <v>312</v>
      </c>
      <c r="F83" t="str">
        <f t="shared" si="1"/>
        <v>00525</v>
      </c>
      <c r="AE83">
        <v>1101110004690</v>
      </c>
      <c r="AG83" t="s">
        <v>2</v>
      </c>
      <c r="AH83" t="s">
        <v>15</v>
      </c>
      <c r="AI83" t="s">
        <v>16</v>
      </c>
      <c r="AJ83" t="s">
        <v>17</v>
      </c>
    </row>
    <row r="84" spans="1:36">
      <c r="A84" t="s">
        <v>1782</v>
      </c>
      <c r="B84" t="s">
        <v>313</v>
      </c>
      <c r="F84" t="str">
        <f t="shared" si="1"/>
        <v>00527</v>
      </c>
      <c r="AE84">
        <v>1701110001082</v>
      </c>
      <c r="AG84" t="s">
        <v>2</v>
      </c>
      <c r="AH84" t="s">
        <v>160</v>
      </c>
      <c r="AI84" t="s">
        <v>101</v>
      </c>
      <c r="AJ84" t="s">
        <v>161</v>
      </c>
    </row>
    <row r="85" spans="1:36">
      <c r="A85" t="s">
        <v>1783</v>
      </c>
      <c r="B85" t="s">
        <v>314</v>
      </c>
      <c r="F85" t="str">
        <f t="shared" si="1"/>
        <v>00528</v>
      </c>
      <c r="AE85">
        <v>1101110033821</v>
      </c>
      <c r="AG85" t="s">
        <v>4</v>
      </c>
      <c r="AH85" t="s">
        <v>162</v>
      </c>
      <c r="AJ85" t="s">
        <v>163</v>
      </c>
    </row>
    <row r="86" spans="1:36">
      <c r="A86" t="s">
        <v>1784</v>
      </c>
      <c r="B86" t="s">
        <v>315</v>
      </c>
      <c r="F86" t="str">
        <f t="shared" si="1"/>
        <v>00530</v>
      </c>
      <c r="AE86">
        <v>1101110033863</v>
      </c>
      <c r="AG86" t="s">
        <v>4</v>
      </c>
      <c r="AH86" t="s">
        <v>51</v>
      </c>
      <c r="AI86" t="s">
        <v>32</v>
      </c>
      <c r="AJ86" t="s">
        <v>52</v>
      </c>
    </row>
    <row r="87" spans="1:36">
      <c r="A87" t="s">
        <v>1785</v>
      </c>
      <c r="B87" t="s">
        <v>318</v>
      </c>
      <c r="F87" t="str">
        <f t="shared" si="1"/>
        <v>00532</v>
      </c>
      <c r="AE87">
        <v>1101110007404</v>
      </c>
      <c r="AG87" t="s">
        <v>4</v>
      </c>
      <c r="AH87" t="s">
        <v>164</v>
      </c>
      <c r="AJ87" t="s">
        <v>165</v>
      </c>
    </row>
    <row r="88" spans="1:36">
      <c r="A88" t="s">
        <v>1786</v>
      </c>
      <c r="B88" t="s">
        <v>40</v>
      </c>
      <c r="F88" t="str">
        <f t="shared" si="1"/>
        <v>00538</v>
      </c>
      <c r="AE88">
        <v>1101110163115</v>
      </c>
      <c r="AF88" t="s">
        <v>30</v>
      </c>
      <c r="AG88" t="s">
        <v>2</v>
      </c>
      <c r="AH88" t="s">
        <v>166</v>
      </c>
      <c r="AI88" t="s">
        <v>32</v>
      </c>
      <c r="AJ88" t="s">
        <v>167</v>
      </c>
    </row>
    <row r="89" spans="1:36">
      <c r="A89" t="s">
        <v>1787</v>
      </c>
      <c r="B89" t="s">
        <v>325</v>
      </c>
      <c r="F89" t="str">
        <f t="shared" si="1"/>
        <v>00539</v>
      </c>
      <c r="AE89">
        <v>1101110005812</v>
      </c>
      <c r="AF89" t="s">
        <v>168</v>
      </c>
      <c r="AG89" t="s">
        <v>4</v>
      </c>
      <c r="AH89" t="s">
        <v>169</v>
      </c>
      <c r="AI89" t="s">
        <v>59</v>
      </c>
      <c r="AJ89" t="s">
        <v>170</v>
      </c>
    </row>
    <row r="90" spans="1:36">
      <c r="A90" t="s">
        <v>1788</v>
      </c>
      <c r="B90" t="s">
        <v>326</v>
      </c>
      <c r="F90" t="str">
        <f t="shared" si="1"/>
        <v>00542</v>
      </c>
      <c r="AE90">
        <v>1101110030463</v>
      </c>
      <c r="AG90" t="s">
        <v>4</v>
      </c>
      <c r="AH90" t="s">
        <v>86</v>
      </c>
      <c r="AI90" t="s">
        <v>32</v>
      </c>
      <c r="AJ90" t="s">
        <v>32</v>
      </c>
    </row>
    <row r="91" spans="1:36">
      <c r="A91" t="s">
        <v>1789</v>
      </c>
      <c r="B91" t="s">
        <v>343</v>
      </c>
      <c r="F91" t="str">
        <f t="shared" si="1"/>
        <v>00594</v>
      </c>
      <c r="AE91">
        <v>1101110006670</v>
      </c>
      <c r="AG91" t="s">
        <v>4</v>
      </c>
      <c r="AH91" t="s">
        <v>86</v>
      </c>
      <c r="AI91" t="s">
        <v>32</v>
      </c>
      <c r="AJ91" t="s">
        <v>32</v>
      </c>
    </row>
    <row r="92" spans="1:36">
      <c r="A92" t="s">
        <v>1790</v>
      </c>
      <c r="B92" t="s">
        <v>346</v>
      </c>
      <c r="F92" t="str">
        <f t="shared" si="1"/>
        <v>00596</v>
      </c>
      <c r="AE92">
        <v>1101110030528</v>
      </c>
      <c r="AF92" t="s">
        <v>171</v>
      </c>
      <c r="AG92" t="s">
        <v>2</v>
      </c>
      <c r="AH92" t="s">
        <v>172</v>
      </c>
      <c r="AJ92" t="s">
        <v>173</v>
      </c>
    </row>
    <row r="93" spans="1:36">
      <c r="A93" t="s">
        <v>1791</v>
      </c>
      <c r="B93" t="s">
        <v>347</v>
      </c>
      <c r="F93" t="str">
        <f t="shared" si="1"/>
        <v>00604</v>
      </c>
      <c r="AE93">
        <v>1101110030710</v>
      </c>
      <c r="AG93" t="s">
        <v>2</v>
      </c>
      <c r="AH93" t="s">
        <v>174</v>
      </c>
      <c r="AI93" t="s">
        <v>16</v>
      </c>
      <c r="AJ93" t="s">
        <v>175</v>
      </c>
    </row>
    <row r="94" spans="1:36">
      <c r="A94" t="s">
        <v>1792</v>
      </c>
      <c r="B94" t="s">
        <v>350</v>
      </c>
      <c r="F94" t="str">
        <f t="shared" si="1"/>
        <v>00612</v>
      </c>
      <c r="AE94">
        <v>1101110037740</v>
      </c>
      <c r="AG94" t="s">
        <v>2</v>
      </c>
      <c r="AH94" t="s">
        <v>176</v>
      </c>
      <c r="AI94" t="s">
        <v>177</v>
      </c>
      <c r="AJ94" t="s">
        <v>178</v>
      </c>
    </row>
    <row r="95" spans="1:36">
      <c r="A95" t="s">
        <v>1793</v>
      </c>
      <c r="B95" t="s">
        <v>351</v>
      </c>
      <c r="F95" t="str">
        <f t="shared" si="1"/>
        <v>00622</v>
      </c>
      <c r="AE95">
        <v>1101110008200</v>
      </c>
      <c r="AG95" t="s">
        <v>2</v>
      </c>
      <c r="AH95" t="s">
        <v>8</v>
      </c>
      <c r="AJ95" t="s">
        <v>9</v>
      </c>
    </row>
    <row r="96" spans="1:36">
      <c r="A96" t="s">
        <v>1794</v>
      </c>
      <c r="B96" t="s">
        <v>352</v>
      </c>
      <c r="F96" t="str">
        <f t="shared" si="1"/>
        <v>00626</v>
      </c>
      <c r="AE96">
        <v>1101110033722</v>
      </c>
      <c r="AF96" t="s">
        <v>93</v>
      </c>
      <c r="AG96" t="s">
        <v>2</v>
      </c>
      <c r="AH96" t="s">
        <v>179</v>
      </c>
      <c r="AI96" t="s">
        <v>150</v>
      </c>
      <c r="AJ96" t="s">
        <v>180</v>
      </c>
    </row>
    <row r="97" spans="1:36">
      <c r="A97" t="s">
        <v>1795</v>
      </c>
      <c r="B97" t="s">
        <v>353</v>
      </c>
      <c r="F97" t="str">
        <f t="shared" si="1"/>
        <v>00628</v>
      </c>
      <c r="AE97">
        <v>1101110003668</v>
      </c>
      <c r="AF97" t="s">
        <v>181</v>
      </c>
      <c r="AG97" t="s">
        <v>2</v>
      </c>
      <c r="AH97" t="s">
        <v>182</v>
      </c>
      <c r="AI97" t="s">
        <v>26</v>
      </c>
      <c r="AJ97" t="s">
        <v>183</v>
      </c>
    </row>
    <row r="98" spans="1:36">
      <c r="A98" t="s">
        <v>1796</v>
      </c>
      <c r="B98" t="s">
        <v>357</v>
      </c>
      <c r="F98" t="str">
        <f t="shared" si="1"/>
        <v>00635</v>
      </c>
      <c r="AE98">
        <v>1101110014219</v>
      </c>
      <c r="AG98" t="s">
        <v>2</v>
      </c>
      <c r="AH98" t="s">
        <v>185</v>
      </c>
      <c r="AI98" t="s">
        <v>186</v>
      </c>
      <c r="AJ98" t="s">
        <v>39</v>
      </c>
    </row>
    <row r="99" spans="1:36">
      <c r="A99" t="s">
        <v>1797</v>
      </c>
      <c r="B99" t="s">
        <v>358</v>
      </c>
      <c r="F99" t="str">
        <f t="shared" si="1"/>
        <v>00636</v>
      </c>
      <c r="AE99">
        <v>1101110221814</v>
      </c>
      <c r="AF99" t="s">
        <v>187</v>
      </c>
      <c r="AG99" t="s">
        <v>2</v>
      </c>
      <c r="AH99" t="s">
        <v>58</v>
      </c>
      <c r="AI99" t="s">
        <v>59</v>
      </c>
      <c r="AJ99" t="s">
        <v>50</v>
      </c>
    </row>
    <row r="100" spans="1:36">
      <c r="A100" t="s">
        <v>1798</v>
      </c>
      <c r="B100" t="s">
        <v>2102</v>
      </c>
      <c r="F100" t="str">
        <f t="shared" si="1"/>
        <v>00639</v>
      </c>
      <c r="AE100">
        <v>1101110037005</v>
      </c>
      <c r="AG100" t="s">
        <v>2</v>
      </c>
      <c r="AH100" t="s">
        <v>34</v>
      </c>
      <c r="AI100" t="s">
        <v>35</v>
      </c>
      <c r="AJ100" t="s">
        <v>36</v>
      </c>
    </row>
    <row r="101" spans="1:36">
      <c r="A101" t="s">
        <v>1799</v>
      </c>
      <c r="B101" t="s">
        <v>361</v>
      </c>
      <c r="F101" t="str">
        <f t="shared" si="1"/>
        <v>00640</v>
      </c>
      <c r="AE101">
        <v>1101110015861</v>
      </c>
      <c r="AG101" t="s">
        <v>2</v>
      </c>
      <c r="AH101" t="s">
        <v>51</v>
      </c>
      <c r="AI101" t="s">
        <v>32</v>
      </c>
      <c r="AJ101" t="s">
        <v>52</v>
      </c>
    </row>
    <row r="102" spans="1:36">
      <c r="A102" t="s">
        <v>1800</v>
      </c>
      <c r="B102" t="s">
        <v>928</v>
      </c>
      <c r="F102" t="str">
        <f t="shared" si="1"/>
        <v>00680</v>
      </c>
      <c r="AE102">
        <v>2001110000318</v>
      </c>
      <c r="AG102" t="s">
        <v>4</v>
      </c>
      <c r="AH102" t="s">
        <v>51</v>
      </c>
      <c r="AI102" t="s">
        <v>32</v>
      </c>
      <c r="AJ102" t="s">
        <v>52</v>
      </c>
    </row>
    <row r="103" spans="1:36">
      <c r="A103" t="s">
        <v>1801</v>
      </c>
      <c r="B103" t="s">
        <v>375</v>
      </c>
      <c r="F103" t="str">
        <f t="shared" si="1"/>
        <v>00707</v>
      </c>
      <c r="AE103">
        <v>1701110001131</v>
      </c>
      <c r="AG103" t="s">
        <v>2</v>
      </c>
      <c r="AH103" t="s">
        <v>90</v>
      </c>
      <c r="AI103" t="s">
        <v>32</v>
      </c>
      <c r="AJ103" t="s">
        <v>91</v>
      </c>
    </row>
    <row r="104" spans="1:36">
      <c r="A104" t="s">
        <v>1802</v>
      </c>
      <c r="B104" t="s">
        <v>378</v>
      </c>
      <c r="F104" t="str">
        <f t="shared" si="1"/>
        <v>00716</v>
      </c>
      <c r="AE104">
        <v>1101110018203</v>
      </c>
      <c r="AG104" t="s">
        <v>4</v>
      </c>
      <c r="AH104" t="s">
        <v>190</v>
      </c>
      <c r="AI104" t="s">
        <v>32</v>
      </c>
      <c r="AJ104" t="s">
        <v>91</v>
      </c>
    </row>
    <row r="105" spans="1:36">
      <c r="A105" t="s">
        <v>2103</v>
      </c>
      <c r="B105" t="s">
        <v>2104</v>
      </c>
      <c r="F105" t="str">
        <f t="shared" si="1"/>
        <v>00734</v>
      </c>
      <c r="AE105">
        <v>1101110016827</v>
      </c>
      <c r="AG105" t="s">
        <v>4</v>
      </c>
      <c r="AH105" t="s">
        <v>86</v>
      </c>
      <c r="AI105" t="s">
        <v>32</v>
      </c>
      <c r="AJ105" t="s">
        <v>32</v>
      </c>
    </row>
    <row r="106" spans="1:36">
      <c r="A106" t="s">
        <v>2105</v>
      </c>
      <c r="B106" t="s">
        <v>2106</v>
      </c>
      <c r="F106" t="str">
        <f t="shared" si="1"/>
        <v>00753</v>
      </c>
      <c r="AE106">
        <v>1101110017859</v>
      </c>
      <c r="AG106" t="s">
        <v>4</v>
      </c>
      <c r="AH106" t="s">
        <v>54</v>
      </c>
      <c r="AI106" t="s">
        <v>55</v>
      </c>
      <c r="AJ106" t="s">
        <v>56</v>
      </c>
    </row>
    <row r="107" spans="1:36">
      <c r="A107" t="s">
        <v>1803</v>
      </c>
      <c r="B107" t="s">
        <v>389</v>
      </c>
      <c r="F107" t="str">
        <f t="shared" si="1"/>
        <v>00769</v>
      </c>
      <c r="AE107">
        <v>1101110019285</v>
      </c>
      <c r="AG107" t="s">
        <v>4</v>
      </c>
      <c r="AH107" t="s">
        <v>191</v>
      </c>
      <c r="AI107" t="s">
        <v>192</v>
      </c>
      <c r="AJ107" t="s">
        <v>193</v>
      </c>
    </row>
    <row r="108" spans="1:36">
      <c r="A108" t="s">
        <v>1804</v>
      </c>
      <c r="B108" t="s">
        <v>392</v>
      </c>
      <c r="F108" t="str">
        <f t="shared" si="1"/>
        <v>00796</v>
      </c>
      <c r="AE108">
        <v>1101110030116</v>
      </c>
      <c r="AG108" t="s">
        <v>2</v>
      </c>
      <c r="AH108" t="s">
        <v>34</v>
      </c>
      <c r="AI108" t="s">
        <v>35</v>
      </c>
      <c r="AJ108" t="s">
        <v>36</v>
      </c>
    </row>
    <row r="109" spans="1:36">
      <c r="A109" t="s">
        <v>1805</v>
      </c>
      <c r="B109" t="s">
        <v>395</v>
      </c>
      <c r="F109" t="str">
        <f t="shared" si="1"/>
        <v>00798</v>
      </c>
      <c r="AE109">
        <v>1201110000711</v>
      </c>
      <c r="AG109" t="s">
        <v>4</v>
      </c>
      <c r="AH109" t="s">
        <v>194</v>
      </c>
      <c r="AJ109" t="s">
        <v>195</v>
      </c>
    </row>
    <row r="110" spans="1:36">
      <c r="A110" t="s">
        <v>1806</v>
      </c>
      <c r="B110" t="s">
        <v>402</v>
      </c>
      <c r="F110" t="str">
        <f t="shared" si="1"/>
        <v>00827</v>
      </c>
      <c r="AE110">
        <v>1348110001256</v>
      </c>
      <c r="AG110" t="s">
        <v>2</v>
      </c>
      <c r="AH110" t="s">
        <v>196</v>
      </c>
      <c r="AI110" t="s">
        <v>83</v>
      </c>
      <c r="AJ110" t="s">
        <v>197</v>
      </c>
    </row>
    <row r="111" spans="1:36">
      <c r="A111" t="s">
        <v>1807</v>
      </c>
      <c r="B111" t="s">
        <v>405</v>
      </c>
      <c r="F111" t="str">
        <f t="shared" si="1"/>
        <v>00834</v>
      </c>
      <c r="AE111">
        <v>1341110002689</v>
      </c>
      <c r="AG111" t="s">
        <v>4</v>
      </c>
      <c r="AH111" t="s">
        <v>51</v>
      </c>
      <c r="AI111" t="s">
        <v>32</v>
      </c>
      <c r="AJ111" t="s">
        <v>52</v>
      </c>
    </row>
    <row r="112" spans="1:36">
      <c r="A112" t="s">
        <v>1808</v>
      </c>
      <c r="B112" t="s">
        <v>410</v>
      </c>
      <c r="F112" t="str">
        <f t="shared" si="1"/>
        <v>00849</v>
      </c>
      <c r="AE112">
        <v>1101110006349</v>
      </c>
      <c r="AF112" t="s">
        <v>198</v>
      </c>
      <c r="AG112" t="s">
        <v>2</v>
      </c>
      <c r="AH112" t="s">
        <v>190</v>
      </c>
      <c r="AI112" t="s">
        <v>32</v>
      </c>
      <c r="AJ112" t="s">
        <v>91</v>
      </c>
    </row>
    <row r="113" spans="1:36">
      <c r="A113" t="s">
        <v>1809</v>
      </c>
      <c r="B113" t="s">
        <v>2107</v>
      </c>
      <c r="F113" t="str">
        <f t="shared" si="1"/>
        <v>00856</v>
      </c>
      <c r="AE113">
        <v>1101110026644</v>
      </c>
      <c r="AF113" t="s">
        <v>199</v>
      </c>
      <c r="AG113" t="s">
        <v>2</v>
      </c>
      <c r="AH113" t="s">
        <v>200</v>
      </c>
      <c r="AJ113" t="s">
        <v>201</v>
      </c>
    </row>
    <row r="114" spans="1:36">
      <c r="A114" t="s">
        <v>1810</v>
      </c>
      <c r="B114" t="s">
        <v>411</v>
      </c>
      <c r="F114" t="str">
        <f t="shared" si="1"/>
        <v>00860</v>
      </c>
      <c r="AE114">
        <v>2001110002207</v>
      </c>
      <c r="AG114" t="s">
        <v>4</v>
      </c>
      <c r="AH114" t="s">
        <v>51</v>
      </c>
      <c r="AI114" t="s">
        <v>32</v>
      </c>
      <c r="AJ114" t="s">
        <v>52</v>
      </c>
    </row>
    <row r="115" spans="1:36">
      <c r="A115" t="s">
        <v>1811</v>
      </c>
      <c r="B115" t="s">
        <v>2108</v>
      </c>
      <c r="F115" t="str">
        <f t="shared" si="1"/>
        <v>00867</v>
      </c>
      <c r="AE115">
        <v>1301110007707</v>
      </c>
      <c r="AG115" t="s">
        <v>2</v>
      </c>
      <c r="AH115" t="s">
        <v>142</v>
      </c>
      <c r="AJ115" t="s">
        <v>143</v>
      </c>
    </row>
    <row r="116" spans="1:36">
      <c r="A116" t="s">
        <v>1812</v>
      </c>
      <c r="B116" t="s">
        <v>415</v>
      </c>
      <c r="F116" t="str">
        <f t="shared" si="1"/>
        <v>00869</v>
      </c>
      <c r="AE116">
        <v>1101110672538</v>
      </c>
      <c r="AG116" t="s">
        <v>4</v>
      </c>
      <c r="AH116" t="s">
        <v>5</v>
      </c>
      <c r="AI116" t="s">
        <v>6</v>
      </c>
      <c r="AJ116" t="s">
        <v>7</v>
      </c>
    </row>
    <row r="117" spans="1:36">
      <c r="A117" t="s">
        <v>1813</v>
      </c>
      <c r="B117" t="s">
        <v>416</v>
      </c>
      <c r="F117" t="str">
        <f t="shared" si="1"/>
        <v>00873</v>
      </c>
      <c r="AE117">
        <v>1101110032899</v>
      </c>
      <c r="AG117" t="s">
        <v>2</v>
      </c>
      <c r="AH117" t="s">
        <v>203</v>
      </c>
      <c r="AJ117" t="s">
        <v>204</v>
      </c>
    </row>
    <row r="118" spans="1:36">
      <c r="A118" t="s">
        <v>1814</v>
      </c>
      <c r="B118" t="s">
        <v>419</v>
      </c>
      <c r="F118" t="str">
        <f t="shared" si="1"/>
        <v>00877</v>
      </c>
      <c r="AE118">
        <v>1101110004864</v>
      </c>
      <c r="AG118" t="s">
        <v>4</v>
      </c>
      <c r="AH118" t="s">
        <v>205</v>
      </c>
      <c r="AJ118" t="s">
        <v>206</v>
      </c>
    </row>
    <row r="119" spans="1:36">
      <c r="A119" t="s">
        <v>2109</v>
      </c>
      <c r="B119" t="s">
        <v>2110</v>
      </c>
      <c r="F119" t="str">
        <f t="shared" si="1"/>
        <v>00883</v>
      </c>
      <c r="AE119">
        <v>1101110134877</v>
      </c>
      <c r="AF119" t="s">
        <v>207</v>
      </c>
      <c r="AG119" t="s">
        <v>2</v>
      </c>
      <c r="AH119" t="s">
        <v>44</v>
      </c>
      <c r="AI119" t="s">
        <v>32</v>
      </c>
      <c r="AJ119" t="s">
        <v>45</v>
      </c>
    </row>
    <row r="120" spans="1:36">
      <c r="A120" t="s">
        <v>1815</v>
      </c>
      <c r="B120" t="s">
        <v>427</v>
      </c>
      <c r="F120" t="str">
        <f t="shared" si="1"/>
        <v>00920</v>
      </c>
      <c r="AE120">
        <v>1101110118996</v>
      </c>
      <c r="AF120" t="s">
        <v>133</v>
      </c>
      <c r="AG120" t="s">
        <v>2</v>
      </c>
      <c r="AH120" t="s">
        <v>15</v>
      </c>
      <c r="AI120" t="s">
        <v>16</v>
      </c>
      <c r="AJ120" t="s">
        <v>17</v>
      </c>
    </row>
    <row r="121" spans="1:36">
      <c r="A121" t="s">
        <v>1816</v>
      </c>
      <c r="B121" t="s">
        <v>432</v>
      </c>
      <c r="F121" t="str">
        <f t="shared" si="1"/>
        <v>00927</v>
      </c>
      <c r="AE121">
        <v>1101110036396</v>
      </c>
      <c r="AG121" t="s">
        <v>2</v>
      </c>
      <c r="AH121" t="s">
        <v>34</v>
      </c>
      <c r="AI121" t="s">
        <v>35</v>
      </c>
      <c r="AJ121" t="s">
        <v>36</v>
      </c>
    </row>
    <row r="122" spans="1:36">
      <c r="A122" t="s">
        <v>1817</v>
      </c>
      <c r="B122" t="s">
        <v>435</v>
      </c>
      <c r="F122" t="str">
        <f t="shared" si="1"/>
        <v>00929</v>
      </c>
      <c r="AE122">
        <v>1101110036502</v>
      </c>
      <c r="AF122" t="s">
        <v>171</v>
      </c>
      <c r="AG122" t="s">
        <v>2</v>
      </c>
      <c r="AH122" t="s">
        <v>209</v>
      </c>
      <c r="AI122" t="s">
        <v>32</v>
      </c>
      <c r="AJ122" t="s">
        <v>52</v>
      </c>
    </row>
    <row r="123" spans="1:36">
      <c r="A123" t="s">
        <v>1818</v>
      </c>
      <c r="B123" t="s">
        <v>438</v>
      </c>
      <c r="F123" t="str">
        <f t="shared" si="1"/>
        <v>00941</v>
      </c>
      <c r="AE123">
        <v>1311110000271</v>
      </c>
      <c r="AG123" t="s">
        <v>2</v>
      </c>
      <c r="AH123" t="s">
        <v>210</v>
      </c>
      <c r="AJ123" t="s">
        <v>211</v>
      </c>
    </row>
    <row r="124" spans="1:36">
      <c r="A124" t="s">
        <v>2111</v>
      </c>
      <c r="B124" t="s">
        <v>2112</v>
      </c>
      <c r="F124" t="str">
        <f t="shared" si="1"/>
        <v>00950</v>
      </c>
      <c r="AE124">
        <v>1101110185276</v>
      </c>
      <c r="AF124" t="s">
        <v>72</v>
      </c>
      <c r="AG124" t="s">
        <v>2</v>
      </c>
      <c r="AH124" t="s">
        <v>212</v>
      </c>
      <c r="AI124" t="s">
        <v>59</v>
      </c>
      <c r="AJ124" t="s">
        <v>173</v>
      </c>
    </row>
    <row r="125" spans="1:36">
      <c r="A125" t="s">
        <v>1819</v>
      </c>
      <c r="B125" t="s">
        <v>446</v>
      </c>
      <c r="F125" t="str">
        <f t="shared" si="1"/>
        <v>00958</v>
      </c>
      <c r="AE125">
        <v>1101110515275</v>
      </c>
      <c r="AG125" t="s">
        <v>2</v>
      </c>
      <c r="AH125" t="s">
        <v>213</v>
      </c>
      <c r="AI125" t="s">
        <v>214</v>
      </c>
      <c r="AJ125" t="s">
        <v>89</v>
      </c>
    </row>
    <row r="126" spans="1:36">
      <c r="A126" t="s">
        <v>1820</v>
      </c>
      <c r="B126" t="s">
        <v>2113</v>
      </c>
      <c r="F126" t="str">
        <f t="shared" si="1"/>
        <v>00983</v>
      </c>
      <c r="AE126">
        <v>1101110040165</v>
      </c>
      <c r="AG126" t="s">
        <v>2</v>
      </c>
      <c r="AH126" t="s">
        <v>15</v>
      </c>
      <c r="AI126" t="s">
        <v>16</v>
      </c>
      <c r="AJ126" t="s">
        <v>17</v>
      </c>
    </row>
    <row r="127" spans="1:36">
      <c r="A127" t="s">
        <v>2114</v>
      </c>
      <c r="B127" t="s">
        <v>2115</v>
      </c>
      <c r="F127" t="str">
        <f t="shared" si="1"/>
        <v>00990</v>
      </c>
      <c r="AE127">
        <v>1101110038673</v>
      </c>
      <c r="AG127" t="s">
        <v>4</v>
      </c>
      <c r="AH127" t="s">
        <v>215</v>
      </c>
      <c r="AJ127" t="s">
        <v>115</v>
      </c>
    </row>
    <row r="128" spans="1:36">
      <c r="A128" t="s">
        <v>1821</v>
      </c>
      <c r="B128" t="s">
        <v>450</v>
      </c>
      <c r="F128" t="str">
        <f t="shared" si="1"/>
        <v>01005</v>
      </c>
      <c r="AE128">
        <v>1101110038805</v>
      </c>
      <c r="AF128" t="s">
        <v>74</v>
      </c>
      <c r="AG128" t="s">
        <v>4</v>
      </c>
      <c r="AH128" t="s">
        <v>209</v>
      </c>
      <c r="AI128" t="s">
        <v>32</v>
      </c>
      <c r="AJ128" t="s">
        <v>52</v>
      </c>
    </row>
    <row r="129" spans="1:36">
      <c r="A129" t="s">
        <v>1822</v>
      </c>
      <c r="B129" t="s">
        <v>2116</v>
      </c>
      <c r="F129" t="str">
        <f t="shared" si="1"/>
        <v>01012</v>
      </c>
      <c r="AE129">
        <v>1601110003931</v>
      </c>
      <c r="AF129" t="s">
        <v>216</v>
      </c>
      <c r="AG129" t="s">
        <v>2</v>
      </c>
      <c r="AH129" t="s">
        <v>217</v>
      </c>
      <c r="AJ129" t="s">
        <v>218</v>
      </c>
    </row>
    <row r="130" spans="1:36">
      <c r="A130" t="s">
        <v>1823</v>
      </c>
      <c r="B130" t="s">
        <v>2117</v>
      </c>
      <c r="F130" t="str">
        <f t="shared" si="1"/>
        <v>01069</v>
      </c>
      <c r="AE130">
        <v>1101110037823</v>
      </c>
      <c r="AG130" t="s">
        <v>2</v>
      </c>
      <c r="AH130" t="s">
        <v>219</v>
      </c>
      <c r="AI130" t="s">
        <v>139</v>
      </c>
      <c r="AJ130" t="s">
        <v>220</v>
      </c>
    </row>
    <row r="131" spans="1:36">
      <c r="A131" t="s">
        <v>1824</v>
      </c>
      <c r="B131" t="s">
        <v>472</v>
      </c>
      <c r="F131" t="str">
        <f t="shared" si="1"/>
        <v>01078</v>
      </c>
      <c r="AE131">
        <v>1401110000022</v>
      </c>
      <c r="AG131" t="s">
        <v>4</v>
      </c>
    </row>
    <row r="132" spans="1:36">
      <c r="A132" t="s">
        <v>1825</v>
      </c>
      <c r="B132" t="s">
        <v>475</v>
      </c>
      <c r="F132" t="str">
        <f t="shared" si="1"/>
        <v>01095</v>
      </c>
      <c r="AE132">
        <v>1101110042476</v>
      </c>
      <c r="AG132" t="s">
        <v>4</v>
      </c>
      <c r="AH132" t="s">
        <v>114</v>
      </c>
      <c r="AI132" t="s">
        <v>63</v>
      </c>
      <c r="AJ132" t="s">
        <v>115</v>
      </c>
    </row>
    <row r="133" spans="1:36">
      <c r="A133" t="s">
        <v>1826</v>
      </c>
      <c r="B133" t="s">
        <v>479</v>
      </c>
      <c r="F133" t="str">
        <f t="shared" si="1"/>
        <v>01107</v>
      </c>
      <c r="AE133">
        <v>1101110042484</v>
      </c>
      <c r="AG133" t="s">
        <v>2</v>
      </c>
      <c r="AH133" t="s">
        <v>114</v>
      </c>
      <c r="AI133" t="s">
        <v>63</v>
      </c>
      <c r="AJ133" t="s">
        <v>115</v>
      </c>
    </row>
    <row r="134" spans="1:36">
      <c r="A134" t="s">
        <v>1827</v>
      </c>
      <c r="B134" t="s">
        <v>480</v>
      </c>
      <c r="F134" t="str">
        <f t="shared" si="1"/>
        <v>01108</v>
      </c>
      <c r="AE134">
        <v>1101110042492</v>
      </c>
      <c r="AG134" t="s">
        <v>2</v>
      </c>
      <c r="AH134" t="s">
        <v>114</v>
      </c>
      <c r="AI134" t="s">
        <v>63</v>
      </c>
      <c r="AJ134" t="s">
        <v>115</v>
      </c>
    </row>
    <row r="135" spans="1:36">
      <c r="A135" t="s">
        <v>1828</v>
      </c>
      <c r="B135" t="s">
        <v>485</v>
      </c>
      <c r="F135" t="str">
        <f t="shared" si="1"/>
        <v>01117</v>
      </c>
      <c r="AE135">
        <v>1101110110083</v>
      </c>
      <c r="AG135" t="s">
        <v>2</v>
      </c>
      <c r="AH135" t="s">
        <v>210</v>
      </c>
      <c r="AJ135" t="s">
        <v>211</v>
      </c>
    </row>
    <row r="136" spans="1:36">
      <c r="A136" t="s">
        <v>1829</v>
      </c>
      <c r="B136" t="s">
        <v>488</v>
      </c>
      <c r="F136" t="str">
        <f t="shared" si="1"/>
        <v>01121</v>
      </c>
      <c r="AE136">
        <v>1101110108484</v>
      </c>
      <c r="AF136" t="s">
        <v>181</v>
      </c>
      <c r="AG136" t="s">
        <v>2</v>
      </c>
      <c r="AH136" t="s">
        <v>224</v>
      </c>
      <c r="AI136" t="s">
        <v>225</v>
      </c>
      <c r="AJ136" t="s">
        <v>226</v>
      </c>
    </row>
    <row r="137" spans="1:36">
      <c r="A137" t="s">
        <v>1830</v>
      </c>
      <c r="B137" t="s">
        <v>489</v>
      </c>
      <c r="F137" t="str">
        <f t="shared" si="1"/>
        <v>01133</v>
      </c>
      <c r="AE137">
        <v>1101110043127</v>
      </c>
      <c r="AF137" t="s">
        <v>227</v>
      </c>
      <c r="AG137" t="s">
        <v>2</v>
      </c>
      <c r="AH137" t="s">
        <v>8</v>
      </c>
      <c r="AJ137" t="s">
        <v>9</v>
      </c>
    </row>
    <row r="138" spans="1:36">
      <c r="A138" t="s">
        <v>1831</v>
      </c>
      <c r="B138" t="s">
        <v>2118</v>
      </c>
      <c r="F138" t="str">
        <f t="shared" ref="F138:F201" si="2">CHOOSE($C$1, A138, B138)</f>
        <v>01176</v>
      </c>
      <c r="AE138">
        <v>1101110003155</v>
      </c>
      <c r="AF138" t="s">
        <v>53</v>
      </c>
      <c r="AG138" t="s">
        <v>2</v>
      </c>
      <c r="AH138" t="s">
        <v>114</v>
      </c>
      <c r="AI138" t="s">
        <v>63</v>
      </c>
      <c r="AJ138" t="s">
        <v>115</v>
      </c>
    </row>
    <row r="139" spans="1:36">
      <c r="A139" t="s">
        <v>1832</v>
      </c>
      <c r="B139" t="s">
        <v>492</v>
      </c>
      <c r="F139" t="str">
        <f t="shared" si="2"/>
        <v>01178</v>
      </c>
      <c r="AE139">
        <v>1101110042955</v>
      </c>
      <c r="AG139" t="s">
        <v>2</v>
      </c>
      <c r="AH139" t="s">
        <v>215</v>
      </c>
      <c r="AJ139" t="s">
        <v>115</v>
      </c>
    </row>
    <row r="140" spans="1:36">
      <c r="A140" t="s">
        <v>1833</v>
      </c>
      <c r="B140" t="s">
        <v>495</v>
      </c>
      <c r="F140" t="str">
        <f t="shared" si="2"/>
        <v>01179</v>
      </c>
      <c r="AE140">
        <v>1101110003543</v>
      </c>
      <c r="AF140" t="s">
        <v>107</v>
      </c>
      <c r="AG140" t="s">
        <v>2</v>
      </c>
      <c r="AH140" t="s">
        <v>210</v>
      </c>
      <c r="AJ140" t="s">
        <v>211</v>
      </c>
    </row>
    <row r="141" spans="1:36">
      <c r="A141" t="s">
        <v>1834</v>
      </c>
      <c r="B141" t="s">
        <v>498</v>
      </c>
      <c r="F141" t="str">
        <f t="shared" si="2"/>
        <v>01191</v>
      </c>
      <c r="AE141">
        <v>1449110000072</v>
      </c>
      <c r="AG141" t="s">
        <v>2</v>
      </c>
      <c r="AH141" t="s">
        <v>231</v>
      </c>
      <c r="AI141" t="s">
        <v>150</v>
      </c>
      <c r="AJ141" t="s">
        <v>232</v>
      </c>
    </row>
    <row r="142" spans="1:36">
      <c r="A142" t="s">
        <v>1835</v>
      </c>
      <c r="B142" t="s">
        <v>501</v>
      </c>
      <c r="F142" t="str">
        <f t="shared" si="2"/>
        <v>01193</v>
      </c>
      <c r="AE142">
        <v>1101110022816</v>
      </c>
      <c r="AG142" t="s">
        <v>4</v>
      </c>
      <c r="AH142" t="s">
        <v>15</v>
      </c>
      <c r="AI142" t="s">
        <v>16</v>
      </c>
      <c r="AJ142" t="s">
        <v>17</v>
      </c>
    </row>
    <row r="143" spans="1:36">
      <c r="A143" t="s">
        <v>1836</v>
      </c>
      <c r="B143" t="s">
        <v>505</v>
      </c>
      <c r="F143" t="str">
        <f t="shared" si="2"/>
        <v>01233</v>
      </c>
      <c r="AE143">
        <v>1101110035132</v>
      </c>
      <c r="AG143" t="s">
        <v>2</v>
      </c>
      <c r="AH143" t="s">
        <v>233</v>
      </c>
      <c r="AJ143" t="s">
        <v>234</v>
      </c>
    </row>
    <row r="144" spans="1:36">
      <c r="A144" t="s">
        <v>1837</v>
      </c>
      <c r="B144" t="s">
        <v>506</v>
      </c>
      <c r="F144" t="str">
        <f t="shared" si="2"/>
        <v>01245</v>
      </c>
      <c r="AE144">
        <v>1101110041501</v>
      </c>
      <c r="AG144" t="s">
        <v>4</v>
      </c>
      <c r="AH144" t="s">
        <v>235</v>
      </c>
      <c r="AI144" t="s">
        <v>124</v>
      </c>
      <c r="AJ144" t="s">
        <v>236</v>
      </c>
    </row>
    <row r="145" spans="1:36">
      <c r="A145" t="s">
        <v>1838</v>
      </c>
      <c r="B145" t="s">
        <v>2119</v>
      </c>
      <c r="F145" t="str">
        <f t="shared" si="2"/>
        <v>01263</v>
      </c>
      <c r="AE145">
        <v>2059110000078</v>
      </c>
      <c r="AG145" t="s">
        <v>4</v>
      </c>
      <c r="AH145" t="s">
        <v>237</v>
      </c>
      <c r="AJ145" t="s">
        <v>220</v>
      </c>
    </row>
    <row r="146" spans="1:36">
      <c r="A146" t="s">
        <v>1839</v>
      </c>
      <c r="B146" t="s">
        <v>2120</v>
      </c>
      <c r="F146" t="str">
        <f t="shared" si="2"/>
        <v>01286</v>
      </c>
      <c r="AE146">
        <v>1746110001947</v>
      </c>
      <c r="AF146" t="s">
        <v>238</v>
      </c>
      <c r="AG146" t="s">
        <v>2</v>
      </c>
      <c r="AH146" t="s">
        <v>239</v>
      </c>
      <c r="AI146" t="s">
        <v>139</v>
      </c>
      <c r="AJ146" t="s">
        <v>240</v>
      </c>
    </row>
    <row r="147" spans="1:36">
      <c r="A147" t="s">
        <v>2121</v>
      </c>
      <c r="B147" t="s">
        <v>2122</v>
      </c>
      <c r="F147" t="str">
        <f t="shared" si="2"/>
        <v>01331</v>
      </c>
      <c r="AE147">
        <v>1801110000230</v>
      </c>
      <c r="AG147" t="s">
        <v>2</v>
      </c>
      <c r="AH147" t="s">
        <v>241</v>
      </c>
      <c r="AJ147" t="s">
        <v>242</v>
      </c>
    </row>
    <row r="148" spans="1:36">
      <c r="A148" t="s">
        <v>1840</v>
      </c>
      <c r="B148" t="s">
        <v>523</v>
      </c>
      <c r="F148" t="str">
        <f t="shared" si="2"/>
        <v>01336</v>
      </c>
      <c r="AE148">
        <v>1101110092976</v>
      </c>
      <c r="AG148" t="s">
        <v>2</v>
      </c>
      <c r="AH148" t="s">
        <v>243</v>
      </c>
      <c r="AJ148" t="s">
        <v>244</v>
      </c>
    </row>
    <row r="149" spans="1:36">
      <c r="A149" t="s">
        <v>1841</v>
      </c>
      <c r="B149" t="s">
        <v>2123</v>
      </c>
      <c r="F149" t="str">
        <f t="shared" si="2"/>
        <v>01352</v>
      </c>
      <c r="AE149">
        <v>1101110045686</v>
      </c>
      <c r="AG149" t="s">
        <v>4</v>
      </c>
      <c r="AH149" t="s">
        <v>245</v>
      </c>
      <c r="AJ149" t="s">
        <v>84</v>
      </c>
    </row>
    <row r="150" spans="1:36">
      <c r="A150" t="s">
        <v>1842</v>
      </c>
      <c r="B150" t="s">
        <v>526</v>
      </c>
      <c r="F150" t="str">
        <f t="shared" si="2"/>
        <v>01358</v>
      </c>
      <c r="AE150">
        <v>1812110000013</v>
      </c>
      <c r="AF150" t="s">
        <v>93</v>
      </c>
      <c r="AG150" t="s">
        <v>2</v>
      </c>
      <c r="AH150" t="s">
        <v>246</v>
      </c>
      <c r="AJ150" t="s">
        <v>247</v>
      </c>
    </row>
    <row r="151" spans="1:36">
      <c r="A151" t="s">
        <v>1843</v>
      </c>
      <c r="B151" t="s">
        <v>527</v>
      </c>
      <c r="F151" t="str">
        <f t="shared" si="2"/>
        <v>01369</v>
      </c>
      <c r="AE151">
        <v>1101110045983</v>
      </c>
      <c r="AG151" t="s">
        <v>4</v>
      </c>
      <c r="AH151" t="s">
        <v>248</v>
      </c>
      <c r="AI151" t="s">
        <v>249</v>
      </c>
      <c r="AJ151" t="s">
        <v>121</v>
      </c>
    </row>
    <row r="152" spans="1:36">
      <c r="A152" t="s">
        <v>2124</v>
      </c>
      <c r="B152" t="s">
        <v>2125</v>
      </c>
      <c r="F152" t="str">
        <f t="shared" si="2"/>
        <v>01423</v>
      </c>
      <c r="AE152">
        <v>1201110001743</v>
      </c>
      <c r="AF152" t="s">
        <v>40</v>
      </c>
      <c r="AG152" t="s">
        <v>2</v>
      </c>
      <c r="AH152" t="s">
        <v>251</v>
      </c>
      <c r="AI152" t="s">
        <v>124</v>
      </c>
      <c r="AJ152" t="s">
        <v>252</v>
      </c>
    </row>
    <row r="153" spans="1:36">
      <c r="A153" t="s">
        <v>1844</v>
      </c>
      <c r="B153" t="s">
        <v>532</v>
      </c>
      <c r="F153" t="str">
        <f t="shared" si="2"/>
        <v>01428</v>
      </c>
      <c r="AE153">
        <v>1101110090558</v>
      </c>
      <c r="AF153" t="s">
        <v>253</v>
      </c>
      <c r="AG153" t="s">
        <v>4</v>
      </c>
      <c r="AH153" t="s">
        <v>254</v>
      </c>
      <c r="AI153" t="s">
        <v>255</v>
      </c>
      <c r="AJ153" t="s">
        <v>256</v>
      </c>
    </row>
    <row r="154" spans="1:36">
      <c r="A154" t="s">
        <v>1845</v>
      </c>
      <c r="B154" t="s">
        <v>538</v>
      </c>
      <c r="F154" t="str">
        <f t="shared" si="2"/>
        <v>01468</v>
      </c>
      <c r="AE154">
        <v>1101110328412</v>
      </c>
      <c r="AG154" t="s">
        <v>4</v>
      </c>
      <c r="AH154" t="s">
        <v>51</v>
      </c>
      <c r="AI154" t="s">
        <v>32</v>
      </c>
      <c r="AJ154" t="s">
        <v>52</v>
      </c>
    </row>
    <row r="155" spans="1:36">
      <c r="A155" t="s">
        <v>1846</v>
      </c>
      <c r="B155" t="s">
        <v>2126</v>
      </c>
      <c r="F155" t="str">
        <f t="shared" si="2"/>
        <v>01479</v>
      </c>
      <c r="AE155">
        <v>1101110003212</v>
      </c>
      <c r="AG155" t="s">
        <v>2</v>
      </c>
      <c r="AH155" t="s">
        <v>47</v>
      </c>
      <c r="AJ155" t="s">
        <v>48</v>
      </c>
    </row>
    <row r="156" spans="1:36">
      <c r="A156" t="s">
        <v>1847</v>
      </c>
      <c r="B156" t="s">
        <v>540</v>
      </c>
      <c r="F156" t="str">
        <f t="shared" si="2"/>
        <v>01482</v>
      </c>
      <c r="AE156">
        <v>1101110124521</v>
      </c>
      <c r="AG156" t="s">
        <v>2</v>
      </c>
      <c r="AH156" t="s">
        <v>259</v>
      </c>
      <c r="AJ156" t="s">
        <v>260</v>
      </c>
    </row>
    <row r="157" spans="1:36">
      <c r="A157" t="s">
        <v>1848</v>
      </c>
      <c r="B157" t="s">
        <v>553</v>
      </c>
      <c r="F157" t="str">
        <f t="shared" si="2"/>
        <v>01536</v>
      </c>
      <c r="AE157">
        <v>1101110017867</v>
      </c>
      <c r="AG157" t="s">
        <v>2</v>
      </c>
      <c r="AH157" t="s">
        <v>15</v>
      </c>
      <c r="AI157" t="s">
        <v>16</v>
      </c>
      <c r="AJ157" t="s">
        <v>17</v>
      </c>
    </row>
    <row r="158" spans="1:36">
      <c r="A158" t="s">
        <v>1849</v>
      </c>
      <c r="B158" t="s">
        <v>557</v>
      </c>
      <c r="F158" t="str">
        <f t="shared" si="2"/>
        <v>01575</v>
      </c>
      <c r="AE158">
        <v>1101110015374</v>
      </c>
      <c r="AG158" t="s">
        <v>4</v>
      </c>
    </row>
    <row r="159" spans="1:36">
      <c r="A159" t="s">
        <v>1850</v>
      </c>
      <c r="B159" t="s">
        <v>558</v>
      </c>
      <c r="F159" t="str">
        <f t="shared" si="2"/>
        <v>01576</v>
      </c>
      <c r="AE159">
        <v>1101110028848</v>
      </c>
      <c r="AF159" t="s">
        <v>261</v>
      </c>
      <c r="AG159" t="s">
        <v>2</v>
      </c>
      <c r="AH159" t="s">
        <v>248</v>
      </c>
      <c r="AI159" t="s">
        <v>249</v>
      </c>
      <c r="AJ159" t="s">
        <v>121</v>
      </c>
    </row>
    <row r="160" spans="1:36">
      <c r="A160" t="s">
        <v>1851</v>
      </c>
      <c r="B160" t="s">
        <v>572</v>
      </c>
      <c r="F160" t="str">
        <f t="shared" si="2"/>
        <v>01636</v>
      </c>
      <c r="AE160">
        <v>1101110052037</v>
      </c>
      <c r="AF160" t="s">
        <v>30</v>
      </c>
      <c r="AG160" t="s">
        <v>2</v>
      </c>
      <c r="AH160" t="s">
        <v>262</v>
      </c>
      <c r="AI160" t="s">
        <v>32</v>
      </c>
      <c r="AJ160" t="s">
        <v>167</v>
      </c>
    </row>
    <row r="161" spans="1:36">
      <c r="A161" t="s">
        <v>1852</v>
      </c>
      <c r="B161" t="s">
        <v>573</v>
      </c>
      <c r="F161" t="str">
        <f t="shared" si="2"/>
        <v>01661</v>
      </c>
      <c r="AE161">
        <v>1101110003759</v>
      </c>
      <c r="AG161" t="s">
        <v>4</v>
      </c>
      <c r="AH161" t="s">
        <v>51</v>
      </c>
      <c r="AI161" t="s">
        <v>32</v>
      </c>
      <c r="AJ161" t="s">
        <v>52</v>
      </c>
    </row>
    <row r="162" spans="1:36">
      <c r="A162" t="s">
        <v>1853</v>
      </c>
      <c r="B162" t="s">
        <v>574</v>
      </c>
      <c r="F162" t="str">
        <f t="shared" si="2"/>
        <v>01671</v>
      </c>
      <c r="AE162">
        <v>1101110054760</v>
      </c>
      <c r="AG162" t="s">
        <v>2</v>
      </c>
      <c r="AH162" t="s">
        <v>245</v>
      </c>
      <c r="AJ162" t="s">
        <v>84</v>
      </c>
    </row>
    <row r="163" spans="1:36">
      <c r="A163" t="s">
        <v>2127</v>
      </c>
      <c r="B163" t="s">
        <v>2128</v>
      </c>
      <c r="F163" t="str">
        <f t="shared" si="2"/>
        <v>01674</v>
      </c>
      <c r="AE163">
        <v>1101110055859</v>
      </c>
      <c r="AG163" t="s">
        <v>4</v>
      </c>
      <c r="AH163" t="s">
        <v>94</v>
      </c>
      <c r="AI163" t="s">
        <v>32</v>
      </c>
      <c r="AJ163" t="s">
        <v>32</v>
      </c>
    </row>
    <row r="164" spans="1:36">
      <c r="A164" t="s">
        <v>1854</v>
      </c>
      <c r="B164" t="s">
        <v>575</v>
      </c>
      <c r="F164" t="str">
        <f t="shared" si="2"/>
        <v>01683</v>
      </c>
      <c r="AE164">
        <v>1101110057574</v>
      </c>
      <c r="AG164" t="s">
        <v>2</v>
      </c>
      <c r="AH164" t="s">
        <v>263</v>
      </c>
      <c r="AJ164" t="s">
        <v>264</v>
      </c>
    </row>
    <row r="165" spans="1:36">
      <c r="A165" t="s">
        <v>2129</v>
      </c>
      <c r="B165" t="s">
        <v>2130</v>
      </c>
      <c r="F165" t="str">
        <f t="shared" si="2"/>
        <v>01719</v>
      </c>
      <c r="AE165">
        <v>1801110000636</v>
      </c>
      <c r="AG165" t="s">
        <v>2</v>
      </c>
      <c r="AH165" t="s">
        <v>142</v>
      </c>
      <c r="AJ165" t="s">
        <v>143</v>
      </c>
    </row>
    <row r="166" spans="1:36">
      <c r="A166" t="s">
        <v>2131</v>
      </c>
      <c r="B166" t="s">
        <v>2132</v>
      </c>
      <c r="F166" t="str">
        <f t="shared" si="2"/>
        <v>01726</v>
      </c>
      <c r="AE166">
        <v>1101110061228</v>
      </c>
      <c r="AF166" t="s">
        <v>30</v>
      </c>
      <c r="AG166" t="s">
        <v>2</v>
      </c>
      <c r="AH166" t="s">
        <v>265</v>
      </c>
      <c r="AJ166" t="s">
        <v>266</v>
      </c>
    </row>
    <row r="167" spans="1:36">
      <c r="A167" t="s">
        <v>1855</v>
      </c>
      <c r="B167" t="s">
        <v>583</v>
      </c>
      <c r="F167" t="str">
        <f t="shared" si="2"/>
        <v>01767</v>
      </c>
      <c r="AE167">
        <v>1341110003462</v>
      </c>
      <c r="AG167" t="s">
        <v>2</v>
      </c>
      <c r="AH167" t="s">
        <v>267</v>
      </c>
      <c r="AJ167" t="s">
        <v>268</v>
      </c>
    </row>
    <row r="168" spans="1:36">
      <c r="A168" t="s">
        <v>1856</v>
      </c>
      <c r="B168" t="s">
        <v>587</v>
      </c>
      <c r="F168" t="str">
        <f t="shared" si="2"/>
        <v>01780</v>
      </c>
      <c r="AE168">
        <v>1301110005644</v>
      </c>
      <c r="AG168" t="s">
        <v>4</v>
      </c>
      <c r="AH168" t="s">
        <v>190</v>
      </c>
      <c r="AI168" t="s">
        <v>32</v>
      </c>
      <c r="AJ168" t="s">
        <v>91</v>
      </c>
    </row>
    <row r="169" spans="1:36">
      <c r="A169" t="s">
        <v>1857</v>
      </c>
      <c r="B169" t="s">
        <v>592</v>
      </c>
      <c r="F169" t="str">
        <f t="shared" si="2"/>
        <v>01794</v>
      </c>
      <c r="AE169">
        <v>1101110063779</v>
      </c>
      <c r="AG169" t="s">
        <v>2</v>
      </c>
      <c r="AH169" t="s">
        <v>269</v>
      </c>
      <c r="AI169" t="s">
        <v>101</v>
      </c>
      <c r="AJ169" t="s">
        <v>270</v>
      </c>
    </row>
    <row r="170" spans="1:36">
      <c r="A170" t="s">
        <v>1858</v>
      </c>
      <c r="B170" t="s">
        <v>595</v>
      </c>
      <c r="F170" t="str">
        <f t="shared" si="2"/>
        <v>01800</v>
      </c>
      <c r="AE170">
        <v>1201110005414</v>
      </c>
      <c r="AG170" t="s">
        <v>4</v>
      </c>
      <c r="AH170" t="s">
        <v>271</v>
      </c>
      <c r="AJ170" t="s">
        <v>272</v>
      </c>
    </row>
    <row r="171" spans="1:36">
      <c r="A171" t="s">
        <v>1859</v>
      </c>
      <c r="B171" t="s">
        <v>604</v>
      </c>
      <c r="F171" t="str">
        <f t="shared" si="2"/>
        <v>01860</v>
      </c>
      <c r="AE171">
        <v>1101110065395</v>
      </c>
      <c r="AF171" t="s">
        <v>40</v>
      </c>
      <c r="AG171" t="s">
        <v>2</v>
      </c>
      <c r="AH171" t="s">
        <v>235</v>
      </c>
      <c r="AI171" t="s">
        <v>124</v>
      </c>
      <c r="AJ171" t="s">
        <v>236</v>
      </c>
    </row>
    <row r="172" spans="1:36">
      <c r="A172" t="s">
        <v>1860</v>
      </c>
      <c r="B172" t="s">
        <v>608</v>
      </c>
      <c r="F172" t="str">
        <f t="shared" si="2"/>
        <v>01867</v>
      </c>
      <c r="AE172">
        <v>1341110000517</v>
      </c>
      <c r="AG172" t="s">
        <v>4</v>
      </c>
      <c r="AH172" t="s">
        <v>274</v>
      </c>
      <c r="AI172" t="s">
        <v>275</v>
      </c>
      <c r="AJ172" t="s">
        <v>131</v>
      </c>
    </row>
    <row r="173" spans="1:36">
      <c r="A173" t="s">
        <v>1861</v>
      </c>
      <c r="B173" t="s">
        <v>2133</v>
      </c>
      <c r="F173" t="str">
        <f t="shared" si="2"/>
        <v>01888</v>
      </c>
      <c r="AE173">
        <v>1101110005929</v>
      </c>
      <c r="AF173" t="s">
        <v>276</v>
      </c>
      <c r="AG173" t="s">
        <v>2</v>
      </c>
      <c r="AH173" t="s">
        <v>277</v>
      </c>
      <c r="AI173" t="s">
        <v>278</v>
      </c>
      <c r="AJ173" t="s">
        <v>279</v>
      </c>
    </row>
    <row r="174" spans="1:36">
      <c r="A174" t="s">
        <v>2134</v>
      </c>
      <c r="B174" t="s">
        <v>2135</v>
      </c>
      <c r="F174" t="str">
        <f t="shared" si="2"/>
        <v>01913</v>
      </c>
      <c r="AE174">
        <v>1501110001036</v>
      </c>
      <c r="AG174" t="s">
        <v>2</v>
      </c>
      <c r="AH174" t="s">
        <v>280</v>
      </c>
      <c r="AJ174" t="s">
        <v>281</v>
      </c>
    </row>
    <row r="175" spans="1:36">
      <c r="A175" t="s">
        <v>1862</v>
      </c>
      <c r="B175" t="s">
        <v>617</v>
      </c>
      <c r="F175" t="str">
        <f t="shared" si="2"/>
        <v>01918</v>
      </c>
      <c r="AE175">
        <v>1101110004682</v>
      </c>
      <c r="AG175" t="s">
        <v>2</v>
      </c>
      <c r="AH175" t="s">
        <v>283</v>
      </c>
      <c r="AJ175" t="s">
        <v>284</v>
      </c>
    </row>
    <row r="176" spans="1:36">
      <c r="A176" t="s">
        <v>1863</v>
      </c>
      <c r="B176" t="s">
        <v>618</v>
      </c>
      <c r="F176" t="str">
        <f t="shared" si="2"/>
        <v>01921</v>
      </c>
      <c r="AE176">
        <v>1243110000812</v>
      </c>
      <c r="AG176" t="s">
        <v>2</v>
      </c>
      <c r="AH176" t="s">
        <v>8</v>
      </c>
      <c r="AJ176" t="s">
        <v>9</v>
      </c>
    </row>
    <row r="177" spans="1:36">
      <c r="A177" t="s">
        <v>2136</v>
      </c>
      <c r="B177" t="s">
        <v>2137</v>
      </c>
      <c r="F177" t="str">
        <f t="shared" si="2"/>
        <v>01957</v>
      </c>
      <c r="AE177">
        <v>1201110004599</v>
      </c>
      <c r="AG177" t="s">
        <v>4</v>
      </c>
      <c r="AH177" t="s">
        <v>285</v>
      </c>
      <c r="AI177" t="s">
        <v>286</v>
      </c>
      <c r="AJ177" t="s">
        <v>287</v>
      </c>
    </row>
    <row r="178" spans="1:36">
      <c r="A178" t="s">
        <v>1864</v>
      </c>
      <c r="B178" t="s">
        <v>633</v>
      </c>
      <c r="F178" t="str">
        <f t="shared" si="2"/>
        <v>01980</v>
      </c>
      <c r="AE178">
        <v>1101110071756</v>
      </c>
      <c r="AG178" t="s">
        <v>4</v>
      </c>
      <c r="AH178" t="s">
        <v>288</v>
      </c>
      <c r="AI178" t="s">
        <v>76</v>
      </c>
      <c r="AJ178" t="s">
        <v>289</v>
      </c>
    </row>
    <row r="179" spans="1:36">
      <c r="A179" t="s">
        <v>1865</v>
      </c>
      <c r="B179" t="s">
        <v>640</v>
      </c>
      <c r="F179" t="str">
        <f t="shared" si="2"/>
        <v>02124</v>
      </c>
      <c r="AE179">
        <v>1101110030497</v>
      </c>
      <c r="AF179" t="s">
        <v>198</v>
      </c>
      <c r="AG179" t="s">
        <v>2</v>
      </c>
      <c r="AH179" t="s">
        <v>212</v>
      </c>
      <c r="AI179" t="s">
        <v>59</v>
      </c>
      <c r="AJ179" t="s">
        <v>173</v>
      </c>
    </row>
    <row r="180" spans="1:36">
      <c r="A180" t="s">
        <v>1866</v>
      </c>
      <c r="B180" t="s">
        <v>644</v>
      </c>
      <c r="F180" t="str">
        <f t="shared" si="2"/>
        <v>02132</v>
      </c>
      <c r="AE180">
        <v>1101110003121</v>
      </c>
      <c r="AF180" t="s">
        <v>93</v>
      </c>
      <c r="AG180" t="s">
        <v>4</v>
      </c>
      <c r="AH180" t="s">
        <v>290</v>
      </c>
      <c r="AI180" t="s">
        <v>124</v>
      </c>
      <c r="AJ180" t="s">
        <v>291</v>
      </c>
    </row>
    <row r="181" spans="1:36">
      <c r="A181" t="s">
        <v>1867</v>
      </c>
      <c r="B181" t="s">
        <v>2138</v>
      </c>
      <c r="F181" t="str">
        <f t="shared" si="2"/>
        <v>02183</v>
      </c>
      <c r="AE181">
        <v>1845110000585</v>
      </c>
      <c r="AG181" t="s">
        <v>4</v>
      </c>
      <c r="AH181" t="s">
        <v>292</v>
      </c>
      <c r="AJ181" t="s">
        <v>293</v>
      </c>
    </row>
    <row r="182" spans="1:36">
      <c r="A182" t="s">
        <v>1868</v>
      </c>
      <c r="B182" t="s">
        <v>651</v>
      </c>
      <c r="F182" t="str">
        <f t="shared" si="2"/>
        <v>02196</v>
      </c>
      <c r="AE182">
        <v>1801110000339</v>
      </c>
      <c r="AG182" t="s">
        <v>2</v>
      </c>
      <c r="AH182" t="s">
        <v>294</v>
      </c>
      <c r="AJ182" t="s">
        <v>295</v>
      </c>
    </row>
    <row r="183" spans="1:36">
      <c r="A183" t="s">
        <v>1869</v>
      </c>
      <c r="B183" t="s">
        <v>663</v>
      </c>
      <c r="F183" t="str">
        <f t="shared" si="2"/>
        <v>02313</v>
      </c>
      <c r="AE183">
        <v>1101110073314</v>
      </c>
      <c r="AG183" t="s">
        <v>4</v>
      </c>
      <c r="AH183" t="s">
        <v>138</v>
      </c>
      <c r="AI183" t="s">
        <v>139</v>
      </c>
      <c r="AJ183" t="s">
        <v>140</v>
      </c>
    </row>
    <row r="184" spans="1:36">
      <c r="A184" t="s">
        <v>2139</v>
      </c>
      <c r="B184" t="s">
        <v>2140</v>
      </c>
      <c r="F184" t="str">
        <f t="shared" si="2"/>
        <v>02344</v>
      </c>
      <c r="AE184">
        <v>1101110239164</v>
      </c>
      <c r="AG184" t="s">
        <v>4</v>
      </c>
      <c r="AH184" t="s">
        <v>296</v>
      </c>
      <c r="AI184" t="s">
        <v>297</v>
      </c>
      <c r="AJ184" t="s">
        <v>298</v>
      </c>
    </row>
    <row r="185" spans="1:36">
      <c r="A185" t="s">
        <v>1870</v>
      </c>
      <c r="B185" t="s">
        <v>669</v>
      </c>
      <c r="F185" t="str">
        <f t="shared" si="2"/>
        <v>02353</v>
      </c>
      <c r="AE185">
        <v>1101110672538</v>
      </c>
      <c r="AG185" t="s">
        <v>4</v>
      </c>
      <c r="AH185" t="s">
        <v>5</v>
      </c>
      <c r="AI185" t="s">
        <v>6</v>
      </c>
      <c r="AJ185" t="s">
        <v>7</v>
      </c>
    </row>
    <row r="186" spans="1:36">
      <c r="A186" t="s">
        <v>1871</v>
      </c>
      <c r="B186" t="s">
        <v>670</v>
      </c>
      <c r="F186" t="str">
        <f t="shared" si="2"/>
        <v>02359</v>
      </c>
      <c r="AE186">
        <v>1101110075683</v>
      </c>
      <c r="AG186" t="s">
        <v>2</v>
      </c>
      <c r="AH186" t="s">
        <v>300</v>
      </c>
      <c r="AI186" t="s">
        <v>32</v>
      </c>
      <c r="AJ186" t="s">
        <v>45</v>
      </c>
    </row>
    <row r="187" spans="1:36">
      <c r="A187" t="s">
        <v>1872</v>
      </c>
      <c r="B187" t="s">
        <v>677</v>
      </c>
      <c r="F187" t="str">
        <f t="shared" si="2"/>
        <v>02376</v>
      </c>
      <c r="AE187">
        <v>1101110008254</v>
      </c>
      <c r="AG187" t="s">
        <v>2</v>
      </c>
      <c r="AH187" t="s">
        <v>301</v>
      </c>
      <c r="AI187" t="s">
        <v>302</v>
      </c>
      <c r="AJ187" t="s">
        <v>303</v>
      </c>
    </row>
    <row r="188" spans="1:36">
      <c r="A188" t="s">
        <v>1873</v>
      </c>
      <c r="B188" t="s">
        <v>678</v>
      </c>
      <c r="F188" t="str">
        <f t="shared" si="2"/>
        <v>02378</v>
      </c>
      <c r="AE188">
        <v>1101110072928</v>
      </c>
      <c r="AG188" t="s">
        <v>2</v>
      </c>
      <c r="AH188" t="s">
        <v>219</v>
      </c>
      <c r="AI188" t="s">
        <v>139</v>
      </c>
      <c r="AJ188" t="s">
        <v>220</v>
      </c>
    </row>
    <row r="189" spans="1:36">
      <c r="A189" t="s">
        <v>1874</v>
      </c>
      <c r="B189" t="s">
        <v>681</v>
      </c>
      <c r="F189" t="str">
        <f t="shared" si="2"/>
        <v>02411</v>
      </c>
      <c r="AE189">
        <v>1101110076300</v>
      </c>
      <c r="AF189" t="s">
        <v>93</v>
      </c>
      <c r="AG189" t="s">
        <v>2</v>
      </c>
      <c r="AH189" t="s">
        <v>15</v>
      </c>
      <c r="AI189" t="s">
        <v>16</v>
      </c>
      <c r="AJ189" t="s">
        <v>17</v>
      </c>
    </row>
    <row r="190" spans="1:36">
      <c r="A190" t="s">
        <v>1875</v>
      </c>
      <c r="B190" t="s">
        <v>684</v>
      </c>
      <c r="F190" t="str">
        <f t="shared" si="2"/>
        <v>02480</v>
      </c>
      <c r="AE190">
        <v>1801110002682</v>
      </c>
      <c r="AG190" t="s">
        <v>2</v>
      </c>
      <c r="AH190" t="s">
        <v>305</v>
      </c>
      <c r="AI190" t="s">
        <v>146</v>
      </c>
      <c r="AJ190" t="s">
        <v>306</v>
      </c>
    </row>
    <row r="191" spans="1:36">
      <c r="A191" t="s">
        <v>2141</v>
      </c>
      <c r="B191" t="s">
        <v>2142</v>
      </c>
      <c r="F191" t="str">
        <f t="shared" si="2"/>
        <v>02491</v>
      </c>
      <c r="AE191">
        <v>1101110078819</v>
      </c>
      <c r="AF191" t="s">
        <v>127</v>
      </c>
      <c r="AG191" t="s">
        <v>4</v>
      </c>
      <c r="AH191" t="s">
        <v>254</v>
      </c>
      <c r="AI191" t="s">
        <v>255</v>
      </c>
      <c r="AJ191" t="s">
        <v>256</v>
      </c>
    </row>
    <row r="192" spans="1:36">
      <c r="A192" t="s">
        <v>1876</v>
      </c>
      <c r="B192" t="s">
        <v>690</v>
      </c>
      <c r="F192" t="str">
        <f t="shared" si="2"/>
        <v>02508</v>
      </c>
      <c r="AE192">
        <v>1101110085583</v>
      </c>
      <c r="AG192" t="s">
        <v>2</v>
      </c>
      <c r="AH192" t="s">
        <v>308</v>
      </c>
      <c r="AJ192" t="s">
        <v>309</v>
      </c>
    </row>
    <row r="193" spans="1:36">
      <c r="A193" t="s">
        <v>1877</v>
      </c>
      <c r="B193" t="s">
        <v>2143</v>
      </c>
      <c r="F193" t="str">
        <f t="shared" si="2"/>
        <v>02510</v>
      </c>
      <c r="AE193">
        <v>1152110000287</v>
      </c>
      <c r="AG193" t="s">
        <v>2</v>
      </c>
      <c r="AH193" t="s">
        <v>310</v>
      </c>
      <c r="AJ193" t="s">
        <v>311</v>
      </c>
    </row>
    <row r="194" spans="1:36">
      <c r="A194" t="s">
        <v>1878</v>
      </c>
      <c r="B194" t="s">
        <v>2144</v>
      </c>
      <c r="F194" t="str">
        <f t="shared" si="2"/>
        <v>02544</v>
      </c>
      <c r="AE194">
        <v>1345110000014</v>
      </c>
      <c r="AG194" t="s">
        <v>2</v>
      </c>
      <c r="AH194" t="s">
        <v>210</v>
      </c>
      <c r="AJ194" t="s">
        <v>211</v>
      </c>
    </row>
    <row r="195" spans="1:36">
      <c r="A195" t="s">
        <v>1879</v>
      </c>
      <c r="B195" t="s">
        <v>699</v>
      </c>
      <c r="F195" t="str">
        <f t="shared" si="2"/>
        <v>02575</v>
      </c>
      <c r="AE195">
        <v>1701110000141</v>
      </c>
      <c r="AG195" t="s">
        <v>4</v>
      </c>
      <c r="AH195" t="s">
        <v>5</v>
      </c>
      <c r="AI195" t="s">
        <v>6</v>
      </c>
      <c r="AJ195" t="s">
        <v>7</v>
      </c>
    </row>
    <row r="196" spans="1:36">
      <c r="A196" t="s">
        <v>1880</v>
      </c>
      <c r="B196" t="s">
        <v>703</v>
      </c>
      <c r="F196" t="str">
        <f t="shared" si="2"/>
        <v>02590</v>
      </c>
      <c r="AE196">
        <v>1801110002997</v>
      </c>
      <c r="AG196" t="s">
        <v>4</v>
      </c>
      <c r="AH196" t="s">
        <v>5</v>
      </c>
      <c r="AI196" t="s">
        <v>6</v>
      </c>
      <c r="AJ196" t="s">
        <v>7</v>
      </c>
    </row>
    <row r="197" spans="1:36">
      <c r="A197" t="s">
        <v>2145</v>
      </c>
      <c r="B197" t="s">
        <v>2146</v>
      </c>
      <c r="F197" t="str">
        <f t="shared" si="2"/>
        <v>02771</v>
      </c>
      <c r="AE197">
        <v>1101110003684</v>
      </c>
      <c r="AF197" t="s">
        <v>93</v>
      </c>
      <c r="AG197" t="s">
        <v>2</v>
      </c>
      <c r="AH197" t="s">
        <v>316</v>
      </c>
      <c r="AI197" t="s">
        <v>21</v>
      </c>
      <c r="AJ197" t="s">
        <v>317</v>
      </c>
    </row>
    <row r="198" spans="1:36">
      <c r="A198" t="s">
        <v>1881</v>
      </c>
      <c r="B198" t="s">
        <v>718</v>
      </c>
      <c r="F198" t="str">
        <f t="shared" si="2"/>
        <v>02774</v>
      </c>
      <c r="AE198">
        <v>1101110084767</v>
      </c>
      <c r="AG198" t="s">
        <v>2</v>
      </c>
      <c r="AH198" t="s">
        <v>319</v>
      </c>
      <c r="AJ198" t="s">
        <v>320</v>
      </c>
    </row>
    <row r="199" spans="1:36">
      <c r="A199" t="s">
        <v>1882</v>
      </c>
      <c r="B199" t="s">
        <v>2147</v>
      </c>
      <c r="F199" t="str">
        <f t="shared" si="2"/>
        <v>02826</v>
      </c>
      <c r="AE199">
        <v>1942110002593</v>
      </c>
      <c r="AG199" t="s">
        <v>4</v>
      </c>
      <c r="AH199" t="s">
        <v>47</v>
      </c>
      <c r="AJ199" t="s">
        <v>48</v>
      </c>
    </row>
    <row r="200" spans="1:36">
      <c r="A200" t="s">
        <v>1883</v>
      </c>
      <c r="B200" t="s">
        <v>727</v>
      </c>
      <c r="F200" t="str">
        <f t="shared" si="2"/>
        <v>02867</v>
      </c>
      <c r="AE200">
        <v>1201110012451</v>
      </c>
      <c r="AG200" t="s">
        <v>4</v>
      </c>
      <c r="AH200" t="s">
        <v>321</v>
      </c>
      <c r="AJ200" t="s">
        <v>322</v>
      </c>
    </row>
    <row r="201" spans="1:36">
      <c r="A201" t="s">
        <v>1884</v>
      </c>
      <c r="B201" t="s">
        <v>728</v>
      </c>
      <c r="F201" t="str">
        <f t="shared" si="2"/>
        <v>02882</v>
      </c>
      <c r="AE201">
        <v>1101110005052</v>
      </c>
      <c r="AG201" t="s">
        <v>2</v>
      </c>
      <c r="AH201" t="s">
        <v>323</v>
      </c>
      <c r="AJ201" t="s">
        <v>324</v>
      </c>
    </row>
    <row r="202" spans="1:36">
      <c r="A202" t="s">
        <v>1885</v>
      </c>
      <c r="B202" t="s">
        <v>731</v>
      </c>
      <c r="F202" t="str">
        <f t="shared" ref="F202:F265" si="3">CHOOSE($C$1, A202, B202)</f>
        <v>02927</v>
      </c>
      <c r="AE202">
        <v>1101110085450</v>
      </c>
      <c r="AF202" t="s">
        <v>40</v>
      </c>
      <c r="AG202" t="s">
        <v>2</v>
      </c>
      <c r="AH202" t="s">
        <v>41</v>
      </c>
      <c r="AJ202" t="s">
        <v>42</v>
      </c>
    </row>
    <row r="203" spans="1:36">
      <c r="A203" t="s">
        <v>1886</v>
      </c>
      <c r="B203" t="s">
        <v>736</v>
      </c>
      <c r="F203" t="str">
        <f t="shared" si="3"/>
        <v>02969</v>
      </c>
      <c r="AE203">
        <v>1101110003345</v>
      </c>
      <c r="AG203" t="s">
        <v>2</v>
      </c>
      <c r="AH203" t="s">
        <v>82</v>
      </c>
      <c r="AI203" t="s">
        <v>83</v>
      </c>
      <c r="AJ203" t="s">
        <v>84</v>
      </c>
    </row>
    <row r="204" spans="1:36">
      <c r="A204" t="s">
        <v>1887</v>
      </c>
      <c r="B204" t="s">
        <v>737</v>
      </c>
      <c r="F204" t="str">
        <f t="shared" si="3"/>
        <v>02978</v>
      </c>
      <c r="AE204">
        <v>1101110152738</v>
      </c>
      <c r="AG204" t="s">
        <v>2</v>
      </c>
      <c r="AH204" t="s">
        <v>327</v>
      </c>
      <c r="AI204" t="s">
        <v>59</v>
      </c>
      <c r="AJ204" t="s">
        <v>328</v>
      </c>
    </row>
    <row r="205" spans="1:36">
      <c r="A205" t="s">
        <v>1888</v>
      </c>
      <c r="B205" t="s">
        <v>738</v>
      </c>
      <c r="F205" t="str">
        <f t="shared" si="3"/>
        <v>02988</v>
      </c>
      <c r="AE205">
        <v>1101110095201</v>
      </c>
      <c r="AF205" t="s">
        <v>329</v>
      </c>
      <c r="AG205" t="s">
        <v>2</v>
      </c>
      <c r="AH205" t="s">
        <v>248</v>
      </c>
      <c r="AI205" t="s">
        <v>249</v>
      </c>
      <c r="AJ205" t="s">
        <v>121</v>
      </c>
    </row>
    <row r="206" spans="1:36">
      <c r="A206" t="s">
        <v>1889</v>
      </c>
      <c r="B206" t="s">
        <v>2148</v>
      </c>
      <c r="F206" t="str">
        <f t="shared" si="3"/>
        <v>03001</v>
      </c>
      <c r="AE206">
        <v>1101110087018</v>
      </c>
      <c r="AG206" t="s">
        <v>2</v>
      </c>
      <c r="AH206" t="s">
        <v>86</v>
      </c>
      <c r="AI206" t="s">
        <v>32</v>
      </c>
      <c r="AJ206" t="s">
        <v>32</v>
      </c>
    </row>
    <row r="207" spans="1:36">
      <c r="A207" t="s">
        <v>1890</v>
      </c>
      <c r="B207" t="s">
        <v>742</v>
      </c>
      <c r="F207" t="str">
        <f t="shared" si="3"/>
        <v>03004</v>
      </c>
      <c r="AE207">
        <v>1746110000741</v>
      </c>
      <c r="AF207" t="s">
        <v>238</v>
      </c>
      <c r="AG207" t="s">
        <v>2</v>
      </c>
      <c r="AH207" t="s">
        <v>330</v>
      </c>
      <c r="AJ207" t="s">
        <v>331</v>
      </c>
    </row>
    <row r="208" spans="1:36">
      <c r="A208" t="s">
        <v>1891</v>
      </c>
      <c r="B208" t="s">
        <v>614</v>
      </c>
      <c r="F208" t="str">
        <f t="shared" si="3"/>
        <v>03020</v>
      </c>
      <c r="AE208">
        <v>1243110004327</v>
      </c>
      <c r="AF208" t="s">
        <v>68</v>
      </c>
      <c r="AG208" t="s">
        <v>4</v>
      </c>
      <c r="AH208" t="s">
        <v>69</v>
      </c>
      <c r="AI208" t="s">
        <v>70</v>
      </c>
      <c r="AJ208" t="s">
        <v>71</v>
      </c>
    </row>
    <row r="209" spans="1:36">
      <c r="A209" t="s">
        <v>1892</v>
      </c>
      <c r="B209" t="s">
        <v>2149</v>
      </c>
      <c r="F209" t="str">
        <f t="shared" si="3"/>
        <v>03021</v>
      </c>
      <c r="AE209">
        <v>1101110090780</v>
      </c>
      <c r="AG209" t="s">
        <v>4</v>
      </c>
      <c r="AH209" t="s">
        <v>15</v>
      </c>
      <c r="AI209" t="s">
        <v>16</v>
      </c>
      <c r="AJ209" t="s">
        <v>17</v>
      </c>
    </row>
    <row r="210" spans="1:36">
      <c r="A210" t="s">
        <v>1893</v>
      </c>
      <c r="B210" t="s">
        <v>751</v>
      </c>
      <c r="F210" t="str">
        <f t="shared" si="3"/>
        <v>03049</v>
      </c>
      <c r="AE210">
        <v>1846110000583</v>
      </c>
      <c r="AG210" t="s">
        <v>2</v>
      </c>
      <c r="AH210" t="s">
        <v>15</v>
      </c>
      <c r="AI210" t="s">
        <v>16</v>
      </c>
      <c r="AJ210" t="s">
        <v>17</v>
      </c>
    </row>
    <row r="211" spans="1:36">
      <c r="A211" t="s">
        <v>1894</v>
      </c>
      <c r="B211" t="s">
        <v>752</v>
      </c>
      <c r="F211" t="str">
        <f t="shared" si="3"/>
        <v>03061</v>
      </c>
      <c r="AE211">
        <v>1101110093552</v>
      </c>
      <c r="AG211" t="s">
        <v>2</v>
      </c>
      <c r="AH211" t="s">
        <v>332</v>
      </c>
      <c r="AJ211" t="s">
        <v>333</v>
      </c>
    </row>
    <row r="212" spans="1:36">
      <c r="A212" t="s">
        <v>1895</v>
      </c>
      <c r="B212" t="s">
        <v>754</v>
      </c>
      <c r="F212" t="str">
        <f t="shared" si="3"/>
        <v>03062</v>
      </c>
      <c r="AE212">
        <v>1101110094203</v>
      </c>
      <c r="AG212" t="s">
        <v>4</v>
      </c>
      <c r="AH212" t="s">
        <v>334</v>
      </c>
      <c r="AJ212" t="s">
        <v>335</v>
      </c>
    </row>
    <row r="213" spans="1:36">
      <c r="A213" t="s">
        <v>1896</v>
      </c>
      <c r="B213" t="s">
        <v>2150</v>
      </c>
      <c r="F213" t="str">
        <f t="shared" si="3"/>
        <v>03075</v>
      </c>
      <c r="AE213">
        <v>2001110000053</v>
      </c>
      <c r="AG213" t="s">
        <v>4</v>
      </c>
      <c r="AH213" t="s">
        <v>5</v>
      </c>
      <c r="AI213" t="s">
        <v>6</v>
      </c>
      <c r="AJ213" t="s">
        <v>7</v>
      </c>
    </row>
    <row r="214" spans="1:36">
      <c r="A214" t="s">
        <v>1897</v>
      </c>
      <c r="B214" t="s">
        <v>757</v>
      </c>
      <c r="F214" t="str">
        <f t="shared" si="3"/>
        <v>03100</v>
      </c>
      <c r="AE214">
        <v>1201110018110</v>
      </c>
      <c r="AG214" t="s">
        <v>2</v>
      </c>
      <c r="AH214" t="s">
        <v>336</v>
      </c>
      <c r="AJ214" t="s">
        <v>337</v>
      </c>
    </row>
    <row r="215" spans="1:36">
      <c r="A215" t="s">
        <v>1898</v>
      </c>
      <c r="B215" t="s">
        <v>758</v>
      </c>
      <c r="F215" t="str">
        <f t="shared" si="3"/>
        <v>03101</v>
      </c>
      <c r="AE215">
        <v>1341110005202</v>
      </c>
      <c r="AG215" t="s">
        <v>2</v>
      </c>
      <c r="AH215" t="s">
        <v>338</v>
      </c>
      <c r="AJ215" t="s">
        <v>339</v>
      </c>
    </row>
    <row r="216" spans="1:36">
      <c r="A216" t="s">
        <v>1899</v>
      </c>
      <c r="B216" t="s">
        <v>765</v>
      </c>
      <c r="F216" t="str">
        <f t="shared" si="3"/>
        <v>03132</v>
      </c>
      <c r="AE216">
        <v>1101110008212</v>
      </c>
      <c r="AF216" t="s">
        <v>43</v>
      </c>
      <c r="AG216" t="s">
        <v>2</v>
      </c>
      <c r="AH216" t="s">
        <v>213</v>
      </c>
      <c r="AI216" t="s">
        <v>214</v>
      </c>
      <c r="AJ216" t="s">
        <v>89</v>
      </c>
    </row>
    <row r="217" spans="1:36">
      <c r="A217" t="s">
        <v>1900</v>
      </c>
      <c r="B217" t="s">
        <v>768</v>
      </c>
      <c r="F217" t="str">
        <f t="shared" si="3"/>
        <v>03144</v>
      </c>
      <c r="AE217">
        <v>1101110003816</v>
      </c>
      <c r="AG217" t="s">
        <v>4</v>
      </c>
      <c r="AH217" t="s">
        <v>215</v>
      </c>
      <c r="AJ217" t="s">
        <v>115</v>
      </c>
    </row>
    <row r="218" spans="1:36">
      <c r="A218" t="s">
        <v>1901</v>
      </c>
      <c r="B218" t="s">
        <v>2151</v>
      </c>
      <c r="F218" t="str">
        <f t="shared" si="3"/>
        <v>03152</v>
      </c>
      <c r="AE218">
        <v>1101110004038</v>
      </c>
      <c r="AG218" t="s">
        <v>4</v>
      </c>
      <c r="AH218" t="s">
        <v>86</v>
      </c>
      <c r="AI218" t="s">
        <v>32</v>
      </c>
      <c r="AJ218" t="s">
        <v>32</v>
      </c>
    </row>
    <row r="219" spans="1:36">
      <c r="A219" t="s">
        <v>2152</v>
      </c>
      <c r="B219" t="s">
        <v>2153</v>
      </c>
      <c r="F219" t="str">
        <f t="shared" si="3"/>
        <v>03219</v>
      </c>
      <c r="AE219">
        <v>1301110006246</v>
      </c>
      <c r="AF219" t="s">
        <v>340</v>
      </c>
      <c r="AG219" t="s">
        <v>2</v>
      </c>
      <c r="AH219" t="s">
        <v>341</v>
      </c>
      <c r="AJ219" t="s">
        <v>342</v>
      </c>
    </row>
    <row r="220" spans="1:36">
      <c r="A220" t="s">
        <v>2154</v>
      </c>
      <c r="B220" t="s">
        <v>2155</v>
      </c>
      <c r="F220" t="str">
        <f t="shared" si="3"/>
        <v>03234</v>
      </c>
      <c r="AE220">
        <v>1101110098130</v>
      </c>
      <c r="AF220" t="s">
        <v>168</v>
      </c>
      <c r="AG220" t="s">
        <v>2</v>
      </c>
      <c r="AH220" t="s">
        <v>215</v>
      </c>
      <c r="AJ220" t="s">
        <v>115</v>
      </c>
    </row>
    <row r="221" spans="1:36">
      <c r="A221" t="s">
        <v>1902</v>
      </c>
      <c r="B221" t="s">
        <v>778</v>
      </c>
      <c r="F221" t="str">
        <f t="shared" si="3"/>
        <v>03243</v>
      </c>
      <c r="AE221">
        <v>1101110008600</v>
      </c>
      <c r="AG221" t="s">
        <v>2</v>
      </c>
      <c r="AH221" t="s">
        <v>344</v>
      </c>
      <c r="AJ221" t="s">
        <v>345</v>
      </c>
    </row>
    <row r="222" spans="1:36">
      <c r="A222" t="s">
        <v>1903</v>
      </c>
      <c r="B222" t="s">
        <v>781</v>
      </c>
      <c r="F222" t="str">
        <f t="shared" si="3"/>
        <v>03264</v>
      </c>
      <c r="AE222">
        <v>1101110005002</v>
      </c>
      <c r="AG222" t="s">
        <v>2</v>
      </c>
      <c r="AH222" t="s">
        <v>94</v>
      </c>
      <c r="AI222" t="s">
        <v>32</v>
      </c>
      <c r="AJ222" t="s">
        <v>32</v>
      </c>
    </row>
    <row r="223" spans="1:36">
      <c r="A223" t="s">
        <v>1904</v>
      </c>
      <c r="B223" t="s">
        <v>782</v>
      </c>
      <c r="F223" t="str">
        <f t="shared" si="3"/>
        <v>03271</v>
      </c>
      <c r="AE223">
        <v>1101110098940</v>
      </c>
      <c r="AG223" t="s">
        <v>4</v>
      </c>
      <c r="AH223" t="s">
        <v>86</v>
      </c>
      <c r="AI223" t="s">
        <v>32</v>
      </c>
      <c r="AJ223" t="s">
        <v>32</v>
      </c>
    </row>
    <row r="224" spans="1:36">
      <c r="A224" t="s">
        <v>2156</v>
      </c>
      <c r="B224" t="s">
        <v>2157</v>
      </c>
      <c r="F224" t="str">
        <f t="shared" si="3"/>
        <v>03316</v>
      </c>
      <c r="AE224">
        <v>1101110099609</v>
      </c>
      <c r="AG224" t="s">
        <v>2</v>
      </c>
      <c r="AH224" t="s">
        <v>15</v>
      </c>
      <c r="AI224" t="s">
        <v>16</v>
      </c>
      <c r="AJ224" t="s">
        <v>17</v>
      </c>
    </row>
    <row r="225" spans="1:36">
      <c r="A225" t="s">
        <v>2158</v>
      </c>
      <c r="B225" t="s">
        <v>2159</v>
      </c>
      <c r="F225" t="str">
        <f t="shared" si="3"/>
        <v>03340</v>
      </c>
      <c r="AE225">
        <v>1101110003098</v>
      </c>
      <c r="AF225" t="s">
        <v>230</v>
      </c>
      <c r="AG225" t="s">
        <v>2</v>
      </c>
      <c r="AH225" t="s">
        <v>348</v>
      </c>
      <c r="AI225" t="s">
        <v>349</v>
      </c>
      <c r="AJ225" t="s">
        <v>303</v>
      </c>
    </row>
    <row r="226" spans="1:36">
      <c r="A226" t="s">
        <v>1905</v>
      </c>
      <c r="B226" t="s">
        <v>792</v>
      </c>
      <c r="F226" t="str">
        <f t="shared" si="3"/>
        <v>03363</v>
      </c>
      <c r="AE226">
        <v>1301110005727</v>
      </c>
      <c r="AF226" t="s">
        <v>74</v>
      </c>
      <c r="AG226" t="s">
        <v>2</v>
      </c>
      <c r="AH226" t="s">
        <v>212</v>
      </c>
      <c r="AI226" t="s">
        <v>59</v>
      </c>
      <c r="AJ226" t="s">
        <v>173</v>
      </c>
    </row>
    <row r="227" spans="1:36">
      <c r="A227" t="s">
        <v>2160</v>
      </c>
      <c r="B227" t="s">
        <v>2161</v>
      </c>
      <c r="F227" t="str">
        <f t="shared" si="3"/>
        <v>03364</v>
      </c>
      <c r="AE227">
        <v>1101110101470</v>
      </c>
      <c r="AG227" t="s">
        <v>2</v>
      </c>
      <c r="AH227" t="s">
        <v>15</v>
      </c>
      <c r="AI227" t="s">
        <v>16</v>
      </c>
      <c r="AJ227" t="s">
        <v>17</v>
      </c>
    </row>
    <row r="228" spans="1:36">
      <c r="A228" t="s">
        <v>1906</v>
      </c>
      <c r="B228" t="s">
        <v>2162</v>
      </c>
      <c r="F228" t="str">
        <f t="shared" si="3"/>
        <v>03366</v>
      </c>
      <c r="AE228">
        <v>1801110001048</v>
      </c>
      <c r="AG228" t="s">
        <v>4</v>
      </c>
      <c r="AH228" t="s">
        <v>341</v>
      </c>
      <c r="AJ228" t="s">
        <v>342</v>
      </c>
    </row>
    <row r="229" spans="1:36">
      <c r="A229" t="s">
        <v>1907</v>
      </c>
      <c r="B229" t="s">
        <v>799</v>
      </c>
      <c r="F229" t="str">
        <f t="shared" si="3"/>
        <v>03401</v>
      </c>
      <c r="AE229">
        <v>2201110000819</v>
      </c>
      <c r="AG229" t="s">
        <v>2</v>
      </c>
      <c r="AH229" t="s">
        <v>5</v>
      </c>
      <c r="AI229" t="s">
        <v>6</v>
      </c>
      <c r="AJ229" t="s">
        <v>7</v>
      </c>
    </row>
    <row r="230" spans="1:36">
      <c r="A230" t="s">
        <v>1908</v>
      </c>
      <c r="B230" t="s">
        <v>802</v>
      </c>
      <c r="F230" t="str">
        <f t="shared" si="3"/>
        <v>03404</v>
      </c>
      <c r="AE230">
        <v>1101110003965</v>
      </c>
      <c r="AF230" t="s">
        <v>68</v>
      </c>
      <c r="AG230" t="s">
        <v>2</v>
      </c>
      <c r="AH230" t="s">
        <v>15</v>
      </c>
      <c r="AI230" t="s">
        <v>16</v>
      </c>
      <c r="AJ230" t="s">
        <v>17</v>
      </c>
    </row>
    <row r="231" spans="1:36">
      <c r="A231" t="s">
        <v>1909</v>
      </c>
      <c r="B231" t="s">
        <v>803</v>
      </c>
      <c r="F231" t="str">
        <f t="shared" si="3"/>
        <v>03430</v>
      </c>
      <c r="AE231">
        <v>1101110109854</v>
      </c>
      <c r="AG231" t="s">
        <v>2</v>
      </c>
      <c r="AH231" t="s">
        <v>8</v>
      </c>
      <c r="AJ231" t="s">
        <v>9</v>
      </c>
    </row>
    <row r="232" spans="1:36">
      <c r="A232" t="s">
        <v>1910</v>
      </c>
      <c r="B232" t="s">
        <v>804</v>
      </c>
      <c r="F232" t="str">
        <f t="shared" si="3"/>
        <v>03432</v>
      </c>
      <c r="AE232">
        <v>1101110008197</v>
      </c>
      <c r="AG232" t="s">
        <v>4</v>
      </c>
      <c r="AH232" t="s">
        <v>354</v>
      </c>
      <c r="AJ232" t="s">
        <v>256</v>
      </c>
    </row>
    <row r="233" spans="1:36">
      <c r="A233" t="s">
        <v>1911</v>
      </c>
      <c r="B233" t="s">
        <v>807</v>
      </c>
      <c r="F233" t="str">
        <f t="shared" si="3"/>
        <v>03523</v>
      </c>
      <c r="AE233">
        <v>1348110001181</v>
      </c>
      <c r="AG233" t="s">
        <v>2</v>
      </c>
      <c r="AH233" t="s">
        <v>355</v>
      </c>
      <c r="AJ233" t="s">
        <v>356</v>
      </c>
    </row>
    <row r="234" spans="1:36">
      <c r="A234" t="s">
        <v>1912</v>
      </c>
      <c r="B234" t="s">
        <v>809</v>
      </c>
      <c r="F234" t="str">
        <f t="shared" si="3"/>
        <v>03602</v>
      </c>
      <c r="AE234">
        <v>2101110000043</v>
      </c>
      <c r="AG234" t="s">
        <v>4</v>
      </c>
      <c r="AH234" t="s">
        <v>5</v>
      </c>
      <c r="AI234" t="s">
        <v>6</v>
      </c>
      <c r="AJ234" t="s">
        <v>7</v>
      </c>
    </row>
    <row r="235" spans="1:36">
      <c r="A235" t="s">
        <v>1913</v>
      </c>
      <c r="B235" t="s">
        <v>810</v>
      </c>
      <c r="F235" t="str">
        <f t="shared" si="3"/>
        <v>03654</v>
      </c>
      <c r="AE235">
        <v>1101110002694</v>
      </c>
      <c r="AF235" t="s">
        <v>127</v>
      </c>
      <c r="AG235" t="s">
        <v>2</v>
      </c>
      <c r="AH235" t="s">
        <v>209</v>
      </c>
      <c r="AI235" t="s">
        <v>32</v>
      </c>
      <c r="AJ235" t="s">
        <v>52</v>
      </c>
    </row>
    <row r="236" spans="1:36">
      <c r="A236" t="s">
        <v>1914</v>
      </c>
      <c r="B236" t="s">
        <v>815</v>
      </c>
      <c r="F236" t="str">
        <f t="shared" si="3"/>
        <v>03713</v>
      </c>
      <c r="AE236">
        <v>1701110003814</v>
      </c>
      <c r="AG236" t="s">
        <v>2</v>
      </c>
      <c r="AH236" t="s">
        <v>120</v>
      </c>
      <c r="AJ236" t="s">
        <v>121</v>
      </c>
    </row>
    <row r="237" spans="1:36">
      <c r="A237" t="s">
        <v>1915</v>
      </c>
      <c r="B237" t="s">
        <v>819</v>
      </c>
      <c r="F237" t="str">
        <f t="shared" si="3"/>
        <v>03757</v>
      </c>
      <c r="AE237">
        <v>1101110111825</v>
      </c>
      <c r="AG237" t="s">
        <v>2</v>
      </c>
      <c r="AH237" t="s">
        <v>359</v>
      </c>
      <c r="AI237" t="s">
        <v>59</v>
      </c>
      <c r="AJ237" t="s">
        <v>360</v>
      </c>
    </row>
    <row r="238" spans="1:36">
      <c r="A238" t="s">
        <v>1916</v>
      </c>
      <c r="B238" t="s">
        <v>822</v>
      </c>
      <c r="F238" t="str">
        <f t="shared" si="3"/>
        <v>03776</v>
      </c>
      <c r="AE238">
        <v>1101110111867</v>
      </c>
      <c r="AG238" t="s">
        <v>2</v>
      </c>
      <c r="AH238" t="s">
        <v>237</v>
      </c>
      <c r="AJ238" t="s">
        <v>220</v>
      </c>
    </row>
    <row r="239" spans="1:36">
      <c r="A239" t="s">
        <v>1917</v>
      </c>
      <c r="B239" t="s">
        <v>2163</v>
      </c>
      <c r="F239" t="str">
        <f t="shared" si="3"/>
        <v>03787</v>
      </c>
      <c r="AE239">
        <v>1101110394174</v>
      </c>
      <c r="AF239" t="s">
        <v>340</v>
      </c>
      <c r="AG239" t="s">
        <v>2</v>
      </c>
      <c r="AH239" t="s">
        <v>362</v>
      </c>
      <c r="AI239" t="s">
        <v>70</v>
      </c>
      <c r="AJ239" t="s">
        <v>363</v>
      </c>
    </row>
    <row r="240" spans="1:36">
      <c r="A240" t="s">
        <v>1918</v>
      </c>
      <c r="B240" t="s">
        <v>824</v>
      </c>
      <c r="F240" t="str">
        <f t="shared" si="3"/>
        <v>03826</v>
      </c>
      <c r="AE240">
        <v>1101110016190</v>
      </c>
      <c r="AG240" t="s">
        <v>4</v>
      </c>
      <c r="AH240" t="s">
        <v>51</v>
      </c>
      <c r="AI240" t="s">
        <v>32</v>
      </c>
      <c r="AJ240" t="s">
        <v>52</v>
      </c>
    </row>
    <row r="241" spans="1:36">
      <c r="A241" t="s">
        <v>1919</v>
      </c>
      <c r="B241" t="s">
        <v>2164</v>
      </c>
      <c r="F241" t="str">
        <f t="shared" si="3"/>
        <v>03829</v>
      </c>
      <c r="AE241">
        <v>1101110018592</v>
      </c>
      <c r="AG241" t="s">
        <v>2</v>
      </c>
      <c r="AH241" t="s">
        <v>364</v>
      </c>
      <c r="AI241" t="s">
        <v>83</v>
      </c>
      <c r="AJ241" t="s">
        <v>365</v>
      </c>
    </row>
    <row r="242" spans="1:36">
      <c r="A242" t="s">
        <v>1920</v>
      </c>
      <c r="B242" t="s">
        <v>829</v>
      </c>
      <c r="F242" t="str">
        <f t="shared" si="3"/>
        <v>03837</v>
      </c>
      <c r="AE242">
        <v>1101110020381</v>
      </c>
      <c r="AG242" t="s">
        <v>4</v>
      </c>
    </row>
    <row r="243" spans="1:36">
      <c r="A243" t="s">
        <v>1921</v>
      </c>
      <c r="B243" t="s">
        <v>2165</v>
      </c>
      <c r="F243" t="str">
        <f t="shared" si="3"/>
        <v>03839</v>
      </c>
      <c r="AE243">
        <v>1101110021678</v>
      </c>
      <c r="AG243" t="s">
        <v>2</v>
      </c>
      <c r="AH243" t="s">
        <v>366</v>
      </c>
      <c r="AJ243" t="s">
        <v>367</v>
      </c>
    </row>
    <row r="244" spans="1:36">
      <c r="A244" t="s">
        <v>1922</v>
      </c>
      <c r="B244" t="s">
        <v>832</v>
      </c>
      <c r="F244" t="str">
        <f t="shared" si="3"/>
        <v>03840</v>
      </c>
      <c r="AE244">
        <v>1101110166250</v>
      </c>
      <c r="AG244" t="s">
        <v>4</v>
      </c>
      <c r="AH244" t="s">
        <v>8</v>
      </c>
      <c r="AJ244" t="s">
        <v>9</v>
      </c>
    </row>
    <row r="245" spans="1:36">
      <c r="A245" t="s">
        <v>1923</v>
      </c>
      <c r="B245" t="s">
        <v>835</v>
      </c>
      <c r="F245" t="str">
        <f t="shared" si="3"/>
        <v>03864</v>
      </c>
      <c r="AE245">
        <v>1901110000197</v>
      </c>
      <c r="AG245" t="s">
        <v>4</v>
      </c>
      <c r="AH245" t="s">
        <v>5</v>
      </c>
      <c r="AI245" t="s">
        <v>6</v>
      </c>
      <c r="AJ245" t="s">
        <v>7</v>
      </c>
    </row>
    <row r="246" spans="1:36">
      <c r="A246" t="s">
        <v>1924</v>
      </c>
      <c r="B246" t="s">
        <v>836</v>
      </c>
      <c r="F246" t="str">
        <f t="shared" si="3"/>
        <v>03865</v>
      </c>
      <c r="AE246">
        <v>1101110024698</v>
      </c>
      <c r="AG246" t="s">
        <v>2</v>
      </c>
      <c r="AH246" t="s">
        <v>128</v>
      </c>
      <c r="AI246" t="s">
        <v>59</v>
      </c>
      <c r="AJ246" t="s">
        <v>129</v>
      </c>
    </row>
    <row r="247" spans="1:36">
      <c r="A247" t="s">
        <v>1925</v>
      </c>
      <c r="B247" t="s">
        <v>843</v>
      </c>
      <c r="F247" t="str">
        <f t="shared" si="3"/>
        <v>03896</v>
      </c>
      <c r="AE247">
        <v>1801110044535</v>
      </c>
      <c r="AG247" t="s">
        <v>4</v>
      </c>
      <c r="AH247" t="s">
        <v>368</v>
      </c>
      <c r="AJ247" t="s">
        <v>369</v>
      </c>
    </row>
    <row r="248" spans="1:36">
      <c r="A248" t="s">
        <v>1926</v>
      </c>
      <c r="B248" t="s">
        <v>854</v>
      </c>
      <c r="F248" t="str">
        <f t="shared" si="3"/>
        <v>03914</v>
      </c>
      <c r="AE248">
        <v>1101110011679</v>
      </c>
      <c r="AF248" t="s">
        <v>370</v>
      </c>
      <c r="AG248" t="s">
        <v>2</v>
      </c>
      <c r="AH248" t="s">
        <v>114</v>
      </c>
      <c r="AI248" t="s">
        <v>63</v>
      </c>
      <c r="AJ248" t="s">
        <v>115</v>
      </c>
    </row>
    <row r="249" spans="1:36">
      <c r="A249" t="s">
        <v>1927</v>
      </c>
      <c r="B249" t="s">
        <v>855</v>
      </c>
      <c r="F249" t="str">
        <f t="shared" si="3"/>
        <v>03916</v>
      </c>
      <c r="AE249">
        <v>1101110053407</v>
      </c>
      <c r="AG249" t="s">
        <v>4</v>
      </c>
      <c r="AH249" t="s">
        <v>209</v>
      </c>
      <c r="AI249" t="s">
        <v>32</v>
      </c>
      <c r="AJ249" t="s">
        <v>52</v>
      </c>
    </row>
    <row r="250" spans="1:36">
      <c r="A250" t="s">
        <v>1928</v>
      </c>
      <c r="B250" t="s">
        <v>859</v>
      </c>
      <c r="F250" t="str">
        <f t="shared" si="3"/>
        <v>03920</v>
      </c>
      <c r="AE250">
        <v>1101110082109</v>
      </c>
      <c r="AG250" t="s">
        <v>4</v>
      </c>
      <c r="AH250" t="s">
        <v>371</v>
      </c>
      <c r="AI250" t="s">
        <v>83</v>
      </c>
      <c r="AJ250" t="s">
        <v>372</v>
      </c>
    </row>
    <row r="251" spans="1:36">
      <c r="A251" t="s">
        <v>1929</v>
      </c>
      <c r="B251" t="s">
        <v>860</v>
      </c>
      <c r="F251" t="str">
        <f t="shared" si="3"/>
        <v>03922</v>
      </c>
      <c r="AE251">
        <v>1101110089717</v>
      </c>
      <c r="AG251" t="s">
        <v>4</v>
      </c>
      <c r="AH251" t="s">
        <v>373</v>
      </c>
      <c r="AJ251" t="s">
        <v>374</v>
      </c>
    </row>
    <row r="252" spans="1:36">
      <c r="A252" t="s">
        <v>1930</v>
      </c>
      <c r="B252" t="s">
        <v>2166</v>
      </c>
      <c r="F252" t="str">
        <f t="shared" si="3"/>
        <v>03934</v>
      </c>
      <c r="AE252">
        <v>1101110090037</v>
      </c>
      <c r="AF252" t="s">
        <v>127</v>
      </c>
      <c r="AG252" t="s">
        <v>2</v>
      </c>
      <c r="AH252" t="s">
        <v>376</v>
      </c>
      <c r="AI252" t="s">
        <v>249</v>
      </c>
      <c r="AJ252" t="s">
        <v>377</v>
      </c>
    </row>
    <row r="253" spans="1:36">
      <c r="A253" t="s">
        <v>1931</v>
      </c>
      <c r="B253" t="s">
        <v>866</v>
      </c>
      <c r="F253" t="str">
        <f t="shared" si="3"/>
        <v>03936</v>
      </c>
      <c r="AE253">
        <v>1101110109763</v>
      </c>
      <c r="AG253" t="s">
        <v>4</v>
      </c>
      <c r="AH253" t="s">
        <v>288</v>
      </c>
      <c r="AI253" t="s">
        <v>76</v>
      </c>
      <c r="AJ253" t="s">
        <v>289</v>
      </c>
    </row>
    <row r="254" spans="1:36">
      <c r="A254" t="s">
        <v>1932</v>
      </c>
      <c r="B254" t="s">
        <v>869</v>
      </c>
      <c r="F254" t="str">
        <f t="shared" si="3"/>
        <v>03937</v>
      </c>
      <c r="AE254">
        <v>1101110112328</v>
      </c>
      <c r="AG254" t="s">
        <v>2</v>
      </c>
      <c r="AH254" t="s">
        <v>348</v>
      </c>
      <c r="AI254" t="s">
        <v>349</v>
      </c>
      <c r="AJ254" t="s">
        <v>303</v>
      </c>
    </row>
    <row r="255" spans="1:36">
      <c r="A255" t="s">
        <v>1933</v>
      </c>
      <c r="B255" t="s">
        <v>871</v>
      </c>
      <c r="F255" t="str">
        <f t="shared" si="3"/>
        <v>03940</v>
      </c>
      <c r="AE255">
        <v>1348110000034</v>
      </c>
      <c r="AG255" t="s">
        <v>4</v>
      </c>
      <c r="AH255" t="s">
        <v>160</v>
      </c>
      <c r="AI255" t="s">
        <v>101</v>
      </c>
      <c r="AJ255" t="s">
        <v>161</v>
      </c>
    </row>
    <row r="256" spans="1:36">
      <c r="A256" t="s">
        <v>1934</v>
      </c>
      <c r="B256" t="s">
        <v>872</v>
      </c>
      <c r="F256" t="str">
        <f t="shared" si="3"/>
        <v>03946</v>
      </c>
      <c r="AE256">
        <v>1341110002258</v>
      </c>
      <c r="AG256" t="s">
        <v>2</v>
      </c>
      <c r="AH256" t="s">
        <v>379</v>
      </c>
      <c r="AI256" t="s">
        <v>150</v>
      </c>
      <c r="AJ256" t="s">
        <v>380</v>
      </c>
    </row>
    <row r="257" spans="1:36">
      <c r="A257" t="s">
        <v>1935</v>
      </c>
      <c r="B257" t="s">
        <v>873</v>
      </c>
      <c r="F257" t="str">
        <f t="shared" si="3"/>
        <v>03954</v>
      </c>
      <c r="AE257">
        <v>1101110117211</v>
      </c>
      <c r="AG257" t="s">
        <v>2</v>
      </c>
      <c r="AH257" t="s">
        <v>381</v>
      </c>
      <c r="AI257" t="s">
        <v>6</v>
      </c>
      <c r="AJ257" t="s">
        <v>382</v>
      </c>
    </row>
    <row r="258" spans="1:36">
      <c r="A258" t="s">
        <v>1936</v>
      </c>
      <c r="B258" t="s">
        <v>876</v>
      </c>
      <c r="F258" t="str">
        <f t="shared" si="3"/>
        <v>03962</v>
      </c>
      <c r="AE258">
        <v>1101110122731</v>
      </c>
      <c r="AG258" t="s">
        <v>2</v>
      </c>
      <c r="AH258" t="s">
        <v>383</v>
      </c>
      <c r="AI258" t="s">
        <v>384</v>
      </c>
      <c r="AJ258" t="s">
        <v>385</v>
      </c>
    </row>
    <row r="259" spans="1:36">
      <c r="A259" t="s">
        <v>1937</v>
      </c>
      <c r="B259" t="s">
        <v>2167</v>
      </c>
      <c r="F259" t="str">
        <f t="shared" si="3"/>
        <v>04004</v>
      </c>
      <c r="AE259">
        <v>1345110000973</v>
      </c>
      <c r="AG259" t="s">
        <v>4</v>
      </c>
      <c r="AH259" t="s">
        <v>386</v>
      </c>
      <c r="AJ259" t="s">
        <v>291</v>
      </c>
    </row>
    <row r="260" spans="1:36">
      <c r="A260" t="s">
        <v>1938</v>
      </c>
      <c r="B260" t="s">
        <v>888</v>
      </c>
      <c r="F260" t="str">
        <f t="shared" si="3"/>
        <v>04011</v>
      </c>
      <c r="AE260">
        <v>1801110018663</v>
      </c>
      <c r="AG260" t="s">
        <v>4</v>
      </c>
      <c r="AH260" t="s">
        <v>387</v>
      </c>
      <c r="AJ260" t="s">
        <v>388</v>
      </c>
    </row>
    <row r="261" spans="1:36">
      <c r="A261" t="s">
        <v>1939</v>
      </c>
      <c r="B261" t="s">
        <v>891</v>
      </c>
      <c r="F261" t="str">
        <f t="shared" si="3"/>
        <v>04016</v>
      </c>
      <c r="AE261">
        <v>1501110003058</v>
      </c>
      <c r="AG261" t="s">
        <v>2</v>
      </c>
      <c r="AH261" t="s">
        <v>209</v>
      </c>
      <c r="AI261" t="s">
        <v>32</v>
      </c>
      <c r="AJ261" t="s">
        <v>52</v>
      </c>
    </row>
    <row r="262" spans="1:36">
      <c r="A262" t="s">
        <v>1940</v>
      </c>
      <c r="B262" t="s">
        <v>892</v>
      </c>
      <c r="F262" t="str">
        <f t="shared" si="3"/>
        <v>04019</v>
      </c>
      <c r="AE262">
        <v>1101110126642</v>
      </c>
      <c r="AG262" t="s">
        <v>2</v>
      </c>
      <c r="AH262" t="s">
        <v>128</v>
      </c>
      <c r="AI262" t="s">
        <v>59</v>
      </c>
      <c r="AJ262" t="s">
        <v>129</v>
      </c>
    </row>
    <row r="263" spans="1:36">
      <c r="A263" t="s">
        <v>1941</v>
      </c>
      <c r="B263" t="s">
        <v>897</v>
      </c>
      <c r="F263" t="str">
        <f t="shared" si="3"/>
        <v>04021</v>
      </c>
      <c r="AE263">
        <v>1101110126783</v>
      </c>
      <c r="AG263" t="s">
        <v>2</v>
      </c>
      <c r="AH263" t="s">
        <v>319</v>
      </c>
      <c r="AJ263" t="s">
        <v>320</v>
      </c>
    </row>
    <row r="264" spans="1:36">
      <c r="A264" t="s">
        <v>1942</v>
      </c>
      <c r="B264" t="s">
        <v>902</v>
      </c>
      <c r="F264" t="str">
        <f t="shared" si="3"/>
        <v>04047</v>
      </c>
      <c r="AE264">
        <v>1101110128341</v>
      </c>
      <c r="AG264" t="s">
        <v>4</v>
      </c>
      <c r="AH264" t="s">
        <v>381</v>
      </c>
      <c r="AI264" t="s">
        <v>6</v>
      </c>
      <c r="AJ264" t="s">
        <v>382</v>
      </c>
    </row>
    <row r="265" spans="1:36">
      <c r="A265" t="s">
        <v>1943</v>
      </c>
      <c r="B265" t="s">
        <v>903</v>
      </c>
      <c r="F265" t="str">
        <f t="shared" si="3"/>
        <v>04053</v>
      </c>
      <c r="AE265">
        <v>1801110005701</v>
      </c>
      <c r="AG265" t="s">
        <v>4</v>
      </c>
      <c r="AH265" t="s">
        <v>390</v>
      </c>
      <c r="AI265" t="s">
        <v>55</v>
      </c>
      <c r="AJ265" t="s">
        <v>391</v>
      </c>
    </row>
    <row r="266" spans="1:36">
      <c r="A266" t="s">
        <v>1944</v>
      </c>
      <c r="B266" t="s">
        <v>907</v>
      </c>
      <c r="F266" t="str">
        <f t="shared" ref="F266:F329" si="4">CHOOSE($C$1, A266, B266)</f>
        <v>04067</v>
      </c>
      <c r="AE266">
        <v>1341110000806</v>
      </c>
      <c r="AG266" t="s">
        <v>4</v>
      </c>
      <c r="AH266" t="s">
        <v>393</v>
      </c>
      <c r="AI266" t="s">
        <v>146</v>
      </c>
      <c r="AJ266" t="s">
        <v>394</v>
      </c>
    </row>
    <row r="267" spans="1:36">
      <c r="A267" t="s">
        <v>1945</v>
      </c>
      <c r="B267" t="s">
        <v>908</v>
      </c>
      <c r="F267" t="str">
        <f t="shared" si="4"/>
        <v>04069</v>
      </c>
      <c r="AE267">
        <v>1301110010031</v>
      </c>
      <c r="AG267" t="s">
        <v>2</v>
      </c>
      <c r="AH267" t="s">
        <v>396</v>
      </c>
      <c r="AI267" t="s">
        <v>275</v>
      </c>
      <c r="AJ267" t="s">
        <v>397</v>
      </c>
    </row>
    <row r="268" spans="1:36">
      <c r="A268" t="s">
        <v>1946</v>
      </c>
      <c r="B268" t="s">
        <v>2168</v>
      </c>
      <c r="F268" t="str">
        <f t="shared" si="4"/>
        <v>04103</v>
      </c>
      <c r="AE268">
        <v>1748110000151</v>
      </c>
      <c r="AG268" t="s">
        <v>4</v>
      </c>
      <c r="AH268" t="s">
        <v>212</v>
      </c>
      <c r="AI268" t="s">
        <v>59</v>
      </c>
      <c r="AJ268" t="s">
        <v>173</v>
      </c>
    </row>
    <row r="269" spans="1:36">
      <c r="A269" t="s">
        <v>1947</v>
      </c>
      <c r="B269" t="s">
        <v>2169</v>
      </c>
      <c r="F269" t="str">
        <f t="shared" si="4"/>
        <v>04107</v>
      </c>
      <c r="AE269">
        <v>1244110000662</v>
      </c>
      <c r="AG269" t="s">
        <v>2</v>
      </c>
      <c r="AH269" t="s">
        <v>158</v>
      </c>
      <c r="AI269" t="s">
        <v>150</v>
      </c>
      <c r="AJ269" t="s">
        <v>159</v>
      </c>
    </row>
    <row r="270" spans="1:36">
      <c r="A270" t="s">
        <v>1948</v>
      </c>
      <c r="B270" t="s">
        <v>2170</v>
      </c>
      <c r="F270" t="str">
        <f t="shared" si="4"/>
        <v>04130</v>
      </c>
      <c r="AE270">
        <v>1311110000221</v>
      </c>
      <c r="AG270" t="s">
        <v>4</v>
      </c>
      <c r="AH270" t="s">
        <v>398</v>
      </c>
      <c r="AJ270" t="s">
        <v>399</v>
      </c>
    </row>
    <row r="271" spans="1:36">
      <c r="A271" t="s">
        <v>1949</v>
      </c>
      <c r="B271" t="s">
        <v>911</v>
      </c>
      <c r="F271" t="str">
        <f t="shared" si="4"/>
        <v>04139</v>
      </c>
      <c r="AE271">
        <v>2042110000792</v>
      </c>
      <c r="AG271" t="s">
        <v>4</v>
      </c>
      <c r="AH271" t="s">
        <v>51</v>
      </c>
      <c r="AI271" t="s">
        <v>32</v>
      </c>
      <c r="AJ271" t="s">
        <v>52</v>
      </c>
    </row>
    <row r="272" spans="1:36">
      <c r="A272" t="s">
        <v>1950</v>
      </c>
      <c r="B272" t="s">
        <v>912</v>
      </c>
      <c r="F272" t="str">
        <f t="shared" si="4"/>
        <v>04223</v>
      </c>
      <c r="AE272">
        <v>1201110001959</v>
      </c>
      <c r="AG272" t="s">
        <v>2</v>
      </c>
      <c r="AH272" t="s">
        <v>400</v>
      </c>
      <c r="AJ272" t="s">
        <v>401</v>
      </c>
    </row>
    <row r="273" spans="1:36">
      <c r="A273" t="s">
        <v>1951</v>
      </c>
      <c r="B273" t="s">
        <v>1493</v>
      </c>
      <c r="F273" t="str">
        <f t="shared" si="4"/>
        <v>04227</v>
      </c>
      <c r="AE273">
        <v>1101110137558</v>
      </c>
      <c r="AG273" t="s">
        <v>4</v>
      </c>
      <c r="AH273" t="s">
        <v>403</v>
      </c>
      <c r="AI273" t="s">
        <v>55</v>
      </c>
      <c r="AJ273" t="s">
        <v>404</v>
      </c>
    </row>
    <row r="274" spans="1:36">
      <c r="A274" t="s">
        <v>1952</v>
      </c>
      <c r="B274" t="s">
        <v>916</v>
      </c>
      <c r="F274" t="str">
        <f t="shared" si="4"/>
        <v>04324</v>
      </c>
      <c r="AE274">
        <v>1101111109134</v>
      </c>
      <c r="AF274" t="s">
        <v>24</v>
      </c>
      <c r="AG274" t="s">
        <v>2</v>
      </c>
      <c r="AH274" t="s">
        <v>406</v>
      </c>
      <c r="AI274" t="s">
        <v>249</v>
      </c>
      <c r="AJ274" t="s">
        <v>407</v>
      </c>
    </row>
    <row r="275" spans="1:36">
      <c r="A275" t="s">
        <v>1953</v>
      </c>
      <c r="B275" t="s">
        <v>919</v>
      </c>
      <c r="F275" t="str">
        <f t="shared" si="4"/>
        <v>04364</v>
      </c>
      <c r="AE275">
        <v>1101110302440</v>
      </c>
      <c r="AG275" t="s">
        <v>4</v>
      </c>
      <c r="AH275" t="s">
        <v>408</v>
      </c>
      <c r="AJ275" t="s">
        <v>409</v>
      </c>
    </row>
    <row r="276" spans="1:36">
      <c r="A276" t="s">
        <v>1954</v>
      </c>
      <c r="B276" t="s">
        <v>920</v>
      </c>
      <c r="F276" t="str">
        <f t="shared" si="4"/>
        <v>04376</v>
      </c>
      <c r="AE276">
        <v>1243110004252</v>
      </c>
      <c r="AG276" t="s">
        <v>2</v>
      </c>
      <c r="AH276" t="s">
        <v>34</v>
      </c>
      <c r="AI276" t="s">
        <v>35</v>
      </c>
      <c r="AJ276" t="s">
        <v>36</v>
      </c>
    </row>
    <row r="277" spans="1:36">
      <c r="A277" t="s">
        <v>1955</v>
      </c>
      <c r="B277" t="s">
        <v>921</v>
      </c>
      <c r="F277" t="str">
        <f t="shared" si="4"/>
        <v>04484</v>
      </c>
      <c r="AE277">
        <v>1101110141301</v>
      </c>
      <c r="AG277" t="s">
        <v>2</v>
      </c>
      <c r="AH277" t="s">
        <v>114</v>
      </c>
      <c r="AI277" t="s">
        <v>63</v>
      </c>
      <c r="AJ277" t="s">
        <v>115</v>
      </c>
    </row>
    <row r="278" spans="1:36">
      <c r="A278" t="s">
        <v>1956</v>
      </c>
      <c r="B278" t="s">
        <v>2171</v>
      </c>
      <c r="F278" t="str">
        <f t="shared" si="4"/>
        <v>04908</v>
      </c>
      <c r="AE278">
        <v>1101110141559</v>
      </c>
      <c r="AF278" t="s">
        <v>68</v>
      </c>
      <c r="AG278" t="s">
        <v>4</v>
      </c>
      <c r="AH278" t="s">
        <v>145</v>
      </c>
      <c r="AI278" t="s">
        <v>146</v>
      </c>
      <c r="AJ278" t="s">
        <v>147</v>
      </c>
    </row>
    <row r="279" spans="1:36">
      <c r="A279" t="s">
        <v>1957</v>
      </c>
      <c r="B279" t="s">
        <v>938</v>
      </c>
      <c r="F279" t="str">
        <f t="shared" si="4"/>
        <v>04932</v>
      </c>
      <c r="AE279">
        <v>1101110172447</v>
      </c>
      <c r="AG279" t="s">
        <v>2</v>
      </c>
      <c r="AH279" t="s">
        <v>412</v>
      </c>
      <c r="AJ279" t="s">
        <v>413</v>
      </c>
    </row>
    <row r="280" spans="1:36">
      <c r="A280" t="s">
        <v>1958</v>
      </c>
      <c r="B280" t="s">
        <v>939</v>
      </c>
      <c r="F280" t="str">
        <f t="shared" si="4"/>
        <v>04934</v>
      </c>
      <c r="AE280">
        <v>1101110142854</v>
      </c>
      <c r="AG280" t="s">
        <v>4</v>
      </c>
      <c r="AH280" t="s">
        <v>414</v>
      </c>
      <c r="AJ280" t="s">
        <v>298</v>
      </c>
    </row>
    <row r="281" spans="1:36">
      <c r="A281" t="s">
        <v>1959</v>
      </c>
      <c r="B281" t="s">
        <v>943</v>
      </c>
      <c r="F281" t="str">
        <f t="shared" si="4"/>
        <v>04971</v>
      </c>
      <c r="AE281">
        <v>1101110143448</v>
      </c>
      <c r="AG281" t="s">
        <v>4</v>
      </c>
      <c r="AH281" t="s">
        <v>114</v>
      </c>
      <c r="AI281" t="s">
        <v>63</v>
      </c>
      <c r="AJ281" t="s">
        <v>115</v>
      </c>
    </row>
    <row r="282" spans="1:36">
      <c r="A282" t="s">
        <v>1960</v>
      </c>
      <c r="B282" t="s">
        <v>946</v>
      </c>
      <c r="F282" t="str">
        <f t="shared" si="4"/>
        <v>04998</v>
      </c>
      <c r="AE282">
        <v>1101110144347</v>
      </c>
      <c r="AG282" t="s">
        <v>4</v>
      </c>
      <c r="AH282" t="s">
        <v>209</v>
      </c>
      <c r="AI282" t="s">
        <v>32</v>
      </c>
      <c r="AJ282" t="s">
        <v>52</v>
      </c>
    </row>
    <row r="283" spans="1:36">
      <c r="A283" t="s">
        <v>1961</v>
      </c>
      <c r="B283" t="s">
        <v>329</v>
      </c>
      <c r="F283" t="str">
        <f t="shared" si="4"/>
        <v>05248</v>
      </c>
      <c r="AE283">
        <v>1101110145147</v>
      </c>
      <c r="AG283" t="s">
        <v>2</v>
      </c>
      <c r="AH283" t="s">
        <v>417</v>
      </c>
      <c r="AI283" t="s">
        <v>186</v>
      </c>
      <c r="AJ283" t="s">
        <v>418</v>
      </c>
    </row>
    <row r="284" spans="1:36">
      <c r="A284" t="s">
        <v>1962</v>
      </c>
      <c r="B284" t="s">
        <v>948</v>
      </c>
      <c r="F284" t="str">
        <f t="shared" si="4"/>
        <v>05361</v>
      </c>
      <c r="AE284">
        <v>1101110145519</v>
      </c>
      <c r="AF284" t="s">
        <v>340</v>
      </c>
      <c r="AG284" t="s">
        <v>2</v>
      </c>
      <c r="AH284" t="s">
        <v>420</v>
      </c>
      <c r="AI284" t="s">
        <v>249</v>
      </c>
      <c r="AJ284" t="s">
        <v>421</v>
      </c>
    </row>
    <row r="285" spans="1:36">
      <c r="A285" t="s">
        <v>1963</v>
      </c>
      <c r="B285" t="s">
        <v>2172</v>
      </c>
      <c r="F285" t="str">
        <f t="shared" si="4"/>
        <v>05534</v>
      </c>
      <c r="AE285">
        <v>1942110000068</v>
      </c>
      <c r="AG285" t="s">
        <v>4</v>
      </c>
      <c r="AH285" t="s">
        <v>422</v>
      </c>
      <c r="AJ285" t="s">
        <v>423</v>
      </c>
    </row>
    <row r="286" spans="1:36">
      <c r="A286" t="s">
        <v>1964</v>
      </c>
      <c r="B286" t="s">
        <v>959</v>
      </c>
      <c r="F286" t="str">
        <f t="shared" si="4"/>
        <v>05536</v>
      </c>
      <c r="AE286">
        <v>1101110264343</v>
      </c>
      <c r="AG286" t="s">
        <v>4</v>
      </c>
      <c r="AH286" t="s">
        <v>69</v>
      </c>
      <c r="AI286" t="s">
        <v>70</v>
      </c>
      <c r="AJ286" t="s">
        <v>71</v>
      </c>
    </row>
    <row r="287" spans="1:36">
      <c r="A287" t="s">
        <v>1965</v>
      </c>
      <c r="B287" t="s">
        <v>960</v>
      </c>
      <c r="F287" t="str">
        <f t="shared" si="4"/>
        <v>05537</v>
      </c>
      <c r="AE287">
        <v>1348110003187</v>
      </c>
      <c r="AG287" t="s">
        <v>2</v>
      </c>
      <c r="AH287" t="s">
        <v>8</v>
      </c>
      <c r="AJ287" t="s">
        <v>9</v>
      </c>
    </row>
    <row r="288" spans="1:36">
      <c r="A288" t="s">
        <v>1966</v>
      </c>
      <c r="B288" t="s">
        <v>2173</v>
      </c>
      <c r="F288" t="str">
        <f t="shared" si="4"/>
        <v>05740</v>
      </c>
      <c r="AE288">
        <v>1101110149446</v>
      </c>
      <c r="AG288" t="s">
        <v>2</v>
      </c>
      <c r="AH288" t="s">
        <v>424</v>
      </c>
      <c r="AJ288" t="s">
        <v>27</v>
      </c>
    </row>
    <row r="289" spans="1:36">
      <c r="A289" t="s">
        <v>1967</v>
      </c>
      <c r="B289" t="s">
        <v>972</v>
      </c>
      <c r="F289" t="str">
        <f t="shared" si="4"/>
        <v>05773</v>
      </c>
      <c r="AE289">
        <v>1301110001626</v>
      </c>
      <c r="AF289" t="s">
        <v>340</v>
      </c>
      <c r="AG289" t="s">
        <v>2</v>
      </c>
      <c r="AH289" t="s">
        <v>425</v>
      </c>
      <c r="AI289" t="s">
        <v>76</v>
      </c>
      <c r="AJ289" t="s">
        <v>426</v>
      </c>
    </row>
    <row r="290" spans="1:36">
      <c r="A290" t="s">
        <v>1968</v>
      </c>
      <c r="B290" t="s">
        <v>979</v>
      </c>
      <c r="F290" t="str">
        <f t="shared" si="4"/>
        <v>06181</v>
      </c>
      <c r="AE290">
        <v>1101110150659</v>
      </c>
      <c r="AG290" t="s">
        <v>2</v>
      </c>
      <c r="AH290" t="s">
        <v>191</v>
      </c>
      <c r="AI290" t="s">
        <v>192</v>
      </c>
      <c r="AJ290" t="s">
        <v>193</v>
      </c>
    </row>
    <row r="291" spans="1:36">
      <c r="A291" t="s">
        <v>1969</v>
      </c>
      <c r="B291" t="s">
        <v>980</v>
      </c>
      <c r="F291" t="str">
        <f t="shared" si="4"/>
        <v>06212</v>
      </c>
      <c r="AE291">
        <v>1201110002212</v>
      </c>
      <c r="AG291" t="s">
        <v>2</v>
      </c>
      <c r="AH291" t="s">
        <v>235</v>
      </c>
      <c r="AI291" t="s">
        <v>124</v>
      </c>
      <c r="AJ291" t="s">
        <v>236</v>
      </c>
    </row>
    <row r="292" spans="1:36">
      <c r="A292" t="s">
        <v>1970</v>
      </c>
      <c r="B292" t="s">
        <v>990</v>
      </c>
      <c r="F292" t="str">
        <f t="shared" si="4"/>
        <v>06235</v>
      </c>
      <c r="AE292">
        <v>1911110000782</v>
      </c>
      <c r="AG292" t="s">
        <v>2</v>
      </c>
      <c r="AH292" t="s">
        <v>428</v>
      </c>
      <c r="AJ292" t="s">
        <v>429</v>
      </c>
    </row>
    <row r="293" spans="1:36">
      <c r="A293" t="s">
        <v>1971</v>
      </c>
      <c r="B293" t="s">
        <v>999</v>
      </c>
      <c r="F293" t="str">
        <f t="shared" si="4"/>
        <v>06292</v>
      </c>
      <c r="AE293">
        <v>1341110003595</v>
      </c>
      <c r="AG293" t="s">
        <v>2</v>
      </c>
      <c r="AH293" t="s">
        <v>430</v>
      </c>
      <c r="AI293" t="s">
        <v>83</v>
      </c>
      <c r="AJ293" t="s">
        <v>431</v>
      </c>
    </row>
    <row r="294" spans="1:36">
      <c r="A294" t="s">
        <v>1972</v>
      </c>
      <c r="B294" t="s">
        <v>1002</v>
      </c>
      <c r="F294" t="str">
        <f t="shared" si="4"/>
        <v>06432</v>
      </c>
      <c r="AE294">
        <v>1101110152770</v>
      </c>
      <c r="AG294" t="s">
        <v>2</v>
      </c>
      <c r="AH294" t="s">
        <v>433</v>
      </c>
      <c r="AJ294" t="s">
        <v>434</v>
      </c>
    </row>
    <row r="295" spans="1:36">
      <c r="A295" t="s">
        <v>1973</v>
      </c>
      <c r="B295" t="s">
        <v>1005</v>
      </c>
      <c r="F295" t="str">
        <f t="shared" si="4"/>
        <v>06467</v>
      </c>
      <c r="AE295">
        <v>1101110153033</v>
      </c>
      <c r="AG295" t="s">
        <v>4</v>
      </c>
      <c r="AH295" t="s">
        <v>341</v>
      </c>
      <c r="AJ295" t="s">
        <v>342</v>
      </c>
    </row>
    <row r="296" spans="1:36">
      <c r="A296" t="s">
        <v>1974</v>
      </c>
      <c r="B296" t="s">
        <v>1008</v>
      </c>
      <c r="F296" t="str">
        <f t="shared" si="4"/>
        <v>06508</v>
      </c>
      <c r="AE296">
        <v>1101110152134</v>
      </c>
      <c r="AG296" t="s">
        <v>2</v>
      </c>
      <c r="AH296" t="s">
        <v>34</v>
      </c>
      <c r="AI296" t="s">
        <v>35</v>
      </c>
      <c r="AJ296" t="s">
        <v>36</v>
      </c>
    </row>
    <row r="297" spans="1:36">
      <c r="A297" t="s">
        <v>1975</v>
      </c>
      <c r="B297" t="s">
        <v>1011</v>
      </c>
      <c r="F297" t="str">
        <f t="shared" si="4"/>
        <v>06531</v>
      </c>
      <c r="AE297">
        <v>1341110000822</v>
      </c>
      <c r="AG297" t="s">
        <v>2</v>
      </c>
      <c r="AH297" t="s">
        <v>436</v>
      </c>
      <c r="AJ297" t="s">
        <v>437</v>
      </c>
    </row>
    <row r="298" spans="1:36">
      <c r="A298" t="s">
        <v>1976</v>
      </c>
      <c r="B298" t="s">
        <v>1012</v>
      </c>
      <c r="F298" t="str">
        <f t="shared" si="4"/>
        <v>06535</v>
      </c>
      <c r="AE298">
        <v>1101110154560</v>
      </c>
      <c r="AG298" t="s">
        <v>4</v>
      </c>
      <c r="AH298" t="s">
        <v>190</v>
      </c>
      <c r="AI298" t="s">
        <v>32</v>
      </c>
      <c r="AJ298" t="s">
        <v>91</v>
      </c>
    </row>
    <row r="299" spans="1:36">
      <c r="A299" t="s">
        <v>1977</v>
      </c>
      <c r="B299" t="s">
        <v>1015</v>
      </c>
      <c r="F299" t="str">
        <f t="shared" si="4"/>
        <v>06563</v>
      </c>
      <c r="AE299">
        <v>1101110155451</v>
      </c>
      <c r="AF299" t="s">
        <v>439</v>
      </c>
      <c r="AG299" t="s">
        <v>2</v>
      </c>
      <c r="AH299" t="s">
        <v>94</v>
      </c>
      <c r="AI299" t="s">
        <v>32</v>
      </c>
      <c r="AJ299" t="s">
        <v>32</v>
      </c>
    </row>
    <row r="300" spans="1:36">
      <c r="A300" t="s">
        <v>1978</v>
      </c>
      <c r="B300" t="s">
        <v>1016</v>
      </c>
      <c r="F300" t="str">
        <f t="shared" si="4"/>
        <v>06572</v>
      </c>
      <c r="AE300">
        <v>1641110000397</v>
      </c>
      <c r="AG300" t="s">
        <v>2</v>
      </c>
      <c r="AH300" t="s">
        <v>8</v>
      </c>
      <c r="AJ300" t="s">
        <v>9</v>
      </c>
    </row>
    <row r="301" spans="1:36">
      <c r="A301" t="s">
        <v>1979</v>
      </c>
      <c r="B301" t="s">
        <v>2174</v>
      </c>
      <c r="F301" t="str">
        <f t="shared" si="4"/>
        <v>06592</v>
      </c>
      <c r="AE301">
        <v>1845110000105</v>
      </c>
      <c r="AG301" t="s">
        <v>2</v>
      </c>
      <c r="AH301" t="s">
        <v>440</v>
      </c>
      <c r="AJ301" t="s">
        <v>441</v>
      </c>
    </row>
    <row r="302" spans="1:36">
      <c r="A302" t="s">
        <v>1980</v>
      </c>
      <c r="B302" t="s">
        <v>1025</v>
      </c>
      <c r="F302" t="str">
        <f t="shared" si="4"/>
        <v>06753</v>
      </c>
      <c r="AE302">
        <v>1348110000315</v>
      </c>
      <c r="AG302" t="s">
        <v>4</v>
      </c>
      <c r="AH302" t="s">
        <v>442</v>
      </c>
      <c r="AJ302" t="s">
        <v>443</v>
      </c>
    </row>
    <row r="303" spans="1:36">
      <c r="A303" t="s">
        <v>1981</v>
      </c>
      <c r="B303" t="s">
        <v>1030</v>
      </c>
      <c r="F303" t="str">
        <f t="shared" si="4"/>
        <v>06989</v>
      </c>
      <c r="AE303">
        <v>1812110000386</v>
      </c>
      <c r="AF303" t="s">
        <v>253</v>
      </c>
      <c r="AG303" t="s">
        <v>2</v>
      </c>
      <c r="AH303" t="s">
        <v>444</v>
      </c>
      <c r="AI303" t="s">
        <v>12</v>
      </c>
      <c r="AJ303" t="s">
        <v>445</v>
      </c>
    </row>
    <row r="304" spans="1:36">
      <c r="A304" t="s">
        <v>1982</v>
      </c>
      <c r="B304" t="s">
        <v>1035</v>
      </c>
      <c r="F304" t="str">
        <f t="shared" si="4"/>
        <v>07267</v>
      </c>
      <c r="AE304">
        <v>1812110002548</v>
      </c>
      <c r="AG304" t="s">
        <v>2</v>
      </c>
      <c r="AH304" t="s">
        <v>447</v>
      </c>
      <c r="AI304" t="s">
        <v>101</v>
      </c>
      <c r="AJ304" t="s">
        <v>448</v>
      </c>
    </row>
    <row r="305" spans="1:36">
      <c r="A305" t="s">
        <v>2175</v>
      </c>
      <c r="B305" t="s">
        <v>2176</v>
      </c>
      <c r="F305" t="str">
        <f t="shared" si="4"/>
        <v>07753</v>
      </c>
      <c r="AE305">
        <v>1801110019728</v>
      </c>
      <c r="AG305" t="s">
        <v>4</v>
      </c>
      <c r="AH305" t="s">
        <v>51</v>
      </c>
      <c r="AI305" t="s">
        <v>32</v>
      </c>
      <c r="AJ305" t="s">
        <v>52</v>
      </c>
    </row>
    <row r="306" spans="1:36">
      <c r="A306" t="s">
        <v>1983</v>
      </c>
      <c r="B306" t="s">
        <v>2177</v>
      </c>
      <c r="F306" t="str">
        <f t="shared" si="4"/>
        <v>07935</v>
      </c>
      <c r="AE306">
        <v>1753110000671</v>
      </c>
      <c r="AG306" t="s">
        <v>4</v>
      </c>
      <c r="AH306" t="s">
        <v>442</v>
      </c>
      <c r="AJ306" t="s">
        <v>443</v>
      </c>
    </row>
    <row r="307" spans="1:36">
      <c r="A307" t="s">
        <v>2178</v>
      </c>
      <c r="B307" t="s">
        <v>2179</v>
      </c>
      <c r="F307" t="str">
        <f t="shared" si="4"/>
        <v>08154</v>
      </c>
      <c r="AE307">
        <v>1101110360935</v>
      </c>
      <c r="AF307" t="s">
        <v>53</v>
      </c>
      <c r="AG307" t="s">
        <v>2</v>
      </c>
      <c r="AH307" t="s">
        <v>359</v>
      </c>
      <c r="AI307" t="s">
        <v>59</v>
      </c>
      <c r="AJ307" t="s">
        <v>360</v>
      </c>
    </row>
    <row r="308" spans="1:36">
      <c r="A308" t="s">
        <v>1984</v>
      </c>
      <c r="B308" t="s">
        <v>1051</v>
      </c>
      <c r="F308" t="str">
        <f t="shared" si="4"/>
        <v>08304</v>
      </c>
      <c r="AE308">
        <v>1101110165830</v>
      </c>
      <c r="AG308" t="s">
        <v>2</v>
      </c>
      <c r="AH308" t="s">
        <v>412</v>
      </c>
      <c r="AJ308" t="s">
        <v>413</v>
      </c>
    </row>
    <row r="309" spans="1:36">
      <c r="A309" t="s">
        <v>1985</v>
      </c>
      <c r="B309" t="s">
        <v>1055</v>
      </c>
      <c r="F309" t="str">
        <f t="shared" si="4"/>
        <v>08425</v>
      </c>
      <c r="AE309">
        <v>1846110000319</v>
      </c>
      <c r="AG309" t="s">
        <v>2</v>
      </c>
      <c r="AH309" t="s">
        <v>449</v>
      </c>
      <c r="AJ309" t="s">
        <v>240</v>
      </c>
    </row>
    <row r="310" spans="1:36">
      <c r="A310" t="s">
        <v>1986</v>
      </c>
      <c r="B310" t="s">
        <v>1058</v>
      </c>
      <c r="F310" t="str">
        <f t="shared" si="4"/>
        <v>08451</v>
      </c>
      <c r="AE310">
        <v>2001110000954</v>
      </c>
      <c r="AG310" t="s">
        <v>2</v>
      </c>
      <c r="AH310" t="s">
        <v>451</v>
      </c>
      <c r="AI310" t="s">
        <v>55</v>
      </c>
      <c r="AJ310" t="s">
        <v>452</v>
      </c>
    </row>
    <row r="311" spans="1:36">
      <c r="A311" t="s">
        <v>2180</v>
      </c>
      <c r="B311" t="s">
        <v>2181</v>
      </c>
      <c r="F311" t="str">
        <f t="shared" si="4"/>
        <v>08462</v>
      </c>
      <c r="AE311">
        <v>1746110000981</v>
      </c>
      <c r="AF311" t="s">
        <v>453</v>
      </c>
      <c r="AG311" t="s">
        <v>2</v>
      </c>
      <c r="AH311" t="s">
        <v>327</v>
      </c>
      <c r="AI311" t="s">
        <v>59</v>
      </c>
      <c r="AJ311" t="s">
        <v>328</v>
      </c>
    </row>
    <row r="312" spans="1:36">
      <c r="A312" t="s">
        <v>1987</v>
      </c>
      <c r="B312" t="s">
        <v>1061</v>
      </c>
      <c r="F312" t="str">
        <f t="shared" si="4"/>
        <v>08541</v>
      </c>
      <c r="AE312">
        <v>1101110167498</v>
      </c>
      <c r="AF312" t="s">
        <v>261</v>
      </c>
      <c r="AG312" t="s">
        <v>4</v>
      </c>
      <c r="AH312" t="s">
        <v>454</v>
      </c>
      <c r="AI312" t="s">
        <v>249</v>
      </c>
      <c r="AJ312" t="s">
        <v>455</v>
      </c>
    </row>
    <row r="313" spans="1:36">
      <c r="A313" t="s">
        <v>1988</v>
      </c>
      <c r="B313" t="s">
        <v>2182</v>
      </c>
      <c r="F313" t="str">
        <f t="shared" si="4"/>
        <v>08572</v>
      </c>
      <c r="AE313">
        <v>1101110520076</v>
      </c>
      <c r="AF313" t="s">
        <v>68</v>
      </c>
      <c r="AG313" t="s">
        <v>2</v>
      </c>
      <c r="AH313" t="s">
        <v>456</v>
      </c>
      <c r="AI313" t="s">
        <v>70</v>
      </c>
      <c r="AJ313" t="s">
        <v>457</v>
      </c>
    </row>
    <row r="314" spans="1:36">
      <c r="A314" t="s">
        <v>1989</v>
      </c>
      <c r="B314" t="s">
        <v>1065</v>
      </c>
      <c r="F314" t="str">
        <f t="shared" si="4"/>
        <v>08573</v>
      </c>
      <c r="AE314">
        <v>1101110168404</v>
      </c>
      <c r="AF314" t="s">
        <v>78</v>
      </c>
      <c r="AG314" t="s">
        <v>2</v>
      </c>
      <c r="AH314" t="s">
        <v>458</v>
      </c>
      <c r="AI314" t="s">
        <v>124</v>
      </c>
      <c r="AJ314" t="s">
        <v>459</v>
      </c>
    </row>
    <row r="315" spans="1:36">
      <c r="A315" t="s">
        <v>1990</v>
      </c>
      <c r="B315" t="s">
        <v>1066</v>
      </c>
      <c r="F315" t="str">
        <f t="shared" si="4"/>
        <v>08575</v>
      </c>
      <c r="AE315">
        <v>1101110168595</v>
      </c>
      <c r="AF315" t="s">
        <v>340</v>
      </c>
      <c r="AG315" t="s">
        <v>2</v>
      </c>
      <c r="AH315" t="s">
        <v>444</v>
      </c>
      <c r="AI315" t="s">
        <v>12</v>
      </c>
      <c r="AJ315" t="s">
        <v>445</v>
      </c>
    </row>
    <row r="316" spans="1:36">
      <c r="A316" t="s">
        <v>1991</v>
      </c>
      <c r="B316" t="s">
        <v>1087</v>
      </c>
      <c r="F316" t="str">
        <f t="shared" si="4"/>
        <v>08683</v>
      </c>
      <c r="AE316">
        <v>1341110003545</v>
      </c>
      <c r="AG316" t="s">
        <v>2</v>
      </c>
      <c r="AH316" t="s">
        <v>460</v>
      </c>
      <c r="AJ316" t="s">
        <v>461</v>
      </c>
    </row>
    <row r="317" spans="1:36">
      <c r="A317" t="s">
        <v>1992</v>
      </c>
      <c r="B317" t="s">
        <v>1092</v>
      </c>
      <c r="F317" t="str">
        <f t="shared" si="4"/>
        <v>08805</v>
      </c>
      <c r="AE317">
        <v>1942110000084</v>
      </c>
      <c r="AG317" t="s">
        <v>4</v>
      </c>
      <c r="AH317" t="s">
        <v>47</v>
      </c>
      <c r="AJ317" t="s">
        <v>48</v>
      </c>
    </row>
    <row r="318" spans="1:36">
      <c r="A318" t="s">
        <v>1993</v>
      </c>
      <c r="B318" t="s">
        <v>1099</v>
      </c>
      <c r="F318" t="str">
        <f t="shared" si="4"/>
        <v>08918</v>
      </c>
      <c r="AE318">
        <v>1101110307870</v>
      </c>
      <c r="AG318" t="s">
        <v>2</v>
      </c>
      <c r="AH318" t="s">
        <v>462</v>
      </c>
      <c r="AI318" t="s">
        <v>177</v>
      </c>
      <c r="AJ318" t="s">
        <v>463</v>
      </c>
    </row>
    <row r="319" spans="1:36">
      <c r="A319" t="s">
        <v>1994</v>
      </c>
      <c r="B319" t="s">
        <v>1104</v>
      </c>
      <c r="F319" t="str">
        <f t="shared" si="4"/>
        <v>09003</v>
      </c>
      <c r="AE319">
        <v>1101110175970</v>
      </c>
      <c r="AG319" t="s">
        <v>2</v>
      </c>
      <c r="AH319" t="s">
        <v>464</v>
      </c>
      <c r="AI319" t="s">
        <v>177</v>
      </c>
      <c r="AJ319" t="s">
        <v>465</v>
      </c>
    </row>
    <row r="320" spans="1:36">
      <c r="A320" t="s">
        <v>1995</v>
      </c>
      <c r="B320" t="s">
        <v>1107</v>
      </c>
      <c r="F320" t="str">
        <f t="shared" si="4"/>
        <v>09006</v>
      </c>
      <c r="AE320">
        <v>1101110176548</v>
      </c>
      <c r="AG320" t="s">
        <v>4</v>
      </c>
      <c r="AH320" t="s">
        <v>403</v>
      </c>
      <c r="AI320" t="s">
        <v>55</v>
      </c>
      <c r="AJ320" t="s">
        <v>404</v>
      </c>
    </row>
    <row r="321" spans="1:36">
      <c r="A321" t="s">
        <v>1996</v>
      </c>
      <c r="B321" t="s">
        <v>1113</v>
      </c>
      <c r="F321" t="str">
        <f t="shared" si="4"/>
        <v>09197</v>
      </c>
      <c r="AE321">
        <v>1101110176986</v>
      </c>
      <c r="AF321" t="s">
        <v>29</v>
      </c>
      <c r="AG321" t="s">
        <v>2</v>
      </c>
      <c r="AH321" t="s">
        <v>466</v>
      </c>
      <c r="AI321" t="s">
        <v>16</v>
      </c>
      <c r="AJ321" t="s">
        <v>467</v>
      </c>
    </row>
    <row r="322" spans="1:36">
      <c r="A322" t="s">
        <v>2183</v>
      </c>
      <c r="B322" t="s">
        <v>2184</v>
      </c>
      <c r="F322" t="str">
        <f t="shared" si="4"/>
        <v>09404</v>
      </c>
      <c r="AE322">
        <v>1101110302416</v>
      </c>
      <c r="AG322" t="s">
        <v>4</v>
      </c>
      <c r="AH322" t="s">
        <v>468</v>
      </c>
      <c r="AI322" t="s">
        <v>124</v>
      </c>
      <c r="AJ322" t="s">
        <v>469</v>
      </c>
    </row>
    <row r="323" spans="1:36">
      <c r="A323" t="s">
        <v>1997</v>
      </c>
      <c r="B323" t="s">
        <v>1127</v>
      </c>
      <c r="F323" t="str">
        <f t="shared" si="4"/>
        <v>09587</v>
      </c>
      <c r="AE323">
        <v>1101110179659</v>
      </c>
      <c r="AG323" t="s">
        <v>2</v>
      </c>
      <c r="AH323" t="s">
        <v>245</v>
      </c>
      <c r="AJ323" t="s">
        <v>84</v>
      </c>
    </row>
    <row r="324" spans="1:36">
      <c r="A324" t="s">
        <v>1998</v>
      </c>
      <c r="B324" t="s">
        <v>2185</v>
      </c>
      <c r="F324" t="str">
        <f t="shared" si="4"/>
        <v>09915</v>
      </c>
      <c r="AE324">
        <v>1812110000526</v>
      </c>
      <c r="AF324" t="s">
        <v>253</v>
      </c>
      <c r="AG324" t="s">
        <v>2</v>
      </c>
      <c r="AH324" t="s">
        <v>444</v>
      </c>
      <c r="AI324" t="s">
        <v>12</v>
      </c>
      <c r="AJ324" t="s">
        <v>445</v>
      </c>
    </row>
    <row r="325" spans="1:36">
      <c r="A325" t="s">
        <v>1999</v>
      </c>
      <c r="B325" t="s">
        <v>30</v>
      </c>
      <c r="F325" t="str">
        <f t="shared" si="4"/>
        <v>09924</v>
      </c>
      <c r="AE325">
        <v>1701110014936</v>
      </c>
      <c r="AG325" t="s">
        <v>2</v>
      </c>
      <c r="AH325" t="s">
        <v>305</v>
      </c>
      <c r="AI325" t="s">
        <v>146</v>
      </c>
      <c r="AJ325" t="s">
        <v>306</v>
      </c>
    </row>
    <row r="326" spans="1:36">
      <c r="A326" t="s">
        <v>2186</v>
      </c>
      <c r="B326" t="s">
        <v>2187</v>
      </c>
      <c r="F326" t="str">
        <f t="shared" si="4"/>
        <v>10060</v>
      </c>
      <c r="AE326">
        <v>1101110183006</v>
      </c>
      <c r="AG326" t="s">
        <v>4</v>
      </c>
      <c r="AH326" t="s">
        <v>470</v>
      </c>
      <c r="AJ326" t="s">
        <v>471</v>
      </c>
    </row>
    <row r="327" spans="1:36">
      <c r="A327" t="s">
        <v>2188</v>
      </c>
      <c r="B327" t="s">
        <v>1140</v>
      </c>
      <c r="F327" t="str">
        <f t="shared" si="4"/>
        <v>10062</v>
      </c>
      <c r="AE327">
        <v>1101110208383</v>
      </c>
      <c r="AG327" t="s">
        <v>2</v>
      </c>
      <c r="AH327" t="s">
        <v>473</v>
      </c>
      <c r="AI327" t="s">
        <v>139</v>
      </c>
      <c r="AJ327" t="s">
        <v>474</v>
      </c>
    </row>
    <row r="328" spans="1:36">
      <c r="A328" t="s">
        <v>2189</v>
      </c>
      <c r="B328" t="s">
        <v>1141</v>
      </c>
      <c r="F328" t="str">
        <f t="shared" si="4"/>
        <v>10095</v>
      </c>
      <c r="AE328">
        <v>1101110189955</v>
      </c>
      <c r="AF328" t="s">
        <v>476</v>
      </c>
      <c r="AG328" t="s">
        <v>2</v>
      </c>
      <c r="AH328" t="s">
        <v>254</v>
      </c>
      <c r="AI328" t="s">
        <v>255</v>
      </c>
      <c r="AJ328" t="s">
        <v>256</v>
      </c>
    </row>
    <row r="329" spans="1:36">
      <c r="A329" t="s">
        <v>2190</v>
      </c>
      <c r="B329" t="s">
        <v>1158</v>
      </c>
      <c r="F329" t="str">
        <f t="shared" si="4"/>
        <v>10668</v>
      </c>
      <c r="AE329">
        <v>1101110191752</v>
      </c>
      <c r="AG329" t="s">
        <v>4</v>
      </c>
      <c r="AH329" t="s">
        <v>477</v>
      </c>
      <c r="AJ329" t="s">
        <v>478</v>
      </c>
    </row>
    <row r="330" spans="1:36">
      <c r="A330" t="s">
        <v>2191</v>
      </c>
      <c r="B330" t="s">
        <v>1159</v>
      </c>
      <c r="F330" t="str">
        <f t="shared" ref="F330:F393" si="5">CHOOSE($C$1, A330, B330)</f>
        <v>10747</v>
      </c>
      <c r="AE330">
        <v>1101110192180</v>
      </c>
      <c r="AF330" t="s">
        <v>107</v>
      </c>
      <c r="AG330" t="s">
        <v>2</v>
      </c>
      <c r="AH330" t="s">
        <v>425</v>
      </c>
      <c r="AI330" t="s">
        <v>76</v>
      </c>
      <c r="AJ330" t="s">
        <v>426</v>
      </c>
    </row>
    <row r="331" spans="1:36">
      <c r="A331" t="s">
        <v>2192</v>
      </c>
      <c r="B331" t="s">
        <v>1160</v>
      </c>
      <c r="F331" t="str">
        <f t="shared" si="5"/>
        <v>10748</v>
      </c>
      <c r="AE331">
        <v>1101110192271</v>
      </c>
      <c r="AG331" t="s">
        <v>2</v>
      </c>
      <c r="AH331" t="s">
        <v>481</v>
      </c>
      <c r="AI331" t="s">
        <v>275</v>
      </c>
      <c r="AJ331" t="s">
        <v>320</v>
      </c>
    </row>
    <row r="332" spans="1:36">
      <c r="A332" t="s">
        <v>2193</v>
      </c>
      <c r="B332" t="s">
        <v>2194</v>
      </c>
      <c r="F332" t="str">
        <f t="shared" si="5"/>
        <v>10766</v>
      </c>
      <c r="AE332">
        <v>1101110192635</v>
      </c>
      <c r="AG332" t="s">
        <v>2</v>
      </c>
      <c r="AH332" t="s">
        <v>482</v>
      </c>
      <c r="AI332" t="s">
        <v>483</v>
      </c>
      <c r="AJ332" t="s">
        <v>484</v>
      </c>
    </row>
    <row r="333" spans="1:36">
      <c r="A333" t="s">
        <v>2195</v>
      </c>
      <c r="B333" t="s">
        <v>1162</v>
      </c>
      <c r="F333" t="str">
        <f t="shared" si="5"/>
        <v>11118</v>
      </c>
      <c r="AE333">
        <v>1101110194277</v>
      </c>
      <c r="AF333" t="s">
        <v>29</v>
      </c>
      <c r="AG333" t="s">
        <v>2</v>
      </c>
      <c r="AH333" t="s">
        <v>94</v>
      </c>
      <c r="AI333" t="s">
        <v>32</v>
      </c>
      <c r="AJ333" t="s">
        <v>32</v>
      </c>
    </row>
    <row r="334" spans="1:36">
      <c r="A334" t="s">
        <v>2196</v>
      </c>
      <c r="B334" t="s">
        <v>1164</v>
      </c>
      <c r="F334" t="str">
        <f t="shared" si="5"/>
        <v>11278</v>
      </c>
      <c r="AE334">
        <v>1101110193196</v>
      </c>
      <c r="AF334" t="s">
        <v>93</v>
      </c>
      <c r="AG334" t="s">
        <v>2</v>
      </c>
      <c r="AH334" t="s">
        <v>359</v>
      </c>
      <c r="AI334" t="s">
        <v>59</v>
      </c>
      <c r="AJ334" t="s">
        <v>360</v>
      </c>
    </row>
    <row r="335" spans="1:36">
      <c r="A335" t="s">
        <v>2197</v>
      </c>
      <c r="B335" t="s">
        <v>2198</v>
      </c>
      <c r="F335" t="str">
        <f t="shared" si="5"/>
        <v>11425</v>
      </c>
      <c r="AE335">
        <v>1101110193740</v>
      </c>
      <c r="AG335" t="s">
        <v>2</v>
      </c>
      <c r="AH335" t="s">
        <v>486</v>
      </c>
      <c r="AI335" t="s">
        <v>214</v>
      </c>
      <c r="AJ335" t="s">
        <v>487</v>
      </c>
    </row>
    <row r="336" spans="1:36">
      <c r="A336" t="s">
        <v>2199</v>
      </c>
      <c r="B336" t="s">
        <v>1169</v>
      </c>
      <c r="F336" t="str">
        <f t="shared" si="5"/>
        <v>11456</v>
      </c>
      <c r="AE336">
        <v>1942110000125</v>
      </c>
      <c r="AF336" t="s">
        <v>40</v>
      </c>
      <c r="AG336" t="s">
        <v>2</v>
      </c>
      <c r="AH336" t="s">
        <v>145</v>
      </c>
      <c r="AI336" t="s">
        <v>146</v>
      </c>
      <c r="AJ336" t="s">
        <v>147</v>
      </c>
    </row>
    <row r="337" spans="1:36">
      <c r="A337" t="s">
        <v>2200</v>
      </c>
      <c r="B337" t="s">
        <v>2201</v>
      </c>
      <c r="F337" t="str">
        <f t="shared" si="5"/>
        <v>11486</v>
      </c>
      <c r="AE337">
        <v>1101110194011</v>
      </c>
      <c r="AG337" t="s">
        <v>4</v>
      </c>
      <c r="AH337" t="s">
        <v>209</v>
      </c>
      <c r="AI337" t="s">
        <v>32</v>
      </c>
      <c r="AJ337" t="s">
        <v>52</v>
      </c>
    </row>
    <row r="338" spans="1:36">
      <c r="A338" t="s">
        <v>2202</v>
      </c>
      <c r="B338" t="s">
        <v>1178</v>
      </c>
      <c r="F338" t="str">
        <f t="shared" si="5"/>
        <v>11686</v>
      </c>
      <c r="AE338">
        <v>1301110011807</v>
      </c>
      <c r="AG338" t="s">
        <v>2</v>
      </c>
      <c r="AH338" t="s">
        <v>280</v>
      </c>
      <c r="AJ338" t="s">
        <v>281</v>
      </c>
    </row>
    <row r="339" spans="1:36">
      <c r="A339" t="s">
        <v>2203</v>
      </c>
      <c r="B339" t="s">
        <v>1179</v>
      </c>
      <c r="F339" t="str">
        <f t="shared" si="5"/>
        <v>11802</v>
      </c>
      <c r="AE339">
        <v>1154110000192</v>
      </c>
      <c r="AG339" t="s">
        <v>4</v>
      </c>
      <c r="AH339" t="s">
        <v>316</v>
      </c>
      <c r="AI339" t="s">
        <v>21</v>
      </c>
      <c r="AJ339" t="s">
        <v>317</v>
      </c>
    </row>
    <row r="340" spans="1:36">
      <c r="A340" t="s">
        <v>2204</v>
      </c>
      <c r="B340" t="s">
        <v>2205</v>
      </c>
      <c r="F340" t="str">
        <f t="shared" si="5"/>
        <v>11884</v>
      </c>
      <c r="AE340">
        <v>1701110023002</v>
      </c>
      <c r="AG340" t="s">
        <v>2</v>
      </c>
      <c r="AH340" t="s">
        <v>90</v>
      </c>
      <c r="AI340" t="s">
        <v>32</v>
      </c>
      <c r="AJ340" t="s">
        <v>91</v>
      </c>
    </row>
    <row r="341" spans="1:36">
      <c r="A341" t="s">
        <v>2206</v>
      </c>
      <c r="B341" t="s">
        <v>1180</v>
      </c>
      <c r="F341" t="str">
        <f t="shared" si="5"/>
        <v>11919</v>
      </c>
      <c r="AE341">
        <v>1301110008771</v>
      </c>
      <c r="AF341" t="s">
        <v>198</v>
      </c>
      <c r="AG341" t="s">
        <v>2</v>
      </c>
      <c r="AH341" t="s">
        <v>280</v>
      </c>
      <c r="AJ341" t="s">
        <v>281</v>
      </c>
    </row>
    <row r="342" spans="1:36">
      <c r="A342" t="s">
        <v>2207</v>
      </c>
      <c r="B342" t="s">
        <v>1183</v>
      </c>
      <c r="F342" t="str">
        <f t="shared" si="5"/>
        <v>11947</v>
      </c>
      <c r="AE342">
        <v>1701110007121</v>
      </c>
      <c r="AG342" t="s">
        <v>4</v>
      </c>
      <c r="AH342" t="s">
        <v>190</v>
      </c>
      <c r="AI342" t="s">
        <v>32</v>
      </c>
      <c r="AJ342" t="s">
        <v>91</v>
      </c>
    </row>
    <row r="343" spans="1:36">
      <c r="A343" t="s">
        <v>2208</v>
      </c>
      <c r="B343" t="s">
        <v>1185</v>
      </c>
      <c r="F343" t="str">
        <f t="shared" si="5"/>
        <v>11959</v>
      </c>
      <c r="AE343">
        <v>2001110000483</v>
      </c>
      <c r="AG343" t="s">
        <v>4</v>
      </c>
      <c r="AH343" t="s">
        <v>51</v>
      </c>
      <c r="AI343" t="s">
        <v>32</v>
      </c>
      <c r="AJ343" t="s">
        <v>52</v>
      </c>
    </row>
    <row r="344" spans="1:36">
      <c r="A344" t="s">
        <v>2209</v>
      </c>
      <c r="B344" t="s">
        <v>1188</v>
      </c>
      <c r="F344" t="str">
        <f t="shared" si="5"/>
        <v>11987</v>
      </c>
      <c r="AE344">
        <v>1101110204498</v>
      </c>
      <c r="AG344" t="s">
        <v>2</v>
      </c>
      <c r="AH344" t="s">
        <v>490</v>
      </c>
      <c r="AI344" t="s">
        <v>76</v>
      </c>
      <c r="AJ344" t="s">
        <v>491</v>
      </c>
    </row>
    <row r="345" spans="1:36">
      <c r="A345" t="s">
        <v>2210</v>
      </c>
      <c r="B345" t="s">
        <v>2211</v>
      </c>
      <c r="F345" t="str">
        <f t="shared" si="5"/>
        <v>12092</v>
      </c>
      <c r="AE345">
        <v>1101110205850</v>
      </c>
      <c r="AG345" t="s">
        <v>2</v>
      </c>
      <c r="AH345" t="s">
        <v>245</v>
      </c>
      <c r="AJ345" t="s">
        <v>84</v>
      </c>
    </row>
    <row r="346" spans="1:36">
      <c r="A346" t="s">
        <v>2212</v>
      </c>
      <c r="B346" t="s">
        <v>2213</v>
      </c>
      <c r="F346" t="str">
        <f t="shared" si="5"/>
        <v>12160</v>
      </c>
      <c r="AE346">
        <v>1101110205975</v>
      </c>
      <c r="AF346" t="s">
        <v>492</v>
      </c>
      <c r="AG346" t="s">
        <v>2</v>
      </c>
      <c r="AH346" t="s">
        <v>493</v>
      </c>
      <c r="AI346" t="s">
        <v>59</v>
      </c>
      <c r="AJ346" t="s">
        <v>494</v>
      </c>
    </row>
    <row r="347" spans="1:36">
      <c r="A347" t="s">
        <v>2214</v>
      </c>
      <c r="B347" t="s">
        <v>1195</v>
      </c>
      <c r="F347" t="str">
        <f t="shared" si="5"/>
        <v>12242</v>
      </c>
      <c r="AE347">
        <v>1301110001585</v>
      </c>
      <c r="AF347" t="s">
        <v>74</v>
      </c>
      <c r="AG347" t="s">
        <v>2</v>
      </c>
      <c r="AH347" t="s">
        <v>496</v>
      </c>
      <c r="AI347" t="s">
        <v>76</v>
      </c>
      <c r="AJ347" t="s">
        <v>497</v>
      </c>
    </row>
    <row r="348" spans="1:36">
      <c r="A348" t="s">
        <v>2215</v>
      </c>
      <c r="B348" t="s">
        <v>1199</v>
      </c>
      <c r="F348" t="str">
        <f t="shared" si="5"/>
        <v>12366</v>
      </c>
      <c r="AE348">
        <v>1201110004672</v>
      </c>
      <c r="AG348" t="s">
        <v>4</v>
      </c>
      <c r="AH348" t="s">
        <v>235</v>
      </c>
      <c r="AI348" t="s">
        <v>124</v>
      </c>
      <c r="AJ348" t="s">
        <v>236</v>
      </c>
    </row>
    <row r="349" spans="1:36">
      <c r="A349" t="s">
        <v>2216</v>
      </c>
      <c r="B349" t="s">
        <v>2217</v>
      </c>
      <c r="F349" t="str">
        <f t="shared" si="5"/>
        <v>12370</v>
      </c>
      <c r="AE349">
        <v>1942110000183</v>
      </c>
      <c r="AG349" t="s">
        <v>2</v>
      </c>
      <c r="AH349" t="s">
        <v>82</v>
      </c>
      <c r="AI349" t="s">
        <v>83</v>
      </c>
      <c r="AJ349" t="s">
        <v>84</v>
      </c>
    </row>
    <row r="350" spans="1:36">
      <c r="A350" t="s">
        <v>2218</v>
      </c>
      <c r="B350" t="s">
        <v>1202</v>
      </c>
      <c r="F350" t="str">
        <f t="shared" si="5"/>
        <v>12425</v>
      </c>
      <c r="AE350">
        <v>1101110206494</v>
      </c>
      <c r="AG350" t="s">
        <v>4</v>
      </c>
      <c r="AH350" t="s">
        <v>217</v>
      </c>
      <c r="AJ350" t="s">
        <v>218</v>
      </c>
    </row>
    <row r="351" spans="1:36">
      <c r="A351" t="s">
        <v>2219</v>
      </c>
      <c r="B351" t="s">
        <v>1205</v>
      </c>
      <c r="F351" t="str">
        <f t="shared" si="5"/>
        <v>12428</v>
      </c>
      <c r="AE351">
        <v>1101110208127</v>
      </c>
      <c r="AF351" t="s">
        <v>107</v>
      </c>
      <c r="AG351" t="s">
        <v>4</v>
      </c>
      <c r="AH351" t="s">
        <v>499</v>
      </c>
      <c r="AI351" t="s">
        <v>192</v>
      </c>
      <c r="AJ351" t="s">
        <v>500</v>
      </c>
    </row>
    <row r="352" spans="1:36">
      <c r="A352" t="s">
        <v>2220</v>
      </c>
      <c r="B352" t="s">
        <v>1206</v>
      </c>
      <c r="F352" t="str">
        <f t="shared" si="5"/>
        <v>12432</v>
      </c>
      <c r="AE352">
        <v>1301110008664</v>
      </c>
      <c r="AG352" t="s">
        <v>2</v>
      </c>
      <c r="AH352" t="s">
        <v>75</v>
      </c>
      <c r="AI352" t="s">
        <v>76</v>
      </c>
      <c r="AJ352" t="s">
        <v>77</v>
      </c>
    </row>
    <row r="353" spans="1:36">
      <c r="A353" t="s">
        <v>2221</v>
      </c>
      <c r="B353" t="s">
        <v>1207</v>
      </c>
      <c r="F353" t="str">
        <f t="shared" si="5"/>
        <v>12455</v>
      </c>
      <c r="AE353">
        <v>1101110210859</v>
      </c>
      <c r="AF353" t="s">
        <v>97</v>
      </c>
      <c r="AG353" t="s">
        <v>2</v>
      </c>
      <c r="AH353" t="s">
        <v>502</v>
      </c>
      <c r="AI353" t="s">
        <v>503</v>
      </c>
      <c r="AJ353" t="s">
        <v>504</v>
      </c>
    </row>
    <row r="354" spans="1:36">
      <c r="A354" t="s">
        <v>2222</v>
      </c>
      <c r="B354" t="s">
        <v>1208</v>
      </c>
      <c r="F354" t="str">
        <f t="shared" si="5"/>
        <v>12468</v>
      </c>
      <c r="AE354">
        <v>1101110211526</v>
      </c>
      <c r="AG354" t="s">
        <v>4</v>
      </c>
      <c r="AH354" t="s">
        <v>51</v>
      </c>
      <c r="AI354" t="s">
        <v>32</v>
      </c>
      <c r="AJ354" t="s">
        <v>52</v>
      </c>
    </row>
    <row r="355" spans="1:36">
      <c r="A355" t="s">
        <v>2223</v>
      </c>
      <c r="B355" t="s">
        <v>1211</v>
      </c>
      <c r="F355" t="str">
        <f t="shared" si="5"/>
        <v>12544</v>
      </c>
      <c r="AE355">
        <v>1101110253908</v>
      </c>
      <c r="AG355" t="s">
        <v>2</v>
      </c>
      <c r="AH355" t="s">
        <v>341</v>
      </c>
      <c r="AJ355" t="s">
        <v>342</v>
      </c>
    </row>
    <row r="356" spans="1:36">
      <c r="A356" t="s">
        <v>2224</v>
      </c>
      <c r="B356" t="s">
        <v>1215</v>
      </c>
      <c r="F356" t="str">
        <f t="shared" si="5"/>
        <v>12600</v>
      </c>
      <c r="AE356">
        <v>1101110215536</v>
      </c>
      <c r="AF356" t="s">
        <v>40</v>
      </c>
      <c r="AG356" t="s">
        <v>2</v>
      </c>
      <c r="AH356" t="s">
        <v>233</v>
      </c>
      <c r="AJ356" t="s">
        <v>234</v>
      </c>
    </row>
    <row r="357" spans="1:36">
      <c r="A357" t="s">
        <v>2225</v>
      </c>
      <c r="B357" t="s">
        <v>1218</v>
      </c>
      <c r="F357" t="str">
        <f t="shared" si="5"/>
        <v>12699</v>
      </c>
      <c r="AE357">
        <v>1101110216360</v>
      </c>
      <c r="AG357" t="s">
        <v>4</v>
      </c>
      <c r="AH357" t="s">
        <v>451</v>
      </c>
      <c r="AI357" t="s">
        <v>55</v>
      </c>
      <c r="AJ357" t="s">
        <v>452</v>
      </c>
    </row>
    <row r="358" spans="1:36">
      <c r="A358" t="s">
        <v>2226</v>
      </c>
      <c r="B358" t="s">
        <v>1226</v>
      </c>
      <c r="F358" t="str">
        <f t="shared" si="5"/>
        <v>12761</v>
      </c>
      <c r="AE358">
        <v>1243110003080</v>
      </c>
      <c r="AG358" t="s">
        <v>4</v>
      </c>
      <c r="AH358" t="s">
        <v>425</v>
      </c>
      <c r="AI358" t="s">
        <v>76</v>
      </c>
      <c r="AJ358" t="s">
        <v>426</v>
      </c>
    </row>
    <row r="359" spans="1:36">
      <c r="A359" t="s">
        <v>2227</v>
      </c>
      <c r="B359" t="s">
        <v>2228</v>
      </c>
      <c r="F359" t="str">
        <f t="shared" si="5"/>
        <v>12878</v>
      </c>
      <c r="AE359">
        <v>1942110000480</v>
      </c>
      <c r="AF359" t="s">
        <v>53</v>
      </c>
      <c r="AG359" t="s">
        <v>2</v>
      </c>
      <c r="AH359" t="s">
        <v>507</v>
      </c>
      <c r="AI359" t="s">
        <v>12</v>
      </c>
      <c r="AJ359" t="s">
        <v>508</v>
      </c>
    </row>
    <row r="360" spans="1:36">
      <c r="A360" t="s">
        <v>2229</v>
      </c>
      <c r="B360" t="s">
        <v>1241</v>
      </c>
      <c r="F360" t="str">
        <f t="shared" si="5"/>
        <v>12968</v>
      </c>
      <c r="AE360">
        <v>1101110299308</v>
      </c>
      <c r="AG360" t="s">
        <v>4</v>
      </c>
      <c r="AH360" t="s">
        <v>162</v>
      </c>
      <c r="AJ360" t="s">
        <v>163</v>
      </c>
    </row>
    <row r="361" spans="1:36">
      <c r="A361" t="s">
        <v>2230</v>
      </c>
      <c r="B361" t="s">
        <v>2231</v>
      </c>
      <c r="F361" t="str">
        <f t="shared" si="5"/>
        <v>13029</v>
      </c>
      <c r="AE361">
        <v>1101110219497</v>
      </c>
      <c r="AF361" t="s">
        <v>261</v>
      </c>
      <c r="AG361" t="s">
        <v>4</v>
      </c>
      <c r="AH361" t="s">
        <v>509</v>
      </c>
      <c r="AJ361" t="s">
        <v>510</v>
      </c>
    </row>
    <row r="362" spans="1:36">
      <c r="A362" t="s">
        <v>2232</v>
      </c>
      <c r="B362" t="s">
        <v>2233</v>
      </c>
      <c r="F362" t="str">
        <f t="shared" si="5"/>
        <v>13035</v>
      </c>
      <c r="AE362">
        <v>1101110279433</v>
      </c>
      <c r="AF362" t="s">
        <v>511</v>
      </c>
      <c r="AG362" t="s">
        <v>2</v>
      </c>
      <c r="AH362" t="s">
        <v>15</v>
      </c>
      <c r="AI362" t="s">
        <v>16</v>
      </c>
      <c r="AJ362" t="s">
        <v>17</v>
      </c>
    </row>
    <row r="363" spans="1:36">
      <c r="A363" t="s">
        <v>2234</v>
      </c>
      <c r="B363" t="s">
        <v>2235</v>
      </c>
      <c r="F363" t="str">
        <f t="shared" si="5"/>
        <v>13099</v>
      </c>
      <c r="AE363">
        <v>1101110220395</v>
      </c>
      <c r="AG363" t="s">
        <v>4</v>
      </c>
      <c r="AH363" t="s">
        <v>512</v>
      </c>
      <c r="AI363" t="s">
        <v>32</v>
      </c>
      <c r="AJ363" t="s">
        <v>513</v>
      </c>
    </row>
    <row r="364" spans="1:36">
      <c r="A364" t="s">
        <v>2236</v>
      </c>
      <c r="B364" t="s">
        <v>2237</v>
      </c>
      <c r="F364" t="str">
        <f t="shared" si="5"/>
        <v>13134</v>
      </c>
      <c r="AE364">
        <v>1101110219398</v>
      </c>
      <c r="AG364" t="s">
        <v>2</v>
      </c>
      <c r="AH364" t="s">
        <v>514</v>
      </c>
      <c r="AJ364" t="s">
        <v>515</v>
      </c>
    </row>
    <row r="365" spans="1:36">
      <c r="A365" t="s">
        <v>2238</v>
      </c>
      <c r="B365" t="s">
        <v>2239</v>
      </c>
      <c r="F365" t="str">
        <f t="shared" si="5"/>
        <v>13138</v>
      </c>
      <c r="AE365">
        <v>1101110221202</v>
      </c>
      <c r="AG365" t="s">
        <v>4</v>
      </c>
      <c r="AH365" t="s">
        <v>94</v>
      </c>
      <c r="AI365" t="s">
        <v>32</v>
      </c>
      <c r="AJ365" t="s">
        <v>32</v>
      </c>
    </row>
    <row r="366" spans="1:36">
      <c r="A366" t="s">
        <v>2240</v>
      </c>
      <c r="B366" t="s">
        <v>1245</v>
      </c>
      <c r="F366" t="str">
        <f t="shared" si="5"/>
        <v>13163</v>
      </c>
      <c r="AE366">
        <v>1101110221939</v>
      </c>
      <c r="AF366" t="s">
        <v>340</v>
      </c>
      <c r="AG366" t="s">
        <v>2</v>
      </c>
      <c r="AH366" t="s">
        <v>516</v>
      </c>
      <c r="AI366" t="s">
        <v>517</v>
      </c>
      <c r="AJ366" t="s">
        <v>518</v>
      </c>
    </row>
    <row r="367" spans="1:36">
      <c r="A367" t="s">
        <v>2241</v>
      </c>
      <c r="B367" t="s">
        <v>1248</v>
      </c>
      <c r="F367" t="str">
        <f t="shared" si="5"/>
        <v>13190</v>
      </c>
      <c r="AE367">
        <v>1301110008961</v>
      </c>
      <c r="AG367" t="s">
        <v>2</v>
      </c>
      <c r="AH367" t="s">
        <v>519</v>
      </c>
      <c r="AI367" t="s">
        <v>146</v>
      </c>
      <c r="AJ367" t="s">
        <v>520</v>
      </c>
    </row>
    <row r="368" spans="1:36">
      <c r="A368" t="s">
        <v>2242</v>
      </c>
      <c r="B368" t="s">
        <v>2243</v>
      </c>
      <c r="F368" t="str">
        <f t="shared" si="5"/>
        <v>13220</v>
      </c>
      <c r="AE368">
        <v>1101110226905</v>
      </c>
      <c r="AG368" t="s">
        <v>4</v>
      </c>
      <c r="AH368" t="s">
        <v>344</v>
      </c>
      <c r="AJ368" t="s">
        <v>345</v>
      </c>
    </row>
    <row r="369" spans="1:36">
      <c r="A369" t="s">
        <v>2244</v>
      </c>
      <c r="B369" t="s">
        <v>1251</v>
      </c>
      <c r="F369" t="str">
        <f t="shared" si="5"/>
        <v>13327</v>
      </c>
      <c r="AE369">
        <v>1101110227359</v>
      </c>
      <c r="AF369" t="s">
        <v>30</v>
      </c>
      <c r="AG369" t="s">
        <v>4</v>
      </c>
      <c r="AH369" t="s">
        <v>11</v>
      </c>
      <c r="AI369" t="s">
        <v>12</v>
      </c>
      <c r="AJ369" t="s">
        <v>13</v>
      </c>
    </row>
    <row r="370" spans="1:36">
      <c r="A370" t="s">
        <v>2245</v>
      </c>
      <c r="B370" t="s">
        <v>1254</v>
      </c>
      <c r="F370" t="str">
        <f t="shared" si="5"/>
        <v>13422</v>
      </c>
      <c r="AE370">
        <v>1201110011619</v>
      </c>
      <c r="AG370" t="s">
        <v>4</v>
      </c>
      <c r="AH370" t="s">
        <v>341</v>
      </c>
      <c r="AJ370" t="s">
        <v>342</v>
      </c>
    </row>
    <row r="371" spans="1:36">
      <c r="A371" t="s">
        <v>2246</v>
      </c>
      <c r="B371" t="s">
        <v>1257</v>
      </c>
      <c r="F371" t="str">
        <f t="shared" si="5"/>
        <v>13509</v>
      </c>
      <c r="AE371">
        <v>1701110008658</v>
      </c>
      <c r="AG371" t="s">
        <v>4</v>
      </c>
      <c r="AH371" t="s">
        <v>86</v>
      </c>
      <c r="AI371" t="s">
        <v>32</v>
      </c>
      <c r="AJ371" t="s">
        <v>32</v>
      </c>
    </row>
    <row r="372" spans="1:36">
      <c r="A372" t="s">
        <v>2247</v>
      </c>
      <c r="B372" t="s">
        <v>1258</v>
      </c>
      <c r="F372" t="str">
        <f t="shared" si="5"/>
        <v>13539</v>
      </c>
      <c r="AE372">
        <v>1101110229371</v>
      </c>
      <c r="AG372" t="s">
        <v>4</v>
      </c>
      <c r="AH372" t="s">
        <v>521</v>
      </c>
      <c r="AJ372" t="s">
        <v>522</v>
      </c>
    </row>
    <row r="373" spans="1:36">
      <c r="A373" t="s">
        <v>2248</v>
      </c>
      <c r="B373" t="s">
        <v>1261</v>
      </c>
      <c r="F373" t="str">
        <f t="shared" si="5"/>
        <v>13603</v>
      </c>
      <c r="AE373">
        <v>1701110008997</v>
      </c>
      <c r="AG373" t="s">
        <v>4</v>
      </c>
      <c r="AH373" t="s">
        <v>330</v>
      </c>
      <c r="AJ373" t="s">
        <v>331</v>
      </c>
    </row>
    <row r="374" spans="1:36">
      <c r="A374" t="s">
        <v>2249</v>
      </c>
      <c r="B374" t="s">
        <v>2250</v>
      </c>
      <c r="F374" t="str">
        <f t="shared" si="5"/>
        <v>13731</v>
      </c>
      <c r="AE374">
        <v>1101110234776</v>
      </c>
      <c r="AG374" t="s">
        <v>2</v>
      </c>
      <c r="AH374" t="s">
        <v>86</v>
      </c>
      <c r="AI374" t="s">
        <v>32</v>
      </c>
      <c r="AJ374" t="s">
        <v>32</v>
      </c>
    </row>
    <row r="375" spans="1:36">
      <c r="A375" t="s">
        <v>2251</v>
      </c>
      <c r="B375" t="s">
        <v>1262</v>
      </c>
      <c r="F375" t="str">
        <f t="shared" si="5"/>
        <v>13768</v>
      </c>
      <c r="AE375">
        <v>1845110001252</v>
      </c>
      <c r="AG375" t="s">
        <v>2</v>
      </c>
      <c r="AH375" t="s">
        <v>525</v>
      </c>
      <c r="AI375" t="s">
        <v>186</v>
      </c>
      <c r="AJ375" t="s">
        <v>295</v>
      </c>
    </row>
    <row r="376" spans="1:36">
      <c r="A376" t="s">
        <v>2252</v>
      </c>
      <c r="B376" t="s">
        <v>1264</v>
      </c>
      <c r="F376" t="str">
        <f t="shared" si="5"/>
        <v>13784</v>
      </c>
      <c r="AE376">
        <v>1101110239411</v>
      </c>
      <c r="AG376" t="s">
        <v>4</v>
      </c>
      <c r="AH376" t="s">
        <v>190</v>
      </c>
      <c r="AI376" t="s">
        <v>32</v>
      </c>
      <c r="AJ376" t="s">
        <v>91</v>
      </c>
    </row>
    <row r="377" spans="1:36">
      <c r="A377" t="s">
        <v>2253</v>
      </c>
      <c r="B377" t="s">
        <v>1265</v>
      </c>
      <c r="F377" t="str">
        <f t="shared" si="5"/>
        <v>13785</v>
      </c>
      <c r="AG377" t="s">
        <v>2</v>
      </c>
    </row>
    <row r="378" spans="1:36">
      <c r="A378" t="s">
        <v>2254</v>
      </c>
      <c r="B378" t="s">
        <v>1268</v>
      </c>
      <c r="F378" t="str">
        <f t="shared" si="5"/>
        <v>13823</v>
      </c>
      <c r="AE378">
        <v>1601110003121</v>
      </c>
      <c r="AG378" t="s">
        <v>2</v>
      </c>
      <c r="AH378" t="s">
        <v>94</v>
      </c>
      <c r="AI378" t="s">
        <v>32</v>
      </c>
      <c r="AJ378" t="s">
        <v>32</v>
      </c>
    </row>
    <row r="379" spans="1:36">
      <c r="A379" t="s">
        <v>2255</v>
      </c>
      <c r="B379" t="s">
        <v>1269</v>
      </c>
      <c r="F379" t="str">
        <f t="shared" si="5"/>
        <v>13827</v>
      </c>
      <c r="AE379">
        <v>1101110243800</v>
      </c>
      <c r="AF379" t="s">
        <v>528</v>
      </c>
      <c r="AG379" t="s">
        <v>4</v>
      </c>
      <c r="AH379" t="s">
        <v>248</v>
      </c>
      <c r="AI379" t="s">
        <v>249</v>
      </c>
      <c r="AJ379" t="s">
        <v>121</v>
      </c>
    </row>
    <row r="380" spans="1:36">
      <c r="A380" t="s">
        <v>2256</v>
      </c>
      <c r="B380" t="s">
        <v>1272</v>
      </c>
      <c r="F380" t="str">
        <f t="shared" si="5"/>
        <v>13844</v>
      </c>
      <c r="AE380">
        <v>1101110243793</v>
      </c>
      <c r="AG380" t="s">
        <v>2</v>
      </c>
      <c r="AH380" t="s">
        <v>529</v>
      </c>
      <c r="AI380" t="s">
        <v>32</v>
      </c>
      <c r="AJ380" t="s">
        <v>135</v>
      </c>
    </row>
    <row r="381" spans="1:36">
      <c r="A381" t="s">
        <v>2257</v>
      </c>
      <c r="B381" t="s">
        <v>1273</v>
      </c>
      <c r="F381" t="str">
        <f t="shared" si="5"/>
        <v>13908</v>
      </c>
      <c r="AE381">
        <v>1101110247498</v>
      </c>
      <c r="AG381" t="s">
        <v>4</v>
      </c>
      <c r="AH381" t="s">
        <v>530</v>
      </c>
      <c r="AI381" t="s">
        <v>59</v>
      </c>
      <c r="AJ381" t="s">
        <v>531</v>
      </c>
    </row>
    <row r="382" spans="1:36">
      <c r="A382" t="s">
        <v>2258</v>
      </c>
      <c r="B382" t="s">
        <v>1275</v>
      </c>
      <c r="F382" t="str">
        <f t="shared" si="5"/>
        <v>13986</v>
      </c>
      <c r="AE382">
        <v>1801110034320</v>
      </c>
      <c r="AG382" t="s">
        <v>2</v>
      </c>
      <c r="AH382" t="s">
        <v>533</v>
      </c>
      <c r="AJ382" t="s">
        <v>469</v>
      </c>
    </row>
    <row r="383" spans="1:36">
      <c r="A383" t="s">
        <v>2259</v>
      </c>
      <c r="B383" t="s">
        <v>1276</v>
      </c>
      <c r="F383" t="str">
        <f t="shared" si="5"/>
        <v>13988</v>
      </c>
      <c r="AE383">
        <v>1101110262769</v>
      </c>
      <c r="AG383" t="s">
        <v>4</v>
      </c>
      <c r="AH383" t="s">
        <v>51</v>
      </c>
      <c r="AI383" t="s">
        <v>32</v>
      </c>
      <c r="AJ383" t="s">
        <v>52</v>
      </c>
    </row>
    <row r="384" spans="1:36">
      <c r="A384" t="s">
        <v>2260</v>
      </c>
      <c r="B384" t="s">
        <v>1279</v>
      </c>
      <c r="F384" t="str">
        <f t="shared" si="5"/>
        <v>14631</v>
      </c>
      <c r="AE384">
        <v>1746110002242</v>
      </c>
      <c r="AG384" t="s">
        <v>4</v>
      </c>
      <c r="AH384" t="s">
        <v>534</v>
      </c>
      <c r="AJ384" t="s">
        <v>535</v>
      </c>
    </row>
    <row r="385" spans="1:36">
      <c r="A385" t="s">
        <v>2261</v>
      </c>
      <c r="B385" t="s">
        <v>2262</v>
      </c>
      <c r="F385" t="str">
        <f t="shared" si="5"/>
        <v>14723</v>
      </c>
      <c r="AE385">
        <v>1243110013055</v>
      </c>
      <c r="AG385" t="s">
        <v>4</v>
      </c>
      <c r="AH385" t="s">
        <v>341</v>
      </c>
      <c r="AJ385" t="s">
        <v>342</v>
      </c>
    </row>
    <row r="386" spans="1:36">
      <c r="A386" t="s">
        <v>2263</v>
      </c>
      <c r="B386" t="s">
        <v>1283</v>
      </c>
      <c r="F386" t="str">
        <f t="shared" si="5"/>
        <v>14727</v>
      </c>
      <c r="AE386">
        <v>1501110001896</v>
      </c>
      <c r="AG386" t="s">
        <v>4</v>
      </c>
      <c r="AH386" t="s">
        <v>536</v>
      </c>
      <c r="AJ386" t="s">
        <v>537</v>
      </c>
    </row>
    <row r="387" spans="1:36">
      <c r="A387" t="s">
        <v>2264</v>
      </c>
      <c r="B387" t="s">
        <v>2265</v>
      </c>
      <c r="F387" t="str">
        <f t="shared" si="5"/>
        <v>14860</v>
      </c>
      <c r="AE387">
        <v>1701110011346</v>
      </c>
      <c r="AG387" t="s">
        <v>4</v>
      </c>
    </row>
    <row r="388" spans="1:36">
      <c r="A388" t="s">
        <v>2266</v>
      </c>
      <c r="B388" t="s">
        <v>2267</v>
      </c>
      <c r="F388" t="str">
        <f t="shared" si="5"/>
        <v>14882</v>
      </c>
      <c r="AE388">
        <v>1101110270895</v>
      </c>
      <c r="AG388" t="s">
        <v>2</v>
      </c>
      <c r="AH388" t="s">
        <v>327</v>
      </c>
      <c r="AI388" t="s">
        <v>59</v>
      </c>
      <c r="AJ388" t="s">
        <v>328</v>
      </c>
    </row>
    <row r="389" spans="1:36">
      <c r="A389" t="s">
        <v>2268</v>
      </c>
      <c r="B389" t="s">
        <v>2269</v>
      </c>
      <c r="F389" t="str">
        <f t="shared" si="5"/>
        <v>14953</v>
      </c>
      <c r="AE389">
        <v>1101110274699</v>
      </c>
      <c r="AF389" t="s">
        <v>539</v>
      </c>
      <c r="AG389" t="s">
        <v>2</v>
      </c>
      <c r="AH389" t="s">
        <v>94</v>
      </c>
      <c r="AI389" t="s">
        <v>32</v>
      </c>
      <c r="AJ389" t="s">
        <v>32</v>
      </c>
    </row>
    <row r="390" spans="1:36">
      <c r="A390" t="s">
        <v>2270</v>
      </c>
      <c r="B390" t="s">
        <v>1299</v>
      </c>
      <c r="F390" t="str">
        <f t="shared" si="5"/>
        <v>15002</v>
      </c>
      <c r="AE390">
        <v>1341110011712</v>
      </c>
      <c r="AF390" t="s">
        <v>230</v>
      </c>
      <c r="AG390" t="s">
        <v>2</v>
      </c>
      <c r="AH390" t="s">
        <v>541</v>
      </c>
      <c r="AI390" t="s">
        <v>186</v>
      </c>
      <c r="AJ390" t="s">
        <v>542</v>
      </c>
    </row>
    <row r="391" spans="1:36">
      <c r="A391" t="s">
        <v>2271</v>
      </c>
      <c r="B391" t="s">
        <v>2272</v>
      </c>
      <c r="F391" t="str">
        <f t="shared" si="5"/>
        <v>15116</v>
      </c>
      <c r="AE391">
        <v>1101110275069</v>
      </c>
      <c r="AF391" t="s">
        <v>453</v>
      </c>
      <c r="AG391" t="s">
        <v>2</v>
      </c>
      <c r="AH391" t="s">
        <v>327</v>
      </c>
      <c r="AI391" t="s">
        <v>59</v>
      </c>
      <c r="AJ391" t="s">
        <v>328</v>
      </c>
    </row>
    <row r="392" spans="1:36">
      <c r="A392" t="s">
        <v>2273</v>
      </c>
      <c r="B392" t="s">
        <v>2274</v>
      </c>
      <c r="F392" t="str">
        <f t="shared" si="5"/>
        <v>15187</v>
      </c>
      <c r="AE392">
        <v>1801110038447</v>
      </c>
      <c r="AG392" t="s">
        <v>2</v>
      </c>
      <c r="AH392" t="s">
        <v>543</v>
      </c>
      <c r="AI392" t="s">
        <v>278</v>
      </c>
      <c r="AJ392" t="s">
        <v>544</v>
      </c>
    </row>
    <row r="393" spans="1:36">
      <c r="A393" t="s">
        <v>2275</v>
      </c>
      <c r="B393" t="s">
        <v>1305</v>
      </c>
      <c r="F393" t="str">
        <f t="shared" si="5"/>
        <v>15325</v>
      </c>
      <c r="AE393">
        <v>1101110284268</v>
      </c>
      <c r="AG393" t="s">
        <v>4</v>
      </c>
      <c r="AH393" t="s">
        <v>545</v>
      </c>
      <c r="AI393" t="s">
        <v>32</v>
      </c>
      <c r="AJ393" t="s">
        <v>546</v>
      </c>
    </row>
    <row r="394" spans="1:36">
      <c r="A394" t="s">
        <v>2276</v>
      </c>
      <c r="B394" t="s">
        <v>1308</v>
      </c>
      <c r="F394" t="str">
        <f t="shared" ref="F394:F457" si="6">CHOOSE($C$1, A394, B394)</f>
        <v>15330</v>
      </c>
      <c r="AE394">
        <v>1101110284896</v>
      </c>
      <c r="AG394" t="s">
        <v>4</v>
      </c>
      <c r="AH394" t="s">
        <v>547</v>
      </c>
      <c r="AJ394" t="s">
        <v>548</v>
      </c>
    </row>
    <row r="395" spans="1:36">
      <c r="A395" t="s">
        <v>2277</v>
      </c>
      <c r="B395" t="s">
        <v>432</v>
      </c>
      <c r="F395" t="str">
        <f t="shared" si="6"/>
        <v>15334</v>
      </c>
      <c r="AE395">
        <v>1301110009761</v>
      </c>
      <c r="AG395" t="s">
        <v>4</v>
      </c>
      <c r="AH395" t="s">
        <v>549</v>
      </c>
      <c r="AJ395" t="s">
        <v>550</v>
      </c>
    </row>
    <row r="396" spans="1:36">
      <c r="A396" t="s">
        <v>2278</v>
      </c>
      <c r="B396" t="s">
        <v>1309</v>
      </c>
      <c r="F396" t="str">
        <f t="shared" si="6"/>
        <v>15335</v>
      </c>
      <c r="AE396">
        <v>1243110006349</v>
      </c>
      <c r="AG396" t="s">
        <v>4</v>
      </c>
      <c r="AH396" t="s">
        <v>468</v>
      </c>
      <c r="AI396" t="s">
        <v>124</v>
      </c>
      <c r="AJ396" t="s">
        <v>469</v>
      </c>
    </row>
    <row r="397" spans="1:36">
      <c r="A397" t="s">
        <v>2279</v>
      </c>
      <c r="B397" t="s">
        <v>1312</v>
      </c>
      <c r="F397" t="str">
        <f t="shared" si="6"/>
        <v>15455</v>
      </c>
      <c r="AE397">
        <v>1614110000352</v>
      </c>
      <c r="AG397" t="s">
        <v>4</v>
      </c>
      <c r="AH397" t="s">
        <v>190</v>
      </c>
      <c r="AI397" t="s">
        <v>32</v>
      </c>
      <c r="AJ397" t="s">
        <v>91</v>
      </c>
    </row>
    <row r="398" spans="1:36">
      <c r="A398" t="s">
        <v>2280</v>
      </c>
      <c r="B398" t="s">
        <v>2281</v>
      </c>
      <c r="F398" t="str">
        <f t="shared" si="6"/>
        <v>15627</v>
      </c>
      <c r="AE398">
        <v>1801110039495</v>
      </c>
      <c r="AF398" t="s">
        <v>74</v>
      </c>
      <c r="AG398" t="s">
        <v>2</v>
      </c>
      <c r="AH398" t="s">
        <v>551</v>
      </c>
      <c r="AJ398" t="s">
        <v>552</v>
      </c>
    </row>
    <row r="399" spans="1:36">
      <c r="A399" t="s">
        <v>2282</v>
      </c>
      <c r="B399" t="s">
        <v>2283</v>
      </c>
      <c r="F399" t="str">
        <f t="shared" si="6"/>
        <v>15653</v>
      </c>
      <c r="AE399">
        <v>1101110290778</v>
      </c>
      <c r="AF399" t="s">
        <v>68</v>
      </c>
      <c r="AG399" t="s">
        <v>2</v>
      </c>
      <c r="AH399" t="s">
        <v>15</v>
      </c>
      <c r="AI399" t="s">
        <v>16</v>
      </c>
      <c r="AJ399" t="s">
        <v>17</v>
      </c>
    </row>
    <row r="400" spans="1:36">
      <c r="A400" t="s">
        <v>2284</v>
      </c>
      <c r="B400" t="s">
        <v>1315</v>
      </c>
      <c r="F400" t="str">
        <f t="shared" si="6"/>
        <v>15678</v>
      </c>
      <c r="AE400">
        <v>2001110003205</v>
      </c>
      <c r="AG400" t="s">
        <v>4</v>
      </c>
      <c r="AH400" t="s">
        <v>554</v>
      </c>
      <c r="AI400" t="s">
        <v>555</v>
      </c>
      <c r="AJ400" t="s">
        <v>556</v>
      </c>
    </row>
    <row r="401" spans="1:36">
      <c r="A401" t="s">
        <v>2285</v>
      </c>
      <c r="B401" t="s">
        <v>2286</v>
      </c>
      <c r="F401" t="str">
        <f t="shared" si="6"/>
        <v>15699</v>
      </c>
      <c r="AE401">
        <v>1101110303183</v>
      </c>
      <c r="AG401" t="s">
        <v>4</v>
      </c>
      <c r="AH401" t="s">
        <v>54</v>
      </c>
      <c r="AI401" t="s">
        <v>55</v>
      </c>
      <c r="AJ401" t="s">
        <v>56</v>
      </c>
    </row>
    <row r="402" spans="1:36">
      <c r="A402" t="s">
        <v>2287</v>
      </c>
      <c r="B402" t="s">
        <v>2288</v>
      </c>
      <c r="F402" t="str">
        <f t="shared" si="6"/>
        <v>15766</v>
      </c>
      <c r="AE402">
        <v>1101110308729</v>
      </c>
      <c r="AG402" t="s">
        <v>4</v>
      </c>
    </row>
    <row r="403" spans="1:36">
      <c r="A403" t="s">
        <v>2289</v>
      </c>
      <c r="B403" t="s">
        <v>1321</v>
      </c>
      <c r="F403" t="str">
        <f t="shared" si="6"/>
        <v>15915</v>
      </c>
      <c r="AE403">
        <v>1801110042612</v>
      </c>
      <c r="AG403" t="s">
        <v>2</v>
      </c>
      <c r="AH403" t="s">
        <v>393</v>
      </c>
      <c r="AI403" t="s">
        <v>146</v>
      </c>
      <c r="AJ403" t="s">
        <v>394</v>
      </c>
    </row>
    <row r="404" spans="1:36">
      <c r="A404" t="s">
        <v>2290</v>
      </c>
      <c r="B404" t="s">
        <v>2291</v>
      </c>
      <c r="F404" t="str">
        <f t="shared" si="6"/>
        <v>16064</v>
      </c>
      <c r="AE404">
        <v>1146710001456</v>
      </c>
      <c r="AG404" t="s">
        <v>2</v>
      </c>
      <c r="AH404" t="s">
        <v>559</v>
      </c>
      <c r="AI404" t="s">
        <v>278</v>
      </c>
      <c r="AJ404" t="s">
        <v>560</v>
      </c>
    </row>
    <row r="405" spans="1:36">
      <c r="A405" t="s">
        <v>2292</v>
      </c>
      <c r="B405" t="s">
        <v>1324</v>
      </c>
      <c r="F405" t="str">
        <f t="shared" si="6"/>
        <v>16176</v>
      </c>
      <c r="AE405">
        <v>1201110011990</v>
      </c>
      <c r="AG405" t="s">
        <v>2</v>
      </c>
      <c r="AH405" t="s">
        <v>561</v>
      </c>
      <c r="AJ405" t="s">
        <v>562</v>
      </c>
    </row>
    <row r="406" spans="1:36">
      <c r="A406" t="s">
        <v>2293</v>
      </c>
      <c r="B406" t="s">
        <v>2294</v>
      </c>
      <c r="F406" t="str">
        <f t="shared" si="6"/>
        <v>16198</v>
      </c>
      <c r="AE406">
        <v>1101110315948</v>
      </c>
      <c r="AG406" t="s">
        <v>4</v>
      </c>
      <c r="AH406" t="s">
        <v>563</v>
      </c>
      <c r="AJ406" t="s">
        <v>564</v>
      </c>
    </row>
    <row r="407" spans="1:36">
      <c r="A407" t="s">
        <v>2295</v>
      </c>
      <c r="B407" t="s">
        <v>1330</v>
      </c>
      <c r="F407" t="str">
        <f t="shared" si="6"/>
        <v>16253</v>
      </c>
      <c r="AE407">
        <v>1412110005540</v>
      </c>
      <c r="AG407" t="s">
        <v>4</v>
      </c>
      <c r="AH407" t="s">
        <v>565</v>
      </c>
      <c r="AI407" t="s">
        <v>297</v>
      </c>
      <c r="AJ407" t="s">
        <v>566</v>
      </c>
    </row>
    <row r="408" spans="1:36">
      <c r="A408" t="s">
        <v>2296</v>
      </c>
      <c r="B408" t="s">
        <v>1331</v>
      </c>
      <c r="F408" t="str">
        <f t="shared" si="6"/>
        <v>16280</v>
      </c>
      <c r="AE408">
        <v>1301110010312</v>
      </c>
      <c r="AG408" t="s">
        <v>4</v>
      </c>
      <c r="AH408" t="s">
        <v>567</v>
      </c>
      <c r="AI408" t="s">
        <v>568</v>
      </c>
      <c r="AJ408" t="s">
        <v>569</v>
      </c>
    </row>
    <row r="409" spans="1:36">
      <c r="A409" t="s">
        <v>2297</v>
      </c>
      <c r="B409" t="s">
        <v>2298</v>
      </c>
      <c r="F409" t="str">
        <f t="shared" si="6"/>
        <v>16298</v>
      </c>
      <c r="AE409">
        <v>1101110327555</v>
      </c>
      <c r="AF409" t="s">
        <v>453</v>
      </c>
      <c r="AG409" t="s">
        <v>2</v>
      </c>
      <c r="AH409" t="s">
        <v>570</v>
      </c>
      <c r="AI409" t="s">
        <v>32</v>
      </c>
      <c r="AJ409" t="s">
        <v>571</v>
      </c>
    </row>
    <row r="410" spans="1:36">
      <c r="A410" t="s">
        <v>2299</v>
      </c>
      <c r="B410" t="s">
        <v>2300</v>
      </c>
      <c r="F410" t="str">
        <f t="shared" si="6"/>
        <v>16443</v>
      </c>
      <c r="AE410">
        <v>1101110335649</v>
      </c>
      <c r="AF410" t="s">
        <v>340</v>
      </c>
      <c r="AG410" t="s">
        <v>2</v>
      </c>
      <c r="AH410" t="s">
        <v>114</v>
      </c>
      <c r="AI410" t="s">
        <v>63</v>
      </c>
      <c r="AJ410" t="s">
        <v>115</v>
      </c>
    </row>
    <row r="411" spans="1:36">
      <c r="A411" t="s">
        <v>2301</v>
      </c>
      <c r="B411" t="s">
        <v>2302</v>
      </c>
      <c r="F411" t="str">
        <f t="shared" si="6"/>
        <v>16548</v>
      </c>
      <c r="AE411">
        <v>1101110393308</v>
      </c>
      <c r="AG411" t="s">
        <v>2</v>
      </c>
      <c r="AH411" t="s">
        <v>235</v>
      </c>
      <c r="AI411" t="s">
        <v>124</v>
      </c>
      <c r="AJ411" t="s">
        <v>236</v>
      </c>
    </row>
    <row r="412" spans="1:36">
      <c r="A412" t="s">
        <v>2303</v>
      </c>
      <c r="B412" t="s">
        <v>1338</v>
      </c>
      <c r="F412" t="str">
        <f t="shared" si="6"/>
        <v>16671</v>
      </c>
      <c r="AE412">
        <v>1101110337041</v>
      </c>
      <c r="AG412" t="s">
        <v>4</v>
      </c>
      <c r="AH412" t="s">
        <v>114</v>
      </c>
      <c r="AI412" t="s">
        <v>63</v>
      </c>
      <c r="AJ412" t="s">
        <v>115</v>
      </c>
    </row>
    <row r="413" spans="1:36">
      <c r="A413" t="s">
        <v>2304</v>
      </c>
      <c r="B413" t="s">
        <v>1339</v>
      </c>
      <c r="F413" t="str">
        <f t="shared" si="6"/>
        <v>16868</v>
      </c>
      <c r="AE413">
        <v>1812110002811</v>
      </c>
      <c r="AG413" t="s">
        <v>4</v>
      </c>
      <c r="AH413" t="s">
        <v>120</v>
      </c>
      <c r="AJ413" t="s">
        <v>121</v>
      </c>
    </row>
    <row r="414" spans="1:36">
      <c r="A414" t="s">
        <v>2305</v>
      </c>
      <c r="B414" t="s">
        <v>1342</v>
      </c>
      <c r="F414" t="str">
        <f t="shared" si="6"/>
        <v>17445</v>
      </c>
      <c r="AE414">
        <v>1101110339956</v>
      </c>
      <c r="AF414" t="s">
        <v>97</v>
      </c>
      <c r="AG414" t="s">
        <v>2</v>
      </c>
      <c r="AH414" t="s">
        <v>114</v>
      </c>
      <c r="AI414" t="s">
        <v>63</v>
      </c>
      <c r="AJ414" t="s">
        <v>115</v>
      </c>
    </row>
    <row r="415" spans="1:36">
      <c r="A415" t="s">
        <v>2306</v>
      </c>
      <c r="B415" t="s">
        <v>2307</v>
      </c>
      <c r="F415" t="str">
        <f t="shared" si="6"/>
        <v>17514</v>
      </c>
      <c r="AE415">
        <v>1701110017237</v>
      </c>
      <c r="AG415" t="s">
        <v>2</v>
      </c>
      <c r="AH415" t="s">
        <v>15</v>
      </c>
      <c r="AI415" t="s">
        <v>16</v>
      </c>
      <c r="AJ415" t="s">
        <v>17</v>
      </c>
    </row>
    <row r="416" spans="1:36">
      <c r="A416" t="s">
        <v>2308</v>
      </c>
      <c r="B416" t="s">
        <v>1345</v>
      </c>
      <c r="F416" t="str">
        <f t="shared" si="6"/>
        <v>17519</v>
      </c>
      <c r="AE416">
        <v>1101110303539</v>
      </c>
      <c r="AG416" t="s">
        <v>4</v>
      </c>
      <c r="AH416" t="s">
        <v>5</v>
      </c>
      <c r="AI416" t="s">
        <v>6</v>
      </c>
      <c r="AJ416" t="s">
        <v>7</v>
      </c>
    </row>
    <row r="417" spans="1:36">
      <c r="A417" t="s">
        <v>2309</v>
      </c>
      <c r="B417" t="s">
        <v>1346</v>
      </c>
      <c r="F417" t="str">
        <f t="shared" si="6"/>
        <v>17577</v>
      </c>
      <c r="AE417">
        <v>1101110346745</v>
      </c>
      <c r="AG417" t="s">
        <v>2</v>
      </c>
      <c r="AH417" t="s">
        <v>15</v>
      </c>
      <c r="AI417" t="s">
        <v>16</v>
      </c>
      <c r="AJ417" t="s">
        <v>17</v>
      </c>
    </row>
    <row r="418" spans="1:36">
      <c r="A418" t="s">
        <v>2310</v>
      </c>
      <c r="B418" t="s">
        <v>1347</v>
      </c>
      <c r="F418" t="str">
        <f t="shared" si="6"/>
        <v>17661</v>
      </c>
      <c r="AE418">
        <v>1115110005269</v>
      </c>
      <c r="AG418" t="s">
        <v>2</v>
      </c>
      <c r="AH418" t="s">
        <v>576</v>
      </c>
      <c r="AJ418" t="s">
        <v>577</v>
      </c>
    </row>
    <row r="419" spans="1:36">
      <c r="A419" t="s">
        <v>2311</v>
      </c>
      <c r="B419" t="s">
        <v>1348</v>
      </c>
      <c r="F419" t="str">
        <f t="shared" si="6"/>
        <v>17662</v>
      </c>
      <c r="AE419">
        <v>1101110341703</v>
      </c>
      <c r="AG419" t="s">
        <v>4</v>
      </c>
      <c r="AH419" t="s">
        <v>90</v>
      </c>
      <c r="AI419" t="s">
        <v>32</v>
      </c>
      <c r="AJ419" t="s">
        <v>91</v>
      </c>
    </row>
    <row r="420" spans="1:36">
      <c r="A420" t="s">
        <v>2312</v>
      </c>
      <c r="B420" t="s">
        <v>1349</v>
      </c>
      <c r="F420" t="str">
        <f t="shared" si="6"/>
        <v>17667</v>
      </c>
      <c r="AE420">
        <v>1753110001075</v>
      </c>
      <c r="AG420" t="s">
        <v>4</v>
      </c>
      <c r="AH420" t="s">
        <v>578</v>
      </c>
      <c r="AJ420" t="s">
        <v>426</v>
      </c>
    </row>
    <row r="421" spans="1:36">
      <c r="A421" t="s">
        <v>2313</v>
      </c>
      <c r="B421" t="s">
        <v>1350</v>
      </c>
      <c r="F421" t="str">
        <f t="shared" si="6"/>
        <v>17733</v>
      </c>
      <c r="AE421">
        <v>1101110350712</v>
      </c>
      <c r="AG421" t="s">
        <v>2</v>
      </c>
      <c r="AH421" t="s">
        <v>512</v>
      </c>
      <c r="AI421" t="s">
        <v>32</v>
      </c>
      <c r="AJ421" t="s">
        <v>513</v>
      </c>
    </row>
    <row r="422" spans="1:36">
      <c r="A422" t="s">
        <v>2314</v>
      </c>
      <c r="B422" t="s">
        <v>2315</v>
      </c>
      <c r="F422" t="str">
        <f t="shared" si="6"/>
        <v>17867</v>
      </c>
      <c r="AE422">
        <v>1101110346331</v>
      </c>
      <c r="AG422" t="s">
        <v>4</v>
      </c>
      <c r="AH422" t="s">
        <v>190</v>
      </c>
      <c r="AI422" t="s">
        <v>32</v>
      </c>
      <c r="AJ422" t="s">
        <v>91</v>
      </c>
    </row>
    <row r="423" spans="1:36">
      <c r="A423" t="s">
        <v>2316</v>
      </c>
      <c r="B423" t="s">
        <v>2317</v>
      </c>
      <c r="F423" t="str">
        <f t="shared" si="6"/>
        <v>18014</v>
      </c>
      <c r="AE423">
        <v>1753110001281</v>
      </c>
      <c r="AG423" t="s">
        <v>4</v>
      </c>
      <c r="AH423" t="s">
        <v>341</v>
      </c>
      <c r="AJ423" t="s">
        <v>342</v>
      </c>
    </row>
    <row r="424" spans="1:36">
      <c r="A424" t="s">
        <v>2318</v>
      </c>
      <c r="B424" t="s">
        <v>1352</v>
      </c>
      <c r="F424" t="str">
        <f t="shared" si="6"/>
        <v>18034</v>
      </c>
      <c r="AE424">
        <v>1101110358740</v>
      </c>
      <c r="AG424" t="s">
        <v>4</v>
      </c>
      <c r="AH424" t="s">
        <v>579</v>
      </c>
      <c r="AI424" t="s">
        <v>580</v>
      </c>
      <c r="AJ424" t="s">
        <v>581</v>
      </c>
    </row>
    <row r="425" spans="1:36">
      <c r="A425" t="s">
        <v>2319</v>
      </c>
      <c r="B425" t="s">
        <v>1353</v>
      </c>
      <c r="F425" t="str">
        <f t="shared" si="6"/>
        <v>18142</v>
      </c>
      <c r="AE425">
        <v>1101110360399</v>
      </c>
      <c r="AG425" t="s">
        <v>2</v>
      </c>
      <c r="AH425" t="s">
        <v>551</v>
      </c>
      <c r="AJ425" t="s">
        <v>552</v>
      </c>
    </row>
    <row r="426" spans="1:36">
      <c r="A426" t="s">
        <v>2320</v>
      </c>
      <c r="B426" t="s">
        <v>2321</v>
      </c>
      <c r="F426" t="str">
        <f t="shared" si="6"/>
        <v>18354</v>
      </c>
      <c r="AE426">
        <v>2047110001352</v>
      </c>
      <c r="AF426" t="s">
        <v>582</v>
      </c>
      <c r="AG426" t="s">
        <v>4</v>
      </c>
      <c r="AH426" t="s">
        <v>390</v>
      </c>
      <c r="AI426" t="s">
        <v>55</v>
      </c>
      <c r="AJ426" t="s">
        <v>391</v>
      </c>
    </row>
    <row r="427" spans="1:36">
      <c r="A427" t="s">
        <v>2322</v>
      </c>
      <c r="B427" t="s">
        <v>1356</v>
      </c>
      <c r="F427" t="str">
        <f t="shared" si="6"/>
        <v>18403</v>
      </c>
      <c r="AE427">
        <v>1101110368426</v>
      </c>
      <c r="AG427" t="s">
        <v>4</v>
      </c>
      <c r="AH427" t="s">
        <v>190</v>
      </c>
      <c r="AI427" t="s">
        <v>32</v>
      </c>
      <c r="AJ427" t="s">
        <v>91</v>
      </c>
    </row>
    <row r="428" spans="1:36">
      <c r="A428" t="s">
        <v>2323</v>
      </c>
      <c r="B428" t="s">
        <v>2324</v>
      </c>
      <c r="F428" t="str">
        <f t="shared" si="6"/>
        <v>18404</v>
      </c>
      <c r="AE428">
        <v>2001110006939</v>
      </c>
      <c r="AG428" t="s">
        <v>4</v>
      </c>
    </row>
    <row r="429" spans="1:36">
      <c r="A429" t="s">
        <v>2325</v>
      </c>
      <c r="B429" t="s">
        <v>1359</v>
      </c>
      <c r="F429" t="str">
        <f t="shared" si="6"/>
        <v>18497</v>
      </c>
      <c r="AE429">
        <v>1101110371346</v>
      </c>
      <c r="AF429" t="s">
        <v>74</v>
      </c>
      <c r="AG429" t="s">
        <v>2</v>
      </c>
      <c r="AH429" t="s">
        <v>584</v>
      </c>
      <c r="AI429" t="s">
        <v>585</v>
      </c>
      <c r="AJ429" t="s">
        <v>586</v>
      </c>
    </row>
    <row r="430" spans="1:36">
      <c r="A430" t="s">
        <v>2326</v>
      </c>
      <c r="B430" t="s">
        <v>1360</v>
      </c>
      <c r="F430" t="str">
        <f t="shared" si="6"/>
        <v>18519</v>
      </c>
      <c r="AE430">
        <v>1344110001519</v>
      </c>
      <c r="AG430" t="s">
        <v>2</v>
      </c>
      <c r="AH430" t="s">
        <v>588</v>
      </c>
      <c r="AI430" t="s">
        <v>65</v>
      </c>
      <c r="AJ430" t="s">
        <v>589</v>
      </c>
    </row>
    <row r="431" spans="1:36">
      <c r="A431" t="s">
        <v>2327</v>
      </c>
      <c r="B431" t="s">
        <v>1361</v>
      </c>
      <c r="F431" t="str">
        <f t="shared" si="6"/>
        <v>18540</v>
      </c>
      <c r="AE431">
        <v>1101110375439</v>
      </c>
      <c r="AG431" t="s">
        <v>2</v>
      </c>
      <c r="AH431" t="s">
        <v>15</v>
      </c>
      <c r="AI431" t="s">
        <v>16</v>
      </c>
      <c r="AJ431" t="s">
        <v>17</v>
      </c>
    </row>
    <row r="432" spans="1:36">
      <c r="A432" t="s">
        <v>2328</v>
      </c>
      <c r="B432" t="s">
        <v>1362</v>
      </c>
      <c r="F432" t="str">
        <f t="shared" si="6"/>
        <v>18568</v>
      </c>
      <c r="AE432">
        <v>1341110010839</v>
      </c>
      <c r="AG432" t="s">
        <v>4</v>
      </c>
      <c r="AH432" t="s">
        <v>590</v>
      </c>
      <c r="AI432" t="s">
        <v>59</v>
      </c>
      <c r="AJ432" t="s">
        <v>591</v>
      </c>
    </row>
    <row r="433" spans="1:36">
      <c r="A433" t="s">
        <v>2329</v>
      </c>
      <c r="B433" t="s">
        <v>2330</v>
      </c>
      <c r="F433" t="str">
        <f t="shared" si="6"/>
        <v>18663</v>
      </c>
      <c r="AE433">
        <v>2149110002560</v>
      </c>
      <c r="AG433" t="s">
        <v>2</v>
      </c>
      <c r="AH433" t="s">
        <v>75</v>
      </c>
      <c r="AI433" t="s">
        <v>76</v>
      </c>
      <c r="AJ433" t="s">
        <v>77</v>
      </c>
    </row>
    <row r="434" spans="1:36">
      <c r="A434" t="s">
        <v>2331</v>
      </c>
      <c r="B434" t="s">
        <v>1363</v>
      </c>
      <c r="F434" t="str">
        <f t="shared" si="6"/>
        <v>18667</v>
      </c>
      <c r="AE434">
        <v>1101110381387</v>
      </c>
      <c r="AF434" t="s">
        <v>68</v>
      </c>
      <c r="AG434" t="s">
        <v>2</v>
      </c>
      <c r="AH434" t="s">
        <v>593</v>
      </c>
      <c r="AI434" t="s">
        <v>83</v>
      </c>
      <c r="AJ434" t="s">
        <v>594</v>
      </c>
    </row>
    <row r="435" spans="1:36">
      <c r="A435" t="s">
        <v>2332</v>
      </c>
      <c r="B435" t="s">
        <v>2333</v>
      </c>
      <c r="F435" t="str">
        <f t="shared" si="6"/>
        <v>18703</v>
      </c>
      <c r="AE435">
        <v>1101110382020</v>
      </c>
      <c r="AG435" t="s">
        <v>2</v>
      </c>
      <c r="AH435" t="s">
        <v>596</v>
      </c>
      <c r="AI435" t="s">
        <v>65</v>
      </c>
      <c r="AJ435" t="s">
        <v>597</v>
      </c>
    </row>
    <row r="436" spans="1:36">
      <c r="A436" t="s">
        <v>2334</v>
      </c>
      <c r="B436" t="s">
        <v>2335</v>
      </c>
      <c r="F436" t="str">
        <f t="shared" si="6"/>
        <v>18731</v>
      </c>
      <c r="AE436">
        <v>1101110383383</v>
      </c>
      <c r="AG436" t="s">
        <v>4</v>
      </c>
      <c r="AH436" t="s">
        <v>403</v>
      </c>
      <c r="AI436" t="s">
        <v>55</v>
      </c>
      <c r="AJ436" t="s">
        <v>404</v>
      </c>
    </row>
    <row r="437" spans="1:36">
      <c r="A437" t="s">
        <v>2336</v>
      </c>
      <c r="B437" t="s">
        <v>1364</v>
      </c>
      <c r="F437" t="str">
        <f t="shared" si="6"/>
        <v>18788</v>
      </c>
      <c r="AE437">
        <v>1746110004628</v>
      </c>
      <c r="AG437" t="s">
        <v>4</v>
      </c>
    </row>
    <row r="438" spans="1:36">
      <c r="A438" t="s">
        <v>2337</v>
      </c>
      <c r="B438" t="s">
        <v>1365</v>
      </c>
      <c r="F438" t="str">
        <f t="shared" si="6"/>
        <v>18796</v>
      </c>
      <c r="AE438">
        <v>1101110398556</v>
      </c>
      <c r="AF438" t="s">
        <v>340</v>
      </c>
      <c r="AG438" t="s">
        <v>2</v>
      </c>
      <c r="AH438" t="s">
        <v>598</v>
      </c>
      <c r="AI438" t="s">
        <v>503</v>
      </c>
      <c r="AJ438" t="s">
        <v>599</v>
      </c>
    </row>
    <row r="439" spans="1:36">
      <c r="A439" t="s">
        <v>2338</v>
      </c>
      <c r="B439" t="s">
        <v>2339</v>
      </c>
      <c r="F439" t="str">
        <f t="shared" si="6"/>
        <v>18854</v>
      </c>
      <c r="AE439">
        <v>1101110509872</v>
      </c>
      <c r="AG439" t="s">
        <v>2</v>
      </c>
      <c r="AH439" t="s">
        <v>600</v>
      </c>
      <c r="AJ439" t="s">
        <v>601</v>
      </c>
    </row>
    <row r="440" spans="1:36">
      <c r="A440" t="s">
        <v>2340</v>
      </c>
      <c r="B440" t="s">
        <v>2341</v>
      </c>
      <c r="F440" t="str">
        <f t="shared" si="6"/>
        <v>18867</v>
      </c>
      <c r="AE440">
        <v>1701110021634</v>
      </c>
      <c r="AG440" t="s">
        <v>4</v>
      </c>
      <c r="AH440" t="s">
        <v>602</v>
      </c>
      <c r="AJ440" t="s">
        <v>603</v>
      </c>
    </row>
    <row r="441" spans="1:36">
      <c r="A441" t="s">
        <v>2342</v>
      </c>
      <c r="B441" t="s">
        <v>1366</v>
      </c>
      <c r="F441" t="str">
        <f t="shared" si="6"/>
        <v>18869</v>
      </c>
      <c r="AE441">
        <v>1701110021816</v>
      </c>
      <c r="AG441" t="s">
        <v>2</v>
      </c>
      <c r="AH441" t="s">
        <v>393</v>
      </c>
      <c r="AI441" t="s">
        <v>146</v>
      </c>
      <c r="AJ441" t="s">
        <v>394</v>
      </c>
    </row>
    <row r="442" spans="1:36">
      <c r="A442" t="s">
        <v>2343</v>
      </c>
      <c r="B442" t="s">
        <v>2344</v>
      </c>
      <c r="F442" t="str">
        <f t="shared" si="6"/>
        <v>18952</v>
      </c>
      <c r="AE442">
        <v>1101110411142</v>
      </c>
      <c r="AF442" t="s">
        <v>127</v>
      </c>
      <c r="AG442" t="s">
        <v>4</v>
      </c>
      <c r="AH442" t="s">
        <v>296</v>
      </c>
      <c r="AI442" t="s">
        <v>297</v>
      </c>
      <c r="AJ442" t="s">
        <v>298</v>
      </c>
    </row>
    <row r="443" spans="1:36">
      <c r="A443" t="s">
        <v>2345</v>
      </c>
      <c r="B443" t="s">
        <v>2346</v>
      </c>
      <c r="F443" t="str">
        <f t="shared" si="6"/>
        <v>19051</v>
      </c>
      <c r="AE443">
        <v>1447110000711</v>
      </c>
      <c r="AG443" t="s">
        <v>4</v>
      </c>
      <c r="AH443" t="s">
        <v>605</v>
      </c>
      <c r="AI443" t="s">
        <v>606</v>
      </c>
      <c r="AJ443" t="s">
        <v>607</v>
      </c>
    </row>
    <row r="444" spans="1:36">
      <c r="A444" t="s">
        <v>2347</v>
      </c>
      <c r="B444" t="s">
        <v>1367</v>
      </c>
      <c r="F444" t="str">
        <f t="shared" si="6"/>
        <v>19070</v>
      </c>
      <c r="AE444">
        <v>1101110413247</v>
      </c>
      <c r="AF444" t="s">
        <v>74</v>
      </c>
      <c r="AG444" t="s">
        <v>2</v>
      </c>
      <c r="AH444" t="s">
        <v>593</v>
      </c>
      <c r="AI444" t="s">
        <v>83</v>
      </c>
      <c r="AJ444" t="s">
        <v>594</v>
      </c>
    </row>
    <row r="445" spans="1:36">
      <c r="A445" t="s">
        <v>2348</v>
      </c>
      <c r="B445" t="s">
        <v>2349</v>
      </c>
      <c r="F445" t="str">
        <f t="shared" si="6"/>
        <v>19079</v>
      </c>
      <c r="AE445">
        <v>1301110008721</v>
      </c>
      <c r="AG445" t="s">
        <v>2</v>
      </c>
      <c r="AH445" t="s">
        <v>34</v>
      </c>
      <c r="AI445" t="s">
        <v>35</v>
      </c>
      <c r="AJ445" t="s">
        <v>36</v>
      </c>
    </row>
    <row r="446" spans="1:36">
      <c r="A446" t="s">
        <v>2350</v>
      </c>
      <c r="B446" t="s">
        <v>2351</v>
      </c>
      <c r="F446" t="str">
        <f t="shared" si="6"/>
        <v>19126</v>
      </c>
      <c r="AE446">
        <v>1101110413990</v>
      </c>
      <c r="AG446" t="s">
        <v>2</v>
      </c>
      <c r="AH446" t="s">
        <v>609</v>
      </c>
      <c r="AI446" t="s">
        <v>610</v>
      </c>
      <c r="AJ446" t="s">
        <v>611</v>
      </c>
    </row>
    <row r="447" spans="1:36">
      <c r="A447" t="s">
        <v>2352</v>
      </c>
      <c r="B447" t="s">
        <v>2353</v>
      </c>
      <c r="F447" t="str">
        <f t="shared" si="6"/>
        <v>19305</v>
      </c>
      <c r="AE447">
        <v>1347110002206</v>
      </c>
      <c r="AG447" t="s">
        <v>2</v>
      </c>
      <c r="AH447" t="s">
        <v>612</v>
      </c>
      <c r="AI447" t="s">
        <v>65</v>
      </c>
      <c r="AJ447" t="s">
        <v>613</v>
      </c>
    </row>
    <row r="448" spans="1:36">
      <c r="A448" t="s">
        <v>2354</v>
      </c>
      <c r="B448" t="s">
        <v>1370</v>
      </c>
      <c r="F448" t="str">
        <f t="shared" si="6"/>
        <v>19306</v>
      </c>
      <c r="AE448">
        <v>1101110252405</v>
      </c>
      <c r="AG448" t="s">
        <v>2</v>
      </c>
      <c r="AH448" t="s">
        <v>120</v>
      </c>
      <c r="AJ448" t="s">
        <v>121</v>
      </c>
    </row>
    <row r="449" spans="1:36">
      <c r="A449" t="s">
        <v>2355</v>
      </c>
      <c r="B449" t="s">
        <v>1371</v>
      </c>
      <c r="F449" t="str">
        <f t="shared" si="6"/>
        <v>19327</v>
      </c>
      <c r="AE449">
        <v>1101110427561</v>
      </c>
      <c r="AF449" t="s">
        <v>614</v>
      </c>
      <c r="AG449" t="s">
        <v>4</v>
      </c>
      <c r="AH449" t="s">
        <v>615</v>
      </c>
      <c r="AI449" t="s">
        <v>585</v>
      </c>
      <c r="AJ449" t="s">
        <v>616</v>
      </c>
    </row>
    <row r="450" spans="1:36">
      <c r="A450" t="s">
        <v>2356</v>
      </c>
      <c r="B450" t="s">
        <v>1372</v>
      </c>
      <c r="F450" t="str">
        <f t="shared" si="6"/>
        <v>19364</v>
      </c>
      <c r="AE450">
        <v>1301110011815</v>
      </c>
      <c r="AG450" t="s">
        <v>2</v>
      </c>
      <c r="AH450" t="s">
        <v>34</v>
      </c>
      <c r="AI450" t="s">
        <v>35</v>
      </c>
      <c r="AJ450" t="s">
        <v>36</v>
      </c>
    </row>
    <row r="451" spans="1:36">
      <c r="A451" t="s">
        <v>2357</v>
      </c>
      <c r="B451" t="s">
        <v>2358</v>
      </c>
      <c r="F451" t="str">
        <f t="shared" si="6"/>
        <v>19458</v>
      </c>
      <c r="AE451">
        <v>1701110022781</v>
      </c>
      <c r="AG451" t="s">
        <v>2</v>
      </c>
      <c r="AH451" t="s">
        <v>519</v>
      </c>
      <c r="AI451" t="s">
        <v>146</v>
      </c>
      <c r="AJ451" t="s">
        <v>520</v>
      </c>
    </row>
    <row r="452" spans="1:36">
      <c r="A452" t="s">
        <v>2359</v>
      </c>
      <c r="B452" t="s">
        <v>2360</v>
      </c>
      <c r="F452" t="str">
        <f t="shared" si="6"/>
        <v>19590</v>
      </c>
      <c r="AE452">
        <v>1201110038639</v>
      </c>
      <c r="AG452" t="s">
        <v>2</v>
      </c>
      <c r="AH452" t="s">
        <v>619</v>
      </c>
      <c r="AI452" t="s">
        <v>384</v>
      </c>
      <c r="AJ452" t="s">
        <v>620</v>
      </c>
    </row>
    <row r="453" spans="1:36">
      <c r="A453" t="s">
        <v>2361</v>
      </c>
      <c r="B453" t="s">
        <v>2362</v>
      </c>
      <c r="F453" t="str">
        <f t="shared" si="6"/>
        <v>19605</v>
      </c>
      <c r="AE453">
        <v>1101110505903</v>
      </c>
      <c r="AF453" t="s">
        <v>93</v>
      </c>
      <c r="AG453" t="s">
        <v>4</v>
      </c>
      <c r="AH453" t="s">
        <v>248</v>
      </c>
      <c r="AI453" t="s">
        <v>249</v>
      </c>
      <c r="AJ453" t="s">
        <v>121</v>
      </c>
    </row>
    <row r="454" spans="1:36">
      <c r="A454" t="s">
        <v>2363</v>
      </c>
      <c r="B454" t="s">
        <v>2364</v>
      </c>
      <c r="F454" t="str">
        <f t="shared" si="6"/>
        <v>19689</v>
      </c>
      <c r="AE454">
        <v>1801110069517</v>
      </c>
      <c r="AG454" t="s">
        <v>4</v>
      </c>
      <c r="AH454" t="s">
        <v>621</v>
      </c>
      <c r="AI454" t="s">
        <v>55</v>
      </c>
      <c r="AJ454" t="s">
        <v>622</v>
      </c>
    </row>
    <row r="455" spans="1:36">
      <c r="A455" t="s">
        <v>2365</v>
      </c>
      <c r="B455" t="s">
        <v>2366</v>
      </c>
      <c r="F455" t="str">
        <f t="shared" si="6"/>
        <v>19743</v>
      </c>
      <c r="AE455">
        <v>1746110005478</v>
      </c>
      <c r="AF455" t="s">
        <v>133</v>
      </c>
      <c r="AG455" t="s">
        <v>2</v>
      </c>
      <c r="AH455" t="s">
        <v>235</v>
      </c>
      <c r="AI455" t="s">
        <v>124</v>
      </c>
      <c r="AJ455" t="s">
        <v>236</v>
      </c>
    </row>
    <row r="456" spans="1:36">
      <c r="A456" t="s">
        <v>2367</v>
      </c>
      <c r="B456" t="s">
        <v>1376</v>
      </c>
      <c r="F456" t="str">
        <f t="shared" si="6"/>
        <v>19746</v>
      </c>
      <c r="AE456">
        <v>1942110048381</v>
      </c>
      <c r="AG456" t="s">
        <v>2</v>
      </c>
      <c r="AH456" t="s">
        <v>623</v>
      </c>
      <c r="AI456" t="s">
        <v>65</v>
      </c>
      <c r="AJ456" t="s">
        <v>624</v>
      </c>
    </row>
    <row r="457" spans="1:36">
      <c r="A457" t="s">
        <v>2368</v>
      </c>
      <c r="B457" t="s">
        <v>2369</v>
      </c>
      <c r="F457" t="str">
        <f t="shared" si="6"/>
        <v>19747</v>
      </c>
      <c r="AE457">
        <v>1101110511273</v>
      </c>
      <c r="AG457" t="s">
        <v>2</v>
      </c>
      <c r="AH457" t="s">
        <v>621</v>
      </c>
      <c r="AI457" t="s">
        <v>55</v>
      </c>
      <c r="AJ457" t="s">
        <v>622</v>
      </c>
    </row>
    <row r="458" spans="1:36">
      <c r="A458" t="s">
        <v>2370</v>
      </c>
      <c r="B458" t="s">
        <v>1377</v>
      </c>
      <c r="F458" t="str">
        <f t="shared" ref="F458:F521" si="7">CHOOSE($C$1, A458, B458)</f>
        <v>19765</v>
      </c>
      <c r="AE458">
        <v>1101110511398</v>
      </c>
      <c r="AF458" t="s">
        <v>582</v>
      </c>
      <c r="AG458" t="s">
        <v>4</v>
      </c>
      <c r="AH458" t="s">
        <v>621</v>
      </c>
      <c r="AI458" t="s">
        <v>55</v>
      </c>
      <c r="AJ458" t="s">
        <v>622</v>
      </c>
    </row>
    <row r="459" spans="1:36">
      <c r="A459" t="s">
        <v>2371</v>
      </c>
      <c r="B459" t="s">
        <v>2372</v>
      </c>
      <c r="F459" t="str">
        <f t="shared" si="7"/>
        <v>19785</v>
      </c>
      <c r="AE459">
        <v>1101110512049</v>
      </c>
      <c r="AG459" t="s">
        <v>2</v>
      </c>
      <c r="AH459" t="s">
        <v>625</v>
      </c>
      <c r="AI459" t="s">
        <v>6</v>
      </c>
      <c r="AJ459" t="s">
        <v>626</v>
      </c>
    </row>
    <row r="460" spans="1:36">
      <c r="A460" t="s">
        <v>2373</v>
      </c>
      <c r="B460" t="s">
        <v>1382</v>
      </c>
      <c r="F460" t="str">
        <f t="shared" si="7"/>
        <v>19832</v>
      </c>
      <c r="AE460">
        <v>1101110513253</v>
      </c>
      <c r="AG460" t="s">
        <v>4</v>
      </c>
      <c r="AH460" t="s">
        <v>627</v>
      </c>
      <c r="AJ460" t="s">
        <v>628</v>
      </c>
    </row>
    <row r="461" spans="1:36">
      <c r="A461" t="s">
        <v>2374</v>
      </c>
      <c r="B461" t="s">
        <v>2375</v>
      </c>
      <c r="F461" t="str">
        <f t="shared" si="7"/>
        <v>19840</v>
      </c>
      <c r="AE461">
        <v>1101110513609</v>
      </c>
      <c r="AG461" t="s">
        <v>4</v>
      </c>
      <c r="AH461" t="s">
        <v>629</v>
      </c>
      <c r="AJ461" t="s">
        <v>630</v>
      </c>
    </row>
    <row r="462" spans="1:36">
      <c r="A462" t="s">
        <v>2376</v>
      </c>
      <c r="B462" t="s">
        <v>1385</v>
      </c>
      <c r="F462" t="str">
        <f t="shared" si="7"/>
        <v>19845</v>
      </c>
      <c r="AE462">
        <v>1101110514011</v>
      </c>
      <c r="AG462" t="s">
        <v>2</v>
      </c>
      <c r="AH462" t="s">
        <v>631</v>
      </c>
      <c r="AI462" t="s">
        <v>63</v>
      </c>
      <c r="AJ462" t="s">
        <v>632</v>
      </c>
    </row>
    <row r="463" spans="1:36">
      <c r="A463" t="s">
        <v>2377</v>
      </c>
      <c r="B463" t="s">
        <v>2378</v>
      </c>
      <c r="F463" t="str">
        <f t="shared" si="7"/>
        <v>19874</v>
      </c>
      <c r="AE463">
        <v>1101110519970</v>
      </c>
      <c r="AG463" t="s">
        <v>4</v>
      </c>
      <c r="AH463" t="s">
        <v>634</v>
      </c>
      <c r="AI463" t="s">
        <v>6</v>
      </c>
      <c r="AJ463" t="s">
        <v>635</v>
      </c>
    </row>
    <row r="464" spans="1:36">
      <c r="A464" t="s">
        <v>2379</v>
      </c>
      <c r="B464" t="s">
        <v>2380</v>
      </c>
      <c r="F464" t="str">
        <f t="shared" si="7"/>
        <v>19895</v>
      </c>
      <c r="AE464">
        <v>1101110524838</v>
      </c>
      <c r="AF464" t="s">
        <v>171</v>
      </c>
      <c r="AG464" t="s">
        <v>4</v>
      </c>
      <c r="AH464" t="s">
        <v>636</v>
      </c>
      <c r="AJ464" t="s">
        <v>637</v>
      </c>
    </row>
    <row r="465" spans="1:36">
      <c r="A465" t="s">
        <v>2381</v>
      </c>
      <c r="B465" t="s">
        <v>1386</v>
      </c>
      <c r="F465" t="str">
        <f t="shared" si="7"/>
        <v>40015</v>
      </c>
      <c r="AE465">
        <v>1101110525795</v>
      </c>
      <c r="AF465" t="s">
        <v>329</v>
      </c>
      <c r="AG465" t="s">
        <v>4</v>
      </c>
      <c r="AH465" t="s">
        <v>120</v>
      </c>
      <c r="AJ465" t="s">
        <v>121</v>
      </c>
    </row>
    <row r="466" spans="1:36">
      <c r="A466" t="s">
        <v>2382</v>
      </c>
      <c r="B466" t="s">
        <v>2383</v>
      </c>
      <c r="F466" t="str">
        <f t="shared" si="7"/>
        <v>40019</v>
      </c>
      <c r="AE466">
        <v>1101110531578</v>
      </c>
      <c r="AF466" t="s">
        <v>329</v>
      </c>
      <c r="AG466" t="s">
        <v>2</v>
      </c>
      <c r="AH466" t="s">
        <v>433</v>
      </c>
      <c r="AJ466" t="s">
        <v>434</v>
      </c>
    </row>
    <row r="467" spans="1:36">
      <c r="A467" t="s">
        <v>2384</v>
      </c>
      <c r="B467" t="s">
        <v>2385</v>
      </c>
      <c r="F467" t="str">
        <f t="shared" si="7"/>
        <v>40029</v>
      </c>
      <c r="AE467">
        <v>1101110535801</v>
      </c>
      <c r="AG467" t="s">
        <v>4</v>
      </c>
      <c r="AH467" t="s">
        <v>638</v>
      </c>
      <c r="AI467" t="s">
        <v>150</v>
      </c>
      <c r="AJ467" t="s">
        <v>639</v>
      </c>
    </row>
    <row r="468" spans="1:36">
      <c r="A468" t="s">
        <v>2386</v>
      </c>
      <c r="B468" t="s">
        <v>2387</v>
      </c>
      <c r="F468" t="str">
        <f t="shared" si="7"/>
        <v>40080</v>
      </c>
      <c r="AE468">
        <v>2149110003625</v>
      </c>
      <c r="AG468" t="s">
        <v>2</v>
      </c>
      <c r="AH468" t="s">
        <v>336</v>
      </c>
      <c r="AJ468" t="s">
        <v>337</v>
      </c>
    </row>
    <row r="469" spans="1:36">
      <c r="A469" t="s">
        <v>2388</v>
      </c>
      <c r="B469" t="s">
        <v>2389</v>
      </c>
      <c r="F469" t="str">
        <f t="shared" si="7"/>
        <v>40081</v>
      </c>
      <c r="AE469">
        <v>1101110562804</v>
      </c>
      <c r="AF469" t="s">
        <v>207</v>
      </c>
      <c r="AG469" t="s">
        <v>2</v>
      </c>
      <c r="AH469" t="s">
        <v>224</v>
      </c>
      <c r="AI469" t="s">
        <v>225</v>
      </c>
      <c r="AJ469" t="s">
        <v>226</v>
      </c>
    </row>
    <row r="470" spans="1:36">
      <c r="A470" t="s">
        <v>2390</v>
      </c>
      <c r="B470" t="s">
        <v>2391</v>
      </c>
      <c r="F470" t="str">
        <f t="shared" si="7"/>
        <v>40213</v>
      </c>
      <c r="AE470">
        <v>1614110001243</v>
      </c>
      <c r="AF470" t="s">
        <v>53</v>
      </c>
      <c r="AG470" t="s">
        <v>4</v>
      </c>
      <c r="AH470" t="s">
        <v>344</v>
      </c>
      <c r="AJ470" t="s">
        <v>345</v>
      </c>
    </row>
    <row r="471" spans="1:36">
      <c r="A471" t="s">
        <v>2392</v>
      </c>
      <c r="B471" t="s">
        <v>2393</v>
      </c>
      <c r="F471" t="str">
        <f t="shared" si="7"/>
        <v>40255</v>
      </c>
      <c r="AE471">
        <v>1845110003856</v>
      </c>
      <c r="AG471" t="s">
        <v>2</v>
      </c>
      <c r="AH471" t="s">
        <v>308</v>
      </c>
      <c r="AJ471" t="s">
        <v>309</v>
      </c>
    </row>
    <row r="472" spans="1:36">
      <c r="A472" t="s">
        <v>2394</v>
      </c>
      <c r="B472" t="s">
        <v>2395</v>
      </c>
      <c r="F472" t="str">
        <f t="shared" si="7"/>
        <v>40278</v>
      </c>
      <c r="AE472">
        <v>1101110626501</v>
      </c>
      <c r="AG472" t="s">
        <v>2</v>
      </c>
      <c r="AH472" t="s">
        <v>641</v>
      </c>
      <c r="AI472" t="s">
        <v>642</v>
      </c>
      <c r="AJ472" t="s">
        <v>643</v>
      </c>
    </row>
    <row r="473" spans="1:36">
      <c r="A473" t="s">
        <v>2396</v>
      </c>
      <c r="B473" t="s">
        <v>2397</v>
      </c>
      <c r="F473" t="str">
        <f t="shared" si="7"/>
        <v>40385</v>
      </c>
      <c r="AE473">
        <v>1101110607618</v>
      </c>
      <c r="AF473" t="s">
        <v>187</v>
      </c>
      <c r="AG473" t="s">
        <v>2</v>
      </c>
      <c r="AH473" t="s">
        <v>300</v>
      </c>
      <c r="AI473" t="s">
        <v>32</v>
      </c>
      <c r="AJ473" t="s">
        <v>45</v>
      </c>
    </row>
    <row r="474" spans="1:36">
      <c r="A474" t="s">
        <v>2398</v>
      </c>
      <c r="B474" t="s">
        <v>2399</v>
      </c>
      <c r="F474" t="str">
        <f t="shared" si="7"/>
        <v>40453</v>
      </c>
      <c r="AE474">
        <v>1201110049553</v>
      </c>
      <c r="AG474" t="s">
        <v>4</v>
      </c>
      <c r="AH474" t="s">
        <v>338</v>
      </c>
      <c r="AJ474" t="s">
        <v>339</v>
      </c>
    </row>
    <row r="475" spans="1:36">
      <c r="A475" t="s">
        <v>2400</v>
      </c>
      <c r="B475" t="s">
        <v>2401</v>
      </c>
      <c r="F475" t="str">
        <f t="shared" si="7"/>
        <v>40470</v>
      </c>
      <c r="AE475">
        <v>2046110000497</v>
      </c>
      <c r="AG475" t="s">
        <v>4</v>
      </c>
      <c r="AH475" t="s">
        <v>645</v>
      </c>
      <c r="AI475" t="s">
        <v>214</v>
      </c>
      <c r="AJ475" t="s">
        <v>646</v>
      </c>
    </row>
    <row r="476" spans="1:36">
      <c r="A476" t="s">
        <v>2402</v>
      </c>
      <c r="B476" t="s">
        <v>2403</v>
      </c>
      <c r="F476" t="str">
        <f t="shared" si="7"/>
        <v>40490</v>
      </c>
      <c r="AE476">
        <v>1601110017304</v>
      </c>
      <c r="AG476" t="s">
        <v>4</v>
      </c>
      <c r="AH476" t="s">
        <v>512</v>
      </c>
      <c r="AI476" t="s">
        <v>32</v>
      </c>
      <c r="AJ476" t="s">
        <v>513</v>
      </c>
    </row>
    <row r="477" spans="1:36">
      <c r="A477" t="s">
        <v>2404</v>
      </c>
      <c r="B477" t="s">
        <v>1391</v>
      </c>
      <c r="F477" t="str">
        <f t="shared" si="7"/>
        <v>40495</v>
      </c>
      <c r="AE477">
        <v>2001110016662</v>
      </c>
      <c r="AF477" t="s">
        <v>647</v>
      </c>
      <c r="AG477" t="s">
        <v>4</v>
      </c>
      <c r="AH477" t="s">
        <v>51</v>
      </c>
      <c r="AI477" t="s">
        <v>32</v>
      </c>
      <c r="AJ477" t="s">
        <v>52</v>
      </c>
    </row>
    <row r="478" spans="1:36">
      <c r="A478" t="s">
        <v>2405</v>
      </c>
      <c r="B478" t="s">
        <v>2406</v>
      </c>
      <c r="F478" t="str">
        <f t="shared" si="7"/>
        <v>40506</v>
      </c>
      <c r="AE478">
        <v>1545110001159</v>
      </c>
      <c r="AG478" t="s">
        <v>4</v>
      </c>
    </row>
    <row r="479" spans="1:36">
      <c r="A479" t="s">
        <v>2407</v>
      </c>
      <c r="B479" t="s">
        <v>2408</v>
      </c>
      <c r="F479" t="str">
        <f t="shared" si="7"/>
        <v>40517</v>
      </c>
      <c r="AE479">
        <v>1411110002605</v>
      </c>
      <c r="AG479" t="s">
        <v>4</v>
      </c>
      <c r="AH479" t="s">
        <v>138</v>
      </c>
      <c r="AI479" t="s">
        <v>139</v>
      </c>
      <c r="AJ479" t="s">
        <v>140</v>
      </c>
    </row>
    <row r="480" spans="1:36">
      <c r="A480" t="s">
        <v>2409</v>
      </c>
      <c r="B480" t="s">
        <v>2410</v>
      </c>
      <c r="F480" t="str">
        <f t="shared" si="7"/>
        <v>40540</v>
      </c>
      <c r="AE480">
        <v>1101110639900</v>
      </c>
      <c r="AG480" t="s">
        <v>4</v>
      </c>
      <c r="AH480" t="s">
        <v>648</v>
      </c>
      <c r="AI480" t="s">
        <v>649</v>
      </c>
      <c r="AJ480" t="s">
        <v>650</v>
      </c>
    </row>
    <row r="481" spans="1:36">
      <c r="A481" t="s">
        <v>2411</v>
      </c>
      <c r="B481" t="s">
        <v>2412</v>
      </c>
      <c r="F481" t="str">
        <f t="shared" si="7"/>
        <v>40549</v>
      </c>
      <c r="AE481">
        <v>2101110007510</v>
      </c>
      <c r="AG481" t="s">
        <v>2</v>
      </c>
      <c r="AH481" t="s">
        <v>403</v>
      </c>
      <c r="AI481" t="s">
        <v>55</v>
      </c>
      <c r="AJ481" t="s">
        <v>404</v>
      </c>
    </row>
    <row r="482" spans="1:36">
      <c r="A482" t="s">
        <v>2413</v>
      </c>
      <c r="B482" t="s">
        <v>2414</v>
      </c>
      <c r="F482" t="str">
        <f t="shared" si="7"/>
        <v>40595</v>
      </c>
      <c r="AE482">
        <v>1101110321424</v>
      </c>
      <c r="AG482" t="s">
        <v>4</v>
      </c>
      <c r="AH482" t="s">
        <v>114</v>
      </c>
      <c r="AI482" t="s">
        <v>63</v>
      </c>
      <c r="AJ482" t="s">
        <v>115</v>
      </c>
    </row>
    <row r="483" spans="1:36">
      <c r="A483" t="s">
        <v>2415</v>
      </c>
      <c r="B483" t="s">
        <v>2416</v>
      </c>
      <c r="F483" t="str">
        <f t="shared" si="7"/>
        <v>40596</v>
      </c>
      <c r="AE483">
        <v>1301110013499</v>
      </c>
      <c r="AG483" t="s">
        <v>4</v>
      </c>
      <c r="AH483" t="s">
        <v>652</v>
      </c>
      <c r="AI483" t="s">
        <v>6</v>
      </c>
      <c r="AJ483" t="s">
        <v>653</v>
      </c>
    </row>
    <row r="484" spans="1:36">
      <c r="A484" t="s">
        <v>2417</v>
      </c>
      <c r="B484" t="s">
        <v>2418</v>
      </c>
      <c r="F484" t="str">
        <f t="shared" si="7"/>
        <v>40632</v>
      </c>
      <c r="AE484">
        <v>1701110023127</v>
      </c>
      <c r="AG484" t="s">
        <v>4</v>
      </c>
      <c r="AH484" t="s">
        <v>190</v>
      </c>
      <c r="AI484" t="s">
        <v>32</v>
      </c>
      <c r="AJ484" t="s">
        <v>91</v>
      </c>
    </row>
    <row r="485" spans="1:36">
      <c r="A485" t="s">
        <v>2419</v>
      </c>
      <c r="B485" t="s">
        <v>1392</v>
      </c>
      <c r="F485" t="str">
        <f t="shared" si="7"/>
        <v>40634</v>
      </c>
      <c r="AE485">
        <v>1101110658637</v>
      </c>
      <c r="AF485" t="s">
        <v>238</v>
      </c>
      <c r="AG485" t="s">
        <v>2</v>
      </c>
      <c r="AH485" t="s">
        <v>654</v>
      </c>
      <c r="AI485" t="s">
        <v>177</v>
      </c>
      <c r="AJ485" t="s">
        <v>655</v>
      </c>
    </row>
    <row r="486" spans="1:36">
      <c r="A486" t="s">
        <v>2420</v>
      </c>
      <c r="B486" t="s">
        <v>2421</v>
      </c>
      <c r="F486" t="str">
        <f t="shared" si="7"/>
        <v>40678</v>
      </c>
      <c r="AE486">
        <v>1101110708383</v>
      </c>
      <c r="AF486" t="s">
        <v>93</v>
      </c>
      <c r="AG486" t="s">
        <v>4</v>
      </c>
      <c r="AH486" t="s">
        <v>376</v>
      </c>
      <c r="AI486" t="s">
        <v>249</v>
      </c>
      <c r="AJ486" t="s">
        <v>377</v>
      </c>
    </row>
    <row r="487" spans="1:36">
      <c r="A487" t="s">
        <v>2422</v>
      </c>
      <c r="B487" t="s">
        <v>2423</v>
      </c>
      <c r="F487" t="str">
        <f t="shared" si="7"/>
        <v>40679</v>
      </c>
      <c r="AE487">
        <v>1101110712350</v>
      </c>
      <c r="AG487" t="s">
        <v>4</v>
      </c>
      <c r="AH487" t="s">
        <v>656</v>
      </c>
      <c r="AI487" t="s">
        <v>657</v>
      </c>
      <c r="AJ487" t="s">
        <v>658</v>
      </c>
    </row>
    <row r="488" spans="1:36">
      <c r="A488" t="s">
        <v>2424</v>
      </c>
      <c r="B488" t="s">
        <v>2425</v>
      </c>
      <c r="F488" t="str">
        <f t="shared" si="7"/>
        <v>40768</v>
      </c>
      <c r="AE488">
        <v>1101110893374</v>
      </c>
      <c r="AG488" t="s">
        <v>4</v>
      </c>
      <c r="AH488" t="s">
        <v>659</v>
      </c>
      <c r="AJ488" t="s">
        <v>660</v>
      </c>
    </row>
    <row r="489" spans="1:36">
      <c r="A489" t="s">
        <v>2426</v>
      </c>
      <c r="B489" t="s">
        <v>2427</v>
      </c>
      <c r="F489" t="str">
        <f t="shared" si="7"/>
        <v>40769</v>
      </c>
      <c r="AE489">
        <v>2062110001805</v>
      </c>
      <c r="AF489" t="s">
        <v>107</v>
      </c>
      <c r="AG489" t="s">
        <v>4</v>
      </c>
      <c r="AH489" t="s">
        <v>661</v>
      </c>
      <c r="AJ489" t="s">
        <v>662</v>
      </c>
    </row>
    <row r="490" spans="1:36">
      <c r="A490" t="s">
        <v>2428</v>
      </c>
      <c r="B490" t="s">
        <v>1397</v>
      </c>
      <c r="F490" t="str">
        <f t="shared" si="7"/>
        <v>40772</v>
      </c>
      <c r="AE490">
        <v>1101112365321</v>
      </c>
      <c r="AG490" t="s">
        <v>4</v>
      </c>
      <c r="AH490" t="s">
        <v>5</v>
      </c>
      <c r="AI490" t="s">
        <v>6</v>
      </c>
      <c r="AJ490" t="s">
        <v>7</v>
      </c>
    </row>
    <row r="491" spans="1:36">
      <c r="A491" t="s">
        <v>2429</v>
      </c>
      <c r="B491" t="s">
        <v>2430</v>
      </c>
      <c r="F491" t="str">
        <f t="shared" si="7"/>
        <v>40791</v>
      </c>
      <c r="AE491">
        <v>1101110038326</v>
      </c>
      <c r="AG491" t="s">
        <v>2</v>
      </c>
      <c r="AH491" t="s">
        <v>664</v>
      </c>
      <c r="AJ491" t="s">
        <v>665</v>
      </c>
    </row>
    <row r="492" spans="1:36">
      <c r="A492" t="s">
        <v>2431</v>
      </c>
      <c r="B492" t="s">
        <v>2432</v>
      </c>
      <c r="F492" t="str">
        <f t="shared" si="7"/>
        <v>40792</v>
      </c>
      <c r="AE492">
        <v>1101110376148</v>
      </c>
      <c r="AF492" t="s">
        <v>113</v>
      </c>
      <c r="AG492" t="s">
        <v>2</v>
      </c>
      <c r="AH492" t="s">
        <v>138</v>
      </c>
      <c r="AI492" t="s">
        <v>139</v>
      </c>
      <c r="AJ492" t="s">
        <v>140</v>
      </c>
    </row>
    <row r="493" spans="1:36">
      <c r="A493" t="s">
        <v>2433</v>
      </c>
      <c r="B493" t="s">
        <v>2434</v>
      </c>
      <c r="F493" t="str">
        <f t="shared" si="7"/>
        <v>40948</v>
      </c>
      <c r="AE493">
        <v>1201110019746</v>
      </c>
      <c r="AG493" t="s">
        <v>4</v>
      </c>
      <c r="AH493" t="s">
        <v>666</v>
      </c>
      <c r="AJ493" t="s">
        <v>140</v>
      </c>
    </row>
    <row r="494" spans="1:36">
      <c r="A494" t="s">
        <v>2435</v>
      </c>
      <c r="B494" t="s">
        <v>2436</v>
      </c>
      <c r="F494" t="str">
        <f t="shared" si="7"/>
        <v>40949</v>
      </c>
      <c r="AE494">
        <v>1243110025539</v>
      </c>
      <c r="AG494" t="s">
        <v>2</v>
      </c>
      <c r="AH494" t="s">
        <v>403</v>
      </c>
      <c r="AI494" t="s">
        <v>55</v>
      </c>
      <c r="AJ494" t="s">
        <v>404</v>
      </c>
    </row>
    <row r="495" spans="1:36">
      <c r="A495" t="s">
        <v>2437</v>
      </c>
      <c r="B495" t="s">
        <v>2438</v>
      </c>
      <c r="F495" t="str">
        <f t="shared" si="7"/>
        <v>40983</v>
      </c>
      <c r="AE495">
        <v>1746110009701</v>
      </c>
      <c r="AG495" t="s">
        <v>4</v>
      </c>
      <c r="AH495" t="s">
        <v>667</v>
      </c>
      <c r="AI495" t="s">
        <v>124</v>
      </c>
      <c r="AJ495" t="s">
        <v>668</v>
      </c>
    </row>
    <row r="496" spans="1:36">
      <c r="A496" t="s">
        <v>2439</v>
      </c>
      <c r="B496" t="s">
        <v>2440</v>
      </c>
      <c r="F496" t="str">
        <f t="shared" si="7"/>
        <v>40984</v>
      </c>
      <c r="AE496">
        <v>1101110000086</v>
      </c>
      <c r="AF496" t="s">
        <v>93</v>
      </c>
      <c r="AG496" t="s">
        <v>2</v>
      </c>
      <c r="AH496" t="s">
        <v>248</v>
      </c>
      <c r="AI496" t="s">
        <v>249</v>
      </c>
      <c r="AJ496" t="s">
        <v>121</v>
      </c>
    </row>
    <row r="497" spans="1:36">
      <c r="A497" t="s">
        <v>2441</v>
      </c>
      <c r="B497" t="s">
        <v>2442</v>
      </c>
      <c r="F497" t="str">
        <f t="shared" si="7"/>
        <v>41128</v>
      </c>
      <c r="AE497">
        <v>1201110000331</v>
      </c>
      <c r="AG497" t="s">
        <v>4</v>
      </c>
      <c r="AH497" t="s">
        <v>381</v>
      </c>
      <c r="AI497" t="s">
        <v>6</v>
      </c>
      <c r="AJ497" t="s">
        <v>382</v>
      </c>
    </row>
    <row r="498" spans="1:36">
      <c r="A498" t="s">
        <v>2443</v>
      </c>
      <c r="B498" t="s">
        <v>2444</v>
      </c>
      <c r="F498" t="str">
        <f t="shared" si="7"/>
        <v>41129</v>
      </c>
      <c r="AE498">
        <v>1101110414758</v>
      </c>
      <c r="AF498" t="s">
        <v>671</v>
      </c>
      <c r="AG498" t="s">
        <v>2</v>
      </c>
      <c r="AH498" t="s">
        <v>672</v>
      </c>
      <c r="AI498" t="s">
        <v>673</v>
      </c>
      <c r="AJ498" t="s">
        <v>674</v>
      </c>
    </row>
    <row r="499" spans="1:36">
      <c r="A499" t="s">
        <v>2445</v>
      </c>
      <c r="B499" t="s">
        <v>1398</v>
      </c>
      <c r="F499" t="str">
        <f t="shared" si="7"/>
        <v>41132</v>
      </c>
      <c r="AE499">
        <v>1201110045759</v>
      </c>
      <c r="AG499" t="s">
        <v>4</v>
      </c>
      <c r="AH499" t="s">
        <v>675</v>
      </c>
      <c r="AJ499" t="s">
        <v>676</v>
      </c>
    </row>
    <row r="500" spans="1:36">
      <c r="A500" t="s">
        <v>2446</v>
      </c>
      <c r="B500" t="s">
        <v>2447</v>
      </c>
      <c r="F500" t="str">
        <f t="shared" si="7"/>
        <v>41143</v>
      </c>
      <c r="AE500">
        <v>1601110019277</v>
      </c>
      <c r="AG500" t="s">
        <v>2</v>
      </c>
      <c r="AH500" t="s">
        <v>652</v>
      </c>
      <c r="AI500" t="s">
        <v>6</v>
      </c>
      <c r="AJ500" t="s">
        <v>653</v>
      </c>
    </row>
    <row r="501" spans="1:36">
      <c r="A501" t="s">
        <v>2448</v>
      </c>
      <c r="B501" t="s">
        <v>2449</v>
      </c>
      <c r="F501" t="str">
        <f t="shared" si="7"/>
        <v>41144</v>
      </c>
      <c r="AE501">
        <v>1350110034400</v>
      </c>
      <c r="AG501" t="s">
        <v>4</v>
      </c>
      <c r="AH501" t="s">
        <v>652</v>
      </c>
      <c r="AI501" t="s">
        <v>6</v>
      </c>
      <c r="AJ501" t="s">
        <v>653</v>
      </c>
    </row>
    <row r="502" spans="1:36">
      <c r="A502" t="s">
        <v>2450</v>
      </c>
      <c r="B502" t="s">
        <v>2451</v>
      </c>
      <c r="F502" t="str">
        <f t="shared" si="7"/>
        <v>41254</v>
      </c>
      <c r="AE502">
        <v>1101110508311</v>
      </c>
      <c r="AG502" t="s">
        <v>4</v>
      </c>
      <c r="AH502" t="s">
        <v>679</v>
      </c>
      <c r="AI502" t="s">
        <v>150</v>
      </c>
      <c r="AJ502" t="s">
        <v>399</v>
      </c>
    </row>
    <row r="503" spans="1:36">
      <c r="A503" t="s">
        <v>2452</v>
      </c>
      <c r="B503" t="s">
        <v>2453</v>
      </c>
      <c r="F503" t="str">
        <f t="shared" si="7"/>
        <v>41255</v>
      </c>
      <c r="AE503">
        <v>1601110003486</v>
      </c>
      <c r="AF503" t="s">
        <v>37</v>
      </c>
      <c r="AG503" t="s">
        <v>2</v>
      </c>
      <c r="AH503" t="s">
        <v>680</v>
      </c>
      <c r="AJ503" t="s">
        <v>363</v>
      </c>
    </row>
    <row r="504" spans="1:36">
      <c r="A504" t="s">
        <v>2454</v>
      </c>
      <c r="B504" t="s">
        <v>2455</v>
      </c>
      <c r="F504" t="str">
        <f t="shared" si="7"/>
        <v>41310</v>
      </c>
      <c r="AE504">
        <v>1101350000903</v>
      </c>
      <c r="AG504" t="s">
        <v>2</v>
      </c>
      <c r="AH504" t="s">
        <v>5</v>
      </c>
      <c r="AI504" t="s">
        <v>6</v>
      </c>
      <c r="AJ504" t="s">
        <v>7</v>
      </c>
    </row>
    <row r="505" spans="1:36">
      <c r="A505" t="s">
        <v>2456</v>
      </c>
      <c r="B505" t="s">
        <v>2457</v>
      </c>
      <c r="F505" t="str">
        <f t="shared" si="7"/>
        <v>41311</v>
      </c>
      <c r="AE505">
        <v>1101110337653</v>
      </c>
      <c r="AG505" t="s">
        <v>4</v>
      </c>
      <c r="AH505" t="s">
        <v>51</v>
      </c>
      <c r="AI505" t="s">
        <v>32</v>
      </c>
      <c r="AJ505" t="s">
        <v>52</v>
      </c>
    </row>
    <row r="506" spans="1:36">
      <c r="A506" t="s">
        <v>2458</v>
      </c>
      <c r="B506" t="s">
        <v>1399</v>
      </c>
      <c r="F506" t="str">
        <f t="shared" si="7"/>
        <v>41365</v>
      </c>
      <c r="AE506">
        <v>1601110017641</v>
      </c>
      <c r="AG506" t="s">
        <v>4</v>
      </c>
      <c r="AH506" t="s">
        <v>621</v>
      </c>
      <c r="AI506" t="s">
        <v>55</v>
      </c>
      <c r="AJ506" t="s">
        <v>622</v>
      </c>
    </row>
    <row r="507" spans="1:36">
      <c r="A507" t="s">
        <v>2459</v>
      </c>
      <c r="B507" t="s">
        <v>2460</v>
      </c>
      <c r="F507" t="str">
        <f t="shared" si="7"/>
        <v>41373</v>
      </c>
      <c r="AE507">
        <v>2150110001021</v>
      </c>
      <c r="AG507" t="s">
        <v>4</v>
      </c>
      <c r="AH507" t="s">
        <v>682</v>
      </c>
      <c r="AJ507" t="s">
        <v>683</v>
      </c>
    </row>
    <row r="508" spans="1:36">
      <c r="A508" t="s">
        <v>2461</v>
      </c>
      <c r="B508" t="s">
        <v>2462</v>
      </c>
      <c r="F508" t="str">
        <f t="shared" si="7"/>
        <v>41374</v>
      </c>
      <c r="AE508">
        <v>2001110016852</v>
      </c>
      <c r="AG508" t="s">
        <v>4</v>
      </c>
      <c r="AH508" t="s">
        <v>90</v>
      </c>
      <c r="AI508" t="s">
        <v>32</v>
      </c>
      <c r="AJ508" t="s">
        <v>91</v>
      </c>
    </row>
    <row r="509" spans="1:36">
      <c r="A509" t="s">
        <v>2463</v>
      </c>
      <c r="B509" t="s">
        <v>2464</v>
      </c>
      <c r="F509" t="str">
        <f t="shared" si="7"/>
        <v>41421</v>
      </c>
      <c r="AE509">
        <v>1101110217607</v>
      </c>
      <c r="AG509" t="s">
        <v>2</v>
      </c>
      <c r="AH509" t="s">
        <v>685</v>
      </c>
      <c r="AI509" t="s">
        <v>26</v>
      </c>
      <c r="AJ509" t="s">
        <v>260</v>
      </c>
    </row>
    <row r="510" spans="1:36">
      <c r="A510" t="s">
        <v>2465</v>
      </c>
      <c r="B510" t="s">
        <v>2466</v>
      </c>
      <c r="F510" t="str">
        <f t="shared" si="7"/>
        <v>41422</v>
      </c>
      <c r="AE510">
        <v>1101110135627</v>
      </c>
      <c r="AF510" t="s">
        <v>97</v>
      </c>
      <c r="AG510" t="s">
        <v>4</v>
      </c>
      <c r="AH510" t="s">
        <v>381</v>
      </c>
      <c r="AI510" t="s">
        <v>6</v>
      </c>
      <c r="AJ510" t="s">
        <v>382</v>
      </c>
    </row>
    <row r="511" spans="1:36">
      <c r="A511" t="s">
        <v>2467</v>
      </c>
      <c r="B511" t="s">
        <v>1400</v>
      </c>
      <c r="F511" t="str">
        <f t="shared" si="7"/>
        <v>41425</v>
      </c>
      <c r="AE511">
        <v>1845110002698</v>
      </c>
      <c r="AG511" t="s">
        <v>4</v>
      </c>
      <c r="AH511" t="s">
        <v>686</v>
      </c>
      <c r="AJ511" t="s">
        <v>687</v>
      </c>
    </row>
    <row r="512" spans="1:36">
      <c r="A512" t="s">
        <v>2468</v>
      </c>
      <c r="B512" t="s">
        <v>2469</v>
      </c>
      <c r="F512" t="str">
        <f t="shared" si="7"/>
        <v>41437</v>
      </c>
      <c r="AE512">
        <v>1101110165393</v>
      </c>
      <c r="AG512" t="s">
        <v>2</v>
      </c>
      <c r="AH512" t="s">
        <v>688</v>
      </c>
      <c r="AJ512" t="s">
        <v>689</v>
      </c>
    </row>
    <row r="513" spans="1:36">
      <c r="A513" t="s">
        <v>2470</v>
      </c>
      <c r="B513" t="s">
        <v>2471</v>
      </c>
      <c r="F513" t="str">
        <f t="shared" si="7"/>
        <v>41438</v>
      </c>
      <c r="AE513">
        <v>1341110029773</v>
      </c>
      <c r="AG513" t="s">
        <v>4</v>
      </c>
      <c r="AH513" t="s">
        <v>652</v>
      </c>
      <c r="AI513" t="s">
        <v>6</v>
      </c>
      <c r="AJ513" t="s">
        <v>653</v>
      </c>
    </row>
    <row r="514" spans="1:36">
      <c r="A514" t="s">
        <v>2472</v>
      </c>
      <c r="B514" t="s">
        <v>1401</v>
      </c>
      <c r="F514" t="str">
        <f t="shared" si="7"/>
        <v>41440</v>
      </c>
      <c r="AE514">
        <v>1746110002979</v>
      </c>
      <c r="AF514" t="s">
        <v>238</v>
      </c>
      <c r="AG514" t="s">
        <v>4</v>
      </c>
      <c r="AH514" t="s">
        <v>209</v>
      </c>
      <c r="AI514" t="s">
        <v>32</v>
      </c>
      <c r="AJ514" t="s">
        <v>52</v>
      </c>
    </row>
    <row r="515" spans="1:36">
      <c r="A515" t="s">
        <v>2473</v>
      </c>
      <c r="B515" t="s">
        <v>2474</v>
      </c>
      <c r="F515" t="str">
        <f t="shared" si="7"/>
        <v>41479</v>
      </c>
      <c r="AE515">
        <v>1701110007965</v>
      </c>
      <c r="AG515" t="s">
        <v>4</v>
      </c>
      <c r="AH515" t="s">
        <v>190</v>
      </c>
      <c r="AI515" t="s">
        <v>32</v>
      </c>
      <c r="AJ515" t="s">
        <v>91</v>
      </c>
    </row>
    <row r="516" spans="1:36">
      <c r="A516" t="s">
        <v>2475</v>
      </c>
      <c r="B516" t="s">
        <v>2476</v>
      </c>
      <c r="F516" t="str">
        <f t="shared" si="7"/>
        <v>41480</v>
      </c>
      <c r="AE516">
        <v>1101110254344</v>
      </c>
      <c r="AG516" t="s">
        <v>2</v>
      </c>
      <c r="AH516" t="s">
        <v>691</v>
      </c>
      <c r="AI516" t="s">
        <v>76</v>
      </c>
      <c r="AJ516" t="s">
        <v>692</v>
      </c>
    </row>
    <row r="517" spans="1:36">
      <c r="A517" t="s">
        <v>2477</v>
      </c>
      <c r="B517" t="s">
        <v>2478</v>
      </c>
      <c r="F517" t="str">
        <f t="shared" si="7"/>
        <v>41483</v>
      </c>
      <c r="AE517">
        <v>1101110653653</v>
      </c>
      <c r="AF517" t="s">
        <v>198</v>
      </c>
      <c r="AG517" t="s">
        <v>4</v>
      </c>
      <c r="AH517" t="s">
        <v>693</v>
      </c>
      <c r="AJ517" t="s">
        <v>694</v>
      </c>
    </row>
    <row r="518" spans="1:36">
      <c r="A518" t="s">
        <v>2479</v>
      </c>
      <c r="B518" t="s">
        <v>2480</v>
      </c>
      <c r="F518" t="str">
        <f t="shared" si="7"/>
        <v>41492</v>
      </c>
      <c r="AE518">
        <v>1801110102359</v>
      </c>
      <c r="AG518" t="s">
        <v>2</v>
      </c>
      <c r="AH518" t="s">
        <v>695</v>
      </c>
      <c r="AJ518" t="s">
        <v>696</v>
      </c>
    </row>
    <row r="519" spans="1:36">
      <c r="A519" t="s">
        <v>2481</v>
      </c>
      <c r="B519" t="s">
        <v>2482</v>
      </c>
      <c r="F519" t="str">
        <f t="shared" si="7"/>
        <v>41506</v>
      </c>
      <c r="AE519">
        <v>1101110536859</v>
      </c>
      <c r="AG519" t="s">
        <v>4</v>
      </c>
      <c r="AH519" t="s">
        <v>481</v>
      </c>
      <c r="AI519" t="s">
        <v>275</v>
      </c>
      <c r="AJ519" t="s">
        <v>320</v>
      </c>
    </row>
    <row r="520" spans="1:36">
      <c r="A520" t="s">
        <v>2483</v>
      </c>
      <c r="B520" t="s">
        <v>2484</v>
      </c>
      <c r="F520" t="str">
        <f t="shared" si="7"/>
        <v>41507</v>
      </c>
      <c r="AE520">
        <v>1101110338693</v>
      </c>
      <c r="AG520" t="s">
        <v>4</v>
      </c>
      <c r="AH520" t="s">
        <v>381</v>
      </c>
      <c r="AI520" t="s">
        <v>6</v>
      </c>
      <c r="AJ520" t="s">
        <v>382</v>
      </c>
    </row>
    <row r="521" spans="1:36">
      <c r="A521" t="s">
        <v>2485</v>
      </c>
      <c r="B521" t="s">
        <v>2486</v>
      </c>
      <c r="F521" t="str">
        <f t="shared" si="7"/>
        <v>41525</v>
      </c>
      <c r="AE521">
        <v>1101110166953</v>
      </c>
      <c r="AF521" t="s">
        <v>127</v>
      </c>
      <c r="AG521" t="s">
        <v>4</v>
      </c>
      <c r="AH521" t="s">
        <v>697</v>
      </c>
      <c r="AJ521" t="s">
        <v>698</v>
      </c>
    </row>
    <row r="522" spans="1:36">
      <c r="A522" t="s">
        <v>2487</v>
      </c>
      <c r="B522" t="s">
        <v>2488</v>
      </c>
      <c r="F522" t="str">
        <f t="shared" ref="F522:F585" si="8">CHOOSE($C$1, A522, B522)</f>
        <v>41526</v>
      </c>
      <c r="AE522">
        <v>1101110825624</v>
      </c>
      <c r="AG522" t="s">
        <v>2</v>
      </c>
      <c r="AH522" t="s">
        <v>700</v>
      </c>
      <c r="AI522" t="s">
        <v>701</v>
      </c>
      <c r="AJ522" t="s">
        <v>702</v>
      </c>
    </row>
    <row r="523" spans="1:36">
      <c r="A523" t="s">
        <v>2489</v>
      </c>
      <c r="B523" t="s">
        <v>1402</v>
      </c>
      <c r="F523" t="str">
        <f t="shared" si="8"/>
        <v>41534</v>
      </c>
      <c r="AE523">
        <v>1760110003232</v>
      </c>
      <c r="AG523" t="s">
        <v>4</v>
      </c>
      <c r="AH523" t="s">
        <v>172</v>
      </c>
      <c r="AJ523" t="s">
        <v>173</v>
      </c>
    </row>
    <row r="524" spans="1:36">
      <c r="A524" t="s">
        <v>2490</v>
      </c>
      <c r="B524" t="s">
        <v>1403</v>
      </c>
      <c r="F524" t="str">
        <f t="shared" si="8"/>
        <v>41543</v>
      </c>
      <c r="AE524">
        <v>1201110004218</v>
      </c>
      <c r="AG524" t="s">
        <v>2</v>
      </c>
      <c r="AH524" t="s">
        <v>700</v>
      </c>
      <c r="AI524" t="s">
        <v>701</v>
      </c>
      <c r="AJ524" t="s">
        <v>702</v>
      </c>
    </row>
    <row r="525" spans="1:36">
      <c r="A525" t="s">
        <v>2491</v>
      </c>
      <c r="B525" t="s">
        <v>2492</v>
      </c>
      <c r="F525" t="str">
        <f t="shared" si="8"/>
        <v>41589</v>
      </c>
      <c r="AE525">
        <v>1101110766018</v>
      </c>
      <c r="AG525" t="s">
        <v>4</v>
      </c>
      <c r="AH525" t="s">
        <v>338</v>
      </c>
      <c r="AJ525" t="s">
        <v>339</v>
      </c>
    </row>
    <row r="526" spans="1:36">
      <c r="A526" t="s">
        <v>2493</v>
      </c>
      <c r="B526" t="s">
        <v>1404</v>
      </c>
      <c r="F526" t="str">
        <f t="shared" si="8"/>
        <v>41660</v>
      </c>
      <c r="AE526">
        <v>1101110369664</v>
      </c>
      <c r="AG526" t="s">
        <v>4</v>
      </c>
      <c r="AH526" t="s">
        <v>704</v>
      </c>
      <c r="AJ526" t="s">
        <v>705</v>
      </c>
    </row>
    <row r="527" spans="1:36">
      <c r="A527" t="s">
        <v>2494</v>
      </c>
      <c r="B527" t="s">
        <v>1405</v>
      </c>
      <c r="F527" t="str">
        <f t="shared" si="8"/>
        <v>41671</v>
      </c>
      <c r="AE527">
        <v>1101110115885</v>
      </c>
      <c r="AG527" t="s">
        <v>2</v>
      </c>
      <c r="AH527" t="s">
        <v>706</v>
      </c>
      <c r="AI527" t="s">
        <v>580</v>
      </c>
      <c r="AJ527" t="s">
        <v>707</v>
      </c>
    </row>
    <row r="528" spans="1:36">
      <c r="A528" t="s">
        <v>2495</v>
      </c>
      <c r="B528" t="s">
        <v>2496</v>
      </c>
      <c r="F528" t="str">
        <f t="shared" si="8"/>
        <v>41684</v>
      </c>
      <c r="AE528">
        <v>1101110628078</v>
      </c>
      <c r="AF528" t="s">
        <v>93</v>
      </c>
      <c r="AG528" t="s">
        <v>2</v>
      </c>
      <c r="AH528" t="s">
        <v>464</v>
      </c>
      <c r="AI528" t="s">
        <v>177</v>
      </c>
      <c r="AJ528" t="s">
        <v>465</v>
      </c>
    </row>
    <row r="529" spans="1:36">
      <c r="A529" t="s">
        <v>2497</v>
      </c>
      <c r="B529" t="s">
        <v>2498</v>
      </c>
      <c r="F529" t="str">
        <f t="shared" si="8"/>
        <v>41685</v>
      </c>
      <c r="AE529">
        <v>1341110031273</v>
      </c>
      <c r="AG529" t="s">
        <v>4</v>
      </c>
      <c r="AH529" t="s">
        <v>338</v>
      </c>
      <c r="AJ529" t="s">
        <v>339</v>
      </c>
    </row>
    <row r="530" spans="1:36">
      <c r="A530" t="s">
        <v>2499</v>
      </c>
      <c r="B530" t="s">
        <v>2500</v>
      </c>
      <c r="F530" t="str">
        <f t="shared" si="8"/>
        <v>41696</v>
      </c>
      <c r="AE530">
        <v>1101110276207</v>
      </c>
      <c r="AG530" t="s">
        <v>4</v>
      </c>
    </row>
    <row r="531" spans="1:36">
      <c r="A531" t="s">
        <v>2501</v>
      </c>
      <c r="B531" t="s">
        <v>2502</v>
      </c>
      <c r="F531" t="str">
        <f t="shared" si="8"/>
        <v>41697</v>
      </c>
      <c r="AE531">
        <v>1101110617394</v>
      </c>
      <c r="AG531" t="s">
        <v>4</v>
      </c>
      <c r="AH531" t="s">
        <v>44</v>
      </c>
      <c r="AI531" t="s">
        <v>32</v>
      </c>
      <c r="AJ531" t="s">
        <v>45</v>
      </c>
    </row>
    <row r="532" spans="1:36">
      <c r="A532" t="s">
        <v>2503</v>
      </c>
      <c r="B532" t="s">
        <v>2504</v>
      </c>
      <c r="F532" t="str">
        <f t="shared" si="8"/>
        <v>41724</v>
      </c>
      <c r="AE532">
        <v>1101111159246</v>
      </c>
      <c r="AG532" t="s">
        <v>4</v>
      </c>
      <c r="AH532" t="s">
        <v>451</v>
      </c>
      <c r="AI532" t="s">
        <v>55</v>
      </c>
      <c r="AJ532" t="s">
        <v>452</v>
      </c>
    </row>
    <row r="533" spans="1:36">
      <c r="A533" t="s">
        <v>2505</v>
      </c>
      <c r="B533" t="s">
        <v>2506</v>
      </c>
      <c r="F533" t="str">
        <f t="shared" si="8"/>
        <v>41725</v>
      </c>
      <c r="AE533">
        <v>1101110197081</v>
      </c>
      <c r="AG533" t="s">
        <v>4</v>
      </c>
      <c r="AH533" t="s">
        <v>209</v>
      </c>
      <c r="AI533" t="s">
        <v>32</v>
      </c>
      <c r="AJ533" t="s">
        <v>52</v>
      </c>
    </row>
    <row r="534" spans="1:36">
      <c r="A534" t="s">
        <v>2507</v>
      </c>
      <c r="B534" t="s">
        <v>1406</v>
      </c>
      <c r="F534" t="str">
        <f t="shared" si="8"/>
        <v>41728</v>
      </c>
      <c r="AE534">
        <v>2046110000596</v>
      </c>
      <c r="AG534" t="s">
        <v>4</v>
      </c>
      <c r="AH534" t="s">
        <v>708</v>
      </c>
      <c r="AJ534" t="s">
        <v>709</v>
      </c>
    </row>
    <row r="535" spans="1:36">
      <c r="A535" t="s">
        <v>2508</v>
      </c>
      <c r="B535" t="s">
        <v>2509</v>
      </c>
      <c r="F535" t="str">
        <f t="shared" si="8"/>
        <v>41737</v>
      </c>
      <c r="AE535">
        <v>1101111168776</v>
      </c>
      <c r="AG535" t="s">
        <v>4</v>
      </c>
    </row>
    <row r="536" spans="1:36">
      <c r="A536" t="s">
        <v>2510</v>
      </c>
      <c r="B536" t="s">
        <v>2511</v>
      </c>
      <c r="F536" t="str">
        <f t="shared" si="8"/>
        <v>41738</v>
      </c>
      <c r="AE536">
        <v>1243110008204</v>
      </c>
      <c r="AG536" t="s">
        <v>2</v>
      </c>
      <c r="AH536" t="s">
        <v>710</v>
      </c>
      <c r="AJ536" t="s">
        <v>711</v>
      </c>
    </row>
    <row r="537" spans="1:36">
      <c r="A537" t="s">
        <v>2512</v>
      </c>
      <c r="B537" t="s">
        <v>2513</v>
      </c>
      <c r="F537" t="str">
        <f t="shared" si="8"/>
        <v>41776</v>
      </c>
      <c r="AE537">
        <v>1101110180888</v>
      </c>
      <c r="AG537" t="s">
        <v>2</v>
      </c>
      <c r="AH537" t="s">
        <v>712</v>
      </c>
      <c r="AJ537" t="s">
        <v>713</v>
      </c>
    </row>
    <row r="538" spans="1:36">
      <c r="A538" t="s">
        <v>2514</v>
      </c>
      <c r="B538" t="s">
        <v>2515</v>
      </c>
      <c r="F538" t="str">
        <f t="shared" si="8"/>
        <v>41777</v>
      </c>
      <c r="AE538">
        <v>1101110085517</v>
      </c>
      <c r="AG538" t="s">
        <v>4</v>
      </c>
      <c r="AH538" t="s">
        <v>664</v>
      </c>
      <c r="AJ538" t="s">
        <v>665</v>
      </c>
    </row>
    <row r="539" spans="1:36">
      <c r="A539" t="s">
        <v>2516</v>
      </c>
      <c r="B539" t="s">
        <v>2517</v>
      </c>
      <c r="F539" t="str">
        <f t="shared" si="8"/>
        <v>41785</v>
      </c>
      <c r="AE539">
        <v>1601110038665</v>
      </c>
      <c r="AG539" t="s">
        <v>4</v>
      </c>
      <c r="AH539" t="s">
        <v>536</v>
      </c>
      <c r="AJ539" t="s">
        <v>537</v>
      </c>
    </row>
    <row r="540" spans="1:36">
      <c r="A540" t="s">
        <v>2518</v>
      </c>
      <c r="B540" t="s">
        <v>2519</v>
      </c>
      <c r="F540" t="str">
        <f t="shared" si="8"/>
        <v>41786</v>
      </c>
      <c r="AE540">
        <v>1101110841604</v>
      </c>
      <c r="AG540" t="s">
        <v>4</v>
      </c>
      <c r="AH540" t="s">
        <v>477</v>
      </c>
      <c r="AJ540" t="s">
        <v>478</v>
      </c>
    </row>
    <row r="541" spans="1:36">
      <c r="A541" t="s">
        <v>2520</v>
      </c>
      <c r="B541" t="s">
        <v>2521</v>
      </c>
      <c r="F541" t="str">
        <f t="shared" si="8"/>
        <v>41910</v>
      </c>
      <c r="AE541">
        <v>1101110169874</v>
      </c>
      <c r="AG541" t="s">
        <v>2</v>
      </c>
      <c r="AH541" t="s">
        <v>621</v>
      </c>
      <c r="AI541" t="s">
        <v>55</v>
      </c>
      <c r="AJ541" t="s">
        <v>622</v>
      </c>
    </row>
    <row r="542" spans="1:36">
      <c r="A542" t="s">
        <v>2522</v>
      </c>
      <c r="B542" t="s">
        <v>2523</v>
      </c>
      <c r="F542" t="str">
        <f t="shared" si="8"/>
        <v>41911</v>
      </c>
      <c r="AE542">
        <v>1601110003410</v>
      </c>
      <c r="AF542" t="s">
        <v>53</v>
      </c>
      <c r="AG542" t="s">
        <v>2</v>
      </c>
      <c r="AH542" t="s">
        <v>120</v>
      </c>
      <c r="AJ542" t="s">
        <v>121</v>
      </c>
    </row>
    <row r="543" spans="1:36">
      <c r="A543" t="s">
        <v>2524</v>
      </c>
      <c r="B543" t="s">
        <v>2525</v>
      </c>
      <c r="F543" t="str">
        <f t="shared" si="8"/>
        <v>41967</v>
      </c>
      <c r="AE543">
        <v>1311110000635</v>
      </c>
      <c r="AG543" t="s">
        <v>4</v>
      </c>
      <c r="AH543" t="s">
        <v>203</v>
      </c>
      <c r="AJ543" t="s">
        <v>204</v>
      </c>
    </row>
    <row r="544" spans="1:36">
      <c r="A544" t="s">
        <v>2526</v>
      </c>
      <c r="B544" t="s">
        <v>2527</v>
      </c>
      <c r="F544" t="str">
        <f t="shared" si="8"/>
        <v>41968</v>
      </c>
      <c r="AE544">
        <v>1101111105215</v>
      </c>
      <c r="AG544" t="s">
        <v>2</v>
      </c>
      <c r="AH544" t="s">
        <v>376</v>
      </c>
      <c r="AI544" t="s">
        <v>249</v>
      </c>
      <c r="AJ544" t="s">
        <v>377</v>
      </c>
    </row>
    <row r="545" spans="1:36">
      <c r="A545" t="s">
        <v>2528</v>
      </c>
      <c r="B545" t="s">
        <v>1407</v>
      </c>
      <c r="F545" t="str">
        <f t="shared" si="8"/>
        <v>41970</v>
      </c>
      <c r="AE545">
        <v>1243110024177</v>
      </c>
      <c r="AG545" t="s">
        <v>2</v>
      </c>
      <c r="AH545" t="s">
        <v>714</v>
      </c>
      <c r="AI545" t="s">
        <v>76</v>
      </c>
      <c r="AJ545" t="s">
        <v>715</v>
      </c>
    </row>
    <row r="546" spans="1:36">
      <c r="A546" t="s">
        <v>2529</v>
      </c>
      <c r="B546" t="s">
        <v>2530</v>
      </c>
      <c r="F546" t="str">
        <f t="shared" si="8"/>
        <v>42000</v>
      </c>
      <c r="AE546">
        <v>1201110046161</v>
      </c>
      <c r="AG546" t="s">
        <v>4</v>
      </c>
      <c r="AH546" t="s">
        <v>716</v>
      </c>
      <c r="AI546" t="s">
        <v>384</v>
      </c>
      <c r="AJ546" t="s">
        <v>717</v>
      </c>
    </row>
    <row r="547" spans="1:36">
      <c r="A547" t="s">
        <v>2531</v>
      </c>
      <c r="B547" t="s">
        <v>2532</v>
      </c>
      <c r="F547" t="str">
        <f t="shared" si="8"/>
        <v>42001</v>
      </c>
      <c r="AE547">
        <v>2149110005324</v>
      </c>
      <c r="AG547" t="s">
        <v>4</v>
      </c>
      <c r="AH547" t="s">
        <v>190</v>
      </c>
      <c r="AI547" t="s">
        <v>32</v>
      </c>
      <c r="AJ547" t="s">
        <v>91</v>
      </c>
    </row>
    <row r="548" spans="1:36">
      <c r="A548" t="s">
        <v>2533</v>
      </c>
      <c r="B548" t="s">
        <v>2534</v>
      </c>
      <c r="F548" t="str">
        <f t="shared" si="8"/>
        <v>42007</v>
      </c>
      <c r="AE548">
        <v>1345110004149</v>
      </c>
      <c r="AG548" t="s">
        <v>2</v>
      </c>
      <c r="AH548" t="s">
        <v>719</v>
      </c>
      <c r="AI548" t="s">
        <v>150</v>
      </c>
      <c r="AJ548" t="s">
        <v>720</v>
      </c>
    </row>
    <row r="549" spans="1:36">
      <c r="A549" t="s">
        <v>2535</v>
      </c>
      <c r="B549" t="s">
        <v>2536</v>
      </c>
      <c r="F549" t="str">
        <f t="shared" si="8"/>
        <v>42008</v>
      </c>
      <c r="AE549">
        <v>1101111181025</v>
      </c>
      <c r="AG549" t="s">
        <v>4</v>
      </c>
      <c r="AH549" t="s">
        <v>8</v>
      </c>
      <c r="AJ549" t="s">
        <v>9</v>
      </c>
    </row>
    <row r="550" spans="1:36">
      <c r="A550" t="s">
        <v>2537</v>
      </c>
      <c r="B550" t="s">
        <v>2538</v>
      </c>
      <c r="F550" t="str">
        <f t="shared" si="8"/>
        <v>42009</v>
      </c>
      <c r="AE550">
        <v>1741110000618</v>
      </c>
      <c r="AG550" t="s">
        <v>2</v>
      </c>
      <c r="AH550" t="s">
        <v>721</v>
      </c>
      <c r="AI550" t="s">
        <v>101</v>
      </c>
      <c r="AJ550" t="s">
        <v>441</v>
      </c>
    </row>
    <row r="551" spans="1:36">
      <c r="A551" t="s">
        <v>2539</v>
      </c>
      <c r="B551" t="s">
        <v>1408</v>
      </c>
      <c r="F551" t="str">
        <f t="shared" si="8"/>
        <v>42147</v>
      </c>
      <c r="AE551">
        <v>2001110021174</v>
      </c>
      <c r="AG551" t="s">
        <v>4</v>
      </c>
      <c r="AH551" t="s">
        <v>190</v>
      </c>
      <c r="AI551" t="s">
        <v>32</v>
      </c>
      <c r="AJ551" t="s">
        <v>91</v>
      </c>
    </row>
    <row r="552" spans="1:36">
      <c r="A552" t="s">
        <v>2540</v>
      </c>
      <c r="B552" t="s">
        <v>2541</v>
      </c>
      <c r="F552" t="str">
        <f t="shared" si="8"/>
        <v>42154</v>
      </c>
      <c r="AE552">
        <v>1101110425606</v>
      </c>
      <c r="AG552" t="s">
        <v>4</v>
      </c>
      <c r="AH552" t="s">
        <v>138</v>
      </c>
      <c r="AI552" t="s">
        <v>139</v>
      </c>
      <c r="AJ552" t="s">
        <v>140</v>
      </c>
    </row>
    <row r="553" spans="1:36">
      <c r="A553" t="s">
        <v>2542</v>
      </c>
      <c r="B553" t="s">
        <v>2543</v>
      </c>
      <c r="F553" t="str">
        <f t="shared" si="8"/>
        <v>42155</v>
      </c>
      <c r="AE553">
        <v>1812110003835</v>
      </c>
      <c r="AG553" t="s">
        <v>2</v>
      </c>
      <c r="AH553" t="s">
        <v>283</v>
      </c>
      <c r="AJ553" t="s">
        <v>284</v>
      </c>
    </row>
    <row r="554" spans="1:36">
      <c r="A554" t="s">
        <v>2544</v>
      </c>
      <c r="B554" t="s">
        <v>2545</v>
      </c>
      <c r="F554" t="str">
        <f t="shared" si="8"/>
        <v>42163</v>
      </c>
      <c r="AE554">
        <v>1101110240509</v>
      </c>
      <c r="AF554" t="s">
        <v>340</v>
      </c>
      <c r="AG554" t="s">
        <v>2</v>
      </c>
      <c r="AH554" t="s">
        <v>654</v>
      </c>
      <c r="AI554" t="s">
        <v>177</v>
      </c>
      <c r="AJ554" t="s">
        <v>655</v>
      </c>
    </row>
    <row r="555" spans="1:36">
      <c r="A555" t="s">
        <v>2546</v>
      </c>
      <c r="B555" t="s">
        <v>2547</v>
      </c>
      <c r="F555" t="str">
        <f t="shared" si="8"/>
        <v>42164</v>
      </c>
      <c r="AE555">
        <v>1101111111444</v>
      </c>
      <c r="AF555" t="s">
        <v>127</v>
      </c>
      <c r="AG555" t="s">
        <v>2</v>
      </c>
      <c r="AH555" t="s">
        <v>406</v>
      </c>
      <c r="AI555" t="s">
        <v>249</v>
      </c>
      <c r="AJ555" t="s">
        <v>407</v>
      </c>
    </row>
    <row r="556" spans="1:36">
      <c r="A556" t="s">
        <v>2548</v>
      </c>
      <c r="B556" t="s">
        <v>2549</v>
      </c>
      <c r="F556" t="str">
        <f t="shared" si="8"/>
        <v>42405</v>
      </c>
      <c r="AE556">
        <v>1101110015762</v>
      </c>
      <c r="AF556" t="s">
        <v>340</v>
      </c>
      <c r="AG556" t="s">
        <v>2</v>
      </c>
      <c r="AH556" t="s">
        <v>722</v>
      </c>
      <c r="AI556" t="s">
        <v>83</v>
      </c>
      <c r="AJ556" t="s">
        <v>723</v>
      </c>
    </row>
    <row r="557" spans="1:36">
      <c r="A557" t="s">
        <v>2550</v>
      </c>
      <c r="B557" t="s">
        <v>2551</v>
      </c>
      <c r="F557" t="str">
        <f t="shared" si="8"/>
        <v>42406</v>
      </c>
      <c r="AE557">
        <v>1101110202989</v>
      </c>
      <c r="AF557" t="s">
        <v>53</v>
      </c>
      <c r="AG557" t="s">
        <v>4</v>
      </c>
      <c r="AH557" t="s">
        <v>248</v>
      </c>
      <c r="AI557" t="s">
        <v>249</v>
      </c>
      <c r="AJ557" t="s">
        <v>121</v>
      </c>
    </row>
    <row r="558" spans="1:36">
      <c r="A558" t="s">
        <v>2552</v>
      </c>
      <c r="B558" t="s">
        <v>1410</v>
      </c>
      <c r="F558" t="str">
        <f t="shared" si="8"/>
        <v>42411</v>
      </c>
      <c r="AE558">
        <v>1701110021600</v>
      </c>
      <c r="AG558" t="s">
        <v>2</v>
      </c>
      <c r="AH558" t="s">
        <v>724</v>
      </c>
      <c r="AI558" t="s">
        <v>725</v>
      </c>
      <c r="AJ558" t="s">
        <v>726</v>
      </c>
    </row>
    <row r="559" spans="1:36">
      <c r="A559" t="s">
        <v>2553</v>
      </c>
      <c r="B559" t="s">
        <v>2554</v>
      </c>
      <c r="F559" t="str">
        <f t="shared" si="8"/>
        <v>42419</v>
      </c>
      <c r="AE559">
        <v>1101110202202</v>
      </c>
      <c r="AG559" t="s">
        <v>4</v>
      </c>
      <c r="AH559" t="s">
        <v>190</v>
      </c>
      <c r="AI559" t="s">
        <v>32</v>
      </c>
      <c r="AJ559" t="s">
        <v>91</v>
      </c>
    </row>
    <row r="560" spans="1:36">
      <c r="A560" t="s">
        <v>2555</v>
      </c>
      <c r="B560" t="s">
        <v>2556</v>
      </c>
      <c r="F560" t="str">
        <f t="shared" si="8"/>
        <v>42420</v>
      </c>
      <c r="AE560">
        <v>1101110005705</v>
      </c>
      <c r="AG560" t="s">
        <v>4</v>
      </c>
      <c r="AH560" t="s">
        <v>205</v>
      </c>
      <c r="AJ560" t="s">
        <v>206</v>
      </c>
    </row>
    <row r="561" spans="1:36">
      <c r="A561" t="s">
        <v>2557</v>
      </c>
      <c r="B561" t="s">
        <v>2558</v>
      </c>
      <c r="F561" t="str">
        <f t="shared" si="8"/>
        <v>42430</v>
      </c>
      <c r="AE561">
        <v>1101110004286</v>
      </c>
      <c r="AF561" t="s">
        <v>216</v>
      </c>
      <c r="AG561" t="s">
        <v>2</v>
      </c>
      <c r="AH561" t="s">
        <v>213</v>
      </c>
      <c r="AI561" t="s">
        <v>214</v>
      </c>
      <c r="AJ561" t="s">
        <v>89</v>
      </c>
    </row>
    <row r="562" spans="1:36">
      <c r="A562" t="s">
        <v>2559</v>
      </c>
      <c r="B562" t="s">
        <v>2560</v>
      </c>
      <c r="F562" t="str">
        <f t="shared" si="8"/>
        <v>42431</v>
      </c>
      <c r="AE562">
        <v>1101110025943</v>
      </c>
      <c r="AG562" t="s">
        <v>4</v>
      </c>
      <c r="AH562" t="s">
        <v>729</v>
      </c>
      <c r="AI562" t="s">
        <v>6</v>
      </c>
      <c r="AJ562" t="s">
        <v>730</v>
      </c>
    </row>
    <row r="563" spans="1:36">
      <c r="A563" t="s">
        <v>2561</v>
      </c>
      <c r="B563" t="s">
        <v>2562</v>
      </c>
      <c r="F563" t="str">
        <f t="shared" si="8"/>
        <v>42539</v>
      </c>
      <c r="AE563">
        <v>1753110001348</v>
      </c>
      <c r="AF563" t="s">
        <v>74</v>
      </c>
      <c r="AG563" t="s">
        <v>4</v>
      </c>
      <c r="AH563" t="s">
        <v>75</v>
      </c>
      <c r="AI563" t="s">
        <v>76</v>
      </c>
      <c r="AJ563" t="s">
        <v>77</v>
      </c>
    </row>
    <row r="564" spans="1:36">
      <c r="A564" t="s">
        <v>2563</v>
      </c>
      <c r="B564" t="s">
        <v>2564</v>
      </c>
      <c r="F564" t="str">
        <f t="shared" si="8"/>
        <v>42540</v>
      </c>
      <c r="AE564">
        <v>1101110779152</v>
      </c>
      <c r="AG564" t="s">
        <v>2</v>
      </c>
      <c r="AH564" t="s">
        <v>732</v>
      </c>
      <c r="AI564" t="s">
        <v>76</v>
      </c>
      <c r="AJ564" t="s">
        <v>733</v>
      </c>
    </row>
    <row r="565" spans="1:36">
      <c r="A565" t="s">
        <v>2565</v>
      </c>
      <c r="B565" t="s">
        <v>2566</v>
      </c>
      <c r="F565" t="str">
        <f t="shared" si="8"/>
        <v>42711</v>
      </c>
      <c r="AE565">
        <v>1801110078443</v>
      </c>
      <c r="AG565" t="s">
        <v>4</v>
      </c>
      <c r="AH565" t="s">
        <v>734</v>
      </c>
      <c r="AI565" t="s">
        <v>55</v>
      </c>
      <c r="AJ565" t="s">
        <v>735</v>
      </c>
    </row>
    <row r="566" spans="1:36">
      <c r="A566" t="s">
        <v>2567</v>
      </c>
      <c r="B566" t="s">
        <v>2568</v>
      </c>
      <c r="F566" t="str">
        <f t="shared" si="8"/>
        <v>42850</v>
      </c>
      <c r="AE566">
        <v>1101111217416</v>
      </c>
      <c r="AF566" t="s">
        <v>93</v>
      </c>
      <c r="AG566" t="s">
        <v>4</v>
      </c>
      <c r="AH566" t="s">
        <v>634</v>
      </c>
      <c r="AI566" t="s">
        <v>6</v>
      </c>
      <c r="AJ566" t="s">
        <v>635</v>
      </c>
    </row>
    <row r="567" spans="1:36">
      <c r="A567" t="s">
        <v>2569</v>
      </c>
      <c r="B567" t="s">
        <v>2570</v>
      </c>
      <c r="F567" t="str">
        <f t="shared" si="8"/>
        <v>42851</v>
      </c>
      <c r="AE567">
        <v>1101110113475</v>
      </c>
      <c r="AG567" t="s">
        <v>4</v>
      </c>
      <c r="AH567" t="s">
        <v>381</v>
      </c>
      <c r="AI567" t="s">
        <v>6</v>
      </c>
      <c r="AJ567" t="s">
        <v>382</v>
      </c>
    </row>
    <row r="568" spans="1:36">
      <c r="A568" t="s">
        <v>2571</v>
      </c>
      <c r="B568" t="s">
        <v>1411</v>
      </c>
      <c r="F568" t="str">
        <f t="shared" si="8"/>
        <v>42953</v>
      </c>
      <c r="AE568">
        <v>1812110000435</v>
      </c>
      <c r="AG568" t="s">
        <v>4</v>
      </c>
      <c r="AH568" t="s">
        <v>359</v>
      </c>
      <c r="AI568" t="s">
        <v>59</v>
      </c>
      <c r="AJ568" t="s">
        <v>360</v>
      </c>
    </row>
    <row r="569" spans="1:36">
      <c r="A569" t="s">
        <v>2572</v>
      </c>
      <c r="B569" t="s">
        <v>2573</v>
      </c>
      <c r="F569" t="str">
        <f t="shared" si="8"/>
        <v>43029</v>
      </c>
      <c r="AE569">
        <v>1101110346901</v>
      </c>
      <c r="AF569" t="s">
        <v>340</v>
      </c>
      <c r="AG569" t="s">
        <v>2</v>
      </c>
      <c r="AH569" t="s">
        <v>634</v>
      </c>
      <c r="AI569" t="s">
        <v>6</v>
      </c>
      <c r="AJ569" t="s">
        <v>635</v>
      </c>
    </row>
    <row r="570" spans="1:36">
      <c r="A570" t="s">
        <v>2574</v>
      </c>
      <c r="B570" t="s">
        <v>2575</v>
      </c>
      <c r="F570" t="str">
        <f t="shared" si="8"/>
        <v>43037</v>
      </c>
      <c r="AE570">
        <v>1101110995378</v>
      </c>
      <c r="AF570" t="s">
        <v>40</v>
      </c>
      <c r="AG570" t="s">
        <v>4</v>
      </c>
      <c r="AH570" t="s">
        <v>634</v>
      </c>
      <c r="AI570" t="s">
        <v>6</v>
      </c>
      <c r="AJ570" t="s">
        <v>635</v>
      </c>
    </row>
    <row r="571" spans="1:36">
      <c r="A571" t="s">
        <v>2576</v>
      </c>
      <c r="B571" t="s">
        <v>2577</v>
      </c>
      <c r="F571" t="str">
        <f t="shared" si="8"/>
        <v>43038</v>
      </c>
      <c r="AE571">
        <v>1101110169999</v>
      </c>
      <c r="AG571" t="s">
        <v>4</v>
      </c>
      <c r="AH571" t="s">
        <v>190</v>
      </c>
      <c r="AI571" t="s">
        <v>32</v>
      </c>
      <c r="AJ571" t="s">
        <v>91</v>
      </c>
    </row>
    <row r="572" spans="1:36">
      <c r="A572" t="s">
        <v>2578</v>
      </c>
      <c r="B572" t="s">
        <v>2579</v>
      </c>
      <c r="F572" t="str">
        <f t="shared" si="8"/>
        <v>43071</v>
      </c>
      <c r="AE572">
        <v>1101110139017</v>
      </c>
      <c r="AF572" t="s">
        <v>340</v>
      </c>
      <c r="AG572" t="s">
        <v>2</v>
      </c>
      <c r="AH572" t="s">
        <v>739</v>
      </c>
      <c r="AJ572" t="s">
        <v>467</v>
      </c>
    </row>
    <row r="573" spans="1:36">
      <c r="A573" t="s">
        <v>2580</v>
      </c>
      <c r="B573" t="s">
        <v>2581</v>
      </c>
      <c r="F573" t="str">
        <f t="shared" si="8"/>
        <v>43072</v>
      </c>
      <c r="AE573">
        <v>1801110093095</v>
      </c>
      <c r="AG573" t="s">
        <v>4</v>
      </c>
      <c r="AH573" t="s">
        <v>114</v>
      </c>
      <c r="AI573" t="s">
        <v>63</v>
      </c>
      <c r="AJ573" t="s">
        <v>115</v>
      </c>
    </row>
    <row r="574" spans="1:36">
      <c r="A574" t="s">
        <v>2582</v>
      </c>
      <c r="B574" t="s">
        <v>1412</v>
      </c>
      <c r="F574" t="str">
        <f t="shared" si="8"/>
        <v>43076</v>
      </c>
      <c r="AE574">
        <v>1101110760937</v>
      </c>
      <c r="AG574" t="s">
        <v>4</v>
      </c>
      <c r="AH574" t="s">
        <v>740</v>
      </c>
      <c r="AI574" t="s">
        <v>725</v>
      </c>
      <c r="AJ574" t="s">
        <v>741</v>
      </c>
    </row>
    <row r="575" spans="1:36">
      <c r="A575" t="s">
        <v>2583</v>
      </c>
      <c r="B575" t="s">
        <v>2584</v>
      </c>
      <c r="F575" t="str">
        <f t="shared" si="8"/>
        <v>43089</v>
      </c>
      <c r="AE575">
        <v>1101110051493</v>
      </c>
      <c r="AG575" t="s">
        <v>4</v>
      </c>
      <c r="AH575" t="s">
        <v>743</v>
      </c>
      <c r="AI575" t="s">
        <v>657</v>
      </c>
      <c r="AJ575" t="s">
        <v>744</v>
      </c>
    </row>
    <row r="576" spans="1:36">
      <c r="A576" t="s">
        <v>2585</v>
      </c>
      <c r="B576" t="s">
        <v>2586</v>
      </c>
      <c r="F576" t="str">
        <f t="shared" si="8"/>
        <v>43090</v>
      </c>
      <c r="AE576">
        <v>1101111468754</v>
      </c>
      <c r="AF576" t="s">
        <v>614</v>
      </c>
      <c r="AG576" t="s">
        <v>2</v>
      </c>
      <c r="AH576" t="s">
        <v>745</v>
      </c>
      <c r="AI576" t="s">
        <v>585</v>
      </c>
      <c r="AJ576" t="s">
        <v>746</v>
      </c>
    </row>
    <row r="577" spans="1:36">
      <c r="A577" t="s">
        <v>2587</v>
      </c>
      <c r="B577" t="s">
        <v>2588</v>
      </c>
      <c r="F577" t="str">
        <f t="shared" si="8"/>
        <v>43117</v>
      </c>
      <c r="AE577">
        <v>1101110878706</v>
      </c>
      <c r="AG577" t="s">
        <v>2</v>
      </c>
      <c r="AH577" t="s">
        <v>114</v>
      </c>
      <c r="AI577" t="s">
        <v>63</v>
      </c>
      <c r="AJ577" t="s">
        <v>115</v>
      </c>
    </row>
    <row r="578" spans="1:36">
      <c r="A578" t="s">
        <v>2589</v>
      </c>
      <c r="B578" t="s">
        <v>2590</v>
      </c>
      <c r="F578" t="str">
        <f t="shared" si="8"/>
        <v>43144</v>
      </c>
      <c r="AE578">
        <v>1201110060138</v>
      </c>
      <c r="AG578" t="s">
        <v>4</v>
      </c>
      <c r="AH578" t="s">
        <v>533</v>
      </c>
      <c r="AJ578" t="s">
        <v>469</v>
      </c>
    </row>
    <row r="579" spans="1:36">
      <c r="A579" t="s">
        <v>2591</v>
      </c>
      <c r="B579" t="s">
        <v>2592</v>
      </c>
      <c r="F579" t="str">
        <f t="shared" si="8"/>
        <v>43145</v>
      </c>
      <c r="AE579">
        <v>1341110010730</v>
      </c>
      <c r="AG579" t="s">
        <v>4</v>
      </c>
      <c r="AH579" t="s">
        <v>747</v>
      </c>
      <c r="AI579" t="s">
        <v>186</v>
      </c>
      <c r="AJ579" t="s">
        <v>748</v>
      </c>
    </row>
    <row r="580" spans="1:36">
      <c r="A580" t="s">
        <v>2593</v>
      </c>
      <c r="B580" t="s">
        <v>2594</v>
      </c>
      <c r="F580" t="str">
        <f t="shared" si="8"/>
        <v>43146</v>
      </c>
      <c r="AE580">
        <v>1101110685309</v>
      </c>
      <c r="AG580" t="s">
        <v>2</v>
      </c>
      <c r="AH580" t="s">
        <v>578</v>
      </c>
      <c r="AJ580" t="s">
        <v>426</v>
      </c>
    </row>
    <row r="581" spans="1:36">
      <c r="A581" t="s">
        <v>2595</v>
      </c>
      <c r="B581" t="s">
        <v>1413</v>
      </c>
      <c r="F581" t="str">
        <f t="shared" si="8"/>
        <v>43208</v>
      </c>
      <c r="AE581">
        <v>1101110191900</v>
      </c>
      <c r="AG581" t="s">
        <v>4</v>
      </c>
      <c r="AH581" t="s">
        <v>749</v>
      </c>
      <c r="AJ581" t="s">
        <v>750</v>
      </c>
    </row>
    <row r="582" spans="1:36">
      <c r="A582" t="s">
        <v>2596</v>
      </c>
      <c r="B582" t="s">
        <v>2597</v>
      </c>
      <c r="F582" t="str">
        <f t="shared" si="8"/>
        <v>43214</v>
      </c>
      <c r="AE582">
        <v>1101110168769</v>
      </c>
      <c r="AF582" t="s">
        <v>582</v>
      </c>
      <c r="AG582" t="s">
        <v>4</v>
      </c>
      <c r="AH582" t="s">
        <v>114</v>
      </c>
      <c r="AI582" t="s">
        <v>63</v>
      </c>
      <c r="AJ582" t="s">
        <v>115</v>
      </c>
    </row>
    <row r="583" spans="1:36">
      <c r="A583" t="s">
        <v>2598</v>
      </c>
      <c r="B583" t="s">
        <v>2599</v>
      </c>
      <c r="F583" t="str">
        <f t="shared" si="8"/>
        <v>43215</v>
      </c>
      <c r="AE583">
        <v>1101110018089</v>
      </c>
      <c r="AF583" t="s">
        <v>753</v>
      </c>
      <c r="AG583" t="s">
        <v>2</v>
      </c>
      <c r="AH583" t="s">
        <v>114</v>
      </c>
      <c r="AI583" t="s">
        <v>63</v>
      </c>
      <c r="AJ583" t="s">
        <v>115</v>
      </c>
    </row>
    <row r="584" spans="1:36">
      <c r="A584" t="s">
        <v>2600</v>
      </c>
      <c r="B584" t="s">
        <v>2601</v>
      </c>
      <c r="F584" t="str">
        <f t="shared" si="8"/>
        <v>43216</v>
      </c>
      <c r="AE584">
        <v>1101110641434</v>
      </c>
      <c r="AF584" t="s">
        <v>93</v>
      </c>
      <c r="AG584" t="s">
        <v>4</v>
      </c>
      <c r="AH584" t="s">
        <v>634</v>
      </c>
      <c r="AI584" t="s">
        <v>6</v>
      </c>
      <c r="AJ584" t="s">
        <v>635</v>
      </c>
    </row>
    <row r="585" spans="1:36">
      <c r="A585" t="s">
        <v>2602</v>
      </c>
      <c r="B585" t="s">
        <v>2603</v>
      </c>
      <c r="F585" t="str">
        <f t="shared" si="8"/>
        <v>43227</v>
      </c>
      <c r="AE585">
        <v>1101111142382</v>
      </c>
      <c r="AG585" t="s">
        <v>4</v>
      </c>
      <c r="AH585" t="s">
        <v>755</v>
      </c>
      <c r="AI585" t="s">
        <v>83</v>
      </c>
      <c r="AJ585" t="s">
        <v>756</v>
      </c>
    </row>
    <row r="586" spans="1:36">
      <c r="A586" t="s">
        <v>2604</v>
      </c>
      <c r="B586" t="s">
        <v>2605</v>
      </c>
      <c r="F586" t="str">
        <f t="shared" ref="F586:F649" si="9">CHOOSE($C$1, A586, B586)</f>
        <v>43228</v>
      </c>
      <c r="AE586">
        <v>1101110208169</v>
      </c>
      <c r="AG586" t="s">
        <v>4</v>
      </c>
      <c r="AH586" t="s">
        <v>114</v>
      </c>
      <c r="AI586" t="s">
        <v>63</v>
      </c>
      <c r="AJ586" t="s">
        <v>115</v>
      </c>
    </row>
    <row r="587" spans="1:36">
      <c r="A587" t="s">
        <v>2606</v>
      </c>
      <c r="B587" t="s">
        <v>2607</v>
      </c>
      <c r="F587" t="str">
        <f t="shared" si="9"/>
        <v>43238</v>
      </c>
      <c r="AE587">
        <v>1101110766703</v>
      </c>
      <c r="AG587" t="s">
        <v>2</v>
      </c>
      <c r="AH587" t="s">
        <v>598</v>
      </c>
      <c r="AI587" t="s">
        <v>503</v>
      </c>
      <c r="AJ587" t="s">
        <v>599</v>
      </c>
    </row>
    <row r="588" spans="1:36">
      <c r="A588" t="s">
        <v>2608</v>
      </c>
      <c r="B588" t="s">
        <v>2609</v>
      </c>
      <c r="F588" t="str">
        <f t="shared" si="9"/>
        <v>43239</v>
      </c>
      <c r="AE588">
        <v>1101110899976</v>
      </c>
      <c r="AF588" t="s">
        <v>93</v>
      </c>
      <c r="AG588" t="s">
        <v>4</v>
      </c>
      <c r="AH588" t="s">
        <v>376</v>
      </c>
      <c r="AI588" t="s">
        <v>249</v>
      </c>
      <c r="AJ588" t="s">
        <v>377</v>
      </c>
    </row>
    <row r="589" spans="1:36">
      <c r="A589" t="s">
        <v>2610</v>
      </c>
      <c r="B589" t="s">
        <v>2611</v>
      </c>
      <c r="F589" t="str">
        <f t="shared" si="9"/>
        <v>43240</v>
      </c>
      <c r="AE589">
        <v>1101110320707</v>
      </c>
      <c r="AF589" t="s">
        <v>93</v>
      </c>
      <c r="AG589" t="s">
        <v>4</v>
      </c>
      <c r="AH589" t="s">
        <v>759</v>
      </c>
      <c r="AI589" t="s">
        <v>555</v>
      </c>
      <c r="AJ589" t="s">
        <v>760</v>
      </c>
    </row>
    <row r="590" spans="1:36">
      <c r="A590" t="s">
        <v>2612</v>
      </c>
      <c r="B590" t="s">
        <v>2613</v>
      </c>
      <c r="F590" t="str">
        <f t="shared" si="9"/>
        <v>43413</v>
      </c>
      <c r="AE590">
        <v>1101110262850</v>
      </c>
      <c r="AF590" t="s">
        <v>93</v>
      </c>
      <c r="AG590" t="s">
        <v>4</v>
      </c>
      <c r="AH590" t="s">
        <v>761</v>
      </c>
      <c r="AI590" t="s">
        <v>610</v>
      </c>
      <c r="AJ590" t="s">
        <v>762</v>
      </c>
    </row>
    <row r="591" spans="1:36">
      <c r="A591" t="s">
        <v>2614</v>
      </c>
      <c r="B591" t="s">
        <v>2615</v>
      </c>
      <c r="F591" t="str">
        <f t="shared" si="9"/>
        <v>43414</v>
      </c>
      <c r="AE591">
        <v>1648110000244</v>
      </c>
      <c r="AG591" t="s">
        <v>4</v>
      </c>
      <c r="AH591" t="s">
        <v>763</v>
      </c>
      <c r="AI591" t="s">
        <v>83</v>
      </c>
      <c r="AJ591" t="s">
        <v>764</v>
      </c>
    </row>
    <row r="592" spans="1:36">
      <c r="A592" t="s">
        <v>2616</v>
      </c>
      <c r="B592" t="s">
        <v>2617</v>
      </c>
      <c r="F592" t="str">
        <f t="shared" si="9"/>
        <v>43415</v>
      </c>
      <c r="AE592">
        <v>1101110383507</v>
      </c>
      <c r="AG592" t="s">
        <v>4</v>
      </c>
      <c r="AH592" t="s">
        <v>625</v>
      </c>
      <c r="AI592" t="s">
        <v>6</v>
      </c>
      <c r="AJ592" t="s">
        <v>626</v>
      </c>
    </row>
    <row r="593" spans="1:36">
      <c r="A593" t="s">
        <v>2618</v>
      </c>
      <c r="B593" t="s">
        <v>2619</v>
      </c>
      <c r="F593" t="str">
        <f t="shared" si="9"/>
        <v>43453</v>
      </c>
      <c r="AE593">
        <v>1101110203268</v>
      </c>
      <c r="AG593" t="s">
        <v>4</v>
      </c>
      <c r="AH593" t="s">
        <v>176</v>
      </c>
      <c r="AI593" t="s">
        <v>177</v>
      </c>
      <c r="AJ593" t="s">
        <v>178</v>
      </c>
    </row>
    <row r="594" spans="1:36">
      <c r="A594" t="s">
        <v>2620</v>
      </c>
      <c r="B594" t="s">
        <v>2621</v>
      </c>
      <c r="F594" t="str">
        <f t="shared" si="9"/>
        <v>43481</v>
      </c>
      <c r="AE594">
        <v>1101110137665</v>
      </c>
      <c r="AG594" t="s">
        <v>4</v>
      </c>
      <c r="AH594" t="s">
        <v>190</v>
      </c>
      <c r="AI594" t="s">
        <v>32</v>
      </c>
      <c r="AJ594" t="s">
        <v>91</v>
      </c>
    </row>
    <row r="595" spans="1:36">
      <c r="A595" t="s">
        <v>2622</v>
      </c>
      <c r="B595" t="s">
        <v>2623</v>
      </c>
      <c r="F595" t="str">
        <f t="shared" si="9"/>
        <v>43482</v>
      </c>
      <c r="AE595">
        <v>1101110356695</v>
      </c>
      <c r="AF595" t="s">
        <v>614</v>
      </c>
      <c r="AG595" t="s">
        <v>4</v>
      </c>
      <c r="AH595" t="s">
        <v>634</v>
      </c>
      <c r="AI595" t="s">
        <v>6</v>
      </c>
      <c r="AJ595" t="s">
        <v>635</v>
      </c>
    </row>
    <row r="596" spans="1:36">
      <c r="A596" t="s">
        <v>2624</v>
      </c>
      <c r="B596" t="s">
        <v>1414</v>
      </c>
      <c r="F596" t="str">
        <f t="shared" si="9"/>
        <v>43505</v>
      </c>
      <c r="AE596">
        <v>1101110889985</v>
      </c>
      <c r="AG596" t="s">
        <v>2</v>
      </c>
      <c r="AH596" t="s">
        <v>364</v>
      </c>
      <c r="AI596" t="s">
        <v>83</v>
      </c>
      <c r="AJ596" t="s">
        <v>365</v>
      </c>
    </row>
    <row r="597" spans="1:36">
      <c r="A597" t="s">
        <v>2625</v>
      </c>
      <c r="B597" t="s">
        <v>1415</v>
      </c>
      <c r="F597" t="str">
        <f t="shared" si="9"/>
        <v>43515</v>
      </c>
      <c r="AE597">
        <v>1101110282402</v>
      </c>
      <c r="AF597" t="s">
        <v>261</v>
      </c>
      <c r="AG597" t="s">
        <v>2</v>
      </c>
      <c r="AH597" t="s">
        <v>766</v>
      </c>
      <c r="AI597" t="s">
        <v>249</v>
      </c>
      <c r="AJ597" t="s">
        <v>767</v>
      </c>
    </row>
    <row r="598" spans="1:36">
      <c r="A598" t="s">
        <v>2626</v>
      </c>
      <c r="B598" t="s">
        <v>2627</v>
      </c>
      <c r="F598" t="str">
        <f t="shared" si="9"/>
        <v>43546</v>
      </c>
      <c r="AE598">
        <v>1101110305288</v>
      </c>
      <c r="AF598" t="s">
        <v>261</v>
      </c>
      <c r="AG598" t="s">
        <v>2</v>
      </c>
      <c r="AH598" t="s">
        <v>769</v>
      </c>
      <c r="AI598" t="s">
        <v>610</v>
      </c>
      <c r="AJ598" t="s">
        <v>770</v>
      </c>
    </row>
    <row r="599" spans="1:36">
      <c r="A599" t="s">
        <v>2628</v>
      </c>
      <c r="B599" t="s">
        <v>2629</v>
      </c>
      <c r="F599" t="str">
        <f t="shared" si="9"/>
        <v>43547</v>
      </c>
      <c r="AE599">
        <v>1101110228604</v>
      </c>
      <c r="AG599" t="s">
        <v>4</v>
      </c>
      <c r="AH599" t="s">
        <v>381</v>
      </c>
      <c r="AI599" t="s">
        <v>6</v>
      </c>
      <c r="AJ599" t="s">
        <v>382</v>
      </c>
    </row>
    <row r="600" spans="1:36">
      <c r="A600" t="s">
        <v>2630</v>
      </c>
      <c r="B600" t="s">
        <v>2631</v>
      </c>
      <c r="F600" t="str">
        <f t="shared" si="9"/>
        <v>43612</v>
      </c>
      <c r="AE600">
        <v>1101110311392</v>
      </c>
      <c r="AG600" t="s">
        <v>4</v>
      </c>
      <c r="AH600" t="s">
        <v>213</v>
      </c>
      <c r="AI600" t="s">
        <v>214</v>
      </c>
      <c r="AJ600" t="s">
        <v>89</v>
      </c>
    </row>
    <row r="601" spans="1:36">
      <c r="A601" t="s">
        <v>2632</v>
      </c>
      <c r="B601" t="s">
        <v>2633</v>
      </c>
      <c r="F601" t="str">
        <f t="shared" si="9"/>
        <v>43613</v>
      </c>
      <c r="AE601">
        <v>1101110175087</v>
      </c>
      <c r="AG601" t="s">
        <v>4</v>
      </c>
      <c r="AH601" t="s">
        <v>652</v>
      </c>
      <c r="AI601" t="s">
        <v>6</v>
      </c>
      <c r="AJ601" t="s">
        <v>653</v>
      </c>
    </row>
    <row r="602" spans="1:36">
      <c r="A602" t="s">
        <v>2634</v>
      </c>
      <c r="B602" t="s">
        <v>2635</v>
      </c>
      <c r="F602" t="str">
        <f t="shared" si="9"/>
        <v>43614</v>
      </c>
      <c r="AE602">
        <v>1101110340367</v>
      </c>
      <c r="AG602" t="s">
        <v>4</v>
      </c>
      <c r="AH602" t="s">
        <v>114</v>
      </c>
      <c r="AI602" t="s">
        <v>63</v>
      </c>
      <c r="AJ602" t="s">
        <v>115</v>
      </c>
    </row>
    <row r="603" spans="1:36">
      <c r="A603" t="s">
        <v>2636</v>
      </c>
      <c r="B603" t="s">
        <v>2637</v>
      </c>
      <c r="F603" t="str">
        <f t="shared" si="9"/>
        <v>43853</v>
      </c>
      <c r="AE603">
        <v>1344110006030</v>
      </c>
      <c r="AG603" t="s">
        <v>4</v>
      </c>
      <c r="AH603" t="s">
        <v>162</v>
      </c>
      <c r="AJ603" t="s">
        <v>163</v>
      </c>
    </row>
    <row r="604" spans="1:36">
      <c r="A604" t="s">
        <v>2638</v>
      </c>
      <c r="B604" t="s">
        <v>2639</v>
      </c>
      <c r="F604" t="str">
        <f t="shared" si="9"/>
        <v>43854</v>
      </c>
      <c r="AE604">
        <v>1101110414126</v>
      </c>
      <c r="AG604" t="s">
        <v>2</v>
      </c>
      <c r="AH604" t="s">
        <v>477</v>
      </c>
      <c r="AJ604" t="s">
        <v>478</v>
      </c>
    </row>
    <row r="605" spans="1:36">
      <c r="A605" t="s">
        <v>2640</v>
      </c>
      <c r="B605" t="s">
        <v>2641</v>
      </c>
      <c r="F605" t="str">
        <f t="shared" si="9"/>
        <v>43855</v>
      </c>
      <c r="AE605">
        <v>1101110603872</v>
      </c>
      <c r="AG605" t="s">
        <v>4</v>
      </c>
      <c r="AH605" t="s">
        <v>771</v>
      </c>
      <c r="AJ605" t="s">
        <v>772</v>
      </c>
    </row>
    <row r="606" spans="1:36">
      <c r="A606" t="s">
        <v>2642</v>
      </c>
      <c r="B606" t="s">
        <v>2643</v>
      </c>
      <c r="F606" t="str">
        <f t="shared" si="9"/>
        <v>44050</v>
      </c>
      <c r="AE606">
        <v>1101110174865</v>
      </c>
      <c r="AG606" t="s">
        <v>4</v>
      </c>
      <c r="AH606" t="s">
        <v>773</v>
      </c>
      <c r="AJ606" t="s">
        <v>397</v>
      </c>
    </row>
    <row r="607" spans="1:36">
      <c r="A607" t="s">
        <v>2644</v>
      </c>
      <c r="B607" t="s">
        <v>2645</v>
      </c>
      <c r="F607" t="str">
        <f t="shared" si="9"/>
        <v>44051</v>
      </c>
      <c r="AE607">
        <v>1911110010575</v>
      </c>
      <c r="AG607" t="s">
        <v>4</v>
      </c>
      <c r="AH607" t="s">
        <v>774</v>
      </c>
      <c r="AI607" t="s">
        <v>278</v>
      </c>
      <c r="AJ607" t="s">
        <v>775</v>
      </c>
    </row>
    <row r="608" spans="1:36">
      <c r="A608" t="s">
        <v>2646</v>
      </c>
      <c r="B608" t="s">
        <v>2647</v>
      </c>
      <c r="F608" t="str">
        <f t="shared" si="9"/>
        <v>44059</v>
      </c>
      <c r="AE608">
        <v>1101110531586</v>
      </c>
      <c r="AG608" t="s">
        <v>4</v>
      </c>
      <c r="AH608" t="s">
        <v>578</v>
      </c>
      <c r="AJ608" t="s">
        <v>426</v>
      </c>
    </row>
    <row r="609" spans="1:36">
      <c r="A609" t="s">
        <v>2648</v>
      </c>
      <c r="B609" t="s">
        <v>2649</v>
      </c>
      <c r="F609" t="str">
        <f t="shared" si="9"/>
        <v>44060</v>
      </c>
      <c r="AE609">
        <v>1746110001244</v>
      </c>
      <c r="AG609" t="s">
        <v>2</v>
      </c>
      <c r="AH609" t="s">
        <v>259</v>
      </c>
      <c r="AJ609" t="s">
        <v>260</v>
      </c>
    </row>
    <row r="610" spans="1:36">
      <c r="A610" t="s">
        <v>2650</v>
      </c>
      <c r="B610" t="s">
        <v>1417</v>
      </c>
      <c r="F610" t="str">
        <f t="shared" si="9"/>
        <v>44153</v>
      </c>
      <c r="AE610">
        <v>1101111174591</v>
      </c>
      <c r="AG610" t="s">
        <v>4</v>
      </c>
      <c r="AH610" t="s">
        <v>769</v>
      </c>
      <c r="AI610" t="s">
        <v>610</v>
      </c>
      <c r="AJ610" t="s">
        <v>770</v>
      </c>
    </row>
    <row r="611" spans="1:36">
      <c r="A611" t="s">
        <v>2651</v>
      </c>
      <c r="B611" t="s">
        <v>1418</v>
      </c>
      <c r="F611" t="str">
        <f t="shared" si="9"/>
        <v>44305</v>
      </c>
      <c r="AE611">
        <v>1101111360405</v>
      </c>
      <c r="AG611" t="s">
        <v>4</v>
      </c>
      <c r="AH611" t="s">
        <v>776</v>
      </c>
      <c r="AJ611" t="s">
        <v>777</v>
      </c>
    </row>
    <row r="612" spans="1:36">
      <c r="A612" t="s">
        <v>2652</v>
      </c>
      <c r="B612" t="s">
        <v>2653</v>
      </c>
      <c r="F612" t="str">
        <f t="shared" si="9"/>
        <v>44352</v>
      </c>
      <c r="AE612">
        <v>1942110025248</v>
      </c>
      <c r="AF612" t="s">
        <v>133</v>
      </c>
      <c r="AG612" t="s">
        <v>4</v>
      </c>
      <c r="AH612" t="s">
        <v>123</v>
      </c>
      <c r="AI612" t="s">
        <v>124</v>
      </c>
      <c r="AJ612" t="s">
        <v>125</v>
      </c>
    </row>
    <row r="613" spans="1:36">
      <c r="A613" t="s">
        <v>2654</v>
      </c>
      <c r="B613" t="s">
        <v>2655</v>
      </c>
      <c r="F613" t="str">
        <f t="shared" si="9"/>
        <v>44353</v>
      </c>
      <c r="AE613">
        <v>1101111295892</v>
      </c>
      <c r="AG613" t="s">
        <v>4</v>
      </c>
      <c r="AH613" t="s">
        <v>563</v>
      </c>
      <c r="AJ613" t="s">
        <v>564</v>
      </c>
    </row>
    <row r="614" spans="1:36">
      <c r="A614" t="s">
        <v>2656</v>
      </c>
      <c r="B614" t="s">
        <v>2657</v>
      </c>
      <c r="F614" t="str">
        <f t="shared" si="9"/>
        <v>44415</v>
      </c>
      <c r="AE614">
        <v>1344110000347</v>
      </c>
      <c r="AG614" t="s">
        <v>4</v>
      </c>
      <c r="AH614" t="s">
        <v>338</v>
      </c>
      <c r="AJ614" t="s">
        <v>339</v>
      </c>
    </row>
    <row r="615" spans="1:36">
      <c r="A615" t="s">
        <v>2658</v>
      </c>
      <c r="B615" t="s">
        <v>2659</v>
      </c>
      <c r="F615" t="str">
        <f t="shared" si="9"/>
        <v>44416</v>
      </c>
      <c r="AE615">
        <v>1101110571904</v>
      </c>
      <c r="AG615" t="s">
        <v>4</v>
      </c>
      <c r="AH615" t="s">
        <v>779</v>
      </c>
      <c r="AJ615" t="s">
        <v>780</v>
      </c>
    </row>
    <row r="616" spans="1:36">
      <c r="A616" t="s">
        <v>2660</v>
      </c>
      <c r="B616" t="s">
        <v>2661</v>
      </c>
      <c r="F616" t="str">
        <f t="shared" si="9"/>
        <v>44417</v>
      </c>
      <c r="AE616">
        <v>1101111296676</v>
      </c>
      <c r="AF616" t="s">
        <v>107</v>
      </c>
      <c r="AG616" t="s">
        <v>2</v>
      </c>
      <c r="AH616" t="s">
        <v>584</v>
      </c>
      <c r="AI616" t="s">
        <v>585</v>
      </c>
      <c r="AJ616" t="s">
        <v>586</v>
      </c>
    </row>
    <row r="617" spans="1:36">
      <c r="A617" t="s">
        <v>2662</v>
      </c>
      <c r="B617" t="s">
        <v>2663</v>
      </c>
      <c r="F617" t="str">
        <f t="shared" si="9"/>
        <v>44461</v>
      </c>
      <c r="AE617">
        <v>1101110412926</v>
      </c>
      <c r="AG617" t="s">
        <v>4</v>
      </c>
      <c r="AH617" t="s">
        <v>634</v>
      </c>
      <c r="AI617" t="s">
        <v>6</v>
      </c>
      <c r="AJ617" t="s">
        <v>635</v>
      </c>
    </row>
    <row r="618" spans="1:36">
      <c r="A618" t="s">
        <v>2664</v>
      </c>
      <c r="B618" t="s">
        <v>2665</v>
      </c>
      <c r="F618" t="str">
        <f t="shared" si="9"/>
        <v>44462</v>
      </c>
      <c r="AE618">
        <v>1101111302275</v>
      </c>
      <c r="AG618" t="s">
        <v>4</v>
      </c>
      <c r="AH618" t="s">
        <v>745</v>
      </c>
      <c r="AI618" t="s">
        <v>585</v>
      </c>
      <c r="AJ618" t="s">
        <v>746</v>
      </c>
    </row>
    <row r="619" spans="1:36">
      <c r="A619" t="s">
        <v>2666</v>
      </c>
      <c r="B619" t="s">
        <v>2667</v>
      </c>
      <c r="F619" t="str">
        <f t="shared" si="9"/>
        <v>44598</v>
      </c>
      <c r="AE619">
        <v>1753110000126</v>
      </c>
      <c r="AG619" t="s">
        <v>2</v>
      </c>
      <c r="AH619" t="s">
        <v>578</v>
      </c>
      <c r="AJ619" t="s">
        <v>426</v>
      </c>
    </row>
    <row r="620" spans="1:36">
      <c r="A620" t="s">
        <v>2668</v>
      </c>
      <c r="B620" t="s">
        <v>2669</v>
      </c>
      <c r="F620" t="str">
        <f t="shared" si="9"/>
        <v>44599</v>
      </c>
      <c r="AE620">
        <v>1101111118656</v>
      </c>
      <c r="AG620" t="s">
        <v>2</v>
      </c>
      <c r="AH620" t="s">
        <v>783</v>
      </c>
      <c r="AJ620" t="s">
        <v>784</v>
      </c>
    </row>
    <row r="621" spans="1:36">
      <c r="A621" t="s">
        <v>2670</v>
      </c>
      <c r="B621" t="s">
        <v>2671</v>
      </c>
      <c r="F621" t="str">
        <f t="shared" si="9"/>
        <v>44723</v>
      </c>
      <c r="AE621">
        <v>1101110358956</v>
      </c>
      <c r="AG621" t="s">
        <v>2</v>
      </c>
      <c r="AH621" t="s">
        <v>749</v>
      </c>
      <c r="AJ621" t="s">
        <v>750</v>
      </c>
    </row>
    <row r="622" spans="1:36">
      <c r="A622" t="s">
        <v>2672</v>
      </c>
      <c r="B622" t="s">
        <v>2673</v>
      </c>
      <c r="F622" t="str">
        <f t="shared" si="9"/>
        <v>44733</v>
      </c>
      <c r="AE622">
        <v>1101110159825</v>
      </c>
      <c r="AG622" t="s">
        <v>4</v>
      </c>
    </row>
    <row r="623" spans="1:36">
      <c r="A623" t="s">
        <v>2674</v>
      </c>
      <c r="B623" t="s">
        <v>2675</v>
      </c>
      <c r="F623" t="str">
        <f t="shared" si="9"/>
        <v>44734</v>
      </c>
      <c r="AE623">
        <v>1101110979645</v>
      </c>
      <c r="AG623" t="s">
        <v>4</v>
      </c>
      <c r="AH623" t="s">
        <v>785</v>
      </c>
      <c r="AJ623" t="s">
        <v>786</v>
      </c>
    </row>
    <row r="624" spans="1:36">
      <c r="A624" t="s">
        <v>2676</v>
      </c>
      <c r="B624" t="s">
        <v>2677</v>
      </c>
      <c r="F624" t="str">
        <f t="shared" si="9"/>
        <v>44761</v>
      </c>
      <c r="AE624">
        <v>1701110051988</v>
      </c>
      <c r="AG624" t="s">
        <v>4</v>
      </c>
      <c r="AH624" t="s">
        <v>462</v>
      </c>
      <c r="AI624" t="s">
        <v>177</v>
      </c>
      <c r="AJ624" t="s">
        <v>463</v>
      </c>
    </row>
    <row r="625" spans="1:36">
      <c r="A625" t="s">
        <v>2678</v>
      </c>
      <c r="B625" t="s">
        <v>2679</v>
      </c>
      <c r="F625" t="str">
        <f t="shared" si="9"/>
        <v>44906</v>
      </c>
      <c r="AE625">
        <v>1101110376750</v>
      </c>
      <c r="AG625" t="s">
        <v>4</v>
      </c>
      <c r="AH625" t="s">
        <v>688</v>
      </c>
      <c r="AJ625" t="s">
        <v>689</v>
      </c>
    </row>
    <row r="626" spans="1:36">
      <c r="A626" t="s">
        <v>2680</v>
      </c>
      <c r="B626" t="s">
        <v>2681</v>
      </c>
      <c r="F626" t="str">
        <f t="shared" si="9"/>
        <v>44919</v>
      </c>
      <c r="AE626">
        <v>1101110939326</v>
      </c>
      <c r="AG626" t="s">
        <v>2</v>
      </c>
      <c r="AH626" t="s">
        <v>787</v>
      </c>
      <c r="AI626" t="s">
        <v>275</v>
      </c>
      <c r="AJ626" t="s">
        <v>788</v>
      </c>
    </row>
    <row r="627" spans="1:36">
      <c r="A627" t="s">
        <v>2682</v>
      </c>
      <c r="B627" t="s">
        <v>2683</v>
      </c>
      <c r="F627" t="str">
        <f t="shared" si="9"/>
        <v>45401</v>
      </c>
      <c r="AE627">
        <v>1312110003976</v>
      </c>
      <c r="AG627" t="s">
        <v>2</v>
      </c>
      <c r="AH627" t="s">
        <v>789</v>
      </c>
      <c r="AI627" t="s">
        <v>83</v>
      </c>
      <c r="AJ627" t="s">
        <v>790</v>
      </c>
    </row>
    <row r="628" spans="1:36">
      <c r="A628" t="s">
        <v>2684</v>
      </c>
      <c r="B628" t="s">
        <v>2685</v>
      </c>
      <c r="F628" t="str">
        <f t="shared" si="9"/>
        <v>45402</v>
      </c>
      <c r="AE628">
        <v>1101111132276</v>
      </c>
      <c r="AG628" t="s">
        <v>4</v>
      </c>
      <c r="AH628" t="s">
        <v>791</v>
      </c>
      <c r="AI628" t="s">
        <v>55</v>
      </c>
      <c r="AJ628" t="s">
        <v>635</v>
      </c>
    </row>
    <row r="629" spans="1:36">
      <c r="A629" t="s">
        <v>2686</v>
      </c>
      <c r="B629" t="s">
        <v>1421</v>
      </c>
      <c r="F629" t="str">
        <f t="shared" si="9"/>
        <v>45405</v>
      </c>
      <c r="AE629">
        <v>1101111187081</v>
      </c>
      <c r="AG629" t="s">
        <v>4</v>
      </c>
      <c r="AH629" t="s">
        <v>114</v>
      </c>
      <c r="AI629" t="s">
        <v>63</v>
      </c>
      <c r="AJ629" t="s">
        <v>115</v>
      </c>
    </row>
    <row r="630" spans="1:36">
      <c r="A630" t="s">
        <v>2687</v>
      </c>
      <c r="B630" t="s">
        <v>1422</v>
      </c>
      <c r="F630" t="str">
        <f t="shared" si="9"/>
        <v>45406</v>
      </c>
      <c r="AE630">
        <v>1101111466659</v>
      </c>
      <c r="AF630" t="s">
        <v>74</v>
      </c>
      <c r="AG630" t="s">
        <v>4</v>
      </c>
      <c r="AH630" t="s">
        <v>793</v>
      </c>
      <c r="AI630" t="s">
        <v>585</v>
      </c>
      <c r="AJ630" t="s">
        <v>794</v>
      </c>
    </row>
    <row r="631" spans="1:36">
      <c r="A631" t="s">
        <v>2688</v>
      </c>
      <c r="B631" t="s">
        <v>2689</v>
      </c>
      <c r="F631" t="str">
        <f t="shared" si="9"/>
        <v>45650</v>
      </c>
      <c r="AE631">
        <v>1101110625991</v>
      </c>
      <c r="AG631" t="s">
        <v>4</v>
      </c>
      <c r="AH631" t="s">
        <v>462</v>
      </c>
      <c r="AI631" t="s">
        <v>177</v>
      </c>
      <c r="AJ631" t="s">
        <v>463</v>
      </c>
    </row>
    <row r="632" spans="1:36">
      <c r="A632" t="s">
        <v>2690</v>
      </c>
      <c r="B632" t="s">
        <v>2691</v>
      </c>
      <c r="F632" t="str">
        <f t="shared" si="9"/>
        <v>45651</v>
      </c>
      <c r="AE632">
        <v>1601110038524</v>
      </c>
      <c r="AG632" t="s">
        <v>2</v>
      </c>
      <c r="AH632" t="s">
        <v>634</v>
      </c>
      <c r="AI632" t="s">
        <v>6</v>
      </c>
      <c r="AJ632" t="s">
        <v>635</v>
      </c>
    </row>
    <row r="633" spans="1:36">
      <c r="A633" t="s">
        <v>2692</v>
      </c>
      <c r="B633" t="s">
        <v>2693</v>
      </c>
      <c r="F633" t="str">
        <f t="shared" si="9"/>
        <v>45652</v>
      </c>
      <c r="AE633">
        <v>1101111238628</v>
      </c>
      <c r="AG633" t="s">
        <v>4</v>
      </c>
      <c r="AH633" t="s">
        <v>451</v>
      </c>
      <c r="AI633" t="s">
        <v>55</v>
      </c>
      <c r="AJ633" t="s">
        <v>452</v>
      </c>
    </row>
    <row r="634" spans="1:36">
      <c r="A634" t="s">
        <v>2694</v>
      </c>
      <c r="B634" t="s">
        <v>1425</v>
      </c>
      <c r="F634" t="str">
        <f t="shared" si="9"/>
        <v>45790</v>
      </c>
      <c r="AE634">
        <v>1601110067804</v>
      </c>
      <c r="AF634" t="s">
        <v>227</v>
      </c>
      <c r="AG634" t="s">
        <v>2</v>
      </c>
      <c r="AH634" t="s">
        <v>795</v>
      </c>
      <c r="AJ634" t="s">
        <v>796</v>
      </c>
    </row>
    <row r="635" spans="1:36">
      <c r="A635" t="s">
        <v>2695</v>
      </c>
      <c r="B635" t="s">
        <v>1426</v>
      </c>
      <c r="F635" t="str">
        <f t="shared" si="9"/>
        <v>45850</v>
      </c>
      <c r="AE635">
        <v>1101111398224</v>
      </c>
      <c r="AG635" t="s">
        <v>4</v>
      </c>
      <c r="AH635" t="s">
        <v>797</v>
      </c>
      <c r="AJ635" t="s">
        <v>798</v>
      </c>
    </row>
    <row r="636" spans="1:36">
      <c r="A636" t="s">
        <v>2696</v>
      </c>
      <c r="B636" t="s">
        <v>2697</v>
      </c>
      <c r="F636" t="str">
        <f t="shared" si="9"/>
        <v>45888</v>
      </c>
      <c r="AE636">
        <v>1101350000937</v>
      </c>
      <c r="AG636" t="s">
        <v>4</v>
      </c>
      <c r="AH636" t="s">
        <v>800</v>
      </c>
      <c r="AI636" t="s">
        <v>6</v>
      </c>
      <c r="AJ636" t="s">
        <v>801</v>
      </c>
    </row>
    <row r="637" spans="1:36">
      <c r="A637" t="s">
        <v>2698</v>
      </c>
      <c r="B637" t="s">
        <v>2699</v>
      </c>
      <c r="F637" t="str">
        <f t="shared" si="9"/>
        <v>45889</v>
      </c>
      <c r="AE637">
        <v>1101110575401</v>
      </c>
      <c r="AG637" t="s">
        <v>4</v>
      </c>
      <c r="AH637" t="s">
        <v>791</v>
      </c>
      <c r="AI637" t="s">
        <v>55</v>
      </c>
      <c r="AJ637" t="s">
        <v>635</v>
      </c>
    </row>
    <row r="638" spans="1:36">
      <c r="A638" t="s">
        <v>2700</v>
      </c>
      <c r="B638" t="s">
        <v>2701</v>
      </c>
      <c r="F638" t="str">
        <f t="shared" si="9"/>
        <v>45890</v>
      </c>
      <c r="AE638">
        <v>1101110377203</v>
      </c>
      <c r="AF638" t="s">
        <v>40</v>
      </c>
      <c r="AG638" t="s">
        <v>4</v>
      </c>
      <c r="AH638" t="s">
        <v>634</v>
      </c>
      <c r="AI638" t="s">
        <v>6</v>
      </c>
      <c r="AJ638" t="s">
        <v>635</v>
      </c>
    </row>
    <row r="639" spans="1:36">
      <c r="A639" t="s">
        <v>2702</v>
      </c>
      <c r="B639" t="s">
        <v>2703</v>
      </c>
      <c r="F639" t="str">
        <f t="shared" si="9"/>
        <v>46003</v>
      </c>
      <c r="AE639">
        <v>1101111024118</v>
      </c>
      <c r="AG639" t="s">
        <v>4</v>
      </c>
      <c r="AH639" t="s">
        <v>634</v>
      </c>
      <c r="AI639" t="s">
        <v>6</v>
      </c>
      <c r="AJ639" t="s">
        <v>635</v>
      </c>
    </row>
    <row r="640" spans="1:36">
      <c r="A640" t="s">
        <v>2704</v>
      </c>
      <c r="B640" t="s">
        <v>2705</v>
      </c>
      <c r="F640" t="str">
        <f t="shared" si="9"/>
        <v>46004</v>
      </c>
      <c r="AE640">
        <v>1112350000158</v>
      </c>
      <c r="AG640" t="s">
        <v>4</v>
      </c>
      <c r="AH640" t="s">
        <v>800</v>
      </c>
      <c r="AI640" t="s">
        <v>6</v>
      </c>
      <c r="AJ640" t="s">
        <v>801</v>
      </c>
    </row>
    <row r="641" spans="1:36">
      <c r="A641" t="s">
        <v>2706</v>
      </c>
      <c r="B641" t="s">
        <v>2707</v>
      </c>
      <c r="F641" t="str">
        <f t="shared" si="9"/>
        <v>46005</v>
      </c>
      <c r="AE641">
        <v>1101380000014</v>
      </c>
      <c r="AG641" t="s">
        <v>4</v>
      </c>
    </row>
    <row r="642" spans="1:36">
      <c r="A642" t="s">
        <v>2708</v>
      </c>
      <c r="B642" t="s">
        <v>2709</v>
      </c>
      <c r="F642" t="str">
        <f t="shared" si="9"/>
        <v>46009</v>
      </c>
      <c r="AE642">
        <v>1101360027690</v>
      </c>
      <c r="AG642" t="s">
        <v>4</v>
      </c>
      <c r="AH642" t="s">
        <v>805</v>
      </c>
      <c r="AI642" t="s">
        <v>55</v>
      </c>
      <c r="AJ642" t="s">
        <v>806</v>
      </c>
    </row>
    <row r="643" spans="1:36">
      <c r="A643" t="s">
        <v>2710</v>
      </c>
      <c r="B643" t="s">
        <v>2711</v>
      </c>
      <c r="F643" t="str">
        <f t="shared" si="9"/>
        <v>46015</v>
      </c>
      <c r="AE643">
        <v>1101810007150</v>
      </c>
      <c r="AG643" t="s">
        <v>4</v>
      </c>
    </row>
    <row r="644" spans="1:36">
      <c r="A644" t="s">
        <v>2712</v>
      </c>
      <c r="B644" t="s">
        <v>2713</v>
      </c>
      <c r="F644" t="str">
        <f t="shared" si="9"/>
        <v>46110</v>
      </c>
      <c r="AE644">
        <v>1101810007902</v>
      </c>
      <c r="AG644" t="s">
        <v>4</v>
      </c>
    </row>
    <row r="645" spans="1:36">
      <c r="A645" t="s">
        <v>2714</v>
      </c>
      <c r="B645" t="s">
        <v>2715</v>
      </c>
      <c r="F645" t="str">
        <f t="shared" si="9"/>
        <v>46111</v>
      </c>
      <c r="AG645" t="s">
        <v>4</v>
      </c>
    </row>
    <row r="646" spans="1:36">
      <c r="A646" t="s">
        <v>2716</v>
      </c>
      <c r="B646" t="s">
        <v>2717</v>
      </c>
      <c r="F646" t="str">
        <f t="shared" si="9"/>
        <v>46112</v>
      </c>
      <c r="AE646">
        <v>1101110003204</v>
      </c>
      <c r="AF646" t="s">
        <v>53</v>
      </c>
      <c r="AG646" t="s">
        <v>2</v>
      </c>
      <c r="AH646" t="s">
        <v>734</v>
      </c>
      <c r="AI646" t="s">
        <v>55</v>
      </c>
      <c r="AJ646" t="s">
        <v>735</v>
      </c>
    </row>
    <row r="647" spans="1:36">
      <c r="A647" t="s">
        <v>2718</v>
      </c>
      <c r="B647" t="s">
        <v>2719</v>
      </c>
      <c r="F647" t="str">
        <f t="shared" si="9"/>
        <v>46221</v>
      </c>
      <c r="AE647">
        <v>1601110015572</v>
      </c>
      <c r="AG647" t="s">
        <v>4</v>
      </c>
      <c r="AH647" t="s">
        <v>625</v>
      </c>
      <c r="AI647" t="s">
        <v>6</v>
      </c>
      <c r="AJ647" t="s">
        <v>626</v>
      </c>
    </row>
    <row r="648" spans="1:36">
      <c r="A648" t="s">
        <v>2720</v>
      </c>
      <c r="B648" t="s">
        <v>2721</v>
      </c>
      <c r="F648" t="str">
        <f t="shared" si="9"/>
        <v>46222</v>
      </c>
      <c r="AE648">
        <v>1101380000014</v>
      </c>
      <c r="AG648" t="s">
        <v>4</v>
      </c>
    </row>
    <row r="649" spans="1:36">
      <c r="A649" t="s">
        <v>2722</v>
      </c>
      <c r="B649" t="s">
        <v>2723</v>
      </c>
      <c r="F649" t="str">
        <f t="shared" si="9"/>
        <v>46223</v>
      </c>
      <c r="AG649" t="s">
        <v>4</v>
      </c>
    </row>
    <row r="650" spans="1:36">
      <c r="A650" t="s">
        <v>2724</v>
      </c>
      <c r="B650" t="s">
        <v>1427</v>
      </c>
      <c r="F650" t="str">
        <f t="shared" ref="F650:F713" si="10">CHOOSE($C$1, A650, B650)</f>
        <v>46225</v>
      </c>
      <c r="AG650" t="s">
        <v>4</v>
      </c>
    </row>
    <row r="651" spans="1:36">
      <c r="A651" t="s">
        <v>2725</v>
      </c>
      <c r="B651" t="s">
        <v>2726</v>
      </c>
      <c r="F651" t="str">
        <f t="shared" si="10"/>
        <v>46226</v>
      </c>
      <c r="AE651">
        <v>1101810004974</v>
      </c>
      <c r="AG651" t="s">
        <v>4</v>
      </c>
    </row>
    <row r="652" spans="1:36">
      <c r="A652" t="s">
        <v>2727</v>
      </c>
      <c r="B652" t="s">
        <v>2728</v>
      </c>
      <c r="F652" t="str">
        <f t="shared" si="10"/>
        <v>46324</v>
      </c>
      <c r="AE652">
        <v>1101110014970</v>
      </c>
      <c r="AF652" t="s">
        <v>753</v>
      </c>
      <c r="AG652" t="s">
        <v>4</v>
      </c>
      <c r="AH652" t="s">
        <v>808</v>
      </c>
      <c r="AI652" t="s">
        <v>63</v>
      </c>
      <c r="AJ652" t="s">
        <v>735</v>
      </c>
    </row>
    <row r="653" spans="1:36">
      <c r="A653" t="s">
        <v>2729</v>
      </c>
      <c r="B653" t="s">
        <v>2730</v>
      </c>
      <c r="F653" t="str">
        <f t="shared" si="10"/>
        <v>46325</v>
      </c>
      <c r="AE653">
        <v>1101110018443</v>
      </c>
      <c r="AF653" t="s">
        <v>72</v>
      </c>
      <c r="AG653" t="s">
        <v>4</v>
      </c>
      <c r="AH653" t="s">
        <v>734</v>
      </c>
      <c r="AI653" t="s">
        <v>55</v>
      </c>
      <c r="AJ653" t="s">
        <v>735</v>
      </c>
    </row>
    <row r="654" spans="1:36">
      <c r="A654" t="s">
        <v>2731</v>
      </c>
      <c r="B654" t="s">
        <v>2732</v>
      </c>
      <c r="F654" t="str">
        <f t="shared" si="10"/>
        <v>46326</v>
      </c>
      <c r="AE654">
        <v>1101110667498</v>
      </c>
      <c r="AG654" t="s">
        <v>4</v>
      </c>
      <c r="AH654" t="s">
        <v>734</v>
      </c>
      <c r="AI654" t="s">
        <v>55</v>
      </c>
      <c r="AJ654" t="s">
        <v>735</v>
      </c>
    </row>
    <row r="655" spans="1:36">
      <c r="A655" t="s">
        <v>2733</v>
      </c>
      <c r="B655" t="s">
        <v>2734</v>
      </c>
      <c r="F655" t="str">
        <f t="shared" si="10"/>
        <v>46333</v>
      </c>
      <c r="AE655">
        <v>2001110014608</v>
      </c>
      <c r="AG655" t="s">
        <v>4</v>
      </c>
      <c r="AH655" t="s">
        <v>734</v>
      </c>
      <c r="AI655" t="s">
        <v>55</v>
      </c>
      <c r="AJ655" t="s">
        <v>735</v>
      </c>
    </row>
    <row r="656" spans="1:36">
      <c r="A656" t="s">
        <v>2735</v>
      </c>
      <c r="B656" t="s">
        <v>1428</v>
      </c>
      <c r="F656" t="str">
        <f t="shared" si="10"/>
        <v>46415</v>
      </c>
      <c r="AE656">
        <v>1146710023169</v>
      </c>
      <c r="AG656" t="s">
        <v>4</v>
      </c>
    </row>
    <row r="657" spans="1:36">
      <c r="A657" t="s">
        <v>2736</v>
      </c>
      <c r="B657" t="s">
        <v>2737</v>
      </c>
      <c r="F657" t="str">
        <f t="shared" si="10"/>
        <v>46416</v>
      </c>
      <c r="AE657">
        <v>1846110001424</v>
      </c>
      <c r="AG657" t="s">
        <v>4</v>
      </c>
      <c r="AH657" t="s">
        <v>51</v>
      </c>
      <c r="AI657" t="s">
        <v>32</v>
      </c>
      <c r="AJ657" t="s">
        <v>52</v>
      </c>
    </row>
    <row r="658" spans="1:36">
      <c r="A658" t="s">
        <v>2738</v>
      </c>
      <c r="B658" t="s">
        <v>1429</v>
      </c>
      <c r="F658" t="str">
        <f t="shared" si="10"/>
        <v>46443</v>
      </c>
      <c r="AE658">
        <v>1101110145410</v>
      </c>
      <c r="AF658" t="s">
        <v>93</v>
      </c>
      <c r="AG658" t="s">
        <v>4</v>
      </c>
      <c r="AH658" t="s">
        <v>296</v>
      </c>
      <c r="AI658" t="s">
        <v>297</v>
      </c>
      <c r="AJ658" t="s">
        <v>298</v>
      </c>
    </row>
    <row r="659" spans="1:36">
      <c r="A659" t="s">
        <v>2739</v>
      </c>
      <c r="B659" t="s">
        <v>2740</v>
      </c>
      <c r="F659" t="str">
        <f t="shared" si="10"/>
        <v>46471</v>
      </c>
      <c r="AE659">
        <v>1112710001217</v>
      </c>
      <c r="AG659" t="s">
        <v>4</v>
      </c>
      <c r="AH659" t="s">
        <v>811</v>
      </c>
      <c r="AI659" t="s">
        <v>302</v>
      </c>
      <c r="AJ659" t="s">
        <v>812</v>
      </c>
    </row>
    <row r="660" spans="1:36">
      <c r="A660" t="s">
        <v>2741</v>
      </c>
      <c r="B660" t="s">
        <v>2742</v>
      </c>
      <c r="F660" t="str">
        <f t="shared" si="10"/>
        <v>46472</v>
      </c>
      <c r="AE660">
        <v>1243110004898</v>
      </c>
      <c r="AG660" t="s">
        <v>4</v>
      </c>
      <c r="AH660" t="s">
        <v>813</v>
      </c>
      <c r="AJ660" t="s">
        <v>814</v>
      </c>
    </row>
    <row r="661" spans="1:36">
      <c r="A661" t="s">
        <v>2743</v>
      </c>
      <c r="B661" t="s">
        <v>2744</v>
      </c>
      <c r="F661" t="str">
        <f t="shared" si="10"/>
        <v>46473</v>
      </c>
      <c r="AE661">
        <v>1101110098239</v>
      </c>
      <c r="AG661" t="s">
        <v>4</v>
      </c>
      <c r="AH661" t="s">
        <v>8</v>
      </c>
      <c r="AJ661" t="s">
        <v>9</v>
      </c>
    </row>
    <row r="662" spans="1:36">
      <c r="A662" t="s">
        <v>2745</v>
      </c>
      <c r="B662" t="s">
        <v>2746</v>
      </c>
      <c r="F662" t="str">
        <f t="shared" si="10"/>
        <v>46602</v>
      </c>
      <c r="AE662">
        <v>1101111220336</v>
      </c>
      <c r="AG662" t="s">
        <v>4</v>
      </c>
      <c r="AH662" t="s">
        <v>634</v>
      </c>
      <c r="AI662" t="s">
        <v>6</v>
      </c>
      <c r="AJ662" t="s">
        <v>635</v>
      </c>
    </row>
    <row r="663" spans="1:36">
      <c r="A663" t="s">
        <v>2747</v>
      </c>
      <c r="B663" t="s">
        <v>2748</v>
      </c>
      <c r="F663" t="str">
        <f t="shared" si="10"/>
        <v>46669</v>
      </c>
      <c r="AE663">
        <v>1701110092784</v>
      </c>
      <c r="AG663" t="s">
        <v>4</v>
      </c>
      <c r="AH663" t="s">
        <v>634</v>
      </c>
      <c r="AI663" t="s">
        <v>6</v>
      </c>
      <c r="AJ663" t="s">
        <v>635</v>
      </c>
    </row>
    <row r="664" spans="1:36">
      <c r="A664" t="s">
        <v>2749</v>
      </c>
      <c r="B664" t="s">
        <v>2750</v>
      </c>
      <c r="F664" t="str">
        <f t="shared" si="10"/>
        <v>46670</v>
      </c>
      <c r="AE664">
        <v>1101110822026</v>
      </c>
      <c r="AF664" t="s">
        <v>614</v>
      </c>
      <c r="AG664" t="s">
        <v>2</v>
      </c>
      <c r="AH664" t="s">
        <v>816</v>
      </c>
      <c r="AI664" t="s">
        <v>585</v>
      </c>
      <c r="AJ664" t="s">
        <v>817</v>
      </c>
    </row>
    <row r="665" spans="1:36">
      <c r="A665" t="s">
        <v>2751</v>
      </c>
      <c r="B665" t="s">
        <v>2752</v>
      </c>
      <c r="F665" t="str">
        <f t="shared" si="10"/>
        <v>46671</v>
      </c>
      <c r="AE665">
        <v>1701110000498</v>
      </c>
      <c r="AG665" t="s">
        <v>4</v>
      </c>
      <c r="AH665" t="s">
        <v>514</v>
      </c>
      <c r="AJ665" t="s">
        <v>515</v>
      </c>
    </row>
    <row r="666" spans="1:36">
      <c r="A666" t="s">
        <v>2753</v>
      </c>
      <c r="B666" t="s">
        <v>2754</v>
      </c>
      <c r="F666" t="str">
        <f t="shared" si="10"/>
        <v>46710</v>
      </c>
      <c r="AE666">
        <v>1748110001141</v>
      </c>
      <c r="AG666" t="s">
        <v>4</v>
      </c>
      <c r="AH666" t="s">
        <v>685</v>
      </c>
      <c r="AI666" t="s">
        <v>26</v>
      </c>
      <c r="AJ666" t="s">
        <v>260</v>
      </c>
    </row>
    <row r="667" spans="1:36">
      <c r="A667" t="s">
        <v>2755</v>
      </c>
      <c r="B667" t="s">
        <v>2756</v>
      </c>
      <c r="F667" t="str">
        <f t="shared" si="10"/>
        <v>46768</v>
      </c>
      <c r="AG667" t="s">
        <v>4</v>
      </c>
    </row>
    <row r="668" spans="1:36">
      <c r="A668" t="s">
        <v>2757</v>
      </c>
      <c r="B668" t="s">
        <v>2758</v>
      </c>
      <c r="F668" t="str">
        <f t="shared" si="10"/>
        <v>46769</v>
      </c>
      <c r="AE668">
        <v>1101110532633</v>
      </c>
      <c r="AF668" t="s">
        <v>93</v>
      </c>
      <c r="AG668" t="s">
        <v>2</v>
      </c>
      <c r="AH668" t="s">
        <v>820</v>
      </c>
      <c r="AI668" t="s">
        <v>249</v>
      </c>
      <c r="AJ668" t="s">
        <v>821</v>
      </c>
    </row>
    <row r="669" spans="1:36">
      <c r="A669" t="s">
        <v>2759</v>
      </c>
      <c r="B669" t="s">
        <v>2760</v>
      </c>
      <c r="F669" t="str">
        <f t="shared" si="10"/>
        <v>46770</v>
      </c>
      <c r="AE669">
        <v>1301110001452</v>
      </c>
      <c r="AG669" t="s">
        <v>4</v>
      </c>
      <c r="AH669" t="s">
        <v>51</v>
      </c>
      <c r="AI669" t="s">
        <v>32</v>
      </c>
      <c r="AJ669" t="s">
        <v>52</v>
      </c>
    </row>
    <row r="670" spans="1:36">
      <c r="A670" t="s">
        <v>2761</v>
      </c>
      <c r="B670" t="s">
        <v>1430</v>
      </c>
      <c r="F670" t="str">
        <f t="shared" si="10"/>
        <v>46852</v>
      </c>
      <c r="AE670">
        <v>1801110003268</v>
      </c>
      <c r="AG670" t="s">
        <v>2</v>
      </c>
      <c r="AH670" t="s">
        <v>123</v>
      </c>
      <c r="AI670" t="s">
        <v>124</v>
      </c>
      <c r="AJ670" t="s">
        <v>125</v>
      </c>
    </row>
    <row r="671" spans="1:36">
      <c r="A671" t="s">
        <v>2762</v>
      </c>
      <c r="B671" t="s">
        <v>1431</v>
      </c>
      <c r="F671" t="str">
        <f t="shared" si="10"/>
        <v>46860</v>
      </c>
      <c r="AE671">
        <v>1101110222218</v>
      </c>
      <c r="AG671" t="s">
        <v>4</v>
      </c>
      <c r="AH671" t="s">
        <v>190</v>
      </c>
      <c r="AI671" t="s">
        <v>32</v>
      </c>
      <c r="AJ671" t="s">
        <v>91</v>
      </c>
    </row>
    <row r="672" spans="1:36">
      <c r="A672" t="s">
        <v>2763</v>
      </c>
      <c r="B672" t="s">
        <v>2764</v>
      </c>
      <c r="F672" t="str">
        <f t="shared" si="10"/>
        <v>46897</v>
      </c>
      <c r="AE672">
        <v>1146710006125</v>
      </c>
      <c r="AG672" t="s">
        <v>2</v>
      </c>
      <c r="AH672" t="s">
        <v>277</v>
      </c>
      <c r="AI672" t="s">
        <v>278</v>
      </c>
      <c r="AJ672" t="s">
        <v>279</v>
      </c>
    </row>
    <row r="673" spans="1:36">
      <c r="A673" t="s">
        <v>2765</v>
      </c>
      <c r="B673" t="s">
        <v>2766</v>
      </c>
      <c r="F673" t="str">
        <f t="shared" si="10"/>
        <v>46898</v>
      </c>
      <c r="AE673">
        <v>1146710001381</v>
      </c>
      <c r="AG673" t="s">
        <v>4</v>
      </c>
    </row>
    <row r="674" spans="1:36">
      <c r="A674" t="s">
        <v>2767</v>
      </c>
      <c r="B674" t="s">
        <v>2768</v>
      </c>
      <c r="F674" t="str">
        <f t="shared" si="10"/>
        <v>46899</v>
      </c>
      <c r="AE674">
        <v>1446110000325</v>
      </c>
      <c r="AG674" t="s">
        <v>4</v>
      </c>
      <c r="AH674" t="s">
        <v>231</v>
      </c>
      <c r="AI674" t="s">
        <v>150</v>
      </c>
      <c r="AJ674" t="s">
        <v>232</v>
      </c>
    </row>
    <row r="675" spans="1:36">
      <c r="A675" t="s">
        <v>2769</v>
      </c>
      <c r="B675" t="s">
        <v>2770</v>
      </c>
      <c r="F675" t="str">
        <f t="shared" si="10"/>
        <v>46904</v>
      </c>
      <c r="AE675">
        <v>1942110000943</v>
      </c>
      <c r="AF675" t="s">
        <v>29</v>
      </c>
      <c r="AG675" t="s">
        <v>2</v>
      </c>
      <c r="AH675" t="s">
        <v>596</v>
      </c>
      <c r="AI675" t="s">
        <v>65</v>
      </c>
      <c r="AJ675" t="s">
        <v>597</v>
      </c>
    </row>
    <row r="676" spans="1:36">
      <c r="A676" t="s">
        <v>2771</v>
      </c>
      <c r="B676" t="s">
        <v>2772</v>
      </c>
      <c r="F676" t="str">
        <f t="shared" si="10"/>
        <v>47068</v>
      </c>
      <c r="AE676">
        <v>1760110010831</v>
      </c>
      <c r="AG676" t="s">
        <v>4</v>
      </c>
      <c r="AH676" t="s">
        <v>442</v>
      </c>
      <c r="AJ676" t="s">
        <v>443</v>
      </c>
    </row>
    <row r="677" spans="1:36">
      <c r="A677" t="s">
        <v>2773</v>
      </c>
      <c r="B677" t="s">
        <v>2774</v>
      </c>
      <c r="F677" t="str">
        <f t="shared" si="10"/>
        <v>47069</v>
      </c>
      <c r="AE677">
        <v>1845110000379</v>
      </c>
      <c r="AG677" t="s">
        <v>4</v>
      </c>
      <c r="AH677" t="s">
        <v>823</v>
      </c>
      <c r="AI677" t="s">
        <v>150</v>
      </c>
      <c r="AJ677" t="s">
        <v>713</v>
      </c>
    </row>
    <row r="678" spans="1:36">
      <c r="A678" t="s">
        <v>2775</v>
      </c>
      <c r="B678" t="s">
        <v>2776</v>
      </c>
      <c r="F678" t="str">
        <f t="shared" si="10"/>
        <v>47070</v>
      </c>
      <c r="AE678">
        <v>1101110003999</v>
      </c>
      <c r="AF678" t="s">
        <v>261</v>
      </c>
      <c r="AG678" t="s">
        <v>4</v>
      </c>
      <c r="AH678" t="s">
        <v>296</v>
      </c>
      <c r="AI678" t="s">
        <v>297</v>
      </c>
      <c r="AJ678" t="s">
        <v>298</v>
      </c>
    </row>
    <row r="679" spans="1:36">
      <c r="A679" t="s">
        <v>2777</v>
      </c>
      <c r="B679" t="s">
        <v>1432</v>
      </c>
      <c r="F679" t="str">
        <f t="shared" si="10"/>
        <v>47104</v>
      </c>
      <c r="AE679">
        <v>1101110516695</v>
      </c>
      <c r="AF679" t="s">
        <v>107</v>
      </c>
      <c r="AG679" t="s">
        <v>4</v>
      </c>
      <c r="AH679" t="s">
        <v>502</v>
      </c>
      <c r="AI679" t="s">
        <v>503</v>
      </c>
      <c r="AJ679" t="s">
        <v>504</v>
      </c>
    </row>
    <row r="680" spans="1:36">
      <c r="A680" t="s">
        <v>2778</v>
      </c>
      <c r="B680" t="s">
        <v>2779</v>
      </c>
      <c r="F680" t="str">
        <f t="shared" si="10"/>
        <v>47176</v>
      </c>
      <c r="AE680">
        <v>1801110053461</v>
      </c>
      <c r="AF680" t="s">
        <v>93</v>
      </c>
      <c r="AG680" t="s">
        <v>4</v>
      </c>
      <c r="AH680" t="s">
        <v>296</v>
      </c>
      <c r="AI680" t="s">
        <v>297</v>
      </c>
      <c r="AJ680" t="s">
        <v>298</v>
      </c>
    </row>
    <row r="681" spans="1:36">
      <c r="A681" t="s">
        <v>2780</v>
      </c>
      <c r="B681" t="s">
        <v>2781</v>
      </c>
      <c r="F681" t="str">
        <f t="shared" si="10"/>
        <v>47183</v>
      </c>
      <c r="AE681">
        <v>1846110000533</v>
      </c>
      <c r="AG681" t="s">
        <v>4</v>
      </c>
      <c r="AH681" t="s">
        <v>825</v>
      </c>
      <c r="AI681" t="s">
        <v>826</v>
      </c>
      <c r="AJ681" t="s">
        <v>827</v>
      </c>
    </row>
    <row r="682" spans="1:36">
      <c r="A682" t="s">
        <v>2782</v>
      </c>
      <c r="B682" t="s">
        <v>2783</v>
      </c>
      <c r="F682" t="str">
        <f t="shared" si="10"/>
        <v>47184</v>
      </c>
      <c r="AE682">
        <v>1101111708473</v>
      </c>
      <c r="AG682" t="s">
        <v>4</v>
      </c>
      <c r="AH682" t="s">
        <v>828</v>
      </c>
      <c r="AI682" t="s">
        <v>63</v>
      </c>
      <c r="AJ682" t="s">
        <v>806</v>
      </c>
    </row>
    <row r="683" spans="1:36">
      <c r="A683" t="s">
        <v>2784</v>
      </c>
      <c r="B683" t="s">
        <v>2785</v>
      </c>
      <c r="F683" t="str">
        <f t="shared" si="10"/>
        <v>47185</v>
      </c>
      <c r="AE683">
        <v>1101110759493</v>
      </c>
      <c r="AF683" t="s">
        <v>261</v>
      </c>
      <c r="AG683" t="s">
        <v>2</v>
      </c>
      <c r="AH683" t="s">
        <v>830</v>
      </c>
      <c r="AI683" t="s">
        <v>32</v>
      </c>
      <c r="AJ683" t="s">
        <v>831</v>
      </c>
    </row>
    <row r="684" spans="1:36">
      <c r="A684" t="s">
        <v>2786</v>
      </c>
      <c r="B684" t="s">
        <v>2787</v>
      </c>
      <c r="F684" t="str">
        <f t="shared" si="10"/>
        <v>47247</v>
      </c>
      <c r="AE684">
        <v>1101111419286</v>
      </c>
      <c r="AF684" t="s">
        <v>198</v>
      </c>
      <c r="AG684" t="s">
        <v>4</v>
      </c>
      <c r="AH684" t="s">
        <v>652</v>
      </c>
      <c r="AI684" t="s">
        <v>6</v>
      </c>
      <c r="AJ684" t="s">
        <v>653</v>
      </c>
    </row>
    <row r="685" spans="1:36">
      <c r="A685" t="s">
        <v>2788</v>
      </c>
      <c r="B685" t="s">
        <v>2789</v>
      </c>
      <c r="F685" t="str">
        <f t="shared" si="10"/>
        <v>47248</v>
      </c>
      <c r="AE685">
        <v>1101111220641</v>
      </c>
      <c r="AF685" t="s">
        <v>97</v>
      </c>
      <c r="AG685" t="s">
        <v>4</v>
      </c>
      <c r="AH685" t="s">
        <v>634</v>
      </c>
      <c r="AI685" t="s">
        <v>6</v>
      </c>
      <c r="AJ685" t="s">
        <v>635</v>
      </c>
    </row>
    <row r="686" spans="1:36">
      <c r="A686" t="s">
        <v>2790</v>
      </c>
      <c r="B686" t="s">
        <v>2791</v>
      </c>
      <c r="F686" t="str">
        <f t="shared" si="10"/>
        <v>47249</v>
      </c>
      <c r="AG686" t="s">
        <v>4</v>
      </c>
    </row>
    <row r="687" spans="1:36">
      <c r="A687" t="s">
        <v>2792</v>
      </c>
      <c r="B687" t="s">
        <v>1433</v>
      </c>
      <c r="F687" t="str">
        <f t="shared" si="10"/>
        <v>47315</v>
      </c>
      <c r="AE687">
        <v>1101110699079</v>
      </c>
      <c r="AG687" t="s">
        <v>4</v>
      </c>
      <c r="AH687" t="s">
        <v>209</v>
      </c>
      <c r="AI687" t="s">
        <v>32</v>
      </c>
      <c r="AJ687" t="s">
        <v>52</v>
      </c>
    </row>
    <row r="688" spans="1:36">
      <c r="A688" t="s">
        <v>2793</v>
      </c>
      <c r="B688" t="s">
        <v>2794</v>
      </c>
      <c r="F688" t="str">
        <f t="shared" si="10"/>
        <v>47346</v>
      </c>
      <c r="AE688">
        <v>1101111143009</v>
      </c>
      <c r="AG688" t="s">
        <v>4</v>
      </c>
      <c r="AH688" t="s">
        <v>833</v>
      </c>
      <c r="AI688" t="s">
        <v>580</v>
      </c>
      <c r="AJ688" t="s">
        <v>834</v>
      </c>
    </row>
    <row r="689" spans="1:36">
      <c r="A689" t="s">
        <v>2795</v>
      </c>
      <c r="B689" t="s">
        <v>2796</v>
      </c>
      <c r="F689" t="str">
        <f t="shared" si="10"/>
        <v>47347</v>
      </c>
      <c r="AE689">
        <v>1101110543169</v>
      </c>
      <c r="AF689" t="s">
        <v>40</v>
      </c>
      <c r="AG689" t="s">
        <v>4</v>
      </c>
      <c r="AH689" t="s">
        <v>305</v>
      </c>
      <c r="AI689" t="s">
        <v>146</v>
      </c>
      <c r="AJ689" t="s">
        <v>306</v>
      </c>
    </row>
    <row r="690" spans="1:36">
      <c r="A690" t="s">
        <v>2797</v>
      </c>
      <c r="B690" t="s">
        <v>2798</v>
      </c>
      <c r="F690" t="str">
        <f t="shared" si="10"/>
        <v>47348</v>
      </c>
      <c r="AE690">
        <v>1101111258220</v>
      </c>
      <c r="AG690" t="s">
        <v>2</v>
      </c>
      <c r="AH690" t="s">
        <v>837</v>
      </c>
      <c r="AI690" t="s">
        <v>6</v>
      </c>
      <c r="AJ690" t="s">
        <v>838</v>
      </c>
    </row>
    <row r="691" spans="1:36">
      <c r="A691" t="s">
        <v>2799</v>
      </c>
      <c r="B691" t="s">
        <v>2800</v>
      </c>
      <c r="F691" t="str">
        <f t="shared" si="10"/>
        <v>47428</v>
      </c>
      <c r="AE691">
        <v>1101110694780</v>
      </c>
      <c r="AG691" t="s">
        <v>4</v>
      </c>
      <c r="AH691" t="s">
        <v>88</v>
      </c>
      <c r="AJ691" t="s">
        <v>89</v>
      </c>
    </row>
    <row r="692" spans="1:36">
      <c r="A692" t="s">
        <v>2801</v>
      </c>
      <c r="B692" t="s">
        <v>2802</v>
      </c>
      <c r="F692" t="str">
        <f t="shared" si="10"/>
        <v>47429</v>
      </c>
      <c r="AE692">
        <v>1101111138498</v>
      </c>
      <c r="AF692" t="s">
        <v>24</v>
      </c>
      <c r="AG692" t="s">
        <v>4</v>
      </c>
      <c r="AH692" t="s">
        <v>839</v>
      </c>
      <c r="AI692" t="s">
        <v>83</v>
      </c>
      <c r="AJ692" t="s">
        <v>840</v>
      </c>
    </row>
    <row r="693" spans="1:36">
      <c r="A693" t="s">
        <v>2803</v>
      </c>
      <c r="B693" t="s">
        <v>2804</v>
      </c>
      <c r="F693" t="str">
        <f t="shared" si="10"/>
        <v>47430</v>
      </c>
      <c r="AE693">
        <v>1142710001818</v>
      </c>
      <c r="AG693" t="s">
        <v>4</v>
      </c>
    </row>
    <row r="694" spans="1:36">
      <c r="A694" t="s">
        <v>2805</v>
      </c>
      <c r="B694" t="s">
        <v>2806</v>
      </c>
      <c r="F694" t="str">
        <f t="shared" si="10"/>
        <v>47436</v>
      </c>
      <c r="AE694">
        <v>1344110011948</v>
      </c>
      <c r="AG694" t="s">
        <v>4</v>
      </c>
      <c r="AH694" t="s">
        <v>841</v>
      </c>
      <c r="AJ694" t="s">
        <v>842</v>
      </c>
    </row>
    <row r="695" spans="1:36">
      <c r="A695" t="s">
        <v>2807</v>
      </c>
      <c r="B695" t="s">
        <v>2808</v>
      </c>
      <c r="F695" t="str">
        <f t="shared" si="10"/>
        <v>47565</v>
      </c>
      <c r="AE695">
        <v>1101110375398</v>
      </c>
      <c r="AF695" t="s">
        <v>107</v>
      </c>
      <c r="AG695" t="s">
        <v>2</v>
      </c>
      <c r="AH695" t="s">
        <v>15</v>
      </c>
      <c r="AI695" t="s">
        <v>16</v>
      </c>
      <c r="AJ695" t="s">
        <v>17</v>
      </c>
    </row>
    <row r="696" spans="1:36">
      <c r="A696" t="s">
        <v>2809</v>
      </c>
      <c r="B696" t="s">
        <v>2810</v>
      </c>
      <c r="F696" t="str">
        <f t="shared" si="10"/>
        <v>47566</v>
      </c>
      <c r="AE696">
        <v>1101110731483</v>
      </c>
      <c r="AF696" t="s">
        <v>439</v>
      </c>
      <c r="AG696" t="s">
        <v>2</v>
      </c>
      <c r="AH696" t="s">
        <v>844</v>
      </c>
      <c r="AI696" t="s">
        <v>845</v>
      </c>
      <c r="AJ696" t="s">
        <v>846</v>
      </c>
    </row>
    <row r="697" spans="1:36">
      <c r="A697" t="s">
        <v>2811</v>
      </c>
      <c r="B697" t="s">
        <v>2812</v>
      </c>
      <c r="F697" t="str">
        <f t="shared" si="10"/>
        <v>47567</v>
      </c>
      <c r="AE697">
        <v>1112710001316</v>
      </c>
      <c r="AG697" t="s">
        <v>4</v>
      </c>
    </row>
    <row r="698" spans="1:36">
      <c r="A698" t="s">
        <v>2813</v>
      </c>
      <c r="B698" t="s">
        <v>2814</v>
      </c>
      <c r="F698" t="str">
        <f t="shared" si="10"/>
        <v>47605</v>
      </c>
      <c r="AE698">
        <v>1101110629026</v>
      </c>
      <c r="AG698" t="s">
        <v>4</v>
      </c>
      <c r="AH698" t="s">
        <v>190</v>
      </c>
      <c r="AI698" t="s">
        <v>32</v>
      </c>
      <c r="AJ698" t="s">
        <v>91</v>
      </c>
    </row>
    <row r="699" spans="1:36">
      <c r="A699" t="s">
        <v>2815</v>
      </c>
      <c r="B699" t="s">
        <v>2816</v>
      </c>
      <c r="F699" t="str">
        <f t="shared" si="10"/>
        <v>47606</v>
      </c>
      <c r="AE699">
        <v>1101110713283</v>
      </c>
      <c r="AG699" t="s">
        <v>4</v>
      </c>
      <c r="AH699" t="s">
        <v>847</v>
      </c>
      <c r="AI699" t="s">
        <v>55</v>
      </c>
      <c r="AJ699" t="s">
        <v>848</v>
      </c>
    </row>
    <row r="700" spans="1:36">
      <c r="A700" t="s">
        <v>2817</v>
      </c>
      <c r="B700" t="s">
        <v>2818</v>
      </c>
      <c r="F700" t="str">
        <f t="shared" si="10"/>
        <v>47607</v>
      </c>
      <c r="AE700">
        <v>1101110249709</v>
      </c>
      <c r="AF700" t="s">
        <v>53</v>
      </c>
      <c r="AG700" t="s">
        <v>4</v>
      </c>
      <c r="AH700" t="s">
        <v>565</v>
      </c>
      <c r="AI700" t="s">
        <v>297</v>
      </c>
      <c r="AJ700" t="s">
        <v>566</v>
      </c>
    </row>
    <row r="701" spans="1:36">
      <c r="A701" t="s">
        <v>2819</v>
      </c>
      <c r="B701" t="s">
        <v>2820</v>
      </c>
      <c r="F701" t="str">
        <f t="shared" si="10"/>
        <v>47765</v>
      </c>
      <c r="AE701">
        <v>1101111573496</v>
      </c>
      <c r="AF701" t="s">
        <v>329</v>
      </c>
      <c r="AG701" t="s">
        <v>4</v>
      </c>
      <c r="AH701" t="s">
        <v>120</v>
      </c>
      <c r="AJ701" t="s">
        <v>121</v>
      </c>
    </row>
    <row r="702" spans="1:36">
      <c r="A702" t="s">
        <v>2821</v>
      </c>
      <c r="B702" t="s">
        <v>2822</v>
      </c>
      <c r="F702" t="str">
        <f t="shared" si="10"/>
        <v>47775</v>
      </c>
      <c r="AE702">
        <v>1101110274368</v>
      </c>
      <c r="AG702" t="s">
        <v>4</v>
      </c>
      <c r="AH702" t="s">
        <v>849</v>
      </c>
      <c r="AJ702" t="s">
        <v>850</v>
      </c>
    </row>
    <row r="703" spans="1:36">
      <c r="A703" t="s">
        <v>2823</v>
      </c>
      <c r="B703" t="s">
        <v>2824</v>
      </c>
      <c r="F703" t="str">
        <f t="shared" si="10"/>
        <v>47781</v>
      </c>
      <c r="AE703">
        <v>1101210000647</v>
      </c>
      <c r="AG703" t="s">
        <v>4</v>
      </c>
      <c r="AH703" t="s">
        <v>851</v>
      </c>
      <c r="AI703" t="s">
        <v>852</v>
      </c>
      <c r="AJ703" t="s">
        <v>853</v>
      </c>
    </row>
    <row r="704" spans="1:36">
      <c r="A704" t="s">
        <v>2825</v>
      </c>
      <c r="B704" t="s">
        <v>2826</v>
      </c>
      <c r="F704" t="str">
        <f t="shared" si="10"/>
        <v>47782</v>
      </c>
      <c r="AE704">
        <v>1101110769583</v>
      </c>
      <c r="AF704" t="s">
        <v>74</v>
      </c>
      <c r="AG704" t="s">
        <v>2</v>
      </c>
      <c r="AH704" t="s">
        <v>15</v>
      </c>
      <c r="AI704" t="s">
        <v>16</v>
      </c>
      <c r="AJ704" t="s">
        <v>17</v>
      </c>
    </row>
    <row r="705" spans="1:36">
      <c r="A705" t="s">
        <v>2827</v>
      </c>
      <c r="B705" t="s">
        <v>2828</v>
      </c>
      <c r="F705" t="str">
        <f t="shared" si="10"/>
        <v>47783</v>
      </c>
      <c r="AE705">
        <v>1101110129274</v>
      </c>
      <c r="AG705" t="s">
        <v>2</v>
      </c>
      <c r="AH705" t="s">
        <v>856</v>
      </c>
      <c r="AI705" t="s">
        <v>857</v>
      </c>
      <c r="AJ705" t="s">
        <v>858</v>
      </c>
    </row>
    <row r="706" spans="1:36">
      <c r="A706" t="s">
        <v>2829</v>
      </c>
      <c r="B706" t="s">
        <v>1434</v>
      </c>
      <c r="F706" t="str">
        <f t="shared" si="10"/>
        <v>47889</v>
      </c>
      <c r="AE706">
        <v>1101110099774</v>
      </c>
      <c r="AG706" t="s">
        <v>4</v>
      </c>
      <c r="AH706" t="s">
        <v>805</v>
      </c>
      <c r="AI706" t="s">
        <v>55</v>
      </c>
      <c r="AJ706" t="s">
        <v>806</v>
      </c>
    </row>
    <row r="707" spans="1:36">
      <c r="A707" t="s">
        <v>2830</v>
      </c>
      <c r="B707" t="s">
        <v>1435</v>
      </c>
      <c r="F707" t="str">
        <f t="shared" si="10"/>
        <v>47890</v>
      </c>
      <c r="AE707">
        <v>1101110013310</v>
      </c>
      <c r="AG707" t="s">
        <v>4</v>
      </c>
      <c r="AH707" t="s">
        <v>743</v>
      </c>
      <c r="AI707" t="s">
        <v>657</v>
      </c>
      <c r="AJ707" t="s">
        <v>744</v>
      </c>
    </row>
    <row r="708" spans="1:36">
      <c r="A708" t="s">
        <v>2831</v>
      </c>
      <c r="B708" t="s">
        <v>1436</v>
      </c>
      <c r="F708" t="str">
        <f t="shared" si="10"/>
        <v>47891</v>
      </c>
      <c r="AE708">
        <v>1311710000019</v>
      </c>
      <c r="AG708" t="s">
        <v>4</v>
      </c>
      <c r="AH708" t="s">
        <v>262</v>
      </c>
      <c r="AI708" t="s">
        <v>32</v>
      </c>
      <c r="AJ708" t="s">
        <v>167</v>
      </c>
    </row>
    <row r="709" spans="1:36">
      <c r="A709" t="s">
        <v>2832</v>
      </c>
      <c r="B709" t="s">
        <v>1437</v>
      </c>
      <c r="F709" t="str">
        <f t="shared" si="10"/>
        <v>48080</v>
      </c>
      <c r="AE709">
        <v>1101110393134</v>
      </c>
      <c r="AF709" t="s">
        <v>107</v>
      </c>
      <c r="AG709" t="s">
        <v>2</v>
      </c>
      <c r="AH709" t="s">
        <v>714</v>
      </c>
      <c r="AI709" t="s">
        <v>76</v>
      </c>
      <c r="AJ709" t="s">
        <v>715</v>
      </c>
    </row>
    <row r="710" spans="1:36">
      <c r="A710" t="s">
        <v>2833</v>
      </c>
      <c r="B710" t="s">
        <v>1438</v>
      </c>
      <c r="F710" t="str">
        <f t="shared" si="10"/>
        <v>48081</v>
      </c>
      <c r="AE710">
        <v>1101110013493</v>
      </c>
      <c r="AG710" t="s">
        <v>4</v>
      </c>
      <c r="AH710" t="s">
        <v>743</v>
      </c>
      <c r="AI710" t="s">
        <v>657</v>
      </c>
      <c r="AJ710" t="s">
        <v>744</v>
      </c>
    </row>
    <row r="711" spans="1:36">
      <c r="A711" t="s">
        <v>2834</v>
      </c>
      <c r="B711" t="s">
        <v>1439</v>
      </c>
      <c r="F711" t="str">
        <f t="shared" si="10"/>
        <v>48082</v>
      </c>
      <c r="AE711">
        <v>1142710001826</v>
      </c>
      <c r="AG711" t="s">
        <v>4</v>
      </c>
    </row>
    <row r="712" spans="1:36">
      <c r="A712" t="s">
        <v>2835</v>
      </c>
      <c r="B712" t="s">
        <v>1440</v>
      </c>
      <c r="F712" t="str">
        <f t="shared" si="10"/>
        <v>48125</v>
      </c>
      <c r="AE712">
        <v>1641710000052</v>
      </c>
      <c r="AG712" t="s">
        <v>4</v>
      </c>
      <c r="AH712" t="s">
        <v>862</v>
      </c>
      <c r="AI712" t="s">
        <v>483</v>
      </c>
      <c r="AJ712" t="s">
        <v>863</v>
      </c>
    </row>
    <row r="713" spans="1:36">
      <c r="A713" t="s">
        <v>2836</v>
      </c>
      <c r="B713" t="s">
        <v>1441</v>
      </c>
      <c r="F713" t="str">
        <f t="shared" si="10"/>
        <v>48126</v>
      </c>
      <c r="AE713">
        <v>1112710001332</v>
      </c>
      <c r="AG713" t="s">
        <v>4</v>
      </c>
      <c r="AH713" t="s">
        <v>864</v>
      </c>
      <c r="AI713" t="s">
        <v>6</v>
      </c>
      <c r="AJ713" t="s">
        <v>865</v>
      </c>
    </row>
    <row r="714" spans="1:36">
      <c r="A714" t="s">
        <v>2837</v>
      </c>
      <c r="B714" t="s">
        <v>1442</v>
      </c>
      <c r="F714" t="str">
        <f t="shared" ref="F714:F777" si="11">CHOOSE($C$1, A714, B714)</f>
        <v>48127</v>
      </c>
      <c r="AE714">
        <v>1801710000010</v>
      </c>
      <c r="AG714" t="s">
        <v>4</v>
      </c>
    </row>
    <row r="715" spans="1:36">
      <c r="A715" t="s">
        <v>2838</v>
      </c>
      <c r="B715" t="s">
        <v>1443</v>
      </c>
      <c r="F715" t="str">
        <f t="shared" si="11"/>
        <v>48168</v>
      </c>
      <c r="AE715">
        <v>2046710002885</v>
      </c>
      <c r="AG715" t="s">
        <v>4</v>
      </c>
      <c r="AH715" t="s">
        <v>867</v>
      </c>
      <c r="AI715" t="s">
        <v>192</v>
      </c>
      <c r="AJ715" t="s">
        <v>868</v>
      </c>
    </row>
    <row r="716" spans="1:36">
      <c r="A716" t="s">
        <v>2839</v>
      </c>
      <c r="B716" t="s">
        <v>1444</v>
      </c>
      <c r="F716" t="str">
        <f t="shared" si="11"/>
        <v>48169</v>
      </c>
      <c r="AE716">
        <v>1241710003103</v>
      </c>
      <c r="AG716" t="s">
        <v>4</v>
      </c>
      <c r="AH716" t="s">
        <v>870</v>
      </c>
      <c r="AI716" t="s">
        <v>192</v>
      </c>
      <c r="AJ716" t="s">
        <v>850</v>
      </c>
    </row>
    <row r="717" spans="1:36">
      <c r="A717" t="s">
        <v>2840</v>
      </c>
      <c r="B717" t="s">
        <v>1445</v>
      </c>
      <c r="F717" t="str">
        <f t="shared" si="11"/>
        <v>48170</v>
      </c>
      <c r="AE717">
        <v>1146710021454</v>
      </c>
      <c r="AG717" t="s">
        <v>4</v>
      </c>
      <c r="AH717" t="s">
        <v>864</v>
      </c>
      <c r="AI717" t="s">
        <v>6</v>
      </c>
      <c r="AJ717" t="s">
        <v>865</v>
      </c>
    </row>
    <row r="718" spans="1:36">
      <c r="A718" t="s">
        <v>2841</v>
      </c>
      <c r="B718" t="s">
        <v>2842</v>
      </c>
      <c r="F718" t="str">
        <f t="shared" si="11"/>
        <v>48292</v>
      </c>
      <c r="AE718">
        <v>1112710007455</v>
      </c>
      <c r="AG718" t="s">
        <v>4</v>
      </c>
    </row>
    <row r="719" spans="1:36">
      <c r="A719" t="s">
        <v>2843</v>
      </c>
      <c r="B719" t="s">
        <v>1446</v>
      </c>
      <c r="F719" t="str">
        <f t="shared" si="11"/>
        <v>48343</v>
      </c>
      <c r="AE719">
        <v>1101112102070</v>
      </c>
      <c r="AG719" t="s">
        <v>2</v>
      </c>
      <c r="AH719" t="s">
        <v>212</v>
      </c>
      <c r="AI719" t="s">
        <v>59</v>
      </c>
      <c r="AJ719" t="s">
        <v>173</v>
      </c>
    </row>
    <row r="720" spans="1:36">
      <c r="A720" t="s">
        <v>2844</v>
      </c>
      <c r="B720" t="s">
        <v>1447</v>
      </c>
      <c r="F720" t="str">
        <f t="shared" si="11"/>
        <v>48344</v>
      </c>
      <c r="AE720">
        <v>2052110016011</v>
      </c>
      <c r="AG720" t="s">
        <v>4</v>
      </c>
      <c r="AH720" t="s">
        <v>86</v>
      </c>
      <c r="AI720" t="s">
        <v>32</v>
      </c>
      <c r="AJ720" t="s">
        <v>32</v>
      </c>
    </row>
    <row r="721" spans="1:36">
      <c r="A721" t="s">
        <v>2845</v>
      </c>
      <c r="B721" t="s">
        <v>1448</v>
      </c>
      <c r="F721" t="str">
        <f t="shared" si="11"/>
        <v>48345</v>
      </c>
      <c r="AE721">
        <v>1101110023393</v>
      </c>
      <c r="AG721" t="s">
        <v>4</v>
      </c>
      <c r="AH721" t="s">
        <v>54</v>
      </c>
      <c r="AI721" t="s">
        <v>55</v>
      </c>
      <c r="AJ721" t="s">
        <v>56</v>
      </c>
    </row>
    <row r="722" spans="1:36">
      <c r="A722" t="s">
        <v>2846</v>
      </c>
      <c r="B722" t="s">
        <v>1449</v>
      </c>
      <c r="F722" t="str">
        <f t="shared" si="11"/>
        <v>48353</v>
      </c>
      <c r="AE722">
        <v>1650110004621</v>
      </c>
      <c r="AF722" t="s">
        <v>127</v>
      </c>
      <c r="AG722" t="s">
        <v>4</v>
      </c>
      <c r="AH722" t="s">
        <v>874</v>
      </c>
      <c r="AI722" t="s">
        <v>278</v>
      </c>
      <c r="AJ722" t="s">
        <v>875</v>
      </c>
    </row>
    <row r="723" spans="1:36">
      <c r="A723" t="s">
        <v>2847</v>
      </c>
      <c r="B723" t="s">
        <v>1450</v>
      </c>
      <c r="F723" t="str">
        <f t="shared" si="11"/>
        <v>48354</v>
      </c>
      <c r="AE723">
        <v>1614110008562</v>
      </c>
      <c r="AF723" t="s">
        <v>40</v>
      </c>
      <c r="AG723" t="s">
        <v>4</v>
      </c>
      <c r="AH723" t="s">
        <v>145</v>
      </c>
      <c r="AI723" t="s">
        <v>146</v>
      </c>
      <c r="AJ723" t="s">
        <v>147</v>
      </c>
    </row>
    <row r="724" spans="1:36">
      <c r="A724" t="s">
        <v>2848</v>
      </c>
      <c r="B724" t="s">
        <v>1451</v>
      </c>
      <c r="F724" t="str">
        <f t="shared" si="11"/>
        <v>48355</v>
      </c>
      <c r="AE724">
        <v>1101111617434</v>
      </c>
      <c r="AF724" t="s">
        <v>753</v>
      </c>
      <c r="AG724" t="s">
        <v>4</v>
      </c>
      <c r="AH724" t="s">
        <v>837</v>
      </c>
      <c r="AI724" t="s">
        <v>6</v>
      </c>
      <c r="AJ724" t="s">
        <v>838</v>
      </c>
    </row>
    <row r="725" spans="1:36">
      <c r="A725" t="s">
        <v>2849</v>
      </c>
      <c r="B725" t="s">
        <v>2850</v>
      </c>
      <c r="F725" t="str">
        <f t="shared" si="11"/>
        <v>48397</v>
      </c>
      <c r="AE725">
        <v>1201110014027</v>
      </c>
      <c r="AG725" t="s">
        <v>2</v>
      </c>
      <c r="AH725" t="s">
        <v>551</v>
      </c>
      <c r="AJ725" t="s">
        <v>552</v>
      </c>
    </row>
    <row r="726" spans="1:36">
      <c r="A726" t="s">
        <v>2851</v>
      </c>
      <c r="B726" t="s">
        <v>2852</v>
      </c>
      <c r="F726" t="str">
        <f t="shared" si="11"/>
        <v>48398</v>
      </c>
      <c r="AE726">
        <v>1101110249709</v>
      </c>
      <c r="AG726" t="s">
        <v>4</v>
      </c>
      <c r="AH726" t="s">
        <v>877</v>
      </c>
      <c r="AJ726" t="s">
        <v>878</v>
      </c>
    </row>
    <row r="727" spans="1:36">
      <c r="A727" t="s">
        <v>2853</v>
      </c>
      <c r="B727" t="s">
        <v>2854</v>
      </c>
      <c r="F727" t="str">
        <f t="shared" si="11"/>
        <v>48399</v>
      </c>
      <c r="AE727">
        <v>1101110587240</v>
      </c>
      <c r="AG727" t="s">
        <v>4</v>
      </c>
      <c r="AH727" t="s">
        <v>44</v>
      </c>
      <c r="AI727" t="s">
        <v>32</v>
      </c>
      <c r="AJ727" t="s">
        <v>45</v>
      </c>
    </row>
    <row r="728" spans="1:36">
      <c r="A728" t="s">
        <v>2855</v>
      </c>
      <c r="B728" t="s">
        <v>2856</v>
      </c>
      <c r="F728" t="str">
        <f t="shared" si="11"/>
        <v>48400</v>
      </c>
      <c r="AE728">
        <v>1101110945612</v>
      </c>
      <c r="AG728" t="s">
        <v>4</v>
      </c>
      <c r="AH728" t="s">
        <v>134</v>
      </c>
      <c r="AI728" t="s">
        <v>32</v>
      </c>
      <c r="AJ728" t="s">
        <v>135</v>
      </c>
    </row>
    <row r="729" spans="1:36">
      <c r="A729" t="s">
        <v>2857</v>
      </c>
      <c r="B729" t="s">
        <v>2858</v>
      </c>
      <c r="F729" t="str">
        <f t="shared" si="11"/>
        <v>48401</v>
      </c>
      <c r="AE729">
        <v>1150710000839</v>
      </c>
      <c r="AG729" t="s">
        <v>4</v>
      </c>
    </row>
    <row r="730" spans="1:36">
      <c r="A730" t="s">
        <v>2859</v>
      </c>
      <c r="B730" t="s">
        <v>2860</v>
      </c>
      <c r="F730" t="str">
        <f t="shared" si="11"/>
        <v>48402</v>
      </c>
      <c r="AE730">
        <v>1943110005470</v>
      </c>
      <c r="AG730" t="s">
        <v>4</v>
      </c>
      <c r="AH730" t="s">
        <v>879</v>
      </c>
      <c r="AJ730" t="s">
        <v>880</v>
      </c>
    </row>
    <row r="731" spans="1:36">
      <c r="A731" t="s">
        <v>2861</v>
      </c>
      <c r="B731" t="s">
        <v>2862</v>
      </c>
      <c r="F731" t="str">
        <f t="shared" si="11"/>
        <v>48403</v>
      </c>
      <c r="AE731">
        <v>1101110359300</v>
      </c>
      <c r="AF731" t="s">
        <v>107</v>
      </c>
      <c r="AG731" t="s">
        <v>4</v>
      </c>
      <c r="AH731" t="s">
        <v>881</v>
      </c>
      <c r="AI731" t="s">
        <v>857</v>
      </c>
      <c r="AJ731" t="s">
        <v>882</v>
      </c>
    </row>
    <row r="732" spans="1:36">
      <c r="A732" t="s">
        <v>2863</v>
      </c>
      <c r="B732" t="s">
        <v>2864</v>
      </c>
      <c r="F732" t="str">
        <f t="shared" si="11"/>
        <v>48404</v>
      </c>
      <c r="AE732">
        <v>1701710000450</v>
      </c>
      <c r="AG732" t="s">
        <v>4</v>
      </c>
      <c r="AH732" t="s">
        <v>883</v>
      </c>
      <c r="AI732" t="s">
        <v>555</v>
      </c>
      <c r="AJ732" t="s">
        <v>884</v>
      </c>
    </row>
    <row r="733" spans="1:36">
      <c r="A733" t="s">
        <v>2865</v>
      </c>
      <c r="B733" t="s">
        <v>2866</v>
      </c>
      <c r="F733" t="str">
        <f t="shared" si="11"/>
        <v>48405</v>
      </c>
      <c r="AE733">
        <v>1101110356140</v>
      </c>
      <c r="AF733" t="s">
        <v>43</v>
      </c>
      <c r="AG733" t="s">
        <v>4</v>
      </c>
      <c r="AH733" t="s">
        <v>885</v>
      </c>
      <c r="AJ733" t="s">
        <v>646</v>
      </c>
    </row>
    <row r="734" spans="1:36">
      <c r="A734" t="s">
        <v>2867</v>
      </c>
      <c r="B734" t="s">
        <v>2868</v>
      </c>
      <c r="F734" t="str">
        <f t="shared" si="11"/>
        <v>48406</v>
      </c>
      <c r="AE734">
        <v>1101111348237</v>
      </c>
      <c r="AG734" t="s">
        <v>4</v>
      </c>
      <c r="AH734" t="s">
        <v>837</v>
      </c>
      <c r="AI734" t="s">
        <v>6</v>
      </c>
      <c r="AJ734" t="s">
        <v>838</v>
      </c>
    </row>
    <row r="735" spans="1:36">
      <c r="A735" t="s">
        <v>2869</v>
      </c>
      <c r="B735" t="s">
        <v>2870</v>
      </c>
      <c r="F735" t="str">
        <f t="shared" si="11"/>
        <v>48407</v>
      </c>
      <c r="AE735">
        <v>1501110003222</v>
      </c>
      <c r="AG735" t="s">
        <v>4</v>
      </c>
      <c r="AH735" t="s">
        <v>886</v>
      </c>
      <c r="AI735" t="s">
        <v>857</v>
      </c>
      <c r="AJ735" t="s">
        <v>887</v>
      </c>
    </row>
    <row r="736" spans="1:36">
      <c r="A736" t="s">
        <v>2871</v>
      </c>
      <c r="B736" t="s">
        <v>2872</v>
      </c>
      <c r="F736" t="str">
        <f t="shared" si="11"/>
        <v>48408</v>
      </c>
      <c r="AE736">
        <v>1101110578231</v>
      </c>
      <c r="AF736" t="s">
        <v>93</v>
      </c>
      <c r="AG736" t="s">
        <v>4</v>
      </c>
      <c r="AH736" t="s">
        <v>499</v>
      </c>
      <c r="AI736" t="s">
        <v>192</v>
      </c>
      <c r="AJ736" t="s">
        <v>500</v>
      </c>
    </row>
    <row r="737" spans="1:36">
      <c r="A737" t="s">
        <v>2873</v>
      </c>
      <c r="B737" t="s">
        <v>2874</v>
      </c>
      <c r="F737" t="str">
        <f t="shared" si="11"/>
        <v>48409</v>
      </c>
      <c r="AE737">
        <v>1101111415408</v>
      </c>
      <c r="AG737" t="s">
        <v>4</v>
      </c>
      <c r="AH737" t="s">
        <v>889</v>
      </c>
      <c r="AJ737" t="s">
        <v>890</v>
      </c>
    </row>
    <row r="738" spans="1:36">
      <c r="A738" t="s">
        <v>2875</v>
      </c>
      <c r="B738" t="s">
        <v>2876</v>
      </c>
      <c r="F738" t="str">
        <f t="shared" si="11"/>
        <v>48410</v>
      </c>
      <c r="AE738">
        <v>1101110509342</v>
      </c>
      <c r="AG738" t="s">
        <v>4</v>
      </c>
      <c r="AH738" t="s">
        <v>729</v>
      </c>
      <c r="AI738" t="s">
        <v>6</v>
      </c>
      <c r="AJ738" t="s">
        <v>730</v>
      </c>
    </row>
    <row r="739" spans="1:36">
      <c r="A739" t="s">
        <v>2877</v>
      </c>
      <c r="B739" t="s">
        <v>2878</v>
      </c>
      <c r="F739" t="str">
        <f t="shared" si="11"/>
        <v>48411</v>
      </c>
      <c r="AE739">
        <v>1352710000021</v>
      </c>
      <c r="AG739" t="s">
        <v>4</v>
      </c>
      <c r="AH739" t="s">
        <v>893</v>
      </c>
      <c r="AI739" t="s">
        <v>517</v>
      </c>
      <c r="AJ739" t="s">
        <v>894</v>
      </c>
    </row>
    <row r="740" spans="1:36">
      <c r="A740" t="s">
        <v>2879</v>
      </c>
      <c r="B740" t="s">
        <v>2880</v>
      </c>
      <c r="F740" t="str">
        <f t="shared" si="11"/>
        <v>48412</v>
      </c>
      <c r="AE740">
        <v>1101111447021</v>
      </c>
      <c r="AF740" t="s">
        <v>582</v>
      </c>
      <c r="AG740" t="s">
        <v>4</v>
      </c>
      <c r="AH740" t="s">
        <v>895</v>
      </c>
      <c r="AJ740" t="s">
        <v>896</v>
      </c>
    </row>
    <row r="741" spans="1:36">
      <c r="A741" t="s">
        <v>2881</v>
      </c>
      <c r="B741" t="s">
        <v>2882</v>
      </c>
      <c r="F741" t="str">
        <f t="shared" si="11"/>
        <v>48413</v>
      </c>
      <c r="AE741">
        <v>1841710000024</v>
      </c>
      <c r="AG741" t="s">
        <v>4</v>
      </c>
      <c r="AH741" t="s">
        <v>883</v>
      </c>
      <c r="AI741" t="s">
        <v>555</v>
      </c>
      <c r="AJ741" t="s">
        <v>884</v>
      </c>
    </row>
    <row r="742" spans="1:36">
      <c r="A742" t="s">
        <v>2883</v>
      </c>
      <c r="B742" t="s">
        <v>2884</v>
      </c>
      <c r="F742" t="str">
        <f t="shared" si="11"/>
        <v>48414</v>
      </c>
      <c r="AE742">
        <v>1101110222557</v>
      </c>
      <c r="AG742" t="s">
        <v>4</v>
      </c>
      <c r="AH742" t="s">
        <v>898</v>
      </c>
      <c r="AJ742" t="s">
        <v>899</v>
      </c>
    </row>
    <row r="743" spans="1:36">
      <c r="A743" t="s">
        <v>2885</v>
      </c>
      <c r="B743" t="s">
        <v>2886</v>
      </c>
      <c r="F743" t="str">
        <f t="shared" si="11"/>
        <v>48452</v>
      </c>
      <c r="AE743">
        <v>2101110022435</v>
      </c>
      <c r="AG743" t="s">
        <v>4</v>
      </c>
      <c r="AH743" t="s">
        <v>100</v>
      </c>
      <c r="AI743" t="s">
        <v>101</v>
      </c>
      <c r="AJ743" t="s">
        <v>102</v>
      </c>
    </row>
    <row r="744" spans="1:36">
      <c r="A744" t="s">
        <v>2887</v>
      </c>
      <c r="B744" t="s">
        <v>2888</v>
      </c>
      <c r="F744" t="str">
        <f t="shared" si="11"/>
        <v>48455</v>
      </c>
      <c r="AE744">
        <v>1341110005814</v>
      </c>
      <c r="AG744" t="s">
        <v>4</v>
      </c>
      <c r="AH744" t="s">
        <v>900</v>
      </c>
      <c r="AI744" t="s">
        <v>150</v>
      </c>
      <c r="AJ744" t="s">
        <v>901</v>
      </c>
    </row>
    <row r="745" spans="1:36">
      <c r="A745" t="s">
        <v>2889</v>
      </c>
      <c r="B745" t="s">
        <v>2890</v>
      </c>
      <c r="F745" t="str">
        <f t="shared" si="11"/>
        <v>48456</v>
      </c>
      <c r="AG745" t="s">
        <v>4</v>
      </c>
    </row>
    <row r="746" spans="1:36">
      <c r="A746" t="s">
        <v>2891</v>
      </c>
      <c r="B746" t="s">
        <v>2892</v>
      </c>
      <c r="F746" t="str">
        <f t="shared" si="11"/>
        <v>48457</v>
      </c>
      <c r="AE746">
        <v>1645110002874</v>
      </c>
      <c r="AG746" t="s">
        <v>4</v>
      </c>
      <c r="AH746" t="s">
        <v>209</v>
      </c>
      <c r="AI746" t="s">
        <v>32</v>
      </c>
      <c r="AJ746" t="s">
        <v>52</v>
      </c>
    </row>
    <row r="747" spans="1:36">
      <c r="A747" t="s">
        <v>2893</v>
      </c>
      <c r="B747" t="s">
        <v>2894</v>
      </c>
      <c r="F747" t="str">
        <f t="shared" si="11"/>
        <v>48458</v>
      </c>
      <c r="AE747">
        <v>2001110000467</v>
      </c>
      <c r="AG747" t="s">
        <v>4</v>
      </c>
      <c r="AH747" t="s">
        <v>51</v>
      </c>
      <c r="AI747" t="s">
        <v>32</v>
      </c>
      <c r="AJ747" t="s">
        <v>52</v>
      </c>
    </row>
    <row r="748" spans="1:36">
      <c r="A748" t="s">
        <v>2895</v>
      </c>
      <c r="B748" t="s">
        <v>2896</v>
      </c>
      <c r="F748" t="str">
        <f t="shared" si="11"/>
        <v>48459</v>
      </c>
      <c r="AE748">
        <v>1101110365797</v>
      </c>
      <c r="AF748" t="s">
        <v>528</v>
      </c>
      <c r="AG748" t="s">
        <v>4</v>
      </c>
      <c r="AH748" t="s">
        <v>904</v>
      </c>
      <c r="AI748" t="s">
        <v>275</v>
      </c>
      <c r="AJ748" t="s">
        <v>905</v>
      </c>
    </row>
    <row r="749" spans="1:36">
      <c r="A749" t="s">
        <v>2897</v>
      </c>
      <c r="B749" t="s">
        <v>2898</v>
      </c>
      <c r="F749" t="str">
        <f t="shared" si="11"/>
        <v>48460</v>
      </c>
      <c r="AE749">
        <v>2301110058436</v>
      </c>
      <c r="AF749" t="s">
        <v>68</v>
      </c>
      <c r="AG749" t="s">
        <v>4</v>
      </c>
      <c r="AH749" t="s">
        <v>906</v>
      </c>
      <c r="AI749" t="s">
        <v>124</v>
      </c>
      <c r="AJ749" t="s">
        <v>548</v>
      </c>
    </row>
    <row r="750" spans="1:36">
      <c r="A750" t="s">
        <v>2899</v>
      </c>
      <c r="B750" t="s">
        <v>2900</v>
      </c>
      <c r="F750" t="str">
        <f t="shared" si="11"/>
        <v>48461</v>
      </c>
      <c r="AE750">
        <v>1641710000078</v>
      </c>
      <c r="AG750" t="s">
        <v>4</v>
      </c>
    </row>
    <row r="751" spans="1:36">
      <c r="A751" t="s">
        <v>2901</v>
      </c>
      <c r="B751" t="s">
        <v>2902</v>
      </c>
      <c r="F751" t="str">
        <f t="shared" si="11"/>
        <v>48462</v>
      </c>
      <c r="AE751">
        <v>1101110186638</v>
      </c>
      <c r="AG751" t="s">
        <v>2</v>
      </c>
      <c r="AH751" t="s">
        <v>909</v>
      </c>
      <c r="AI751" t="s">
        <v>76</v>
      </c>
      <c r="AJ751" t="s">
        <v>910</v>
      </c>
    </row>
    <row r="752" spans="1:36">
      <c r="A752" t="s">
        <v>2903</v>
      </c>
      <c r="B752" t="s">
        <v>2904</v>
      </c>
      <c r="F752" t="str">
        <f t="shared" si="11"/>
        <v>48463</v>
      </c>
      <c r="AE752">
        <v>1101111209827</v>
      </c>
      <c r="AG752" t="s">
        <v>4</v>
      </c>
      <c r="AH752" t="s">
        <v>451</v>
      </c>
      <c r="AI752" t="s">
        <v>55</v>
      </c>
      <c r="AJ752" t="s">
        <v>452</v>
      </c>
    </row>
    <row r="753" spans="1:36">
      <c r="A753" t="s">
        <v>2905</v>
      </c>
      <c r="B753" t="s">
        <v>2906</v>
      </c>
      <c r="F753" t="str">
        <f t="shared" si="11"/>
        <v>48464</v>
      </c>
      <c r="AE753">
        <v>1111710004734</v>
      </c>
      <c r="AG753" t="s">
        <v>4</v>
      </c>
    </row>
    <row r="754" spans="1:36">
      <c r="A754" t="s">
        <v>2907</v>
      </c>
      <c r="B754" t="s">
        <v>2908</v>
      </c>
      <c r="F754" t="str">
        <f t="shared" si="11"/>
        <v>48465</v>
      </c>
      <c r="AG754" t="s">
        <v>4</v>
      </c>
    </row>
    <row r="755" spans="1:36">
      <c r="A755" t="s">
        <v>2909</v>
      </c>
      <c r="B755" t="s">
        <v>2910</v>
      </c>
      <c r="F755" t="str">
        <f t="shared" si="11"/>
        <v>48466</v>
      </c>
      <c r="AE755">
        <v>1101111725930</v>
      </c>
      <c r="AF755" t="s">
        <v>53</v>
      </c>
      <c r="AG755" t="s">
        <v>4</v>
      </c>
      <c r="AH755" t="s">
        <v>128</v>
      </c>
      <c r="AI755" t="s">
        <v>59</v>
      </c>
      <c r="AJ755" t="s">
        <v>129</v>
      </c>
    </row>
    <row r="756" spans="1:36">
      <c r="A756" t="s">
        <v>2911</v>
      </c>
      <c r="B756" t="s">
        <v>2912</v>
      </c>
      <c r="F756" t="str">
        <f t="shared" si="11"/>
        <v>48467</v>
      </c>
      <c r="AE756">
        <v>1101110186307</v>
      </c>
      <c r="AG756" t="s">
        <v>2</v>
      </c>
      <c r="AH756" t="s">
        <v>654</v>
      </c>
      <c r="AI756" t="s">
        <v>177</v>
      </c>
      <c r="AJ756" t="s">
        <v>655</v>
      </c>
    </row>
    <row r="757" spans="1:36">
      <c r="A757" t="s">
        <v>2913</v>
      </c>
      <c r="B757" t="s">
        <v>2914</v>
      </c>
      <c r="F757" t="str">
        <f t="shared" si="11"/>
        <v>48468</v>
      </c>
      <c r="AE757">
        <v>1313110030042</v>
      </c>
      <c r="AF757" t="s">
        <v>539</v>
      </c>
      <c r="AG757" t="s">
        <v>2</v>
      </c>
      <c r="AH757" t="s">
        <v>15</v>
      </c>
      <c r="AI757" t="s">
        <v>16</v>
      </c>
      <c r="AJ757" t="s">
        <v>17</v>
      </c>
    </row>
    <row r="758" spans="1:36">
      <c r="A758" t="s">
        <v>2915</v>
      </c>
      <c r="B758" t="s">
        <v>1452</v>
      </c>
      <c r="F758" t="str">
        <f t="shared" si="11"/>
        <v>48479</v>
      </c>
      <c r="AE758">
        <v>1301710000052</v>
      </c>
      <c r="AG758" t="s">
        <v>4</v>
      </c>
      <c r="AH758" t="s">
        <v>883</v>
      </c>
      <c r="AI758" t="s">
        <v>555</v>
      </c>
      <c r="AJ758" t="s">
        <v>884</v>
      </c>
    </row>
    <row r="759" spans="1:36">
      <c r="A759" t="s">
        <v>2916</v>
      </c>
      <c r="B759" t="s">
        <v>1453</v>
      </c>
      <c r="F759" t="str">
        <f t="shared" si="11"/>
        <v>48480</v>
      </c>
      <c r="AE759">
        <v>1101110330962</v>
      </c>
      <c r="AG759" t="s">
        <v>4</v>
      </c>
      <c r="AH759" t="s">
        <v>462</v>
      </c>
      <c r="AI759" t="s">
        <v>177</v>
      </c>
      <c r="AJ759" t="s">
        <v>463</v>
      </c>
    </row>
    <row r="760" spans="1:36">
      <c r="A760" t="s">
        <v>2917</v>
      </c>
      <c r="B760" t="s">
        <v>1454</v>
      </c>
      <c r="F760" t="str">
        <f t="shared" si="11"/>
        <v>48481</v>
      </c>
      <c r="AE760">
        <v>1101111827570</v>
      </c>
      <c r="AG760" t="s">
        <v>2</v>
      </c>
      <c r="AH760" t="s">
        <v>507</v>
      </c>
      <c r="AI760" t="s">
        <v>12</v>
      </c>
      <c r="AJ760" t="s">
        <v>508</v>
      </c>
    </row>
    <row r="761" spans="1:36">
      <c r="A761" t="s">
        <v>2918</v>
      </c>
      <c r="B761" t="s">
        <v>1455</v>
      </c>
      <c r="F761" t="str">
        <f t="shared" si="11"/>
        <v>48543</v>
      </c>
      <c r="AE761">
        <v>1101111829576</v>
      </c>
      <c r="AF761" t="s">
        <v>238</v>
      </c>
      <c r="AG761" t="s">
        <v>4</v>
      </c>
      <c r="AH761" t="s">
        <v>874</v>
      </c>
      <c r="AI761" t="s">
        <v>278</v>
      </c>
      <c r="AJ761" t="s">
        <v>875</v>
      </c>
    </row>
    <row r="762" spans="1:36">
      <c r="A762" t="s">
        <v>2919</v>
      </c>
      <c r="B762" t="s">
        <v>1456</v>
      </c>
      <c r="F762" t="str">
        <f t="shared" si="11"/>
        <v>48544</v>
      </c>
      <c r="AE762">
        <v>1101111839096</v>
      </c>
      <c r="AG762" t="s">
        <v>4</v>
      </c>
      <c r="AH762" t="s">
        <v>359</v>
      </c>
      <c r="AI762" t="s">
        <v>59</v>
      </c>
      <c r="AJ762" t="s">
        <v>360</v>
      </c>
    </row>
    <row r="763" spans="1:36">
      <c r="A763" t="s">
        <v>2920</v>
      </c>
      <c r="B763" t="s">
        <v>1457</v>
      </c>
      <c r="F763" t="str">
        <f t="shared" si="11"/>
        <v>48545</v>
      </c>
      <c r="AE763">
        <v>1760110020640</v>
      </c>
      <c r="AF763" t="s">
        <v>53</v>
      </c>
      <c r="AG763" t="s">
        <v>4</v>
      </c>
      <c r="AH763" t="s">
        <v>913</v>
      </c>
      <c r="AI763" t="s">
        <v>914</v>
      </c>
      <c r="AJ763" t="s">
        <v>915</v>
      </c>
    </row>
    <row r="764" spans="1:36">
      <c r="A764" t="s">
        <v>2921</v>
      </c>
      <c r="B764" t="s">
        <v>1458</v>
      </c>
      <c r="F764" t="str">
        <f t="shared" si="11"/>
        <v>48552</v>
      </c>
      <c r="AE764">
        <v>1146710001753</v>
      </c>
      <c r="AG764" t="s">
        <v>4</v>
      </c>
    </row>
    <row r="765" spans="1:36">
      <c r="A765" t="s">
        <v>2922</v>
      </c>
      <c r="B765" t="s">
        <v>1459</v>
      </c>
      <c r="F765" t="str">
        <f t="shared" si="11"/>
        <v>48562</v>
      </c>
      <c r="AE765">
        <v>1101111862592</v>
      </c>
      <c r="AG765" t="s">
        <v>4</v>
      </c>
      <c r="AH765" t="s">
        <v>769</v>
      </c>
      <c r="AI765" t="s">
        <v>610</v>
      </c>
      <c r="AJ765" t="s">
        <v>770</v>
      </c>
    </row>
    <row r="766" spans="1:36">
      <c r="A766" t="s">
        <v>2923</v>
      </c>
      <c r="B766" t="s">
        <v>1460</v>
      </c>
      <c r="F766" t="str">
        <f t="shared" si="11"/>
        <v>48563</v>
      </c>
      <c r="AE766">
        <v>1101110877394</v>
      </c>
      <c r="AG766" t="s">
        <v>4</v>
      </c>
      <c r="AH766" t="s">
        <v>917</v>
      </c>
      <c r="AI766" t="s">
        <v>568</v>
      </c>
      <c r="AJ766" t="s">
        <v>918</v>
      </c>
    </row>
    <row r="767" spans="1:36">
      <c r="A767" t="s">
        <v>2924</v>
      </c>
      <c r="B767" t="s">
        <v>1461</v>
      </c>
      <c r="F767" t="str">
        <f t="shared" si="11"/>
        <v>48564</v>
      </c>
      <c r="AE767">
        <v>1101111867948</v>
      </c>
      <c r="AF767" t="s">
        <v>671</v>
      </c>
      <c r="AG767" t="s">
        <v>2</v>
      </c>
      <c r="AH767" t="s">
        <v>114</v>
      </c>
      <c r="AI767" t="s">
        <v>63</v>
      </c>
      <c r="AJ767" t="s">
        <v>115</v>
      </c>
    </row>
    <row r="768" spans="1:36">
      <c r="A768" t="s">
        <v>2925</v>
      </c>
      <c r="B768" t="s">
        <v>1462</v>
      </c>
      <c r="F768" t="str">
        <f t="shared" si="11"/>
        <v>48655</v>
      </c>
      <c r="AE768">
        <v>1943110004498</v>
      </c>
      <c r="AG768" t="s">
        <v>2</v>
      </c>
      <c r="AH768" t="s">
        <v>8</v>
      </c>
      <c r="AJ768" t="s">
        <v>9</v>
      </c>
    </row>
    <row r="769" spans="1:36">
      <c r="A769" t="s">
        <v>2926</v>
      </c>
      <c r="B769" t="s">
        <v>1463</v>
      </c>
      <c r="F769" t="str">
        <f t="shared" si="11"/>
        <v>48656</v>
      </c>
      <c r="AE769">
        <v>2001110076179</v>
      </c>
      <c r="AF769" t="s">
        <v>370</v>
      </c>
      <c r="AG769" t="s">
        <v>4</v>
      </c>
      <c r="AH769" t="s">
        <v>625</v>
      </c>
      <c r="AI769" t="s">
        <v>6</v>
      </c>
      <c r="AJ769" t="s">
        <v>626</v>
      </c>
    </row>
    <row r="770" spans="1:36">
      <c r="A770" t="s">
        <v>2927</v>
      </c>
      <c r="B770" t="s">
        <v>1464</v>
      </c>
      <c r="F770" t="str">
        <f t="shared" si="11"/>
        <v>48657</v>
      </c>
      <c r="AE770">
        <v>1101220001974</v>
      </c>
      <c r="AG770" t="s">
        <v>4</v>
      </c>
    </row>
    <row r="771" spans="1:36">
      <c r="A771" t="s">
        <v>2928</v>
      </c>
      <c r="B771" t="s">
        <v>1465</v>
      </c>
      <c r="F771" t="str">
        <f t="shared" si="11"/>
        <v>48755</v>
      </c>
      <c r="AE771">
        <v>1101112363581</v>
      </c>
      <c r="AG771" t="s">
        <v>4</v>
      </c>
      <c r="AH771" t="s">
        <v>847</v>
      </c>
      <c r="AI771" t="s">
        <v>55</v>
      </c>
      <c r="AJ771" t="s">
        <v>848</v>
      </c>
    </row>
    <row r="772" spans="1:36">
      <c r="A772" t="s">
        <v>2929</v>
      </c>
      <c r="B772" t="s">
        <v>1466</v>
      </c>
      <c r="F772" t="str">
        <f t="shared" si="11"/>
        <v>48756</v>
      </c>
      <c r="AE772">
        <v>1341110074744</v>
      </c>
      <c r="AF772" t="s">
        <v>127</v>
      </c>
      <c r="AG772" t="s">
        <v>4</v>
      </c>
      <c r="AH772" t="s">
        <v>559</v>
      </c>
      <c r="AI772" t="s">
        <v>278</v>
      </c>
      <c r="AJ772" t="s">
        <v>560</v>
      </c>
    </row>
    <row r="773" spans="1:36">
      <c r="A773" t="s">
        <v>2930</v>
      </c>
      <c r="B773" t="s">
        <v>1467</v>
      </c>
      <c r="F773" t="str">
        <f t="shared" si="11"/>
        <v>48757</v>
      </c>
      <c r="AE773">
        <v>1101111342289</v>
      </c>
      <c r="AG773" t="s">
        <v>2</v>
      </c>
      <c r="AH773" t="s">
        <v>739</v>
      </c>
      <c r="AJ773" t="s">
        <v>467</v>
      </c>
    </row>
    <row r="774" spans="1:36">
      <c r="A774" t="s">
        <v>2931</v>
      </c>
      <c r="B774" t="s">
        <v>2932</v>
      </c>
      <c r="F774" t="str">
        <f t="shared" si="11"/>
        <v>48868</v>
      </c>
      <c r="AE774">
        <v>1344110015057</v>
      </c>
      <c r="AG774" t="s">
        <v>4</v>
      </c>
      <c r="AH774" t="s">
        <v>578</v>
      </c>
      <c r="AJ774" t="s">
        <v>426</v>
      </c>
    </row>
    <row r="775" spans="1:36">
      <c r="A775" t="s">
        <v>2933</v>
      </c>
      <c r="B775" t="s">
        <v>2934</v>
      </c>
      <c r="F775" t="str">
        <f t="shared" si="11"/>
        <v>48869</v>
      </c>
      <c r="AE775">
        <v>1101111819486</v>
      </c>
      <c r="AG775" t="s">
        <v>4</v>
      </c>
      <c r="AH775" t="s">
        <v>922</v>
      </c>
      <c r="AJ775" t="s">
        <v>923</v>
      </c>
    </row>
    <row r="776" spans="1:36">
      <c r="A776" t="s">
        <v>2935</v>
      </c>
      <c r="B776" t="s">
        <v>1468</v>
      </c>
      <c r="F776" t="str">
        <f t="shared" si="11"/>
        <v>48878</v>
      </c>
      <c r="AE776">
        <v>1101110692429</v>
      </c>
      <c r="AG776" t="s">
        <v>4</v>
      </c>
      <c r="AH776" t="s">
        <v>245</v>
      </c>
      <c r="AJ776" t="s">
        <v>84</v>
      </c>
    </row>
    <row r="777" spans="1:36">
      <c r="A777" t="s">
        <v>2936</v>
      </c>
      <c r="B777" t="s">
        <v>1469</v>
      </c>
      <c r="F777" t="str">
        <f t="shared" si="11"/>
        <v>48879</v>
      </c>
      <c r="AE777">
        <v>1101110211641</v>
      </c>
      <c r="AG777" t="s">
        <v>4</v>
      </c>
      <c r="AH777" t="s">
        <v>924</v>
      </c>
      <c r="AJ777" t="s">
        <v>925</v>
      </c>
    </row>
    <row r="778" spans="1:36">
      <c r="A778" t="s">
        <v>2937</v>
      </c>
      <c r="B778" t="s">
        <v>1470</v>
      </c>
      <c r="F778" t="str">
        <f t="shared" ref="F778:F841" si="12">CHOOSE($C$1, A778, B778)</f>
        <v>48880</v>
      </c>
      <c r="AE778">
        <v>1501110006185</v>
      </c>
      <c r="AG778" t="s">
        <v>2</v>
      </c>
      <c r="AH778" t="s">
        <v>926</v>
      </c>
      <c r="AJ778" t="s">
        <v>927</v>
      </c>
    </row>
    <row r="779" spans="1:36">
      <c r="A779" t="s">
        <v>2938</v>
      </c>
      <c r="B779" t="s">
        <v>1471</v>
      </c>
      <c r="F779" t="str">
        <f t="shared" si="12"/>
        <v>48963</v>
      </c>
      <c r="AE779">
        <v>1101112540270</v>
      </c>
      <c r="AG779" t="s">
        <v>4</v>
      </c>
      <c r="AH779" t="s">
        <v>791</v>
      </c>
      <c r="AI779" t="s">
        <v>55</v>
      </c>
      <c r="AJ779" t="s">
        <v>635</v>
      </c>
    </row>
    <row r="780" spans="1:36">
      <c r="A780" t="s">
        <v>2939</v>
      </c>
      <c r="B780" t="s">
        <v>1472</v>
      </c>
      <c r="F780" t="str">
        <f t="shared" si="12"/>
        <v>48964</v>
      </c>
      <c r="AE780">
        <v>1201110075243</v>
      </c>
      <c r="AG780" t="s">
        <v>4</v>
      </c>
      <c r="AH780" t="s">
        <v>338</v>
      </c>
      <c r="AJ780" t="s">
        <v>339</v>
      </c>
    </row>
    <row r="781" spans="1:36">
      <c r="A781" t="s">
        <v>2940</v>
      </c>
      <c r="B781" t="s">
        <v>1473</v>
      </c>
      <c r="F781" t="str">
        <f t="shared" si="12"/>
        <v>48965</v>
      </c>
      <c r="AE781">
        <v>1101112072314</v>
      </c>
      <c r="AG781" t="s">
        <v>4</v>
      </c>
      <c r="AH781" t="s">
        <v>451</v>
      </c>
      <c r="AI781" t="s">
        <v>55</v>
      </c>
      <c r="AJ781" t="s">
        <v>452</v>
      </c>
    </row>
    <row r="782" spans="1:36">
      <c r="A782" t="s">
        <v>2941</v>
      </c>
      <c r="B782" t="s">
        <v>1474</v>
      </c>
      <c r="F782" t="str">
        <f t="shared" si="12"/>
        <v>49181</v>
      </c>
      <c r="AE782">
        <v>1101111821423</v>
      </c>
      <c r="AG782" t="s">
        <v>4</v>
      </c>
      <c r="AH782" t="s">
        <v>114</v>
      </c>
      <c r="AI782" t="s">
        <v>63</v>
      </c>
      <c r="AJ782" t="s">
        <v>115</v>
      </c>
    </row>
    <row r="783" spans="1:36">
      <c r="A783" t="s">
        <v>2942</v>
      </c>
      <c r="B783" t="s">
        <v>1475</v>
      </c>
      <c r="F783" t="str">
        <f t="shared" si="12"/>
        <v>49182</v>
      </c>
      <c r="AE783">
        <v>1101111911274</v>
      </c>
      <c r="AG783" t="s">
        <v>4</v>
      </c>
      <c r="AH783" t="s">
        <v>114</v>
      </c>
      <c r="AI783" t="s">
        <v>63</v>
      </c>
      <c r="AJ783" t="s">
        <v>115</v>
      </c>
    </row>
    <row r="784" spans="1:36">
      <c r="A784" t="s">
        <v>2943</v>
      </c>
      <c r="B784" t="s">
        <v>1476</v>
      </c>
      <c r="F784" t="str">
        <f t="shared" si="12"/>
        <v>49183</v>
      </c>
      <c r="AE784">
        <v>1101111492513</v>
      </c>
      <c r="AG784" t="s">
        <v>4</v>
      </c>
      <c r="AH784" t="s">
        <v>837</v>
      </c>
      <c r="AI784" t="s">
        <v>6</v>
      </c>
      <c r="AJ784" t="s">
        <v>838</v>
      </c>
    </row>
    <row r="785" spans="1:36">
      <c r="A785" t="s">
        <v>2944</v>
      </c>
      <c r="B785" t="s">
        <v>1477</v>
      </c>
      <c r="F785" t="str">
        <f t="shared" si="12"/>
        <v>49324</v>
      </c>
      <c r="AE785">
        <v>1101111293739</v>
      </c>
      <c r="AG785" t="s">
        <v>4</v>
      </c>
      <c r="AH785" t="s">
        <v>283</v>
      </c>
      <c r="AJ785" t="s">
        <v>284</v>
      </c>
    </row>
    <row r="786" spans="1:36">
      <c r="A786" t="s">
        <v>2945</v>
      </c>
      <c r="B786" t="s">
        <v>1478</v>
      </c>
      <c r="F786" t="str">
        <f t="shared" si="12"/>
        <v>49325</v>
      </c>
      <c r="AE786">
        <v>1301110034487</v>
      </c>
      <c r="AF786" t="s">
        <v>119</v>
      </c>
      <c r="AG786" t="s">
        <v>4</v>
      </c>
      <c r="AH786" t="s">
        <v>120</v>
      </c>
      <c r="AJ786" t="s">
        <v>121</v>
      </c>
    </row>
    <row r="787" spans="1:36">
      <c r="A787" t="s">
        <v>2946</v>
      </c>
      <c r="B787" t="s">
        <v>1479</v>
      </c>
      <c r="F787" t="str">
        <f t="shared" si="12"/>
        <v>49326</v>
      </c>
      <c r="AE787">
        <v>1201110003228</v>
      </c>
      <c r="AG787" t="s">
        <v>4</v>
      </c>
      <c r="AH787" t="s">
        <v>929</v>
      </c>
      <c r="AI787" t="s">
        <v>177</v>
      </c>
      <c r="AJ787" t="s">
        <v>930</v>
      </c>
    </row>
    <row r="788" spans="1:36">
      <c r="A788" t="s">
        <v>2947</v>
      </c>
      <c r="B788" t="s">
        <v>2948</v>
      </c>
      <c r="F788" t="str">
        <f t="shared" si="12"/>
        <v>49358</v>
      </c>
      <c r="AE788">
        <v>2062110001243</v>
      </c>
      <c r="AG788" t="s">
        <v>4</v>
      </c>
      <c r="AH788" t="s">
        <v>931</v>
      </c>
      <c r="AI788" t="s">
        <v>580</v>
      </c>
      <c r="AJ788" t="s">
        <v>932</v>
      </c>
    </row>
    <row r="789" spans="1:36">
      <c r="A789" t="s">
        <v>2949</v>
      </c>
      <c r="B789" t="s">
        <v>2950</v>
      </c>
      <c r="F789" t="str">
        <f t="shared" si="12"/>
        <v>49418</v>
      </c>
      <c r="AE789">
        <v>1801110183276</v>
      </c>
      <c r="AG789" t="s">
        <v>4</v>
      </c>
      <c r="AH789" t="s">
        <v>933</v>
      </c>
      <c r="AI789" t="s">
        <v>32</v>
      </c>
      <c r="AJ789" t="s">
        <v>546</v>
      </c>
    </row>
    <row r="790" spans="1:36">
      <c r="A790" t="s">
        <v>2951</v>
      </c>
      <c r="B790" t="s">
        <v>1480</v>
      </c>
      <c r="F790" t="str">
        <f t="shared" si="12"/>
        <v>49456</v>
      </c>
      <c r="AE790">
        <v>1341110030316</v>
      </c>
      <c r="AG790" t="s">
        <v>4</v>
      </c>
      <c r="AH790" t="s">
        <v>934</v>
      </c>
      <c r="AI790" t="s">
        <v>914</v>
      </c>
      <c r="AJ790" t="s">
        <v>935</v>
      </c>
    </row>
    <row r="791" spans="1:36">
      <c r="A791" t="s">
        <v>2952</v>
      </c>
      <c r="B791" t="s">
        <v>1481</v>
      </c>
      <c r="F791" t="str">
        <f t="shared" si="12"/>
        <v>49457</v>
      </c>
      <c r="AE791">
        <v>1301110035477</v>
      </c>
      <c r="AG791" t="s">
        <v>4</v>
      </c>
      <c r="AH791" t="s">
        <v>460</v>
      </c>
      <c r="AJ791" t="s">
        <v>461</v>
      </c>
    </row>
    <row r="792" spans="1:36">
      <c r="A792" t="s">
        <v>2953</v>
      </c>
      <c r="B792" t="s">
        <v>1482</v>
      </c>
      <c r="F792" t="str">
        <f t="shared" si="12"/>
        <v>49458</v>
      </c>
      <c r="AE792">
        <v>1761710000149</v>
      </c>
      <c r="AG792" t="s">
        <v>4</v>
      </c>
      <c r="AH792" t="s">
        <v>936</v>
      </c>
      <c r="AI792" t="s">
        <v>26</v>
      </c>
      <c r="AJ792" t="s">
        <v>937</v>
      </c>
    </row>
    <row r="793" spans="1:36">
      <c r="A793" t="s">
        <v>2954</v>
      </c>
      <c r="B793" t="s">
        <v>2955</v>
      </c>
      <c r="F793" t="str">
        <f t="shared" si="12"/>
        <v>49531</v>
      </c>
      <c r="AE793">
        <v>1101111305964</v>
      </c>
      <c r="AG793" t="s">
        <v>4</v>
      </c>
      <c r="AH793" t="s">
        <v>462</v>
      </c>
      <c r="AI793" t="s">
        <v>177</v>
      </c>
      <c r="AJ793" t="s">
        <v>463</v>
      </c>
    </row>
    <row r="794" spans="1:36">
      <c r="A794" t="s">
        <v>2956</v>
      </c>
      <c r="B794" t="s">
        <v>2957</v>
      </c>
      <c r="F794" t="str">
        <f t="shared" si="12"/>
        <v>49532</v>
      </c>
      <c r="AE794">
        <v>1101111861388</v>
      </c>
      <c r="AG794" t="s">
        <v>4</v>
      </c>
      <c r="AH794" t="s">
        <v>621</v>
      </c>
      <c r="AI794" t="s">
        <v>55</v>
      </c>
      <c r="AJ794" t="s">
        <v>622</v>
      </c>
    </row>
    <row r="795" spans="1:36">
      <c r="A795" t="s">
        <v>2958</v>
      </c>
      <c r="B795" t="s">
        <v>2959</v>
      </c>
      <c r="F795" t="str">
        <f t="shared" si="12"/>
        <v>49533</v>
      </c>
      <c r="AE795">
        <v>1615110014145</v>
      </c>
      <c r="AG795" t="s">
        <v>4</v>
      </c>
      <c r="AH795" t="s">
        <v>341</v>
      </c>
      <c r="AJ795" t="s">
        <v>342</v>
      </c>
    </row>
    <row r="796" spans="1:36">
      <c r="A796" t="s">
        <v>2960</v>
      </c>
      <c r="B796" t="s">
        <v>2961</v>
      </c>
      <c r="F796" t="str">
        <f t="shared" si="12"/>
        <v>49728</v>
      </c>
      <c r="AE796">
        <v>2041710000312</v>
      </c>
      <c r="AG796" t="s">
        <v>4</v>
      </c>
      <c r="AH796" t="s">
        <v>209</v>
      </c>
      <c r="AI796" t="s">
        <v>32</v>
      </c>
      <c r="AJ796" t="s">
        <v>52</v>
      </c>
    </row>
    <row r="797" spans="1:36">
      <c r="A797" t="s">
        <v>2962</v>
      </c>
      <c r="B797" t="s">
        <v>2963</v>
      </c>
      <c r="F797" t="str">
        <f t="shared" si="12"/>
        <v>49731</v>
      </c>
      <c r="AE797">
        <v>1101111632979</v>
      </c>
      <c r="AF797" t="s">
        <v>74</v>
      </c>
      <c r="AG797" t="s">
        <v>4</v>
      </c>
      <c r="AH797" t="s">
        <v>874</v>
      </c>
      <c r="AI797" t="s">
        <v>278</v>
      </c>
      <c r="AJ797" t="s">
        <v>875</v>
      </c>
    </row>
    <row r="798" spans="1:36">
      <c r="A798" t="s">
        <v>2964</v>
      </c>
      <c r="B798" t="s">
        <v>2965</v>
      </c>
      <c r="F798" t="str">
        <f t="shared" si="12"/>
        <v>49794</v>
      </c>
      <c r="AE798">
        <v>1101111022162</v>
      </c>
      <c r="AG798" t="s">
        <v>4</v>
      </c>
      <c r="AH798" t="s">
        <v>940</v>
      </c>
      <c r="AI798" t="s">
        <v>517</v>
      </c>
      <c r="AJ798" t="s">
        <v>941</v>
      </c>
    </row>
    <row r="799" spans="1:36">
      <c r="A799" t="s">
        <v>2966</v>
      </c>
      <c r="B799" t="s">
        <v>2967</v>
      </c>
      <c r="F799" t="str">
        <f t="shared" si="12"/>
        <v>49795</v>
      </c>
      <c r="AE799">
        <v>1101112208000</v>
      </c>
      <c r="AF799" t="s">
        <v>107</v>
      </c>
      <c r="AG799" t="s">
        <v>2</v>
      </c>
      <c r="AH799" t="s">
        <v>942</v>
      </c>
      <c r="AI799" t="s">
        <v>59</v>
      </c>
      <c r="AJ799" t="s">
        <v>201</v>
      </c>
    </row>
    <row r="800" spans="1:36">
      <c r="A800" t="s">
        <v>2968</v>
      </c>
      <c r="B800" t="s">
        <v>2969</v>
      </c>
      <c r="F800" t="str">
        <f t="shared" si="12"/>
        <v>49796</v>
      </c>
      <c r="AE800">
        <v>1101112101816</v>
      </c>
      <c r="AF800" t="s">
        <v>230</v>
      </c>
      <c r="AG800" t="s">
        <v>2</v>
      </c>
      <c r="AH800" t="s">
        <v>944</v>
      </c>
      <c r="AI800" t="s">
        <v>150</v>
      </c>
      <c r="AJ800" t="s">
        <v>945</v>
      </c>
    </row>
    <row r="801" spans="1:36">
      <c r="A801" t="s">
        <v>2970</v>
      </c>
      <c r="B801" t="s">
        <v>2971</v>
      </c>
      <c r="F801" t="str">
        <f t="shared" si="12"/>
        <v>49800</v>
      </c>
      <c r="AE801">
        <v>1101112207995</v>
      </c>
      <c r="AF801" t="s">
        <v>107</v>
      </c>
      <c r="AG801" t="s">
        <v>2</v>
      </c>
      <c r="AH801" t="s">
        <v>947</v>
      </c>
      <c r="AJ801" t="s">
        <v>129</v>
      </c>
    </row>
    <row r="802" spans="1:36">
      <c r="A802" t="s">
        <v>2972</v>
      </c>
      <c r="B802" t="s">
        <v>2973</v>
      </c>
      <c r="F802" t="str">
        <f t="shared" si="12"/>
        <v>49870</v>
      </c>
      <c r="AE802">
        <v>1101111462889</v>
      </c>
      <c r="AG802" t="s">
        <v>4</v>
      </c>
      <c r="AH802" t="s">
        <v>338</v>
      </c>
      <c r="AJ802" t="s">
        <v>339</v>
      </c>
    </row>
    <row r="803" spans="1:36">
      <c r="A803" t="s">
        <v>2974</v>
      </c>
      <c r="B803" t="s">
        <v>2975</v>
      </c>
      <c r="F803" t="str">
        <f t="shared" si="12"/>
        <v>49871</v>
      </c>
      <c r="AG803" t="s">
        <v>4</v>
      </c>
    </row>
    <row r="804" spans="1:36">
      <c r="A804" t="s">
        <v>2976</v>
      </c>
      <c r="B804" t="s">
        <v>2977</v>
      </c>
      <c r="F804" t="str">
        <f t="shared" si="12"/>
        <v>49872</v>
      </c>
      <c r="AE804">
        <v>1101111564015</v>
      </c>
      <c r="AG804" t="s">
        <v>4</v>
      </c>
      <c r="AH804" t="s">
        <v>341</v>
      </c>
      <c r="AJ804" t="s">
        <v>342</v>
      </c>
    </row>
    <row r="805" spans="1:36">
      <c r="A805" t="s">
        <v>2978</v>
      </c>
      <c r="B805" t="s">
        <v>2979</v>
      </c>
      <c r="F805" t="str">
        <f t="shared" si="12"/>
        <v>49876</v>
      </c>
      <c r="AE805">
        <v>1244110013251</v>
      </c>
      <c r="AG805" t="s">
        <v>4</v>
      </c>
      <c r="AH805" t="s">
        <v>338</v>
      </c>
      <c r="AJ805" t="s">
        <v>339</v>
      </c>
    </row>
    <row r="806" spans="1:36">
      <c r="A806" t="s">
        <v>2980</v>
      </c>
      <c r="B806" t="s">
        <v>2981</v>
      </c>
      <c r="F806" t="str">
        <f t="shared" si="12"/>
        <v>49877</v>
      </c>
      <c r="AE806">
        <v>1101112644725</v>
      </c>
      <c r="AF806" t="s">
        <v>329</v>
      </c>
      <c r="AG806" t="s">
        <v>2</v>
      </c>
      <c r="AH806" t="s">
        <v>248</v>
      </c>
      <c r="AI806" t="s">
        <v>249</v>
      </c>
      <c r="AJ806" t="s">
        <v>121</v>
      </c>
    </row>
    <row r="807" spans="1:36">
      <c r="A807" t="s">
        <v>2982</v>
      </c>
      <c r="B807" t="s">
        <v>2983</v>
      </c>
      <c r="F807" t="str">
        <f t="shared" si="12"/>
        <v>49911</v>
      </c>
      <c r="AE807">
        <v>1101111445231</v>
      </c>
      <c r="AG807" t="s">
        <v>4</v>
      </c>
      <c r="AH807" t="s">
        <v>567</v>
      </c>
      <c r="AI807" t="s">
        <v>568</v>
      </c>
      <c r="AJ807" t="s">
        <v>569</v>
      </c>
    </row>
    <row r="808" spans="1:36">
      <c r="A808" t="s">
        <v>2984</v>
      </c>
      <c r="B808" t="s">
        <v>2985</v>
      </c>
      <c r="F808" t="str">
        <f t="shared" si="12"/>
        <v>49912</v>
      </c>
      <c r="AE808">
        <v>1801110083442</v>
      </c>
      <c r="AF808" t="s">
        <v>24</v>
      </c>
      <c r="AG808" t="s">
        <v>2</v>
      </c>
      <c r="AH808" t="s">
        <v>949</v>
      </c>
      <c r="AI808" t="s">
        <v>83</v>
      </c>
      <c r="AJ808" t="s">
        <v>950</v>
      </c>
    </row>
    <row r="809" spans="1:36">
      <c r="A809" t="s">
        <v>2986</v>
      </c>
      <c r="B809" t="s">
        <v>2987</v>
      </c>
      <c r="F809" t="str">
        <f t="shared" si="12"/>
        <v>49913</v>
      </c>
      <c r="AE809">
        <v>1101111549786</v>
      </c>
      <c r="AG809" t="s">
        <v>2</v>
      </c>
      <c r="AH809" t="s">
        <v>951</v>
      </c>
      <c r="AI809" t="s">
        <v>568</v>
      </c>
      <c r="AJ809" t="s">
        <v>952</v>
      </c>
    </row>
    <row r="810" spans="1:36">
      <c r="A810" t="s">
        <v>2988</v>
      </c>
      <c r="B810" t="s">
        <v>2989</v>
      </c>
      <c r="F810" t="str">
        <f t="shared" si="12"/>
        <v>49924</v>
      </c>
      <c r="AE810">
        <v>1101112202797</v>
      </c>
      <c r="AG810" t="s">
        <v>4</v>
      </c>
      <c r="AH810" t="s">
        <v>847</v>
      </c>
      <c r="AI810" t="s">
        <v>55</v>
      </c>
      <c r="AJ810" t="s">
        <v>848</v>
      </c>
    </row>
    <row r="811" spans="1:36">
      <c r="A811" t="s">
        <v>2990</v>
      </c>
      <c r="B811" t="s">
        <v>2991</v>
      </c>
      <c r="F811" t="str">
        <f t="shared" si="12"/>
        <v>49934</v>
      </c>
      <c r="AE811">
        <v>1101111143190</v>
      </c>
      <c r="AG811" t="s">
        <v>4</v>
      </c>
      <c r="AH811" t="s">
        <v>338</v>
      </c>
      <c r="AJ811" t="s">
        <v>339</v>
      </c>
    </row>
    <row r="812" spans="1:36">
      <c r="A812" t="s">
        <v>2992</v>
      </c>
      <c r="B812" t="s">
        <v>2993</v>
      </c>
      <c r="F812" t="str">
        <f t="shared" si="12"/>
        <v>49935</v>
      </c>
      <c r="AE812">
        <v>1648110007452</v>
      </c>
      <c r="AG812" t="s">
        <v>4</v>
      </c>
      <c r="AH812" t="s">
        <v>688</v>
      </c>
      <c r="AJ812" t="s">
        <v>689</v>
      </c>
    </row>
    <row r="813" spans="1:36">
      <c r="A813" t="s">
        <v>2994</v>
      </c>
      <c r="B813" t="s">
        <v>2995</v>
      </c>
      <c r="F813" t="str">
        <f t="shared" si="12"/>
        <v>49941</v>
      </c>
      <c r="AE813">
        <v>1114710008863</v>
      </c>
      <c r="AG813" t="s">
        <v>4</v>
      </c>
    </row>
    <row r="814" spans="1:36">
      <c r="A814" t="s">
        <v>2996</v>
      </c>
      <c r="B814" t="s">
        <v>2997</v>
      </c>
      <c r="F814" t="str">
        <f t="shared" si="12"/>
        <v>50018</v>
      </c>
      <c r="AE814">
        <v>1101112095837</v>
      </c>
      <c r="AG814" t="s">
        <v>2</v>
      </c>
      <c r="AH814" t="s">
        <v>955</v>
      </c>
      <c r="AI814" t="s">
        <v>12</v>
      </c>
      <c r="AJ814" t="s">
        <v>956</v>
      </c>
    </row>
    <row r="815" spans="1:36">
      <c r="A815" t="s">
        <v>2998</v>
      </c>
      <c r="B815" t="s">
        <v>2999</v>
      </c>
      <c r="F815" t="str">
        <f t="shared" si="12"/>
        <v>50019</v>
      </c>
      <c r="AE815">
        <v>1201110234469</v>
      </c>
      <c r="AF815" t="s">
        <v>29</v>
      </c>
      <c r="AG815" t="s">
        <v>2</v>
      </c>
      <c r="AH815" t="s">
        <v>957</v>
      </c>
      <c r="AI815" t="s">
        <v>65</v>
      </c>
      <c r="AJ815" t="s">
        <v>958</v>
      </c>
    </row>
    <row r="816" spans="1:36">
      <c r="A816" t="s">
        <v>3000</v>
      </c>
      <c r="B816" t="s">
        <v>3001</v>
      </c>
      <c r="F816" t="str">
        <f t="shared" si="12"/>
        <v>50020</v>
      </c>
      <c r="AE816">
        <v>1101112207177</v>
      </c>
      <c r="AG816" t="s">
        <v>4</v>
      </c>
      <c r="AH816" t="s">
        <v>874</v>
      </c>
      <c r="AI816" t="s">
        <v>278</v>
      </c>
      <c r="AJ816" t="s">
        <v>875</v>
      </c>
    </row>
    <row r="817" spans="1:36">
      <c r="A817" t="s">
        <v>3002</v>
      </c>
      <c r="B817" t="s">
        <v>3003</v>
      </c>
      <c r="F817" t="str">
        <f t="shared" si="12"/>
        <v>50034</v>
      </c>
      <c r="AE817">
        <v>1101112207127</v>
      </c>
      <c r="AG817" t="s">
        <v>4</v>
      </c>
      <c r="AH817" t="s">
        <v>961</v>
      </c>
      <c r="AI817" t="s">
        <v>278</v>
      </c>
      <c r="AJ817" t="s">
        <v>962</v>
      </c>
    </row>
    <row r="818" spans="1:36">
      <c r="A818" t="s">
        <v>3004</v>
      </c>
      <c r="B818" t="s">
        <v>3005</v>
      </c>
      <c r="F818" t="str">
        <f t="shared" si="12"/>
        <v>50035</v>
      </c>
      <c r="AE818">
        <v>1701110074493</v>
      </c>
      <c r="AG818" t="s">
        <v>2</v>
      </c>
      <c r="AH818" t="s">
        <v>338</v>
      </c>
      <c r="AJ818" t="s">
        <v>339</v>
      </c>
    </row>
    <row r="819" spans="1:36">
      <c r="A819" t="s">
        <v>3006</v>
      </c>
      <c r="B819" t="s">
        <v>3007</v>
      </c>
      <c r="F819" t="str">
        <f t="shared" si="12"/>
        <v>50036</v>
      </c>
      <c r="AE819">
        <v>1101110977318</v>
      </c>
      <c r="AG819" t="s">
        <v>4</v>
      </c>
      <c r="AH819" t="s">
        <v>963</v>
      </c>
      <c r="AI819" t="s">
        <v>76</v>
      </c>
      <c r="AJ819" t="s">
        <v>964</v>
      </c>
    </row>
    <row r="820" spans="1:36">
      <c r="A820" t="s">
        <v>3008</v>
      </c>
      <c r="B820" t="s">
        <v>3009</v>
      </c>
      <c r="F820" t="str">
        <f t="shared" si="12"/>
        <v>50321</v>
      </c>
      <c r="AE820">
        <v>1101110898423</v>
      </c>
      <c r="AG820" t="s">
        <v>4</v>
      </c>
      <c r="AH820" t="s">
        <v>965</v>
      </c>
      <c r="AI820" t="s">
        <v>966</v>
      </c>
      <c r="AJ820" t="s">
        <v>967</v>
      </c>
    </row>
    <row r="821" spans="1:36">
      <c r="A821" t="s">
        <v>3010</v>
      </c>
      <c r="B821" t="s">
        <v>3011</v>
      </c>
      <c r="F821" t="str">
        <f t="shared" si="12"/>
        <v>50322</v>
      </c>
      <c r="AE821">
        <v>1101110728381</v>
      </c>
      <c r="AG821" t="s">
        <v>4</v>
      </c>
      <c r="AH821" t="s">
        <v>968</v>
      </c>
      <c r="AJ821" t="s">
        <v>969</v>
      </c>
    </row>
    <row r="822" spans="1:36">
      <c r="A822" t="s">
        <v>3012</v>
      </c>
      <c r="B822" t="s">
        <v>3013</v>
      </c>
      <c r="F822" t="str">
        <f t="shared" si="12"/>
        <v>50323</v>
      </c>
      <c r="AE822">
        <v>1812110012208</v>
      </c>
      <c r="AF822" t="s">
        <v>954</v>
      </c>
      <c r="AG822" t="s">
        <v>4</v>
      </c>
      <c r="AH822" t="s">
        <v>543</v>
      </c>
      <c r="AI822" t="s">
        <v>278</v>
      </c>
      <c r="AJ822" t="s">
        <v>544</v>
      </c>
    </row>
    <row r="823" spans="1:36">
      <c r="A823" t="s">
        <v>3014</v>
      </c>
      <c r="B823" t="s">
        <v>3015</v>
      </c>
      <c r="F823" t="str">
        <f t="shared" si="12"/>
        <v>50460</v>
      </c>
      <c r="AE823">
        <v>1101110753445</v>
      </c>
      <c r="AG823" t="s">
        <v>4</v>
      </c>
      <c r="AH823" t="s">
        <v>514</v>
      </c>
      <c r="AJ823" t="s">
        <v>515</v>
      </c>
    </row>
    <row r="824" spans="1:36">
      <c r="A824" t="s">
        <v>3016</v>
      </c>
      <c r="B824" t="s">
        <v>3017</v>
      </c>
      <c r="F824" t="str">
        <f t="shared" si="12"/>
        <v>50461</v>
      </c>
      <c r="AE824">
        <v>1701110039778</v>
      </c>
      <c r="AG824" t="s">
        <v>4</v>
      </c>
      <c r="AH824" t="s">
        <v>190</v>
      </c>
      <c r="AI824" t="s">
        <v>32</v>
      </c>
      <c r="AJ824" t="s">
        <v>91</v>
      </c>
    </row>
    <row r="825" spans="1:36">
      <c r="A825" t="s">
        <v>3018</v>
      </c>
      <c r="B825" t="s">
        <v>3019</v>
      </c>
      <c r="F825" t="str">
        <f t="shared" si="12"/>
        <v>50462</v>
      </c>
      <c r="AE825">
        <v>1101110834782</v>
      </c>
      <c r="AG825" t="s">
        <v>4</v>
      </c>
      <c r="AH825" t="s">
        <v>970</v>
      </c>
      <c r="AJ825" t="s">
        <v>971</v>
      </c>
    </row>
    <row r="826" spans="1:36">
      <c r="A826" t="s">
        <v>3020</v>
      </c>
      <c r="B826" t="s">
        <v>3021</v>
      </c>
      <c r="F826" t="str">
        <f t="shared" si="12"/>
        <v>50550</v>
      </c>
      <c r="AE826">
        <v>1101110545751</v>
      </c>
      <c r="AG826" t="s">
        <v>2</v>
      </c>
      <c r="AH826" t="s">
        <v>15</v>
      </c>
      <c r="AI826" t="s">
        <v>16</v>
      </c>
      <c r="AJ826" t="s">
        <v>17</v>
      </c>
    </row>
    <row r="827" spans="1:36">
      <c r="A827" t="s">
        <v>3022</v>
      </c>
      <c r="B827" t="s">
        <v>3023</v>
      </c>
      <c r="F827" t="str">
        <f t="shared" si="12"/>
        <v>50566</v>
      </c>
      <c r="AE827">
        <v>2062110018313</v>
      </c>
      <c r="AF827" t="s">
        <v>492</v>
      </c>
      <c r="AG827" t="s">
        <v>4</v>
      </c>
      <c r="AH827" t="s">
        <v>661</v>
      </c>
      <c r="AJ827" t="s">
        <v>662</v>
      </c>
    </row>
    <row r="828" spans="1:36">
      <c r="A828" t="s">
        <v>3024</v>
      </c>
      <c r="B828" t="s">
        <v>3025</v>
      </c>
      <c r="F828" t="str">
        <f t="shared" si="12"/>
        <v>50567</v>
      </c>
      <c r="AE828">
        <v>1615110006118</v>
      </c>
      <c r="AG828" t="s">
        <v>2</v>
      </c>
      <c r="AH828" t="s">
        <v>267</v>
      </c>
      <c r="AJ828" t="s">
        <v>268</v>
      </c>
    </row>
    <row r="829" spans="1:36">
      <c r="A829" t="s">
        <v>3026</v>
      </c>
      <c r="B829" t="s">
        <v>3027</v>
      </c>
      <c r="F829" t="str">
        <f t="shared" si="12"/>
        <v>50568</v>
      </c>
      <c r="AE829">
        <v>1101112322438</v>
      </c>
      <c r="AG829" t="s">
        <v>2</v>
      </c>
      <c r="AH829" t="s">
        <v>973</v>
      </c>
      <c r="AI829" t="s">
        <v>6</v>
      </c>
      <c r="AJ829" t="s">
        <v>974</v>
      </c>
    </row>
    <row r="830" spans="1:36">
      <c r="A830" t="s">
        <v>3028</v>
      </c>
      <c r="B830" t="s">
        <v>3029</v>
      </c>
      <c r="F830" t="str">
        <f t="shared" si="12"/>
        <v>50572</v>
      </c>
      <c r="AE830">
        <v>1311110033264</v>
      </c>
      <c r="AG830" t="s">
        <v>4</v>
      </c>
      <c r="AH830" t="s">
        <v>975</v>
      </c>
      <c r="AJ830" t="s">
        <v>976</v>
      </c>
    </row>
    <row r="831" spans="1:36">
      <c r="A831" t="s">
        <v>3030</v>
      </c>
      <c r="B831" t="s">
        <v>3031</v>
      </c>
      <c r="F831" t="str">
        <f t="shared" si="12"/>
        <v>50626</v>
      </c>
      <c r="AE831">
        <v>1101110434798</v>
      </c>
      <c r="AG831" t="s">
        <v>4</v>
      </c>
      <c r="AH831" t="s">
        <v>341</v>
      </c>
      <c r="AJ831" t="s">
        <v>342</v>
      </c>
    </row>
    <row r="832" spans="1:36">
      <c r="A832" t="s">
        <v>3032</v>
      </c>
      <c r="B832" t="s">
        <v>3033</v>
      </c>
      <c r="F832" t="str">
        <f t="shared" si="12"/>
        <v>50627</v>
      </c>
      <c r="AE832">
        <v>1101111250648</v>
      </c>
      <c r="AG832" t="s">
        <v>4</v>
      </c>
      <c r="AH832" t="s">
        <v>341</v>
      </c>
      <c r="AJ832" t="s">
        <v>342</v>
      </c>
    </row>
    <row r="833" spans="1:36">
      <c r="A833" t="s">
        <v>3034</v>
      </c>
      <c r="B833" t="s">
        <v>3035</v>
      </c>
      <c r="F833" t="str">
        <f t="shared" si="12"/>
        <v>50628</v>
      </c>
      <c r="AE833">
        <v>1311110044485</v>
      </c>
      <c r="AG833" t="s">
        <v>4</v>
      </c>
      <c r="AH833" t="s">
        <v>162</v>
      </c>
      <c r="AJ833" t="s">
        <v>163</v>
      </c>
    </row>
    <row r="834" spans="1:36">
      <c r="A834" t="s">
        <v>3036</v>
      </c>
      <c r="B834" t="s">
        <v>1483</v>
      </c>
      <c r="F834" t="str">
        <f t="shared" si="12"/>
        <v>50838</v>
      </c>
      <c r="AE834">
        <v>1101111465213</v>
      </c>
      <c r="AG834" t="s">
        <v>4</v>
      </c>
      <c r="AH834" t="s">
        <v>977</v>
      </c>
      <c r="AJ834" t="s">
        <v>978</v>
      </c>
    </row>
    <row r="835" spans="1:36">
      <c r="A835" t="s">
        <v>3037</v>
      </c>
      <c r="B835" t="s">
        <v>3038</v>
      </c>
      <c r="F835" t="str">
        <f t="shared" si="12"/>
        <v>50860</v>
      </c>
      <c r="AE835">
        <v>1101111530959</v>
      </c>
      <c r="AG835" t="s">
        <v>2</v>
      </c>
      <c r="AH835" t="s">
        <v>490</v>
      </c>
      <c r="AI835" t="s">
        <v>76</v>
      </c>
      <c r="AJ835" t="s">
        <v>491</v>
      </c>
    </row>
    <row r="836" spans="1:36">
      <c r="A836" t="s">
        <v>3039</v>
      </c>
      <c r="B836" t="s">
        <v>1484</v>
      </c>
      <c r="F836" t="str">
        <f t="shared" si="12"/>
        <v>50879</v>
      </c>
      <c r="AE836">
        <v>1614110009403</v>
      </c>
      <c r="AG836" t="s">
        <v>4</v>
      </c>
      <c r="AH836" t="s">
        <v>145</v>
      </c>
      <c r="AI836" t="s">
        <v>146</v>
      </c>
      <c r="AJ836" t="s">
        <v>147</v>
      </c>
    </row>
    <row r="837" spans="1:36">
      <c r="A837" t="s">
        <v>3040</v>
      </c>
      <c r="B837" t="s">
        <v>3041</v>
      </c>
      <c r="F837" t="str">
        <f t="shared" si="12"/>
        <v>50955</v>
      </c>
      <c r="AE837">
        <v>1101112207135</v>
      </c>
      <c r="AG837" t="s">
        <v>4</v>
      </c>
      <c r="AH837" t="s">
        <v>874</v>
      </c>
      <c r="AI837" t="s">
        <v>278</v>
      </c>
      <c r="AJ837" t="s">
        <v>875</v>
      </c>
    </row>
    <row r="838" spans="1:36">
      <c r="A838" t="s">
        <v>3042</v>
      </c>
      <c r="B838" t="s">
        <v>3043</v>
      </c>
      <c r="F838" t="str">
        <f t="shared" si="12"/>
        <v>50956</v>
      </c>
      <c r="AE838">
        <v>1101110892136</v>
      </c>
      <c r="AG838" t="s">
        <v>4</v>
      </c>
      <c r="AH838" t="s">
        <v>464</v>
      </c>
      <c r="AI838" t="s">
        <v>177</v>
      </c>
      <c r="AJ838" t="s">
        <v>465</v>
      </c>
    </row>
    <row r="839" spans="1:36">
      <c r="A839" t="s">
        <v>3044</v>
      </c>
      <c r="B839" t="s">
        <v>3045</v>
      </c>
      <c r="F839" t="str">
        <f t="shared" si="12"/>
        <v>50957</v>
      </c>
      <c r="AE839">
        <v>1101112149436</v>
      </c>
      <c r="AF839" t="s">
        <v>614</v>
      </c>
      <c r="AG839" t="s">
        <v>2</v>
      </c>
      <c r="AH839" t="s">
        <v>981</v>
      </c>
      <c r="AI839" t="s">
        <v>845</v>
      </c>
      <c r="AJ839" t="s">
        <v>982</v>
      </c>
    </row>
    <row r="840" spans="1:36">
      <c r="A840" t="s">
        <v>3046</v>
      </c>
      <c r="B840" t="s">
        <v>3047</v>
      </c>
      <c r="F840" t="str">
        <f t="shared" si="12"/>
        <v>51093</v>
      </c>
      <c r="AE840">
        <v>1614810000024</v>
      </c>
      <c r="AG840" t="s">
        <v>4</v>
      </c>
      <c r="AH840" t="s">
        <v>983</v>
      </c>
      <c r="AI840" t="s">
        <v>984</v>
      </c>
      <c r="AJ840" t="s">
        <v>985</v>
      </c>
    </row>
    <row r="841" spans="1:36">
      <c r="A841" t="s">
        <v>3048</v>
      </c>
      <c r="B841" t="s">
        <v>3049</v>
      </c>
      <c r="F841" t="str">
        <f t="shared" si="12"/>
        <v>51094</v>
      </c>
      <c r="AE841">
        <v>1614810000014</v>
      </c>
      <c r="AG841" t="s">
        <v>4</v>
      </c>
      <c r="AH841" t="s">
        <v>986</v>
      </c>
      <c r="AJ841" t="s">
        <v>987</v>
      </c>
    </row>
    <row r="842" spans="1:36">
      <c r="A842" t="s">
        <v>3050</v>
      </c>
      <c r="B842" t="s">
        <v>3051</v>
      </c>
      <c r="F842" t="str">
        <f t="shared" ref="F842:F905" si="13">CHOOSE($C$1, A842, B842)</f>
        <v>51095</v>
      </c>
      <c r="AE842">
        <v>1101110853576</v>
      </c>
      <c r="AF842" t="s">
        <v>24</v>
      </c>
      <c r="AG842" t="s">
        <v>4</v>
      </c>
      <c r="AH842" t="s">
        <v>988</v>
      </c>
      <c r="AI842" t="s">
        <v>192</v>
      </c>
      <c r="AJ842" t="s">
        <v>989</v>
      </c>
    </row>
    <row r="843" spans="1:36">
      <c r="A843" t="s">
        <v>3052</v>
      </c>
      <c r="B843" t="s">
        <v>3053</v>
      </c>
      <c r="F843" t="str">
        <f t="shared" si="13"/>
        <v>51189</v>
      </c>
      <c r="AE843">
        <v>1942110036336</v>
      </c>
      <c r="AF843" t="s">
        <v>40</v>
      </c>
      <c r="AG843" t="s">
        <v>2</v>
      </c>
      <c r="AH843" t="s">
        <v>991</v>
      </c>
      <c r="AI843" t="s">
        <v>12</v>
      </c>
      <c r="AJ843" t="s">
        <v>992</v>
      </c>
    </row>
    <row r="844" spans="1:36">
      <c r="A844" t="s">
        <v>3054</v>
      </c>
      <c r="B844" t="s">
        <v>3055</v>
      </c>
      <c r="F844" t="str">
        <f t="shared" si="13"/>
        <v>51190</v>
      </c>
      <c r="AE844">
        <v>1942110014655</v>
      </c>
      <c r="AG844" t="s">
        <v>4</v>
      </c>
      <c r="AH844" t="s">
        <v>993</v>
      </c>
      <c r="AI844" t="s">
        <v>568</v>
      </c>
      <c r="AJ844" t="s">
        <v>994</v>
      </c>
    </row>
    <row r="845" spans="1:36">
      <c r="A845" t="s">
        <v>3056</v>
      </c>
      <c r="B845" t="s">
        <v>3057</v>
      </c>
      <c r="F845" t="str">
        <f t="shared" si="13"/>
        <v>51191</v>
      </c>
      <c r="AE845">
        <v>1812110010898</v>
      </c>
      <c r="AF845" t="s">
        <v>238</v>
      </c>
      <c r="AG845" t="s">
        <v>4</v>
      </c>
      <c r="AH845" t="s">
        <v>209</v>
      </c>
      <c r="AI845" t="s">
        <v>32</v>
      </c>
      <c r="AJ845" t="s">
        <v>52</v>
      </c>
    </row>
    <row r="846" spans="1:36">
      <c r="A846" t="s">
        <v>3058</v>
      </c>
      <c r="B846" t="s">
        <v>3059</v>
      </c>
      <c r="F846" t="str">
        <f t="shared" si="13"/>
        <v>51192</v>
      </c>
      <c r="AE846">
        <v>1101111264764</v>
      </c>
      <c r="AG846" t="s">
        <v>2</v>
      </c>
      <c r="AH846" t="s">
        <v>708</v>
      </c>
      <c r="AJ846" t="s">
        <v>709</v>
      </c>
    </row>
    <row r="847" spans="1:36">
      <c r="A847" t="s">
        <v>3060</v>
      </c>
      <c r="B847" t="s">
        <v>3061</v>
      </c>
      <c r="F847" t="str">
        <f t="shared" si="13"/>
        <v>51243</v>
      </c>
      <c r="AE847">
        <v>1101110569412</v>
      </c>
      <c r="AG847" t="s">
        <v>4</v>
      </c>
      <c r="AH847" t="s">
        <v>995</v>
      </c>
      <c r="AJ847" t="s">
        <v>996</v>
      </c>
    </row>
    <row r="848" spans="1:36">
      <c r="A848" t="s">
        <v>3062</v>
      </c>
      <c r="B848" t="s">
        <v>3063</v>
      </c>
      <c r="F848" t="str">
        <f t="shared" si="13"/>
        <v>51244</v>
      </c>
      <c r="AE848">
        <v>1101110749387</v>
      </c>
      <c r="AG848" t="s">
        <v>4</v>
      </c>
      <c r="AH848" t="s">
        <v>997</v>
      </c>
      <c r="AJ848" t="s">
        <v>998</v>
      </c>
    </row>
    <row r="849" spans="1:36">
      <c r="A849" t="s">
        <v>3064</v>
      </c>
      <c r="B849" t="s">
        <v>3065</v>
      </c>
      <c r="F849" t="str">
        <f t="shared" si="13"/>
        <v>51250</v>
      </c>
      <c r="AE849">
        <v>1101111120982</v>
      </c>
      <c r="AG849" t="s">
        <v>4</v>
      </c>
      <c r="AH849" t="s">
        <v>425</v>
      </c>
      <c r="AI849" t="s">
        <v>76</v>
      </c>
      <c r="AJ849" t="s">
        <v>426</v>
      </c>
    </row>
    <row r="850" spans="1:36">
      <c r="A850" t="s">
        <v>3066</v>
      </c>
      <c r="B850" t="s">
        <v>3067</v>
      </c>
      <c r="F850" t="str">
        <f t="shared" si="13"/>
        <v>51251</v>
      </c>
      <c r="AE850">
        <v>1201110097940</v>
      </c>
      <c r="AG850" t="s">
        <v>2</v>
      </c>
      <c r="AH850" t="s">
        <v>1000</v>
      </c>
      <c r="AI850" t="s">
        <v>186</v>
      </c>
      <c r="AJ850" t="s">
        <v>1001</v>
      </c>
    </row>
    <row r="851" spans="1:36">
      <c r="A851" t="s">
        <v>3068</v>
      </c>
      <c r="B851" t="s">
        <v>3069</v>
      </c>
      <c r="F851" t="str">
        <f t="shared" si="13"/>
        <v>51254</v>
      </c>
      <c r="AE851">
        <v>1501110027272</v>
      </c>
      <c r="AG851" t="s">
        <v>4</v>
      </c>
      <c r="AH851" t="s">
        <v>233</v>
      </c>
      <c r="AJ851" t="s">
        <v>234</v>
      </c>
    </row>
    <row r="852" spans="1:36">
      <c r="A852" t="s">
        <v>3070</v>
      </c>
      <c r="B852" t="s">
        <v>3071</v>
      </c>
      <c r="F852" t="str">
        <f t="shared" si="13"/>
        <v>51299</v>
      </c>
      <c r="AE852">
        <v>1115110041560</v>
      </c>
      <c r="AG852" t="s">
        <v>4</v>
      </c>
      <c r="AH852" t="s">
        <v>381</v>
      </c>
      <c r="AI852" t="s">
        <v>6</v>
      </c>
      <c r="AJ852" t="s">
        <v>382</v>
      </c>
    </row>
    <row r="853" spans="1:36">
      <c r="A853" t="s">
        <v>3072</v>
      </c>
      <c r="B853" t="s">
        <v>3073</v>
      </c>
      <c r="F853" t="str">
        <f t="shared" si="13"/>
        <v>51300</v>
      </c>
      <c r="AE853">
        <v>1101112207119</v>
      </c>
      <c r="AG853" t="s">
        <v>4</v>
      </c>
      <c r="AH853" t="s">
        <v>874</v>
      </c>
      <c r="AI853" t="s">
        <v>278</v>
      </c>
      <c r="AJ853" t="s">
        <v>875</v>
      </c>
    </row>
    <row r="854" spans="1:36">
      <c r="A854" t="s">
        <v>3074</v>
      </c>
      <c r="B854" t="s">
        <v>3075</v>
      </c>
      <c r="F854" t="str">
        <f t="shared" si="13"/>
        <v>51301</v>
      </c>
      <c r="AE854">
        <v>1101110578231</v>
      </c>
      <c r="AG854" t="s">
        <v>4</v>
      </c>
      <c r="AH854" t="s">
        <v>1003</v>
      </c>
      <c r="AI854" t="s">
        <v>26</v>
      </c>
      <c r="AJ854" t="s">
        <v>1004</v>
      </c>
    </row>
    <row r="855" spans="1:36">
      <c r="A855" t="s">
        <v>3076</v>
      </c>
      <c r="B855" t="s">
        <v>3077</v>
      </c>
      <c r="F855" t="str">
        <f t="shared" si="13"/>
        <v>51302</v>
      </c>
      <c r="AE855">
        <v>1311110004554</v>
      </c>
      <c r="AG855" t="s">
        <v>2</v>
      </c>
      <c r="AH855" t="s">
        <v>338</v>
      </c>
      <c r="AJ855" t="s">
        <v>339</v>
      </c>
    </row>
    <row r="856" spans="1:36">
      <c r="A856" t="s">
        <v>3078</v>
      </c>
      <c r="B856" t="s">
        <v>3079</v>
      </c>
      <c r="F856" t="str">
        <f t="shared" si="13"/>
        <v>51373</v>
      </c>
      <c r="AE856">
        <v>1101112137895</v>
      </c>
      <c r="AF856" t="s">
        <v>1005</v>
      </c>
      <c r="AG856" t="s">
        <v>2</v>
      </c>
      <c r="AH856" t="s">
        <v>90</v>
      </c>
      <c r="AI856" t="s">
        <v>32</v>
      </c>
      <c r="AJ856" t="s">
        <v>91</v>
      </c>
    </row>
    <row r="857" spans="1:36">
      <c r="A857" t="s">
        <v>3080</v>
      </c>
      <c r="B857" t="s">
        <v>3081</v>
      </c>
      <c r="F857" t="str">
        <f t="shared" si="13"/>
        <v>51385</v>
      </c>
      <c r="AE857">
        <v>1101111697832</v>
      </c>
      <c r="AG857" t="s">
        <v>4</v>
      </c>
      <c r="AH857" t="s">
        <v>1006</v>
      </c>
      <c r="AI857" t="s">
        <v>568</v>
      </c>
      <c r="AJ857" t="s">
        <v>1007</v>
      </c>
    </row>
    <row r="858" spans="1:36">
      <c r="A858" t="s">
        <v>3082</v>
      </c>
      <c r="B858" t="s">
        <v>3083</v>
      </c>
      <c r="F858" t="str">
        <f t="shared" si="13"/>
        <v>51386</v>
      </c>
      <c r="AE858">
        <v>1101112397027</v>
      </c>
      <c r="AG858" t="s">
        <v>4</v>
      </c>
      <c r="AH858" t="s">
        <v>462</v>
      </c>
      <c r="AI858" t="s">
        <v>177</v>
      </c>
      <c r="AJ858" t="s">
        <v>463</v>
      </c>
    </row>
    <row r="859" spans="1:36">
      <c r="A859" t="s">
        <v>3084</v>
      </c>
      <c r="B859" t="s">
        <v>3085</v>
      </c>
      <c r="F859" t="str">
        <f t="shared" si="13"/>
        <v>51387</v>
      </c>
      <c r="AE859">
        <v>1101111947360</v>
      </c>
      <c r="AG859" t="s">
        <v>4</v>
      </c>
      <c r="AH859" t="s">
        <v>621</v>
      </c>
      <c r="AI859" t="s">
        <v>55</v>
      </c>
      <c r="AJ859" t="s">
        <v>622</v>
      </c>
    </row>
    <row r="860" spans="1:36">
      <c r="A860" t="s">
        <v>3086</v>
      </c>
      <c r="B860" t="s">
        <v>3087</v>
      </c>
      <c r="F860" t="str">
        <f t="shared" si="13"/>
        <v>51388</v>
      </c>
      <c r="AE860">
        <v>1101112207151</v>
      </c>
      <c r="AG860" t="s">
        <v>4</v>
      </c>
      <c r="AH860" t="s">
        <v>874</v>
      </c>
      <c r="AI860" t="s">
        <v>278</v>
      </c>
      <c r="AJ860" t="s">
        <v>875</v>
      </c>
    </row>
    <row r="861" spans="1:36">
      <c r="A861" t="s">
        <v>3088</v>
      </c>
      <c r="B861" t="s">
        <v>3089</v>
      </c>
      <c r="F861" t="str">
        <f t="shared" si="13"/>
        <v>51574</v>
      </c>
      <c r="AE861">
        <v>1101111597389</v>
      </c>
      <c r="AG861" t="s">
        <v>4</v>
      </c>
      <c r="AH861" t="s">
        <v>1009</v>
      </c>
      <c r="AJ861" t="s">
        <v>1010</v>
      </c>
    </row>
    <row r="862" spans="1:36">
      <c r="A862" t="s">
        <v>3090</v>
      </c>
      <c r="B862" t="s">
        <v>3091</v>
      </c>
      <c r="F862" t="str">
        <f t="shared" si="13"/>
        <v>51575</v>
      </c>
      <c r="AE862">
        <v>1101111099153</v>
      </c>
      <c r="AG862" t="s">
        <v>4</v>
      </c>
      <c r="AH862" t="s">
        <v>940</v>
      </c>
      <c r="AI862" t="s">
        <v>517</v>
      </c>
      <c r="AJ862" t="s">
        <v>941</v>
      </c>
    </row>
    <row r="863" spans="1:36">
      <c r="A863" t="s">
        <v>3092</v>
      </c>
      <c r="B863" t="s">
        <v>3093</v>
      </c>
      <c r="F863" t="str">
        <f t="shared" si="13"/>
        <v>51576</v>
      </c>
      <c r="AE863">
        <v>1101112207193</v>
      </c>
      <c r="AG863" t="s">
        <v>4</v>
      </c>
      <c r="AH863" t="s">
        <v>874</v>
      </c>
      <c r="AI863" t="s">
        <v>278</v>
      </c>
      <c r="AJ863" t="s">
        <v>875</v>
      </c>
    </row>
    <row r="864" spans="1:36">
      <c r="A864" t="s">
        <v>3094</v>
      </c>
      <c r="B864" t="s">
        <v>3095</v>
      </c>
      <c r="F864" t="str">
        <f t="shared" si="13"/>
        <v>51577</v>
      </c>
      <c r="AE864">
        <v>1101112137358</v>
      </c>
      <c r="AF864" t="s">
        <v>238</v>
      </c>
      <c r="AG864" t="s">
        <v>2</v>
      </c>
      <c r="AH864" t="s">
        <v>82</v>
      </c>
      <c r="AI864" t="s">
        <v>83</v>
      </c>
      <c r="AJ864" t="s">
        <v>84</v>
      </c>
    </row>
    <row r="865" spans="1:36">
      <c r="A865" t="s">
        <v>3096</v>
      </c>
      <c r="B865" t="s">
        <v>3097</v>
      </c>
      <c r="F865" t="str">
        <f t="shared" si="13"/>
        <v>51632</v>
      </c>
      <c r="AE865">
        <v>1101112411520</v>
      </c>
      <c r="AF865" t="s">
        <v>107</v>
      </c>
      <c r="AG865" t="s">
        <v>4</v>
      </c>
      <c r="AH865" t="s">
        <v>1013</v>
      </c>
      <c r="AI865" t="s">
        <v>249</v>
      </c>
      <c r="AJ865" t="s">
        <v>1014</v>
      </c>
    </row>
    <row r="866" spans="1:36">
      <c r="A866" t="s">
        <v>3098</v>
      </c>
      <c r="B866" t="s">
        <v>3099</v>
      </c>
      <c r="F866" t="str">
        <f t="shared" si="13"/>
        <v>51674</v>
      </c>
      <c r="AE866">
        <v>2054110003915</v>
      </c>
      <c r="AF866" t="s">
        <v>253</v>
      </c>
      <c r="AG866" t="s">
        <v>4</v>
      </c>
      <c r="AH866" t="s">
        <v>444</v>
      </c>
      <c r="AI866" t="s">
        <v>12</v>
      </c>
      <c r="AJ866" t="s">
        <v>445</v>
      </c>
    </row>
    <row r="867" spans="1:36">
      <c r="A867" t="s">
        <v>3100</v>
      </c>
      <c r="B867" t="s">
        <v>3101</v>
      </c>
      <c r="F867" t="str">
        <f t="shared" si="13"/>
        <v>51675</v>
      </c>
      <c r="AE867">
        <v>1101110574669</v>
      </c>
      <c r="AG867" t="s">
        <v>2</v>
      </c>
      <c r="AH867" t="s">
        <v>654</v>
      </c>
      <c r="AI867" t="s">
        <v>177</v>
      </c>
      <c r="AJ867" t="s">
        <v>655</v>
      </c>
    </row>
    <row r="868" spans="1:36">
      <c r="A868" t="s">
        <v>3102</v>
      </c>
      <c r="B868" t="s">
        <v>3103</v>
      </c>
      <c r="F868" t="str">
        <f t="shared" si="13"/>
        <v>51676</v>
      </c>
      <c r="AE868">
        <v>1101112487050</v>
      </c>
      <c r="AF868" t="s">
        <v>107</v>
      </c>
      <c r="AG868" t="s">
        <v>2</v>
      </c>
      <c r="AH868" t="s">
        <v>341</v>
      </c>
      <c r="AJ868" t="s">
        <v>342</v>
      </c>
    </row>
    <row r="869" spans="1:36">
      <c r="A869" t="s">
        <v>3104</v>
      </c>
      <c r="B869" t="s">
        <v>3105</v>
      </c>
      <c r="F869" t="str">
        <f t="shared" si="13"/>
        <v>51677</v>
      </c>
      <c r="AG869" t="s">
        <v>4</v>
      </c>
    </row>
    <row r="870" spans="1:36">
      <c r="A870" t="s">
        <v>3106</v>
      </c>
      <c r="B870" t="s">
        <v>3107</v>
      </c>
      <c r="F870" t="str">
        <f t="shared" si="13"/>
        <v>51782</v>
      </c>
      <c r="AE870">
        <v>1313110029384</v>
      </c>
      <c r="AF870" t="s">
        <v>119</v>
      </c>
      <c r="AG870" t="s">
        <v>4</v>
      </c>
      <c r="AH870" t="s">
        <v>248</v>
      </c>
      <c r="AI870" t="s">
        <v>249</v>
      </c>
      <c r="AJ870" t="s">
        <v>121</v>
      </c>
    </row>
    <row r="871" spans="1:36">
      <c r="A871" t="s">
        <v>3108</v>
      </c>
      <c r="B871" t="s">
        <v>3109</v>
      </c>
      <c r="F871" t="str">
        <f t="shared" si="13"/>
        <v>51783</v>
      </c>
      <c r="AE871">
        <v>1801110002814</v>
      </c>
      <c r="AG871" t="s">
        <v>4</v>
      </c>
      <c r="AH871" t="s">
        <v>444</v>
      </c>
      <c r="AI871" t="s">
        <v>12</v>
      </c>
      <c r="AJ871" t="s">
        <v>445</v>
      </c>
    </row>
    <row r="872" spans="1:36">
      <c r="A872" t="s">
        <v>3110</v>
      </c>
      <c r="B872" t="s">
        <v>3111</v>
      </c>
      <c r="F872" t="str">
        <f t="shared" si="13"/>
        <v>51784</v>
      </c>
      <c r="AE872">
        <v>1511110009906</v>
      </c>
      <c r="AG872" t="s">
        <v>2</v>
      </c>
      <c r="AH872" t="s">
        <v>1017</v>
      </c>
      <c r="AI872" t="s">
        <v>845</v>
      </c>
      <c r="AJ872" t="s">
        <v>1018</v>
      </c>
    </row>
    <row r="873" spans="1:36">
      <c r="A873" t="s">
        <v>3112</v>
      </c>
      <c r="B873" t="s">
        <v>3113</v>
      </c>
      <c r="F873" t="str">
        <f t="shared" si="13"/>
        <v>51785</v>
      </c>
      <c r="AE873">
        <v>1101111017155</v>
      </c>
      <c r="AG873" t="s">
        <v>4</v>
      </c>
      <c r="AH873" t="s">
        <v>898</v>
      </c>
      <c r="AJ873" t="s">
        <v>899</v>
      </c>
    </row>
    <row r="874" spans="1:36">
      <c r="A874" t="s">
        <v>3114</v>
      </c>
      <c r="B874" t="s">
        <v>818</v>
      </c>
      <c r="F874" t="str">
        <f t="shared" si="13"/>
        <v>51869</v>
      </c>
      <c r="AE874">
        <v>1101110976948</v>
      </c>
      <c r="AG874" t="s">
        <v>4</v>
      </c>
      <c r="AH874" t="s">
        <v>1019</v>
      </c>
      <c r="AJ874" t="s">
        <v>1020</v>
      </c>
    </row>
    <row r="875" spans="1:36">
      <c r="A875" t="s">
        <v>3115</v>
      </c>
      <c r="B875" t="s">
        <v>3116</v>
      </c>
      <c r="F875" t="str">
        <f t="shared" si="13"/>
        <v>51983</v>
      </c>
      <c r="AE875">
        <v>1101111824526</v>
      </c>
      <c r="AG875" t="s">
        <v>4</v>
      </c>
      <c r="AH875" t="s">
        <v>1021</v>
      </c>
      <c r="AJ875" t="s">
        <v>1022</v>
      </c>
    </row>
    <row r="876" spans="1:36">
      <c r="A876" t="s">
        <v>3117</v>
      </c>
      <c r="B876" t="s">
        <v>3118</v>
      </c>
      <c r="F876" t="str">
        <f t="shared" si="13"/>
        <v>51984</v>
      </c>
      <c r="AE876">
        <v>1101112248882</v>
      </c>
      <c r="AF876" t="s">
        <v>329</v>
      </c>
      <c r="AG876" t="s">
        <v>2</v>
      </c>
      <c r="AH876" t="s">
        <v>406</v>
      </c>
      <c r="AI876" t="s">
        <v>249</v>
      </c>
      <c r="AJ876" t="s">
        <v>407</v>
      </c>
    </row>
    <row r="877" spans="1:36">
      <c r="A877" t="s">
        <v>3119</v>
      </c>
      <c r="B877" t="s">
        <v>3120</v>
      </c>
      <c r="F877" t="str">
        <f t="shared" si="13"/>
        <v>51985</v>
      </c>
      <c r="AE877">
        <v>1712110002799</v>
      </c>
      <c r="AG877" t="s">
        <v>4</v>
      </c>
      <c r="AH877" t="s">
        <v>1023</v>
      </c>
      <c r="AJ877" t="s">
        <v>1024</v>
      </c>
    </row>
    <row r="878" spans="1:36">
      <c r="A878" t="s">
        <v>3121</v>
      </c>
      <c r="B878" t="s">
        <v>3122</v>
      </c>
      <c r="F878" t="str">
        <f t="shared" si="13"/>
        <v>51986</v>
      </c>
      <c r="AE878">
        <v>1101112462630</v>
      </c>
      <c r="AG878" t="s">
        <v>4</v>
      </c>
      <c r="AH878" t="s">
        <v>237</v>
      </c>
      <c r="AJ878" t="s">
        <v>220</v>
      </c>
    </row>
    <row r="879" spans="1:36">
      <c r="A879" t="s">
        <v>3123</v>
      </c>
      <c r="B879" t="s">
        <v>3124</v>
      </c>
      <c r="F879" t="str">
        <f t="shared" si="13"/>
        <v>52250</v>
      </c>
      <c r="AE879">
        <v>1101112558405</v>
      </c>
      <c r="AF879" t="s">
        <v>53</v>
      </c>
      <c r="AG879" t="s">
        <v>4</v>
      </c>
      <c r="AH879" t="s">
        <v>262</v>
      </c>
      <c r="AI879" t="s">
        <v>32</v>
      </c>
      <c r="AJ879" t="s">
        <v>167</v>
      </c>
    </row>
    <row r="880" spans="1:36">
      <c r="A880" t="s">
        <v>3125</v>
      </c>
      <c r="B880" t="s">
        <v>3126</v>
      </c>
      <c r="F880" t="str">
        <f t="shared" si="13"/>
        <v>52251</v>
      </c>
      <c r="AE880">
        <v>1101111781148</v>
      </c>
      <c r="AG880" t="s">
        <v>4</v>
      </c>
      <c r="AH880" t="s">
        <v>729</v>
      </c>
      <c r="AI880" t="s">
        <v>6</v>
      </c>
      <c r="AJ880" t="s">
        <v>730</v>
      </c>
    </row>
    <row r="881" spans="1:36">
      <c r="A881" t="s">
        <v>3127</v>
      </c>
      <c r="B881" t="s">
        <v>3128</v>
      </c>
      <c r="F881" t="str">
        <f t="shared" si="13"/>
        <v>52252</v>
      </c>
      <c r="AE881">
        <v>1101112177388</v>
      </c>
      <c r="AF881" t="s">
        <v>40</v>
      </c>
      <c r="AG881" t="s">
        <v>2</v>
      </c>
      <c r="AH881" t="s">
        <v>1026</v>
      </c>
      <c r="AJ881" t="s">
        <v>1027</v>
      </c>
    </row>
    <row r="882" spans="1:36">
      <c r="A882" t="s">
        <v>3129</v>
      </c>
      <c r="B882" t="s">
        <v>3130</v>
      </c>
      <c r="F882" t="str">
        <f t="shared" si="13"/>
        <v>52253</v>
      </c>
      <c r="AE882">
        <v>1101111213919</v>
      </c>
      <c r="AG882" t="s">
        <v>4</v>
      </c>
      <c r="AH882" t="s">
        <v>464</v>
      </c>
      <c r="AI882" t="s">
        <v>177</v>
      </c>
      <c r="AJ882" t="s">
        <v>465</v>
      </c>
    </row>
    <row r="883" spans="1:36">
      <c r="A883" t="s">
        <v>3131</v>
      </c>
      <c r="B883" t="s">
        <v>3132</v>
      </c>
      <c r="F883" t="str">
        <f t="shared" si="13"/>
        <v>52338</v>
      </c>
      <c r="AE883">
        <v>1101110630130</v>
      </c>
      <c r="AG883" t="s">
        <v>4</v>
      </c>
      <c r="AH883" t="s">
        <v>190</v>
      </c>
      <c r="AI883" t="s">
        <v>32</v>
      </c>
      <c r="AJ883" t="s">
        <v>91</v>
      </c>
    </row>
    <row r="884" spans="1:36">
      <c r="A884" t="s">
        <v>3133</v>
      </c>
      <c r="B884" t="s">
        <v>3134</v>
      </c>
      <c r="F884" t="str">
        <f t="shared" si="13"/>
        <v>52339</v>
      </c>
      <c r="AE884">
        <v>1101112581183</v>
      </c>
      <c r="AG884" t="s">
        <v>4</v>
      </c>
      <c r="AH884" t="s">
        <v>1028</v>
      </c>
      <c r="AI884" t="s">
        <v>35</v>
      </c>
      <c r="AJ884" t="s">
        <v>1010</v>
      </c>
    </row>
    <row r="885" spans="1:36">
      <c r="A885" t="s">
        <v>3135</v>
      </c>
      <c r="B885" t="s">
        <v>3136</v>
      </c>
      <c r="F885" t="str">
        <f t="shared" si="13"/>
        <v>52340</v>
      </c>
      <c r="AG885" t="s">
        <v>4</v>
      </c>
    </row>
    <row r="886" spans="1:36">
      <c r="A886" t="s">
        <v>3137</v>
      </c>
      <c r="B886" t="s">
        <v>3138</v>
      </c>
      <c r="F886" t="str">
        <f t="shared" si="13"/>
        <v>52341</v>
      </c>
      <c r="AE886">
        <v>1311110028801</v>
      </c>
      <c r="AF886" t="s">
        <v>107</v>
      </c>
      <c r="AG886" t="s">
        <v>4</v>
      </c>
      <c r="AH886" t="s">
        <v>1029</v>
      </c>
      <c r="AJ886" t="s">
        <v>821</v>
      </c>
    </row>
    <row r="887" spans="1:36">
      <c r="A887" t="s">
        <v>3139</v>
      </c>
      <c r="B887" t="s">
        <v>3140</v>
      </c>
      <c r="F887" t="str">
        <f t="shared" si="13"/>
        <v>52383</v>
      </c>
      <c r="AE887">
        <v>1942110038423</v>
      </c>
      <c r="AG887" t="s">
        <v>2</v>
      </c>
      <c r="AH887" t="s">
        <v>623</v>
      </c>
      <c r="AI887" t="s">
        <v>65</v>
      </c>
      <c r="AJ887" t="s">
        <v>624</v>
      </c>
    </row>
    <row r="888" spans="1:36">
      <c r="A888" t="s">
        <v>3141</v>
      </c>
      <c r="B888" t="s">
        <v>3142</v>
      </c>
      <c r="F888" t="str">
        <f t="shared" si="13"/>
        <v>52384</v>
      </c>
      <c r="AE888">
        <v>1101112531667</v>
      </c>
      <c r="AG888" t="s">
        <v>4</v>
      </c>
      <c r="AH888" t="s">
        <v>847</v>
      </c>
      <c r="AI888" t="s">
        <v>55</v>
      </c>
      <c r="AJ888" t="s">
        <v>848</v>
      </c>
    </row>
    <row r="889" spans="1:36">
      <c r="A889" t="s">
        <v>3143</v>
      </c>
      <c r="B889" t="s">
        <v>3144</v>
      </c>
      <c r="F889" t="str">
        <f t="shared" si="13"/>
        <v>52385</v>
      </c>
      <c r="AE889">
        <v>1101111448128</v>
      </c>
      <c r="AG889" t="s">
        <v>2</v>
      </c>
      <c r="AH889" t="s">
        <v>277</v>
      </c>
      <c r="AI889" t="s">
        <v>278</v>
      </c>
      <c r="AJ889" t="s">
        <v>279</v>
      </c>
    </row>
    <row r="890" spans="1:36">
      <c r="A890" t="s">
        <v>3145</v>
      </c>
      <c r="B890" t="s">
        <v>3146</v>
      </c>
      <c r="F890" t="str">
        <f t="shared" si="13"/>
        <v>52386</v>
      </c>
      <c r="AE890">
        <v>1348110075342</v>
      </c>
      <c r="AG890" t="s">
        <v>2</v>
      </c>
      <c r="AH890" t="s">
        <v>1031</v>
      </c>
      <c r="AI890" t="s">
        <v>35</v>
      </c>
      <c r="AJ890" t="s">
        <v>1032</v>
      </c>
    </row>
    <row r="891" spans="1:36">
      <c r="A891" t="s">
        <v>3147</v>
      </c>
      <c r="B891" t="s">
        <v>3148</v>
      </c>
      <c r="F891" t="str">
        <f t="shared" si="13"/>
        <v>52393</v>
      </c>
      <c r="AE891">
        <v>1101112644733</v>
      </c>
      <c r="AG891" t="s">
        <v>4</v>
      </c>
      <c r="AH891" t="s">
        <v>847</v>
      </c>
      <c r="AI891" t="s">
        <v>55</v>
      </c>
      <c r="AJ891" t="s">
        <v>848</v>
      </c>
    </row>
    <row r="892" spans="1:36">
      <c r="A892" t="s">
        <v>3149</v>
      </c>
      <c r="B892" t="s">
        <v>3150</v>
      </c>
      <c r="F892" t="str">
        <f t="shared" si="13"/>
        <v>52394</v>
      </c>
      <c r="AE892">
        <v>1101112003236</v>
      </c>
      <c r="AG892" t="s">
        <v>4</v>
      </c>
      <c r="AH892" t="s">
        <v>1033</v>
      </c>
      <c r="AI892" t="s">
        <v>6</v>
      </c>
      <c r="AJ892" t="s">
        <v>1034</v>
      </c>
    </row>
    <row r="893" spans="1:36">
      <c r="A893" t="s">
        <v>3151</v>
      </c>
      <c r="B893" t="s">
        <v>3152</v>
      </c>
      <c r="F893" t="str">
        <f t="shared" si="13"/>
        <v>52395</v>
      </c>
      <c r="AE893">
        <v>1101112691651</v>
      </c>
      <c r="AF893" t="s">
        <v>582</v>
      </c>
      <c r="AG893" t="s">
        <v>2</v>
      </c>
      <c r="AH893" t="s">
        <v>847</v>
      </c>
      <c r="AI893" t="s">
        <v>55</v>
      </c>
      <c r="AJ893" t="s">
        <v>848</v>
      </c>
    </row>
    <row r="894" spans="1:36">
      <c r="A894" t="s">
        <v>3153</v>
      </c>
      <c r="B894" t="s">
        <v>3154</v>
      </c>
      <c r="F894" t="str">
        <f t="shared" si="13"/>
        <v>52396</v>
      </c>
      <c r="AE894">
        <v>1101111405897</v>
      </c>
      <c r="AF894" t="s">
        <v>74</v>
      </c>
      <c r="AG894" t="s">
        <v>4</v>
      </c>
      <c r="AH894" t="s">
        <v>1036</v>
      </c>
      <c r="AI894" t="s">
        <v>76</v>
      </c>
      <c r="AJ894" t="s">
        <v>1037</v>
      </c>
    </row>
    <row r="895" spans="1:36">
      <c r="A895" t="s">
        <v>3155</v>
      </c>
      <c r="B895" t="s">
        <v>3156</v>
      </c>
      <c r="F895" t="str">
        <f t="shared" si="13"/>
        <v>52427</v>
      </c>
      <c r="AE895">
        <v>1801110044535</v>
      </c>
      <c r="AG895" t="s">
        <v>4</v>
      </c>
      <c r="AH895" t="s">
        <v>368</v>
      </c>
      <c r="AJ895" t="s">
        <v>369</v>
      </c>
    </row>
    <row r="896" spans="1:36">
      <c r="A896" t="s">
        <v>3157</v>
      </c>
      <c r="B896" t="s">
        <v>3158</v>
      </c>
      <c r="F896" t="str">
        <f t="shared" si="13"/>
        <v>52428</v>
      </c>
      <c r="AE896">
        <v>1101111863889</v>
      </c>
      <c r="AG896" t="s">
        <v>4</v>
      </c>
      <c r="AH896" t="s">
        <v>895</v>
      </c>
      <c r="AJ896" t="s">
        <v>896</v>
      </c>
    </row>
    <row r="897" spans="1:36">
      <c r="A897" t="s">
        <v>3159</v>
      </c>
      <c r="B897" t="s">
        <v>3160</v>
      </c>
      <c r="F897" t="str">
        <f t="shared" si="13"/>
        <v>52429</v>
      </c>
      <c r="AE897">
        <v>1311110004950</v>
      </c>
      <c r="AG897" t="s">
        <v>4</v>
      </c>
      <c r="AH897" t="s">
        <v>381</v>
      </c>
      <c r="AI897" t="s">
        <v>6</v>
      </c>
      <c r="AJ897" t="s">
        <v>382</v>
      </c>
    </row>
    <row r="898" spans="1:36">
      <c r="A898" t="s">
        <v>3161</v>
      </c>
      <c r="B898" t="s">
        <v>3162</v>
      </c>
      <c r="F898" t="str">
        <f t="shared" si="13"/>
        <v>52430</v>
      </c>
      <c r="AE898">
        <v>1101111878036</v>
      </c>
      <c r="AG898" t="s">
        <v>4</v>
      </c>
      <c r="AH898" t="s">
        <v>847</v>
      </c>
      <c r="AI898" t="s">
        <v>55</v>
      </c>
      <c r="AJ898" t="s">
        <v>848</v>
      </c>
    </row>
    <row r="899" spans="1:36">
      <c r="A899" t="s">
        <v>3163</v>
      </c>
      <c r="B899" t="s">
        <v>3164</v>
      </c>
      <c r="F899" t="str">
        <f t="shared" si="13"/>
        <v>52466</v>
      </c>
      <c r="AE899">
        <v>1101110677843</v>
      </c>
      <c r="AG899" t="s">
        <v>4</v>
      </c>
      <c r="AH899" t="s">
        <v>666</v>
      </c>
      <c r="AJ899" t="s">
        <v>140</v>
      </c>
    </row>
    <row r="900" spans="1:36">
      <c r="A900" t="s">
        <v>3165</v>
      </c>
      <c r="B900" t="s">
        <v>3166</v>
      </c>
      <c r="F900" t="str">
        <f t="shared" si="13"/>
        <v>52467</v>
      </c>
      <c r="AE900">
        <v>1101112801119</v>
      </c>
      <c r="AG900" t="s">
        <v>4</v>
      </c>
      <c r="AH900" t="s">
        <v>847</v>
      </c>
      <c r="AI900" t="s">
        <v>55</v>
      </c>
      <c r="AJ900" t="s">
        <v>848</v>
      </c>
    </row>
    <row r="901" spans="1:36">
      <c r="A901" t="s">
        <v>3167</v>
      </c>
      <c r="B901" t="s">
        <v>3168</v>
      </c>
      <c r="F901" t="str">
        <f t="shared" si="13"/>
        <v>52468</v>
      </c>
      <c r="AE901">
        <v>1101112810590</v>
      </c>
      <c r="AG901" t="s">
        <v>2</v>
      </c>
      <c r="AH901" t="s">
        <v>38</v>
      </c>
      <c r="AJ901" t="s">
        <v>39</v>
      </c>
    </row>
    <row r="902" spans="1:36">
      <c r="A902" t="s">
        <v>3169</v>
      </c>
      <c r="B902" t="s">
        <v>3170</v>
      </c>
      <c r="F902" t="str">
        <f t="shared" si="13"/>
        <v>52469</v>
      </c>
      <c r="AE902">
        <v>1101112217572</v>
      </c>
      <c r="AF902" t="s">
        <v>230</v>
      </c>
      <c r="AG902" t="s">
        <v>4</v>
      </c>
      <c r="AH902" t="s">
        <v>15</v>
      </c>
      <c r="AI902" t="s">
        <v>16</v>
      </c>
      <c r="AJ902" t="s">
        <v>17</v>
      </c>
    </row>
    <row r="903" spans="1:36">
      <c r="A903" t="s">
        <v>3171</v>
      </c>
      <c r="B903" t="s">
        <v>861</v>
      </c>
      <c r="F903" t="str">
        <f t="shared" si="13"/>
        <v>52517</v>
      </c>
      <c r="AG903" t="s">
        <v>4</v>
      </c>
    </row>
    <row r="904" spans="1:36">
      <c r="A904" t="s">
        <v>3172</v>
      </c>
      <c r="B904" t="s">
        <v>3173</v>
      </c>
      <c r="F904" t="str">
        <f t="shared" si="13"/>
        <v>52553</v>
      </c>
      <c r="AE904">
        <v>1101110328157</v>
      </c>
      <c r="AG904" t="s">
        <v>4</v>
      </c>
      <c r="AH904" t="s">
        <v>209</v>
      </c>
      <c r="AI904" t="s">
        <v>32</v>
      </c>
      <c r="AJ904" t="s">
        <v>52</v>
      </c>
    </row>
    <row r="905" spans="1:36">
      <c r="A905" t="s">
        <v>3174</v>
      </c>
      <c r="B905" t="s">
        <v>3175</v>
      </c>
      <c r="F905" t="str">
        <f t="shared" si="13"/>
        <v>52554</v>
      </c>
      <c r="AE905">
        <v>2055110009896</v>
      </c>
      <c r="AG905" t="s">
        <v>4</v>
      </c>
      <c r="AH905" t="s">
        <v>51</v>
      </c>
      <c r="AI905" t="s">
        <v>32</v>
      </c>
      <c r="AJ905" t="s">
        <v>52</v>
      </c>
    </row>
    <row r="906" spans="1:36">
      <c r="A906" t="s">
        <v>3176</v>
      </c>
      <c r="B906" t="s">
        <v>3177</v>
      </c>
      <c r="F906" t="str">
        <f t="shared" ref="F906:F969" si="14">CHOOSE($C$1, A906, B906)</f>
        <v>52555</v>
      </c>
      <c r="AE906">
        <v>2054110004294</v>
      </c>
      <c r="AG906" t="s">
        <v>4</v>
      </c>
      <c r="AH906" t="s">
        <v>1038</v>
      </c>
      <c r="AI906" t="s">
        <v>32</v>
      </c>
      <c r="AJ906" t="s">
        <v>1039</v>
      </c>
    </row>
    <row r="907" spans="1:36">
      <c r="A907" t="s">
        <v>3178</v>
      </c>
      <c r="B907" t="s">
        <v>3179</v>
      </c>
      <c r="F907" t="str">
        <f t="shared" si="14"/>
        <v>52556</v>
      </c>
      <c r="AE907">
        <v>1101111590656</v>
      </c>
      <c r="AG907" t="s">
        <v>4</v>
      </c>
      <c r="AH907" t="s">
        <v>338</v>
      </c>
      <c r="AJ907" t="s">
        <v>339</v>
      </c>
    </row>
    <row r="908" spans="1:36">
      <c r="A908" t="s">
        <v>3180</v>
      </c>
      <c r="B908" t="s">
        <v>3181</v>
      </c>
      <c r="F908" t="str">
        <f t="shared" si="14"/>
        <v>52594</v>
      </c>
      <c r="AE908">
        <v>1101111870040</v>
      </c>
      <c r="AG908" t="s">
        <v>4</v>
      </c>
      <c r="AH908" t="s">
        <v>213</v>
      </c>
      <c r="AI908" t="s">
        <v>214</v>
      </c>
      <c r="AJ908" t="s">
        <v>89</v>
      </c>
    </row>
    <row r="909" spans="1:36">
      <c r="A909" t="s">
        <v>3182</v>
      </c>
      <c r="B909" t="s">
        <v>3183</v>
      </c>
      <c r="F909" t="str">
        <f t="shared" si="14"/>
        <v>52595</v>
      </c>
      <c r="AE909">
        <v>1201110086505</v>
      </c>
      <c r="AG909" t="s">
        <v>4</v>
      </c>
      <c r="AH909" t="s">
        <v>477</v>
      </c>
      <c r="AJ909" t="s">
        <v>478</v>
      </c>
    </row>
    <row r="910" spans="1:36">
      <c r="A910" t="s">
        <v>3184</v>
      </c>
      <c r="B910" t="s">
        <v>3185</v>
      </c>
      <c r="F910" t="str">
        <f t="shared" si="14"/>
        <v>52596</v>
      </c>
      <c r="AE910">
        <v>1201110049850</v>
      </c>
      <c r="AG910" t="s">
        <v>4</v>
      </c>
      <c r="AH910" t="s">
        <v>190</v>
      </c>
      <c r="AI910" t="s">
        <v>32</v>
      </c>
      <c r="AJ910" t="s">
        <v>91</v>
      </c>
    </row>
    <row r="911" spans="1:36">
      <c r="A911" t="s">
        <v>3186</v>
      </c>
      <c r="B911" t="s">
        <v>3187</v>
      </c>
      <c r="F911" t="str">
        <f t="shared" si="14"/>
        <v>52597</v>
      </c>
      <c r="AE911">
        <v>1101111885099</v>
      </c>
      <c r="AG911" t="s">
        <v>4</v>
      </c>
      <c r="AH911" t="s">
        <v>656</v>
      </c>
      <c r="AI911" t="s">
        <v>657</v>
      </c>
      <c r="AJ911" t="s">
        <v>658</v>
      </c>
    </row>
    <row r="912" spans="1:36">
      <c r="A912" t="s">
        <v>3188</v>
      </c>
      <c r="B912" t="s">
        <v>1487</v>
      </c>
      <c r="F912" t="str">
        <f t="shared" si="14"/>
        <v>52666</v>
      </c>
      <c r="AE912">
        <v>1101111178840</v>
      </c>
      <c r="AF912" t="s">
        <v>93</v>
      </c>
      <c r="AG912" t="s">
        <v>4</v>
      </c>
      <c r="AH912" t="s">
        <v>420</v>
      </c>
      <c r="AI912" t="s">
        <v>249</v>
      </c>
      <c r="AJ912" t="s">
        <v>421</v>
      </c>
    </row>
    <row r="913" spans="1:36">
      <c r="A913" t="s">
        <v>3189</v>
      </c>
      <c r="B913" t="s">
        <v>3190</v>
      </c>
      <c r="F913" t="str">
        <f t="shared" si="14"/>
        <v>52671</v>
      </c>
      <c r="AE913">
        <v>1101110565163</v>
      </c>
      <c r="AG913" t="s">
        <v>2</v>
      </c>
      <c r="AH913" t="s">
        <v>158</v>
      </c>
      <c r="AI913" t="s">
        <v>150</v>
      </c>
      <c r="AJ913" t="s">
        <v>159</v>
      </c>
    </row>
    <row r="914" spans="1:36">
      <c r="A914" t="s">
        <v>3191</v>
      </c>
      <c r="B914" t="s">
        <v>3192</v>
      </c>
      <c r="F914" t="str">
        <f t="shared" si="14"/>
        <v>52672</v>
      </c>
      <c r="AE914">
        <v>1101110926513</v>
      </c>
      <c r="AG914" t="s">
        <v>4</v>
      </c>
      <c r="AH914" t="s">
        <v>1040</v>
      </c>
      <c r="AJ914" t="s">
        <v>1041</v>
      </c>
    </row>
    <row r="915" spans="1:36">
      <c r="A915" t="s">
        <v>3193</v>
      </c>
      <c r="B915" t="s">
        <v>3194</v>
      </c>
      <c r="F915" t="str">
        <f t="shared" si="14"/>
        <v>52673</v>
      </c>
      <c r="AE915">
        <v>1614110013066</v>
      </c>
      <c r="AF915" t="s">
        <v>53</v>
      </c>
      <c r="AG915" t="s">
        <v>4</v>
      </c>
      <c r="AH915" t="s">
        <v>359</v>
      </c>
      <c r="AI915" t="s">
        <v>59</v>
      </c>
      <c r="AJ915" t="s">
        <v>360</v>
      </c>
    </row>
    <row r="916" spans="1:36">
      <c r="A916" t="s">
        <v>3195</v>
      </c>
      <c r="B916" t="s">
        <v>3196</v>
      </c>
      <c r="F916" t="str">
        <f t="shared" si="14"/>
        <v>52674</v>
      </c>
      <c r="AE916">
        <v>1801110036615</v>
      </c>
      <c r="AG916" t="s">
        <v>4</v>
      </c>
      <c r="AH916" t="s">
        <v>51</v>
      </c>
      <c r="AI916" t="s">
        <v>32</v>
      </c>
      <c r="AJ916" t="s">
        <v>52</v>
      </c>
    </row>
    <row r="917" spans="1:36">
      <c r="A917" t="s">
        <v>3197</v>
      </c>
      <c r="B917" t="s">
        <v>3198</v>
      </c>
      <c r="F917" t="str">
        <f t="shared" si="14"/>
        <v>52706</v>
      </c>
      <c r="AE917">
        <v>1101140043733</v>
      </c>
      <c r="AG917" t="s">
        <v>4</v>
      </c>
    </row>
    <row r="918" spans="1:36">
      <c r="A918" t="s">
        <v>3199</v>
      </c>
      <c r="B918" t="s">
        <v>3200</v>
      </c>
      <c r="F918" t="str">
        <f t="shared" si="14"/>
        <v>52763</v>
      </c>
      <c r="AE918">
        <v>1101110335912</v>
      </c>
      <c r="AG918" t="s">
        <v>2</v>
      </c>
      <c r="AH918" t="s">
        <v>51</v>
      </c>
      <c r="AI918" t="s">
        <v>32</v>
      </c>
      <c r="AJ918" t="s">
        <v>52</v>
      </c>
    </row>
    <row r="919" spans="1:36">
      <c r="A919" t="s">
        <v>3201</v>
      </c>
      <c r="B919" t="s">
        <v>3202</v>
      </c>
      <c r="F919" t="str">
        <f t="shared" si="14"/>
        <v>52782</v>
      </c>
      <c r="AE919">
        <v>1243110010564</v>
      </c>
      <c r="AG919" t="s">
        <v>4</v>
      </c>
      <c r="AH919" t="s">
        <v>529</v>
      </c>
      <c r="AI919" t="s">
        <v>32</v>
      </c>
      <c r="AJ919" t="s">
        <v>135</v>
      </c>
    </row>
    <row r="920" spans="1:36">
      <c r="A920" t="s">
        <v>3203</v>
      </c>
      <c r="B920" t="s">
        <v>3204</v>
      </c>
      <c r="F920" t="str">
        <f t="shared" si="14"/>
        <v>52783</v>
      </c>
      <c r="AE920">
        <v>1159110018161</v>
      </c>
      <c r="AG920" t="s">
        <v>4</v>
      </c>
      <c r="AH920" t="s">
        <v>951</v>
      </c>
      <c r="AI920" t="s">
        <v>568</v>
      </c>
      <c r="AJ920" t="s">
        <v>952</v>
      </c>
    </row>
    <row r="921" spans="1:36">
      <c r="A921" t="s">
        <v>3205</v>
      </c>
      <c r="B921" t="s">
        <v>3206</v>
      </c>
      <c r="F921" t="str">
        <f t="shared" si="14"/>
        <v>52784</v>
      </c>
      <c r="AE921">
        <v>1301110042547</v>
      </c>
      <c r="AG921" t="s">
        <v>4</v>
      </c>
      <c r="AH921" t="s">
        <v>138</v>
      </c>
      <c r="AI921" t="s">
        <v>139</v>
      </c>
      <c r="AJ921" t="s">
        <v>140</v>
      </c>
    </row>
    <row r="922" spans="1:36">
      <c r="A922" t="s">
        <v>3207</v>
      </c>
      <c r="B922" t="s">
        <v>3208</v>
      </c>
      <c r="F922" t="str">
        <f t="shared" si="14"/>
        <v>52785</v>
      </c>
      <c r="AE922">
        <v>1101110738637</v>
      </c>
      <c r="AG922" t="s">
        <v>2</v>
      </c>
      <c r="AH922" t="s">
        <v>1042</v>
      </c>
      <c r="AI922" t="s">
        <v>139</v>
      </c>
      <c r="AJ922" t="s">
        <v>1043</v>
      </c>
    </row>
    <row r="923" spans="1:36">
      <c r="A923" t="s">
        <v>3209</v>
      </c>
      <c r="B923" t="s">
        <v>3210</v>
      </c>
      <c r="F923" t="str">
        <f t="shared" si="14"/>
        <v>52826</v>
      </c>
      <c r="AE923">
        <v>1101112240466</v>
      </c>
      <c r="AG923" t="s">
        <v>4</v>
      </c>
      <c r="AH923" t="s">
        <v>462</v>
      </c>
      <c r="AI923" t="s">
        <v>177</v>
      </c>
      <c r="AJ923" t="s">
        <v>463</v>
      </c>
    </row>
    <row r="924" spans="1:36">
      <c r="A924" t="s">
        <v>3211</v>
      </c>
      <c r="B924" t="s">
        <v>3212</v>
      </c>
      <c r="F924" t="str">
        <f t="shared" si="14"/>
        <v>52827</v>
      </c>
      <c r="AE924">
        <v>1101111055907</v>
      </c>
      <c r="AG924" t="s">
        <v>4</v>
      </c>
      <c r="AH924" t="s">
        <v>933</v>
      </c>
      <c r="AI924" t="s">
        <v>32</v>
      </c>
      <c r="AJ924" t="s">
        <v>546</v>
      </c>
    </row>
    <row r="925" spans="1:36">
      <c r="A925" t="s">
        <v>3213</v>
      </c>
      <c r="B925" t="s">
        <v>3214</v>
      </c>
      <c r="F925" t="str">
        <f t="shared" si="14"/>
        <v>52828</v>
      </c>
      <c r="AE925">
        <v>1801110062008</v>
      </c>
      <c r="AG925" t="s">
        <v>2</v>
      </c>
      <c r="AH925" t="s">
        <v>1044</v>
      </c>
      <c r="AI925" t="s">
        <v>384</v>
      </c>
      <c r="AJ925" t="s">
        <v>1045</v>
      </c>
    </row>
    <row r="926" spans="1:36">
      <c r="A926" t="s">
        <v>3215</v>
      </c>
      <c r="B926" t="s">
        <v>3216</v>
      </c>
      <c r="F926" t="str">
        <f t="shared" si="14"/>
        <v>52829</v>
      </c>
      <c r="AE926">
        <v>1701110233338</v>
      </c>
      <c r="AG926" t="s">
        <v>2</v>
      </c>
      <c r="AH926" t="s">
        <v>290</v>
      </c>
      <c r="AI926" t="s">
        <v>124</v>
      </c>
      <c r="AJ926" t="s">
        <v>291</v>
      </c>
    </row>
    <row r="927" spans="1:36">
      <c r="A927" t="s">
        <v>3217</v>
      </c>
      <c r="B927" t="s">
        <v>3218</v>
      </c>
      <c r="F927" t="str">
        <f t="shared" si="14"/>
        <v>52931</v>
      </c>
      <c r="AE927">
        <v>1301110001212</v>
      </c>
      <c r="AG927" t="s">
        <v>4</v>
      </c>
      <c r="AH927" t="s">
        <v>51</v>
      </c>
      <c r="AI927" t="s">
        <v>32</v>
      </c>
      <c r="AJ927" t="s">
        <v>52</v>
      </c>
    </row>
    <row r="928" spans="1:36">
      <c r="A928" t="s">
        <v>3219</v>
      </c>
      <c r="B928" t="s">
        <v>3220</v>
      </c>
      <c r="F928" t="str">
        <f t="shared" si="14"/>
        <v>52932</v>
      </c>
      <c r="AE928">
        <v>1201110012914</v>
      </c>
      <c r="AG928" t="s">
        <v>2</v>
      </c>
      <c r="AH928" t="s">
        <v>1046</v>
      </c>
      <c r="AJ928" t="s">
        <v>1047</v>
      </c>
    </row>
    <row r="929" spans="1:36">
      <c r="A929" t="s">
        <v>3221</v>
      </c>
      <c r="B929" t="s">
        <v>3222</v>
      </c>
      <c r="F929" t="str">
        <f t="shared" si="14"/>
        <v>52933</v>
      </c>
      <c r="AE929">
        <v>1942110016528</v>
      </c>
      <c r="AG929" t="s">
        <v>4</v>
      </c>
      <c r="AH929" t="s">
        <v>830</v>
      </c>
      <c r="AI929" t="s">
        <v>32</v>
      </c>
      <c r="AJ929" t="s">
        <v>831</v>
      </c>
    </row>
    <row r="930" spans="1:36">
      <c r="A930" t="s">
        <v>3223</v>
      </c>
      <c r="B930" t="s">
        <v>3224</v>
      </c>
      <c r="F930" t="str">
        <f t="shared" si="14"/>
        <v>52992</v>
      </c>
      <c r="AE930">
        <v>1101112195843</v>
      </c>
      <c r="AG930" t="s">
        <v>4</v>
      </c>
    </row>
    <row r="931" spans="1:36">
      <c r="A931" t="s">
        <v>3225</v>
      </c>
      <c r="B931" t="s">
        <v>3226</v>
      </c>
      <c r="F931" t="str">
        <f t="shared" si="14"/>
        <v>52993</v>
      </c>
      <c r="AE931">
        <v>1348110031708</v>
      </c>
      <c r="AG931" t="s">
        <v>4</v>
      </c>
      <c r="AH931" t="s">
        <v>1048</v>
      </c>
      <c r="AI931" t="s">
        <v>150</v>
      </c>
      <c r="AJ931" t="s">
        <v>683</v>
      </c>
    </row>
    <row r="932" spans="1:36">
      <c r="A932" t="s">
        <v>3227</v>
      </c>
      <c r="B932" t="s">
        <v>3228</v>
      </c>
      <c r="F932" t="str">
        <f t="shared" si="14"/>
        <v>52994</v>
      </c>
      <c r="AE932">
        <v>1101112127292</v>
      </c>
      <c r="AG932" t="s">
        <v>4</v>
      </c>
      <c r="AH932" t="s">
        <v>130</v>
      </c>
      <c r="AJ932" t="s">
        <v>131</v>
      </c>
    </row>
    <row r="933" spans="1:36">
      <c r="A933" t="s">
        <v>3229</v>
      </c>
      <c r="B933" t="s">
        <v>3230</v>
      </c>
      <c r="F933" t="str">
        <f t="shared" si="14"/>
        <v>52995</v>
      </c>
      <c r="AE933">
        <v>1101110574560</v>
      </c>
      <c r="AG933" t="s">
        <v>4</v>
      </c>
      <c r="AH933" t="s">
        <v>213</v>
      </c>
      <c r="AI933" t="s">
        <v>214</v>
      </c>
      <c r="AJ933" t="s">
        <v>89</v>
      </c>
    </row>
    <row r="934" spans="1:36">
      <c r="A934" t="s">
        <v>3231</v>
      </c>
      <c r="B934" t="s">
        <v>3232</v>
      </c>
      <c r="F934" t="str">
        <f t="shared" si="14"/>
        <v>52996</v>
      </c>
      <c r="AE934">
        <v>1101111697832</v>
      </c>
      <c r="AG934" t="s">
        <v>4</v>
      </c>
      <c r="AH934" t="s">
        <v>1006</v>
      </c>
      <c r="AI934" t="s">
        <v>568</v>
      </c>
      <c r="AJ934" t="s">
        <v>1007</v>
      </c>
    </row>
    <row r="935" spans="1:36">
      <c r="A935" t="s">
        <v>3233</v>
      </c>
      <c r="B935" t="s">
        <v>3234</v>
      </c>
      <c r="F935" t="str">
        <f t="shared" si="14"/>
        <v>52997</v>
      </c>
      <c r="AE935">
        <v>1101110897087</v>
      </c>
      <c r="AG935" t="s">
        <v>4</v>
      </c>
      <c r="AH935" t="s">
        <v>47</v>
      </c>
      <c r="AJ935" t="s">
        <v>48</v>
      </c>
    </row>
    <row r="936" spans="1:36">
      <c r="A936" t="s">
        <v>3235</v>
      </c>
      <c r="B936" t="s">
        <v>3236</v>
      </c>
      <c r="F936" t="str">
        <f t="shared" si="14"/>
        <v>52998</v>
      </c>
      <c r="AE936">
        <v>1801110271766</v>
      </c>
      <c r="AG936" t="s">
        <v>4</v>
      </c>
      <c r="AH936" t="s">
        <v>462</v>
      </c>
      <c r="AI936" t="s">
        <v>177</v>
      </c>
      <c r="AJ936" t="s">
        <v>463</v>
      </c>
    </row>
    <row r="937" spans="1:36">
      <c r="A937" t="s">
        <v>3237</v>
      </c>
      <c r="B937" t="s">
        <v>3238</v>
      </c>
      <c r="F937" t="str">
        <f t="shared" si="14"/>
        <v>52999</v>
      </c>
      <c r="AE937">
        <v>1101110572861</v>
      </c>
      <c r="AG937" t="s">
        <v>4</v>
      </c>
      <c r="AH937" t="s">
        <v>716</v>
      </c>
      <c r="AI937" t="s">
        <v>384</v>
      </c>
      <c r="AJ937" t="s">
        <v>717</v>
      </c>
    </row>
    <row r="938" spans="1:36">
      <c r="A938" t="s">
        <v>3239</v>
      </c>
      <c r="B938" t="s">
        <v>3240</v>
      </c>
      <c r="F938" t="str">
        <f t="shared" si="14"/>
        <v>53000</v>
      </c>
      <c r="AE938">
        <v>1901110032562</v>
      </c>
      <c r="AG938" t="s">
        <v>4</v>
      </c>
      <c r="AH938" t="s">
        <v>1049</v>
      </c>
      <c r="AJ938" t="s">
        <v>1050</v>
      </c>
    </row>
    <row r="939" spans="1:36">
      <c r="A939" t="s">
        <v>3241</v>
      </c>
      <c r="B939" t="s">
        <v>3242</v>
      </c>
      <c r="F939" t="str">
        <f t="shared" si="14"/>
        <v>53001</v>
      </c>
      <c r="AE939">
        <v>1747110008595</v>
      </c>
      <c r="AG939" t="s">
        <v>4</v>
      </c>
      <c r="AH939" t="s">
        <v>1052</v>
      </c>
      <c r="AJ939" t="s">
        <v>394</v>
      </c>
    </row>
    <row r="940" spans="1:36">
      <c r="A940" t="s">
        <v>3243</v>
      </c>
      <c r="B940" t="s">
        <v>3244</v>
      </c>
      <c r="F940" t="str">
        <f t="shared" si="14"/>
        <v>53002</v>
      </c>
      <c r="AE940">
        <v>1101111430117</v>
      </c>
      <c r="AG940" t="s">
        <v>4</v>
      </c>
      <c r="AH940" t="s">
        <v>1053</v>
      </c>
      <c r="AI940" t="s">
        <v>177</v>
      </c>
      <c r="AJ940" t="s">
        <v>1054</v>
      </c>
    </row>
    <row r="941" spans="1:36">
      <c r="A941" t="s">
        <v>3245</v>
      </c>
      <c r="B941" t="s">
        <v>3246</v>
      </c>
      <c r="F941" t="str">
        <f t="shared" si="14"/>
        <v>53003</v>
      </c>
      <c r="AE941">
        <v>1341110074702</v>
      </c>
      <c r="AG941" t="s">
        <v>4</v>
      </c>
      <c r="AH941" t="s">
        <v>190</v>
      </c>
      <c r="AI941" t="s">
        <v>32</v>
      </c>
      <c r="AJ941" t="s">
        <v>91</v>
      </c>
    </row>
    <row r="942" spans="1:36">
      <c r="A942" t="s">
        <v>3247</v>
      </c>
      <c r="B942" t="s">
        <v>3248</v>
      </c>
      <c r="F942" t="str">
        <f t="shared" si="14"/>
        <v>53004</v>
      </c>
      <c r="AE942">
        <v>1342110001894</v>
      </c>
      <c r="AG942" t="s">
        <v>4</v>
      </c>
      <c r="AH942" t="s">
        <v>1056</v>
      </c>
      <c r="AI942" t="s">
        <v>826</v>
      </c>
      <c r="AJ942" t="s">
        <v>1057</v>
      </c>
    </row>
    <row r="943" spans="1:36">
      <c r="A943" t="s">
        <v>3249</v>
      </c>
      <c r="B943" t="s">
        <v>3250</v>
      </c>
      <c r="F943" t="str">
        <f t="shared" si="14"/>
        <v>53005</v>
      </c>
      <c r="AE943">
        <v>1244110030164</v>
      </c>
      <c r="AG943" t="s">
        <v>4</v>
      </c>
      <c r="AH943" t="s">
        <v>1059</v>
      </c>
      <c r="AI943" t="s">
        <v>83</v>
      </c>
      <c r="AJ943" t="s">
        <v>1060</v>
      </c>
    </row>
    <row r="944" spans="1:36">
      <c r="A944" t="s">
        <v>3251</v>
      </c>
      <c r="B944" t="s">
        <v>3252</v>
      </c>
      <c r="F944" t="str">
        <f t="shared" si="14"/>
        <v>53006</v>
      </c>
      <c r="AE944">
        <v>1101140046216</v>
      </c>
      <c r="AG944" t="s">
        <v>4</v>
      </c>
      <c r="AH944" t="s">
        <v>847</v>
      </c>
      <c r="AI944" t="s">
        <v>55</v>
      </c>
      <c r="AJ944" t="s">
        <v>848</v>
      </c>
    </row>
    <row r="945" spans="1:36">
      <c r="A945" t="s">
        <v>3253</v>
      </c>
      <c r="B945" t="s">
        <v>3254</v>
      </c>
      <c r="F945" t="str">
        <f t="shared" si="14"/>
        <v>53007</v>
      </c>
      <c r="AE945">
        <v>1101111159080</v>
      </c>
      <c r="AG945" t="s">
        <v>4</v>
      </c>
      <c r="AH945" t="s">
        <v>1062</v>
      </c>
      <c r="AI945" t="s">
        <v>275</v>
      </c>
      <c r="AJ945" t="s">
        <v>434</v>
      </c>
    </row>
    <row r="946" spans="1:36">
      <c r="A946" t="s">
        <v>3255</v>
      </c>
      <c r="B946" t="s">
        <v>3256</v>
      </c>
      <c r="F946" t="str">
        <f t="shared" si="14"/>
        <v>53008</v>
      </c>
      <c r="AE946">
        <v>1652710005372</v>
      </c>
      <c r="AG946" t="s">
        <v>4</v>
      </c>
      <c r="AH946" t="s">
        <v>1063</v>
      </c>
      <c r="AI946" t="s">
        <v>32</v>
      </c>
      <c r="AJ946" t="s">
        <v>1064</v>
      </c>
    </row>
    <row r="947" spans="1:36">
      <c r="A947" t="s">
        <v>3257</v>
      </c>
      <c r="B947" t="s">
        <v>3258</v>
      </c>
      <c r="F947" t="str">
        <f t="shared" si="14"/>
        <v>53009</v>
      </c>
      <c r="AE947">
        <v>1247710001551</v>
      </c>
      <c r="AG947" t="s">
        <v>4</v>
      </c>
      <c r="AH947" t="s">
        <v>883</v>
      </c>
      <c r="AI947" t="s">
        <v>555</v>
      </c>
      <c r="AJ947" t="s">
        <v>884</v>
      </c>
    </row>
    <row r="948" spans="1:36">
      <c r="A948" t="s">
        <v>3259</v>
      </c>
      <c r="B948" t="s">
        <v>3260</v>
      </c>
      <c r="F948" t="str">
        <f t="shared" si="14"/>
        <v>53010</v>
      </c>
      <c r="AE948">
        <v>1201110081951</v>
      </c>
      <c r="AG948" t="s">
        <v>2</v>
      </c>
      <c r="AH948" t="s">
        <v>425</v>
      </c>
      <c r="AI948" t="s">
        <v>76</v>
      </c>
      <c r="AJ948" t="s">
        <v>426</v>
      </c>
    </row>
    <row r="949" spans="1:36">
      <c r="A949" t="s">
        <v>3261</v>
      </c>
      <c r="B949" t="s">
        <v>3262</v>
      </c>
      <c r="F949" t="str">
        <f t="shared" si="14"/>
        <v>53093</v>
      </c>
      <c r="AE949">
        <v>1101140046993</v>
      </c>
      <c r="AG949" t="s">
        <v>4</v>
      </c>
    </row>
    <row r="950" spans="1:36">
      <c r="A950" t="s">
        <v>3263</v>
      </c>
      <c r="B950" t="s">
        <v>3264</v>
      </c>
      <c r="F950" t="str">
        <f t="shared" si="14"/>
        <v>53166</v>
      </c>
      <c r="AE950">
        <v>1201110298308</v>
      </c>
      <c r="AG950" t="s">
        <v>4</v>
      </c>
      <c r="AH950" t="s">
        <v>1067</v>
      </c>
      <c r="AJ950" t="s">
        <v>1068</v>
      </c>
    </row>
    <row r="951" spans="1:36">
      <c r="A951" t="s">
        <v>3265</v>
      </c>
      <c r="B951" t="s">
        <v>1489</v>
      </c>
      <c r="F951" t="str">
        <f t="shared" si="14"/>
        <v>53169</v>
      </c>
      <c r="AE951">
        <v>1101112328121</v>
      </c>
      <c r="AG951" t="s">
        <v>4</v>
      </c>
      <c r="AH951" t="s">
        <v>600</v>
      </c>
      <c r="AJ951" t="s">
        <v>601</v>
      </c>
    </row>
    <row r="952" spans="1:36">
      <c r="A952" t="s">
        <v>3266</v>
      </c>
      <c r="B952" t="s">
        <v>3267</v>
      </c>
      <c r="F952" t="str">
        <f t="shared" si="14"/>
        <v>53188</v>
      </c>
      <c r="AE952">
        <v>1615110031579</v>
      </c>
      <c r="AG952" t="s">
        <v>4</v>
      </c>
    </row>
    <row r="953" spans="1:36">
      <c r="A953" t="s">
        <v>3268</v>
      </c>
      <c r="B953" t="s">
        <v>3269</v>
      </c>
      <c r="F953" t="str">
        <f t="shared" si="14"/>
        <v>53189</v>
      </c>
      <c r="AE953">
        <v>1348110056772</v>
      </c>
      <c r="AG953" t="s">
        <v>4</v>
      </c>
      <c r="AH953" t="s">
        <v>1052</v>
      </c>
      <c r="AJ953" t="s">
        <v>394</v>
      </c>
    </row>
    <row r="954" spans="1:36">
      <c r="A954" t="s">
        <v>3270</v>
      </c>
      <c r="B954" t="s">
        <v>3271</v>
      </c>
      <c r="F954" t="str">
        <f t="shared" si="14"/>
        <v>53190</v>
      </c>
      <c r="AE954">
        <v>1846110007779</v>
      </c>
      <c r="AF954" t="s">
        <v>43</v>
      </c>
      <c r="AG954" t="s">
        <v>4</v>
      </c>
      <c r="AH954" t="s">
        <v>1069</v>
      </c>
      <c r="AJ954" t="s">
        <v>1070</v>
      </c>
    </row>
    <row r="955" spans="1:36">
      <c r="A955" t="s">
        <v>3272</v>
      </c>
      <c r="B955" t="s">
        <v>3273</v>
      </c>
      <c r="F955" t="str">
        <f t="shared" si="14"/>
        <v>53191</v>
      </c>
      <c r="AE955">
        <v>1812110008699</v>
      </c>
      <c r="AF955" t="s">
        <v>127</v>
      </c>
      <c r="AG955" t="s">
        <v>4</v>
      </c>
      <c r="AH955" t="s">
        <v>1071</v>
      </c>
      <c r="AJ955" t="s">
        <v>1072</v>
      </c>
    </row>
    <row r="956" spans="1:36">
      <c r="A956" t="s">
        <v>3274</v>
      </c>
      <c r="B956" t="s">
        <v>1490</v>
      </c>
      <c r="F956" t="str">
        <f t="shared" si="14"/>
        <v>53245</v>
      </c>
      <c r="AE956">
        <v>1101111082281</v>
      </c>
      <c r="AG956" t="s">
        <v>4</v>
      </c>
      <c r="AH956" t="s">
        <v>779</v>
      </c>
      <c r="AJ956" t="s">
        <v>780</v>
      </c>
    </row>
    <row r="957" spans="1:36">
      <c r="A957" t="s">
        <v>3275</v>
      </c>
      <c r="B957" t="s">
        <v>3276</v>
      </c>
      <c r="F957" t="str">
        <f t="shared" si="14"/>
        <v>53325</v>
      </c>
      <c r="AE957">
        <v>1101110530009</v>
      </c>
      <c r="AG957" t="s">
        <v>4</v>
      </c>
      <c r="AH957" t="s">
        <v>629</v>
      </c>
      <c r="AJ957" t="s">
        <v>630</v>
      </c>
    </row>
    <row r="958" spans="1:36">
      <c r="A958" t="s">
        <v>3277</v>
      </c>
      <c r="B958" t="s">
        <v>3278</v>
      </c>
      <c r="F958" t="str">
        <f t="shared" si="14"/>
        <v>53326</v>
      </c>
      <c r="AE958">
        <v>1101112369779</v>
      </c>
      <c r="AG958" t="s">
        <v>4</v>
      </c>
      <c r="AH958" t="s">
        <v>1073</v>
      </c>
      <c r="AJ958" t="s">
        <v>1074</v>
      </c>
    </row>
    <row r="959" spans="1:36">
      <c r="A959" t="s">
        <v>3279</v>
      </c>
      <c r="B959" t="s">
        <v>3280</v>
      </c>
      <c r="F959" t="str">
        <f t="shared" si="14"/>
        <v>53327</v>
      </c>
      <c r="AE959">
        <v>1412110008958</v>
      </c>
      <c r="AG959" t="s">
        <v>4</v>
      </c>
      <c r="AH959" t="s">
        <v>47</v>
      </c>
      <c r="AJ959" t="s">
        <v>48</v>
      </c>
    </row>
    <row r="960" spans="1:36">
      <c r="A960" t="s">
        <v>3281</v>
      </c>
      <c r="B960" t="s">
        <v>3282</v>
      </c>
      <c r="F960" t="str">
        <f t="shared" si="14"/>
        <v>53328</v>
      </c>
      <c r="AE960">
        <v>1211110063825</v>
      </c>
      <c r="AG960" t="s">
        <v>4</v>
      </c>
      <c r="AH960" t="s">
        <v>1075</v>
      </c>
      <c r="AJ960" t="s">
        <v>613</v>
      </c>
    </row>
    <row r="961" spans="1:36">
      <c r="A961" t="s">
        <v>3283</v>
      </c>
      <c r="B961" t="s">
        <v>3284</v>
      </c>
      <c r="F961" t="str">
        <f t="shared" si="14"/>
        <v>53442</v>
      </c>
      <c r="AE961">
        <v>1101110142177</v>
      </c>
      <c r="AG961" t="s">
        <v>4</v>
      </c>
      <c r="AH961" t="s">
        <v>1076</v>
      </c>
      <c r="AJ961" t="s">
        <v>1077</v>
      </c>
    </row>
    <row r="962" spans="1:36">
      <c r="A962" t="s">
        <v>3285</v>
      </c>
      <c r="B962" t="s">
        <v>3286</v>
      </c>
      <c r="F962" t="str">
        <f t="shared" si="14"/>
        <v>53445</v>
      </c>
      <c r="AE962">
        <v>1147110004090</v>
      </c>
      <c r="AG962" t="s">
        <v>4</v>
      </c>
      <c r="AH962" t="s">
        <v>997</v>
      </c>
      <c r="AJ962" t="s">
        <v>998</v>
      </c>
    </row>
    <row r="963" spans="1:36">
      <c r="A963" t="s">
        <v>3287</v>
      </c>
      <c r="B963" t="s">
        <v>87</v>
      </c>
      <c r="F963" t="str">
        <f t="shared" si="14"/>
        <v>53551</v>
      </c>
      <c r="AE963">
        <v>1717110033850</v>
      </c>
      <c r="AG963" t="s">
        <v>4</v>
      </c>
      <c r="AH963" t="s">
        <v>924</v>
      </c>
      <c r="AJ963" t="s">
        <v>925</v>
      </c>
    </row>
    <row r="964" spans="1:36">
      <c r="A964" t="s">
        <v>3288</v>
      </c>
      <c r="B964" t="s">
        <v>3289</v>
      </c>
      <c r="F964" t="str">
        <f t="shared" si="14"/>
        <v>53563</v>
      </c>
      <c r="AE964">
        <v>1211110058686</v>
      </c>
      <c r="AG964" t="s">
        <v>4</v>
      </c>
      <c r="AH964" t="s">
        <v>338</v>
      </c>
      <c r="AJ964" t="s">
        <v>339</v>
      </c>
    </row>
    <row r="965" spans="1:36">
      <c r="A965" t="s">
        <v>3290</v>
      </c>
      <c r="B965" t="s">
        <v>3291</v>
      </c>
      <c r="F965" t="str">
        <f t="shared" si="14"/>
        <v>53608</v>
      </c>
      <c r="AE965">
        <v>1101110145709</v>
      </c>
      <c r="AG965" t="s">
        <v>4</v>
      </c>
      <c r="AH965" t="s">
        <v>661</v>
      </c>
      <c r="AJ965" t="s">
        <v>662</v>
      </c>
    </row>
    <row r="966" spans="1:36">
      <c r="A966" t="s">
        <v>3292</v>
      </c>
      <c r="B966" t="s">
        <v>3293</v>
      </c>
      <c r="F966" t="str">
        <f t="shared" si="14"/>
        <v>53609</v>
      </c>
      <c r="AE966">
        <v>1244110039679</v>
      </c>
      <c r="AG966" t="s">
        <v>4</v>
      </c>
    </row>
    <row r="967" spans="1:36">
      <c r="A967" t="s">
        <v>3294</v>
      </c>
      <c r="B967" t="s">
        <v>3295</v>
      </c>
      <c r="F967" t="str">
        <f t="shared" si="14"/>
        <v>53610</v>
      </c>
      <c r="AE967">
        <v>1201110050253</v>
      </c>
      <c r="AG967" t="s">
        <v>4</v>
      </c>
      <c r="AH967" t="s">
        <v>926</v>
      </c>
      <c r="AJ967" t="s">
        <v>927</v>
      </c>
    </row>
    <row r="968" spans="1:36">
      <c r="A968" t="s">
        <v>3296</v>
      </c>
      <c r="B968" t="s">
        <v>3297</v>
      </c>
      <c r="F968" t="str">
        <f t="shared" si="14"/>
        <v>53611</v>
      </c>
      <c r="AE968">
        <v>1201110009515</v>
      </c>
      <c r="AG968" t="s">
        <v>4</v>
      </c>
      <c r="AH968" t="s">
        <v>355</v>
      </c>
      <c r="AJ968" t="s">
        <v>356</v>
      </c>
    </row>
    <row r="969" spans="1:36">
      <c r="A969" t="s">
        <v>3298</v>
      </c>
      <c r="B969" t="s">
        <v>3299</v>
      </c>
      <c r="F969" t="str">
        <f t="shared" si="14"/>
        <v>53680</v>
      </c>
      <c r="AE969">
        <v>1311110004265</v>
      </c>
      <c r="AG969" t="s">
        <v>4</v>
      </c>
      <c r="AH969" t="s">
        <v>1078</v>
      </c>
      <c r="AJ969" t="s">
        <v>1079</v>
      </c>
    </row>
    <row r="970" spans="1:36">
      <c r="A970" t="s">
        <v>3300</v>
      </c>
      <c r="B970" t="s">
        <v>3301</v>
      </c>
      <c r="F970" t="str">
        <f t="shared" ref="F970:F1033" si="15">CHOOSE($C$1, A970, B970)</f>
        <v>53681</v>
      </c>
      <c r="AE970">
        <v>1101111945554</v>
      </c>
      <c r="AG970" t="s">
        <v>4</v>
      </c>
      <c r="AH970" t="s">
        <v>1080</v>
      </c>
      <c r="AI970" t="s">
        <v>568</v>
      </c>
      <c r="AJ970" t="s">
        <v>1081</v>
      </c>
    </row>
    <row r="971" spans="1:36">
      <c r="A971" t="s">
        <v>3302</v>
      </c>
      <c r="B971" t="s">
        <v>3303</v>
      </c>
      <c r="F971" t="str">
        <f t="shared" si="15"/>
        <v>53682</v>
      </c>
      <c r="AE971">
        <v>1647110002804</v>
      </c>
      <c r="AG971" t="s">
        <v>4</v>
      </c>
      <c r="AH971" t="s">
        <v>1082</v>
      </c>
      <c r="AJ971" t="s">
        <v>1083</v>
      </c>
    </row>
    <row r="972" spans="1:36">
      <c r="A972" t="s">
        <v>3304</v>
      </c>
      <c r="B972" t="s">
        <v>3305</v>
      </c>
      <c r="F972" t="str">
        <f t="shared" si="15"/>
        <v>53683</v>
      </c>
      <c r="AE972">
        <v>1101140047371</v>
      </c>
      <c r="AG972" t="s">
        <v>4</v>
      </c>
    </row>
    <row r="973" spans="1:36">
      <c r="A973" t="s">
        <v>3306</v>
      </c>
      <c r="B973" t="s">
        <v>3307</v>
      </c>
      <c r="F973" t="str">
        <f t="shared" si="15"/>
        <v>53735</v>
      </c>
      <c r="AE973">
        <v>1101111100926</v>
      </c>
      <c r="AG973" t="s">
        <v>2</v>
      </c>
      <c r="AH973" t="s">
        <v>1084</v>
      </c>
      <c r="AJ973" t="s">
        <v>1085</v>
      </c>
    </row>
    <row r="974" spans="1:36">
      <c r="A974" t="s">
        <v>3308</v>
      </c>
      <c r="B974" t="s">
        <v>3309</v>
      </c>
      <c r="F974" t="str">
        <f t="shared" si="15"/>
        <v>53738</v>
      </c>
      <c r="AE974">
        <v>1101111588677</v>
      </c>
      <c r="AG974" t="s">
        <v>4</v>
      </c>
      <c r="AH974" t="s">
        <v>1086</v>
      </c>
      <c r="AJ974" t="s">
        <v>655</v>
      </c>
    </row>
    <row r="975" spans="1:36">
      <c r="A975" t="s">
        <v>3310</v>
      </c>
      <c r="B975" t="s">
        <v>3311</v>
      </c>
      <c r="F975" t="str">
        <f t="shared" si="15"/>
        <v>53827</v>
      </c>
      <c r="AE975">
        <v>1101110618194</v>
      </c>
      <c r="AG975" t="s">
        <v>4</v>
      </c>
      <c r="AH975" t="s">
        <v>51</v>
      </c>
      <c r="AI975" t="s">
        <v>32</v>
      </c>
      <c r="AJ975" t="s">
        <v>52</v>
      </c>
    </row>
    <row r="976" spans="1:36">
      <c r="A976" t="s">
        <v>3312</v>
      </c>
      <c r="B976" t="s">
        <v>3313</v>
      </c>
      <c r="F976" t="str">
        <f t="shared" si="15"/>
        <v>53828</v>
      </c>
      <c r="AE976">
        <v>1243110000698</v>
      </c>
      <c r="AG976" t="s">
        <v>4</v>
      </c>
      <c r="AH976" t="s">
        <v>51</v>
      </c>
      <c r="AI976" t="s">
        <v>32</v>
      </c>
      <c r="AJ976" t="s">
        <v>52</v>
      </c>
    </row>
    <row r="977" spans="1:36">
      <c r="A977" t="s">
        <v>3314</v>
      </c>
      <c r="B977" t="s">
        <v>3315</v>
      </c>
      <c r="F977" t="str">
        <f t="shared" si="15"/>
        <v>53829</v>
      </c>
      <c r="AG977" t="s">
        <v>4</v>
      </c>
    </row>
    <row r="978" spans="1:36">
      <c r="A978" t="s">
        <v>3316</v>
      </c>
      <c r="B978" t="s">
        <v>3317</v>
      </c>
      <c r="F978" t="str">
        <f t="shared" si="15"/>
        <v>53830</v>
      </c>
      <c r="AE978">
        <v>1112710005962</v>
      </c>
      <c r="AG978" t="s">
        <v>2</v>
      </c>
      <c r="AH978" t="s">
        <v>774</v>
      </c>
      <c r="AI978" t="s">
        <v>278</v>
      </c>
      <c r="AJ978" t="s">
        <v>775</v>
      </c>
    </row>
    <row r="979" spans="1:36">
      <c r="A979" t="s">
        <v>3318</v>
      </c>
      <c r="B979" t="s">
        <v>3319</v>
      </c>
      <c r="F979" t="str">
        <f t="shared" si="15"/>
        <v>53918</v>
      </c>
      <c r="AE979">
        <v>1101110371148</v>
      </c>
      <c r="AG979" t="s">
        <v>2</v>
      </c>
      <c r="AH979" t="s">
        <v>1088</v>
      </c>
      <c r="AI979" t="s">
        <v>580</v>
      </c>
      <c r="AJ979" t="s">
        <v>1089</v>
      </c>
    </row>
    <row r="980" spans="1:36">
      <c r="A980" t="s">
        <v>3320</v>
      </c>
      <c r="B980" t="s">
        <v>3321</v>
      </c>
      <c r="F980" t="str">
        <f t="shared" si="15"/>
        <v>53919</v>
      </c>
      <c r="AE980">
        <v>1101111170408</v>
      </c>
      <c r="AG980" t="s">
        <v>4</v>
      </c>
      <c r="AH980" t="s">
        <v>462</v>
      </c>
      <c r="AI980" t="s">
        <v>177</v>
      </c>
      <c r="AJ980" t="s">
        <v>463</v>
      </c>
    </row>
    <row r="981" spans="1:36">
      <c r="A981" t="s">
        <v>3322</v>
      </c>
      <c r="B981" t="s">
        <v>3323</v>
      </c>
      <c r="F981" t="str">
        <f t="shared" si="15"/>
        <v>53920</v>
      </c>
      <c r="AE981">
        <v>1801110207787</v>
      </c>
      <c r="AG981" t="s">
        <v>4</v>
      </c>
      <c r="AH981" t="s">
        <v>51</v>
      </c>
      <c r="AI981" t="s">
        <v>32</v>
      </c>
      <c r="AJ981" t="s">
        <v>52</v>
      </c>
    </row>
    <row r="982" spans="1:36">
      <c r="A982" t="s">
        <v>3324</v>
      </c>
      <c r="B982" t="s">
        <v>3325</v>
      </c>
      <c r="F982" t="str">
        <f t="shared" si="15"/>
        <v>53921</v>
      </c>
      <c r="AE982">
        <v>1101110298243</v>
      </c>
      <c r="AG982" t="s">
        <v>4</v>
      </c>
      <c r="AH982" t="s">
        <v>1090</v>
      </c>
      <c r="AJ982" t="s">
        <v>1091</v>
      </c>
    </row>
    <row r="983" spans="1:36">
      <c r="A983" t="s">
        <v>3326</v>
      </c>
      <c r="B983" t="s">
        <v>3327</v>
      </c>
      <c r="F983" t="str">
        <f t="shared" si="15"/>
        <v>53928</v>
      </c>
      <c r="AE983">
        <v>1942110066763</v>
      </c>
      <c r="AG983" t="s">
        <v>2</v>
      </c>
      <c r="AH983" t="s">
        <v>623</v>
      </c>
      <c r="AI983" t="s">
        <v>65</v>
      </c>
      <c r="AJ983" t="s">
        <v>624</v>
      </c>
    </row>
    <row r="984" spans="1:36">
      <c r="A984" t="s">
        <v>3328</v>
      </c>
      <c r="B984" t="s">
        <v>3329</v>
      </c>
      <c r="F984" t="str">
        <f t="shared" si="15"/>
        <v>53929</v>
      </c>
      <c r="AE984">
        <v>1101111673220</v>
      </c>
      <c r="AF984" t="s">
        <v>24</v>
      </c>
      <c r="AG984" t="s">
        <v>2</v>
      </c>
      <c r="AH984" t="s">
        <v>1093</v>
      </c>
      <c r="AI984" t="s">
        <v>966</v>
      </c>
      <c r="AJ984" t="s">
        <v>1094</v>
      </c>
    </row>
    <row r="985" spans="1:36">
      <c r="A985" t="s">
        <v>3330</v>
      </c>
      <c r="B985" t="s">
        <v>3331</v>
      </c>
      <c r="F985" t="str">
        <f t="shared" si="15"/>
        <v>53966</v>
      </c>
      <c r="AE985">
        <v>1101110008030</v>
      </c>
      <c r="AG985" t="s">
        <v>4</v>
      </c>
      <c r="AH985" t="s">
        <v>1095</v>
      </c>
      <c r="AJ985" t="s">
        <v>1096</v>
      </c>
    </row>
    <row r="986" spans="1:36">
      <c r="A986" t="s">
        <v>3332</v>
      </c>
      <c r="B986" t="s">
        <v>3333</v>
      </c>
      <c r="F986" t="str">
        <f t="shared" si="15"/>
        <v>53971</v>
      </c>
      <c r="AE986">
        <v>1101110626048</v>
      </c>
      <c r="AG986" t="s">
        <v>4</v>
      </c>
      <c r="AH986" t="s">
        <v>749</v>
      </c>
      <c r="AJ986" t="s">
        <v>750</v>
      </c>
    </row>
    <row r="987" spans="1:36">
      <c r="A987" t="s">
        <v>3334</v>
      </c>
      <c r="B987" t="s">
        <v>3335</v>
      </c>
      <c r="F987" t="str">
        <f t="shared" si="15"/>
        <v>53972</v>
      </c>
      <c r="AE987">
        <v>2149110003336</v>
      </c>
      <c r="AG987" t="s">
        <v>4</v>
      </c>
      <c r="AH987" t="s">
        <v>190</v>
      </c>
      <c r="AI987" t="s">
        <v>32</v>
      </c>
      <c r="AJ987" t="s">
        <v>91</v>
      </c>
    </row>
    <row r="988" spans="1:36">
      <c r="A988" t="s">
        <v>3336</v>
      </c>
      <c r="B988" t="s">
        <v>3337</v>
      </c>
      <c r="F988" t="str">
        <f t="shared" si="15"/>
        <v>53973</v>
      </c>
      <c r="AE988">
        <v>1101110626171</v>
      </c>
      <c r="AG988" t="s">
        <v>4</v>
      </c>
      <c r="AH988" t="s">
        <v>462</v>
      </c>
      <c r="AI988" t="s">
        <v>177</v>
      </c>
      <c r="AJ988" t="s">
        <v>463</v>
      </c>
    </row>
    <row r="989" spans="1:36">
      <c r="A989" t="s">
        <v>3338</v>
      </c>
      <c r="B989" t="s">
        <v>3339</v>
      </c>
      <c r="F989" t="str">
        <f t="shared" si="15"/>
        <v>53974</v>
      </c>
      <c r="AE989">
        <v>2001110042295</v>
      </c>
      <c r="AG989" t="s">
        <v>4</v>
      </c>
      <c r="AH989" t="s">
        <v>51</v>
      </c>
      <c r="AI989" t="s">
        <v>32</v>
      </c>
      <c r="AJ989" t="s">
        <v>52</v>
      </c>
    </row>
    <row r="990" spans="1:36">
      <c r="A990" t="s">
        <v>3340</v>
      </c>
      <c r="B990" t="s">
        <v>3341</v>
      </c>
      <c r="F990" t="str">
        <f t="shared" si="15"/>
        <v>54081</v>
      </c>
      <c r="AE990">
        <v>1344110017532</v>
      </c>
      <c r="AG990" t="s">
        <v>4</v>
      </c>
      <c r="AH990" t="s">
        <v>338</v>
      </c>
      <c r="AJ990" t="s">
        <v>339</v>
      </c>
    </row>
    <row r="991" spans="1:36">
      <c r="A991" t="s">
        <v>3342</v>
      </c>
      <c r="B991" t="s">
        <v>3343</v>
      </c>
      <c r="F991" t="str">
        <f t="shared" si="15"/>
        <v>54133</v>
      </c>
      <c r="AE991">
        <v>1101111998701</v>
      </c>
      <c r="AG991" t="s">
        <v>4</v>
      </c>
      <c r="AH991" t="s">
        <v>1097</v>
      </c>
      <c r="AI991" t="s">
        <v>177</v>
      </c>
      <c r="AJ991" t="s">
        <v>1098</v>
      </c>
    </row>
    <row r="992" spans="1:36">
      <c r="A992" t="s">
        <v>3344</v>
      </c>
      <c r="B992" t="s">
        <v>3345</v>
      </c>
      <c r="F992" t="str">
        <f t="shared" si="15"/>
        <v>54134</v>
      </c>
      <c r="AE992">
        <v>1101111551608</v>
      </c>
      <c r="AG992" t="s">
        <v>2</v>
      </c>
      <c r="AH992" t="s">
        <v>1036</v>
      </c>
      <c r="AI992" t="s">
        <v>76</v>
      </c>
      <c r="AJ992" t="s">
        <v>1037</v>
      </c>
    </row>
    <row r="993" spans="1:36">
      <c r="A993" t="s">
        <v>3346</v>
      </c>
      <c r="B993" t="s">
        <v>3347</v>
      </c>
      <c r="F993" t="str">
        <f t="shared" si="15"/>
        <v>54135</v>
      </c>
      <c r="AE993">
        <v>2001110042568</v>
      </c>
      <c r="AG993" t="s">
        <v>4</v>
      </c>
      <c r="AH993" t="s">
        <v>190</v>
      </c>
      <c r="AI993" t="s">
        <v>32</v>
      </c>
      <c r="AJ993" t="s">
        <v>91</v>
      </c>
    </row>
    <row r="994" spans="1:36">
      <c r="A994" t="s">
        <v>3348</v>
      </c>
      <c r="B994" t="s">
        <v>3349</v>
      </c>
      <c r="F994" t="str">
        <f t="shared" si="15"/>
        <v>54136</v>
      </c>
      <c r="AE994">
        <v>2001110137989</v>
      </c>
      <c r="AG994" t="s">
        <v>4</v>
      </c>
      <c r="AH994" t="s">
        <v>51</v>
      </c>
      <c r="AI994" t="s">
        <v>32</v>
      </c>
      <c r="AJ994" t="s">
        <v>52</v>
      </c>
    </row>
    <row r="995" spans="1:36">
      <c r="A995" t="s">
        <v>3350</v>
      </c>
      <c r="B995" t="s">
        <v>3351</v>
      </c>
      <c r="F995" t="str">
        <f t="shared" si="15"/>
        <v>54167</v>
      </c>
      <c r="AE995">
        <v>2052110001385</v>
      </c>
      <c r="AG995" t="s">
        <v>4</v>
      </c>
      <c r="AH995" t="s">
        <v>90</v>
      </c>
      <c r="AI995" t="s">
        <v>32</v>
      </c>
      <c r="AJ995" t="s">
        <v>91</v>
      </c>
    </row>
    <row r="996" spans="1:36">
      <c r="A996" t="s">
        <v>3352</v>
      </c>
      <c r="B996" t="s">
        <v>3353</v>
      </c>
      <c r="F996" t="str">
        <f t="shared" si="15"/>
        <v>54217</v>
      </c>
      <c r="AE996">
        <v>1101710029402</v>
      </c>
      <c r="AG996" t="s">
        <v>4</v>
      </c>
      <c r="AH996" t="s">
        <v>837</v>
      </c>
      <c r="AI996" t="s">
        <v>6</v>
      </c>
      <c r="AJ996" t="s">
        <v>838</v>
      </c>
    </row>
    <row r="997" spans="1:36">
      <c r="A997" t="s">
        <v>3354</v>
      </c>
      <c r="B997" t="s">
        <v>3355</v>
      </c>
      <c r="F997" t="str">
        <f t="shared" si="15"/>
        <v>54253</v>
      </c>
      <c r="AE997">
        <v>1101111824526</v>
      </c>
      <c r="AG997" t="s">
        <v>4</v>
      </c>
      <c r="AH997" t="s">
        <v>1100</v>
      </c>
      <c r="AI997" t="s">
        <v>192</v>
      </c>
      <c r="AJ997" t="s">
        <v>1022</v>
      </c>
    </row>
    <row r="998" spans="1:36">
      <c r="A998" t="s">
        <v>3356</v>
      </c>
      <c r="B998" t="s">
        <v>3357</v>
      </c>
      <c r="F998" t="str">
        <f t="shared" si="15"/>
        <v>54282</v>
      </c>
      <c r="AE998">
        <v>1101111824526</v>
      </c>
      <c r="AG998" t="s">
        <v>4</v>
      </c>
      <c r="AH998" t="s">
        <v>1100</v>
      </c>
      <c r="AI998" t="s">
        <v>192</v>
      </c>
      <c r="AJ998" t="s">
        <v>1022</v>
      </c>
    </row>
    <row r="999" spans="1:36">
      <c r="A999" t="s">
        <v>3358</v>
      </c>
      <c r="B999" t="s">
        <v>3359</v>
      </c>
      <c r="F999" t="str">
        <f t="shared" si="15"/>
        <v>54427</v>
      </c>
      <c r="AE999">
        <v>1101111824526</v>
      </c>
      <c r="AG999" t="s">
        <v>4</v>
      </c>
      <c r="AH999" t="s">
        <v>1100</v>
      </c>
      <c r="AI999" t="s">
        <v>192</v>
      </c>
      <c r="AJ999" t="s">
        <v>1022</v>
      </c>
    </row>
    <row r="1000" spans="1:36">
      <c r="A1000" t="s">
        <v>3360</v>
      </c>
      <c r="B1000" t="s">
        <v>3361</v>
      </c>
      <c r="F1000" t="str">
        <f t="shared" si="15"/>
        <v>54428</v>
      </c>
      <c r="AE1000">
        <v>1101111824526</v>
      </c>
      <c r="AG1000" t="s">
        <v>4</v>
      </c>
      <c r="AH1000" t="s">
        <v>1100</v>
      </c>
      <c r="AI1000" t="s">
        <v>192</v>
      </c>
      <c r="AJ1000" t="s">
        <v>1022</v>
      </c>
    </row>
    <row r="1001" spans="1:36">
      <c r="A1001" t="s">
        <v>3362</v>
      </c>
      <c r="B1001" t="s">
        <v>3363</v>
      </c>
      <c r="F1001" t="str">
        <f t="shared" si="15"/>
        <v>54429</v>
      </c>
      <c r="AE1001">
        <v>1101111824526</v>
      </c>
      <c r="AG1001" t="s">
        <v>4</v>
      </c>
      <c r="AH1001" t="s">
        <v>1100</v>
      </c>
      <c r="AI1001" t="s">
        <v>192</v>
      </c>
      <c r="AJ1001" t="s">
        <v>1022</v>
      </c>
    </row>
    <row r="1002" spans="1:36">
      <c r="A1002" t="s">
        <v>3364</v>
      </c>
      <c r="B1002" t="s">
        <v>3365</v>
      </c>
      <c r="F1002" t="str">
        <f t="shared" si="15"/>
        <v>54430</v>
      </c>
      <c r="AE1002">
        <v>1101112907826</v>
      </c>
      <c r="AG1002" t="s">
        <v>4</v>
      </c>
      <c r="AH1002" t="s">
        <v>1101</v>
      </c>
      <c r="AI1002" t="s">
        <v>568</v>
      </c>
      <c r="AJ1002" t="s">
        <v>1102</v>
      </c>
    </row>
    <row r="1003" spans="1:36">
      <c r="A1003" t="s">
        <v>3366</v>
      </c>
      <c r="B1003" t="s">
        <v>1494</v>
      </c>
      <c r="F1003" t="str">
        <f t="shared" si="15"/>
        <v>54701</v>
      </c>
      <c r="AE1003">
        <v>1101113374719</v>
      </c>
      <c r="AG1003" t="s">
        <v>4</v>
      </c>
      <c r="AH1003" t="s">
        <v>847</v>
      </c>
      <c r="AI1003" t="s">
        <v>55</v>
      </c>
      <c r="AJ1003" t="s">
        <v>848</v>
      </c>
    </row>
    <row r="1004" spans="1:36">
      <c r="A1004" t="s">
        <v>3367</v>
      </c>
      <c r="B1004" t="s">
        <v>3368</v>
      </c>
      <c r="F1004" t="str">
        <f t="shared" si="15"/>
        <v>54765</v>
      </c>
      <c r="AE1004">
        <v>1101110773552</v>
      </c>
      <c r="AG1004" t="s">
        <v>4</v>
      </c>
      <c r="AH1004" t="s">
        <v>1103</v>
      </c>
      <c r="AJ1004" t="s">
        <v>887</v>
      </c>
    </row>
    <row r="1005" spans="1:36">
      <c r="A1005" t="s">
        <v>3369</v>
      </c>
      <c r="B1005" t="s">
        <v>3370</v>
      </c>
      <c r="F1005" t="str">
        <f t="shared" si="15"/>
        <v>54863</v>
      </c>
      <c r="AE1005">
        <v>1101111516933</v>
      </c>
      <c r="AG1005" t="s">
        <v>2</v>
      </c>
      <c r="AH1005" t="s">
        <v>1105</v>
      </c>
      <c r="AI1005" t="s">
        <v>384</v>
      </c>
      <c r="AJ1005" t="s">
        <v>1106</v>
      </c>
    </row>
    <row r="1006" spans="1:36">
      <c r="A1006" t="s">
        <v>3371</v>
      </c>
      <c r="B1006" t="s">
        <v>3372</v>
      </c>
      <c r="F1006" t="str">
        <f t="shared" si="15"/>
        <v>54864</v>
      </c>
      <c r="AE1006">
        <v>1101112664400</v>
      </c>
      <c r="AG1006" t="s">
        <v>4</v>
      </c>
      <c r="AH1006" t="s">
        <v>190</v>
      </c>
      <c r="AI1006" t="s">
        <v>32</v>
      </c>
      <c r="AJ1006" t="s">
        <v>91</v>
      </c>
    </row>
    <row r="1007" spans="1:36">
      <c r="A1007" t="s">
        <v>3373</v>
      </c>
      <c r="B1007" t="s">
        <v>3374</v>
      </c>
      <c r="F1007" t="str">
        <f t="shared" si="15"/>
        <v>54865</v>
      </c>
      <c r="AE1007">
        <v>1101113045112</v>
      </c>
      <c r="AF1007" t="s">
        <v>127</v>
      </c>
      <c r="AG1007" t="s">
        <v>2</v>
      </c>
      <c r="AH1007" t="s">
        <v>15</v>
      </c>
      <c r="AI1007" t="s">
        <v>16</v>
      </c>
      <c r="AJ1007" t="s">
        <v>17</v>
      </c>
    </row>
    <row r="1008" spans="1:36">
      <c r="A1008" t="s">
        <v>3375</v>
      </c>
      <c r="B1008" t="s">
        <v>3376</v>
      </c>
      <c r="F1008" t="str">
        <f t="shared" si="15"/>
        <v>54866</v>
      </c>
      <c r="AE1008">
        <v>1101110331340</v>
      </c>
      <c r="AG1008" t="s">
        <v>4</v>
      </c>
    </row>
    <row r="1009" spans="1:36">
      <c r="A1009" t="s">
        <v>3377</v>
      </c>
      <c r="B1009" t="s">
        <v>1495</v>
      </c>
      <c r="F1009" t="str">
        <f t="shared" si="15"/>
        <v>54872</v>
      </c>
      <c r="AE1009">
        <v>1101110739841</v>
      </c>
      <c r="AF1009" t="s">
        <v>238</v>
      </c>
      <c r="AG1009" t="s">
        <v>4</v>
      </c>
      <c r="AH1009" t="s">
        <v>1108</v>
      </c>
      <c r="AI1009" t="s">
        <v>1109</v>
      </c>
      <c r="AJ1009" t="s">
        <v>1110</v>
      </c>
    </row>
    <row r="1010" spans="1:36">
      <c r="A1010" t="s">
        <v>3378</v>
      </c>
      <c r="B1010" t="s">
        <v>3379</v>
      </c>
      <c r="F1010" t="str">
        <f t="shared" si="15"/>
        <v>54969</v>
      </c>
      <c r="AE1010">
        <v>1101110860216</v>
      </c>
      <c r="AG1010" t="s">
        <v>2</v>
      </c>
      <c r="AH1010" t="s">
        <v>1111</v>
      </c>
      <c r="AJ1010" t="s">
        <v>1112</v>
      </c>
    </row>
    <row r="1011" spans="1:36">
      <c r="A1011" t="s">
        <v>3380</v>
      </c>
      <c r="B1011" t="s">
        <v>3381</v>
      </c>
      <c r="F1011" t="str">
        <f t="shared" si="15"/>
        <v>54970</v>
      </c>
      <c r="AE1011">
        <v>1601110018964</v>
      </c>
      <c r="AG1011" t="s">
        <v>4</v>
      </c>
      <c r="AH1011" t="s">
        <v>886</v>
      </c>
      <c r="AI1011" t="s">
        <v>857</v>
      </c>
      <c r="AJ1011" t="s">
        <v>887</v>
      </c>
    </row>
    <row r="1012" spans="1:36">
      <c r="A1012" t="s">
        <v>3382</v>
      </c>
      <c r="B1012" t="s">
        <v>3383</v>
      </c>
      <c r="F1012" t="str">
        <f t="shared" si="15"/>
        <v>54971</v>
      </c>
      <c r="AE1012">
        <v>1101111851579</v>
      </c>
      <c r="AG1012" t="s">
        <v>4</v>
      </c>
      <c r="AH1012" t="s">
        <v>621</v>
      </c>
      <c r="AI1012" t="s">
        <v>55</v>
      </c>
      <c r="AJ1012" t="s">
        <v>622</v>
      </c>
    </row>
    <row r="1013" spans="1:36">
      <c r="A1013" t="s">
        <v>3384</v>
      </c>
      <c r="B1013" t="s">
        <v>3385</v>
      </c>
      <c r="F1013" t="str">
        <f t="shared" si="15"/>
        <v>54972</v>
      </c>
      <c r="AE1013">
        <v>1350110121570</v>
      </c>
      <c r="AF1013" t="s">
        <v>127</v>
      </c>
      <c r="AG1013" t="s">
        <v>4</v>
      </c>
      <c r="AH1013" t="s">
        <v>774</v>
      </c>
      <c r="AI1013" t="s">
        <v>278</v>
      </c>
      <c r="AJ1013" t="s">
        <v>775</v>
      </c>
    </row>
    <row r="1014" spans="1:36">
      <c r="A1014" t="s">
        <v>3386</v>
      </c>
      <c r="B1014" t="s">
        <v>1496</v>
      </c>
      <c r="F1014" t="str">
        <f t="shared" si="15"/>
        <v>54979</v>
      </c>
      <c r="AE1014">
        <v>1601110083066</v>
      </c>
      <c r="AF1014" t="s">
        <v>227</v>
      </c>
      <c r="AG1014" t="s">
        <v>4</v>
      </c>
      <c r="AH1014" t="s">
        <v>1114</v>
      </c>
      <c r="AI1014" t="s">
        <v>150</v>
      </c>
      <c r="AJ1014" t="s">
        <v>1115</v>
      </c>
    </row>
    <row r="1015" spans="1:36">
      <c r="A1015" t="s">
        <v>3387</v>
      </c>
      <c r="B1015" t="s">
        <v>3388</v>
      </c>
      <c r="F1015" t="str">
        <f t="shared" si="15"/>
        <v>54999</v>
      </c>
      <c r="AE1015">
        <v>1311110002293</v>
      </c>
      <c r="AG1015" t="s">
        <v>4</v>
      </c>
      <c r="AH1015" t="s">
        <v>190</v>
      </c>
      <c r="AI1015" t="s">
        <v>32</v>
      </c>
      <c r="AJ1015" t="s">
        <v>91</v>
      </c>
    </row>
    <row r="1016" spans="1:36">
      <c r="A1016" t="s">
        <v>3389</v>
      </c>
      <c r="B1016" t="s">
        <v>3390</v>
      </c>
      <c r="F1016" t="str">
        <f t="shared" si="15"/>
        <v>55032</v>
      </c>
      <c r="AE1016">
        <v>1412110008958</v>
      </c>
      <c r="AG1016" t="s">
        <v>4</v>
      </c>
      <c r="AH1016" t="s">
        <v>47</v>
      </c>
      <c r="AJ1016" t="s">
        <v>48</v>
      </c>
    </row>
    <row r="1017" spans="1:36">
      <c r="A1017" t="s">
        <v>3391</v>
      </c>
      <c r="B1017" t="s">
        <v>3392</v>
      </c>
      <c r="F1017" t="str">
        <f t="shared" si="15"/>
        <v>55077</v>
      </c>
      <c r="AE1017">
        <v>1101111375818</v>
      </c>
      <c r="AG1017" t="s">
        <v>4</v>
      </c>
      <c r="AH1017" t="s">
        <v>1038</v>
      </c>
      <c r="AI1017" t="s">
        <v>32</v>
      </c>
      <c r="AJ1017" t="s">
        <v>1039</v>
      </c>
    </row>
    <row r="1018" spans="1:36">
      <c r="A1018" t="s">
        <v>3393</v>
      </c>
      <c r="B1018" t="s">
        <v>3394</v>
      </c>
      <c r="F1018" t="str">
        <f t="shared" si="15"/>
        <v>55078</v>
      </c>
      <c r="AE1018">
        <v>2001110072911</v>
      </c>
      <c r="AG1018" t="s">
        <v>4</v>
      </c>
      <c r="AH1018" t="s">
        <v>190</v>
      </c>
      <c r="AI1018" t="s">
        <v>32</v>
      </c>
      <c r="AJ1018" t="s">
        <v>91</v>
      </c>
    </row>
    <row r="1019" spans="1:36">
      <c r="A1019" t="s">
        <v>3395</v>
      </c>
      <c r="B1019" t="s">
        <v>3396</v>
      </c>
      <c r="F1019" t="str">
        <f t="shared" si="15"/>
        <v>55079</v>
      </c>
      <c r="AE1019">
        <v>1701110164533</v>
      </c>
      <c r="AG1019" t="s">
        <v>4</v>
      </c>
      <c r="AH1019" t="s">
        <v>1116</v>
      </c>
      <c r="AJ1019" t="s">
        <v>1117</v>
      </c>
    </row>
    <row r="1020" spans="1:36">
      <c r="A1020" t="s">
        <v>3397</v>
      </c>
      <c r="B1020" t="s">
        <v>3398</v>
      </c>
      <c r="F1020" t="str">
        <f t="shared" si="15"/>
        <v>55080</v>
      </c>
      <c r="AE1020">
        <v>1101110612162</v>
      </c>
      <c r="AG1020" t="s">
        <v>4</v>
      </c>
      <c r="AH1020" t="s">
        <v>51</v>
      </c>
      <c r="AI1020" t="s">
        <v>32</v>
      </c>
      <c r="AJ1020" t="s">
        <v>52</v>
      </c>
    </row>
    <row r="1021" spans="1:36">
      <c r="A1021" t="s">
        <v>3399</v>
      </c>
      <c r="B1021" t="s">
        <v>3400</v>
      </c>
      <c r="F1021" t="str">
        <f t="shared" si="15"/>
        <v>55205</v>
      </c>
      <c r="AE1021">
        <v>1101110585864</v>
      </c>
      <c r="AG1021" t="s">
        <v>4</v>
      </c>
      <c r="AH1021" t="s">
        <v>44</v>
      </c>
      <c r="AI1021" t="s">
        <v>32</v>
      </c>
      <c r="AJ1021" t="s">
        <v>45</v>
      </c>
    </row>
    <row r="1022" spans="1:36">
      <c r="A1022" t="s">
        <v>3401</v>
      </c>
      <c r="B1022" t="s">
        <v>3402</v>
      </c>
      <c r="F1022" t="str">
        <f t="shared" si="15"/>
        <v>55206</v>
      </c>
      <c r="AE1022">
        <v>1201110350124</v>
      </c>
      <c r="AG1022" t="s">
        <v>2</v>
      </c>
      <c r="AH1022" t="s">
        <v>924</v>
      </c>
      <c r="AJ1022" t="s">
        <v>925</v>
      </c>
    </row>
    <row r="1023" spans="1:36">
      <c r="A1023" t="s">
        <v>3403</v>
      </c>
      <c r="B1023" t="s">
        <v>3404</v>
      </c>
      <c r="F1023" t="str">
        <f t="shared" si="15"/>
        <v>55207</v>
      </c>
      <c r="AE1023">
        <v>1351110047782</v>
      </c>
      <c r="AG1023" t="s">
        <v>2</v>
      </c>
      <c r="AH1023" t="s">
        <v>1118</v>
      </c>
      <c r="AJ1023" t="s">
        <v>1032</v>
      </c>
    </row>
    <row r="1024" spans="1:36">
      <c r="A1024" t="s">
        <v>3405</v>
      </c>
      <c r="B1024" t="s">
        <v>3406</v>
      </c>
      <c r="F1024" t="str">
        <f t="shared" si="15"/>
        <v>55208</v>
      </c>
      <c r="AE1024">
        <v>1101111625271</v>
      </c>
      <c r="AG1024" t="s">
        <v>2</v>
      </c>
      <c r="AH1024" t="s">
        <v>1119</v>
      </c>
      <c r="AJ1024" t="s">
        <v>1120</v>
      </c>
    </row>
    <row r="1025" spans="1:36">
      <c r="A1025" t="s">
        <v>3407</v>
      </c>
      <c r="B1025" t="s">
        <v>3408</v>
      </c>
      <c r="F1025" t="str">
        <f t="shared" si="15"/>
        <v>55242</v>
      </c>
      <c r="AE1025">
        <v>1101110999007</v>
      </c>
      <c r="AG1025" t="s">
        <v>4</v>
      </c>
      <c r="AH1025" t="s">
        <v>697</v>
      </c>
      <c r="AJ1025" t="s">
        <v>698</v>
      </c>
    </row>
    <row r="1026" spans="1:36">
      <c r="A1026" t="s">
        <v>3409</v>
      </c>
      <c r="B1026" t="s">
        <v>3410</v>
      </c>
      <c r="F1026" t="str">
        <f t="shared" si="15"/>
        <v>55244</v>
      </c>
      <c r="AE1026">
        <v>1350110067071</v>
      </c>
      <c r="AG1026" t="s">
        <v>4</v>
      </c>
      <c r="AH1026" t="s">
        <v>1121</v>
      </c>
      <c r="AI1026" t="s">
        <v>568</v>
      </c>
      <c r="AJ1026" t="s">
        <v>1122</v>
      </c>
    </row>
    <row r="1027" spans="1:36">
      <c r="A1027" t="s">
        <v>3411</v>
      </c>
      <c r="B1027" t="s">
        <v>3412</v>
      </c>
      <c r="F1027" t="str">
        <f t="shared" si="15"/>
        <v>55316</v>
      </c>
      <c r="AE1027">
        <v>2301110082112</v>
      </c>
      <c r="AG1027" t="s">
        <v>4</v>
      </c>
      <c r="AH1027" t="s">
        <v>344</v>
      </c>
      <c r="AJ1027" t="s">
        <v>345</v>
      </c>
    </row>
    <row r="1028" spans="1:36">
      <c r="A1028" t="s">
        <v>3413</v>
      </c>
      <c r="B1028" t="s">
        <v>3414</v>
      </c>
      <c r="F1028" t="str">
        <f t="shared" si="15"/>
        <v>55317</v>
      </c>
      <c r="AE1028">
        <v>1347110014590</v>
      </c>
      <c r="AG1028" t="s">
        <v>2</v>
      </c>
      <c r="AH1028" t="s">
        <v>1123</v>
      </c>
      <c r="AI1028" t="s">
        <v>914</v>
      </c>
      <c r="AJ1028" t="s">
        <v>1124</v>
      </c>
    </row>
    <row r="1029" spans="1:36">
      <c r="A1029" t="s">
        <v>3415</v>
      </c>
      <c r="B1029" t="s">
        <v>3416</v>
      </c>
      <c r="F1029" t="str">
        <f t="shared" si="15"/>
        <v>55318</v>
      </c>
      <c r="AE1029">
        <v>1342110036247</v>
      </c>
      <c r="AG1029" t="s">
        <v>4</v>
      </c>
      <c r="AH1029" t="s">
        <v>1119</v>
      </c>
      <c r="AJ1029" t="s">
        <v>1120</v>
      </c>
    </row>
    <row r="1030" spans="1:36">
      <c r="A1030" t="s">
        <v>3417</v>
      </c>
      <c r="B1030" t="s">
        <v>3418</v>
      </c>
      <c r="F1030" t="str">
        <f t="shared" si="15"/>
        <v>55319</v>
      </c>
      <c r="AE1030">
        <v>1101112915605</v>
      </c>
      <c r="AG1030" t="s">
        <v>2</v>
      </c>
      <c r="AH1030" t="s">
        <v>656</v>
      </c>
      <c r="AI1030" t="s">
        <v>657</v>
      </c>
      <c r="AJ1030" t="s">
        <v>658</v>
      </c>
    </row>
    <row r="1031" spans="1:36">
      <c r="A1031" t="s">
        <v>3419</v>
      </c>
      <c r="B1031" t="s">
        <v>1497</v>
      </c>
      <c r="F1031" t="str">
        <f t="shared" si="15"/>
        <v>55395</v>
      </c>
      <c r="AE1031">
        <v>1244110037912</v>
      </c>
      <c r="AG1031" t="s">
        <v>4</v>
      </c>
    </row>
    <row r="1032" spans="1:36">
      <c r="A1032" t="s">
        <v>3420</v>
      </c>
      <c r="B1032" t="s">
        <v>3421</v>
      </c>
      <c r="F1032" t="str">
        <f t="shared" si="15"/>
        <v>55400</v>
      </c>
      <c r="AE1032">
        <v>1312110007366</v>
      </c>
      <c r="AG1032" t="s">
        <v>4</v>
      </c>
    </row>
    <row r="1033" spans="1:36">
      <c r="A1033" t="s">
        <v>3422</v>
      </c>
      <c r="B1033" t="s">
        <v>3423</v>
      </c>
      <c r="F1033" t="str">
        <f t="shared" si="15"/>
        <v>55401</v>
      </c>
      <c r="AE1033">
        <v>1101140050960</v>
      </c>
      <c r="AG1033" t="s">
        <v>4</v>
      </c>
      <c r="AH1033" t="s">
        <v>847</v>
      </c>
      <c r="AI1033" t="s">
        <v>55</v>
      </c>
      <c r="AJ1033" t="s">
        <v>848</v>
      </c>
    </row>
    <row r="1034" spans="1:36">
      <c r="A1034" t="s">
        <v>3424</v>
      </c>
      <c r="B1034" t="s">
        <v>3425</v>
      </c>
      <c r="F1034" t="str">
        <f t="shared" ref="F1034:F1097" si="16">CHOOSE($C$1, A1034, B1034)</f>
        <v>55402</v>
      </c>
      <c r="AE1034">
        <v>1101140050960</v>
      </c>
      <c r="AG1034" t="s">
        <v>4</v>
      </c>
      <c r="AH1034" t="s">
        <v>847</v>
      </c>
      <c r="AI1034" t="s">
        <v>55</v>
      </c>
      <c r="AJ1034" t="s">
        <v>848</v>
      </c>
    </row>
    <row r="1035" spans="1:36">
      <c r="A1035" t="s">
        <v>3426</v>
      </c>
      <c r="B1035" t="s">
        <v>3427</v>
      </c>
      <c r="F1035" t="str">
        <f t="shared" si="16"/>
        <v>55403</v>
      </c>
      <c r="AE1035">
        <v>1244110024117</v>
      </c>
      <c r="AG1035" t="s">
        <v>4</v>
      </c>
      <c r="AH1035" t="s">
        <v>462</v>
      </c>
      <c r="AI1035" t="s">
        <v>177</v>
      </c>
      <c r="AJ1035" t="s">
        <v>463</v>
      </c>
    </row>
    <row r="1036" spans="1:36">
      <c r="A1036" t="s">
        <v>3428</v>
      </c>
      <c r="B1036" t="s">
        <v>3429</v>
      </c>
      <c r="F1036" t="str">
        <f t="shared" si="16"/>
        <v>55434</v>
      </c>
      <c r="AE1036">
        <v>1942110057506</v>
      </c>
      <c r="AG1036" t="s">
        <v>4</v>
      </c>
      <c r="AH1036" t="s">
        <v>259</v>
      </c>
      <c r="AJ1036" t="s">
        <v>260</v>
      </c>
    </row>
    <row r="1037" spans="1:36">
      <c r="A1037" t="s">
        <v>3430</v>
      </c>
      <c r="B1037" t="s">
        <v>3431</v>
      </c>
      <c r="F1037" t="str">
        <f t="shared" si="16"/>
        <v>55458</v>
      </c>
      <c r="AE1037">
        <v>1101111828362</v>
      </c>
      <c r="AG1037" t="s">
        <v>2</v>
      </c>
      <c r="AH1037" t="s">
        <v>114</v>
      </c>
      <c r="AI1037" t="s">
        <v>63</v>
      </c>
      <c r="AJ1037" t="s">
        <v>115</v>
      </c>
    </row>
    <row r="1038" spans="1:36">
      <c r="A1038" t="s">
        <v>3432</v>
      </c>
      <c r="B1038" t="s">
        <v>3433</v>
      </c>
      <c r="F1038" t="str">
        <f t="shared" si="16"/>
        <v>55459</v>
      </c>
      <c r="AE1038">
        <v>1101110126022</v>
      </c>
      <c r="AG1038" t="s">
        <v>4</v>
      </c>
      <c r="AH1038" t="s">
        <v>373</v>
      </c>
      <c r="AJ1038" t="s">
        <v>374</v>
      </c>
    </row>
    <row r="1039" spans="1:36">
      <c r="A1039" t="s">
        <v>3434</v>
      </c>
      <c r="B1039" t="s">
        <v>3435</v>
      </c>
      <c r="F1039" t="str">
        <f t="shared" si="16"/>
        <v>55460</v>
      </c>
      <c r="AE1039">
        <v>1101113137034</v>
      </c>
      <c r="AG1039" t="s">
        <v>4</v>
      </c>
    </row>
    <row r="1040" spans="1:36">
      <c r="A1040" t="s">
        <v>3436</v>
      </c>
      <c r="B1040" t="s">
        <v>3437</v>
      </c>
      <c r="F1040" t="str">
        <f t="shared" si="16"/>
        <v>55463</v>
      </c>
      <c r="AE1040">
        <v>1101113114446</v>
      </c>
      <c r="AG1040" t="s">
        <v>4</v>
      </c>
      <c r="AH1040" t="s">
        <v>847</v>
      </c>
      <c r="AI1040" t="s">
        <v>55</v>
      </c>
      <c r="AJ1040" t="s">
        <v>848</v>
      </c>
    </row>
    <row r="1041" spans="1:36">
      <c r="A1041" t="s">
        <v>3438</v>
      </c>
      <c r="B1041" t="s">
        <v>1500</v>
      </c>
      <c r="F1041" t="str">
        <f t="shared" si="16"/>
        <v>55545</v>
      </c>
      <c r="AE1041">
        <v>1101113139733</v>
      </c>
      <c r="AG1041" t="s">
        <v>4</v>
      </c>
      <c r="AH1041" t="s">
        <v>761</v>
      </c>
      <c r="AI1041" t="s">
        <v>610</v>
      </c>
      <c r="AJ1041" t="s">
        <v>762</v>
      </c>
    </row>
    <row r="1042" spans="1:36">
      <c r="A1042" t="s">
        <v>3439</v>
      </c>
      <c r="B1042" t="s">
        <v>3440</v>
      </c>
      <c r="F1042" t="str">
        <f t="shared" si="16"/>
        <v>55618</v>
      </c>
      <c r="AE1042">
        <v>1614110014684</v>
      </c>
      <c r="AG1042" t="s">
        <v>4</v>
      </c>
      <c r="AH1042" t="s">
        <v>344</v>
      </c>
      <c r="AJ1042" t="s">
        <v>345</v>
      </c>
    </row>
    <row r="1043" spans="1:36">
      <c r="A1043" t="s">
        <v>3441</v>
      </c>
      <c r="B1043" t="s">
        <v>3442</v>
      </c>
      <c r="F1043" t="str">
        <f t="shared" si="16"/>
        <v>55684</v>
      </c>
      <c r="AE1043">
        <v>1801110227355</v>
      </c>
      <c r="AG1043" t="s">
        <v>4</v>
      </c>
      <c r="AH1043" t="s">
        <v>1125</v>
      </c>
      <c r="AJ1043" t="s">
        <v>1126</v>
      </c>
    </row>
    <row r="1044" spans="1:36">
      <c r="A1044" t="s">
        <v>3443</v>
      </c>
      <c r="B1044" t="s">
        <v>3444</v>
      </c>
      <c r="F1044" t="str">
        <f t="shared" si="16"/>
        <v>55766</v>
      </c>
      <c r="AE1044">
        <v>1614110014676</v>
      </c>
      <c r="AG1044" t="s">
        <v>4</v>
      </c>
      <c r="AH1044" t="s">
        <v>344</v>
      </c>
      <c r="AJ1044" t="s">
        <v>345</v>
      </c>
    </row>
    <row r="1045" spans="1:36">
      <c r="A1045" t="s">
        <v>3445</v>
      </c>
      <c r="B1045" t="s">
        <v>3446</v>
      </c>
      <c r="F1045" t="str">
        <f t="shared" si="16"/>
        <v>55794</v>
      </c>
      <c r="AE1045">
        <v>1111710007324</v>
      </c>
      <c r="AG1045" t="s">
        <v>4</v>
      </c>
      <c r="AH1045" t="s">
        <v>883</v>
      </c>
      <c r="AI1045" t="s">
        <v>555</v>
      </c>
      <c r="AJ1045" t="s">
        <v>884</v>
      </c>
    </row>
    <row r="1046" spans="1:36">
      <c r="A1046" t="s">
        <v>3447</v>
      </c>
      <c r="B1046" t="s">
        <v>3448</v>
      </c>
      <c r="F1046" t="str">
        <f t="shared" si="16"/>
        <v>55795</v>
      </c>
      <c r="AE1046">
        <v>1101110169999</v>
      </c>
      <c r="AG1046" t="s">
        <v>4</v>
      </c>
      <c r="AH1046" t="s">
        <v>190</v>
      </c>
      <c r="AI1046" t="s">
        <v>32</v>
      </c>
      <c r="AJ1046" t="s">
        <v>91</v>
      </c>
    </row>
    <row r="1047" spans="1:36">
      <c r="A1047" t="s">
        <v>3449</v>
      </c>
      <c r="B1047" t="s">
        <v>3450</v>
      </c>
      <c r="F1047" t="str">
        <f t="shared" si="16"/>
        <v>55796</v>
      </c>
      <c r="AG1047" t="s">
        <v>4</v>
      </c>
    </row>
    <row r="1048" spans="1:36">
      <c r="A1048" t="s">
        <v>3451</v>
      </c>
      <c r="B1048" t="s">
        <v>3452</v>
      </c>
      <c r="F1048" t="str">
        <f t="shared" si="16"/>
        <v>55797</v>
      </c>
      <c r="AE1048">
        <v>1901110006492</v>
      </c>
      <c r="AG1048" t="s">
        <v>4</v>
      </c>
      <c r="AH1048" t="s">
        <v>190</v>
      </c>
      <c r="AI1048" t="s">
        <v>32</v>
      </c>
      <c r="AJ1048" t="s">
        <v>91</v>
      </c>
    </row>
    <row r="1049" spans="1:36">
      <c r="A1049" t="s">
        <v>3453</v>
      </c>
      <c r="B1049" t="s">
        <v>3454</v>
      </c>
      <c r="F1049" t="str">
        <f t="shared" si="16"/>
        <v>55832</v>
      </c>
      <c r="AG1049" t="s">
        <v>4</v>
      </c>
    </row>
    <row r="1050" spans="1:36">
      <c r="A1050" t="s">
        <v>3455</v>
      </c>
      <c r="B1050" t="s">
        <v>3456</v>
      </c>
      <c r="F1050" t="str">
        <f t="shared" si="16"/>
        <v>55910</v>
      </c>
      <c r="AE1050">
        <v>1101113168774</v>
      </c>
      <c r="AG1050" t="s">
        <v>4</v>
      </c>
      <c r="AH1050" t="s">
        <v>847</v>
      </c>
      <c r="AI1050" t="s">
        <v>55</v>
      </c>
      <c r="AJ1050" t="s">
        <v>848</v>
      </c>
    </row>
    <row r="1051" spans="1:36">
      <c r="A1051" t="s">
        <v>3457</v>
      </c>
      <c r="B1051" t="s">
        <v>3458</v>
      </c>
      <c r="F1051" t="str">
        <f t="shared" si="16"/>
        <v>55911</v>
      </c>
      <c r="AG1051" t="s">
        <v>4</v>
      </c>
    </row>
    <row r="1052" spans="1:36">
      <c r="A1052" t="s">
        <v>3459</v>
      </c>
      <c r="B1052" t="s">
        <v>3460</v>
      </c>
      <c r="F1052" t="str">
        <f t="shared" si="16"/>
        <v>55969</v>
      </c>
      <c r="AE1052">
        <v>1101112515976</v>
      </c>
      <c r="AG1052" t="s">
        <v>4</v>
      </c>
      <c r="AH1052" t="s">
        <v>451</v>
      </c>
      <c r="AI1052" t="s">
        <v>55</v>
      </c>
      <c r="AJ1052" t="s">
        <v>452</v>
      </c>
    </row>
    <row r="1053" spans="1:36">
      <c r="A1053" t="s">
        <v>3461</v>
      </c>
      <c r="B1053" t="s">
        <v>3462</v>
      </c>
      <c r="F1053" t="str">
        <f t="shared" si="16"/>
        <v>55970</v>
      </c>
      <c r="AG1053" t="s">
        <v>4</v>
      </c>
    </row>
    <row r="1054" spans="1:36">
      <c r="A1054" t="s">
        <v>3463</v>
      </c>
      <c r="B1054" t="s">
        <v>3464</v>
      </c>
      <c r="F1054" t="str">
        <f t="shared" si="16"/>
        <v>55971</v>
      </c>
      <c r="AE1054">
        <v>1101111824526</v>
      </c>
      <c r="AG1054" t="s">
        <v>4</v>
      </c>
      <c r="AH1054" t="s">
        <v>1100</v>
      </c>
      <c r="AI1054" t="s">
        <v>192</v>
      </c>
      <c r="AJ1054" t="s">
        <v>1022</v>
      </c>
    </row>
    <row r="1055" spans="1:36">
      <c r="A1055" t="s">
        <v>3465</v>
      </c>
      <c r="B1055" t="s">
        <v>3466</v>
      </c>
      <c r="F1055" t="str">
        <f t="shared" si="16"/>
        <v>55972</v>
      </c>
      <c r="AE1055">
        <v>1101111824526</v>
      </c>
      <c r="AG1055" t="s">
        <v>4</v>
      </c>
      <c r="AH1055" t="s">
        <v>1100</v>
      </c>
      <c r="AI1055" t="s">
        <v>192</v>
      </c>
      <c r="AJ1055" t="s">
        <v>1022</v>
      </c>
    </row>
    <row r="1056" spans="1:36">
      <c r="A1056" t="s">
        <v>3467</v>
      </c>
      <c r="B1056" t="s">
        <v>3468</v>
      </c>
      <c r="F1056" t="str">
        <f t="shared" si="16"/>
        <v>56009</v>
      </c>
      <c r="AE1056">
        <v>1101111824526</v>
      </c>
      <c r="AG1056" t="s">
        <v>4</v>
      </c>
      <c r="AH1056" t="s">
        <v>1100</v>
      </c>
      <c r="AI1056" t="s">
        <v>192</v>
      </c>
      <c r="AJ1056" t="s">
        <v>1022</v>
      </c>
    </row>
    <row r="1057" spans="1:36">
      <c r="A1057" t="s">
        <v>3469</v>
      </c>
      <c r="B1057" t="s">
        <v>1501</v>
      </c>
      <c r="F1057" t="str">
        <f t="shared" si="16"/>
        <v>56109</v>
      </c>
      <c r="AE1057">
        <v>1101111824526</v>
      </c>
      <c r="AG1057" t="s">
        <v>4</v>
      </c>
      <c r="AH1057" t="s">
        <v>1100</v>
      </c>
      <c r="AI1057" t="s">
        <v>192</v>
      </c>
      <c r="AJ1057" t="s">
        <v>1022</v>
      </c>
    </row>
    <row r="1058" spans="1:36">
      <c r="A1058" t="s">
        <v>3470</v>
      </c>
      <c r="B1058" t="s">
        <v>1502</v>
      </c>
      <c r="F1058" t="str">
        <f t="shared" si="16"/>
        <v>56200</v>
      </c>
      <c r="AE1058">
        <v>1101111824526</v>
      </c>
      <c r="AG1058" t="s">
        <v>4</v>
      </c>
      <c r="AH1058" t="s">
        <v>1100</v>
      </c>
      <c r="AI1058" t="s">
        <v>192</v>
      </c>
      <c r="AJ1058" t="s">
        <v>1022</v>
      </c>
    </row>
    <row r="1059" spans="1:36">
      <c r="A1059" t="s">
        <v>3471</v>
      </c>
      <c r="B1059" t="s">
        <v>1503</v>
      </c>
      <c r="F1059" t="str">
        <f t="shared" si="16"/>
        <v>56216</v>
      </c>
      <c r="AE1059">
        <v>1159110056971</v>
      </c>
      <c r="AG1059" t="s">
        <v>4</v>
      </c>
    </row>
    <row r="1060" spans="1:36">
      <c r="A1060" t="s">
        <v>3472</v>
      </c>
      <c r="B1060" t="s">
        <v>1504</v>
      </c>
      <c r="F1060" t="str">
        <f t="shared" si="16"/>
        <v>56217</v>
      </c>
      <c r="AE1060">
        <v>1101113193086</v>
      </c>
      <c r="AG1060" t="s">
        <v>4</v>
      </c>
      <c r="AH1060" t="s">
        <v>847</v>
      </c>
      <c r="AI1060" t="s">
        <v>55</v>
      </c>
      <c r="AJ1060" t="s">
        <v>848</v>
      </c>
    </row>
    <row r="1061" spans="1:36">
      <c r="A1061" t="s">
        <v>3473</v>
      </c>
      <c r="B1061" t="s">
        <v>3474</v>
      </c>
      <c r="F1061" t="str">
        <f t="shared" si="16"/>
        <v>56359</v>
      </c>
      <c r="AE1061">
        <v>1101112092114</v>
      </c>
      <c r="AG1061" t="s">
        <v>4</v>
      </c>
      <c r="AH1061" t="s">
        <v>621</v>
      </c>
      <c r="AI1061" t="s">
        <v>55</v>
      </c>
      <c r="AJ1061" t="s">
        <v>622</v>
      </c>
    </row>
    <row r="1062" spans="1:36">
      <c r="A1062" t="s">
        <v>3475</v>
      </c>
      <c r="B1062" t="s">
        <v>3476</v>
      </c>
      <c r="F1062" t="str">
        <f t="shared" si="16"/>
        <v>56360</v>
      </c>
      <c r="AE1062">
        <v>1101111412496</v>
      </c>
      <c r="AF1062" t="s">
        <v>207</v>
      </c>
      <c r="AG1062" t="s">
        <v>4</v>
      </c>
      <c r="AH1062" t="s">
        <v>1128</v>
      </c>
      <c r="AJ1062" t="s">
        <v>1129</v>
      </c>
    </row>
    <row r="1063" spans="1:36">
      <c r="A1063" t="s">
        <v>3477</v>
      </c>
      <c r="B1063" t="s">
        <v>3478</v>
      </c>
      <c r="F1063" t="str">
        <f t="shared" si="16"/>
        <v>56361</v>
      </c>
      <c r="AE1063">
        <v>1101110762678</v>
      </c>
      <c r="AG1063" t="s">
        <v>4</v>
      </c>
      <c r="AH1063" t="s">
        <v>536</v>
      </c>
      <c r="AJ1063" t="s">
        <v>537</v>
      </c>
    </row>
    <row r="1064" spans="1:36">
      <c r="A1064" t="s">
        <v>3479</v>
      </c>
      <c r="B1064" t="s">
        <v>3480</v>
      </c>
      <c r="F1064" t="str">
        <f t="shared" si="16"/>
        <v>56362</v>
      </c>
      <c r="AE1064">
        <v>1101111060930</v>
      </c>
      <c r="AG1064" t="s">
        <v>4</v>
      </c>
      <c r="AH1064" t="s">
        <v>1130</v>
      </c>
      <c r="AJ1064" t="s">
        <v>1131</v>
      </c>
    </row>
    <row r="1065" spans="1:36">
      <c r="A1065" t="s">
        <v>3481</v>
      </c>
      <c r="B1065" t="s">
        <v>3482</v>
      </c>
      <c r="F1065" t="str">
        <f t="shared" si="16"/>
        <v>56363</v>
      </c>
      <c r="AE1065">
        <v>1344110022490</v>
      </c>
      <c r="AG1065" t="s">
        <v>4</v>
      </c>
      <c r="AH1065" t="s">
        <v>1119</v>
      </c>
      <c r="AJ1065" t="s">
        <v>1120</v>
      </c>
    </row>
    <row r="1066" spans="1:36">
      <c r="A1066" t="s">
        <v>3483</v>
      </c>
      <c r="B1066" t="s">
        <v>3484</v>
      </c>
      <c r="F1066" t="str">
        <f t="shared" si="16"/>
        <v>56367</v>
      </c>
      <c r="AE1066">
        <v>1101112819005</v>
      </c>
      <c r="AG1066" t="s">
        <v>2</v>
      </c>
      <c r="AH1066" t="s">
        <v>15</v>
      </c>
      <c r="AI1066" t="s">
        <v>16</v>
      </c>
      <c r="AJ1066" t="s">
        <v>17</v>
      </c>
    </row>
    <row r="1067" spans="1:36">
      <c r="A1067" t="s">
        <v>3485</v>
      </c>
      <c r="B1067" t="s">
        <v>3486</v>
      </c>
      <c r="F1067" t="str">
        <f t="shared" si="16"/>
        <v>56426</v>
      </c>
      <c r="AE1067">
        <v>1712110022308</v>
      </c>
      <c r="AG1067" t="s">
        <v>4</v>
      </c>
    </row>
    <row r="1068" spans="1:36">
      <c r="A1068" t="s">
        <v>3487</v>
      </c>
      <c r="B1068" t="s">
        <v>3488</v>
      </c>
      <c r="F1068" t="str">
        <f t="shared" si="16"/>
        <v>56427</v>
      </c>
      <c r="AE1068">
        <v>2013110006783</v>
      </c>
      <c r="AG1068" t="s">
        <v>2</v>
      </c>
      <c r="AH1068" t="s">
        <v>1132</v>
      </c>
      <c r="AI1068" t="s">
        <v>70</v>
      </c>
      <c r="AJ1068" t="s">
        <v>971</v>
      </c>
    </row>
    <row r="1069" spans="1:36">
      <c r="A1069" t="s">
        <v>3489</v>
      </c>
      <c r="B1069" t="s">
        <v>3490</v>
      </c>
      <c r="F1069" t="str">
        <f t="shared" si="16"/>
        <v>56428</v>
      </c>
      <c r="AE1069">
        <v>1101110003895</v>
      </c>
      <c r="AG1069" t="s">
        <v>4</v>
      </c>
    </row>
    <row r="1070" spans="1:36">
      <c r="A1070" t="s">
        <v>3491</v>
      </c>
      <c r="B1070" t="s">
        <v>3492</v>
      </c>
      <c r="F1070" t="str">
        <f t="shared" si="16"/>
        <v>56429</v>
      </c>
      <c r="AE1070">
        <v>1601110182230</v>
      </c>
      <c r="AG1070" t="s">
        <v>4</v>
      </c>
      <c r="AH1070" t="s">
        <v>1133</v>
      </c>
      <c r="AJ1070" t="s">
        <v>1134</v>
      </c>
    </row>
    <row r="1071" spans="1:36">
      <c r="A1071" t="s">
        <v>3493</v>
      </c>
      <c r="B1071" t="s">
        <v>3494</v>
      </c>
      <c r="F1071" t="str">
        <f t="shared" si="16"/>
        <v>56430</v>
      </c>
      <c r="AE1071">
        <v>1942110007650</v>
      </c>
      <c r="AG1071" t="s">
        <v>4</v>
      </c>
      <c r="AH1071" t="s">
        <v>190</v>
      </c>
      <c r="AI1071" t="s">
        <v>32</v>
      </c>
      <c r="AJ1071" t="s">
        <v>91</v>
      </c>
    </row>
    <row r="1072" spans="1:36">
      <c r="A1072" t="s">
        <v>3495</v>
      </c>
      <c r="B1072" t="s">
        <v>1505</v>
      </c>
      <c r="F1072" t="str">
        <f t="shared" si="16"/>
        <v>56434</v>
      </c>
      <c r="AE1072">
        <v>1201110151499</v>
      </c>
      <c r="AG1072" t="s">
        <v>4</v>
      </c>
      <c r="AH1072" t="s">
        <v>909</v>
      </c>
      <c r="AI1072" t="s">
        <v>76</v>
      </c>
      <c r="AJ1072" t="s">
        <v>910</v>
      </c>
    </row>
    <row r="1073" spans="1:36">
      <c r="A1073" t="s">
        <v>3496</v>
      </c>
      <c r="B1073" t="s">
        <v>1506</v>
      </c>
      <c r="F1073" t="str">
        <f t="shared" si="16"/>
        <v>56437</v>
      </c>
      <c r="AE1073">
        <v>1101110100216</v>
      </c>
      <c r="AG1073" t="s">
        <v>4</v>
      </c>
      <c r="AH1073" t="s">
        <v>44</v>
      </c>
      <c r="AI1073" t="s">
        <v>32</v>
      </c>
      <c r="AJ1073" t="s">
        <v>45</v>
      </c>
    </row>
    <row r="1074" spans="1:36">
      <c r="A1074" t="s">
        <v>3497</v>
      </c>
      <c r="B1074" t="s">
        <v>3498</v>
      </c>
      <c r="F1074" t="str">
        <f t="shared" si="16"/>
        <v>56438</v>
      </c>
      <c r="AE1074">
        <v>1101110831671</v>
      </c>
      <c r="AG1074" t="s">
        <v>4</v>
      </c>
      <c r="AH1074" t="s">
        <v>1135</v>
      </c>
      <c r="AI1074" t="s">
        <v>503</v>
      </c>
      <c r="AJ1074" t="s">
        <v>1136</v>
      </c>
    </row>
    <row r="1075" spans="1:36">
      <c r="A1075" t="s">
        <v>3499</v>
      </c>
      <c r="B1075" t="s">
        <v>1507</v>
      </c>
      <c r="F1075" t="str">
        <f t="shared" si="16"/>
        <v>56490</v>
      </c>
      <c r="AE1075">
        <v>1101111700924</v>
      </c>
      <c r="AG1075" t="s">
        <v>4</v>
      </c>
      <c r="AH1075" t="s">
        <v>1097</v>
      </c>
      <c r="AI1075" t="s">
        <v>177</v>
      </c>
      <c r="AJ1075" t="s">
        <v>1098</v>
      </c>
    </row>
    <row r="1076" spans="1:36">
      <c r="A1076" t="s">
        <v>3500</v>
      </c>
      <c r="B1076" t="s">
        <v>3501</v>
      </c>
      <c r="F1076" t="str">
        <f t="shared" si="16"/>
        <v>56495</v>
      </c>
      <c r="AE1076">
        <v>1101113226572</v>
      </c>
      <c r="AG1076" t="s">
        <v>4</v>
      </c>
      <c r="AH1076" t="s">
        <v>847</v>
      </c>
      <c r="AI1076" t="s">
        <v>55</v>
      </c>
      <c r="AJ1076" t="s">
        <v>848</v>
      </c>
    </row>
    <row r="1077" spans="1:36">
      <c r="A1077" t="s">
        <v>3502</v>
      </c>
      <c r="B1077" t="s">
        <v>3503</v>
      </c>
      <c r="F1077" t="str">
        <f t="shared" si="16"/>
        <v>56496</v>
      </c>
      <c r="AE1077">
        <v>1101111952567</v>
      </c>
      <c r="AG1077" t="s">
        <v>2</v>
      </c>
      <c r="AH1077" t="s">
        <v>462</v>
      </c>
      <c r="AI1077" t="s">
        <v>177</v>
      </c>
      <c r="AJ1077" t="s">
        <v>463</v>
      </c>
    </row>
    <row r="1078" spans="1:36">
      <c r="A1078" t="s">
        <v>3504</v>
      </c>
      <c r="B1078" t="s">
        <v>3505</v>
      </c>
      <c r="F1078" t="str">
        <f t="shared" si="16"/>
        <v>56497</v>
      </c>
      <c r="AE1078">
        <v>1101111283657</v>
      </c>
      <c r="AG1078" t="s">
        <v>2</v>
      </c>
      <c r="AH1078" t="s">
        <v>664</v>
      </c>
      <c r="AJ1078" t="s">
        <v>665</v>
      </c>
    </row>
    <row r="1079" spans="1:36">
      <c r="A1079" t="s">
        <v>3506</v>
      </c>
      <c r="B1079" t="s">
        <v>3507</v>
      </c>
      <c r="F1079" t="str">
        <f t="shared" si="16"/>
        <v>56498</v>
      </c>
      <c r="AE1079">
        <v>2149110003873</v>
      </c>
      <c r="AG1079" t="s">
        <v>4</v>
      </c>
      <c r="AH1079" t="s">
        <v>554</v>
      </c>
      <c r="AI1079" t="s">
        <v>555</v>
      </c>
      <c r="AJ1079" t="s">
        <v>556</v>
      </c>
    </row>
    <row r="1080" spans="1:36">
      <c r="A1080" t="s">
        <v>3508</v>
      </c>
      <c r="B1080" t="s">
        <v>3509</v>
      </c>
      <c r="F1080" t="str">
        <f t="shared" si="16"/>
        <v>56499</v>
      </c>
      <c r="AE1080">
        <v>1101140048957</v>
      </c>
      <c r="AG1080" t="s">
        <v>4</v>
      </c>
    </row>
    <row r="1081" spans="1:36">
      <c r="A1081" t="s">
        <v>3510</v>
      </c>
      <c r="B1081" t="s">
        <v>3511</v>
      </c>
      <c r="F1081" t="str">
        <f t="shared" si="16"/>
        <v>56510</v>
      </c>
      <c r="AE1081">
        <v>1351110056931</v>
      </c>
      <c r="AG1081" t="s">
        <v>4</v>
      </c>
      <c r="AH1081" t="s">
        <v>338</v>
      </c>
      <c r="AJ1081" t="s">
        <v>339</v>
      </c>
    </row>
    <row r="1082" spans="1:36">
      <c r="A1082" t="s">
        <v>3512</v>
      </c>
      <c r="B1082" t="s">
        <v>3513</v>
      </c>
      <c r="F1082" t="str">
        <f t="shared" si="16"/>
        <v>56550</v>
      </c>
      <c r="AE1082">
        <v>1101111129497</v>
      </c>
      <c r="AF1082" t="s">
        <v>1137</v>
      </c>
      <c r="AG1082" t="s">
        <v>2</v>
      </c>
      <c r="AH1082" t="s">
        <v>672</v>
      </c>
      <c r="AI1082" t="s">
        <v>673</v>
      </c>
      <c r="AJ1082" t="s">
        <v>674</v>
      </c>
    </row>
    <row r="1083" spans="1:36">
      <c r="A1083" t="s">
        <v>3514</v>
      </c>
      <c r="B1083" t="s">
        <v>3515</v>
      </c>
      <c r="F1083" t="str">
        <f t="shared" si="16"/>
        <v>56551</v>
      </c>
      <c r="AE1083">
        <v>1942110056095</v>
      </c>
      <c r="AF1083" t="s">
        <v>53</v>
      </c>
      <c r="AG1083" t="s">
        <v>4</v>
      </c>
      <c r="AH1083" t="s">
        <v>977</v>
      </c>
      <c r="AJ1083" t="s">
        <v>978</v>
      </c>
    </row>
    <row r="1084" spans="1:36">
      <c r="A1084" t="s">
        <v>3516</v>
      </c>
      <c r="B1084" t="s">
        <v>3517</v>
      </c>
      <c r="F1084" t="str">
        <f t="shared" si="16"/>
        <v>56552</v>
      </c>
      <c r="AE1084">
        <v>1501110006200</v>
      </c>
      <c r="AF1084" t="s">
        <v>74</v>
      </c>
      <c r="AG1084" t="s">
        <v>4</v>
      </c>
      <c r="AH1084" t="s">
        <v>551</v>
      </c>
      <c r="AJ1084" t="s">
        <v>552</v>
      </c>
    </row>
    <row r="1085" spans="1:36">
      <c r="A1085" t="s">
        <v>3518</v>
      </c>
      <c r="B1085" t="s">
        <v>3519</v>
      </c>
      <c r="F1085" t="str">
        <f t="shared" si="16"/>
        <v>56553</v>
      </c>
      <c r="AE1085">
        <v>1746110007531</v>
      </c>
      <c r="AG1085" t="s">
        <v>4</v>
      </c>
      <c r="AH1085" t="s">
        <v>551</v>
      </c>
      <c r="AJ1085" t="s">
        <v>552</v>
      </c>
    </row>
    <row r="1086" spans="1:36">
      <c r="A1086" t="s">
        <v>3520</v>
      </c>
      <c r="B1086" t="s">
        <v>3521</v>
      </c>
      <c r="F1086" t="str">
        <f t="shared" si="16"/>
        <v>56554</v>
      </c>
      <c r="AE1086">
        <v>1101112606030</v>
      </c>
      <c r="AG1086" t="s">
        <v>4</v>
      </c>
      <c r="AH1086" t="s">
        <v>213</v>
      </c>
      <c r="AI1086" t="s">
        <v>214</v>
      </c>
      <c r="AJ1086" t="s">
        <v>89</v>
      </c>
    </row>
    <row r="1087" spans="1:36">
      <c r="A1087" t="s">
        <v>3522</v>
      </c>
      <c r="B1087" t="s">
        <v>1508</v>
      </c>
      <c r="F1087" t="str">
        <f t="shared" si="16"/>
        <v>56601</v>
      </c>
      <c r="AE1087">
        <v>1101140049202</v>
      </c>
      <c r="AG1087" t="s">
        <v>4</v>
      </c>
    </row>
    <row r="1088" spans="1:36">
      <c r="A1088" t="s">
        <v>3523</v>
      </c>
      <c r="B1088" t="s">
        <v>208</v>
      </c>
      <c r="F1088" t="str">
        <f t="shared" si="16"/>
        <v>56610</v>
      </c>
      <c r="AE1088">
        <v>1101110577233</v>
      </c>
      <c r="AF1088" t="s">
        <v>74</v>
      </c>
      <c r="AG1088" t="s">
        <v>2</v>
      </c>
      <c r="AH1088" t="s">
        <v>1138</v>
      </c>
      <c r="AI1088" t="s">
        <v>649</v>
      </c>
      <c r="AJ1088" t="s">
        <v>1139</v>
      </c>
    </row>
    <row r="1089" spans="1:36">
      <c r="A1089" t="s">
        <v>3524</v>
      </c>
      <c r="B1089" t="s">
        <v>3525</v>
      </c>
      <c r="F1089" t="str">
        <f t="shared" si="16"/>
        <v>56616</v>
      </c>
      <c r="AE1089">
        <v>1101113024330</v>
      </c>
      <c r="AF1089" t="s">
        <v>127</v>
      </c>
      <c r="AG1089" t="s">
        <v>4</v>
      </c>
      <c r="AH1089" t="s">
        <v>881</v>
      </c>
      <c r="AI1089" t="s">
        <v>857</v>
      </c>
      <c r="AJ1089" t="s">
        <v>882</v>
      </c>
    </row>
    <row r="1090" spans="1:36">
      <c r="A1090" t="s">
        <v>3526</v>
      </c>
      <c r="B1090" t="s">
        <v>3527</v>
      </c>
      <c r="F1090" t="str">
        <f t="shared" si="16"/>
        <v>56617</v>
      </c>
      <c r="AE1090">
        <v>1101111081093</v>
      </c>
      <c r="AF1090" t="s">
        <v>30</v>
      </c>
      <c r="AG1090" t="s">
        <v>4</v>
      </c>
      <c r="AH1090" t="s">
        <v>82</v>
      </c>
      <c r="AI1090" t="s">
        <v>83</v>
      </c>
      <c r="AJ1090" t="s">
        <v>84</v>
      </c>
    </row>
    <row r="1091" spans="1:36">
      <c r="A1091" t="s">
        <v>3528</v>
      </c>
      <c r="B1091" t="s">
        <v>3529</v>
      </c>
      <c r="F1091" t="str">
        <f t="shared" si="16"/>
        <v>56618</v>
      </c>
      <c r="AE1091">
        <v>1760110027539</v>
      </c>
      <c r="AG1091" t="s">
        <v>4</v>
      </c>
      <c r="AH1091" t="s">
        <v>1119</v>
      </c>
      <c r="AJ1091" t="s">
        <v>1120</v>
      </c>
    </row>
    <row r="1092" spans="1:36">
      <c r="A1092" t="s">
        <v>3530</v>
      </c>
      <c r="B1092" t="s">
        <v>3531</v>
      </c>
      <c r="F1092" t="str">
        <f t="shared" si="16"/>
        <v>56626</v>
      </c>
      <c r="AG1092" t="s">
        <v>4</v>
      </c>
    </row>
    <row r="1093" spans="1:36">
      <c r="A1093" t="s">
        <v>3532</v>
      </c>
      <c r="B1093" t="s">
        <v>3531</v>
      </c>
      <c r="F1093" t="str">
        <f t="shared" si="16"/>
        <v>56627</v>
      </c>
      <c r="AE1093">
        <v>1346110012744</v>
      </c>
      <c r="AG1093" t="s">
        <v>2</v>
      </c>
      <c r="AH1093" t="s">
        <v>75</v>
      </c>
      <c r="AI1093" t="s">
        <v>76</v>
      </c>
      <c r="AJ1093" t="s">
        <v>77</v>
      </c>
    </row>
    <row r="1094" spans="1:36">
      <c r="A1094" t="s">
        <v>3533</v>
      </c>
      <c r="B1094" t="s">
        <v>3534</v>
      </c>
      <c r="F1094" t="str">
        <f t="shared" si="16"/>
        <v>56640</v>
      </c>
      <c r="AE1094">
        <v>2101110007635</v>
      </c>
      <c r="AG1094" t="s">
        <v>4</v>
      </c>
      <c r="AH1094" t="s">
        <v>190</v>
      </c>
      <c r="AI1094" t="s">
        <v>32</v>
      </c>
      <c r="AJ1094" t="s">
        <v>91</v>
      </c>
    </row>
    <row r="1095" spans="1:36">
      <c r="A1095" t="s">
        <v>3535</v>
      </c>
      <c r="B1095" t="s">
        <v>3536</v>
      </c>
      <c r="F1095" t="str">
        <f t="shared" si="16"/>
        <v>56641</v>
      </c>
      <c r="AE1095">
        <v>1101113240283</v>
      </c>
      <c r="AG1095" t="s">
        <v>4</v>
      </c>
      <c r="AH1095" t="s">
        <v>847</v>
      </c>
      <c r="AI1095" t="s">
        <v>55</v>
      </c>
      <c r="AJ1095" t="s">
        <v>848</v>
      </c>
    </row>
    <row r="1096" spans="1:36">
      <c r="A1096" t="s">
        <v>3537</v>
      </c>
      <c r="B1096" t="s">
        <v>3538</v>
      </c>
      <c r="F1096" t="str">
        <f t="shared" si="16"/>
        <v>56642</v>
      </c>
      <c r="AE1096">
        <v>1146710029705</v>
      </c>
      <c r="AG1096" t="s">
        <v>4</v>
      </c>
    </row>
    <row r="1097" spans="1:36">
      <c r="A1097" t="s">
        <v>3539</v>
      </c>
      <c r="B1097" t="s">
        <v>3540</v>
      </c>
      <c r="F1097" t="str">
        <f t="shared" si="16"/>
        <v>56643</v>
      </c>
      <c r="AE1097">
        <v>1601710004321</v>
      </c>
      <c r="AG1097" t="s">
        <v>4</v>
      </c>
      <c r="AH1097" t="s">
        <v>1142</v>
      </c>
      <c r="AI1097" t="s">
        <v>26</v>
      </c>
      <c r="AJ1097" t="s">
        <v>1143</v>
      </c>
    </row>
    <row r="1098" spans="1:36">
      <c r="A1098" t="s">
        <v>3541</v>
      </c>
      <c r="B1098" t="s">
        <v>3542</v>
      </c>
      <c r="F1098" t="str">
        <f t="shared" ref="F1098:F1161" si="17">CHOOSE($C$1, A1098, B1098)</f>
        <v>56644</v>
      </c>
      <c r="AE1098">
        <v>1101113248203</v>
      </c>
      <c r="AG1098" t="s">
        <v>4</v>
      </c>
      <c r="AH1098" t="s">
        <v>847</v>
      </c>
      <c r="AI1098" t="s">
        <v>55</v>
      </c>
      <c r="AJ1098" t="s">
        <v>848</v>
      </c>
    </row>
    <row r="1099" spans="1:36">
      <c r="A1099" t="s">
        <v>3543</v>
      </c>
      <c r="B1099" t="s">
        <v>3544</v>
      </c>
      <c r="F1099" t="str">
        <f t="shared" si="17"/>
        <v>56726</v>
      </c>
      <c r="AE1099">
        <v>1101113250175</v>
      </c>
      <c r="AG1099" t="s">
        <v>4</v>
      </c>
    </row>
    <row r="1100" spans="1:36">
      <c r="A1100" t="s">
        <v>3545</v>
      </c>
      <c r="B1100" t="s">
        <v>3546</v>
      </c>
      <c r="F1100" t="str">
        <f t="shared" si="17"/>
        <v>56727</v>
      </c>
      <c r="AE1100">
        <v>1101113249483</v>
      </c>
      <c r="AG1100" t="s">
        <v>4</v>
      </c>
      <c r="AH1100" t="s">
        <v>847</v>
      </c>
      <c r="AI1100" t="s">
        <v>55</v>
      </c>
      <c r="AJ1100" t="s">
        <v>848</v>
      </c>
    </row>
    <row r="1101" spans="1:36">
      <c r="A1101" t="s">
        <v>3547</v>
      </c>
      <c r="B1101" t="s">
        <v>3548</v>
      </c>
      <c r="F1101" t="str">
        <f t="shared" si="17"/>
        <v>56728</v>
      </c>
      <c r="AE1101">
        <v>2149110010000</v>
      </c>
      <c r="AG1101" t="s">
        <v>4</v>
      </c>
      <c r="AH1101" t="s">
        <v>682</v>
      </c>
      <c r="AJ1101" t="s">
        <v>683</v>
      </c>
    </row>
    <row r="1102" spans="1:36">
      <c r="A1102" t="s">
        <v>3549</v>
      </c>
      <c r="B1102" t="s">
        <v>3550</v>
      </c>
      <c r="F1102" t="str">
        <f t="shared" si="17"/>
        <v>56729</v>
      </c>
      <c r="AE1102">
        <v>1760110021333</v>
      </c>
      <c r="AG1102" t="s">
        <v>4</v>
      </c>
      <c r="AH1102" t="s">
        <v>341</v>
      </c>
      <c r="AJ1102" t="s">
        <v>342</v>
      </c>
    </row>
    <row r="1103" spans="1:36">
      <c r="A1103" t="s">
        <v>3551</v>
      </c>
      <c r="B1103" t="s">
        <v>3552</v>
      </c>
      <c r="F1103" t="str">
        <f t="shared" si="17"/>
        <v>56730</v>
      </c>
      <c r="AG1103" t="s">
        <v>4</v>
      </c>
    </row>
    <row r="1104" spans="1:36">
      <c r="A1104" t="s">
        <v>3553</v>
      </c>
      <c r="B1104" t="s">
        <v>3554</v>
      </c>
      <c r="F1104" t="str">
        <f t="shared" si="17"/>
        <v>56826</v>
      </c>
      <c r="AE1104">
        <v>1101111426215</v>
      </c>
      <c r="AG1104" t="s">
        <v>4</v>
      </c>
      <c r="AH1104" t="s">
        <v>1144</v>
      </c>
      <c r="AJ1104" t="s">
        <v>1145</v>
      </c>
    </row>
    <row r="1105" spans="1:36">
      <c r="A1105" t="s">
        <v>3555</v>
      </c>
      <c r="B1105" t="s">
        <v>3556</v>
      </c>
      <c r="F1105" t="str">
        <f t="shared" si="17"/>
        <v>56827</v>
      </c>
      <c r="AE1105">
        <v>1101113255448</v>
      </c>
      <c r="AG1105" t="s">
        <v>4</v>
      </c>
    </row>
    <row r="1106" spans="1:36">
      <c r="A1106" t="s">
        <v>3557</v>
      </c>
      <c r="B1106" t="s">
        <v>3558</v>
      </c>
      <c r="F1106" t="str">
        <f t="shared" si="17"/>
        <v>56828</v>
      </c>
      <c r="AE1106">
        <v>1101112511990</v>
      </c>
      <c r="AG1106" t="s">
        <v>4</v>
      </c>
      <c r="AH1106" t="s">
        <v>451</v>
      </c>
      <c r="AI1106" t="s">
        <v>55</v>
      </c>
      <c r="AJ1106" t="s">
        <v>452</v>
      </c>
    </row>
    <row r="1107" spans="1:36">
      <c r="A1107" t="s">
        <v>3559</v>
      </c>
      <c r="B1107" t="s">
        <v>3560</v>
      </c>
      <c r="F1107" t="str">
        <f t="shared" si="17"/>
        <v>56829</v>
      </c>
      <c r="AE1107">
        <v>1101112668006</v>
      </c>
      <c r="AG1107" t="s">
        <v>4</v>
      </c>
      <c r="AH1107" t="s">
        <v>51</v>
      </c>
      <c r="AI1107" t="s">
        <v>32</v>
      </c>
      <c r="AJ1107" t="s">
        <v>52</v>
      </c>
    </row>
    <row r="1108" spans="1:36">
      <c r="A1108" t="s">
        <v>3561</v>
      </c>
      <c r="B1108" t="s">
        <v>3562</v>
      </c>
      <c r="F1108" t="str">
        <f t="shared" si="17"/>
        <v>56830</v>
      </c>
      <c r="AE1108">
        <v>1648110029707</v>
      </c>
      <c r="AG1108" t="s">
        <v>4</v>
      </c>
      <c r="AH1108" t="s">
        <v>1075</v>
      </c>
      <c r="AJ1108" t="s">
        <v>613</v>
      </c>
    </row>
    <row r="1109" spans="1:36">
      <c r="A1109" t="s">
        <v>3563</v>
      </c>
      <c r="B1109" t="s">
        <v>3564</v>
      </c>
      <c r="F1109" t="str">
        <f t="shared" si="17"/>
        <v>56858</v>
      </c>
      <c r="AE1109">
        <v>1101110304016</v>
      </c>
      <c r="AF1109" t="s">
        <v>72</v>
      </c>
      <c r="AG1109" t="s">
        <v>4</v>
      </c>
      <c r="AH1109" t="s">
        <v>1103</v>
      </c>
      <c r="AJ1109" t="s">
        <v>887</v>
      </c>
    </row>
    <row r="1110" spans="1:36">
      <c r="A1110" t="s">
        <v>3565</v>
      </c>
      <c r="B1110" t="s">
        <v>3566</v>
      </c>
      <c r="F1110" t="str">
        <f t="shared" si="17"/>
        <v>56890</v>
      </c>
      <c r="AE1110">
        <v>1512110004087</v>
      </c>
      <c r="AG1110" t="s">
        <v>4</v>
      </c>
      <c r="AH1110" t="s">
        <v>1146</v>
      </c>
      <c r="AJ1110" t="s">
        <v>1147</v>
      </c>
    </row>
    <row r="1111" spans="1:36">
      <c r="A1111" t="s">
        <v>3567</v>
      </c>
      <c r="B1111" t="s">
        <v>3568</v>
      </c>
      <c r="F1111" t="str">
        <f t="shared" si="17"/>
        <v>57010</v>
      </c>
      <c r="AE1111">
        <v>1101113266007</v>
      </c>
      <c r="AG1111" t="s">
        <v>4</v>
      </c>
      <c r="AH1111" t="s">
        <v>847</v>
      </c>
      <c r="AI1111" t="s">
        <v>55</v>
      </c>
      <c r="AJ1111" t="s">
        <v>848</v>
      </c>
    </row>
    <row r="1112" spans="1:36">
      <c r="A1112" t="s">
        <v>3569</v>
      </c>
      <c r="B1112" t="s">
        <v>3570</v>
      </c>
      <c r="F1112" t="str">
        <f t="shared" si="17"/>
        <v>57011</v>
      </c>
      <c r="AE1112">
        <v>1101113274703</v>
      </c>
      <c r="AG1112" t="s">
        <v>4</v>
      </c>
    </row>
    <row r="1113" spans="1:36">
      <c r="A1113" t="s">
        <v>3571</v>
      </c>
      <c r="B1113" t="s">
        <v>3572</v>
      </c>
      <c r="F1113" t="str">
        <f t="shared" si="17"/>
        <v>57012</v>
      </c>
      <c r="AE1113">
        <v>1101111824526</v>
      </c>
      <c r="AG1113" t="s">
        <v>4</v>
      </c>
      <c r="AH1113" t="s">
        <v>1100</v>
      </c>
      <c r="AI1113" t="s">
        <v>192</v>
      </c>
      <c r="AJ1113" t="s">
        <v>1022</v>
      </c>
    </row>
    <row r="1114" spans="1:36">
      <c r="A1114" t="s">
        <v>3573</v>
      </c>
      <c r="B1114" t="s">
        <v>3574</v>
      </c>
      <c r="F1114" t="str">
        <f t="shared" si="17"/>
        <v>57014</v>
      </c>
      <c r="AE1114">
        <v>1101111824526</v>
      </c>
      <c r="AG1114" t="s">
        <v>4</v>
      </c>
      <c r="AH1114" t="s">
        <v>1100</v>
      </c>
      <c r="AI1114" t="s">
        <v>192</v>
      </c>
      <c r="AJ1114" t="s">
        <v>1022</v>
      </c>
    </row>
    <row r="1115" spans="1:36">
      <c r="A1115" t="s">
        <v>3575</v>
      </c>
      <c r="B1115" t="s">
        <v>3576</v>
      </c>
      <c r="F1115" t="str">
        <f t="shared" si="17"/>
        <v>57015</v>
      </c>
      <c r="AE1115">
        <v>1101111824526</v>
      </c>
      <c r="AG1115" t="s">
        <v>4</v>
      </c>
      <c r="AH1115" t="s">
        <v>1100</v>
      </c>
      <c r="AI1115" t="s">
        <v>192</v>
      </c>
      <c r="AJ1115" t="s">
        <v>1022</v>
      </c>
    </row>
    <row r="1116" spans="1:36">
      <c r="A1116" t="s">
        <v>3577</v>
      </c>
      <c r="B1116" t="s">
        <v>3578</v>
      </c>
      <c r="F1116" t="str">
        <f t="shared" si="17"/>
        <v>57020</v>
      </c>
      <c r="AE1116">
        <v>1101111824526</v>
      </c>
      <c r="AG1116" t="s">
        <v>4</v>
      </c>
      <c r="AH1116" t="s">
        <v>1100</v>
      </c>
      <c r="AI1116" t="s">
        <v>192</v>
      </c>
      <c r="AJ1116" t="s">
        <v>1022</v>
      </c>
    </row>
    <row r="1117" spans="1:36">
      <c r="A1117" t="s">
        <v>3579</v>
      </c>
      <c r="B1117" t="s">
        <v>3580</v>
      </c>
      <c r="F1117" t="str">
        <f t="shared" si="17"/>
        <v>57112</v>
      </c>
      <c r="AE1117">
        <v>1101111824526</v>
      </c>
      <c r="AG1117" t="s">
        <v>4</v>
      </c>
      <c r="AH1117" t="s">
        <v>1100</v>
      </c>
      <c r="AI1117" t="s">
        <v>192</v>
      </c>
      <c r="AJ1117" t="s">
        <v>1022</v>
      </c>
    </row>
    <row r="1118" spans="1:36">
      <c r="A1118" t="s">
        <v>3581</v>
      </c>
      <c r="B1118" t="s">
        <v>3582</v>
      </c>
      <c r="F1118" t="str">
        <f t="shared" si="17"/>
        <v>57135</v>
      </c>
      <c r="AE1118">
        <v>1101113281609</v>
      </c>
      <c r="AG1118" t="s">
        <v>4</v>
      </c>
      <c r="AH1118" t="s">
        <v>847</v>
      </c>
      <c r="AI1118" t="s">
        <v>55</v>
      </c>
      <c r="AJ1118" t="s">
        <v>848</v>
      </c>
    </row>
    <row r="1119" spans="1:36">
      <c r="A1119" t="s">
        <v>3583</v>
      </c>
      <c r="B1119" t="s">
        <v>3584</v>
      </c>
      <c r="F1119" t="str">
        <f t="shared" si="17"/>
        <v>57136</v>
      </c>
      <c r="AE1119">
        <v>1101110809595</v>
      </c>
      <c r="AG1119" t="s">
        <v>2</v>
      </c>
      <c r="AH1119" t="s">
        <v>464</v>
      </c>
      <c r="AI1119" t="s">
        <v>177</v>
      </c>
      <c r="AJ1119" t="s">
        <v>465</v>
      </c>
    </row>
    <row r="1120" spans="1:36">
      <c r="A1120" t="s">
        <v>3585</v>
      </c>
      <c r="B1120" t="s">
        <v>3586</v>
      </c>
      <c r="F1120" t="str">
        <f t="shared" si="17"/>
        <v>57137</v>
      </c>
      <c r="AE1120">
        <v>1101113280578</v>
      </c>
      <c r="AG1120" t="s">
        <v>4</v>
      </c>
      <c r="AH1120" t="s">
        <v>847</v>
      </c>
      <c r="AI1120" t="s">
        <v>55</v>
      </c>
      <c r="AJ1120" t="s">
        <v>848</v>
      </c>
    </row>
    <row r="1121" spans="1:36">
      <c r="A1121" t="s">
        <v>3587</v>
      </c>
      <c r="B1121" t="s">
        <v>3588</v>
      </c>
      <c r="F1121" t="str">
        <f t="shared" si="17"/>
        <v>57252</v>
      </c>
      <c r="AE1121">
        <v>1101113291971</v>
      </c>
      <c r="AG1121" t="s">
        <v>4</v>
      </c>
      <c r="AH1121" t="s">
        <v>847</v>
      </c>
      <c r="AI1121" t="s">
        <v>55</v>
      </c>
      <c r="AJ1121" t="s">
        <v>848</v>
      </c>
    </row>
    <row r="1122" spans="1:36">
      <c r="A1122" t="s">
        <v>3589</v>
      </c>
      <c r="B1122" t="s">
        <v>3590</v>
      </c>
      <c r="F1122" t="str">
        <f t="shared" si="17"/>
        <v>57253</v>
      </c>
      <c r="AE1122">
        <v>1901110006971</v>
      </c>
      <c r="AF1122" t="s">
        <v>74</v>
      </c>
      <c r="AG1122" t="s">
        <v>2</v>
      </c>
      <c r="AH1122" t="s">
        <v>530</v>
      </c>
      <c r="AI1122" t="s">
        <v>59</v>
      </c>
      <c r="AJ1122" t="s">
        <v>531</v>
      </c>
    </row>
    <row r="1123" spans="1:36">
      <c r="A1123" t="s">
        <v>3591</v>
      </c>
      <c r="B1123" t="s">
        <v>3592</v>
      </c>
      <c r="F1123" t="str">
        <f t="shared" si="17"/>
        <v>57254</v>
      </c>
      <c r="AE1123">
        <v>1601110024284</v>
      </c>
      <c r="AF1123" t="s">
        <v>614</v>
      </c>
      <c r="AG1123" t="s">
        <v>2</v>
      </c>
      <c r="AH1123" t="s">
        <v>1097</v>
      </c>
      <c r="AI1123" t="s">
        <v>177</v>
      </c>
      <c r="AJ1123" t="s">
        <v>1098</v>
      </c>
    </row>
    <row r="1124" spans="1:36">
      <c r="A1124" t="s">
        <v>3593</v>
      </c>
      <c r="B1124" t="s">
        <v>3594</v>
      </c>
      <c r="F1124" t="str">
        <f t="shared" si="17"/>
        <v>57255</v>
      </c>
      <c r="AE1124">
        <v>1101111686033</v>
      </c>
      <c r="AG1124" t="s">
        <v>4</v>
      </c>
      <c r="AH1124" t="s">
        <v>1148</v>
      </c>
      <c r="AI1124" t="s">
        <v>1149</v>
      </c>
      <c r="AJ1124" t="s">
        <v>1150</v>
      </c>
    </row>
    <row r="1125" spans="1:36">
      <c r="A1125" t="s">
        <v>3595</v>
      </c>
      <c r="B1125" t="s">
        <v>3596</v>
      </c>
      <c r="F1125" t="str">
        <f t="shared" si="17"/>
        <v>57256</v>
      </c>
      <c r="AE1125">
        <v>1348110056772</v>
      </c>
      <c r="AG1125" t="s">
        <v>4</v>
      </c>
      <c r="AH1125" t="s">
        <v>1052</v>
      </c>
      <c r="AJ1125" t="s">
        <v>394</v>
      </c>
    </row>
    <row r="1126" spans="1:36">
      <c r="A1126" t="s">
        <v>3597</v>
      </c>
      <c r="B1126" t="s">
        <v>3598</v>
      </c>
      <c r="F1126" t="str">
        <f t="shared" si="17"/>
        <v>57312</v>
      </c>
      <c r="AE1126">
        <v>1101110696124</v>
      </c>
      <c r="AG1126" t="s">
        <v>4</v>
      </c>
      <c r="AH1126" t="s">
        <v>190</v>
      </c>
      <c r="AI1126" t="s">
        <v>32</v>
      </c>
      <c r="AJ1126" t="s">
        <v>91</v>
      </c>
    </row>
    <row r="1127" spans="1:36">
      <c r="A1127" t="s">
        <v>3599</v>
      </c>
      <c r="B1127" t="s">
        <v>3600</v>
      </c>
      <c r="F1127" t="str">
        <f t="shared" si="17"/>
        <v>57313</v>
      </c>
      <c r="AE1127">
        <v>1101113298761</v>
      </c>
      <c r="AG1127" t="s">
        <v>4</v>
      </c>
      <c r="AH1127" t="s">
        <v>847</v>
      </c>
      <c r="AI1127" t="s">
        <v>55</v>
      </c>
      <c r="AJ1127" t="s">
        <v>848</v>
      </c>
    </row>
    <row r="1128" spans="1:36">
      <c r="A1128" t="s">
        <v>3601</v>
      </c>
      <c r="B1128" t="s">
        <v>3602</v>
      </c>
      <c r="F1128" t="str">
        <f t="shared" si="17"/>
        <v>57314</v>
      </c>
      <c r="AG1128" t="s">
        <v>4</v>
      </c>
    </row>
    <row r="1129" spans="1:36">
      <c r="A1129" t="s">
        <v>3603</v>
      </c>
      <c r="B1129" t="s">
        <v>3604</v>
      </c>
      <c r="F1129" t="str">
        <f t="shared" si="17"/>
        <v>57315</v>
      </c>
      <c r="AG1129" t="s">
        <v>4</v>
      </c>
    </row>
    <row r="1130" spans="1:36">
      <c r="A1130" t="s">
        <v>3605</v>
      </c>
      <c r="B1130" t="s">
        <v>3606</v>
      </c>
      <c r="F1130" t="str">
        <f t="shared" si="17"/>
        <v>57316</v>
      </c>
      <c r="AE1130">
        <v>1101111824526</v>
      </c>
      <c r="AG1130" t="s">
        <v>4</v>
      </c>
      <c r="AH1130" t="s">
        <v>1100</v>
      </c>
      <c r="AI1130" t="s">
        <v>192</v>
      </c>
      <c r="AJ1130" t="s">
        <v>1022</v>
      </c>
    </row>
    <row r="1131" spans="1:36">
      <c r="A1131" t="s">
        <v>3607</v>
      </c>
      <c r="B1131" t="s">
        <v>3608</v>
      </c>
      <c r="F1131" t="str">
        <f t="shared" si="17"/>
        <v>57325</v>
      </c>
      <c r="AE1131">
        <v>1101111824526</v>
      </c>
      <c r="AG1131" t="s">
        <v>4</v>
      </c>
      <c r="AH1131" t="s">
        <v>1100</v>
      </c>
      <c r="AI1131" t="s">
        <v>192</v>
      </c>
      <c r="AJ1131" t="s">
        <v>1022</v>
      </c>
    </row>
    <row r="1132" spans="1:36">
      <c r="A1132" t="s">
        <v>3609</v>
      </c>
      <c r="B1132" t="s">
        <v>3610</v>
      </c>
      <c r="F1132" t="str">
        <f t="shared" si="17"/>
        <v>57352</v>
      </c>
      <c r="AE1132">
        <v>1101111824526</v>
      </c>
      <c r="AG1132" t="s">
        <v>4</v>
      </c>
      <c r="AH1132" t="s">
        <v>1100</v>
      </c>
      <c r="AI1132" t="s">
        <v>192</v>
      </c>
      <c r="AJ1132" t="s">
        <v>1022</v>
      </c>
    </row>
    <row r="1133" spans="1:36">
      <c r="A1133" t="s">
        <v>3611</v>
      </c>
      <c r="B1133" t="s">
        <v>3612</v>
      </c>
      <c r="F1133" t="str">
        <f t="shared" si="17"/>
        <v>57353</v>
      </c>
      <c r="AE1133">
        <v>1101111824526</v>
      </c>
      <c r="AG1133" t="s">
        <v>4</v>
      </c>
      <c r="AH1133" t="s">
        <v>1100</v>
      </c>
      <c r="AI1133" t="s">
        <v>192</v>
      </c>
      <c r="AJ1133" t="s">
        <v>1022</v>
      </c>
    </row>
    <row r="1134" spans="1:36">
      <c r="A1134" t="s">
        <v>3613</v>
      </c>
      <c r="B1134" t="s">
        <v>3614</v>
      </c>
      <c r="F1134" t="str">
        <f t="shared" si="17"/>
        <v>57354</v>
      </c>
      <c r="AE1134">
        <v>1101111824526</v>
      </c>
      <c r="AG1134" t="s">
        <v>4</v>
      </c>
      <c r="AH1134" t="s">
        <v>1100</v>
      </c>
      <c r="AI1134" t="s">
        <v>192</v>
      </c>
      <c r="AJ1134" t="s">
        <v>1022</v>
      </c>
    </row>
    <row r="1135" spans="1:36">
      <c r="A1135" t="s">
        <v>3615</v>
      </c>
      <c r="B1135" t="s">
        <v>3616</v>
      </c>
      <c r="F1135" t="str">
        <f t="shared" si="17"/>
        <v>57355</v>
      </c>
      <c r="AE1135">
        <v>1101113304071</v>
      </c>
      <c r="AG1135" t="s">
        <v>4</v>
      </c>
      <c r="AH1135" t="s">
        <v>847</v>
      </c>
      <c r="AI1135" t="s">
        <v>55</v>
      </c>
      <c r="AJ1135" t="s">
        <v>848</v>
      </c>
    </row>
    <row r="1136" spans="1:36">
      <c r="A1136" t="s">
        <v>3617</v>
      </c>
      <c r="B1136" t="s">
        <v>3618</v>
      </c>
      <c r="F1136" t="str">
        <f t="shared" si="17"/>
        <v>57356</v>
      </c>
      <c r="AE1136">
        <v>1101111309700</v>
      </c>
      <c r="AG1136" t="s">
        <v>4</v>
      </c>
      <c r="AH1136" t="s">
        <v>545</v>
      </c>
      <c r="AI1136" t="s">
        <v>32</v>
      </c>
      <c r="AJ1136" t="s">
        <v>546</v>
      </c>
    </row>
    <row r="1137" spans="1:36">
      <c r="A1137" t="s">
        <v>3619</v>
      </c>
      <c r="B1137" t="s">
        <v>3620</v>
      </c>
      <c r="F1137" t="str">
        <f t="shared" si="17"/>
        <v>57387</v>
      </c>
      <c r="AE1137">
        <v>1101111430498</v>
      </c>
      <c r="AG1137" t="s">
        <v>2</v>
      </c>
      <c r="AH1137" t="s">
        <v>1151</v>
      </c>
      <c r="AJ1137" t="s">
        <v>491</v>
      </c>
    </row>
    <row r="1138" spans="1:36">
      <c r="A1138" t="s">
        <v>3621</v>
      </c>
      <c r="B1138" t="s">
        <v>3622</v>
      </c>
      <c r="F1138" t="str">
        <f t="shared" si="17"/>
        <v>57388</v>
      </c>
      <c r="AE1138">
        <v>1101113307760</v>
      </c>
      <c r="AG1138" t="s">
        <v>4</v>
      </c>
    </row>
    <row r="1139" spans="1:36">
      <c r="A1139" t="s">
        <v>3623</v>
      </c>
      <c r="B1139" t="s">
        <v>3624</v>
      </c>
      <c r="F1139" t="str">
        <f t="shared" si="17"/>
        <v>57389</v>
      </c>
      <c r="AE1139">
        <v>1101110984587</v>
      </c>
      <c r="AF1139" t="s">
        <v>1152</v>
      </c>
      <c r="AG1139" t="s">
        <v>2</v>
      </c>
      <c r="AH1139" t="s">
        <v>1153</v>
      </c>
      <c r="AI1139" t="s">
        <v>657</v>
      </c>
      <c r="AJ1139" t="s">
        <v>1154</v>
      </c>
    </row>
    <row r="1140" spans="1:36">
      <c r="A1140" t="s">
        <v>3625</v>
      </c>
      <c r="B1140" t="s">
        <v>3626</v>
      </c>
      <c r="F1140" t="str">
        <f t="shared" si="17"/>
        <v>57390</v>
      </c>
      <c r="AE1140">
        <v>1101111752800</v>
      </c>
      <c r="AG1140" t="s">
        <v>4</v>
      </c>
      <c r="AH1140" t="s">
        <v>245</v>
      </c>
      <c r="AJ1140" t="s">
        <v>84</v>
      </c>
    </row>
    <row r="1141" spans="1:36">
      <c r="A1141" t="s">
        <v>3627</v>
      </c>
      <c r="B1141" t="s">
        <v>3628</v>
      </c>
      <c r="F1141" t="str">
        <f t="shared" si="17"/>
        <v>57391</v>
      </c>
      <c r="AE1141">
        <v>1112710002025</v>
      </c>
      <c r="AG1141" t="s">
        <v>4</v>
      </c>
    </row>
    <row r="1142" spans="1:36">
      <c r="A1142" t="s">
        <v>3629</v>
      </c>
      <c r="B1142" t="s">
        <v>3630</v>
      </c>
      <c r="F1142" t="str">
        <f t="shared" si="17"/>
        <v>57392</v>
      </c>
      <c r="AE1142">
        <v>1601110048870</v>
      </c>
      <c r="AG1142" t="s">
        <v>2</v>
      </c>
      <c r="AH1142" t="s">
        <v>1155</v>
      </c>
      <c r="AJ1142" t="s">
        <v>817</v>
      </c>
    </row>
    <row r="1143" spans="1:36">
      <c r="A1143" t="s">
        <v>3631</v>
      </c>
      <c r="B1143" t="s">
        <v>3632</v>
      </c>
      <c r="F1143" t="str">
        <f t="shared" si="17"/>
        <v>57487</v>
      </c>
      <c r="AE1143">
        <v>1101113311703</v>
      </c>
      <c r="AG1143" t="s">
        <v>4</v>
      </c>
      <c r="AH1143" t="s">
        <v>847</v>
      </c>
      <c r="AI1143" t="s">
        <v>55</v>
      </c>
      <c r="AJ1143" t="s">
        <v>848</v>
      </c>
    </row>
    <row r="1144" spans="1:36">
      <c r="A1144" t="s">
        <v>3633</v>
      </c>
      <c r="B1144" t="s">
        <v>3634</v>
      </c>
      <c r="F1144" t="str">
        <f t="shared" si="17"/>
        <v>57488</v>
      </c>
      <c r="AE1144">
        <v>1101113312355</v>
      </c>
      <c r="AG1144" t="s">
        <v>4</v>
      </c>
    </row>
    <row r="1145" spans="1:36">
      <c r="A1145" t="s">
        <v>3635</v>
      </c>
      <c r="B1145" t="s">
        <v>3636</v>
      </c>
      <c r="F1145" t="str">
        <f t="shared" si="17"/>
        <v>57489</v>
      </c>
      <c r="AG1145" t="s">
        <v>4</v>
      </c>
    </row>
    <row r="1146" spans="1:36">
      <c r="A1146" t="s">
        <v>3637</v>
      </c>
      <c r="B1146" t="s">
        <v>3638</v>
      </c>
      <c r="F1146" t="str">
        <f t="shared" si="17"/>
        <v>57490</v>
      </c>
      <c r="AG1146" t="s">
        <v>4</v>
      </c>
    </row>
    <row r="1147" spans="1:36">
      <c r="A1147" t="s">
        <v>3639</v>
      </c>
      <c r="B1147" t="s">
        <v>3640</v>
      </c>
      <c r="F1147" t="str">
        <f t="shared" si="17"/>
        <v>57491</v>
      </c>
      <c r="AE1147">
        <v>1101113319921</v>
      </c>
      <c r="AG1147" t="s">
        <v>4</v>
      </c>
      <c r="AH1147" t="s">
        <v>847</v>
      </c>
      <c r="AI1147" t="s">
        <v>55</v>
      </c>
      <c r="AJ1147" t="s">
        <v>848</v>
      </c>
    </row>
    <row r="1148" spans="1:36">
      <c r="A1148" t="s">
        <v>3641</v>
      </c>
      <c r="B1148" t="s">
        <v>3642</v>
      </c>
      <c r="F1148" t="str">
        <f t="shared" si="17"/>
        <v>57503</v>
      </c>
      <c r="AE1148">
        <v>1101111257339</v>
      </c>
      <c r="AG1148" t="s">
        <v>4</v>
      </c>
      <c r="AH1148" t="s">
        <v>462</v>
      </c>
      <c r="AI1148" t="s">
        <v>177</v>
      </c>
      <c r="AJ1148" t="s">
        <v>463</v>
      </c>
    </row>
    <row r="1149" spans="1:36">
      <c r="A1149" t="s">
        <v>3643</v>
      </c>
      <c r="B1149" t="s">
        <v>3644</v>
      </c>
      <c r="F1149" t="str">
        <f t="shared" si="17"/>
        <v>57504</v>
      </c>
      <c r="AE1149">
        <v>1101113327510</v>
      </c>
      <c r="AG1149" t="s">
        <v>4</v>
      </c>
    </row>
    <row r="1150" spans="1:36">
      <c r="A1150" t="s">
        <v>3645</v>
      </c>
      <c r="B1150" t="s">
        <v>3646</v>
      </c>
      <c r="F1150" t="str">
        <f t="shared" si="17"/>
        <v>57518</v>
      </c>
      <c r="AE1150">
        <v>1101113327990</v>
      </c>
      <c r="AG1150" t="s">
        <v>4</v>
      </c>
      <c r="AH1150" t="s">
        <v>847</v>
      </c>
      <c r="AI1150" t="s">
        <v>55</v>
      </c>
      <c r="AJ1150" t="s">
        <v>848</v>
      </c>
    </row>
    <row r="1151" spans="1:36">
      <c r="A1151" t="s">
        <v>3647</v>
      </c>
      <c r="B1151" t="s">
        <v>3648</v>
      </c>
      <c r="F1151" t="str">
        <f t="shared" si="17"/>
        <v>57530</v>
      </c>
      <c r="AE1151">
        <v>1101113318288</v>
      </c>
      <c r="AG1151" t="s">
        <v>4</v>
      </c>
      <c r="AH1151" t="s">
        <v>847</v>
      </c>
      <c r="AI1151" t="s">
        <v>55</v>
      </c>
      <c r="AJ1151" t="s">
        <v>848</v>
      </c>
    </row>
    <row r="1152" spans="1:36">
      <c r="A1152" t="s">
        <v>3649</v>
      </c>
      <c r="B1152" t="s">
        <v>3650</v>
      </c>
      <c r="F1152" t="str">
        <f t="shared" si="17"/>
        <v>57531</v>
      </c>
      <c r="AE1152">
        <v>1243110028898</v>
      </c>
      <c r="AG1152" t="s">
        <v>4</v>
      </c>
      <c r="AH1152" t="s">
        <v>1156</v>
      </c>
      <c r="AJ1152" t="s">
        <v>1157</v>
      </c>
    </row>
    <row r="1153" spans="1:36">
      <c r="A1153" t="s">
        <v>3651</v>
      </c>
      <c r="B1153" t="s">
        <v>3652</v>
      </c>
      <c r="F1153" t="str">
        <f t="shared" si="17"/>
        <v>57532</v>
      </c>
      <c r="AE1153">
        <v>1101111235129</v>
      </c>
      <c r="AG1153" t="s">
        <v>4</v>
      </c>
      <c r="AH1153" t="s">
        <v>1128</v>
      </c>
      <c r="AJ1153" t="s">
        <v>1129</v>
      </c>
    </row>
    <row r="1154" spans="1:36">
      <c r="A1154" t="s">
        <v>3653</v>
      </c>
      <c r="B1154" t="s">
        <v>3654</v>
      </c>
      <c r="F1154" t="str">
        <f t="shared" si="17"/>
        <v>57619</v>
      </c>
      <c r="AE1154">
        <v>1101810027439</v>
      </c>
      <c r="AG1154" t="s">
        <v>4</v>
      </c>
    </row>
    <row r="1155" spans="1:36">
      <c r="A1155" t="s">
        <v>3655</v>
      </c>
      <c r="B1155" t="s">
        <v>3656</v>
      </c>
      <c r="F1155" t="str">
        <f t="shared" si="17"/>
        <v>57620</v>
      </c>
      <c r="AE1155">
        <v>1243110031007</v>
      </c>
      <c r="AG1155" t="s">
        <v>2</v>
      </c>
      <c r="AH1155" t="s">
        <v>578</v>
      </c>
      <c r="AJ1155" t="s">
        <v>426</v>
      </c>
    </row>
    <row r="1156" spans="1:36">
      <c r="A1156" t="s">
        <v>3657</v>
      </c>
      <c r="B1156" t="s">
        <v>3658</v>
      </c>
      <c r="F1156" t="str">
        <f t="shared" si="17"/>
        <v>57621</v>
      </c>
      <c r="AE1156">
        <v>1801110004886</v>
      </c>
      <c r="AG1156" t="s">
        <v>4</v>
      </c>
      <c r="AH1156" t="s">
        <v>685</v>
      </c>
      <c r="AI1156" t="s">
        <v>26</v>
      </c>
      <c r="AJ1156" t="s">
        <v>260</v>
      </c>
    </row>
    <row r="1157" spans="1:36">
      <c r="A1157" t="s">
        <v>3659</v>
      </c>
      <c r="B1157" t="s">
        <v>3660</v>
      </c>
      <c r="F1157" t="str">
        <f t="shared" si="17"/>
        <v>57622</v>
      </c>
      <c r="AE1157">
        <v>1341110072649</v>
      </c>
      <c r="AG1157" t="s">
        <v>4</v>
      </c>
      <c r="AH1157" t="s">
        <v>341</v>
      </c>
      <c r="AJ1157" t="s">
        <v>342</v>
      </c>
    </row>
    <row r="1158" spans="1:36">
      <c r="A1158" t="s">
        <v>3661</v>
      </c>
      <c r="B1158" t="s">
        <v>3662</v>
      </c>
      <c r="F1158" t="str">
        <f t="shared" si="17"/>
        <v>57623</v>
      </c>
      <c r="AE1158">
        <v>1101113291294</v>
      </c>
      <c r="AG1158" t="s">
        <v>4</v>
      </c>
      <c r="AH1158" t="s">
        <v>847</v>
      </c>
      <c r="AI1158" t="s">
        <v>55</v>
      </c>
      <c r="AJ1158" t="s">
        <v>848</v>
      </c>
    </row>
    <row r="1159" spans="1:36">
      <c r="A1159" t="s">
        <v>3663</v>
      </c>
      <c r="B1159" t="s">
        <v>1509</v>
      </c>
      <c r="F1159" t="str">
        <f t="shared" si="17"/>
        <v>57634</v>
      </c>
      <c r="AE1159">
        <v>1101113291179</v>
      </c>
      <c r="AG1159" t="s">
        <v>4</v>
      </c>
      <c r="AH1159" t="s">
        <v>847</v>
      </c>
      <c r="AI1159" t="s">
        <v>55</v>
      </c>
      <c r="AJ1159" t="s">
        <v>848</v>
      </c>
    </row>
    <row r="1160" spans="1:36">
      <c r="A1160" t="s">
        <v>3664</v>
      </c>
      <c r="B1160" t="s">
        <v>3665</v>
      </c>
      <c r="F1160" t="str">
        <f t="shared" si="17"/>
        <v>57650</v>
      </c>
      <c r="AE1160">
        <v>1101113347493</v>
      </c>
      <c r="AG1160" t="s">
        <v>4</v>
      </c>
      <c r="AH1160" t="s">
        <v>837</v>
      </c>
      <c r="AI1160" t="s">
        <v>6</v>
      </c>
      <c r="AJ1160" t="s">
        <v>838</v>
      </c>
    </row>
    <row r="1161" spans="1:36">
      <c r="A1161" t="s">
        <v>3666</v>
      </c>
      <c r="B1161" t="s">
        <v>3667</v>
      </c>
      <c r="F1161" t="str">
        <f t="shared" si="17"/>
        <v>57651</v>
      </c>
      <c r="AE1161">
        <v>1101140058237</v>
      </c>
      <c r="AG1161" t="s">
        <v>4</v>
      </c>
    </row>
    <row r="1162" spans="1:36">
      <c r="A1162" t="s">
        <v>3668</v>
      </c>
      <c r="B1162" t="s">
        <v>3669</v>
      </c>
      <c r="F1162" t="str">
        <f t="shared" ref="F1162:F1225" si="18">CHOOSE($C$1, A1162, B1162)</f>
        <v>57652</v>
      </c>
      <c r="AE1162">
        <v>1101113354969</v>
      </c>
      <c r="AG1162" t="s">
        <v>4</v>
      </c>
      <c r="AH1162" t="s">
        <v>847</v>
      </c>
      <c r="AI1162" t="s">
        <v>55</v>
      </c>
      <c r="AJ1162" t="s">
        <v>848</v>
      </c>
    </row>
    <row r="1163" spans="1:36">
      <c r="A1163" t="s">
        <v>3670</v>
      </c>
      <c r="B1163" t="s">
        <v>3671</v>
      </c>
      <c r="F1163" t="str">
        <f t="shared" si="18"/>
        <v>57691</v>
      </c>
      <c r="AE1163">
        <v>1101113326588</v>
      </c>
      <c r="AF1163" t="s">
        <v>93</v>
      </c>
      <c r="AG1163" t="s">
        <v>4</v>
      </c>
      <c r="AH1163" t="s">
        <v>1138</v>
      </c>
      <c r="AI1163" t="s">
        <v>649</v>
      </c>
      <c r="AJ1163" t="s">
        <v>1139</v>
      </c>
    </row>
    <row r="1164" spans="1:36">
      <c r="A1164" t="s">
        <v>3672</v>
      </c>
      <c r="B1164" t="s">
        <v>3673</v>
      </c>
      <c r="F1164" t="str">
        <f t="shared" si="18"/>
        <v>57692</v>
      </c>
      <c r="AE1164">
        <v>1101111684037</v>
      </c>
      <c r="AG1164" t="s">
        <v>4</v>
      </c>
      <c r="AH1164" t="s">
        <v>420</v>
      </c>
      <c r="AI1164" t="s">
        <v>249</v>
      </c>
      <c r="AJ1164" t="s">
        <v>421</v>
      </c>
    </row>
    <row r="1165" spans="1:36">
      <c r="A1165" t="s">
        <v>3674</v>
      </c>
      <c r="B1165" t="s">
        <v>3675</v>
      </c>
      <c r="F1165" t="str">
        <f t="shared" si="18"/>
        <v>57693</v>
      </c>
      <c r="AE1165">
        <v>1101110953540</v>
      </c>
      <c r="AG1165" t="s">
        <v>4</v>
      </c>
      <c r="AH1165" t="s">
        <v>213</v>
      </c>
      <c r="AI1165" t="s">
        <v>214</v>
      </c>
      <c r="AJ1165" t="s">
        <v>89</v>
      </c>
    </row>
    <row r="1166" spans="1:36">
      <c r="A1166" t="s">
        <v>3676</v>
      </c>
      <c r="B1166" t="s">
        <v>3677</v>
      </c>
      <c r="F1166" t="str">
        <f t="shared" si="18"/>
        <v>57694</v>
      </c>
      <c r="AE1166">
        <v>1211110058686</v>
      </c>
      <c r="AG1166" t="s">
        <v>4</v>
      </c>
      <c r="AH1166" t="s">
        <v>338</v>
      </c>
      <c r="AJ1166" t="s">
        <v>339</v>
      </c>
    </row>
    <row r="1167" spans="1:36">
      <c r="A1167" t="s">
        <v>3678</v>
      </c>
      <c r="B1167" t="s">
        <v>3679</v>
      </c>
      <c r="F1167" t="str">
        <f t="shared" si="18"/>
        <v>57695</v>
      </c>
      <c r="AE1167">
        <v>1101111538664</v>
      </c>
      <c r="AG1167" t="s">
        <v>2</v>
      </c>
      <c r="AH1167" t="s">
        <v>462</v>
      </c>
      <c r="AI1167" t="s">
        <v>177</v>
      </c>
      <c r="AJ1167" t="s">
        <v>463</v>
      </c>
    </row>
    <row r="1168" spans="1:36">
      <c r="A1168" t="s">
        <v>3680</v>
      </c>
      <c r="B1168" t="s">
        <v>3681</v>
      </c>
      <c r="F1168" t="str">
        <f t="shared" si="18"/>
        <v>57754</v>
      </c>
      <c r="AE1168">
        <v>1101111473357</v>
      </c>
      <c r="AG1168" t="s">
        <v>4</v>
      </c>
      <c r="AH1168" t="s">
        <v>1151</v>
      </c>
      <c r="AJ1168" t="s">
        <v>491</v>
      </c>
    </row>
    <row r="1169" spans="1:36">
      <c r="A1169" t="s">
        <v>3682</v>
      </c>
      <c r="B1169" t="s">
        <v>3683</v>
      </c>
      <c r="F1169" t="str">
        <f t="shared" si="18"/>
        <v>57755</v>
      </c>
      <c r="AE1169">
        <v>1101112328121</v>
      </c>
      <c r="AG1169" t="s">
        <v>4</v>
      </c>
      <c r="AH1169" t="s">
        <v>600</v>
      </c>
      <c r="AJ1169" t="s">
        <v>601</v>
      </c>
    </row>
    <row r="1170" spans="1:36">
      <c r="A1170" t="s">
        <v>3684</v>
      </c>
      <c r="B1170" t="s">
        <v>3685</v>
      </c>
      <c r="F1170" t="str">
        <f t="shared" si="18"/>
        <v>57756</v>
      </c>
      <c r="AE1170">
        <v>1101113356824</v>
      </c>
      <c r="AG1170" t="s">
        <v>4</v>
      </c>
      <c r="AH1170" t="s">
        <v>847</v>
      </c>
      <c r="AI1170" t="s">
        <v>55</v>
      </c>
      <c r="AJ1170" t="s">
        <v>848</v>
      </c>
    </row>
    <row r="1171" spans="1:36">
      <c r="A1171" t="s">
        <v>3686</v>
      </c>
      <c r="B1171" t="s">
        <v>3687</v>
      </c>
      <c r="F1171" t="str">
        <f t="shared" si="18"/>
        <v>57839</v>
      </c>
      <c r="AG1171" t="s">
        <v>4</v>
      </c>
    </row>
    <row r="1172" spans="1:36">
      <c r="A1172" t="s">
        <v>3688</v>
      </c>
      <c r="B1172" t="s">
        <v>3689</v>
      </c>
      <c r="F1172" t="str">
        <f t="shared" si="18"/>
        <v>57840</v>
      </c>
      <c r="AE1172">
        <v>1101113360643</v>
      </c>
      <c r="AG1172" t="s">
        <v>4</v>
      </c>
      <c r="AH1172" t="s">
        <v>847</v>
      </c>
      <c r="AI1172" t="s">
        <v>55</v>
      </c>
      <c r="AJ1172" t="s">
        <v>848</v>
      </c>
    </row>
    <row r="1173" spans="1:36">
      <c r="A1173" t="s">
        <v>3690</v>
      </c>
      <c r="B1173" t="s">
        <v>3691</v>
      </c>
      <c r="F1173" t="str">
        <f t="shared" si="18"/>
        <v>57841</v>
      </c>
      <c r="AE1173">
        <v>1101111549108</v>
      </c>
      <c r="AG1173" t="s">
        <v>2</v>
      </c>
      <c r="AH1173" t="s">
        <v>1156</v>
      </c>
      <c r="AJ1173" t="s">
        <v>1157</v>
      </c>
    </row>
    <row r="1174" spans="1:36">
      <c r="A1174" t="s">
        <v>3692</v>
      </c>
      <c r="B1174" t="s">
        <v>3693</v>
      </c>
      <c r="F1174" t="str">
        <f t="shared" si="18"/>
        <v>57842</v>
      </c>
      <c r="AE1174">
        <v>1101140058691</v>
      </c>
      <c r="AG1174" t="s">
        <v>4</v>
      </c>
      <c r="AH1174" t="s">
        <v>837</v>
      </c>
      <c r="AI1174" t="s">
        <v>6</v>
      </c>
      <c r="AJ1174" t="s">
        <v>838</v>
      </c>
    </row>
    <row r="1175" spans="1:36">
      <c r="A1175" t="s">
        <v>3694</v>
      </c>
      <c r="B1175" t="s">
        <v>3695</v>
      </c>
      <c r="F1175" t="str">
        <f t="shared" si="18"/>
        <v>57843</v>
      </c>
      <c r="AE1175">
        <v>1101113360974</v>
      </c>
      <c r="AG1175" t="s">
        <v>4</v>
      </c>
      <c r="AH1175" t="s">
        <v>847</v>
      </c>
      <c r="AI1175" t="s">
        <v>55</v>
      </c>
      <c r="AJ1175" t="s">
        <v>848</v>
      </c>
    </row>
    <row r="1176" spans="1:36">
      <c r="A1176" t="s">
        <v>3696</v>
      </c>
      <c r="B1176" t="s">
        <v>3697</v>
      </c>
      <c r="F1176" t="str">
        <f t="shared" si="18"/>
        <v>57844</v>
      </c>
      <c r="AE1176">
        <v>1101113364596</v>
      </c>
      <c r="AG1176" t="s">
        <v>4</v>
      </c>
    </row>
    <row r="1177" spans="1:36">
      <c r="A1177" t="s">
        <v>3698</v>
      </c>
      <c r="B1177" t="s">
        <v>3699</v>
      </c>
      <c r="F1177" t="str">
        <f t="shared" si="18"/>
        <v>57845</v>
      </c>
      <c r="AE1177">
        <v>1101113360065</v>
      </c>
      <c r="AG1177" t="s">
        <v>4</v>
      </c>
      <c r="AH1177" t="s">
        <v>847</v>
      </c>
      <c r="AI1177" t="s">
        <v>55</v>
      </c>
      <c r="AJ1177" t="s">
        <v>848</v>
      </c>
    </row>
    <row r="1178" spans="1:36">
      <c r="A1178" t="s">
        <v>3700</v>
      </c>
      <c r="B1178" t="s">
        <v>3701</v>
      </c>
      <c r="F1178" t="str">
        <f t="shared" si="18"/>
        <v>57846</v>
      </c>
      <c r="AE1178">
        <v>1101113365445</v>
      </c>
      <c r="AG1178" t="s">
        <v>4</v>
      </c>
      <c r="AH1178" t="s">
        <v>847</v>
      </c>
      <c r="AI1178" t="s">
        <v>55</v>
      </c>
      <c r="AJ1178" t="s">
        <v>848</v>
      </c>
    </row>
    <row r="1179" spans="1:36">
      <c r="A1179" t="s">
        <v>3702</v>
      </c>
      <c r="B1179" t="s">
        <v>3703</v>
      </c>
      <c r="F1179" t="str">
        <f t="shared" si="18"/>
        <v>57847</v>
      </c>
      <c r="AE1179">
        <v>1101113363829</v>
      </c>
      <c r="AG1179" t="s">
        <v>4</v>
      </c>
    </row>
    <row r="1180" spans="1:36">
      <c r="A1180" t="s">
        <v>3704</v>
      </c>
      <c r="B1180" t="s">
        <v>3705</v>
      </c>
      <c r="F1180" t="str">
        <f t="shared" si="18"/>
        <v>57848</v>
      </c>
      <c r="AG1180" t="s">
        <v>4</v>
      </c>
    </row>
    <row r="1181" spans="1:36">
      <c r="A1181" t="s">
        <v>3706</v>
      </c>
      <c r="B1181" t="s">
        <v>3707</v>
      </c>
      <c r="F1181" t="str">
        <f t="shared" si="18"/>
        <v>57849</v>
      </c>
      <c r="AE1181">
        <v>1101140059384</v>
      </c>
      <c r="AG1181" t="s">
        <v>4</v>
      </c>
    </row>
    <row r="1182" spans="1:36">
      <c r="A1182" t="s">
        <v>3708</v>
      </c>
      <c r="B1182" t="s">
        <v>3709</v>
      </c>
      <c r="F1182" t="str">
        <f t="shared" si="18"/>
        <v>57850</v>
      </c>
      <c r="AE1182">
        <v>1101113384065</v>
      </c>
      <c r="AG1182" t="s">
        <v>4</v>
      </c>
      <c r="AH1182" t="s">
        <v>847</v>
      </c>
      <c r="AI1182" t="s">
        <v>55</v>
      </c>
      <c r="AJ1182" t="s">
        <v>848</v>
      </c>
    </row>
    <row r="1183" spans="1:36">
      <c r="A1183" t="s">
        <v>3710</v>
      </c>
      <c r="B1183" t="s">
        <v>3711</v>
      </c>
      <c r="F1183" t="str">
        <f t="shared" si="18"/>
        <v>57851</v>
      </c>
      <c r="AE1183">
        <v>1101113392167</v>
      </c>
      <c r="AG1183" t="s">
        <v>4</v>
      </c>
    </row>
    <row r="1184" spans="1:36">
      <c r="A1184" t="s">
        <v>3712</v>
      </c>
      <c r="B1184" t="s">
        <v>3713</v>
      </c>
      <c r="F1184" t="str">
        <f t="shared" si="18"/>
        <v>57852</v>
      </c>
      <c r="AE1184">
        <v>2001110140750</v>
      </c>
      <c r="AG1184" t="s">
        <v>4</v>
      </c>
    </row>
    <row r="1185" spans="1:36">
      <c r="A1185" t="s">
        <v>3714</v>
      </c>
      <c r="B1185" t="s">
        <v>3715</v>
      </c>
      <c r="F1185" t="str">
        <f t="shared" si="18"/>
        <v>57853</v>
      </c>
      <c r="AE1185">
        <v>1101110890023</v>
      </c>
      <c r="AG1185" t="s">
        <v>4</v>
      </c>
      <c r="AH1185" t="s">
        <v>464</v>
      </c>
      <c r="AI1185" t="s">
        <v>177</v>
      </c>
      <c r="AJ1185" t="s">
        <v>465</v>
      </c>
    </row>
    <row r="1186" spans="1:36">
      <c r="A1186" t="s">
        <v>3716</v>
      </c>
      <c r="B1186" t="s">
        <v>3717</v>
      </c>
      <c r="F1186" t="str">
        <f t="shared" si="18"/>
        <v>57854</v>
      </c>
      <c r="AE1186">
        <v>1701110296401</v>
      </c>
      <c r="AG1186" t="s">
        <v>4</v>
      </c>
      <c r="AH1186" t="s">
        <v>1161</v>
      </c>
      <c r="AI1186" t="s">
        <v>83</v>
      </c>
      <c r="AJ1186" t="s">
        <v>515</v>
      </c>
    </row>
    <row r="1187" spans="1:36">
      <c r="A1187" t="s">
        <v>3718</v>
      </c>
      <c r="B1187" t="s">
        <v>3719</v>
      </c>
      <c r="F1187" t="str">
        <f t="shared" si="18"/>
        <v>57855</v>
      </c>
      <c r="AE1187">
        <v>1101113401835</v>
      </c>
      <c r="AG1187" t="s">
        <v>4</v>
      </c>
    </row>
    <row r="1188" spans="1:36">
      <c r="A1188" t="s">
        <v>3720</v>
      </c>
      <c r="B1188" t="s">
        <v>3721</v>
      </c>
      <c r="F1188" t="str">
        <f t="shared" si="18"/>
        <v>57856</v>
      </c>
      <c r="AE1188">
        <v>1101110358956</v>
      </c>
      <c r="AG1188" t="s">
        <v>2</v>
      </c>
      <c r="AH1188" t="s">
        <v>949</v>
      </c>
      <c r="AI1188" t="s">
        <v>83</v>
      </c>
      <c r="AJ1188" t="s">
        <v>950</v>
      </c>
    </row>
    <row r="1189" spans="1:36">
      <c r="A1189" t="s">
        <v>3722</v>
      </c>
      <c r="B1189" t="s">
        <v>3723</v>
      </c>
      <c r="F1189" t="str">
        <f t="shared" si="18"/>
        <v>57857</v>
      </c>
      <c r="AE1189">
        <v>1101113411678</v>
      </c>
      <c r="AG1189" t="s">
        <v>4</v>
      </c>
    </row>
    <row r="1190" spans="1:36">
      <c r="A1190" t="s">
        <v>3724</v>
      </c>
      <c r="B1190" t="s">
        <v>3725</v>
      </c>
      <c r="F1190" t="str">
        <f t="shared" si="18"/>
        <v>57858</v>
      </c>
      <c r="AE1190">
        <v>1101113343631</v>
      </c>
      <c r="AG1190" t="s">
        <v>4</v>
      </c>
      <c r="AH1190" t="s">
        <v>847</v>
      </c>
      <c r="AI1190" t="s">
        <v>55</v>
      </c>
      <c r="AJ1190" t="s">
        <v>848</v>
      </c>
    </row>
    <row r="1191" spans="1:36">
      <c r="A1191" t="s">
        <v>3726</v>
      </c>
      <c r="B1191" t="s">
        <v>3727</v>
      </c>
      <c r="F1191" t="str">
        <f t="shared" si="18"/>
        <v>57859</v>
      </c>
      <c r="AE1191">
        <v>1101113420546</v>
      </c>
      <c r="AG1191" t="s">
        <v>4</v>
      </c>
      <c r="AH1191" t="s">
        <v>847</v>
      </c>
      <c r="AI1191" t="s">
        <v>55</v>
      </c>
      <c r="AJ1191" t="s">
        <v>848</v>
      </c>
    </row>
    <row r="1192" spans="1:36">
      <c r="A1192" t="s">
        <v>3728</v>
      </c>
      <c r="B1192" t="s">
        <v>3729</v>
      </c>
      <c r="F1192" t="str">
        <f t="shared" si="18"/>
        <v>57884</v>
      </c>
      <c r="AE1192">
        <v>1101111779953</v>
      </c>
      <c r="AG1192" t="s">
        <v>4</v>
      </c>
      <c r="AH1192" t="s">
        <v>237</v>
      </c>
      <c r="AJ1192" t="s">
        <v>220</v>
      </c>
    </row>
    <row r="1193" spans="1:36">
      <c r="A1193" t="s">
        <v>3730</v>
      </c>
      <c r="B1193" t="s">
        <v>3731</v>
      </c>
      <c r="F1193" t="str">
        <f t="shared" si="18"/>
        <v>57885</v>
      </c>
      <c r="AE1193">
        <v>1101113408526</v>
      </c>
      <c r="AG1193" t="s">
        <v>4</v>
      </c>
    </row>
    <row r="1194" spans="1:36">
      <c r="A1194" t="s">
        <v>3732</v>
      </c>
      <c r="B1194" t="s">
        <v>3733</v>
      </c>
      <c r="F1194" t="str">
        <f t="shared" si="18"/>
        <v>57886</v>
      </c>
      <c r="AE1194">
        <v>1101113410688</v>
      </c>
      <c r="AG1194" t="s">
        <v>4</v>
      </c>
      <c r="AH1194" t="s">
        <v>847</v>
      </c>
      <c r="AI1194" t="s">
        <v>55</v>
      </c>
      <c r="AJ1194" t="s">
        <v>848</v>
      </c>
    </row>
    <row r="1195" spans="1:36">
      <c r="A1195" t="s">
        <v>3734</v>
      </c>
      <c r="B1195" t="s">
        <v>3735</v>
      </c>
      <c r="F1195" t="str">
        <f t="shared" si="18"/>
        <v>57887</v>
      </c>
      <c r="AE1195">
        <v>1101113429093</v>
      </c>
      <c r="AG1195" t="s">
        <v>4</v>
      </c>
    </row>
    <row r="1196" spans="1:36">
      <c r="A1196" t="s">
        <v>3736</v>
      </c>
      <c r="B1196" t="s">
        <v>3737</v>
      </c>
      <c r="F1196" t="str">
        <f t="shared" si="18"/>
        <v>57888</v>
      </c>
      <c r="AE1196">
        <v>1101111631103</v>
      </c>
      <c r="AG1196" t="s">
        <v>4</v>
      </c>
      <c r="AH1196" t="s">
        <v>462</v>
      </c>
      <c r="AI1196" t="s">
        <v>177</v>
      </c>
      <c r="AJ1196" t="s">
        <v>463</v>
      </c>
    </row>
    <row r="1197" spans="1:36">
      <c r="A1197" t="s">
        <v>3738</v>
      </c>
      <c r="B1197" t="s">
        <v>3739</v>
      </c>
      <c r="F1197" t="str">
        <f t="shared" si="18"/>
        <v>57989</v>
      </c>
      <c r="AE1197">
        <v>1101113439860</v>
      </c>
      <c r="AG1197" t="s">
        <v>4</v>
      </c>
      <c r="AH1197" t="s">
        <v>451</v>
      </c>
      <c r="AI1197" t="s">
        <v>55</v>
      </c>
      <c r="AJ1197" t="s">
        <v>452</v>
      </c>
    </row>
    <row r="1198" spans="1:36">
      <c r="A1198" t="s">
        <v>3740</v>
      </c>
      <c r="B1198" t="s">
        <v>3741</v>
      </c>
      <c r="F1198" t="str">
        <f t="shared" si="18"/>
        <v>57990</v>
      </c>
      <c r="AE1198">
        <v>1101113352004</v>
      </c>
      <c r="AG1198" t="s">
        <v>2</v>
      </c>
      <c r="AH1198" t="s">
        <v>973</v>
      </c>
      <c r="AI1198" t="s">
        <v>6</v>
      </c>
      <c r="AJ1198" t="s">
        <v>974</v>
      </c>
    </row>
    <row r="1199" spans="1:36">
      <c r="A1199" t="s">
        <v>3742</v>
      </c>
      <c r="B1199" t="s">
        <v>3743</v>
      </c>
      <c r="F1199" t="str">
        <f t="shared" si="18"/>
        <v>57991</v>
      </c>
      <c r="AE1199">
        <v>2241110006681</v>
      </c>
      <c r="AF1199" t="s">
        <v>40</v>
      </c>
      <c r="AG1199" t="s">
        <v>4</v>
      </c>
      <c r="AH1199" t="s">
        <v>1103</v>
      </c>
      <c r="AJ1199" t="s">
        <v>887</v>
      </c>
    </row>
    <row r="1200" spans="1:36">
      <c r="A1200" t="s">
        <v>3744</v>
      </c>
      <c r="B1200" t="s">
        <v>3745</v>
      </c>
      <c r="F1200" t="str">
        <f t="shared" si="18"/>
        <v>57992</v>
      </c>
      <c r="AE1200">
        <v>1101113447433</v>
      </c>
      <c r="AG1200" t="s">
        <v>4</v>
      </c>
    </row>
    <row r="1201" spans="1:36">
      <c r="A1201" t="s">
        <v>3746</v>
      </c>
      <c r="B1201" t="s">
        <v>3747</v>
      </c>
      <c r="F1201" t="str">
        <f t="shared" si="18"/>
        <v>57993</v>
      </c>
      <c r="AE1201">
        <v>1101110974306</v>
      </c>
      <c r="AG1201" t="s">
        <v>4</v>
      </c>
      <c r="AH1201" t="s">
        <v>771</v>
      </c>
      <c r="AJ1201" t="s">
        <v>772</v>
      </c>
    </row>
    <row r="1202" spans="1:36">
      <c r="A1202" t="s">
        <v>3748</v>
      </c>
      <c r="B1202" t="s">
        <v>3749</v>
      </c>
      <c r="F1202" t="str">
        <f t="shared" si="18"/>
        <v>58062</v>
      </c>
      <c r="AE1202">
        <v>1101113457028</v>
      </c>
      <c r="AG1202" t="s">
        <v>4</v>
      </c>
    </row>
    <row r="1203" spans="1:36">
      <c r="A1203" t="s">
        <v>3750</v>
      </c>
      <c r="B1203" t="s">
        <v>3751</v>
      </c>
      <c r="F1203" t="str">
        <f t="shared" si="18"/>
        <v>58066</v>
      </c>
      <c r="AE1203">
        <v>1101113460625</v>
      </c>
      <c r="AG1203" t="s">
        <v>4</v>
      </c>
      <c r="AH1203" t="s">
        <v>847</v>
      </c>
      <c r="AI1203" t="s">
        <v>55</v>
      </c>
      <c r="AJ1203" t="s">
        <v>848</v>
      </c>
    </row>
    <row r="1204" spans="1:36">
      <c r="A1204" t="s">
        <v>3752</v>
      </c>
      <c r="B1204" t="s">
        <v>1510</v>
      </c>
      <c r="F1204" t="str">
        <f t="shared" si="18"/>
        <v>58096</v>
      </c>
      <c r="AE1204">
        <v>1615110021380</v>
      </c>
      <c r="AG1204" t="s">
        <v>4</v>
      </c>
      <c r="AH1204" t="s">
        <v>1156</v>
      </c>
      <c r="AJ1204" t="s">
        <v>1157</v>
      </c>
    </row>
    <row r="1205" spans="1:36">
      <c r="A1205" t="s">
        <v>3753</v>
      </c>
      <c r="B1205" t="s">
        <v>3754</v>
      </c>
      <c r="F1205" t="str">
        <f t="shared" si="18"/>
        <v>58135</v>
      </c>
      <c r="AE1205">
        <v>1101110121981</v>
      </c>
      <c r="AG1205" t="s">
        <v>4</v>
      </c>
      <c r="AH1205" t="s">
        <v>381</v>
      </c>
      <c r="AI1205" t="s">
        <v>6</v>
      </c>
      <c r="AJ1205" t="s">
        <v>382</v>
      </c>
    </row>
    <row r="1206" spans="1:36">
      <c r="A1206" t="s">
        <v>3755</v>
      </c>
      <c r="B1206" t="s">
        <v>3756</v>
      </c>
      <c r="F1206" t="str">
        <f t="shared" si="18"/>
        <v>58136</v>
      </c>
      <c r="AE1206">
        <v>1101113464370</v>
      </c>
      <c r="AG1206" t="s">
        <v>4</v>
      </c>
      <c r="AH1206" t="s">
        <v>847</v>
      </c>
      <c r="AI1206" t="s">
        <v>55</v>
      </c>
      <c r="AJ1206" t="s">
        <v>848</v>
      </c>
    </row>
    <row r="1207" spans="1:36">
      <c r="A1207" t="s">
        <v>3757</v>
      </c>
      <c r="B1207" t="s">
        <v>3758</v>
      </c>
      <c r="F1207" t="str">
        <f t="shared" si="18"/>
        <v>58137</v>
      </c>
      <c r="AE1207">
        <v>1341110142575</v>
      </c>
      <c r="AG1207" t="s">
        <v>2</v>
      </c>
      <c r="AH1207" t="s">
        <v>58</v>
      </c>
      <c r="AI1207" t="s">
        <v>59</v>
      </c>
      <c r="AJ1207" t="s">
        <v>50</v>
      </c>
    </row>
    <row r="1208" spans="1:36">
      <c r="A1208" t="s">
        <v>3759</v>
      </c>
      <c r="B1208" t="s">
        <v>3760</v>
      </c>
      <c r="F1208" t="str">
        <f t="shared" si="18"/>
        <v>58138</v>
      </c>
      <c r="AE1208">
        <v>1158110006449</v>
      </c>
      <c r="AG1208" t="s">
        <v>2</v>
      </c>
      <c r="AH1208" t="s">
        <v>460</v>
      </c>
      <c r="AJ1208" t="s">
        <v>461</v>
      </c>
    </row>
    <row r="1209" spans="1:36">
      <c r="A1209" t="s">
        <v>3761</v>
      </c>
      <c r="B1209" t="s">
        <v>3762</v>
      </c>
      <c r="F1209" t="str">
        <f t="shared" si="18"/>
        <v>58139</v>
      </c>
      <c r="AG1209" t="s">
        <v>4</v>
      </c>
    </row>
    <row r="1210" spans="1:36">
      <c r="A1210" t="s">
        <v>3763</v>
      </c>
      <c r="B1210" t="s">
        <v>953</v>
      </c>
      <c r="F1210" t="str">
        <f t="shared" si="18"/>
        <v>58210</v>
      </c>
      <c r="AE1210">
        <v>1401110011714</v>
      </c>
      <c r="AG1210" t="s">
        <v>4</v>
      </c>
      <c r="AH1210" t="s">
        <v>1163</v>
      </c>
      <c r="AJ1210" t="s">
        <v>894</v>
      </c>
    </row>
    <row r="1211" spans="1:36">
      <c r="A1211" t="s">
        <v>3764</v>
      </c>
      <c r="B1211" t="s">
        <v>3765</v>
      </c>
      <c r="F1211" t="str">
        <f t="shared" si="18"/>
        <v>58224</v>
      </c>
      <c r="AE1211">
        <v>1101113480227</v>
      </c>
      <c r="AG1211" t="s">
        <v>4</v>
      </c>
      <c r="AH1211" t="s">
        <v>847</v>
      </c>
      <c r="AI1211" t="s">
        <v>55</v>
      </c>
      <c r="AJ1211" t="s">
        <v>848</v>
      </c>
    </row>
    <row r="1212" spans="1:36">
      <c r="A1212" t="s">
        <v>3766</v>
      </c>
      <c r="B1212" t="s">
        <v>3767</v>
      </c>
      <c r="F1212" t="str">
        <f t="shared" si="18"/>
        <v>58255</v>
      </c>
      <c r="AE1212">
        <v>1101113477133</v>
      </c>
      <c r="AG1212" t="s">
        <v>4</v>
      </c>
    </row>
    <row r="1213" spans="1:36">
      <c r="A1213" t="s">
        <v>3768</v>
      </c>
      <c r="B1213" t="s">
        <v>3769</v>
      </c>
      <c r="F1213" t="str">
        <f t="shared" si="18"/>
        <v>58256</v>
      </c>
      <c r="AE1213">
        <v>1101113480540</v>
      </c>
      <c r="AG1213" t="s">
        <v>4</v>
      </c>
      <c r="AH1213" t="s">
        <v>847</v>
      </c>
      <c r="AI1213" t="s">
        <v>55</v>
      </c>
      <c r="AJ1213" t="s">
        <v>848</v>
      </c>
    </row>
    <row r="1214" spans="1:36">
      <c r="A1214" t="s">
        <v>3770</v>
      </c>
      <c r="B1214" t="s">
        <v>3771</v>
      </c>
      <c r="F1214" t="str">
        <f t="shared" si="18"/>
        <v>58257</v>
      </c>
      <c r="AE1214">
        <v>1601110014483</v>
      </c>
      <c r="AF1214" t="s">
        <v>370</v>
      </c>
      <c r="AG1214" t="s">
        <v>2</v>
      </c>
      <c r="AH1214" t="s">
        <v>734</v>
      </c>
      <c r="AI1214" t="s">
        <v>55</v>
      </c>
      <c r="AJ1214" t="s">
        <v>735</v>
      </c>
    </row>
    <row r="1215" spans="1:36">
      <c r="A1215" t="s">
        <v>3772</v>
      </c>
      <c r="B1215" t="s">
        <v>3773</v>
      </c>
      <c r="F1215" t="str">
        <f t="shared" si="18"/>
        <v>58262</v>
      </c>
      <c r="AE1215">
        <v>1101140062832</v>
      </c>
      <c r="AG1215" t="s">
        <v>4</v>
      </c>
    </row>
    <row r="1216" spans="1:36">
      <c r="A1216" t="s">
        <v>3774</v>
      </c>
      <c r="B1216" t="s">
        <v>3775</v>
      </c>
      <c r="F1216" t="str">
        <f t="shared" si="18"/>
        <v>58341</v>
      </c>
      <c r="AE1216">
        <v>1101110545529</v>
      </c>
      <c r="AG1216" t="s">
        <v>2</v>
      </c>
      <c r="AH1216" t="s">
        <v>145</v>
      </c>
      <c r="AI1216" t="s">
        <v>146</v>
      </c>
      <c r="AJ1216" t="s">
        <v>147</v>
      </c>
    </row>
    <row r="1217" spans="1:36">
      <c r="A1217" t="s">
        <v>3776</v>
      </c>
      <c r="B1217" t="s">
        <v>3777</v>
      </c>
      <c r="F1217" t="str">
        <f t="shared" si="18"/>
        <v>58342</v>
      </c>
      <c r="AE1217">
        <v>1101113471036</v>
      </c>
      <c r="AF1217" t="s">
        <v>199</v>
      </c>
      <c r="AG1217" t="s">
        <v>2</v>
      </c>
      <c r="AH1217" t="s">
        <v>942</v>
      </c>
      <c r="AI1217" t="s">
        <v>59</v>
      </c>
      <c r="AJ1217" t="s">
        <v>201</v>
      </c>
    </row>
    <row r="1218" spans="1:36">
      <c r="A1218" t="s">
        <v>3778</v>
      </c>
      <c r="B1218" t="s">
        <v>3779</v>
      </c>
      <c r="F1218" t="str">
        <f t="shared" si="18"/>
        <v>58343</v>
      </c>
      <c r="AE1218">
        <v>1101111275787</v>
      </c>
      <c r="AG1218" t="s">
        <v>4</v>
      </c>
      <c r="AH1218" t="s">
        <v>462</v>
      </c>
      <c r="AI1218" t="s">
        <v>177</v>
      </c>
      <c r="AJ1218" t="s">
        <v>463</v>
      </c>
    </row>
    <row r="1219" spans="1:36">
      <c r="A1219" t="s">
        <v>3780</v>
      </c>
      <c r="B1219" t="s">
        <v>3781</v>
      </c>
      <c r="F1219" t="str">
        <f t="shared" si="18"/>
        <v>58344</v>
      </c>
      <c r="AG1219" t="s">
        <v>4</v>
      </c>
    </row>
    <row r="1220" spans="1:36">
      <c r="A1220" t="s">
        <v>3782</v>
      </c>
      <c r="B1220" t="s">
        <v>3783</v>
      </c>
      <c r="F1220" t="str">
        <f t="shared" si="18"/>
        <v>58345</v>
      </c>
      <c r="AE1220">
        <v>1101140061751</v>
      </c>
      <c r="AG1220" t="s">
        <v>4</v>
      </c>
    </row>
    <row r="1221" spans="1:36">
      <c r="A1221" t="s">
        <v>3784</v>
      </c>
      <c r="B1221" t="s">
        <v>3785</v>
      </c>
      <c r="F1221" t="str">
        <f t="shared" si="18"/>
        <v>58346</v>
      </c>
      <c r="AE1221">
        <v>1101113492769</v>
      </c>
      <c r="AG1221" t="s">
        <v>4</v>
      </c>
      <c r="AH1221" t="s">
        <v>847</v>
      </c>
      <c r="AI1221" t="s">
        <v>55</v>
      </c>
      <c r="AJ1221" t="s">
        <v>848</v>
      </c>
    </row>
    <row r="1222" spans="1:36">
      <c r="A1222" t="s">
        <v>3786</v>
      </c>
      <c r="B1222" t="s">
        <v>3787</v>
      </c>
      <c r="F1222" t="str">
        <f t="shared" si="18"/>
        <v>58347</v>
      </c>
      <c r="AE1222">
        <v>1101110667167</v>
      </c>
      <c r="AG1222" t="s">
        <v>4</v>
      </c>
      <c r="AH1222" t="s">
        <v>1165</v>
      </c>
      <c r="AJ1222" t="s">
        <v>1166</v>
      </c>
    </row>
    <row r="1223" spans="1:36">
      <c r="A1223" t="s">
        <v>3788</v>
      </c>
      <c r="B1223" t="s">
        <v>3789</v>
      </c>
      <c r="F1223" t="str">
        <f t="shared" si="18"/>
        <v>58348</v>
      </c>
      <c r="AE1223">
        <v>1101113492909</v>
      </c>
      <c r="AG1223" t="s">
        <v>4</v>
      </c>
      <c r="AH1223" t="s">
        <v>847</v>
      </c>
      <c r="AI1223" t="s">
        <v>55</v>
      </c>
      <c r="AJ1223" t="s">
        <v>848</v>
      </c>
    </row>
    <row r="1224" spans="1:36">
      <c r="A1224" t="s">
        <v>3790</v>
      </c>
      <c r="B1224" t="s">
        <v>3791</v>
      </c>
      <c r="F1224" t="str">
        <f t="shared" si="18"/>
        <v>58349</v>
      </c>
      <c r="AE1224">
        <v>1101111965875</v>
      </c>
      <c r="AG1224" t="s">
        <v>4</v>
      </c>
      <c r="AH1224" t="s">
        <v>490</v>
      </c>
      <c r="AI1224" t="s">
        <v>76</v>
      </c>
      <c r="AJ1224" t="s">
        <v>491</v>
      </c>
    </row>
    <row r="1225" spans="1:36">
      <c r="A1225" t="s">
        <v>3792</v>
      </c>
      <c r="B1225" t="s">
        <v>3793</v>
      </c>
      <c r="F1225" t="str">
        <f t="shared" si="18"/>
        <v>58350</v>
      </c>
      <c r="AG1225" t="s">
        <v>4</v>
      </c>
    </row>
    <row r="1226" spans="1:36">
      <c r="A1226" t="s">
        <v>3794</v>
      </c>
      <c r="B1226" t="s">
        <v>3795</v>
      </c>
      <c r="F1226" t="str">
        <f t="shared" ref="F1226:F1289" si="19">CHOOSE($C$1, A1226, B1226)</f>
        <v>58351</v>
      </c>
      <c r="AE1226">
        <v>1101111458482</v>
      </c>
      <c r="AG1226" t="s">
        <v>4</v>
      </c>
      <c r="AH1226" t="s">
        <v>1167</v>
      </c>
      <c r="AJ1226" t="s">
        <v>1168</v>
      </c>
    </row>
    <row r="1227" spans="1:36">
      <c r="A1227" t="s">
        <v>3796</v>
      </c>
      <c r="B1227" t="s">
        <v>3797</v>
      </c>
      <c r="F1227" t="str">
        <f t="shared" si="19"/>
        <v>58352</v>
      </c>
      <c r="AG1227" t="s">
        <v>4</v>
      </c>
    </row>
    <row r="1228" spans="1:36">
      <c r="A1228" t="s">
        <v>3798</v>
      </c>
      <c r="B1228" t="s">
        <v>3799</v>
      </c>
      <c r="F1228" t="str">
        <f t="shared" si="19"/>
        <v>58353</v>
      </c>
      <c r="AE1228">
        <v>1701110116964</v>
      </c>
      <c r="AG1228" t="s">
        <v>4</v>
      </c>
      <c r="AH1228" t="s">
        <v>425</v>
      </c>
      <c r="AI1228" t="s">
        <v>76</v>
      </c>
      <c r="AJ1228" t="s">
        <v>426</v>
      </c>
    </row>
    <row r="1229" spans="1:36">
      <c r="A1229" t="s">
        <v>3800</v>
      </c>
      <c r="B1229" t="s">
        <v>3801</v>
      </c>
      <c r="F1229" t="str">
        <f t="shared" si="19"/>
        <v>58354</v>
      </c>
      <c r="AE1229">
        <v>1101111123134</v>
      </c>
      <c r="AG1229" t="s">
        <v>4</v>
      </c>
      <c r="AH1229" t="s">
        <v>477</v>
      </c>
      <c r="AJ1229" t="s">
        <v>478</v>
      </c>
    </row>
    <row r="1230" spans="1:36">
      <c r="A1230" t="s">
        <v>3802</v>
      </c>
      <c r="B1230" t="s">
        <v>3803</v>
      </c>
      <c r="F1230" t="str">
        <f t="shared" si="19"/>
        <v>58355</v>
      </c>
      <c r="AE1230">
        <v>1101113507401</v>
      </c>
      <c r="AG1230" t="s">
        <v>4</v>
      </c>
    </row>
    <row r="1231" spans="1:36">
      <c r="A1231" t="s">
        <v>3804</v>
      </c>
      <c r="B1231" t="s">
        <v>3805</v>
      </c>
      <c r="F1231" t="str">
        <f t="shared" si="19"/>
        <v>58356</v>
      </c>
      <c r="AE1231">
        <v>1101113508417</v>
      </c>
      <c r="AG1231" t="s">
        <v>4</v>
      </c>
      <c r="AH1231" t="s">
        <v>847</v>
      </c>
      <c r="AI1231" t="s">
        <v>55</v>
      </c>
      <c r="AJ1231" t="s">
        <v>848</v>
      </c>
    </row>
    <row r="1232" spans="1:36">
      <c r="A1232" t="s">
        <v>3806</v>
      </c>
      <c r="B1232" t="s">
        <v>3807</v>
      </c>
      <c r="F1232" t="str">
        <f t="shared" si="19"/>
        <v>58357</v>
      </c>
      <c r="AE1232">
        <v>1101113504390</v>
      </c>
      <c r="AG1232" t="s">
        <v>4</v>
      </c>
      <c r="AH1232" t="s">
        <v>847</v>
      </c>
      <c r="AI1232" t="s">
        <v>55</v>
      </c>
      <c r="AJ1232" t="s">
        <v>848</v>
      </c>
    </row>
    <row r="1233" spans="1:36">
      <c r="A1233" t="s">
        <v>3808</v>
      </c>
      <c r="B1233" t="s">
        <v>3809</v>
      </c>
      <c r="F1233" t="str">
        <f t="shared" si="19"/>
        <v>58358</v>
      </c>
      <c r="AE1233">
        <v>1101113506338</v>
      </c>
      <c r="AG1233" t="s">
        <v>4</v>
      </c>
      <c r="AH1233" t="s">
        <v>847</v>
      </c>
      <c r="AI1233" t="s">
        <v>55</v>
      </c>
      <c r="AJ1233" t="s">
        <v>848</v>
      </c>
    </row>
    <row r="1234" spans="1:36">
      <c r="A1234" t="s">
        <v>3810</v>
      </c>
      <c r="B1234" t="s">
        <v>3811</v>
      </c>
      <c r="F1234" t="str">
        <f t="shared" si="19"/>
        <v>58359</v>
      </c>
      <c r="AE1234">
        <v>1201110050104</v>
      </c>
      <c r="AG1234" t="s">
        <v>2</v>
      </c>
      <c r="AH1234" t="s">
        <v>578</v>
      </c>
      <c r="AJ1234" t="s">
        <v>426</v>
      </c>
    </row>
    <row r="1235" spans="1:36">
      <c r="A1235" t="s">
        <v>3812</v>
      </c>
      <c r="B1235" t="s">
        <v>3813</v>
      </c>
      <c r="F1235" t="str">
        <f t="shared" si="19"/>
        <v>58360</v>
      </c>
      <c r="AE1235">
        <v>1101113511163</v>
      </c>
      <c r="AG1235" t="s">
        <v>4</v>
      </c>
    </row>
    <row r="1236" spans="1:36">
      <c r="A1236" t="s">
        <v>3814</v>
      </c>
      <c r="B1236" t="s">
        <v>3815</v>
      </c>
      <c r="F1236" t="str">
        <f t="shared" si="19"/>
        <v>58361</v>
      </c>
      <c r="AE1236">
        <v>1101113510256</v>
      </c>
      <c r="AG1236" t="s">
        <v>4</v>
      </c>
      <c r="AH1236" t="s">
        <v>847</v>
      </c>
      <c r="AI1236" t="s">
        <v>55</v>
      </c>
      <c r="AJ1236" t="s">
        <v>848</v>
      </c>
    </row>
    <row r="1237" spans="1:36">
      <c r="A1237" t="s">
        <v>3816</v>
      </c>
      <c r="B1237" t="s">
        <v>3817</v>
      </c>
      <c r="F1237" t="str">
        <f t="shared" si="19"/>
        <v>58362</v>
      </c>
      <c r="AE1237">
        <v>1101113501578</v>
      </c>
      <c r="AG1237" t="s">
        <v>4</v>
      </c>
      <c r="AH1237" t="s">
        <v>847</v>
      </c>
      <c r="AI1237" t="s">
        <v>55</v>
      </c>
      <c r="AJ1237" t="s">
        <v>848</v>
      </c>
    </row>
    <row r="1238" spans="1:36">
      <c r="A1238" t="s">
        <v>3818</v>
      </c>
      <c r="B1238" t="s">
        <v>3819</v>
      </c>
      <c r="F1238" t="str">
        <f t="shared" si="19"/>
        <v>58363</v>
      </c>
      <c r="AE1238">
        <v>1101113514810</v>
      </c>
      <c r="AG1238" t="s">
        <v>4</v>
      </c>
    </row>
    <row r="1239" spans="1:36">
      <c r="A1239" t="s">
        <v>3820</v>
      </c>
      <c r="B1239" t="s">
        <v>3821</v>
      </c>
      <c r="F1239" t="str">
        <f t="shared" si="19"/>
        <v>58462</v>
      </c>
      <c r="AE1239">
        <v>1244110024117</v>
      </c>
      <c r="AG1239" t="s">
        <v>4</v>
      </c>
      <c r="AH1239" t="s">
        <v>462</v>
      </c>
      <c r="AI1239" t="s">
        <v>177</v>
      </c>
      <c r="AJ1239" t="s">
        <v>463</v>
      </c>
    </row>
    <row r="1240" spans="1:36">
      <c r="A1240" t="s">
        <v>3822</v>
      </c>
      <c r="B1240" t="s">
        <v>3823</v>
      </c>
      <c r="F1240" t="str">
        <f t="shared" si="19"/>
        <v>58463</v>
      </c>
      <c r="AE1240">
        <v>1101110867692</v>
      </c>
      <c r="AG1240" t="s">
        <v>4</v>
      </c>
      <c r="AH1240" t="s">
        <v>462</v>
      </c>
      <c r="AI1240" t="s">
        <v>177</v>
      </c>
      <c r="AJ1240" t="s">
        <v>463</v>
      </c>
    </row>
    <row r="1241" spans="1:36">
      <c r="A1241" t="s">
        <v>3824</v>
      </c>
      <c r="B1241" t="s">
        <v>3825</v>
      </c>
      <c r="F1241" t="str">
        <f t="shared" si="19"/>
        <v>58464</v>
      </c>
      <c r="AE1241">
        <v>1101113528043</v>
      </c>
      <c r="AG1241" t="s">
        <v>4</v>
      </c>
    </row>
    <row r="1242" spans="1:36">
      <c r="A1242" t="s">
        <v>3826</v>
      </c>
      <c r="B1242" t="s">
        <v>3827</v>
      </c>
      <c r="F1242" t="str">
        <f t="shared" si="19"/>
        <v>58465</v>
      </c>
      <c r="AE1242">
        <v>1101111706766</v>
      </c>
      <c r="AG1242" t="s">
        <v>4</v>
      </c>
      <c r="AH1242" t="s">
        <v>1097</v>
      </c>
      <c r="AI1242" t="s">
        <v>177</v>
      </c>
      <c r="AJ1242" t="s">
        <v>1098</v>
      </c>
    </row>
    <row r="1243" spans="1:36">
      <c r="A1243" t="s">
        <v>3828</v>
      </c>
      <c r="B1243" t="s">
        <v>3829</v>
      </c>
      <c r="F1243" t="str">
        <f t="shared" si="19"/>
        <v>58466</v>
      </c>
      <c r="AE1243">
        <v>1101113529984</v>
      </c>
      <c r="AG1243" t="s">
        <v>4</v>
      </c>
    </row>
    <row r="1244" spans="1:36">
      <c r="A1244" t="s">
        <v>3830</v>
      </c>
      <c r="B1244" t="s">
        <v>3831</v>
      </c>
      <c r="F1244" t="str">
        <f t="shared" si="19"/>
        <v>58559</v>
      </c>
      <c r="AE1244">
        <v>2047110001352</v>
      </c>
      <c r="AG1244" t="s">
        <v>4</v>
      </c>
      <c r="AH1244" t="s">
        <v>390</v>
      </c>
      <c r="AI1244" t="s">
        <v>55</v>
      </c>
      <c r="AJ1244" t="s">
        <v>391</v>
      </c>
    </row>
    <row r="1245" spans="1:36">
      <c r="A1245" t="s">
        <v>3832</v>
      </c>
      <c r="B1245" t="s">
        <v>3833</v>
      </c>
      <c r="F1245" t="str">
        <f t="shared" si="19"/>
        <v>58617</v>
      </c>
      <c r="AE1245">
        <v>1101111707178</v>
      </c>
      <c r="AF1245" t="s">
        <v>1170</v>
      </c>
      <c r="AG1245" t="s">
        <v>2</v>
      </c>
      <c r="AH1245" t="s">
        <v>672</v>
      </c>
      <c r="AI1245" t="s">
        <v>673</v>
      </c>
      <c r="AJ1245" t="s">
        <v>674</v>
      </c>
    </row>
    <row r="1246" spans="1:36">
      <c r="A1246" t="s">
        <v>3834</v>
      </c>
      <c r="B1246" t="s">
        <v>3835</v>
      </c>
      <c r="F1246" t="str">
        <f t="shared" si="19"/>
        <v>58618</v>
      </c>
      <c r="AE1246">
        <v>1101112059362</v>
      </c>
      <c r="AF1246" t="s">
        <v>238</v>
      </c>
      <c r="AG1246" t="s">
        <v>4</v>
      </c>
    </row>
    <row r="1247" spans="1:36">
      <c r="A1247" t="s">
        <v>3836</v>
      </c>
      <c r="B1247" t="s">
        <v>3837</v>
      </c>
      <c r="F1247" t="str">
        <f t="shared" si="19"/>
        <v>58619</v>
      </c>
      <c r="AE1247">
        <v>1101710004800</v>
      </c>
      <c r="AG1247" t="s">
        <v>4</v>
      </c>
      <c r="AH1247" t="s">
        <v>1171</v>
      </c>
      <c r="AI1247" t="s">
        <v>1172</v>
      </c>
      <c r="AJ1247" t="s">
        <v>1173</v>
      </c>
    </row>
    <row r="1248" spans="1:36">
      <c r="A1248" t="s">
        <v>3838</v>
      </c>
      <c r="B1248" t="s">
        <v>3839</v>
      </c>
      <c r="F1248" t="str">
        <f t="shared" si="19"/>
        <v>58620</v>
      </c>
      <c r="AE1248">
        <v>1201110230277</v>
      </c>
      <c r="AG1248" t="s">
        <v>2</v>
      </c>
      <c r="AH1248" t="s">
        <v>477</v>
      </c>
      <c r="AJ1248" t="s">
        <v>478</v>
      </c>
    </row>
    <row r="1249" spans="1:36">
      <c r="A1249" t="s">
        <v>3840</v>
      </c>
      <c r="B1249" t="s">
        <v>3841</v>
      </c>
      <c r="F1249" t="str">
        <f t="shared" si="19"/>
        <v>58621</v>
      </c>
      <c r="AE1249">
        <v>1101111700817</v>
      </c>
      <c r="AG1249" t="s">
        <v>4</v>
      </c>
      <c r="AH1249" t="s">
        <v>1167</v>
      </c>
      <c r="AJ1249" t="s">
        <v>1168</v>
      </c>
    </row>
    <row r="1250" spans="1:36">
      <c r="A1250" t="s">
        <v>3842</v>
      </c>
      <c r="B1250" t="s">
        <v>3843</v>
      </c>
      <c r="F1250" t="str">
        <f t="shared" si="19"/>
        <v>58676</v>
      </c>
      <c r="AE1250">
        <v>1746110012176</v>
      </c>
      <c r="AG1250" t="s">
        <v>4</v>
      </c>
      <c r="AH1250" t="s">
        <v>654</v>
      </c>
      <c r="AI1250" t="s">
        <v>177</v>
      </c>
      <c r="AJ1250" t="s">
        <v>655</v>
      </c>
    </row>
    <row r="1251" spans="1:36">
      <c r="A1251" t="s">
        <v>3844</v>
      </c>
      <c r="B1251" t="s">
        <v>3845</v>
      </c>
      <c r="F1251" t="str">
        <f t="shared" si="19"/>
        <v>58742</v>
      </c>
      <c r="AE1251">
        <v>1101112063157</v>
      </c>
      <c r="AG1251" t="s">
        <v>4</v>
      </c>
      <c r="AH1251" t="s">
        <v>761</v>
      </c>
      <c r="AI1251" t="s">
        <v>610</v>
      </c>
      <c r="AJ1251" t="s">
        <v>762</v>
      </c>
    </row>
    <row r="1252" spans="1:36">
      <c r="A1252" t="s">
        <v>3846</v>
      </c>
      <c r="B1252" t="s">
        <v>3847</v>
      </c>
      <c r="F1252" t="str">
        <f t="shared" si="19"/>
        <v>58743</v>
      </c>
      <c r="AE1252">
        <v>1101110736194</v>
      </c>
      <c r="AG1252" t="s">
        <v>4</v>
      </c>
      <c r="AH1252" t="s">
        <v>749</v>
      </c>
      <c r="AJ1252" t="s">
        <v>750</v>
      </c>
    </row>
    <row r="1253" spans="1:36">
      <c r="A1253" t="s">
        <v>3848</v>
      </c>
      <c r="B1253" t="s">
        <v>3849</v>
      </c>
      <c r="F1253" t="str">
        <f t="shared" si="19"/>
        <v>58744</v>
      </c>
      <c r="AE1253">
        <v>1101112116534</v>
      </c>
      <c r="AG1253" t="s">
        <v>4</v>
      </c>
      <c r="AH1253" t="s">
        <v>114</v>
      </c>
      <c r="AI1253" t="s">
        <v>63</v>
      </c>
      <c r="AJ1253" t="s">
        <v>115</v>
      </c>
    </row>
    <row r="1254" spans="1:36">
      <c r="A1254" t="s">
        <v>3850</v>
      </c>
      <c r="B1254" t="s">
        <v>3851</v>
      </c>
      <c r="F1254" t="str">
        <f t="shared" si="19"/>
        <v>58781</v>
      </c>
      <c r="AE1254">
        <v>1243110003379</v>
      </c>
      <c r="AG1254" t="s">
        <v>2</v>
      </c>
      <c r="AH1254" t="s">
        <v>305</v>
      </c>
      <c r="AI1254" t="s">
        <v>146</v>
      </c>
      <c r="AJ1254" t="s">
        <v>306</v>
      </c>
    </row>
    <row r="1255" spans="1:36">
      <c r="A1255" t="s">
        <v>3852</v>
      </c>
      <c r="B1255" t="s">
        <v>3853</v>
      </c>
      <c r="F1255" t="str">
        <f t="shared" si="19"/>
        <v>58783</v>
      </c>
      <c r="AE1255">
        <v>1101113534107</v>
      </c>
      <c r="AG1255" t="s">
        <v>4</v>
      </c>
    </row>
    <row r="1256" spans="1:36">
      <c r="A1256" t="s">
        <v>3854</v>
      </c>
      <c r="B1256" t="s">
        <v>3855</v>
      </c>
      <c r="F1256" t="str">
        <f t="shared" si="19"/>
        <v>58798</v>
      </c>
      <c r="AE1256">
        <v>1101113536880</v>
      </c>
      <c r="AG1256" t="s">
        <v>4</v>
      </c>
      <c r="AH1256" t="s">
        <v>847</v>
      </c>
      <c r="AI1256" t="s">
        <v>55</v>
      </c>
      <c r="AJ1256" t="s">
        <v>848</v>
      </c>
    </row>
    <row r="1257" spans="1:36">
      <c r="A1257" t="s">
        <v>3856</v>
      </c>
      <c r="B1257" t="s">
        <v>3857</v>
      </c>
      <c r="F1257" t="str">
        <f t="shared" si="19"/>
        <v>58936</v>
      </c>
      <c r="AE1257">
        <v>1101113537432</v>
      </c>
      <c r="AG1257" t="s">
        <v>4</v>
      </c>
      <c r="AH1257" t="s">
        <v>847</v>
      </c>
      <c r="AI1257" t="s">
        <v>55</v>
      </c>
      <c r="AJ1257" t="s">
        <v>848</v>
      </c>
    </row>
    <row r="1258" spans="1:36">
      <c r="A1258" t="s">
        <v>3858</v>
      </c>
      <c r="B1258" t="s">
        <v>3859</v>
      </c>
      <c r="F1258" t="str">
        <f t="shared" si="19"/>
        <v>58950</v>
      </c>
      <c r="AE1258">
        <v>1101113539503</v>
      </c>
      <c r="AG1258" t="s">
        <v>4</v>
      </c>
      <c r="AH1258" t="s">
        <v>847</v>
      </c>
      <c r="AI1258" t="s">
        <v>55</v>
      </c>
      <c r="AJ1258" t="s">
        <v>848</v>
      </c>
    </row>
    <row r="1259" spans="1:36">
      <c r="A1259" t="s">
        <v>3860</v>
      </c>
      <c r="B1259" t="s">
        <v>3861</v>
      </c>
      <c r="F1259" t="str">
        <f t="shared" si="19"/>
        <v>58951</v>
      </c>
      <c r="AE1259">
        <v>1341110029773</v>
      </c>
      <c r="AG1259" t="s">
        <v>4</v>
      </c>
      <c r="AH1259" t="s">
        <v>847</v>
      </c>
      <c r="AI1259" t="s">
        <v>55</v>
      </c>
      <c r="AJ1259" t="s">
        <v>848</v>
      </c>
    </row>
    <row r="1260" spans="1:36">
      <c r="A1260" t="s">
        <v>3862</v>
      </c>
      <c r="B1260" t="s">
        <v>3863</v>
      </c>
      <c r="F1260" t="str">
        <f t="shared" si="19"/>
        <v>58952</v>
      </c>
      <c r="AE1260">
        <v>1101113536806</v>
      </c>
      <c r="AG1260" t="s">
        <v>4</v>
      </c>
    </row>
    <row r="1261" spans="1:36">
      <c r="A1261" t="s">
        <v>3864</v>
      </c>
      <c r="B1261" t="s">
        <v>3865</v>
      </c>
      <c r="F1261" t="str">
        <f t="shared" si="19"/>
        <v>58953</v>
      </c>
      <c r="AE1261">
        <v>1101113540831</v>
      </c>
      <c r="AG1261" t="s">
        <v>4</v>
      </c>
      <c r="AH1261" t="s">
        <v>847</v>
      </c>
      <c r="AI1261" t="s">
        <v>55</v>
      </c>
      <c r="AJ1261" t="s">
        <v>848</v>
      </c>
    </row>
    <row r="1262" spans="1:36">
      <c r="A1262" t="s">
        <v>3866</v>
      </c>
      <c r="B1262" t="s">
        <v>3867</v>
      </c>
      <c r="F1262" t="str">
        <f t="shared" si="19"/>
        <v>58954</v>
      </c>
      <c r="AE1262">
        <v>1350110106093</v>
      </c>
      <c r="AG1262" t="s">
        <v>4</v>
      </c>
      <c r="AH1262" t="s">
        <v>1174</v>
      </c>
      <c r="AI1262" t="s">
        <v>76</v>
      </c>
      <c r="AJ1262" t="s">
        <v>1175</v>
      </c>
    </row>
    <row r="1263" spans="1:36">
      <c r="A1263" t="s">
        <v>3868</v>
      </c>
      <c r="B1263" t="s">
        <v>3869</v>
      </c>
      <c r="F1263" t="str">
        <f t="shared" si="19"/>
        <v>59021</v>
      </c>
      <c r="AE1263">
        <v>1348110011677</v>
      </c>
      <c r="AF1263" t="s">
        <v>198</v>
      </c>
      <c r="AG1263" t="s">
        <v>2</v>
      </c>
      <c r="AH1263" t="s">
        <v>1176</v>
      </c>
      <c r="AJ1263" t="s">
        <v>1177</v>
      </c>
    </row>
    <row r="1264" spans="1:36">
      <c r="A1264" t="s">
        <v>3870</v>
      </c>
      <c r="B1264" t="s">
        <v>3871</v>
      </c>
      <c r="F1264" t="str">
        <f t="shared" si="19"/>
        <v>59034</v>
      </c>
      <c r="AG1264" t="s">
        <v>4</v>
      </c>
    </row>
    <row r="1265" spans="1:36">
      <c r="A1265" t="s">
        <v>3872</v>
      </c>
      <c r="B1265" t="s">
        <v>3873</v>
      </c>
      <c r="F1265" t="str">
        <f t="shared" si="19"/>
        <v>59052</v>
      </c>
      <c r="AE1265">
        <v>1101113548132</v>
      </c>
      <c r="AG1265" t="s">
        <v>4</v>
      </c>
      <c r="AH1265" t="s">
        <v>847</v>
      </c>
      <c r="AI1265" t="s">
        <v>55</v>
      </c>
      <c r="AJ1265" t="s">
        <v>848</v>
      </c>
    </row>
    <row r="1266" spans="1:36">
      <c r="A1266" t="s">
        <v>3874</v>
      </c>
      <c r="B1266" t="s">
        <v>3875</v>
      </c>
      <c r="F1266" t="str">
        <f t="shared" si="19"/>
        <v>59053</v>
      </c>
      <c r="AG1266" t="s">
        <v>4</v>
      </c>
    </row>
    <row r="1267" spans="1:36">
      <c r="A1267" t="s">
        <v>3876</v>
      </c>
      <c r="B1267" t="s">
        <v>3877</v>
      </c>
      <c r="F1267" t="str">
        <f t="shared" si="19"/>
        <v>59054</v>
      </c>
      <c r="AE1267">
        <v>1345110101218</v>
      </c>
      <c r="AG1267" t="s">
        <v>4</v>
      </c>
      <c r="AH1267" t="s">
        <v>877</v>
      </c>
      <c r="AJ1267" t="s">
        <v>878</v>
      </c>
    </row>
    <row r="1268" spans="1:36">
      <c r="A1268" t="s">
        <v>3878</v>
      </c>
      <c r="B1268" t="s">
        <v>3879</v>
      </c>
      <c r="F1268" t="str">
        <f t="shared" si="19"/>
        <v>59136</v>
      </c>
      <c r="AE1268">
        <v>1101113556599</v>
      </c>
      <c r="AG1268" t="s">
        <v>4</v>
      </c>
      <c r="AH1268" t="s">
        <v>847</v>
      </c>
      <c r="AI1268" t="s">
        <v>55</v>
      </c>
      <c r="AJ1268" t="s">
        <v>848</v>
      </c>
    </row>
    <row r="1269" spans="1:36">
      <c r="A1269" t="s">
        <v>3880</v>
      </c>
      <c r="B1269" t="s">
        <v>3881</v>
      </c>
      <c r="F1269" t="str">
        <f t="shared" si="19"/>
        <v>59137</v>
      </c>
      <c r="AE1269">
        <v>1314110133612</v>
      </c>
      <c r="AG1269" t="s">
        <v>4</v>
      </c>
      <c r="AH1269" t="s">
        <v>47</v>
      </c>
      <c r="AJ1269" t="s">
        <v>48</v>
      </c>
    </row>
    <row r="1270" spans="1:36">
      <c r="A1270" t="s">
        <v>3882</v>
      </c>
      <c r="B1270" t="s">
        <v>3883</v>
      </c>
      <c r="F1270" t="str">
        <f t="shared" si="19"/>
        <v>59138</v>
      </c>
      <c r="AG1270" t="s">
        <v>4</v>
      </c>
    </row>
    <row r="1271" spans="1:36">
      <c r="A1271" t="s">
        <v>3884</v>
      </c>
      <c r="B1271" t="s">
        <v>3885</v>
      </c>
      <c r="F1271" t="str">
        <f t="shared" si="19"/>
        <v>59139</v>
      </c>
      <c r="AE1271">
        <v>1701710000450</v>
      </c>
      <c r="AG1271" t="s">
        <v>4</v>
      </c>
    </row>
    <row r="1272" spans="1:36">
      <c r="A1272" t="s">
        <v>3886</v>
      </c>
      <c r="B1272" t="s">
        <v>3887</v>
      </c>
      <c r="F1272" t="str">
        <f t="shared" si="19"/>
        <v>59140</v>
      </c>
      <c r="AE1272">
        <v>1712110017953</v>
      </c>
      <c r="AG1272" t="s">
        <v>2</v>
      </c>
      <c r="AH1272" t="s">
        <v>1097</v>
      </c>
      <c r="AI1272" t="s">
        <v>177</v>
      </c>
      <c r="AJ1272" t="s">
        <v>1098</v>
      </c>
    </row>
    <row r="1273" spans="1:36">
      <c r="A1273" t="s">
        <v>3888</v>
      </c>
      <c r="B1273" t="s">
        <v>3889</v>
      </c>
      <c r="F1273" t="str">
        <f t="shared" si="19"/>
        <v>59169</v>
      </c>
      <c r="AE1273">
        <v>1101113563700</v>
      </c>
      <c r="AG1273" t="s">
        <v>4</v>
      </c>
    </row>
    <row r="1274" spans="1:36">
      <c r="A1274" t="s">
        <v>3890</v>
      </c>
      <c r="B1274" t="s">
        <v>3891</v>
      </c>
      <c r="F1274" t="str">
        <f t="shared" si="19"/>
        <v>59221</v>
      </c>
      <c r="AE1274">
        <v>1101113568221</v>
      </c>
      <c r="AG1274" t="s">
        <v>4</v>
      </c>
    </row>
    <row r="1275" spans="1:36">
      <c r="A1275" t="s">
        <v>3892</v>
      </c>
      <c r="B1275" t="s">
        <v>3893</v>
      </c>
      <c r="F1275" t="str">
        <f t="shared" si="19"/>
        <v>59222</v>
      </c>
      <c r="AE1275">
        <v>1101113567306</v>
      </c>
      <c r="AG1275" t="s">
        <v>4</v>
      </c>
    </row>
    <row r="1276" spans="1:36">
      <c r="A1276" t="s">
        <v>3894</v>
      </c>
      <c r="B1276" t="s">
        <v>3895</v>
      </c>
      <c r="F1276" t="str">
        <f t="shared" si="19"/>
        <v>59223</v>
      </c>
      <c r="AE1276">
        <v>1101113567182</v>
      </c>
      <c r="AG1276" t="s">
        <v>4</v>
      </c>
    </row>
    <row r="1277" spans="1:36">
      <c r="A1277" t="s">
        <v>3896</v>
      </c>
      <c r="B1277" t="s">
        <v>3897</v>
      </c>
      <c r="F1277" t="str">
        <f t="shared" si="19"/>
        <v>59254</v>
      </c>
      <c r="AE1277">
        <v>1101113570044</v>
      </c>
      <c r="AG1277" t="s">
        <v>4</v>
      </c>
      <c r="AH1277" t="s">
        <v>847</v>
      </c>
      <c r="AI1277" t="s">
        <v>55</v>
      </c>
      <c r="AJ1277" t="s">
        <v>848</v>
      </c>
    </row>
    <row r="1278" spans="1:36">
      <c r="A1278" t="s">
        <v>3898</v>
      </c>
      <c r="B1278" t="s">
        <v>3899</v>
      </c>
      <c r="F1278" t="str">
        <f t="shared" si="19"/>
        <v>59255</v>
      </c>
      <c r="AE1278">
        <v>1101113571109</v>
      </c>
      <c r="AG1278" t="s">
        <v>4</v>
      </c>
    </row>
    <row r="1279" spans="1:36">
      <c r="A1279" t="s">
        <v>3900</v>
      </c>
      <c r="B1279" t="s">
        <v>3901</v>
      </c>
      <c r="F1279" t="str">
        <f t="shared" si="19"/>
        <v>59256</v>
      </c>
      <c r="AE1279">
        <v>1101113567299</v>
      </c>
      <c r="AG1279" t="s">
        <v>4</v>
      </c>
    </row>
    <row r="1280" spans="1:36">
      <c r="A1280" t="s">
        <v>3902</v>
      </c>
      <c r="B1280" t="s">
        <v>3903</v>
      </c>
      <c r="F1280" t="str">
        <f t="shared" si="19"/>
        <v>59257</v>
      </c>
      <c r="AE1280">
        <v>1942710002513</v>
      </c>
      <c r="AG1280" t="s">
        <v>4</v>
      </c>
      <c r="AH1280" t="s">
        <v>883</v>
      </c>
      <c r="AI1280" t="s">
        <v>555</v>
      </c>
      <c r="AJ1280" t="s">
        <v>884</v>
      </c>
    </row>
    <row r="1281" spans="1:36">
      <c r="A1281" t="s">
        <v>3904</v>
      </c>
      <c r="B1281" t="s">
        <v>3905</v>
      </c>
      <c r="F1281" t="str">
        <f t="shared" si="19"/>
        <v>59258</v>
      </c>
      <c r="AE1281">
        <v>1101113572321</v>
      </c>
      <c r="AG1281" t="s">
        <v>4</v>
      </c>
    </row>
    <row r="1282" spans="1:36">
      <c r="A1282" t="s">
        <v>3906</v>
      </c>
      <c r="B1282" t="s">
        <v>3907</v>
      </c>
      <c r="F1282" t="str">
        <f t="shared" si="19"/>
        <v>59272</v>
      </c>
      <c r="AE1282">
        <v>1101110229149</v>
      </c>
      <c r="AG1282" t="s">
        <v>4</v>
      </c>
      <c r="AH1282" t="s">
        <v>338</v>
      </c>
      <c r="AJ1282" t="s">
        <v>339</v>
      </c>
    </row>
    <row r="1283" spans="1:36">
      <c r="A1283" t="s">
        <v>3908</v>
      </c>
      <c r="B1283" t="s">
        <v>3909</v>
      </c>
      <c r="F1283" t="str">
        <f t="shared" si="19"/>
        <v>59313</v>
      </c>
      <c r="AE1283">
        <v>1101113572355</v>
      </c>
      <c r="AG1283" t="s">
        <v>4</v>
      </c>
    </row>
    <row r="1284" spans="1:36">
      <c r="A1284" t="s">
        <v>3910</v>
      </c>
      <c r="B1284" t="s">
        <v>3911</v>
      </c>
      <c r="F1284" t="str">
        <f t="shared" si="19"/>
        <v>59354</v>
      </c>
      <c r="AE1284">
        <v>1101110542327</v>
      </c>
      <c r="AG1284" t="s">
        <v>4</v>
      </c>
      <c r="AH1284" t="s">
        <v>968</v>
      </c>
      <c r="AJ1284" t="s">
        <v>969</v>
      </c>
    </row>
    <row r="1285" spans="1:36">
      <c r="A1285" t="s">
        <v>3912</v>
      </c>
      <c r="B1285" t="s">
        <v>3913</v>
      </c>
      <c r="F1285" t="str">
        <f t="shared" si="19"/>
        <v>59355</v>
      </c>
      <c r="AE1285">
        <v>1101113577719</v>
      </c>
      <c r="AG1285" t="s">
        <v>4</v>
      </c>
      <c r="AH1285" t="s">
        <v>847</v>
      </c>
      <c r="AI1285" t="s">
        <v>55</v>
      </c>
      <c r="AJ1285" t="s">
        <v>848</v>
      </c>
    </row>
    <row r="1286" spans="1:36">
      <c r="A1286" t="s">
        <v>3914</v>
      </c>
      <c r="B1286" t="s">
        <v>3915</v>
      </c>
      <c r="F1286" t="str">
        <f t="shared" si="19"/>
        <v>59356</v>
      </c>
      <c r="AE1286">
        <v>1601110024284</v>
      </c>
      <c r="AG1286" t="s">
        <v>2</v>
      </c>
      <c r="AH1286" t="s">
        <v>1097</v>
      </c>
      <c r="AI1286" t="s">
        <v>177</v>
      </c>
      <c r="AJ1286" t="s">
        <v>1098</v>
      </c>
    </row>
    <row r="1287" spans="1:36">
      <c r="A1287" t="s">
        <v>3916</v>
      </c>
      <c r="B1287" t="s">
        <v>3917</v>
      </c>
      <c r="F1287" t="str">
        <f t="shared" si="19"/>
        <v>59357</v>
      </c>
      <c r="AG1287" t="s">
        <v>4</v>
      </c>
    </row>
    <row r="1288" spans="1:36">
      <c r="A1288" t="s">
        <v>3918</v>
      </c>
      <c r="B1288" t="s">
        <v>3919</v>
      </c>
      <c r="F1288" t="str">
        <f t="shared" si="19"/>
        <v>59358</v>
      </c>
      <c r="AE1288">
        <v>1101113579674</v>
      </c>
      <c r="AG1288" t="s">
        <v>4</v>
      </c>
      <c r="AH1288" t="s">
        <v>847</v>
      </c>
      <c r="AI1288" t="s">
        <v>55</v>
      </c>
      <c r="AJ1288" t="s">
        <v>848</v>
      </c>
    </row>
    <row r="1289" spans="1:36">
      <c r="A1289" t="s">
        <v>3920</v>
      </c>
      <c r="B1289" t="s">
        <v>3921</v>
      </c>
      <c r="F1289" t="str">
        <f t="shared" si="19"/>
        <v>59369</v>
      </c>
      <c r="AE1289">
        <v>1101113579335</v>
      </c>
      <c r="AG1289" t="s">
        <v>4</v>
      </c>
      <c r="AH1289" t="s">
        <v>837</v>
      </c>
      <c r="AI1289" t="s">
        <v>6</v>
      </c>
      <c r="AJ1289" t="s">
        <v>838</v>
      </c>
    </row>
    <row r="1290" spans="1:36">
      <c r="A1290" t="s">
        <v>3922</v>
      </c>
      <c r="B1290" t="s">
        <v>3923</v>
      </c>
      <c r="F1290" t="str">
        <f t="shared" ref="F1290:F1353" si="20">CHOOSE($C$1, A1290, B1290)</f>
        <v>59402</v>
      </c>
      <c r="AE1290">
        <v>1101113582073</v>
      </c>
      <c r="AG1290" t="s">
        <v>4</v>
      </c>
    </row>
    <row r="1291" spans="1:36">
      <c r="A1291" t="s">
        <v>3924</v>
      </c>
      <c r="B1291" t="s">
        <v>3925</v>
      </c>
      <c r="F1291" t="str">
        <f t="shared" si="20"/>
        <v>59403</v>
      </c>
      <c r="AE1291">
        <v>1101113577454</v>
      </c>
      <c r="AG1291" t="s">
        <v>4</v>
      </c>
    </row>
    <row r="1292" spans="1:36">
      <c r="A1292" t="s">
        <v>3926</v>
      </c>
      <c r="B1292" t="s">
        <v>3927</v>
      </c>
      <c r="F1292" t="str">
        <f t="shared" si="20"/>
        <v>59404</v>
      </c>
      <c r="AE1292">
        <v>1101113585308</v>
      </c>
      <c r="AG1292" t="s">
        <v>4</v>
      </c>
    </row>
    <row r="1293" spans="1:36">
      <c r="A1293" t="s">
        <v>3928</v>
      </c>
      <c r="B1293" t="s">
        <v>3929</v>
      </c>
      <c r="F1293" t="str">
        <f t="shared" si="20"/>
        <v>59405</v>
      </c>
      <c r="AE1293">
        <v>1101113581710</v>
      </c>
      <c r="AG1293" t="s">
        <v>4</v>
      </c>
      <c r="AH1293" t="s">
        <v>847</v>
      </c>
      <c r="AI1293" t="s">
        <v>55</v>
      </c>
      <c r="AJ1293" t="s">
        <v>848</v>
      </c>
    </row>
    <row r="1294" spans="1:36">
      <c r="A1294" t="s">
        <v>3930</v>
      </c>
      <c r="B1294" t="s">
        <v>3931</v>
      </c>
      <c r="F1294" t="str">
        <f t="shared" si="20"/>
        <v>59406</v>
      </c>
      <c r="AE1294">
        <v>1101113584863</v>
      </c>
      <c r="AG1294" t="s">
        <v>4</v>
      </c>
    </row>
    <row r="1295" spans="1:36">
      <c r="A1295" t="s">
        <v>3932</v>
      </c>
      <c r="B1295" t="s">
        <v>3933</v>
      </c>
      <c r="F1295" t="str">
        <f t="shared" si="20"/>
        <v>59407</v>
      </c>
      <c r="AE1295">
        <v>1101113579616</v>
      </c>
      <c r="AG1295" t="s">
        <v>4</v>
      </c>
      <c r="AH1295" t="s">
        <v>847</v>
      </c>
      <c r="AI1295" t="s">
        <v>55</v>
      </c>
      <c r="AJ1295" t="s">
        <v>848</v>
      </c>
    </row>
    <row r="1296" spans="1:36">
      <c r="A1296" t="s">
        <v>3934</v>
      </c>
      <c r="B1296" t="s">
        <v>3935</v>
      </c>
      <c r="F1296" t="str">
        <f t="shared" si="20"/>
        <v>59408</v>
      </c>
      <c r="AE1296">
        <v>1841710004935</v>
      </c>
      <c r="AG1296" t="s">
        <v>4</v>
      </c>
      <c r="AH1296" t="s">
        <v>936</v>
      </c>
      <c r="AI1296" t="s">
        <v>26</v>
      </c>
      <c r="AJ1296" t="s">
        <v>937</v>
      </c>
    </row>
    <row r="1297" spans="1:36">
      <c r="A1297" t="s">
        <v>3936</v>
      </c>
      <c r="B1297" t="s">
        <v>3937</v>
      </c>
      <c r="F1297" t="str">
        <f t="shared" si="20"/>
        <v>59409</v>
      </c>
      <c r="AE1297">
        <v>1101113590612</v>
      </c>
      <c r="AG1297" t="s">
        <v>4</v>
      </c>
      <c r="AH1297" t="s">
        <v>847</v>
      </c>
      <c r="AI1297" t="s">
        <v>55</v>
      </c>
      <c r="AJ1297" t="s">
        <v>848</v>
      </c>
    </row>
    <row r="1298" spans="1:36">
      <c r="A1298" t="s">
        <v>3938</v>
      </c>
      <c r="B1298" t="s">
        <v>3939</v>
      </c>
      <c r="F1298" t="str">
        <f t="shared" si="20"/>
        <v>59410</v>
      </c>
      <c r="AE1298">
        <v>1101113574971</v>
      </c>
      <c r="AG1298" t="s">
        <v>4</v>
      </c>
    </row>
    <row r="1299" spans="1:36">
      <c r="A1299" t="s">
        <v>3940</v>
      </c>
      <c r="B1299" t="s">
        <v>3941</v>
      </c>
      <c r="F1299" t="str">
        <f t="shared" si="20"/>
        <v>59411</v>
      </c>
      <c r="AE1299">
        <v>1101113590745</v>
      </c>
      <c r="AG1299" t="s">
        <v>4</v>
      </c>
      <c r="AH1299" t="s">
        <v>847</v>
      </c>
      <c r="AI1299" t="s">
        <v>55</v>
      </c>
      <c r="AJ1299" t="s">
        <v>848</v>
      </c>
    </row>
    <row r="1300" spans="1:36">
      <c r="A1300" t="s">
        <v>3942</v>
      </c>
      <c r="B1300" t="s">
        <v>3943</v>
      </c>
      <c r="F1300" t="str">
        <f t="shared" si="20"/>
        <v>59412</v>
      </c>
      <c r="AE1300">
        <v>1101113579666</v>
      </c>
      <c r="AG1300" t="s">
        <v>4</v>
      </c>
      <c r="AH1300" t="s">
        <v>847</v>
      </c>
      <c r="AI1300" t="s">
        <v>55</v>
      </c>
      <c r="AJ1300" t="s">
        <v>848</v>
      </c>
    </row>
    <row r="1301" spans="1:36">
      <c r="A1301" t="s">
        <v>3944</v>
      </c>
      <c r="B1301" t="s">
        <v>3945</v>
      </c>
      <c r="F1301" t="str">
        <f t="shared" si="20"/>
        <v>59413</v>
      </c>
      <c r="AG1301" t="s">
        <v>4</v>
      </c>
    </row>
    <row r="1302" spans="1:36">
      <c r="A1302" t="s">
        <v>3946</v>
      </c>
      <c r="B1302" t="s">
        <v>3947</v>
      </c>
      <c r="F1302" t="str">
        <f t="shared" si="20"/>
        <v>59414</v>
      </c>
      <c r="AE1302">
        <v>1101113579418</v>
      </c>
      <c r="AG1302" t="s">
        <v>4</v>
      </c>
      <c r="AH1302" t="s">
        <v>847</v>
      </c>
      <c r="AI1302" t="s">
        <v>55</v>
      </c>
      <c r="AJ1302" t="s">
        <v>848</v>
      </c>
    </row>
    <row r="1303" spans="1:36">
      <c r="A1303" t="s">
        <v>3948</v>
      </c>
      <c r="B1303" t="s">
        <v>3949</v>
      </c>
      <c r="F1303" t="str">
        <f t="shared" si="20"/>
        <v>59417</v>
      </c>
      <c r="AE1303">
        <v>1101113583823</v>
      </c>
      <c r="AG1303" t="s">
        <v>4</v>
      </c>
      <c r="AH1303" t="s">
        <v>847</v>
      </c>
      <c r="AI1303" t="s">
        <v>55</v>
      </c>
      <c r="AJ1303" t="s">
        <v>848</v>
      </c>
    </row>
    <row r="1304" spans="1:36">
      <c r="A1304" t="s">
        <v>3950</v>
      </c>
      <c r="B1304" t="s">
        <v>3951</v>
      </c>
      <c r="F1304" t="str">
        <f t="shared" si="20"/>
        <v>59418</v>
      </c>
      <c r="AG1304" t="s">
        <v>4</v>
      </c>
    </row>
    <row r="1305" spans="1:36">
      <c r="A1305" t="s">
        <v>3952</v>
      </c>
      <c r="B1305" t="s">
        <v>3953</v>
      </c>
      <c r="F1305" t="str">
        <f t="shared" si="20"/>
        <v>59419</v>
      </c>
      <c r="AG1305" t="s">
        <v>4</v>
      </c>
    </row>
    <row r="1306" spans="1:36">
      <c r="A1306" t="s">
        <v>3954</v>
      </c>
      <c r="B1306" t="s">
        <v>3955</v>
      </c>
      <c r="F1306" t="str">
        <f t="shared" si="20"/>
        <v>59420</v>
      </c>
      <c r="AG1306" t="s">
        <v>4</v>
      </c>
    </row>
    <row r="1307" spans="1:36">
      <c r="A1307" t="s">
        <v>3956</v>
      </c>
      <c r="B1307" t="s">
        <v>3957</v>
      </c>
      <c r="F1307" t="str">
        <f t="shared" si="20"/>
        <v>59421</v>
      </c>
      <c r="AE1307">
        <v>1101113604009</v>
      </c>
      <c r="AG1307" t="s">
        <v>4</v>
      </c>
      <c r="AH1307" t="s">
        <v>847</v>
      </c>
      <c r="AI1307" t="s">
        <v>55</v>
      </c>
      <c r="AJ1307" t="s">
        <v>848</v>
      </c>
    </row>
    <row r="1308" spans="1:36">
      <c r="A1308" t="s">
        <v>3958</v>
      </c>
      <c r="B1308" t="s">
        <v>3959</v>
      </c>
      <c r="F1308" t="str">
        <f t="shared" si="20"/>
        <v>59422</v>
      </c>
      <c r="AE1308">
        <v>1101113609108</v>
      </c>
      <c r="AG1308" t="s">
        <v>4</v>
      </c>
    </row>
    <row r="1309" spans="1:36">
      <c r="A1309" t="s">
        <v>3960</v>
      </c>
      <c r="B1309" t="s">
        <v>3961</v>
      </c>
      <c r="F1309" t="str">
        <f t="shared" si="20"/>
        <v>59423</v>
      </c>
      <c r="AE1309">
        <v>1101113612119</v>
      </c>
      <c r="AG1309" t="s">
        <v>4</v>
      </c>
    </row>
    <row r="1310" spans="1:36">
      <c r="A1310" t="s">
        <v>3962</v>
      </c>
      <c r="B1310" t="s">
        <v>3963</v>
      </c>
      <c r="F1310" t="str">
        <f t="shared" si="20"/>
        <v>59438</v>
      </c>
      <c r="AE1310">
        <v>1101113612359</v>
      </c>
      <c r="AG1310" t="s">
        <v>4</v>
      </c>
    </row>
    <row r="1311" spans="1:36">
      <c r="A1311" t="s">
        <v>3964</v>
      </c>
      <c r="B1311" t="s">
        <v>3965</v>
      </c>
      <c r="F1311" t="str">
        <f t="shared" si="20"/>
        <v>59443</v>
      </c>
      <c r="AG1311" t="s">
        <v>4</v>
      </c>
    </row>
    <row r="1312" spans="1:36">
      <c r="A1312" t="s">
        <v>3966</v>
      </c>
      <c r="B1312" t="s">
        <v>3967</v>
      </c>
      <c r="F1312" t="str">
        <f t="shared" si="20"/>
        <v>59504</v>
      </c>
      <c r="AE1312">
        <v>1101140066628</v>
      </c>
      <c r="AG1312" t="s">
        <v>4</v>
      </c>
    </row>
    <row r="1313" spans="1:36">
      <c r="A1313" t="s">
        <v>3968</v>
      </c>
      <c r="B1313" t="s">
        <v>3969</v>
      </c>
      <c r="F1313" t="str">
        <f t="shared" si="20"/>
        <v>59505</v>
      </c>
      <c r="AG1313" t="s">
        <v>4</v>
      </c>
    </row>
    <row r="1314" spans="1:36">
      <c r="A1314" t="s">
        <v>3970</v>
      </c>
      <c r="B1314" t="s">
        <v>3971</v>
      </c>
      <c r="F1314" t="str">
        <f t="shared" si="20"/>
        <v>59506</v>
      </c>
      <c r="AG1314" t="s">
        <v>4</v>
      </c>
    </row>
    <row r="1315" spans="1:36">
      <c r="A1315" t="s">
        <v>3972</v>
      </c>
      <c r="B1315" t="s">
        <v>3973</v>
      </c>
      <c r="F1315" t="str">
        <f t="shared" si="20"/>
        <v>59507</v>
      </c>
      <c r="AE1315">
        <v>1101113618737</v>
      </c>
      <c r="AG1315" t="s">
        <v>4</v>
      </c>
      <c r="AH1315" t="s">
        <v>847</v>
      </c>
      <c r="AI1315" t="s">
        <v>55</v>
      </c>
      <c r="AJ1315" t="s">
        <v>848</v>
      </c>
    </row>
    <row r="1316" spans="1:36">
      <c r="A1316" t="s">
        <v>3974</v>
      </c>
      <c r="B1316" t="s">
        <v>3975</v>
      </c>
      <c r="F1316" t="str">
        <f t="shared" si="20"/>
        <v>59508</v>
      </c>
      <c r="AG1316" t="s">
        <v>4</v>
      </c>
    </row>
    <row r="1317" spans="1:36">
      <c r="A1317" t="s">
        <v>3976</v>
      </c>
      <c r="B1317" t="s">
        <v>3977</v>
      </c>
      <c r="F1317" t="str">
        <f t="shared" si="20"/>
        <v>59511</v>
      </c>
      <c r="AE1317">
        <v>1101113623116</v>
      </c>
      <c r="AG1317" t="s">
        <v>4</v>
      </c>
      <c r="AH1317" t="s">
        <v>837</v>
      </c>
      <c r="AI1317" t="s">
        <v>6</v>
      </c>
      <c r="AJ1317" t="s">
        <v>838</v>
      </c>
    </row>
    <row r="1318" spans="1:36">
      <c r="A1318" t="s">
        <v>3978</v>
      </c>
      <c r="B1318" t="s">
        <v>3979</v>
      </c>
      <c r="F1318" t="str">
        <f t="shared" si="20"/>
        <v>59519</v>
      </c>
      <c r="AE1318">
        <v>1101113574046</v>
      </c>
      <c r="AG1318" t="s">
        <v>4</v>
      </c>
      <c r="AH1318" t="s">
        <v>729</v>
      </c>
      <c r="AI1318" t="s">
        <v>6</v>
      </c>
      <c r="AJ1318" t="s">
        <v>730</v>
      </c>
    </row>
    <row r="1319" spans="1:36">
      <c r="A1319" t="s">
        <v>3980</v>
      </c>
      <c r="B1319" t="s">
        <v>3981</v>
      </c>
      <c r="F1319" t="str">
        <f t="shared" si="20"/>
        <v>59520</v>
      </c>
      <c r="AG1319" t="s">
        <v>4</v>
      </c>
    </row>
    <row r="1320" spans="1:36">
      <c r="A1320" t="s">
        <v>3982</v>
      </c>
      <c r="B1320" t="s">
        <v>3983</v>
      </c>
      <c r="F1320" t="str">
        <f t="shared" si="20"/>
        <v>59534</v>
      </c>
      <c r="AE1320">
        <v>1101113624601</v>
      </c>
      <c r="AG1320" t="s">
        <v>4</v>
      </c>
      <c r="AH1320" t="s">
        <v>847</v>
      </c>
      <c r="AI1320" t="s">
        <v>55</v>
      </c>
      <c r="AJ1320" t="s">
        <v>848</v>
      </c>
    </row>
    <row r="1321" spans="1:36">
      <c r="A1321" t="s">
        <v>3984</v>
      </c>
      <c r="B1321" t="s">
        <v>3985</v>
      </c>
      <c r="F1321" t="str">
        <f t="shared" si="20"/>
        <v>59744</v>
      </c>
      <c r="AE1321">
        <v>1101111874654</v>
      </c>
      <c r="AG1321" t="s">
        <v>2</v>
      </c>
      <c r="AH1321" t="s">
        <v>1181</v>
      </c>
      <c r="AJ1321" t="s">
        <v>1182</v>
      </c>
    </row>
    <row r="1322" spans="1:36">
      <c r="A1322" t="s">
        <v>3986</v>
      </c>
      <c r="B1322" t="s">
        <v>3987</v>
      </c>
      <c r="F1322" t="str">
        <f t="shared" si="20"/>
        <v>59751</v>
      </c>
      <c r="AE1322">
        <v>2062110006582</v>
      </c>
      <c r="AG1322" t="s">
        <v>4</v>
      </c>
      <c r="AH1322" t="s">
        <v>15</v>
      </c>
      <c r="AI1322" t="s">
        <v>16</v>
      </c>
      <c r="AJ1322" t="s">
        <v>17</v>
      </c>
    </row>
    <row r="1323" spans="1:36">
      <c r="A1323" t="s">
        <v>3988</v>
      </c>
      <c r="B1323" t="s">
        <v>3989</v>
      </c>
      <c r="F1323" t="str">
        <f t="shared" si="20"/>
        <v>59752</v>
      </c>
      <c r="AE1323">
        <v>1101113636309</v>
      </c>
      <c r="AG1323" t="s">
        <v>4</v>
      </c>
      <c r="AH1323" t="s">
        <v>847</v>
      </c>
      <c r="AI1323" t="s">
        <v>55</v>
      </c>
      <c r="AJ1323" t="s">
        <v>848</v>
      </c>
    </row>
    <row r="1324" spans="1:36">
      <c r="A1324" t="s">
        <v>3990</v>
      </c>
      <c r="B1324" t="s">
        <v>3991</v>
      </c>
      <c r="F1324" t="str">
        <f t="shared" si="20"/>
        <v>59753</v>
      </c>
      <c r="AE1324">
        <v>1101113631515</v>
      </c>
      <c r="AG1324" t="s">
        <v>4</v>
      </c>
    </row>
    <row r="1325" spans="1:36">
      <c r="A1325" t="s">
        <v>3992</v>
      </c>
      <c r="B1325" t="s">
        <v>3993</v>
      </c>
      <c r="F1325" t="str">
        <f t="shared" si="20"/>
        <v>59754</v>
      </c>
      <c r="AE1325">
        <v>1101113638462</v>
      </c>
      <c r="AG1325" t="s">
        <v>4</v>
      </c>
      <c r="AH1325" t="s">
        <v>847</v>
      </c>
      <c r="AI1325" t="s">
        <v>55</v>
      </c>
      <c r="AJ1325" t="s">
        <v>848</v>
      </c>
    </row>
    <row r="1326" spans="1:36">
      <c r="A1326" t="s">
        <v>3994</v>
      </c>
      <c r="B1326" t="s">
        <v>3995</v>
      </c>
      <c r="F1326" t="str">
        <f t="shared" si="20"/>
        <v>59755</v>
      </c>
      <c r="AE1326">
        <v>1101113635187</v>
      </c>
      <c r="AG1326" t="s">
        <v>4</v>
      </c>
      <c r="AH1326" t="s">
        <v>847</v>
      </c>
      <c r="AI1326" t="s">
        <v>55</v>
      </c>
      <c r="AJ1326" t="s">
        <v>848</v>
      </c>
    </row>
    <row r="1327" spans="1:36">
      <c r="A1327" t="s">
        <v>3996</v>
      </c>
      <c r="B1327" t="s">
        <v>3997</v>
      </c>
      <c r="F1327" t="str">
        <f t="shared" si="20"/>
        <v>59844</v>
      </c>
      <c r="AE1327">
        <v>1301110018382</v>
      </c>
      <c r="AG1327" t="s">
        <v>4</v>
      </c>
      <c r="AH1327" t="s">
        <v>1119</v>
      </c>
      <c r="AJ1327" t="s">
        <v>1120</v>
      </c>
    </row>
    <row r="1328" spans="1:36">
      <c r="A1328" t="s">
        <v>3998</v>
      </c>
      <c r="B1328" t="s">
        <v>3999</v>
      </c>
      <c r="F1328" t="str">
        <f t="shared" si="20"/>
        <v>59905</v>
      </c>
      <c r="AE1328">
        <v>1101111727853</v>
      </c>
      <c r="AG1328" t="s">
        <v>2</v>
      </c>
      <c r="AH1328" t="s">
        <v>1184</v>
      </c>
      <c r="AJ1328" t="s">
        <v>474</v>
      </c>
    </row>
    <row r="1329" spans="1:36">
      <c r="A1329" t="s">
        <v>4000</v>
      </c>
      <c r="B1329" t="s">
        <v>4001</v>
      </c>
      <c r="F1329" t="str">
        <f t="shared" si="20"/>
        <v>59924</v>
      </c>
      <c r="AE1329">
        <v>1101110973077</v>
      </c>
      <c r="AG1329" t="s">
        <v>4</v>
      </c>
      <c r="AH1329" t="s">
        <v>708</v>
      </c>
      <c r="AJ1329" t="s">
        <v>709</v>
      </c>
    </row>
    <row r="1330" spans="1:36">
      <c r="A1330" t="s">
        <v>4002</v>
      </c>
      <c r="B1330" t="s">
        <v>4003</v>
      </c>
      <c r="F1330" t="str">
        <f t="shared" si="20"/>
        <v>59925</v>
      </c>
      <c r="AE1330">
        <v>1101113643510</v>
      </c>
      <c r="AG1330" t="s">
        <v>4</v>
      </c>
    </row>
    <row r="1331" spans="1:36">
      <c r="A1331" t="s">
        <v>4004</v>
      </c>
      <c r="B1331" t="s">
        <v>4005</v>
      </c>
      <c r="F1331" t="str">
        <f t="shared" si="20"/>
        <v>59935</v>
      </c>
      <c r="AE1331">
        <v>1341110034251</v>
      </c>
      <c r="AG1331" t="s">
        <v>4</v>
      </c>
      <c r="AH1331" t="s">
        <v>341</v>
      </c>
      <c r="AJ1331" t="s">
        <v>342</v>
      </c>
    </row>
    <row r="1332" spans="1:36">
      <c r="A1332" t="s">
        <v>4006</v>
      </c>
      <c r="B1332" t="s">
        <v>4007</v>
      </c>
      <c r="F1332" t="str">
        <f t="shared" si="20"/>
        <v>60083</v>
      </c>
      <c r="AE1332">
        <v>1101113611187</v>
      </c>
      <c r="AG1332" t="s">
        <v>4</v>
      </c>
      <c r="AH1332" t="s">
        <v>837</v>
      </c>
      <c r="AI1332" t="s">
        <v>6</v>
      </c>
      <c r="AJ1332" t="s">
        <v>838</v>
      </c>
    </row>
    <row r="1333" spans="1:36">
      <c r="A1333" t="s">
        <v>4008</v>
      </c>
      <c r="B1333" t="s">
        <v>4009</v>
      </c>
      <c r="F1333" t="str">
        <f t="shared" si="20"/>
        <v>60096</v>
      </c>
      <c r="AE1333">
        <v>1101111401051</v>
      </c>
      <c r="AG1333" t="s">
        <v>2</v>
      </c>
      <c r="AH1333" t="s">
        <v>1053</v>
      </c>
      <c r="AI1333" t="s">
        <v>177</v>
      </c>
      <c r="AJ1333" t="s">
        <v>1054</v>
      </c>
    </row>
    <row r="1334" spans="1:36">
      <c r="A1334" t="s">
        <v>4010</v>
      </c>
      <c r="B1334" t="s">
        <v>4011</v>
      </c>
      <c r="F1334" t="str">
        <f t="shared" si="20"/>
        <v>60097</v>
      </c>
      <c r="AE1334">
        <v>1101113645186</v>
      </c>
      <c r="AG1334" t="s">
        <v>4</v>
      </c>
      <c r="AH1334" t="s">
        <v>847</v>
      </c>
      <c r="AI1334" t="s">
        <v>55</v>
      </c>
      <c r="AJ1334" t="s">
        <v>848</v>
      </c>
    </row>
    <row r="1335" spans="1:36">
      <c r="A1335" t="s">
        <v>4012</v>
      </c>
      <c r="B1335" t="s">
        <v>4013</v>
      </c>
      <c r="F1335" t="str">
        <f t="shared" si="20"/>
        <v>60098</v>
      </c>
      <c r="AE1335">
        <v>1101112672586</v>
      </c>
      <c r="AG1335" t="s">
        <v>4</v>
      </c>
      <c r="AH1335" t="s">
        <v>1033</v>
      </c>
      <c r="AI1335" t="s">
        <v>6</v>
      </c>
      <c r="AJ1335" t="s">
        <v>1034</v>
      </c>
    </row>
    <row r="1336" spans="1:36">
      <c r="A1336" t="s">
        <v>4014</v>
      </c>
      <c r="B1336" t="s">
        <v>4015</v>
      </c>
      <c r="F1336" t="str">
        <f t="shared" si="20"/>
        <v>60099</v>
      </c>
      <c r="AE1336">
        <v>1101113579575</v>
      </c>
      <c r="AG1336" t="s">
        <v>4</v>
      </c>
      <c r="AH1336" t="s">
        <v>847</v>
      </c>
      <c r="AI1336" t="s">
        <v>55</v>
      </c>
      <c r="AJ1336" t="s">
        <v>848</v>
      </c>
    </row>
    <row r="1337" spans="1:36">
      <c r="A1337" t="s">
        <v>4016</v>
      </c>
      <c r="B1337" t="s">
        <v>4017</v>
      </c>
      <c r="F1337" t="str">
        <f t="shared" si="20"/>
        <v>60100</v>
      </c>
      <c r="AE1337">
        <v>1101113650838</v>
      </c>
      <c r="AG1337" t="s">
        <v>4</v>
      </c>
      <c r="AH1337" t="s">
        <v>1186</v>
      </c>
      <c r="AI1337" t="s">
        <v>150</v>
      </c>
      <c r="AJ1337" t="s">
        <v>1187</v>
      </c>
    </row>
    <row r="1338" spans="1:36">
      <c r="A1338" t="s">
        <v>4018</v>
      </c>
      <c r="B1338" t="s">
        <v>4019</v>
      </c>
      <c r="F1338" t="str">
        <f t="shared" si="20"/>
        <v>60137</v>
      </c>
      <c r="AE1338">
        <v>1101113654054</v>
      </c>
      <c r="AG1338" t="s">
        <v>4</v>
      </c>
      <c r="AH1338" t="s">
        <v>847</v>
      </c>
      <c r="AI1338" t="s">
        <v>55</v>
      </c>
      <c r="AJ1338" t="s">
        <v>848</v>
      </c>
    </row>
    <row r="1339" spans="1:36">
      <c r="A1339" t="s">
        <v>4020</v>
      </c>
      <c r="B1339" t="s">
        <v>4021</v>
      </c>
      <c r="F1339" t="str">
        <f t="shared" si="20"/>
        <v>60138</v>
      </c>
      <c r="AE1339">
        <v>1101113646697</v>
      </c>
      <c r="AF1339" t="s">
        <v>40</v>
      </c>
      <c r="AG1339" t="s">
        <v>4</v>
      </c>
      <c r="AH1339" t="s">
        <v>634</v>
      </c>
      <c r="AI1339" t="s">
        <v>6</v>
      </c>
      <c r="AJ1339" t="s">
        <v>635</v>
      </c>
    </row>
    <row r="1340" spans="1:36">
      <c r="A1340" t="s">
        <v>4022</v>
      </c>
      <c r="B1340" t="s">
        <v>4023</v>
      </c>
      <c r="F1340" t="str">
        <f t="shared" si="20"/>
        <v>60192</v>
      </c>
      <c r="AE1340">
        <v>1101113653288</v>
      </c>
      <c r="AG1340" t="s">
        <v>4</v>
      </c>
      <c r="AH1340" t="s">
        <v>847</v>
      </c>
      <c r="AI1340" t="s">
        <v>55</v>
      </c>
      <c r="AJ1340" t="s">
        <v>848</v>
      </c>
    </row>
    <row r="1341" spans="1:36">
      <c r="A1341" t="s">
        <v>4024</v>
      </c>
      <c r="B1341" t="s">
        <v>4023</v>
      </c>
      <c r="F1341" t="str">
        <f t="shared" si="20"/>
        <v>60193</v>
      </c>
      <c r="AE1341">
        <v>1101113076662</v>
      </c>
      <c r="AF1341" t="s">
        <v>107</v>
      </c>
      <c r="AG1341" t="s">
        <v>4</v>
      </c>
      <c r="AH1341" t="s">
        <v>466</v>
      </c>
      <c r="AI1341" t="s">
        <v>16</v>
      </c>
      <c r="AJ1341" t="s">
        <v>467</v>
      </c>
    </row>
    <row r="1342" spans="1:36">
      <c r="A1342" t="s">
        <v>4025</v>
      </c>
      <c r="B1342" t="s">
        <v>4026</v>
      </c>
      <c r="F1342" t="str">
        <f t="shared" si="20"/>
        <v>60267</v>
      </c>
      <c r="AE1342">
        <v>1101111364811</v>
      </c>
      <c r="AG1342" t="s">
        <v>4</v>
      </c>
      <c r="AH1342" t="s">
        <v>1151</v>
      </c>
      <c r="AJ1342" t="s">
        <v>491</v>
      </c>
    </row>
    <row r="1343" spans="1:36">
      <c r="A1343" t="s">
        <v>4027</v>
      </c>
      <c r="B1343" t="s">
        <v>4028</v>
      </c>
      <c r="F1343" t="str">
        <f t="shared" si="20"/>
        <v>60268</v>
      </c>
      <c r="AE1343">
        <v>1101113662429</v>
      </c>
      <c r="AG1343" t="s">
        <v>4</v>
      </c>
      <c r="AH1343" t="s">
        <v>847</v>
      </c>
      <c r="AI1343" t="s">
        <v>55</v>
      </c>
      <c r="AJ1343" t="s">
        <v>848</v>
      </c>
    </row>
    <row r="1344" spans="1:36">
      <c r="A1344" t="s">
        <v>4029</v>
      </c>
      <c r="B1344" t="s">
        <v>4030</v>
      </c>
      <c r="F1344" t="str">
        <f t="shared" si="20"/>
        <v>60269</v>
      </c>
      <c r="AE1344">
        <v>1101113663469</v>
      </c>
      <c r="AG1344" t="s">
        <v>4</v>
      </c>
      <c r="AH1344" t="s">
        <v>847</v>
      </c>
      <c r="AI1344" t="s">
        <v>55</v>
      </c>
      <c r="AJ1344" t="s">
        <v>848</v>
      </c>
    </row>
    <row r="1345" spans="1:36">
      <c r="A1345" t="s">
        <v>4031</v>
      </c>
      <c r="B1345" t="s">
        <v>4032</v>
      </c>
      <c r="F1345" t="str">
        <f t="shared" si="20"/>
        <v>60270</v>
      </c>
      <c r="AG1345" t="s">
        <v>4</v>
      </c>
    </row>
    <row r="1346" spans="1:36">
      <c r="A1346" t="s">
        <v>4033</v>
      </c>
      <c r="B1346" t="s">
        <v>4034</v>
      </c>
      <c r="F1346" t="str">
        <f t="shared" si="20"/>
        <v>60271</v>
      </c>
      <c r="AE1346">
        <v>1101111418353</v>
      </c>
      <c r="AG1346" t="s">
        <v>4</v>
      </c>
      <c r="AH1346" t="s">
        <v>1189</v>
      </c>
      <c r="AI1346" t="s">
        <v>725</v>
      </c>
      <c r="AJ1346" t="s">
        <v>1190</v>
      </c>
    </row>
    <row r="1347" spans="1:36">
      <c r="A1347" t="s">
        <v>4035</v>
      </c>
      <c r="B1347" t="s">
        <v>4036</v>
      </c>
      <c r="F1347" t="str">
        <f t="shared" si="20"/>
        <v>60279</v>
      </c>
      <c r="AE1347">
        <v>1101111940223</v>
      </c>
      <c r="AG1347" t="s">
        <v>4</v>
      </c>
      <c r="AH1347" t="s">
        <v>209</v>
      </c>
      <c r="AI1347" t="s">
        <v>32</v>
      </c>
      <c r="AJ1347" t="s">
        <v>52</v>
      </c>
    </row>
    <row r="1348" spans="1:36">
      <c r="A1348" t="s">
        <v>4037</v>
      </c>
      <c r="B1348" t="s">
        <v>4038</v>
      </c>
      <c r="F1348" t="str">
        <f t="shared" si="20"/>
        <v>60283</v>
      </c>
      <c r="AE1348">
        <v>1101113671420</v>
      </c>
      <c r="AG1348" t="s">
        <v>4</v>
      </c>
    </row>
    <row r="1349" spans="1:36">
      <c r="A1349" t="s">
        <v>4039</v>
      </c>
      <c r="B1349" t="s">
        <v>4040</v>
      </c>
      <c r="F1349" t="str">
        <f t="shared" si="20"/>
        <v>60284</v>
      </c>
      <c r="AE1349">
        <v>1101113669102</v>
      </c>
      <c r="AG1349" t="s">
        <v>4</v>
      </c>
    </row>
    <row r="1350" spans="1:36">
      <c r="A1350" t="s">
        <v>4041</v>
      </c>
      <c r="B1350" t="s">
        <v>4042</v>
      </c>
      <c r="F1350" t="str">
        <f t="shared" si="20"/>
        <v>60285</v>
      </c>
      <c r="AE1350">
        <v>1943110006262</v>
      </c>
      <c r="AG1350" t="s">
        <v>2</v>
      </c>
      <c r="AH1350" t="s">
        <v>1071</v>
      </c>
      <c r="AJ1350" t="s">
        <v>1072</v>
      </c>
    </row>
    <row r="1351" spans="1:36">
      <c r="A1351" t="s">
        <v>4043</v>
      </c>
      <c r="B1351" t="s">
        <v>4044</v>
      </c>
      <c r="F1351" t="str">
        <f t="shared" si="20"/>
        <v>60286</v>
      </c>
      <c r="AE1351">
        <v>1101113673187</v>
      </c>
      <c r="AG1351" t="s">
        <v>4</v>
      </c>
      <c r="AH1351" t="s">
        <v>847</v>
      </c>
      <c r="AI1351" t="s">
        <v>55</v>
      </c>
      <c r="AJ1351" t="s">
        <v>848</v>
      </c>
    </row>
    <row r="1352" spans="1:36">
      <c r="A1352" t="s">
        <v>4045</v>
      </c>
      <c r="B1352" t="s">
        <v>4046</v>
      </c>
      <c r="F1352" t="str">
        <f t="shared" si="20"/>
        <v>60287</v>
      </c>
      <c r="AG1352" t="s">
        <v>4</v>
      </c>
    </row>
    <row r="1353" spans="1:36">
      <c r="A1353" t="s">
        <v>4047</v>
      </c>
      <c r="B1353" t="s">
        <v>4048</v>
      </c>
      <c r="F1353" t="str">
        <f t="shared" si="20"/>
        <v>60297</v>
      </c>
      <c r="AE1353">
        <v>1101111187031</v>
      </c>
      <c r="AG1353" t="s">
        <v>2</v>
      </c>
      <c r="AH1353" t="s">
        <v>904</v>
      </c>
      <c r="AI1353" t="s">
        <v>275</v>
      </c>
      <c r="AJ1353" t="s">
        <v>905</v>
      </c>
    </row>
    <row r="1354" spans="1:36">
      <c r="A1354" t="s">
        <v>4049</v>
      </c>
      <c r="B1354" t="s">
        <v>4050</v>
      </c>
      <c r="F1354" t="str">
        <f t="shared" ref="F1354:F1417" si="21">CHOOSE($C$1, A1354, B1354)</f>
        <v>60298</v>
      </c>
      <c r="AE1354">
        <v>1101113581588</v>
      </c>
      <c r="AG1354" t="s">
        <v>4</v>
      </c>
      <c r="AH1354" t="s">
        <v>837</v>
      </c>
      <c r="AI1354" t="s">
        <v>6</v>
      </c>
      <c r="AJ1354" t="s">
        <v>838</v>
      </c>
    </row>
    <row r="1355" spans="1:36">
      <c r="A1355" t="s">
        <v>4051</v>
      </c>
      <c r="B1355" t="s">
        <v>4052</v>
      </c>
      <c r="F1355" t="str">
        <f t="shared" si="21"/>
        <v>60299</v>
      </c>
      <c r="AE1355">
        <v>1101110840424</v>
      </c>
      <c r="AG1355" t="s">
        <v>4</v>
      </c>
      <c r="AH1355" t="s">
        <v>464</v>
      </c>
      <c r="AI1355" t="s">
        <v>177</v>
      </c>
      <c r="AJ1355" t="s">
        <v>465</v>
      </c>
    </row>
    <row r="1356" spans="1:36">
      <c r="A1356" t="s">
        <v>4053</v>
      </c>
      <c r="B1356" t="s">
        <v>4054</v>
      </c>
      <c r="F1356" t="str">
        <f t="shared" si="21"/>
        <v>60300</v>
      </c>
      <c r="AE1356">
        <v>1101113680447</v>
      </c>
      <c r="AG1356" t="s">
        <v>4</v>
      </c>
      <c r="AH1356" t="s">
        <v>847</v>
      </c>
      <c r="AI1356" t="s">
        <v>55</v>
      </c>
      <c r="AJ1356" t="s">
        <v>848</v>
      </c>
    </row>
    <row r="1357" spans="1:36">
      <c r="A1357" t="s">
        <v>4055</v>
      </c>
      <c r="B1357" t="s">
        <v>4056</v>
      </c>
      <c r="F1357" t="str">
        <f t="shared" si="21"/>
        <v>60301</v>
      </c>
      <c r="AE1357">
        <v>1101113581075</v>
      </c>
      <c r="AG1357" t="s">
        <v>2</v>
      </c>
      <c r="AH1357" t="s">
        <v>708</v>
      </c>
      <c r="AJ1357" t="s">
        <v>709</v>
      </c>
    </row>
    <row r="1358" spans="1:36">
      <c r="A1358" t="s">
        <v>4057</v>
      </c>
      <c r="B1358" t="s">
        <v>4058</v>
      </c>
      <c r="F1358" t="str">
        <f t="shared" si="21"/>
        <v>60341</v>
      </c>
      <c r="AE1358">
        <v>1101113678624</v>
      </c>
      <c r="AG1358" t="s">
        <v>4</v>
      </c>
      <c r="AH1358" t="s">
        <v>837</v>
      </c>
      <c r="AI1358" t="s">
        <v>6</v>
      </c>
      <c r="AJ1358" t="s">
        <v>838</v>
      </c>
    </row>
    <row r="1359" spans="1:36">
      <c r="A1359" t="s">
        <v>4059</v>
      </c>
      <c r="B1359" t="s">
        <v>4058</v>
      </c>
      <c r="F1359" t="str">
        <f t="shared" si="21"/>
        <v>60342</v>
      </c>
      <c r="AE1359">
        <v>1101110963341</v>
      </c>
      <c r="AG1359" t="s">
        <v>2</v>
      </c>
      <c r="AH1359" t="s">
        <v>1036</v>
      </c>
      <c r="AI1359" t="s">
        <v>76</v>
      </c>
      <c r="AJ1359" t="s">
        <v>1037</v>
      </c>
    </row>
    <row r="1360" spans="1:36">
      <c r="A1360" t="s">
        <v>4060</v>
      </c>
      <c r="B1360" t="s">
        <v>4061</v>
      </c>
      <c r="F1360" t="str">
        <f t="shared" si="21"/>
        <v>60350</v>
      </c>
      <c r="AG1360" t="s">
        <v>4</v>
      </c>
    </row>
    <row r="1361" spans="1:36">
      <c r="A1361" t="s">
        <v>4062</v>
      </c>
      <c r="B1361" t="s">
        <v>4063</v>
      </c>
      <c r="F1361" t="str">
        <f t="shared" si="21"/>
        <v>60351</v>
      </c>
      <c r="AG1361" t="s">
        <v>4</v>
      </c>
    </row>
    <row r="1362" spans="1:36">
      <c r="A1362" t="s">
        <v>4064</v>
      </c>
      <c r="B1362" t="s">
        <v>4065</v>
      </c>
      <c r="F1362" t="str">
        <f t="shared" si="21"/>
        <v>60352</v>
      </c>
      <c r="AE1362">
        <v>1101140058443</v>
      </c>
      <c r="AG1362" t="s">
        <v>4</v>
      </c>
    </row>
    <row r="1363" spans="1:36">
      <c r="A1363" t="s">
        <v>4066</v>
      </c>
      <c r="B1363" t="s">
        <v>4067</v>
      </c>
      <c r="F1363" t="str">
        <f t="shared" si="21"/>
        <v>60353</v>
      </c>
      <c r="AE1363">
        <v>1101140059558</v>
      </c>
      <c r="AG1363" t="s">
        <v>4</v>
      </c>
    </row>
    <row r="1364" spans="1:36">
      <c r="A1364" t="s">
        <v>4068</v>
      </c>
      <c r="B1364" t="s">
        <v>4069</v>
      </c>
      <c r="F1364" t="str">
        <f t="shared" si="21"/>
        <v>60354</v>
      </c>
      <c r="AE1364">
        <v>1101140060670</v>
      </c>
      <c r="AG1364" t="s">
        <v>4</v>
      </c>
    </row>
    <row r="1365" spans="1:36">
      <c r="A1365" t="s">
        <v>4070</v>
      </c>
      <c r="B1365" t="s">
        <v>4071</v>
      </c>
      <c r="F1365" t="str">
        <f t="shared" si="21"/>
        <v>60359</v>
      </c>
      <c r="AE1365">
        <v>1101140059706</v>
      </c>
      <c r="AG1365" t="s">
        <v>4</v>
      </c>
    </row>
    <row r="1366" spans="1:36">
      <c r="A1366" t="s">
        <v>4072</v>
      </c>
      <c r="B1366" t="s">
        <v>4073</v>
      </c>
      <c r="F1366" t="str">
        <f t="shared" si="21"/>
        <v>60366</v>
      </c>
      <c r="AE1366">
        <v>1101111359630</v>
      </c>
      <c r="AG1366" t="s">
        <v>2</v>
      </c>
      <c r="AH1366" t="s">
        <v>584</v>
      </c>
      <c r="AI1366" t="s">
        <v>585</v>
      </c>
      <c r="AJ1366" t="s">
        <v>586</v>
      </c>
    </row>
    <row r="1367" spans="1:36">
      <c r="A1367" t="s">
        <v>4074</v>
      </c>
      <c r="B1367" t="s">
        <v>4075</v>
      </c>
      <c r="F1367" t="str">
        <f t="shared" si="21"/>
        <v>60367</v>
      </c>
      <c r="AG1367" t="s">
        <v>4</v>
      </c>
    </row>
    <row r="1368" spans="1:36">
      <c r="A1368" t="s">
        <v>4076</v>
      </c>
      <c r="B1368" t="s">
        <v>4077</v>
      </c>
      <c r="F1368" t="str">
        <f t="shared" si="21"/>
        <v>60368</v>
      </c>
      <c r="AE1368">
        <v>1101113407734</v>
      </c>
      <c r="AG1368" t="s">
        <v>4</v>
      </c>
      <c r="AH1368" t="s">
        <v>114</v>
      </c>
      <c r="AI1368" t="s">
        <v>63</v>
      </c>
      <c r="AJ1368" t="s">
        <v>115</v>
      </c>
    </row>
    <row r="1369" spans="1:36">
      <c r="A1369" t="s">
        <v>4078</v>
      </c>
      <c r="B1369" t="s">
        <v>4079</v>
      </c>
      <c r="F1369" t="str">
        <f t="shared" si="21"/>
        <v>60369</v>
      </c>
      <c r="AE1369">
        <v>1101113683821</v>
      </c>
      <c r="AG1369" t="s">
        <v>4</v>
      </c>
    </row>
    <row r="1370" spans="1:36">
      <c r="A1370" t="s">
        <v>4080</v>
      </c>
      <c r="B1370" t="s">
        <v>4081</v>
      </c>
      <c r="F1370" t="str">
        <f t="shared" si="21"/>
        <v>60370</v>
      </c>
      <c r="AG1370" t="s">
        <v>4</v>
      </c>
    </row>
    <row r="1371" spans="1:36">
      <c r="A1371" t="s">
        <v>4082</v>
      </c>
      <c r="B1371" t="s">
        <v>4083</v>
      </c>
      <c r="F1371" t="str">
        <f t="shared" si="21"/>
        <v>60372</v>
      </c>
      <c r="AE1371">
        <v>1101111716898</v>
      </c>
      <c r="AG1371" t="s">
        <v>2</v>
      </c>
      <c r="AH1371" t="s">
        <v>1191</v>
      </c>
      <c r="AI1371" t="s">
        <v>186</v>
      </c>
      <c r="AJ1371" t="s">
        <v>1192</v>
      </c>
    </row>
    <row r="1372" spans="1:36">
      <c r="A1372" t="s">
        <v>4084</v>
      </c>
      <c r="B1372" t="s">
        <v>4085</v>
      </c>
      <c r="F1372" t="str">
        <f t="shared" si="21"/>
        <v>60380</v>
      </c>
      <c r="AE1372">
        <v>1101113686974</v>
      </c>
      <c r="AG1372" t="s">
        <v>4</v>
      </c>
      <c r="AH1372" t="s">
        <v>847</v>
      </c>
      <c r="AI1372" t="s">
        <v>55</v>
      </c>
      <c r="AJ1372" t="s">
        <v>848</v>
      </c>
    </row>
    <row r="1373" spans="1:36">
      <c r="A1373" t="s">
        <v>4086</v>
      </c>
      <c r="B1373" t="s">
        <v>4087</v>
      </c>
      <c r="F1373" t="str">
        <f t="shared" si="21"/>
        <v>60381</v>
      </c>
      <c r="AE1373">
        <v>1601110081614</v>
      </c>
      <c r="AG1373" t="s">
        <v>2</v>
      </c>
      <c r="AH1373" t="s">
        <v>75</v>
      </c>
      <c r="AI1373" t="s">
        <v>76</v>
      </c>
      <c r="AJ1373" t="s">
        <v>77</v>
      </c>
    </row>
    <row r="1374" spans="1:36">
      <c r="A1374" t="s">
        <v>4088</v>
      </c>
      <c r="B1374" t="s">
        <v>4089</v>
      </c>
      <c r="F1374" t="str">
        <f t="shared" si="21"/>
        <v>60382</v>
      </c>
      <c r="AE1374">
        <v>1101111303140</v>
      </c>
      <c r="AG1374" t="s">
        <v>2</v>
      </c>
      <c r="AH1374" t="s">
        <v>940</v>
      </c>
      <c r="AI1374" t="s">
        <v>517</v>
      </c>
      <c r="AJ1374" t="s">
        <v>941</v>
      </c>
    </row>
    <row r="1375" spans="1:36">
      <c r="A1375" t="s">
        <v>4090</v>
      </c>
      <c r="B1375" t="s">
        <v>4091</v>
      </c>
      <c r="F1375" t="str">
        <f t="shared" si="21"/>
        <v>60383</v>
      </c>
      <c r="AG1375" t="s">
        <v>4</v>
      </c>
    </row>
    <row r="1376" spans="1:36">
      <c r="A1376" t="s">
        <v>4092</v>
      </c>
      <c r="B1376" t="s">
        <v>4093</v>
      </c>
      <c r="F1376" t="str">
        <f t="shared" si="21"/>
        <v>60384</v>
      </c>
      <c r="AE1376">
        <v>1101113690636</v>
      </c>
      <c r="AG1376" t="s">
        <v>4</v>
      </c>
      <c r="AH1376" t="s">
        <v>847</v>
      </c>
      <c r="AI1376" t="s">
        <v>55</v>
      </c>
      <c r="AJ1376" t="s">
        <v>848</v>
      </c>
    </row>
    <row r="1377" spans="1:36">
      <c r="A1377" t="s">
        <v>4094</v>
      </c>
      <c r="B1377" t="s">
        <v>4095</v>
      </c>
      <c r="F1377" t="str">
        <f t="shared" si="21"/>
        <v>60415</v>
      </c>
      <c r="AE1377">
        <v>1701110186040</v>
      </c>
      <c r="AG1377" t="s">
        <v>4</v>
      </c>
      <c r="AH1377" t="s">
        <v>460</v>
      </c>
      <c r="AJ1377" t="s">
        <v>461</v>
      </c>
    </row>
    <row r="1378" spans="1:36">
      <c r="A1378" t="s">
        <v>4096</v>
      </c>
      <c r="B1378" t="s">
        <v>4097</v>
      </c>
      <c r="F1378" t="str">
        <f t="shared" si="21"/>
        <v>60458</v>
      </c>
      <c r="AE1378">
        <v>1358110085019</v>
      </c>
      <c r="AG1378" t="s">
        <v>2</v>
      </c>
      <c r="AH1378" t="s">
        <v>75</v>
      </c>
      <c r="AI1378" t="s">
        <v>76</v>
      </c>
      <c r="AJ1378" t="s">
        <v>77</v>
      </c>
    </row>
    <row r="1379" spans="1:36">
      <c r="A1379" t="s">
        <v>4098</v>
      </c>
      <c r="B1379" t="s">
        <v>4099</v>
      </c>
      <c r="F1379" t="str">
        <f t="shared" si="21"/>
        <v>60467</v>
      </c>
      <c r="AE1379">
        <v>1101113693325</v>
      </c>
      <c r="AG1379" t="s">
        <v>4</v>
      </c>
      <c r="AH1379" t="s">
        <v>837</v>
      </c>
      <c r="AI1379" t="s">
        <v>6</v>
      </c>
      <c r="AJ1379" t="s">
        <v>838</v>
      </c>
    </row>
    <row r="1380" spans="1:36">
      <c r="A1380" t="s">
        <v>4100</v>
      </c>
      <c r="B1380" t="s">
        <v>4101</v>
      </c>
      <c r="F1380" t="str">
        <f t="shared" si="21"/>
        <v>60468</v>
      </c>
      <c r="AE1380">
        <v>1101113692674</v>
      </c>
      <c r="AG1380" t="s">
        <v>4</v>
      </c>
      <c r="AH1380" t="s">
        <v>847</v>
      </c>
      <c r="AI1380" t="s">
        <v>55</v>
      </c>
      <c r="AJ1380" t="s">
        <v>848</v>
      </c>
    </row>
    <row r="1381" spans="1:36">
      <c r="A1381" t="s">
        <v>4102</v>
      </c>
      <c r="B1381" t="s">
        <v>4103</v>
      </c>
      <c r="F1381" t="str">
        <f t="shared" si="21"/>
        <v>60469</v>
      </c>
      <c r="AE1381">
        <v>1101113698424</v>
      </c>
      <c r="AG1381" t="s">
        <v>4</v>
      </c>
    </row>
    <row r="1382" spans="1:36">
      <c r="A1382" t="s">
        <v>4104</v>
      </c>
      <c r="B1382" t="s">
        <v>4105</v>
      </c>
      <c r="F1382" t="str">
        <f t="shared" si="21"/>
        <v>60470</v>
      </c>
      <c r="AE1382">
        <v>1341110032312</v>
      </c>
      <c r="AG1382" t="s">
        <v>4</v>
      </c>
      <c r="AH1382" t="s">
        <v>783</v>
      </c>
      <c r="AJ1382" t="s">
        <v>784</v>
      </c>
    </row>
    <row r="1383" spans="1:36">
      <c r="A1383" t="s">
        <v>4106</v>
      </c>
      <c r="B1383" t="s">
        <v>4107</v>
      </c>
      <c r="F1383" t="str">
        <f t="shared" si="21"/>
        <v>60471</v>
      </c>
      <c r="AE1383">
        <v>1101113700427</v>
      </c>
      <c r="AG1383" t="s">
        <v>4</v>
      </c>
    </row>
    <row r="1384" spans="1:36">
      <c r="A1384" t="s">
        <v>4108</v>
      </c>
      <c r="B1384" t="s">
        <v>4109</v>
      </c>
      <c r="F1384" t="str">
        <f t="shared" si="21"/>
        <v>60492</v>
      </c>
      <c r="AE1384">
        <v>1101111144297</v>
      </c>
      <c r="AF1384" t="s">
        <v>24</v>
      </c>
      <c r="AG1384" t="s">
        <v>2</v>
      </c>
      <c r="AH1384" t="s">
        <v>1017</v>
      </c>
      <c r="AI1384" t="s">
        <v>845</v>
      </c>
      <c r="AJ1384" t="s">
        <v>1018</v>
      </c>
    </row>
    <row r="1385" spans="1:36">
      <c r="A1385" t="s">
        <v>4110</v>
      </c>
      <c r="B1385" t="s">
        <v>4111</v>
      </c>
      <c r="F1385" t="str">
        <f t="shared" si="21"/>
        <v>60493</v>
      </c>
      <c r="AE1385">
        <v>1101113698557</v>
      </c>
      <c r="AG1385" t="s">
        <v>4</v>
      </c>
    </row>
    <row r="1386" spans="1:36">
      <c r="A1386" t="s">
        <v>4112</v>
      </c>
      <c r="B1386" t="s">
        <v>4113</v>
      </c>
      <c r="F1386" t="str">
        <f t="shared" si="21"/>
        <v>60494</v>
      </c>
      <c r="AE1386">
        <v>1101113674292</v>
      </c>
      <c r="AG1386" t="s">
        <v>4</v>
      </c>
      <c r="AH1386" t="s">
        <v>837</v>
      </c>
      <c r="AI1386" t="s">
        <v>6</v>
      </c>
      <c r="AJ1386" t="s">
        <v>838</v>
      </c>
    </row>
    <row r="1387" spans="1:36">
      <c r="A1387" t="s">
        <v>4114</v>
      </c>
      <c r="B1387" t="s">
        <v>4115</v>
      </c>
      <c r="F1387" t="str">
        <f t="shared" si="21"/>
        <v>60495</v>
      </c>
      <c r="AE1387">
        <v>1211110061647</v>
      </c>
      <c r="AG1387" t="s">
        <v>4</v>
      </c>
      <c r="AH1387" t="s">
        <v>338</v>
      </c>
      <c r="AJ1387" t="s">
        <v>339</v>
      </c>
    </row>
    <row r="1388" spans="1:36">
      <c r="A1388" t="s">
        <v>4116</v>
      </c>
      <c r="B1388" t="s">
        <v>4117</v>
      </c>
      <c r="F1388" t="str">
        <f t="shared" si="21"/>
        <v>60496</v>
      </c>
      <c r="AE1388">
        <v>1601110109028</v>
      </c>
      <c r="AG1388" t="s">
        <v>4</v>
      </c>
      <c r="AH1388" t="s">
        <v>1193</v>
      </c>
      <c r="AJ1388" t="s">
        <v>1194</v>
      </c>
    </row>
    <row r="1389" spans="1:36">
      <c r="A1389" t="s">
        <v>4118</v>
      </c>
      <c r="B1389" t="s">
        <v>4119</v>
      </c>
      <c r="F1389" t="str">
        <f t="shared" si="21"/>
        <v>60534</v>
      </c>
      <c r="AE1389">
        <v>1101113701045</v>
      </c>
      <c r="AG1389" t="s">
        <v>4</v>
      </c>
    </row>
    <row r="1390" spans="1:36">
      <c r="A1390" t="s">
        <v>4120</v>
      </c>
      <c r="B1390" t="s">
        <v>4121</v>
      </c>
      <c r="F1390" t="str">
        <f t="shared" si="21"/>
        <v>60539</v>
      </c>
      <c r="AG1390" t="s">
        <v>4</v>
      </c>
    </row>
    <row r="1391" spans="1:36">
      <c r="A1391" t="s">
        <v>4122</v>
      </c>
      <c r="B1391" t="s">
        <v>4123</v>
      </c>
      <c r="F1391" t="str">
        <f t="shared" si="21"/>
        <v>60540</v>
      </c>
      <c r="AE1391">
        <v>1101111347651</v>
      </c>
      <c r="AG1391" t="s">
        <v>4</v>
      </c>
      <c r="AH1391" t="s">
        <v>847</v>
      </c>
      <c r="AI1391" t="s">
        <v>55</v>
      </c>
      <c r="AJ1391" t="s">
        <v>848</v>
      </c>
    </row>
    <row r="1392" spans="1:36">
      <c r="A1392" t="s">
        <v>4124</v>
      </c>
      <c r="B1392" t="s">
        <v>4125</v>
      </c>
      <c r="F1392" t="str">
        <f t="shared" si="21"/>
        <v>60541</v>
      </c>
      <c r="AE1392">
        <v>1341110036992</v>
      </c>
      <c r="AG1392" t="s">
        <v>2</v>
      </c>
      <c r="AH1392" t="s">
        <v>745</v>
      </c>
      <c r="AI1392" t="s">
        <v>585</v>
      </c>
      <c r="AJ1392" t="s">
        <v>746</v>
      </c>
    </row>
    <row r="1393" spans="1:36">
      <c r="A1393" t="s">
        <v>4126</v>
      </c>
      <c r="B1393" t="s">
        <v>4127</v>
      </c>
      <c r="F1393" t="str">
        <f t="shared" si="21"/>
        <v>60542</v>
      </c>
      <c r="AG1393" t="s">
        <v>4</v>
      </c>
    </row>
    <row r="1394" spans="1:36">
      <c r="A1394" t="s">
        <v>4128</v>
      </c>
      <c r="B1394" t="s">
        <v>4129</v>
      </c>
      <c r="F1394" t="str">
        <f t="shared" si="21"/>
        <v>60543</v>
      </c>
      <c r="AE1394">
        <v>1101113704924</v>
      </c>
      <c r="AG1394" t="s">
        <v>4</v>
      </c>
    </row>
    <row r="1395" spans="1:36">
      <c r="A1395" t="s">
        <v>4130</v>
      </c>
      <c r="B1395" t="s">
        <v>4131</v>
      </c>
      <c r="F1395" t="str">
        <f t="shared" si="21"/>
        <v>60591</v>
      </c>
      <c r="AE1395">
        <v>1101113712050</v>
      </c>
      <c r="AG1395" t="s">
        <v>4</v>
      </c>
      <c r="AH1395" t="s">
        <v>847</v>
      </c>
      <c r="AI1395" t="s">
        <v>55</v>
      </c>
      <c r="AJ1395" t="s">
        <v>848</v>
      </c>
    </row>
    <row r="1396" spans="1:36">
      <c r="A1396" t="s">
        <v>4132</v>
      </c>
      <c r="B1396" t="s">
        <v>4133</v>
      </c>
      <c r="F1396" t="str">
        <f t="shared" si="21"/>
        <v>60592</v>
      </c>
      <c r="AG1396" t="s">
        <v>4</v>
      </c>
    </row>
    <row r="1397" spans="1:36">
      <c r="A1397" t="s">
        <v>4134</v>
      </c>
      <c r="B1397" t="s">
        <v>4135</v>
      </c>
      <c r="F1397" t="str">
        <f t="shared" si="21"/>
        <v>60615</v>
      </c>
      <c r="AE1397">
        <v>1101113709742</v>
      </c>
      <c r="AG1397" t="s">
        <v>4</v>
      </c>
      <c r="AH1397" t="s">
        <v>847</v>
      </c>
      <c r="AI1397" t="s">
        <v>55</v>
      </c>
      <c r="AJ1397" t="s">
        <v>848</v>
      </c>
    </row>
    <row r="1398" spans="1:36">
      <c r="A1398" t="s">
        <v>4136</v>
      </c>
      <c r="B1398" t="s">
        <v>4137</v>
      </c>
      <c r="F1398" t="str">
        <f t="shared" si="21"/>
        <v>60616</v>
      </c>
      <c r="AE1398">
        <v>1101113714452</v>
      </c>
      <c r="AG1398" t="s">
        <v>4</v>
      </c>
    </row>
    <row r="1399" spans="1:36">
      <c r="A1399" t="s">
        <v>4138</v>
      </c>
      <c r="B1399" t="s">
        <v>4139</v>
      </c>
      <c r="F1399" t="str">
        <f t="shared" si="21"/>
        <v>60617</v>
      </c>
      <c r="AE1399">
        <v>1211110093377</v>
      </c>
      <c r="AG1399" t="s">
        <v>4</v>
      </c>
      <c r="AH1399" t="s">
        <v>41</v>
      </c>
      <c r="AJ1399" t="s">
        <v>42</v>
      </c>
    </row>
    <row r="1400" spans="1:36">
      <c r="A1400" t="s">
        <v>4140</v>
      </c>
      <c r="B1400" t="s">
        <v>4141</v>
      </c>
      <c r="F1400" t="str">
        <f t="shared" si="21"/>
        <v>60618</v>
      </c>
      <c r="AE1400">
        <v>1101113710385</v>
      </c>
      <c r="AF1400" t="s">
        <v>74</v>
      </c>
      <c r="AG1400" t="s">
        <v>2</v>
      </c>
      <c r="AH1400" t="s">
        <v>15</v>
      </c>
      <c r="AI1400" t="s">
        <v>16</v>
      </c>
      <c r="AJ1400" t="s">
        <v>17</v>
      </c>
    </row>
    <row r="1401" spans="1:36">
      <c r="A1401" t="s">
        <v>4142</v>
      </c>
      <c r="B1401" t="s">
        <v>4143</v>
      </c>
      <c r="F1401" t="str">
        <f t="shared" si="21"/>
        <v>60619</v>
      </c>
      <c r="AE1401">
        <v>2013110025189</v>
      </c>
      <c r="AG1401" t="s">
        <v>4</v>
      </c>
      <c r="AH1401" t="s">
        <v>1196</v>
      </c>
      <c r="AI1401" t="s">
        <v>124</v>
      </c>
      <c r="AJ1401" t="s">
        <v>1197</v>
      </c>
    </row>
    <row r="1402" spans="1:36">
      <c r="A1402" t="s">
        <v>4144</v>
      </c>
      <c r="B1402" t="s">
        <v>4145</v>
      </c>
      <c r="F1402" t="str">
        <f t="shared" si="21"/>
        <v>60623</v>
      </c>
      <c r="AE1402">
        <v>1101113711151</v>
      </c>
      <c r="AG1402" t="s">
        <v>4</v>
      </c>
      <c r="AH1402" t="s">
        <v>847</v>
      </c>
      <c r="AI1402" t="s">
        <v>55</v>
      </c>
      <c r="AJ1402" t="s">
        <v>848</v>
      </c>
    </row>
    <row r="1403" spans="1:36">
      <c r="A1403" t="s">
        <v>4146</v>
      </c>
      <c r="B1403" t="s">
        <v>4147</v>
      </c>
      <c r="F1403" t="str">
        <f t="shared" si="21"/>
        <v>60665</v>
      </c>
      <c r="AE1403">
        <v>1101112153015</v>
      </c>
      <c r="AF1403" t="s">
        <v>40</v>
      </c>
      <c r="AG1403" t="s">
        <v>4</v>
      </c>
      <c r="AH1403" t="s">
        <v>176</v>
      </c>
      <c r="AI1403" t="s">
        <v>177</v>
      </c>
      <c r="AJ1403" t="s">
        <v>178</v>
      </c>
    </row>
    <row r="1404" spans="1:36">
      <c r="A1404" t="s">
        <v>4148</v>
      </c>
      <c r="B1404" t="s">
        <v>4149</v>
      </c>
      <c r="F1404" t="str">
        <f t="shared" si="21"/>
        <v>60666</v>
      </c>
      <c r="AE1404">
        <v>1101113704891</v>
      </c>
      <c r="AG1404" t="s">
        <v>4</v>
      </c>
    </row>
    <row r="1405" spans="1:36">
      <c r="A1405" t="s">
        <v>4150</v>
      </c>
      <c r="B1405" t="s">
        <v>4151</v>
      </c>
      <c r="F1405" t="str">
        <f t="shared" si="21"/>
        <v>60667</v>
      </c>
      <c r="AE1405">
        <v>1101113717092</v>
      </c>
      <c r="AG1405" t="s">
        <v>4</v>
      </c>
      <c r="AH1405" t="s">
        <v>847</v>
      </c>
      <c r="AI1405" t="s">
        <v>55</v>
      </c>
      <c r="AJ1405" t="s">
        <v>848</v>
      </c>
    </row>
    <row r="1406" spans="1:36">
      <c r="A1406" t="s">
        <v>4152</v>
      </c>
      <c r="B1406" t="s">
        <v>4153</v>
      </c>
      <c r="F1406" t="str">
        <f t="shared" si="21"/>
        <v>60668</v>
      </c>
      <c r="AE1406">
        <v>1101113721473</v>
      </c>
      <c r="AG1406" t="s">
        <v>4</v>
      </c>
    </row>
    <row r="1407" spans="1:36">
      <c r="A1407" t="s">
        <v>4154</v>
      </c>
      <c r="B1407" t="s">
        <v>4155</v>
      </c>
      <c r="F1407" t="str">
        <f t="shared" si="21"/>
        <v>60669</v>
      </c>
      <c r="AE1407">
        <v>1101113720649</v>
      </c>
      <c r="AG1407" t="s">
        <v>4</v>
      </c>
    </row>
    <row r="1408" spans="1:36">
      <c r="A1408" t="s">
        <v>4156</v>
      </c>
      <c r="B1408" t="s">
        <v>4157</v>
      </c>
      <c r="F1408" t="str">
        <f t="shared" si="21"/>
        <v>60698</v>
      </c>
      <c r="AG1408" t="s">
        <v>4</v>
      </c>
    </row>
    <row r="1409" spans="1:36">
      <c r="A1409" t="s">
        <v>4158</v>
      </c>
      <c r="B1409" t="s">
        <v>4159</v>
      </c>
      <c r="F1409" t="str">
        <f t="shared" si="21"/>
        <v>60699</v>
      </c>
      <c r="AE1409">
        <v>1101113724310</v>
      </c>
      <c r="AG1409" t="s">
        <v>4</v>
      </c>
      <c r="AH1409" t="s">
        <v>847</v>
      </c>
      <c r="AI1409" t="s">
        <v>55</v>
      </c>
      <c r="AJ1409" t="s">
        <v>848</v>
      </c>
    </row>
    <row r="1410" spans="1:36">
      <c r="A1410" t="s">
        <v>4160</v>
      </c>
      <c r="B1410" t="s">
        <v>4161</v>
      </c>
      <c r="F1410" t="str">
        <f t="shared" si="21"/>
        <v>60700</v>
      </c>
      <c r="AE1410">
        <v>1101113724146</v>
      </c>
      <c r="AG1410" t="s">
        <v>4</v>
      </c>
    </row>
    <row r="1411" spans="1:36">
      <c r="A1411" t="s">
        <v>4162</v>
      </c>
      <c r="B1411" t="s">
        <v>4163</v>
      </c>
      <c r="F1411" t="str">
        <f t="shared" si="21"/>
        <v>60701</v>
      </c>
      <c r="AE1411">
        <v>1341110027363</v>
      </c>
      <c r="AG1411" t="s">
        <v>4</v>
      </c>
      <c r="AH1411" t="s">
        <v>926</v>
      </c>
      <c r="AJ1411" t="s">
        <v>927</v>
      </c>
    </row>
    <row r="1412" spans="1:36">
      <c r="A1412" t="s">
        <v>4164</v>
      </c>
      <c r="B1412" t="s">
        <v>4165</v>
      </c>
      <c r="F1412" t="str">
        <f t="shared" si="21"/>
        <v>60702</v>
      </c>
      <c r="AG1412" t="s">
        <v>4</v>
      </c>
    </row>
    <row r="1413" spans="1:36">
      <c r="A1413" t="s">
        <v>4166</v>
      </c>
      <c r="B1413" t="s">
        <v>4167</v>
      </c>
      <c r="F1413" t="str">
        <f t="shared" si="21"/>
        <v>60703</v>
      </c>
      <c r="AE1413">
        <v>1101113723247</v>
      </c>
      <c r="AG1413" t="s">
        <v>4</v>
      </c>
      <c r="AH1413" t="s">
        <v>847</v>
      </c>
      <c r="AI1413" t="s">
        <v>55</v>
      </c>
      <c r="AJ1413" t="s">
        <v>848</v>
      </c>
    </row>
    <row r="1414" spans="1:36">
      <c r="A1414" t="s">
        <v>4168</v>
      </c>
      <c r="B1414" t="s">
        <v>4169</v>
      </c>
      <c r="F1414" t="str">
        <f t="shared" si="21"/>
        <v>60704</v>
      </c>
      <c r="AE1414">
        <v>1101113728049</v>
      </c>
      <c r="AG1414" t="s">
        <v>4</v>
      </c>
    </row>
    <row r="1415" spans="1:36">
      <c r="A1415" t="s">
        <v>4170</v>
      </c>
      <c r="B1415" t="s">
        <v>4171</v>
      </c>
      <c r="F1415" t="str">
        <f t="shared" si="21"/>
        <v>60746</v>
      </c>
      <c r="AE1415">
        <v>1101113731555</v>
      </c>
      <c r="AG1415" t="s">
        <v>4</v>
      </c>
    </row>
    <row r="1416" spans="1:36">
      <c r="A1416" t="s">
        <v>4172</v>
      </c>
      <c r="B1416" t="s">
        <v>4173</v>
      </c>
      <c r="F1416" t="str">
        <f t="shared" si="21"/>
        <v>60782</v>
      </c>
      <c r="AE1416">
        <v>1101113720110</v>
      </c>
      <c r="AG1416" t="s">
        <v>4</v>
      </c>
    </row>
    <row r="1417" spans="1:36">
      <c r="A1417" t="s">
        <v>4174</v>
      </c>
      <c r="B1417" t="s">
        <v>4175</v>
      </c>
      <c r="F1417" t="str">
        <f t="shared" si="21"/>
        <v>60823</v>
      </c>
      <c r="AE1417">
        <v>1941110009004</v>
      </c>
      <c r="AG1417" t="s">
        <v>4</v>
      </c>
      <c r="AH1417" t="s">
        <v>1198</v>
      </c>
      <c r="AI1417" t="s">
        <v>12</v>
      </c>
      <c r="AJ1417" t="s">
        <v>544</v>
      </c>
    </row>
    <row r="1418" spans="1:36">
      <c r="A1418" t="s">
        <v>4176</v>
      </c>
      <c r="B1418" t="s">
        <v>4177</v>
      </c>
      <c r="F1418" t="str">
        <f t="shared" ref="F1418:F1481" si="22">CHOOSE($C$1, A1418, B1418)</f>
        <v>60831</v>
      </c>
      <c r="AE1418">
        <v>1101113733981</v>
      </c>
      <c r="AG1418" t="s">
        <v>4</v>
      </c>
      <c r="AH1418" t="s">
        <v>847</v>
      </c>
      <c r="AI1418" t="s">
        <v>55</v>
      </c>
      <c r="AJ1418" t="s">
        <v>848</v>
      </c>
    </row>
    <row r="1419" spans="1:36">
      <c r="A1419" t="s">
        <v>4178</v>
      </c>
      <c r="B1419" t="s">
        <v>4179</v>
      </c>
      <c r="F1419" t="str">
        <f t="shared" si="22"/>
        <v>60832</v>
      </c>
      <c r="AE1419">
        <v>1101110527650</v>
      </c>
      <c r="AG1419" t="s">
        <v>4</v>
      </c>
      <c r="AH1419" t="s">
        <v>970</v>
      </c>
      <c r="AJ1419" t="s">
        <v>971</v>
      </c>
    </row>
    <row r="1420" spans="1:36">
      <c r="A1420" t="s">
        <v>4180</v>
      </c>
      <c r="B1420" t="s">
        <v>4181</v>
      </c>
      <c r="F1420" t="str">
        <f t="shared" si="22"/>
        <v>60833</v>
      </c>
      <c r="AE1420">
        <v>1101113735193</v>
      </c>
      <c r="AG1420" t="s">
        <v>4</v>
      </c>
    </row>
    <row r="1421" spans="1:36">
      <c r="A1421" t="s">
        <v>4182</v>
      </c>
      <c r="B1421" t="s">
        <v>4183</v>
      </c>
      <c r="F1421" t="str">
        <f t="shared" si="22"/>
        <v>60834</v>
      </c>
      <c r="AE1421">
        <v>1101113737933</v>
      </c>
      <c r="AG1421" t="s">
        <v>4</v>
      </c>
    </row>
    <row r="1422" spans="1:36">
      <c r="A1422" t="s">
        <v>4184</v>
      </c>
      <c r="B1422" t="s">
        <v>4185</v>
      </c>
      <c r="F1422" t="str">
        <f t="shared" si="22"/>
        <v>60835</v>
      </c>
      <c r="AG1422" t="s">
        <v>4</v>
      </c>
    </row>
    <row r="1423" spans="1:36">
      <c r="A1423" t="s">
        <v>4186</v>
      </c>
      <c r="B1423" t="s">
        <v>4187</v>
      </c>
      <c r="F1423" t="str">
        <f t="shared" si="22"/>
        <v>60866</v>
      </c>
      <c r="AE1423">
        <v>1101113739385</v>
      </c>
      <c r="AG1423" t="s">
        <v>4</v>
      </c>
      <c r="AH1423" t="s">
        <v>847</v>
      </c>
      <c r="AI1423" t="s">
        <v>55</v>
      </c>
      <c r="AJ1423" t="s">
        <v>848</v>
      </c>
    </row>
    <row r="1424" spans="1:36">
      <c r="A1424" t="s">
        <v>4188</v>
      </c>
      <c r="B1424" t="s">
        <v>4189</v>
      </c>
      <c r="F1424" t="str">
        <f t="shared" si="22"/>
        <v>60868</v>
      </c>
      <c r="AE1424">
        <v>1101113740390</v>
      </c>
      <c r="AG1424" t="s">
        <v>4</v>
      </c>
      <c r="AH1424" t="s">
        <v>847</v>
      </c>
      <c r="AI1424" t="s">
        <v>55</v>
      </c>
      <c r="AJ1424" t="s">
        <v>848</v>
      </c>
    </row>
    <row r="1425" spans="1:36">
      <c r="A1425" t="s">
        <v>4190</v>
      </c>
      <c r="B1425" t="s">
        <v>4191</v>
      </c>
      <c r="F1425" t="str">
        <f t="shared" si="22"/>
        <v>60869</v>
      </c>
      <c r="AE1425">
        <v>1101113740879</v>
      </c>
      <c r="AG1425" t="s">
        <v>4</v>
      </c>
    </row>
    <row r="1426" spans="1:36">
      <c r="A1426" t="s">
        <v>4192</v>
      </c>
      <c r="B1426" t="s">
        <v>4193</v>
      </c>
      <c r="F1426" t="str">
        <f t="shared" si="22"/>
        <v>60870</v>
      </c>
      <c r="AE1426">
        <v>1101113741207</v>
      </c>
      <c r="AG1426" t="s">
        <v>4</v>
      </c>
    </row>
    <row r="1427" spans="1:36">
      <c r="A1427" t="s">
        <v>4194</v>
      </c>
      <c r="B1427" t="s">
        <v>4195</v>
      </c>
      <c r="F1427" t="str">
        <f t="shared" si="22"/>
        <v>60872</v>
      </c>
      <c r="AE1427">
        <v>1101113741281</v>
      </c>
      <c r="AG1427" t="s">
        <v>4</v>
      </c>
      <c r="AH1427" t="s">
        <v>837</v>
      </c>
      <c r="AI1427" t="s">
        <v>6</v>
      </c>
      <c r="AJ1427" t="s">
        <v>838</v>
      </c>
    </row>
    <row r="1428" spans="1:36">
      <c r="A1428" t="s">
        <v>4196</v>
      </c>
      <c r="B1428" t="s">
        <v>4197</v>
      </c>
      <c r="F1428" t="str">
        <f t="shared" si="22"/>
        <v>60873</v>
      </c>
      <c r="AF1428" t="s">
        <v>72</v>
      </c>
      <c r="AG1428" t="s">
        <v>4</v>
      </c>
    </row>
    <row r="1429" spans="1:36">
      <c r="A1429" t="s">
        <v>4198</v>
      </c>
      <c r="B1429" t="s">
        <v>4199</v>
      </c>
      <c r="F1429" t="str">
        <f t="shared" si="22"/>
        <v>60874</v>
      </c>
      <c r="AE1429">
        <v>1801110602507</v>
      </c>
      <c r="AG1429" t="s">
        <v>2</v>
      </c>
      <c r="AH1429" t="s">
        <v>444</v>
      </c>
      <c r="AI1429" t="s">
        <v>12</v>
      </c>
      <c r="AJ1429" t="s">
        <v>445</v>
      </c>
    </row>
    <row r="1430" spans="1:36">
      <c r="A1430" t="s">
        <v>4200</v>
      </c>
      <c r="B1430" t="s">
        <v>4201</v>
      </c>
      <c r="F1430" t="str">
        <f t="shared" si="22"/>
        <v>60876</v>
      </c>
      <c r="AE1430">
        <v>1101113748253</v>
      </c>
      <c r="AF1430" t="s">
        <v>24</v>
      </c>
      <c r="AG1430" t="s">
        <v>2</v>
      </c>
      <c r="AH1430" t="s">
        <v>1200</v>
      </c>
      <c r="AI1430" t="s">
        <v>150</v>
      </c>
      <c r="AJ1430" t="s">
        <v>1201</v>
      </c>
    </row>
    <row r="1431" spans="1:36">
      <c r="A1431" t="s">
        <v>4202</v>
      </c>
      <c r="B1431" t="s">
        <v>4203</v>
      </c>
      <c r="F1431" t="str">
        <f t="shared" si="22"/>
        <v>60946</v>
      </c>
      <c r="AG1431" t="s">
        <v>4</v>
      </c>
    </row>
    <row r="1432" spans="1:36">
      <c r="A1432" t="s">
        <v>4204</v>
      </c>
      <c r="B1432" t="s">
        <v>4205</v>
      </c>
      <c r="F1432" t="str">
        <f t="shared" si="22"/>
        <v>60947</v>
      </c>
      <c r="AE1432">
        <v>1101113747198</v>
      </c>
      <c r="AG1432" t="s">
        <v>4</v>
      </c>
      <c r="AH1432" t="s">
        <v>364</v>
      </c>
      <c r="AI1432" t="s">
        <v>83</v>
      </c>
      <c r="AJ1432" t="s">
        <v>365</v>
      </c>
    </row>
    <row r="1433" spans="1:36">
      <c r="A1433" t="s">
        <v>4206</v>
      </c>
      <c r="B1433" t="s">
        <v>4207</v>
      </c>
      <c r="F1433" t="str">
        <f t="shared" si="22"/>
        <v>60948</v>
      </c>
      <c r="AE1433">
        <v>1101113746835</v>
      </c>
      <c r="AG1433" t="s">
        <v>4</v>
      </c>
    </row>
    <row r="1434" spans="1:36">
      <c r="A1434" t="s">
        <v>4208</v>
      </c>
      <c r="B1434" t="s">
        <v>4209</v>
      </c>
      <c r="F1434" t="str">
        <f t="shared" si="22"/>
        <v>60949</v>
      </c>
      <c r="AG1434" t="s">
        <v>4</v>
      </c>
    </row>
    <row r="1435" spans="1:36">
      <c r="A1435" t="s">
        <v>4210</v>
      </c>
      <c r="B1435" t="s">
        <v>4211</v>
      </c>
      <c r="F1435" t="str">
        <f t="shared" si="22"/>
        <v>60950</v>
      </c>
      <c r="AE1435">
        <v>1101113748609</v>
      </c>
      <c r="AG1435" t="s">
        <v>4</v>
      </c>
    </row>
    <row r="1436" spans="1:36">
      <c r="A1436" t="s">
        <v>4212</v>
      </c>
      <c r="B1436" t="s">
        <v>4213</v>
      </c>
      <c r="F1436" t="str">
        <f t="shared" si="22"/>
        <v>60985</v>
      </c>
      <c r="AE1436">
        <v>1101113741124</v>
      </c>
      <c r="AG1436" t="s">
        <v>4</v>
      </c>
      <c r="AH1436" t="s">
        <v>837</v>
      </c>
      <c r="AI1436" t="s">
        <v>6</v>
      </c>
      <c r="AJ1436" t="s">
        <v>838</v>
      </c>
    </row>
    <row r="1437" spans="1:36">
      <c r="A1437" t="s">
        <v>4214</v>
      </c>
      <c r="B1437" t="s">
        <v>4215</v>
      </c>
      <c r="F1437" t="str">
        <f t="shared" si="22"/>
        <v>61037</v>
      </c>
      <c r="AE1437">
        <v>1701710001416</v>
      </c>
      <c r="AG1437" t="s">
        <v>4</v>
      </c>
      <c r="AH1437" t="s">
        <v>1203</v>
      </c>
      <c r="AI1437" t="s">
        <v>177</v>
      </c>
      <c r="AJ1437" t="s">
        <v>1204</v>
      </c>
    </row>
    <row r="1438" spans="1:36">
      <c r="A1438" t="s">
        <v>4216</v>
      </c>
      <c r="B1438" t="s">
        <v>4217</v>
      </c>
      <c r="F1438" t="str">
        <f t="shared" si="22"/>
        <v>61038</v>
      </c>
      <c r="AG1438" t="s">
        <v>4</v>
      </c>
    </row>
    <row r="1439" spans="1:36">
      <c r="A1439" t="s">
        <v>4218</v>
      </c>
      <c r="B1439" t="s">
        <v>4219</v>
      </c>
      <c r="F1439" t="str">
        <f t="shared" si="22"/>
        <v>61079</v>
      </c>
      <c r="AE1439">
        <v>1101111720633</v>
      </c>
      <c r="AG1439" t="s">
        <v>4</v>
      </c>
      <c r="AH1439" t="s">
        <v>277</v>
      </c>
      <c r="AI1439" t="s">
        <v>278</v>
      </c>
      <c r="AJ1439" t="s">
        <v>279</v>
      </c>
    </row>
    <row r="1440" spans="1:36">
      <c r="A1440" t="s">
        <v>4220</v>
      </c>
      <c r="B1440" t="s">
        <v>4221</v>
      </c>
      <c r="F1440" t="str">
        <f t="shared" si="22"/>
        <v>61080</v>
      </c>
      <c r="AE1440">
        <v>1101113754490</v>
      </c>
      <c r="AG1440" t="s">
        <v>4</v>
      </c>
      <c r="AH1440" t="s">
        <v>837</v>
      </c>
      <c r="AI1440" t="s">
        <v>6</v>
      </c>
      <c r="AJ1440" t="s">
        <v>838</v>
      </c>
    </row>
    <row r="1441" spans="1:36">
      <c r="A1441" t="s">
        <v>4222</v>
      </c>
      <c r="B1441" t="s">
        <v>4223</v>
      </c>
      <c r="F1441" t="str">
        <f t="shared" si="22"/>
        <v>61081</v>
      </c>
      <c r="AE1441">
        <v>1101111577919</v>
      </c>
      <c r="AG1441" t="s">
        <v>4</v>
      </c>
      <c r="AH1441" t="s">
        <v>462</v>
      </c>
      <c r="AI1441" t="s">
        <v>177</v>
      </c>
      <c r="AJ1441" t="s">
        <v>463</v>
      </c>
    </row>
    <row r="1442" spans="1:36">
      <c r="A1442" t="s">
        <v>4224</v>
      </c>
      <c r="B1442" t="s">
        <v>4225</v>
      </c>
      <c r="F1442" t="str">
        <f t="shared" si="22"/>
        <v>61082</v>
      </c>
      <c r="AE1442">
        <v>1615110044225</v>
      </c>
      <c r="AG1442" t="s">
        <v>2</v>
      </c>
      <c r="AH1442" t="s">
        <v>638</v>
      </c>
      <c r="AI1442" t="s">
        <v>150</v>
      </c>
      <c r="AJ1442" t="s">
        <v>639</v>
      </c>
    </row>
    <row r="1443" spans="1:36">
      <c r="A1443" t="s">
        <v>4226</v>
      </c>
      <c r="B1443" t="s">
        <v>4227</v>
      </c>
      <c r="F1443" t="str">
        <f t="shared" si="22"/>
        <v>61083</v>
      </c>
      <c r="AE1443">
        <v>1101113753939</v>
      </c>
      <c r="AG1443" t="s">
        <v>4</v>
      </c>
    </row>
    <row r="1444" spans="1:36">
      <c r="A1444" t="s">
        <v>4228</v>
      </c>
      <c r="B1444" t="s">
        <v>4229</v>
      </c>
      <c r="F1444" t="str">
        <f t="shared" si="22"/>
        <v>61137</v>
      </c>
      <c r="AG1444" t="s">
        <v>4</v>
      </c>
    </row>
    <row r="1445" spans="1:36">
      <c r="A1445" t="s">
        <v>4230</v>
      </c>
      <c r="B1445" t="s">
        <v>4231</v>
      </c>
      <c r="F1445" t="str">
        <f t="shared" si="22"/>
        <v>61144</v>
      </c>
      <c r="AG1445" t="s">
        <v>4</v>
      </c>
    </row>
    <row r="1446" spans="1:36">
      <c r="A1446" t="s">
        <v>4232</v>
      </c>
      <c r="B1446" t="s">
        <v>4233</v>
      </c>
      <c r="F1446" t="str">
        <f t="shared" si="22"/>
        <v>61145</v>
      </c>
      <c r="AE1446">
        <v>1942110065195</v>
      </c>
      <c r="AG1446" t="s">
        <v>4</v>
      </c>
      <c r="AH1446" t="s">
        <v>567</v>
      </c>
      <c r="AI1446" t="s">
        <v>568</v>
      </c>
      <c r="AJ1446" t="s">
        <v>569</v>
      </c>
    </row>
    <row r="1447" spans="1:36">
      <c r="A1447" t="s">
        <v>4234</v>
      </c>
      <c r="B1447" t="s">
        <v>4235</v>
      </c>
      <c r="F1447" t="str">
        <f t="shared" si="22"/>
        <v>61146</v>
      </c>
      <c r="AE1447">
        <v>1101113757030</v>
      </c>
      <c r="AG1447" t="s">
        <v>4</v>
      </c>
    </row>
    <row r="1448" spans="1:36">
      <c r="A1448" t="s">
        <v>4236</v>
      </c>
      <c r="B1448" t="s">
        <v>4237</v>
      </c>
      <c r="F1448" t="str">
        <f t="shared" si="22"/>
        <v>61147</v>
      </c>
      <c r="AE1448">
        <v>1101113757189</v>
      </c>
      <c r="AG1448" t="s">
        <v>4</v>
      </c>
      <c r="AH1448" t="s">
        <v>837</v>
      </c>
      <c r="AI1448" t="s">
        <v>6</v>
      </c>
      <c r="AJ1448" t="s">
        <v>838</v>
      </c>
    </row>
    <row r="1449" spans="1:36">
      <c r="A1449" t="s">
        <v>4238</v>
      </c>
      <c r="B1449" t="s">
        <v>4239</v>
      </c>
      <c r="F1449" t="str">
        <f t="shared" si="22"/>
        <v>61148</v>
      </c>
      <c r="AE1449">
        <v>1101113758872</v>
      </c>
      <c r="AG1449" t="s">
        <v>4</v>
      </c>
    </row>
    <row r="1450" spans="1:36">
      <c r="A1450" t="s">
        <v>4240</v>
      </c>
      <c r="B1450" t="s">
        <v>4241</v>
      </c>
      <c r="F1450" t="str">
        <f t="shared" si="22"/>
        <v>61150</v>
      </c>
      <c r="AE1450">
        <v>2041710001423</v>
      </c>
      <c r="AG1450" t="s">
        <v>4</v>
      </c>
    </row>
    <row r="1451" spans="1:36">
      <c r="A1451" t="s">
        <v>4242</v>
      </c>
      <c r="B1451" t="s">
        <v>4243</v>
      </c>
      <c r="F1451" t="str">
        <f t="shared" si="22"/>
        <v>61164</v>
      </c>
      <c r="AE1451">
        <v>1101140068327</v>
      </c>
      <c r="AG1451" t="s">
        <v>4</v>
      </c>
    </row>
    <row r="1452" spans="1:36">
      <c r="A1452" t="s">
        <v>4244</v>
      </c>
      <c r="B1452" t="s">
        <v>4245</v>
      </c>
      <c r="F1452" t="str">
        <f t="shared" si="22"/>
        <v>61165</v>
      </c>
      <c r="AE1452">
        <v>1101112276809</v>
      </c>
      <c r="AF1452" t="s">
        <v>133</v>
      </c>
      <c r="AG1452" t="s">
        <v>2</v>
      </c>
      <c r="AH1452" t="s">
        <v>15</v>
      </c>
      <c r="AI1452" t="s">
        <v>16</v>
      </c>
      <c r="AJ1452" t="s">
        <v>17</v>
      </c>
    </row>
    <row r="1453" spans="1:36">
      <c r="A1453" t="s">
        <v>4246</v>
      </c>
      <c r="B1453" t="s">
        <v>4247</v>
      </c>
      <c r="F1453" t="str">
        <f t="shared" si="22"/>
        <v>61166</v>
      </c>
      <c r="AE1453">
        <v>1313110026091</v>
      </c>
      <c r="AG1453" t="s">
        <v>2</v>
      </c>
      <c r="AH1453" t="s">
        <v>714</v>
      </c>
      <c r="AI1453" t="s">
        <v>76</v>
      </c>
      <c r="AJ1453" t="s">
        <v>715</v>
      </c>
    </row>
    <row r="1454" spans="1:36">
      <c r="A1454" t="s">
        <v>4248</v>
      </c>
      <c r="B1454" t="s">
        <v>4249</v>
      </c>
      <c r="F1454" t="str">
        <f t="shared" si="22"/>
        <v>61174</v>
      </c>
      <c r="AG1454" t="s">
        <v>4</v>
      </c>
    </row>
    <row r="1455" spans="1:36">
      <c r="A1455" t="s">
        <v>4250</v>
      </c>
      <c r="B1455" t="s">
        <v>4251</v>
      </c>
      <c r="F1455" t="str">
        <f t="shared" si="22"/>
        <v>61175</v>
      </c>
      <c r="AE1455">
        <v>1748110037336</v>
      </c>
      <c r="AG1455" t="s">
        <v>4</v>
      </c>
      <c r="AH1455" t="s">
        <v>1038</v>
      </c>
      <c r="AI1455" t="s">
        <v>32</v>
      </c>
      <c r="AJ1455" t="s">
        <v>1039</v>
      </c>
    </row>
    <row r="1456" spans="1:36">
      <c r="A1456" t="s">
        <v>4252</v>
      </c>
      <c r="B1456" t="s">
        <v>4253</v>
      </c>
      <c r="F1456" t="str">
        <f t="shared" si="22"/>
        <v>61176</v>
      </c>
      <c r="AE1456">
        <v>1301110036318</v>
      </c>
      <c r="AG1456" t="s">
        <v>4</v>
      </c>
      <c r="AH1456" t="s">
        <v>454</v>
      </c>
      <c r="AI1456" t="s">
        <v>249</v>
      </c>
      <c r="AJ1456" t="s">
        <v>455</v>
      </c>
    </row>
    <row r="1457" spans="1:36">
      <c r="A1457" t="s">
        <v>4254</v>
      </c>
      <c r="B1457" t="s">
        <v>4255</v>
      </c>
      <c r="F1457" t="str">
        <f t="shared" si="22"/>
        <v>61177</v>
      </c>
      <c r="AE1457">
        <v>1101113626970</v>
      </c>
      <c r="AG1457" t="s">
        <v>4</v>
      </c>
    </row>
    <row r="1458" spans="1:36">
      <c r="A1458" t="s">
        <v>4256</v>
      </c>
      <c r="B1458" t="s">
        <v>4257</v>
      </c>
      <c r="F1458" t="str">
        <f t="shared" si="22"/>
        <v>61178</v>
      </c>
      <c r="AE1458">
        <v>1101113773490</v>
      </c>
      <c r="AG1458" t="s">
        <v>4</v>
      </c>
    </row>
    <row r="1459" spans="1:36">
      <c r="A1459" t="s">
        <v>4258</v>
      </c>
      <c r="B1459" t="s">
        <v>4259</v>
      </c>
      <c r="F1459" t="str">
        <f t="shared" si="22"/>
        <v>61216</v>
      </c>
      <c r="AE1459">
        <v>1101113770107</v>
      </c>
      <c r="AG1459" t="s">
        <v>4</v>
      </c>
    </row>
    <row r="1460" spans="1:36">
      <c r="A1460" t="s">
        <v>4260</v>
      </c>
      <c r="B1460" t="s">
        <v>4261</v>
      </c>
      <c r="F1460" t="str">
        <f t="shared" si="22"/>
        <v>61218</v>
      </c>
      <c r="AE1460">
        <v>1101113770199</v>
      </c>
      <c r="AG1460" t="s">
        <v>4</v>
      </c>
    </row>
    <row r="1461" spans="1:36">
      <c r="A1461" t="s">
        <v>4262</v>
      </c>
      <c r="B1461" t="s">
        <v>4263</v>
      </c>
      <c r="F1461" t="str">
        <f t="shared" si="22"/>
        <v>61223</v>
      </c>
      <c r="AE1461">
        <v>1101113771808</v>
      </c>
      <c r="AG1461" t="s">
        <v>4</v>
      </c>
    </row>
    <row r="1462" spans="1:36">
      <c r="A1462" t="s">
        <v>4264</v>
      </c>
      <c r="B1462" t="s">
        <v>4265</v>
      </c>
      <c r="F1462" t="str">
        <f t="shared" si="22"/>
        <v>61224</v>
      </c>
      <c r="AE1462">
        <v>1601110082513</v>
      </c>
      <c r="AG1462" t="s">
        <v>2</v>
      </c>
      <c r="AH1462" t="s">
        <v>1209</v>
      </c>
      <c r="AI1462" t="s">
        <v>914</v>
      </c>
      <c r="AJ1462" t="s">
        <v>1210</v>
      </c>
    </row>
    <row r="1463" spans="1:36">
      <c r="A1463" t="s">
        <v>4266</v>
      </c>
      <c r="B1463" t="s">
        <v>4267</v>
      </c>
      <c r="F1463" t="str">
        <f t="shared" si="22"/>
        <v>61225</v>
      </c>
      <c r="AE1463">
        <v>1101113772426</v>
      </c>
      <c r="AG1463" t="s">
        <v>4</v>
      </c>
    </row>
    <row r="1464" spans="1:36">
      <c r="A1464" t="s">
        <v>4268</v>
      </c>
      <c r="B1464" t="s">
        <v>4269</v>
      </c>
      <c r="F1464" t="str">
        <f t="shared" si="22"/>
        <v>61230</v>
      </c>
      <c r="AE1464">
        <v>1547710003395</v>
      </c>
      <c r="AG1464" t="s">
        <v>4</v>
      </c>
      <c r="AH1464" t="s">
        <v>883</v>
      </c>
      <c r="AI1464" t="s">
        <v>555</v>
      </c>
      <c r="AJ1464" t="s">
        <v>884</v>
      </c>
    </row>
    <row r="1465" spans="1:36">
      <c r="A1465" t="s">
        <v>4270</v>
      </c>
      <c r="B1465" t="s">
        <v>4271</v>
      </c>
      <c r="F1465" t="str">
        <f t="shared" si="22"/>
        <v>61245</v>
      </c>
      <c r="AE1465">
        <v>1101111841926</v>
      </c>
      <c r="AG1465" t="s">
        <v>4</v>
      </c>
      <c r="AH1465" t="s">
        <v>462</v>
      </c>
      <c r="AI1465" t="s">
        <v>177</v>
      </c>
      <c r="AJ1465" t="s">
        <v>463</v>
      </c>
    </row>
    <row r="1466" spans="1:36">
      <c r="A1466" t="s">
        <v>4272</v>
      </c>
      <c r="B1466" t="s">
        <v>4273</v>
      </c>
      <c r="F1466" t="str">
        <f t="shared" si="22"/>
        <v>61254</v>
      </c>
      <c r="AE1466">
        <v>1101113779513</v>
      </c>
      <c r="AG1466" t="s">
        <v>4</v>
      </c>
    </row>
    <row r="1467" spans="1:36">
      <c r="A1467" t="s">
        <v>4274</v>
      </c>
      <c r="B1467" t="s">
        <v>4275</v>
      </c>
      <c r="F1467" t="str">
        <f t="shared" si="22"/>
        <v>61292</v>
      </c>
      <c r="AE1467">
        <v>1712110005018</v>
      </c>
      <c r="AG1467" t="s">
        <v>4</v>
      </c>
    </row>
    <row r="1468" spans="1:36">
      <c r="A1468" t="s">
        <v>4276</v>
      </c>
      <c r="B1468" t="s">
        <v>4277</v>
      </c>
      <c r="F1468" t="str">
        <f t="shared" si="22"/>
        <v>61293</v>
      </c>
      <c r="AE1468">
        <v>1101113776486</v>
      </c>
      <c r="AG1468" t="s">
        <v>4</v>
      </c>
      <c r="AH1468" t="s">
        <v>837</v>
      </c>
      <c r="AI1468" t="s">
        <v>6</v>
      </c>
      <c r="AJ1468" t="s">
        <v>838</v>
      </c>
    </row>
    <row r="1469" spans="1:36">
      <c r="A1469" t="s">
        <v>4278</v>
      </c>
      <c r="B1469" t="s">
        <v>4279</v>
      </c>
      <c r="F1469" t="str">
        <f t="shared" si="22"/>
        <v>61294</v>
      </c>
      <c r="AE1469">
        <v>1101113783051</v>
      </c>
      <c r="AG1469" t="s">
        <v>4</v>
      </c>
      <c r="AH1469" t="s">
        <v>837</v>
      </c>
      <c r="AI1469" t="s">
        <v>6</v>
      </c>
      <c r="AJ1469" t="s">
        <v>838</v>
      </c>
    </row>
    <row r="1470" spans="1:36">
      <c r="A1470" t="s">
        <v>4280</v>
      </c>
      <c r="B1470" t="s">
        <v>4281</v>
      </c>
      <c r="F1470" t="str">
        <f t="shared" si="22"/>
        <v>61295</v>
      </c>
      <c r="AE1470">
        <v>1101140070679</v>
      </c>
      <c r="AG1470" t="s">
        <v>4</v>
      </c>
    </row>
    <row r="1471" spans="1:36">
      <c r="A1471" t="s">
        <v>4282</v>
      </c>
      <c r="B1471" t="s">
        <v>4283</v>
      </c>
      <c r="F1471" t="str">
        <f t="shared" si="22"/>
        <v>61296</v>
      </c>
      <c r="AE1471">
        <v>1211110068750</v>
      </c>
      <c r="AG1471" t="s">
        <v>2</v>
      </c>
      <c r="AH1471" t="s">
        <v>373</v>
      </c>
      <c r="AJ1471" t="s">
        <v>374</v>
      </c>
    </row>
    <row r="1472" spans="1:36">
      <c r="A1472" t="s">
        <v>4284</v>
      </c>
      <c r="B1472" t="s">
        <v>4285</v>
      </c>
      <c r="F1472" t="str">
        <f t="shared" si="22"/>
        <v>61377</v>
      </c>
      <c r="AE1472">
        <v>1101113784934</v>
      </c>
      <c r="AG1472" t="s">
        <v>4</v>
      </c>
      <c r="AH1472" t="s">
        <v>837</v>
      </c>
      <c r="AI1472" t="s">
        <v>6</v>
      </c>
      <c r="AJ1472" t="s">
        <v>838</v>
      </c>
    </row>
    <row r="1473" spans="1:36">
      <c r="A1473" t="s">
        <v>4286</v>
      </c>
      <c r="B1473" t="s">
        <v>4287</v>
      </c>
      <c r="F1473" t="str">
        <f t="shared" si="22"/>
        <v>61404</v>
      </c>
      <c r="AE1473">
        <v>1615110027263</v>
      </c>
      <c r="AG1473" t="s">
        <v>2</v>
      </c>
      <c r="AH1473" t="s">
        <v>75</v>
      </c>
      <c r="AI1473" t="s">
        <v>76</v>
      </c>
      <c r="AJ1473" t="s">
        <v>77</v>
      </c>
    </row>
    <row r="1474" spans="1:36">
      <c r="A1474" t="s">
        <v>4288</v>
      </c>
      <c r="B1474" t="s">
        <v>4289</v>
      </c>
      <c r="F1474" t="str">
        <f t="shared" si="22"/>
        <v>61405</v>
      </c>
      <c r="AE1474">
        <v>1101110991467</v>
      </c>
      <c r="AG1474" t="s">
        <v>2</v>
      </c>
      <c r="AH1474" t="s">
        <v>1212</v>
      </c>
      <c r="AJ1474" t="s">
        <v>1213</v>
      </c>
    </row>
    <row r="1475" spans="1:36">
      <c r="A1475" t="s">
        <v>4290</v>
      </c>
      <c r="B1475" t="s">
        <v>4291</v>
      </c>
      <c r="F1475" t="str">
        <f t="shared" si="22"/>
        <v>61415</v>
      </c>
      <c r="AE1475">
        <v>1101112276784</v>
      </c>
      <c r="AG1475" t="s">
        <v>2</v>
      </c>
      <c r="AH1475" t="s">
        <v>1214</v>
      </c>
      <c r="AJ1475" t="s">
        <v>717</v>
      </c>
    </row>
    <row r="1476" spans="1:36">
      <c r="A1476" t="s">
        <v>4292</v>
      </c>
      <c r="B1476" t="s">
        <v>4293</v>
      </c>
      <c r="F1476" t="str">
        <f t="shared" si="22"/>
        <v>61416</v>
      </c>
      <c r="AE1476">
        <v>1101113787491</v>
      </c>
      <c r="AG1476" t="s">
        <v>4</v>
      </c>
    </row>
    <row r="1477" spans="1:36">
      <c r="A1477" t="s">
        <v>4294</v>
      </c>
      <c r="B1477" t="s">
        <v>4295</v>
      </c>
      <c r="F1477" t="str">
        <f t="shared" si="22"/>
        <v>61417</v>
      </c>
      <c r="AG1477" t="s">
        <v>4</v>
      </c>
    </row>
    <row r="1478" spans="1:36">
      <c r="A1478" t="s">
        <v>4296</v>
      </c>
      <c r="B1478" t="s">
        <v>4297</v>
      </c>
      <c r="F1478" t="str">
        <f t="shared" si="22"/>
        <v>61418</v>
      </c>
      <c r="AE1478">
        <v>2101710002613</v>
      </c>
      <c r="AG1478" t="s">
        <v>4</v>
      </c>
    </row>
    <row r="1479" spans="1:36">
      <c r="A1479" t="s">
        <v>4298</v>
      </c>
      <c r="B1479" t="s">
        <v>4299</v>
      </c>
      <c r="F1479" t="str">
        <f t="shared" si="22"/>
        <v>61419</v>
      </c>
      <c r="AE1479">
        <v>1101113787003</v>
      </c>
      <c r="AG1479" t="s">
        <v>4</v>
      </c>
    </row>
    <row r="1480" spans="1:36">
      <c r="A1480" t="s">
        <v>4300</v>
      </c>
      <c r="B1480" t="s">
        <v>4301</v>
      </c>
      <c r="F1480" t="str">
        <f t="shared" si="22"/>
        <v>61453</v>
      </c>
      <c r="AE1480">
        <v>1101113791335</v>
      </c>
      <c r="AG1480" t="s">
        <v>4</v>
      </c>
      <c r="AH1480" t="s">
        <v>837</v>
      </c>
      <c r="AI1480" t="s">
        <v>6</v>
      </c>
      <c r="AJ1480" t="s">
        <v>838</v>
      </c>
    </row>
    <row r="1481" spans="1:36">
      <c r="A1481" t="s">
        <v>4302</v>
      </c>
      <c r="B1481" t="s">
        <v>4303</v>
      </c>
      <c r="F1481" t="str">
        <f t="shared" si="22"/>
        <v>61454</v>
      </c>
      <c r="AE1481">
        <v>1101113790238</v>
      </c>
      <c r="AG1481" t="s">
        <v>4</v>
      </c>
    </row>
    <row r="1482" spans="1:36">
      <c r="A1482" t="s">
        <v>4304</v>
      </c>
      <c r="B1482" t="s">
        <v>4305</v>
      </c>
      <c r="F1482" t="str">
        <f t="shared" ref="F1482:F1545" si="23">CHOOSE($C$1, A1482, B1482)</f>
        <v>61455</v>
      </c>
      <c r="AE1482">
        <v>1101113781550</v>
      </c>
      <c r="AG1482" t="s">
        <v>4</v>
      </c>
      <c r="AH1482" t="s">
        <v>837</v>
      </c>
      <c r="AI1482" t="s">
        <v>6</v>
      </c>
      <c r="AJ1482" t="s">
        <v>838</v>
      </c>
    </row>
    <row r="1483" spans="1:36">
      <c r="A1483" t="s">
        <v>4306</v>
      </c>
      <c r="B1483" t="s">
        <v>4307</v>
      </c>
      <c r="F1483" t="str">
        <f t="shared" si="23"/>
        <v>61456</v>
      </c>
      <c r="AE1483">
        <v>1101113623463</v>
      </c>
      <c r="AG1483" t="s">
        <v>2</v>
      </c>
      <c r="AH1483" t="s">
        <v>502</v>
      </c>
      <c r="AI1483" t="s">
        <v>503</v>
      </c>
      <c r="AJ1483" t="s">
        <v>504</v>
      </c>
    </row>
    <row r="1484" spans="1:36">
      <c r="A1484" t="s">
        <v>4308</v>
      </c>
      <c r="B1484" t="s">
        <v>4309</v>
      </c>
      <c r="F1484" t="str">
        <f t="shared" si="23"/>
        <v>61457</v>
      </c>
      <c r="AE1484">
        <v>1851710002912</v>
      </c>
      <c r="AG1484" t="s">
        <v>4</v>
      </c>
      <c r="AH1484" t="s">
        <v>867</v>
      </c>
      <c r="AI1484" t="s">
        <v>192</v>
      </c>
      <c r="AJ1484" t="s">
        <v>868</v>
      </c>
    </row>
    <row r="1485" spans="1:36">
      <c r="A1485" t="s">
        <v>4310</v>
      </c>
      <c r="B1485" t="s">
        <v>4311</v>
      </c>
      <c r="F1485" t="str">
        <f t="shared" si="23"/>
        <v>61461</v>
      </c>
      <c r="AG1485" t="s">
        <v>4</v>
      </c>
    </row>
    <row r="1486" spans="1:36">
      <c r="A1486" t="s">
        <v>4312</v>
      </c>
      <c r="B1486" t="s">
        <v>4313</v>
      </c>
      <c r="F1486" t="str">
        <f t="shared" si="23"/>
        <v>61466</v>
      </c>
      <c r="AE1486">
        <v>1101113791195</v>
      </c>
      <c r="AG1486" t="s">
        <v>4</v>
      </c>
    </row>
    <row r="1487" spans="1:36">
      <c r="A1487" t="s">
        <v>4314</v>
      </c>
      <c r="B1487" t="s">
        <v>4315</v>
      </c>
      <c r="F1487" t="str">
        <f t="shared" si="23"/>
        <v>61499</v>
      </c>
      <c r="AE1487">
        <v>1101112276784</v>
      </c>
      <c r="AG1487" t="s">
        <v>2</v>
      </c>
      <c r="AH1487" t="s">
        <v>1214</v>
      </c>
      <c r="AJ1487" t="s">
        <v>717</v>
      </c>
    </row>
    <row r="1488" spans="1:36">
      <c r="A1488" t="s">
        <v>4316</v>
      </c>
      <c r="B1488" t="s">
        <v>4317</v>
      </c>
      <c r="F1488" t="str">
        <f t="shared" si="23"/>
        <v>61500</v>
      </c>
      <c r="AE1488">
        <v>1101380000014</v>
      </c>
      <c r="AG1488" t="s">
        <v>4</v>
      </c>
    </row>
    <row r="1489" spans="1:36">
      <c r="A1489" t="s">
        <v>4318</v>
      </c>
      <c r="B1489" t="s">
        <v>4319</v>
      </c>
      <c r="F1489" t="str">
        <f t="shared" si="23"/>
        <v>61502</v>
      </c>
      <c r="AE1489">
        <v>1101113794040</v>
      </c>
      <c r="AG1489" t="s">
        <v>4</v>
      </c>
    </row>
    <row r="1490" spans="1:36">
      <c r="A1490" t="s">
        <v>4320</v>
      </c>
      <c r="B1490" t="s">
        <v>4321</v>
      </c>
      <c r="F1490" t="str">
        <f t="shared" si="23"/>
        <v>61506</v>
      </c>
      <c r="AE1490">
        <v>1101113794305</v>
      </c>
      <c r="AG1490" t="s">
        <v>4</v>
      </c>
    </row>
    <row r="1491" spans="1:36">
      <c r="A1491" t="s">
        <v>4322</v>
      </c>
      <c r="B1491" t="s">
        <v>4323</v>
      </c>
      <c r="F1491" t="str">
        <f t="shared" si="23"/>
        <v>61507</v>
      </c>
      <c r="AE1491">
        <v>1101113793159</v>
      </c>
      <c r="AG1491" t="s">
        <v>4</v>
      </c>
    </row>
    <row r="1492" spans="1:36">
      <c r="A1492" t="s">
        <v>4324</v>
      </c>
      <c r="B1492" t="s">
        <v>4325</v>
      </c>
      <c r="F1492" t="str">
        <f t="shared" si="23"/>
        <v>61509</v>
      </c>
      <c r="AE1492">
        <v>1101113794959</v>
      </c>
      <c r="AG1492" t="s">
        <v>4</v>
      </c>
    </row>
    <row r="1493" spans="1:36">
      <c r="A1493" t="s">
        <v>4326</v>
      </c>
      <c r="B1493" t="s">
        <v>4327</v>
      </c>
      <c r="F1493" t="str">
        <f t="shared" si="23"/>
        <v>61522</v>
      </c>
      <c r="AE1493">
        <v>1615110010739</v>
      </c>
      <c r="AG1493" t="s">
        <v>4</v>
      </c>
      <c r="AH1493" t="s">
        <v>551</v>
      </c>
      <c r="AJ1493" t="s">
        <v>552</v>
      </c>
    </row>
    <row r="1494" spans="1:36">
      <c r="A1494" t="s">
        <v>4328</v>
      </c>
      <c r="B1494" t="s">
        <v>4329</v>
      </c>
      <c r="F1494" t="str">
        <f t="shared" si="23"/>
        <v>61527</v>
      </c>
      <c r="AE1494">
        <v>1101113795840</v>
      </c>
      <c r="AG1494" t="s">
        <v>4</v>
      </c>
    </row>
    <row r="1495" spans="1:36">
      <c r="A1495" t="s">
        <v>4330</v>
      </c>
      <c r="B1495" t="s">
        <v>4331</v>
      </c>
      <c r="F1495" t="str">
        <f t="shared" si="23"/>
        <v>61528</v>
      </c>
      <c r="AE1495">
        <v>1101113793977</v>
      </c>
      <c r="AG1495" t="s">
        <v>4</v>
      </c>
    </row>
    <row r="1496" spans="1:36">
      <c r="A1496" t="s">
        <v>4332</v>
      </c>
      <c r="B1496" t="s">
        <v>4333</v>
      </c>
      <c r="F1496" t="str">
        <f t="shared" si="23"/>
        <v>61529</v>
      </c>
      <c r="AE1496">
        <v>1101113690355</v>
      </c>
      <c r="AG1496" t="s">
        <v>4</v>
      </c>
    </row>
    <row r="1497" spans="1:36">
      <c r="A1497" t="s">
        <v>4334</v>
      </c>
      <c r="B1497" t="s">
        <v>4335</v>
      </c>
      <c r="F1497" t="str">
        <f t="shared" si="23"/>
        <v>61530</v>
      </c>
      <c r="AG1497" t="s">
        <v>4</v>
      </c>
    </row>
    <row r="1498" spans="1:36">
      <c r="A1498" t="s">
        <v>4336</v>
      </c>
      <c r="B1498" t="s">
        <v>4337</v>
      </c>
      <c r="F1498" t="str">
        <f t="shared" si="23"/>
        <v>61531</v>
      </c>
      <c r="AG1498" t="s">
        <v>4</v>
      </c>
    </row>
    <row r="1499" spans="1:36">
      <c r="A1499" t="s">
        <v>4338</v>
      </c>
      <c r="B1499" t="s">
        <v>4339</v>
      </c>
      <c r="F1499" t="str">
        <f t="shared" si="23"/>
        <v>61536</v>
      </c>
      <c r="AE1499">
        <v>1201110397241</v>
      </c>
      <c r="AG1499" t="s">
        <v>2</v>
      </c>
      <c r="AH1499" t="s">
        <v>1036</v>
      </c>
      <c r="AI1499" t="s">
        <v>76</v>
      </c>
      <c r="AJ1499" t="s">
        <v>1037</v>
      </c>
    </row>
    <row r="1500" spans="1:36">
      <c r="A1500" t="s">
        <v>4340</v>
      </c>
      <c r="B1500" t="s">
        <v>4341</v>
      </c>
      <c r="F1500" t="str">
        <f t="shared" si="23"/>
        <v>61548</v>
      </c>
      <c r="AE1500">
        <v>1101113525750</v>
      </c>
      <c r="AG1500" t="s">
        <v>2</v>
      </c>
      <c r="AH1500" t="s">
        <v>75</v>
      </c>
      <c r="AI1500" t="s">
        <v>76</v>
      </c>
      <c r="AJ1500" t="s">
        <v>77</v>
      </c>
    </row>
    <row r="1501" spans="1:36">
      <c r="A1501" t="s">
        <v>4342</v>
      </c>
      <c r="B1501" t="s">
        <v>4343</v>
      </c>
      <c r="F1501" t="str">
        <f t="shared" si="23"/>
        <v>61551</v>
      </c>
      <c r="AE1501">
        <v>2849110065613</v>
      </c>
      <c r="AG1501" t="s">
        <v>2</v>
      </c>
      <c r="AH1501" t="s">
        <v>1216</v>
      </c>
      <c r="AI1501" t="s">
        <v>657</v>
      </c>
      <c r="AJ1501" t="s">
        <v>1217</v>
      </c>
    </row>
    <row r="1502" spans="1:36">
      <c r="A1502" t="s">
        <v>4344</v>
      </c>
      <c r="B1502" t="s">
        <v>4345</v>
      </c>
      <c r="F1502" t="str">
        <f t="shared" si="23"/>
        <v>61578</v>
      </c>
      <c r="AE1502">
        <v>1545110000870</v>
      </c>
      <c r="AG1502" t="s">
        <v>4</v>
      </c>
      <c r="AH1502" t="s">
        <v>128</v>
      </c>
      <c r="AI1502" t="s">
        <v>59</v>
      </c>
      <c r="AJ1502" t="s">
        <v>129</v>
      </c>
    </row>
    <row r="1503" spans="1:36">
      <c r="A1503" t="s">
        <v>4346</v>
      </c>
      <c r="B1503" t="s">
        <v>4345</v>
      </c>
      <c r="F1503" t="str">
        <f t="shared" si="23"/>
        <v>61579</v>
      </c>
      <c r="AE1503">
        <v>1101111387748</v>
      </c>
      <c r="AG1503" t="s">
        <v>2</v>
      </c>
      <c r="AH1503" t="s">
        <v>1153</v>
      </c>
      <c r="AI1503" t="s">
        <v>657</v>
      </c>
      <c r="AJ1503" t="s">
        <v>1154</v>
      </c>
    </row>
    <row r="1504" spans="1:36">
      <c r="A1504" t="s">
        <v>4347</v>
      </c>
      <c r="B1504" t="s">
        <v>4348</v>
      </c>
      <c r="F1504" t="str">
        <f t="shared" si="23"/>
        <v>61597</v>
      </c>
      <c r="AE1504">
        <v>1311110042950</v>
      </c>
      <c r="AF1504" t="s">
        <v>216</v>
      </c>
      <c r="AG1504" t="s">
        <v>2</v>
      </c>
      <c r="AH1504" t="s">
        <v>158</v>
      </c>
      <c r="AI1504" t="s">
        <v>150</v>
      </c>
      <c r="AJ1504" t="s">
        <v>159</v>
      </c>
    </row>
    <row r="1505" spans="1:36">
      <c r="A1505" t="s">
        <v>4349</v>
      </c>
      <c r="B1505" t="s">
        <v>4350</v>
      </c>
      <c r="F1505" t="str">
        <f t="shared" si="23"/>
        <v>61598</v>
      </c>
      <c r="AE1505">
        <v>1101111061954</v>
      </c>
      <c r="AG1505" t="s">
        <v>2</v>
      </c>
      <c r="AH1505" t="s">
        <v>1219</v>
      </c>
      <c r="AI1505" t="s">
        <v>83</v>
      </c>
      <c r="AJ1505" t="s">
        <v>1220</v>
      </c>
    </row>
    <row r="1506" spans="1:36">
      <c r="A1506" t="s">
        <v>4351</v>
      </c>
      <c r="B1506" t="s">
        <v>4352</v>
      </c>
      <c r="F1506" t="str">
        <f t="shared" si="23"/>
        <v>61599</v>
      </c>
      <c r="AE1506">
        <v>2001110054795</v>
      </c>
      <c r="AF1506" t="s">
        <v>261</v>
      </c>
      <c r="AG1506" t="s">
        <v>2</v>
      </c>
      <c r="AH1506" t="s">
        <v>248</v>
      </c>
      <c r="AI1506" t="s">
        <v>249</v>
      </c>
      <c r="AJ1506" t="s">
        <v>121</v>
      </c>
    </row>
    <row r="1507" spans="1:36">
      <c r="A1507" t="s">
        <v>4353</v>
      </c>
      <c r="B1507" t="s">
        <v>4354</v>
      </c>
      <c r="F1507" t="str">
        <f t="shared" si="23"/>
        <v>61600</v>
      </c>
      <c r="AE1507">
        <v>1348110015546</v>
      </c>
      <c r="AG1507" t="s">
        <v>2</v>
      </c>
      <c r="AH1507" t="s">
        <v>1221</v>
      </c>
      <c r="AI1507" t="s">
        <v>70</v>
      </c>
      <c r="AJ1507" t="s">
        <v>1222</v>
      </c>
    </row>
    <row r="1508" spans="1:36">
      <c r="A1508" t="s">
        <v>4355</v>
      </c>
      <c r="B1508" t="s">
        <v>4356</v>
      </c>
      <c r="F1508" t="str">
        <f t="shared" si="23"/>
        <v>61601</v>
      </c>
      <c r="AE1508">
        <v>1615110021158</v>
      </c>
      <c r="AG1508" t="s">
        <v>4</v>
      </c>
      <c r="AH1508" t="s">
        <v>648</v>
      </c>
      <c r="AI1508" t="s">
        <v>649</v>
      </c>
      <c r="AJ1508" t="s">
        <v>650</v>
      </c>
    </row>
    <row r="1509" spans="1:36">
      <c r="A1509" t="s">
        <v>4357</v>
      </c>
      <c r="B1509" t="s">
        <v>4358</v>
      </c>
      <c r="F1509" t="str">
        <f t="shared" si="23"/>
        <v>61603</v>
      </c>
      <c r="AE1509">
        <v>1101110981038</v>
      </c>
      <c r="AG1509" t="s">
        <v>2</v>
      </c>
      <c r="AH1509" t="s">
        <v>940</v>
      </c>
      <c r="AI1509" t="s">
        <v>517</v>
      </c>
      <c r="AJ1509" t="s">
        <v>941</v>
      </c>
    </row>
    <row r="1510" spans="1:36">
      <c r="A1510" t="s">
        <v>4359</v>
      </c>
      <c r="B1510" t="s">
        <v>4360</v>
      </c>
      <c r="F1510" t="str">
        <f t="shared" si="23"/>
        <v>61608</v>
      </c>
      <c r="AE1510">
        <v>1101110971873</v>
      </c>
      <c r="AG1510" t="s">
        <v>2</v>
      </c>
      <c r="AH1510" t="s">
        <v>1223</v>
      </c>
      <c r="AI1510" t="s">
        <v>845</v>
      </c>
      <c r="AJ1510" t="s">
        <v>1081</v>
      </c>
    </row>
    <row r="1511" spans="1:36">
      <c r="A1511" t="s">
        <v>4361</v>
      </c>
      <c r="B1511" t="s">
        <v>4362</v>
      </c>
      <c r="F1511" t="str">
        <f t="shared" si="23"/>
        <v>61626</v>
      </c>
      <c r="AE1511">
        <v>1101110723670</v>
      </c>
      <c r="AG1511" t="s">
        <v>4</v>
      </c>
      <c r="AH1511" t="s">
        <v>362</v>
      </c>
      <c r="AI1511" t="s">
        <v>70</v>
      </c>
      <c r="AJ1511" t="s">
        <v>363</v>
      </c>
    </row>
    <row r="1512" spans="1:36">
      <c r="A1512" t="s">
        <v>4363</v>
      </c>
      <c r="B1512" t="s">
        <v>4364</v>
      </c>
      <c r="F1512" t="str">
        <f t="shared" si="23"/>
        <v>61636</v>
      </c>
      <c r="AE1512">
        <v>1341110029749</v>
      </c>
      <c r="AG1512" t="s">
        <v>4</v>
      </c>
      <c r="AH1512" t="s">
        <v>1224</v>
      </c>
      <c r="AJ1512" t="s">
        <v>1225</v>
      </c>
    </row>
    <row r="1513" spans="1:36">
      <c r="A1513" t="s">
        <v>4365</v>
      </c>
      <c r="B1513" t="s">
        <v>4366</v>
      </c>
      <c r="F1513" t="str">
        <f t="shared" si="23"/>
        <v>61637</v>
      </c>
      <c r="AE1513">
        <v>1301110010932</v>
      </c>
      <c r="AG1513" t="s">
        <v>2</v>
      </c>
      <c r="AH1513" t="s">
        <v>1227</v>
      </c>
      <c r="AI1513" t="s">
        <v>59</v>
      </c>
      <c r="AJ1513" t="s">
        <v>143</v>
      </c>
    </row>
    <row r="1514" spans="1:36">
      <c r="A1514" t="s">
        <v>4367</v>
      </c>
      <c r="B1514" t="s">
        <v>4368</v>
      </c>
      <c r="F1514" t="str">
        <f t="shared" si="23"/>
        <v>61647</v>
      </c>
      <c r="AE1514">
        <v>1101111054339</v>
      </c>
      <c r="AG1514" t="s">
        <v>4</v>
      </c>
      <c r="AH1514" t="s">
        <v>462</v>
      </c>
      <c r="AI1514" t="s">
        <v>177</v>
      </c>
      <c r="AJ1514" t="s">
        <v>463</v>
      </c>
    </row>
    <row r="1515" spans="1:36">
      <c r="A1515" t="s">
        <v>4369</v>
      </c>
      <c r="B1515" t="s">
        <v>4370</v>
      </c>
      <c r="F1515" t="str">
        <f t="shared" si="23"/>
        <v>61648</v>
      </c>
      <c r="AE1515">
        <v>1101110944622</v>
      </c>
      <c r="AG1515" t="s">
        <v>2</v>
      </c>
      <c r="AH1515" t="s">
        <v>1228</v>
      </c>
      <c r="AI1515" t="s">
        <v>725</v>
      </c>
      <c r="AJ1515" t="s">
        <v>1229</v>
      </c>
    </row>
    <row r="1516" spans="1:36">
      <c r="A1516" t="s">
        <v>4371</v>
      </c>
      <c r="B1516" t="s">
        <v>4372</v>
      </c>
      <c r="F1516" t="str">
        <f t="shared" si="23"/>
        <v>61649</v>
      </c>
      <c r="AE1516">
        <v>1201110147422</v>
      </c>
      <c r="AG1516" t="s">
        <v>2</v>
      </c>
      <c r="AH1516" t="s">
        <v>305</v>
      </c>
      <c r="AI1516" t="s">
        <v>146</v>
      </c>
      <c r="AJ1516" t="s">
        <v>306</v>
      </c>
    </row>
    <row r="1517" spans="1:36">
      <c r="A1517" t="s">
        <v>4373</v>
      </c>
      <c r="B1517" t="s">
        <v>4374</v>
      </c>
      <c r="F1517" t="str">
        <f t="shared" si="23"/>
        <v>61651</v>
      </c>
      <c r="AE1517">
        <v>1801110241743</v>
      </c>
      <c r="AG1517" t="s">
        <v>4</v>
      </c>
      <c r="AH1517" t="s">
        <v>462</v>
      </c>
      <c r="AI1517" t="s">
        <v>177</v>
      </c>
      <c r="AJ1517" t="s">
        <v>463</v>
      </c>
    </row>
    <row r="1518" spans="1:36">
      <c r="A1518" t="s">
        <v>4375</v>
      </c>
      <c r="B1518" t="s">
        <v>4376</v>
      </c>
      <c r="F1518" t="str">
        <f t="shared" si="23"/>
        <v>61667</v>
      </c>
      <c r="AE1518">
        <v>1101111487267</v>
      </c>
      <c r="AG1518" t="s">
        <v>2</v>
      </c>
      <c r="AH1518" t="s">
        <v>1230</v>
      </c>
      <c r="AI1518" t="s">
        <v>657</v>
      </c>
      <c r="AJ1518" t="s">
        <v>1231</v>
      </c>
    </row>
    <row r="1519" spans="1:36">
      <c r="A1519" t="s">
        <v>4377</v>
      </c>
      <c r="B1519" t="s">
        <v>4378</v>
      </c>
      <c r="F1519" t="str">
        <f t="shared" si="23"/>
        <v>61668</v>
      </c>
      <c r="AG1519" t="s">
        <v>4</v>
      </c>
    </row>
    <row r="1520" spans="1:36">
      <c r="A1520" t="s">
        <v>4379</v>
      </c>
      <c r="B1520" t="s">
        <v>4380</v>
      </c>
      <c r="F1520" t="str">
        <f t="shared" si="23"/>
        <v>61669</v>
      </c>
      <c r="AE1520">
        <v>1101111489982</v>
      </c>
      <c r="AG1520" t="s">
        <v>4</v>
      </c>
      <c r="AH1520" t="s">
        <v>1232</v>
      </c>
      <c r="AI1520" t="s">
        <v>146</v>
      </c>
      <c r="AJ1520" t="s">
        <v>1233</v>
      </c>
    </row>
    <row r="1521" spans="1:36">
      <c r="A1521" t="s">
        <v>4381</v>
      </c>
      <c r="B1521" t="s">
        <v>4382</v>
      </c>
      <c r="F1521" t="str">
        <f t="shared" si="23"/>
        <v>61674</v>
      </c>
      <c r="AE1521">
        <v>1350110042924</v>
      </c>
      <c r="AF1521" t="s">
        <v>78</v>
      </c>
      <c r="AG1521" t="s">
        <v>2</v>
      </c>
      <c r="AH1521" t="s">
        <v>909</v>
      </c>
      <c r="AI1521" t="s">
        <v>76</v>
      </c>
      <c r="AJ1521" t="s">
        <v>910</v>
      </c>
    </row>
    <row r="1522" spans="1:36">
      <c r="A1522" t="s">
        <v>4383</v>
      </c>
      <c r="B1522" t="s">
        <v>4384</v>
      </c>
      <c r="F1522" t="str">
        <f t="shared" si="23"/>
        <v>61688</v>
      </c>
      <c r="AE1522">
        <v>1801110058742</v>
      </c>
      <c r="AG1522" t="s">
        <v>2</v>
      </c>
      <c r="AH1522" t="s">
        <v>34</v>
      </c>
      <c r="AI1522" t="s">
        <v>35</v>
      </c>
      <c r="AJ1522" t="s">
        <v>36</v>
      </c>
    </row>
    <row r="1523" spans="1:36">
      <c r="A1523" t="s">
        <v>4385</v>
      </c>
      <c r="B1523" t="s">
        <v>4386</v>
      </c>
      <c r="F1523" t="str">
        <f t="shared" si="23"/>
        <v>61689</v>
      </c>
      <c r="AE1523">
        <v>1101111455264</v>
      </c>
      <c r="AG1523" t="s">
        <v>4</v>
      </c>
      <c r="AH1523" t="s">
        <v>462</v>
      </c>
      <c r="AI1523" t="s">
        <v>177</v>
      </c>
      <c r="AJ1523" t="s">
        <v>463</v>
      </c>
    </row>
    <row r="1524" spans="1:36">
      <c r="A1524" t="s">
        <v>4387</v>
      </c>
      <c r="B1524" t="s">
        <v>4388</v>
      </c>
      <c r="F1524" t="str">
        <f t="shared" si="23"/>
        <v>61690</v>
      </c>
      <c r="AE1524">
        <v>1801110099572</v>
      </c>
      <c r="AG1524" t="s">
        <v>4</v>
      </c>
      <c r="AH1524" t="s">
        <v>1234</v>
      </c>
      <c r="AI1524" t="s">
        <v>65</v>
      </c>
      <c r="AJ1524" t="s">
        <v>1157</v>
      </c>
    </row>
    <row r="1525" spans="1:36">
      <c r="A1525" t="s">
        <v>4389</v>
      </c>
      <c r="B1525" t="s">
        <v>4390</v>
      </c>
      <c r="F1525" t="str">
        <f t="shared" si="23"/>
        <v>61691</v>
      </c>
      <c r="AE1525">
        <v>1350110085255</v>
      </c>
      <c r="AG1525" t="s">
        <v>2</v>
      </c>
      <c r="AH1525" t="s">
        <v>34</v>
      </c>
      <c r="AI1525" t="s">
        <v>35</v>
      </c>
      <c r="AJ1525" t="s">
        <v>36</v>
      </c>
    </row>
    <row r="1526" spans="1:36">
      <c r="A1526" t="s">
        <v>4391</v>
      </c>
      <c r="B1526" t="s">
        <v>4392</v>
      </c>
      <c r="F1526" t="str">
        <f t="shared" si="23"/>
        <v>61698</v>
      </c>
      <c r="AE1526">
        <v>1348110004664</v>
      </c>
      <c r="AG1526" t="s">
        <v>2</v>
      </c>
      <c r="AH1526" t="s">
        <v>714</v>
      </c>
      <c r="AI1526" t="s">
        <v>76</v>
      </c>
      <c r="AJ1526" t="s">
        <v>715</v>
      </c>
    </row>
    <row r="1527" spans="1:36">
      <c r="A1527" t="s">
        <v>4393</v>
      </c>
      <c r="B1527" t="s">
        <v>4394</v>
      </c>
      <c r="F1527" t="str">
        <f t="shared" si="23"/>
        <v>61699</v>
      </c>
      <c r="AE1527">
        <v>1741110008836</v>
      </c>
      <c r="AG1527" t="s">
        <v>4</v>
      </c>
      <c r="AH1527" t="s">
        <v>1235</v>
      </c>
      <c r="AJ1527" t="s">
        <v>457</v>
      </c>
    </row>
    <row r="1528" spans="1:36">
      <c r="A1528" t="s">
        <v>4395</v>
      </c>
      <c r="B1528" t="s">
        <v>4396</v>
      </c>
      <c r="F1528" t="str">
        <f t="shared" si="23"/>
        <v>61700</v>
      </c>
      <c r="AE1528">
        <v>1347110014631</v>
      </c>
      <c r="AF1528" t="s">
        <v>74</v>
      </c>
      <c r="AG1528" t="s">
        <v>2</v>
      </c>
      <c r="AH1528" t="s">
        <v>425</v>
      </c>
      <c r="AI1528" t="s">
        <v>76</v>
      </c>
      <c r="AJ1528" t="s">
        <v>426</v>
      </c>
    </row>
    <row r="1529" spans="1:36">
      <c r="A1529" t="s">
        <v>4397</v>
      </c>
      <c r="B1529" t="s">
        <v>4398</v>
      </c>
      <c r="F1529" t="str">
        <f t="shared" si="23"/>
        <v>61701</v>
      </c>
      <c r="AE1529">
        <v>1350110115846</v>
      </c>
      <c r="AG1529" t="s">
        <v>2</v>
      </c>
      <c r="AH1529" t="s">
        <v>280</v>
      </c>
      <c r="AJ1529" t="s">
        <v>281</v>
      </c>
    </row>
    <row r="1530" spans="1:36">
      <c r="A1530" t="s">
        <v>4399</v>
      </c>
      <c r="B1530" t="s">
        <v>4400</v>
      </c>
      <c r="F1530" t="str">
        <f t="shared" si="23"/>
        <v>61702</v>
      </c>
      <c r="AE1530">
        <v>1101111552812</v>
      </c>
      <c r="AG1530" t="s">
        <v>4</v>
      </c>
      <c r="AH1530" t="s">
        <v>1036</v>
      </c>
      <c r="AI1530" t="s">
        <v>76</v>
      </c>
      <c r="AJ1530" t="s">
        <v>1037</v>
      </c>
    </row>
    <row r="1531" spans="1:36">
      <c r="A1531" t="s">
        <v>4401</v>
      </c>
      <c r="B1531" t="s">
        <v>4402</v>
      </c>
      <c r="F1531" t="str">
        <f t="shared" si="23"/>
        <v>61703</v>
      </c>
      <c r="AG1531" t="s">
        <v>4</v>
      </c>
    </row>
    <row r="1532" spans="1:36">
      <c r="A1532" t="s">
        <v>4403</v>
      </c>
      <c r="B1532" t="s">
        <v>4404</v>
      </c>
      <c r="F1532" t="str">
        <f t="shared" si="23"/>
        <v>61737</v>
      </c>
      <c r="AE1532">
        <v>1101111424384</v>
      </c>
      <c r="AG1532" t="s">
        <v>4</v>
      </c>
      <c r="AH1532" t="s">
        <v>212</v>
      </c>
      <c r="AI1532" t="s">
        <v>59</v>
      </c>
      <c r="AJ1532" t="s">
        <v>173</v>
      </c>
    </row>
    <row r="1533" spans="1:36">
      <c r="A1533" t="s">
        <v>4405</v>
      </c>
      <c r="B1533" t="s">
        <v>4406</v>
      </c>
      <c r="F1533" t="str">
        <f t="shared" si="23"/>
        <v>61747</v>
      </c>
      <c r="AE1533">
        <v>1812110008083</v>
      </c>
      <c r="AG1533" t="s">
        <v>2</v>
      </c>
      <c r="AH1533" t="s">
        <v>305</v>
      </c>
      <c r="AI1533" t="s">
        <v>146</v>
      </c>
      <c r="AJ1533" t="s">
        <v>306</v>
      </c>
    </row>
    <row r="1534" spans="1:36">
      <c r="A1534" t="s">
        <v>4407</v>
      </c>
      <c r="B1534" t="s">
        <v>4408</v>
      </c>
      <c r="F1534" t="str">
        <f t="shared" si="23"/>
        <v>61748</v>
      </c>
      <c r="AE1534">
        <v>1101110529747</v>
      </c>
      <c r="AG1534" t="s">
        <v>2</v>
      </c>
      <c r="AH1534" t="s">
        <v>462</v>
      </c>
      <c r="AI1534" t="s">
        <v>177</v>
      </c>
      <c r="AJ1534" t="s">
        <v>463</v>
      </c>
    </row>
    <row r="1535" spans="1:36">
      <c r="A1535" t="s">
        <v>4409</v>
      </c>
      <c r="B1535" t="s">
        <v>4410</v>
      </c>
      <c r="F1535" t="str">
        <f t="shared" si="23"/>
        <v>61749</v>
      </c>
      <c r="AE1535">
        <v>1101111513137</v>
      </c>
      <c r="AG1535" t="s">
        <v>4</v>
      </c>
      <c r="AH1535" t="s">
        <v>1236</v>
      </c>
      <c r="AI1535" t="s">
        <v>65</v>
      </c>
      <c r="AJ1535" t="s">
        <v>1237</v>
      </c>
    </row>
    <row r="1536" spans="1:36">
      <c r="A1536" t="s">
        <v>4411</v>
      </c>
      <c r="B1536" t="s">
        <v>4412</v>
      </c>
      <c r="F1536" t="str">
        <f t="shared" si="23"/>
        <v>61750</v>
      </c>
      <c r="AE1536">
        <v>1201110144999</v>
      </c>
      <c r="AG1536" t="s">
        <v>2</v>
      </c>
      <c r="AH1536" t="s">
        <v>1238</v>
      </c>
      <c r="AI1536" t="s">
        <v>1239</v>
      </c>
      <c r="AJ1536" t="s">
        <v>1240</v>
      </c>
    </row>
    <row r="1537" spans="1:36">
      <c r="A1537" t="s">
        <v>4413</v>
      </c>
      <c r="B1537" t="s">
        <v>4414</v>
      </c>
      <c r="F1537" t="str">
        <f t="shared" si="23"/>
        <v>61751</v>
      </c>
      <c r="AE1537">
        <v>1648110021208</v>
      </c>
      <c r="AG1537" t="s">
        <v>2</v>
      </c>
      <c r="AH1537" t="s">
        <v>490</v>
      </c>
      <c r="AI1537" t="s">
        <v>76</v>
      </c>
      <c r="AJ1537" t="s">
        <v>491</v>
      </c>
    </row>
    <row r="1538" spans="1:36">
      <c r="A1538" t="s">
        <v>4415</v>
      </c>
      <c r="B1538" t="s">
        <v>4416</v>
      </c>
      <c r="F1538" t="str">
        <f t="shared" si="23"/>
        <v>61752</v>
      </c>
      <c r="AE1538">
        <v>1760110014198</v>
      </c>
      <c r="AG1538" t="s">
        <v>4</v>
      </c>
      <c r="AH1538" t="s">
        <v>1036</v>
      </c>
      <c r="AI1538" t="s">
        <v>76</v>
      </c>
      <c r="AJ1538" t="s">
        <v>1037</v>
      </c>
    </row>
    <row r="1539" spans="1:36">
      <c r="A1539" t="s">
        <v>4417</v>
      </c>
      <c r="B1539" t="s">
        <v>4418</v>
      </c>
      <c r="F1539" t="str">
        <f t="shared" si="23"/>
        <v>61819</v>
      </c>
      <c r="AE1539">
        <v>1346110012687</v>
      </c>
      <c r="AG1539" t="s">
        <v>2</v>
      </c>
      <c r="AH1539" t="s">
        <v>1236</v>
      </c>
      <c r="AI1539" t="s">
        <v>65</v>
      </c>
      <c r="AJ1539" t="s">
        <v>1237</v>
      </c>
    </row>
    <row r="1540" spans="1:36">
      <c r="A1540" t="s">
        <v>4419</v>
      </c>
      <c r="B1540" t="s">
        <v>4420</v>
      </c>
      <c r="F1540" t="str">
        <f t="shared" si="23"/>
        <v>61820</v>
      </c>
      <c r="AE1540">
        <v>1101112611906</v>
      </c>
      <c r="AG1540" t="s">
        <v>2</v>
      </c>
      <c r="AH1540" t="s">
        <v>1227</v>
      </c>
      <c r="AI1540" t="s">
        <v>59</v>
      </c>
      <c r="AJ1540" t="s">
        <v>143</v>
      </c>
    </row>
    <row r="1541" spans="1:36">
      <c r="A1541" t="s">
        <v>4421</v>
      </c>
      <c r="B1541" t="s">
        <v>4422</v>
      </c>
      <c r="F1541" t="str">
        <f t="shared" si="23"/>
        <v>61842</v>
      </c>
      <c r="AE1541">
        <v>1341110011928</v>
      </c>
      <c r="AG1541" t="s">
        <v>4</v>
      </c>
      <c r="AH1541" t="s">
        <v>58</v>
      </c>
      <c r="AI1541" t="s">
        <v>59</v>
      </c>
      <c r="AJ1541" t="s">
        <v>50</v>
      </c>
    </row>
    <row r="1542" spans="1:36">
      <c r="A1542" t="s">
        <v>4423</v>
      </c>
      <c r="B1542" t="s">
        <v>4424</v>
      </c>
      <c r="F1542" t="str">
        <f t="shared" si="23"/>
        <v>61854</v>
      </c>
      <c r="AG1542" t="s">
        <v>4</v>
      </c>
    </row>
    <row r="1543" spans="1:36">
      <c r="A1543" t="s">
        <v>4425</v>
      </c>
      <c r="B1543" t="s">
        <v>4426</v>
      </c>
      <c r="F1543" t="str">
        <f t="shared" si="23"/>
        <v>61855</v>
      </c>
      <c r="AE1543">
        <v>1311110054020</v>
      </c>
      <c r="AG1543" t="s">
        <v>4</v>
      </c>
      <c r="AH1543" t="s">
        <v>656</v>
      </c>
      <c r="AI1543" t="s">
        <v>657</v>
      </c>
      <c r="AJ1543" t="s">
        <v>658</v>
      </c>
    </row>
    <row r="1544" spans="1:36">
      <c r="A1544" t="s">
        <v>4427</v>
      </c>
      <c r="B1544" t="s">
        <v>4428</v>
      </c>
      <c r="F1544" t="str">
        <f t="shared" si="23"/>
        <v>61856</v>
      </c>
      <c r="AE1544">
        <v>1101111981649</v>
      </c>
      <c r="AG1544" t="s">
        <v>4</v>
      </c>
      <c r="AH1544" t="s">
        <v>656</v>
      </c>
      <c r="AI1544" t="s">
        <v>657</v>
      </c>
      <c r="AJ1544" t="s">
        <v>658</v>
      </c>
    </row>
    <row r="1545" spans="1:36">
      <c r="A1545" t="s">
        <v>4429</v>
      </c>
      <c r="B1545" t="s">
        <v>4430</v>
      </c>
      <c r="F1545" t="str">
        <f t="shared" si="23"/>
        <v>61882</v>
      </c>
      <c r="AE1545">
        <v>1760110035615</v>
      </c>
      <c r="AG1545" t="s">
        <v>2</v>
      </c>
      <c r="AH1545" t="s">
        <v>1242</v>
      </c>
      <c r="AI1545" t="s">
        <v>139</v>
      </c>
      <c r="AJ1545" t="s">
        <v>443</v>
      </c>
    </row>
    <row r="1546" spans="1:36">
      <c r="A1546" t="s">
        <v>4431</v>
      </c>
      <c r="B1546" t="s">
        <v>4432</v>
      </c>
      <c r="F1546" t="str">
        <f t="shared" ref="F1546:F1609" si="24">CHOOSE($C$1, A1546, B1546)</f>
        <v>61883</v>
      </c>
      <c r="AE1546">
        <v>1243110016976</v>
      </c>
      <c r="AG1546" t="s">
        <v>2</v>
      </c>
      <c r="AH1546" t="s">
        <v>1031</v>
      </c>
      <c r="AI1546" t="s">
        <v>35</v>
      </c>
      <c r="AJ1546" t="s">
        <v>1032</v>
      </c>
    </row>
    <row r="1547" spans="1:36">
      <c r="A1547" t="s">
        <v>4433</v>
      </c>
      <c r="B1547" t="s">
        <v>4434</v>
      </c>
      <c r="F1547" t="str">
        <f t="shared" si="24"/>
        <v>61884</v>
      </c>
      <c r="AE1547">
        <v>1301110007616</v>
      </c>
      <c r="AG1547" t="s">
        <v>2</v>
      </c>
      <c r="AH1547" t="s">
        <v>425</v>
      </c>
      <c r="AI1547" t="s">
        <v>76</v>
      </c>
      <c r="AJ1547" t="s">
        <v>426</v>
      </c>
    </row>
    <row r="1548" spans="1:36">
      <c r="A1548" t="s">
        <v>4435</v>
      </c>
      <c r="B1548" t="s">
        <v>4436</v>
      </c>
      <c r="F1548" t="str">
        <f t="shared" si="24"/>
        <v>61885</v>
      </c>
      <c r="AE1548">
        <v>1101112039934</v>
      </c>
      <c r="AG1548" t="s">
        <v>2</v>
      </c>
      <c r="AH1548" t="s">
        <v>288</v>
      </c>
      <c r="AI1548" t="s">
        <v>76</v>
      </c>
      <c r="AJ1548" t="s">
        <v>289</v>
      </c>
    </row>
    <row r="1549" spans="1:36">
      <c r="A1549" t="s">
        <v>4437</v>
      </c>
      <c r="B1549" t="s">
        <v>4438</v>
      </c>
      <c r="F1549" t="str">
        <f t="shared" si="24"/>
        <v>61893</v>
      </c>
      <c r="AE1549">
        <v>1341110131073</v>
      </c>
      <c r="AG1549" t="s">
        <v>2</v>
      </c>
      <c r="AH1549" t="s">
        <v>1243</v>
      </c>
      <c r="AI1549" t="s">
        <v>26</v>
      </c>
      <c r="AJ1549" t="s">
        <v>1244</v>
      </c>
    </row>
    <row r="1550" spans="1:36">
      <c r="A1550" t="s">
        <v>4439</v>
      </c>
      <c r="B1550" t="s">
        <v>4440</v>
      </c>
      <c r="F1550" t="str">
        <f t="shared" si="24"/>
        <v>61894</v>
      </c>
      <c r="AE1550">
        <v>1101111775745</v>
      </c>
      <c r="AG1550" t="s">
        <v>4</v>
      </c>
      <c r="AH1550" t="s">
        <v>1156</v>
      </c>
      <c r="AJ1550" t="s">
        <v>1157</v>
      </c>
    </row>
    <row r="1551" spans="1:36">
      <c r="A1551" t="s">
        <v>4441</v>
      </c>
      <c r="B1551" t="s">
        <v>4442</v>
      </c>
      <c r="F1551" t="str">
        <f t="shared" si="24"/>
        <v>61895</v>
      </c>
      <c r="AE1551">
        <v>1501110040779</v>
      </c>
      <c r="AG1551" t="s">
        <v>4</v>
      </c>
      <c r="AH1551" t="s">
        <v>341</v>
      </c>
      <c r="AJ1551" t="s">
        <v>342</v>
      </c>
    </row>
    <row r="1552" spans="1:36">
      <c r="A1552" t="s">
        <v>4443</v>
      </c>
      <c r="B1552" t="s">
        <v>4444</v>
      </c>
      <c r="F1552" t="str">
        <f t="shared" si="24"/>
        <v>61896</v>
      </c>
      <c r="AE1552">
        <v>1845110020244</v>
      </c>
      <c r="AG1552" t="s">
        <v>2</v>
      </c>
      <c r="AH1552" t="s">
        <v>145</v>
      </c>
      <c r="AI1552" t="s">
        <v>146</v>
      </c>
      <c r="AJ1552" t="s">
        <v>147</v>
      </c>
    </row>
    <row r="1553" spans="1:36">
      <c r="A1553" t="s">
        <v>4445</v>
      </c>
      <c r="B1553" t="s">
        <v>4446</v>
      </c>
      <c r="F1553" t="str">
        <f t="shared" si="24"/>
        <v>61915</v>
      </c>
      <c r="AE1553">
        <v>1101112103953</v>
      </c>
      <c r="AG1553" t="s">
        <v>2</v>
      </c>
      <c r="AH1553" t="s">
        <v>904</v>
      </c>
      <c r="AI1553" t="s">
        <v>275</v>
      </c>
      <c r="AJ1553" t="s">
        <v>905</v>
      </c>
    </row>
    <row r="1554" spans="1:36">
      <c r="A1554" t="s">
        <v>4447</v>
      </c>
      <c r="B1554" t="s">
        <v>4448</v>
      </c>
      <c r="F1554" t="str">
        <f t="shared" si="24"/>
        <v>61916</v>
      </c>
      <c r="AE1554">
        <v>1101113555187</v>
      </c>
      <c r="AG1554" t="s">
        <v>2</v>
      </c>
      <c r="AH1554" t="s">
        <v>274</v>
      </c>
      <c r="AI1554" t="s">
        <v>275</v>
      </c>
      <c r="AJ1554" t="s">
        <v>131</v>
      </c>
    </row>
    <row r="1555" spans="1:36">
      <c r="A1555" t="s">
        <v>4449</v>
      </c>
      <c r="B1555" t="s">
        <v>4450</v>
      </c>
      <c r="F1555" t="str">
        <f t="shared" si="24"/>
        <v>61917</v>
      </c>
      <c r="AE1555">
        <v>1314110189425</v>
      </c>
      <c r="AG1555" t="s">
        <v>2</v>
      </c>
      <c r="AH1555" t="s">
        <v>1246</v>
      </c>
      <c r="AJ1555" t="s">
        <v>1247</v>
      </c>
    </row>
    <row r="1556" spans="1:36">
      <c r="A1556" t="s">
        <v>4451</v>
      </c>
      <c r="B1556" t="s">
        <v>4452</v>
      </c>
      <c r="F1556" t="str">
        <f t="shared" si="24"/>
        <v>61988</v>
      </c>
      <c r="AE1556">
        <v>1101112149890</v>
      </c>
      <c r="AG1556" t="s">
        <v>2</v>
      </c>
      <c r="AH1556" t="s">
        <v>1132</v>
      </c>
      <c r="AI1556" t="s">
        <v>70</v>
      </c>
      <c r="AJ1556" t="s">
        <v>971</v>
      </c>
    </row>
    <row r="1557" spans="1:36">
      <c r="A1557" t="s">
        <v>4453</v>
      </c>
      <c r="B1557" t="s">
        <v>4454</v>
      </c>
      <c r="F1557" t="str">
        <f t="shared" si="24"/>
        <v>62014</v>
      </c>
      <c r="AE1557">
        <v>1101113710468</v>
      </c>
      <c r="AG1557" t="s">
        <v>2</v>
      </c>
      <c r="AH1557" t="s">
        <v>15</v>
      </c>
      <c r="AI1557" t="s">
        <v>16</v>
      </c>
      <c r="AJ1557" t="s">
        <v>17</v>
      </c>
    </row>
    <row r="1558" spans="1:36">
      <c r="A1558" t="s">
        <v>4455</v>
      </c>
      <c r="B1558" t="s">
        <v>4456</v>
      </c>
      <c r="F1558" t="str">
        <f t="shared" si="24"/>
        <v>62015</v>
      </c>
      <c r="AE1558">
        <v>1101113804823</v>
      </c>
      <c r="AG1558" t="s">
        <v>4</v>
      </c>
    </row>
    <row r="1559" spans="1:36">
      <c r="A1559" t="s">
        <v>4457</v>
      </c>
      <c r="B1559" t="s">
        <v>4458</v>
      </c>
      <c r="F1559" t="str">
        <f t="shared" si="24"/>
        <v>62025</v>
      </c>
      <c r="AE1559">
        <v>1101113805243</v>
      </c>
      <c r="AG1559" t="s">
        <v>4</v>
      </c>
    </row>
    <row r="1560" spans="1:36">
      <c r="A1560" t="s">
        <v>4459</v>
      </c>
      <c r="B1560" t="s">
        <v>4460</v>
      </c>
      <c r="F1560" t="str">
        <f t="shared" si="24"/>
        <v>62026</v>
      </c>
      <c r="AE1560">
        <v>1101113807950</v>
      </c>
      <c r="AG1560" t="s">
        <v>4</v>
      </c>
    </row>
    <row r="1561" spans="1:36">
      <c r="A1561" t="s">
        <v>4461</v>
      </c>
      <c r="B1561" t="s">
        <v>4462</v>
      </c>
      <c r="F1561" t="str">
        <f t="shared" si="24"/>
        <v>62027</v>
      </c>
      <c r="AE1561">
        <v>1201110447799</v>
      </c>
      <c r="AG1561" t="s">
        <v>4</v>
      </c>
      <c r="AH1561" t="s">
        <v>1249</v>
      </c>
      <c r="AI1561" t="s">
        <v>192</v>
      </c>
      <c r="AJ1561" t="s">
        <v>1250</v>
      </c>
    </row>
    <row r="1562" spans="1:36">
      <c r="A1562" t="s">
        <v>4463</v>
      </c>
      <c r="B1562" t="s">
        <v>4464</v>
      </c>
      <c r="F1562" t="str">
        <f t="shared" si="24"/>
        <v>62028</v>
      </c>
      <c r="AE1562">
        <v>1101113806556</v>
      </c>
      <c r="AG1562" t="s">
        <v>4</v>
      </c>
    </row>
    <row r="1563" spans="1:36">
      <c r="A1563" t="s">
        <v>4465</v>
      </c>
      <c r="B1563" t="s">
        <v>4466</v>
      </c>
      <c r="F1563" t="str">
        <f t="shared" si="24"/>
        <v>62029</v>
      </c>
      <c r="AE1563">
        <v>1101113806283</v>
      </c>
      <c r="AG1563" t="s">
        <v>4</v>
      </c>
      <c r="AH1563" t="s">
        <v>837</v>
      </c>
      <c r="AI1563" t="s">
        <v>6</v>
      </c>
      <c r="AJ1563" t="s">
        <v>838</v>
      </c>
    </row>
    <row r="1564" spans="1:36">
      <c r="A1564" t="s">
        <v>4467</v>
      </c>
      <c r="B1564" t="s">
        <v>4468</v>
      </c>
      <c r="F1564" t="str">
        <f t="shared" si="24"/>
        <v>62030</v>
      </c>
      <c r="AE1564">
        <v>1101140064664</v>
      </c>
      <c r="AG1564" t="s">
        <v>4</v>
      </c>
    </row>
    <row r="1565" spans="1:36">
      <c r="A1565" t="s">
        <v>4469</v>
      </c>
      <c r="B1565" t="s">
        <v>4470</v>
      </c>
      <c r="F1565" t="str">
        <f t="shared" si="24"/>
        <v>62064</v>
      </c>
      <c r="AG1565" t="s">
        <v>4</v>
      </c>
    </row>
    <row r="1566" spans="1:36">
      <c r="A1566" t="s">
        <v>4471</v>
      </c>
      <c r="B1566" t="s">
        <v>4472</v>
      </c>
      <c r="F1566" t="str">
        <f t="shared" si="24"/>
        <v>62065</v>
      </c>
      <c r="AG1566" t="s">
        <v>4</v>
      </c>
    </row>
    <row r="1567" spans="1:36">
      <c r="A1567" t="s">
        <v>4473</v>
      </c>
      <c r="B1567" t="s">
        <v>4474</v>
      </c>
      <c r="F1567" t="str">
        <f t="shared" si="24"/>
        <v>62095</v>
      </c>
      <c r="AG1567" t="s">
        <v>4</v>
      </c>
    </row>
    <row r="1568" spans="1:36">
      <c r="A1568" t="s">
        <v>4475</v>
      </c>
      <c r="B1568" t="s">
        <v>4476</v>
      </c>
      <c r="F1568" t="str">
        <f t="shared" si="24"/>
        <v>62113</v>
      </c>
      <c r="AE1568">
        <v>1101113827586</v>
      </c>
      <c r="AG1568" t="s">
        <v>4</v>
      </c>
    </row>
    <row r="1569" spans="1:36">
      <c r="A1569" t="s">
        <v>4477</v>
      </c>
      <c r="B1569" t="s">
        <v>4478</v>
      </c>
      <c r="F1569" t="str">
        <f t="shared" si="24"/>
        <v>62118</v>
      </c>
      <c r="AE1569">
        <v>1101113831561</v>
      </c>
      <c r="AG1569" t="s">
        <v>4</v>
      </c>
    </row>
    <row r="1570" spans="1:36">
      <c r="A1570" t="s">
        <v>4479</v>
      </c>
      <c r="B1570" t="s">
        <v>4480</v>
      </c>
      <c r="F1570" t="str">
        <f t="shared" si="24"/>
        <v>62119</v>
      </c>
      <c r="AE1570">
        <v>1101113818030</v>
      </c>
      <c r="AG1570" t="s">
        <v>4</v>
      </c>
      <c r="AH1570" t="s">
        <v>837</v>
      </c>
      <c r="AI1570" t="s">
        <v>6</v>
      </c>
      <c r="AJ1570" t="s">
        <v>838</v>
      </c>
    </row>
    <row r="1571" spans="1:36">
      <c r="A1571" t="s">
        <v>4481</v>
      </c>
      <c r="B1571" t="s">
        <v>4482</v>
      </c>
      <c r="F1571" t="str">
        <f t="shared" si="24"/>
        <v>62120</v>
      </c>
      <c r="AE1571">
        <v>1101113820621</v>
      </c>
      <c r="AG1571" t="s">
        <v>4</v>
      </c>
    </row>
    <row r="1572" spans="1:36">
      <c r="A1572" t="s">
        <v>4483</v>
      </c>
      <c r="B1572" t="s">
        <v>4484</v>
      </c>
      <c r="F1572" t="str">
        <f t="shared" si="24"/>
        <v>62165</v>
      </c>
      <c r="AE1572">
        <v>1101140070786</v>
      </c>
      <c r="AG1572" t="s">
        <v>4</v>
      </c>
    </row>
    <row r="1573" spans="1:36">
      <c r="A1573" t="s">
        <v>4485</v>
      </c>
      <c r="B1573" t="s">
        <v>4486</v>
      </c>
      <c r="F1573" t="str">
        <f t="shared" si="24"/>
        <v>62166</v>
      </c>
      <c r="AE1573">
        <v>1101113828740</v>
      </c>
      <c r="AG1573" t="s">
        <v>4</v>
      </c>
      <c r="AH1573" t="s">
        <v>837</v>
      </c>
      <c r="AI1573" t="s">
        <v>6</v>
      </c>
      <c r="AJ1573" t="s">
        <v>838</v>
      </c>
    </row>
    <row r="1574" spans="1:36">
      <c r="A1574" t="s">
        <v>4487</v>
      </c>
      <c r="B1574" t="s">
        <v>4488</v>
      </c>
      <c r="F1574" t="str">
        <f t="shared" si="24"/>
        <v>62167</v>
      </c>
      <c r="AE1574">
        <v>1101140054912</v>
      </c>
      <c r="AG1574" t="s">
        <v>4</v>
      </c>
    </row>
    <row r="1575" spans="1:36">
      <c r="A1575" t="s">
        <v>4489</v>
      </c>
      <c r="B1575" t="s">
        <v>4490</v>
      </c>
      <c r="F1575" t="str">
        <f t="shared" si="24"/>
        <v>62168</v>
      </c>
      <c r="AE1575">
        <v>1101113834771</v>
      </c>
      <c r="AG1575" t="s">
        <v>4</v>
      </c>
    </row>
    <row r="1576" spans="1:36">
      <c r="A1576" t="s">
        <v>4491</v>
      </c>
      <c r="B1576" t="s">
        <v>4492</v>
      </c>
      <c r="F1576" t="str">
        <f t="shared" si="24"/>
        <v>62169</v>
      </c>
      <c r="AE1576">
        <v>1301110005644</v>
      </c>
      <c r="AG1576" t="s">
        <v>4</v>
      </c>
    </row>
    <row r="1577" spans="1:36">
      <c r="A1577" t="s">
        <v>4493</v>
      </c>
      <c r="B1577" t="s">
        <v>4494</v>
      </c>
      <c r="F1577" t="str">
        <f t="shared" si="24"/>
        <v>62170</v>
      </c>
      <c r="AG1577" t="s">
        <v>4</v>
      </c>
    </row>
    <row r="1578" spans="1:36">
      <c r="A1578" t="s">
        <v>4495</v>
      </c>
      <c r="B1578" t="s">
        <v>4496</v>
      </c>
      <c r="F1578" t="str">
        <f t="shared" si="24"/>
        <v>62205</v>
      </c>
      <c r="AE1578">
        <v>1101113809112</v>
      </c>
      <c r="AG1578" t="s">
        <v>4</v>
      </c>
      <c r="AH1578" t="s">
        <v>759</v>
      </c>
      <c r="AI1578" t="s">
        <v>555</v>
      </c>
      <c r="AJ1578" t="s">
        <v>760</v>
      </c>
    </row>
    <row r="1579" spans="1:36">
      <c r="A1579" t="s">
        <v>4497</v>
      </c>
      <c r="B1579" t="s">
        <v>4498</v>
      </c>
      <c r="F1579" t="str">
        <f t="shared" si="24"/>
        <v>62209</v>
      </c>
      <c r="AE1579">
        <v>1101113833244</v>
      </c>
      <c r="AG1579" t="s">
        <v>4</v>
      </c>
    </row>
    <row r="1580" spans="1:36">
      <c r="A1580" t="s">
        <v>4499</v>
      </c>
      <c r="B1580" t="s">
        <v>4500</v>
      </c>
      <c r="F1580" t="str">
        <f t="shared" si="24"/>
        <v>62210</v>
      </c>
      <c r="AE1580">
        <v>1101111435191</v>
      </c>
      <c r="AG1580" t="s">
        <v>4</v>
      </c>
      <c r="AH1580" t="s">
        <v>403</v>
      </c>
      <c r="AI1580" t="s">
        <v>55</v>
      </c>
      <c r="AJ1580" t="s">
        <v>404</v>
      </c>
    </row>
    <row r="1581" spans="1:36">
      <c r="A1581" t="s">
        <v>4501</v>
      </c>
      <c r="B1581" t="s">
        <v>4502</v>
      </c>
      <c r="F1581" t="str">
        <f t="shared" si="24"/>
        <v>62211</v>
      </c>
      <c r="AG1581" t="s">
        <v>4</v>
      </c>
    </row>
    <row r="1582" spans="1:36">
      <c r="A1582" t="s">
        <v>4503</v>
      </c>
      <c r="B1582" t="s">
        <v>4504</v>
      </c>
      <c r="F1582" t="str">
        <f t="shared" si="24"/>
        <v>62214</v>
      </c>
      <c r="AE1582">
        <v>1150710000095</v>
      </c>
      <c r="AG1582" t="s">
        <v>4</v>
      </c>
      <c r="AH1582" t="s">
        <v>1252</v>
      </c>
      <c r="AI1582" t="s">
        <v>555</v>
      </c>
      <c r="AJ1582" t="s">
        <v>1253</v>
      </c>
    </row>
    <row r="1583" spans="1:36">
      <c r="A1583" t="s">
        <v>4505</v>
      </c>
      <c r="B1583" t="s">
        <v>4506</v>
      </c>
      <c r="F1583" t="str">
        <f t="shared" si="24"/>
        <v>62215</v>
      </c>
      <c r="AE1583">
        <v>1401710000919</v>
      </c>
      <c r="AG1583" t="s">
        <v>4</v>
      </c>
      <c r="AH1583" t="s">
        <v>565</v>
      </c>
      <c r="AI1583" t="s">
        <v>297</v>
      </c>
      <c r="AJ1583" t="s">
        <v>566</v>
      </c>
    </row>
    <row r="1584" spans="1:36">
      <c r="A1584" t="s">
        <v>4507</v>
      </c>
      <c r="B1584" t="s">
        <v>4508</v>
      </c>
      <c r="F1584" t="str">
        <f t="shared" si="24"/>
        <v>62266</v>
      </c>
      <c r="AE1584">
        <v>1101113794181</v>
      </c>
      <c r="AG1584" t="s">
        <v>4</v>
      </c>
    </row>
    <row r="1585" spans="1:36">
      <c r="A1585" t="s">
        <v>4509</v>
      </c>
      <c r="B1585" t="s">
        <v>4510</v>
      </c>
      <c r="F1585" t="str">
        <f t="shared" si="24"/>
        <v>62267</v>
      </c>
      <c r="AG1585" t="s">
        <v>4</v>
      </c>
    </row>
    <row r="1586" spans="1:36">
      <c r="A1586" t="s">
        <v>4511</v>
      </c>
      <c r="B1586" t="s">
        <v>4512</v>
      </c>
      <c r="F1586" t="str">
        <f t="shared" si="24"/>
        <v>62268</v>
      </c>
      <c r="AE1586">
        <v>1101113846338</v>
      </c>
      <c r="AG1586" t="s">
        <v>4</v>
      </c>
      <c r="AH1586" t="s">
        <v>837</v>
      </c>
      <c r="AI1586" t="s">
        <v>6</v>
      </c>
      <c r="AJ1586" t="s">
        <v>838</v>
      </c>
    </row>
    <row r="1587" spans="1:36">
      <c r="A1587" t="s">
        <v>4513</v>
      </c>
      <c r="B1587" t="s">
        <v>4514</v>
      </c>
      <c r="F1587" t="str">
        <f t="shared" si="24"/>
        <v>62296</v>
      </c>
      <c r="AG1587" t="s">
        <v>4</v>
      </c>
    </row>
    <row r="1588" spans="1:36">
      <c r="A1588" t="s">
        <v>4515</v>
      </c>
      <c r="B1588" t="s">
        <v>4516</v>
      </c>
      <c r="F1588" t="str">
        <f t="shared" si="24"/>
        <v>62297</v>
      </c>
      <c r="AE1588">
        <v>1101113847170</v>
      </c>
      <c r="AG1588" t="s">
        <v>4</v>
      </c>
    </row>
    <row r="1589" spans="1:36">
      <c r="A1589" t="s">
        <v>4517</v>
      </c>
      <c r="B1589" t="s">
        <v>4518</v>
      </c>
      <c r="F1589" t="str">
        <f t="shared" si="24"/>
        <v>62298</v>
      </c>
      <c r="AG1589" t="s">
        <v>4</v>
      </c>
    </row>
    <row r="1590" spans="1:36">
      <c r="A1590" t="s">
        <v>4519</v>
      </c>
      <c r="B1590" t="s">
        <v>4520</v>
      </c>
      <c r="F1590" t="str">
        <f t="shared" si="24"/>
        <v>62359</v>
      </c>
      <c r="AG1590" t="s">
        <v>4</v>
      </c>
    </row>
    <row r="1591" spans="1:36">
      <c r="A1591" t="s">
        <v>4521</v>
      </c>
      <c r="B1591" t="s">
        <v>4522</v>
      </c>
      <c r="F1591" t="str">
        <f t="shared" si="24"/>
        <v>62364</v>
      </c>
      <c r="AE1591">
        <v>1101113850941</v>
      </c>
      <c r="AG1591" t="s">
        <v>4</v>
      </c>
    </row>
    <row r="1592" spans="1:36">
      <c r="A1592" t="s">
        <v>4523</v>
      </c>
      <c r="B1592" t="s">
        <v>4524</v>
      </c>
      <c r="F1592" t="str">
        <f t="shared" si="24"/>
        <v>62365</v>
      </c>
      <c r="AE1592">
        <v>1101111009780</v>
      </c>
      <c r="AG1592" t="s">
        <v>4</v>
      </c>
      <c r="AH1592" t="s">
        <v>1121</v>
      </c>
      <c r="AI1592" t="s">
        <v>568</v>
      </c>
      <c r="AJ1592" t="s">
        <v>1122</v>
      </c>
    </row>
    <row r="1593" spans="1:36">
      <c r="A1593" t="s">
        <v>4525</v>
      </c>
      <c r="B1593" t="s">
        <v>4526</v>
      </c>
      <c r="F1593" t="str">
        <f t="shared" si="24"/>
        <v>62366</v>
      </c>
      <c r="AE1593">
        <v>1101113850446</v>
      </c>
      <c r="AG1593" t="s">
        <v>4</v>
      </c>
      <c r="AH1593" t="s">
        <v>837</v>
      </c>
      <c r="AI1593" t="s">
        <v>6</v>
      </c>
      <c r="AJ1593" t="s">
        <v>838</v>
      </c>
    </row>
    <row r="1594" spans="1:36">
      <c r="A1594" t="s">
        <v>4527</v>
      </c>
      <c r="B1594" t="s">
        <v>4528</v>
      </c>
      <c r="F1594" t="str">
        <f t="shared" si="24"/>
        <v>62382</v>
      </c>
      <c r="AE1594">
        <v>1101113855313</v>
      </c>
      <c r="AG1594" t="s">
        <v>4</v>
      </c>
    </row>
    <row r="1595" spans="1:36">
      <c r="A1595" t="s">
        <v>4529</v>
      </c>
      <c r="B1595" t="s">
        <v>4530</v>
      </c>
      <c r="F1595" t="str">
        <f t="shared" si="24"/>
        <v>62389</v>
      </c>
      <c r="AE1595">
        <v>1101113855230</v>
      </c>
      <c r="AG1595" t="s">
        <v>4</v>
      </c>
    </row>
    <row r="1596" spans="1:36">
      <c r="A1596" t="s">
        <v>4531</v>
      </c>
      <c r="B1596" t="s">
        <v>4532</v>
      </c>
      <c r="F1596" t="str">
        <f t="shared" si="24"/>
        <v>62406</v>
      </c>
      <c r="AE1596">
        <v>1101113855991</v>
      </c>
      <c r="AG1596" t="s">
        <v>4</v>
      </c>
    </row>
    <row r="1597" spans="1:36">
      <c r="A1597" t="s">
        <v>4533</v>
      </c>
      <c r="B1597" t="s">
        <v>4534</v>
      </c>
      <c r="F1597" t="str">
        <f t="shared" si="24"/>
        <v>62407</v>
      </c>
      <c r="AE1597">
        <v>1101113854894</v>
      </c>
      <c r="AG1597" t="s">
        <v>4</v>
      </c>
    </row>
    <row r="1598" spans="1:36">
      <c r="A1598" t="s">
        <v>4535</v>
      </c>
      <c r="B1598" t="s">
        <v>4536</v>
      </c>
      <c r="F1598" t="str">
        <f t="shared" si="24"/>
        <v>62408</v>
      </c>
      <c r="AE1598">
        <v>1101113857963</v>
      </c>
      <c r="AG1598" t="s">
        <v>4</v>
      </c>
    </row>
    <row r="1599" spans="1:36">
      <c r="A1599" t="s">
        <v>4537</v>
      </c>
      <c r="B1599" t="s">
        <v>4538</v>
      </c>
      <c r="F1599" t="str">
        <f t="shared" si="24"/>
        <v>62434</v>
      </c>
      <c r="AE1599">
        <v>1101113859323</v>
      </c>
      <c r="AG1599" t="s">
        <v>4</v>
      </c>
    </row>
    <row r="1600" spans="1:36">
      <c r="A1600" t="s">
        <v>4539</v>
      </c>
      <c r="B1600" t="s">
        <v>4540</v>
      </c>
      <c r="F1600" t="str">
        <f t="shared" si="24"/>
        <v>62435</v>
      </c>
      <c r="AE1600">
        <v>1101113860544</v>
      </c>
      <c r="AG1600" t="s">
        <v>4</v>
      </c>
    </row>
    <row r="1601" spans="1:36">
      <c r="A1601" t="s">
        <v>4541</v>
      </c>
      <c r="B1601" t="s">
        <v>4542</v>
      </c>
      <c r="F1601" t="str">
        <f t="shared" si="24"/>
        <v>62436</v>
      </c>
      <c r="AE1601">
        <v>1101113864182</v>
      </c>
      <c r="AG1601" t="s">
        <v>4</v>
      </c>
    </row>
    <row r="1602" spans="1:36">
      <c r="A1602" t="s">
        <v>4543</v>
      </c>
      <c r="B1602" t="s">
        <v>4544</v>
      </c>
      <c r="F1602" t="str">
        <f t="shared" si="24"/>
        <v>62437</v>
      </c>
      <c r="AE1602">
        <v>1101113865586</v>
      </c>
      <c r="AG1602" t="s">
        <v>4</v>
      </c>
    </row>
    <row r="1603" spans="1:36">
      <c r="A1603" t="s">
        <v>4545</v>
      </c>
      <c r="B1603" t="s">
        <v>4546</v>
      </c>
      <c r="F1603" t="str">
        <f t="shared" si="24"/>
        <v>62438</v>
      </c>
      <c r="AE1603">
        <v>1101113866609</v>
      </c>
      <c r="AG1603" t="s">
        <v>4</v>
      </c>
    </row>
    <row r="1604" spans="1:36">
      <c r="A1604" t="s">
        <v>4547</v>
      </c>
      <c r="B1604" t="s">
        <v>4548</v>
      </c>
      <c r="F1604" t="str">
        <f t="shared" si="24"/>
        <v>62439</v>
      </c>
      <c r="AG1604" t="s">
        <v>4</v>
      </c>
    </row>
    <row r="1605" spans="1:36">
      <c r="A1605" t="s">
        <v>4549</v>
      </c>
      <c r="B1605" t="s">
        <v>4550</v>
      </c>
      <c r="F1605" t="str">
        <f t="shared" si="24"/>
        <v>62440</v>
      </c>
      <c r="AE1605">
        <v>1101140072790</v>
      </c>
      <c r="AG1605" t="s">
        <v>4</v>
      </c>
    </row>
    <row r="1606" spans="1:36">
      <c r="A1606" t="s">
        <v>4551</v>
      </c>
      <c r="B1606" t="s">
        <v>4552</v>
      </c>
      <c r="F1606" t="str">
        <f t="shared" si="24"/>
        <v>62494</v>
      </c>
      <c r="AE1606">
        <v>1801110036615</v>
      </c>
      <c r="AG1606" t="s">
        <v>4</v>
      </c>
      <c r="AH1606" t="s">
        <v>15</v>
      </c>
      <c r="AI1606" t="s">
        <v>16</v>
      </c>
      <c r="AJ1606" t="s">
        <v>17</v>
      </c>
    </row>
    <row r="1607" spans="1:36">
      <c r="A1607" t="s">
        <v>4553</v>
      </c>
      <c r="B1607" t="s">
        <v>4554</v>
      </c>
      <c r="F1607" t="str">
        <f t="shared" si="24"/>
        <v>62495</v>
      </c>
      <c r="AE1607">
        <v>1101113863548</v>
      </c>
      <c r="AG1607" t="s">
        <v>4</v>
      </c>
    </row>
    <row r="1608" spans="1:36">
      <c r="A1608" t="s">
        <v>4555</v>
      </c>
      <c r="B1608" t="s">
        <v>4556</v>
      </c>
      <c r="F1608" t="str">
        <f t="shared" si="24"/>
        <v>62496</v>
      </c>
      <c r="AE1608">
        <v>1101112376815</v>
      </c>
      <c r="AG1608" t="s">
        <v>4</v>
      </c>
      <c r="AH1608" t="s">
        <v>837</v>
      </c>
      <c r="AI1608" t="s">
        <v>6</v>
      </c>
      <c r="AJ1608" t="s">
        <v>838</v>
      </c>
    </row>
    <row r="1609" spans="1:36">
      <c r="A1609" t="s">
        <v>4557</v>
      </c>
      <c r="B1609" t="s">
        <v>4558</v>
      </c>
      <c r="F1609" t="str">
        <f t="shared" si="24"/>
        <v>62497</v>
      </c>
      <c r="AG1609" t="s">
        <v>4</v>
      </c>
    </row>
    <row r="1610" spans="1:36">
      <c r="A1610" t="s">
        <v>4559</v>
      </c>
      <c r="B1610" t="s">
        <v>4560</v>
      </c>
      <c r="F1610" t="str">
        <f t="shared" ref="F1610:F1673" si="25">CHOOSE($C$1, A1610, B1610)</f>
        <v>62506</v>
      </c>
      <c r="AE1610">
        <v>1101810037800</v>
      </c>
      <c r="AG1610" t="s">
        <v>4</v>
      </c>
      <c r="AH1610" t="s">
        <v>1255</v>
      </c>
      <c r="AI1610" t="s">
        <v>6</v>
      </c>
      <c r="AJ1610" t="s">
        <v>1256</v>
      </c>
    </row>
    <row r="1611" spans="1:36">
      <c r="A1611" t="s">
        <v>4561</v>
      </c>
      <c r="B1611" t="s">
        <v>4562</v>
      </c>
      <c r="F1611" t="str">
        <f t="shared" si="25"/>
        <v>62507</v>
      </c>
      <c r="AE1611">
        <v>1101810024295</v>
      </c>
      <c r="AG1611" t="s">
        <v>4</v>
      </c>
    </row>
    <row r="1612" spans="1:36">
      <c r="A1612" t="s">
        <v>4563</v>
      </c>
      <c r="B1612" t="s">
        <v>4564</v>
      </c>
      <c r="F1612" t="str">
        <f t="shared" si="25"/>
        <v>62508</v>
      </c>
      <c r="AG1612" t="s">
        <v>4</v>
      </c>
    </row>
    <row r="1613" spans="1:36">
      <c r="A1613" t="s">
        <v>4565</v>
      </c>
      <c r="B1613" t="s">
        <v>4566</v>
      </c>
      <c r="F1613" t="str">
        <f t="shared" si="25"/>
        <v>62522</v>
      </c>
      <c r="AG1613" t="s">
        <v>4</v>
      </c>
    </row>
    <row r="1614" spans="1:36">
      <c r="A1614" t="s">
        <v>4567</v>
      </c>
      <c r="B1614" t="s">
        <v>4568</v>
      </c>
      <c r="F1614" t="str">
        <f t="shared" si="25"/>
        <v>62523</v>
      </c>
      <c r="AE1614">
        <v>1101140073194</v>
      </c>
      <c r="AG1614" t="s">
        <v>4</v>
      </c>
    </row>
    <row r="1615" spans="1:36">
      <c r="A1615" t="s">
        <v>4569</v>
      </c>
      <c r="B1615" t="s">
        <v>4570</v>
      </c>
      <c r="F1615" t="str">
        <f t="shared" si="25"/>
        <v>62524</v>
      </c>
      <c r="AE1615">
        <v>1101140073194</v>
      </c>
      <c r="AG1615" t="s">
        <v>4</v>
      </c>
    </row>
    <row r="1616" spans="1:36">
      <c r="A1616" t="s">
        <v>4571</v>
      </c>
      <c r="B1616" t="s">
        <v>4572</v>
      </c>
      <c r="F1616" t="str">
        <f t="shared" si="25"/>
        <v>62525</v>
      </c>
      <c r="AE1616">
        <v>1101140073194</v>
      </c>
      <c r="AG1616" t="s">
        <v>4</v>
      </c>
    </row>
    <row r="1617" spans="1:36">
      <c r="A1617" t="s">
        <v>4573</v>
      </c>
      <c r="B1617" t="s">
        <v>4574</v>
      </c>
      <c r="F1617" t="str">
        <f t="shared" si="25"/>
        <v>62526</v>
      </c>
      <c r="AE1617">
        <v>1101140073194</v>
      </c>
      <c r="AG1617" t="s">
        <v>4</v>
      </c>
    </row>
    <row r="1618" spans="1:36">
      <c r="A1618" t="s">
        <v>4575</v>
      </c>
      <c r="B1618" t="s">
        <v>4576</v>
      </c>
      <c r="F1618" t="str">
        <f t="shared" si="25"/>
        <v>62527</v>
      </c>
      <c r="AE1618">
        <v>1101140073194</v>
      </c>
      <c r="AG1618" t="s">
        <v>4</v>
      </c>
    </row>
    <row r="1619" spans="1:36">
      <c r="A1619" t="s">
        <v>4577</v>
      </c>
      <c r="B1619" t="s">
        <v>4578</v>
      </c>
      <c r="F1619" t="str">
        <f t="shared" si="25"/>
        <v>62528</v>
      </c>
      <c r="AE1619">
        <v>1101140073194</v>
      </c>
      <c r="AG1619" t="s">
        <v>4</v>
      </c>
    </row>
    <row r="1620" spans="1:36">
      <c r="A1620" t="s">
        <v>4579</v>
      </c>
      <c r="B1620" t="s">
        <v>4580</v>
      </c>
      <c r="F1620" t="str">
        <f t="shared" si="25"/>
        <v>62529</v>
      </c>
      <c r="AE1620">
        <v>1101140073194</v>
      </c>
      <c r="AG1620" t="s">
        <v>4</v>
      </c>
    </row>
    <row r="1621" spans="1:36">
      <c r="A1621" t="s">
        <v>4581</v>
      </c>
      <c r="B1621" t="s">
        <v>4582</v>
      </c>
      <c r="F1621" t="str">
        <f t="shared" si="25"/>
        <v>62530</v>
      </c>
      <c r="AE1621">
        <v>1101140073194</v>
      </c>
      <c r="AG1621" t="s">
        <v>4</v>
      </c>
    </row>
    <row r="1622" spans="1:36">
      <c r="A1622" t="s">
        <v>4583</v>
      </c>
      <c r="B1622" t="s">
        <v>4584</v>
      </c>
      <c r="F1622" t="str">
        <f t="shared" si="25"/>
        <v>62531</v>
      </c>
      <c r="AE1622">
        <v>1101140073194</v>
      </c>
      <c r="AG1622" t="s">
        <v>4</v>
      </c>
    </row>
    <row r="1623" spans="1:36">
      <c r="A1623" t="s">
        <v>4585</v>
      </c>
      <c r="B1623" t="s">
        <v>4586</v>
      </c>
      <c r="F1623" t="str">
        <f t="shared" si="25"/>
        <v>62532</v>
      </c>
      <c r="AE1623">
        <v>1101140073194</v>
      </c>
      <c r="AG1623" t="s">
        <v>4</v>
      </c>
    </row>
    <row r="1624" spans="1:36">
      <c r="A1624" t="s">
        <v>4587</v>
      </c>
      <c r="B1624" t="s">
        <v>4588</v>
      </c>
      <c r="F1624" t="str">
        <f t="shared" si="25"/>
        <v>62533</v>
      </c>
      <c r="AE1624">
        <v>1101140073194</v>
      </c>
      <c r="AG1624" t="s">
        <v>4</v>
      </c>
    </row>
    <row r="1625" spans="1:36">
      <c r="A1625" t="s">
        <v>4589</v>
      </c>
      <c r="B1625" t="s">
        <v>4590</v>
      </c>
      <c r="F1625" t="str">
        <f t="shared" si="25"/>
        <v>62534</v>
      </c>
      <c r="AE1625">
        <v>1101140073194</v>
      </c>
      <c r="AG1625" t="s">
        <v>4</v>
      </c>
    </row>
    <row r="1626" spans="1:36">
      <c r="A1626" t="s">
        <v>4591</v>
      </c>
      <c r="B1626" t="s">
        <v>4592</v>
      </c>
      <c r="F1626" t="str">
        <f t="shared" si="25"/>
        <v>62535</v>
      </c>
      <c r="AE1626">
        <v>1101810017240</v>
      </c>
      <c r="AG1626" t="s">
        <v>4</v>
      </c>
    </row>
    <row r="1627" spans="1:36">
      <c r="A1627" t="s">
        <v>4593</v>
      </c>
      <c r="B1627" t="s">
        <v>4594</v>
      </c>
      <c r="F1627" t="str">
        <f t="shared" si="25"/>
        <v>62536</v>
      </c>
      <c r="AE1627">
        <v>1101113874917</v>
      </c>
      <c r="AG1627" t="s">
        <v>4</v>
      </c>
      <c r="AH1627" t="s">
        <v>837</v>
      </c>
      <c r="AI1627" t="s">
        <v>6</v>
      </c>
      <c r="AJ1627" t="s">
        <v>838</v>
      </c>
    </row>
    <row r="1628" spans="1:36">
      <c r="A1628" t="s">
        <v>4595</v>
      </c>
      <c r="B1628" t="s">
        <v>4596</v>
      </c>
      <c r="F1628" t="str">
        <f t="shared" si="25"/>
        <v>62537</v>
      </c>
      <c r="AG1628" t="s">
        <v>4</v>
      </c>
    </row>
    <row r="1629" spans="1:36">
      <c r="A1629" t="s">
        <v>4597</v>
      </c>
      <c r="B1629" t="s">
        <v>4598</v>
      </c>
      <c r="F1629" t="str">
        <f t="shared" si="25"/>
        <v>62538</v>
      </c>
      <c r="AE1629">
        <v>1101113875064</v>
      </c>
      <c r="AG1629" t="s">
        <v>4</v>
      </c>
      <c r="AH1629" t="s">
        <v>837</v>
      </c>
      <c r="AI1629" t="s">
        <v>6</v>
      </c>
      <c r="AJ1629" t="s">
        <v>838</v>
      </c>
    </row>
    <row r="1630" spans="1:36">
      <c r="A1630" t="s">
        <v>4599</v>
      </c>
      <c r="B1630" t="s">
        <v>4600</v>
      </c>
      <c r="F1630" t="str">
        <f t="shared" si="25"/>
        <v>62539</v>
      </c>
      <c r="AE1630">
        <v>1101113879131</v>
      </c>
      <c r="AG1630" t="s">
        <v>4</v>
      </c>
      <c r="AH1630" t="s">
        <v>837</v>
      </c>
      <c r="AI1630" t="s">
        <v>6</v>
      </c>
      <c r="AJ1630" t="s">
        <v>838</v>
      </c>
    </row>
    <row r="1631" spans="1:36">
      <c r="A1631" t="s">
        <v>4601</v>
      </c>
      <c r="B1631" t="s">
        <v>4602</v>
      </c>
      <c r="F1631" t="str">
        <f t="shared" si="25"/>
        <v>62569</v>
      </c>
      <c r="AE1631">
        <v>1101113876880</v>
      </c>
      <c r="AG1631" t="s">
        <v>4</v>
      </c>
    </row>
    <row r="1632" spans="1:36">
      <c r="A1632" t="s">
        <v>4603</v>
      </c>
      <c r="B1632" t="s">
        <v>4604</v>
      </c>
      <c r="F1632" t="str">
        <f t="shared" si="25"/>
        <v>62599</v>
      </c>
      <c r="AG1632" t="s">
        <v>4</v>
      </c>
    </row>
    <row r="1633" spans="1:36">
      <c r="A1633" t="s">
        <v>4605</v>
      </c>
      <c r="B1633" t="s">
        <v>4606</v>
      </c>
      <c r="F1633" t="str">
        <f t="shared" si="25"/>
        <v>62600</v>
      </c>
      <c r="AE1633">
        <v>1101113881772</v>
      </c>
      <c r="AG1633" t="s">
        <v>4</v>
      </c>
      <c r="AH1633" t="s">
        <v>837</v>
      </c>
      <c r="AI1633" t="s">
        <v>6</v>
      </c>
      <c r="AJ1633" t="s">
        <v>838</v>
      </c>
    </row>
    <row r="1634" spans="1:36">
      <c r="A1634" t="s">
        <v>4607</v>
      </c>
      <c r="B1634" t="s">
        <v>4608</v>
      </c>
      <c r="F1634" t="str">
        <f t="shared" si="25"/>
        <v>62601</v>
      </c>
      <c r="AG1634" t="s">
        <v>4</v>
      </c>
    </row>
    <row r="1635" spans="1:36">
      <c r="A1635" t="s">
        <v>4609</v>
      </c>
      <c r="B1635" t="s">
        <v>4610</v>
      </c>
      <c r="F1635" t="str">
        <f t="shared" si="25"/>
        <v>62603</v>
      </c>
      <c r="AG1635" t="s">
        <v>4</v>
      </c>
    </row>
    <row r="1636" spans="1:36">
      <c r="A1636" t="s">
        <v>4611</v>
      </c>
      <c r="B1636" t="s">
        <v>4612</v>
      </c>
      <c r="F1636" t="str">
        <f t="shared" si="25"/>
        <v>62604</v>
      </c>
      <c r="AG1636" t="s">
        <v>4</v>
      </c>
    </row>
    <row r="1637" spans="1:36">
      <c r="A1637" t="s">
        <v>4613</v>
      </c>
      <c r="B1637" t="s">
        <v>4614</v>
      </c>
      <c r="F1637" t="str">
        <f t="shared" si="25"/>
        <v>62605</v>
      </c>
      <c r="AG1637" t="s">
        <v>4</v>
      </c>
    </row>
    <row r="1638" spans="1:36">
      <c r="A1638" t="s">
        <v>4615</v>
      </c>
      <c r="B1638" t="s">
        <v>4616</v>
      </c>
      <c r="F1638" t="str">
        <f t="shared" si="25"/>
        <v>62609</v>
      </c>
      <c r="AG1638" t="s">
        <v>4</v>
      </c>
    </row>
    <row r="1639" spans="1:36">
      <c r="A1639" t="s">
        <v>4617</v>
      </c>
      <c r="B1639" t="s">
        <v>4618</v>
      </c>
      <c r="F1639" t="str">
        <f t="shared" si="25"/>
        <v>62610</v>
      </c>
      <c r="AG1639" t="s">
        <v>4</v>
      </c>
    </row>
    <row r="1640" spans="1:36">
      <c r="A1640" t="s">
        <v>4619</v>
      </c>
      <c r="B1640" t="s">
        <v>4620</v>
      </c>
      <c r="F1640" t="str">
        <f t="shared" si="25"/>
        <v>62611</v>
      </c>
      <c r="AG1640" t="s">
        <v>4</v>
      </c>
    </row>
    <row r="1641" spans="1:36">
      <c r="A1641" t="s">
        <v>4621</v>
      </c>
      <c r="B1641" t="s">
        <v>4622</v>
      </c>
      <c r="F1641" t="str">
        <f t="shared" si="25"/>
        <v>62612</v>
      </c>
      <c r="AG1641" t="s">
        <v>4</v>
      </c>
    </row>
    <row r="1642" spans="1:36">
      <c r="A1642" t="s">
        <v>4623</v>
      </c>
      <c r="B1642" t="s">
        <v>4624</v>
      </c>
      <c r="F1642" t="str">
        <f t="shared" si="25"/>
        <v>62613</v>
      </c>
      <c r="AG1642" t="s">
        <v>4</v>
      </c>
    </row>
    <row r="1643" spans="1:36">
      <c r="A1643" t="s">
        <v>4625</v>
      </c>
      <c r="B1643" t="s">
        <v>4626</v>
      </c>
      <c r="F1643" t="str">
        <f t="shared" si="25"/>
        <v>62614</v>
      </c>
      <c r="AG1643" t="s">
        <v>4</v>
      </c>
    </row>
    <row r="1644" spans="1:36">
      <c r="A1644" t="s">
        <v>4627</v>
      </c>
      <c r="B1644" t="s">
        <v>4628</v>
      </c>
      <c r="F1644" t="str">
        <f t="shared" si="25"/>
        <v>62615</v>
      </c>
      <c r="AE1644">
        <v>1611710002051</v>
      </c>
      <c r="AG1644" t="s">
        <v>4</v>
      </c>
      <c r="AH1644" t="s">
        <v>883</v>
      </c>
      <c r="AI1644" t="s">
        <v>555</v>
      </c>
      <c r="AJ1644" t="s">
        <v>884</v>
      </c>
    </row>
    <row r="1645" spans="1:36">
      <c r="A1645" t="s">
        <v>4629</v>
      </c>
      <c r="B1645" t="s">
        <v>4630</v>
      </c>
      <c r="F1645" t="str">
        <f t="shared" si="25"/>
        <v>62616</v>
      </c>
      <c r="AG1645" t="s">
        <v>4</v>
      </c>
    </row>
    <row r="1646" spans="1:36">
      <c r="A1646" t="s">
        <v>4631</v>
      </c>
      <c r="B1646" t="s">
        <v>4632</v>
      </c>
      <c r="F1646" t="str">
        <f t="shared" si="25"/>
        <v>62617</v>
      </c>
      <c r="AG1646" t="s">
        <v>4</v>
      </c>
    </row>
    <row r="1647" spans="1:36">
      <c r="A1647" t="s">
        <v>4633</v>
      </c>
      <c r="B1647" t="s">
        <v>4634</v>
      </c>
      <c r="F1647" t="str">
        <f t="shared" si="25"/>
        <v>62618</v>
      </c>
      <c r="AG1647" t="s">
        <v>4</v>
      </c>
    </row>
    <row r="1648" spans="1:36">
      <c r="A1648" t="s">
        <v>4635</v>
      </c>
      <c r="B1648" t="s">
        <v>4636</v>
      </c>
      <c r="F1648" t="str">
        <f t="shared" si="25"/>
        <v>62630</v>
      </c>
      <c r="AG1648" t="s">
        <v>4</v>
      </c>
    </row>
    <row r="1649" spans="1:36">
      <c r="A1649" t="s">
        <v>4637</v>
      </c>
      <c r="B1649" t="s">
        <v>4638</v>
      </c>
      <c r="F1649" t="str">
        <f t="shared" si="25"/>
        <v>62644</v>
      </c>
      <c r="AG1649" t="s">
        <v>4</v>
      </c>
    </row>
    <row r="1650" spans="1:36">
      <c r="A1650" t="s">
        <v>4639</v>
      </c>
      <c r="B1650" t="s">
        <v>4640</v>
      </c>
      <c r="F1650" t="str">
        <f t="shared" si="25"/>
        <v>62645</v>
      </c>
      <c r="AG1650" t="s">
        <v>4</v>
      </c>
    </row>
    <row r="1651" spans="1:36">
      <c r="A1651" t="s">
        <v>4641</v>
      </c>
      <c r="B1651" t="s">
        <v>4642</v>
      </c>
      <c r="F1651" t="str">
        <f t="shared" si="25"/>
        <v>62661</v>
      </c>
      <c r="AE1651">
        <v>1101113900902</v>
      </c>
      <c r="AG1651" t="s">
        <v>4</v>
      </c>
    </row>
    <row r="1652" spans="1:36">
      <c r="A1652" t="s">
        <v>4643</v>
      </c>
      <c r="B1652" t="s">
        <v>4644</v>
      </c>
      <c r="F1652" t="str">
        <f t="shared" si="25"/>
        <v>62662</v>
      </c>
      <c r="AG1652" t="s">
        <v>4</v>
      </c>
    </row>
    <row r="1653" spans="1:36">
      <c r="A1653" t="s">
        <v>4645</v>
      </c>
      <c r="B1653" t="s">
        <v>4646</v>
      </c>
      <c r="F1653" t="str">
        <f t="shared" si="25"/>
        <v>62663</v>
      </c>
      <c r="AG1653" t="s">
        <v>4</v>
      </c>
    </row>
    <row r="1654" spans="1:36">
      <c r="A1654" t="s">
        <v>4647</v>
      </c>
      <c r="B1654" t="s">
        <v>4648</v>
      </c>
      <c r="F1654" t="str">
        <f t="shared" si="25"/>
        <v>62692</v>
      </c>
      <c r="AG1654" t="s">
        <v>4</v>
      </c>
    </row>
    <row r="1655" spans="1:36">
      <c r="A1655" t="s">
        <v>4649</v>
      </c>
      <c r="B1655" t="s">
        <v>4650</v>
      </c>
      <c r="F1655" t="str">
        <f t="shared" si="25"/>
        <v>62693</v>
      </c>
      <c r="AG1655" t="s">
        <v>4</v>
      </c>
    </row>
    <row r="1656" spans="1:36">
      <c r="A1656" t="s">
        <v>4651</v>
      </c>
      <c r="B1656" t="s">
        <v>4652</v>
      </c>
      <c r="F1656" t="str">
        <f t="shared" si="25"/>
        <v>62694</v>
      </c>
      <c r="AE1656">
        <v>1615110036967</v>
      </c>
      <c r="AF1656" t="s">
        <v>24</v>
      </c>
      <c r="AG1656" t="s">
        <v>4</v>
      </c>
      <c r="AH1656" t="s">
        <v>609</v>
      </c>
      <c r="AI1656" t="s">
        <v>610</v>
      </c>
      <c r="AJ1656" t="s">
        <v>611</v>
      </c>
    </row>
    <row r="1657" spans="1:36">
      <c r="A1657" t="s">
        <v>4653</v>
      </c>
      <c r="B1657" t="s">
        <v>4654</v>
      </c>
      <c r="F1657" t="str">
        <f t="shared" si="25"/>
        <v>62737</v>
      </c>
      <c r="AG1657" t="s">
        <v>4</v>
      </c>
    </row>
    <row r="1658" spans="1:36">
      <c r="A1658" t="s">
        <v>4655</v>
      </c>
      <c r="B1658" t="s">
        <v>4656</v>
      </c>
      <c r="F1658" t="str">
        <f t="shared" si="25"/>
        <v>62757</v>
      </c>
      <c r="AE1658">
        <v>1101113903691</v>
      </c>
      <c r="AG1658" t="s">
        <v>4</v>
      </c>
    </row>
    <row r="1659" spans="1:36">
      <c r="A1659" t="s">
        <v>4657</v>
      </c>
      <c r="B1659" t="s">
        <v>4658</v>
      </c>
      <c r="F1659" t="str">
        <f t="shared" si="25"/>
        <v>62768</v>
      </c>
      <c r="AG1659" t="s">
        <v>4</v>
      </c>
    </row>
    <row r="1660" spans="1:36">
      <c r="A1660" t="s">
        <v>4659</v>
      </c>
      <c r="B1660" t="s">
        <v>4660</v>
      </c>
      <c r="F1660" t="str">
        <f t="shared" si="25"/>
        <v>62783</v>
      </c>
      <c r="AG1660" t="s">
        <v>4</v>
      </c>
    </row>
    <row r="1661" spans="1:36">
      <c r="A1661" t="s">
        <v>4661</v>
      </c>
      <c r="B1661" t="s">
        <v>4662</v>
      </c>
      <c r="F1661" t="str">
        <f t="shared" si="25"/>
        <v>62784</v>
      </c>
      <c r="AE1661">
        <v>1101113884726</v>
      </c>
      <c r="AG1661" t="s">
        <v>4</v>
      </c>
    </row>
    <row r="1662" spans="1:36">
      <c r="A1662" t="s">
        <v>4663</v>
      </c>
      <c r="B1662" t="s">
        <v>4664</v>
      </c>
      <c r="F1662" t="str">
        <f t="shared" si="25"/>
        <v>62785</v>
      </c>
      <c r="AE1662">
        <v>1101113884726</v>
      </c>
      <c r="AG1662" t="s">
        <v>4</v>
      </c>
    </row>
    <row r="1663" spans="1:36">
      <c r="A1663" t="s">
        <v>4665</v>
      </c>
      <c r="B1663" t="s">
        <v>4666</v>
      </c>
      <c r="F1663" t="str">
        <f t="shared" si="25"/>
        <v>62820</v>
      </c>
      <c r="AE1663">
        <v>1101113884726</v>
      </c>
      <c r="AG1663" t="s">
        <v>4</v>
      </c>
    </row>
    <row r="1664" spans="1:36">
      <c r="A1664" t="s">
        <v>4667</v>
      </c>
      <c r="B1664" t="s">
        <v>4668</v>
      </c>
      <c r="F1664" t="str">
        <f t="shared" si="25"/>
        <v>62821</v>
      </c>
      <c r="AE1664">
        <v>1101113905902</v>
      </c>
      <c r="AG1664" t="s">
        <v>4</v>
      </c>
    </row>
    <row r="1665" spans="1:36">
      <c r="A1665" t="s">
        <v>4669</v>
      </c>
      <c r="B1665" t="s">
        <v>4670</v>
      </c>
      <c r="F1665" t="str">
        <f t="shared" si="25"/>
        <v>62822</v>
      </c>
      <c r="AE1665">
        <v>1101113908740</v>
      </c>
      <c r="AG1665" t="s">
        <v>4</v>
      </c>
    </row>
    <row r="1666" spans="1:36">
      <c r="A1666" t="s">
        <v>4671</v>
      </c>
      <c r="B1666" t="s">
        <v>4672</v>
      </c>
      <c r="F1666" t="str">
        <f t="shared" si="25"/>
        <v>62823</v>
      </c>
      <c r="AE1666">
        <v>1101113908485</v>
      </c>
      <c r="AG1666" t="s">
        <v>4</v>
      </c>
    </row>
    <row r="1667" spans="1:36">
      <c r="A1667" t="s">
        <v>4673</v>
      </c>
      <c r="B1667" t="s">
        <v>4674</v>
      </c>
      <c r="F1667" t="str">
        <f t="shared" si="25"/>
        <v>62824</v>
      </c>
      <c r="AE1667">
        <v>1101112329765</v>
      </c>
      <c r="AG1667" t="s">
        <v>4</v>
      </c>
      <c r="AH1667" t="s">
        <v>1259</v>
      </c>
      <c r="AI1667" t="s">
        <v>76</v>
      </c>
      <c r="AJ1667" t="s">
        <v>1260</v>
      </c>
    </row>
    <row r="1668" spans="1:36">
      <c r="A1668" t="s">
        <v>4675</v>
      </c>
      <c r="B1668" t="s">
        <v>4676</v>
      </c>
      <c r="F1668" t="str">
        <f t="shared" si="25"/>
        <v>62825</v>
      </c>
      <c r="AE1668">
        <v>1101113852856</v>
      </c>
      <c r="AF1668" t="s">
        <v>439</v>
      </c>
      <c r="AG1668" t="s">
        <v>2</v>
      </c>
      <c r="AH1668" t="s">
        <v>15</v>
      </c>
      <c r="AI1668" t="s">
        <v>16</v>
      </c>
      <c r="AJ1668" t="s">
        <v>17</v>
      </c>
    </row>
    <row r="1669" spans="1:36">
      <c r="A1669" t="s">
        <v>4677</v>
      </c>
      <c r="B1669" t="s">
        <v>4678</v>
      </c>
      <c r="F1669" t="str">
        <f t="shared" si="25"/>
        <v>62826</v>
      </c>
      <c r="AE1669">
        <v>1101113891169</v>
      </c>
      <c r="AG1669" t="s">
        <v>2</v>
      </c>
      <c r="AH1669" t="s">
        <v>787</v>
      </c>
      <c r="AI1669" t="s">
        <v>275</v>
      </c>
      <c r="AJ1669" t="s">
        <v>788</v>
      </c>
    </row>
    <row r="1670" spans="1:36">
      <c r="A1670" t="s">
        <v>4679</v>
      </c>
      <c r="B1670" t="s">
        <v>4680</v>
      </c>
      <c r="F1670" t="str">
        <f t="shared" si="25"/>
        <v>62835</v>
      </c>
      <c r="AE1670">
        <v>1311110045540</v>
      </c>
      <c r="AG1670" t="s">
        <v>2</v>
      </c>
      <c r="AH1670" t="s">
        <v>1259</v>
      </c>
      <c r="AI1670" t="s">
        <v>76</v>
      </c>
      <c r="AJ1670" t="s">
        <v>1260</v>
      </c>
    </row>
    <row r="1671" spans="1:36">
      <c r="A1671" t="s">
        <v>4681</v>
      </c>
      <c r="B1671" t="s">
        <v>4682</v>
      </c>
      <c r="F1671" t="str">
        <f t="shared" si="25"/>
        <v>62867</v>
      </c>
      <c r="AE1671">
        <v>1101113912676</v>
      </c>
      <c r="AG1671" t="s">
        <v>4</v>
      </c>
    </row>
    <row r="1672" spans="1:36">
      <c r="A1672" t="s">
        <v>4683</v>
      </c>
      <c r="B1672" t="s">
        <v>4684</v>
      </c>
      <c r="F1672" t="str">
        <f t="shared" si="25"/>
        <v>62868</v>
      </c>
      <c r="AE1672">
        <v>1101113914680</v>
      </c>
      <c r="AG1672" t="s">
        <v>4</v>
      </c>
    </row>
    <row r="1673" spans="1:36">
      <c r="A1673" t="s">
        <v>4685</v>
      </c>
      <c r="B1673" t="s">
        <v>4686</v>
      </c>
      <c r="F1673" t="str">
        <f t="shared" si="25"/>
        <v>62869</v>
      </c>
      <c r="AG1673" t="s">
        <v>4</v>
      </c>
    </row>
    <row r="1674" spans="1:36">
      <c r="A1674" t="s">
        <v>4687</v>
      </c>
      <c r="B1674" t="s">
        <v>4688</v>
      </c>
      <c r="F1674" t="str">
        <f t="shared" ref="F1674:F1737" si="26">CHOOSE($C$1, A1674, B1674)</f>
        <v>62870</v>
      </c>
      <c r="AE1674">
        <v>1101112278756</v>
      </c>
      <c r="AG1674" t="s">
        <v>4</v>
      </c>
      <c r="AH1674" t="s">
        <v>729</v>
      </c>
      <c r="AI1674" t="s">
        <v>6</v>
      </c>
      <c r="AJ1674" t="s">
        <v>730</v>
      </c>
    </row>
    <row r="1675" spans="1:36">
      <c r="A1675" t="s">
        <v>4689</v>
      </c>
      <c r="B1675" t="s">
        <v>4690</v>
      </c>
      <c r="F1675" t="str">
        <f t="shared" si="26"/>
        <v>62871</v>
      </c>
      <c r="AE1675">
        <v>1101113777757</v>
      </c>
      <c r="AG1675" t="s">
        <v>4</v>
      </c>
      <c r="AH1675" t="s">
        <v>837</v>
      </c>
      <c r="AI1675" t="s">
        <v>6</v>
      </c>
      <c r="AJ1675" t="s">
        <v>838</v>
      </c>
    </row>
    <row r="1676" spans="1:36">
      <c r="A1676" t="s">
        <v>4691</v>
      </c>
      <c r="B1676" t="s">
        <v>4692</v>
      </c>
      <c r="F1676" t="str">
        <f t="shared" si="26"/>
        <v>62872</v>
      </c>
      <c r="AE1676">
        <v>1101113912725</v>
      </c>
      <c r="AG1676" t="s">
        <v>4</v>
      </c>
    </row>
    <row r="1677" spans="1:36">
      <c r="A1677" t="s">
        <v>4693</v>
      </c>
      <c r="B1677" t="s">
        <v>4694</v>
      </c>
      <c r="F1677" t="str">
        <f t="shared" si="26"/>
        <v>62873</v>
      </c>
      <c r="AE1677">
        <v>1101113917387</v>
      </c>
      <c r="AG1677" t="s">
        <v>4</v>
      </c>
    </row>
    <row r="1678" spans="1:36">
      <c r="A1678" t="s">
        <v>4695</v>
      </c>
      <c r="B1678" t="s">
        <v>4696</v>
      </c>
      <c r="F1678" t="str">
        <f t="shared" si="26"/>
        <v>62876</v>
      </c>
      <c r="AE1678">
        <v>1101113916313</v>
      </c>
      <c r="AG1678" t="s">
        <v>4</v>
      </c>
    </row>
    <row r="1679" spans="1:36">
      <c r="A1679" t="s">
        <v>4697</v>
      </c>
      <c r="B1679" t="s">
        <v>4698</v>
      </c>
      <c r="F1679" t="str">
        <f t="shared" si="26"/>
        <v>62877</v>
      </c>
      <c r="AE1679">
        <v>1101110543630</v>
      </c>
      <c r="AG1679" t="s">
        <v>4</v>
      </c>
      <c r="AH1679" t="s">
        <v>600</v>
      </c>
      <c r="AJ1679" t="s">
        <v>601</v>
      </c>
    </row>
    <row r="1680" spans="1:36">
      <c r="A1680" t="s">
        <v>4699</v>
      </c>
      <c r="B1680" t="s">
        <v>4700</v>
      </c>
      <c r="F1680" t="str">
        <f t="shared" si="26"/>
        <v>62888</v>
      </c>
      <c r="AE1680">
        <v>1101111680663</v>
      </c>
      <c r="AG1680" t="s">
        <v>4</v>
      </c>
      <c r="AH1680" t="s">
        <v>213</v>
      </c>
      <c r="AI1680" t="s">
        <v>214</v>
      </c>
      <c r="AJ1680" t="s">
        <v>89</v>
      </c>
    </row>
    <row r="1681" spans="1:36">
      <c r="A1681" t="s">
        <v>4701</v>
      </c>
      <c r="B1681" t="s">
        <v>4702</v>
      </c>
      <c r="F1681" t="str">
        <f t="shared" si="26"/>
        <v>62889</v>
      </c>
      <c r="AE1681">
        <v>1101112878134</v>
      </c>
      <c r="AG1681" t="s">
        <v>4</v>
      </c>
      <c r="AH1681" t="s">
        <v>213</v>
      </c>
      <c r="AI1681" t="s">
        <v>214</v>
      </c>
      <c r="AJ1681" t="s">
        <v>89</v>
      </c>
    </row>
    <row r="1682" spans="1:36">
      <c r="A1682" t="s">
        <v>4703</v>
      </c>
      <c r="B1682" t="s">
        <v>4704</v>
      </c>
      <c r="F1682" t="str">
        <f t="shared" si="26"/>
        <v>62890</v>
      </c>
      <c r="AE1682">
        <v>1101113920182</v>
      </c>
      <c r="AG1682" t="s">
        <v>4</v>
      </c>
    </row>
    <row r="1683" spans="1:36">
      <c r="A1683" t="s">
        <v>4705</v>
      </c>
      <c r="B1683" t="s">
        <v>4706</v>
      </c>
      <c r="F1683" t="str">
        <f t="shared" si="26"/>
        <v>62891</v>
      </c>
      <c r="AG1683" t="s">
        <v>4</v>
      </c>
    </row>
    <row r="1684" spans="1:36">
      <c r="A1684" t="s">
        <v>4707</v>
      </c>
      <c r="B1684" t="s">
        <v>4708</v>
      </c>
      <c r="F1684" t="str">
        <f t="shared" si="26"/>
        <v>62944</v>
      </c>
      <c r="AG1684" t="s">
        <v>4</v>
      </c>
    </row>
    <row r="1685" spans="1:36">
      <c r="A1685" t="s">
        <v>4709</v>
      </c>
      <c r="B1685" t="s">
        <v>4710</v>
      </c>
      <c r="F1685" t="str">
        <f t="shared" si="26"/>
        <v>62958</v>
      </c>
      <c r="AG1685" t="s">
        <v>4</v>
      </c>
    </row>
    <row r="1686" spans="1:36">
      <c r="A1686" t="s">
        <v>4711</v>
      </c>
      <c r="B1686" t="s">
        <v>4712</v>
      </c>
      <c r="F1686" t="str">
        <f t="shared" si="26"/>
        <v>62959</v>
      </c>
      <c r="AE1686">
        <v>1101113921924</v>
      </c>
      <c r="AG1686" t="s">
        <v>4</v>
      </c>
      <c r="AH1686" t="s">
        <v>837</v>
      </c>
      <c r="AI1686" t="s">
        <v>6</v>
      </c>
      <c r="AJ1686" t="s">
        <v>838</v>
      </c>
    </row>
    <row r="1687" spans="1:36">
      <c r="A1687" t="s">
        <v>4713</v>
      </c>
      <c r="B1687" t="s">
        <v>4714</v>
      </c>
      <c r="F1687" t="str">
        <f t="shared" si="26"/>
        <v>62960</v>
      </c>
      <c r="AE1687">
        <v>1101113921734</v>
      </c>
      <c r="AG1687" t="s">
        <v>4</v>
      </c>
      <c r="AH1687" t="s">
        <v>837</v>
      </c>
      <c r="AI1687" t="s">
        <v>6</v>
      </c>
      <c r="AJ1687" t="s">
        <v>838</v>
      </c>
    </row>
    <row r="1688" spans="1:36">
      <c r="A1688" t="s">
        <v>4715</v>
      </c>
      <c r="B1688" t="s">
        <v>4716</v>
      </c>
      <c r="F1688" t="str">
        <f t="shared" si="26"/>
        <v>62993</v>
      </c>
      <c r="AE1688">
        <v>1101113921883</v>
      </c>
      <c r="AG1688" t="s">
        <v>4</v>
      </c>
      <c r="AH1688" t="s">
        <v>837</v>
      </c>
      <c r="AI1688" t="s">
        <v>6</v>
      </c>
      <c r="AJ1688" t="s">
        <v>838</v>
      </c>
    </row>
    <row r="1689" spans="1:36">
      <c r="A1689" t="s">
        <v>4717</v>
      </c>
      <c r="B1689" t="s">
        <v>4718</v>
      </c>
      <c r="F1689" t="str">
        <f t="shared" si="26"/>
        <v>63015</v>
      </c>
      <c r="AE1689">
        <v>1101113917626</v>
      </c>
      <c r="AG1689" t="s">
        <v>4</v>
      </c>
    </row>
    <row r="1690" spans="1:36">
      <c r="A1690" t="s">
        <v>4719</v>
      </c>
      <c r="B1690" t="s">
        <v>4720</v>
      </c>
      <c r="F1690" t="str">
        <f t="shared" si="26"/>
        <v>63016</v>
      </c>
      <c r="AE1690">
        <v>1101113920603</v>
      </c>
      <c r="AG1690" t="s">
        <v>4</v>
      </c>
      <c r="AH1690" t="s">
        <v>837</v>
      </c>
      <c r="AI1690" t="s">
        <v>6</v>
      </c>
      <c r="AJ1690" t="s">
        <v>838</v>
      </c>
    </row>
    <row r="1691" spans="1:36">
      <c r="A1691" t="s">
        <v>4721</v>
      </c>
      <c r="B1691" t="s">
        <v>4722</v>
      </c>
      <c r="F1691" t="str">
        <f t="shared" si="26"/>
        <v>63017</v>
      </c>
      <c r="AE1691">
        <v>1101113922914</v>
      </c>
      <c r="AG1691" t="s">
        <v>4</v>
      </c>
    </row>
    <row r="1692" spans="1:36">
      <c r="A1692" t="s">
        <v>4723</v>
      </c>
      <c r="B1692" t="s">
        <v>4724</v>
      </c>
      <c r="F1692" t="str">
        <f t="shared" si="26"/>
        <v>63018</v>
      </c>
      <c r="AE1692">
        <v>1101113923433</v>
      </c>
      <c r="AG1692" t="s">
        <v>4</v>
      </c>
    </row>
    <row r="1693" spans="1:36">
      <c r="A1693" t="s">
        <v>4725</v>
      </c>
      <c r="B1693" t="s">
        <v>4726</v>
      </c>
      <c r="F1693" t="str">
        <f t="shared" si="26"/>
        <v>63042</v>
      </c>
      <c r="AE1693">
        <v>1101113926437</v>
      </c>
      <c r="AG1693" t="s">
        <v>4</v>
      </c>
    </row>
    <row r="1694" spans="1:36">
      <c r="A1694" t="s">
        <v>4727</v>
      </c>
      <c r="B1694" t="s">
        <v>4728</v>
      </c>
      <c r="F1694" t="str">
        <f t="shared" si="26"/>
        <v>63043</v>
      </c>
      <c r="AE1694">
        <v>1101113926643</v>
      </c>
      <c r="AG1694" t="s">
        <v>4</v>
      </c>
    </row>
    <row r="1695" spans="1:36">
      <c r="A1695" t="s">
        <v>4729</v>
      </c>
      <c r="B1695" t="s">
        <v>4730</v>
      </c>
      <c r="F1695" t="str">
        <f t="shared" si="26"/>
        <v>63044</v>
      </c>
      <c r="AE1695">
        <v>1101113927196</v>
      </c>
      <c r="AG1695" t="s">
        <v>4</v>
      </c>
      <c r="AH1695" t="s">
        <v>837</v>
      </c>
      <c r="AI1695" t="s">
        <v>6</v>
      </c>
      <c r="AJ1695" t="s">
        <v>838</v>
      </c>
    </row>
    <row r="1696" spans="1:36">
      <c r="A1696" t="s">
        <v>4731</v>
      </c>
      <c r="B1696" t="s">
        <v>4732</v>
      </c>
      <c r="F1696" t="str">
        <f t="shared" si="26"/>
        <v>63045</v>
      </c>
      <c r="AE1696">
        <v>1313110083497</v>
      </c>
      <c r="AG1696" t="s">
        <v>2</v>
      </c>
      <c r="AH1696" t="s">
        <v>1263</v>
      </c>
      <c r="AI1696" t="s">
        <v>124</v>
      </c>
      <c r="AJ1696" t="s">
        <v>337</v>
      </c>
    </row>
    <row r="1697" spans="1:36">
      <c r="A1697" t="s">
        <v>4733</v>
      </c>
      <c r="B1697" t="s">
        <v>4734</v>
      </c>
      <c r="F1697" t="str">
        <f t="shared" si="26"/>
        <v>63046</v>
      </c>
      <c r="AG1697" t="s">
        <v>4</v>
      </c>
    </row>
    <row r="1698" spans="1:36">
      <c r="A1698" t="s">
        <v>4735</v>
      </c>
      <c r="B1698" t="s">
        <v>4736</v>
      </c>
      <c r="F1698" t="str">
        <f t="shared" si="26"/>
        <v>63047</v>
      </c>
      <c r="AG1698" t="s">
        <v>4</v>
      </c>
    </row>
    <row r="1699" spans="1:36">
      <c r="A1699" t="s">
        <v>4737</v>
      </c>
      <c r="B1699" t="s">
        <v>4738</v>
      </c>
      <c r="F1699" t="str">
        <f t="shared" si="26"/>
        <v>63048</v>
      </c>
      <c r="AE1699">
        <v>1101113923483</v>
      </c>
      <c r="AG1699" t="s">
        <v>4</v>
      </c>
      <c r="AH1699" t="s">
        <v>837</v>
      </c>
      <c r="AI1699" t="s">
        <v>6</v>
      </c>
      <c r="AJ1699" t="s">
        <v>838</v>
      </c>
    </row>
    <row r="1700" spans="1:36">
      <c r="A1700" t="s">
        <v>4739</v>
      </c>
      <c r="B1700" t="s">
        <v>4740</v>
      </c>
      <c r="F1700" t="str">
        <f t="shared" si="26"/>
        <v>63070</v>
      </c>
      <c r="AG1700" t="s">
        <v>4</v>
      </c>
    </row>
    <row r="1701" spans="1:36">
      <c r="A1701" t="s">
        <v>4741</v>
      </c>
      <c r="B1701" t="s">
        <v>4742</v>
      </c>
      <c r="F1701" t="str">
        <f t="shared" si="26"/>
        <v>63071</v>
      </c>
      <c r="AE1701">
        <v>1101111948277</v>
      </c>
      <c r="AF1701" t="s">
        <v>171</v>
      </c>
      <c r="AG1701" t="s">
        <v>2</v>
      </c>
      <c r="AH1701" t="s">
        <v>34</v>
      </c>
      <c r="AI1701" t="s">
        <v>35</v>
      </c>
      <c r="AJ1701" t="s">
        <v>36</v>
      </c>
    </row>
    <row r="1702" spans="1:36">
      <c r="A1702" t="s">
        <v>4743</v>
      </c>
      <c r="B1702" t="s">
        <v>4744</v>
      </c>
      <c r="F1702" t="str">
        <f t="shared" si="26"/>
        <v>63072</v>
      </c>
      <c r="AE1702">
        <v>1341110168357</v>
      </c>
      <c r="AF1702" t="s">
        <v>68</v>
      </c>
      <c r="AG1702" t="s">
        <v>4</v>
      </c>
      <c r="AH1702" t="s">
        <v>69</v>
      </c>
      <c r="AI1702" t="s">
        <v>70</v>
      </c>
      <c r="AJ1702" t="s">
        <v>71</v>
      </c>
    </row>
    <row r="1703" spans="1:36">
      <c r="A1703" t="s">
        <v>4745</v>
      </c>
      <c r="B1703" t="s">
        <v>4746</v>
      </c>
      <c r="F1703" t="str">
        <f t="shared" si="26"/>
        <v>63087</v>
      </c>
      <c r="AE1703">
        <v>1341110168349</v>
      </c>
      <c r="AF1703" t="s">
        <v>68</v>
      </c>
      <c r="AG1703" t="s">
        <v>4</v>
      </c>
      <c r="AH1703" t="s">
        <v>64</v>
      </c>
      <c r="AI1703" t="s">
        <v>65</v>
      </c>
      <c r="AJ1703" t="s">
        <v>66</v>
      </c>
    </row>
    <row r="1704" spans="1:36">
      <c r="A1704" t="s">
        <v>4747</v>
      </c>
      <c r="B1704" t="s">
        <v>4748</v>
      </c>
      <c r="F1704" t="str">
        <f t="shared" si="26"/>
        <v>63100</v>
      </c>
      <c r="AE1704">
        <v>1101111441685</v>
      </c>
      <c r="AG1704" t="s">
        <v>4</v>
      </c>
      <c r="AH1704" t="s">
        <v>1266</v>
      </c>
      <c r="AI1704" t="s">
        <v>55</v>
      </c>
      <c r="AJ1704" t="s">
        <v>1267</v>
      </c>
    </row>
    <row r="1705" spans="1:36">
      <c r="A1705" t="s">
        <v>4749</v>
      </c>
      <c r="B1705" t="s">
        <v>4750</v>
      </c>
      <c r="F1705" t="str">
        <f t="shared" si="26"/>
        <v>63101</v>
      </c>
      <c r="AE1705">
        <v>1101110562474</v>
      </c>
      <c r="AG1705" t="s">
        <v>4</v>
      </c>
      <c r="AH1705" t="s">
        <v>1266</v>
      </c>
      <c r="AI1705" t="s">
        <v>55</v>
      </c>
      <c r="AJ1705" t="s">
        <v>1267</v>
      </c>
    </row>
    <row r="1706" spans="1:36">
      <c r="A1706" t="s">
        <v>4751</v>
      </c>
      <c r="B1706" t="s">
        <v>4752</v>
      </c>
      <c r="F1706" t="str">
        <f t="shared" si="26"/>
        <v>63102</v>
      </c>
      <c r="AE1706">
        <v>1358110122283</v>
      </c>
      <c r="AG1706" t="s">
        <v>2</v>
      </c>
      <c r="AH1706" t="s">
        <v>425</v>
      </c>
      <c r="AI1706" t="s">
        <v>76</v>
      </c>
      <c r="AJ1706" t="s">
        <v>426</v>
      </c>
    </row>
    <row r="1707" spans="1:36">
      <c r="A1707" t="s">
        <v>4753</v>
      </c>
      <c r="B1707" t="s">
        <v>4754</v>
      </c>
      <c r="F1707" t="str">
        <f t="shared" si="26"/>
        <v>63103</v>
      </c>
      <c r="AE1707">
        <v>1348110159279</v>
      </c>
      <c r="AG1707" t="s">
        <v>2</v>
      </c>
      <c r="AH1707" t="s">
        <v>69</v>
      </c>
      <c r="AI1707" t="s">
        <v>70</v>
      </c>
      <c r="AJ1707" t="s">
        <v>71</v>
      </c>
    </row>
    <row r="1708" spans="1:36">
      <c r="A1708" t="s">
        <v>4755</v>
      </c>
      <c r="B1708" t="s">
        <v>4756</v>
      </c>
      <c r="F1708" t="str">
        <f t="shared" si="26"/>
        <v>63104</v>
      </c>
      <c r="AG1708" t="s">
        <v>4</v>
      </c>
    </row>
    <row r="1709" spans="1:36">
      <c r="A1709" t="s">
        <v>4757</v>
      </c>
      <c r="B1709" t="s">
        <v>4758</v>
      </c>
      <c r="F1709" t="str">
        <f t="shared" si="26"/>
        <v>63105</v>
      </c>
      <c r="AE1709">
        <v>1101113940528</v>
      </c>
      <c r="AG1709" t="s">
        <v>4</v>
      </c>
    </row>
    <row r="1710" spans="1:36">
      <c r="A1710" t="s">
        <v>4759</v>
      </c>
      <c r="B1710" t="s">
        <v>4760</v>
      </c>
      <c r="F1710" t="str">
        <f t="shared" si="26"/>
        <v>63106</v>
      </c>
      <c r="AE1710">
        <v>1101113939935</v>
      </c>
      <c r="AG1710" t="s">
        <v>4</v>
      </c>
    </row>
    <row r="1711" spans="1:36">
      <c r="A1711" t="s">
        <v>4761</v>
      </c>
      <c r="B1711" t="s">
        <v>4762</v>
      </c>
      <c r="F1711" t="str">
        <f t="shared" si="26"/>
        <v>63151</v>
      </c>
      <c r="AE1711">
        <v>1545110039324</v>
      </c>
      <c r="AG1711" t="s">
        <v>4</v>
      </c>
      <c r="AH1711" t="s">
        <v>949</v>
      </c>
      <c r="AI1711" t="s">
        <v>83</v>
      </c>
      <c r="AJ1711" t="s">
        <v>950</v>
      </c>
    </row>
    <row r="1712" spans="1:36">
      <c r="A1712" t="s">
        <v>4763</v>
      </c>
      <c r="B1712" t="s">
        <v>4764</v>
      </c>
      <c r="F1712" t="str">
        <f t="shared" si="26"/>
        <v>63152</v>
      </c>
      <c r="AE1712">
        <v>1101113927427</v>
      </c>
      <c r="AG1712" t="s">
        <v>4</v>
      </c>
      <c r="AH1712" t="s">
        <v>1270</v>
      </c>
      <c r="AI1712" t="s">
        <v>21</v>
      </c>
      <c r="AJ1712" t="s">
        <v>1271</v>
      </c>
    </row>
    <row r="1713" spans="1:36">
      <c r="A1713" t="s">
        <v>4765</v>
      </c>
      <c r="B1713" t="s">
        <v>4766</v>
      </c>
      <c r="F1713" t="str">
        <f t="shared" si="26"/>
        <v>63153</v>
      </c>
      <c r="AG1713" t="s">
        <v>4</v>
      </c>
    </row>
    <row r="1714" spans="1:36">
      <c r="A1714" t="s">
        <v>4767</v>
      </c>
      <c r="B1714" t="s">
        <v>4768</v>
      </c>
      <c r="F1714" t="str">
        <f t="shared" si="26"/>
        <v>63190</v>
      </c>
      <c r="AE1714">
        <v>1101112015174</v>
      </c>
      <c r="AG1714" t="s">
        <v>4</v>
      </c>
      <c r="AH1714" t="s">
        <v>1053</v>
      </c>
      <c r="AI1714" t="s">
        <v>177</v>
      </c>
      <c r="AJ1714" t="s">
        <v>1054</v>
      </c>
    </row>
    <row r="1715" spans="1:36">
      <c r="A1715" t="s">
        <v>4769</v>
      </c>
      <c r="B1715" t="s">
        <v>4770</v>
      </c>
      <c r="F1715" t="str">
        <f t="shared" si="26"/>
        <v>63191</v>
      </c>
      <c r="AE1715">
        <v>1101113939381</v>
      </c>
      <c r="AG1715" t="s">
        <v>4</v>
      </c>
      <c r="AH1715" t="s">
        <v>837</v>
      </c>
      <c r="AI1715" t="s">
        <v>6</v>
      </c>
      <c r="AJ1715" t="s">
        <v>838</v>
      </c>
    </row>
    <row r="1716" spans="1:36">
      <c r="A1716" t="s">
        <v>4771</v>
      </c>
      <c r="B1716" t="s">
        <v>4772</v>
      </c>
      <c r="F1716" t="str">
        <f t="shared" si="26"/>
        <v>63192</v>
      </c>
      <c r="AE1716">
        <v>1101113939638</v>
      </c>
      <c r="AG1716" t="s">
        <v>4</v>
      </c>
      <c r="AH1716" t="s">
        <v>837</v>
      </c>
      <c r="AI1716" t="s">
        <v>6</v>
      </c>
      <c r="AJ1716" t="s">
        <v>838</v>
      </c>
    </row>
    <row r="1717" spans="1:36">
      <c r="A1717" t="s">
        <v>4773</v>
      </c>
      <c r="B1717" t="s">
        <v>4774</v>
      </c>
      <c r="F1717" t="str">
        <f t="shared" si="26"/>
        <v>63238</v>
      </c>
      <c r="AE1717">
        <v>1101111714818</v>
      </c>
      <c r="AG1717" t="s">
        <v>4</v>
      </c>
      <c r="AH1717" t="s">
        <v>1033</v>
      </c>
      <c r="AI1717" t="s">
        <v>6</v>
      </c>
      <c r="AJ1717" t="s">
        <v>1034</v>
      </c>
    </row>
    <row r="1718" spans="1:36">
      <c r="A1718" t="s">
        <v>4775</v>
      </c>
      <c r="B1718" t="s">
        <v>4776</v>
      </c>
      <c r="F1718" t="str">
        <f t="shared" si="26"/>
        <v>63241</v>
      </c>
      <c r="AE1718">
        <v>1101113634428</v>
      </c>
      <c r="AF1718" t="s">
        <v>168</v>
      </c>
      <c r="AG1718" t="s">
        <v>4</v>
      </c>
      <c r="AH1718" t="s">
        <v>634</v>
      </c>
      <c r="AI1718" t="s">
        <v>6</v>
      </c>
      <c r="AJ1718" t="s">
        <v>635</v>
      </c>
    </row>
    <row r="1719" spans="1:36">
      <c r="A1719" t="s">
        <v>4777</v>
      </c>
      <c r="B1719" t="s">
        <v>4778</v>
      </c>
      <c r="F1719" t="str">
        <f t="shared" si="26"/>
        <v>63242</v>
      </c>
      <c r="AE1719">
        <v>1101113917551</v>
      </c>
      <c r="AG1719" t="s">
        <v>4</v>
      </c>
    </row>
    <row r="1720" spans="1:36">
      <c r="A1720" t="s">
        <v>4779</v>
      </c>
      <c r="B1720" t="s">
        <v>4780</v>
      </c>
      <c r="F1720" t="str">
        <f t="shared" si="26"/>
        <v>63243</v>
      </c>
      <c r="AE1720">
        <v>1101113948100</v>
      </c>
      <c r="AG1720" t="s">
        <v>4</v>
      </c>
    </row>
    <row r="1721" spans="1:36">
      <c r="A1721" t="s">
        <v>4781</v>
      </c>
      <c r="B1721" t="s">
        <v>4782</v>
      </c>
      <c r="F1721" t="str">
        <f t="shared" si="26"/>
        <v>63252</v>
      </c>
      <c r="AE1721">
        <v>1101113953555</v>
      </c>
      <c r="AG1721" t="s">
        <v>4</v>
      </c>
    </row>
    <row r="1722" spans="1:36">
      <c r="A1722" t="s">
        <v>4783</v>
      </c>
      <c r="B1722" t="s">
        <v>4784</v>
      </c>
      <c r="F1722" t="str">
        <f t="shared" si="26"/>
        <v>63253</v>
      </c>
      <c r="AE1722">
        <v>1101113951252</v>
      </c>
      <c r="AG1722" t="s">
        <v>4</v>
      </c>
    </row>
    <row r="1723" spans="1:36">
      <c r="A1723" t="s">
        <v>4785</v>
      </c>
      <c r="B1723" t="s">
        <v>4786</v>
      </c>
      <c r="F1723" t="str">
        <f t="shared" si="26"/>
        <v>63254</v>
      </c>
      <c r="AE1723">
        <v>1101113953810</v>
      </c>
      <c r="AG1723" t="s">
        <v>4</v>
      </c>
    </row>
    <row r="1724" spans="1:36">
      <c r="A1724" t="s">
        <v>4787</v>
      </c>
      <c r="B1724" t="s">
        <v>4788</v>
      </c>
      <c r="F1724" t="str">
        <f t="shared" si="26"/>
        <v>63255</v>
      </c>
      <c r="AE1724">
        <v>1101113957557</v>
      </c>
      <c r="AG1724" t="s">
        <v>4</v>
      </c>
    </row>
    <row r="1725" spans="1:36">
      <c r="A1725" t="s">
        <v>4789</v>
      </c>
      <c r="B1725" t="s">
        <v>4790</v>
      </c>
      <c r="F1725" t="str">
        <f t="shared" si="26"/>
        <v>63256</v>
      </c>
      <c r="AE1725">
        <v>1101113955907</v>
      </c>
      <c r="AG1725" t="s">
        <v>4</v>
      </c>
    </row>
    <row r="1726" spans="1:36">
      <c r="A1726" t="s">
        <v>4791</v>
      </c>
      <c r="B1726" t="s">
        <v>4792</v>
      </c>
      <c r="F1726" t="str">
        <f t="shared" si="26"/>
        <v>63257</v>
      </c>
      <c r="AE1726">
        <v>1101113958555</v>
      </c>
      <c r="AG1726" t="s">
        <v>4</v>
      </c>
      <c r="AH1726" t="s">
        <v>837</v>
      </c>
      <c r="AI1726" t="s">
        <v>6</v>
      </c>
      <c r="AJ1726" t="s">
        <v>838</v>
      </c>
    </row>
    <row r="1727" spans="1:36">
      <c r="A1727" t="s">
        <v>4793</v>
      </c>
      <c r="B1727" t="s">
        <v>4794</v>
      </c>
      <c r="F1727" t="str">
        <f t="shared" si="26"/>
        <v>63258</v>
      </c>
      <c r="AE1727">
        <v>1142710001876</v>
      </c>
      <c r="AG1727" t="s">
        <v>4</v>
      </c>
    </row>
    <row r="1728" spans="1:36">
      <c r="A1728" t="s">
        <v>4795</v>
      </c>
      <c r="B1728" t="s">
        <v>4796</v>
      </c>
      <c r="F1728" t="str">
        <f t="shared" si="26"/>
        <v>63260</v>
      </c>
      <c r="AE1728">
        <v>1311110215656</v>
      </c>
      <c r="AG1728" t="s">
        <v>4</v>
      </c>
      <c r="AH1728" t="s">
        <v>612</v>
      </c>
      <c r="AI1728" t="s">
        <v>65</v>
      </c>
      <c r="AJ1728" t="s">
        <v>613</v>
      </c>
    </row>
    <row r="1729" spans="1:36">
      <c r="A1729" t="s">
        <v>4797</v>
      </c>
      <c r="B1729" t="s">
        <v>4798</v>
      </c>
      <c r="F1729" t="str">
        <f t="shared" si="26"/>
        <v>63270</v>
      </c>
      <c r="AG1729" t="s">
        <v>4</v>
      </c>
    </row>
    <row r="1730" spans="1:36">
      <c r="A1730" t="s">
        <v>4799</v>
      </c>
      <c r="B1730" t="s">
        <v>4800</v>
      </c>
      <c r="F1730" t="str">
        <f t="shared" si="26"/>
        <v>63300</v>
      </c>
      <c r="AG1730" t="s">
        <v>4</v>
      </c>
    </row>
    <row r="1731" spans="1:36">
      <c r="A1731" t="s">
        <v>4801</v>
      </c>
      <c r="B1731" t="s">
        <v>4802</v>
      </c>
      <c r="F1731" t="str">
        <f t="shared" si="26"/>
        <v>63301</v>
      </c>
      <c r="AE1731">
        <v>1101113963174</v>
      </c>
      <c r="AG1731" t="s">
        <v>4</v>
      </c>
      <c r="AH1731" t="s">
        <v>837</v>
      </c>
      <c r="AI1731" t="s">
        <v>6</v>
      </c>
      <c r="AJ1731" t="s">
        <v>838</v>
      </c>
    </row>
    <row r="1732" spans="1:36">
      <c r="A1732" t="s">
        <v>4803</v>
      </c>
      <c r="B1732" t="s">
        <v>4804</v>
      </c>
      <c r="F1732" t="str">
        <f t="shared" si="26"/>
        <v>63306</v>
      </c>
      <c r="AG1732" t="s">
        <v>4</v>
      </c>
    </row>
    <row r="1733" spans="1:36">
      <c r="A1733" t="s">
        <v>4805</v>
      </c>
      <c r="B1733" t="s">
        <v>4806</v>
      </c>
      <c r="F1733" t="str">
        <f t="shared" si="26"/>
        <v>63307</v>
      </c>
      <c r="AE1733">
        <v>1311110215664</v>
      </c>
      <c r="AG1733" t="s">
        <v>4</v>
      </c>
      <c r="AH1733" t="s">
        <v>1236</v>
      </c>
      <c r="AI1733" t="s">
        <v>65</v>
      </c>
      <c r="AJ1733" t="s">
        <v>1237</v>
      </c>
    </row>
    <row r="1734" spans="1:36">
      <c r="A1734" t="s">
        <v>4807</v>
      </c>
      <c r="B1734" t="s">
        <v>4808</v>
      </c>
      <c r="F1734" t="str">
        <f t="shared" si="26"/>
        <v>63308</v>
      </c>
      <c r="AE1734">
        <v>1101113905837</v>
      </c>
      <c r="AG1734" t="s">
        <v>4</v>
      </c>
      <c r="AH1734" t="s">
        <v>114</v>
      </c>
      <c r="AI1734" t="s">
        <v>63</v>
      </c>
      <c r="AJ1734" t="s">
        <v>115</v>
      </c>
    </row>
    <row r="1735" spans="1:36">
      <c r="A1735" t="s">
        <v>4809</v>
      </c>
      <c r="B1735" t="s">
        <v>4810</v>
      </c>
      <c r="F1735" t="str">
        <f t="shared" si="26"/>
        <v>63309</v>
      </c>
      <c r="AE1735">
        <v>1101113959777</v>
      </c>
      <c r="AG1735" t="s">
        <v>4</v>
      </c>
    </row>
    <row r="1736" spans="1:36">
      <c r="A1736" t="s">
        <v>4811</v>
      </c>
      <c r="B1736" t="s">
        <v>4812</v>
      </c>
      <c r="F1736" t="str">
        <f t="shared" si="26"/>
        <v>63310</v>
      </c>
      <c r="AE1736">
        <v>1101113964817</v>
      </c>
      <c r="AG1736" t="s">
        <v>4</v>
      </c>
    </row>
    <row r="1737" spans="1:36">
      <c r="A1737" t="s">
        <v>4813</v>
      </c>
      <c r="B1737" t="s">
        <v>4814</v>
      </c>
      <c r="F1737" t="str">
        <f t="shared" si="26"/>
        <v>63311</v>
      </c>
      <c r="AE1737">
        <v>1101113967796</v>
      </c>
      <c r="AG1737" t="s">
        <v>4</v>
      </c>
    </row>
    <row r="1738" spans="1:36">
      <c r="A1738" t="s">
        <v>4815</v>
      </c>
      <c r="B1738" t="s">
        <v>4816</v>
      </c>
      <c r="F1738" t="str">
        <f t="shared" ref="F1738:F1801" si="27">CHOOSE($C$1, A1738, B1738)</f>
        <v>63312</v>
      </c>
      <c r="AE1738">
        <v>1101113969304</v>
      </c>
      <c r="AG1738" t="s">
        <v>4</v>
      </c>
    </row>
    <row r="1739" spans="1:36">
      <c r="A1739" t="s">
        <v>4817</v>
      </c>
      <c r="B1739" t="s">
        <v>4818</v>
      </c>
      <c r="F1739" t="str">
        <f t="shared" si="27"/>
        <v>63360</v>
      </c>
      <c r="AE1739">
        <v>1101113969768</v>
      </c>
      <c r="AG1739" t="s">
        <v>4</v>
      </c>
    </row>
    <row r="1740" spans="1:36">
      <c r="A1740" t="s">
        <v>4819</v>
      </c>
      <c r="B1740" t="s">
        <v>4820</v>
      </c>
      <c r="F1740" t="str">
        <f t="shared" si="27"/>
        <v>63361</v>
      </c>
      <c r="AE1740">
        <v>1101113870486</v>
      </c>
      <c r="AG1740" t="s">
        <v>4</v>
      </c>
      <c r="AH1740" t="s">
        <v>729</v>
      </c>
      <c r="AI1740" t="s">
        <v>6</v>
      </c>
      <c r="AJ1740" t="s">
        <v>730</v>
      </c>
    </row>
    <row r="1741" spans="1:36">
      <c r="A1741" t="s">
        <v>4821</v>
      </c>
      <c r="B1741" t="s">
        <v>4822</v>
      </c>
      <c r="F1741" t="str">
        <f t="shared" si="27"/>
        <v>63362</v>
      </c>
      <c r="AE1741">
        <v>1101113968752</v>
      </c>
      <c r="AG1741" t="s">
        <v>4</v>
      </c>
      <c r="AH1741" t="s">
        <v>837</v>
      </c>
      <c r="AI1741" t="s">
        <v>6</v>
      </c>
      <c r="AJ1741" t="s">
        <v>838</v>
      </c>
    </row>
    <row r="1742" spans="1:36">
      <c r="A1742" t="s">
        <v>4823</v>
      </c>
      <c r="B1742" t="s">
        <v>4824</v>
      </c>
      <c r="F1742" t="str">
        <f t="shared" si="27"/>
        <v>63363</v>
      </c>
      <c r="AE1742">
        <v>1912110009302</v>
      </c>
      <c r="AG1742" t="s">
        <v>4</v>
      </c>
      <c r="AH1742" t="s">
        <v>961</v>
      </c>
      <c r="AI1742" t="s">
        <v>278</v>
      </c>
      <c r="AJ1742" t="s">
        <v>962</v>
      </c>
    </row>
    <row r="1743" spans="1:36">
      <c r="A1743" t="s">
        <v>4825</v>
      </c>
      <c r="B1743" t="s">
        <v>4826</v>
      </c>
      <c r="F1743" t="str">
        <f t="shared" si="27"/>
        <v>63364</v>
      </c>
      <c r="AE1743">
        <v>1101113969578</v>
      </c>
      <c r="AG1743" t="s">
        <v>4</v>
      </c>
    </row>
    <row r="1744" spans="1:36">
      <c r="A1744" t="s">
        <v>4827</v>
      </c>
      <c r="B1744" t="s">
        <v>4828</v>
      </c>
      <c r="F1744" t="str">
        <f t="shared" si="27"/>
        <v>63367</v>
      </c>
      <c r="AE1744">
        <v>1101113955923</v>
      </c>
      <c r="AG1744" t="s">
        <v>4</v>
      </c>
    </row>
    <row r="1745" spans="1:36">
      <c r="A1745" t="s">
        <v>4829</v>
      </c>
      <c r="B1745" t="s">
        <v>4830</v>
      </c>
      <c r="F1745" t="str">
        <f t="shared" si="27"/>
        <v>63386</v>
      </c>
      <c r="AE1745">
        <v>1101113973470</v>
      </c>
      <c r="AG1745" t="s">
        <v>4</v>
      </c>
    </row>
    <row r="1746" spans="1:36">
      <c r="A1746" t="s">
        <v>4831</v>
      </c>
      <c r="B1746" t="s">
        <v>4832</v>
      </c>
      <c r="F1746" t="str">
        <f t="shared" si="27"/>
        <v>63387</v>
      </c>
      <c r="AE1746">
        <v>1101113972448</v>
      </c>
      <c r="AG1746" t="s">
        <v>4</v>
      </c>
    </row>
    <row r="1747" spans="1:36">
      <c r="A1747" t="s">
        <v>4833</v>
      </c>
      <c r="B1747" t="s">
        <v>4834</v>
      </c>
      <c r="F1747" t="str">
        <f t="shared" si="27"/>
        <v>63388</v>
      </c>
      <c r="AE1747">
        <v>1101113973678</v>
      </c>
      <c r="AG1747" t="s">
        <v>4</v>
      </c>
    </row>
    <row r="1748" spans="1:36">
      <c r="A1748" t="s">
        <v>4835</v>
      </c>
      <c r="B1748" t="s">
        <v>4836</v>
      </c>
      <c r="F1748" t="str">
        <f t="shared" si="27"/>
        <v>63389</v>
      </c>
      <c r="AE1748">
        <v>1942210094318</v>
      </c>
      <c r="AG1748" t="s">
        <v>2</v>
      </c>
    </row>
    <row r="1749" spans="1:36">
      <c r="A1749" t="s">
        <v>4837</v>
      </c>
      <c r="B1749" t="s">
        <v>4838</v>
      </c>
      <c r="F1749" t="str">
        <f t="shared" si="27"/>
        <v>63390</v>
      </c>
      <c r="AE1749">
        <v>1101111203879</v>
      </c>
      <c r="AG1749" t="s">
        <v>4</v>
      </c>
      <c r="AH1749" t="s">
        <v>1274</v>
      </c>
      <c r="AJ1749" t="s">
        <v>834</v>
      </c>
    </row>
    <row r="1750" spans="1:36">
      <c r="A1750" t="s">
        <v>4839</v>
      </c>
      <c r="B1750" t="s">
        <v>4840</v>
      </c>
      <c r="F1750" t="str">
        <f t="shared" si="27"/>
        <v>63391</v>
      </c>
      <c r="AE1750">
        <v>1101113964180</v>
      </c>
      <c r="AG1750" t="s">
        <v>4</v>
      </c>
    </row>
    <row r="1751" spans="1:36">
      <c r="A1751" t="s">
        <v>4841</v>
      </c>
      <c r="B1751" t="s">
        <v>4842</v>
      </c>
      <c r="F1751" t="str">
        <f t="shared" si="27"/>
        <v>63392</v>
      </c>
      <c r="AE1751">
        <v>1101113916610</v>
      </c>
      <c r="AG1751" t="s">
        <v>4</v>
      </c>
      <c r="AH1751" t="s">
        <v>114</v>
      </c>
      <c r="AI1751" t="s">
        <v>63</v>
      </c>
      <c r="AJ1751" t="s">
        <v>115</v>
      </c>
    </row>
    <row r="1752" spans="1:36">
      <c r="A1752" t="s">
        <v>4843</v>
      </c>
      <c r="B1752" t="s">
        <v>4844</v>
      </c>
      <c r="F1752" t="str">
        <f t="shared" si="27"/>
        <v>63453</v>
      </c>
      <c r="AE1752">
        <v>1101113978785</v>
      </c>
      <c r="AG1752" t="s">
        <v>4</v>
      </c>
    </row>
    <row r="1753" spans="1:36">
      <c r="A1753" t="s">
        <v>4845</v>
      </c>
      <c r="B1753" t="s">
        <v>4846</v>
      </c>
      <c r="F1753" t="str">
        <f t="shared" si="27"/>
        <v>63454</v>
      </c>
      <c r="AE1753">
        <v>1101113975517</v>
      </c>
      <c r="AG1753" t="s">
        <v>2</v>
      </c>
      <c r="AH1753" t="s">
        <v>973</v>
      </c>
      <c r="AI1753" t="s">
        <v>6</v>
      </c>
      <c r="AJ1753" t="s">
        <v>974</v>
      </c>
    </row>
    <row r="1754" spans="1:36">
      <c r="A1754" t="s">
        <v>4847</v>
      </c>
      <c r="B1754" t="s">
        <v>4848</v>
      </c>
      <c r="F1754" t="str">
        <f t="shared" si="27"/>
        <v>63457</v>
      </c>
      <c r="AE1754">
        <v>1101113979957</v>
      </c>
      <c r="AG1754" t="s">
        <v>4</v>
      </c>
    </row>
    <row r="1755" spans="1:36">
      <c r="A1755" t="s">
        <v>4849</v>
      </c>
      <c r="B1755" t="s">
        <v>4850</v>
      </c>
      <c r="F1755" t="str">
        <f t="shared" si="27"/>
        <v>63458</v>
      </c>
      <c r="AE1755">
        <v>2342710003067</v>
      </c>
      <c r="AG1755" t="s">
        <v>4</v>
      </c>
      <c r="AH1755" t="s">
        <v>883</v>
      </c>
      <c r="AI1755" t="s">
        <v>555</v>
      </c>
      <c r="AJ1755" t="s">
        <v>884</v>
      </c>
    </row>
    <row r="1756" spans="1:36">
      <c r="A1756" t="s">
        <v>4851</v>
      </c>
      <c r="B1756" t="s">
        <v>4852</v>
      </c>
      <c r="F1756" t="str">
        <f t="shared" si="27"/>
        <v>63459</v>
      </c>
      <c r="AE1756">
        <v>1101113982025</v>
      </c>
      <c r="AG1756" t="s">
        <v>4</v>
      </c>
      <c r="AH1756" t="s">
        <v>837</v>
      </c>
      <c r="AI1756" t="s">
        <v>6</v>
      </c>
      <c r="AJ1756" t="s">
        <v>838</v>
      </c>
    </row>
    <row r="1757" spans="1:36">
      <c r="A1757" t="s">
        <v>4853</v>
      </c>
      <c r="B1757" t="s">
        <v>4854</v>
      </c>
      <c r="F1757" t="str">
        <f t="shared" si="27"/>
        <v>63470</v>
      </c>
      <c r="AE1757">
        <v>1150710000780</v>
      </c>
      <c r="AG1757" t="s">
        <v>4</v>
      </c>
      <c r="AH1757" t="s">
        <v>893</v>
      </c>
      <c r="AI1757" t="s">
        <v>517</v>
      </c>
      <c r="AJ1757" t="s">
        <v>894</v>
      </c>
    </row>
    <row r="1758" spans="1:36">
      <c r="A1758" t="s">
        <v>4855</v>
      </c>
      <c r="B1758" t="s">
        <v>4856</v>
      </c>
      <c r="F1758" t="str">
        <f t="shared" si="27"/>
        <v>63496</v>
      </c>
      <c r="AE1758">
        <v>1101113986259</v>
      </c>
      <c r="AG1758" t="s">
        <v>4</v>
      </c>
    </row>
    <row r="1759" spans="1:36">
      <c r="A1759" t="s">
        <v>4857</v>
      </c>
      <c r="B1759" t="s">
        <v>4858</v>
      </c>
      <c r="F1759" t="str">
        <f t="shared" si="27"/>
        <v>63497</v>
      </c>
      <c r="AG1759" t="s">
        <v>4</v>
      </c>
    </row>
    <row r="1760" spans="1:36">
      <c r="A1760" t="s">
        <v>4859</v>
      </c>
      <c r="B1760" t="s">
        <v>4860</v>
      </c>
      <c r="F1760" t="str">
        <f t="shared" si="27"/>
        <v>63498</v>
      </c>
      <c r="AE1760">
        <v>1101113836678</v>
      </c>
      <c r="AF1760" t="s">
        <v>97</v>
      </c>
      <c r="AG1760" t="s">
        <v>4</v>
      </c>
      <c r="AH1760" t="s">
        <v>667</v>
      </c>
      <c r="AI1760" t="s">
        <v>124</v>
      </c>
      <c r="AJ1760" t="s">
        <v>668</v>
      </c>
    </row>
    <row r="1761" spans="1:36">
      <c r="A1761" t="s">
        <v>4861</v>
      </c>
      <c r="B1761" t="s">
        <v>4862</v>
      </c>
      <c r="F1761" t="str">
        <f t="shared" si="27"/>
        <v>63499</v>
      </c>
      <c r="AG1761" t="s">
        <v>4</v>
      </c>
    </row>
    <row r="1762" spans="1:36">
      <c r="A1762" t="s">
        <v>4863</v>
      </c>
      <c r="B1762" t="s">
        <v>4864</v>
      </c>
      <c r="F1762" t="str">
        <f t="shared" si="27"/>
        <v>63500</v>
      </c>
      <c r="AE1762">
        <v>1101113993337</v>
      </c>
      <c r="AG1762" t="s">
        <v>4</v>
      </c>
    </row>
    <row r="1763" spans="1:36">
      <c r="A1763" t="s">
        <v>4865</v>
      </c>
      <c r="B1763" t="s">
        <v>4866</v>
      </c>
      <c r="F1763" t="str">
        <f t="shared" si="27"/>
        <v>63501</v>
      </c>
      <c r="AE1763">
        <v>1101113993288</v>
      </c>
      <c r="AG1763" t="s">
        <v>4</v>
      </c>
    </row>
    <row r="1764" spans="1:36">
      <c r="A1764" t="s">
        <v>4867</v>
      </c>
      <c r="B1764" t="s">
        <v>4868</v>
      </c>
      <c r="F1764" t="str">
        <f t="shared" si="27"/>
        <v>63503</v>
      </c>
      <c r="AE1764">
        <v>1101112622242</v>
      </c>
      <c r="AG1764" t="s">
        <v>4</v>
      </c>
      <c r="AH1764" t="s">
        <v>94</v>
      </c>
      <c r="AI1764" t="s">
        <v>32</v>
      </c>
      <c r="AJ1764" t="s">
        <v>32</v>
      </c>
    </row>
    <row r="1765" spans="1:36">
      <c r="A1765" t="s">
        <v>4869</v>
      </c>
      <c r="B1765" t="s">
        <v>4870</v>
      </c>
      <c r="F1765" t="str">
        <f t="shared" si="27"/>
        <v>63504</v>
      </c>
      <c r="AE1765">
        <v>1912110009104</v>
      </c>
      <c r="AG1765" t="s">
        <v>4</v>
      </c>
      <c r="AH1765" t="s">
        <v>961</v>
      </c>
      <c r="AI1765" t="s">
        <v>278</v>
      </c>
      <c r="AJ1765" t="s">
        <v>962</v>
      </c>
    </row>
    <row r="1766" spans="1:36">
      <c r="A1766" t="s">
        <v>4871</v>
      </c>
      <c r="B1766" t="s">
        <v>4872</v>
      </c>
      <c r="F1766" t="str">
        <f t="shared" si="27"/>
        <v>63533</v>
      </c>
      <c r="AE1766">
        <v>1954110012050</v>
      </c>
      <c r="AG1766" t="s">
        <v>4</v>
      </c>
      <c r="AH1766" t="s">
        <v>961</v>
      </c>
      <c r="AI1766" t="s">
        <v>278</v>
      </c>
      <c r="AJ1766" t="s">
        <v>962</v>
      </c>
    </row>
    <row r="1767" spans="1:36">
      <c r="A1767" t="s">
        <v>4873</v>
      </c>
      <c r="B1767" t="s">
        <v>4874</v>
      </c>
      <c r="F1767" t="str">
        <f t="shared" si="27"/>
        <v>63534</v>
      </c>
      <c r="AE1767">
        <v>1101113977117</v>
      </c>
      <c r="AG1767" t="s">
        <v>4</v>
      </c>
      <c r="AH1767" t="s">
        <v>1277</v>
      </c>
      <c r="AI1767" t="s">
        <v>657</v>
      </c>
      <c r="AJ1767" t="s">
        <v>1278</v>
      </c>
    </row>
    <row r="1768" spans="1:36">
      <c r="A1768" t="s">
        <v>4875</v>
      </c>
      <c r="B1768" t="s">
        <v>4876</v>
      </c>
      <c r="F1768" t="str">
        <f t="shared" si="27"/>
        <v>63573</v>
      </c>
      <c r="AG1768" t="s">
        <v>4</v>
      </c>
    </row>
    <row r="1769" spans="1:36">
      <c r="A1769" t="s">
        <v>4877</v>
      </c>
      <c r="B1769" t="s">
        <v>4878</v>
      </c>
      <c r="F1769" t="str">
        <f t="shared" si="27"/>
        <v>63574</v>
      </c>
      <c r="AE1769">
        <v>1101114001246</v>
      </c>
      <c r="AG1769" t="s">
        <v>4</v>
      </c>
      <c r="AH1769" t="s">
        <v>837</v>
      </c>
      <c r="AI1769" t="s">
        <v>6</v>
      </c>
      <c r="AJ1769" t="s">
        <v>838</v>
      </c>
    </row>
    <row r="1770" spans="1:36">
      <c r="A1770" t="s">
        <v>4879</v>
      </c>
      <c r="B1770" t="s">
        <v>4880</v>
      </c>
      <c r="F1770" t="str">
        <f t="shared" si="27"/>
        <v>63575</v>
      </c>
      <c r="AG1770" t="s">
        <v>4</v>
      </c>
    </row>
    <row r="1771" spans="1:36">
      <c r="A1771" t="s">
        <v>4881</v>
      </c>
      <c r="B1771" t="s">
        <v>4882</v>
      </c>
      <c r="F1771" t="str">
        <f t="shared" si="27"/>
        <v>63576</v>
      </c>
      <c r="AE1771">
        <v>1101140077039</v>
      </c>
      <c r="AG1771" t="s">
        <v>4</v>
      </c>
    </row>
    <row r="1772" spans="1:36">
      <c r="A1772" t="s">
        <v>4883</v>
      </c>
      <c r="B1772" t="s">
        <v>4884</v>
      </c>
      <c r="F1772" t="str">
        <f t="shared" si="27"/>
        <v>63579</v>
      </c>
      <c r="AE1772">
        <v>1314110135212</v>
      </c>
      <c r="AG1772" t="s">
        <v>4</v>
      </c>
      <c r="AH1772" t="s">
        <v>909</v>
      </c>
      <c r="AI1772" t="s">
        <v>76</v>
      </c>
      <c r="AJ1772" t="s">
        <v>910</v>
      </c>
    </row>
    <row r="1773" spans="1:36">
      <c r="A1773" t="s">
        <v>4885</v>
      </c>
      <c r="B1773" t="s">
        <v>4886</v>
      </c>
      <c r="F1773" t="str">
        <f t="shared" si="27"/>
        <v>63580</v>
      </c>
      <c r="AE1773">
        <v>1101111289324</v>
      </c>
      <c r="AG1773" t="s">
        <v>4</v>
      </c>
      <c r="AH1773" t="s">
        <v>1062</v>
      </c>
      <c r="AI1773" t="s">
        <v>275</v>
      </c>
      <c r="AJ1773" t="s">
        <v>434</v>
      </c>
    </row>
    <row r="1774" spans="1:36">
      <c r="A1774" t="s">
        <v>4887</v>
      </c>
      <c r="B1774" t="s">
        <v>4888</v>
      </c>
      <c r="F1774" t="str">
        <f t="shared" si="27"/>
        <v>63590</v>
      </c>
      <c r="AE1774">
        <v>1101114004018</v>
      </c>
      <c r="AG1774" t="s">
        <v>4</v>
      </c>
      <c r="AH1774" t="s">
        <v>837</v>
      </c>
      <c r="AI1774" t="s">
        <v>6</v>
      </c>
      <c r="AJ1774" t="s">
        <v>838</v>
      </c>
    </row>
    <row r="1775" spans="1:36">
      <c r="A1775" t="s">
        <v>4889</v>
      </c>
      <c r="B1775" t="s">
        <v>4890</v>
      </c>
      <c r="F1775" t="str">
        <f t="shared" si="27"/>
        <v>63591</v>
      </c>
      <c r="AG1775" t="s">
        <v>4</v>
      </c>
    </row>
    <row r="1776" spans="1:36">
      <c r="A1776" t="s">
        <v>4891</v>
      </c>
      <c r="B1776" t="s">
        <v>4892</v>
      </c>
      <c r="F1776" t="str">
        <f t="shared" si="27"/>
        <v>63592</v>
      </c>
      <c r="AE1776">
        <v>1101113915498</v>
      </c>
      <c r="AG1776" t="s">
        <v>4</v>
      </c>
      <c r="AH1776" t="s">
        <v>114</v>
      </c>
      <c r="AI1776" t="s">
        <v>63</v>
      </c>
      <c r="AJ1776" t="s">
        <v>115</v>
      </c>
    </row>
    <row r="1777" spans="1:36">
      <c r="A1777" t="s">
        <v>4893</v>
      </c>
      <c r="B1777" t="s">
        <v>4894</v>
      </c>
      <c r="F1777" t="str">
        <f t="shared" si="27"/>
        <v>63593</v>
      </c>
      <c r="AE1777">
        <v>1101114007393</v>
      </c>
      <c r="AG1777" t="s">
        <v>4</v>
      </c>
    </row>
    <row r="1778" spans="1:36">
      <c r="A1778" t="s">
        <v>4895</v>
      </c>
      <c r="B1778" t="s">
        <v>4896</v>
      </c>
      <c r="F1778" t="str">
        <f t="shared" si="27"/>
        <v>63594</v>
      </c>
      <c r="AE1778">
        <v>1753110001570</v>
      </c>
      <c r="AF1778" t="s">
        <v>74</v>
      </c>
      <c r="AG1778" t="s">
        <v>4</v>
      </c>
      <c r="AH1778" t="s">
        <v>551</v>
      </c>
      <c r="AJ1778" t="s">
        <v>552</v>
      </c>
    </row>
    <row r="1779" spans="1:36">
      <c r="A1779" t="s">
        <v>4897</v>
      </c>
      <c r="B1779" t="s">
        <v>4898</v>
      </c>
      <c r="F1779" t="str">
        <f t="shared" si="27"/>
        <v>63595</v>
      </c>
      <c r="AE1779">
        <v>1101140077295</v>
      </c>
      <c r="AG1779" t="s">
        <v>4</v>
      </c>
      <c r="AH1779" t="s">
        <v>837</v>
      </c>
      <c r="AI1779" t="s">
        <v>6</v>
      </c>
      <c r="AJ1779" t="s">
        <v>838</v>
      </c>
    </row>
    <row r="1780" spans="1:36">
      <c r="A1780" t="s">
        <v>4899</v>
      </c>
      <c r="B1780" t="s">
        <v>4900</v>
      </c>
      <c r="F1780" t="str">
        <f t="shared" si="27"/>
        <v>63596</v>
      </c>
      <c r="AE1780">
        <v>1101111020736</v>
      </c>
      <c r="AG1780" t="s">
        <v>4</v>
      </c>
      <c r="AH1780" t="s">
        <v>957</v>
      </c>
      <c r="AI1780" t="s">
        <v>65</v>
      </c>
      <c r="AJ1780" t="s">
        <v>958</v>
      </c>
    </row>
    <row r="1781" spans="1:36">
      <c r="A1781" t="s">
        <v>4901</v>
      </c>
      <c r="B1781" t="s">
        <v>4902</v>
      </c>
      <c r="F1781" t="str">
        <f t="shared" si="27"/>
        <v>63599</v>
      </c>
      <c r="AE1781">
        <v>1101140077328</v>
      </c>
      <c r="AG1781" t="s">
        <v>4</v>
      </c>
      <c r="AH1781" t="s">
        <v>837</v>
      </c>
      <c r="AI1781" t="s">
        <v>6</v>
      </c>
      <c r="AJ1781" t="s">
        <v>838</v>
      </c>
    </row>
    <row r="1782" spans="1:36">
      <c r="A1782" t="s">
        <v>4903</v>
      </c>
      <c r="B1782" t="s">
        <v>4904</v>
      </c>
      <c r="F1782" t="str">
        <f t="shared" si="27"/>
        <v>63630</v>
      </c>
      <c r="AE1782">
        <v>1243110000987</v>
      </c>
      <c r="AG1782" t="s">
        <v>4</v>
      </c>
      <c r="AH1782" t="s">
        <v>158</v>
      </c>
      <c r="AI1782" t="s">
        <v>150</v>
      </c>
      <c r="AJ1782" t="s">
        <v>159</v>
      </c>
    </row>
    <row r="1783" spans="1:36">
      <c r="A1783" t="s">
        <v>4905</v>
      </c>
      <c r="B1783" t="s">
        <v>4906</v>
      </c>
      <c r="F1783" t="str">
        <f t="shared" si="27"/>
        <v>63635</v>
      </c>
      <c r="AE1783">
        <v>1101114015239</v>
      </c>
      <c r="AG1783" t="s">
        <v>4</v>
      </c>
    </row>
    <row r="1784" spans="1:36">
      <c r="A1784" t="s">
        <v>4907</v>
      </c>
      <c r="B1784" t="s">
        <v>4908</v>
      </c>
      <c r="F1784" t="str">
        <f t="shared" si="27"/>
        <v>63636</v>
      </c>
      <c r="AE1784">
        <v>1101114019009</v>
      </c>
      <c r="AG1784" t="s">
        <v>4</v>
      </c>
    </row>
    <row r="1785" spans="1:36">
      <c r="A1785" t="s">
        <v>4909</v>
      </c>
      <c r="B1785" t="s">
        <v>4910</v>
      </c>
      <c r="F1785" t="str">
        <f t="shared" si="27"/>
        <v>63637</v>
      </c>
      <c r="AE1785">
        <v>1101114019562</v>
      </c>
      <c r="AG1785" t="s">
        <v>4</v>
      </c>
      <c r="AH1785" t="s">
        <v>837</v>
      </c>
      <c r="AI1785" t="s">
        <v>6</v>
      </c>
      <c r="AJ1785" t="s">
        <v>838</v>
      </c>
    </row>
    <row r="1786" spans="1:36">
      <c r="A1786" t="s">
        <v>4911</v>
      </c>
      <c r="B1786" t="s">
        <v>4912</v>
      </c>
      <c r="F1786" t="str">
        <f t="shared" si="27"/>
        <v>63638</v>
      </c>
      <c r="AE1786">
        <v>1101114020296</v>
      </c>
      <c r="AG1786" t="s">
        <v>4</v>
      </c>
    </row>
    <row r="1787" spans="1:36">
      <c r="A1787" t="s">
        <v>4913</v>
      </c>
      <c r="B1787" t="s">
        <v>4914</v>
      </c>
      <c r="F1787" t="str">
        <f t="shared" si="27"/>
        <v>63639</v>
      </c>
      <c r="AE1787">
        <v>1101114020410</v>
      </c>
      <c r="AG1787" t="s">
        <v>4</v>
      </c>
    </row>
    <row r="1788" spans="1:36">
      <c r="A1788" t="s">
        <v>4915</v>
      </c>
      <c r="B1788" t="s">
        <v>4916</v>
      </c>
      <c r="F1788" t="str">
        <f t="shared" si="27"/>
        <v>63669</v>
      </c>
      <c r="AE1788">
        <v>1101114019405</v>
      </c>
      <c r="AG1788" t="s">
        <v>4</v>
      </c>
    </row>
    <row r="1789" spans="1:36">
      <c r="A1789" t="s">
        <v>4917</v>
      </c>
      <c r="B1789" t="s">
        <v>4918</v>
      </c>
      <c r="F1789" t="str">
        <f t="shared" si="27"/>
        <v>63670</v>
      </c>
      <c r="AG1789" t="s">
        <v>4</v>
      </c>
    </row>
    <row r="1790" spans="1:36">
      <c r="A1790" t="s">
        <v>4919</v>
      </c>
      <c r="B1790" t="s">
        <v>4920</v>
      </c>
      <c r="F1790" t="str">
        <f t="shared" si="27"/>
        <v>63671</v>
      </c>
      <c r="AG1790" t="s">
        <v>4</v>
      </c>
    </row>
    <row r="1791" spans="1:36">
      <c r="A1791" t="s">
        <v>4921</v>
      </c>
      <c r="B1791" t="s">
        <v>4922</v>
      </c>
      <c r="F1791" t="str">
        <f t="shared" si="27"/>
        <v>63672</v>
      </c>
      <c r="AG1791" t="s">
        <v>4</v>
      </c>
    </row>
    <row r="1792" spans="1:36">
      <c r="A1792" t="s">
        <v>4923</v>
      </c>
      <c r="B1792" t="s">
        <v>4924</v>
      </c>
      <c r="F1792" t="str">
        <f t="shared" si="27"/>
        <v>63721</v>
      </c>
      <c r="AG1792" t="s">
        <v>4</v>
      </c>
    </row>
    <row r="1793" spans="1:36">
      <c r="A1793" t="s">
        <v>4925</v>
      </c>
      <c r="B1793" t="s">
        <v>4926</v>
      </c>
      <c r="F1793" t="str">
        <f t="shared" si="27"/>
        <v>63724</v>
      </c>
      <c r="AG1793" t="s">
        <v>4</v>
      </c>
    </row>
    <row r="1794" spans="1:36">
      <c r="A1794" t="s">
        <v>4927</v>
      </c>
      <c r="B1794" t="s">
        <v>4928</v>
      </c>
      <c r="F1794" t="str">
        <f t="shared" si="27"/>
        <v>63725</v>
      </c>
      <c r="AE1794">
        <v>1101140077998</v>
      </c>
      <c r="AG1794" t="s">
        <v>4</v>
      </c>
      <c r="AH1794" t="s">
        <v>837</v>
      </c>
      <c r="AI1794" t="s">
        <v>6</v>
      </c>
      <c r="AJ1794" t="s">
        <v>838</v>
      </c>
    </row>
    <row r="1795" spans="1:36">
      <c r="A1795" t="s">
        <v>4929</v>
      </c>
      <c r="B1795" t="s">
        <v>4930</v>
      </c>
      <c r="F1795" t="str">
        <f t="shared" si="27"/>
        <v>63726</v>
      </c>
      <c r="AE1795">
        <v>1101114031623</v>
      </c>
      <c r="AG1795" t="s">
        <v>4</v>
      </c>
    </row>
    <row r="1796" spans="1:36">
      <c r="A1796" t="s">
        <v>4931</v>
      </c>
      <c r="B1796" t="s">
        <v>4932</v>
      </c>
      <c r="F1796" t="str">
        <f t="shared" si="27"/>
        <v>63727</v>
      </c>
      <c r="AE1796">
        <v>1101111017155</v>
      </c>
      <c r="AG1796" t="s">
        <v>4</v>
      </c>
      <c r="AH1796" t="s">
        <v>898</v>
      </c>
      <c r="AJ1796" t="s">
        <v>899</v>
      </c>
    </row>
    <row r="1797" spans="1:36">
      <c r="A1797" t="s">
        <v>4933</v>
      </c>
      <c r="B1797" t="s">
        <v>4934</v>
      </c>
      <c r="F1797" t="str">
        <f t="shared" si="27"/>
        <v>63728</v>
      </c>
      <c r="AE1797">
        <v>1801110278093</v>
      </c>
      <c r="AG1797" t="s">
        <v>4</v>
      </c>
      <c r="AH1797" t="s">
        <v>381</v>
      </c>
      <c r="AI1797" t="s">
        <v>6</v>
      </c>
      <c r="AJ1797" t="s">
        <v>382</v>
      </c>
    </row>
    <row r="1798" spans="1:36">
      <c r="A1798" t="s">
        <v>4935</v>
      </c>
      <c r="B1798" t="s">
        <v>4936</v>
      </c>
      <c r="F1798" t="str">
        <f t="shared" si="27"/>
        <v>63729</v>
      </c>
      <c r="AG1798" t="s">
        <v>4</v>
      </c>
    </row>
    <row r="1799" spans="1:36">
      <c r="A1799" t="s">
        <v>4937</v>
      </c>
      <c r="B1799" t="s">
        <v>4938</v>
      </c>
      <c r="F1799" t="str">
        <f t="shared" si="27"/>
        <v>63730</v>
      </c>
      <c r="AE1799">
        <v>1101113229097</v>
      </c>
      <c r="AF1799" t="s">
        <v>40</v>
      </c>
      <c r="AG1799" t="s">
        <v>2</v>
      </c>
      <c r="AH1799" t="s">
        <v>739</v>
      </c>
      <c r="AJ1799" t="s">
        <v>467</v>
      </c>
    </row>
    <row r="1800" spans="1:36">
      <c r="A1800" t="s">
        <v>4939</v>
      </c>
      <c r="B1800" t="s">
        <v>4940</v>
      </c>
      <c r="F1800" t="str">
        <f t="shared" si="27"/>
        <v>63757</v>
      </c>
      <c r="AE1800">
        <v>1101113505116</v>
      </c>
      <c r="AG1800" t="s">
        <v>4</v>
      </c>
      <c r="AH1800" t="s">
        <v>44</v>
      </c>
      <c r="AI1800" t="s">
        <v>32</v>
      </c>
      <c r="AJ1800" t="s">
        <v>45</v>
      </c>
    </row>
    <row r="1801" spans="1:36">
      <c r="A1801" t="s">
        <v>4941</v>
      </c>
      <c r="B1801" t="s">
        <v>4942</v>
      </c>
      <c r="F1801" t="str">
        <f t="shared" si="27"/>
        <v>63758</v>
      </c>
      <c r="AE1801">
        <v>1101140078970</v>
      </c>
      <c r="AG1801" t="s">
        <v>4</v>
      </c>
    </row>
    <row r="1802" spans="1:36">
      <c r="A1802" t="s">
        <v>4943</v>
      </c>
      <c r="B1802" t="s">
        <v>4944</v>
      </c>
      <c r="F1802" t="str">
        <f t="shared" ref="F1802:F1865" si="28">CHOOSE($C$1, A1802, B1802)</f>
        <v>63759</v>
      </c>
      <c r="AE1802">
        <v>1341110057005</v>
      </c>
      <c r="AG1802" t="s">
        <v>4</v>
      </c>
      <c r="AH1802" t="s">
        <v>714</v>
      </c>
      <c r="AI1802" t="s">
        <v>76</v>
      </c>
      <c r="AJ1802" t="s">
        <v>715</v>
      </c>
    </row>
    <row r="1803" spans="1:36">
      <c r="A1803" t="s">
        <v>4945</v>
      </c>
      <c r="B1803" t="s">
        <v>4946</v>
      </c>
      <c r="F1803" t="str">
        <f t="shared" si="28"/>
        <v>63760</v>
      </c>
      <c r="AE1803">
        <v>1301110064351</v>
      </c>
      <c r="AG1803" t="s">
        <v>2</v>
      </c>
      <c r="AH1803" t="s">
        <v>1280</v>
      </c>
      <c r="AI1803" t="s">
        <v>384</v>
      </c>
      <c r="AJ1803" t="s">
        <v>998</v>
      </c>
    </row>
    <row r="1804" spans="1:36">
      <c r="A1804" t="s">
        <v>4947</v>
      </c>
      <c r="B1804" t="s">
        <v>4948</v>
      </c>
      <c r="F1804" t="str">
        <f t="shared" si="28"/>
        <v>63761</v>
      </c>
      <c r="AE1804">
        <v>1101111342130</v>
      </c>
      <c r="AF1804" t="s">
        <v>107</v>
      </c>
      <c r="AG1804" t="s">
        <v>4</v>
      </c>
      <c r="AH1804" t="s">
        <v>316</v>
      </c>
      <c r="AI1804" t="s">
        <v>21</v>
      </c>
      <c r="AJ1804" t="s">
        <v>317</v>
      </c>
    </row>
    <row r="1805" spans="1:36">
      <c r="A1805" t="s">
        <v>4949</v>
      </c>
      <c r="B1805" t="s">
        <v>4950</v>
      </c>
      <c r="F1805" t="str">
        <f t="shared" si="28"/>
        <v>63762</v>
      </c>
      <c r="AE1805">
        <v>1101111399983</v>
      </c>
      <c r="AG1805" t="s">
        <v>4</v>
      </c>
      <c r="AH1805" t="s">
        <v>837</v>
      </c>
      <c r="AI1805" t="s">
        <v>6</v>
      </c>
      <c r="AJ1805" t="s">
        <v>838</v>
      </c>
    </row>
    <row r="1806" spans="1:36">
      <c r="A1806" t="s">
        <v>4951</v>
      </c>
      <c r="B1806" t="s">
        <v>4952</v>
      </c>
      <c r="F1806" t="str">
        <f t="shared" si="28"/>
        <v>63770</v>
      </c>
      <c r="AE1806">
        <v>1101140072790</v>
      </c>
      <c r="AG1806" t="s">
        <v>4</v>
      </c>
    </row>
    <row r="1807" spans="1:36">
      <c r="A1807" t="s">
        <v>4953</v>
      </c>
      <c r="B1807" t="s">
        <v>4954</v>
      </c>
      <c r="F1807" t="str">
        <f t="shared" si="28"/>
        <v>63771</v>
      </c>
      <c r="AG1807" t="s">
        <v>4</v>
      </c>
    </row>
    <row r="1808" spans="1:36">
      <c r="A1808" t="s">
        <v>4955</v>
      </c>
      <c r="B1808" t="s">
        <v>4956</v>
      </c>
      <c r="F1808" t="str">
        <f t="shared" si="28"/>
        <v>63772</v>
      </c>
      <c r="AE1808">
        <v>1101114071207</v>
      </c>
      <c r="AF1808" t="s">
        <v>107</v>
      </c>
      <c r="AG1808" t="s">
        <v>2</v>
      </c>
      <c r="AH1808" t="s">
        <v>1281</v>
      </c>
      <c r="AI1808" t="s">
        <v>186</v>
      </c>
      <c r="AJ1808" t="s">
        <v>1282</v>
      </c>
    </row>
    <row r="1809" spans="1:36">
      <c r="A1809" t="s">
        <v>4957</v>
      </c>
      <c r="B1809" t="s">
        <v>4958</v>
      </c>
      <c r="F1809" t="str">
        <f t="shared" si="28"/>
        <v>63773</v>
      </c>
      <c r="AE1809">
        <v>1101112722761</v>
      </c>
      <c r="AG1809" t="s">
        <v>2</v>
      </c>
      <c r="AH1809" t="s">
        <v>481</v>
      </c>
      <c r="AI1809" t="s">
        <v>275</v>
      </c>
      <c r="AJ1809" t="s">
        <v>320</v>
      </c>
    </row>
    <row r="1810" spans="1:36">
      <c r="A1810" t="s">
        <v>4959</v>
      </c>
      <c r="B1810" t="s">
        <v>4960</v>
      </c>
      <c r="F1810" t="str">
        <f t="shared" si="28"/>
        <v>63783</v>
      </c>
      <c r="AE1810">
        <v>1241710008377</v>
      </c>
      <c r="AG1810" t="s">
        <v>4</v>
      </c>
      <c r="AH1810" t="s">
        <v>867</v>
      </c>
      <c r="AI1810" t="s">
        <v>192</v>
      </c>
      <c r="AJ1810" t="s">
        <v>868</v>
      </c>
    </row>
    <row r="1811" spans="1:36">
      <c r="A1811" t="s">
        <v>4961</v>
      </c>
      <c r="B1811" t="s">
        <v>4962</v>
      </c>
      <c r="F1811" t="str">
        <f t="shared" si="28"/>
        <v>63784</v>
      </c>
      <c r="AE1811">
        <v>1101140079613</v>
      </c>
      <c r="AG1811" t="s">
        <v>4</v>
      </c>
    </row>
    <row r="1812" spans="1:36">
      <c r="A1812" t="s">
        <v>4963</v>
      </c>
      <c r="B1812" t="s">
        <v>4964</v>
      </c>
      <c r="F1812" t="str">
        <f t="shared" si="28"/>
        <v>63785</v>
      </c>
      <c r="AE1812">
        <v>1101111757165</v>
      </c>
      <c r="AG1812" t="s">
        <v>4</v>
      </c>
      <c r="AH1812" t="s">
        <v>1284</v>
      </c>
      <c r="AJ1812" t="s">
        <v>1285</v>
      </c>
    </row>
    <row r="1813" spans="1:36">
      <c r="A1813" t="s">
        <v>4965</v>
      </c>
      <c r="B1813" t="s">
        <v>4966</v>
      </c>
      <c r="F1813" t="str">
        <f t="shared" si="28"/>
        <v>63786</v>
      </c>
      <c r="AE1813">
        <v>1101140078681</v>
      </c>
      <c r="AG1813" t="s">
        <v>4</v>
      </c>
    </row>
    <row r="1814" spans="1:36">
      <c r="A1814" t="s">
        <v>4967</v>
      </c>
      <c r="B1814" t="s">
        <v>4968</v>
      </c>
      <c r="F1814" t="str">
        <f t="shared" si="28"/>
        <v>63787</v>
      </c>
      <c r="AE1814">
        <v>1101140079663</v>
      </c>
      <c r="AG1814" t="s">
        <v>4</v>
      </c>
    </row>
    <row r="1815" spans="1:36">
      <c r="A1815" t="s">
        <v>4969</v>
      </c>
      <c r="B1815" t="s">
        <v>4970</v>
      </c>
      <c r="F1815" t="str">
        <f t="shared" si="28"/>
        <v>63788</v>
      </c>
      <c r="AE1815">
        <v>1101111473711</v>
      </c>
      <c r="AG1815" t="s">
        <v>4</v>
      </c>
      <c r="AH1815" t="s">
        <v>714</v>
      </c>
      <c r="AI1815" t="s">
        <v>76</v>
      </c>
      <c r="AJ1815" t="s">
        <v>715</v>
      </c>
    </row>
    <row r="1816" spans="1:36">
      <c r="A1816" t="s">
        <v>4971</v>
      </c>
      <c r="B1816" t="s">
        <v>4972</v>
      </c>
      <c r="F1816" t="str">
        <f t="shared" si="28"/>
        <v>63789</v>
      </c>
      <c r="AE1816">
        <v>1414110000314</v>
      </c>
      <c r="AG1816" t="s">
        <v>4</v>
      </c>
      <c r="AH1816" t="s">
        <v>1286</v>
      </c>
      <c r="AI1816" t="s">
        <v>139</v>
      </c>
      <c r="AJ1816" t="s">
        <v>1287</v>
      </c>
    </row>
    <row r="1817" spans="1:36">
      <c r="A1817" t="s">
        <v>4973</v>
      </c>
      <c r="B1817" t="s">
        <v>524</v>
      </c>
      <c r="F1817" t="str">
        <f t="shared" si="28"/>
        <v>63792</v>
      </c>
      <c r="AE1817">
        <v>1101111051434</v>
      </c>
      <c r="AG1817" t="s">
        <v>4</v>
      </c>
      <c r="AH1817" t="s">
        <v>1288</v>
      </c>
      <c r="AI1817" t="s">
        <v>83</v>
      </c>
      <c r="AJ1817" t="s">
        <v>1289</v>
      </c>
    </row>
    <row r="1818" spans="1:36">
      <c r="A1818" t="s">
        <v>4974</v>
      </c>
      <c r="B1818" t="s">
        <v>4975</v>
      </c>
      <c r="F1818" t="str">
        <f t="shared" si="28"/>
        <v>63805</v>
      </c>
      <c r="AE1818">
        <v>1614110019791</v>
      </c>
      <c r="AG1818" t="s">
        <v>4</v>
      </c>
      <c r="AH1818" t="s">
        <v>1227</v>
      </c>
      <c r="AI1818" t="s">
        <v>59</v>
      </c>
      <c r="AJ1818" t="s">
        <v>143</v>
      </c>
    </row>
    <row r="1819" spans="1:36">
      <c r="A1819" t="s">
        <v>4976</v>
      </c>
      <c r="B1819" t="s">
        <v>4977</v>
      </c>
      <c r="F1819" t="str">
        <f t="shared" si="28"/>
        <v>63819</v>
      </c>
      <c r="AE1819">
        <v>1244710003305</v>
      </c>
      <c r="AG1819" t="s">
        <v>4</v>
      </c>
      <c r="AH1819" t="s">
        <v>883</v>
      </c>
      <c r="AI1819" t="s">
        <v>555</v>
      </c>
      <c r="AJ1819" t="s">
        <v>884</v>
      </c>
    </row>
    <row r="1820" spans="1:36">
      <c r="A1820" t="s">
        <v>4978</v>
      </c>
      <c r="B1820" t="s">
        <v>4979</v>
      </c>
      <c r="F1820" t="str">
        <f t="shared" si="28"/>
        <v>63823</v>
      </c>
      <c r="AE1820">
        <v>1101113720673</v>
      </c>
      <c r="AG1820" t="s">
        <v>4</v>
      </c>
    </row>
    <row r="1821" spans="1:36">
      <c r="A1821" t="s">
        <v>4980</v>
      </c>
      <c r="B1821" t="s">
        <v>4981</v>
      </c>
      <c r="F1821" t="str">
        <f t="shared" si="28"/>
        <v>63833</v>
      </c>
      <c r="AE1821">
        <v>1101111020299</v>
      </c>
      <c r="AG1821" t="s">
        <v>2</v>
      </c>
      <c r="AH1821" t="s">
        <v>1290</v>
      </c>
      <c r="AI1821" t="s">
        <v>83</v>
      </c>
      <c r="AJ1821" t="s">
        <v>709</v>
      </c>
    </row>
    <row r="1822" spans="1:36">
      <c r="A1822" t="s">
        <v>4982</v>
      </c>
      <c r="B1822" t="s">
        <v>4983</v>
      </c>
      <c r="F1822" t="str">
        <f t="shared" si="28"/>
        <v>63834</v>
      </c>
      <c r="AE1822">
        <v>1101110393457</v>
      </c>
      <c r="AG1822" t="s">
        <v>2</v>
      </c>
      <c r="AH1822" t="s">
        <v>1291</v>
      </c>
      <c r="AI1822" t="s">
        <v>83</v>
      </c>
      <c r="AJ1822" t="s">
        <v>1292</v>
      </c>
    </row>
    <row r="1823" spans="1:36">
      <c r="A1823" t="s">
        <v>4984</v>
      </c>
      <c r="B1823" t="s">
        <v>4985</v>
      </c>
      <c r="F1823" t="str">
        <f t="shared" si="28"/>
        <v>63835</v>
      </c>
      <c r="AE1823">
        <v>1101140082575</v>
      </c>
      <c r="AG1823" t="s">
        <v>4</v>
      </c>
    </row>
    <row r="1824" spans="1:36">
      <c r="A1824" t="s">
        <v>4986</v>
      </c>
      <c r="B1824" t="s">
        <v>4987</v>
      </c>
      <c r="F1824" t="str">
        <f t="shared" si="28"/>
        <v>63836</v>
      </c>
      <c r="AE1824">
        <v>1101140082575</v>
      </c>
      <c r="AG1824" t="s">
        <v>4</v>
      </c>
    </row>
    <row r="1825" spans="1:36">
      <c r="A1825" t="s">
        <v>4988</v>
      </c>
      <c r="B1825" t="s">
        <v>4989</v>
      </c>
      <c r="F1825" t="str">
        <f t="shared" si="28"/>
        <v>63837</v>
      </c>
      <c r="AG1825" t="s">
        <v>4</v>
      </c>
    </row>
    <row r="1826" spans="1:36">
      <c r="A1826" t="s">
        <v>4990</v>
      </c>
      <c r="B1826" t="s">
        <v>4989</v>
      </c>
      <c r="F1826" t="str">
        <f t="shared" si="28"/>
        <v>63838</v>
      </c>
      <c r="AG1826" t="s">
        <v>4</v>
      </c>
    </row>
    <row r="1827" spans="1:36">
      <c r="A1827" t="s">
        <v>4991</v>
      </c>
      <c r="B1827" t="s">
        <v>4992</v>
      </c>
      <c r="F1827" t="str">
        <f t="shared" si="28"/>
        <v>63839</v>
      </c>
      <c r="AG1827" t="s">
        <v>4</v>
      </c>
    </row>
    <row r="1828" spans="1:36">
      <c r="A1828" t="s">
        <v>4993</v>
      </c>
      <c r="B1828" t="s">
        <v>4994</v>
      </c>
      <c r="F1828" t="str">
        <f t="shared" si="28"/>
        <v>63851</v>
      </c>
      <c r="AG1828" t="s">
        <v>4</v>
      </c>
    </row>
    <row r="1829" spans="1:36">
      <c r="A1829" t="s">
        <v>4995</v>
      </c>
      <c r="B1829" t="s">
        <v>4996</v>
      </c>
      <c r="F1829" t="str">
        <f t="shared" si="28"/>
        <v>63853</v>
      </c>
      <c r="AE1829">
        <v>1101113798084</v>
      </c>
      <c r="AG1829" t="s">
        <v>4</v>
      </c>
      <c r="AH1829" t="s">
        <v>1293</v>
      </c>
      <c r="AI1829" t="s">
        <v>6</v>
      </c>
      <c r="AJ1829" t="s">
        <v>1294</v>
      </c>
    </row>
    <row r="1830" spans="1:36">
      <c r="A1830" t="s">
        <v>4997</v>
      </c>
      <c r="B1830" t="s">
        <v>4998</v>
      </c>
      <c r="F1830" t="str">
        <f t="shared" si="28"/>
        <v>63889</v>
      </c>
      <c r="AF1830" t="s">
        <v>40</v>
      </c>
      <c r="AG1830" t="s">
        <v>4</v>
      </c>
    </row>
    <row r="1831" spans="1:36">
      <c r="A1831" t="s">
        <v>4999</v>
      </c>
      <c r="B1831" t="s">
        <v>5000</v>
      </c>
      <c r="F1831" t="str">
        <f t="shared" si="28"/>
        <v>63890</v>
      </c>
      <c r="AE1831">
        <v>2101110013343</v>
      </c>
      <c r="AF1831" t="s">
        <v>72</v>
      </c>
      <c r="AG1831" t="s">
        <v>4</v>
      </c>
      <c r="AH1831" t="s">
        <v>1017</v>
      </c>
      <c r="AI1831" t="s">
        <v>845</v>
      </c>
      <c r="AJ1831" t="s">
        <v>1018</v>
      </c>
    </row>
    <row r="1832" spans="1:36">
      <c r="A1832" t="s">
        <v>5001</v>
      </c>
      <c r="B1832" t="s">
        <v>5002</v>
      </c>
      <c r="F1832" t="str">
        <f t="shared" si="28"/>
        <v>63891</v>
      </c>
      <c r="AE1832">
        <v>1101710048072</v>
      </c>
      <c r="AG1832" t="s">
        <v>4</v>
      </c>
      <c r="AH1832" t="s">
        <v>1295</v>
      </c>
      <c r="AI1832" t="s">
        <v>63</v>
      </c>
      <c r="AJ1832" t="s">
        <v>1296</v>
      </c>
    </row>
    <row r="1833" spans="1:36">
      <c r="A1833" t="s">
        <v>5003</v>
      </c>
      <c r="B1833" t="s">
        <v>5004</v>
      </c>
      <c r="F1833" t="str">
        <f t="shared" si="28"/>
        <v>63892</v>
      </c>
      <c r="AE1833">
        <v>1101140083557</v>
      </c>
      <c r="AG1833" t="s">
        <v>4</v>
      </c>
    </row>
    <row r="1834" spans="1:36">
      <c r="A1834" t="s">
        <v>5005</v>
      </c>
      <c r="B1834" t="s">
        <v>5006</v>
      </c>
      <c r="F1834" t="str">
        <f t="shared" si="28"/>
        <v>63893</v>
      </c>
      <c r="AE1834">
        <v>1101112204470</v>
      </c>
      <c r="AF1834" t="s">
        <v>53</v>
      </c>
      <c r="AG1834" t="s">
        <v>4</v>
      </c>
      <c r="AH1834" t="s">
        <v>502</v>
      </c>
      <c r="AI1834" t="s">
        <v>503</v>
      </c>
      <c r="AJ1834" t="s">
        <v>504</v>
      </c>
    </row>
    <row r="1835" spans="1:36">
      <c r="A1835" t="s">
        <v>5007</v>
      </c>
      <c r="B1835" t="s">
        <v>5008</v>
      </c>
      <c r="F1835" t="str">
        <f t="shared" si="28"/>
        <v>63894</v>
      </c>
      <c r="AE1835">
        <v>1845110014213</v>
      </c>
      <c r="AG1835" t="s">
        <v>4</v>
      </c>
      <c r="AH1835" t="s">
        <v>1297</v>
      </c>
      <c r="AI1835" t="s">
        <v>59</v>
      </c>
      <c r="AJ1835" t="s">
        <v>1298</v>
      </c>
    </row>
    <row r="1836" spans="1:36">
      <c r="A1836" t="s">
        <v>5009</v>
      </c>
      <c r="B1836" t="s">
        <v>5010</v>
      </c>
      <c r="F1836" t="str">
        <f t="shared" si="28"/>
        <v>63895</v>
      </c>
      <c r="AE1836">
        <v>1701110167462</v>
      </c>
      <c r="AG1836" t="s">
        <v>4</v>
      </c>
      <c r="AH1836" t="s">
        <v>468</v>
      </c>
      <c r="AI1836" t="s">
        <v>124</v>
      </c>
      <c r="AJ1836" t="s">
        <v>469</v>
      </c>
    </row>
    <row r="1837" spans="1:36">
      <c r="A1837" t="s">
        <v>5011</v>
      </c>
      <c r="B1837" t="s">
        <v>5012</v>
      </c>
      <c r="F1837" t="str">
        <f t="shared" si="28"/>
        <v>63896</v>
      </c>
      <c r="AE1837">
        <v>1201110149543</v>
      </c>
      <c r="AG1837" t="s">
        <v>4</v>
      </c>
      <c r="AH1837" t="s">
        <v>1288</v>
      </c>
      <c r="AI1837" t="s">
        <v>83</v>
      </c>
      <c r="AJ1837" t="s">
        <v>1289</v>
      </c>
    </row>
    <row r="1838" spans="1:36">
      <c r="A1838" t="s">
        <v>5013</v>
      </c>
      <c r="B1838" t="s">
        <v>5014</v>
      </c>
      <c r="F1838" t="str">
        <f t="shared" si="28"/>
        <v>63898</v>
      </c>
      <c r="AE1838">
        <v>1101112949472</v>
      </c>
      <c r="AG1838" t="s">
        <v>4</v>
      </c>
    </row>
    <row r="1839" spans="1:36">
      <c r="A1839" t="s">
        <v>5015</v>
      </c>
      <c r="B1839" t="s">
        <v>5016</v>
      </c>
      <c r="F1839" t="str">
        <f t="shared" si="28"/>
        <v>63908</v>
      </c>
      <c r="AE1839">
        <v>1311110029403</v>
      </c>
      <c r="AG1839" t="s">
        <v>4</v>
      </c>
      <c r="AH1839" t="s">
        <v>1300</v>
      </c>
      <c r="AI1839" t="s">
        <v>83</v>
      </c>
      <c r="AJ1839" t="s">
        <v>1301</v>
      </c>
    </row>
    <row r="1840" spans="1:36">
      <c r="A1840" t="s">
        <v>5017</v>
      </c>
      <c r="B1840" t="s">
        <v>5018</v>
      </c>
      <c r="F1840" t="str">
        <f t="shared" si="28"/>
        <v>63909</v>
      </c>
      <c r="AE1840">
        <v>1101111352329</v>
      </c>
      <c r="AG1840" t="s">
        <v>4</v>
      </c>
      <c r="AH1840" t="s">
        <v>1302</v>
      </c>
      <c r="AI1840" t="s">
        <v>83</v>
      </c>
      <c r="AJ1840" t="s">
        <v>1303</v>
      </c>
    </row>
    <row r="1841" spans="1:36">
      <c r="A1841" t="s">
        <v>5019</v>
      </c>
      <c r="B1841" t="s">
        <v>5020</v>
      </c>
      <c r="F1841" t="str">
        <f t="shared" si="28"/>
        <v>63910</v>
      </c>
      <c r="AE1841">
        <v>1412110016274</v>
      </c>
      <c r="AG1841" t="s">
        <v>4</v>
      </c>
      <c r="AH1841" t="s">
        <v>1048</v>
      </c>
      <c r="AI1841" t="s">
        <v>150</v>
      </c>
      <c r="AJ1841" t="s">
        <v>683</v>
      </c>
    </row>
    <row r="1842" spans="1:36">
      <c r="A1842" t="s">
        <v>5021</v>
      </c>
      <c r="B1842" t="s">
        <v>5022</v>
      </c>
      <c r="F1842" t="str">
        <f t="shared" si="28"/>
        <v>63911</v>
      </c>
      <c r="AE1842">
        <v>1244110006339</v>
      </c>
      <c r="AG1842" t="s">
        <v>4</v>
      </c>
    </row>
    <row r="1843" spans="1:36">
      <c r="A1843" t="s">
        <v>5023</v>
      </c>
      <c r="B1843" t="s">
        <v>5024</v>
      </c>
      <c r="F1843" t="str">
        <f t="shared" si="28"/>
        <v>63912</v>
      </c>
      <c r="AE1843">
        <v>1341710000016</v>
      </c>
      <c r="AG1843" t="s">
        <v>4</v>
      </c>
    </row>
    <row r="1844" spans="1:36">
      <c r="A1844" t="s">
        <v>5025</v>
      </c>
      <c r="B1844" t="s">
        <v>5026</v>
      </c>
      <c r="F1844" t="str">
        <f t="shared" si="28"/>
        <v>63913</v>
      </c>
      <c r="AE1844">
        <v>1101114127034</v>
      </c>
      <c r="AG1844" t="s">
        <v>4</v>
      </c>
      <c r="AH1844" t="s">
        <v>973</v>
      </c>
      <c r="AI1844" t="s">
        <v>6</v>
      </c>
      <c r="AJ1844" t="s">
        <v>974</v>
      </c>
    </row>
    <row r="1845" spans="1:36">
      <c r="A1845" t="s">
        <v>5027</v>
      </c>
      <c r="B1845" t="s">
        <v>5028</v>
      </c>
      <c r="F1845" t="str">
        <f t="shared" si="28"/>
        <v>63914</v>
      </c>
      <c r="AG1845" t="s">
        <v>4</v>
      </c>
    </row>
    <row r="1846" spans="1:36">
      <c r="A1846" t="s">
        <v>5029</v>
      </c>
      <c r="B1846" t="s">
        <v>5030</v>
      </c>
      <c r="F1846" t="str">
        <f t="shared" si="28"/>
        <v>63942</v>
      </c>
      <c r="AG1846" t="s">
        <v>4</v>
      </c>
    </row>
    <row r="1847" spans="1:36">
      <c r="A1847" t="s">
        <v>5031</v>
      </c>
      <c r="B1847" t="s">
        <v>5032</v>
      </c>
      <c r="F1847" t="str">
        <f t="shared" si="28"/>
        <v>63943</v>
      </c>
      <c r="AE1847">
        <v>1101112634594</v>
      </c>
      <c r="AG1847" t="s">
        <v>4</v>
      </c>
      <c r="AH1847" t="s">
        <v>729</v>
      </c>
      <c r="AI1847" t="s">
        <v>6</v>
      </c>
      <c r="AJ1847" t="s">
        <v>730</v>
      </c>
    </row>
    <row r="1848" spans="1:36">
      <c r="A1848" t="s">
        <v>5033</v>
      </c>
      <c r="B1848" t="s">
        <v>5034</v>
      </c>
      <c r="F1848" t="str">
        <f t="shared" si="28"/>
        <v>63944</v>
      </c>
      <c r="AE1848">
        <v>1101810042081</v>
      </c>
      <c r="AG1848" t="s">
        <v>4</v>
      </c>
    </row>
    <row r="1849" spans="1:36">
      <c r="A1849" t="s">
        <v>5035</v>
      </c>
      <c r="B1849" t="s">
        <v>5036</v>
      </c>
      <c r="F1849" t="str">
        <f t="shared" si="28"/>
        <v>63945</v>
      </c>
      <c r="AE1849">
        <v>1941110009939</v>
      </c>
      <c r="AG1849" t="s">
        <v>4</v>
      </c>
      <c r="AH1849" t="s">
        <v>209</v>
      </c>
      <c r="AI1849" t="s">
        <v>32</v>
      </c>
      <c r="AJ1849" t="s">
        <v>52</v>
      </c>
    </row>
    <row r="1850" spans="1:36">
      <c r="A1850" t="s">
        <v>5037</v>
      </c>
      <c r="B1850" t="s">
        <v>5038</v>
      </c>
      <c r="F1850" t="str">
        <f t="shared" si="28"/>
        <v>63946</v>
      </c>
      <c r="AE1850">
        <v>1101114129585</v>
      </c>
      <c r="AG1850" t="s">
        <v>2</v>
      </c>
      <c r="AH1850" t="s">
        <v>1304</v>
      </c>
      <c r="AI1850" t="s">
        <v>83</v>
      </c>
      <c r="AJ1850" t="s">
        <v>413</v>
      </c>
    </row>
    <row r="1851" spans="1:36">
      <c r="A1851" t="s">
        <v>5039</v>
      </c>
      <c r="B1851" t="s">
        <v>5040</v>
      </c>
      <c r="F1851" t="str">
        <f t="shared" si="28"/>
        <v>63947</v>
      </c>
      <c r="AE1851">
        <v>1101111358343</v>
      </c>
      <c r="AG1851" t="s">
        <v>4</v>
      </c>
      <c r="AH1851" t="s">
        <v>502</v>
      </c>
      <c r="AI1851" t="s">
        <v>503</v>
      </c>
      <c r="AJ1851" t="s">
        <v>504</v>
      </c>
    </row>
    <row r="1852" spans="1:36">
      <c r="A1852" t="s">
        <v>5041</v>
      </c>
      <c r="B1852" t="s">
        <v>5042</v>
      </c>
      <c r="F1852" t="str">
        <f t="shared" si="28"/>
        <v>63954</v>
      </c>
      <c r="AE1852">
        <v>1201110221945</v>
      </c>
      <c r="AG1852" t="s">
        <v>4</v>
      </c>
      <c r="AH1852" t="s">
        <v>1306</v>
      </c>
      <c r="AI1852" t="s">
        <v>124</v>
      </c>
      <c r="AJ1852" t="s">
        <v>1307</v>
      </c>
    </row>
    <row r="1853" spans="1:36">
      <c r="A1853" t="s">
        <v>5043</v>
      </c>
      <c r="B1853" t="s">
        <v>5044</v>
      </c>
      <c r="F1853" t="str">
        <f t="shared" si="28"/>
        <v>64013</v>
      </c>
      <c r="AE1853">
        <v>1949110007549</v>
      </c>
      <c r="AG1853" t="s">
        <v>4</v>
      </c>
      <c r="AH1853" t="s">
        <v>1198</v>
      </c>
      <c r="AI1853" t="s">
        <v>12</v>
      </c>
      <c r="AJ1853" t="s">
        <v>544</v>
      </c>
    </row>
    <row r="1854" spans="1:36">
      <c r="A1854" t="s">
        <v>5045</v>
      </c>
      <c r="B1854" t="s">
        <v>5046</v>
      </c>
      <c r="F1854" t="str">
        <f t="shared" si="28"/>
        <v>64016</v>
      </c>
      <c r="AE1854">
        <v>2054110006068</v>
      </c>
      <c r="AG1854" t="s">
        <v>4</v>
      </c>
      <c r="AH1854" t="s">
        <v>327</v>
      </c>
      <c r="AI1854" t="s">
        <v>59</v>
      </c>
      <c r="AJ1854" t="s">
        <v>328</v>
      </c>
    </row>
    <row r="1855" spans="1:36">
      <c r="A1855" t="s">
        <v>5047</v>
      </c>
      <c r="B1855" t="s">
        <v>5048</v>
      </c>
      <c r="F1855" t="str">
        <f t="shared" si="28"/>
        <v>64019</v>
      </c>
      <c r="AE1855">
        <v>1101111671547</v>
      </c>
      <c r="AG1855" t="s">
        <v>4</v>
      </c>
      <c r="AH1855" t="s">
        <v>1310</v>
      </c>
      <c r="AI1855" t="s">
        <v>124</v>
      </c>
      <c r="AJ1855" t="s">
        <v>1311</v>
      </c>
    </row>
    <row r="1856" spans="1:36">
      <c r="A1856" t="s">
        <v>5049</v>
      </c>
      <c r="B1856" t="s">
        <v>5050</v>
      </c>
      <c r="F1856" t="str">
        <f t="shared" si="28"/>
        <v>64024</v>
      </c>
      <c r="AG1856" t="s">
        <v>4</v>
      </c>
    </row>
    <row r="1857" spans="1:36">
      <c r="A1857" t="s">
        <v>5051</v>
      </c>
      <c r="B1857" t="s">
        <v>5052</v>
      </c>
      <c r="F1857" t="str">
        <f t="shared" si="28"/>
        <v>64045</v>
      </c>
      <c r="AE1857">
        <v>1348710007050</v>
      </c>
      <c r="AG1857" t="s">
        <v>4</v>
      </c>
      <c r="AH1857" t="s">
        <v>933</v>
      </c>
      <c r="AI1857" t="s">
        <v>32</v>
      </c>
      <c r="AJ1857" t="s">
        <v>546</v>
      </c>
    </row>
    <row r="1858" spans="1:36">
      <c r="A1858" t="s">
        <v>5053</v>
      </c>
      <c r="B1858" t="s">
        <v>5054</v>
      </c>
      <c r="F1858" t="str">
        <f t="shared" si="28"/>
        <v>64046</v>
      </c>
      <c r="AE1858">
        <v>1543110001997</v>
      </c>
      <c r="AG1858" t="s">
        <v>2</v>
      </c>
      <c r="AH1858" t="s">
        <v>719</v>
      </c>
      <c r="AI1858" t="s">
        <v>150</v>
      </c>
      <c r="AJ1858" t="s">
        <v>720</v>
      </c>
    </row>
    <row r="1859" spans="1:36">
      <c r="A1859" t="s">
        <v>5055</v>
      </c>
      <c r="B1859" t="s">
        <v>5056</v>
      </c>
      <c r="F1859" t="str">
        <f t="shared" si="28"/>
        <v>64047</v>
      </c>
      <c r="AE1859">
        <v>1201110020636</v>
      </c>
      <c r="AG1859" t="s">
        <v>4</v>
      </c>
      <c r="AH1859" t="s">
        <v>1088</v>
      </c>
      <c r="AI1859" t="s">
        <v>580</v>
      </c>
      <c r="AJ1859" t="s">
        <v>1089</v>
      </c>
    </row>
    <row r="1860" spans="1:36">
      <c r="A1860" t="s">
        <v>5057</v>
      </c>
      <c r="B1860" t="s">
        <v>5058</v>
      </c>
      <c r="F1860" t="str">
        <f t="shared" si="28"/>
        <v>64048</v>
      </c>
      <c r="AE1860">
        <v>1211110191650</v>
      </c>
      <c r="AG1860" t="s">
        <v>4</v>
      </c>
      <c r="AH1860" t="s">
        <v>652</v>
      </c>
      <c r="AI1860" t="s">
        <v>6</v>
      </c>
      <c r="AJ1860" t="s">
        <v>653</v>
      </c>
    </row>
    <row r="1861" spans="1:36">
      <c r="A1861" t="s">
        <v>5059</v>
      </c>
      <c r="B1861" t="s">
        <v>5060</v>
      </c>
      <c r="F1861" t="str">
        <f t="shared" si="28"/>
        <v>64049</v>
      </c>
      <c r="AE1861">
        <v>1701110145442</v>
      </c>
      <c r="AG1861" t="s">
        <v>4</v>
      </c>
      <c r="AH1861" t="s">
        <v>1108</v>
      </c>
      <c r="AI1861" t="s">
        <v>1109</v>
      </c>
      <c r="AJ1861" t="s">
        <v>1110</v>
      </c>
    </row>
    <row r="1862" spans="1:36">
      <c r="A1862" t="s">
        <v>5061</v>
      </c>
      <c r="B1862" t="s">
        <v>5062</v>
      </c>
      <c r="F1862" t="str">
        <f t="shared" si="28"/>
        <v>64050</v>
      </c>
      <c r="AE1862">
        <v>1101114191815</v>
      </c>
      <c r="AF1862" t="s">
        <v>74</v>
      </c>
      <c r="AG1862" t="s">
        <v>4</v>
      </c>
      <c r="AH1862" t="s">
        <v>1313</v>
      </c>
      <c r="AI1862" t="s">
        <v>255</v>
      </c>
      <c r="AJ1862" t="s">
        <v>1314</v>
      </c>
    </row>
    <row r="1863" spans="1:36">
      <c r="A1863" t="s">
        <v>5063</v>
      </c>
      <c r="B1863" t="s">
        <v>5064</v>
      </c>
      <c r="F1863" t="str">
        <f t="shared" si="28"/>
        <v>64051</v>
      </c>
      <c r="AG1863" t="s">
        <v>4</v>
      </c>
    </row>
    <row r="1864" spans="1:36">
      <c r="A1864" t="s">
        <v>5065</v>
      </c>
      <c r="B1864" t="s">
        <v>5066</v>
      </c>
      <c r="F1864" t="str">
        <f t="shared" si="28"/>
        <v>64056</v>
      </c>
      <c r="AE1864">
        <v>1356710033355</v>
      </c>
      <c r="AG1864" t="s">
        <v>4</v>
      </c>
      <c r="AH1864" t="s">
        <v>883</v>
      </c>
      <c r="AI1864" t="s">
        <v>555</v>
      </c>
      <c r="AJ1864" t="s">
        <v>884</v>
      </c>
    </row>
    <row r="1865" spans="1:36">
      <c r="A1865" t="s">
        <v>5067</v>
      </c>
      <c r="B1865" t="s">
        <v>5068</v>
      </c>
      <c r="F1865" t="str">
        <f t="shared" si="28"/>
        <v>64090</v>
      </c>
      <c r="AE1865">
        <v>1101114094035</v>
      </c>
      <c r="AG1865" t="s">
        <v>4</v>
      </c>
      <c r="AH1865" t="s">
        <v>634</v>
      </c>
      <c r="AI1865" t="s">
        <v>6</v>
      </c>
      <c r="AJ1865" t="s">
        <v>635</v>
      </c>
    </row>
    <row r="1866" spans="1:36">
      <c r="A1866" t="s">
        <v>5069</v>
      </c>
      <c r="B1866" t="s">
        <v>5070</v>
      </c>
      <c r="F1866" t="str">
        <f t="shared" ref="F1866:F1929" si="29">CHOOSE($C$1, A1866, B1866)</f>
        <v>64091</v>
      </c>
      <c r="AE1866">
        <v>1701110387416</v>
      </c>
      <c r="AG1866" t="s">
        <v>2</v>
      </c>
      <c r="AH1866" t="s">
        <v>277</v>
      </c>
      <c r="AI1866" t="s">
        <v>278</v>
      </c>
      <c r="AJ1866" t="s">
        <v>279</v>
      </c>
    </row>
    <row r="1867" spans="1:36">
      <c r="A1867" t="s">
        <v>5071</v>
      </c>
      <c r="B1867" t="s">
        <v>5072</v>
      </c>
      <c r="F1867" t="str">
        <f t="shared" si="29"/>
        <v>64098</v>
      </c>
      <c r="AE1867">
        <v>1942110019522</v>
      </c>
      <c r="AG1867" t="s">
        <v>4</v>
      </c>
      <c r="AH1867" t="s">
        <v>502</v>
      </c>
      <c r="AI1867" t="s">
        <v>503</v>
      </c>
      <c r="AJ1867" t="s">
        <v>504</v>
      </c>
    </row>
    <row r="1868" spans="1:36">
      <c r="A1868" t="s">
        <v>5073</v>
      </c>
      <c r="B1868" t="s">
        <v>5074</v>
      </c>
      <c r="F1868" t="str">
        <f t="shared" si="29"/>
        <v>64099</v>
      </c>
      <c r="AE1868">
        <v>1101114207638</v>
      </c>
      <c r="AG1868" t="s">
        <v>4</v>
      </c>
      <c r="AH1868" t="s">
        <v>973</v>
      </c>
      <c r="AI1868" t="s">
        <v>6</v>
      </c>
      <c r="AJ1868" t="s">
        <v>974</v>
      </c>
    </row>
    <row r="1869" spans="1:36">
      <c r="A1869" t="s">
        <v>5075</v>
      </c>
      <c r="B1869" t="s">
        <v>5076</v>
      </c>
      <c r="F1869" t="str">
        <f t="shared" si="29"/>
        <v>64100</v>
      </c>
      <c r="AE1869">
        <v>2541710016498</v>
      </c>
      <c r="AG1869" t="s">
        <v>4</v>
      </c>
    </row>
    <row r="1870" spans="1:36">
      <c r="A1870" t="s">
        <v>5077</v>
      </c>
      <c r="B1870" t="s">
        <v>5078</v>
      </c>
      <c r="F1870" t="str">
        <f t="shared" si="29"/>
        <v>64108</v>
      </c>
      <c r="AE1870">
        <v>1101140086593</v>
      </c>
      <c r="AG1870" t="s">
        <v>4</v>
      </c>
    </row>
    <row r="1871" spans="1:36">
      <c r="A1871" t="s">
        <v>5079</v>
      </c>
      <c r="B1871" t="s">
        <v>5080</v>
      </c>
      <c r="F1871" t="str">
        <f t="shared" si="29"/>
        <v>64109</v>
      </c>
      <c r="AE1871">
        <v>1351110077367</v>
      </c>
      <c r="AF1871" t="s">
        <v>74</v>
      </c>
      <c r="AG1871" t="s">
        <v>4</v>
      </c>
      <c r="AH1871" t="s">
        <v>1316</v>
      </c>
      <c r="AI1871" t="s">
        <v>1317</v>
      </c>
      <c r="AJ1871" t="s">
        <v>1318</v>
      </c>
    </row>
    <row r="1872" spans="1:36">
      <c r="A1872" t="s">
        <v>5081</v>
      </c>
      <c r="B1872" t="s">
        <v>5082</v>
      </c>
      <c r="F1872" t="str">
        <f t="shared" si="29"/>
        <v>64110</v>
      </c>
      <c r="AE1872">
        <v>1101110983430</v>
      </c>
      <c r="AG1872" t="s">
        <v>4</v>
      </c>
      <c r="AH1872" t="s">
        <v>1062</v>
      </c>
      <c r="AI1872" t="s">
        <v>275</v>
      </c>
      <c r="AJ1872" t="s">
        <v>434</v>
      </c>
    </row>
    <row r="1873" spans="1:36">
      <c r="A1873" t="s">
        <v>5083</v>
      </c>
      <c r="B1873" t="s">
        <v>5084</v>
      </c>
      <c r="F1873" t="str">
        <f t="shared" si="29"/>
        <v>64111</v>
      </c>
      <c r="AE1873">
        <v>2059110002420</v>
      </c>
      <c r="AG1873" t="s">
        <v>4</v>
      </c>
      <c r="AH1873" t="s">
        <v>1319</v>
      </c>
      <c r="AI1873" t="s">
        <v>580</v>
      </c>
      <c r="AJ1873" t="s">
        <v>1320</v>
      </c>
    </row>
    <row r="1874" spans="1:36">
      <c r="A1874" t="s">
        <v>5085</v>
      </c>
      <c r="B1874" t="s">
        <v>5086</v>
      </c>
      <c r="F1874" t="str">
        <f t="shared" si="29"/>
        <v>64147</v>
      </c>
      <c r="AE1874">
        <v>1345110144268</v>
      </c>
      <c r="AG1874" t="s">
        <v>2</v>
      </c>
      <c r="AH1874" t="s">
        <v>1322</v>
      </c>
      <c r="AI1874" t="s">
        <v>76</v>
      </c>
      <c r="AJ1874" t="s">
        <v>1323</v>
      </c>
    </row>
    <row r="1875" spans="1:36">
      <c r="A1875" t="s">
        <v>5087</v>
      </c>
      <c r="B1875" t="s">
        <v>5088</v>
      </c>
      <c r="F1875" t="str">
        <f t="shared" si="29"/>
        <v>64148</v>
      </c>
      <c r="AG1875" t="s">
        <v>4</v>
      </c>
    </row>
    <row r="1876" spans="1:36">
      <c r="A1876" t="s">
        <v>5089</v>
      </c>
      <c r="B1876" t="s">
        <v>5090</v>
      </c>
      <c r="F1876" t="str">
        <f t="shared" si="29"/>
        <v>64149</v>
      </c>
      <c r="AE1876">
        <v>1101113301457</v>
      </c>
      <c r="AG1876" t="s">
        <v>2</v>
      </c>
      <c r="AH1876" t="s">
        <v>856</v>
      </c>
      <c r="AI1876" t="s">
        <v>857</v>
      </c>
      <c r="AJ1876" t="s">
        <v>858</v>
      </c>
    </row>
    <row r="1877" spans="1:36">
      <c r="A1877" t="s">
        <v>5091</v>
      </c>
      <c r="B1877" t="s">
        <v>5092</v>
      </c>
      <c r="F1877" t="str">
        <f t="shared" si="29"/>
        <v>64150</v>
      </c>
      <c r="AG1877" t="s">
        <v>4</v>
      </c>
    </row>
    <row r="1878" spans="1:36">
      <c r="A1878" t="s">
        <v>5093</v>
      </c>
      <c r="B1878" t="s">
        <v>5094</v>
      </c>
      <c r="F1878" t="str">
        <f t="shared" si="29"/>
        <v>64151</v>
      </c>
      <c r="AG1878" t="s">
        <v>4</v>
      </c>
    </row>
    <row r="1879" spans="1:36">
      <c r="A1879" t="s">
        <v>5095</v>
      </c>
      <c r="B1879" t="s">
        <v>5096</v>
      </c>
      <c r="F1879" t="str">
        <f t="shared" si="29"/>
        <v>64152</v>
      </c>
      <c r="AG1879" t="s">
        <v>4</v>
      </c>
    </row>
    <row r="1880" spans="1:36">
      <c r="A1880" t="s">
        <v>5097</v>
      </c>
      <c r="B1880" t="s">
        <v>5098</v>
      </c>
      <c r="F1880" t="str">
        <f t="shared" si="29"/>
        <v>64153</v>
      </c>
      <c r="AE1880">
        <v>1101140084547</v>
      </c>
      <c r="AG1880" t="s">
        <v>4</v>
      </c>
    </row>
    <row r="1881" spans="1:36">
      <c r="A1881" t="s">
        <v>5099</v>
      </c>
      <c r="B1881" t="s">
        <v>5100</v>
      </c>
      <c r="F1881" t="str">
        <f t="shared" si="29"/>
        <v>64154</v>
      </c>
      <c r="AG1881" t="s">
        <v>4</v>
      </c>
    </row>
    <row r="1882" spans="1:36">
      <c r="A1882" t="s">
        <v>5101</v>
      </c>
      <c r="B1882" t="s">
        <v>5102</v>
      </c>
      <c r="F1882" t="str">
        <f t="shared" si="29"/>
        <v>64164</v>
      </c>
      <c r="AE1882">
        <v>1101112052415</v>
      </c>
      <c r="AG1882" t="s">
        <v>4</v>
      </c>
      <c r="AH1882" t="s">
        <v>371</v>
      </c>
      <c r="AI1882" t="s">
        <v>83</v>
      </c>
      <c r="AJ1882" t="s">
        <v>372</v>
      </c>
    </row>
    <row r="1883" spans="1:36">
      <c r="A1883" t="s">
        <v>5103</v>
      </c>
      <c r="B1883" t="s">
        <v>5104</v>
      </c>
      <c r="F1883" t="str">
        <f t="shared" si="29"/>
        <v>64165</v>
      </c>
      <c r="AE1883">
        <v>1414110000984</v>
      </c>
      <c r="AG1883" t="s">
        <v>4</v>
      </c>
      <c r="AH1883" t="s">
        <v>1286</v>
      </c>
      <c r="AI1883" t="s">
        <v>139</v>
      </c>
      <c r="AJ1883" t="s">
        <v>1287</v>
      </c>
    </row>
    <row r="1884" spans="1:36">
      <c r="A1884" t="s">
        <v>5105</v>
      </c>
      <c r="B1884" t="s">
        <v>5106</v>
      </c>
      <c r="F1884" t="str">
        <f t="shared" si="29"/>
        <v>64167</v>
      </c>
      <c r="AG1884" t="s">
        <v>4</v>
      </c>
    </row>
    <row r="1885" spans="1:36">
      <c r="A1885" t="s">
        <v>5107</v>
      </c>
      <c r="B1885" t="s">
        <v>5108</v>
      </c>
      <c r="F1885" t="str">
        <f t="shared" si="29"/>
        <v>64181</v>
      </c>
      <c r="AE1885">
        <v>1101111870347</v>
      </c>
      <c r="AG1885" t="s">
        <v>2</v>
      </c>
      <c r="AH1885" t="s">
        <v>425</v>
      </c>
      <c r="AI1885" t="s">
        <v>76</v>
      </c>
      <c r="AJ1885" t="s">
        <v>426</v>
      </c>
    </row>
    <row r="1886" spans="1:36">
      <c r="A1886" t="s">
        <v>5109</v>
      </c>
      <c r="B1886" t="s">
        <v>5110</v>
      </c>
      <c r="F1886" t="str">
        <f t="shared" si="29"/>
        <v>64196</v>
      </c>
      <c r="AG1886" t="s">
        <v>4</v>
      </c>
    </row>
    <row r="1887" spans="1:36">
      <c r="A1887" t="s">
        <v>5111</v>
      </c>
      <c r="B1887" t="s">
        <v>5112</v>
      </c>
      <c r="F1887" t="str">
        <f t="shared" si="29"/>
        <v>64197</v>
      </c>
      <c r="AE1887">
        <v>1101114231835</v>
      </c>
      <c r="AG1887" t="s">
        <v>4</v>
      </c>
      <c r="AH1887" t="s">
        <v>213</v>
      </c>
      <c r="AI1887" t="s">
        <v>214</v>
      </c>
      <c r="AJ1887" t="s">
        <v>89</v>
      </c>
    </row>
    <row r="1888" spans="1:36">
      <c r="A1888" t="s">
        <v>5113</v>
      </c>
      <c r="B1888" t="s">
        <v>5114</v>
      </c>
      <c r="F1888" t="str">
        <f t="shared" si="29"/>
        <v>64198</v>
      </c>
      <c r="AE1888">
        <v>1712110030509</v>
      </c>
      <c r="AG1888" t="s">
        <v>4</v>
      </c>
      <c r="AH1888" t="s">
        <v>1325</v>
      </c>
      <c r="AI1888" t="s">
        <v>1326</v>
      </c>
      <c r="AJ1888" t="s">
        <v>1327</v>
      </c>
    </row>
    <row r="1889" spans="1:36">
      <c r="A1889" t="s">
        <v>5115</v>
      </c>
      <c r="B1889" t="s">
        <v>5116</v>
      </c>
      <c r="F1889" t="str">
        <f t="shared" si="29"/>
        <v>64199</v>
      </c>
      <c r="AE1889">
        <v>1101113047754</v>
      </c>
      <c r="AG1889" t="s">
        <v>4</v>
      </c>
      <c r="AH1889" t="s">
        <v>213</v>
      </c>
      <c r="AI1889" t="s">
        <v>214</v>
      </c>
      <c r="AJ1889" t="s">
        <v>89</v>
      </c>
    </row>
    <row r="1890" spans="1:36">
      <c r="A1890" t="s">
        <v>5117</v>
      </c>
      <c r="B1890" t="s">
        <v>5118</v>
      </c>
      <c r="F1890" t="str">
        <f t="shared" si="29"/>
        <v>64200</v>
      </c>
      <c r="AF1890" t="s">
        <v>253</v>
      </c>
      <c r="AG1890" t="s">
        <v>4</v>
      </c>
    </row>
    <row r="1891" spans="1:36">
      <c r="A1891" t="s">
        <v>5119</v>
      </c>
      <c r="B1891" t="s">
        <v>5120</v>
      </c>
      <c r="F1891" t="str">
        <f t="shared" si="29"/>
        <v>64201</v>
      </c>
      <c r="AE1891">
        <v>1701110391532</v>
      </c>
      <c r="AG1891" t="s">
        <v>2</v>
      </c>
      <c r="AH1891" t="s">
        <v>1328</v>
      </c>
      <c r="AI1891" t="s">
        <v>83</v>
      </c>
      <c r="AJ1891" t="s">
        <v>1329</v>
      </c>
    </row>
    <row r="1892" spans="1:36">
      <c r="A1892" t="s">
        <v>5121</v>
      </c>
      <c r="B1892" t="s">
        <v>5122</v>
      </c>
      <c r="F1892" t="str">
        <f t="shared" si="29"/>
        <v>64202</v>
      </c>
      <c r="AE1892">
        <v>1313710003548</v>
      </c>
      <c r="AG1892" t="s">
        <v>4</v>
      </c>
      <c r="AH1892" t="s">
        <v>883</v>
      </c>
      <c r="AI1892" t="s">
        <v>555</v>
      </c>
      <c r="AJ1892" t="s">
        <v>884</v>
      </c>
    </row>
    <row r="1893" spans="1:36">
      <c r="A1893" t="s">
        <v>5123</v>
      </c>
      <c r="B1893" t="s">
        <v>5124</v>
      </c>
      <c r="F1893" t="str">
        <f t="shared" si="29"/>
        <v>64235</v>
      </c>
      <c r="AG1893" t="s">
        <v>4</v>
      </c>
    </row>
    <row r="1894" spans="1:36">
      <c r="A1894" t="s">
        <v>5125</v>
      </c>
      <c r="B1894" t="s">
        <v>5126</v>
      </c>
      <c r="F1894" t="str">
        <f t="shared" si="29"/>
        <v>64246</v>
      </c>
      <c r="AE1894">
        <v>1353110013606</v>
      </c>
      <c r="AF1894" t="s">
        <v>171</v>
      </c>
      <c r="AG1894" t="s">
        <v>2</v>
      </c>
      <c r="AH1894" t="s">
        <v>212</v>
      </c>
      <c r="AI1894" t="s">
        <v>59</v>
      </c>
      <c r="AJ1894" t="s">
        <v>173</v>
      </c>
    </row>
    <row r="1895" spans="1:36">
      <c r="A1895" t="s">
        <v>5127</v>
      </c>
      <c r="B1895" t="s">
        <v>5128</v>
      </c>
      <c r="F1895" t="str">
        <f t="shared" si="29"/>
        <v>64247</v>
      </c>
      <c r="AG1895" t="s">
        <v>4</v>
      </c>
    </row>
    <row r="1896" spans="1:36">
      <c r="A1896" t="s">
        <v>5129</v>
      </c>
      <c r="B1896" t="s">
        <v>5130</v>
      </c>
      <c r="F1896" t="str">
        <f t="shared" si="29"/>
        <v>64248</v>
      </c>
      <c r="AE1896">
        <v>1101112569460</v>
      </c>
      <c r="AG1896" t="s">
        <v>4</v>
      </c>
      <c r="AH1896" t="s">
        <v>729</v>
      </c>
      <c r="AI1896" t="s">
        <v>6</v>
      </c>
      <c r="AJ1896" t="s">
        <v>730</v>
      </c>
    </row>
    <row r="1897" spans="1:36">
      <c r="A1897" t="s">
        <v>5131</v>
      </c>
      <c r="B1897" t="s">
        <v>5132</v>
      </c>
      <c r="F1897" t="str">
        <f t="shared" si="29"/>
        <v>64249</v>
      </c>
      <c r="AG1897" t="s">
        <v>4</v>
      </c>
    </row>
    <row r="1898" spans="1:36">
      <c r="A1898" t="s">
        <v>5133</v>
      </c>
      <c r="B1898" t="s">
        <v>5134</v>
      </c>
      <c r="F1898" t="str">
        <f t="shared" si="29"/>
        <v>64262</v>
      </c>
      <c r="AE1898">
        <v>1101140089026</v>
      </c>
      <c r="AG1898" t="s">
        <v>4</v>
      </c>
    </row>
    <row r="1899" spans="1:36">
      <c r="A1899" t="s">
        <v>5135</v>
      </c>
      <c r="B1899" t="s">
        <v>5136</v>
      </c>
      <c r="F1899" t="str">
        <f t="shared" si="29"/>
        <v>64263</v>
      </c>
      <c r="AE1899">
        <v>1350110111703</v>
      </c>
      <c r="AG1899" t="s">
        <v>2</v>
      </c>
      <c r="AH1899" t="s">
        <v>425</v>
      </c>
      <c r="AI1899" t="s">
        <v>76</v>
      </c>
      <c r="AJ1899" t="s">
        <v>426</v>
      </c>
    </row>
    <row r="1900" spans="1:36">
      <c r="A1900" t="s">
        <v>5137</v>
      </c>
      <c r="B1900" t="s">
        <v>5138</v>
      </c>
      <c r="F1900" t="str">
        <f t="shared" si="29"/>
        <v>64276</v>
      </c>
      <c r="AF1900" t="s">
        <v>238</v>
      </c>
      <c r="AG1900" t="s">
        <v>4</v>
      </c>
    </row>
    <row r="1901" spans="1:36">
      <c r="A1901" t="s">
        <v>5139</v>
      </c>
      <c r="B1901" t="s">
        <v>5140</v>
      </c>
      <c r="F1901" t="str">
        <f t="shared" si="29"/>
        <v>64277</v>
      </c>
      <c r="AG1901" t="s">
        <v>4</v>
      </c>
    </row>
    <row r="1902" spans="1:36">
      <c r="A1902" t="s">
        <v>5141</v>
      </c>
      <c r="B1902" t="s">
        <v>5142</v>
      </c>
      <c r="F1902" t="str">
        <f t="shared" si="29"/>
        <v>64278</v>
      </c>
      <c r="AG1902" t="s">
        <v>4</v>
      </c>
    </row>
    <row r="1903" spans="1:36">
      <c r="A1903" t="s">
        <v>5143</v>
      </c>
      <c r="B1903" t="s">
        <v>5144</v>
      </c>
      <c r="F1903" t="str">
        <f t="shared" si="29"/>
        <v>64279</v>
      </c>
      <c r="AG1903" t="s">
        <v>4</v>
      </c>
    </row>
    <row r="1904" spans="1:36">
      <c r="A1904" t="s">
        <v>5145</v>
      </c>
      <c r="B1904" t="s">
        <v>5146</v>
      </c>
      <c r="F1904" t="str">
        <f t="shared" si="29"/>
        <v>64280</v>
      </c>
      <c r="AE1904">
        <v>1101110102113</v>
      </c>
      <c r="AG1904" t="s">
        <v>4</v>
      </c>
      <c r="AH1904" t="s">
        <v>1332</v>
      </c>
      <c r="AI1904" t="s">
        <v>555</v>
      </c>
      <c r="AJ1904" t="s">
        <v>1333</v>
      </c>
    </row>
    <row r="1905" spans="1:36">
      <c r="A1905" t="s">
        <v>5147</v>
      </c>
      <c r="B1905" t="s">
        <v>5148</v>
      </c>
      <c r="F1905" t="str">
        <f t="shared" si="29"/>
        <v>64281</v>
      </c>
      <c r="AG1905" t="s">
        <v>4</v>
      </c>
    </row>
    <row r="1906" spans="1:36">
      <c r="A1906" t="s">
        <v>5149</v>
      </c>
      <c r="B1906" t="s">
        <v>5150</v>
      </c>
      <c r="F1906" t="str">
        <f t="shared" si="29"/>
        <v>64282</v>
      </c>
      <c r="AE1906">
        <v>1101114264828</v>
      </c>
      <c r="AG1906" t="s">
        <v>2</v>
      </c>
      <c r="AH1906" t="s">
        <v>145</v>
      </c>
      <c r="AI1906" t="s">
        <v>146</v>
      </c>
      <c r="AJ1906" t="s">
        <v>147</v>
      </c>
    </row>
    <row r="1907" spans="1:36">
      <c r="A1907" t="s">
        <v>5151</v>
      </c>
      <c r="B1907" t="s">
        <v>5152</v>
      </c>
      <c r="F1907" t="str">
        <f t="shared" si="29"/>
        <v>64285</v>
      </c>
      <c r="AG1907" t="s">
        <v>4</v>
      </c>
    </row>
    <row r="1908" spans="1:36">
      <c r="A1908" t="s">
        <v>5153</v>
      </c>
      <c r="B1908" t="s">
        <v>5154</v>
      </c>
      <c r="F1908" t="str">
        <f t="shared" si="29"/>
        <v>64309</v>
      </c>
      <c r="AE1908">
        <v>1101112428830</v>
      </c>
      <c r="AG1908" t="s">
        <v>4</v>
      </c>
      <c r="AH1908" t="s">
        <v>481</v>
      </c>
      <c r="AI1908" t="s">
        <v>275</v>
      </c>
      <c r="AJ1908" t="s">
        <v>320</v>
      </c>
    </row>
    <row r="1909" spans="1:36">
      <c r="A1909" t="s">
        <v>5155</v>
      </c>
      <c r="B1909" t="s">
        <v>5156</v>
      </c>
      <c r="F1909" t="str">
        <f t="shared" si="29"/>
        <v>64315</v>
      </c>
      <c r="AG1909" t="s">
        <v>4</v>
      </c>
    </row>
    <row r="1910" spans="1:36">
      <c r="A1910" t="s">
        <v>5157</v>
      </c>
      <c r="B1910" t="s">
        <v>5158</v>
      </c>
      <c r="F1910" t="str">
        <f t="shared" si="29"/>
        <v>64328</v>
      </c>
      <c r="AE1910">
        <v>1358110157412</v>
      </c>
      <c r="AG1910" t="s">
        <v>4</v>
      </c>
      <c r="AH1910" t="s">
        <v>714</v>
      </c>
      <c r="AI1910" t="s">
        <v>76</v>
      </c>
      <c r="AJ1910" t="s">
        <v>715</v>
      </c>
    </row>
    <row r="1911" spans="1:36">
      <c r="A1911" t="s">
        <v>5159</v>
      </c>
      <c r="B1911" t="s">
        <v>5160</v>
      </c>
      <c r="F1911" t="str">
        <f t="shared" si="29"/>
        <v>64349</v>
      </c>
      <c r="AE1911">
        <v>1101113379545</v>
      </c>
      <c r="AG1911" t="s">
        <v>4</v>
      </c>
      <c r="AH1911" t="s">
        <v>1334</v>
      </c>
      <c r="AI1911" t="s">
        <v>83</v>
      </c>
      <c r="AJ1911" t="s">
        <v>1335</v>
      </c>
    </row>
    <row r="1912" spans="1:36">
      <c r="A1912" t="s">
        <v>5161</v>
      </c>
      <c r="B1912" t="s">
        <v>5162</v>
      </c>
      <c r="F1912" t="str">
        <f t="shared" si="29"/>
        <v>64354</v>
      </c>
      <c r="AG1912" t="s">
        <v>4</v>
      </c>
    </row>
    <row r="1913" spans="1:36">
      <c r="A1913" t="s">
        <v>5163</v>
      </c>
      <c r="B1913" t="s">
        <v>5164</v>
      </c>
      <c r="F1913" t="str">
        <f t="shared" si="29"/>
        <v>64355</v>
      </c>
      <c r="AG1913" t="s">
        <v>4</v>
      </c>
    </row>
    <row r="1914" spans="1:36">
      <c r="A1914" t="s">
        <v>5165</v>
      </c>
      <c r="B1914" t="s">
        <v>5166</v>
      </c>
      <c r="F1914" t="str">
        <f t="shared" si="29"/>
        <v>64356</v>
      </c>
      <c r="AG1914" t="s">
        <v>4</v>
      </c>
    </row>
    <row r="1915" spans="1:36">
      <c r="A1915" t="s">
        <v>5167</v>
      </c>
      <c r="B1915" t="s">
        <v>5168</v>
      </c>
      <c r="F1915" t="str">
        <f t="shared" si="29"/>
        <v>64357</v>
      </c>
      <c r="AG1915" t="s">
        <v>4</v>
      </c>
    </row>
    <row r="1916" spans="1:36">
      <c r="A1916" t="s">
        <v>5169</v>
      </c>
      <c r="B1916" t="s">
        <v>5170</v>
      </c>
      <c r="F1916" t="str">
        <f t="shared" si="29"/>
        <v>64358</v>
      </c>
      <c r="AG1916" t="s">
        <v>4</v>
      </c>
    </row>
    <row r="1917" spans="1:36">
      <c r="A1917" t="s">
        <v>5171</v>
      </c>
      <c r="B1917" t="s">
        <v>5172</v>
      </c>
      <c r="F1917" t="str">
        <f t="shared" si="29"/>
        <v>64359</v>
      </c>
      <c r="AG1917" t="s">
        <v>4</v>
      </c>
    </row>
    <row r="1918" spans="1:36">
      <c r="A1918" t="s">
        <v>5173</v>
      </c>
      <c r="B1918" t="s">
        <v>5174</v>
      </c>
      <c r="F1918" t="str">
        <f t="shared" si="29"/>
        <v>64360</v>
      </c>
      <c r="AG1918" t="s">
        <v>4</v>
      </c>
    </row>
    <row r="1919" spans="1:36">
      <c r="A1919" t="s">
        <v>5175</v>
      </c>
      <c r="B1919" t="s">
        <v>5176</v>
      </c>
      <c r="F1919" t="str">
        <f t="shared" si="29"/>
        <v>64403</v>
      </c>
      <c r="AE1919">
        <v>1350110049607</v>
      </c>
      <c r="AG1919" t="s">
        <v>2</v>
      </c>
      <c r="AH1919" t="s">
        <v>1221</v>
      </c>
      <c r="AI1919" t="s">
        <v>70</v>
      </c>
      <c r="AJ1919" t="s">
        <v>1222</v>
      </c>
    </row>
    <row r="1920" spans="1:36">
      <c r="A1920" t="s">
        <v>5177</v>
      </c>
      <c r="B1920" t="s">
        <v>5178</v>
      </c>
      <c r="F1920" t="str">
        <f t="shared" si="29"/>
        <v>64421</v>
      </c>
      <c r="AE1920">
        <v>2001110036884</v>
      </c>
      <c r="AG1920" t="s">
        <v>4</v>
      </c>
      <c r="AH1920" t="s">
        <v>1161</v>
      </c>
      <c r="AI1920" t="s">
        <v>83</v>
      </c>
      <c r="AJ1920" t="s">
        <v>515</v>
      </c>
    </row>
    <row r="1921" spans="1:36">
      <c r="A1921" t="s">
        <v>5179</v>
      </c>
      <c r="B1921" t="s">
        <v>5180</v>
      </c>
      <c r="F1921" t="str">
        <f t="shared" si="29"/>
        <v>64422</v>
      </c>
      <c r="AE1921">
        <v>1101110624018</v>
      </c>
      <c r="AG1921" t="s">
        <v>4</v>
      </c>
      <c r="AH1921" t="s">
        <v>1230</v>
      </c>
      <c r="AI1921" t="s">
        <v>657</v>
      </c>
      <c r="AJ1921" t="s">
        <v>1231</v>
      </c>
    </row>
    <row r="1922" spans="1:36">
      <c r="A1922" t="s">
        <v>5181</v>
      </c>
      <c r="B1922" t="s">
        <v>5182</v>
      </c>
      <c r="F1922" t="str">
        <f t="shared" si="29"/>
        <v>64423</v>
      </c>
      <c r="AE1922">
        <v>1101111234543</v>
      </c>
      <c r="AG1922" t="s">
        <v>4</v>
      </c>
      <c r="AH1922" t="s">
        <v>499</v>
      </c>
      <c r="AI1922" t="s">
        <v>192</v>
      </c>
      <c r="AJ1922" t="s">
        <v>500</v>
      </c>
    </row>
    <row r="1923" spans="1:36">
      <c r="A1923" t="s">
        <v>5183</v>
      </c>
      <c r="B1923" t="s">
        <v>5184</v>
      </c>
      <c r="F1923" t="str">
        <f t="shared" si="29"/>
        <v>64424</v>
      </c>
      <c r="AE1923">
        <v>1101111537434</v>
      </c>
      <c r="AG1923" t="s">
        <v>4</v>
      </c>
      <c r="AH1923" t="s">
        <v>1336</v>
      </c>
      <c r="AI1923" t="s">
        <v>517</v>
      </c>
      <c r="AJ1923" t="s">
        <v>1337</v>
      </c>
    </row>
    <row r="1924" spans="1:36">
      <c r="A1924" t="s">
        <v>5185</v>
      </c>
      <c r="B1924" t="s">
        <v>5186</v>
      </c>
      <c r="F1924" t="str">
        <f t="shared" si="29"/>
        <v>64425</v>
      </c>
      <c r="AE1924">
        <v>1101111139214</v>
      </c>
      <c r="AG1924" t="s">
        <v>4</v>
      </c>
      <c r="AH1924" t="s">
        <v>1290</v>
      </c>
      <c r="AI1924" t="s">
        <v>83</v>
      </c>
      <c r="AJ1924" t="s">
        <v>709</v>
      </c>
    </row>
    <row r="1925" spans="1:36">
      <c r="A1925" t="s">
        <v>5187</v>
      </c>
      <c r="B1925" t="s">
        <v>5188</v>
      </c>
      <c r="F1925" t="str">
        <f t="shared" si="29"/>
        <v>64427</v>
      </c>
      <c r="AE1925">
        <v>1101110405525</v>
      </c>
      <c r="AG1925" t="s">
        <v>4</v>
      </c>
      <c r="AH1925" t="s">
        <v>1288</v>
      </c>
      <c r="AI1925" t="s">
        <v>83</v>
      </c>
      <c r="AJ1925" t="s">
        <v>1289</v>
      </c>
    </row>
    <row r="1926" spans="1:36">
      <c r="A1926" t="s">
        <v>5189</v>
      </c>
      <c r="B1926" t="s">
        <v>5190</v>
      </c>
      <c r="F1926" t="str">
        <f t="shared" si="29"/>
        <v>64432</v>
      </c>
      <c r="AE1926">
        <v>1801110122183</v>
      </c>
      <c r="AG1926" t="s">
        <v>4</v>
      </c>
      <c r="AH1926" t="s">
        <v>1198</v>
      </c>
      <c r="AI1926" t="s">
        <v>12</v>
      </c>
      <c r="AJ1926" t="s">
        <v>544</v>
      </c>
    </row>
    <row r="1927" spans="1:36">
      <c r="A1927" t="s">
        <v>5191</v>
      </c>
      <c r="B1927" t="s">
        <v>5192</v>
      </c>
      <c r="F1927" t="str">
        <f t="shared" si="29"/>
        <v>64455</v>
      </c>
      <c r="AE1927">
        <v>1812110031589</v>
      </c>
      <c r="AG1927" t="s">
        <v>4</v>
      </c>
      <c r="AH1927" t="s">
        <v>69</v>
      </c>
      <c r="AI1927" t="s">
        <v>70</v>
      </c>
      <c r="AJ1927" t="s">
        <v>71</v>
      </c>
    </row>
    <row r="1928" spans="1:36">
      <c r="A1928" t="s">
        <v>5193</v>
      </c>
      <c r="B1928" t="s">
        <v>5194</v>
      </c>
      <c r="F1928" t="str">
        <f t="shared" si="29"/>
        <v>64456</v>
      </c>
      <c r="AE1928">
        <v>1615110027932</v>
      </c>
      <c r="AG1928" t="s">
        <v>4</v>
      </c>
      <c r="AH1928" t="s">
        <v>1290</v>
      </c>
      <c r="AI1928" t="s">
        <v>83</v>
      </c>
      <c r="AJ1928" t="s">
        <v>709</v>
      </c>
    </row>
    <row r="1929" spans="1:36">
      <c r="A1929" t="s">
        <v>5195</v>
      </c>
      <c r="B1929" t="s">
        <v>5196</v>
      </c>
      <c r="F1929" t="str">
        <f t="shared" si="29"/>
        <v>64457</v>
      </c>
      <c r="AE1929">
        <v>1501110015889</v>
      </c>
      <c r="AG1929" t="s">
        <v>4</v>
      </c>
      <c r="AH1929" t="s">
        <v>209</v>
      </c>
      <c r="AI1929" t="s">
        <v>32</v>
      </c>
      <c r="AJ1929" t="s">
        <v>52</v>
      </c>
    </row>
    <row r="1930" spans="1:36">
      <c r="A1930" t="s">
        <v>5197</v>
      </c>
      <c r="B1930" t="s">
        <v>5198</v>
      </c>
      <c r="F1930" t="str">
        <f t="shared" ref="F1930:F1993" si="30">CHOOSE($C$1, A1930, B1930)</f>
        <v>64458</v>
      </c>
      <c r="AG1930" t="s">
        <v>4</v>
      </c>
    </row>
    <row r="1931" spans="1:36">
      <c r="A1931" t="s">
        <v>5199</v>
      </c>
      <c r="B1931" t="s">
        <v>5200</v>
      </c>
      <c r="F1931" t="str">
        <f t="shared" si="30"/>
        <v>64459</v>
      </c>
      <c r="AE1931">
        <v>1101114210459</v>
      </c>
      <c r="AG1931" t="s">
        <v>4</v>
      </c>
      <c r="AH1931" t="s">
        <v>634</v>
      </c>
      <c r="AI1931" t="s">
        <v>6</v>
      </c>
      <c r="AJ1931" t="s">
        <v>635</v>
      </c>
    </row>
    <row r="1932" spans="1:36">
      <c r="A1932" t="s">
        <v>5201</v>
      </c>
      <c r="B1932" t="s">
        <v>5202</v>
      </c>
      <c r="F1932" t="str">
        <f t="shared" si="30"/>
        <v>64460</v>
      </c>
      <c r="AE1932">
        <v>1601710001674</v>
      </c>
      <c r="AG1932" t="s">
        <v>4</v>
      </c>
    </row>
    <row r="1933" spans="1:36">
      <c r="A1933" t="s">
        <v>5203</v>
      </c>
      <c r="B1933" t="s">
        <v>5204</v>
      </c>
      <c r="F1933" t="str">
        <f t="shared" si="30"/>
        <v>64461</v>
      </c>
      <c r="AE1933">
        <v>1601110098073</v>
      </c>
      <c r="AG1933" t="s">
        <v>2</v>
      </c>
      <c r="AH1933" t="s">
        <v>1340</v>
      </c>
      <c r="AI1933" t="s">
        <v>65</v>
      </c>
      <c r="AJ1933" t="s">
        <v>1341</v>
      </c>
    </row>
    <row r="1934" spans="1:36">
      <c r="A1934" t="s">
        <v>5205</v>
      </c>
      <c r="B1934" t="s">
        <v>5206</v>
      </c>
      <c r="F1934" t="str">
        <f t="shared" si="30"/>
        <v>64462</v>
      </c>
      <c r="AE1934">
        <v>1101111777361</v>
      </c>
      <c r="AG1934" t="s">
        <v>4</v>
      </c>
    </row>
    <row r="1935" spans="1:36">
      <c r="A1935" t="s">
        <v>5207</v>
      </c>
      <c r="B1935" t="s">
        <v>5208</v>
      </c>
      <c r="F1935" t="str">
        <f t="shared" si="30"/>
        <v>64480</v>
      </c>
      <c r="AG1935" t="s">
        <v>4</v>
      </c>
    </row>
    <row r="1936" spans="1:36">
      <c r="A1936" t="s">
        <v>5209</v>
      </c>
      <c r="B1936" t="s">
        <v>5210</v>
      </c>
      <c r="F1936" t="str">
        <f t="shared" si="30"/>
        <v>64505</v>
      </c>
      <c r="AG1936" t="s">
        <v>4</v>
      </c>
    </row>
    <row r="1937" spans="1:36">
      <c r="A1937" t="s">
        <v>5211</v>
      </c>
      <c r="B1937" t="s">
        <v>5212</v>
      </c>
      <c r="F1937" t="str">
        <f t="shared" si="30"/>
        <v>64506</v>
      </c>
      <c r="AG1937" t="s">
        <v>4</v>
      </c>
    </row>
    <row r="1938" spans="1:36">
      <c r="A1938" t="s">
        <v>5213</v>
      </c>
      <c r="B1938" t="s">
        <v>5214</v>
      </c>
      <c r="F1938" t="str">
        <f t="shared" si="30"/>
        <v>64507</v>
      </c>
      <c r="AG1938" t="s">
        <v>4</v>
      </c>
    </row>
    <row r="1939" spans="1:36">
      <c r="A1939" t="s">
        <v>5215</v>
      </c>
      <c r="B1939" t="s">
        <v>5216</v>
      </c>
      <c r="F1939" t="str">
        <f t="shared" si="30"/>
        <v>64508</v>
      </c>
      <c r="AE1939">
        <v>1101114362482</v>
      </c>
      <c r="AF1939" t="s">
        <v>107</v>
      </c>
      <c r="AG1939" t="s">
        <v>4</v>
      </c>
      <c r="AH1939" t="s">
        <v>169</v>
      </c>
      <c r="AI1939" t="s">
        <v>59</v>
      </c>
      <c r="AJ1939" t="s">
        <v>170</v>
      </c>
    </row>
    <row r="1940" spans="1:36">
      <c r="A1940" t="s">
        <v>5217</v>
      </c>
      <c r="B1940" t="s">
        <v>5218</v>
      </c>
      <c r="F1940" t="str">
        <f t="shared" si="30"/>
        <v>64521</v>
      </c>
      <c r="AE1940">
        <v>1101110753734</v>
      </c>
      <c r="AG1940" t="s">
        <v>2</v>
      </c>
      <c r="AH1940" t="s">
        <v>1343</v>
      </c>
      <c r="AI1940" t="s">
        <v>177</v>
      </c>
      <c r="AJ1940" t="s">
        <v>1344</v>
      </c>
    </row>
    <row r="1941" spans="1:36">
      <c r="A1941" t="s">
        <v>5219</v>
      </c>
      <c r="B1941" t="s">
        <v>5220</v>
      </c>
      <c r="F1941" t="str">
        <f t="shared" si="30"/>
        <v>64547</v>
      </c>
      <c r="AG1941" t="s">
        <v>4</v>
      </c>
    </row>
    <row r="1942" spans="1:36">
      <c r="A1942" t="s">
        <v>5221</v>
      </c>
      <c r="B1942" t="s">
        <v>5222</v>
      </c>
      <c r="F1942" t="str">
        <f t="shared" si="30"/>
        <v>64548</v>
      </c>
      <c r="AE1942">
        <v>1101113974957</v>
      </c>
      <c r="AF1942" t="s">
        <v>370</v>
      </c>
      <c r="AG1942" t="s">
        <v>4</v>
      </c>
      <c r="AH1942" t="s">
        <v>296</v>
      </c>
      <c r="AI1942" t="s">
        <v>297</v>
      </c>
      <c r="AJ1942" t="s">
        <v>298</v>
      </c>
    </row>
    <row r="1943" spans="1:36">
      <c r="A1943" t="s">
        <v>5223</v>
      </c>
      <c r="B1943" t="s">
        <v>5224</v>
      </c>
      <c r="F1943" t="str">
        <f t="shared" si="30"/>
        <v>64549</v>
      </c>
      <c r="AG1943" t="s">
        <v>4</v>
      </c>
    </row>
    <row r="1944" spans="1:36">
      <c r="A1944" t="s">
        <v>5225</v>
      </c>
      <c r="B1944" t="s">
        <v>5226</v>
      </c>
      <c r="F1944" t="str">
        <f t="shared" si="30"/>
        <v>64550</v>
      </c>
      <c r="AG1944" t="s">
        <v>4</v>
      </c>
    </row>
    <row r="1945" spans="1:36">
      <c r="A1945" t="s">
        <v>5227</v>
      </c>
      <c r="B1945" t="s">
        <v>5228</v>
      </c>
      <c r="F1945" t="str">
        <f t="shared" si="30"/>
        <v>64551</v>
      </c>
      <c r="AG1945" t="s">
        <v>4</v>
      </c>
    </row>
    <row r="1946" spans="1:36">
      <c r="A1946" t="s">
        <v>5229</v>
      </c>
      <c r="B1946" t="s">
        <v>5230</v>
      </c>
      <c r="F1946" t="str">
        <f t="shared" si="30"/>
        <v>64552</v>
      </c>
      <c r="AG1946" t="s">
        <v>4</v>
      </c>
    </row>
    <row r="1947" spans="1:36">
      <c r="A1947" t="s">
        <v>5231</v>
      </c>
      <c r="B1947" t="s">
        <v>5232</v>
      </c>
      <c r="F1947" t="str">
        <f t="shared" si="30"/>
        <v>64576</v>
      </c>
      <c r="AG1947" t="s">
        <v>4</v>
      </c>
    </row>
    <row r="1948" spans="1:36">
      <c r="A1948" t="s">
        <v>5233</v>
      </c>
      <c r="B1948" t="s">
        <v>5234</v>
      </c>
      <c r="F1948" t="str">
        <f t="shared" si="30"/>
        <v>64577</v>
      </c>
      <c r="AE1948">
        <v>1313110082267</v>
      </c>
      <c r="AG1948" t="s">
        <v>4</v>
      </c>
      <c r="AH1948" t="s">
        <v>874</v>
      </c>
      <c r="AI1948" t="s">
        <v>278</v>
      </c>
      <c r="AJ1948" t="s">
        <v>875</v>
      </c>
    </row>
    <row r="1949" spans="1:36">
      <c r="A1949" t="s">
        <v>5235</v>
      </c>
      <c r="B1949" t="s">
        <v>5236</v>
      </c>
      <c r="F1949" t="str">
        <f t="shared" si="30"/>
        <v>64578</v>
      </c>
      <c r="AG1949" t="s">
        <v>4</v>
      </c>
    </row>
    <row r="1950" spans="1:36">
      <c r="A1950" t="s">
        <v>5237</v>
      </c>
      <c r="B1950" t="s">
        <v>5238</v>
      </c>
      <c r="F1950" t="str">
        <f t="shared" si="30"/>
        <v>64579</v>
      </c>
      <c r="AG1950" t="s">
        <v>4</v>
      </c>
    </row>
    <row r="1951" spans="1:36">
      <c r="A1951" t="s">
        <v>5239</v>
      </c>
      <c r="B1951" t="s">
        <v>5240</v>
      </c>
      <c r="F1951" t="str">
        <f t="shared" si="30"/>
        <v>64580</v>
      </c>
      <c r="AE1951">
        <v>1345710003731</v>
      </c>
      <c r="AG1951" t="s">
        <v>4</v>
      </c>
    </row>
    <row r="1952" spans="1:36">
      <c r="A1952" t="s">
        <v>5241</v>
      </c>
      <c r="B1952" t="s">
        <v>5242</v>
      </c>
      <c r="F1952" t="str">
        <f t="shared" si="30"/>
        <v>64592</v>
      </c>
      <c r="AG1952" t="s">
        <v>4</v>
      </c>
    </row>
    <row r="1953" spans="1:36">
      <c r="A1953" t="s">
        <v>5243</v>
      </c>
      <c r="B1953" t="s">
        <v>5244</v>
      </c>
      <c r="F1953" t="str">
        <f t="shared" si="30"/>
        <v>64593</v>
      </c>
      <c r="AE1953">
        <v>1601110214702</v>
      </c>
      <c r="AG1953" t="s">
        <v>2</v>
      </c>
      <c r="AH1953" t="s">
        <v>75</v>
      </c>
      <c r="AI1953" t="s">
        <v>76</v>
      </c>
      <c r="AJ1953" t="s">
        <v>77</v>
      </c>
    </row>
    <row r="1954" spans="1:36">
      <c r="A1954" t="s">
        <v>5245</v>
      </c>
      <c r="B1954" t="s">
        <v>5246</v>
      </c>
      <c r="F1954" t="str">
        <f t="shared" si="30"/>
        <v>64594</v>
      </c>
      <c r="AE1954">
        <v>1313110082267</v>
      </c>
      <c r="AG1954" t="s">
        <v>4</v>
      </c>
    </row>
    <row r="1955" spans="1:36">
      <c r="A1955" t="s">
        <v>5247</v>
      </c>
      <c r="B1955" t="s">
        <v>5248</v>
      </c>
      <c r="F1955" t="str">
        <f t="shared" si="30"/>
        <v>64595</v>
      </c>
      <c r="AE1955">
        <v>1313110082267</v>
      </c>
      <c r="AG1955" t="s">
        <v>4</v>
      </c>
    </row>
    <row r="1956" spans="1:36">
      <c r="A1956" t="s">
        <v>5249</v>
      </c>
      <c r="B1956" t="s">
        <v>5250</v>
      </c>
      <c r="F1956" t="str">
        <f t="shared" si="30"/>
        <v>64596</v>
      </c>
      <c r="AE1956">
        <v>1313110082267</v>
      </c>
      <c r="AG1956" t="s">
        <v>4</v>
      </c>
    </row>
    <row r="1957" spans="1:36">
      <c r="A1957" t="s">
        <v>5251</v>
      </c>
      <c r="B1957" t="s">
        <v>5252</v>
      </c>
      <c r="F1957" t="str">
        <f t="shared" si="30"/>
        <v>64597</v>
      </c>
      <c r="AG1957" t="s">
        <v>4</v>
      </c>
    </row>
    <row r="1958" spans="1:36">
      <c r="A1958" t="s">
        <v>5253</v>
      </c>
      <c r="B1958" t="s">
        <v>5254</v>
      </c>
      <c r="F1958" t="str">
        <f t="shared" si="30"/>
        <v>64601</v>
      </c>
      <c r="AG1958" t="s">
        <v>4</v>
      </c>
    </row>
    <row r="1959" spans="1:36">
      <c r="A1959" t="s">
        <v>5255</v>
      </c>
      <c r="B1959" t="s">
        <v>5256</v>
      </c>
      <c r="F1959" t="str">
        <f t="shared" si="30"/>
        <v>64605</v>
      </c>
      <c r="AG1959" t="s">
        <v>4</v>
      </c>
    </row>
    <row r="1960" spans="1:36">
      <c r="A1960" t="s">
        <v>5257</v>
      </c>
      <c r="B1960" t="s">
        <v>5258</v>
      </c>
      <c r="F1960" t="str">
        <f t="shared" si="30"/>
        <v>64650</v>
      </c>
      <c r="AE1960">
        <v>1101114382612</v>
      </c>
      <c r="AG1960" t="s">
        <v>2</v>
      </c>
      <c r="AH1960" t="s">
        <v>1161</v>
      </c>
      <c r="AI1960" t="s">
        <v>83</v>
      </c>
      <c r="AJ1960" t="s">
        <v>515</v>
      </c>
    </row>
    <row r="1961" spans="1:36">
      <c r="A1961" t="s">
        <v>5259</v>
      </c>
      <c r="B1961" t="s">
        <v>5260</v>
      </c>
      <c r="F1961" t="str">
        <f t="shared" si="30"/>
        <v>64696</v>
      </c>
      <c r="AE1961">
        <v>1348110197550</v>
      </c>
      <c r="AG1961" t="s">
        <v>2</v>
      </c>
      <c r="AH1961" t="s">
        <v>34</v>
      </c>
      <c r="AI1961" t="s">
        <v>35</v>
      </c>
      <c r="AJ1961" t="s">
        <v>36</v>
      </c>
    </row>
    <row r="1962" spans="1:36">
      <c r="A1962" t="s">
        <v>5261</v>
      </c>
      <c r="B1962" t="s">
        <v>5262</v>
      </c>
      <c r="F1962" t="str">
        <f t="shared" si="30"/>
        <v>64697</v>
      </c>
      <c r="AE1962">
        <v>1101112125262</v>
      </c>
      <c r="AG1962" t="s">
        <v>2</v>
      </c>
      <c r="AH1962" t="s">
        <v>82</v>
      </c>
      <c r="AI1962" t="s">
        <v>83</v>
      </c>
      <c r="AJ1962" t="s">
        <v>84</v>
      </c>
    </row>
    <row r="1963" spans="1:36">
      <c r="A1963" t="s">
        <v>5263</v>
      </c>
      <c r="B1963" t="s">
        <v>5264</v>
      </c>
      <c r="F1963" t="str">
        <f t="shared" si="30"/>
        <v>64698</v>
      </c>
      <c r="AE1963">
        <v>1712110005114</v>
      </c>
      <c r="AG1963" t="s">
        <v>2</v>
      </c>
      <c r="AH1963" t="s">
        <v>393</v>
      </c>
      <c r="AI1963" t="s">
        <v>146</v>
      </c>
      <c r="AJ1963" t="s">
        <v>394</v>
      </c>
    </row>
    <row r="1964" spans="1:36">
      <c r="A1964" t="s">
        <v>5265</v>
      </c>
      <c r="B1964" t="s">
        <v>5266</v>
      </c>
      <c r="F1964" t="str">
        <f t="shared" si="30"/>
        <v>64699</v>
      </c>
      <c r="AG1964" t="s">
        <v>4</v>
      </c>
    </row>
    <row r="1965" spans="1:36">
      <c r="A1965" t="s">
        <v>5267</v>
      </c>
      <c r="B1965" t="s">
        <v>5268</v>
      </c>
      <c r="F1965" t="str">
        <f t="shared" si="30"/>
        <v>64700</v>
      </c>
      <c r="AE1965">
        <v>1101114191451</v>
      </c>
      <c r="AG1965" t="s">
        <v>4</v>
      </c>
      <c r="AH1965" t="s">
        <v>837</v>
      </c>
      <c r="AI1965" t="s">
        <v>6</v>
      </c>
      <c r="AJ1965" t="s">
        <v>838</v>
      </c>
    </row>
    <row r="1966" spans="1:36">
      <c r="A1966" t="s">
        <v>5269</v>
      </c>
      <c r="B1966" t="s">
        <v>5270</v>
      </c>
      <c r="F1966" t="str">
        <f t="shared" si="30"/>
        <v>64701</v>
      </c>
      <c r="AG1966" t="s">
        <v>4</v>
      </c>
    </row>
    <row r="1967" spans="1:36">
      <c r="A1967" t="s">
        <v>5271</v>
      </c>
      <c r="B1967" t="s">
        <v>5272</v>
      </c>
      <c r="F1967" t="str">
        <f t="shared" si="30"/>
        <v>64702</v>
      </c>
      <c r="AE1967">
        <v>2850110151881</v>
      </c>
      <c r="AG1967" t="s">
        <v>2</v>
      </c>
      <c r="AH1967" t="s">
        <v>1236</v>
      </c>
      <c r="AI1967" t="s">
        <v>65</v>
      </c>
      <c r="AJ1967" t="s">
        <v>1237</v>
      </c>
    </row>
    <row r="1968" spans="1:36">
      <c r="A1968" t="s">
        <v>5273</v>
      </c>
      <c r="B1968" t="s">
        <v>5274</v>
      </c>
      <c r="F1968" t="str">
        <f t="shared" si="30"/>
        <v>64704</v>
      </c>
      <c r="AG1968" t="s">
        <v>4</v>
      </c>
    </row>
    <row r="1969" spans="1:36">
      <c r="A1969" t="s">
        <v>5275</v>
      </c>
      <c r="B1969" t="s">
        <v>5276</v>
      </c>
      <c r="F1969" t="str">
        <f t="shared" si="30"/>
        <v>64709</v>
      </c>
      <c r="AG1969" t="s">
        <v>4</v>
      </c>
    </row>
    <row r="1970" spans="1:36">
      <c r="A1970" t="s">
        <v>5277</v>
      </c>
      <c r="B1970" t="s">
        <v>5278</v>
      </c>
      <c r="F1970" t="str">
        <f t="shared" si="30"/>
        <v>64712</v>
      </c>
      <c r="AG1970" t="s">
        <v>4</v>
      </c>
    </row>
    <row r="1971" spans="1:36">
      <c r="A1971" t="s">
        <v>5279</v>
      </c>
      <c r="B1971" t="s">
        <v>5280</v>
      </c>
      <c r="F1971" t="str">
        <f t="shared" si="30"/>
        <v>64713</v>
      </c>
      <c r="AE1971">
        <v>1101111492240</v>
      </c>
      <c r="AG1971" t="s">
        <v>4</v>
      </c>
      <c r="AH1971" t="s">
        <v>874</v>
      </c>
      <c r="AI1971" t="s">
        <v>278</v>
      </c>
      <c r="AJ1971" t="s">
        <v>875</v>
      </c>
    </row>
    <row r="1972" spans="1:36">
      <c r="A1972" t="s">
        <v>5281</v>
      </c>
      <c r="B1972" t="s">
        <v>5282</v>
      </c>
      <c r="F1972" t="str">
        <f t="shared" si="30"/>
        <v>64755</v>
      </c>
      <c r="AF1972" t="s">
        <v>53</v>
      </c>
      <c r="AG1972" t="s">
        <v>4</v>
      </c>
    </row>
    <row r="1973" spans="1:36">
      <c r="A1973" t="s">
        <v>5283</v>
      </c>
      <c r="B1973" t="s">
        <v>5284</v>
      </c>
      <c r="F1973" t="str">
        <f t="shared" si="30"/>
        <v>64758</v>
      </c>
      <c r="AE1973">
        <v>1101110792667</v>
      </c>
      <c r="AG1973" t="s">
        <v>2</v>
      </c>
      <c r="AH1973" t="s">
        <v>1304</v>
      </c>
      <c r="AI1973" t="s">
        <v>83</v>
      </c>
      <c r="AJ1973" t="s">
        <v>413</v>
      </c>
    </row>
    <row r="1974" spans="1:36">
      <c r="A1974" t="s">
        <v>5285</v>
      </c>
      <c r="B1974" t="s">
        <v>5286</v>
      </c>
      <c r="F1974" t="str">
        <f t="shared" si="30"/>
        <v>64765</v>
      </c>
      <c r="AG1974" t="s">
        <v>4</v>
      </c>
    </row>
    <row r="1975" spans="1:36">
      <c r="A1975" t="s">
        <v>5287</v>
      </c>
      <c r="B1975" t="s">
        <v>5288</v>
      </c>
      <c r="F1975" t="str">
        <f t="shared" si="30"/>
        <v>64779</v>
      </c>
      <c r="AG1975" t="s">
        <v>4</v>
      </c>
    </row>
    <row r="1976" spans="1:36">
      <c r="A1976" t="s">
        <v>5289</v>
      </c>
      <c r="B1976" t="s">
        <v>5290</v>
      </c>
      <c r="F1976" t="str">
        <f t="shared" si="30"/>
        <v>64813</v>
      </c>
      <c r="AE1976">
        <v>1101114434554</v>
      </c>
      <c r="AG1976" t="s">
        <v>4</v>
      </c>
      <c r="AH1976" t="s">
        <v>844</v>
      </c>
      <c r="AI1976" t="s">
        <v>845</v>
      </c>
      <c r="AJ1976" t="s">
        <v>846</v>
      </c>
    </row>
    <row r="1977" spans="1:36">
      <c r="A1977" t="s">
        <v>5291</v>
      </c>
      <c r="B1977" t="s">
        <v>5292</v>
      </c>
      <c r="F1977" t="str">
        <f t="shared" si="30"/>
        <v>64814</v>
      </c>
      <c r="AG1977" t="s">
        <v>4</v>
      </c>
    </row>
    <row r="1978" spans="1:36">
      <c r="A1978" t="s">
        <v>5293</v>
      </c>
      <c r="B1978" t="s">
        <v>5294</v>
      </c>
      <c r="F1978" t="str">
        <f t="shared" si="30"/>
        <v>64815</v>
      </c>
      <c r="AF1978" t="s">
        <v>1351</v>
      </c>
      <c r="AG1978" t="s">
        <v>4</v>
      </c>
    </row>
    <row r="1979" spans="1:36">
      <c r="A1979" t="s">
        <v>5295</v>
      </c>
      <c r="B1979" t="s">
        <v>5296</v>
      </c>
      <c r="F1979" t="str">
        <f t="shared" si="30"/>
        <v>64816</v>
      </c>
      <c r="AE1979">
        <v>1801110162585</v>
      </c>
      <c r="AG1979" t="s">
        <v>2</v>
      </c>
      <c r="AH1979" t="s">
        <v>844</v>
      </c>
      <c r="AI1979" t="s">
        <v>845</v>
      </c>
      <c r="AJ1979" t="s">
        <v>846</v>
      </c>
    </row>
    <row r="1980" spans="1:36">
      <c r="A1980" t="s">
        <v>5297</v>
      </c>
      <c r="B1980" t="s">
        <v>5298</v>
      </c>
      <c r="F1980" t="str">
        <f t="shared" si="30"/>
        <v>64817</v>
      </c>
      <c r="AG1980" t="s">
        <v>4</v>
      </c>
    </row>
    <row r="1981" spans="1:36">
      <c r="A1981" t="s">
        <v>5299</v>
      </c>
      <c r="B1981" t="s">
        <v>5300</v>
      </c>
      <c r="F1981" t="str">
        <f t="shared" si="30"/>
        <v>64818</v>
      </c>
      <c r="AE1981">
        <v>1101112740276</v>
      </c>
      <c r="AG1981" t="s">
        <v>4</v>
      </c>
      <c r="AH1981" t="s">
        <v>634</v>
      </c>
      <c r="AI1981" t="s">
        <v>6</v>
      </c>
      <c r="AJ1981" t="s">
        <v>635</v>
      </c>
    </row>
    <row r="1982" spans="1:36">
      <c r="A1982" t="s">
        <v>5301</v>
      </c>
      <c r="B1982" t="s">
        <v>5302</v>
      </c>
      <c r="F1982" t="str">
        <f t="shared" si="30"/>
        <v>64819</v>
      </c>
      <c r="AE1982">
        <v>1101110655477</v>
      </c>
      <c r="AG1982" t="s">
        <v>4</v>
      </c>
      <c r="AH1982" t="s">
        <v>90</v>
      </c>
      <c r="AI1982" t="s">
        <v>32</v>
      </c>
      <c r="AJ1982" t="s">
        <v>91</v>
      </c>
    </row>
    <row r="1983" spans="1:36">
      <c r="A1983" t="s">
        <v>5303</v>
      </c>
      <c r="B1983" t="s">
        <v>5304</v>
      </c>
      <c r="F1983" t="str">
        <f t="shared" si="30"/>
        <v>64820</v>
      </c>
      <c r="AE1983">
        <v>1101111533599</v>
      </c>
      <c r="AF1983" t="s">
        <v>74</v>
      </c>
      <c r="AG1983" t="s">
        <v>4</v>
      </c>
      <c r="AH1983" t="s">
        <v>745</v>
      </c>
      <c r="AI1983" t="s">
        <v>585</v>
      </c>
      <c r="AJ1983" t="s">
        <v>746</v>
      </c>
    </row>
    <row r="1984" spans="1:36">
      <c r="A1984" t="s">
        <v>5305</v>
      </c>
      <c r="B1984" t="s">
        <v>5306</v>
      </c>
      <c r="F1984" t="str">
        <f t="shared" si="30"/>
        <v>64823</v>
      </c>
      <c r="AG1984" t="s">
        <v>4</v>
      </c>
    </row>
    <row r="1985" spans="1:36">
      <c r="A1985" t="s">
        <v>5307</v>
      </c>
      <c r="B1985" t="s">
        <v>5308</v>
      </c>
      <c r="F1985" t="str">
        <f t="shared" si="30"/>
        <v>64834</v>
      </c>
      <c r="AG1985" t="s">
        <v>4</v>
      </c>
    </row>
    <row r="1986" spans="1:36">
      <c r="A1986" t="s">
        <v>5309</v>
      </c>
      <c r="B1986" t="s">
        <v>5310</v>
      </c>
      <c r="F1986" t="str">
        <f t="shared" si="30"/>
        <v>64862</v>
      </c>
      <c r="AG1986" t="s">
        <v>4</v>
      </c>
    </row>
    <row r="1987" spans="1:36">
      <c r="A1987" t="s">
        <v>5311</v>
      </c>
      <c r="B1987" t="s">
        <v>5312</v>
      </c>
      <c r="F1987" t="str">
        <f t="shared" si="30"/>
        <v>64863</v>
      </c>
      <c r="AE1987">
        <v>1601110123185</v>
      </c>
      <c r="AG1987" t="s">
        <v>4</v>
      </c>
      <c r="AH1987" t="s">
        <v>1354</v>
      </c>
      <c r="AI1987" t="s">
        <v>177</v>
      </c>
      <c r="AJ1987" t="s">
        <v>1355</v>
      </c>
    </row>
    <row r="1988" spans="1:36">
      <c r="A1988" t="s">
        <v>5313</v>
      </c>
      <c r="B1988" t="s">
        <v>5314</v>
      </c>
      <c r="F1988" t="str">
        <f t="shared" si="30"/>
        <v>64864</v>
      </c>
      <c r="AG1988" t="s">
        <v>4</v>
      </c>
    </row>
    <row r="1989" spans="1:36">
      <c r="A1989" t="s">
        <v>5315</v>
      </c>
      <c r="B1989" t="s">
        <v>5316</v>
      </c>
      <c r="F1989" t="str">
        <f t="shared" si="30"/>
        <v>64865</v>
      </c>
      <c r="AE1989">
        <v>1358110141788</v>
      </c>
      <c r="AF1989" t="s">
        <v>74</v>
      </c>
      <c r="AG1989" t="s">
        <v>4</v>
      </c>
      <c r="AH1989" t="s">
        <v>1316</v>
      </c>
      <c r="AI1989" t="s">
        <v>1317</v>
      </c>
      <c r="AJ1989" t="s">
        <v>1318</v>
      </c>
    </row>
    <row r="1990" spans="1:36">
      <c r="A1990" t="s">
        <v>5317</v>
      </c>
      <c r="B1990" t="s">
        <v>5318</v>
      </c>
      <c r="F1990" t="str">
        <f t="shared" si="30"/>
        <v>64866</v>
      </c>
      <c r="AE1990">
        <v>1101110842785</v>
      </c>
      <c r="AF1990" t="s">
        <v>329</v>
      </c>
      <c r="AG1990" t="s">
        <v>2</v>
      </c>
      <c r="AH1990" t="s">
        <v>844</v>
      </c>
      <c r="AI1990" t="s">
        <v>845</v>
      </c>
      <c r="AJ1990" t="s">
        <v>846</v>
      </c>
    </row>
    <row r="1991" spans="1:36">
      <c r="A1991" t="s">
        <v>5319</v>
      </c>
      <c r="B1991" t="s">
        <v>5320</v>
      </c>
      <c r="F1991" t="str">
        <f t="shared" si="30"/>
        <v>64867</v>
      </c>
      <c r="AE1991">
        <v>1101111224776</v>
      </c>
      <c r="AG1991" t="s">
        <v>4</v>
      </c>
      <c r="AH1991" t="s">
        <v>248</v>
      </c>
      <c r="AI1991" t="s">
        <v>249</v>
      </c>
      <c r="AJ1991" t="s">
        <v>121</v>
      </c>
    </row>
    <row r="1992" spans="1:36">
      <c r="A1992" t="s">
        <v>5321</v>
      </c>
      <c r="B1992" t="s">
        <v>5322</v>
      </c>
      <c r="F1992" t="str">
        <f t="shared" si="30"/>
        <v>64868</v>
      </c>
      <c r="AE1992">
        <v>1101140067741</v>
      </c>
      <c r="AG1992" t="s">
        <v>4</v>
      </c>
    </row>
    <row r="1993" spans="1:36">
      <c r="A1993" t="s">
        <v>5323</v>
      </c>
      <c r="B1993" t="s">
        <v>5324</v>
      </c>
      <c r="F1993" t="str">
        <f t="shared" si="30"/>
        <v>64869</v>
      </c>
      <c r="AE1993">
        <v>1101710030912</v>
      </c>
      <c r="AG1993" t="s">
        <v>4</v>
      </c>
    </row>
    <row r="1994" spans="1:36">
      <c r="A1994" t="s">
        <v>5325</v>
      </c>
      <c r="B1994" t="s">
        <v>5326</v>
      </c>
      <c r="F1994" t="str">
        <f t="shared" ref="F1994:F2057" si="31">CHOOSE($C$1, A1994, B1994)</f>
        <v>64888</v>
      </c>
      <c r="AG1994" t="s">
        <v>4</v>
      </c>
    </row>
    <row r="1995" spans="1:36">
      <c r="A1995" t="s">
        <v>5327</v>
      </c>
      <c r="B1995" t="s">
        <v>5328</v>
      </c>
      <c r="F1995" t="str">
        <f t="shared" si="31"/>
        <v>64890</v>
      </c>
      <c r="AE1995">
        <v>1101710007309</v>
      </c>
      <c r="AG1995" t="s">
        <v>4</v>
      </c>
    </row>
    <row r="1996" spans="1:36">
      <c r="A1996" t="s">
        <v>5329</v>
      </c>
      <c r="B1996" t="s">
        <v>5330</v>
      </c>
      <c r="F1996" t="str">
        <f t="shared" si="31"/>
        <v>64891</v>
      </c>
      <c r="AG1996" t="s">
        <v>4</v>
      </c>
    </row>
    <row r="1997" spans="1:36">
      <c r="A1997" t="s">
        <v>5331</v>
      </c>
      <c r="B1997" t="s">
        <v>5332</v>
      </c>
      <c r="F1997" t="str">
        <f t="shared" si="31"/>
        <v>64892</v>
      </c>
      <c r="AF1997" t="s">
        <v>40</v>
      </c>
      <c r="AG1997" t="s">
        <v>4</v>
      </c>
    </row>
    <row r="1998" spans="1:36">
      <c r="A1998" t="s">
        <v>5333</v>
      </c>
      <c r="B1998" t="s">
        <v>5334</v>
      </c>
      <c r="F1998" t="str">
        <f t="shared" si="31"/>
        <v>64893</v>
      </c>
      <c r="AE1998">
        <v>1101114505967</v>
      </c>
      <c r="AF1998" t="s">
        <v>74</v>
      </c>
      <c r="AG1998" t="s">
        <v>4</v>
      </c>
      <c r="AH1998" t="s">
        <v>254</v>
      </c>
      <c r="AI1998" t="s">
        <v>255</v>
      </c>
      <c r="AJ1998" t="s">
        <v>256</v>
      </c>
    </row>
    <row r="1999" spans="1:36">
      <c r="A1999" t="s">
        <v>5335</v>
      </c>
      <c r="B1999" t="s">
        <v>5336</v>
      </c>
      <c r="F1999" t="str">
        <f t="shared" si="31"/>
        <v>64894</v>
      </c>
      <c r="AE1999">
        <v>1101114505975</v>
      </c>
      <c r="AF1999" t="s">
        <v>74</v>
      </c>
      <c r="AG1999" t="s">
        <v>4</v>
      </c>
      <c r="AH1999" t="s">
        <v>359</v>
      </c>
      <c r="AI1999" t="s">
        <v>59</v>
      </c>
      <c r="AJ1999" t="s">
        <v>360</v>
      </c>
    </row>
    <row r="2000" spans="1:36">
      <c r="A2000" t="s">
        <v>5337</v>
      </c>
      <c r="B2000" t="s">
        <v>5338</v>
      </c>
      <c r="F2000" t="str">
        <f t="shared" si="31"/>
        <v>64895</v>
      </c>
      <c r="AE2000">
        <v>1101113563023</v>
      </c>
      <c r="AF2000" t="s">
        <v>614</v>
      </c>
      <c r="AG2000" t="s">
        <v>4</v>
      </c>
      <c r="AH2000" t="s">
        <v>1357</v>
      </c>
      <c r="AI2000" t="s">
        <v>517</v>
      </c>
      <c r="AJ2000" t="s">
        <v>1358</v>
      </c>
    </row>
    <row r="2001" spans="1:36">
      <c r="A2001" t="s">
        <v>5339</v>
      </c>
      <c r="B2001" t="s">
        <v>5340</v>
      </c>
      <c r="F2001" t="str">
        <f t="shared" si="31"/>
        <v>64896</v>
      </c>
      <c r="AG2001" t="s">
        <v>4</v>
      </c>
    </row>
    <row r="2002" spans="1:36">
      <c r="A2002" t="s">
        <v>5341</v>
      </c>
      <c r="B2002" t="s">
        <v>5342</v>
      </c>
      <c r="F2002" t="str">
        <f t="shared" si="31"/>
        <v>64897</v>
      </c>
      <c r="AE2002">
        <v>1101113788671</v>
      </c>
      <c r="AF2002" t="s">
        <v>127</v>
      </c>
      <c r="AG2002" t="s">
        <v>4</v>
      </c>
      <c r="AH2002" t="s">
        <v>75</v>
      </c>
      <c r="AI2002" t="s">
        <v>76</v>
      </c>
      <c r="AJ2002" t="s">
        <v>77</v>
      </c>
    </row>
    <row r="2003" spans="1:36">
      <c r="A2003" t="s">
        <v>5343</v>
      </c>
      <c r="B2003" t="s">
        <v>5344</v>
      </c>
      <c r="F2003" t="str">
        <f t="shared" si="31"/>
        <v>64910</v>
      </c>
      <c r="AG2003" t="s">
        <v>4</v>
      </c>
    </row>
    <row r="2004" spans="1:36">
      <c r="A2004" t="s">
        <v>5345</v>
      </c>
      <c r="B2004" t="s">
        <v>5346</v>
      </c>
      <c r="F2004" t="str">
        <f t="shared" si="31"/>
        <v>64936</v>
      </c>
      <c r="AF2004" t="s">
        <v>216</v>
      </c>
      <c r="AG2004" t="s">
        <v>4</v>
      </c>
    </row>
    <row r="2005" spans="1:36">
      <c r="A2005" t="s">
        <v>5347</v>
      </c>
      <c r="B2005" t="s">
        <v>5348</v>
      </c>
      <c r="F2005" t="str">
        <f t="shared" si="31"/>
        <v>64937</v>
      </c>
      <c r="AE2005">
        <v>1101114546523</v>
      </c>
      <c r="AG2005" t="s">
        <v>4</v>
      </c>
      <c r="AH2005" t="s">
        <v>634</v>
      </c>
      <c r="AI2005" t="s">
        <v>6</v>
      </c>
      <c r="AJ2005" t="s">
        <v>635</v>
      </c>
    </row>
    <row r="2006" spans="1:36">
      <c r="A2006" t="s">
        <v>5349</v>
      </c>
      <c r="B2006" t="s">
        <v>5350</v>
      </c>
      <c r="F2006" t="str">
        <f t="shared" si="31"/>
        <v>64938</v>
      </c>
      <c r="AE2006">
        <v>1801110750893</v>
      </c>
      <c r="AG2006" t="s">
        <v>2</v>
      </c>
      <c r="AH2006" t="s">
        <v>973</v>
      </c>
      <c r="AI2006" t="s">
        <v>6</v>
      </c>
      <c r="AJ2006" t="s">
        <v>974</v>
      </c>
    </row>
    <row r="2007" spans="1:36">
      <c r="A2007" t="s">
        <v>5351</v>
      </c>
      <c r="B2007" t="s">
        <v>5352</v>
      </c>
      <c r="F2007" t="str">
        <f t="shared" si="31"/>
        <v>64939</v>
      </c>
      <c r="AE2007">
        <v>1101112196304</v>
      </c>
      <c r="AG2007" t="s">
        <v>2</v>
      </c>
      <c r="AH2007" t="s">
        <v>1033</v>
      </c>
      <c r="AI2007" t="s">
        <v>6</v>
      </c>
      <c r="AJ2007" t="s">
        <v>1034</v>
      </c>
    </row>
    <row r="2008" spans="1:36">
      <c r="A2008" t="s">
        <v>5353</v>
      </c>
      <c r="B2008" t="s">
        <v>5354</v>
      </c>
      <c r="F2008" t="str">
        <f t="shared" si="31"/>
        <v>64942</v>
      </c>
      <c r="AE2008">
        <v>1760110020145</v>
      </c>
      <c r="AG2008" t="s">
        <v>4</v>
      </c>
      <c r="AH2008" t="s">
        <v>1310</v>
      </c>
      <c r="AI2008" t="s">
        <v>124</v>
      </c>
      <c r="AJ2008" t="s">
        <v>1311</v>
      </c>
    </row>
    <row r="2009" spans="1:36">
      <c r="A2009" t="s">
        <v>5355</v>
      </c>
      <c r="B2009" t="s">
        <v>5356</v>
      </c>
      <c r="F2009" t="str">
        <f t="shared" si="31"/>
        <v>64947</v>
      </c>
      <c r="AE2009">
        <v>1101113564401</v>
      </c>
      <c r="AG2009" t="s">
        <v>4</v>
      </c>
      <c r="AH2009" t="s">
        <v>209</v>
      </c>
      <c r="AI2009" t="s">
        <v>32</v>
      </c>
      <c r="AJ2009" t="s">
        <v>52</v>
      </c>
    </row>
    <row r="2010" spans="1:36">
      <c r="A2010" t="s">
        <v>5357</v>
      </c>
      <c r="B2010" t="s">
        <v>5358</v>
      </c>
      <c r="F2010" t="str">
        <f t="shared" si="31"/>
        <v>64960</v>
      </c>
      <c r="AG2010" t="s">
        <v>4</v>
      </c>
    </row>
    <row r="2011" spans="1:36">
      <c r="A2011" t="s">
        <v>5359</v>
      </c>
      <c r="B2011" t="s">
        <v>5360</v>
      </c>
      <c r="F2011" t="str">
        <f t="shared" si="31"/>
        <v>64978</v>
      </c>
      <c r="AE2011">
        <v>1801110755413</v>
      </c>
      <c r="AG2011" t="s">
        <v>4</v>
      </c>
      <c r="AH2011" t="s">
        <v>654</v>
      </c>
      <c r="AI2011" t="s">
        <v>177</v>
      </c>
      <c r="AJ2011" t="s">
        <v>655</v>
      </c>
    </row>
    <row r="2012" spans="1:36">
      <c r="A2012" t="s">
        <v>5361</v>
      </c>
      <c r="B2012" t="s">
        <v>5362</v>
      </c>
      <c r="F2012" t="str">
        <f t="shared" si="31"/>
        <v>64979</v>
      </c>
      <c r="AE2012">
        <v>1101114594952</v>
      </c>
      <c r="AF2012" t="s">
        <v>261</v>
      </c>
      <c r="AG2012" t="s">
        <v>2</v>
      </c>
      <c r="AH2012" t="s">
        <v>420</v>
      </c>
      <c r="AI2012" t="s">
        <v>249</v>
      </c>
      <c r="AJ2012" t="s">
        <v>421</v>
      </c>
    </row>
    <row r="2013" spans="1:36">
      <c r="A2013" t="s">
        <v>5363</v>
      </c>
      <c r="B2013" t="s">
        <v>5364</v>
      </c>
      <c r="F2013" t="str">
        <f t="shared" si="31"/>
        <v>64980</v>
      </c>
      <c r="AG2013" t="s">
        <v>4</v>
      </c>
    </row>
    <row r="2014" spans="1:36">
      <c r="A2014" t="s">
        <v>5365</v>
      </c>
      <c r="B2014" t="s">
        <v>5366</v>
      </c>
      <c r="F2014" t="str">
        <f t="shared" si="31"/>
        <v>64981</v>
      </c>
      <c r="AE2014">
        <v>1701110429523</v>
      </c>
      <c r="AG2014" t="s">
        <v>2</v>
      </c>
      <c r="AH2014" t="s">
        <v>973</v>
      </c>
      <c r="AI2014" t="s">
        <v>6</v>
      </c>
      <c r="AJ2014" t="s">
        <v>974</v>
      </c>
    </row>
    <row r="2015" spans="1:36">
      <c r="A2015" t="s">
        <v>5367</v>
      </c>
      <c r="B2015" t="s">
        <v>5368</v>
      </c>
      <c r="F2015" t="str">
        <f t="shared" si="31"/>
        <v>64984</v>
      </c>
      <c r="AG2015" t="s">
        <v>4</v>
      </c>
    </row>
    <row r="2016" spans="1:36">
      <c r="A2016" t="s">
        <v>5369</v>
      </c>
      <c r="B2016" t="s">
        <v>5370</v>
      </c>
      <c r="F2016" t="str">
        <f t="shared" si="31"/>
        <v>64985</v>
      </c>
      <c r="AE2016">
        <v>1101110665608</v>
      </c>
      <c r="AG2016" t="s">
        <v>4</v>
      </c>
      <c r="AH2016" t="s">
        <v>174</v>
      </c>
      <c r="AI2016" t="s">
        <v>16</v>
      </c>
      <c r="AJ2016" t="s">
        <v>175</v>
      </c>
    </row>
    <row r="2017" spans="1:36">
      <c r="A2017" t="s">
        <v>5371</v>
      </c>
      <c r="B2017" t="s">
        <v>5372</v>
      </c>
      <c r="F2017" t="str">
        <f t="shared" si="31"/>
        <v>64986</v>
      </c>
      <c r="AE2017">
        <v>1101114566406</v>
      </c>
      <c r="AG2017" t="s">
        <v>2</v>
      </c>
      <c r="AH2017" t="s">
        <v>973</v>
      </c>
      <c r="AI2017" t="s">
        <v>6</v>
      </c>
      <c r="AJ2017" t="s">
        <v>974</v>
      </c>
    </row>
    <row r="2018" spans="1:36">
      <c r="A2018" t="s">
        <v>5373</v>
      </c>
      <c r="B2018" t="s">
        <v>5374</v>
      </c>
      <c r="F2018" t="str">
        <f t="shared" si="31"/>
        <v>64987</v>
      </c>
      <c r="AE2018">
        <v>1101112093237</v>
      </c>
      <c r="AG2018" t="s">
        <v>2</v>
      </c>
      <c r="AH2018" t="s">
        <v>981</v>
      </c>
      <c r="AI2018" t="s">
        <v>845</v>
      </c>
      <c r="AJ2018" t="s">
        <v>982</v>
      </c>
    </row>
    <row r="2019" spans="1:36">
      <c r="A2019" t="s">
        <v>5375</v>
      </c>
      <c r="B2019" t="s">
        <v>5376</v>
      </c>
      <c r="F2019" t="str">
        <f t="shared" si="31"/>
        <v>64988</v>
      </c>
      <c r="AE2019">
        <v>2149110034430</v>
      </c>
      <c r="AF2019" t="s">
        <v>216</v>
      </c>
      <c r="AG2019" t="s">
        <v>4</v>
      </c>
      <c r="AH2019" t="s">
        <v>1048</v>
      </c>
      <c r="AI2019" t="s">
        <v>150</v>
      </c>
      <c r="AJ2019" t="s">
        <v>683</v>
      </c>
    </row>
    <row r="2020" spans="1:36">
      <c r="A2020" t="s">
        <v>5377</v>
      </c>
      <c r="B2020" t="s">
        <v>5378</v>
      </c>
      <c r="F2020" t="str">
        <f t="shared" si="31"/>
        <v>64989</v>
      </c>
      <c r="AG2020" t="s">
        <v>4</v>
      </c>
    </row>
    <row r="2021" spans="1:36">
      <c r="A2021" t="s">
        <v>5379</v>
      </c>
      <c r="B2021" t="s">
        <v>5380</v>
      </c>
      <c r="F2021" t="str">
        <f t="shared" si="31"/>
        <v>65003</v>
      </c>
      <c r="AE2021">
        <v>1101112359837</v>
      </c>
      <c r="AG2021" t="s">
        <v>4</v>
      </c>
      <c r="AH2021" t="s">
        <v>1033</v>
      </c>
      <c r="AI2021" t="s">
        <v>6</v>
      </c>
      <c r="AJ2021" t="s">
        <v>1034</v>
      </c>
    </row>
    <row r="2022" spans="1:36">
      <c r="A2022" t="s">
        <v>5381</v>
      </c>
      <c r="B2022" t="s">
        <v>5382</v>
      </c>
      <c r="F2022" t="str">
        <f t="shared" si="31"/>
        <v>65036</v>
      </c>
      <c r="AG2022" t="s">
        <v>4</v>
      </c>
    </row>
    <row r="2023" spans="1:36">
      <c r="A2023" t="s">
        <v>5383</v>
      </c>
      <c r="B2023" t="s">
        <v>5384</v>
      </c>
      <c r="F2023" t="str">
        <f t="shared" si="31"/>
        <v>65037</v>
      </c>
      <c r="AE2023">
        <v>1101112582397</v>
      </c>
      <c r="AG2023" t="s">
        <v>4</v>
      </c>
      <c r="AH2023" t="s">
        <v>114</v>
      </c>
      <c r="AI2023" t="s">
        <v>63</v>
      </c>
      <c r="AJ2023" t="s">
        <v>115</v>
      </c>
    </row>
    <row r="2024" spans="1:36">
      <c r="A2024" t="s">
        <v>5385</v>
      </c>
      <c r="B2024" t="s">
        <v>5386</v>
      </c>
      <c r="F2024" t="str">
        <f t="shared" si="31"/>
        <v>65038</v>
      </c>
      <c r="AE2024">
        <v>1101140092871</v>
      </c>
      <c r="AG2024" t="s">
        <v>4</v>
      </c>
    </row>
    <row r="2025" spans="1:36">
      <c r="A2025" t="s">
        <v>5387</v>
      </c>
      <c r="B2025" t="s">
        <v>5388</v>
      </c>
      <c r="F2025" t="str">
        <f t="shared" si="31"/>
        <v>65039</v>
      </c>
      <c r="AE2025">
        <v>1101140092863</v>
      </c>
      <c r="AG2025" t="s">
        <v>4</v>
      </c>
    </row>
    <row r="2026" spans="1:36">
      <c r="A2026" t="s">
        <v>5389</v>
      </c>
      <c r="B2026" t="s">
        <v>5390</v>
      </c>
      <c r="F2026" t="str">
        <f t="shared" si="31"/>
        <v>65040</v>
      </c>
      <c r="AE2026">
        <v>1801110722850</v>
      </c>
      <c r="AG2026" t="s">
        <v>4</v>
      </c>
      <c r="AH2026" t="s">
        <v>634</v>
      </c>
      <c r="AI2026" t="s">
        <v>6</v>
      </c>
      <c r="AJ2026" t="s">
        <v>635</v>
      </c>
    </row>
    <row r="2027" spans="1:36">
      <c r="A2027" t="s">
        <v>5391</v>
      </c>
      <c r="B2027" t="s">
        <v>5392</v>
      </c>
      <c r="F2027" t="str">
        <f t="shared" si="31"/>
        <v>65117</v>
      </c>
      <c r="AE2027">
        <v>1101111461667</v>
      </c>
      <c r="AF2027" t="s">
        <v>261</v>
      </c>
      <c r="AG2027" t="s">
        <v>4</v>
      </c>
      <c r="AH2027" t="s">
        <v>1368</v>
      </c>
      <c r="AI2027" t="s">
        <v>610</v>
      </c>
      <c r="AJ2027" t="s">
        <v>1369</v>
      </c>
    </row>
    <row r="2028" spans="1:36">
      <c r="A2028" t="s">
        <v>5393</v>
      </c>
      <c r="B2028" t="s">
        <v>5394</v>
      </c>
      <c r="F2028" t="str">
        <f t="shared" si="31"/>
        <v>65118</v>
      </c>
      <c r="AG2028" t="s">
        <v>4</v>
      </c>
    </row>
    <row r="2029" spans="1:36">
      <c r="A2029" t="s">
        <v>5395</v>
      </c>
      <c r="B2029" t="s">
        <v>5396</v>
      </c>
      <c r="F2029" t="str">
        <f t="shared" si="31"/>
        <v>65119</v>
      </c>
      <c r="AE2029">
        <v>1101112944688</v>
      </c>
      <c r="AG2029" t="s">
        <v>4</v>
      </c>
      <c r="AH2029" t="s">
        <v>652</v>
      </c>
      <c r="AI2029" t="s">
        <v>6</v>
      </c>
      <c r="AJ2029" t="s">
        <v>653</v>
      </c>
    </row>
    <row r="2030" spans="1:36">
      <c r="A2030" t="s">
        <v>5397</v>
      </c>
      <c r="B2030" t="s">
        <v>5398</v>
      </c>
      <c r="F2030" t="str">
        <f t="shared" si="31"/>
        <v>65120</v>
      </c>
      <c r="AE2030">
        <v>2844110050771</v>
      </c>
      <c r="AF2030" t="s">
        <v>30</v>
      </c>
      <c r="AG2030" t="s">
        <v>4</v>
      </c>
      <c r="AH2030" t="s">
        <v>874</v>
      </c>
      <c r="AI2030" t="s">
        <v>278</v>
      </c>
      <c r="AJ2030" t="s">
        <v>875</v>
      </c>
    </row>
    <row r="2031" spans="1:36">
      <c r="A2031" t="s">
        <v>5399</v>
      </c>
      <c r="B2031" t="s">
        <v>5400</v>
      </c>
      <c r="F2031" t="str">
        <f t="shared" si="31"/>
        <v>65121</v>
      </c>
      <c r="AE2031">
        <v>1101210004558</v>
      </c>
      <c r="AG2031" t="s">
        <v>4</v>
      </c>
    </row>
    <row r="2032" spans="1:36">
      <c r="A2032" t="s">
        <v>5401</v>
      </c>
      <c r="B2032" t="s">
        <v>5402</v>
      </c>
      <c r="F2032" t="str">
        <f t="shared" si="31"/>
        <v>65122</v>
      </c>
      <c r="AF2032" t="s">
        <v>216</v>
      </c>
      <c r="AG2032" t="s">
        <v>4</v>
      </c>
    </row>
    <row r="2033" spans="1:36">
      <c r="A2033" t="s">
        <v>5403</v>
      </c>
      <c r="B2033" t="s">
        <v>5404</v>
      </c>
      <c r="F2033" t="str">
        <f t="shared" si="31"/>
        <v>65123</v>
      </c>
      <c r="AE2033">
        <v>1342710000204</v>
      </c>
      <c r="AG2033" t="s">
        <v>4</v>
      </c>
    </row>
    <row r="2034" spans="1:36">
      <c r="A2034" t="s">
        <v>5405</v>
      </c>
      <c r="B2034" t="s">
        <v>5406</v>
      </c>
      <c r="F2034" t="str">
        <f t="shared" si="31"/>
        <v>65148</v>
      </c>
      <c r="AE2034">
        <v>1444110000098</v>
      </c>
      <c r="AF2034" t="s">
        <v>528</v>
      </c>
      <c r="AG2034" t="s">
        <v>4</v>
      </c>
      <c r="AH2034" t="s">
        <v>565</v>
      </c>
      <c r="AI2034" t="s">
        <v>297</v>
      </c>
      <c r="AJ2034" t="s">
        <v>566</v>
      </c>
    </row>
    <row r="2035" spans="1:36">
      <c r="A2035" t="s">
        <v>5407</v>
      </c>
      <c r="B2035" t="s">
        <v>5408</v>
      </c>
      <c r="F2035" t="str">
        <f t="shared" si="31"/>
        <v>65149</v>
      </c>
      <c r="AE2035">
        <v>1348110109828</v>
      </c>
      <c r="AG2035" t="s">
        <v>2</v>
      </c>
      <c r="AH2035" t="s">
        <v>1234</v>
      </c>
      <c r="AI2035" t="s">
        <v>65</v>
      </c>
      <c r="AJ2035" t="s">
        <v>1157</v>
      </c>
    </row>
    <row r="2036" spans="1:36">
      <c r="A2036" t="s">
        <v>5409</v>
      </c>
      <c r="B2036" t="s">
        <v>5410</v>
      </c>
      <c r="F2036" t="str">
        <f t="shared" si="31"/>
        <v>65154</v>
      </c>
      <c r="AE2036">
        <v>2442350009895</v>
      </c>
      <c r="AG2036" t="s">
        <v>4</v>
      </c>
      <c r="AH2036" t="s">
        <v>5</v>
      </c>
      <c r="AI2036" t="s">
        <v>6</v>
      </c>
      <c r="AJ2036" t="s">
        <v>7</v>
      </c>
    </row>
    <row r="2037" spans="1:36">
      <c r="A2037" t="s">
        <v>5411</v>
      </c>
      <c r="B2037" t="s">
        <v>5412</v>
      </c>
      <c r="F2037" t="str">
        <f t="shared" si="31"/>
        <v>65156</v>
      </c>
      <c r="AE2037">
        <v>2111110023284</v>
      </c>
      <c r="AG2037" t="s">
        <v>4</v>
      </c>
      <c r="AH2037" t="s">
        <v>155</v>
      </c>
      <c r="AI2037" t="s">
        <v>124</v>
      </c>
      <c r="AJ2037" t="s">
        <v>156</v>
      </c>
    </row>
    <row r="2038" spans="1:36">
      <c r="A2038" t="s">
        <v>5413</v>
      </c>
      <c r="B2038" t="s">
        <v>5414</v>
      </c>
      <c r="F2038" t="str">
        <f t="shared" si="31"/>
        <v>65173</v>
      </c>
      <c r="AG2038" t="s">
        <v>4</v>
      </c>
    </row>
    <row r="2039" spans="1:36">
      <c r="A2039" t="s">
        <v>5415</v>
      </c>
      <c r="B2039" t="s">
        <v>5416</v>
      </c>
      <c r="F2039" t="str">
        <f t="shared" si="31"/>
        <v>65174</v>
      </c>
      <c r="AE2039">
        <v>1801110091130</v>
      </c>
      <c r="AG2039" t="s">
        <v>4</v>
      </c>
      <c r="AH2039" t="s">
        <v>1373</v>
      </c>
      <c r="AI2039" t="s">
        <v>384</v>
      </c>
      <c r="AJ2039" t="s">
        <v>687</v>
      </c>
    </row>
    <row r="2040" spans="1:36">
      <c r="A2040" t="s">
        <v>5417</v>
      </c>
      <c r="B2040" t="s">
        <v>5418</v>
      </c>
      <c r="F2040" t="str">
        <f t="shared" si="31"/>
        <v>65175</v>
      </c>
      <c r="AE2040">
        <v>1352110004623</v>
      </c>
      <c r="AG2040" t="s">
        <v>4</v>
      </c>
    </row>
    <row r="2041" spans="1:36">
      <c r="A2041" t="s">
        <v>5419</v>
      </c>
      <c r="B2041" t="s">
        <v>5420</v>
      </c>
      <c r="F2041" t="str">
        <f t="shared" si="31"/>
        <v>65176</v>
      </c>
      <c r="AG2041" t="s">
        <v>4</v>
      </c>
    </row>
    <row r="2042" spans="1:36">
      <c r="A2042" t="s">
        <v>5421</v>
      </c>
      <c r="B2042" t="s">
        <v>5422</v>
      </c>
      <c r="F2042" t="str">
        <f t="shared" si="31"/>
        <v>65177</v>
      </c>
      <c r="AE2042">
        <v>1201110052564</v>
      </c>
      <c r="AG2042" t="s">
        <v>4</v>
      </c>
    </row>
    <row r="2043" spans="1:36">
      <c r="A2043" t="s">
        <v>5423</v>
      </c>
      <c r="B2043" t="s">
        <v>5424</v>
      </c>
      <c r="F2043" t="str">
        <f t="shared" si="31"/>
        <v>65178</v>
      </c>
      <c r="AE2043">
        <v>1911110019775</v>
      </c>
      <c r="AG2043" t="s">
        <v>4</v>
      </c>
      <c r="AH2043" t="s">
        <v>1232</v>
      </c>
      <c r="AI2043" t="s">
        <v>146</v>
      </c>
      <c r="AJ2043" t="s">
        <v>1233</v>
      </c>
    </row>
    <row r="2044" spans="1:36">
      <c r="A2044" t="s">
        <v>5425</v>
      </c>
      <c r="B2044" t="s">
        <v>5426</v>
      </c>
      <c r="F2044" t="str">
        <f t="shared" si="31"/>
        <v>65179</v>
      </c>
      <c r="AE2044">
        <v>1244110029167</v>
      </c>
      <c r="AG2044" t="s">
        <v>4</v>
      </c>
      <c r="AH2044" t="s">
        <v>747</v>
      </c>
      <c r="AI2044" t="s">
        <v>186</v>
      </c>
      <c r="AJ2044" t="s">
        <v>748</v>
      </c>
    </row>
    <row r="2045" spans="1:36">
      <c r="A2045" t="s">
        <v>5427</v>
      </c>
      <c r="B2045" t="s">
        <v>5428</v>
      </c>
      <c r="F2045" t="str">
        <f t="shared" si="31"/>
        <v>65180</v>
      </c>
      <c r="AE2045">
        <v>1101110310287</v>
      </c>
      <c r="AG2045" t="s">
        <v>4</v>
      </c>
      <c r="AH2045" t="s">
        <v>145</v>
      </c>
      <c r="AI2045" t="s">
        <v>146</v>
      </c>
      <c r="AJ2045" t="s">
        <v>147</v>
      </c>
    </row>
    <row r="2046" spans="1:36">
      <c r="A2046" t="s">
        <v>5429</v>
      </c>
      <c r="B2046" t="s">
        <v>5430</v>
      </c>
      <c r="F2046" t="str">
        <f t="shared" si="31"/>
        <v>65199</v>
      </c>
      <c r="AE2046">
        <v>1351110053391</v>
      </c>
      <c r="AG2046" t="s">
        <v>4</v>
      </c>
    </row>
    <row r="2047" spans="1:36">
      <c r="A2047" t="s">
        <v>5431</v>
      </c>
      <c r="B2047" t="s">
        <v>5432</v>
      </c>
      <c r="F2047" t="str">
        <f t="shared" si="31"/>
        <v>65214</v>
      </c>
      <c r="AE2047">
        <v>1101110040446</v>
      </c>
      <c r="AG2047" t="s">
        <v>4</v>
      </c>
      <c r="AH2047" t="s">
        <v>1374</v>
      </c>
      <c r="AI2047" t="s">
        <v>192</v>
      </c>
      <c r="AJ2047" t="s">
        <v>1375</v>
      </c>
    </row>
    <row r="2048" spans="1:36">
      <c r="A2048" t="s">
        <v>5433</v>
      </c>
      <c r="B2048" t="s">
        <v>5434</v>
      </c>
      <c r="F2048" t="str">
        <f t="shared" si="31"/>
        <v>65224</v>
      </c>
      <c r="AE2048">
        <v>1614110016995</v>
      </c>
      <c r="AF2048" t="s">
        <v>93</v>
      </c>
      <c r="AG2048" t="s">
        <v>4</v>
      </c>
      <c r="AH2048" t="s">
        <v>128</v>
      </c>
      <c r="AI2048" t="s">
        <v>59</v>
      </c>
      <c r="AJ2048" t="s">
        <v>129</v>
      </c>
    </row>
    <row r="2049" spans="1:36">
      <c r="A2049" t="s">
        <v>5435</v>
      </c>
      <c r="B2049" t="s">
        <v>5436</v>
      </c>
      <c r="F2049" t="str">
        <f t="shared" si="31"/>
        <v>65245</v>
      </c>
      <c r="AG2049" t="s">
        <v>4</v>
      </c>
    </row>
    <row r="2050" spans="1:36">
      <c r="A2050" t="s">
        <v>5437</v>
      </c>
      <c r="B2050" t="s">
        <v>5438</v>
      </c>
      <c r="F2050" t="str">
        <f t="shared" si="31"/>
        <v>65246</v>
      </c>
      <c r="AE2050">
        <v>1201140005145</v>
      </c>
      <c r="AG2050" t="s">
        <v>4</v>
      </c>
    </row>
    <row r="2051" spans="1:36">
      <c r="A2051" t="s">
        <v>5439</v>
      </c>
      <c r="B2051" t="s">
        <v>5440</v>
      </c>
      <c r="F2051" t="str">
        <f t="shared" si="31"/>
        <v>65247</v>
      </c>
      <c r="AF2051" t="s">
        <v>238</v>
      </c>
      <c r="AG2051" t="s">
        <v>4</v>
      </c>
    </row>
    <row r="2052" spans="1:36">
      <c r="A2052" t="s">
        <v>5441</v>
      </c>
      <c r="B2052" t="s">
        <v>5442</v>
      </c>
      <c r="F2052" t="str">
        <f t="shared" si="31"/>
        <v>65270</v>
      </c>
      <c r="AE2052">
        <v>1101113840538</v>
      </c>
      <c r="AG2052" t="s">
        <v>4</v>
      </c>
      <c r="AH2052" t="s">
        <v>213</v>
      </c>
      <c r="AI2052" t="s">
        <v>214</v>
      </c>
      <c r="AJ2052" t="s">
        <v>89</v>
      </c>
    </row>
    <row r="2053" spans="1:36">
      <c r="A2053" t="s">
        <v>5443</v>
      </c>
      <c r="B2053" t="s">
        <v>5444</v>
      </c>
      <c r="F2053" t="str">
        <f t="shared" si="31"/>
        <v>65271</v>
      </c>
      <c r="AG2053" t="s">
        <v>4</v>
      </c>
    </row>
    <row r="2054" spans="1:36">
      <c r="A2054" t="s">
        <v>5445</v>
      </c>
      <c r="B2054" t="s">
        <v>5446</v>
      </c>
      <c r="F2054" t="str">
        <f t="shared" si="31"/>
        <v>65272</v>
      </c>
      <c r="AG2054" t="s">
        <v>4</v>
      </c>
    </row>
    <row r="2055" spans="1:36">
      <c r="A2055" t="s">
        <v>5447</v>
      </c>
      <c r="B2055" t="s">
        <v>5448</v>
      </c>
      <c r="F2055" t="str">
        <f t="shared" si="31"/>
        <v>65273</v>
      </c>
      <c r="AE2055">
        <v>1101114720945</v>
      </c>
      <c r="AG2055" t="s">
        <v>2</v>
      </c>
      <c r="AH2055" t="s">
        <v>1200</v>
      </c>
      <c r="AI2055" t="s">
        <v>150</v>
      </c>
      <c r="AJ2055" t="s">
        <v>1201</v>
      </c>
    </row>
    <row r="2056" spans="1:36">
      <c r="A2056" t="s">
        <v>5449</v>
      </c>
      <c r="B2056" t="s">
        <v>5450</v>
      </c>
      <c r="F2056" t="str">
        <f t="shared" si="31"/>
        <v>65274</v>
      </c>
      <c r="AF2056" t="s">
        <v>74</v>
      </c>
      <c r="AG2056" t="s">
        <v>4</v>
      </c>
    </row>
    <row r="2057" spans="1:36">
      <c r="A2057" t="s">
        <v>5451</v>
      </c>
      <c r="B2057" t="s">
        <v>5452</v>
      </c>
      <c r="F2057" t="str">
        <f t="shared" si="31"/>
        <v>65275</v>
      </c>
      <c r="AE2057">
        <v>1101112015273</v>
      </c>
      <c r="AG2057" t="s">
        <v>2</v>
      </c>
      <c r="AH2057" t="s">
        <v>75</v>
      </c>
      <c r="AI2057" t="s">
        <v>76</v>
      </c>
      <c r="AJ2057" t="s">
        <v>77</v>
      </c>
    </row>
    <row r="2058" spans="1:36">
      <c r="A2058" t="s">
        <v>5453</v>
      </c>
      <c r="B2058" t="s">
        <v>5454</v>
      </c>
      <c r="F2058" t="str">
        <f t="shared" ref="F2058:F2121" si="32">CHOOSE($C$1, A2058, B2058)</f>
        <v>65276</v>
      </c>
      <c r="AE2058">
        <v>1101114765412</v>
      </c>
      <c r="AF2058" t="s">
        <v>127</v>
      </c>
      <c r="AG2058" t="s">
        <v>4</v>
      </c>
      <c r="AH2058" t="s">
        <v>15</v>
      </c>
      <c r="AI2058" t="s">
        <v>16</v>
      </c>
      <c r="AJ2058" t="s">
        <v>17</v>
      </c>
    </row>
    <row r="2059" spans="1:36">
      <c r="A2059" t="s">
        <v>5455</v>
      </c>
      <c r="B2059" t="s">
        <v>5456</v>
      </c>
      <c r="F2059" t="str">
        <f t="shared" si="32"/>
        <v>65277</v>
      </c>
      <c r="AE2059">
        <v>1647110007507</v>
      </c>
      <c r="AF2059" t="s">
        <v>187</v>
      </c>
      <c r="AG2059" t="s">
        <v>2</v>
      </c>
      <c r="AH2059" t="s">
        <v>1378</v>
      </c>
      <c r="AI2059" t="s">
        <v>139</v>
      </c>
      <c r="AJ2059" t="s">
        <v>1379</v>
      </c>
    </row>
    <row r="2060" spans="1:36">
      <c r="A2060" t="s">
        <v>5457</v>
      </c>
      <c r="B2060" t="s">
        <v>5458</v>
      </c>
      <c r="F2060" t="str">
        <f t="shared" si="32"/>
        <v>65278</v>
      </c>
      <c r="AE2060">
        <v>1101111591240</v>
      </c>
      <c r="AG2060" t="s">
        <v>4</v>
      </c>
      <c r="AH2060" t="s">
        <v>1380</v>
      </c>
      <c r="AI2060" t="s">
        <v>555</v>
      </c>
      <c r="AJ2060" t="s">
        <v>1381</v>
      </c>
    </row>
    <row r="2061" spans="1:36">
      <c r="A2061" t="s">
        <v>5459</v>
      </c>
      <c r="B2061" t="s">
        <v>5460</v>
      </c>
      <c r="F2061" t="str">
        <f t="shared" si="32"/>
        <v>65279</v>
      </c>
      <c r="AE2061">
        <v>2062110037636</v>
      </c>
      <c r="AG2061" t="s">
        <v>4</v>
      </c>
      <c r="AH2061" t="s">
        <v>1383</v>
      </c>
      <c r="AI2061" t="s">
        <v>192</v>
      </c>
      <c r="AJ2061" t="s">
        <v>1384</v>
      </c>
    </row>
    <row r="2062" spans="1:36">
      <c r="A2062" t="s">
        <v>5461</v>
      </c>
      <c r="B2062" t="s">
        <v>5462</v>
      </c>
      <c r="F2062" t="str">
        <f t="shared" si="32"/>
        <v>65280</v>
      </c>
      <c r="AE2062">
        <v>1101114809385</v>
      </c>
      <c r="AF2062" t="s">
        <v>168</v>
      </c>
      <c r="AG2062" t="s">
        <v>4</v>
      </c>
      <c r="AH2062" t="s">
        <v>5</v>
      </c>
      <c r="AI2062" t="s">
        <v>6</v>
      </c>
      <c r="AJ2062" t="s">
        <v>7</v>
      </c>
    </row>
    <row r="2063" spans="1:36">
      <c r="A2063" t="s">
        <v>5463</v>
      </c>
      <c r="B2063" t="s">
        <v>5464</v>
      </c>
      <c r="F2063" t="str">
        <f t="shared" si="32"/>
        <v>65281</v>
      </c>
      <c r="AG2063" t="s">
        <v>4</v>
      </c>
    </row>
    <row r="2064" spans="1:36">
      <c r="A2064" t="s">
        <v>5465</v>
      </c>
      <c r="B2064" t="s">
        <v>5466</v>
      </c>
      <c r="F2064" t="str">
        <f t="shared" si="32"/>
        <v>65282</v>
      </c>
      <c r="AG2064" t="s">
        <v>4</v>
      </c>
    </row>
    <row r="2065" spans="1:36">
      <c r="A2065" t="s">
        <v>5467</v>
      </c>
      <c r="B2065" t="s">
        <v>5468</v>
      </c>
      <c r="F2065" t="str">
        <f t="shared" si="32"/>
        <v>65283</v>
      </c>
      <c r="AE2065">
        <v>1101113807223</v>
      </c>
      <c r="AF2065" t="s">
        <v>53</v>
      </c>
      <c r="AG2065" t="s">
        <v>4</v>
      </c>
      <c r="AH2065" t="s">
        <v>874</v>
      </c>
      <c r="AI2065" t="s">
        <v>278</v>
      </c>
      <c r="AJ2065" t="s">
        <v>875</v>
      </c>
    </row>
    <row r="2066" spans="1:36">
      <c r="A2066" t="s">
        <v>5469</v>
      </c>
      <c r="B2066" t="s">
        <v>5470</v>
      </c>
      <c r="F2066" t="str">
        <f t="shared" si="32"/>
        <v>65291</v>
      </c>
      <c r="AG2066" t="s">
        <v>4</v>
      </c>
    </row>
    <row r="2067" spans="1:36">
      <c r="A2067" t="s">
        <v>5471</v>
      </c>
      <c r="B2067" t="s">
        <v>5472</v>
      </c>
      <c r="F2067" t="str">
        <f t="shared" si="32"/>
        <v>65364</v>
      </c>
      <c r="AE2067">
        <v>1801110233188</v>
      </c>
      <c r="AG2067" t="s">
        <v>4</v>
      </c>
      <c r="AH2067" t="s">
        <v>1387</v>
      </c>
      <c r="AI2067" t="s">
        <v>63</v>
      </c>
      <c r="AJ2067" t="s">
        <v>1388</v>
      </c>
    </row>
    <row r="2068" spans="1:36">
      <c r="A2068" t="s">
        <v>5473</v>
      </c>
      <c r="B2068" t="s">
        <v>5474</v>
      </c>
      <c r="F2068" t="str">
        <f t="shared" si="32"/>
        <v>65365</v>
      </c>
      <c r="AG2068" t="s">
        <v>4</v>
      </c>
    </row>
    <row r="2069" spans="1:36">
      <c r="A2069" t="s">
        <v>5475</v>
      </c>
      <c r="B2069" t="s">
        <v>5476</v>
      </c>
      <c r="F2069" t="str">
        <f t="shared" si="32"/>
        <v>65394</v>
      </c>
      <c r="AE2069">
        <v>1101114000925</v>
      </c>
      <c r="AG2069" t="s">
        <v>4</v>
      </c>
      <c r="AH2069" t="s">
        <v>174</v>
      </c>
      <c r="AI2069" t="s">
        <v>16</v>
      </c>
      <c r="AJ2069" t="s">
        <v>175</v>
      </c>
    </row>
    <row r="2070" spans="1:36">
      <c r="A2070" t="s">
        <v>5477</v>
      </c>
      <c r="B2070" t="s">
        <v>5478</v>
      </c>
      <c r="F2070" t="str">
        <f t="shared" si="32"/>
        <v>65395</v>
      </c>
      <c r="AE2070">
        <v>1101112641565</v>
      </c>
      <c r="AG2070" t="s">
        <v>4</v>
      </c>
      <c r="AH2070" t="s">
        <v>1389</v>
      </c>
      <c r="AI2070" t="s">
        <v>249</v>
      </c>
      <c r="AJ2070" t="s">
        <v>1390</v>
      </c>
    </row>
    <row r="2071" spans="1:36">
      <c r="A2071" t="s">
        <v>5479</v>
      </c>
      <c r="B2071" t="s">
        <v>5480</v>
      </c>
      <c r="F2071" t="str">
        <f t="shared" si="32"/>
        <v>65396</v>
      </c>
      <c r="AF2071" t="s">
        <v>614</v>
      </c>
      <c r="AG2071" t="s">
        <v>4</v>
      </c>
    </row>
    <row r="2072" spans="1:36">
      <c r="A2072" t="s">
        <v>5481</v>
      </c>
      <c r="B2072" t="s">
        <v>5482</v>
      </c>
      <c r="F2072" t="str">
        <f t="shared" si="32"/>
        <v>65397</v>
      </c>
      <c r="AG2072" t="s">
        <v>4</v>
      </c>
    </row>
    <row r="2073" spans="1:36">
      <c r="A2073" t="s">
        <v>5483</v>
      </c>
      <c r="B2073" t="s">
        <v>5484</v>
      </c>
      <c r="F2073" t="str">
        <f t="shared" si="32"/>
        <v>65398</v>
      </c>
      <c r="AG2073" t="s">
        <v>4</v>
      </c>
    </row>
    <row r="2074" spans="1:36">
      <c r="A2074" t="s">
        <v>5485</v>
      </c>
      <c r="B2074" t="s">
        <v>5486</v>
      </c>
      <c r="F2074" t="str">
        <f t="shared" si="32"/>
        <v>65399</v>
      </c>
      <c r="AE2074">
        <v>1101112762668</v>
      </c>
      <c r="AG2074" t="s">
        <v>4</v>
      </c>
      <c r="AH2074" t="s">
        <v>734</v>
      </c>
      <c r="AI2074" t="s">
        <v>55</v>
      </c>
      <c r="AJ2074" t="s">
        <v>735</v>
      </c>
    </row>
    <row r="2075" spans="1:36">
      <c r="A2075" t="s">
        <v>5487</v>
      </c>
      <c r="B2075" t="s">
        <v>5488</v>
      </c>
      <c r="F2075" t="str">
        <f t="shared" si="32"/>
        <v>65400</v>
      </c>
      <c r="AE2075">
        <v>2846110014541</v>
      </c>
      <c r="AG2075" t="s">
        <v>4</v>
      </c>
      <c r="AH2075" t="s">
        <v>874</v>
      </c>
      <c r="AI2075" t="s">
        <v>278</v>
      </c>
      <c r="AJ2075" t="s">
        <v>875</v>
      </c>
    </row>
    <row r="2076" spans="1:36">
      <c r="A2076" t="s">
        <v>5489</v>
      </c>
      <c r="B2076" t="s">
        <v>5490</v>
      </c>
      <c r="F2076" t="str">
        <f t="shared" si="32"/>
        <v>65401</v>
      </c>
      <c r="AE2076">
        <v>1146210031218</v>
      </c>
      <c r="AG2076" t="s">
        <v>4</v>
      </c>
    </row>
    <row r="2077" spans="1:36">
      <c r="A2077" t="s">
        <v>5491</v>
      </c>
      <c r="B2077" t="s">
        <v>5492</v>
      </c>
      <c r="F2077" t="str">
        <f t="shared" si="32"/>
        <v>65402</v>
      </c>
      <c r="AF2077" t="s">
        <v>30</v>
      </c>
      <c r="AG2077" t="s">
        <v>4</v>
      </c>
    </row>
    <row r="2078" spans="1:36">
      <c r="A2078" t="s">
        <v>5493</v>
      </c>
      <c r="B2078" t="s">
        <v>5494</v>
      </c>
      <c r="F2078" t="str">
        <f t="shared" si="32"/>
        <v>65431</v>
      </c>
      <c r="AE2078">
        <v>1101114809450</v>
      </c>
      <c r="AF2078" t="s">
        <v>168</v>
      </c>
      <c r="AG2078" t="s">
        <v>4</v>
      </c>
      <c r="AH2078" t="s">
        <v>973</v>
      </c>
      <c r="AI2078" t="s">
        <v>6</v>
      </c>
      <c r="AJ2078" t="s">
        <v>974</v>
      </c>
    </row>
    <row r="2079" spans="1:36">
      <c r="A2079" t="s">
        <v>5495</v>
      </c>
      <c r="B2079" t="s">
        <v>5496</v>
      </c>
      <c r="F2079" t="str">
        <f t="shared" si="32"/>
        <v>65432</v>
      </c>
      <c r="AE2079">
        <v>1345110187812</v>
      </c>
      <c r="AF2079" t="s">
        <v>340</v>
      </c>
      <c r="AG2079" t="s">
        <v>4</v>
      </c>
      <c r="AH2079" t="s">
        <v>714</v>
      </c>
      <c r="AI2079" t="s">
        <v>76</v>
      </c>
      <c r="AJ2079" t="s">
        <v>715</v>
      </c>
    </row>
    <row r="2080" spans="1:36">
      <c r="A2080" t="s">
        <v>5497</v>
      </c>
      <c r="B2080" t="s">
        <v>5498</v>
      </c>
      <c r="F2080" t="str">
        <f t="shared" si="32"/>
        <v>65433</v>
      </c>
      <c r="AG2080" t="s">
        <v>4</v>
      </c>
    </row>
    <row r="2081" spans="1:36">
      <c r="A2081" t="s">
        <v>5499</v>
      </c>
      <c r="B2081" t="s">
        <v>5500</v>
      </c>
      <c r="F2081" t="str">
        <f t="shared" si="32"/>
        <v>65434</v>
      </c>
      <c r="AE2081">
        <v>1101113001685</v>
      </c>
      <c r="AF2081" t="s">
        <v>74</v>
      </c>
      <c r="AG2081" t="s">
        <v>2</v>
      </c>
      <c r="AH2081" t="s">
        <v>1393</v>
      </c>
      <c r="AI2081" t="s">
        <v>555</v>
      </c>
      <c r="AJ2081" t="s">
        <v>1394</v>
      </c>
    </row>
    <row r="2082" spans="1:36">
      <c r="A2082" t="s">
        <v>5501</v>
      </c>
      <c r="B2082" t="s">
        <v>5502</v>
      </c>
      <c r="F2082" t="str">
        <f t="shared" si="32"/>
        <v>65448</v>
      </c>
      <c r="AG2082" t="s">
        <v>4</v>
      </c>
    </row>
    <row r="2083" spans="1:36">
      <c r="A2083" t="s">
        <v>5503</v>
      </c>
      <c r="B2083" t="s">
        <v>5504</v>
      </c>
      <c r="F2083" t="str">
        <f t="shared" si="32"/>
        <v>65452</v>
      </c>
      <c r="AE2083">
        <v>1101113075888</v>
      </c>
      <c r="AG2083" t="s">
        <v>4</v>
      </c>
      <c r="AH2083" t="s">
        <v>1395</v>
      </c>
      <c r="AI2083" t="s">
        <v>1396</v>
      </c>
      <c r="AJ2083" t="s">
        <v>272</v>
      </c>
    </row>
    <row r="2084" spans="1:36">
      <c r="A2084" t="s">
        <v>5505</v>
      </c>
      <c r="B2084" t="s">
        <v>5506</v>
      </c>
      <c r="F2084" t="str">
        <f t="shared" si="32"/>
        <v>65460</v>
      </c>
      <c r="AE2084">
        <v>1101114952093</v>
      </c>
      <c r="AF2084" t="s">
        <v>37</v>
      </c>
      <c r="AG2084" t="s">
        <v>2</v>
      </c>
      <c r="AH2084" t="s">
        <v>185</v>
      </c>
      <c r="AI2084" t="s">
        <v>186</v>
      </c>
      <c r="AJ2084" t="s">
        <v>39</v>
      </c>
    </row>
    <row r="2085" spans="1:36">
      <c r="A2085" t="s">
        <v>5507</v>
      </c>
      <c r="B2085" t="s">
        <v>5508</v>
      </c>
      <c r="F2085" t="str">
        <f t="shared" si="32"/>
        <v>65462</v>
      </c>
      <c r="AF2085" t="s">
        <v>238</v>
      </c>
      <c r="AG2085" t="s">
        <v>4</v>
      </c>
    </row>
    <row r="2086" spans="1:36">
      <c r="A2086" t="s">
        <v>5509</v>
      </c>
      <c r="B2086" t="s">
        <v>5510</v>
      </c>
      <c r="F2086" t="str">
        <f t="shared" si="32"/>
        <v>65464</v>
      </c>
      <c r="AE2086">
        <v>1101112614786</v>
      </c>
      <c r="AG2086" t="s">
        <v>4</v>
      </c>
      <c r="AH2086" t="s">
        <v>634</v>
      </c>
      <c r="AI2086" t="s">
        <v>6</v>
      </c>
      <c r="AJ2086" t="s">
        <v>635</v>
      </c>
    </row>
    <row r="2087" spans="1:36">
      <c r="A2087" t="s">
        <v>5511</v>
      </c>
      <c r="B2087" t="s">
        <v>5512</v>
      </c>
      <c r="F2087" t="str">
        <f t="shared" si="32"/>
        <v>65465</v>
      </c>
      <c r="AE2087">
        <v>2001110042295</v>
      </c>
      <c r="AG2087" t="s">
        <v>4</v>
      </c>
      <c r="AH2087" t="s">
        <v>90</v>
      </c>
      <c r="AI2087" t="s">
        <v>32</v>
      </c>
      <c r="AJ2087" t="s">
        <v>91</v>
      </c>
    </row>
    <row r="2088" spans="1:36">
      <c r="A2088" t="s">
        <v>5513</v>
      </c>
      <c r="B2088" t="s">
        <v>5514</v>
      </c>
      <c r="F2088" t="str">
        <f t="shared" si="32"/>
        <v>65517</v>
      </c>
      <c r="AE2088">
        <v>1647110030756</v>
      </c>
      <c r="AG2088" t="s">
        <v>2</v>
      </c>
      <c r="AH2088" t="s">
        <v>942</v>
      </c>
      <c r="AI2088" t="s">
        <v>59</v>
      </c>
      <c r="AJ2088" t="s">
        <v>201</v>
      </c>
    </row>
    <row r="2089" spans="1:36">
      <c r="A2089" t="s">
        <v>5515</v>
      </c>
      <c r="B2089" t="s">
        <v>5516</v>
      </c>
      <c r="F2089" t="str">
        <f t="shared" si="32"/>
        <v>65518</v>
      </c>
      <c r="AG2089" t="s">
        <v>4</v>
      </c>
    </row>
    <row r="2090" spans="1:36">
      <c r="A2090" t="s">
        <v>5517</v>
      </c>
      <c r="B2090" t="s">
        <v>5518</v>
      </c>
      <c r="F2090" t="str">
        <f t="shared" si="32"/>
        <v>65519</v>
      </c>
      <c r="AE2090">
        <v>1101110344591</v>
      </c>
      <c r="AG2090" t="s">
        <v>4</v>
      </c>
      <c r="AH2090" t="s">
        <v>1059</v>
      </c>
      <c r="AI2090" t="s">
        <v>83</v>
      </c>
      <c r="AJ2090" t="s">
        <v>1060</v>
      </c>
    </row>
    <row r="2091" spans="1:36">
      <c r="A2091" t="s">
        <v>5519</v>
      </c>
      <c r="B2091" t="s">
        <v>5520</v>
      </c>
      <c r="F2091" t="str">
        <f t="shared" si="32"/>
        <v>65520</v>
      </c>
      <c r="AE2091">
        <v>1601110119796</v>
      </c>
      <c r="AG2091" t="s">
        <v>4</v>
      </c>
      <c r="AH2091" t="s">
        <v>1100</v>
      </c>
      <c r="AI2091" t="s">
        <v>192</v>
      </c>
      <c r="AJ2091" t="s">
        <v>1022</v>
      </c>
    </row>
    <row r="2092" spans="1:36">
      <c r="A2092" t="s">
        <v>5521</v>
      </c>
      <c r="B2092" t="s">
        <v>5522</v>
      </c>
      <c r="F2092" t="str">
        <f t="shared" si="32"/>
        <v>65521</v>
      </c>
      <c r="AE2092">
        <v>1101110087612</v>
      </c>
      <c r="AF2092" t="s">
        <v>261</v>
      </c>
      <c r="AG2092" t="s">
        <v>4</v>
      </c>
      <c r="AH2092" t="s">
        <v>759</v>
      </c>
      <c r="AI2092" t="s">
        <v>555</v>
      </c>
      <c r="AJ2092" t="s">
        <v>760</v>
      </c>
    </row>
    <row r="2093" spans="1:36">
      <c r="A2093" t="s">
        <v>5523</v>
      </c>
      <c r="B2093" t="s">
        <v>5524</v>
      </c>
      <c r="F2093" t="str">
        <f t="shared" si="32"/>
        <v>65522</v>
      </c>
      <c r="AE2093">
        <v>1741110009842</v>
      </c>
      <c r="AG2093" t="s">
        <v>2</v>
      </c>
      <c r="AH2093" t="s">
        <v>1236</v>
      </c>
      <c r="AI2093" t="s">
        <v>65</v>
      </c>
      <c r="AJ2093" t="s">
        <v>1237</v>
      </c>
    </row>
    <row r="2094" spans="1:36">
      <c r="A2094" t="s">
        <v>5525</v>
      </c>
      <c r="B2094" t="s">
        <v>5526</v>
      </c>
      <c r="F2094" t="str">
        <f t="shared" si="32"/>
        <v>65523</v>
      </c>
      <c r="AG2094" t="s">
        <v>4</v>
      </c>
    </row>
    <row r="2095" spans="1:36">
      <c r="A2095" t="s">
        <v>5527</v>
      </c>
      <c r="B2095" t="s">
        <v>5528</v>
      </c>
      <c r="F2095" t="str">
        <f t="shared" si="32"/>
        <v>65524</v>
      </c>
      <c r="AE2095">
        <v>1101114823450</v>
      </c>
      <c r="AG2095" t="s">
        <v>4</v>
      </c>
      <c r="AH2095" t="s">
        <v>634</v>
      </c>
      <c r="AI2095" t="s">
        <v>6</v>
      </c>
      <c r="AJ2095" t="s">
        <v>635</v>
      </c>
    </row>
    <row r="2096" spans="1:36">
      <c r="A2096" t="s">
        <v>5529</v>
      </c>
      <c r="B2096" t="s">
        <v>5530</v>
      </c>
      <c r="F2096" t="str">
        <f t="shared" si="32"/>
        <v>65525</v>
      </c>
      <c r="AE2096">
        <v>2301710003849</v>
      </c>
      <c r="AG2096" t="s">
        <v>4</v>
      </c>
      <c r="AH2096" t="s">
        <v>867</v>
      </c>
      <c r="AI2096" t="s">
        <v>192</v>
      </c>
      <c r="AJ2096" t="s">
        <v>868</v>
      </c>
    </row>
    <row r="2097" spans="1:36">
      <c r="A2097" t="s">
        <v>5531</v>
      </c>
      <c r="B2097" t="s">
        <v>5532</v>
      </c>
      <c r="F2097" t="str">
        <f t="shared" si="32"/>
        <v>65535</v>
      </c>
      <c r="AG2097" t="s">
        <v>4</v>
      </c>
    </row>
    <row r="2098" spans="1:36">
      <c r="A2098" t="s">
        <v>5533</v>
      </c>
      <c r="B2098" t="s">
        <v>5534</v>
      </c>
      <c r="F2098" t="str">
        <f t="shared" si="32"/>
        <v>65536</v>
      </c>
      <c r="AE2098">
        <v>1101110753750</v>
      </c>
      <c r="AF2098" t="s">
        <v>168</v>
      </c>
      <c r="AG2098" t="s">
        <v>4</v>
      </c>
      <c r="AH2098" t="s">
        <v>300</v>
      </c>
      <c r="AI2098" t="s">
        <v>32</v>
      </c>
      <c r="AJ2098" t="s">
        <v>45</v>
      </c>
    </row>
    <row r="2099" spans="1:36">
      <c r="A2099" t="s">
        <v>5535</v>
      </c>
      <c r="B2099" t="s">
        <v>5536</v>
      </c>
      <c r="F2099" t="str">
        <f t="shared" si="32"/>
        <v>65537</v>
      </c>
      <c r="AE2099">
        <v>1357110092181</v>
      </c>
      <c r="AF2099" t="s">
        <v>74</v>
      </c>
      <c r="AG2099" t="s">
        <v>4</v>
      </c>
      <c r="AH2099" t="s">
        <v>774</v>
      </c>
      <c r="AI2099" t="s">
        <v>278</v>
      </c>
      <c r="AJ2099" t="s">
        <v>775</v>
      </c>
    </row>
    <row r="2100" spans="1:36">
      <c r="A2100" t="s">
        <v>5537</v>
      </c>
      <c r="B2100" t="s">
        <v>5538</v>
      </c>
      <c r="F2100" t="str">
        <f t="shared" si="32"/>
        <v>65538</v>
      </c>
      <c r="AF2100" t="s">
        <v>230</v>
      </c>
      <c r="AG2100" t="s">
        <v>4</v>
      </c>
    </row>
    <row r="2101" spans="1:36">
      <c r="A2101" t="s">
        <v>5539</v>
      </c>
      <c r="B2101" t="s">
        <v>5540</v>
      </c>
      <c r="F2101" t="str">
        <f t="shared" si="32"/>
        <v>65539</v>
      </c>
      <c r="AE2101">
        <v>1101140124369</v>
      </c>
      <c r="AG2101" t="s">
        <v>4</v>
      </c>
    </row>
    <row r="2102" spans="1:36">
      <c r="A2102" t="s">
        <v>5541</v>
      </c>
      <c r="B2102" t="s">
        <v>5542</v>
      </c>
      <c r="F2102" t="str">
        <f t="shared" si="32"/>
        <v>65540</v>
      </c>
      <c r="AE2102">
        <v>1101140124369</v>
      </c>
      <c r="AG2102" t="s">
        <v>4</v>
      </c>
    </row>
    <row r="2103" spans="1:36">
      <c r="A2103" t="s">
        <v>5543</v>
      </c>
      <c r="B2103" t="s">
        <v>5544</v>
      </c>
      <c r="F2103" t="str">
        <f t="shared" si="32"/>
        <v>65541</v>
      </c>
      <c r="AE2103">
        <v>1101140124369</v>
      </c>
      <c r="AG2103" t="s">
        <v>4</v>
      </c>
    </row>
    <row r="2104" spans="1:36">
      <c r="A2104" t="s">
        <v>5545</v>
      </c>
      <c r="B2104" t="s">
        <v>5546</v>
      </c>
      <c r="F2104" t="str">
        <f t="shared" si="32"/>
        <v>65542</v>
      </c>
      <c r="AE2104">
        <v>1101140124369</v>
      </c>
      <c r="AG2104" t="s">
        <v>4</v>
      </c>
    </row>
    <row r="2105" spans="1:36">
      <c r="A2105" t="s">
        <v>5547</v>
      </c>
      <c r="B2105" t="s">
        <v>5548</v>
      </c>
      <c r="F2105" t="str">
        <f t="shared" si="32"/>
        <v>65559</v>
      </c>
      <c r="AE2105">
        <v>1101140124369</v>
      </c>
      <c r="AG2105" t="s">
        <v>4</v>
      </c>
    </row>
    <row r="2106" spans="1:36">
      <c r="A2106" t="s">
        <v>5549</v>
      </c>
      <c r="B2106" t="s">
        <v>5550</v>
      </c>
      <c r="F2106" t="str">
        <f t="shared" si="32"/>
        <v>65560</v>
      </c>
      <c r="AE2106">
        <v>1101140124369</v>
      </c>
      <c r="AG2106" t="s">
        <v>4</v>
      </c>
    </row>
    <row r="2107" spans="1:36">
      <c r="A2107" t="s">
        <v>5551</v>
      </c>
      <c r="B2107" t="s">
        <v>5552</v>
      </c>
      <c r="F2107" t="str">
        <f t="shared" si="32"/>
        <v>65561</v>
      </c>
      <c r="AE2107">
        <v>1101140124369</v>
      </c>
      <c r="AG2107" t="s">
        <v>4</v>
      </c>
    </row>
    <row r="2108" spans="1:36">
      <c r="A2108" t="s">
        <v>5553</v>
      </c>
      <c r="B2108" t="s">
        <v>5554</v>
      </c>
      <c r="F2108" t="str">
        <f t="shared" si="32"/>
        <v>65562</v>
      </c>
      <c r="AE2108">
        <v>1101140124369</v>
      </c>
      <c r="AG2108" t="s">
        <v>4</v>
      </c>
    </row>
    <row r="2109" spans="1:36">
      <c r="A2109" t="s">
        <v>5555</v>
      </c>
      <c r="B2109" t="s">
        <v>5556</v>
      </c>
      <c r="F2109" t="str">
        <f t="shared" si="32"/>
        <v>65563</v>
      </c>
      <c r="AE2109">
        <v>1101140124369</v>
      </c>
      <c r="AG2109" t="s">
        <v>4</v>
      </c>
    </row>
    <row r="2110" spans="1:36">
      <c r="A2110" t="s">
        <v>5557</v>
      </c>
      <c r="B2110" t="s">
        <v>5558</v>
      </c>
      <c r="F2110" t="str">
        <f t="shared" si="32"/>
        <v>65587</v>
      </c>
      <c r="AE2110">
        <v>1101140124369</v>
      </c>
      <c r="AG2110" t="s">
        <v>4</v>
      </c>
    </row>
    <row r="2111" spans="1:36">
      <c r="A2111" t="s">
        <v>5559</v>
      </c>
      <c r="B2111" t="s">
        <v>5560</v>
      </c>
      <c r="F2111" t="str">
        <f t="shared" si="32"/>
        <v>65659</v>
      </c>
      <c r="AE2111">
        <v>1101140124369</v>
      </c>
      <c r="AG2111" t="s">
        <v>4</v>
      </c>
    </row>
    <row r="2112" spans="1:36">
      <c r="A2112" t="s">
        <v>5561</v>
      </c>
      <c r="B2112" t="s">
        <v>5562</v>
      </c>
      <c r="F2112" t="str">
        <f t="shared" si="32"/>
        <v>65660</v>
      </c>
      <c r="AE2112">
        <v>1101140124369</v>
      </c>
      <c r="AG2112" t="s">
        <v>4</v>
      </c>
    </row>
    <row r="2113" spans="1:33">
      <c r="A2113" t="s">
        <v>5563</v>
      </c>
      <c r="B2113" t="s">
        <v>5564</v>
      </c>
      <c r="F2113" t="str">
        <f t="shared" si="32"/>
        <v>65661</v>
      </c>
      <c r="AE2113">
        <v>1101140124369</v>
      </c>
      <c r="AG2113" t="s">
        <v>4</v>
      </c>
    </row>
    <row r="2114" spans="1:33">
      <c r="A2114" t="s">
        <v>5565</v>
      </c>
      <c r="B2114" t="s">
        <v>5566</v>
      </c>
      <c r="F2114" t="str">
        <f t="shared" si="32"/>
        <v>65662</v>
      </c>
      <c r="AE2114">
        <v>1101140124369</v>
      </c>
      <c r="AG2114" t="s">
        <v>4</v>
      </c>
    </row>
    <row r="2115" spans="1:33">
      <c r="A2115" t="s">
        <v>5567</v>
      </c>
      <c r="B2115" t="s">
        <v>5568</v>
      </c>
      <c r="F2115" t="str">
        <f t="shared" si="32"/>
        <v>65663</v>
      </c>
      <c r="AE2115">
        <v>1101140124369</v>
      </c>
      <c r="AG2115" t="s">
        <v>4</v>
      </c>
    </row>
    <row r="2116" spans="1:33">
      <c r="A2116" t="s">
        <v>5569</v>
      </c>
      <c r="B2116" t="s">
        <v>5570</v>
      </c>
      <c r="F2116" t="str">
        <f t="shared" si="32"/>
        <v>65664</v>
      </c>
      <c r="AE2116">
        <v>1101140124369</v>
      </c>
      <c r="AG2116" t="s">
        <v>4</v>
      </c>
    </row>
    <row r="2117" spans="1:33">
      <c r="A2117" t="s">
        <v>5571</v>
      </c>
      <c r="B2117" t="s">
        <v>5572</v>
      </c>
      <c r="F2117" t="str">
        <f t="shared" si="32"/>
        <v>65665</v>
      </c>
      <c r="AE2117">
        <v>1101140124369</v>
      </c>
      <c r="AG2117" t="s">
        <v>4</v>
      </c>
    </row>
    <row r="2118" spans="1:33">
      <c r="A2118" t="s">
        <v>5573</v>
      </c>
      <c r="B2118" t="s">
        <v>5574</v>
      </c>
      <c r="F2118" t="str">
        <f t="shared" si="32"/>
        <v>65666</v>
      </c>
      <c r="AE2118">
        <v>1101140124369</v>
      </c>
      <c r="AG2118" t="s">
        <v>4</v>
      </c>
    </row>
    <row r="2119" spans="1:33">
      <c r="A2119" t="s">
        <v>5575</v>
      </c>
      <c r="B2119" t="s">
        <v>5576</v>
      </c>
      <c r="F2119" t="str">
        <f t="shared" si="32"/>
        <v>65667</v>
      </c>
      <c r="AE2119">
        <v>1101140124369</v>
      </c>
      <c r="AG2119" t="s">
        <v>4</v>
      </c>
    </row>
    <row r="2120" spans="1:33">
      <c r="A2120" t="s">
        <v>5577</v>
      </c>
      <c r="B2120" t="s">
        <v>5578</v>
      </c>
      <c r="F2120" t="str">
        <f t="shared" si="32"/>
        <v>65668</v>
      </c>
      <c r="AE2120">
        <v>1101140124369</v>
      </c>
      <c r="AG2120" t="s">
        <v>4</v>
      </c>
    </row>
    <row r="2121" spans="1:33">
      <c r="A2121" t="s">
        <v>5579</v>
      </c>
      <c r="B2121" t="s">
        <v>5580</v>
      </c>
      <c r="F2121" t="str">
        <f t="shared" si="32"/>
        <v>65688</v>
      </c>
      <c r="AE2121">
        <v>1101140124369</v>
      </c>
      <c r="AG2121" t="s">
        <v>4</v>
      </c>
    </row>
    <row r="2122" spans="1:33">
      <c r="A2122" t="s">
        <v>5581</v>
      </c>
      <c r="B2122" t="s">
        <v>5582</v>
      </c>
      <c r="F2122" t="str">
        <f t="shared" ref="F2122:F2185" si="33">CHOOSE($C$1, A2122, B2122)</f>
        <v>65690</v>
      </c>
      <c r="AE2122">
        <v>1101140124369</v>
      </c>
      <c r="AG2122" t="s">
        <v>4</v>
      </c>
    </row>
    <row r="2123" spans="1:33">
      <c r="A2123" t="s">
        <v>5583</v>
      </c>
      <c r="B2123" t="s">
        <v>5584</v>
      </c>
      <c r="F2123" t="str">
        <f t="shared" si="33"/>
        <v>65741</v>
      </c>
      <c r="AE2123">
        <v>1101140124369</v>
      </c>
      <c r="AG2123" t="s">
        <v>4</v>
      </c>
    </row>
    <row r="2124" spans="1:33">
      <c r="A2124" t="s">
        <v>5585</v>
      </c>
      <c r="B2124" t="s">
        <v>5586</v>
      </c>
      <c r="F2124" t="str">
        <f t="shared" si="33"/>
        <v>65742</v>
      </c>
      <c r="AE2124">
        <v>1101140124369</v>
      </c>
      <c r="AG2124" t="s">
        <v>4</v>
      </c>
    </row>
    <row r="2125" spans="1:33">
      <c r="A2125" t="s">
        <v>5587</v>
      </c>
      <c r="B2125" t="s">
        <v>5588</v>
      </c>
      <c r="F2125" t="str">
        <f t="shared" si="33"/>
        <v>65834</v>
      </c>
      <c r="AE2125">
        <v>1101140124369</v>
      </c>
      <c r="AG2125" t="s">
        <v>4</v>
      </c>
    </row>
    <row r="2126" spans="1:33">
      <c r="A2126" t="s">
        <v>5589</v>
      </c>
      <c r="B2126" t="s">
        <v>5590</v>
      </c>
      <c r="F2126" t="str">
        <f t="shared" si="33"/>
        <v>65835</v>
      </c>
      <c r="AE2126">
        <v>1101140124369</v>
      </c>
      <c r="AG2126" t="s">
        <v>4</v>
      </c>
    </row>
    <row r="2127" spans="1:33">
      <c r="A2127" t="s">
        <v>5591</v>
      </c>
      <c r="B2127" t="s">
        <v>5592</v>
      </c>
      <c r="F2127" t="str">
        <f t="shared" si="33"/>
        <v>65836</v>
      </c>
      <c r="AE2127">
        <v>1101140124369</v>
      </c>
      <c r="AG2127" t="s">
        <v>4</v>
      </c>
    </row>
    <row r="2128" spans="1:33">
      <c r="A2128" t="s">
        <v>5593</v>
      </c>
      <c r="B2128" t="s">
        <v>5594</v>
      </c>
      <c r="F2128" t="str">
        <f t="shared" si="33"/>
        <v>65837</v>
      </c>
      <c r="AE2128">
        <v>1101140124369</v>
      </c>
      <c r="AG2128" t="s">
        <v>4</v>
      </c>
    </row>
    <row r="2129" spans="1:36">
      <c r="A2129" t="s">
        <v>5595</v>
      </c>
      <c r="B2129" t="s">
        <v>5596</v>
      </c>
      <c r="F2129" t="str">
        <f t="shared" si="33"/>
        <v>65838</v>
      </c>
      <c r="AE2129">
        <v>1101140124369</v>
      </c>
      <c r="AG2129" t="s">
        <v>4</v>
      </c>
    </row>
    <row r="2130" spans="1:36">
      <c r="A2130" t="s">
        <v>5597</v>
      </c>
      <c r="B2130" t="s">
        <v>5598</v>
      </c>
      <c r="F2130" t="str">
        <f t="shared" si="33"/>
        <v>65839</v>
      </c>
      <c r="AE2130">
        <v>1101140124369</v>
      </c>
      <c r="AG2130" t="s">
        <v>4</v>
      </c>
    </row>
    <row r="2131" spans="1:36">
      <c r="A2131" t="s">
        <v>5599</v>
      </c>
      <c r="B2131" t="s">
        <v>5600</v>
      </c>
      <c r="F2131" t="str">
        <f t="shared" si="33"/>
        <v>65840</v>
      </c>
      <c r="AE2131">
        <v>1101140124369</v>
      </c>
      <c r="AG2131" t="s">
        <v>4</v>
      </c>
    </row>
    <row r="2132" spans="1:36">
      <c r="A2132" t="s">
        <v>5601</v>
      </c>
      <c r="B2132" t="s">
        <v>5602</v>
      </c>
      <c r="F2132" t="str">
        <f t="shared" si="33"/>
        <v>65841</v>
      </c>
      <c r="AE2132">
        <v>1101140124369</v>
      </c>
      <c r="AG2132" t="s">
        <v>4</v>
      </c>
    </row>
    <row r="2133" spans="1:36">
      <c r="A2133" t="s">
        <v>5603</v>
      </c>
      <c r="B2133" t="s">
        <v>5604</v>
      </c>
      <c r="F2133" t="str">
        <f t="shared" si="33"/>
        <v>65842</v>
      </c>
      <c r="AE2133">
        <v>1101140124369</v>
      </c>
      <c r="AG2133" t="s">
        <v>4</v>
      </c>
    </row>
    <row r="2134" spans="1:36">
      <c r="A2134" t="s">
        <v>5605</v>
      </c>
      <c r="B2134" t="s">
        <v>5606</v>
      </c>
      <c r="F2134" t="str">
        <f t="shared" si="33"/>
        <v>65843</v>
      </c>
      <c r="AE2134">
        <v>1101140124369</v>
      </c>
      <c r="AG2134" t="s">
        <v>4</v>
      </c>
    </row>
    <row r="2135" spans="1:36">
      <c r="A2135" t="s">
        <v>5607</v>
      </c>
      <c r="B2135" t="s">
        <v>5608</v>
      </c>
      <c r="F2135" t="str">
        <f t="shared" si="33"/>
        <v>65844</v>
      </c>
      <c r="AE2135">
        <v>1101115079713</v>
      </c>
      <c r="AG2135" t="s">
        <v>4</v>
      </c>
      <c r="AH2135" t="s">
        <v>34</v>
      </c>
      <c r="AI2135" t="s">
        <v>35</v>
      </c>
      <c r="AJ2135" t="s">
        <v>36</v>
      </c>
    </row>
    <row r="2136" spans="1:36">
      <c r="A2136" t="s">
        <v>5609</v>
      </c>
      <c r="B2136" t="s">
        <v>5610</v>
      </c>
      <c r="F2136" t="str">
        <f t="shared" si="33"/>
        <v>65908</v>
      </c>
      <c r="AG2136" t="s">
        <v>4</v>
      </c>
    </row>
    <row r="2137" spans="1:36">
      <c r="A2137" t="s">
        <v>5611</v>
      </c>
      <c r="B2137" t="s">
        <v>5612</v>
      </c>
      <c r="F2137" t="str">
        <f t="shared" si="33"/>
        <v>65909</v>
      </c>
      <c r="AG2137" t="s">
        <v>4</v>
      </c>
    </row>
    <row r="2138" spans="1:36">
      <c r="A2138" t="s">
        <v>5613</v>
      </c>
      <c r="B2138" t="s">
        <v>5614</v>
      </c>
      <c r="F2138" t="str">
        <f t="shared" si="33"/>
        <v>65910</v>
      </c>
      <c r="AE2138">
        <v>1101115101839</v>
      </c>
      <c r="AG2138" t="s">
        <v>4</v>
      </c>
      <c r="AH2138" t="s">
        <v>634</v>
      </c>
      <c r="AI2138" t="s">
        <v>6</v>
      </c>
      <c r="AJ2138" t="s">
        <v>635</v>
      </c>
    </row>
    <row r="2139" spans="1:36">
      <c r="A2139" t="s">
        <v>5615</v>
      </c>
      <c r="B2139" t="s">
        <v>5616</v>
      </c>
      <c r="F2139" t="str">
        <f t="shared" si="33"/>
        <v>65911</v>
      </c>
      <c r="AG2139" t="s">
        <v>4</v>
      </c>
    </row>
    <row r="2140" spans="1:36">
      <c r="A2140" t="s">
        <v>5617</v>
      </c>
      <c r="B2140" t="s">
        <v>5618</v>
      </c>
      <c r="F2140" t="str">
        <f t="shared" si="33"/>
        <v>65912</v>
      </c>
      <c r="AE2140">
        <v>1101140127826</v>
      </c>
      <c r="AG2140" t="s">
        <v>4</v>
      </c>
    </row>
    <row r="2141" spans="1:36">
      <c r="A2141" t="s">
        <v>5619</v>
      </c>
      <c r="B2141" t="s">
        <v>5620</v>
      </c>
      <c r="F2141" t="str">
        <f t="shared" si="33"/>
        <v>65913</v>
      </c>
      <c r="AE2141">
        <v>1101140127826</v>
      </c>
      <c r="AG2141" t="s">
        <v>4</v>
      </c>
    </row>
    <row r="2142" spans="1:36">
      <c r="A2142" t="s">
        <v>5621</v>
      </c>
      <c r="B2142" t="s">
        <v>5622</v>
      </c>
      <c r="F2142" t="str">
        <f t="shared" si="33"/>
        <v>65914</v>
      </c>
      <c r="AE2142">
        <v>1101140127826</v>
      </c>
      <c r="AG2142" t="s">
        <v>4</v>
      </c>
    </row>
    <row r="2143" spans="1:36">
      <c r="A2143" t="s">
        <v>5623</v>
      </c>
      <c r="B2143" t="s">
        <v>5624</v>
      </c>
      <c r="F2143" t="str">
        <f t="shared" si="33"/>
        <v>65915</v>
      </c>
      <c r="AE2143">
        <v>1101140127826</v>
      </c>
      <c r="AG2143" t="s">
        <v>4</v>
      </c>
    </row>
    <row r="2144" spans="1:36">
      <c r="A2144" t="s">
        <v>5625</v>
      </c>
      <c r="B2144" t="s">
        <v>5626</v>
      </c>
      <c r="F2144" t="str">
        <f t="shared" si="33"/>
        <v>65944</v>
      </c>
      <c r="AE2144">
        <v>1101140127826</v>
      </c>
      <c r="AG2144" t="s">
        <v>4</v>
      </c>
    </row>
    <row r="2145" spans="1:33">
      <c r="A2145" t="s">
        <v>5627</v>
      </c>
      <c r="B2145" t="s">
        <v>5628</v>
      </c>
      <c r="F2145" t="str">
        <f t="shared" si="33"/>
        <v>65945</v>
      </c>
      <c r="AE2145">
        <v>1101140127826</v>
      </c>
      <c r="AG2145" t="s">
        <v>4</v>
      </c>
    </row>
    <row r="2146" spans="1:33">
      <c r="A2146" t="s">
        <v>5629</v>
      </c>
      <c r="B2146" t="s">
        <v>5630</v>
      </c>
      <c r="F2146" t="str">
        <f t="shared" si="33"/>
        <v>65946</v>
      </c>
      <c r="AE2146">
        <v>1101140127826</v>
      </c>
      <c r="AG2146" t="s">
        <v>4</v>
      </c>
    </row>
    <row r="2147" spans="1:33">
      <c r="A2147" t="s">
        <v>5631</v>
      </c>
      <c r="B2147" t="s">
        <v>5632</v>
      </c>
      <c r="F2147" t="str">
        <f t="shared" si="33"/>
        <v>65947</v>
      </c>
      <c r="AE2147">
        <v>1101140127826</v>
      </c>
      <c r="AG2147" t="s">
        <v>4</v>
      </c>
    </row>
    <row r="2148" spans="1:33">
      <c r="A2148" t="s">
        <v>5633</v>
      </c>
      <c r="B2148" t="s">
        <v>5634</v>
      </c>
      <c r="F2148" t="str">
        <f t="shared" si="33"/>
        <v>65948</v>
      </c>
      <c r="AE2148">
        <v>1101140127826</v>
      </c>
      <c r="AG2148" t="s">
        <v>4</v>
      </c>
    </row>
    <row r="2149" spans="1:33">
      <c r="A2149" t="s">
        <v>5635</v>
      </c>
      <c r="B2149" t="s">
        <v>5636</v>
      </c>
      <c r="F2149" t="str">
        <f t="shared" si="33"/>
        <v>65949</v>
      </c>
      <c r="AE2149">
        <v>1101140127826</v>
      </c>
      <c r="AG2149" t="s">
        <v>4</v>
      </c>
    </row>
    <row r="2150" spans="1:33">
      <c r="A2150" t="s">
        <v>5637</v>
      </c>
      <c r="B2150" t="s">
        <v>5638</v>
      </c>
      <c r="F2150" t="str">
        <f t="shared" si="33"/>
        <v>65950</v>
      </c>
      <c r="AE2150">
        <v>1101140127826</v>
      </c>
      <c r="AG2150" t="s">
        <v>4</v>
      </c>
    </row>
    <row r="2151" spans="1:33">
      <c r="A2151" t="s">
        <v>5639</v>
      </c>
      <c r="B2151" t="s">
        <v>5640</v>
      </c>
      <c r="F2151" t="str">
        <f t="shared" si="33"/>
        <v>65951</v>
      </c>
      <c r="AE2151">
        <v>1101140127826</v>
      </c>
      <c r="AG2151" t="s">
        <v>4</v>
      </c>
    </row>
    <row r="2152" spans="1:33">
      <c r="A2152" t="s">
        <v>5641</v>
      </c>
      <c r="B2152" t="s">
        <v>5642</v>
      </c>
      <c r="F2152" t="str">
        <f t="shared" si="33"/>
        <v>65980</v>
      </c>
      <c r="AE2152">
        <v>1101140127826</v>
      </c>
      <c r="AG2152" t="s">
        <v>4</v>
      </c>
    </row>
    <row r="2153" spans="1:33">
      <c r="A2153" t="s">
        <v>5643</v>
      </c>
      <c r="B2153" t="s">
        <v>5644</v>
      </c>
      <c r="F2153" t="str">
        <f t="shared" si="33"/>
        <v>65981</v>
      </c>
      <c r="AE2153">
        <v>1101140127826</v>
      </c>
      <c r="AG2153" t="s">
        <v>4</v>
      </c>
    </row>
    <row r="2154" spans="1:33">
      <c r="A2154" t="s">
        <v>5645</v>
      </c>
      <c r="B2154" t="s">
        <v>5646</v>
      </c>
      <c r="F2154" t="str">
        <f t="shared" si="33"/>
        <v>65982</v>
      </c>
      <c r="AE2154">
        <v>1101140127826</v>
      </c>
      <c r="AG2154" t="s">
        <v>4</v>
      </c>
    </row>
    <row r="2155" spans="1:33">
      <c r="A2155" t="s">
        <v>5647</v>
      </c>
      <c r="B2155" t="s">
        <v>5648</v>
      </c>
      <c r="F2155" t="str">
        <f t="shared" si="33"/>
        <v>65983</v>
      </c>
      <c r="AE2155">
        <v>1101140127826</v>
      </c>
      <c r="AG2155" t="s">
        <v>4</v>
      </c>
    </row>
    <row r="2156" spans="1:33">
      <c r="A2156" t="s">
        <v>5649</v>
      </c>
      <c r="B2156" t="s">
        <v>5650</v>
      </c>
      <c r="F2156" t="str">
        <f t="shared" si="33"/>
        <v>65984</v>
      </c>
      <c r="AE2156">
        <v>1101140127826</v>
      </c>
      <c r="AG2156" t="s">
        <v>4</v>
      </c>
    </row>
    <row r="2157" spans="1:33">
      <c r="A2157" t="s">
        <v>5651</v>
      </c>
      <c r="B2157" t="s">
        <v>5652</v>
      </c>
      <c r="F2157" t="str">
        <f t="shared" si="33"/>
        <v>65985</v>
      </c>
      <c r="AE2157">
        <v>1101140127826</v>
      </c>
      <c r="AG2157" t="s">
        <v>4</v>
      </c>
    </row>
    <row r="2158" spans="1:33">
      <c r="A2158" t="s">
        <v>5653</v>
      </c>
      <c r="B2158" t="s">
        <v>5654</v>
      </c>
      <c r="F2158" t="str">
        <f t="shared" si="33"/>
        <v>66035</v>
      </c>
      <c r="AE2158">
        <v>1101140127826</v>
      </c>
      <c r="AG2158" t="s">
        <v>4</v>
      </c>
    </row>
    <row r="2159" spans="1:33">
      <c r="A2159" t="s">
        <v>5655</v>
      </c>
      <c r="B2159" t="s">
        <v>5656</v>
      </c>
      <c r="F2159" t="str">
        <f t="shared" si="33"/>
        <v>66070</v>
      </c>
      <c r="AE2159">
        <v>1101140127826</v>
      </c>
      <c r="AG2159" t="s">
        <v>4</v>
      </c>
    </row>
    <row r="2160" spans="1:33">
      <c r="A2160" t="s">
        <v>5657</v>
      </c>
      <c r="B2160" t="s">
        <v>5658</v>
      </c>
      <c r="F2160" t="str">
        <f t="shared" si="33"/>
        <v>66071</v>
      </c>
      <c r="AE2160">
        <v>1101140127826</v>
      </c>
      <c r="AG2160" t="s">
        <v>4</v>
      </c>
    </row>
    <row r="2161" spans="1:36">
      <c r="A2161" t="s">
        <v>5659</v>
      </c>
      <c r="B2161" t="s">
        <v>5660</v>
      </c>
      <c r="F2161" t="str">
        <f t="shared" si="33"/>
        <v>66072</v>
      </c>
      <c r="AE2161">
        <v>1101140127826</v>
      </c>
      <c r="AG2161" t="s">
        <v>4</v>
      </c>
    </row>
    <row r="2162" spans="1:36">
      <c r="A2162" t="s">
        <v>5661</v>
      </c>
      <c r="B2162" t="s">
        <v>5662</v>
      </c>
      <c r="F2162" t="str">
        <f t="shared" si="33"/>
        <v>66073</v>
      </c>
      <c r="AE2162">
        <v>1101140127826</v>
      </c>
      <c r="AG2162" t="s">
        <v>4</v>
      </c>
    </row>
    <row r="2163" spans="1:36">
      <c r="A2163" t="s">
        <v>5663</v>
      </c>
      <c r="B2163" t="s">
        <v>5664</v>
      </c>
      <c r="F2163" t="str">
        <f t="shared" si="33"/>
        <v>66074</v>
      </c>
      <c r="AE2163">
        <v>1101140127826</v>
      </c>
      <c r="AG2163" t="s">
        <v>4</v>
      </c>
    </row>
    <row r="2164" spans="1:36">
      <c r="A2164" t="s">
        <v>5665</v>
      </c>
      <c r="B2164" t="s">
        <v>5666</v>
      </c>
      <c r="F2164" t="str">
        <f t="shared" si="33"/>
        <v>66075</v>
      </c>
      <c r="AE2164">
        <v>1101140127826</v>
      </c>
      <c r="AG2164" t="s">
        <v>4</v>
      </c>
    </row>
    <row r="2165" spans="1:36">
      <c r="A2165" t="s">
        <v>5667</v>
      </c>
      <c r="B2165" t="s">
        <v>5668</v>
      </c>
      <c r="F2165" t="str">
        <f t="shared" si="33"/>
        <v>66076</v>
      </c>
      <c r="AE2165">
        <v>1101140127826</v>
      </c>
      <c r="AG2165" t="s">
        <v>4</v>
      </c>
    </row>
    <row r="2166" spans="1:36">
      <c r="A2166" t="s">
        <v>5669</v>
      </c>
      <c r="B2166" t="s">
        <v>5670</v>
      </c>
      <c r="F2166" t="str">
        <f t="shared" si="33"/>
        <v>66077</v>
      </c>
      <c r="AE2166">
        <v>1101140127826</v>
      </c>
      <c r="AG2166" t="s">
        <v>4</v>
      </c>
    </row>
    <row r="2167" spans="1:36">
      <c r="A2167" t="s">
        <v>5671</v>
      </c>
      <c r="B2167" t="s">
        <v>5672</v>
      </c>
      <c r="F2167" t="str">
        <f t="shared" si="33"/>
        <v>66078</v>
      </c>
      <c r="AE2167">
        <v>1101140127826</v>
      </c>
      <c r="AG2167" t="s">
        <v>4</v>
      </c>
    </row>
    <row r="2168" spans="1:36">
      <c r="A2168" t="s">
        <v>5673</v>
      </c>
      <c r="B2168" t="s">
        <v>5674</v>
      </c>
      <c r="F2168" t="str">
        <f t="shared" si="33"/>
        <v>66079</v>
      </c>
      <c r="AE2168">
        <v>1101140127826</v>
      </c>
      <c r="AG2168" t="s">
        <v>4</v>
      </c>
    </row>
    <row r="2169" spans="1:36">
      <c r="A2169" t="s">
        <v>5675</v>
      </c>
      <c r="B2169" t="s">
        <v>5676</v>
      </c>
      <c r="F2169" t="str">
        <f t="shared" si="33"/>
        <v>66104</v>
      </c>
      <c r="AE2169">
        <v>1101140127826</v>
      </c>
      <c r="AG2169" t="s">
        <v>4</v>
      </c>
    </row>
    <row r="2170" spans="1:36">
      <c r="A2170" t="s">
        <v>5677</v>
      </c>
      <c r="B2170" t="s">
        <v>5678</v>
      </c>
      <c r="F2170" t="str">
        <f t="shared" si="33"/>
        <v>66105</v>
      </c>
      <c r="AE2170">
        <v>1101140127826</v>
      </c>
      <c r="AG2170" t="s">
        <v>4</v>
      </c>
    </row>
    <row r="2171" spans="1:36">
      <c r="A2171" t="s">
        <v>5679</v>
      </c>
      <c r="B2171" t="s">
        <v>5680</v>
      </c>
      <c r="F2171" t="str">
        <f t="shared" si="33"/>
        <v>66108</v>
      </c>
      <c r="AE2171">
        <v>1101140127826</v>
      </c>
      <c r="AG2171" t="s">
        <v>4</v>
      </c>
    </row>
    <row r="2172" spans="1:36">
      <c r="A2172" t="s">
        <v>5681</v>
      </c>
      <c r="B2172" t="s">
        <v>5682</v>
      </c>
      <c r="F2172" t="str">
        <f t="shared" si="33"/>
        <v>66109</v>
      </c>
      <c r="AE2172">
        <v>1101111698145</v>
      </c>
      <c r="AG2172" t="s">
        <v>2</v>
      </c>
    </row>
    <row r="2173" spans="1:36">
      <c r="A2173" t="s">
        <v>5683</v>
      </c>
      <c r="B2173" t="s">
        <v>5684</v>
      </c>
      <c r="F2173" t="str">
        <f t="shared" si="33"/>
        <v>66110</v>
      </c>
      <c r="AE2173">
        <v>1614110009437</v>
      </c>
      <c r="AF2173" t="s">
        <v>40</v>
      </c>
      <c r="AG2173" t="s">
        <v>4</v>
      </c>
      <c r="AH2173" t="s">
        <v>1409</v>
      </c>
      <c r="AI2173" t="s">
        <v>580</v>
      </c>
      <c r="AJ2173" t="s">
        <v>780</v>
      </c>
    </row>
    <row r="2174" spans="1:36">
      <c r="A2174" t="s">
        <v>5685</v>
      </c>
      <c r="B2174" t="s">
        <v>5686</v>
      </c>
      <c r="F2174" t="str">
        <f t="shared" si="33"/>
        <v>66111</v>
      </c>
      <c r="AE2174">
        <v>1101114178730</v>
      </c>
      <c r="AG2174" t="s">
        <v>4</v>
      </c>
      <c r="AH2174" t="s">
        <v>652</v>
      </c>
      <c r="AI2174" t="s">
        <v>6</v>
      </c>
      <c r="AJ2174" t="s">
        <v>653</v>
      </c>
    </row>
    <row r="2175" spans="1:36">
      <c r="A2175" t="s">
        <v>5687</v>
      </c>
      <c r="B2175" t="s">
        <v>5688</v>
      </c>
      <c r="F2175" t="str">
        <f t="shared" si="33"/>
        <v>66112</v>
      </c>
      <c r="AE2175">
        <v>1101114404903</v>
      </c>
      <c r="AF2175" t="s">
        <v>614</v>
      </c>
      <c r="AG2175" t="s">
        <v>4</v>
      </c>
      <c r="AH2175" t="s">
        <v>1393</v>
      </c>
      <c r="AI2175" t="s">
        <v>555</v>
      </c>
      <c r="AJ2175" t="s">
        <v>1394</v>
      </c>
    </row>
    <row r="2176" spans="1:36">
      <c r="A2176" t="s">
        <v>5689</v>
      </c>
      <c r="B2176" t="s">
        <v>5690</v>
      </c>
      <c r="F2176" t="str">
        <f t="shared" si="33"/>
        <v>66113</v>
      </c>
      <c r="AG2176" t="s">
        <v>4</v>
      </c>
    </row>
    <row r="2177" spans="1:36">
      <c r="A2177" t="s">
        <v>5691</v>
      </c>
      <c r="B2177" t="s">
        <v>5692</v>
      </c>
      <c r="F2177" t="str">
        <f t="shared" si="33"/>
        <v>66114</v>
      </c>
      <c r="AG2177" t="s">
        <v>4</v>
      </c>
    </row>
    <row r="2178" spans="1:36">
      <c r="A2178" t="s">
        <v>5693</v>
      </c>
      <c r="B2178" t="s">
        <v>5694</v>
      </c>
      <c r="F2178" t="str">
        <f t="shared" si="33"/>
        <v>66115</v>
      </c>
      <c r="AG2178" t="s">
        <v>4</v>
      </c>
    </row>
    <row r="2179" spans="1:36">
      <c r="A2179" t="s">
        <v>5695</v>
      </c>
      <c r="B2179" t="s">
        <v>5696</v>
      </c>
      <c r="F2179" t="str">
        <f t="shared" si="33"/>
        <v>66118</v>
      </c>
      <c r="AG2179" t="s">
        <v>4</v>
      </c>
    </row>
    <row r="2180" spans="1:36">
      <c r="A2180" t="s">
        <v>5697</v>
      </c>
      <c r="B2180" t="s">
        <v>5698</v>
      </c>
      <c r="F2180" t="str">
        <f t="shared" si="33"/>
        <v>66184</v>
      </c>
      <c r="AE2180">
        <v>1201110003567</v>
      </c>
      <c r="AG2180" t="s">
        <v>4</v>
      </c>
      <c r="AH2180" t="s">
        <v>425</v>
      </c>
      <c r="AI2180" t="s">
        <v>76</v>
      </c>
      <c r="AJ2180" t="s">
        <v>426</v>
      </c>
    </row>
    <row r="2181" spans="1:36">
      <c r="A2181" t="s">
        <v>5699</v>
      </c>
      <c r="B2181" t="s">
        <v>5700</v>
      </c>
      <c r="F2181" t="str">
        <f t="shared" si="33"/>
        <v>66185</v>
      </c>
      <c r="AE2181">
        <v>2101110091498</v>
      </c>
      <c r="AG2181" t="s">
        <v>2</v>
      </c>
      <c r="AH2181" t="s">
        <v>973</v>
      </c>
      <c r="AI2181" t="s">
        <v>6</v>
      </c>
      <c r="AJ2181" t="s">
        <v>974</v>
      </c>
    </row>
    <row r="2182" spans="1:36">
      <c r="A2182" t="s">
        <v>5701</v>
      </c>
      <c r="B2182" t="s">
        <v>5702</v>
      </c>
      <c r="F2182" t="str">
        <f t="shared" si="33"/>
        <v>66186</v>
      </c>
      <c r="AG2182" t="s">
        <v>4</v>
      </c>
    </row>
    <row r="2183" spans="1:36">
      <c r="A2183" t="s">
        <v>5703</v>
      </c>
      <c r="B2183" t="s">
        <v>5704</v>
      </c>
      <c r="F2183" t="str">
        <f t="shared" si="33"/>
        <v>66187</v>
      </c>
      <c r="AE2183">
        <v>1201110666464</v>
      </c>
      <c r="AF2183" t="s">
        <v>74</v>
      </c>
      <c r="AG2183" t="s">
        <v>4</v>
      </c>
      <c r="AH2183" t="s">
        <v>254</v>
      </c>
      <c r="AI2183" t="s">
        <v>255</v>
      </c>
      <c r="AJ2183" t="s">
        <v>256</v>
      </c>
    </row>
    <row r="2184" spans="1:36">
      <c r="A2184" t="s">
        <v>5705</v>
      </c>
      <c r="B2184" t="s">
        <v>5706</v>
      </c>
      <c r="F2184" t="str">
        <f t="shared" si="33"/>
        <v>66189</v>
      </c>
      <c r="AE2184">
        <v>1746110029080</v>
      </c>
      <c r="AF2184" t="s">
        <v>238</v>
      </c>
      <c r="AG2184" t="s">
        <v>4</v>
      </c>
      <c r="AH2184" t="s">
        <v>729</v>
      </c>
      <c r="AI2184" t="s">
        <v>6</v>
      </c>
      <c r="AJ2184" t="s">
        <v>730</v>
      </c>
    </row>
    <row r="2185" spans="1:36">
      <c r="A2185" t="s">
        <v>5707</v>
      </c>
      <c r="B2185" t="s">
        <v>5708</v>
      </c>
      <c r="F2185" t="str">
        <f t="shared" si="33"/>
        <v>66210</v>
      </c>
      <c r="AG2185" t="s">
        <v>4</v>
      </c>
    </row>
    <row r="2186" spans="1:36">
      <c r="A2186" t="s">
        <v>5709</v>
      </c>
      <c r="B2186" t="s">
        <v>5710</v>
      </c>
      <c r="F2186" t="str">
        <f t="shared" ref="F2186:F2249" si="34">CHOOSE($C$1, A2186, B2186)</f>
        <v>66211</v>
      </c>
      <c r="AE2186">
        <v>1101115197193</v>
      </c>
      <c r="AF2186" t="s">
        <v>181</v>
      </c>
      <c r="AG2186" t="s">
        <v>2</v>
      </c>
      <c r="AH2186" t="s">
        <v>15</v>
      </c>
      <c r="AI2186" t="s">
        <v>16</v>
      </c>
      <c r="AJ2186" t="s">
        <v>17</v>
      </c>
    </row>
    <row r="2187" spans="1:36">
      <c r="A2187" t="s">
        <v>5711</v>
      </c>
      <c r="B2187" t="s">
        <v>5712</v>
      </c>
      <c r="F2187" t="str">
        <f t="shared" si="34"/>
        <v>66212</v>
      </c>
      <c r="AG2187" t="s">
        <v>4</v>
      </c>
    </row>
    <row r="2188" spans="1:36">
      <c r="A2188" t="s">
        <v>5713</v>
      </c>
      <c r="B2188" t="s">
        <v>5714</v>
      </c>
      <c r="F2188" t="str">
        <f t="shared" si="34"/>
        <v>66213</v>
      </c>
      <c r="AG2188" t="s">
        <v>4</v>
      </c>
    </row>
    <row r="2189" spans="1:36">
      <c r="A2189" t="s">
        <v>5715</v>
      </c>
      <c r="B2189" t="s">
        <v>5716</v>
      </c>
      <c r="F2189" t="str">
        <f t="shared" si="34"/>
        <v>66214</v>
      </c>
      <c r="AG2189" t="s">
        <v>4</v>
      </c>
    </row>
    <row r="2190" spans="1:36">
      <c r="A2190" t="s">
        <v>5717</v>
      </c>
      <c r="B2190" t="s">
        <v>5718</v>
      </c>
      <c r="F2190" t="str">
        <f t="shared" si="34"/>
        <v>66215</v>
      </c>
      <c r="AE2190">
        <v>1101114505595</v>
      </c>
      <c r="AF2190" t="s">
        <v>40</v>
      </c>
      <c r="AG2190" t="s">
        <v>4</v>
      </c>
      <c r="AH2190" t="s">
        <v>1416</v>
      </c>
      <c r="AI2190" t="s">
        <v>124</v>
      </c>
      <c r="AJ2190" t="s">
        <v>696</v>
      </c>
    </row>
    <row r="2191" spans="1:36">
      <c r="A2191" t="s">
        <v>5719</v>
      </c>
      <c r="B2191" t="s">
        <v>5720</v>
      </c>
      <c r="F2191" t="str">
        <f t="shared" si="34"/>
        <v>66216</v>
      </c>
      <c r="AG2191" t="s">
        <v>4</v>
      </c>
    </row>
    <row r="2192" spans="1:36">
      <c r="A2192" t="s">
        <v>5721</v>
      </c>
      <c r="B2192" t="s">
        <v>5722</v>
      </c>
      <c r="F2192" t="str">
        <f t="shared" si="34"/>
        <v>66217</v>
      </c>
      <c r="AF2192" t="s">
        <v>181</v>
      </c>
      <c r="AG2192" t="s">
        <v>4</v>
      </c>
    </row>
    <row r="2193" spans="1:36">
      <c r="A2193" t="s">
        <v>5723</v>
      </c>
      <c r="B2193" t="s">
        <v>5724</v>
      </c>
      <c r="F2193" t="str">
        <f t="shared" si="34"/>
        <v>66264</v>
      </c>
      <c r="AG2193" t="s">
        <v>4</v>
      </c>
    </row>
    <row r="2194" spans="1:36">
      <c r="A2194" t="s">
        <v>5725</v>
      </c>
      <c r="B2194" t="s">
        <v>5726</v>
      </c>
      <c r="F2194" t="str">
        <f t="shared" si="34"/>
        <v>66265</v>
      </c>
      <c r="AG2194" t="s">
        <v>4</v>
      </c>
    </row>
    <row r="2195" spans="1:36">
      <c r="A2195" t="s">
        <v>5727</v>
      </c>
      <c r="B2195" t="s">
        <v>5728</v>
      </c>
      <c r="F2195" t="str">
        <f t="shared" si="34"/>
        <v>66266</v>
      </c>
      <c r="AG2195" t="s">
        <v>4</v>
      </c>
    </row>
    <row r="2196" spans="1:36">
      <c r="A2196" t="s">
        <v>5729</v>
      </c>
      <c r="B2196" t="s">
        <v>5730</v>
      </c>
      <c r="F2196" t="str">
        <f t="shared" si="34"/>
        <v>66267</v>
      </c>
      <c r="AG2196" t="s">
        <v>4</v>
      </c>
    </row>
    <row r="2197" spans="1:36">
      <c r="A2197" t="s">
        <v>5731</v>
      </c>
      <c r="B2197" t="s">
        <v>5732</v>
      </c>
      <c r="F2197" t="str">
        <f t="shared" si="34"/>
        <v>66268</v>
      </c>
      <c r="AE2197">
        <v>1341110375209</v>
      </c>
      <c r="AG2197" t="s">
        <v>4</v>
      </c>
      <c r="AH2197" t="s">
        <v>883</v>
      </c>
      <c r="AI2197" t="s">
        <v>555</v>
      </c>
      <c r="AJ2197" t="s">
        <v>884</v>
      </c>
    </row>
    <row r="2198" spans="1:36">
      <c r="A2198" t="s">
        <v>5733</v>
      </c>
      <c r="B2198" t="s">
        <v>5734</v>
      </c>
      <c r="F2198" t="str">
        <f t="shared" si="34"/>
        <v>66269</v>
      </c>
      <c r="AG2198" t="s">
        <v>4</v>
      </c>
    </row>
    <row r="2199" spans="1:36">
      <c r="A2199" t="s">
        <v>5735</v>
      </c>
      <c r="B2199" t="s">
        <v>5736</v>
      </c>
      <c r="F2199" t="str">
        <f t="shared" si="34"/>
        <v>66270</v>
      </c>
      <c r="AG2199" t="s">
        <v>4</v>
      </c>
    </row>
    <row r="2200" spans="1:36">
      <c r="A2200" t="s">
        <v>5737</v>
      </c>
      <c r="B2200" t="s">
        <v>5738</v>
      </c>
      <c r="F2200" t="str">
        <f t="shared" si="34"/>
        <v>66271</v>
      </c>
      <c r="AG2200" t="s">
        <v>4</v>
      </c>
    </row>
    <row r="2201" spans="1:36">
      <c r="A2201" t="s">
        <v>5739</v>
      </c>
      <c r="B2201" t="s">
        <v>5740</v>
      </c>
      <c r="F2201" t="str">
        <f t="shared" si="34"/>
        <v>66272</v>
      </c>
      <c r="AG2201" t="s">
        <v>4</v>
      </c>
    </row>
    <row r="2202" spans="1:36">
      <c r="A2202" t="s">
        <v>5741</v>
      </c>
      <c r="B2202" t="s">
        <v>5742</v>
      </c>
      <c r="F2202" t="str">
        <f t="shared" si="34"/>
        <v>66273</v>
      </c>
      <c r="AG2202" t="s">
        <v>4</v>
      </c>
    </row>
    <row r="2203" spans="1:36">
      <c r="A2203" t="s">
        <v>5743</v>
      </c>
      <c r="B2203" t="s">
        <v>5744</v>
      </c>
      <c r="F2203" t="str">
        <f t="shared" si="34"/>
        <v>66274</v>
      </c>
      <c r="AG2203" t="s">
        <v>4</v>
      </c>
    </row>
    <row r="2204" spans="1:36">
      <c r="A2204" t="s">
        <v>5745</v>
      </c>
      <c r="B2204" t="s">
        <v>5746</v>
      </c>
      <c r="F2204" t="str">
        <f t="shared" si="34"/>
        <v>66275</v>
      </c>
      <c r="AF2204" t="s">
        <v>340</v>
      </c>
      <c r="AG2204" t="s">
        <v>4</v>
      </c>
    </row>
    <row r="2205" spans="1:36">
      <c r="A2205" t="s">
        <v>5747</v>
      </c>
      <c r="B2205" t="s">
        <v>5748</v>
      </c>
      <c r="F2205" t="str">
        <f t="shared" si="34"/>
        <v>66294</v>
      </c>
      <c r="AG2205" t="s">
        <v>4</v>
      </c>
    </row>
    <row r="2206" spans="1:36">
      <c r="A2206" t="s">
        <v>5749</v>
      </c>
      <c r="B2206" t="s">
        <v>5750</v>
      </c>
      <c r="F2206" t="str">
        <f t="shared" si="34"/>
        <v>66295</v>
      </c>
      <c r="AG2206" t="s">
        <v>4</v>
      </c>
    </row>
    <row r="2207" spans="1:36">
      <c r="A2207" t="s">
        <v>5751</v>
      </c>
      <c r="B2207" t="s">
        <v>5752</v>
      </c>
      <c r="F2207" t="str">
        <f t="shared" si="34"/>
        <v>66296</v>
      </c>
      <c r="AG2207" t="s">
        <v>4</v>
      </c>
    </row>
    <row r="2208" spans="1:36">
      <c r="A2208" t="s">
        <v>5753</v>
      </c>
      <c r="B2208" t="s">
        <v>5754</v>
      </c>
      <c r="F2208" t="str">
        <f t="shared" si="34"/>
        <v>66297</v>
      </c>
      <c r="AG2208" t="s">
        <v>4</v>
      </c>
    </row>
    <row r="2209" spans="1:36">
      <c r="A2209" t="s">
        <v>5755</v>
      </c>
      <c r="B2209" t="s">
        <v>5756</v>
      </c>
      <c r="F2209" t="str">
        <f t="shared" si="34"/>
        <v>66298</v>
      </c>
      <c r="AG2209" t="s">
        <v>4</v>
      </c>
    </row>
    <row r="2210" spans="1:36">
      <c r="A2210" t="s">
        <v>5757</v>
      </c>
      <c r="B2210" t="s">
        <v>5758</v>
      </c>
      <c r="F2210" t="str">
        <f t="shared" si="34"/>
        <v>66299</v>
      </c>
      <c r="AG2210" t="s">
        <v>4</v>
      </c>
    </row>
    <row r="2211" spans="1:36">
      <c r="A2211" t="s">
        <v>5759</v>
      </c>
      <c r="B2211" t="s">
        <v>5760</v>
      </c>
      <c r="F2211" t="str">
        <f t="shared" si="34"/>
        <v>66300</v>
      </c>
      <c r="AG2211" t="s">
        <v>4</v>
      </c>
    </row>
    <row r="2212" spans="1:36">
      <c r="A2212" t="s">
        <v>5761</v>
      </c>
      <c r="B2212" t="s">
        <v>5762</v>
      </c>
      <c r="F2212" t="str">
        <f t="shared" si="34"/>
        <v>66301</v>
      </c>
      <c r="AG2212" t="s">
        <v>4</v>
      </c>
    </row>
    <row r="2213" spans="1:36">
      <c r="A2213" t="s">
        <v>5763</v>
      </c>
      <c r="B2213" t="s">
        <v>5764</v>
      </c>
      <c r="F2213" t="str">
        <f t="shared" si="34"/>
        <v>66302</v>
      </c>
      <c r="AG2213" t="s">
        <v>4</v>
      </c>
    </row>
    <row r="2214" spans="1:36">
      <c r="A2214" t="s">
        <v>5765</v>
      </c>
      <c r="B2214" t="s">
        <v>5766</v>
      </c>
      <c r="F2214" t="str">
        <f t="shared" si="34"/>
        <v>66303</v>
      </c>
      <c r="AE2214">
        <v>1101115379692</v>
      </c>
      <c r="AG2214" t="s">
        <v>4</v>
      </c>
      <c r="AH2214" t="s">
        <v>34</v>
      </c>
      <c r="AI2214" t="s">
        <v>35</v>
      </c>
      <c r="AJ2214" t="s">
        <v>36</v>
      </c>
    </row>
    <row r="2215" spans="1:36">
      <c r="A2215" t="s">
        <v>5767</v>
      </c>
      <c r="B2215" t="s">
        <v>5768</v>
      </c>
      <c r="F2215" t="str">
        <f t="shared" si="34"/>
        <v>66340</v>
      </c>
      <c r="AF2215" t="s">
        <v>528</v>
      </c>
      <c r="AG2215" t="s">
        <v>4</v>
      </c>
    </row>
    <row r="2216" spans="1:36">
      <c r="A2216" t="s">
        <v>5769</v>
      </c>
      <c r="B2216" t="s">
        <v>5770</v>
      </c>
      <c r="F2216" t="str">
        <f t="shared" si="34"/>
        <v>66345</v>
      </c>
      <c r="AF2216" t="s">
        <v>261</v>
      </c>
      <c r="AG2216" t="s">
        <v>4</v>
      </c>
    </row>
    <row r="2217" spans="1:36">
      <c r="A2217" t="s">
        <v>5771</v>
      </c>
      <c r="B2217" t="s">
        <v>5772</v>
      </c>
      <c r="F2217" t="str">
        <f t="shared" si="34"/>
        <v>66354</v>
      </c>
      <c r="AG2217" t="s">
        <v>4</v>
      </c>
    </row>
    <row r="2218" spans="1:36">
      <c r="A2218" t="s">
        <v>5773</v>
      </c>
      <c r="B2218" t="s">
        <v>5774</v>
      </c>
      <c r="F2218" t="str">
        <f t="shared" si="34"/>
        <v>66355</v>
      </c>
      <c r="AG2218" t="s">
        <v>4</v>
      </c>
    </row>
    <row r="2219" spans="1:36">
      <c r="A2219" t="s">
        <v>5775</v>
      </c>
      <c r="B2219" t="s">
        <v>5776</v>
      </c>
      <c r="F2219" t="str">
        <f t="shared" si="34"/>
        <v>66356</v>
      </c>
      <c r="AG2219" t="s">
        <v>4</v>
      </c>
    </row>
    <row r="2220" spans="1:36">
      <c r="A2220" t="s">
        <v>5777</v>
      </c>
      <c r="B2220" t="s">
        <v>5778</v>
      </c>
      <c r="F2220" t="str">
        <f t="shared" si="34"/>
        <v>66364</v>
      </c>
      <c r="AG2220" t="s">
        <v>4</v>
      </c>
    </row>
    <row r="2221" spans="1:36">
      <c r="A2221" t="s">
        <v>5779</v>
      </c>
      <c r="B2221" t="s">
        <v>5780</v>
      </c>
      <c r="F2221" t="str">
        <f t="shared" si="34"/>
        <v>66365</v>
      </c>
      <c r="AE2221">
        <v>1101114072338</v>
      </c>
      <c r="AF2221" t="s">
        <v>74</v>
      </c>
      <c r="AG2221" t="s">
        <v>4</v>
      </c>
      <c r="AH2221" t="s">
        <v>1419</v>
      </c>
      <c r="AI2221" t="s">
        <v>249</v>
      </c>
      <c r="AJ2221" t="s">
        <v>1420</v>
      </c>
    </row>
    <row r="2222" spans="1:36">
      <c r="A2222" t="s">
        <v>5781</v>
      </c>
      <c r="B2222" t="s">
        <v>5782</v>
      </c>
      <c r="F2222" t="str">
        <f t="shared" si="34"/>
        <v>66366</v>
      </c>
      <c r="AE2222">
        <v>1101115287960</v>
      </c>
      <c r="AG2222" t="s">
        <v>4</v>
      </c>
      <c r="AH2222" t="s">
        <v>837</v>
      </c>
      <c r="AI2222" t="s">
        <v>6</v>
      </c>
      <c r="AJ2222" t="s">
        <v>838</v>
      </c>
    </row>
    <row r="2223" spans="1:36">
      <c r="A2223" t="s">
        <v>5783</v>
      </c>
      <c r="B2223" t="s">
        <v>5784</v>
      </c>
      <c r="F2223" t="str">
        <f t="shared" si="34"/>
        <v>66367</v>
      </c>
      <c r="AE2223">
        <v>1942110226226</v>
      </c>
      <c r="AG2223" t="s">
        <v>4</v>
      </c>
      <c r="AH2223" t="s">
        <v>5</v>
      </c>
      <c r="AI2223" t="s">
        <v>6</v>
      </c>
      <c r="AJ2223" t="s">
        <v>7</v>
      </c>
    </row>
    <row r="2224" spans="1:36">
      <c r="A2224" t="s">
        <v>5785</v>
      </c>
      <c r="B2224" t="s">
        <v>5786</v>
      </c>
      <c r="F2224" t="str">
        <f t="shared" si="34"/>
        <v>66377</v>
      </c>
      <c r="AE2224">
        <v>2001110396882</v>
      </c>
      <c r="AG2224" t="s">
        <v>4</v>
      </c>
      <c r="AH2224" t="s">
        <v>5</v>
      </c>
      <c r="AI2224" t="s">
        <v>6</v>
      </c>
      <c r="AJ2224" t="s">
        <v>7</v>
      </c>
    </row>
    <row r="2225" spans="1:36">
      <c r="A2225" t="s">
        <v>5787</v>
      </c>
      <c r="B2225" t="s">
        <v>5788</v>
      </c>
      <c r="F2225" t="str">
        <f t="shared" si="34"/>
        <v>66385</v>
      </c>
      <c r="AG2225" t="s">
        <v>4</v>
      </c>
    </row>
    <row r="2226" spans="1:36">
      <c r="A2226" t="s">
        <v>5789</v>
      </c>
      <c r="B2226" t="s">
        <v>5790</v>
      </c>
      <c r="F2226" t="str">
        <f t="shared" si="34"/>
        <v>66414</v>
      </c>
      <c r="AG2226" t="s">
        <v>4</v>
      </c>
    </row>
    <row r="2227" spans="1:36">
      <c r="A2227" t="s">
        <v>5791</v>
      </c>
      <c r="B2227" t="s">
        <v>5792</v>
      </c>
      <c r="F2227" t="str">
        <f t="shared" si="34"/>
        <v>66423</v>
      </c>
      <c r="AG2227" t="s">
        <v>4</v>
      </c>
    </row>
    <row r="2228" spans="1:36">
      <c r="A2228" t="s">
        <v>5793</v>
      </c>
      <c r="B2228" t="s">
        <v>5794</v>
      </c>
      <c r="F2228" t="str">
        <f t="shared" si="34"/>
        <v>66432</v>
      </c>
      <c r="AG2228" t="s">
        <v>4</v>
      </c>
    </row>
    <row r="2229" spans="1:36">
      <c r="A2229" t="s">
        <v>5795</v>
      </c>
      <c r="B2229" t="s">
        <v>5796</v>
      </c>
      <c r="F2229" t="str">
        <f t="shared" si="34"/>
        <v>66439</v>
      </c>
      <c r="AF2229" t="s">
        <v>276</v>
      </c>
      <c r="AG2229" t="s">
        <v>4</v>
      </c>
    </row>
    <row r="2230" spans="1:36">
      <c r="A2230" t="s">
        <v>5797</v>
      </c>
      <c r="B2230" t="s">
        <v>5798</v>
      </c>
      <c r="F2230" t="str">
        <f t="shared" si="34"/>
        <v>66467</v>
      </c>
      <c r="AG2230" t="s">
        <v>4</v>
      </c>
    </row>
    <row r="2231" spans="1:36">
      <c r="A2231" t="s">
        <v>5799</v>
      </c>
      <c r="B2231" t="s">
        <v>5800</v>
      </c>
      <c r="F2231" t="str">
        <f t="shared" si="34"/>
        <v>66468</v>
      </c>
      <c r="AE2231">
        <v>1101112402462</v>
      </c>
      <c r="AF2231" t="s">
        <v>276</v>
      </c>
      <c r="AG2231" t="s">
        <v>4</v>
      </c>
      <c r="AH2231" t="s">
        <v>1423</v>
      </c>
      <c r="AI2231" t="s">
        <v>580</v>
      </c>
      <c r="AJ2231" t="s">
        <v>1424</v>
      </c>
    </row>
    <row r="2232" spans="1:36">
      <c r="A2232" t="s">
        <v>5801</v>
      </c>
      <c r="B2232" t="s">
        <v>5802</v>
      </c>
      <c r="F2232" t="str">
        <f t="shared" si="34"/>
        <v>66469</v>
      </c>
      <c r="AG2232" t="s">
        <v>4</v>
      </c>
    </row>
    <row r="2233" spans="1:36">
      <c r="A2233" t="s">
        <v>5803</v>
      </c>
      <c r="B2233" t="s">
        <v>5804</v>
      </c>
      <c r="F2233" t="str">
        <f t="shared" si="34"/>
        <v>66470</v>
      </c>
      <c r="AG2233" t="s">
        <v>4</v>
      </c>
    </row>
    <row r="2234" spans="1:36">
      <c r="A2234" t="s">
        <v>5805</v>
      </c>
      <c r="B2234" t="s">
        <v>5806</v>
      </c>
      <c r="F2234" t="str">
        <f t="shared" si="34"/>
        <v>66471</v>
      </c>
      <c r="AF2234" t="s">
        <v>53</v>
      </c>
      <c r="AG2234" t="s">
        <v>4</v>
      </c>
    </row>
    <row r="2235" spans="1:36">
      <c r="A2235" t="s">
        <v>5807</v>
      </c>
      <c r="B2235" t="s">
        <v>5808</v>
      </c>
      <c r="F2235" t="str">
        <f t="shared" si="34"/>
        <v>66472</v>
      </c>
      <c r="AE2235">
        <v>1101114385856</v>
      </c>
      <c r="AG2235" t="s">
        <v>4</v>
      </c>
      <c r="AH2235" t="s">
        <v>652</v>
      </c>
      <c r="AI2235" t="s">
        <v>6</v>
      </c>
      <c r="AJ2235" t="s">
        <v>653</v>
      </c>
    </row>
    <row r="2236" spans="1:36">
      <c r="A2236" t="s">
        <v>5809</v>
      </c>
      <c r="B2236" t="s">
        <v>5810</v>
      </c>
      <c r="F2236" t="str">
        <f t="shared" si="34"/>
        <v>66473</v>
      </c>
      <c r="AG2236" t="s">
        <v>4</v>
      </c>
    </row>
    <row r="2237" spans="1:36">
      <c r="A2237" t="s">
        <v>5811</v>
      </c>
      <c r="B2237" t="s">
        <v>5812</v>
      </c>
      <c r="F2237" t="str">
        <f t="shared" si="34"/>
        <v>66474</v>
      </c>
      <c r="AG2237" t="s">
        <v>4</v>
      </c>
    </row>
    <row r="2238" spans="1:36">
      <c r="A2238" t="s">
        <v>5813</v>
      </c>
      <c r="B2238" t="s">
        <v>5814</v>
      </c>
      <c r="F2238" t="str">
        <f t="shared" si="34"/>
        <v>66475</v>
      </c>
      <c r="AG2238" t="s">
        <v>4</v>
      </c>
    </row>
    <row r="2239" spans="1:36">
      <c r="A2239" t="s">
        <v>5815</v>
      </c>
      <c r="B2239" t="s">
        <v>5816</v>
      </c>
      <c r="F2239" t="str">
        <f t="shared" si="34"/>
        <v>66476</v>
      </c>
      <c r="AG2239" t="s">
        <v>4</v>
      </c>
    </row>
    <row r="2240" spans="1:36">
      <c r="A2240" t="s">
        <v>5817</v>
      </c>
      <c r="B2240" t="s">
        <v>5818</v>
      </c>
      <c r="F2240" t="str">
        <f t="shared" si="34"/>
        <v>66478</v>
      </c>
      <c r="AG2240" t="s">
        <v>4</v>
      </c>
    </row>
    <row r="2241" spans="1:36">
      <c r="A2241" t="s">
        <v>5819</v>
      </c>
      <c r="B2241" t="s">
        <v>5820</v>
      </c>
      <c r="F2241" t="str">
        <f t="shared" si="34"/>
        <v>66479</v>
      </c>
      <c r="AG2241" t="s">
        <v>4</v>
      </c>
    </row>
    <row r="2242" spans="1:36">
      <c r="A2242" t="s">
        <v>5821</v>
      </c>
      <c r="B2242" t="s">
        <v>5822</v>
      </c>
      <c r="F2242" t="str">
        <f t="shared" si="34"/>
        <v>66480</v>
      </c>
      <c r="AG2242" t="s">
        <v>4</v>
      </c>
    </row>
    <row r="2243" spans="1:36">
      <c r="A2243" t="s">
        <v>5823</v>
      </c>
      <c r="B2243" t="s">
        <v>5824</v>
      </c>
      <c r="F2243" t="str">
        <f t="shared" si="34"/>
        <v>66481</v>
      </c>
      <c r="AG2243" t="s">
        <v>4</v>
      </c>
    </row>
    <row r="2244" spans="1:36">
      <c r="A2244" t="s">
        <v>5825</v>
      </c>
      <c r="B2244" t="s">
        <v>5826</v>
      </c>
      <c r="F2244" t="str">
        <f t="shared" si="34"/>
        <v>66482</v>
      </c>
      <c r="AG2244" t="s">
        <v>4</v>
      </c>
    </row>
    <row r="2245" spans="1:36">
      <c r="A2245" t="s">
        <v>5827</v>
      </c>
      <c r="B2245" t="s">
        <v>5828</v>
      </c>
      <c r="F2245" t="str">
        <f t="shared" si="34"/>
        <v>66483</v>
      </c>
      <c r="AG2245" t="s">
        <v>4</v>
      </c>
    </row>
    <row r="2246" spans="1:36">
      <c r="A2246" t="s">
        <v>5829</v>
      </c>
      <c r="B2246" t="s">
        <v>5830</v>
      </c>
      <c r="F2246" t="str">
        <f t="shared" si="34"/>
        <v>66484</v>
      </c>
      <c r="AE2246">
        <v>1801110607482</v>
      </c>
      <c r="AG2246" t="s">
        <v>4</v>
      </c>
      <c r="AH2246" t="s">
        <v>837</v>
      </c>
      <c r="AI2246" t="s">
        <v>6</v>
      </c>
      <c r="AJ2246" t="s">
        <v>838</v>
      </c>
    </row>
    <row r="2247" spans="1:36">
      <c r="A2247" t="s">
        <v>5831</v>
      </c>
      <c r="B2247" t="s">
        <v>5832</v>
      </c>
      <c r="F2247" t="str">
        <f t="shared" si="34"/>
        <v>66485</v>
      </c>
      <c r="AG2247" t="s">
        <v>4</v>
      </c>
    </row>
    <row r="2248" spans="1:36">
      <c r="A2248" t="s">
        <v>5833</v>
      </c>
      <c r="B2248" t="s">
        <v>5834</v>
      </c>
      <c r="F2248" t="str">
        <f t="shared" si="34"/>
        <v>66516</v>
      </c>
      <c r="AG2248" t="s">
        <v>4</v>
      </c>
    </row>
    <row r="2249" spans="1:36">
      <c r="A2249" t="s">
        <v>5835</v>
      </c>
      <c r="B2249" t="s">
        <v>5836</v>
      </c>
      <c r="F2249" t="str">
        <f t="shared" si="34"/>
        <v>66525</v>
      </c>
      <c r="AG2249" t="s">
        <v>4</v>
      </c>
    </row>
    <row r="2250" spans="1:36">
      <c r="A2250" t="s">
        <v>5837</v>
      </c>
      <c r="B2250" t="s">
        <v>5838</v>
      </c>
      <c r="F2250" t="str">
        <f t="shared" ref="F2250:F2313" si="35">CHOOSE($C$1, A2250, B2250)</f>
        <v>66534</v>
      </c>
      <c r="AG2250" t="s">
        <v>4</v>
      </c>
    </row>
    <row r="2251" spans="1:36">
      <c r="A2251" t="s">
        <v>5839</v>
      </c>
      <c r="B2251" t="s">
        <v>5840</v>
      </c>
      <c r="F2251" t="str">
        <f t="shared" si="35"/>
        <v>66535</v>
      </c>
      <c r="AE2251">
        <v>1313110140776</v>
      </c>
      <c r="AG2251" t="s">
        <v>2</v>
      </c>
      <c r="AH2251" t="s">
        <v>145</v>
      </c>
      <c r="AI2251" t="s">
        <v>146</v>
      </c>
      <c r="AJ2251" t="s">
        <v>147</v>
      </c>
    </row>
    <row r="2252" spans="1:36">
      <c r="A2252" t="s">
        <v>5841</v>
      </c>
      <c r="B2252" t="s">
        <v>5842</v>
      </c>
      <c r="F2252" t="str">
        <f t="shared" si="35"/>
        <v>66536</v>
      </c>
      <c r="AG2252" t="s">
        <v>4</v>
      </c>
    </row>
    <row r="2253" spans="1:36">
      <c r="A2253" t="s">
        <v>5843</v>
      </c>
      <c r="B2253" t="s">
        <v>5844</v>
      </c>
      <c r="F2253" t="str">
        <f t="shared" si="35"/>
        <v>66537</v>
      </c>
      <c r="AG2253" t="s">
        <v>4</v>
      </c>
    </row>
    <row r="2254" spans="1:36">
      <c r="A2254" t="s">
        <v>5845</v>
      </c>
      <c r="B2254" t="s">
        <v>5846</v>
      </c>
      <c r="F2254" t="str">
        <f t="shared" si="35"/>
        <v>66538</v>
      </c>
      <c r="AG2254" t="s">
        <v>4</v>
      </c>
    </row>
    <row r="2255" spans="1:36">
      <c r="A2255" t="s">
        <v>5847</v>
      </c>
      <c r="B2255" t="s">
        <v>5848</v>
      </c>
      <c r="F2255" t="str">
        <f t="shared" si="35"/>
        <v>66539</v>
      </c>
      <c r="AG2255" t="s">
        <v>4</v>
      </c>
    </row>
    <row r="2256" spans="1:36">
      <c r="A2256" t="s">
        <v>5849</v>
      </c>
      <c r="B2256" t="s">
        <v>5850</v>
      </c>
      <c r="F2256" t="str">
        <f t="shared" si="35"/>
        <v>66540</v>
      </c>
      <c r="AG2256" t="s">
        <v>4</v>
      </c>
    </row>
    <row r="2257" spans="1:36">
      <c r="A2257" t="s">
        <v>5851</v>
      </c>
      <c r="B2257" t="s">
        <v>5852</v>
      </c>
      <c r="F2257" t="str">
        <f t="shared" si="35"/>
        <v>66541</v>
      </c>
      <c r="AG2257" t="s">
        <v>4</v>
      </c>
    </row>
    <row r="2258" spans="1:36">
      <c r="A2258" t="s">
        <v>5853</v>
      </c>
      <c r="B2258" t="s">
        <v>5854</v>
      </c>
      <c r="F2258" t="str">
        <f t="shared" si="35"/>
        <v>66542</v>
      </c>
      <c r="AG2258" t="s">
        <v>4</v>
      </c>
    </row>
    <row r="2259" spans="1:36">
      <c r="A2259" t="s">
        <v>5855</v>
      </c>
      <c r="B2259" t="s">
        <v>5856</v>
      </c>
      <c r="F2259" t="str">
        <f t="shared" si="35"/>
        <v>66543</v>
      </c>
      <c r="AE2259">
        <v>1101115505354</v>
      </c>
      <c r="AG2259" t="s">
        <v>4</v>
      </c>
      <c r="AH2259" t="s">
        <v>634</v>
      </c>
      <c r="AI2259" t="s">
        <v>6</v>
      </c>
      <c r="AJ2259" t="s">
        <v>635</v>
      </c>
    </row>
    <row r="2260" spans="1:36">
      <c r="A2260" t="s">
        <v>5857</v>
      </c>
      <c r="B2260" t="s">
        <v>5858</v>
      </c>
      <c r="F2260" t="str">
        <f t="shared" si="35"/>
        <v>66544</v>
      </c>
      <c r="AG2260" t="s">
        <v>4</v>
      </c>
    </row>
    <row r="2261" spans="1:36">
      <c r="A2261" t="s">
        <v>5859</v>
      </c>
      <c r="B2261" t="s">
        <v>5860</v>
      </c>
      <c r="F2261" t="str">
        <f t="shared" si="35"/>
        <v>66545</v>
      </c>
      <c r="AE2261">
        <v>1201110566317</v>
      </c>
      <c r="AF2261" t="s">
        <v>340</v>
      </c>
      <c r="AG2261" t="s">
        <v>2</v>
      </c>
    </row>
    <row r="2262" spans="1:36">
      <c r="A2262" t="s">
        <v>5861</v>
      </c>
      <c r="B2262" t="s">
        <v>5862</v>
      </c>
      <c r="F2262" t="str">
        <f t="shared" si="35"/>
        <v>66551</v>
      </c>
      <c r="AG2262" t="s">
        <v>4</v>
      </c>
    </row>
    <row r="2263" spans="1:36">
      <c r="A2263" t="s">
        <v>5863</v>
      </c>
      <c r="B2263" t="s">
        <v>5864</v>
      </c>
      <c r="F2263" t="str">
        <f t="shared" si="35"/>
        <v>66554</v>
      </c>
      <c r="AG2263" t="s">
        <v>4</v>
      </c>
    </row>
    <row r="2264" spans="1:36">
      <c r="A2264" t="s">
        <v>5865</v>
      </c>
      <c r="B2264" t="s">
        <v>5866</v>
      </c>
      <c r="F2264" t="str">
        <f t="shared" si="35"/>
        <v>66555</v>
      </c>
      <c r="AG2264" t="s">
        <v>4</v>
      </c>
    </row>
    <row r="2265" spans="1:36">
      <c r="A2265" t="s">
        <v>5867</v>
      </c>
      <c r="B2265" t="s">
        <v>5868</v>
      </c>
      <c r="F2265" t="str">
        <f t="shared" si="35"/>
        <v>66556</v>
      </c>
      <c r="AE2265">
        <v>1645110021527</v>
      </c>
      <c r="AF2265" t="s">
        <v>127</v>
      </c>
      <c r="AG2265" t="s">
        <v>4</v>
      </c>
      <c r="AH2265" t="s">
        <v>277</v>
      </c>
      <c r="AI2265" t="s">
        <v>278</v>
      </c>
      <c r="AJ2265" t="s">
        <v>279</v>
      </c>
    </row>
    <row r="2266" spans="1:36">
      <c r="A2266" t="s">
        <v>5869</v>
      </c>
      <c r="B2266" t="s">
        <v>5870</v>
      </c>
      <c r="F2266" t="str">
        <f t="shared" si="35"/>
        <v>66560</v>
      </c>
      <c r="AG2266" t="s">
        <v>4</v>
      </c>
    </row>
    <row r="2267" spans="1:36">
      <c r="A2267" t="s">
        <v>5871</v>
      </c>
      <c r="B2267" t="s">
        <v>5872</v>
      </c>
      <c r="F2267" t="str">
        <f t="shared" si="35"/>
        <v>66568</v>
      </c>
      <c r="AG2267" t="s">
        <v>4</v>
      </c>
    </row>
    <row r="2268" spans="1:36">
      <c r="A2268" t="s">
        <v>5873</v>
      </c>
      <c r="B2268" t="s">
        <v>5874</v>
      </c>
      <c r="F2268" t="str">
        <f t="shared" si="35"/>
        <v>66570</v>
      </c>
      <c r="AE2268">
        <v>1101114926006</v>
      </c>
      <c r="AF2268" t="s">
        <v>74</v>
      </c>
      <c r="AG2268" t="s">
        <v>4</v>
      </c>
      <c r="AH2268" t="s">
        <v>774</v>
      </c>
      <c r="AI2268" t="s">
        <v>278</v>
      </c>
      <c r="AJ2268" t="s">
        <v>775</v>
      </c>
    </row>
    <row r="2269" spans="1:36">
      <c r="A2269" t="s">
        <v>5875</v>
      </c>
      <c r="B2269" t="s">
        <v>5876</v>
      </c>
      <c r="F2269" t="str">
        <f t="shared" si="35"/>
        <v>66575</v>
      </c>
      <c r="AG2269" t="s">
        <v>4</v>
      </c>
    </row>
    <row r="2270" spans="1:36">
      <c r="A2270" t="s">
        <v>5877</v>
      </c>
      <c r="B2270" t="s">
        <v>5878</v>
      </c>
      <c r="F2270" t="str">
        <f t="shared" si="35"/>
        <v>66576</v>
      </c>
      <c r="AG2270" t="s">
        <v>4</v>
      </c>
    </row>
    <row r="2271" spans="1:36">
      <c r="A2271" t="s">
        <v>5879</v>
      </c>
      <c r="B2271" t="s">
        <v>5880</v>
      </c>
      <c r="F2271" t="str">
        <f t="shared" si="35"/>
        <v>66577</v>
      </c>
      <c r="AG2271" t="s">
        <v>4</v>
      </c>
    </row>
    <row r="2272" spans="1:36">
      <c r="A2272" t="s">
        <v>5881</v>
      </c>
      <c r="B2272" t="s">
        <v>5882</v>
      </c>
      <c r="F2272" t="str">
        <f t="shared" si="35"/>
        <v>66578</v>
      </c>
      <c r="AG2272" t="s">
        <v>4</v>
      </c>
    </row>
    <row r="2273" spans="1:36">
      <c r="A2273" t="s">
        <v>5883</v>
      </c>
      <c r="B2273" t="s">
        <v>5884</v>
      </c>
      <c r="F2273" t="str">
        <f t="shared" si="35"/>
        <v>66579</v>
      </c>
      <c r="AG2273" t="s">
        <v>4</v>
      </c>
    </row>
    <row r="2274" spans="1:36">
      <c r="A2274" t="s">
        <v>5885</v>
      </c>
      <c r="B2274" t="s">
        <v>5886</v>
      </c>
      <c r="F2274" t="str">
        <f t="shared" si="35"/>
        <v>66580</v>
      </c>
      <c r="AG2274" t="s">
        <v>4</v>
      </c>
    </row>
    <row r="2275" spans="1:36">
      <c r="A2275" t="s">
        <v>5887</v>
      </c>
      <c r="B2275" t="s">
        <v>5888</v>
      </c>
      <c r="F2275" t="str">
        <f t="shared" si="35"/>
        <v>66581</v>
      </c>
      <c r="AE2275">
        <v>1101111441685</v>
      </c>
      <c r="AF2275" t="s">
        <v>370</v>
      </c>
      <c r="AG2275" t="s">
        <v>4</v>
      </c>
      <c r="AH2275" t="s">
        <v>1033</v>
      </c>
      <c r="AI2275" t="s">
        <v>6</v>
      </c>
      <c r="AJ2275" t="s">
        <v>1034</v>
      </c>
    </row>
    <row r="2276" spans="1:36">
      <c r="A2276" t="s">
        <v>5889</v>
      </c>
      <c r="B2276" t="s">
        <v>5890</v>
      </c>
      <c r="F2276" t="str">
        <f t="shared" si="35"/>
        <v>66582</v>
      </c>
      <c r="AE2276">
        <v>1101115554591</v>
      </c>
      <c r="AF2276" t="s">
        <v>582</v>
      </c>
      <c r="AG2276" t="s">
        <v>4</v>
      </c>
      <c r="AH2276" t="s">
        <v>729</v>
      </c>
      <c r="AI2276" t="s">
        <v>6</v>
      </c>
      <c r="AJ2276" t="s">
        <v>730</v>
      </c>
    </row>
    <row r="2277" spans="1:36">
      <c r="A2277" t="s">
        <v>5891</v>
      </c>
      <c r="B2277" t="s">
        <v>5892</v>
      </c>
      <c r="F2277" t="str">
        <f t="shared" si="35"/>
        <v>66584</v>
      </c>
      <c r="AG2277" t="s">
        <v>4</v>
      </c>
    </row>
    <row r="2278" spans="1:36">
      <c r="A2278" t="s">
        <v>5893</v>
      </c>
      <c r="B2278" t="s">
        <v>5894</v>
      </c>
      <c r="F2278" t="str">
        <f t="shared" si="35"/>
        <v>66590</v>
      </c>
      <c r="AG2278" t="s">
        <v>4</v>
      </c>
    </row>
    <row r="2279" spans="1:36">
      <c r="A2279" t="s">
        <v>5895</v>
      </c>
      <c r="B2279" t="s">
        <v>5896</v>
      </c>
      <c r="F2279" t="str">
        <f t="shared" si="35"/>
        <v>66591</v>
      </c>
      <c r="AE2279">
        <v>1101115604700</v>
      </c>
      <c r="AG2279" t="s">
        <v>2</v>
      </c>
      <c r="AH2279" t="s">
        <v>160</v>
      </c>
      <c r="AI2279" t="s">
        <v>101</v>
      </c>
      <c r="AJ2279" t="s">
        <v>161</v>
      </c>
    </row>
    <row r="2280" spans="1:36">
      <c r="A2280" t="s">
        <v>5897</v>
      </c>
      <c r="B2280" t="s">
        <v>5898</v>
      </c>
      <c r="F2280" t="str">
        <f t="shared" si="35"/>
        <v>66592</v>
      </c>
      <c r="AE2280">
        <v>1101114809468</v>
      </c>
      <c r="AF2280" t="s">
        <v>168</v>
      </c>
      <c r="AG2280" t="s">
        <v>4</v>
      </c>
      <c r="AH2280" t="s">
        <v>15</v>
      </c>
      <c r="AI2280" t="s">
        <v>16</v>
      </c>
      <c r="AJ2280" t="s">
        <v>17</v>
      </c>
    </row>
    <row r="2281" spans="1:36">
      <c r="A2281" t="s">
        <v>5899</v>
      </c>
      <c r="B2281" t="s">
        <v>5900</v>
      </c>
      <c r="F2281" t="str">
        <f t="shared" si="35"/>
        <v>66593</v>
      </c>
      <c r="AG2281" t="s">
        <v>4</v>
      </c>
    </row>
    <row r="2282" spans="1:36">
      <c r="A2282" t="s">
        <v>5901</v>
      </c>
      <c r="B2282" t="s">
        <v>5902</v>
      </c>
      <c r="F2282" t="str">
        <f t="shared" si="35"/>
        <v>66594</v>
      </c>
      <c r="AG2282" t="s">
        <v>4</v>
      </c>
    </row>
    <row r="2283" spans="1:36">
      <c r="A2283" t="s">
        <v>5903</v>
      </c>
      <c r="B2283" t="s">
        <v>5904</v>
      </c>
      <c r="F2283" t="str">
        <f t="shared" si="35"/>
        <v>66604</v>
      </c>
      <c r="AG2283" t="s">
        <v>4</v>
      </c>
    </row>
    <row r="2284" spans="1:36">
      <c r="A2284" t="s">
        <v>5905</v>
      </c>
      <c r="B2284" t="s">
        <v>5906</v>
      </c>
      <c r="F2284" t="str">
        <f t="shared" si="35"/>
        <v>66607</v>
      </c>
      <c r="AG2284" t="s">
        <v>4</v>
      </c>
    </row>
    <row r="2285" spans="1:36">
      <c r="A2285" t="s">
        <v>5907</v>
      </c>
      <c r="B2285" t="s">
        <v>5908</v>
      </c>
      <c r="F2285" t="str">
        <f t="shared" si="35"/>
        <v>66626</v>
      </c>
      <c r="AG2285" t="s">
        <v>4</v>
      </c>
    </row>
    <row r="2286" spans="1:36">
      <c r="A2286" t="s">
        <v>5909</v>
      </c>
      <c r="B2286" t="s">
        <v>5910</v>
      </c>
      <c r="F2286" t="str">
        <f t="shared" si="35"/>
        <v>66627</v>
      </c>
      <c r="AE2286">
        <v>1101114629501</v>
      </c>
      <c r="AF2286" t="s">
        <v>74</v>
      </c>
      <c r="AG2286" t="s">
        <v>4</v>
      </c>
      <c r="AH2286" t="s">
        <v>874</v>
      </c>
      <c r="AI2286" t="s">
        <v>278</v>
      </c>
      <c r="AJ2286" t="s">
        <v>875</v>
      </c>
    </row>
    <row r="2287" spans="1:36">
      <c r="A2287" t="s">
        <v>5911</v>
      </c>
      <c r="B2287" t="s">
        <v>5912</v>
      </c>
      <c r="F2287" t="str">
        <f t="shared" si="35"/>
        <v>66628</v>
      </c>
      <c r="AG2287" t="s">
        <v>4</v>
      </c>
    </row>
    <row r="2288" spans="1:36">
      <c r="A2288" t="s">
        <v>5913</v>
      </c>
      <c r="B2288" t="s">
        <v>5914</v>
      </c>
      <c r="F2288" t="str">
        <f t="shared" si="35"/>
        <v>66629</v>
      </c>
      <c r="AG2288" t="s">
        <v>4</v>
      </c>
    </row>
    <row r="2289" spans="1:36">
      <c r="A2289" t="s">
        <v>5915</v>
      </c>
      <c r="B2289" t="s">
        <v>5916</v>
      </c>
      <c r="F2289" t="str">
        <f t="shared" si="35"/>
        <v>66630</v>
      </c>
      <c r="AG2289" t="s">
        <v>4</v>
      </c>
    </row>
    <row r="2290" spans="1:36">
      <c r="A2290" t="s">
        <v>5917</v>
      </c>
      <c r="B2290" t="s">
        <v>5918</v>
      </c>
      <c r="F2290" t="str">
        <f t="shared" si="35"/>
        <v>66631</v>
      </c>
      <c r="AG2290" t="s">
        <v>4</v>
      </c>
    </row>
    <row r="2291" spans="1:36">
      <c r="A2291" t="s">
        <v>5919</v>
      </c>
      <c r="B2291" t="s">
        <v>5920</v>
      </c>
      <c r="F2291" t="str">
        <f t="shared" si="35"/>
        <v>66632</v>
      </c>
      <c r="AE2291">
        <v>2844110075258</v>
      </c>
      <c r="AF2291" t="s">
        <v>30</v>
      </c>
      <c r="AG2291" t="s">
        <v>4</v>
      </c>
      <c r="AH2291" t="s">
        <v>174</v>
      </c>
      <c r="AI2291" t="s">
        <v>16</v>
      </c>
      <c r="AJ2291" t="s">
        <v>175</v>
      </c>
    </row>
    <row r="2292" spans="1:36">
      <c r="A2292" t="s">
        <v>5921</v>
      </c>
      <c r="B2292" t="s">
        <v>5922</v>
      </c>
      <c r="F2292" t="str">
        <f t="shared" si="35"/>
        <v>66633</v>
      </c>
      <c r="AG2292" t="s">
        <v>4</v>
      </c>
    </row>
    <row r="2293" spans="1:36">
      <c r="A2293" t="s">
        <v>5923</v>
      </c>
      <c r="B2293" t="s">
        <v>5924</v>
      </c>
      <c r="F2293" t="str">
        <f t="shared" si="35"/>
        <v>66634</v>
      </c>
      <c r="AF2293" t="s">
        <v>511</v>
      </c>
      <c r="AG2293" t="s">
        <v>4</v>
      </c>
    </row>
    <row r="2294" spans="1:36">
      <c r="A2294" t="s">
        <v>5925</v>
      </c>
      <c r="B2294" t="s">
        <v>5926</v>
      </c>
      <c r="F2294" t="str">
        <f t="shared" si="35"/>
        <v>66635</v>
      </c>
      <c r="AG2294" t="s">
        <v>4</v>
      </c>
    </row>
    <row r="2295" spans="1:36">
      <c r="A2295" t="s">
        <v>5927</v>
      </c>
      <c r="B2295" t="s">
        <v>5928</v>
      </c>
      <c r="F2295" t="str">
        <f t="shared" si="35"/>
        <v>66636</v>
      </c>
      <c r="AG2295" t="s">
        <v>4</v>
      </c>
    </row>
    <row r="2296" spans="1:36">
      <c r="A2296" t="s">
        <v>5929</v>
      </c>
      <c r="B2296" t="s">
        <v>5930</v>
      </c>
      <c r="F2296" t="str">
        <f t="shared" si="35"/>
        <v>66639</v>
      </c>
      <c r="AG2296" t="s">
        <v>4</v>
      </c>
    </row>
    <row r="2297" spans="1:36">
      <c r="A2297" t="s">
        <v>5931</v>
      </c>
      <c r="B2297" t="s">
        <v>5932</v>
      </c>
      <c r="F2297" t="str">
        <f t="shared" si="35"/>
        <v>66645</v>
      </c>
      <c r="AG2297" t="s">
        <v>4</v>
      </c>
    </row>
    <row r="2298" spans="1:36">
      <c r="A2298" t="s">
        <v>5933</v>
      </c>
      <c r="B2298" t="s">
        <v>5934</v>
      </c>
      <c r="F2298" t="str">
        <f t="shared" si="35"/>
        <v>66648</v>
      </c>
      <c r="AG2298" t="s">
        <v>4</v>
      </c>
    </row>
    <row r="2299" spans="1:36">
      <c r="A2299" t="s">
        <v>5935</v>
      </c>
      <c r="B2299" t="s">
        <v>5936</v>
      </c>
      <c r="F2299" t="str">
        <f t="shared" si="35"/>
        <v>66655</v>
      </c>
      <c r="AG2299" t="s">
        <v>4</v>
      </c>
    </row>
    <row r="2300" spans="1:36">
      <c r="A2300" t="s">
        <v>5937</v>
      </c>
      <c r="B2300" t="s">
        <v>5938</v>
      </c>
      <c r="F2300" t="str">
        <f t="shared" si="35"/>
        <v>66657</v>
      </c>
      <c r="AG2300" t="s">
        <v>4</v>
      </c>
    </row>
    <row r="2301" spans="1:36">
      <c r="A2301" t="s">
        <v>5939</v>
      </c>
      <c r="B2301" t="s">
        <v>5940</v>
      </c>
      <c r="F2301" t="str">
        <f t="shared" si="35"/>
        <v>66658</v>
      </c>
      <c r="AG2301" t="s">
        <v>4</v>
      </c>
    </row>
    <row r="2302" spans="1:36">
      <c r="A2302" t="s">
        <v>5941</v>
      </c>
      <c r="B2302" t="s">
        <v>5942</v>
      </c>
      <c r="F2302" t="str">
        <f t="shared" si="35"/>
        <v>66659</v>
      </c>
      <c r="AG2302" t="s">
        <v>4</v>
      </c>
    </row>
    <row r="2303" spans="1:36">
      <c r="A2303" t="s">
        <v>5943</v>
      </c>
      <c r="B2303" t="s">
        <v>5944</v>
      </c>
      <c r="F2303" t="str">
        <f t="shared" si="35"/>
        <v>66660</v>
      </c>
      <c r="AE2303">
        <v>1101710029402</v>
      </c>
      <c r="AG2303" t="s">
        <v>4</v>
      </c>
    </row>
    <row r="2304" spans="1:36">
      <c r="A2304" t="s">
        <v>5945</v>
      </c>
      <c r="B2304" t="s">
        <v>5946</v>
      </c>
      <c r="F2304" t="str">
        <f t="shared" si="35"/>
        <v>66661</v>
      </c>
      <c r="AE2304">
        <v>1101710029402</v>
      </c>
      <c r="AG2304" t="s">
        <v>4</v>
      </c>
    </row>
    <row r="2305" spans="1:33">
      <c r="A2305" t="s">
        <v>5947</v>
      </c>
      <c r="B2305" t="s">
        <v>5948</v>
      </c>
      <c r="F2305" t="str">
        <f t="shared" si="35"/>
        <v>66662</v>
      </c>
      <c r="AE2305">
        <v>1101710029402</v>
      </c>
      <c r="AG2305" t="s">
        <v>4</v>
      </c>
    </row>
    <row r="2306" spans="1:33">
      <c r="A2306" t="s">
        <v>5949</v>
      </c>
      <c r="B2306" t="s">
        <v>5950</v>
      </c>
      <c r="F2306" t="str">
        <f t="shared" si="35"/>
        <v>66663</v>
      </c>
      <c r="AE2306">
        <v>1101710029402</v>
      </c>
      <c r="AG2306" t="s">
        <v>4</v>
      </c>
    </row>
    <row r="2307" spans="1:33">
      <c r="A2307" t="s">
        <v>5951</v>
      </c>
      <c r="B2307" t="s">
        <v>5952</v>
      </c>
      <c r="F2307" t="str">
        <f t="shared" si="35"/>
        <v>66664</v>
      </c>
      <c r="AE2307">
        <v>1101710029402</v>
      </c>
      <c r="AG2307" t="s">
        <v>4</v>
      </c>
    </row>
    <row r="2308" spans="1:33">
      <c r="A2308" t="s">
        <v>5953</v>
      </c>
      <c r="B2308" t="s">
        <v>5954</v>
      </c>
      <c r="F2308" t="str">
        <f t="shared" si="35"/>
        <v>66676</v>
      </c>
      <c r="AE2308">
        <v>1101710029402</v>
      </c>
      <c r="AG2308" t="s">
        <v>4</v>
      </c>
    </row>
    <row r="2309" spans="1:33">
      <c r="A2309" t="s">
        <v>5955</v>
      </c>
      <c r="B2309" t="s">
        <v>5956</v>
      </c>
      <c r="F2309" t="str">
        <f t="shared" si="35"/>
        <v>66677</v>
      </c>
      <c r="AE2309">
        <v>1101710029402</v>
      </c>
      <c r="AG2309" t="s">
        <v>4</v>
      </c>
    </row>
    <row r="2310" spans="1:33">
      <c r="A2310" t="s">
        <v>5957</v>
      </c>
      <c r="B2310" t="s">
        <v>5958</v>
      </c>
      <c r="F2310" t="str">
        <f t="shared" si="35"/>
        <v>66682</v>
      </c>
      <c r="AE2310">
        <v>1101710029402</v>
      </c>
      <c r="AG2310" t="s">
        <v>4</v>
      </c>
    </row>
    <row r="2311" spans="1:33">
      <c r="A2311" t="s">
        <v>5959</v>
      </c>
      <c r="B2311" t="s">
        <v>5960</v>
      </c>
      <c r="F2311" t="str">
        <f t="shared" si="35"/>
        <v>66691</v>
      </c>
      <c r="AG2311" t="s">
        <v>4</v>
      </c>
    </row>
    <row r="2312" spans="1:33">
      <c r="A2312" t="s">
        <v>5961</v>
      </c>
      <c r="B2312" t="s">
        <v>5962</v>
      </c>
      <c r="F2312" t="str">
        <f t="shared" si="35"/>
        <v>66695</v>
      </c>
      <c r="AG2312" t="s">
        <v>4</v>
      </c>
    </row>
    <row r="2313" spans="1:33">
      <c r="A2313" t="s">
        <v>5963</v>
      </c>
      <c r="B2313" t="s">
        <v>5964</v>
      </c>
      <c r="F2313" t="str">
        <f t="shared" si="35"/>
        <v>66709</v>
      </c>
      <c r="AE2313">
        <v>1101710029402</v>
      </c>
      <c r="AG2313" t="s">
        <v>4</v>
      </c>
    </row>
    <row r="2314" spans="1:33">
      <c r="A2314" t="s">
        <v>5965</v>
      </c>
      <c r="B2314" t="s">
        <v>5966</v>
      </c>
      <c r="F2314" t="str">
        <f t="shared" ref="F2314:F2377" si="36">CHOOSE($C$1, A2314, B2314)</f>
        <v>66712</v>
      </c>
      <c r="AE2314">
        <v>1101710029402</v>
      </c>
      <c r="AG2314" t="s">
        <v>4</v>
      </c>
    </row>
    <row r="2315" spans="1:33">
      <c r="A2315" t="s">
        <v>5967</v>
      </c>
      <c r="B2315" t="s">
        <v>5968</v>
      </c>
      <c r="F2315" t="str">
        <f t="shared" si="36"/>
        <v>66713</v>
      </c>
      <c r="AE2315">
        <v>1101710029402</v>
      </c>
      <c r="AG2315" t="s">
        <v>4</v>
      </c>
    </row>
    <row r="2316" spans="1:33">
      <c r="A2316" t="s">
        <v>5969</v>
      </c>
      <c r="B2316" t="s">
        <v>5970</v>
      </c>
      <c r="F2316" t="str">
        <f t="shared" si="36"/>
        <v>66714</v>
      </c>
      <c r="AE2316">
        <v>1101710029402</v>
      </c>
      <c r="AG2316" t="s">
        <v>4</v>
      </c>
    </row>
    <row r="2317" spans="1:33">
      <c r="A2317" t="s">
        <v>5971</v>
      </c>
      <c r="B2317" t="s">
        <v>5972</v>
      </c>
      <c r="F2317" t="str">
        <f t="shared" si="36"/>
        <v>66715</v>
      </c>
      <c r="AE2317">
        <v>1101710029402</v>
      </c>
      <c r="AG2317" t="s">
        <v>4</v>
      </c>
    </row>
    <row r="2318" spans="1:33">
      <c r="A2318" t="s">
        <v>5973</v>
      </c>
      <c r="B2318" t="s">
        <v>5974</v>
      </c>
      <c r="F2318" t="str">
        <f t="shared" si="36"/>
        <v>66718</v>
      </c>
      <c r="AE2318">
        <v>1101710029402</v>
      </c>
      <c r="AG2318" t="s">
        <v>4</v>
      </c>
    </row>
    <row r="2319" spans="1:33">
      <c r="A2319" t="s">
        <v>5975</v>
      </c>
      <c r="B2319" t="s">
        <v>5976</v>
      </c>
      <c r="F2319" t="str">
        <f t="shared" si="36"/>
        <v>66720</v>
      </c>
      <c r="AE2319">
        <v>1101710029402</v>
      </c>
      <c r="AG2319" t="s">
        <v>4</v>
      </c>
    </row>
    <row r="2320" spans="1:33">
      <c r="A2320" t="s">
        <v>5977</v>
      </c>
      <c r="B2320" t="s">
        <v>5978</v>
      </c>
      <c r="F2320" t="str">
        <f t="shared" si="36"/>
        <v>66721</v>
      </c>
      <c r="AE2320">
        <v>1101710029402</v>
      </c>
      <c r="AG2320" t="s">
        <v>4</v>
      </c>
    </row>
    <row r="2321" spans="1:36">
      <c r="A2321" t="s">
        <v>5979</v>
      </c>
      <c r="B2321" t="s">
        <v>5980</v>
      </c>
      <c r="F2321" t="str">
        <f t="shared" si="36"/>
        <v>66724</v>
      </c>
      <c r="AG2321" t="s">
        <v>4</v>
      </c>
    </row>
    <row r="2322" spans="1:36">
      <c r="A2322" t="s">
        <v>5981</v>
      </c>
      <c r="B2322" t="s">
        <v>5982</v>
      </c>
      <c r="F2322" t="str">
        <f t="shared" si="36"/>
        <v>66726</v>
      </c>
      <c r="AE2322">
        <v>1101710029402</v>
      </c>
      <c r="AG2322" t="s">
        <v>4</v>
      </c>
    </row>
    <row r="2323" spans="1:36">
      <c r="A2323" t="s">
        <v>5983</v>
      </c>
      <c r="B2323" t="s">
        <v>5984</v>
      </c>
      <c r="F2323" t="str">
        <f t="shared" si="36"/>
        <v>66729</v>
      </c>
      <c r="AE2323">
        <v>1101710029402</v>
      </c>
      <c r="AG2323" t="s">
        <v>4</v>
      </c>
    </row>
    <row r="2324" spans="1:36">
      <c r="A2324" t="s">
        <v>5985</v>
      </c>
      <c r="B2324" t="s">
        <v>5986</v>
      </c>
      <c r="F2324" t="str">
        <f t="shared" si="36"/>
        <v>66730</v>
      </c>
      <c r="AE2324">
        <v>1101710029402</v>
      </c>
      <c r="AG2324" t="s">
        <v>4</v>
      </c>
    </row>
    <row r="2325" spans="1:36">
      <c r="A2325" t="s">
        <v>5987</v>
      </c>
      <c r="B2325" t="s">
        <v>5988</v>
      </c>
      <c r="F2325" t="str">
        <f t="shared" si="36"/>
        <v>66747</v>
      </c>
      <c r="AE2325">
        <v>1101710029402</v>
      </c>
      <c r="AG2325" t="s">
        <v>4</v>
      </c>
    </row>
    <row r="2326" spans="1:36">
      <c r="A2326" t="s">
        <v>5989</v>
      </c>
      <c r="B2326" t="s">
        <v>238</v>
      </c>
      <c r="F2326" t="str">
        <f t="shared" si="36"/>
        <v>66748</v>
      </c>
      <c r="AE2326">
        <v>1101710029402</v>
      </c>
      <c r="AG2326" t="s">
        <v>4</v>
      </c>
    </row>
    <row r="2327" spans="1:36">
      <c r="A2327" t="s">
        <v>5990</v>
      </c>
      <c r="B2327" t="s">
        <v>5991</v>
      </c>
      <c r="F2327" t="str">
        <f t="shared" si="36"/>
        <v>66749</v>
      </c>
      <c r="AE2327">
        <v>1101710029402</v>
      </c>
      <c r="AG2327" t="s">
        <v>4</v>
      </c>
    </row>
    <row r="2328" spans="1:36">
      <c r="A2328" t="s">
        <v>5992</v>
      </c>
      <c r="B2328" t="s">
        <v>5993</v>
      </c>
      <c r="F2328" t="str">
        <f t="shared" si="36"/>
        <v>66750</v>
      </c>
      <c r="AE2328">
        <v>1101710029402</v>
      </c>
      <c r="AG2328" t="s">
        <v>4</v>
      </c>
    </row>
    <row r="2329" spans="1:36">
      <c r="A2329" t="s">
        <v>5994</v>
      </c>
      <c r="B2329" t="s">
        <v>5995</v>
      </c>
      <c r="F2329" t="str">
        <f t="shared" si="36"/>
        <v>66755</v>
      </c>
      <c r="AE2329">
        <v>1101710029402</v>
      </c>
      <c r="AG2329" t="s">
        <v>4</v>
      </c>
    </row>
    <row r="2330" spans="1:36">
      <c r="A2330" t="s">
        <v>5996</v>
      </c>
      <c r="B2330" t="s">
        <v>5997</v>
      </c>
      <c r="F2330" t="str">
        <f t="shared" si="36"/>
        <v>66758</v>
      </c>
      <c r="AE2330">
        <v>1101112402462</v>
      </c>
      <c r="AG2330" t="s">
        <v>4</v>
      </c>
      <c r="AH2330" t="s">
        <v>1423</v>
      </c>
      <c r="AI2330" t="s">
        <v>580</v>
      </c>
      <c r="AJ2330" t="s">
        <v>1424</v>
      </c>
    </row>
    <row r="2331" spans="1:36">
      <c r="A2331" t="s">
        <v>5998</v>
      </c>
      <c r="B2331" t="s">
        <v>5999</v>
      </c>
      <c r="F2331" t="str">
        <f t="shared" si="36"/>
        <v>66759</v>
      </c>
      <c r="AE2331">
        <v>1101710029402</v>
      </c>
      <c r="AG2331" t="s">
        <v>4</v>
      </c>
    </row>
    <row r="2332" spans="1:36">
      <c r="A2332" t="s">
        <v>6000</v>
      </c>
      <c r="B2332" t="s">
        <v>6001</v>
      </c>
      <c r="F2332" t="str">
        <f t="shared" si="36"/>
        <v>66762</v>
      </c>
      <c r="AE2332">
        <v>1101710029402</v>
      </c>
      <c r="AG2332" t="s">
        <v>4</v>
      </c>
    </row>
    <row r="2333" spans="1:36">
      <c r="A2333" t="s">
        <v>6002</v>
      </c>
      <c r="B2333" t="s">
        <v>6003</v>
      </c>
      <c r="F2333" t="str">
        <f t="shared" si="36"/>
        <v>66768</v>
      </c>
      <c r="AE2333">
        <v>1101710029402</v>
      </c>
      <c r="AG2333" t="s">
        <v>4</v>
      </c>
    </row>
    <row r="2334" spans="1:36">
      <c r="A2334" t="s">
        <v>6004</v>
      </c>
      <c r="B2334" t="s">
        <v>6005</v>
      </c>
      <c r="F2334" t="str">
        <f t="shared" si="36"/>
        <v>66769</v>
      </c>
      <c r="AE2334">
        <v>1101710029402</v>
      </c>
      <c r="AG2334" t="s">
        <v>4</v>
      </c>
    </row>
    <row r="2335" spans="1:36">
      <c r="A2335" t="s">
        <v>6006</v>
      </c>
      <c r="B2335" t="s">
        <v>6007</v>
      </c>
      <c r="F2335" t="str">
        <f t="shared" si="36"/>
        <v>66770</v>
      </c>
      <c r="AE2335">
        <v>1101710029402</v>
      </c>
      <c r="AG2335" t="s">
        <v>4</v>
      </c>
    </row>
    <row r="2336" spans="1:36">
      <c r="A2336" t="s">
        <v>6008</v>
      </c>
      <c r="B2336" t="s">
        <v>6009</v>
      </c>
      <c r="F2336" t="str">
        <f t="shared" si="36"/>
        <v>66771</v>
      </c>
      <c r="AE2336">
        <v>1101710029402</v>
      </c>
      <c r="AG2336" t="s">
        <v>4</v>
      </c>
    </row>
    <row r="2337" spans="1:33">
      <c r="A2337" t="s">
        <v>6010</v>
      </c>
      <c r="B2337" t="s">
        <v>6011</v>
      </c>
      <c r="F2337" t="str">
        <f t="shared" si="36"/>
        <v>66780</v>
      </c>
      <c r="AE2337">
        <v>1101710029402</v>
      </c>
      <c r="AG2337" t="s">
        <v>4</v>
      </c>
    </row>
    <row r="2338" spans="1:33">
      <c r="A2338" t="s">
        <v>6012</v>
      </c>
      <c r="B2338" t="s">
        <v>6013</v>
      </c>
      <c r="F2338" t="str">
        <f t="shared" si="36"/>
        <v>66798</v>
      </c>
      <c r="AE2338">
        <v>1101710029402</v>
      </c>
      <c r="AG2338" t="s">
        <v>4</v>
      </c>
    </row>
    <row r="2339" spans="1:33">
      <c r="A2339" t="s">
        <v>6014</v>
      </c>
      <c r="B2339" t="s">
        <v>6015</v>
      </c>
      <c r="F2339" t="str">
        <f t="shared" si="36"/>
        <v>66799</v>
      </c>
      <c r="AE2339">
        <v>1101710029402</v>
      </c>
      <c r="AG2339" t="s">
        <v>4</v>
      </c>
    </row>
    <row r="2340" spans="1:33">
      <c r="A2340" t="s">
        <v>6016</v>
      </c>
      <c r="B2340" t="s">
        <v>6017</v>
      </c>
      <c r="F2340" t="str">
        <f t="shared" si="36"/>
        <v>66800</v>
      </c>
      <c r="AE2340">
        <v>1101710029402</v>
      </c>
      <c r="AG2340" t="s">
        <v>4</v>
      </c>
    </row>
    <row r="2341" spans="1:33">
      <c r="A2341" t="s">
        <v>6018</v>
      </c>
      <c r="B2341" t="s">
        <v>6019</v>
      </c>
      <c r="F2341" t="str">
        <f t="shared" si="36"/>
        <v>66801</v>
      </c>
      <c r="AE2341">
        <v>1101710029402</v>
      </c>
      <c r="AG2341" t="s">
        <v>4</v>
      </c>
    </row>
    <row r="2342" spans="1:33">
      <c r="A2342" t="s">
        <v>6020</v>
      </c>
      <c r="B2342" t="s">
        <v>6021</v>
      </c>
      <c r="F2342" t="str">
        <f t="shared" si="36"/>
        <v>66802</v>
      </c>
      <c r="AE2342">
        <v>1101710029402</v>
      </c>
      <c r="AG2342" t="s">
        <v>4</v>
      </c>
    </row>
    <row r="2343" spans="1:33">
      <c r="A2343" t="s">
        <v>6022</v>
      </c>
      <c r="B2343" t="s">
        <v>6023</v>
      </c>
      <c r="F2343" t="str">
        <f t="shared" si="36"/>
        <v>66803</v>
      </c>
      <c r="AE2343">
        <v>1101710029402</v>
      </c>
      <c r="AG2343" t="s">
        <v>4</v>
      </c>
    </row>
    <row r="2344" spans="1:33">
      <c r="A2344" t="s">
        <v>6024</v>
      </c>
      <c r="B2344" t="s">
        <v>6025</v>
      </c>
      <c r="F2344" t="str">
        <f t="shared" si="36"/>
        <v>66804</v>
      </c>
      <c r="AE2344">
        <v>1101710029402</v>
      </c>
      <c r="AG2344" t="s">
        <v>4</v>
      </c>
    </row>
    <row r="2345" spans="1:33">
      <c r="A2345" t="s">
        <v>6026</v>
      </c>
      <c r="B2345" t="s">
        <v>6027</v>
      </c>
      <c r="F2345" t="str">
        <f t="shared" si="36"/>
        <v>66805</v>
      </c>
      <c r="AE2345">
        <v>1101710029402</v>
      </c>
      <c r="AG2345" t="s">
        <v>4</v>
      </c>
    </row>
    <row r="2346" spans="1:33">
      <c r="A2346" t="s">
        <v>6028</v>
      </c>
      <c r="B2346" t="s">
        <v>6029</v>
      </c>
      <c r="F2346" t="str">
        <f t="shared" si="36"/>
        <v>66806</v>
      </c>
      <c r="AE2346">
        <v>1101710029402</v>
      </c>
      <c r="AG2346" t="s">
        <v>4</v>
      </c>
    </row>
    <row r="2347" spans="1:33">
      <c r="A2347" t="s">
        <v>6030</v>
      </c>
      <c r="B2347" t="s">
        <v>6031</v>
      </c>
      <c r="F2347" t="str">
        <f t="shared" si="36"/>
        <v>66807</v>
      </c>
      <c r="AG2347" t="s">
        <v>4</v>
      </c>
    </row>
    <row r="2348" spans="1:33">
      <c r="A2348" t="s">
        <v>6032</v>
      </c>
      <c r="B2348" t="s">
        <v>6033</v>
      </c>
      <c r="F2348" t="str">
        <f t="shared" si="36"/>
        <v>66808</v>
      </c>
      <c r="AG2348" t="s">
        <v>4</v>
      </c>
    </row>
    <row r="2349" spans="1:33">
      <c r="A2349" t="s">
        <v>6034</v>
      </c>
      <c r="B2349" t="s">
        <v>6035</v>
      </c>
      <c r="F2349" t="str">
        <f t="shared" si="36"/>
        <v>66809</v>
      </c>
      <c r="AG2349" t="s">
        <v>4</v>
      </c>
    </row>
    <row r="2350" spans="1:33">
      <c r="A2350" t="s">
        <v>6036</v>
      </c>
      <c r="B2350" t="s">
        <v>6037</v>
      </c>
      <c r="F2350" t="str">
        <f t="shared" si="36"/>
        <v>66810</v>
      </c>
      <c r="AE2350">
        <v>1101710029402</v>
      </c>
      <c r="AG2350" t="s">
        <v>4</v>
      </c>
    </row>
    <row r="2351" spans="1:33">
      <c r="A2351" t="s">
        <v>6038</v>
      </c>
      <c r="B2351" t="s">
        <v>6039</v>
      </c>
      <c r="F2351" t="str">
        <f t="shared" si="36"/>
        <v>66811</v>
      </c>
      <c r="AE2351">
        <v>1101710029402</v>
      </c>
      <c r="AG2351" t="s">
        <v>4</v>
      </c>
    </row>
    <row r="2352" spans="1:33">
      <c r="A2352" t="s">
        <v>6040</v>
      </c>
      <c r="B2352" t="s">
        <v>6041</v>
      </c>
      <c r="F2352" t="str">
        <f t="shared" si="36"/>
        <v>66814</v>
      </c>
      <c r="AE2352">
        <v>1101710029402</v>
      </c>
      <c r="AG2352" t="s">
        <v>4</v>
      </c>
    </row>
    <row r="2353" spans="1:33">
      <c r="A2353" t="s">
        <v>6042</v>
      </c>
      <c r="B2353" t="s">
        <v>6043</v>
      </c>
      <c r="F2353" t="str">
        <f t="shared" si="36"/>
        <v>66815</v>
      </c>
      <c r="AE2353">
        <v>1101710029402</v>
      </c>
      <c r="AG2353" t="s">
        <v>4</v>
      </c>
    </row>
    <row r="2354" spans="1:33">
      <c r="A2354" t="s">
        <v>6044</v>
      </c>
      <c r="B2354" t="s">
        <v>6045</v>
      </c>
      <c r="F2354" t="str">
        <f t="shared" si="36"/>
        <v>66820</v>
      </c>
      <c r="AE2354">
        <v>1101710029402</v>
      </c>
      <c r="AG2354" t="s">
        <v>4</v>
      </c>
    </row>
    <row r="2355" spans="1:33">
      <c r="A2355" t="s">
        <v>6046</v>
      </c>
      <c r="B2355" t="s">
        <v>6047</v>
      </c>
      <c r="F2355" t="str">
        <f t="shared" si="36"/>
        <v>66821</v>
      </c>
      <c r="AE2355">
        <v>1101710029402</v>
      </c>
      <c r="AG2355" t="s">
        <v>4</v>
      </c>
    </row>
    <row r="2356" spans="1:33">
      <c r="A2356" t="s">
        <v>6048</v>
      </c>
      <c r="B2356" t="s">
        <v>6049</v>
      </c>
      <c r="F2356" t="str">
        <f t="shared" si="36"/>
        <v>66825</v>
      </c>
      <c r="AE2356">
        <v>1101710029402</v>
      </c>
      <c r="AG2356" t="s">
        <v>4</v>
      </c>
    </row>
    <row r="2357" spans="1:33">
      <c r="A2357" t="s">
        <v>6050</v>
      </c>
      <c r="B2357" t="s">
        <v>6051</v>
      </c>
      <c r="F2357" t="str">
        <f t="shared" si="36"/>
        <v>66826</v>
      </c>
      <c r="AE2357">
        <v>1101710029402</v>
      </c>
      <c r="AG2357" t="s">
        <v>4</v>
      </c>
    </row>
    <row r="2358" spans="1:33">
      <c r="A2358" t="s">
        <v>6052</v>
      </c>
      <c r="B2358" t="s">
        <v>6053</v>
      </c>
      <c r="F2358" t="str">
        <f t="shared" si="36"/>
        <v>66828</v>
      </c>
      <c r="AG2358" t="s">
        <v>4</v>
      </c>
    </row>
    <row r="2359" spans="1:33">
      <c r="A2359" t="s">
        <v>6054</v>
      </c>
      <c r="B2359" t="s">
        <v>6055</v>
      </c>
      <c r="F2359" t="str">
        <f t="shared" si="36"/>
        <v>66829</v>
      </c>
      <c r="AE2359">
        <v>1101710029402</v>
      </c>
      <c r="AG2359" t="s">
        <v>4</v>
      </c>
    </row>
    <row r="2360" spans="1:33">
      <c r="A2360" t="s">
        <v>6056</v>
      </c>
      <c r="B2360" t="s">
        <v>6057</v>
      </c>
      <c r="F2360" t="str">
        <f t="shared" si="36"/>
        <v>66840</v>
      </c>
      <c r="AE2360">
        <v>1101710029402</v>
      </c>
      <c r="AG2360" t="s">
        <v>4</v>
      </c>
    </row>
    <row r="2361" spans="1:33">
      <c r="A2361" t="s">
        <v>6058</v>
      </c>
      <c r="B2361" t="s">
        <v>6059</v>
      </c>
      <c r="F2361" t="str">
        <f t="shared" si="36"/>
        <v>66841</v>
      </c>
      <c r="AE2361">
        <v>1101710029402</v>
      </c>
      <c r="AG2361" t="s">
        <v>4</v>
      </c>
    </row>
    <row r="2362" spans="1:33">
      <c r="A2362" t="s">
        <v>6060</v>
      </c>
      <c r="B2362" t="s">
        <v>6061</v>
      </c>
      <c r="F2362" t="str">
        <f t="shared" si="36"/>
        <v>66842</v>
      </c>
      <c r="AE2362">
        <v>1101710029402</v>
      </c>
      <c r="AG2362" t="s">
        <v>4</v>
      </c>
    </row>
    <row r="2363" spans="1:33">
      <c r="A2363" t="s">
        <v>6062</v>
      </c>
      <c r="B2363" t="s">
        <v>6063</v>
      </c>
      <c r="F2363" t="str">
        <f t="shared" si="36"/>
        <v>66843</v>
      </c>
      <c r="AE2363">
        <v>1101710029402</v>
      </c>
      <c r="AG2363" t="s">
        <v>4</v>
      </c>
    </row>
    <row r="2364" spans="1:33">
      <c r="A2364" t="s">
        <v>6064</v>
      </c>
      <c r="B2364" t="s">
        <v>6065</v>
      </c>
      <c r="F2364" t="str">
        <f t="shared" si="36"/>
        <v>66844</v>
      </c>
      <c r="AE2364">
        <v>1101710029402</v>
      </c>
      <c r="AG2364" t="s">
        <v>4</v>
      </c>
    </row>
    <row r="2365" spans="1:33">
      <c r="A2365" t="s">
        <v>6066</v>
      </c>
      <c r="B2365" t="s">
        <v>6067</v>
      </c>
      <c r="F2365" t="str">
        <f t="shared" si="36"/>
        <v>66845</v>
      </c>
      <c r="AE2365">
        <v>1101710029402</v>
      </c>
      <c r="AG2365" t="s">
        <v>4</v>
      </c>
    </row>
    <row r="2366" spans="1:33">
      <c r="A2366" t="s">
        <v>6068</v>
      </c>
      <c r="B2366" t="s">
        <v>6069</v>
      </c>
      <c r="F2366" t="str">
        <f t="shared" si="36"/>
        <v>66846</v>
      </c>
      <c r="AE2366">
        <v>1101710029402</v>
      </c>
      <c r="AG2366" t="s">
        <v>4</v>
      </c>
    </row>
    <row r="2367" spans="1:33">
      <c r="A2367" t="s">
        <v>6070</v>
      </c>
      <c r="B2367" t="s">
        <v>6071</v>
      </c>
      <c r="F2367" t="str">
        <f t="shared" si="36"/>
        <v>66847</v>
      </c>
      <c r="AG2367" t="s">
        <v>4</v>
      </c>
    </row>
    <row r="2368" spans="1:33">
      <c r="A2368" t="s">
        <v>6072</v>
      </c>
      <c r="B2368" t="s">
        <v>6073</v>
      </c>
      <c r="F2368" t="str">
        <f t="shared" si="36"/>
        <v>66848</v>
      </c>
      <c r="AG2368" t="s">
        <v>4</v>
      </c>
    </row>
    <row r="2369" spans="1:33">
      <c r="A2369" t="s">
        <v>6074</v>
      </c>
      <c r="B2369" t="s">
        <v>6075</v>
      </c>
      <c r="F2369" t="str">
        <f t="shared" si="36"/>
        <v>66867</v>
      </c>
      <c r="AG2369" t="s">
        <v>4</v>
      </c>
    </row>
    <row r="2370" spans="1:33">
      <c r="A2370" t="s">
        <v>6076</v>
      </c>
      <c r="B2370" t="s">
        <v>6077</v>
      </c>
      <c r="F2370" t="str">
        <f t="shared" si="36"/>
        <v>66868</v>
      </c>
      <c r="AE2370">
        <v>1101710029402</v>
      </c>
      <c r="AG2370" t="s">
        <v>4</v>
      </c>
    </row>
    <row r="2371" spans="1:33">
      <c r="A2371" t="s">
        <v>6078</v>
      </c>
      <c r="B2371" t="s">
        <v>6079</v>
      </c>
      <c r="F2371" t="str">
        <f t="shared" si="36"/>
        <v>66869</v>
      </c>
      <c r="AE2371">
        <v>1101710029402</v>
      </c>
      <c r="AG2371" t="s">
        <v>4</v>
      </c>
    </row>
    <row r="2372" spans="1:33">
      <c r="A2372" t="s">
        <v>6080</v>
      </c>
      <c r="B2372" t="s">
        <v>6081</v>
      </c>
      <c r="F2372" t="str">
        <f t="shared" si="36"/>
        <v>66870</v>
      </c>
      <c r="AE2372">
        <v>1101710029402</v>
      </c>
      <c r="AG2372" t="s">
        <v>4</v>
      </c>
    </row>
    <row r="2373" spans="1:33">
      <c r="A2373" t="s">
        <v>6082</v>
      </c>
      <c r="B2373" t="s">
        <v>6083</v>
      </c>
      <c r="F2373" t="str">
        <f t="shared" si="36"/>
        <v>66871</v>
      </c>
      <c r="AE2373">
        <v>1101710029402</v>
      </c>
      <c r="AG2373" t="s">
        <v>4</v>
      </c>
    </row>
    <row r="2374" spans="1:33">
      <c r="A2374" t="s">
        <v>6084</v>
      </c>
      <c r="B2374" t="s">
        <v>6085</v>
      </c>
      <c r="F2374" t="str">
        <f t="shared" si="36"/>
        <v>66872</v>
      </c>
      <c r="AE2374">
        <v>1101710029402</v>
      </c>
      <c r="AG2374" t="s">
        <v>4</v>
      </c>
    </row>
    <row r="2375" spans="1:33">
      <c r="A2375" t="s">
        <v>6086</v>
      </c>
      <c r="B2375" t="s">
        <v>6087</v>
      </c>
      <c r="F2375" t="str">
        <f t="shared" si="36"/>
        <v>66873</v>
      </c>
      <c r="AE2375">
        <v>1101710029402</v>
      </c>
      <c r="AG2375" t="s">
        <v>4</v>
      </c>
    </row>
    <row r="2376" spans="1:33">
      <c r="A2376" t="s">
        <v>6088</v>
      </c>
      <c r="B2376" t="s">
        <v>6089</v>
      </c>
      <c r="F2376" t="str">
        <f t="shared" si="36"/>
        <v>66874</v>
      </c>
      <c r="AE2376">
        <v>1101710029402</v>
      </c>
      <c r="AG2376" t="s">
        <v>4</v>
      </c>
    </row>
    <row r="2377" spans="1:33">
      <c r="A2377" t="s">
        <v>6090</v>
      </c>
      <c r="B2377" t="s">
        <v>6091</v>
      </c>
      <c r="F2377" t="str">
        <f t="shared" si="36"/>
        <v>66875</v>
      </c>
      <c r="AE2377">
        <v>1101710029402</v>
      </c>
      <c r="AG2377" t="s">
        <v>4</v>
      </c>
    </row>
    <row r="2378" spans="1:33">
      <c r="A2378" t="s">
        <v>6092</v>
      </c>
      <c r="B2378" t="s">
        <v>6093</v>
      </c>
      <c r="F2378" t="str">
        <f t="shared" ref="F2378:F2441" si="37">CHOOSE($C$1, A2378, B2378)</f>
        <v>66876</v>
      </c>
      <c r="AG2378" t="s">
        <v>4</v>
      </c>
    </row>
    <row r="2379" spans="1:33">
      <c r="A2379" t="s">
        <v>6094</v>
      </c>
      <c r="B2379" t="s">
        <v>6095</v>
      </c>
      <c r="F2379" t="str">
        <f t="shared" si="37"/>
        <v>66877</v>
      </c>
      <c r="AE2379">
        <v>1101710029402</v>
      </c>
      <c r="AG2379" t="s">
        <v>4</v>
      </c>
    </row>
    <row r="2380" spans="1:33">
      <c r="A2380" t="s">
        <v>6096</v>
      </c>
      <c r="B2380" t="s">
        <v>6097</v>
      </c>
      <c r="F2380" t="str">
        <f t="shared" si="37"/>
        <v>66878</v>
      </c>
      <c r="AE2380">
        <v>1101710029402</v>
      </c>
      <c r="AG2380" t="s">
        <v>4</v>
      </c>
    </row>
    <row r="2381" spans="1:33">
      <c r="A2381" t="s">
        <v>6098</v>
      </c>
      <c r="B2381" t="s">
        <v>6099</v>
      </c>
      <c r="F2381" t="str">
        <f t="shared" si="37"/>
        <v>66879</v>
      </c>
      <c r="AE2381">
        <v>1101710029402</v>
      </c>
      <c r="AG2381" t="s">
        <v>4</v>
      </c>
    </row>
    <row r="2382" spans="1:33">
      <c r="A2382" t="s">
        <v>6100</v>
      </c>
      <c r="B2382" t="s">
        <v>6101</v>
      </c>
      <c r="F2382" t="str">
        <f t="shared" si="37"/>
        <v>66880</v>
      </c>
      <c r="AE2382">
        <v>1101710029402</v>
      </c>
      <c r="AG2382" t="s">
        <v>4</v>
      </c>
    </row>
    <row r="2383" spans="1:33">
      <c r="A2383" t="s">
        <v>6102</v>
      </c>
      <c r="B2383" t="s">
        <v>6103</v>
      </c>
      <c r="F2383" t="str">
        <f t="shared" si="37"/>
        <v>66881</v>
      </c>
      <c r="AE2383">
        <v>1101710029402</v>
      </c>
      <c r="AG2383" t="s">
        <v>4</v>
      </c>
    </row>
    <row r="2384" spans="1:33">
      <c r="A2384" t="s">
        <v>6104</v>
      </c>
      <c r="B2384" t="s">
        <v>6105</v>
      </c>
      <c r="F2384" t="str">
        <f t="shared" si="37"/>
        <v>66882</v>
      </c>
      <c r="AE2384">
        <v>1101710029402</v>
      </c>
      <c r="AG2384" t="s">
        <v>4</v>
      </c>
    </row>
    <row r="2385" spans="1:36">
      <c r="A2385" t="s">
        <v>6106</v>
      </c>
      <c r="B2385" t="s">
        <v>6107</v>
      </c>
      <c r="F2385" t="str">
        <f t="shared" si="37"/>
        <v>66885</v>
      </c>
      <c r="AE2385">
        <v>1101710029402</v>
      </c>
      <c r="AG2385" t="s">
        <v>4</v>
      </c>
    </row>
    <row r="2386" spans="1:36">
      <c r="A2386" t="s">
        <v>6108</v>
      </c>
      <c r="B2386" t="s">
        <v>6109</v>
      </c>
      <c r="F2386" t="str">
        <f t="shared" si="37"/>
        <v>66886</v>
      </c>
      <c r="AE2386">
        <v>1101710029402</v>
      </c>
      <c r="AG2386" t="s">
        <v>4</v>
      </c>
    </row>
    <row r="2387" spans="1:36">
      <c r="A2387" t="s">
        <v>6110</v>
      </c>
      <c r="B2387" t="s">
        <v>6111</v>
      </c>
      <c r="F2387" t="str">
        <f t="shared" si="37"/>
        <v>66887</v>
      </c>
      <c r="AG2387" t="s">
        <v>4</v>
      </c>
    </row>
    <row r="2388" spans="1:36">
      <c r="A2388" t="s">
        <v>6112</v>
      </c>
      <c r="B2388" t="s">
        <v>6113</v>
      </c>
      <c r="F2388" t="str">
        <f t="shared" si="37"/>
        <v>66888</v>
      </c>
      <c r="AE2388">
        <v>1101710029402</v>
      </c>
      <c r="AG2388" t="s">
        <v>4</v>
      </c>
    </row>
    <row r="2389" spans="1:36">
      <c r="A2389" t="s">
        <v>6114</v>
      </c>
      <c r="B2389" t="s">
        <v>6115</v>
      </c>
      <c r="F2389" t="str">
        <f t="shared" si="37"/>
        <v>66893</v>
      </c>
      <c r="AE2389">
        <v>1101710029402</v>
      </c>
      <c r="AG2389" t="s">
        <v>4</v>
      </c>
    </row>
    <row r="2390" spans="1:36">
      <c r="A2390" t="s">
        <v>6116</v>
      </c>
      <c r="B2390" t="s">
        <v>6117</v>
      </c>
      <c r="F2390" t="str">
        <f t="shared" si="37"/>
        <v>66936</v>
      </c>
      <c r="AE2390">
        <v>1101710029402</v>
      </c>
      <c r="AG2390" t="s">
        <v>4</v>
      </c>
    </row>
    <row r="2391" spans="1:36">
      <c r="A2391" t="s">
        <v>6118</v>
      </c>
      <c r="B2391" t="s">
        <v>6119</v>
      </c>
      <c r="F2391" t="str">
        <f t="shared" si="37"/>
        <v>66937</v>
      </c>
      <c r="AE2391">
        <v>1101710029402</v>
      </c>
      <c r="AG2391" t="s">
        <v>4</v>
      </c>
    </row>
    <row r="2392" spans="1:36">
      <c r="A2392" t="s">
        <v>6120</v>
      </c>
      <c r="B2392" t="s">
        <v>6121</v>
      </c>
      <c r="F2392" t="str">
        <f t="shared" si="37"/>
        <v>66940</v>
      </c>
      <c r="AE2392">
        <v>1101710029402</v>
      </c>
      <c r="AG2392" t="s">
        <v>4</v>
      </c>
    </row>
    <row r="2393" spans="1:36">
      <c r="A2393" t="s">
        <v>6122</v>
      </c>
      <c r="B2393" t="s">
        <v>6123</v>
      </c>
      <c r="F2393" t="str">
        <f t="shared" si="37"/>
        <v>66941</v>
      </c>
      <c r="AE2393">
        <v>1101710029402</v>
      </c>
      <c r="AG2393" t="s">
        <v>4</v>
      </c>
    </row>
    <row r="2394" spans="1:36">
      <c r="A2394" t="s">
        <v>6124</v>
      </c>
      <c r="B2394" t="s">
        <v>6125</v>
      </c>
      <c r="F2394" t="str">
        <f t="shared" si="37"/>
        <v>66964</v>
      </c>
      <c r="AE2394">
        <v>1101710029402</v>
      </c>
      <c r="AG2394" t="s">
        <v>4</v>
      </c>
    </row>
    <row r="2395" spans="1:36">
      <c r="A2395" t="s">
        <v>6126</v>
      </c>
      <c r="B2395" t="s">
        <v>6127</v>
      </c>
      <c r="F2395" t="str">
        <f t="shared" si="37"/>
        <v>66965</v>
      </c>
      <c r="AE2395">
        <v>1101710029402</v>
      </c>
      <c r="AG2395" t="s">
        <v>4</v>
      </c>
    </row>
    <row r="2396" spans="1:36">
      <c r="A2396" t="s">
        <v>6128</v>
      </c>
      <c r="B2396" t="s">
        <v>6129</v>
      </c>
      <c r="F2396" t="str">
        <f t="shared" si="37"/>
        <v>66971</v>
      </c>
      <c r="AE2396">
        <v>1101710029402</v>
      </c>
      <c r="AG2396" t="s">
        <v>4</v>
      </c>
    </row>
    <row r="2397" spans="1:36">
      <c r="A2397" t="s">
        <v>6130</v>
      </c>
      <c r="B2397" t="s">
        <v>6131</v>
      </c>
      <c r="F2397" t="str">
        <f t="shared" si="37"/>
        <v>66972</v>
      </c>
      <c r="AG2397" t="s">
        <v>4</v>
      </c>
    </row>
    <row r="2398" spans="1:36">
      <c r="A2398" t="s">
        <v>6132</v>
      </c>
      <c r="B2398" t="s">
        <v>6133</v>
      </c>
      <c r="F2398" t="str">
        <f t="shared" si="37"/>
        <v>66973</v>
      </c>
      <c r="AE2398">
        <v>1843710003123</v>
      </c>
      <c r="AG2398" t="s">
        <v>4</v>
      </c>
      <c r="AH2398" t="s">
        <v>805</v>
      </c>
      <c r="AI2398" t="s">
        <v>55</v>
      </c>
      <c r="AJ2398" t="s">
        <v>806</v>
      </c>
    </row>
    <row r="2399" spans="1:36">
      <c r="A2399" t="s">
        <v>6134</v>
      </c>
      <c r="B2399" t="s">
        <v>6135</v>
      </c>
      <c r="F2399" t="str">
        <f t="shared" si="37"/>
        <v>66974</v>
      </c>
      <c r="AE2399">
        <v>1101710029402</v>
      </c>
      <c r="AG2399" t="s">
        <v>4</v>
      </c>
    </row>
    <row r="2400" spans="1:36">
      <c r="A2400" t="s">
        <v>6136</v>
      </c>
      <c r="B2400" t="s">
        <v>6137</v>
      </c>
      <c r="F2400" t="str">
        <f t="shared" si="37"/>
        <v>66975</v>
      </c>
      <c r="AE2400">
        <v>1101710029402</v>
      </c>
      <c r="AG2400" t="s">
        <v>4</v>
      </c>
    </row>
    <row r="2401" spans="1:33">
      <c r="A2401" t="s">
        <v>6138</v>
      </c>
      <c r="B2401" t="s">
        <v>6139</v>
      </c>
      <c r="F2401" t="str">
        <f t="shared" si="37"/>
        <v>66976</v>
      </c>
      <c r="AE2401">
        <v>1101710029402</v>
      </c>
      <c r="AG2401" t="s">
        <v>4</v>
      </c>
    </row>
    <row r="2402" spans="1:33">
      <c r="A2402" t="s">
        <v>6140</v>
      </c>
      <c r="B2402" t="s">
        <v>6141</v>
      </c>
      <c r="F2402" t="str">
        <f t="shared" si="37"/>
        <v>66977</v>
      </c>
      <c r="AE2402">
        <v>1101710029402</v>
      </c>
      <c r="AG2402" t="s">
        <v>4</v>
      </c>
    </row>
    <row r="2403" spans="1:33">
      <c r="A2403" t="s">
        <v>6142</v>
      </c>
      <c r="B2403" t="s">
        <v>6143</v>
      </c>
      <c r="F2403" t="str">
        <f t="shared" si="37"/>
        <v>66978</v>
      </c>
      <c r="AE2403">
        <v>1101710029402</v>
      </c>
      <c r="AG2403" t="s">
        <v>4</v>
      </c>
    </row>
    <row r="2404" spans="1:33">
      <c r="A2404" t="s">
        <v>6144</v>
      </c>
      <c r="B2404" t="s">
        <v>6145</v>
      </c>
      <c r="F2404" t="str">
        <f t="shared" si="37"/>
        <v>66986</v>
      </c>
      <c r="AE2404">
        <v>1101710029402</v>
      </c>
      <c r="AG2404" t="s">
        <v>4</v>
      </c>
    </row>
    <row r="2405" spans="1:33">
      <c r="A2405" t="s">
        <v>6146</v>
      </c>
      <c r="B2405" t="s">
        <v>6147</v>
      </c>
      <c r="F2405" t="str">
        <f t="shared" si="37"/>
        <v>67002</v>
      </c>
      <c r="AE2405">
        <v>1101710029402</v>
      </c>
      <c r="AG2405" t="s">
        <v>4</v>
      </c>
    </row>
    <row r="2406" spans="1:33">
      <c r="A2406" t="s">
        <v>6148</v>
      </c>
      <c r="B2406" t="s">
        <v>6149</v>
      </c>
      <c r="F2406" t="str">
        <f t="shared" si="37"/>
        <v>67003</v>
      </c>
      <c r="AE2406">
        <v>1101710029402</v>
      </c>
      <c r="AG2406" t="s">
        <v>4</v>
      </c>
    </row>
    <row r="2407" spans="1:33">
      <c r="A2407" t="s">
        <v>6150</v>
      </c>
      <c r="B2407" t="s">
        <v>6151</v>
      </c>
      <c r="F2407" t="str">
        <f t="shared" si="37"/>
        <v>67004</v>
      </c>
      <c r="AG2407" t="s">
        <v>4</v>
      </c>
    </row>
    <row r="2408" spans="1:33">
      <c r="A2408" t="s">
        <v>6152</v>
      </c>
      <c r="B2408" t="s">
        <v>6153</v>
      </c>
      <c r="F2408" t="str">
        <f t="shared" si="37"/>
        <v>67005</v>
      </c>
      <c r="AG2408" t="s">
        <v>4</v>
      </c>
    </row>
    <row r="2409" spans="1:33">
      <c r="A2409" t="s">
        <v>6154</v>
      </c>
      <c r="B2409" t="s">
        <v>6155</v>
      </c>
      <c r="F2409" t="str">
        <f t="shared" si="37"/>
        <v>67006</v>
      </c>
      <c r="AE2409">
        <v>1101710029402</v>
      </c>
      <c r="AG2409" t="s">
        <v>4</v>
      </c>
    </row>
    <row r="2410" spans="1:33">
      <c r="A2410" t="s">
        <v>6156</v>
      </c>
      <c r="B2410" t="s">
        <v>6157</v>
      </c>
      <c r="F2410" t="str">
        <f t="shared" si="37"/>
        <v>67007</v>
      </c>
      <c r="AE2410">
        <v>1101710029402</v>
      </c>
      <c r="AG2410" t="s">
        <v>4</v>
      </c>
    </row>
    <row r="2411" spans="1:33">
      <c r="A2411" t="s">
        <v>6158</v>
      </c>
      <c r="B2411" t="s">
        <v>6159</v>
      </c>
      <c r="F2411" t="str">
        <f t="shared" si="37"/>
        <v>67008</v>
      </c>
      <c r="AE2411">
        <v>1101710029402</v>
      </c>
      <c r="AG2411" t="s">
        <v>4</v>
      </c>
    </row>
    <row r="2412" spans="1:33">
      <c r="A2412" t="s">
        <v>6160</v>
      </c>
      <c r="B2412" t="s">
        <v>6161</v>
      </c>
      <c r="F2412" t="str">
        <f t="shared" si="37"/>
        <v>67009</v>
      </c>
      <c r="AE2412">
        <v>1101710029402</v>
      </c>
      <c r="AG2412" t="s">
        <v>4</v>
      </c>
    </row>
    <row r="2413" spans="1:33">
      <c r="A2413" t="s">
        <v>6162</v>
      </c>
      <c r="B2413" t="s">
        <v>6163</v>
      </c>
      <c r="F2413" t="str">
        <f t="shared" si="37"/>
        <v>67010</v>
      </c>
      <c r="AE2413">
        <v>1101710029402</v>
      </c>
      <c r="AG2413" t="s">
        <v>4</v>
      </c>
    </row>
    <row r="2414" spans="1:33">
      <c r="A2414" t="s">
        <v>6164</v>
      </c>
      <c r="B2414" t="s">
        <v>6165</v>
      </c>
      <c r="F2414" t="str">
        <f t="shared" si="37"/>
        <v>67011</v>
      </c>
      <c r="AE2414">
        <v>1101710029402</v>
      </c>
      <c r="AG2414" t="s">
        <v>4</v>
      </c>
    </row>
    <row r="2415" spans="1:33">
      <c r="A2415" t="s">
        <v>6166</v>
      </c>
      <c r="B2415" t="s">
        <v>6167</v>
      </c>
      <c r="F2415" t="str">
        <f t="shared" si="37"/>
        <v>67012</v>
      </c>
      <c r="AE2415">
        <v>1101710029402</v>
      </c>
      <c r="AG2415" t="s">
        <v>4</v>
      </c>
    </row>
    <row r="2416" spans="1:33">
      <c r="A2416" t="s">
        <v>6168</v>
      </c>
      <c r="B2416" t="s">
        <v>6169</v>
      </c>
      <c r="F2416" t="str">
        <f t="shared" si="37"/>
        <v>67013</v>
      </c>
      <c r="AE2416">
        <v>1101710029402</v>
      </c>
      <c r="AG2416" t="s">
        <v>4</v>
      </c>
    </row>
    <row r="2417" spans="1:33">
      <c r="A2417" t="s">
        <v>6170</v>
      </c>
      <c r="B2417" t="s">
        <v>6171</v>
      </c>
      <c r="F2417" t="str">
        <f t="shared" si="37"/>
        <v>67017</v>
      </c>
      <c r="AG2417" t="s">
        <v>4</v>
      </c>
    </row>
    <row r="2418" spans="1:33">
      <c r="A2418" t="s">
        <v>6172</v>
      </c>
      <c r="B2418" t="s">
        <v>6173</v>
      </c>
      <c r="F2418" t="str">
        <f t="shared" si="37"/>
        <v>67018</v>
      </c>
      <c r="AG2418" t="s">
        <v>4</v>
      </c>
    </row>
    <row r="2419" spans="1:33">
      <c r="A2419" t="s">
        <v>6174</v>
      </c>
      <c r="B2419" t="s">
        <v>6175</v>
      </c>
      <c r="F2419" t="str">
        <f t="shared" si="37"/>
        <v>67019</v>
      </c>
      <c r="AE2419">
        <v>1101710029402</v>
      </c>
      <c r="AG2419" t="s">
        <v>4</v>
      </c>
    </row>
    <row r="2420" spans="1:33">
      <c r="A2420" t="s">
        <v>6176</v>
      </c>
      <c r="B2420" t="s">
        <v>6177</v>
      </c>
      <c r="F2420" t="str">
        <f t="shared" si="37"/>
        <v>67031</v>
      </c>
      <c r="AE2420">
        <v>1101710029402</v>
      </c>
      <c r="AG2420" t="s">
        <v>4</v>
      </c>
    </row>
    <row r="2421" spans="1:33">
      <c r="A2421" t="s">
        <v>6178</v>
      </c>
      <c r="B2421" t="s">
        <v>6179</v>
      </c>
      <c r="F2421" t="str">
        <f t="shared" si="37"/>
        <v>67032</v>
      </c>
      <c r="AE2421">
        <v>1101710029402</v>
      </c>
      <c r="AG2421" t="s">
        <v>4</v>
      </c>
    </row>
    <row r="2422" spans="1:33">
      <c r="A2422" t="s">
        <v>6180</v>
      </c>
      <c r="B2422" t="s">
        <v>6181</v>
      </c>
      <c r="F2422" t="str">
        <f t="shared" si="37"/>
        <v>67033</v>
      </c>
      <c r="AE2422">
        <v>1101710029402</v>
      </c>
      <c r="AG2422" t="s">
        <v>4</v>
      </c>
    </row>
    <row r="2423" spans="1:33">
      <c r="A2423" t="s">
        <v>6182</v>
      </c>
      <c r="B2423" t="s">
        <v>6183</v>
      </c>
      <c r="F2423" t="str">
        <f t="shared" si="37"/>
        <v>67035</v>
      </c>
      <c r="AE2423">
        <v>1101710029402</v>
      </c>
      <c r="AG2423" t="s">
        <v>4</v>
      </c>
    </row>
    <row r="2424" spans="1:33">
      <c r="A2424" t="s">
        <v>6184</v>
      </c>
      <c r="B2424" t="s">
        <v>6185</v>
      </c>
      <c r="F2424" t="str">
        <f t="shared" si="37"/>
        <v>67046</v>
      </c>
      <c r="AE2424">
        <v>1101710029402</v>
      </c>
      <c r="AG2424" t="s">
        <v>4</v>
      </c>
    </row>
    <row r="2425" spans="1:33">
      <c r="A2425" t="s">
        <v>6186</v>
      </c>
      <c r="B2425" t="s">
        <v>6187</v>
      </c>
      <c r="F2425" t="str">
        <f t="shared" si="37"/>
        <v>67049</v>
      </c>
      <c r="AE2425">
        <v>1101710029402</v>
      </c>
      <c r="AG2425" t="s">
        <v>4</v>
      </c>
    </row>
    <row r="2426" spans="1:33">
      <c r="A2426" t="s">
        <v>6188</v>
      </c>
      <c r="B2426" t="s">
        <v>6189</v>
      </c>
      <c r="F2426" t="str">
        <f t="shared" si="37"/>
        <v>67050</v>
      </c>
      <c r="AE2426">
        <v>1101710029402</v>
      </c>
      <c r="AG2426" t="s">
        <v>4</v>
      </c>
    </row>
    <row r="2427" spans="1:33">
      <c r="A2427" t="s">
        <v>6190</v>
      </c>
      <c r="B2427" t="s">
        <v>6191</v>
      </c>
      <c r="F2427" t="str">
        <f t="shared" si="37"/>
        <v>67051</v>
      </c>
      <c r="AG2427" t="s">
        <v>4</v>
      </c>
    </row>
    <row r="2428" spans="1:33">
      <c r="A2428" t="s">
        <v>6192</v>
      </c>
      <c r="B2428" t="s">
        <v>6193</v>
      </c>
      <c r="F2428" t="str">
        <f t="shared" si="37"/>
        <v>67052</v>
      </c>
      <c r="AG2428" t="s">
        <v>4</v>
      </c>
    </row>
    <row r="2429" spans="1:33">
      <c r="A2429" t="s">
        <v>6194</v>
      </c>
      <c r="B2429" t="s">
        <v>6195</v>
      </c>
      <c r="F2429" t="str">
        <f t="shared" si="37"/>
        <v>67053</v>
      </c>
      <c r="AE2429">
        <v>1101710029402</v>
      </c>
      <c r="AG2429" t="s">
        <v>4</v>
      </c>
    </row>
    <row r="2430" spans="1:33">
      <c r="A2430" t="s">
        <v>6196</v>
      </c>
      <c r="B2430" t="s">
        <v>6197</v>
      </c>
      <c r="F2430" t="str">
        <f t="shared" si="37"/>
        <v>67054</v>
      </c>
      <c r="AE2430">
        <v>1101710029402</v>
      </c>
      <c r="AG2430" t="s">
        <v>4</v>
      </c>
    </row>
    <row r="2431" spans="1:33">
      <c r="A2431" t="s">
        <v>6198</v>
      </c>
      <c r="B2431" t="s">
        <v>6199</v>
      </c>
      <c r="F2431" t="str">
        <f t="shared" si="37"/>
        <v>67055</v>
      </c>
      <c r="AE2431">
        <v>1101710029402</v>
      </c>
      <c r="AG2431" t="s">
        <v>4</v>
      </c>
    </row>
    <row r="2432" spans="1:33">
      <c r="A2432" t="s">
        <v>6200</v>
      </c>
      <c r="B2432" t="s">
        <v>6201</v>
      </c>
      <c r="F2432" t="str">
        <f t="shared" si="37"/>
        <v>67056</v>
      </c>
      <c r="AE2432">
        <v>1101710029402</v>
      </c>
      <c r="AG2432" t="s">
        <v>4</v>
      </c>
    </row>
    <row r="2433" spans="1:33">
      <c r="A2433" t="s">
        <v>6202</v>
      </c>
      <c r="B2433" t="s">
        <v>6203</v>
      </c>
      <c r="F2433" t="str">
        <f t="shared" si="37"/>
        <v>67059</v>
      </c>
      <c r="AE2433">
        <v>1101710029402</v>
      </c>
      <c r="AG2433" t="s">
        <v>4</v>
      </c>
    </row>
    <row r="2434" spans="1:33">
      <c r="A2434" t="s">
        <v>6204</v>
      </c>
      <c r="B2434" t="s">
        <v>6205</v>
      </c>
      <c r="F2434" t="str">
        <f t="shared" si="37"/>
        <v>67068</v>
      </c>
      <c r="AE2434">
        <v>1101710029402</v>
      </c>
      <c r="AG2434" t="s">
        <v>4</v>
      </c>
    </row>
    <row r="2435" spans="1:33">
      <c r="A2435" t="s">
        <v>6206</v>
      </c>
      <c r="B2435" t="s">
        <v>6207</v>
      </c>
      <c r="F2435" t="str">
        <f t="shared" si="37"/>
        <v>67071</v>
      </c>
      <c r="AE2435">
        <v>1101710029402</v>
      </c>
      <c r="AG2435" t="s">
        <v>4</v>
      </c>
    </row>
    <row r="2436" spans="1:33">
      <c r="A2436" t="s">
        <v>6208</v>
      </c>
      <c r="B2436" t="s">
        <v>6209</v>
      </c>
      <c r="F2436" t="str">
        <f t="shared" si="37"/>
        <v>67073</v>
      </c>
      <c r="AE2436">
        <v>1101710029402</v>
      </c>
      <c r="AG2436" t="s">
        <v>4</v>
      </c>
    </row>
    <row r="2437" spans="1:33">
      <c r="A2437" t="s">
        <v>6210</v>
      </c>
      <c r="B2437" t="s">
        <v>6211</v>
      </c>
      <c r="F2437" t="str">
        <f t="shared" si="37"/>
        <v>67080</v>
      </c>
      <c r="AG2437" t="s">
        <v>4</v>
      </c>
    </row>
    <row r="2438" spans="1:33">
      <c r="A2438" t="s">
        <v>6212</v>
      </c>
      <c r="B2438" t="s">
        <v>6213</v>
      </c>
      <c r="F2438" t="str">
        <f t="shared" si="37"/>
        <v>67081</v>
      </c>
      <c r="AG2438" t="s">
        <v>4</v>
      </c>
    </row>
    <row r="2439" spans="1:33">
      <c r="A2439" t="s">
        <v>6214</v>
      </c>
      <c r="B2439" t="s">
        <v>132</v>
      </c>
      <c r="F2439" t="str">
        <f t="shared" si="37"/>
        <v>67084</v>
      </c>
      <c r="AG2439" t="s">
        <v>4</v>
      </c>
    </row>
    <row r="2440" spans="1:33">
      <c r="A2440" t="s">
        <v>6215</v>
      </c>
      <c r="B2440" t="s">
        <v>6216</v>
      </c>
      <c r="F2440" t="str">
        <f t="shared" si="37"/>
        <v>67086</v>
      </c>
      <c r="AE2440">
        <v>1101710029402</v>
      </c>
      <c r="AG2440" t="s">
        <v>4</v>
      </c>
    </row>
    <row r="2441" spans="1:33">
      <c r="A2441" t="s">
        <v>6217</v>
      </c>
      <c r="B2441" t="s">
        <v>6218</v>
      </c>
      <c r="F2441" t="str">
        <f t="shared" si="37"/>
        <v>67087</v>
      </c>
      <c r="AE2441">
        <v>1101710029402</v>
      </c>
      <c r="AG2441" t="s">
        <v>4</v>
      </c>
    </row>
    <row r="2442" spans="1:33">
      <c r="A2442" t="s">
        <v>6219</v>
      </c>
      <c r="B2442" t="s">
        <v>6220</v>
      </c>
      <c r="F2442" t="str">
        <f t="shared" ref="F2442:F2505" si="38">CHOOSE($C$1, A2442, B2442)</f>
        <v>67088</v>
      </c>
      <c r="AE2442">
        <v>1101710029402</v>
      </c>
      <c r="AG2442" t="s">
        <v>4</v>
      </c>
    </row>
    <row r="2443" spans="1:33">
      <c r="A2443" t="s">
        <v>6221</v>
      </c>
      <c r="B2443" t="s">
        <v>6222</v>
      </c>
      <c r="F2443" t="str">
        <f t="shared" si="38"/>
        <v>67089</v>
      </c>
      <c r="AE2443">
        <v>1101710029402</v>
      </c>
      <c r="AG2443" t="s">
        <v>4</v>
      </c>
    </row>
    <row r="2444" spans="1:33">
      <c r="A2444" t="s">
        <v>6223</v>
      </c>
      <c r="B2444" t="s">
        <v>6224</v>
      </c>
      <c r="F2444" t="str">
        <f t="shared" si="38"/>
        <v>67090</v>
      </c>
      <c r="AE2444">
        <v>1101710029402</v>
      </c>
      <c r="AG2444" t="s">
        <v>4</v>
      </c>
    </row>
    <row r="2445" spans="1:33">
      <c r="A2445" t="s">
        <v>6225</v>
      </c>
      <c r="B2445" t="s">
        <v>6226</v>
      </c>
      <c r="F2445" t="str">
        <f t="shared" si="38"/>
        <v>67091</v>
      </c>
      <c r="AE2445">
        <v>1101710029402</v>
      </c>
      <c r="AG2445" t="s">
        <v>4</v>
      </c>
    </row>
    <row r="2446" spans="1:33">
      <c r="A2446" t="s">
        <v>6227</v>
      </c>
      <c r="B2446" t="s">
        <v>6228</v>
      </c>
      <c r="F2446" t="str">
        <f t="shared" si="38"/>
        <v>67092</v>
      </c>
      <c r="AE2446">
        <v>1101710029402</v>
      </c>
      <c r="AG2446" t="s">
        <v>4</v>
      </c>
    </row>
    <row r="2447" spans="1:33">
      <c r="A2447" t="s">
        <v>6229</v>
      </c>
      <c r="B2447" t="s">
        <v>6230</v>
      </c>
      <c r="F2447" t="str">
        <f t="shared" si="38"/>
        <v>67093</v>
      </c>
      <c r="AE2447">
        <v>1101710029402</v>
      </c>
      <c r="AG2447" t="s">
        <v>4</v>
      </c>
    </row>
    <row r="2448" spans="1:33">
      <c r="A2448" t="s">
        <v>6231</v>
      </c>
      <c r="B2448" t="s">
        <v>6232</v>
      </c>
      <c r="F2448" t="str">
        <f t="shared" si="38"/>
        <v>67123</v>
      </c>
      <c r="AG2448" t="s">
        <v>4</v>
      </c>
    </row>
    <row r="2449" spans="1:36">
      <c r="A2449" t="s">
        <v>6233</v>
      </c>
      <c r="B2449" t="s">
        <v>6234</v>
      </c>
      <c r="F2449" t="str">
        <f t="shared" si="38"/>
        <v>67124</v>
      </c>
      <c r="AG2449" t="s">
        <v>4</v>
      </c>
    </row>
    <row r="2450" spans="1:36">
      <c r="A2450" t="s">
        <v>6235</v>
      </c>
      <c r="B2450" t="s">
        <v>6236</v>
      </c>
      <c r="F2450" t="str">
        <f t="shared" si="38"/>
        <v>67125</v>
      </c>
      <c r="AG2450" t="s">
        <v>4</v>
      </c>
    </row>
    <row r="2451" spans="1:36">
      <c r="A2451" t="s">
        <v>6237</v>
      </c>
      <c r="B2451" t="s">
        <v>6238</v>
      </c>
      <c r="F2451" t="str">
        <f t="shared" si="38"/>
        <v>67126</v>
      </c>
      <c r="AG2451" t="s">
        <v>4</v>
      </c>
    </row>
    <row r="2452" spans="1:36">
      <c r="A2452" t="s">
        <v>6239</v>
      </c>
      <c r="B2452" t="s">
        <v>6240</v>
      </c>
      <c r="F2452" t="str">
        <f t="shared" si="38"/>
        <v>67127</v>
      </c>
      <c r="AG2452" t="s">
        <v>4</v>
      </c>
    </row>
    <row r="2453" spans="1:36">
      <c r="A2453" t="s">
        <v>6241</v>
      </c>
      <c r="B2453" t="s">
        <v>6242</v>
      </c>
      <c r="F2453" t="str">
        <f t="shared" si="38"/>
        <v>67128</v>
      </c>
      <c r="AG2453" t="s">
        <v>4</v>
      </c>
    </row>
    <row r="2454" spans="1:36">
      <c r="A2454" t="s">
        <v>6243</v>
      </c>
      <c r="B2454" t="s">
        <v>6244</v>
      </c>
      <c r="F2454" t="str">
        <f t="shared" si="38"/>
        <v>67129</v>
      </c>
      <c r="AG2454" t="s">
        <v>4</v>
      </c>
    </row>
    <row r="2455" spans="1:36">
      <c r="A2455" t="s">
        <v>6245</v>
      </c>
      <c r="B2455" t="s">
        <v>6246</v>
      </c>
      <c r="F2455" t="str">
        <f t="shared" si="38"/>
        <v>67130</v>
      </c>
      <c r="AG2455" t="s">
        <v>4</v>
      </c>
    </row>
    <row r="2456" spans="1:36">
      <c r="A2456" t="s">
        <v>6247</v>
      </c>
      <c r="B2456" t="s">
        <v>6248</v>
      </c>
      <c r="F2456" t="str">
        <f t="shared" si="38"/>
        <v>67131</v>
      </c>
      <c r="AE2456">
        <v>1101115893676</v>
      </c>
      <c r="AG2456" t="s">
        <v>4</v>
      </c>
      <c r="AH2456" t="s">
        <v>837</v>
      </c>
      <c r="AI2456" t="s">
        <v>6</v>
      </c>
      <c r="AJ2456" t="s">
        <v>838</v>
      </c>
    </row>
    <row r="2457" spans="1:36">
      <c r="A2457" t="s">
        <v>6249</v>
      </c>
      <c r="B2457" t="s">
        <v>6250</v>
      </c>
      <c r="F2457" t="str">
        <f t="shared" si="38"/>
        <v>67132</v>
      </c>
      <c r="AG2457" t="s">
        <v>4</v>
      </c>
    </row>
    <row r="2458" spans="1:36">
      <c r="A2458" t="s">
        <v>6251</v>
      </c>
      <c r="B2458" t="s">
        <v>6252</v>
      </c>
      <c r="F2458" t="str">
        <f t="shared" si="38"/>
        <v>67133</v>
      </c>
      <c r="AG2458" t="s">
        <v>4</v>
      </c>
    </row>
    <row r="2459" spans="1:36">
      <c r="A2459" t="s">
        <v>6253</v>
      </c>
      <c r="B2459" t="s">
        <v>6254</v>
      </c>
      <c r="F2459" t="str">
        <f t="shared" si="38"/>
        <v>67134</v>
      </c>
      <c r="AG2459" t="s">
        <v>4</v>
      </c>
    </row>
    <row r="2460" spans="1:36">
      <c r="A2460" t="s">
        <v>6255</v>
      </c>
      <c r="B2460" t="s">
        <v>6256</v>
      </c>
      <c r="F2460" t="str">
        <f t="shared" si="38"/>
        <v>67135</v>
      </c>
      <c r="AG2460" t="s">
        <v>4</v>
      </c>
    </row>
    <row r="2461" spans="1:36">
      <c r="A2461" t="s">
        <v>6257</v>
      </c>
      <c r="B2461" t="s">
        <v>6258</v>
      </c>
      <c r="F2461" t="str">
        <f t="shared" si="38"/>
        <v>67140</v>
      </c>
      <c r="AG2461" t="s">
        <v>4</v>
      </c>
    </row>
    <row r="2462" spans="1:36">
      <c r="A2462" t="s">
        <v>6259</v>
      </c>
      <c r="B2462" t="s">
        <v>6260</v>
      </c>
      <c r="F2462" t="str">
        <f t="shared" si="38"/>
        <v>67147</v>
      </c>
      <c r="AG2462" t="s">
        <v>4</v>
      </c>
    </row>
    <row r="2463" spans="1:36">
      <c r="A2463" t="s">
        <v>6261</v>
      </c>
      <c r="B2463" t="s">
        <v>6262</v>
      </c>
      <c r="F2463" t="str">
        <f t="shared" si="38"/>
        <v>67165</v>
      </c>
      <c r="AG2463" t="s">
        <v>4</v>
      </c>
    </row>
    <row r="2464" spans="1:36">
      <c r="A2464" t="s">
        <v>6263</v>
      </c>
      <c r="B2464" t="s">
        <v>6264</v>
      </c>
      <c r="F2464" t="str">
        <f t="shared" si="38"/>
        <v>67166</v>
      </c>
      <c r="AG2464" t="s">
        <v>4</v>
      </c>
    </row>
    <row r="2465" spans="1:36">
      <c r="A2465" t="s">
        <v>6265</v>
      </c>
      <c r="B2465" t="s">
        <v>6266</v>
      </c>
      <c r="F2465" t="str">
        <f t="shared" si="38"/>
        <v>67167</v>
      </c>
      <c r="AG2465" t="s">
        <v>4</v>
      </c>
    </row>
    <row r="2466" spans="1:36">
      <c r="A2466" t="s">
        <v>6267</v>
      </c>
      <c r="B2466" t="s">
        <v>6268</v>
      </c>
      <c r="F2466" t="str">
        <f t="shared" si="38"/>
        <v>67168</v>
      </c>
      <c r="AG2466" t="s">
        <v>4</v>
      </c>
    </row>
    <row r="2467" spans="1:36">
      <c r="A2467" t="s">
        <v>6269</v>
      </c>
      <c r="B2467" t="s">
        <v>6270</v>
      </c>
      <c r="F2467" t="str">
        <f t="shared" si="38"/>
        <v>67169</v>
      </c>
      <c r="AG2467" t="s">
        <v>4</v>
      </c>
    </row>
    <row r="2468" spans="1:36">
      <c r="A2468" t="s">
        <v>6271</v>
      </c>
      <c r="B2468" t="s">
        <v>6272</v>
      </c>
      <c r="F2468" t="str">
        <f t="shared" si="38"/>
        <v>67170</v>
      </c>
      <c r="AG2468" t="s">
        <v>4</v>
      </c>
    </row>
    <row r="2469" spans="1:36">
      <c r="A2469" t="s">
        <v>6273</v>
      </c>
      <c r="B2469" t="s">
        <v>6274</v>
      </c>
      <c r="F2469" t="str">
        <f t="shared" si="38"/>
        <v>67171</v>
      </c>
      <c r="AG2469" t="s">
        <v>4</v>
      </c>
    </row>
    <row r="2470" spans="1:36">
      <c r="A2470" t="s">
        <v>6275</v>
      </c>
      <c r="B2470" t="s">
        <v>6276</v>
      </c>
      <c r="F2470" t="str">
        <f t="shared" si="38"/>
        <v>67172</v>
      </c>
      <c r="AG2470" t="s">
        <v>4</v>
      </c>
    </row>
    <row r="2471" spans="1:36">
      <c r="A2471" t="s">
        <v>6277</v>
      </c>
      <c r="B2471" t="s">
        <v>6278</v>
      </c>
      <c r="F2471" t="str">
        <f t="shared" si="38"/>
        <v>67173</v>
      </c>
      <c r="AG2471" t="s">
        <v>4</v>
      </c>
    </row>
    <row r="2472" spans="1:36">
      <c r="A2472" t="s">
        <v>6279</v>
      </c>
      <c r="B2472" t="s">
        <v>6280</v>
      </c>
      <c r="F2472" t="str">
        <f t="shared" si="38"/>
        <v>67174</v>
      </c>
      <c r="AG2472" t="s">
        <v>4</v>
      </c>
    </row>
    <row r="2473" spans="1:36">
      <c r="A2473" t="s">
        <v>6281</v>
      </c>
      <c r="B2473" t="s">
        <v>6282</v>
      </c>
      <c r="F2473" t="str">
        <f t="shared" si="38"/>
        <v>67175</v>
      </c>
      <c r="AG2473" t="s">
        <v>4</v>
      </c>
    </row>
    <row r="2474" spans="1:36">
      <c r="A2474" t="s">
        <v>6283</v>
      </c>
      <c r="B2474" t="s">
        <v>6284</v>
      </c>
      <c r="F2474" t="str">
        <f t="shared" si="38"/>
        <v>67176</v>
      </c>
      <c r="AE2474">
        <v>2111110014332</v>
      </c>
      <c r="AF2474" t="s">
        <v>453</v>
      </c>
      <c r="AG2474" t="s">
        <v>4</v>
      </c>
      <c r="AH2474" t="s">
        <v>559</v>
      </c>
      <c r="AI2474" t="s">
        <v>278</v>
      </c>
      <c r="AJ2474" t="s">
        <v>560</v>
      </c>
    </row>
    <row r="2475" spans="1:36">
      <c r="A2475" t="s">
        <v>6285</v>
      </c>
      <c r="B2475" t="s">
        <v>6286</v>
      </c>
      <c r="F2475" t="str">
        <f t="shared" si="38"/>
        <v>67177</v>
      </c>
      <c r="AG2475" t="s">
        <v>4</v>
      </c>
    </row>
    <row r="2476" spans="1:36">
      <c r="A2476" t="s">
        <v>6287</v>
      </c>
      <c r="B2476" t="s">
        <v>6288</v>
      </c>
      <c r="F2476" t="str">
        <f t="shared" si="38"/>
        <v>67178</v>
      </c>
      <c r="AG2476" t="s">
        <v>4</v>
      </c>
    </row>
    <row r="2477" spans="1:36">
      <c r="A2477" t="s">
        <v>6289</v>
      </c>
      <c r="B2477" t="s">
        <v>6290</v>
      </c>
      <c r="F2477" t="str">
        <f t="shared" si="38"/>
        <v>67179</v>
      </c>
      <c r="AG2477" t="s">
        <v>4</v>
      </c>
    </row>
    <row r="2478" spans="1:36">
      <c r="A2478" t="s">
        <v>6291</v>
      </c>
      <c r="B2478" t="s">
        <v>6292</v>
      </c>
      <c r="F2478" t="str">
        <f t="shared" si="38"/>
        <v>67180</v>
      </c>
      <c r="AG2478" t="s">
        <v>4</v>
      </c>
    </row>
    <row r="2479" spans="1:36">
      <c r="A2479" t="s">
        <v>6293</v>
      </c>
      <c r="B2479" t="s">
        <v>6294</v>
      </c>
      <c r="F2479" t="str">
        <f t="shared" si="38"/>
        <v>67181</v>
      </c>
      <c r="AG2479" t="s">
        <v>4</v>
      </c>
    </row>
    <row r="2480" spans="1:36">
      <c r="A2480" t="s">
        <v>6295</v>
      </c>
      <c r="B2480" t="s">
        <v>6296</v>
      </c>
      <c r="F2480" t="str">
        <f t="shared" si="38"/>
        <v>67182</v>
      </c>
      <c r="AG2480" t="s">
        <v>4</v>
      </c>
    </row>
    <row r="2481" spans="1:36">
      <c r="A2481" t="s">
        <v>6297</v>
      </c>
      <c r="B2481" t="s">
        <v>6298</v>
      </c>
      <c r="F2481" t="str">
        <f t="shared" si="38"/>
        <v>67183</v>
      </c>
      <c r="AE2481">
        <v>1701110459570</v>
      </c>
      <c r="AF2481" t="s">
        <v>261</v>
      </c>
      <c r="AG2481" t="s">
        <v>4</v>
      </c>
      <c r="AH2481" t="s">
        <v>248</v>
      </c>
      <c r="AI2481" t="s">
        <v>249</v>
      </c>
      <c r="AJ2481" t="s">
        <v>121</v>
      </c>
    </row>
    <row r="2482" spans="1:36">
      <c r="A2482" t="s">
        <v>6299</v>
      </c>
      <c r="B2482" t="s">
        <v>6300</v>
      </c>
      <c r="F2482" t="str">
        <f t="shared" si="38"/>
        <v>67184</v>
      </c>
      <c r="AG2482" t="s">
        <v>4</v>
      </c>
    </row>
    <row r="2483" spans="1:36">
      <c r="A2483" t="s">
        <v>6301</v>
      </c>
      <c r="B2483" t="s">
        <v>6302</v>
      </c>
      <c r="F2483" t="str">
        <f t="shared" si="38"/>
        <v>67185</v>
      </c>
      <c r="AG2483" t="s">
        <v>4</v>
      </c>
    </row>
    <row r="2484" spans="1:36">
      <c r="A2484" t="s">
        <v>6303</v>
      </c>
      <c r="B2484" t="s">
        <v>6304</v>
      </c>
      <c r="F2484" t="str">
        <f t="shared" si="38"/>
        <v>67186</v>
      </c>
      <c r="AE2484">
        <v>1101112262527</v>
      </c>
      <c r="AF2484" t="s">
        <v>216</v>
      </c>
      <c r="AG2484" t="s">
        <v>2</v>
      </c>
      <c r="AH2484" t="s">
        <v>406</v>
      </c>
      <c r="AI2484" t="s">
        <v>249</v>
      </c>
      <c r="AJ2484" t="s">
        <v>407</v>
      </c>
    </row>
    <row r="2485" spans="1:36">
      <c r="A2485" t="s">
        <v>6305</v>
      </c>
      <c r="B2485" t="s">
        <v>6306</v>
      </c>
      <c r="F2485" t="str">
        <f t="shared" si="38"/>
        <v>67187</v>
      </c>
      <c r="AG2485" t="s">
        <v>4</v>
      </c>
    </row>
    <row r="2486" spans="1:36">
      <c r="A2486" t="s">
        <v>6307</v>
      </c>
      <c r="B2486" t="s">
        <v>6308</v>
      </c>
      <c r="F2486" t="str">
        <f t="shared" si="38"/>
        <v>67188</v>
      </c>
      <c r="AE2486">
        <v>1341110213433</v>
      </c>
      <c r="AF2486" t="s">
        <v>93</v>
      </c>
      <c r="AG2486" t="s">
        <v>4</v>
      </c>
      <c r="AH2486" t="s">
        <v>652</v>
      </c>
      <c r="AI2486" t="s">
        <v>6</v>
      </c>
      <c r="AJ2486" t="s">
        <v>653</v>
      </c>
    </row>
    <row r="2487" spans="1:36">
      <c r="A2487" t="s">
        <v>6309</v>
      </c>
      <c r="B2487" t="s">
        <v>6310</v>
      </c>
      <c r="F2487" t="str">
        <f t="shared" si="38"/>
        <v>67189</v>
      </c>
      <c r="AG2487" t="s">
        <v>4</v>
      </c>
    </row>
    <row r="2488" spans="1:36">
      <c r="A2488" t="s">
        <v>6311</v>
      </c>
      <c r="B2488" t="s">
        <v>6312</v>
      </c>
      <c r="F2488" t="str">
        <f t="shared" si="38"/>
        <v>67190</v>
      </c>
      <c r="AG2488" t="s">
        <v>4</v>
      </c>
    </row>
    <row r="2489" spans="1:36">
      <c r="A2489" t="s">
        <v>6313</v>
      </c>
      <c r="B2489" t="s">
        <v>6314</v>
      </c>
      <c r="F2489" t="str">
        <f t="shared" si="38"/>
        <v>67216</v>
      </c>
      <c r="AG2489" t="s">
        <v>4</v>
      </c>
    </row>
    <row r="2490" spans="1:36">
      <c r="A2490" t="s">
        <v>6315</v>
      </c>
      <c r="B2490" t="s">
        <v>6316</v>
      </c>
      <c r="F2490" t="str">
        <f t="shared" si="38"/>
        <v>67217</v>
      </c>
      <c r="AG2490" t="s">
        <v>4</v>
      </c>
    </row>
    <row r="2491" spans="1:36">
      <c r="A2491" t="s">
        <v>6317</v>
      </c>
      <c r="B2491" t="s">
        <v>6318</v>
      </c>
      <c r="F2491" t="str">
        <f t="shared" si="38"/>
        <v>67218</v>
      </c>
      <c r="AG2491" t="s">
        <v>4</v>
      </c>
    </row>
    <row r="2492" spans="1:36">
      <c r="A2492" t="s">
        <v>6319</v>
      </c>
      <c r="B2492" t="s">
        <v>6320</v>
      </c>
      <c r="F2492" t="str">
        <f t="shared" si="38"/>
        <v>67234</v>
      </c>
      <c r="AG2492" t="s">
        <v>4</v>
      </c>
    </row>
    <row r="2493" spans="1:36">
      <c r="A2493" t="s">
        <v>6321</v>
      </c>
      <c r="B2493" t="s">
        <v>6322</v>
      </c>
      <c r="F2493" t="str">
        <f t="shared" si="38"/>
        <v>67235</v>
      </c>
      <c r="AE2493">
        <v>1601110362212</v>
      </c>
      <c r="AG2493" t="s">
        <v>4</v>
      </c>
      <c r="AH2493" t="s">
        <v>1142</v>
      </c>
      <c r="AI2493" t="s">
        <v>26</v>
      </c>
      <c r="AJ2493" t="s">
        <v>1143</v>
      </c>
    </row>
    <row r="2494" spans="1:36">
      <c r="A2494" t="s">
        <v>6323</v>
      </c>
      <c r="B2494" t="s">
        <v>6324</v>
      </c>
      <c r="F2494" t="str">
        <f t="shared" si="38"/>
        <v>67236</v>
      </c>
      <c r="AG2494" t="s">
        <v>4</v>
      </c>
    </row>
    <row r="2495" spans="1:36">
      <c r="A2495" t="s">
        <v>6325</v>
      </c>
      <c r="B2495" t="s">
        <v>6326</v>
      </c>
      <c r="F2495" t="str">
        <f t="shared" si="38"/>
        <v>67237</v>
      </c>
      <c r="AG2495" t="s">
        <v>4</v>
      </c>
    </row>
    <row r="2496" spans="1:36">
      <c r="A2496" t="s">
        <v>6327</v>
      </c>
      <c r="B2496" t="s">
        <v>6328</v>
      </c>
      <c r="F2496" t="str">
        <f t="shared" si="38"/>
        <v>67238</v>
      </c>
      <c r="AE2496">
        <v>1247710000991</v>
      </c>
      <c r="AG2496" t="s">
        <v>4</v>
      </c>
    </row>
    <row r="2497" spans="1:36">
      <c r="A2497" t="s">
        <v>6329</v>
      </c>
      <c r="B2497" t="s">
        <v>6330</v>
      </c>
      <c r="F2497" t="str">
        <f t="shared" si="38"/>
        <v>67239</v>
      </c>
      <c r="AG2497" t="s">
        <v>4</v>
      </c>
    </row>
    <row r="2498" spans="1:36">
      <c r="A2498" t="s">
        <v>6331</v>
      </c>
      <c r="B2498" t="s">
        <v>6332</v>
      </c>
      <c r="F2498" t="str">
        <f t="shared" si="38"/>
        <v>67240</v>
      </c>
      <c r="AG2498" t="s">
        <v>4</v>
      </c>
    </row>
    <row r="2499" spans="1:36">
      <c r="A2499" t="s">
        <v>6333</v>
      </c>
      <c r="B2499" t="s">
        <v>6334</v>
      </c>
      <c r="F2499" t="str">
        <f t="shared" si="38"/>
        <v>67242</v>
      </c>
      <c r="AG2499" t="s">
        <v>4</v>
      </c>
    </row>
    <row r="2500" spans="1:36">
      <c r="A2500" t="s">
        <v>6335</v>
      </c>
      <c r="B2500" t="s">
        <v>6336</v>
      </c>
      <c r="F2500" t="str">
        <f t="shared" si="38"/>
        <v>67291</v>
      </c>
      <c r="AG2500" t="s">
        <v>4</v>
      </c>
    </row>
    <row r="2501" spans="1:36">
      <c r="A2501" t="s">
        <v>6337</v>
      </c>
      <c r="B2501" t="s">
        <v>6338</v>
      </c>
      <c r="F2501" t="str">
        <f t="shared" si="38"/>
        <v>67296</v>
      </c>
      <c r="AG2501" t="s">
        <v>4</v>
      </c>
    </row>
    <row r="2502" spans="1:36">
      <c r="A2502" t="s">
        <v>6339</v>
      </c>
      <c r="B2502" t="s">
        <v>6340</v>
      </c>
      <c r="F2502" t="str">
        <f t="shared" si="38"/>
        <v>67297</v>
      </c>
      <c r="AG2502" t="s">
        <v>4</v>
      </c>
    </row>
    <row r="2503" spans="1:36">
      <c r="A2503" t="s">
        <v>6341</v>
      </c>
      <c r="B2503" t="s">
        <v>6342</v>
      </c>
      <c r="F2503" t="str">
        <f t="shared" si="38"/>
        <v>67300</v>
      </c>
      <c r="AG2503" t="s">
        <v>4</v>
      </c>
    </row>
    <row r="2504" spans="1:36">
      <c r="A2504" t="s">
        <v>6343</v>
      </c>
      <c r="B2504" t="s">
        <v>6344</v>
      </c>
      <c r="F2504" t="str">
        <f t="shared" si="38"/>
        <v>67301</v>
      </c>
      <c r="AG2504" t="s">
        <v>4</v>
      </c>
    </row>
    <row r="2505" spans="1:36">
      <c r="A2505" t="s">
        <v>6345</v>
      </c>
      <c r="B2505" t="s">
        <v>6346</v>
      </c>
      <c r="F2505" t="str">
        <f t="shared" si="38"/>
        <v>67303</v>
      </c>
      <c r="AE2505">
        <v>1101116139277</v>
      </c>
      <c r="AG2505" t="s">
        <v>2</v>
      </c>
      <c r="AH2505" t="s">
        <v>34</v>
      </c>
      <c r="AI2505" t="s">
        <v>35</v>
      </c>
      <c r="AJ2505" t="s">
        <v>36</v>
      </c>
    </row>
    <row r="2506" spans="1:36">
      <c r="A2506" t="s">
        <v>6347</v>
      </c>
      <c r="B2506" t="s">
        <v>6348</v>
      </c>
      <c r="F2506" t="str">
        <f t="shared" ref="F2506:F2569" si="39">CHOOSE($C$1, A2506, B2506)</f>
        <v>67304</v>
      </c>
      <c r="AG2506" t="s">
        <v>4</v>
      </c>
    </row>
    <row r="2507" spans="1:36">
      <c r="A2507" t="s">
        <v>6349</v>
      </c>
      <c r="B2507" t="s">
        <v>6350</v>
      </c>
      <c r="F2507" t="str">
        <f t="shared" si="39"/>
        <v>67305</v>
      </c>
      <c r="AG2507" t="s">
        <v>4</v>
      </c>
    </row>
    <row r="2508" spans="1:36">
      <c r="A2508" t="s">
        <v>6351</v>
      </c>
      <c r="B2508" t="s">
        <v>6352</v>
      </c>
      <c r="F2508" t="str">
        <f t="shared" si="39"/>
        <v>67306</v>
      </c>
      <c r="AG2508" t="s">
        <v>4</v>
      </c>
    </row>
    <row r="2509" spans="1:36">
      <c r="A2509" t="s">
        <v>6353</v>
      </c>
      <c r="B2509" t="s">
        <v>6354</v>
      </c>
      <c r="F2509" t="str">
        <f t="shared" si="39"/>
        <v>67307</v>
      </c>
      <c r="AG2509" t="s">
        <v>4</v>
      </c>
    </row>
    <row r="2510" spans="1:36">
      <c r="A2510" t="s">
        <v>6355</v>
      </c>
      <c r="B2510" t="s">
        <v>6356</v>
      </c>
      <c r="F2510" t="str">
        <f t="shared" si="39"/>
        <v>67308</v>
      </c>
      <c r="AG2510" t="s">
        <v>4</v>
      </c>
    </row>
    <row r="2511" spans="1:36">
      <c r="A2511" t="s">
        <v>6357</v>
      </c>
      <c r="B2511" t="s">
        <v>6358</v>
      </c>
      <c r="F2511" t="str">
        <f t="shared" si="39"/>
        <v>67312</v>
      </c>
      <c r="AG2511" t="s">
        <v>4</v>
      </c>
    </row>
    <row r="2512" spans="1:36">
      <c r="A2512" t="s">
        <v>6359</v>
      </c>
      <c r="B2512" t="s">
        <v>6360</v>
      </c>
      <c r="F2512" t="str">
        <f t="shared" si="39"/>
        <v>67313</v>
      </c>
      <c r="AG2512" t="s">
        <v>4</v>
      </c>
    </row>
    <row r="2513" spans="1:36">
      <c r="A2513" t="s">
        <v>6361</v>
      </c>
      <c r="B2513" t="s">
        <v>6362</v>
      </c>
      <c r="F2513" t="str">
        <f t="shared" si="39"/>
        <v>67317</v>
      </c>
      <c r="AG2513" t="s">
        <v>4</v>
      </c>
    </row>
    <row r="2514" spans="1:36">
      <c r="A2514" t="s">
        <v>6363</v>
      </c>
      <c r="B2514" t="s">
        <v>6364</v>
      </c>
      <c r="F2514" t="str">
        <f t="shared" si="39"/>
        <v>67320</v>
      </c>
      <c r="AG2514" t="s">
        <v>4</v>
      </c>
    </row>
    <row r="2515" spans="1:36">
      <c r="A2515" t="s">
        <v>6365</v>
      </c>
      <c r="B2515" t="s">
        <v>6366</v>
      </c>
      <c r="F2515" t="str">
        <f t="shared" si="39"/>
        <v>67321</v>
      </c>
      <c r="AG2515" t="s">
        <v>4</v>
      </c>
    </row>
    <row r="2516" spans="1:36">
      <c r="A2516" t="s">
        <v>6367</v>
      </c>
      <c r="B2516" t="s">
        <v>6368</v>
      </c>
      <c r="F2516" t="str">
        <f t="shared" si="39"/>
        <v>67324</v>
      </c>
      <c r="AG2516" t="s">
        <v>4</v>
      </c>
    </row>
    <row r="2517" spans="1:36">
      <c r="A2517" t="s">
        <v>6369</v>
      </c>
      <c r="B2517" t="s">
        <v>6370</v>
      </c>
      <c r="F2517" t="str">
        <f t="shared" si="39"/>
        <v>67329</v>
      </c>
      <c r="AE2517">
        <v>1348110046624</v>
      </c>
      <c r="AG2517" t="s">
        <v>4</v>
      </c>
      <c r="AH2517" t="s">
        <v>1485</v>
      </c>
      <c r="AI2517" t="s">
        <v>249</v>
      </c>
      <c r="AJ2517" t="s">
        <v>1486</v>
      </c>
    </row>
    <row r="2518" spans="1:36">
      <c r="A2518" t="s">
        <v>6371</v>
      </c>
      <c r="B2518" t="s">
        <v>6372</v>
      </c>
      <c r="F2518" t="str">
        <f t="shared" si="39"/>
        <v>67343</v>
      </c>
      <c r="AG2518" t="s">
        <v>4</v>
      </c>
    </row>
    <row r="2519" spans="1:36">
      <c r="A2519" t="s">
        <v>6373</v>
      </c>
      <c r="B2519" t="s">
        <v>6374</v>
      </c>
      <c r="F2519" t="str">
        <f t="shared" si="39"/>
        <v>67344</v>
      </c>
      <c r="AG2519" t="s">
        <v>4</v>
      </c>
    </row>
    <row r="2520" spans="1:36">
      <c r="A2520" t="s">
        <v>6375</v>
      </c>
      <c r="B2520" t="s">
        <v>6376</v>
      </c>
      <c r="F2520" t="str">
        <f t="shared" si="39"/>
        <v>67350</v>
      </c>
      <c r="AG2520" t="s">
        <v>4</v>
      </c>
    </row>
    <row r="2521" spans="1:36">
      <c r="A2521" t="s">
        <v>6377</v>
      </c>
      <c r="B2521" t="s">
        <v>6378</v>
      </c>
      <c r="F2521" t="str">
        <f t="shared" si="39"/>
        <v>67352</v>
      </c>
      <c r="AG2521" t="s">
        <v>4</v>
      </c>
    </row>
    <row r="2522" spans="1:36">
      <c r="A2522" t="s">
        <v>6379</v>
      </c>
      <c r="B2522" t="s">
        <v>6380</v>
      </c>
      <c r="F2522" t="str">
        <f t="shared" si="39"/>
        <v>67354</v>
      </c>
      <c r="AG2522" t="s">
        <v>4</v>
      </c>
    </row>
    <row r="2523" spans="1:36">
      <c r="A2523" t="s">
        <v>6381</v>
      </c>
      <c r="B2523" t="s">
        <v>6382</v>
      </c>
      <c r="F2523" t="str">
        <f t="shared" si="39"/>
        <v>67356</v>
      </c>
      <c r="AG2523" t="s">
        <v>4</v>
      </c>
    </row>
    <row r="2524" spans="1:36">
      <c r="A2524" t="s">
        <v>6383</v>
      </c>
      <c r="B2524" t="s">
        <v>6384</v>
      </c>
      <c r="F2524" t="str">
        <f t="shared" si="39"/>
        <v>67359</v>
      </c>
      <c r="AG2524" t="s">
        <v>4</v>
      </c>
    </row>
    <row r="2525" spans="1:36">
      <c r="A2525" t="s">
        <v>6385</v>
      </c>
      <c r="B2525" t="s">
        <v>6386</v>
      </c>
      <c r="F2525" t="str">
        <f t="shared" si="39"/>
        <v>67361</v>
      </c>
      <c r="AG2525" t="s">
        <v>4</v>
      </c>
    </row>
    <row r="2526" spans="1:36">
      <c r="A2526" t="s">
        <v>6387</v>
      </c>
      <c r="B2526" t="s">
        <v>6388</v>
      </c>
      <c r="F2526" t="str">
        <f t="shared" si="39"/>
        <v>67363</v>
      </c>
      <c r="AE2526">
        <v>1641710000052</v>
      </c>
      <c r="AG2526" t="s">
        <v>4</v>
      </c>
      <c r="AH2526" t="s">
        <v>862</v>
      </c>
      <c r="AI2526" t="s">
        <v>483</v>
      </c>
      <c r="AJ2526" t="s">
        <v>863</v>
      </c>
    </row>
    <row r="2527" spans="1:36">
      <c r="A2527" t="s">
        <v>6389</v>
      </c>
      <c r="B2527" t="s">
        <v>6390</v>
      </c>
      <c r="F2527" t="str">
        <f t="shared" si="39"/>
        <v>67364</v>
      </c>
      <c r="AG2527" t="s">
        <v>4</v>
      </c>
    </row>
    <row r="2528" spans="1:36">
      <c r="A2528" t="s">
        <v>6391</v>
      </c>
      <c r="B2528" t="s">
        <v>6392</v>
      </c>
      <c r="F2528" t="str">
        <f t="shared" si="39"/>
        <v>67365</v>
      </c>
      <c r="AE2528">
        <v>1101116332590</v>
      </c>
      <c r="AG2528" t="s">
        <v>2</v>
      </c>
      <c r="AH2528" t="s">
        <v>679</v>
      </c>
      <c r="AI2528" t="s">
        <v>150</v>
      </c>
      <c r="AJ2528" t="s">
        <v>399</v>
      </c>
    </row>
    <row r="2529" spans="1:36">
      <c r="A2529" t="s">
        <v>6393</v>
      </c>
      <c r="B2529" t="s">
        <v>6394</v>
      </c>
      <c r="F2529" t="str">
        <f t="shared" si="39"/>
        <v>67366</v>
      </c>
      <c r="AG2529" t="s">
        <v>4</v>
      </c>
    </row>
    <row r="2530" spans="1:36">
      <c r="A2530" t="s">
        <v>6395</v>
      </c>
      <c r="B2530" t="s">
        <v>6396</v>
      </c>
      <c r="F2530" t="str">
        <f t="shared" si="39"/>
        <v>67367</v>
      </c>
      <c r="AE2530">
        <v>1101111714818</v>
      </c>
      <c r="AG2530" t="s">
        <v>4</v>
      </c>
      <c r="AH2530" t="s">
        <v>1033</v>
      </c>
      <c r="AI2530" t="s">
        <v>6</v>
      </c>
      <c r="AJ2530" t="s">
        <v>1034</v>
      </c>
    </row>
    <row r="2531" spans="1:36">
      <c r="A2531" t="s">
        <v>6397</v>
      </c>
      <c r="B2531" t="s">
        <v>6398</v>
      </c>
      <c r="F2531" t="str">
        <f t="shared" si="39"/>
        <v>67368</v>
      </c>
      <c r="AE2531">
        <v>1101116364212</v>
      </c>
      <c r="AG2531" t="s">
        <v>4</v>
      </c>
      <c r="AH2531" t="s">
        <v>645</v>
      </c>
      <c r="AI2531" t="s">
        <v>214</v>
      </c>
      <c r="AJ2531" t="s">
        <v>646</v>
      </c>
    </row>
    <row r="2532" spans="1:36">
      <c r="A2532" t="s">
        <v>6399</v>
      </c>
      <c r="B2532" t="s">
        <v>6400</v>
      </c>
      <c r="F2532" t="str">
        <f t="shared" si="39"/>
        <v>67369</v>
      </c>
      <c r="AG2532" t="s">
        <v>4</v>
      </c>
    </row>
    <row r="2533" spans="1:36">
      <c r="A2533" t="s">
        <v>6401</v>
      </c>
      <c r="B2533" t="s">
        <v>6402</v>
      </c>
      <c r="F2533" t="str">
        <f t="shared" si="39"/>
        <v>67370</v>
      </c>
      <c r="AG2533" t="s">
        <v>4</v>
      </c>
    </row>
    <row r="2534" spans="1:36">
      <c r="A2534" t="s">
        <v>6403</v>
      </c>
      <c r="B2534" t="s">
        <v>6404</v>
      </c>
      <c r="F2534" t="str">
        <f t="shared" si="39"/>
        <v>67372</v>
      </c>
      <c r="AE2534">
        <v>1101116363850</v>
      </c>
      <c r="AG2534" t="s">
        <v>2</v>
      </c>
      <c r="AH2534" t="s">
        <v>1488</v>
      </c>
      <c r="AI2534" t="s">
        <v>70</v>
      </c>
      <c r="AJ2534" t="s">
        <v>784</v>
      </c>
    </row>
    <row r="2535" spans="1:36">
      <c r="A2535" t="s">
        <v>6405</v>
      </c>
      <c r="B2535" t="s">
        <v>6406</v>
      </c>
      <c r="F2535" t="str">
        <f t="shared" si="39"/>
        <v>67375</v>
      </c>
      <c r="AE2535">
        <v>1701110638661</v>
      </c>
      <c r="AG2535" t="s">
        <v>2</v>
      </c>
      <c r="AH2535" t="s">
        <v>15</v>
      </c>
      <c r="AI2535" t="s">
        <v>16</v>
      </c>
      <c r="AJ2535" t="s">
        <v>17</v>
      </c>
    </row>
    <row r="2536" spans="1:36">
      <c r="A2536" t="s">
        <v>6407</v>
      </c>
      <c r="B2536" t="s">
        <v>6408</v>
      </c>
      <c r="F2536" t="str">
        <f t="shared" si="39"/>
        <v>67376</v>
      </c>
      <c r="AE2536">
        <v>1101116363868</v>
      </c>
      <c r="AG2536" t="s">
        <v>2</v>
      </c>
      <c r="AH2536" t="s">
        <v>957</v>
      </c>
      <c r="AI2536" t="s">
        <v>65</v>
      </c>
      <c r="AJ2536" t="s">
        <v>958</v>
      </c>
    </row>
    <row r="2537" spans="1:36">
      <c r="A2537" t="s">
        <v>6409</v>
      </c>
      <c r="B2537" t="s">
        <v>6410</v>
      </c>
      <c r="F2537" t="str">
        <f t="shared" si="39"/>
        <v>67382</v>
      </c>
      <c r="AG2537" t="s">
        <v>4</v>
      </c>
    </row>
    <row r="2538" spans="1:36">
      <c r="A2538" t="s">
        <v>6411</v>
      </c>
      <c r="B2538" t="s">
        <v>6412</v>
      </c>
      <c r="F2538" t="str">
        <f t="shared" si="39"/>
        <v>67386</v>
      </c>
      <c r="AG2538" t="s">
        <v>4</v>
      </c>
    </row>
    <row r="2539" spans="1:36">
      <c r="A2539" t="s">
        <v>6413</v>
      </c>
      <c r="B2539" t="s">
        <v>6414</v>
      </c>
      <c r="F2539" t="str">
        <f t="shared" si="39"/>
        <v>67387</v>
      </c>
      <c r="AG2539" t="s">
        <v>4</v>
      </c>
    </row>
    <row r="2540" spans="1:36">
      <c r="A2540" t="s">
        <v>6415</v>
      </c>
      <c r="B2540" t="s">
        <v>6416</v>
      </c>
      <c r="F2540" t="str">
        <f t="shared" si="39"/>
        <v>67390</v>
      </c>
      <c r="AG2540" t="s">
        <v>4</v>
      </c>
    </row>
    <row r="2541" spans="1:36">
      <c r="A2541" t="s">
        <v>6417</v>
      </c>
      <c r="B2541" t="s">
        <v>6418</v>
      </c>
      <c r="F2541" t="str">
        <f t="shared" si="39"/>
        <v>67400</v>
      </c>
      <c r="AG2541" t="s">
        <v>4</v>
      </c>
    </row>
    <row r="2542" spans="1:36">
      <c r="A2542" t="s">
        <v>6419</v>
      </c>
      <c r="B2542" t="s">
        <v>6420</v>
      </c>
      <c r="F2542" t="str">
        <f t="shared" si="39"/>
        <v>67409</v>
      </c>
      <c r="AE2542">
        <v>1101116390770</v>
      </c>
      <c r="AG2542" t="s">
        <v>2</v>
      </c>
      <c r="AH2542" t="s">
        <v>1186</v>
      </c>
      <c r="AI2542" t="s">
        <v>150</v>
      </c>
      <c r="AJ2542" t="s">
        <v>1187</v>
      </c>
    </row>
    <row r="2543" spans="1:36">
      <c r="A2543" t="s">
        <v>6421</v>
      </c>
      <c r="B2543" t="s">
        <v>6422</v>
      </c>
      <c r="F2543" t="str">
        <f t="shared" si="39"/>
        <v>67410</v>
      </c>
      <c r="AE2543">
        <v>1615110225312</v>
      </c>
      <c r="AG2543" t="s">
        <v>4</v>
      </c>
      <c r="AH2543" t="s">
        <v>1000</v>
      </c>
      <c r="AI2543" t="s">
        <v>186</v>
      </c>
      <c r="AJ2543" t="s">
        <v>1001</v>
      </c>
    </row>
    <row r="2544" spans="1:36">
      <c r="A2544" t="s">
        <v>6423</v>
      </c>
      <c r="B2544" t="s">
        <v>6424</v>
      </c>
      <c r="F2544" t="str">
        <f t="shared" si="39"/>
        <v>67411</v>
      </c>
      <c r="AG2544" t="s">
        <v>4</v>
      </c>
    </row>
    <row r="2545" spans="1:36">
      <c r="A2545" t="s">
        <v>6425</v>
      </c>
      <c r="B2545" t="s">
        <v>6426</v>
      </c>
      <c r="F2545" t="str">
        <f t="shared" si="39"/>
        <v>67412</v>
      </c>
      <c r="AG2545" t="s">
        <v>4</v>
      </c>
    </row>
    <row r="2546" spans="1:36">
      <c r="A2546" t="s">
        <v>6427</v>
      </c>
      <c r="B2546" t="s">
        <v>6428</v>
      </c>
      <c r="F2546" t="str">
        <f t="shared" si="39"/>
        <v>67429</v>
      </c>
      <c r="AG2546" t="s">
        <v>4</v>
      </c>
    </row>
    <row r="2547" spans="1:36">
      <c r="A2547" t="s">
        <v>6429</v>
      </c>
      <c r="B2547" t="s">
        <v>6430</v>
      </c>
      <c r="F2547" t="str">
        <f t="shared" si="39"/>
        <v>67430</v>
      </c>
      <c r="AG2547" t="s">
        <v>4</v>
      </c>
    </row>
    <row r="2548" spans="1:36">
      <c r="A2548" t="s">
        <v>6431</v>
      </c>
      <c r="B2548" t="s">
        <v>6432</v>
      </c>
      <c r="F2548" t="str">
        <f t="shared" si="39"/>
        <v>67431</v>
      </c>
      <c r="AE2548">
        <v>1101116417805</v>
      </c>
      <c r="AG2548" t="s">
        <v>2</v>
      </c>
      <c r="AH2548" t="s">
        <v>638</v>
      </c>
      <c r="AI2548" t="s">
        <v>150</v>
      </c>
      <c r="AJ2548" t="s">
        <v>639</v>
      </c>
    </row>
    <row r="2549" spans="1:36">
      <c r="A2549" t="s">
        <v>6433</v>
      </c>
      <c r="B2549" t="s">
        <v>6434</v>
      </c>
      <c r="F2549" t="str">
        <f t="shared" si="39"/>
        <v>67432</v>
      </c>
      <c r="AE2549">
        <v>1311110454337</v>
      </c>
      <c r="AG2549" t="s">
        <v>4</v>
      </c>
    </row>
    <row r="2550" spans="1:36">
      <c r="A2550" t="s">
        <v>6435</v>
      </c>
      <c r="B2550" t="s">
        <v>6436</v>
      </c>
      <c r="F2550" t="str">
        <f t="shared" si="39"/>
        <v>67433</v>
      </c>
      <c r="AE2550">
        <v>1101116425741</v>
      </c>
      <c r="AG2550" t="s">
        <v>4</v>
      </c>
    </row>
    <row r="2551" spans="1:36">
      <c r="A2551" t="s">
        <v>6437</v>
      </c>
      <c r="B2551" t="s">
        <v>6438</v>
      </c>
      <c r="F2551" t="str">
        <f t="shared" si="39"/>
        <v>67434</v>
      </c>
      <c r="AE2551">
        <v>1101116425551</v>
      </c>
      <c r="AG2551" t="s">
        <v>4</v>
      </c>
    </row>
    <row r="2552" spans="1:36">
      <c r="A2552" t="s">
        <v>6439</v>
      </c>
      <c r="B2552" t="s">
        <v>6440</v>
      </c>
      <c r="F2552" t="str">
        <f t="shared" si="39"/>
        <v>67435</v>
      </c>
      <c r="AE2552">
        <v>1101114572619</v>
      </c>
      <c r="AG2552" t="s">
        <v>4</v>
      </c>
      <c r="AH2552" t="s">
        <v>559</v>
      </c>
      <c r="AI2552" t="s">
        <v>278</v>
      </c>
      <c r="AJ2552" t="s">
        <v>560</v>
      </c>
    </row>
    <row r="2553" spans="1:36">
      <c r="A2553" t="s">
        <v>6441</v>
      </c>
      <c r="B2553" t="s">
        <v>6442</v>
      </c>
      <c r="F2553" t="str">
        <f t="shared" si="39"/>
        <v>67436</v>
      </c>
      <c r="AE2553">
        <v>2401710023902</v>
      </c>
      <c r="AG2553" t="s">
        <v>4</v>
      </c>
      <c r="AH2553" t="s">
        <v>936</v>
      </c>
      <c r="AI2553" t="s">
        <v>26</v>
      </c>
      <c r="AJ2553" t="s">
        <v>937</v>
      </c>
    </row>
    <row r="2554" spans="1:36">
      <c r="A2554" t="s">
        <v>6443</v>
      </c>
      <c r="B2554" t="s">
        <v>6444</v>
      </c>
      <c r="F2554" t="str">
        <f t="shared" si="39"/>
        <v>67437</v>
      </c>
      <c r="AG2554" t="s">
        <v>4</v>
      </c>
    </row>
    <row r="2555" spans="1:36">
      <c r="A2555" t="s">
        <v>6445</v>
      </c>
      <c r="B2555" t="s">
        <v>6446</v>
      </c>
      <c r="F2555" t="str">
        <f t="shared" si="39"/>
        <v>67438</v>
      </c>
      <c r="AG2555" t="s">
        <v>4</v>
      </c>
    </row>
    <row r="2556" spans="1:36">
      <c r="A2556" t="s">
        <v>6447</v>
      </c>
      <c r="B2556" t="s">
        <v>6448</v>
      </c>
      <c r="F2556" t="str">
        <f t="shared" si="39"/>
        <v>67439</v>
      </c>
      <c r="AG2556" t="s">
        <v>4</v>
      </c>
    </row>
    <row r="2557" spans="1:36">
      <c r="A2557" t="s">
        <v>6449</v>
      </c>
      <c r="B2557" t="s">
        <v>6450</v>
      </c>
      <c r="F2557" t="str">
        <f t="shared" si="39"/>
        <v>67440</v>
      </c>
      <c r="AF2557" t="s">
        <v>53</v>
      </c>
      <c r="AG2557" t="s">
        <v>4</v>
      </c>
    </row>
    <row r="2558" spans="1:36">
      <c r="A2558" t="s">
        <v>6451</v>
      </c>
      <c r="B2558" t="s">
        <v>6452</v>
      </c>
      <c r="F2558" t="str">
        <f t="shared" si="39"/>
        <v>67441</v>
      </c>
      <c r="AG2558" t="s">
        <v>4</v>
      </c>
    </row>
    <row r="2559" spans="1:36">
      <c r="A2559" t="s">
        <v>6453</v>
      </c>
      <c r="B2559" t="s">
        <v>6454</v>
      </c>
      <c r="F2559" t="str">
        <f t="shared" si="39"/>
        <v>67442</v>
      </c>
      <c r="AG2559" t="s">
        <v>4</v>
      </c>
    </row>
    <row r="2560" spans="1:36">
      <c r="A2560" t="s">
        <v>6455</v>
      </c>
      <c r="B2560" t="s">
        <v>6456</v>
      </c>
      <c r="F2560" t="str">
        <f t="shared" si="39"/>
        <v>67443</v>
      </c>
      <c r="AG2560" t="s">
        <v>4</v>
      </c>
    </row>
    <row r="2561" spans="1:36">
      <c r="A2561" t="s">
        <v>6457</v>
      </c>
      <c r="B2561" t="s">
        <v>6458</v>
      </c>
      <c r="F2561" t="str">
        <f t="shared" si="39"/>
        <v>67452</v>
      </c>
      <c r="AE2561">
        <v>1101115125962</v>
      </c>
      <c r="AG2561" t="s">
        <v>4</v>
      </c>
      <c r="AH2561" t="s">
        <v>1491</v>
      </c>
      <c r="AI2561" t="s">
        <v>70</v>
      </c>
      <c r="AJ2561" t="s">
        <v>1492</v>
      </c>
    </row>
    <row r="2562" spans="1:36">
      <c r="A2562" t="s">
        <v>6459</v>
      </c>
      <c r="B2562" t="s">
        <v>6460</v>
      </c>
      <c r="F2562" t="str">
        <f t="shared" si="39"/>
        <v>67453</v>
      </c>
      <c r="AG2562" t="s">
        <v>4</v>
      </c>
    </row>
    <row r="2563" spans="1:36">
      <c r="A2563" t="s">
        <v>6461</v>
      </c>
      <c r="B2563" t="s">
        <v>6462</v>
      </c>
      <c r="F2563" t="str">
        <f t="shared" si="39"/>
        <v>67454</v>
      </c>
      <c r="AG2563" t="s">
        <v>4</v>
      </c>
    </row>
    <row r="2564" spans="1:36">
      <c r="A2564" t="s">
        <v>6463</v>
      </c>
      <c r="B2564" t="s">
        <v>6464</v>
      </c>
      <c r="F2564" t="str">
        <f t="shared" si="39"/>
        <v>67455</v>
      </c>
      <c r="AE2564">
        <v>1760110020640</v>
      </c>
      <c r="AG2564" t="s">
        <v>4</v>
      </c>
      <c r="AH2564" t="s">
        <v>913</v>
      </c>
      <c r="AI2564" t="s">
        <v>914</v>
      </c>
      <c r="AJ2564" t="s">
        <v>915</v>
      </c>
    </row>
    <row r="2565" spans="1:36">
      <c r="A2565" t="s">
        <v>6465</v>
      </c>
      <c r="B2565" t="s">
        <v>6466</v>
      </c>
      <c r="F2565" t="str">
        <f t="shared" si="39"/>
        <v>67456</v>
      </c>
      <c r="AG2565" t="s">
        <v>4</v>
      </c>
    </row>
    <row r="2566" spans="1:36">
      <c r="A2566" t="s">
        <v>6467</v>
      </c>
      <c r="B2566" t="s">
        <v>6468</v>
      </c>
      <c r="F2566" t="str">
        <f t="shared" si="39"/>
        <v>67457</v>
      </c>
      <c r="AE2566">
        <v>1101116536481</v>
      </c>
      <c r="AF2566" t="s">
        <v>93</v>
      </c>
      <c r="AG2566" t="s">
        <v>2</v>
      </c>
      <c r="AH2566" t="s">
        <v>638</v>
      </c>
      <c r="AI2566" t="s">
        <v>150</v>
      </c>
      <c r="AJ2566" t="s">
        <v>639</v>
      </c>
    </row>
    <row r="2567" spans="1:36">
      <c r="A2567" t="s">
        <v>6469</v>
      </c>
      <c r="B2567" t="s">
        <v>6470</v>
      </c>
      <c r="F2567" t="str">
        <f t="shared" si="39"/>
        <v>67458</v>
      </c>
      <c r="AG2567" t="s">
        <v>4</v>
      </c>
    </row>
    <row r="2568" spans="1:36">
      <c r="A2568" t="s">
        <v>6471</v>
      </c>
      <c r="B2568" t="s">
        <v>6472</v>
      </c>
      <c r="F2568" t="str">
        <f t="shared" si="39"/>
        <v>67459</v>
      </c>
      <c r="AE2568">
        <v>1101116557114</v>
      </c>
      <c r="AG2568" t="s">
        <v>2</v>
      </c>
      <c r="AH2568" t="s">
        <v>598</v>
      </c>
      <c r="AI2568" t="s">
        <v>503</v>
      </c>
      <c r="AJ2568" t="s">
        <v>599</v>
      </c>
    </row>
    <row r="2569" spans="1:36">
      <c r="A2569" t="s">
        <v>6473</v>
      </c>
      <c r="B2569" t="s">
        <v>6474</v>
      </c>
      <c r="F2569" t="str">
        <f t="shared" si="39"/>
        <v>67463</v>
      </c>
      <c r="AG2569" t="s">
        <v>4</v>
      </c>
    </row>
    <row r="2570" spans="1:36">
      <c r="A2570" t="s">
        <v>6475</v>
      </c>
      <c r="B2570" t="s">
        <v>6476</v>
      </c>
      <c r="F2570" t="str">
        <f t="shared" ref="F2570:F2633" si="40">CHOOSE($C$1, A2570, B2570)</f>
        <v>67464</v>
      </c>
      <c r="AG2570" t="s">
        <v>4</v>
      </c>
    </row>
    <row r="2571" spans="1:36">
      <c r="A2571" t="s">
        <v>6477</v>
      </c>
      <c r="B2571" t="s">
        <v>6478</v>
      </c>
      <c r="F2571" t="str">
        <f t="shared" si="40"/>
        <v>67465</v>
      </c>
      <c r="AG2571" t="s">
        <v>4</v>
      </c>
    </row>
    <row r="2572" spans="1:36">
      <c r="A2572" t="s">
        <v>6479</v>
      </c>
      <c r="B2572" t="s">
        <v>6480</v>
      </c>
      <c r="F2572" t="str">
        <f t="shared" si="40"/>
        <v>67466</v>
      </c>
      <c r="AG2572" t="s">
        <v>4</v>
      </c>
    </row>
    <row r="2573" spans="1:36">
      <c r="A2573" t="s">
        <v>6481</v>
      </c>
      <c r="B2573" t="s">
        <v>6482</v>
      </c>
      <c r="F2573" t="str">
        <f t="shared" si="40"/>
        <v>67467</v>
      </c>
      <c r="AG2573" t="s">
        <v>4</v>
      </c>
    </row>
    <row r="2574" spans="1:36">
      <c r="A2574" t="s">
        <v>6483</v>
      </c>
      <c r="B2574" t="s">
        <v>6484</v>
      </c>
      <c r="F2574" t="str">
        <f t="shared" si="40"/>
        <v>67468</v>
      </c>
      <c r="AG2574" t="s">
        <v>4</v>
      </c>
    </row>
    <row r="2575" spans="1:36">
      <c r="A2575" t="s">
        <v>6485</v>
      </c>
      <c r="B2575" t="s">
        <v>6486</v>
      </c>
      <c r="F2575" t="str">
        <f t="shared" si="40"/>
        <v>67469</v>
      </c>
      <c r="AG2575" t="s">
        <v>4</v>
      </c>
    </row>
    <row r="2576" spans="1:36">
      <c r="A2576" t="s">
        <v>6487</v>
      </c>
      <c r="B2576" t="s">
        <v>6488</v>
      </c>
      <c r="F2576" t="str">
        <f t="shared" si="40"/>
        <v>67470</v>
      </c>
      <c r="AE2576">
        <v>1311110501021</v>
      </c>
      <c r="AF2576" t="s">
        <v>74</v>
      </c>
      <c r="AG2576" t="s">
        <v>2</v>
      </c>
      <c r="AH2576" t="s">
        <v>128</v>
      </c>
      <c r="AI2576" t="s">
        <v>59</v>
      </c>
      <c r="AJ2576" t="s">
        <v>129</v>
      </c>
    </row>
    <row r="2577" spans="1:33">
      <c r="A2577" t="s">
        <v>6489</v>
      </c>
      <c r="B2577" t="s">
        <v>6490</v>
      </c>
      <c r="F2577" t="str">
        <f t="shared" si="40"/>
        <v>67471</v>
      </c>
      <c r="AG2577" t="s">
        <v>4</v>
      </c>
    </row>
    <row r="2578" spans="1:33">
      <c r="A2578" t="s">
        <v>6491</v>
      </c>
      <c r="B2578" t="s">
        <v>6492</v>
      </c>
      <c r="F2578" t="str">
        <f t="shared" si="40"/>
        <v>67499</v>
      </c>
      <c r="AG2578" t="s">
        <v>4</v>
      </c>
    </row>
    <row r="2579" spans="1:33">
      <c r="A2579" t="s">
        <v>6493</v>
      </c>
      <c r="B2579" t="s">
        <v>6494</v>
      </c>
      <c r="F2579" t="str">
        <f t="shared" si="40"/>
        <v>67514</v>
      </c>
      <c r="AG2579" t="s">
        <v>4</v>
      </c>
    </row>
    <row r="2580" spans="1:33">
      <c r="A2580" t="s">
        <v>6495</v>
      </c>
      <c r="B2580" t="s">
        <v>6496</v>
      </c>
      <c r="F2580" t="str">
        <f t="shared" si="40"/>
        <v>67515</v>
      </c>
      <c r="AG2580" t="s">
        <v>4</v>
      </c>
    </row>
    <row r="2581" spans="1:33">
      <c r="A2581" t="s">
        <v>6497</v>
      </c>
      <c r="B2581" t="s">
        <v>6498</v>
      </c>
      <c r="F2581" t="str">
        <f t="shared" si="40"/>
        <v>67516</v>
      </c>
      <c r="AG2581" t="s">
        <v>4</v>
      </c>
    </row>
    <row r="2582" spans="1:33">
      <c r="A2582" t="s">
        <v>6499</v>
      </c>
      <c r="B2582" t="s">
        <v>6500</v>
      </c>
      <c r="F2582" t="str">
        <f t="shared" si="40"/>
        <v>67541</v>
      </c>
      <c r="AG2582" t="s">
        <v>4</v>
      </c>
    </row>
    <row r="2583" spans="1:33">
      <c r="A2583" t="s">
        <v>6501</v>
      </c>
      <c r="B2583" t="s">
        <v>6502</v>
      </c>
      <c r="F2583" t="str">
        <f t="shared" si="40"/>
        <v>67543</v>
      </c>
      <c r="AG2583" t="s">
        <v>4</v>
      </c>
    </row>
    <row r="2584" spans="1:33">
      <c r="A2584" t="s">
        <v>6503</v>
      </c>
      <c r="B2584" t="s">
        <v>6504</v>
      </c>
      <c r="F2584" t="str">
        <f t="shared" si="40"/>
        <v>67552</v>
      </c>
      <c r="AG2584" t="s">
        <v>4</v>
      </c>
    </row>
    <row r="2585" spans="1:33">
      <c r="A2585" t="s">
        <v>6505</v>
      </c>
      <c r="B2585" t="s">
        <v>6506</v>
      </c>
      <c r="F2585" t="str">
        <f t="shared" si="40"/>
        <v>67553</v>
      </c>
      <c r="AG2585" t="s">
        <v>4</v>
      </c>
    </row>
    <row r="2586" spans="1:33">
      <c r="A2586" t="s">
        <v>6507</v>
      </c>
      <c r="B2586" t="s">
        <v>6508</v>
      </c>
      <c r="F2586" t="str">
        <f t="shared" si="40"/>
        <v>67554</v>
      </c>
      <c r="AG2586" t="s">
        <v>4</v>
      </c>
    </row>
    <row r="2587" spans="1:33">
      <c r="A2587" t="s">
        <v>6509</v>
      </c>
      <c r="B2587" t="s">
        <v>6510</v>
      </c>
      <c r="F2587" t="str">
        <f t="shared" si="40"/>
        <v>67555</v>
      </c>
      <c r="AG2587" t="s">
        <v>4</v>
      </c>
    </row>
    <row r="2588" spans="1:33">
      <c r="A2588" t="s">
        <v>6511</v>
      </c>
      <c r="B2588" t="s">
        <v>6512</v>
      </c>
      <c r="F2588" t="str">
        <f t="shared" si="40"/>
        <v>67556</v>
      </c>
      <c r="AG2588" t="s">
        <v>4</v>
      </c>
    </row>
    <row r="2589" spans="1:33">
      <c r="A2589" t="s">
        <v>6513</v>
      </c>
      <c r="B2589" t="s">
        <v>6514</v>
      </c>
      <c r="F2589" t="str">
        <f t="shared" si="40"/>
        <v>67557</v>
      </c>
      <c r="AG2589" t="s">
        <v>4</v>
      </c>
    </row>
    <row r="2590" spans="1:33">
      <c r="A2590" t="s">
        <v>6515</v>
      </c>
      <c r="B2590" t="s">
        <v>6516</v>
      </c>
      <c r="F2590" t="str">
        <f t="shared" si="40"/>
        <v>67558</v>
      </c>
      <c r="AG2590" t="s">
        <v>4</v>
      </c>
    </row>
    <row r="2591" spans="1:33">
      <c r="A2591" t="s">
        <v>6517</v>
      </c>
      <c r="B2591" t="s">
        <v>6518</v>
      </c>
      <c r="F2591" t="str">
        <f t="shared" si="40"/>
        <v>67559</v>
      </c>
      <c r="AG2591" t="s">
        <v>4</v>
      </c>
    </row>
    <row r="2592" spans="1:33">
      <c r="A2592" t="s">
        <v>6519</v>
      </c>
      <c r="B2592" t="s">
        <v>6520</v>
      </c>
      <c r="F2592" t="str">
        <f t="shared" si="40"/>
        <v>67560</v>
      </c>
      <c r="AG2592" t="s">
        <v>4</v>
      </c>
    </row>
    <row r="2593" spans="1:36">
      <c r="A2593" t="s">
        <v>6521</v>
      </c>
      <c r="B2593" t="s">
        <v>6522</v>
      </c>
      <c r="F2593" t="str">
        <f t="shared" si="40"/>
        <v>67561</v>
      </c>
      <c r="AG2593" t="s">
        <v>4</v>
      </c>
    </row>
    <row r="2594" spans="1:36">
      <c r="A2594" t="s">
        <v>6523</v>
      </c>
      <c r="B2594" t="s">
        <v>6524</v>
      </c>
      <c r="F2594" t="str">
        <f t="shared" si="40"/>
        <v>67562</v>
      </c>
      <c r="AG2594" t="s">
        <v>4</v>
      </c>
    </row>
    <row r="2595" spans="1:36">
      <c r="A2595" t="s">
        <v>6525</v>
      </c>
      <c r="B2595" t="s">
        <v>6526</v>
      </c>
      <c r="F2595" t="str">
        <f t="shared" si="40"/>
        <v>67563</v>
      </c>
      <c r="AG2595" t="s">
        <v>4</v>
      </c>
    </row>
    <row r="2596" spans="1:36">
      <c r="A2596" t="s">
        <v>6527</v>
      </c>
      <c r="B2596" t="s">
        <v>6528</v>
      </c>
      <c r="F2596" t="str">
        <f t="shared" si="40"/>
        <v>67564</v>
      </c>
      <c r="AG2596" t="s">
        <v>4</v>
      </c>
    </row>
    <row r="2597" spans="1:36">
      <c r="A2597" t="s">
        <v>6529</v>
      </c>
      <c r="B2597" t="s">
        <v>6530</v>
      </c>
      <c r="F2597" t="str">
        <f t="shared" si="40"/>
        <v>67574</v>
      </c>
      <c r="AG2597" t="s">
        <v>4</v>
      </c>
    </row>
    <row r="2598" spans="1:36">
      <c r="A2598" t="s">
        <v>6531</v>
      </c>
      <c r="B2598" t="s">
        <v>6532</v>
      </c>
      <c r="F2598" t="str">
        <f t="shared" si="40"/>
        <v>67576</v>
      </c>
      <c r="AE2598">
        <v>1648110015300</v>
      </c>
      <c r="AG2598" t="s">
        <v>4</v>
      </c>
      <c r="AH2598" t="s">
        <v>1498</v>
      </c>
      <c r="AI2598" t="s">
        <v>70</v>
      </c>
      <c r="AJ2598" t="s">
        <v>1499</v>
      </c>
    </row>
    <row r="2599" spans="1:36">
      <c r="A2599" t="s">
        <v>6533</v>
      </c>
      <c r="B2599" t="s">
        <v>6534</v>
      </c>
      <c r="F2599" t="str">
        <f t="shared" si="40"/>
        <v>67577</v>
      </c>
      <c r="AG2599" t="s">
        <v>4</v>
      </c>
    </row>
    <row r="2600" spans="1:36">
      <c r="A2600" t="s">
        <v>6535</v>
      </c>
      <c r="B2600" t="s">
        <v>6536</v>
      </c>
      <c r="F2600" t="str">
        <f t="shared" si="40"/>
        <v>67578</v>
      </c>
      <c r="AE2600">
        <v>1101110040446</v>
      </c>
      <c r="AG2600" t="s">
        <v>4</v>
      </c>
      <c r="AH2600" t="s">
        <v>1374</v>
      </c>
      <c r="AI2600" t="s">
        <v>192</v>
      </c>
      <c r="AJ2600" t="s">
        <v>1375</v>
      </c>
    </row>
    <row r="2601" spans="1:36">
      <c r="A2601" t="s">
        <v>6537</v>
      </c>
      <c r="B2601" t="s">
        <v>6538</v>
      </c>
      <c r="F2601" t="str">
        <f t="shared" si="40"/>
        <v>67579</v>
      </c>
      <c r="AG2601" t="s">
        <v>4</v>
      </c>
    </row>
    <row r="2602" spans="1:36">
      <c r="A2602" t="s">
        <v>6539</v>
      </c>
      <c r="B2602" t="s">
        <v>6540</v>
      </c>
      <c r="F2602" t="str">
        <f t="shared" si="40"/>
        <v>67580</v>
      </c>
      <c r="AE2602">
        <v>1101116708494</v>
      </c>
      <c r="AF2602" t="s">
        <v>68</v>
      </c>
      <c r="AG2602" t="s">
        <v>4</v>
      </c>
      <c r="AH2602" t="s">
        <v>277</v>
      </c>
      <c r="AI2602" t="s">
        <v>278</v>
      </c>
      <c r="AJ2602" t="s">
        <v>279</v>
      </c>
    </row>
    <row r="2603" spans="1:36">
      <c r="A2603" t="s">
        <v>6541</v>
      </c>
      <c r="B2603" t="s">
        <v>6542</v>
      </c>
      <c r="F2603" t="str">
        <f t="shared" si="40"/>
        <v>67582</v>
      </c>
      <c r="AG2603" t="s">
        <v>4</v>
      </c>
    </row>
    <row r="2604" spans="1:36">
      <c r="A2604" t="s">
        <v>6543</v>
      </c>
      <c r="B2604" t="s">
        <v>6544</v>
      </c>
      <c r="F2604" t="str">
        <f t="shared" si="40"/>
        <v>67583</v>
      </c>
      <c r="AG2604" t="s">
        <v>4</v>
      </c>
    </row>
    <row r="2605" spans="1:36">
      <c r="A2605" t="s">
        <v>6545</v>
      </c>
      <c r="B2605" t="s">
        <v>6546</v>
      </c>
      <c r="F2605" t="str">
        <f t="shared" si="40"/>
        <v>67584</v>
      </c>
      <c r="AG2605" t="s">
        <v>4</v>
      </c>
    </row>
    <row r="2606" spans="1:36">
      <c r="A2606" t="s">
        <v>6547</v>
      </c>
      <c r="B2606" t="s">
        <v>6548</v>
      </c>
      <c r="F2606" t="str">
        <f t="shared" si="40"/>
        <v>67585</v>
      </c>
      <c r="AG2606" t="s">
        <v>4</v>
      </c>
    </row>
    <row r="2607" spans="1:36">
      <c r="A2607" t="s">
        <v>6549</v>
      </c>
      <c r="B2607" t="s">
        <v>6550</v>
      </c>
      <c r="F2607" t="str">
        <f t="shared" si="40"/>
        <v>67586</v>
      </c>
      <c r="AG2607" t="s">
        <v>4</v>
      </c>
    </row>
    <row r="2608" spans="1:36">
      <c r="A2608" t="s">
        <v>6551</v>
      </c>
      <c r="B2608" t="s">
        <v>6552</v>
      </c>
      <c r="F2608" t="str">
        <f t="shared" si="40"/>
        <v>67588</v>
      </c>
      <c r="AG2608" t="s">
        <v>4</v>
      </c>
    </row>
    <row r="2609" spans="1:36">
      <c r="A2609" t="s">
        <v>6553</v>
      </c>
      <c r="B2609" t="s">
        <v>6554</v>
      </c>
      <c r="F2609" t="str">
        <f t="shared" si="40"/>
        <v>67589</v>
      </c>
      <c r="AE2609">
        <v>1101116740008</v>
      </c>
      <c r="AF2609" t="s">
        <v>511</v>
      </c>
      <c r="AG2609" t="s">
        <v>4</v>
      </c>
      <c r="AH2609" t="s">
        <v>90</v>
      </c>
      <c r="AI2609" t="s">
        <v>32</v>
      </c>
      <c r="AJ2609" t="s">
        <v>91</v>
      </c>
    </row>
    <row r="2610" spans="1:36">
      <c r="A2610" t="s">
        <v>6555</v>
      </c>
      <c r="B2610" t="s">
        <v>6556</v>
      </c>
      <c r="F2610" t="str">
        <f t="shared" si="40"/>
        <v>67590</v>
      </c>
      <c r="AG2610" t="s">
        <v>4</v>
      </c>
    </row>
    <row r="2611" spans="1:36">
      <c r="A2611" t="s">
        <v>6557</v>
      </c>
      <c r="B2611" t="s">
        <v>6558</v>
      </c>
      <c r="F2611" t="str">
        <f t="shared" si="40"/>
        <v>67591</v>
      </c>
      <c r="AG2611" t="s">
        <v>4</v>
      </c>
    </row>
    <row r="2612" spans="1:36">
      <c r="A2612" t="s">
        <v>6559</v>
      </c>
      <c r="B2612" t="s">
        <v>6560</v>
      </c>
      <c r="F2612" t="str">
        <f t="shared" si="40"/>
        <v>67592</v>
      </c>
      <c r="AG2612" t="s">
        <v>4</v>
      </c>
    </row>
    <row r="2613" spans="1:36">
      <c r="A2613" t="s">
        <v>6561</v>
      </c>
      <c r="B2613" t="s">
        <v>6562</v>
      </c>
      <c r="F2613" t="str">
        <f t="shared" si="40"/>
        <v>67593</v>
      </c>
      <c r="AG2613" t="s">
        <v>4</v>
      </c>
    </row>
    <row r="2614" spans="1:36">
      <c r="A2614" t="s">
        <v>6563</v>
      </c>
      <c r="B2614" t="s">
        <v>6564</v>
      </c>
      <c r="F2614" t="str">
        <f t="shared" si="40"/>
        <v>67595</v>
      </c>
      <c r="AG2614" t="s">
        <v>4</v>
      </c>
    </row>
    <row r="2615" spans="1:36">
      <c r="A2615" t="s">
        <v>6565</v>
      </c>
      <c r="B2615" t="s">
        <v>6566</v>
      </c>
      <c r="F2615" t="str">
        <f t="shared" si="40"/>
        <v>67596</v>
      </c>
      <c r="AF2615" t="s">
        <v>93</v>
      </c>
      <c r="AG2615" t="s">
        <v>4</v>
      </c>
    </row>
    <row r="2616" spans="1:36">
      <c r="A2616" t="s">
        <v>6567</v>
      </c>
      <c r="B2616" t="s">
        <v>6568</v>
      </c>
      <c r="F2616" t="str">
        <f t="shared" si="40"/>
        <v>67597</v>
      </c>
      <c r="AG2616" t="s">
        <v>4</v>
      </c>
    </row>
    <row r="2617" spans="1:36">
      <c r="A2617" t="s">
        <v>6569</v>
      </c>
      <c r="B2617" t="s">
        <v>6570</v>
      </c>
      <c r="F2617" t="str">
        <f t="shared" si="40"/>
        <v>67598</v>
      </c>
      <c r="AG2617" t="s">
        <v>4</v>
      </c>
    </row>
    <row r="2618" spans="1:36">
      <c r="A2618" t="s">
        <v>6571</v>
      </c>
      <c r="B2618" t="s">
        <v>6572</v>
      </c>
      <c r="F2618" t="str">
        <f t="shared" si="40"/>
        <v>67599</v>
      </c>
      <c r="AG2618" t="s">
        <v>4</v>
      </c>
    </row>
    <row r="2619" spans="1:36">
      <c r="A2619" t="s">
        <v>6573</v>
      </c>
      <c r="B2619" t="s">
        <v>6574</v>
      </c>
      <c r="F2619" t="str">
        <f t="shared" si="40"/>
        <v>67600</v>
      </c>
      <c r="AG2619" t="s">
        <v>4</v>
      </c>
    </row>
    <row r="2620" spans="1:36">
      <c r="A2620" t="s">
        <v>6575</v>
      </c>
      <c r="B2620" t="s">
        <v>6576</v>
      </c>
      <c r="F2620" t="str">
        <f t="shared" si="40"/>
        <v>67601</v>
      </c>
      <c r="AE2620">
        <v>2059110000169</v>
      </c>
      <c r="AG2620" t="s">
        <v>4</v>
      </c>
      <c r="AH2620" t="s">
        <v>519</v>
      </c>
      <c r="AI2620" t="s">
        <v>146</v>
      </c>
      <c r="AJ2620" t="s">
        <v>520</v>
      </c>
    </row>
    <row r="2621" spans="1:36">
      <c r="A2621" t="s">
        <v>6577</v>
      </c>
      <c r="B2621" t="s">
        <v>6578</v>
      </c>
      <c r="F2621" t="str">
        <f t="shared" si="40"/>
        <v>67602</v>
      </c>
      <c r="AG2621" t="s">
        <v>4</v>
      </c>
    </row>
    <row r="2622" spans="1:36">
      <c r="A2622" t="s">
        <v>6579</v>
      </c>
      <c r="B2622" t="s">
        <v>6580</v>
      </c>
      <c r="F2622" t="str">
        <f t="shared" si="40"/>
        <v>67604</v>
      </c>
      <c r="AE2622">
        <v>1101116770154</v>
      </c>
      <c r="AF2622" t="s">
        <v>198</v>
      </c>
      <c r="AG2622" t="s">
        <v>4</v>
      </c>
      <c r="AH2622" t="s">
        <v>456</v>
      </c>
      <c r="AI2622" t="s">
        <v>70</v>
      </c>
      <c r="AJ2622" t="s">
        <v>457</v>
      </c>
    </row>
    <row r="2623" spans="1:36">
      <c r="A2623" t="s">
        <v>6581</v>
      </c>
      <c r="B2623" t="s">
        <v>6582</v>
      </c>
      <c r="F2623" t="str">
        <f t="shared" si="40"/>
        <v>67607</v>
      </c>
      <c r="AF2623" t="s">
        <v>198</v>
      </c>
      <c r="AG2623" t="s">
        <v>4</v>
      </c>
    </row>
    <row r="2624" spans="1:36">
      <c r="A2624" t="s">
        <v>6583</v>
      </c>
      <c r="B2624" t="s">
        <v>6584</v>
      </c>
      <c r="F2624" t="str">
        <f t="shared" si="40"/>
        <v>67608</v>
      </c>
      <c r="AG2624" t="s">
        <v>4</v>
      </c>
    </row>
    <row r="2625" spans="1:36">
      <c r="A2625" t="s">
        <v>6585</v>
      </c>
      <c r="B2625" t="s">
        <v>6586</v>
      </c>
      <c r="F2625" t="str">
        <f t="shared" si="40"/>
        <v>67610</v>
      </c>
      <c r="AG2625" t="s">
        <v>4</v>
      </c>
    </row>
    <row r="2626" spans="1:36">
      <c r="A2626" t="s">
        <v>6587</v>
      </c>
      <c r="B2626" t="s">
        <v>6588</v>
      </c>
      <c r="F2626" t="str">
        <f t="shared" si="40"/>
        <v>67614</v>
      </c>
      <c r="AG2626" t="s">
        <v>4</v>
      </c>
    </row>
    <row r="2627" spans="1:36">
      <c r="A2627" t="s">
        <v>6589</v>
      </c>
      <c r="B2627" t="s">
        <v>6590</v>
      </c>
      <c r="F2627" t="str">
        <f t="shared" si="40"/>
        <v>67615</v>
      </c>
      <c r="AG2627" t="s">
        <v>4</v>
      </c>
    </row>
    <row r="2628" spans="1:36">
      <c r="A2628" t="s">
        <v>6591</v>
      </c>
      <c r="B2628" t="s">
        <v>6592</v>
      </c>
      <c r="F2628" t="str">
        <f t="shared" si="40"/>
        <v>67617</v>
      </c>
      <c r="AG2628" t="s">
        <v>4</v>
      </c>
    </row>
    <row r="2629" spans="1:36">
      <c r="A2629" t="s">
        <v>6593</v>
      </c>
      <c r="B2629" t="s">
        <v>6594</v>
      </c>
      <c r="F2629" t="str">
        <f t="shared" si="40"/>
        <v>67620</v>
      </c>
      <c r="AG2629" t="s">
        <v>4</v>
      </c>
    </row>
    <row r="2630" spans="1:36">
      <c r="A2630" t="s">
        <v>6595</v>
      </c>
      <c r="B2630" t="s">
        <v>6596</v>
      </c>
      <c r="F2630" t="str">
        <f t="shared" si="40"/>
        <v>67621</v>
      </c>
      <c r="AG2630" t="s">
        <v>4</v>
      </c>
    </row>
    <row r="2631" spans="1:36">
      <c r="A2631" t="s">
        <v>6597</v>
      </c>
      <c r="B2631" t="s">
        <v>6598</v>
      </c>
      <c r="F2631" t="str">
        <f t="shared" si="40"/>
        <v>67622</v>
      </c>
      <c r="AG2631" t="s">
        <v>4</v>
      </c>
    </row>
    <row r="2632" spans="1:36">
      <c r="A2632" t="s">
        <v>6599</v>
      </c>
      <c r="B2632" t="s">
        <v>6600</v>
      </c>
      <c r="F2632" t="str">
        <f t="shared" si="40"/>
        <v>67628</v>
      </c>
      <c r="AE2632">
        <v>1101115554418</v>
      </c>
      <c r="AG2632" t="s">
        <v>4</v>
      </c>
    </row>
    <row r="2633" spans="1:36">
      <c r="A2633" t="s">
        <v>6601</v>
      </c>
      <c r="B2633" t="s">
        <v>6602</v>
      </c>
      <c r="F2633" t="str">
        <f t="shared" si="40"/>
        <v>67631</v>
      </c>
      <c r="AG2633" t="s">
        <v>4</v>
      </c>
    </row>
    <row r="2634" spans="1:36">
      <c r="A2634" t="s">
        <v>6603</v>
      </c>
      <c r="B2634" t="s">
        <v>6604</v>
      </c>
      <c r="F2634" t="str">
        <f t="shared" ref="F2634:F2697" si="41">CHOOSE($C$1, A2634, B2634)</f>
        <v>67633</v>
      </c>
      <c r="AE2634">
        <v>1101116799203</v>
      </c>
      <c r="AG2634" t="s">
        <v>4</v>
      </c>
      <c r="AH2634" t="s">
        <v>219</v>
      </c>
      <c r="AI2634" t="s">
        <v>139</v>
      </c>
      <c r="AJ2634" t="s">
        <v>220</v>
      </c>
    </row>
    <row r="2635" spans="1:36">
      <c r="A2635" t="s">
        <v>6605</v>
      </c>
      <c r="B2635" t="s">
        <v>6606</v>
      </c>
      <c r="F2635" t="str">
        <f t="shared" si="41"/>
        <v>67635</v>
      </c>
      <c r="AG2635" t="s">
        <v>4</v>
      </c>
    </row>
    <row r="2636" spans="1:36">
      <c r="A2636" t="s">
        <v>6607</v>
      </c>
      <c r="B2636" t="s">
        <v>6608</v>
      </c>
      <c r="F2636" t="str">
        <f t="shared" si="41"/>
        <v>67647</v>
      </c>
      <c r="AG2636" t="s">
        <v>4</v>
      </c>
    </row>
    <row r="2637" spans="1:36">
      <c r="A2637" t="s">
        <v>6609</v>
      </c>
      <c r="B2637" t="s">
        <v>6610</v>
      </c>
      <c r="F2637" t="str">
        <f t="shared" si="41"/>
        <v>67648</v>
      </c>
      <c r="AG2637" t="s">
        <v>4</v>
      </c>
    </row>
    <row r="2638" spans="1:36">
      <c r="A2638" t="s">
        <v>6611</v>
      </c>
      <c r="B2638" t="s">
        <v>6612</v>
      </c>
      <c r="F2638" t="str">
        <f t="shared" si="41"/>
        <v>67649</v>
      </c>
      <c r="AG2638" t="s">
        <v>4</v>
      </c>
    </row>
    <row r="2639" spans="1:36">
      <c r="A2639" t="s">
        <v>6613</v>
      </c>
      <c r="B2639" t="s">
        <v>6614</v>
      </c>
      <c r="F2639" t="str">
        <f t="shared" si="41"/>
        <v>67655</v>
      </c>
      <c r="AG2639" t="s">
        <v>4</v>
      </c>
    </row>
    <row r="2640" spans="1:36">
      <c r="A2640" t="s">
        <v>6615</v>
      </c>
      <c r="B2640" t="s">
        <v>6616</v>
      </c>
      <c r="F2640" t="str">
        <f t="shared" si="41"/>
        <v>67660</v>
      </c>
      <c r="AF2640" t="s">
        <v>671</v>
      </c>
      <c r="AG2640" t="s">
        <v>4</v>
      </c>
    </row>
    <row r="2641" spans="1:36">
      <c r="A2641" t="s">
        <v>6617</v>
      </c>
      <c r="B2641" t="s">
        <v>6618</v>
      </c>
      <c r="F2641" t="str">
        <f t="shared" si="41"/>
        <v>67661</v>
      </c>
      <c r="AE2641">
        <v>1955710005297</v>
      </c>
      <c r="AG2641" t="s">
        <v>4</v>
      </c>
      <c r="AH2641" t="s">
        <v>883</v>
      </c>
      <c r="AI2641" t="s">
        <v>555</v>
      </c>
      <c r="AJ2641" t="s">
        <v>884</v>
      </c>
    </row>
    <row r="2642" spans="1:36">
      <c r="A2642" t="s">
        <v>6619</v>
      </c>
      <c r="B2642" t="s">
        <v>6620</v>
      </c>
      <c r="F2642" t="str">
        <f t="shared" si="41"/>
        <v>67662</v>
      </c>
      <c r="AG2642" t="s">
        <v>4</v>
      </c>
    </row>
    <row r="2643" spans="1:36">
      <c r="A2643" t="s">
        <v>6621</v>
      </c>
      <c r="B2643" t="s">
        <v>6622</v>
      </c>
      <c r="F2643" t="str">
        <f t="shared" si="41"/>
        <v>67663</v>
      </c>
      <c r="AE2643">
        <v>1101116860640</v>
      </c>
      <c r="AF2643" t="s">
        <v>133</v>
      </c>
      <c r="AG2643" t="s">
        <v>2</v>
      </c>
      <c r="AH2643" t="s">
        <v>15</v>
      </c>
      <c r="AI2643" t="s">
        <v>16</v>
      </c>
      <c r="AJ2643" t="s">
        <v>17</v>
      </c>
    </row>
    <row r="2644" spans="1:36">
      <c r="A2644" t="s">
        <v>6623</v>
      </c>
      <c r="B2644" t="s">
        <v>6624</v>
      </c>
      <c r="F2644" t="str">
        <f t="shared" si="41"/>
        <v>67664</v>
      </c>
      <c r="AG2644" t="s">
        <v>4</v>
      </c>
    </row>
    <row r="2645" spans="1:36">
      <c r="A2645" t="s">
        <v>6625</v>
      </c>
      <c r="B2645" t="s">
        <v>6626</v>
      </c>
      <c r="F2645" t="str">
        <f t="shared" si="41"/>
        <v>67668</v>
      </c>
      <c r="AG2645" t="s">
        <v>4</v>
      </c>
    </row>
    <row r="2646" spans="1:36">
      <c r="A2646" t="s">
        <v>6627</v>
      </c>
      <c r="B2646" t="s">
        <v>6628</v>
      </c>
      <c r="F2646" t="str">
        <f t="shared" si="41"/>
        <v>67669</v>
      </c>
      <c r="AG2646" t="s">
        <v>4</v>
      </c>
    </row>
    <row r="2647" spans="1:36">
      <c r="A2647" t="s">
        <v>6629</v>
      </c>
      <c r="B2647" t="s">
        <v>6630</v>
      </c>
      <c r="F2647" t="str">
        <f t="shared" si="41"/>
        <v>67672</v>
      </c>
      <c r="AG2647" t="s">
        <v>4</v>
      </c>
    </row>
    <row r="2648" spans="1:36">
      <c r="A2648" t="s">
        <v>6631</v>
      </c>
      <c r="B2648" t="s">
        <v>6632</v>
      </c>
      <c r="F2648" t="str">
        <f t="shared" si="41"/>
        <v>67673</v>
      </c>
      <c r="AG2648" t="s">
        <v>4</v>
      </c>
    </row>
    <row r="2649" spans="1:36">
      <c r="A2649" t="s">
        <v>6633</v>
      </c>
      <c r="B2649" t="s">
        <v>6634</v>
      </c>
      <c r="F2649" t="str">
        <f t="shared" si="41"/>
        <v>67674</v>
      </c>
      <c r="AG2649" t="s">
        <v>4</v>
      </c>
    </row>
    <row r="2650" spans="1:36">
      <c r="A2650" t="s">
        <v>6635</v>
      </c>
      <c r="B2650" t="s">
        <v>6636</v>
      </c>
      <c r="F2650" t="str">
        <f t="shared" si="41"/>
        <v>67687</v>
      </c>
      <c r="AG2650" t="s">
        <v>4</v>
      </c>
    </row>
    <row r="2651" spans="1:36">
      <c r="A2651" t="s">
        <v>6637</v>
      </c>
      <c r="B2651" t="s">
        <v>6638</v>
      </c>
      <c r="F2651" t="str">
        <f t="shared" si="41"/>
        <v>67688</v>
      </c>
      <c r="AG2651" t="s">
        <v>4</v>
      </c>
    </row>
    <row r="2652" spans="1:36">
      <c r="A2652" t="s">
        <v>6639</v>
      </c>
      <c r="B2652" t="s">
        <v>6640</v>
      </c>
      <c r="F2652" t="str">
        <f t="shared" si="41"/>
        <v>67689</v>
      </c>
      <c r="AG2652" t="s">
        <v>4</v>
      </c>
    </row>
    <row r="2653" spans="1:36">
      <c r="A2653" t="s">
        <v>6641</v>
      </c>
      <c r="B2653" t="s">
        <v>6642</v>
      </c>
      <c r="F2653" t="str">
        <f t="shared" si="41"/>
        <v>67690</v>
      </c>
      <c r="AG2653" t="s">
        <v>4</v>
      </c>
    </row>
    <row r="2654" spans="1:36">
      <c r="A2654" t="s">
        <v>6643</v>
      </c>
      <c r="B2654" t="s">
        <v>6644</v>
      </c>
      <c r="F2654" t="str">
        <f t="shared" si="41"/>
        <v>67691</v>
      </c>
      <c r="AG2654" t="s">
        <v>4</v>
      </c>
    </row>
    <row r="2655" spans="1:36">
      <c r="A2655" t="s">
        <v>6645</v>
      </c>
      <c r="B2655" t="s">
        <v>6646</v>
      </c>
      <c r="F2655" t="str">
        <f t="shared" si="41"/>
        <v>67692</v>
      </c>
      <c r="AG2655" t="s">
        <v>4</v>
      </c>
    </row>
    <row r="2656" spans="1:36">
      <c r="A2656" t="s">
        <v>6647</v>
      </c>
      <c r="B2656" t="s">
        <v>6648</v>
      </c>
      <c r="F2656" t="str">
        <f t="shared" si="41"/>
        <v>67693</v>
      </c>
      <c r="AG2656" t="s">
        <v>4</v>
      </c>
    </row>
    <row r="2657" spans="1:33">
      <c r="A2657" t="s">
        <v>6649</v>
      </c>
      <c r="B2657" t="s">
        <v>6650</v>
      </c>
      <c r="F2657" t="str">
        <f t="shared" si="41"/>
        <v>67694</v>
      </c>
      <c r="AG2657" t="s">
        <v>4</v>
      </c>
    </row>
    <row r="2658" spans="1:33">
      <c r="A2658" t="s">
        <v>6651</v>
      </c>
      <c r="B2658" t="s">
        <v>6652</v>
      </c>
      <c r="F2658" t="str">
        <f t="shared" si="41"/>
        <v>67695</v>
      </c>
      <c r="AG2658" t="s">
        <v>4</v>
      </c>
    </row>
    <row r="2659" spans="1:33">
      <c r="A2659" t="s">
        <v>6653</v>
      </c>
      <c r="B2659" t="s">
        <v>6654</v>
      </c>
      <c r="F2659" t="str">
        <f t="shared" si="41"/>
        <v>67696</v>
      </c>
      <c r="AG2659" t="s">
        <v>4</v>
      </c>
    </row>
    <row r="2660" spans="1:33">
      <c r="A2660" t="s">
        <v>6655</v>
      </c>
      <c r="B2660" t="s">
        <v>6656</v>
      </c>
      <c r="F2660" t="str">
        <f t="shared" si="41"/>
        <v>67697</v>
      </c>
      <c r="AG2660" t="s">
        <v>4</v>
      </c>
    </row>
    <row r="2661" spans="1:33">
      <c r="A2661" t="s">
        <v>6657</v>
      </c>
      <c r="B2661" t="s">
        <v>6658</v>
      </c>
      <c r="F2661" t="str">
        <f t="shared" si="41"/>
        <v>67698</v>
      </c>
      <c r="AG2661" t="s">
        <v>4</v>
      </c>
    </row>
    <row r="2662" spans="1:33">
      <c r="A2662" t="s">
        <v>6659</v>
      </c>
      <c r="B2662" t="s">
        <v>6660</v>
      </c>
      <c r="F2662" t="str">
        <f t="shared" si="41"/>
        <v>67699</v>
      </c>
      <c r="AG2662" t="s">
        <v>4</v>
      </c>
    </row>
    <row r="2663" spans="1:33">
      <c r="A2663" t="s">
        <v>6661</v>
      </c>
      <c r="B2663" t="s">
        <v>6662</v>
      </c>
      <c r="F2663" t="str">
        <f t="shared" si="41"/>
        <v>67700</v>
      </c>
      <c r="AG2663" t="s">
        <v>4</v>
      </c>
    </row>
    <row r="2664" spans="1:33">
      <c r="A2664" t="s">
        <v>6663</v>
      </c>
      <c r="B2664" t="s">
        <v>6664</v>
      </c>
      <c r="F2664" t="str">
        <f t="shared" si="41"/>
        <v>67701</v>
      </c>
      <c r="AG2664" t="s">
        <v>4</v>
      </c>
    </row>
    <row r="2665" spans="1:33">
      <c r="A2665" t="s">
        <v>6665</v>
      </c>
      <c r="B2665" t="s">
        <v>6666</v>
      </c>
      <c r="F2665" t="str">
        <f t="shared" si="41"/>
        <v>67702</v>
      </c>
      <c r="AG2665" t="s">
        <v>4</v>
      </c>
    </row>
    <row r="2666" spans="1:33">
      <c r="A2666" t="s">
        <v>6667</v>
      </c>
      <c r="B2666" t="s">
        <v>6668</v>
      </c>
      <c r="F2666" t="str">
        <f t="shared" si="41"/>
        <v>67704</v>
      </c>
      <c r="AG2666" t="s">
        <v>4</v>
      </c>
    </row>
    <row r="2667" spans="1:33">
      <c r="A2667" t="s">
        <v>6669</v>
      </c>
      <c r="B2667" t="s">
        <v>6670</v>
      </c>
      <c r="F2667" t="str">
        <f t="shared" si="41"/>
        <v>67705</v>
      </c>
      <c r="AG2667" t="s">
        <v>4</v>
      </c>
    </row>
    <row r="2668" spans="1:33">
      <c r="A2668" t="s">
        <v>6671</v>
      </c>
      <c r="B2668" t="s">
        <v>6672</v>
      </c>
      <c r="F2668" t="str">
        <f t="shared" si="41"/>
        <v>67706</v>
      </c>
      <c r="AG2668" t="s">
        <v>4</v>
      </c>
    </row>
    <row r="2669" spans="1:33">
      <c r="A2669" t="s">
        <v>6673</v>
      </c>
      <c r="B2669" t="s">
        <v>6674</v>
      </c>
      <c r="F2669" t="str">
        <f t="shared" si="41"/>
        <v>67707</v>
      </c>
      <c r="AG2669" t="s">
        <v>4</v>
      </c>
    </row>
    <row r="2670" spans="1:33">
      <c r="A2670" t="s">
        <v>6675</v>
      </c>
      <c r="B2670" t="s">
        <v>6676</v>
      </c>
      <c r="F2670" t="str">
        <f t="shared" si="41"/>
        <v>67708</v>
      </c>
      <c r="AG2670" t="s">
        <v>4</v>
      </c>
    </row>
    <row r="2671" spans="1:33">
      <c r="A2671" t="s">
        <v>6677</v>
      </c>
      <c r="B2671" t="s">
        <v>6678</v>
      </c>
      <c r="F2671" t="str">
        <f t="shared" si="41"/>
        <v>67709</v>
      </c>
      <c r="AG2671" t="s">
        <v>4</v>
      </c>
    </row>
    <row r="2672" spans="1:33">
      <c r="A2672" t="s">
        <v>6679</v>
      </c>
      <c r="B2672" t="s">
        <v>6680</v>
      </c>
      <c r="F2672" t="str">
        <f t="shared" si="41"/>
        <v>67712</v>
      </c>
      <c r="AG2672" t="s">
        <v>4</v>
      </c>
    </row>
    <row r="2673" spans="1:36">
      <c r="A2673" t="s">
        <v>6681</v>
      </c>
      <c r="B2673" t="s">
        <v>6682</v>
      </c>
      <c r="F2673" t="str">
        <f t="shared" si="41"/>
        <v>67714</v>
      </c>
      <c r="AG2673" t="s">
        <v>4</v>
      </c>
    </row>
    <row r="2674" spans="1:36">
      <c r="A2674" t="s">
        <v>6683</v>
      </c>
      <c r="B2674" t="s">
        <v>6684</v>
      </c>
      <c r="F2674" t="str">
        <f t="shared" si="41"/>
        <v>67717</v>
      </c>
      <c r="AG2674" t="s">
        <v>4</v>
      </c>
    </row>
    <row r="2675" spans="1:36">
      <c r="A2675" t="s">
        <v>6685</v>
      </c>
      <c r="B2675" t="s">
        <v>6686</v>
      </c>
      <c r="F2675" t="str">
        <f t="shared" si="41"/>
        <v>67718</v>
      </c>
      <c r="AG2675" t="s">
        <v>4</v>
      </c>
    </row>
    <row r="2676" spans="1:36">
      <c r="A2676" t="s">
        <v>6687</v>
      </c>
      <c r="B2676" t="s">
        <v>6688</v>
      </c>
      <c r="F2676" t="str">
        <f t="shared" si="41"/>
        <v>67719</v>
      </c>
      <c r="AG2676" t="s">
        <v>4</v>
      </c>
    </row>
    <row r="2677" spans="1:36">
      <c r="A2677" t="s">
        <v>6689</v>
      </c>
      <c r="B2677" t="s">
        <v>6690</v>
      </c>
      <c r="F2677" t="str">
        <f t="shared" si="41"/>
        <v>67732</v>
      </c>
      <c r="AG2677" t="s">
        <v>4</v>
      </c>
    </row>
    <row r="2678" spans="1:36">
      <c r="A2678" t="s">
        <v>6691</v>
      </c>
      <c r="B2678" t="s">
        <v>6692</v>
      </c>
      <c r="F2678" t="str">
        <f t="shared" si="41"/>
        <v>67733</v>
      </c>
      <c r="AG2678" t="s">
        <v>4</v>
      </c>
    </row>
    <row r="2679" spans="1:36">
      <c r="A2679" t="s">
        <v>6693</v>
      </c>
      <c r="B2679" t="s">
        <v>6694</v>
      </c>
      <c r="F2679" t="str">
        <f t="shared" si="41"/>
        <v>67734</v>
      </c>
      <c r="AG2679" t="s">
        <v>4</v>
      </c>
    </row>
    <row r="2680" spans="1:36">
      <c r="A2680" t="s">
        <v>6695</v>
      </c>
      <c r="B2680" t="s">
        <v>6696</v>
      </c>
      <c r="F2680" t="str">
        <f t="shared" si="41"/>
        <v>67735</v>
      </c>
      <c r="AG2680" t="s">
        <v>4</v>
      </c>
    </row>
    <row r="2681" spans="1:36">
      <c r="A2681" t="s">
        <v>6697</v>
      </c>
      <c r="B2681" t="s">
        <v>6698</v>
      </c>
      <c r="F2681" t="str">
        <f t="shared" si="41"/>
        <v>67736</v>
      </c>
      <c r="AG2681" t="s">
        <v>4</v>
      </c>
    </row>
    <row r="2682" spans="1:36">
      <c r="A2682" t="s">
        <v>6699</v>
      </c>
      <c r="B2682" t="s">
        <v>6700</v>
      </c>
      <c r="F2682" t="str">
        <f t="shared" si="41"/>
        <v>67737</v>
      </c>
      <c r="AF2682" t="s">
        <v>107</v>
      </c>
      <c r="AG2682" t="s">
        <v>4</v>
      </c>
    </row>
    <row r="2683" spans="1:36">
      <c r="A2683" t="s">
        <v>6701</v>
      </c>
      <c r="B2683" t="s">
        <v>6702</v>
      </c>
      <c r="F2683" t="str">
        <f t="shared" si="41"/>
        <v>67738</v>
      </c>
      <c r="AG2683" t="s">
        <v>4</v>
      </c>
    </row>
    <row r="2684" spans="1:36">
      <c r="A2684" t="s">
        <v>6703</v>
      </c>
      <c r="B2684" t="s">
        <v>6704</v>
      </c>
      <c r="F2684" t="str">
        <f t="shared" si="41"/>
        <v>67739</v>
      </c>
      <c r="AG2684" t="s">
        <v>4</v>
      </c>
    </row>
    <row r="2685" spans="1:36">
      <c r="A2685" t="s">
        <v>6705</v>
      </c>
      <c r="B2685" t="s">
        <v>6706</v>
      </c>
      <c r="F2685" t="str">
        <f t="shared" si="41"/>
        <v>67740</v>
      </c>
      <c r="AG2685" t="s">
        <v>4</v>
      </c>
    </row>
    <row r="2686" spans="1:36">
      <c r="A2686" t="s">
        <v>6707</v>
      </c>
      <c r="B2686" t="s">
        <v>6708</v>
      </c>
      <c r="F2686" t="str">
        <f t="shared" si="41"/>
        <v>67741</v>
      </c>
      <c r="AE2686">
        <v>1942110273300</v>
      </c>
      <c r="AG2686" t="s">
        <v>4</v>
      </c>
      <c r="AH2686" t="s">
        <v>1105</v>
      </c>
      <c r="AI2686" t="s">
        <v>384</v>
      </c>
      <c r="AJ2686" t="s">
        <v>1106</v>
      </c>
    </row>
    <row r="2687" spans="1:36">
      <c r="A2687" t="s">
        <v>6709</v>
      </c>
      <c r="B2687" t="s">
        <v>6710</v>
      </c>
      <c r="F2687" t="str">
        <f t="shared" si="41"/>
        <v>67742</v>
      </c>
      <c r="AG2687" t="s">
        <v>4</v>
      </c>
    </row>
    <row r="2688" spans="1:36">
      <c r="A2688" t="s">
        <v>6711</v>
      </c>
      <c r="B2688" t="s">
        <v>6712</v>
      </c>
      <c r="F2688" t="str">
        <f t="shared" si="41"/>
        <v>67743</v>
      </c>
      <c r="AG2688" t="s">
        <v>4</v>
      </c>
    </row>
    <row r="2689" spans="1:36">
      <c r="A2689" t="s">
        <v>6713</v>
      </c>
      <c r="B2689" t="s">
        <v>6714</v>
      </c>
      <c r="F2689" t="str">
        <f t="shared" si="41"/>
        <v>67744</v>
      </c>
      <c r="AG2689" t="s">
        <v>4</v>
      </c>
    </row>
    <row r="2690" spans="1:36">
      <c r="A2690" t="s">
        <v>6715</v>
      </c>
      <c r="B2690" t="s">
        <v>6716</v>
      </c>
      <c r="F2690" t="str">
        <f t="shared" si="41"/>
        <v>67745</v>
      </c>
      <c r="AG2690" t="s">
        <v>4</v>
      </c>
    </row>
    <row r="2691" spans="1:36">
      <c r="A2691" t="s">
        <v>6717</v>
      </c>
      <c r="B2691" t="s">
        <v>6718</v>
      </c>
      <c r="F2691" t="str">
        <f t="shared" si="41"/>
        <v>67746</v>
      </c>
      <c r="AG2691" t="s">
        <v>4</v>
      </c>
    </row>
    <row r="2692" spans="1:36">
      <c r="A2692" t="s">
        <v>6719</v>
      </c>
      <c r="B2692" t="s">
        <v>6720</v>
      </c>
      <c r="F2692" t="str">
        <f t="shared" si="41"/>
        <v>67747</v>
      </c>
      <c r="AG2692" t="s">
        <v>4</v>
      </c>
    </row>
    <row r="2693" spans="1:36">
      <c r="A2693" t="s">
        <v>6721</v>
      </c>
      <c r="B2693" t="s">
        <v>6722</v>
      </c>
      <c r="F2693" t="str">
        <f t="shared" si="41"/>
        <v>67760</v>
      </c>
      <c r="AG2693" t="s">
        <v>4</v>
      </c>
    </row>
    <row r="2694" spans="1:36">
      <c r="A2694" t="s">
        <v>6723</v>
      </c>
      <c r="B2694" t="s">
        <v>6724</v>
      </c>
      <c r="F2694" t="str">
        <f t="shared" si="41"/>
        <v>67761</v>
      </c>
      <c r="AG2694" t="s">
        <v>4</v>
      </c>
    </row>
    <row r="2695" spans="1:36">
      <c r="A2695" t="s">
        <v>6725</v>
      </c>
      <c r="B2695" t="s">
        <v>6726</v>
      </c>
      <c r="F2695" t="str">
        <f t="shared" si="41"/>
        <v>67762</v>
      </c>
      <c r="AE2695">
        <v>1101110012809</v>
      </c>
      <c r="AG2695" t="s">
        <v>4</v>
      </c>
      <c r="AH2695" t="s">
        <v>5</v>
      </c>
      <c r="AI2695" t="s">
        <v>6</v>
      </c>
      <c r="AJ2695" t="s">
        <v>7</v>
      </c>
    </row>
    <row r="2696" spans="1:36">
      <c r="A2696" t="s">
        <v>6727</v>
      </c>
      <c r="B2696" t="s">
        <v>6728</v>
      </c>
      <c r="F2696" t="str">
        <f t="shared" si="41"/>
        <v>67763</v>
      </c>
      <c r="AE2696">
        <v>1101110013766</v>
      </c>
      <c r="AG2696" t="s">
        <v>2</v>
      </c>
      <c r="AH2696" t="s">
        <v>15</v>
      </c>
      <c r="AI2696" t="s">
        <v>16</v>
      </c>
      <c r="AJ2696" t="s">
        <v>17</v>
      </c>
    </row>
    <row r="2697" spans="1:36">
      <c r="A2697" t="s">
        <v>6729</v>
      </c>
      <c r="B2697" t="s">
        <v>6730</v>
      </c>
      <c r="F2697" t="str">
        <f t="shared" si="41"/>
        <v>67764</v>
      </c>
      <c r="AG2697" t="s">
        <v>4</v>
      </c>
    </row>
    <row r="2698" spans="1:36">
      <c r="A2698" t="s">
        <v>6731</v>
      </c>
      <c r="B2698" t="s">
        <v>6732</v>
      </c>
      <c r="F2698" t="str">
        <f t="shared" ref="F2698:F2761" si="42">CHOOSE($C$1, A2698, B2698)</f>
        <v>67765</v>
      </c>
      <c r="AG2698" t="s">
        <v>4</v>
      </c>
    </row>
    <row r="2699" spans="1:36">
      <c r="A2699" t="s">
        <v>6733</v>
      </c>
      <c r="B2699" t="s">
        <v>6734</v>
      </c>
      <c r="F2699" t="str">
        <f t="shared" si="42"/>
        <v>67766</v>
      </c>
      <c r="AE2699">
        <v>1101110026206</v>
      </c>
      <c r="AG2699" t="s">
        <v>2</v>
      </c>
      <c r="AH2699" t="s">
        <v>490</v>
      </c>
      <c r="AI2699" t="s">
        <v>76</v>
      </c>
      <c r="AJ2699" t="s">
        <v>491</v>
      </c>
    </row>
    <row r="2700" spans="1:36">
      <c r="A2700" t="s">
        <v>6735</v>
      </c>
      <c r="B2700" t="s">
        <v>6736</v>
      </c>
      <c r="F2700" t="str">
        <f t="shared" si="42"/>
        <v>67767</v>
      </c>
      <c r="AE2700">
        <v>1101110035893</v>
      </c>
      <c r="AG2700" t="s">
        <v>2</v>
      </c>
      <c r="AH2700" t="s">
        <v>54</v>
      </c>
      <c r="AI2700" t="s">
        <v>55</v>
      </c>
      <c r="AJ2700" t="s">
        <v>56</v>
      </c>
    </row>
    <row r="2701" spans="1:36">
      <c r="A2701" t="s">
        <v>6737</v>
      </c>
      <c r="B2701" t="s">
        <v>6738</v>
      </c>
      <c r="F2701" t="str">
        <f t="shared" si="42"/>
        <v>67768</v>
      </c>
      <c r="AE2701">
        <v>1101110033722</v>
      </c>
      <c r="AG2701" t="s">
        <v>2</v>
      </c>
      <c r="AH2701" t="s">
        <v>179</v>
      </c>
      <c r="AI2701" t="s">
        <v>150</v>
      </c>
      <c r="AJ2701" t="s">
        <v>180</v>
      </c>
    </row>
    <row r="2702" spans="1:36">
      <c r="A2702" t="s">
        <v>6739</v>
      </c>
      <c r="B2702" t="s">
        <v>6740</v>
      </c>
      <c r="F2702" t="str">
        <f t="shared" si="42"/>
        <v>67769</v>
      </c>
      <c r="AE2702">
        <v>1101110118996</v>
      </c>
      <c r="AG2702" t="s">
        <v>4</v>
      </c>
    </row>
    <row r="2703" spans="1:36">
      <c r="A2703" t="s">
        <v>6741</v>
      </c>
      <c r="B2703" t="s">
        <v>6742</v>
      </c>
      <c r="F2703" t="str">
        <f t="shared" si="42"/>
        <v>67770</v>
      </c>
      <c r="AE2703">
        <v>1101110037823</v>
      </c>
      <c r="AG2703" t="s">
        <v>2</v>
      </c>
      <c r="AH2703" t="s">
        <v>666</v>
      </c>
      <c r="AJ2703" t="s">
        <v>140</v>
      </c>
    </row>
    <row r="2704" spans="1:36">
      <c r="A2704" t="s">
        <v>6743</v>
      </c>
      <c r="B2704" t="s">
        <v>6744</v>
      </c>
      <c r="F2704" t="str">
        <f t="shared" si="42"/>
        <v>67771</v>
      </c>
      <c r="AE2704">
        <v>1101110108484</v>
      </c>
      <c r="AG2704" t="s">
        <v>2</v>
      </c>
      <c r="AH2704" t="s">
        <v>224</v>
      </c>
      <c r="AI2704" t="s">
        <v>225</v>
      </c>
      <c r="AJ2704" t="s">
        <v>226</v>
      </c>
    </row>
    <row r="2705" spans="1:36">
      <c r="A2705" t="s">
        <v>6745</v>
      </c>
      <c r="B2705" t="s">
        <v>6746</v>
      </c>
      <c r="F2705" t="str">
        <f t="shared" si="42"/>
        <v>67772</v>
      </c>
      <c r="AE2705">
        <v>1101110003543</v>
      </c>
      <c r="AG2705" t="s">
        <v>2</v>
      </c>
      <c r="AH2705" t="s">
        <v>210</v>
      </c>
      <c r="AJ2705" t="s">
        <v>211</v>
      </c>
    </row>
    <row r="2706" spans="1:36">
      <c r="A2706" t="s">
        <v>6747</v>
      </c>
      <c r="B2706" t="s">
        <v>6748</v>
      </c>
      <c r="F2706" t="str">
        <f t="shared" si="42"/>
        <v>67773</v>
      </c>
      <c r="AE2706">
        <v>1101110090558</v>
      </c>
      <c r="AG2706" t="s">
        <v>4</v>
      </c>
      <c r="AH2706" t="s">
        <v>254</v>
      </c>
      <c r="AI2706" t="s">
        <v>255</v>
      </c>
      <c r="AJ2706" t="s">
        <v>256</v>
      </c>
    </row>
    <row r="2707" spans="1:36">
      <c r="A2707" t="s">
        <v>6749</v>
      </c>
      <c r="B2707" t="s">
        <v>6750</v>
      </c>
      <c r="F2707" t="str">
        <f t="shared" si="42"/>
        <v>67774</v>
      </c>
      <c r="AE2707">
        <v>1701110459570</v>
      </c>
      <c r="AG2707" t="s">
        <v>4</v>
      </c>
      <c r="AH2707" t="s">
        <v>248</v>
      </c>
      <c r="AI2707" t="s">
        <v>249</v>
      </c>
      <c r="AJ2707" t="s">
        <v>121</v>
      </c>
    </row>
    <row r="2708" spans="1:36">
      <c r="A2708" t="s">
        <v>6751</v>
      </c>
      <c r="B2708" t="s">
        <v>6752</v>
      </c>
      <c r="F2708" t="str">
        <f t="shared" si="42"/>
        <v>67775</v>
      </c>
      <c r="AE2708">
        <v>1101110672538</v>
      </c>
      <c r="AG2708" t="s">
        <v>4</v>
      </c>
      <c r="AH2708" t="s">
        <v>5</v>
      </c>
      <c r="AI2708" t="s">
        <v>6</v>
      </c>
      <c r="AJ2708" t="s">
        <v>7</v>
      </c>
    </row>
    <row r="2709" spans="1:36">
      <c r="A2709" t="s">
        <v>6753</v>
      </c>
      <c r="B2709" t="s">
        <v>6754</v>
      </c>
      <c r="F2709" t="str">
        <f t="shared" si="42"/>
        <v>67776</v>
      </c>
      <c r="AE2709">
        <v>1101114809450</v>
      </c>
      <c r="AG2709" t="s">
        <v>4</v>
      </c>
      <c r="AH2709" t="s">
        <v>973</v>
      </c>
      <c r="AI2709" t="s">
        <v>6</v>
      </c>
      <c r="AJ2709" t="s">
        <v>974</v>
      </c>
    </row>
    <row r="2710" spans="1:36">
      <c r="A2710" t="s">
        <v>6755</v>
      </c>
      <c r="B2710" t="s">
        <v>6756</v>
      </c>
      <c r="F2710" t="str">
        <f t="shared" si="42"/>
        <v>67777</v>
      </c>
      <c r="AE2710">
        <v>1101110075683</v>
      </c>
      <c r="AG2710" t="s">
        <v>4</v>
      </c>
    </row>
    <row r="2711" spans="1:36">
      <c r="A2711" t="s">
        <v>6757</v>
      </c>
      <c r="B2711" t="s">
        <v>6758</v>
      </c>
      <c r="F2711" t="str">
        <f t="shared" si="42"/>
        <v>67778</v>
      </c>
      <c r="AG2711" t="s">
        <v>4</v>
      </c>
    </row>
    <row r="2712" spans="1:36">
      <c r="A2712" t="s">
        <v>6759</v>
      </c>
      <c r="B2712" t="s">
        <v>6760</v>
      </c>
      <c r="F2712" t="str">
        <f t="shared" si="42"/>
        <v>67784</v>
      </c>
      <c r="AE2712">
        <v>1701110000141</v>
      </c>
      <c r="AG2712" t="s">
        <v>4</v>
      </c>
      <c r="AH2712" t="s">
        <v>5</v>
      </c>
      <c r="AI2712" t="s">
        <v>6</v>
      </c>
      <c r="AJ2712" t="s">
        <v>7</v>
      </c>
    </row>
    <row r="2713" spans="1:36">
      <c r="A2713" t="s">
        <v>6761</v>
      </c>
      <c r="B2713" t="s">
        <v>6762</v>
      </c>
      <c r="F2713" t="str">
        <f t="shared" si="42"/>
        <v>67791</v>
      </c>
      <c r="AE2713">
        <v>1801110002997</v>
      </c>
      <c r="AG2713" t="s">
        <v>4</v>
      </c>
      <c r="AH2713" t="s">
        <v>5</v>
      </c>
      <c r="AI2713" t="s">
        <v>6</v>
      </c>
      <c r="AJ2713" t="s">
        <v>7</v>
      </c>
    </row>
    <row r="2714" spans="1:36">
      <c r="A2714" t="s">
        <v>6763</v>
      </c>
      <c r="B2714" t="s">
        <v>6764</v>
      </c>
      <c r="F2714" t="str">
        <f t="shared" si="42"/>
        <v>67792</v>
      </c>
      <c r="AE2714">
        <v>1101110003684</v>
      </c>
      <c r="AG2714" t="s">
        <v>2</v>
      </c>
      <c r="AH2714" t="s">
        <v>316</v>
      </c>
      <c r="AI2714" t="s">
        <v>21</v>
      </c>
      <c r="AJ2714" t="s">
        <v>317</v>
      </c>
    </row>
    <row r="2715" spans="1:36">
      <c r="A2715" t="s">
        <v>6765</v>
      </c>
      <c r="B2715" t="s">
        <v>6766</v>
      </c>
      <c r="F2715" t="str">
        <f t="shared" si="42"/>
        <v>67794</v>
      </c>
      <c r="AE2715">
        <v>1746110000741</v>
      </c>
      <c r="AG2715" t="s">
        <v>2</v>
      </c>
      <c r="AH2715" t="s">
        <v>251</v>
      </c>
      <c r="AI2715" t="s">
        <v>124</v>
      </c>
      <c r="AJ2715" t="s">
        <v>252</v>
      </c>
    </row>
    <row r="2716" spans="1:36">
      <c r="A2716" t="s">
        <v>6767</v>
      </c>
      <c r="B2716" t="s">
        <v>6768</v>
      </c>
      <c r="F2716" t="str">
        <f t="shared" si="42"/>
        <v>67796</v>
      </c>
      <c r="AE2716">
        <v>1301110005727</v>
      </c>
      <c r="AG2716" t="s">
        <v>2</v>
      </c>
      <c r="AH2716" t="s">
        <v>15</v>
      </c>
      <c r="AI2716" t="s">
        <v>16</v>
      </c>
      <c r="AJ2716" t="s">
        <v>17</v>
      </c>
    </row>
    <row r="2717" spans="1:36">
      <c r="A2717" t="s">
        <v>6769</v>
      </c>
      <c r="B2717" t="s">
        <v>6770</v>
      </c>
      <c r="F2717" t="str">
        <f t="shared" si="42"/>
        <v>67797</v>
      </c>
      <c r="AE2717">
        <v>2201110000819</v>
      </c>
      <c r="AG2717" t="s">
        <v>2</v>
      </c>
      <c r="AH2717" t="s">
        <v>5</v>
      </c>
      <c r="AI2717" t="s">
        <v>6</v>
      </c>
      <c r="AJ2717" t="s">
        <v>7</v>
      </c>
    </row>
    <row r="2718" spans="1:36">
      <c r="A2718" t="s">
        <v>6771</v>
      </c>
      <c r="B2718" t="s">
        <v>6772</v>
      </c>
      <c r="F2718" t="str">
        <f t="shared" si="42"/>
        <v>67798</v>
      </c>
      <c r="AE2718">
        <v>2101110000043</v>
      </c>
      <c r="AG2718" t="s">
        <v>4</v>
      </c>
      <c r="AH2718" t="s">
        <v>5</v>
      </c>
      <c r="AI2718" t="s">
        <v>6</v>
      </c>
      <c r="AJ2718" t="s">
        <v>7</v>
      </c>
    </row>
    <row r="2719" spans="1:36">
      <c r="A2719" t="s">
        <v>6773</v>
      </c>
      <c r="B2719" t="s">
        <v>6774</v>
      </c>
      <c r="F2719" t="str">
        <f t="shared" si="42"/>
        <v>67799</v>
      </c>
      <c r="AE2719">
        <v>1348110000034</v>
      </c>
      <c r="AG2719" t="s">
        <v>4</v>
      </c>
      <c r="AH2719" t="s">
        <v>160</v>
      </c>
      <c r="AI2719" t="s">
        <v>101</v>
      </c>
      <c r="AJ2719" t="s">
        <v>161</v>
      </c>
    </row>
    <row r="2720" spans="1:36">
      <c r="A2720" t="s">
        <v>6775</v>
      </c>
      <c r="B2720" t="s">
        <v>6776</v>
      </c>
      <c r="F2720" t="str">
        <f t="shared" si="42"/>
        <v>67800</v>
      </c>
      <c r="AE2720">
        <v>1101114952093</v>
      </c>
      <c r="AG2720" t="s">
        <v>2</v>
      </c>
      <c r="AH2720" t="s">
        <v>185</v>
      </c>
      <c r="AI2720" t="s">
        <v>186</v>
      </c>
      <c r="AJ2720" t="s">
        <v>39</v>
      </c>
    </row>
    <row r="2721" spans="1:36">
      <c r="A2721" t="s">
        <v>6777</v>
      </c>
      <c r="B2721" t="s">
        <v>6778</v>
      </c>
      <c r="F2721" t="str">
        <f t="shared" si="42"/>
        <v>67801</v>
      </c>
      <c r="AE2721">
        <v>1812110000386</v>
      </c>
      <c r="AG2721" t="s">
        <v>2</v>
      </c>
      <c r="AH2721" t="s">
        <v>444</v>
      </c>
      <c r="AI2721" t="s">
        <v>12</v>
      </c>
      <c r="AJ2721" t="s">
        <v>445</v>
      </c>
    </row>
    <row r="2722" spans="1:36">
      <c r="A2722" t="s">
        <v>6779</v>
      </c>
      <c r="B2722" t="s">
        <v>6780</v>
      </c>
      <c r="F2722" t="str">
        <f t="shared" si="42"/>
        <v>67802</v>
      </c>
      <c r="AE2722">
        <v>1911110069647</v>
      </c>
      <c r="AG2722" t="s">
        <v>4</v>
      </c>
      <c r="AH2722" t="s">
        <v>1535</v>
      </c>
      <c r="AI2722" t="s">
        <v>555</v>
      </c>
      <c r="AJ2722" t="s">
        <v>1536</v>
      </c>
    </row>
    <row r="2723" spans="1:36">
      <c r="A2723" t="s">
        <v>6781</v>
      </c>
      <c r="B2723" t="s">
        <v>6782</v>
      </c>
      <c r="F2723" t="str">
        <f t="shared" si="42"/>
        <v>67803</v>
      </c>
      <c r="AE2723">
        <v>1101110194277</v>
      </c>
      <c r="AG2723" t="s">
        <v>2</v>
      </c>
      <c r="AH2723" t="s">
        <v>94</v>
      </c>
      <c r="AI2723" t="s">
        <v>32</v>
      </c>
      <c r="AJ2723" t="s">
        <v>32</v>
      </c>
    </row>
    <row r="2724" spans="1:36">
      <c r="A2724" t="s">
        <v>6783</v>
      </c>
      <c r="B2724" t="s">
        <v>6784</v>
      </c>
      <c r="F2724" t="str">
        <f t="shared" si="42"/>
        <v>67805</v>
      </c>
      <c r="AE2724">
        <v>1101113352004</v>
      </c>
      <c r="AG2724" t="s">
        <v>2</v>
      </c>
      <c r="AH2724" t="s">
        <v>973</v>
      </c>
      <c r="AI2724" t="s">
        <v>6</v>
      </c>
      <c r="AJ2724" t="s">
        <v>974</v>
      </c>
    </row>
    <row r="2725" spans="1:36">
      <c r="A2725" t="s">
        <v>6785</v>
      </c>
      <c r="B2725" t="s">
        <v>6786</v>
      </c>
      <c r="F2725" t="str">
        <f t="shared" si="42"/>
        <v>67807</v>
      </c>
      <c r="AE2725">
        <v>1101110193740</v>
      </c>
      <c r="AG2725" t="s">
        <v>2</v>
      </c>
      <c r="AH2725" t="s">
        <v>486</v>
      </c>
      <c r="AI2725" t="s">
        <v>214</v>
      </c>
      <c r="AJ2725" t="s">
        <v>487</v>
      </c>
    </row>
    <row r="2726" spans="1:36">
      <c r="A2726" t="s">
        <v>6787</v>
      </c>
      <c r="B2726" t="s">
        <v>6788</v>
      </c>
      <c r="F2726" t="str">
        <f t="shared" si="42"/>
        <v>67826</v>
      </c>
      <c r="AE2726">
        <v>1101110623606</v>
      </c>
      <c r="AG2726" t="s">
        <v>4</v>
      </c>
    </row>
    <row r="2727" spans="1:36">
      <c r="A2727" t="s">
        <v>6789</v>
      </c>
      <c r="B2727" t="s">
        <v>6790</v>
      </c>
      <c r="F2727" t="str">
        <f t="shared" si="42"/>
        <v>67830</v>
      </c>
      <c r="AE2727">
        <v>1101110219497</v>
      </c>
      <c r="AG2727" t="s">
        <v>4</v>
      </c>
      <c r="AH2727" t="s">
        <v>766</v>
      </c>
      <c r="AI2727" t="s">
        <v>249</v>
      </c>
      <c r="AJ2727" t="s">
        <v>767</v>
      </c>
    </row>
    <row r="2728" spans="1:36">
      <c r="A2728" t="s">
        <v>6791</v>
      </c>
      <c r="B2728" t="s">
        <v>6792</v>
      </c>
      <c r="F2728" t="str">
        <f t="shared" si="42"/>
        <v>67831</v>
      </c>
      <c r="AE2728">
        <v>1101110243800</v>
      </c>
      <c r="AG2728" t="s">
        <v>4</v>
      </c>
      <c r="AH2728" t="s">
        <v>248</v>
      </c>
      <c r="AI2728" t="s">
        <v>249</v>
      </c>
      <c r="AJ2728" t="s">
        <v>121</v>
      </c>
    </row>
    <row r="2729" spans="1:36">
      <c r="A2729" t="s">
        <v>6793</v>
      </c>
      <c r="B2729" t="s">
        <v>6794</v>
      </c>
      <c r="F2729" t="str">
        <f t="shared" si="42"/>
        <v>67852</v>
      </c>
      <c r="AE2729">
        <v>1101110243793</v>
      </c>
      <c r="AG2729" t="s">
        <v>2</v>
      </c>
      <c r="AH2729" t="s">
        <v>134</v>
      </c>
      <c r="AI2729" t="s">
        <v>32</v>
      </c>
      <c r="AJ2729" t="s">
        <v>135</v>
      </c>
    </row>
    <row r="2730" spans="1:36">
      <c r="A2730" t="s">
        <v>6795</v>
      </c>
      <c r="B2730" t="s">
        <v>6796</v>
      </c>
      <c r="F2730" t="str">
        <f t="shared" si="42"/>
        <v>67853</v>
      </c>
      <c r="AE2730">
        <v>1101114823450</v>
      </c>
      <c r="AG2730" t="s">
        <v>4</v>
      </c>
      <c r="AH2730" t="s">
        <v>634</v>
      </c>
      <c r="AI2730" t="s">
        <v>6</v>
      </c>
      <c r="AJ2730" t="s">
        <v>635</v>
      </c>
    </row>
    <row r="2731" spans="1:36">
      <c r="A2731" t="s">
        <v>6797</v>
      </c>
      <c r="B2731" t="s">
        <v>6798</v>
      </c>
      <c r="F2731" t="str">
        <f t="shared" si="42"/>
        <v>67855</v>
      </c>
      <c r="AG2731" t="s">
        <v>4</v>
      </c>
    </row>
    <row r="2732" spans="1:36">
      <c r="A2732" t="s">
        <v>6799</v>
      </c>
      <c r="B2732" t="s">
        <v>6800</v>
      </c>
      <c r="F2732" t="str">
        <f t="shared" si="42"/>
        <v>67856</v>
      </c>
      <c r="AE2732">
        <v>1101110322381</v>
      </c>
      <c r="AG2732" t="s">
        <v>4</v>
      </c>
      <c r="AH2732" t="s">
        <v>341</v>
      </c>
      <c r="AJ2732" t="s">
        <v>342</v>
      </c>
    </row>
    <row r="2733" spans="1:36">
      <c r="A2733" t="s">
        <v>6801</v>
      </c>
      <c r="B2733" t="s">
        <v>6802</v>
      </c>
      <c r="F2733" t="str">
        <f t="shared" si="42"/>
        <v>67857</v>
      </c>
      <c r="AE2733">
        <v>1101110371346</v>
      </c>
      <c r="AG2733" t="s">
        <v>2</v>
      </c>
      <c r="AH2733" t="s">
        <v>584</v>
      </c>
      <c r="AI2733" t="s">
        <v>585</v>
      </c>
      <c r="AJ2733" t="s">
        <v>586</v>
      </c>
    </row>
    <row r="2734" spans="1:36">
      <c r="A2734" t="s">
        <v>6803</v>
      </c>
      <c r="B2734" t="s">
        <v>6804</v>
      </c>
      <c r="F2734" t="str">
        <f t="shared" si="42"/>
        <v>67860</v>
      </c>
      <c r="AE2734">
        <v>1101115079713</v>
      </c>
      <c r="AG2734" t="s">
        <v>4</v>
      </c>
      <c r="AH2734" t="s">
        <v>34</v>
      </c>
      <c r="AI2734" t="s">
        <v>35</v>
      </c>
      <c r="AJ2734" t="s">
        <v>36</v>
      </c>
    </row>
    <row r="2735" spans="1:36">
      <c r="A2735" t="s">
        <v>6805</v>
      </c>
      <c r="B2735" t="s">
        <v>6806</v>
      </c>
      <c r="F2735" t="str">
        <f t="shared" si="42"/>
        <v>67861</v>
      </c>
      <c r="AE2735">
        <v>1101110519970</v>
      </c>
      <c r="AG2735" t="s">
        <v>4</v>
      </c>
      <c r="AH2735" t="s">
        <v>634</v>
      </c>
      <c r="AI2735" t="s">
        <v>6</v>
      </c>
      <c r="AJ2735" t="s">
        <v>635</v>
      </c>
    </row>
    <row r="2736" spans="1:36">
      <c r="A2736" t="s">
        <v>6807</v>
      </c>
      <c r="B2736" t="s">
        <v>6808</v>
      </c>
      <c r="F2736" t="str">
        <f t="shared" si="42"/>
        <v>67866</v>
      </c>
      <c r="AE2736">
        <v>1101113646697</v>
      </c>
      <c r="AG2736" t="s">
        <v>4</v>
      </c>
      <c r="AH2736" t="s">
        <v>634</v>
      </c>
      <c r="AI2736" t="s">
        <v>6</v>
      </c>
      <c r="AJ2736" t="s">
        <v>635</v>
      </c>
    </row>
    <row r="2737" spans="1:36">
      <c r="A2737" t="s">
        <v>6809</v>
      </c>
      <c r="B2737" t="s">
        <v>6810</v>
      </c>
      <c r="F2737" t="str">
        <f t="shared" si="42"/>
        <v>67868</v>
      </c>
      <c r="AE2737">
        <v>1101111871072</v>
      </c>
      <c r="AG2737" t="s">
        <v>2</v>
      </c>
    </row>
    <row r="2738" spans="1:36">
      <c r="A2738" t="s">
        <v>6811</v>
      </c>
      <c r="B2738" t="s">
        <v>6812</v>
      </c>
      <c r="F2738" t="str">
        <f t="shared" si="42"/>
        <v>67869</v>
      </c>
      <c r="AE2738">
        <v>1101115101839</v>
      </c>
      <c r="AG2738" t="s">
        <v>4</v>
      </c>
      <c r="AH2738" t="s">
        <v>634</v>
      </c>
      <c r="AI2738" t="s">
        <v>6</v>
      </c>
      <c r="AJ2738" t="s">
        <v>635</v>
      </c>
    </row>
    <row r="2739" spans="1:36">
      <c r="A2739" t="s">
        <v>6813</v>
      </c>
      <c r="B2739" t="s">
        <v>6814</v>
      </c>
      <c r="F2739" t="str">
        <f t="shared" si="42"/>
        <v>67870</v>
      </c>
      <c r="AE2739">
        <v>2301110205996</v>
      </c>
      <c r="AG2739" t="s">
        <v>4</v>
      </c>
      <c r="AH2739" t="s">
        <v>1383</v>
      </c>
      <c r="AI2739" t="s">
        <v>192</v>
      </c>
      <c r="AJ2739" t="s">
        <v>1384</v>
      </c>
    </row>
    <row r="2740" spans="1:36">
      <c r="A2740" t="s">
        <v>6815</v>
      </c>
      <c r="B2740" t="s">
        <v>6816</v>
      </c>
      <c r="F2740" t="str">
        <f t="shared" si="42"/>
        <v>67871</v>
      </c>
      <c r="AE2740">
        <v>1301110013499</v>
      </c>
      <c r="AG2740" t="s">
        <v>4</v>
      </c>
      <c r="AH2740" t="s">
        <v>652</v>
      </c>
      <c r="AI2740" t="s">
        <v>6</v>
      </c>
      <c r="AJ2740" t="s">
        <v>653</v>
      </c>
    </row>
    <row r="2741" spans="1:36">
      <c r="A2741" t="s">
        <v>6817</v>
      </c>
      <c r="B2741" t="s">
        <v>6818</v>
      </c>
      <c r="F2741" t="str">
        <f t="shared" si="42"/>
        <v>67873</v>
      </c>
      <c r="AE2741">
        <v>1101112365321</v>
      </c>
      <c r="AG2741" t="s">
        <v>4</v>
      </c>
      <c r="AH2741" t="s">
        <v>5</v>
      </c>
      <c r="AI2741" t="s">
        <v>6</v>
      </c>
      <c r="AJ2741" t="s">
        <v>7</v>
      </c>
    </row>
    <row r="2742" spans="1:36">
      <c r="A2742" t="s">
        <v>6819</v>
      </c>
      <c r="B2742" t="s">
        <v>6820</v>
      </c>
      <c r="F2742" t="str">
        <f t="shared" si="42"/>
        <v>67874</v>
      </c>
      <c r="AE2742">
        <v>1101110000086</v>
      </c>
      <c r="AG2742" t="s">
        <v>2</v>
      </c>
      <c r="AH2742" t="s">
        <v>248</v>
      </c>
      <c r="AI2742" t="s">
        <v>249</v>
      </c>
      <c r="AJ2742" t="s">
        <v>121</v>
      </c>
    </row>
    <row r="2743" spans="1:36">
      <c r="A2743" t="s">
        <v>6821</v>
      </c>
      <c r="B2743" t="s">
        <v>6822</v>
      </c>
      <c r="F2743" t="str">
        <f t="shared" si="42"/>
        <v>67875</v>
      </c>
      <c r="AE2743">
        <v>1601110019277</v>
      </c>
      <c r="AG2743" t="s">
        <v>2</v>
      </c>
      <c r="AH2743" t="s">
        <v>652</v>
      </c>
      <c r="AI2743" t="s">
        <v>6</v>
      </c>
      <c r="AJ2743" t="s">
        <v>653</v>
      </c>
    </row>
    <row r="2744" spans="1:36">
      <c r="A2744" t="s">
        <v>6823</v>
      </c>
      <c r="B2744" t="s">
        <v>6824</v>
      </c>
      <c r="F2744" t="str">
        <f t="shared" si="42"/>
        <v>67876</v>
      </c>
      <c r="AE2744">
        <v>1101350000903</v>
      </c>
      <c r="AG2744" t="s">
        <v>2</v>
      </c>
      <c r="AH2744" t="s">
        <v>5</v>
      </c>
      <c r="AI2744" t="s">
        <v>6</v>
      </c>
      <c r="AJ2744" t="s">
        <v>7</v>
      </c>
    </row>
    <row r="2745" spans="1:36">
      <c r="A2745" t="s">
        <v>6825</v>
      </c>
      <c r="B2745" t="s">
        <v>6826</v>
      </c>
      <c r="F2745" t="str">
        <f t="shared" si="42"/>
        <v>67877</v>
      </c>
      <c r="AG2745" t="s">
        <v>4</v>
      </c>
    </row>
    <row r="2746" spans="1:36">
      <c r="A2746" t="s">
        <v>6827</v>
      </c>
      <c r="B2746" t="s">
        <v>6828</v>
      </c>
      <c r="F2746" t="str">
        <f t="shared" si="42"/>
        <v>67881</v>
      </c>
      <c r="AE2746">
        <v>1311110451961</v>
      </c>
      <c r="AG2746" t="s">
        <v>4</v>
      </c>
      <c r="AH2746" t="s">
        <v>1547</v>
      </c>
      <c r="AI2746" t="s">
        <v>555</v>
      </c>
      <c r="AJ2746" t="s">
        <v>1548</v>
      </c>
    </row>
    <row r="2747" spans="1:36">
      <c r="A2747" t="s">
        <v>6829</v>
      </c>
      <c r="B2747" t="s">
        <v>6830</v>
      </c>
      <c r="F2747" t="str">
        <f t="shared" si="42"/>
        <v>67882</v>
      </c>
      <c r="AE2747">
        <v>1101110617394</v>
      </c>
      <c r="AG2747" t="s">
        <v>4</v>
      </c>
      <c r="AH2747" t="s">
        <v>44</v>
      </c>
      <c r="AI2747" t="s">
        <v>32</v>
      </c>
      <c r="AJ2747" t="s">
        <v>45</v>
      </c>
    </row>
    <row r="2748" spans="1:36">
      <c r="A2748" t="s">
        <v>6831</v>
      </c>
      <c r="B2748" t="s">
        <v>6832</v>
      </c>
      <c r="F2748" t="str">
        <f t="shared" si="42"/>
        <v>67883</v>
      </c>
      <c r="AE2748">
        <v>1101116332590</v>
      </c>
      <c r="AG2748" t="s">
        <v>2</v>
      </c>
      <c r="AH2748" t="s">
        <v>679</v>
      </c>
      <c r="AI2748" t="s">
        <v>150</v>
      </c>
      <c r="AJ2748" t="s">
        <v>399</v>
      </c>
    </row>
    <row r="2749" spans="1:36">
      <c r="A2749" t="s">
        <v>6833</v>
      </c>
      <c r="B2749" t="s">
        <v>6834</v>
      </c>
      <c r="F2749" t="str">
        <f t="shared" si="42"/>
        <v>67884</v>
      </c>
      <c r="AE2749">
        <v>1347110014631</v>
      </c>
      <c r="AG2749" t="s">
        <v>2</v>
      </c>
      <c r="AH2749" t="s">
        <v>425</v>
      </c>
      <c r="AI2749" t="s">
        <v>76</v>
      </c>
      <c r="AJ2749" t="s">
        <v>426</v>
      </c>
    </row>
    <row r="2750" spans="1:36">
      <c r="A2750" t="s">
        <v>6835</v>
      </c>
      <c r="B2750" t="s">
        <v>6836</v>
      </c>
      <c r="F2750" t="str">
        <f t="shared" si="42"/>
        <v>67885</v>
      </c>
      <c r="AE2750">
        <v>1101116363850</v>
      </c>
      <c r="AG2750" t="s">
        <v>2</v>
      </c>
      <c r="AH2750" t="s">
        <v>1488</v>
      </c>
      <c r="AI2750" t="s">
        <v>70</v>
      </c>
      <c r="AJ2750" t="s">
        <v>784</v>
      </c>
    </row>
    <row r="2751" spans="1:36">
      <c r="A2751" t="s">
        <v>6837</v>
      </c>
      <c r="B2751" t="s">
        <v>6838</v>
      </c>
      <c r="F2751" t="str">
        <f t="shared" si="42"/>
        <v>67886</v>
      </c>
      <c r="AE2751">
        <v>1701110638661</v>
      </c>
      <c r="AG2751" t="s">
        <v>2</v>
      </c>
      <c r="AH2751" t="s">
        <v>254</v>
      </c>
      <c r="AI2751" t="s">
        <v>255</v>
      </c>
      <c r="AJ2751" t="s">
        <v>256</v>
      </c>
    </row>
    <row r="2752" spans="1:36">
      <c r="A2752" t="s">
        <v>6839</v>
      </c>
      <c r="B2752" t="s">
        <v>6840</v>
      </c>
      <c r="F2752" t="str">
        <f t="shared" si="42"/>
        <v>67889</v>
      </c>
      <c r="AE2752">
        <v>1101116363868</v>
      </c>
      <c r="AG2752" t="s">
        <v>2</v>
      </c>
      <c r="AH2752" t="s">
        <v>957</v>
      </c>
      <c r="AI2752" t="s">
        <v>65</v>
      </c>
      <c r="AJ2752" t="s">
        <v>958</v>
      </c>
    </row>
    <row r="2753" spans="1:36">
      <c r="A2753" t="s">
        <v>6841</v>
      </c>
      <c r="B2753" t="s">
        <v>6842</v>
      </c>
      <c r="F2753" t="str">
        <f t="shared" si="42"/>
        <v>67890</v>
      </c>
      <c r="AE2753">
        <v>2101110091498</v>
      </c>
      <c r="AG2753" t="s">
        <v>2</v>
      </c>
      <c r="AH2753" t="s">
        <v>973</v>
      </c>
      <c r="AI2753" t="s">
        <v>6</v>
      </c>
      <c r="AJ2753" t="s">
        <v>974</v>
      </c>
    </row>
    <row r="2754" spans="1:36">
      <c r="A2754" t="s">
        <v>6843</v>
      </c>
      <c r="B2754" t="s">
        <v>6844</v>
      </c>
      <c r="F2754" t="str">
        <f t="shared" si="42"/>
        <v>67893</v>
      </c>
      <c r="AE2754">
        <v>1101111217416</v>
      </c>
      <c r="AG2754" t="s">
        <v>4</v>
      </c>
      <c r="AH2754" t="s">
        <v>634</v>
      </c>
      <c r="AI2754" t="s">
        <v>6</v>
      </c>
      <c r="AJ2754" t="s">
        <v>635</v>
      </c>
    </row>
    <row r="2755" spans="1:36">
      <c r="A2755" t="s">
        <v>6845</v>
      </c>
      <c r="B2755" t="s">
        <v>6846</v>
      </c>
      <c r="F2755" t="str">
        <f t="shared" si="42"/>
        <v>67898</v>
      </c>
      <c r="AE2755">
        <v>1201110666464</v>
      </c>
      <c r="AG2755" t="s">
        <v>4</v>
      </c>
      <c r="AH2755" t="s">
        <v>254</v>
      </c>
      <c r="AI2755" t="s">
        <v>255</v>
      </c>
      <c r="AJ2755" t="s">
        <v>256</v>
      </c>
    </row>
    <row r="2756" spans="1:36">
      <c r="A2756" t="s">
        <v>6847</v>
      </c>
      <c r="B2756" t="s">
        <v>6848</v>
      </c>
      <c r="F2756" t="str">
        <f t="shared" si="42"/>
        <v>67899</v>
      </c>
      <c r="AG2756" t="s">
        <v>4</v>
      </c>
    </row>
    <row r="2757" spans="1:36">
      <c r="A2757" t="s">
        <v>6849</v>
      </c>
      <c r="B2757" t="s">
        <v>6850</v>
      </c>
      <c r="F2757" t="str">
        <f t="shared" si="42"/>
        <v>67900</v>
      </c>
      <c r="AG2757" t="s">
        <v>4</v>
      </c>
    </row>
    <row r="2758" spans="1:36">
      <c r="A2758" t="s">
        <v>6851</v>
      </c>
      <c r="B2758" t="s">
        <v>6852</v>
      </c>
      <c r="F2758" t="str">
        <f t="shared" si="42"/>
        <v>67901</v>
      </c>
      <c r="AE2758">
        <v>1101116390770</v>
      </c>
      <c r="AG2758" t="s">
        <v>2</v>
      </c>
      <c r="AH2758" t="s">
        <v>1186</v>
      </c>
      <c r="AI2758" t="s">
        <v>150</v>
      </c>
      <c r="AJ2758" t="s">
        <v>1187</v>
      </c>
    </row>
    <row r="2759" spans="1:36">
      <c r="A2759" t="s">
        <v>6853</v>
      </c>
      <c r="B2759" t="s">
        <v>6854</v>
      </c>
      <c r="F2759" t="str">
        <f t="shared" si="42"/>
        <v>67902</v>
      </c>
      <c r="AE2759">
        <v>1101115197193</v>
      </c>
      <c r="AG2759" t="s">
        <v>2</v>
      </c>
      <c r="AH2759" t="s">
        <v>15</v>
      </c>
      <c r="AI2759" t="s">
        <v>16</v>
      </c>
      <c r="AJ2759" t="s">
        <v>17</v>
      </c>
    </row>
    <row r="2760" spans="1:36">
      <c r="A2760" t="s">
        <v>6855</v>
      </c>
      <c r="B2760" t="s">
        <v>6856</v>
      </c>
      <c r="F2760" t="str">
        <f t="shared" si="42"/>
        <v>67903</v>
      </c>
      <c r="AE2760">
        <v>1101113809112</v>
      </c>
      <c r="AG2760" t="s">
        <v>4</v>
      </c>
    </row>
    <row r="2761" spans="1:36">
      <c r="A2761" t="s">
        <v>6857</v>
      </c>
      <c r="B2761" t="s">
        <v>6858</v>
      </c>
      <c r="F2761" t="str">
        <f t="shared" si="42"/>
        <v>67906</v>
      </c>
      <c r="AG2761" t="s">
        <v>4</v>
      </c>
    </row>
    <row r="2762" spans="1:36">
      <c r="A2762" t="s">
        <v>6859</v>
      </c>
      <c r="B2762" t="s">
        <v>6860</v>
      </c>
      <c r="F2762" t="str">
        <f t="shared" ref="F2762:F2825" si="43">CHOOSE($C$1, A2762, B2762)</f>
        <v>67908</v>
      </c>
      <c r="AG2762" t="s">
        <v>4</v>
      </c>
    </row>
    <row r="2763" spans="1:36">
      <c r="A2763" t="s">
        <v>6861</v>
      </c>
      <c r="B2763" t="s">
        <v>6862</v>
      </c>
      <c r="F2763" t="str">
        <f t="shared" si="43"/>
        <v>67913</v>
      </c>
      <c r="AE2763">
        <v>1101350000937</v>
      </c>
      <c r="AG2763" t="s">
        <v>4</v>
      </c>
    </row>
    <row r="2764" spans="1:36">
      <c r="A2764" t="s">
        <v>6863</v>
      </c>
      <c r="B2764" t="s">
        <v>6864</v>
      </c>
      <c r="F2764" t="str">
        <f t="shared" si="43"/>
        <v>67914</v>
      </c>
      <c r="AG2764" t="s">
        <v>4</v>
      </c>
    </row>
    <row r="2765" spans="1:36">
      <c r="A2765" t="s">
        <v>6865</v>
      </c>
      <c r="B2765" t="s">
        <v>6866</v>
      </c>
      <c r="F2765" t="str">
        <f t="shared" si="43"/>
        <v>67915</v>
      </c>
      <c r="AE2765">
        <v>1101110003204</v>
      </c>
      <c r="AG2765" t="s">
        <v>2</v>
      </c>
      <c r="AH2765" t="s">
        <v>734</v>
      </c>
      <c r="AI2765" t="s">
        <v>55</v>
      </c>
      <c r="AJ2765" t="s">
        <v>735</v>
      </c>
    </row>
    <row r="2766" spans="1:36">
      <c r="A2766" t="s">
        <v>6867</v>
      </c>
      <c r="B2766" t="s">
        <v>6868</v>
      </c>
      <c r="F2766" t="str">
        <f t="shared" si="43"/>
        <v>67941</v>
      </c>
      <c r="AE2766">
        <v>1101380000014</v>
      </c>
      <c r="AG2766" t="s">
        <v>4</v>
      </c>
    </row>
    <row r="2767" spans="1:36">
      <c r="A2767" t="s">
        <v>6869</v>
      </c>
      <c r="B2767" t="s">
        <v>6870</v>
      </c>
      <c r="F2767" t="str">
        <f t="shared" si="43"/>
        <v>67942</v>
      </c>
      <c r="AE2767">
        <v>1101111220336</v>
      </c>
      <c r="AG2767" t="s">
        <v>4</v>
      </c>
      <c r="AH2767" t="s">
        <v>634</v>
      </c>
      <c r="AI2767" t="s">
        <v>6</v>
      </c>
      <c r="AJ2767" t="s">
        <v>635</v>
      </c>
    </row>
    <row r="2768" spans="1:36">
      <c r="A2768" t="s">
        <v>6871</v>
      </c>
      <c r="B2768" t="s">
        <v>6872</v>
      </c>
      <c r="F2768" t="str">
        <f t="shared" si="43"/>
        <v>67943</v>
      </c>
      <c r="AE2768">
        <v>1701110092784</v>
      </c>
      <c r="AG2768" t="s">
        <v>4</v>
      </c>
      <c r="AH2768" t="s">
        <v>634</v>
      </c>
      <c r="AI2768" t="s">
        <v>6</v>
      </c>
      <c r="AJ2768" t="s">
        <v>635</v>
      </c>
    </row>
    <row r="2769" spans="1:36">
      <c r="A2769" t="s">
        <v>6873</v>
      </c>
      <c r="B2769" t="s">
        <v>6874</v>
      </c>
      <c r="F2769" t="str">
        <f t="shared" si="43"/>
        <v>67944</v>
      </c>
      <c r="AE2769">
        <v>1341110168357</v>
      </c>
      <c r="AG2769" t="s">
        <v>4</v>
      </c>
      <c r="AH2769" t="s">
        <v>69</v>
      </c>
      <c r="AI2769" t="s">
        <v>70</v>
      </c>
      <c r="AJ2769" t="s">
        <v>71</v>
      </c>
    </row>
    <row r="2770" spans="1:36">
      <c r="A2770" t="s">
        <v>6875</v>
      </c>
      <c r="B2770" t="s">
        <v>6876</v>
      </c>
      <c r="F2770" t="str">
        <f t="shared" si="43"/>
        <v>67945</v>
      </c>
      <c r="AE2770">
        <v>1101110003999</v>
      </c>
      <c r="AG2770" t="s">
        <v>4</v>
      </c>
      <c r="AH2770" t="s">
        <v>296</v>
      </c>
      <c r="AI2770" t="s">
        <v>297</v>
      </c>
      <c r="AJ2770" t="s">
        <v>298</v>
      </c>
    </row>
    <row r="2771" spans="1:36">
      <c r="A2771" t="s">
        <v>6877</v>
      </c>
      <c r="B2771" t="s">
        <v>6878</v>
      </c>
      <c r="F2771" t="str">
        <f t="shared" si="43"/>
        <v>67946</v>
      </c>
      <c r="AE2771">
        <v>1101110759493</v>
      </c>
      <c r="AG2771" t="s">
        <v>2</v>
      </c>
      <c r="AH2771" t="s">
        <v>830</v>
      </c>
      <c r="AI2771" t="s">
        <v>32</v>
      </c>
      <c r="AJ2771" t="s">
        <v>831</v>
      </c>
    </row>
    <row r="2772" spans="1:36">
      <c r="A2772" t="s">
        <v>6879</v>
      </c>
      <c r="B2772" t="s">
        <v>6880</v>
      </c>
      <c r="F2772" t="str">
        <f t="shared" si="43"/>
        <v>67947</v>
      </c>
      <c r="AE2772">
        <v>1101110013493</v>
      </c>
      <c r="AG2772" t="s">
        <v>4</v>
      </c>
    </row>
    <row r="2773" spans="1:36">
      <c r="A2773" t="s">
        <v>6881</v>
      </c>
      <c r="B2773" t="s">
        <v>6882</v>
      </c>
      <c r="F2773" t="str">
        <f t="shared" si="43"/>
        <v>67948</v>
      </c>
      <c r="AE2773">
        <v>1146710021454</v>
      </c>
      <c r="AG2773" t="s">
        <v>4</v>
      </c>
      <c r="AH2773" t="s">
        <v>864</v>
      </c>
      <c r="AI2773" t="s">
        <v>6</v>
      </c>
      <c r="AJ2773" t="s">
        <v>865</v>
      </c>
    </row>
    <row r="2774" spans="1:36">
      <c r="A2774" t="s">
        <v>6883</v>
      </c>
      <c r="B2774" t="s">
        <v>6884</v>
      </c>
      <c r="F2774" t="str">
        <f t="shared" si="43"/>
        <v>67949</v>
      </c>
      <c r="AE2774">
        <v>1101110023393</v>
      </c>
      <c r="AG2774" t="s">
        <v>4</v>
      </c>
      <c r="AH2774" t="s">
        <v>5</v>
      </c>
      <c r="AI2774" t="s">
        <v>6</v>
      </c>
      <c r="AJ2774" t="s">
        <v>7</v>
      </c>
    </row>
    <row r="2775" spans="1:36">
      <c r="A2775" t="s">
        <v>6885</v>
      </c>
      <c r="B2775" t="s">
        <v>6886</v>
      </c>
      <c r="F2775" t="str">
        <f t="shared" si="43"/>
        <v>67950</v>
      </c>
      <c r="AE2775">
        <v>1650110004621</v>
      </c>
      <c r="AG2775" t="s">
        <v>4</v>
      </c>
      <c r="AH2775" t="s">
        <v>889</v>
      </c>
      <c r="AJ2775" t="s">
        <v>890</v>
      </c>
    </row>
    <row r="2776" spans="1:36">
      <c r="A2776" t="s">
        <v>6887</v>
      </c>
      <c r="B2776" t="s">
        <v>6888</v>
      </c>
      <c r="F2776" t="str">
        <f t="shared" si="43"/>
        <v>67951</v>
      </c>
      <c r="AG2776" t="s">
        <v>4</v>
      </c>
    </row>
    <row r="2777" spans="1:36">
      <c r="A2777" t="s">
        <v>6889</v>
      </c>
      <c r="B2777" t="s">
        <v>6890</v>
      </c>
      <c r="F2777" t="str">
        <f t="shared" si="43"/>
        <v>67952</v>
      </c>
      <c r="AE2777">
        <v>1101110578231</v>
      </c>
      <c r="AG2777" t="s">
        <v>4</v>
      </c>
      <c r="AH2777" t="s">
        <v>499</v>
      </c>
      <c r="AI2777" t="s">
        <v>192</v>
      </c>
      <c r="AJ2777" t="s">
        <v>500</v>
      </c>
    </row>
    <row r="2778" spans="1:36">
      <c r="A2778" t="s">
        <v>6891</v>
      </c>
      <c r="B2778" t="s">
        <v>6892</v>
      </c>
      <c r="F2778" t="str">
        <f t="shared" si="43"/>
        <v>67953</v>
      </c>
      <c r="AE2778">
        <v>1101113836678</v>
      </c>
      <c r="AG2778" t="s">
        <v>4</v>
      </c>
      <c r="AH2778" t="s">
        <v>667</v>
      </c>
      <c r="AI2778" t="s">
        <v>124</v>
      </c>
      <c r="AJ2778" t="s">
        <v>668</v>
      </c>
    </row>
    <row r="2779" spans="1:36">
      <c r="A2779" t="s">
        <v>6893</v>
      </c>
      <c r="B2779" t="s">
        <v>6894</v>
      </c>
      <c r="F2779" t="str">
        <f t="shared" si="43"/>
        <v>67954</v>
      </c>
      <c r="AG2779" t="s">
        <v>4</v>
      </c>
    </row>
    <row r="2780" spans="1:36">
      <c r="A2780" t="s">
        <v>6895</v>
      </c>
      <c r="B2780" t="s">
        <v>6896</v>
      </c>
      <c r="F2780" t="str">
        <f t="shared" si="43"/>
        <v>67955</v>
      </c>
      <c r="AG2780" t="s">
        <v>4</v>
      </c>
    </row>
    <row r="2781" spans="1:36">
      <c r="A2781" t="s">
        <v>6897</v>
      </c>
      <c r="B2781" t="s">
        <v>6898</v>
      </c>
      <c r="F2781" t="str">
        <f t="shared" si="43"/>
        <v>67956</v>
      </c>
      <c r="AE2781">
        <v>1313110030042</v>
      </c>
      <c r="AG2781" t="s">
        <v>2</v>
      </c>
      <c r="AH2781" t="s">
        <v>15</v>
      </c>
      <c r="AI2781" t="s">
        <v>16</v>
      </c>
      <c r="AJ2781" t="s">
        <v>17</v>
      </c>
    </row>
    <row r="2782" spans="1:36">
      <c r="A2782" t="s">
        <v>6899</v>
      </c>
      <c r="B2782" t="s">
        <v>6900</v>
      </c>
      <c r="F2782" t="str">
        <f t="shared" si="43"/>
        <v>67958</v>
      </c>
      <c r="AE2782">
        <v>1101111829576</v>
      </c>
      <c r="AG2782" t="s">
        <v>4</v>
      </c>
      <c r="AH2782" t="s">
        <v>874</v>
      </c>
      <c r="AI2782" t="s">
        <v>278</v>
      </c>
      <c r="AJ2782" t="s">
        <v>875</v>
      </c>
    </row>
    <row r="2783" spans="1:36">
      <c r="A2783" t="s">
        <v>6901</v>
      </c>
      <c r="B2783" t="s">
        <v>6902</v>
      </c>
      <c r="F2783" t="str">
        <f t="shared" si="43"/>
        <v>67962</v>
      </c>
      <c r="AE2783">
        <v>1101116536481</v>
      </c>
      <c r="AG2783" t="s">
        <v>2</v>
      </c>
      <c r="AH2783" t="s">
        <v>638</v>
      </c>
      <c r="AI2783" t="s">
        <v>150</v>
      </c>
      <c r="AJ2783" t="s">
        <v>639</v>
      </c>
    </row>
    <row r="2784" spans="1:36">
      <c r="A2784" t="s">
        <v>6903</v>
      </c>
      <c r="B2784" t="s">
        <v>6904</v>
      </c>
      <c r="F2784" t="str">
        <f t="shared" si="43"/>
        <v>67965</v>
      </c>
      <c r="AE2784">
        <v>1341110375209</v>
      </c>
      <c r="AG2784" t="s">
        <v>4</v>
      </c>
      <c r="AH2784" t="s">
        <v>883</v>
      </c>
      <c r="AI2784" t="s">
        <v>555</v>
      </c>
      <c r="AJ2784" t="s">
        <v>884</v>
      </c>
    </row>
    <row r="2785" spans="1:36">
      <c r="A2785" t="s">
        <v>6905</v>
      </c>
      <c r="B2785" t="s">
        <v>6906</v>
      </c>
      <c r="F2785" t="str">
        <f t="shared" si="43"/>
        <v>67966</v>
      </c>
      <c r="AG2785" t="s">
        <v>4</v>
      </c>
    </row>
    <row r="2786" spans="1:36">
      <c r="A2786" t="s">
        <v>6907</v>
      </c>
      <c r="B2786" t="s">
        <v>6908</v>
      </c>
      <c r="F2786" t="str">
        <f t="shared" si="43"/>
        <v>67967</v>
      </c>
      <c r="AE2786">
        <v>1101114071207</v>
      </c>
      <c r="AG2786" t="s">
        <v>2</v>
      </c>
      <c r="AH2786" t="s">
        <v>1281</v>
      </c>
      <c r="AI2786" t="s">
        <v>186</v>
      </c>
      <c r="AJ2786" t="s">
        <v>1282</v>
      </c>
    </row>
    <row r="2787" spans="1:36">
      <c r="A2787" t="s">
        <v>6909</v>
      </c>
      <c r="B2787" t="s">
        <v>6910</v>
      </c>
      <c r="F2787" t="str">
        <f t="shared" si="43"/>
        <v>67968</v>
      </c>
      <c r="AE2787">
        <v>1311110501021</v>
      </c>
      <c r="AG2787" t="s">
        <v>2</v>
      </c>
      <c r="AH2787" t="s">
        <v>128</v>
      </c>
      <c r="AI2787" t="s">
        <v>59</v>
      </c>
      <c r="AJ2787" t="s">
        <v>129</v>
      </c>
    </row>
    <row r="2788" spans="1:36">
      <c r="A2788" t="s">
        <v>6911</v>
      </c>
      <c r="B2788" t="s">
        <v>6912</v>
      </c>
      <c r="F2788" t="str">
        <f t="shared" si="43"/>
        <v>67969</v>
      </c>
      <c r="AG2788" t="s">
        <v>4</v>
      </c>
    </row>
    <row r="2789" spans="1:36">
      <c r="A2789" t="s">
        <v>6913</v>
      </c>
      <c r="B2789" t="s">
        <v>6914</v>
      </c>
      <c r="F2789" t="str">
        <f t="shared" si="43"/>
        <v>67983</v>
      </c>
      <c r="AE2789">
        <v>1101111632979</v>
      </c>
      <c r="AG2789" t="s">
        <v>4</v>
      </c>
      <c r="AH2789" t="s">
        <v>15</v>
      </c>
      <c r="AI2789" t="s">
        <v>16</v>
      </c>
      <c r="AJ2789" t="s">
        <v>17</v>
      </c>
    </row>
    <row r="2790" spans="1:36">
      <c r="A2790" t="s">
        <v>6915</v>
      </c>
      <c r="B2790" t="s">
        <v>6916</v>
      </c>
      <c r="F2790" t="str">
        <f t="shared" si="43"/>
        <v>67984</v>
      </c>
      <c r="AG2790" t="s">
        <v>4</v>
      </c>
    </row>
    <row r="2791" spans="1:36">
      <c r="A2791" t="s">
        <v>6917</v>
      </c>
      <c r="B2791" t="s">
        <v>6918</v>
      </c>
      <c r="F2791" t="str">
        <f t="shared" si="43"/>
        <v>67985</v>
      </c>
      <c r="AE2791">
        <v>1942110226226</v>
      </c>
      <c r="AG2791" t="s">
        <v>4</v>
      </c>
    </row>
    <row r="2792" spans="1:36">
      <c r="A2792" t="s">
        <v>6919</v>
      </c>
      <c r="B2792" t="s">
        <v>6920</v>
      </c>
      <c r="F2792" t="str">
        <f t="shared" si="43"/>
        <v>67986</v>
      </c>
      <c r="AE2792">
        <v>2001110396882</v>
      </c>
      <c r="AG2792" t="s">
        <v>4</v>
      </c>
    </row>
    <row r="2793" spans="1:36">
      <c r="A2793" t="s">
        <v>6921</v>
      </c>
      <c r="B2793" t="s">
        <v>6922</v>
      </c>
      <c r="F2793" t="str">
        <f t="shared" si="43"/>
        <v>67987</v>
      </c>
      <c r="AE2793">
        <v>1101112207177</v>
      </c>
      <c r="AG2793" t="s">
        <v>4</v>
      </c>
      <c r="AH2793" t="s">
        <v>874</v>
      </c>
      <c r="AI2793" t="s">
        <v>278</v>
      </c>
      <c r="AJ2793" t="s">
        <v>875</v>
      </c>
    </row>
    <row r="2794" spans="1:36">
      <c r="A2794" t="s">
        <v>6923</v>
      </c>
      <c r="B2794" t="s">
        <v>6924</v>
      </c>
      <c r="F2794" t="str">
        <f t="shared" si="43"/>
        <v>67988</v>
      </c>
      <c r="AE2794">
        <v>1101114191815</v>
      </c>
      <c r="AG2794" t="s">
        <v>4</v>
      </c>
      <c r="AH2794" t="s">
        <v>254</v>
      </c>
      <c r="AI2794" t="s">
        <v>255</v>
      </c>
      <c r="AJ2794" t="s">
        <v>256</v>
      </c>
    </row>
    <row r="2795" spans="1:36">
      <c r="A2795" t="s">
        <v>6925</v>
      </c>
      <c r="B2795" t="s">
        <v>6926</v>
      </c>
      <c r="F2795" t="str">
        <f t="shared" si="43"/>
        <v>67989</v>
      </c>
      <c r="AE2795">
        <v>1101114094035</v>
      </c>
      <c r="AG2795" t="s">
        <v>4</v>
      </c>
    </row>
    <row r="2796" spans="1:36">
      <c r="A2796" t="s">
        <v>6927</v>
      </c>
      <c r="B2796" t="s">
        <v>6928</v>
      </c>
      <c r="F2796" t="str">
        <f t="shared" si="43"/>
        <v>67990</v>
      </c>
      <c r="AE2796">
        <v>1101114207638</v>
      </c>
      <c r="AG2796" t="s">
        <v>4</v>
      </c>
      <c r="AH2796" t="s">
        <v>973</v>
      </c>
      <c r="AI2796" t="s">
        <v>6</v>
      </c>
      <c r="AJ2796" t="s">
        <v>974</v>
      </c>
    </row>
    <row r="2797" spans="1:36">
      <c r="A2797" t="s">
        <v>6929</v>
      </c>
      <c r="B2797" t="s">
        <v>6930</v>
      </c>
      <c r="F2797" t="str">
        <f t="shared" si="43"/>
        <v>67991</v>
      </c>
      <c r="AE2797">
        <v>2541710016498</v>
      </c>
      <c r="AG2797" t="s">
        <v>4</v>
      </c>
    </row>
    <row r="2798" spans="1:36">
      <c r="A2798" t="s">
        <v>6931</v>
      </c>
      <c r="B2798" t="s">
        <v>6932</v>
      </c>
      <c r="F2798" t="str">
        <f t="shared" si="43"/>
        <v>67992</v>
      </c>
      <c r="AG2798" t="s">
        <v>4</v>
      </c>
    </row>
    <row r="2799" spans="1:36">
      <c r="A2799" t="s">
        <v>6933</v>
      </c>
      <c r="B2799" t="s">
        <v>6934</v>
      </c>
      <c r="F2799" t="str">
        <f t="shared" si="43"/>
        <v>67993</v>
      </c>
      <c r="AE2799">
        <v>1101112322438</v>
      </c>
      <c r="AG2799" t="s">
        <v>2</v>
      </c>
      <c r="AH2799" t="s">
        <v>973</v>
      </c>
      <c r="AI2799" t="s">
        <v>6</v>
      </c>
      <c r="AJ2799" t="s">
        <v>974</v>
      </c>
    </row>
    <row r="2800" spans="1:36">
      <c r="A2800" t="s">
        <v>6935</v>
      </c>
      <c r="B2800" t="s">
        <v>6936</v>
      </c>
      <c r="F2800" t="str">
        <f t="shared" si="43"/>
        <v>67994</v>
      </c>
      <c r="AE2800">
        <v>1313110140776</v>
      </c>
      <c r="AG2800" t="s">
        <v>2</v>
      </c>
      <c r="AH2800" t="s">
        <v>145</v>
      </c>
      <c r="AI2800" t="s">
        <v>146</v>
      </c>
      <c r="AJ2800" t="s">
        <v>147</v>
      </c>
    </row>
    <row r="2801" spans="1:36">
      <c r="A2801" t="s">
        <v>6937</v>
      </c>
      <c r="B2801" t="s">
        <v>6938</v>
      </c>
      <c r="F2801" t="str">
        <f t="shared" si="43"/>
        <v>67995</v>
      </c>
      <c r="AG2801" t="s">
        <v>4</v>
      </c>
    </row>
    <row r="2802" spans="1:36">
      <c r="A2802" t="s">
        <v>6939</v>
      </c>
      <c r="B2802" t="s">
        <v>6940</v>
      </c>
      <c r="F2802" t="str">
        <f t="shared" si="43"/>
        <v>67996</v>
      </c>
      <c r="AG2802" t="s">
        <v>4</v>
      </c>
    </row>
    <row r="2803" spans="1:36">
      <c r="A2803" t="s">
        <v>6941</v>
      </c>
      <c r="B2803" t="s">
        <v>6942</v>
      </c>
      <c r="F2803" t="str">
        <f t="shared" si="43"/>
        <v>67997</v>
      </c>
      <c r="AG2803" t="s">
        <v>4</v>
      </c>
    </row>
    <row r="2804" spans="1:36">
      <c r="A2804" t="s">
        <v>6943</v>
      </c>
      <c r="B2804" t="s">
        <v>6944</v>
      </c>
      <c r="F2804" t="str">
        <f t="shared" si="43"/>
        <v>67998</v>
      </c>
      <c r="AG2804" t="s">
        <v>4</v>
      </c>
    </row>
    <row r="2805" spans="1:36">
      <c r="A2805" t="s">
        <v>6945</v>
      </c>
      <c r="B2805" t="s">
        <v>6946</v>
      </c>
      <c r="F2805" t="str">
        <f t="shared" si="43"/>
        <v>68002</v>
      </c>
      <c r="AE2805">
        <v>1101110853576</v>
      </c>
      <c r="AG2805" t="s">
        <v>4</v>
      </c>
      <c r="AH2805" t="s">
        <v>988</v>
      </c>
      <c r="AI2805" t="s">
        <v>192</v>
      </c>
      <c r="AJ2805" t="s">
        <v>989</v>
      </c>
    </row>
    <row r="2806" spans="1:36">
      <c r="A2806" t="s">
        <v>6947</v>
      </c>
      <c r="B2806" t="s">
        <v>6948</v>
      </c>
      <c r="F2806" t="str">
        <f t="shared" si="43"/>
        <v>68003</v>
      </c>
      <c r="AE2806">
        <v>1101115505354</v>
      </c>
      <c r="AG2806" t="s">
        <v>4</v>
      </c>
      <c r="AH2806" t="s">
        <v>634</v>
      </c>
      <c r="AI2806" t="s">
        <v>6</v>
      </c>
      <c r="AJ2806" t="s">
        <v>635</v>
      </c>
    </row>
    <row r="2807" spans="1:36">
      <c r="A2807" t="s">
        <v>6949</v>
      </c>
      <c r="B2807" t="s">
        <v>6950</v>
      </c>
      <c r="F2807" t="str">
        <f t="shared" si="43"/>
        <v>68005</v>
      </c>
      <c r="AE2807">
        <v>2301110227982</v>
      </c>
      <c r="AG2807" t="s">
        <v>4</v>
      </c>
      <c r="AH2807" t="s">
        <v>359</v>
      </c>
      <c r="AI2807" t="s">
        <v>59</v>
      </c>
      <c r="AJ2807" t="s">
        <v>360</v>
      </c>
    </row>
    <row r="2808" spans="1:36">
      <c r="A2808" t="s">
        <v>6951</v>
      </c>
      <c r="B2808" t="s">
        <v>6952</v>
      </c>
      <c r="F2808" t="str">
        <f t="shared" si="43"/>
        <v>68006</v>
      </c>
      <c r="AE2808">
        <v>1353110013606</v>
      </c>
      <c r="AG2808" t="s">
        <v>2</v>
      </c>
      <c r="AH2808" t="s">
        <v>212</v>
      </c>
      <c r="AI2808" t="s">
        <v>59</v>
      </c>
      <c r="AJ2808" t="s">
        <v>173</v>
      </c>
    </row>
    <row r="2809" spans="1:36">
      <c r="A2809" t="s">
        <v>6953</v>
      </c>
      <c r="B2809" t="s">
        <v>6954</v>
      </c>
      <c r="F2809" t="str">
        <f t="shared" si="43"/>
        <v>68007</v>
      </c>
      <c r="AE2809">
        <v>1311110523736</v>
      </c>
      <c r="AG2809" t="s">
        <v>4</v>
      </c>
      <c r="AH2809" t="s">
        <v>34</v>
      </c>
      <c r="AI2809" t="s">
        <v>35</v>
      </c>
      <c r="AJ2809" t="s">
        <v>36</v>
      </c>
    </row>
    <row r="2810" spans="1:36">
      <c r="A2810" t="s">
        <v>6955</v>
      </c>
      <c r="B2810" t="s">
        <v>6956</v>
      </c>
      <c r="F2810" t="str">
        <f t="shared" si="43"/>
        <v>68008</v>
      </c>
      <c r="AE2810">
        <v>1101112207119</v>
      </c>
      <c r="AG2810" t="s">
        <v>4</v>
      </c>
      <c r="AH2810" t="s">
        <v>874</v>
      </c>
      <c r="AI2810" t="s">
        <v>278</v>
      </c>
      <c r="AJ2810" t="s">
        <v>875</v>
      </c>
    </row>
    <row r="2811" spans="1:36">
      <c r="A2811" t="s">
        <v>6957</v>
      </c>
      <c r="B2811" t="s">
        <v>6958</v>
      </c>
      <c r="F2811" t="str">
        <f t="shared" si="43"/>
        <v>68009</v>
      </c>
      <c r="AE2811">
        <v>1101116799203</v>
      </c>
      <c r="AG2811" t="s">
        <v>4</v>
      </c>
      <c r="AH2811" t="s">
        <v>219</v>
      </c>
      <c r="AI2811" t="s">
        <v>139</v>
      </c>
      <c r="AJ2811" t="s">
        <v>220</v>
      </c>
    </row>
    <row r="2812" spans="1:36">
      <c r="A2812" t="s">
        <v>6959</v>
      </c>
      <c r="B2812" t="s">
        <v>6960</v>
      </c>
      <c r="F2812" t="str">
        <f t="shared" si="43"/>
        <v>68010</v>
      </c>
      <c r="AG2812" t="s">
        <v>4</v>
      </c>
    </row>
    <row r="2813" spans="1:36">
      <c r="A2813" t="s">
        <v>6961</v>
      </c>
      <c r="B2813" t="s">
        <v>6962</v>
      </c>
      <c r="F2813" t="str">
        <f t="shared" si="43"/>
        <v>68011</v>
      </c>
      <c r="AG2813" t="s">
        <v>4</v>
      </c>
    </row>
    <row r="2814" spans="1:36">
      <c r="A2814" t="s">
        <v>6963</v>
      </c>
      <c r="B2814" t="s">
        <v>6964</v>
      </c>
      <c r="F2814" t="str">
        <f t="shared" si="43"/>
        <v>68012</v>
      </c>
      <c r="AG2814" t="s">
        <v>4</v>
      </c>
    </row>
    <row r="2815" spans="1:36">
      <c r="A2815" t="s">
        <v>6965</v>
      </c>
      <c r="B2815" t="s">
        <v>6966</v>
      </c>
      <c r="F2815" t="str">
        <f t="shared" si="43"/>
        <v>68013</v>
      </c>
      <c r="AE2815">
        <v>1101114926006</v>
      </c>
      <c r="AG2815" t="s">
        <v>4</v>
      </c>
      <c r="AH2815" t="s">
        <v>774</v>
      </c>
      <c r="AI2815" t="s">
        <v>278</v>
      </c>
      <c r="AJ2815" t="s">
        <v>775</v>
      </c>
    </row>
    <row r="2816" spans="1:36">
      <c r="A2816" t="s">
        <v>6967</v>
      </c>
      <c r="B2816" t="s">
        <v>6968</v>
      </c>
      <c r="F2816" t="str">
        <f t="shared" si="43"/>
        <v>68016</v>
      </c>
      <c r="AE2816">
        <v>1101115554591</v>
      </c>
      <c r="AG2816" t="s">
        <v>4</v>
      </c>
      <c r="AH2816" t="s">
        <v>729</v>
      </c>
      <c r="AI2816" t="s">
        <v>6</v>
      </c>
      <c r="AJ2816" t="s">
        <v>730</v>
      </c>
    </row>
    <row r="2817" spans="1:36">
      <c r="A2817" t="s">
        <v>6969</v>
      </c>
      <c r="B2817" t="s">
        <v>6970</v>
      </c>
      <c r="F2817" t="str">
        <f t="shared" si="43"/>
        <v>68024</v>
      </c>
      <c r="AE2817">
        <v>1942110038423</v>
      </c>
      <c r="AG2817" t="s">
        <v>2</v>
      </c>
      <c r="AH2817" t="s">
        <v>623</v>
      </c>
      <c r="AI2817" t="s">
        <v>65</v>
      </c>
      <c r="AJ2817" t="s">
        <v>624</v>
      </c>
    </row>
    <row r="2818" spans="1:36">
      <c r="A2818" t="s">
        <v>6971</v>
      </c>
      <c r="B2818" t="s">
        <v>6972</v>
      </c>
      <c r="F2818" t="str">
        <f t="shared" si="43"/>
        <v>68025</v>
      </c>
      <c r="AE2818">
        <v>1101115604700</v>
      </c>
      <c r="AG2818" t="s">
        <v>2</v>
      </c>
      <c r="AH2818" t="s">
        <v>160</v>
      </c>
      <c r="AI2818" t="s">
        <v>101</v>
      </c>
      <c r="AJ2818" t="s">
        <v>161</v>
      </c>
    </row>
    <row r="2819" spans="1:36">
      <c r="A2819" t="s">
        <v>6973</v>
      </c>
      <c r="B2819" t="s">
        <v>6974</v>
      </c>
      <c r="F2819" t="str">
        <f t="shared" si="43"/>
        <v>68026</v>
      </c>
      <c r="AE2819">
        <v>1101111405897</v>
      </c>
      <c r="AG2819" t="s">
        <v>4</v>
      </c>
      <c r="AH2819" t="s">
        <v>1036</v>
      </c>
      <c r="AI2819" t="s">
        <v>76</v>
      </c>
      <c r="AJ2819" t="s">
        <v>1037</v>
      </c>
    </row>
    <row r="2820" spans="1:36">
      <c r="A2820" t="s">
        <v>6975</v>
      </c>
      <c r="B2820" t="s">
        <v>6976</v>
      </c>
      <c r="F2820" t="str">
        <f t="shared" si="43"/>
        <v>68027</v>
      </c>
      <c r="AE2820">
        <v>1101114629501</v>
      </c>
      <c r="AG2820" t="s">
        <v>4</v>
      </c>
      <c r="AH2820" t="s">
        <v>874</v>
      </c>
      <c r="AI2820" t="s">
        <v>278</v>
      </c>
      <c r="AJ2820" t="s">
        <v>875</v>
      </c>
    </row>
    <row r="2821" spans="1:36">
      <c r="A2821" t="s">
        <v>6977</v>
      </c>
      <c r="B2821" t="s">
        <v>6978</v>
      </c>
      <c r="F2821" t="str">
        <f t="shared" si="43"/>
        <v>68031</v>
      </c>
      <c r="AE2821">
        <v>1101114629501</v>
      </c>
      <c r="AG2821" t="s">
        <v>4</v>
      </c>
      <c r="AH2821" t="s">
        <v>874</v>
      </c>
      <c r="AI2821" t="s">
        <v>278</v>
      </c>
      <c r="AJ2821" t="s">
        <v>875</v>
      </c>
    </row>
    <row r="2822" spans="1:36">
      <c r="A2822" t="s">
        <v>6979</v>
      </c>
      <c r="B2822" t="s">
        <v>6980</v>
      </c>
      <c r="F2822" t="str">
        <f t="shared" si="43"/>
        <v>68033</v>
      </c>
      <c r="AE2822">
        <v>1101114362482</v>
      </c>
      <c r="AG2822" t="s">
        <v>4</v>
      </c>
      <c r="AH2822" t="s">
        <v>169</v>
      </c>
      <c r="AI2822" t="s">
        <v>59</v>
      </c>
      <c r="AJ2822" t="s">
        <v>170</v>
      </c>
    </row>
    <row r="2823" spans="1:36">
      <c r="A2823" t="s">
        <v>6981</v>
      </c>
      <c r="B2823" t="s">
        <v>6982</v>
      </c>
      <c r="F2823" t="str">
        <f t="shared" si="43"/>
        <v>68034</v>
      </c>
      <c r="AG2823" t="s">
        <v>4</v>
      </c>
    </row>
    <row r="2824" spans="1:36">
      <c r="A2824" t="s">
        <v>6983</v>
      </c>
      <c r="B2824" t="s">
        <v>6984</v>
      </c>
      <c r="F2824" t="str">
        <f t="shared" si="43"/>
        <v>68035</v>
      </c>
      <c r="AE2824">
        <v>1101116968436</v>
      </c>
      <c r="AG2824" t="s">
        <v>4</v>
      </c>
      <c r="AH2824" t="s">
        <v>1577</v>
      </c>
      <c r="AI2824" t="s">
        <v>249</v>
      </c>
      <c r="AJ2824" t="s">
        <v>1578</v>
      </c>
    </row>
    <row r="2825" spans="1:36">
      <c r="A2825" t="s">
        <v>6985</v>
      </c>
      <c r="B2825" t="s">
        <v>6986</v>
      </c>
      <c r="F2825" t="str">
        <f t="shared" si="43"/>
        <v>68036</v>
      </c>
      <c r="AE2825">
        <v>1101114382612</v>
      </c>
      <c r="AG2825" t="s">
        <v>2</v>
      </c>
      <c r="AH2825" t="s">
        <v>1161</v>
      </c>
      <c r="AI2825" t="s">
        <v>83</v>
      </c>
      <c r="AJ2825" t="s">
        <v>515</v>
      </c>
    </row>
    <row r="2826" spans="1:36">
      <c r="A2826" t="s">
        <v>6987</v>
      </c>
      <c r="B2826" t="s">
        <v>6988</v>
      </c>
      <c r="F2826" t="str">
        <f t="shared" ref="F2826:F2889" si="44">CHOOSE($C$1, A2826, B2826)</f>
        <v>68040</v>
      </c>
      <c r="AG2826" t="s">
        <v>4</v>
      </c>
    </row>
    <row r="2827" spans="1:36">
      <c r="A2827" t="s">
        <v>6989</v>
      </c>
      <c r="B2827" t="s">
        <v>6990</v>
      </c>
      <c r="F2827" t="str">
        <f t="shared" si="44"/>
        <v>68041</v>
      </c>
      <c r="AG2827" t="s">
        <v>4</v>
      </c>
    </row>
    <row r="2828" spans="1:36">
      <c r="A2828" t="s">
        <v>6991</v>
      </c>
      <c r="B2828" t="s">
        <v>6992</v>
      </c>
      <c r="F2828" t="str">
        <f t="shared" si="44"/>
        <v>68044</v>
      </c>
      <c r="AE2828">
        <v>1101114434554</v>
      </c>
      <c r="AG2828" t="s">
        <v>4</v>
      </c>
    </row>
    <row r="2829" spans="1:36">
      <c r="A2829" t="s">
        <v>6993</v>
      </c>
      <c r="B2829" t="s">
        <v>6994</v>
      </c>
      <c r="F2829" t="str">
        <f t="shared" si="44"/>
        <v>68052</v>
      </c>
      <c r="AE2829">
        <v>1101112740276</v>
      </c>
      <c r="AG2829" t="s">
        <v>4</v>
      </c>
      <c r="AH2829" t="s">
        <v>634</v>
      </c>
      <c r="AI2829" t="s">
        <v>6</v>
      </c>
      <c r="AJ2829" t="s">
        <v>635</v>
      </c>
    </row>
    <row r="2830" spans="1:36">
      <c r="A2830" t="s">
        <v>6995</v>
      </c>
      <c r="B2830" t="s">
        <v>6996</v>
      </c>
      <c r="F2830" t="str">
        <f t="shared" si="44"/>
        <v>68061</v>
      </c>
      <c r="AG2830" t="s">
        <v>4</v>
      </c>
    </row>
    <row r="2831" spans="1:36">
      <c r="A2831" t="s">
        <v>6997</v>
      </c>
      <c r="B2831" t="s">
        <v>6998</v>
      </c>
      <c r="F2831" t="str">
        <f t="shared" si="44"/>
        <v>68062</v>
      </c>
      <c r="AE2831">
        <v>1101114505967</v>
      </c>
      <c r="AG2831" t="s">
        <v>4</v>
      </c>
      <c r="AH2831" t="s">
        <v>254</v>
      </c>
      <c r="AI2831" t="s">
        <v>255</v>
      </c>
      <c r="AJ2831" t="s">
        <v>256</v>
      </c>
    </row>
    <row r="2832" spans="1:36">
      <c r="A2832" t="s">
        <v>6999</v>
      </c>
      <c r="B2832" t="s">
        <v>7000</v>
      </c>
      <c r="F2832" t="str">
        <f t="shared" si="44"/>
        <v>68063</v>
      </c>
      <c r="AE2832">
        <v>1101114505975</v>
      </c>
      <c r="AG2832" t="s">
        <v>4</v>
      </c>
      <c r="AH2832" t="s">
        <v>359</v>
      </c>
      <c r="AI2832" t="s">
        <v>59</v>
      </c>
      <c r="AJ2832" t="s">
        <v>360</v>
      </c>
    </row>
    <row r="2833" spans="1:36">
      <c r="A2833" t="s">
        <v>7001</v>
      </c>
      <c r="B2833" t="s">
        <v>7002</v>
      </c>
      <c r="F2833" t="str">
        <f t="shared" si="44"/>
        <v>68064</v>
      </c>
      <c r="AE2833">
        <v>1101114546523</v>
      </c>
      <c r="AG2833" t="s">
        <v>4</v>
      </c>
      <c r="AH2833" t="s">
        <v>634</v>
      </c>
      <c r="AI2833" t="s">
        <v>6</v>
      </c>
      <c r="AJ2833" t="s">
        <v>635</v>
      </c>
    </row>
    <row r="2834" spans="1:36">
      <c r="A2834" t="s">
        <v>7003</v>
      </c>
      <c r="B2834" t="s">
        <v>7004</v>
      </c>
      <c r="F2834" t="str">
        <f t="shared" si="44"/>
        <v>68065</v>
      </c>
      <c r="AE2834">
        <v>1801110750893</v>
      </c>
      <c r="AG2834" t="s">
        <v>2</v>
      </c>
      <c r="AH2834" t="s">
        <v>973</v>
      </c>
      <c r="AI2834" t="s">
        <v>6</v>
      </c>
      <c r="AJ2834" t="s">
        <v>974</v>
      </c>
    </row>
    <row r="2835" spans="1:36">
      <c r="A2835" t="s">
        <v>7005</v>
      </c>
      <c r="B2835" t="s">
        <v>7006</v>
      </c>
      <c r="F2835" t="str">
        <f t="shared" si="44"/>
        <v>68066</v>
      </c>
      <c r="AE2835">
        <v>1101114594952</v>
      </c>
      <c r="AG2835" t="s">
        <v>2</v>
      </c>
      <c r="AH2835" t="s">
        <v>420</v>
      </c>
      <c r="AI2835" t="s">
        <v>249</v>
      </c>
      <c r="AJ2835" t="s">
        <v>421</v>
      </c>
    </row>
    <row r="2836" spans="1:36">
      <c r="A2836" t="s">
        <v>7007</v>
      </c>
      <c r="B2836" t="s">
        <v>7008</v>
      </c>
      <c r="F2836" t="str">
        <f t="shared" si="44"/>
        <v>68067</v>
      </c>
      <c r="AG2836" t="s">
        <v>4</v>
      </c>
    </row>
    <row r="2837" spans="1:36">
      <c r="A2837" t="s">
        <v>7009</v>
      </c>
      <c r="B2837" t="s">
        <v>7010</v>
      </c>
      <c r="F2837" t="str">
        <f t="shared" si="44"/>
        <v>68068</v>
      </c>
      <c r="AG2837" t="s">
        <v>4</v>
      </c>
    </row>
    <row r="2838" spans="1:36">
      <c r="A2838" t="s">
        <v>7011</v>
      </c>
      <c r="B2838" t="s">
        <v>7012</v>
      </c>
      <c r="F2838" t="str">
        <f t="shared" si="44"/>
        <v>68069</v>
      </c>
      <c r="AE2838">
        <v>1101113045112</v>
      </c>
      <c r="AG2838" t="s">
        <v>2</v>
      </c>
      <c r="AH2838" t="s">
        <v>210</v>
      </c>
      <c r="AJ2838" t="s">
        <v>211</v>
      </c>
    </row>
    <row r="2839" spans="1:36">
      <c r="A2839" t="s">
        <v>7013</v>
      </c>
      <c r="B2839" t="s">
        <v>7014</v>
      </c>
      <c r="F2839" t="str">
        <f t="shared" si="44"/>
        <v>68070</v>
      </c>
      <c r="AE2839">
        <v>1101112944688</v>
      </c>
      <c r="AG2839" t="s">
        <v>4</v>
      </c>
      <c r="AH2839" t="s">
        <v>652</v>
      </c>
      <c r="AI2839" t="s">
        <v>6</v>
      </c>
      <c r="AJ2839" t="s">
        <v>653</v>
      </c>
    </row>
    <row r="2840" spans="1:36">
      <c r="A2840" t="s">
        <v>7015</v>
      </c>
      <c r="B2840" t="s">
        <v>7016</v>
      </c>
      <c r="F2840" t="str">
        <f t="shared" si="44"/>
        <v>68071</v>
      </c>
      <c r="AE2840">
        <v>2442350009895</v>
      </c>
      <c r="AG2840" t="s">
        <v>4</v>
      </c>
      <c r="AH2840" t="s">
        <v>5</v>
      </c>
      <c r="AI2840" t="s">
        <v>6</v>
      </c>
      <c r="AJ2840" t="s">
        <v>7</v>
      </c>
    </row>
    <row r="2841" spans="1:36">
      <c r="A2841" t="s">
        <v>7017</v>
      </c>
      <c r="B2841" t="s">
        <v>7018</v>
      </c>
      <c r="F2841" t="str">
        <f t="shared" si="44"/>
        <v>68072</v>
      </c>
      <c r="AG2841" t="s">
        <v>4</v>
      </c>
    </row>
    <row r="2842" spans="1:36">
      <c r="A2842" t="s">
        <v>7019</v>
      </c>
      <c r="B2842" t="s">
        <v>7020</v>
      </c>
      <c r="F2842" t="str">
        <f t="shared" si="44"/>
        <v>68073</v>
      </c>
      <c r="AE2842">
        <v>1101113139733</v>
      </c>
      <c r="AG2842" t="s">
        <v>4</v>
      </c>
      <c r="AH2842" t="s">
        <v>1589</v>
      </c>
      <c r="AJ2842" t="s">
        <v>1590</v>
      </c>
    </row>
    <row r="2843" spans="1:36">
      <c r="A2843" t="s">
        <v>7021</v>
      </c>
      <c r="B2843" t="s">
        <v>7022</v>
      </c>
      <c r="F2843" t="str">
        <f t="shared" si="44"/>
        <v>68074</v>
      </c>
      <c r="AE2843">
        <v>1101116707636</v>
      </c>
      <c r="AG2843" t="s">
        <v>4</v>
      </c>
    </row>
    <row r="2844" spans="1:36">
      <c r="A2844" t="s">
        <v>7023</v>
      </c>
      <c r="B2844" t="s">
        <v>7024</v>
      </c>
      <c r="F2844" t="str">
        <f t="shared" si="44"/>
        <v>68078</v>
      </c>
      <c r="AE2844">
        <v>1101114765412</v>
      </c>
      <c r="AG2844" t="s">
        <v>4</v>
      </c>
      <c r="AH2844" t="s">
        <v>15</v>
      </c>
      <c r="AI2844" t="s">
        <v>16</v>
      </c>
      <c r="AJ2844" t="s">
        <v>17</v>
      </c>
    </row>
    <row r="2845" spans="1:36">
      <c r="A2845" t="s">
        <v>7025</v>
      </c>
      <c r="B2845" t="s">
        <v>7026</v>
      </c>
      <c r="F2845" t="str">
        <f t="shared" si="44"/>
        <v>68081</v>
      </c>
      <c r="AE2845">
        <v>1101114809385</v>
      </c>
      <c r="AG2845" t="s">
        <v>4</v>
      </c>
      <c r="AH2845" t="s">
        <v>5</v>
      </c>
      <c r="AI2845" t="s">
        <v>6</v>
      </c>
      <c r="AJ2845" t="s">
        <v>7</v>
      </c>
    </row>
    <row r="2846" spans="1:36">
      <c r="A2846" t="s">
        <v>7027</v>
      </c>
      <c r="B2846" t="s">
        <v>7028</v>
      </c>
      <c r="F2846" t="str">
        <f t="shared" si="44"/>
        <v>68082</v>
      </c>
      <c r="AE2846">
        <v>1101110012809</v>
      </c>
      <c r="AG2846" t="s">
        <v>4</v>
      </c>
      <c r="AH2846" t="s">
        <v>5</v>
      </c>
      <c r="AI2846" t="s">
        <v>6</v>
      </c>
      <c r="AJ2846" t="s">
        <v>7</v>
      </c>
    </row>
    <row r="2847" spans="1:36">
      <c r="A2847" t="s">
        <v>7029</v>
      </c>
      <c r="B2847" t="s">
        <v>7030</v>
      </c>
      <c r="F2847" t="str">
        <f t="shared" si="44"/>
        <v>68083</v>
      </c>
      <c r="AG2847" t="s">
        <v>4</v>
      </c>
    </row>
    <row r="2848" spans="1:36">
      <c r="A2848" t="s">
        <v>7031</v>
      </c>
      <c r="B2848" t="s">
        <v>7032</v>
      </c>
      <c r="F2848" t="str">
        <f t="shared" si="44"/>
        <v>68085</v>
      </c>
      <c r="AE2848">
        <v>1101110014459</v>
      </c>
      <c r="AG2848" t="s">
        <v>2</v>
      </c>
      <c r="AH2848" t="s">
        <v>54</v>
      </c>
      <c r="AI2848" t="s">
        <v>55</v>
      </c>
      <c r="AJ2848" t="s">
        <v>56</v>
      </c>
    </row>
    <row r="2849" spans="1:36">
      <c r="A2849" t="s">
        <v>7033</v>
      </c>
      <c r="B2849" t="s">
        <v>7034</v>
      </c>
      <c r="F2849" t="str">
        <f t="shared" si="44"/>
        <v>68088</v>
      </c>
      <c r="AE2849">
        <v>1101110035893</v>
      </c>
      <c r="AG2849" t="s">
        <v>2</v>
      </c>
    </row>
    <row r="2850" spans="1:36">
      <c r="A2850" t="s">
        <v>7035</v>
      </c>
      <c r="B2850" t="s">
        <v>7036</v>
      </c>
      <c r="F2850" t="str">
        <f t="shared" si="44"/>
        <v>68090</v>
      </c>
      <c r="AE2850">
        <v>1101110672538</v>
      </c>
      <c r="AG2850" t="s">
        <v>4</v>
      </c>
      <c r="AH2850" t="s">
        <v>5</v>
      </c>
      <c r="AI2850" t="s">
        <v>6</v>
      </c>
      <c r="AJ2850" t="s">
        <v>7</v>
      </c>
    </row>
    <row r="2851" spans="1:36">
      <c r="A2851" t="s">
        <v>7037</v>
      </c>
      <c r="B2851" t="s">
        <v>7038</v>
      </c>
      <c r="F2851" t="str">
        <f t="shared" si="44"/>
        <v>68091</v>
      </c>
      <c r="AG2851" t="s">
        <v>4</v>
      </c>
    </row>
    <row r="2852" spans="1:36">
      <c r="A2852" t="s">
        <v>7039</v>
      </c>
      <c r="B2852" t="s">
        <v>7040</v>
      </c>
      <c r="F2852" t="str">
        <f t="shared" si="44"/>
        <v>68092</v>
      </c>
      <c r="AE2852">
        <v>1701110000141</v>
      </c>
      <c r="AG2852" t="s">
        <v>4</v>
      </c>
      <c r="AH2852" t="s">
        <v>5</v>
      </c>
      <c r="AI2852" t="s">
        <v>6</v>
      </c>
      <c r="AJ2852" t="s">
        <v>7</v>
      </c>
    </row>
    <row r="2853" spans="1:36">
      <c r="A2853" t="s">
        <v>7041</v>
      </c>
      <c r="B2853" t="s">
        <v>7042</v>
      </c>
      <c r="F2853" t="str">
        <f t="shared" si="44"/>
        <v>68093</v>
      </c>
      <c r="AE2853">
        <v>1801110002997</v>
      </c>
      <c r="AG2853" t="s">
        <v>4</v>
      </c>
      <c r="AH2853" t="s">
        <v>5</v>
      </c>
      <c r="AI2853" t="s">
        <v>6</v>
      </c>
      <c r="AJ2853" t="s">
        <v>7</v>
      </c>
    </row>
    <row r="2854" spans="1:36">
      <c r="A2854" t="s">
        <v>7043</v>
      </c>
      <c r="B2854" t="s">
        <v>7044</v>
      </c>
      <c r="F2854" t="str">
        <f t="shared" si="44"/>
        <v>68094</v>
      </c>
      <c r="AE2854">
        <v>2201110000819</v>
      </c>
      <c r="AG2854" t="s">
        <v>2</v>
      </c>
      <c r="AH2854" t="s">
        <v>5</v>
      </c>
      <c r="AI2854" t="s">
        <v>6</v>
      </c>
      <c r="AJ2854" t="s">
        <v>7</v>
      </c>
    </row>
    <row r="2855" spans="1:36">
      <c r="A2855" t="s">
        <v>7045</v>
      </c>
      <c r="B2855" t="s">
        <v>7046</v>
      </c>
      <c r="F2855" t="str">
        <f t="shared" si="44"/>
        <v>68095</v>
      </c>
      <c r="AE2855">
        <v>2101110000043</v>
      </c>
      <c r="AG2855" t="s">
        <v>4</v>
      </c>
      <c r="AH2855" t="s">
        <v>5</v>
      </c>
      <c r="AI2855" t="s">
        <v>6</v>
      </c>
      <c r="AJ2855" t="s">
        <v>7</v>
      </c>
    </row>
    <row r="2856" spans="1:36">
      <c r="A2856" t="s">
        <v>7047</v>
      </c>
      <c r="B2856" t="s">
        <v>7048</v>
      </c>
      <c r="F2856" t="str">
        <f t="shared" si="44"/>
        <v>68096</v>
      </c>
      <c r="AE2856">
        <v>1812110000386</v>
      </c>
      <c r="AG2856" t="s">
        <v>2</v>
      </c>
      <c r="AH2856" t="s">
        <v>444</v>
      </c>
      <c r="AI2856" t="s">
        <v>12</v>
      </c>
      <c r="AJ2856" t="s">
        <v>445</v>
      </c>
    </row>
    <row r="2857" spans="1:36">
      <c r="A2857" t="s">
        <v>7049</v>
      </c>
      <c r="B2857" t="s">
        <v>7050</v>
      </c>
      <c r="F2857" t="str">
        <f t="shared" si="44"/>
        <v>68097</v>
      </c>
      <c r="AE2857">
        <v>1101113352004</v>
      </c>
      <c r="AG2857" t="s">
        <v>2</v>
      </c>
      <c r="AH2857" t="s">
        <v>973</v>
      </c>
      <c r="AI2857" t="s">
        <v>6</v>
      </c>
      <c r="AJ2857" t="s">
        <v>974</v>
      </c>
    </row>
    <row r="2858" spans="1:36">
      <c r="A2858" t="s">
        <v>7051</v>
      </c>
      <c r="B2858" t="s">
        <v>7052</v>
      </c>
      <c r="F2858" t="str">
        <f t="shared" si="44"/>
        <v>68098</v>
      </c>
      <c r="AE2858">
        <v>1101110243800</v>
      </c>
      <c r="AG2858" t="s">
        <v>4</v>
      </c>
      <c r="AH2858" t="s">
        <v>248</v>
      </c>
      <c r="AI2858" t="s">
        <v>249</v>
      </c>
      <c r="AJ2858" t="s">
        <v>121</v>
      </c>
    </row>
    <row r="2859" spans="1:36">
      <c r="A2859" t="s">
        <v>7053</v>
      </c>
      <c r="B2859" t="s">
        <v>7054</v>
      </c>
      <c r="F2859" t="str">
        <f t="shared" si="44"/>
        <v>68112</v>
      </c>
      <c r="AE2859">
        <v>1101114823450</v>
      </c>
      <c r="AG2859" t="s">
        <v>4</v>
      </c>
      <c r="AH2859" t="s">
        <v>634</v>
      </c>
      <c r="AI2859" t="s">
        <v>6</v>
      </c>
      <c r="AJ2859" t="s">
        <v>635</v>
      </c>
    </row>
    <row r="2860" spans="1:36">
      <c r="A2860" t="s">
        <v>7055</v>
      </c>
      <c r="B2860" t="s">
        <v>7056</v>
      </c>
      <c r="F2860" t="str">
        <f t="shared" si="44"/>
        <v>68113</v>
      </c>
      <c r="AG2860" t="s">
        <v>4</v>
      </c>
    </row>
    <row r="2861" spans="1:36">
      <c r="A2861" t="s">
        <v>7057</v>
      </c>
      <c r="B2861" t="s">
        <v>7058</v>
      </c>
      <c r="F2861" t="str">
        <f t="shared" si="44"/>
        <v>68114</v>
      </c>
      <c r="AE2861">
        <v>1101112365321</v>
      </c>
      <c r="AG2861" t="s">
        <v>4</v>
      </c>
      <c r="AH2861" t="s">
        <v>5</v>
      </c>
      <c r="AI2861" t="s">
        <v>6</v>
      </c>
      <c r="AJ2861" t="s">
        <v>7</v>
      </c>
    </row>
    <row r="2862" spans="1:36">
      <c r="A2862" t="s">
        <v>7059</v>
      </c>
      <c r="B2862" t="s">
        <v>7060</v>
      </c>
      <c r="F2862" t="str">
        <f t="shared" si="44"/>
        <v>68115</v>
      </c>
      <c r="AE2862">
        <v>1101110000086</v>
      </c>
      <c r="AG2862" t="s">
        <v>2</v>
      </c>
      <c r="AH2862" t="s">
        <v>248</v>
      </c>
      <c r="AI2862" t="s">
        <v>249</v>
      </c>
      <c r="AJ2862" t="s">
        <v>121</v>
      </c>
    </row>
    <row r="2863" spans="1:36">
      <c r="A2863" t="s">
        <v>7061</v>
      </c>
      <c r="B2863" t="s">
        <v>7062</v>
      </c>
      <c r="F2863" t="str">
        <f t="shared" si="44"/>
        <v>68116</v>
      </c>
      <c r="AE2863">
        <v>1101350000903</v>
      </c>
      <c r="AG2863" t="s">
        <v>2</v>
      </c>
      <c r="AH2863" t="s">
        <v>5</v>
      </c>
      <c r="AI2863" t="s">
        <v>6</v>
      </c>
      <c r="AJ2863" t="s">
        <v>7</v>
      </c>
    </row>
    <row r="2864" spans="1:36">
      <c r="A2864" t="s">
        <v>7063</v>
      </c>
      <c r="B2864" t="s">
        <v>7064</v>
      </c>
      <c r="F2864" t="str">
        <f t="shared" si="44"/>
        <v>68117</v>
      </c>
      <c r="AG2864" t="s">
        <v>4</v>
      </c>
    </row>
    <row r="2865" spans="1:36">
      <c r="A2865" t="s">
        <v>7065</v>
      </c>
      <c r="B2865" t="s">
        <v>7066</v>
      </c>
      <c r="F2865" t="str">
        <f t="shared" si="44"/>
        <v>68118</v>
      </c>
      <c r="AE2865">
        <v>1101350000937</v>
      </c>
      <c r="AG2865" t="s">
        <v>4</v>
      </c>
    </row>
    <row r="2866" spans="1:36">
      <c r="A2866" t="s">
        <v>7067</v>
      </c>
      <c r="B2866" t="s">
        <v>7068</v>
      </c>
      <c r="F2866" t="str">
        <f t="shared" si="44"/>
        <v>68119</v>
      </c>
      <c r="AG2866" t="s">
        <v>4</v>
      </c>
    </row>
    <row r="2867" spans="1:36">
      <c r="A2867" t="s">
        <v>7069</v>
      </c>
      <c r="B2867" t="s">
        <v>7070</v>
      </c>
      <c r="F2867" t="str">
        <f t="shared" si="44"/>
        <v>68127</v>
      </c>
      <c r="AE2867">
        <v>1101110013493</v>
      </c>
      <c r="AG2867" t="s">
        <v>4</v>
      </c>
    </row>
    <row r="2868" spans="1:36">
      <c r="A2868" t="s">
        <v>7071</v>
      </c>
      <c r="B2868" t="s">
        <v>7072</v>
      </c>
      <c r="F2868" t="str">
        <f t="shared" si="44"/>
        <v>68131</v>
      </c>
      <c r="AE2868">
        <v>1101110023393</v>
      </c>
      <c r="AG2868" t="s">
        <v>4</v>
      </c>
      <c r="AH2868" t="s">
        <v>5</v>
      </c>
      <c r="AI2868" t="s">
        <v>6</v>
      </c>
      <c r="AJ2868" t="s">
        <v>7</v>
      </c>
    </row>
    <row r="2869" spans="1:36">
      <c r="A2869" t="s">
        <v>7073</v>
      </c>
      <c r="B2869" t="s">
        <v>7074</v>
      </c>
      <c r="F2869" t="str">
        <f t="shared" si="44"/>
        <v>68132</v>
      </c>
      <c r="AE2869">
        <v>1942110226226</v>
      </c>
      <c r="AG2869" t="s">
        <v>4</v>
      </c>
      <c r="AH2869" t="s">
        <v>5</v>
      </c>
      <c r="AI2869" t="s">
        <v>6</v>
      </c>
      <c r="AJ2869" t="s">
        <v>7</v>
      </c>
    </row>
    <row r="2870" spans="1:36">
      <c r="A2870" t="s">
        <v>7075</v>
      </c>
      <c r="B2870" t="s">
        <v>7076</v>
      </c>
      <c r="F2870" t="str">
        <f t="shared" si="44"/>
        <v>68135</v>
      </c>
      <c r="AE2870">
        <v>2001110396882</v>
      </c>
      <c r="AG2870" t="s">
        <v>4</v>
      </c>
      <c r="AH2870" t="s">
        <v>5</v>
      </c>
      <c r="AI2870" t="s">
        <v>6</v>
      </c>
      <c r="AJ2870" t="s">
        <v>7</v>
      </c>
    </row>
    <row r="2871" spans="1:36">
      <c r="A2871" t="s">
        <v>7077</v>
      </c>
      <c r="B2871" t="s">
        <v>7078</v>
      </c>
      <c r="F2871" t="str">
        <f t="shared" si="44"/>
        <v>68136</v>
      </c>
      <c r="AE2871">
        <v>1101112322438</v>
      </c>
      <c r="AG2871" t="s">
        <v>2</v>
      </c>
      <c r="AH2871" t="s">
        <v>973</v>
      </c>
      <c r="AI2871" t="s">
        <v>6</v>
      </c>
      <c r="AJ2871" t="s">
        <v>974</v>
      </c>
    </row>
    <row r="2872" spans="1:36">
      <c r="A2872" t="s">
        <v>7079</v>
      </c>
      <c r="B2872" t="s">
        <v>7080</v>
      </c>
      <c r="F2872" t="str">
        <f t="shared" si="44"/>
        <v>68138</v>
      </c>
      <c r="AE2872">
        <v>1313110140776</v>
      </c>
      <c r="AG2872" t="s">
        <v>2</v>
      </c>
      <c r="AH2872" t="s">
        <v>145</v>
      </c>
      <c r="AI2872" t="s">
        <v>146</v>
      </c>
      <c r="AJ2872" t="s">
        <v>147</v>
      </c>
    </row>
    <row r="2873" spans="1:36">
      <c r="A2873" t="s">
        <v>7081</v>
      </c>
      <c r="B2873" t="s">
        <v>7082</v>
      </c>
      <c r="F2873" t="str">
        <f t="shared" si="44"/>
        <v>68141</v>
      </c>
      <c r="AE2873">
        <v>1101115604700</v>
      </c>
      <c r="AG2873" t="s">
        <v>2</v>
      </c>
      <c r="AH2873" t="s">
        <v>160</v>
      </c>
      <c r="AI2873" t="s">
        <v>101</v>
      </c>
      <c r="AJ2873" t="s">
        <v>161</v>
      </c>
    </row>
    <row r="2874" spans="1:36">
      <c r="A2874" t="s">
        <v>7083</v>
      </c>
      <c r="B2874" t="s">
        <v>7084</v>
      </c>
      <c r="F2874" t="str">
        <f t="shared" si="44"/>
        <v>68142</v>
      </c>
      <c r="AE2874">
        <v>1101114362482</v>
      </c>
      <c r="AG2874" t="s">
        <v>4</v>
      </c>
      <c r="AH2874" t="s">
        <v>169</v>
      </c>
      <c r="AI2874" t="s">
        <v>59</v>
      </c>
      <c r="AJ2874" t="s">
        <v>170</v>
      </c>
    </row>
    <row r="2875" spans="1:36">
      <c r="A2875" t="s">
        <v>7085</v>
      </c>
      <c r="B2875" t="s">
        <v>7086</v>
      </c>
      <c r="F2875" t="str">
        <f t="shared" si="44"/>
        <v>68143</v>
      </c>
      <c r="AE2875">
        <v>1101114594952</v>
      </c>
      <c r="AG2875" t="s">
        <v>2</v>
      </c>
      <c r="AH2875" t="s">
        <v>420</v>
      </c>
      <c r="AI2875" t="s">
        <v>249</v>
      </c>
      <c r="AJ2875" t="s">
        <v>421</v>
      </c>
    </row>
    <row r="2876" spans="1:36">
      <c r="A2876" t="s">
        <v>7087</v>
      </c>
      <c r="B2876" t="s">
        <v>7088</v>
      </c>
      <c r="F2876" t="str">
        <f t="shared" si="44"/>
        <v>68144</v>
      </c>
      <c r="AG2876" t="s">
        <v>4</v>
      </c>
    </row>
    <row r="2877" spans="1:36">
      <c r="A2877" t="s">
        <v>7089</v>
      </c>
      <c r="B2877" t="s">
        <v>7090</v>
      </c>
      <c r="F2877" t="str">
        <f t="shared" si="44"/>
        <v>68147</v>
      </c>
      <c r="AG2877" t="s">
        <v>4</v>
      </c>
    </row>
    <row r="2878" spans="1:36">
      <c r="A2878" t="s">
        <v>7091</v>
      </c>
      <c r="B2878" t="s">
        <v>7092</v>
      </c>
      <c r="F2878" t="str">
        <f t="shared" si="44"/>
        <v>68148</v>
      </c>
      <c r="AE2878">
        <v>1101114809385</v>
      </c>
      <c r="AG2878" t="s">
        <v>4</v>
      </c>
      <c r="AH2878" t="s">
        <v>5</v>
      </c>
      <c r="AI2878" t="s">
        <v>6</v>
      </c>
      <c r="AJ2878" t="s">
        <v>7</v>
      </c>
    </row>
    <row r="2879" spans="1:36">
      <c r="A2879" t="s">
        <v>7093</v>
      </c>
      <c r="B2879" t="s">
        <v>7094</v>
      </c>
      <c r="F2879" t="str">
        <f t="shared" si="44"/>
        <v>68151</v>
      </c>
      <c r="AE2879">
        <v>1101110012809</v>
      </c>
      <c r="AG2879" t="s">
        <v>4</v>
      </c>
      <c r="AH2879" t="s">
        <v>5</v>
      </c>
      <c r="AI2879" t="s">
        <v>6</v>
      </c>
      <c r="AJ2879" t="s">
        <v>7</v>
      </c>
    </row>
    <row r="2880" spans="1:36">
      <c r="A2880" t="s">
        <v>7095</v>
      </c>
      <c r="B2880" t="s">
        <v>7096</v>
      </c>
      <c r="F2880" t="str">
        <f t="shared" si="44"/>
        <v>68152</v>
      </c>
      <c r="AE2880">
        <v>1101110003543</v>
      </c>
      <c r="AG2880" t="s">
        <v>2</v>
      </c>
      <c r="AH2880" t="s">
        <v>210</v>
      </c>
      <c r="AJ2880" t="s">
        <v>211</v>
      </c>
    </row>
    <row r="2881" spans="1:36">
      <c r="A2881" t="s">
        <v>7097</v>
      </c>
      <c r="B2881" t="s">
        <v>7098</v>
      </c>
      <c r="F2881" t="str">
        <f t="shared" si="44"/>
        <v>68153</v>
      </c>
      <c r="AG2881" t="s">
        <v>4</v>
      </c>
    </row>
    <row r="2882" spans="1:36">
      <c r="A2882" t="s">
        <v>7099</v>
      </c>
      <c r="B2882" t="s">
        <v>7100</v>
      </c>
      <c r="F2882" t="str">
        <f t="shared" si="44"/>
        <v>68154</v>
      </c>
      <c r="AE2882">
        <v>1701110000141</v>
      </c>
      <c r="AG2882" t="s">
        <v>4</v>
      </c>
      <c r="AH2882" t="s">
        <v>5</v>
      </c>
      <c r="AI2882" t="s">
        <v>6</v>
      </c>
      <c r="AJ2882" t="s">
        <v>7</v>
      </c>
    </row>
    <row r="2883" spans="1:36">
      <c r="A2883" t="s">
        <v>7101</v>
      </c>
      <c r="B2883" t="s">
        <v>7102</v>
      </c>
      <c r="F2883" t="str">
        <f t="shared" si="44"/>
        <v>68155</v>
      </c>
      <c r="AE2883">
        <v>1801110002997</v>
      </c>
      <c r="AG2883" t="s">
        <v>4</v>
      </c>
      <c r="AH2883" t="s">
        <v>5</v>
      </c>
      <c r="AI2883" t="s">
        <v>6</v>
      </c>
      <c r="AJ2883" t="s">
        <v>7</v>
      </c>
    </row>
    <row r="2884" spans="1:36">
      <c r="A2884" t="s">
        <v>7103</v>
      </c>
      <c r="B2884" t="s">
        <v>7104</v>
      </c>
      <c r="F2884" t="str">
        <f t="shared" si="44"/>
        <v>68156</v>
      </c>
      <c r="AE2884">
        <v>1101350000903</v>
      </c>
      <c r="AG2884" t="s">
        <v>2</v>
      </c>
      <c r="AH2884" t="s">
        <v>5</v>
      </c>
      <c r="AI2884" t="s">
        <v>6</v>
      </c>
      <c r="AJ2884" t="s">
        <v>7</v>
      </c>
    </row>
    <row r="2885" spans="1:36">
      <c r="A2885" t="s">
        <v>7105</v>
      </c>
      <c r="B2885" t="s">
        <v>7106</v>
      </c>
      <c r="F2885" t="str">
        <f t="shared" si="44"/>
        <v>68157</v>
      </c>
      <c r="AG2885" t="s">
        <v>4</v>
      </c>
    </row>
    <row r="2886" spans="1:36">
      <c r="A2886" t="s">
        <v>7107</v>
      </c>
      <c r="B2886" t="s">
        <v>7108</v>
      </c>
      <c r="F2886" t="str">
        <f t="shared" si="44"/>
        <v>68158</v>
      </c>
      <c r="AE2886">
        <v>1101110023393</v>
      </c>
      <c r="AG2886" t="s">
        <v>4</v>
      </c>
      <c r="AH2886" t="s">
        <v>5</v>
      </c>
      <c r="AI2886" t="s">
        <v>6</v>
      </c>
      <c r="AJ2886" t="s">
        <v>7</v>
      </c>
    </row>
    <row r="2887" spans="1:36">
      <c r="A2887" t="s">
        <v>7109</v>
      </c>
      <c r="B2887" t="s">
        <v>7110</v>
      </c>
      <c r="F2887" t="str">
        <f t="shared" si="44"/>
        <v>68159</v>
      </c>
      <c r="AE2887">
        <v>1942110226226</v>
      </c>
      <c r="AG2887" t="s">
        <v>4</v>
      </c>
      <c r="AH2887" t="s">
        <v>5</v>
      </c>
      <c r="AI2887" t="s">
        <v>6</v>
      </c>
      <c r="AJ2887" t="s">
        <v>7</v>
      </c>
    </row>
    <row r="2888" spans="1:36">
      <c r="A2888" t="s">
        <v>7111</v>
      </c>
      <c r="B2888" t="s">
        <v>7112</v>
      </c>
      <c r="F2888" t="str">
        <f t="shared" si="44"/>
        <v>68160</v>
      </c>
      <c r="AE2888">
        <v>2001110396882</v>
      </c>
      <c r="AG2888" t="s">
        <v>4</v>
      </c>
      <c r="AH2888" t="s">
        <v>5</v>
      </c>
      <c r="AI2888" t="s">
        <v>6</v>
      </c>
      <c r="AJ2888" t="s">
        <v>7</v>
      </c>
    </row>
    <row r="2889" spans="1:36">
      <c r="A2889" t="s">
        <v>7113</v>
      </c>
      <c r="B2889" t="s">
        <v>7114</v>
      </c>
      <c r="F2889" t="str">
        <f t="shared" si="44"/>
        <v>68173</v>
      </c>
      <c r="AE2889">
        <v>1101114594952</v>
      </c>
      <c r="AG2889" t="s">
        <v>2</v>
      </c>
      <c r="AH2889" t="s">
        <v>420</v>
      </c>
      <c r="AI2889" t="s">
        <v>249</v>
      </c>
      <c r="AJ2889" t="s">
        <v>421</v>
      </c>
    </row>
    <row r="2890" spans="1:36">
      <c r="A2890" t="s">
        <v>7115</v>
      </c>
      <c r="B2890" t="s">
        <v>7116</v>
      </c>
      <c r="F2890" t="str">
        <f t="shared" ref="F2890:F2953" si="45">CHOOSE($C$1, A2890, B2890)</f>
        <v>68174</v>
      </c>
      <c r="AG2890" t="s">
        <v>4</v>
      </c>
    </row>
    <row r="2891" spans="1:36">
      <c r="A2891" t="s">
        <v>7117</v>
      </c>
      <c r="B2891" t="s">
        <v>7118</v>
      </c>
      <c r="F2891" t="str">
        <f t="shared" si="45"/>
        <v>68175</v>
      </c>
      <c r="AE2891">
        <v>1101110023393</v>
      </c>
      <c r="AG2891" t="s">
        <v>4</v>
      </c>
      <c r="AH2891" t="s">
        <v>5</v>
      </c>
      <c r="AI2891" t="s">
        <v>6</v>
      </c>
      <c r="AJ2891" t="s">
        <v>7</v>
      </c>
    </row>
    <row r="2892" spans="1:36">
      <c r="A2892" t="s">
        <v>7119</v>
      </c>
      <c r="B2892" t="s">
        <v>7120</v>
      </c>
      <c r="F2892" t="str">
        <f t="shared" si="45"/>
        <v>68176</v>
      </c>
      <c r="AE2892">
        <v>1942110226226</v>
      </c>
      <c r="AG2892" t="s">
        <v>4</v>
      </c>
      <c r="AH2892" t="s">
        <v>5</v>
      </c>
      <c r="AI2892" t="s">
        <v>6</v>
      </c>
      <c r="AJ2892" t="s">
        <v>7</v>
      </c>
    </row>
    <row r="2893" spans="1:36">
      <c r="A2893" t="s">
        <v>7121</v>
      </c>
      <c r="B2893" t="s">
        <v>7122</v>
      </c>
      <c r="F2893" t="str">
        <f t="shared" si="45"/>
        <v>68177</v>
      </c>
      <c r="AE2893">
        <v>1101110023393</v>
      </c>
      <c r="AG2893" t="s">
        <v>4</v>
      </c>
      <c r="AH2893" t="s">
        <v>5</v>
      </c>
      <c r="AI2893" t="s">
        <v>6</v>
      </c>
      <c r="AJ2893" t="s">
        <v>7</v>
      </c>
    </row>
    <row r="2894" spans="1:36">
      <c r="A2894" t="s">
        <v>7123</v>
      </c>
      <c r="B2894" t="s">
        <v>7124</v>
      </c>
      <c r="F2894" t="str">
        <f t="shared" si="45"/>
        <v>68178</v>
      </c>
      <c r="AE2894">
        <v>1101110012809</v>
      </c>
      <c r="AG2894" t="s">
        <v>4</v>
      </c>
      <c r="AH2894" t="s">
        <v>5</v>
      </c>
      <c r="AI2894" t="s">
        <v>6</v>
      </c>
      <c r="AJ2894" t="s">
        <v>7</v>
      </c>
    </row>
    <row r="2895" spans="1:36">
      <c r="A2895" t="s">
        <v>7125</v>
      </c>
      <c r="B2895" t="s">
        <v>7126</v>
      </c>
      <c r="F2895" t="str">
        <f t="shared" si="45"/>
        <v>68179</v>
      </c>
      <c r="AE2895">
        <v>1101110006456</v>
      </c>
      <c r="AG2895" t="s">
        <v>2</v>
      </c>
      <c r="AH2895" t="s">
        <v>54</v>
      </c>
      <c r="AI2895" t="s">
        <v>55</v>
      </c>
      <c r="AJ2895" t="s">
        <v>56</v>
      </c>
    </row>
    <row r="2896" spans="1:36">
      <c r="A2896" t="s">
        <v>7127</v>
      </c>
      <c r="B2896" t="s">
        <v>7128</v>
      </c>
      <c r="F2896" t="str">
        <f t="shared" si="45"/>
        <v>68180</v>
      </c>
      <c r="AE2896">
        <v>1101110015671</v>
      </c>
      <c r="AG2896" t="s">
        <v>4</v>
      </c>
      <c r="AH2896" t="s">
        <v>5</v>
      </c>
      <c r="AI2896" t="s">
        <v>6</v>
      </c>
      <c r="AJ2896" t="s">
        <v>7</v>
      </c>
    </row>
    <row r="2897" spans="1:36">
      <c r="A2897" t="s">
        <v>7129</v>
      </c>
      <c r="B2897" t="s">
        <v>7130</v>
      </c>
      <c r="F2897" t="str">
        <f t="shared" si="45"/>
        <v>68181</v>
      </c>
      <c r="AE2897">
        <v>1101110672538</v>
      </c>
      <c r="AG2897" t="s">
        <v>4</v>
      </c>
      <c r="AH2897" t="s">
        <v>5</v>
      </c>
      <c r="AI2897" t="s">
        <v>6</v>
      </c>
      <c r="AJ2897" t="s">
        <v>7</v>
      </c>
    </row>
    <row r="2898" spans="1:36">
      <c r="A2898" t="s">
        <v>7131</v>
      </c>
      <c r="B2898" t="s">
        <v>7132</v>
      </c>
      <c r="F2898" t="str">
        <f t="shared" si="45"/>
        <v>68182</v>
      </c>
      <c r="AE2898">
        <v>1701110000141</v>
      </c>
      <c r="AG2898" t="s">
        <v>4</v>
      </c>
      <c r="AH2898" t="s">
        <v>5</v>
      </c>
      <c r="AI2898" t="s">
        <v>6</v>
      </c>
      <c r="AJ2898" t="s">
        <v>7</v>
      </c>
    </row>
    <row r="2899" spans="1:36">
      <c r="A2899" t="s">
        <v>7133</v>
      </c>
      <c r="B2899" t="s">
        <v>7134</v>
      </c>
      <c r="F2899" t="str">
        <f t="shared" si="45"/>
        <v>68183</v>
      </c>
      <c r="AE2899">
        <v>1801110002997</v>
      </c>
      <c r="AG2899" t="s">
        <v>4</v>
      </c>
      <c r="AH2899" t="s">
        <v>5</v>
      </c>
      <c r="AI2899" t="s">
        <v>6</v>
      </c>
      <c r="AJ2899" t="s">
        <v>7</v>
      </c>
    </row>
    <row r="2900" spans="1:36">
      <c r="A2900" t="s">
        <v>7135</v>
      </c>
      <c r="B2900" t="s">
        <v>7136</v>
      </c>
      <c r="F2900" t="str">
        <f t="shared" si="45"/>
        <v>68184</v>
      </c>
      <c r="AE2900">
        <v>2001110000053</v>
      </c>
      <c r="AG2900" t="s">
        <v>4</v>
      </c>
      <c r="AH2900" t="s">
        <v>5</v>
      </c>
      <c r="AI2900" t="s">
        <v>6</v>
      </c>
      <c r="AJ2900" t="s">
        <v>7</v>
      </c>
    </row>
    <row r="2901" spans="1:36">
      <c r="A2901" t="s">
        <v>7137</v>
      </c>
      <c r="B2901" t="s">
        <v>7138</v>
      </c>
      <c r="F2901" t="str">
        <f t="shared" si="45"/>
        <v>68185</v>
      </c>
      <c r="AE2901">
        <v>2101110000043</v>
      </c>
      <c r="AG2901" t="s">
        <v>4</v>
      </c>
      <c r="AH2901" t="s">
        <v>5</v>
      </c>
      <c r="AI2901" t="s">
        <v>6</v>
      </c>
      <c r="AJ2901" t="s">
        <v>7</v>
      </c>
    </row>
    <row r="2902" spans="1:36">
      <c r="A2902" t="s">
        <v>7139</v>
      </c>
      <c r="B2902" t="s">
        <v>7140</v>
      </c>
      <c r="F2902" t="str">
        <f t="shared" si="45"/>
        <v>68186</v>
      </c>
      <c r="AE2902">
        <v>1901110000197</v>
      </c>
      <c r="AG2902" t="s">
        <v>4</v>
      </c>
      <c r="AH2902" t="s">
        <v>5</v>
      </c>
      <c r="AI2902" t="s">
        <v>6</v>
      </c>
      <c r="AJ2902" t="s">
        <v>7</v>
      </c>
    </row>
    <row r="2903" spans="1:36">
      <c r="A2903" t="s">
        <v>7141</v>
      </c>
      <c r="B2903" t="s">
        <v>7142</v>
      </c>
      <c r="F2903" t="str">
        <f t="shared" si="45"/>
        <v>68187</v>
      </c>
      <c r="AE2903">
        <v>1101113352004</v>
      </c>
      <c r="AG2903" t="s">
        <v>2</v>
      </c>
      <c r="AH2903" t="s">
        <v>973</v>
      </c>
      <c r="AI2903" t="s">
        <v>6</v>
      </c>
      <c r="AJ2903" t="s">
        <v>974</v>
      </c>
    </row>
    <row r="2904" spans="1:36">
      <c r="A2904" t="s">
        <v>7143</v>
      </c>
      <c r="B2904" t="s">
        <v>7144</v>
      </c>
      <c r="F2904" t="str">
        <f t="shared" si="45"/>
        <v>68188</v>
      </c>
      <c r="AE2904">
        <v>1101110303183</v>
      </c>
      <c r="AG2904" t="s">
        <v>4</v>
      </c>
      <c r="AH2904" t="s">
        <v>54</v>
      </c>
      <c r="AI2904" t="s">
        <v>55</v>
      </c>
      <c r="AJ2904" t="s">
        <v>56</v>
      </c>
    </row>
    <row r="2905" spans="1:36">
      <c r="A2905" t="s">
        <v>7145</v>
      </c>
      <c r="B2905" t="s">
        <v>7146</v>
      </c>
      <c r="F2905" t="str">
        <f t="shared" si="45"/>
        <v>68189</v>
      </c>
      <c r="AE2905">
        <v>1101110303539</v>
      </c>
      <c r="AG2905" t="s">
        <v>4</v>
      </c>
      <c r="AH2905" t="s">
        <v>5</v>
      </c>
      <c r="AI2905" t="s">
        <v>6</v>
      </c>
      <c r="AJ2905" t="s">
        <v>7</v>
      </c>
    </row>
    <row r="2906" spans="1:36">
      <c r="A2906" t="s">
        <v>7147</v>
      </c>
      <c r="B2906" t="s">
        <v>7148</v>
      </c>
      <c r="F2906" t="str">
        <f t="shared" si="45"/>
        <v>68190</v>
      </c>
      <c r="AE2906">
        <v>1101112365321</v>
      </c>
      <c r="AG2906" t="s">
        <v>4</v>
      </c>
      <c r="AH2906" t="s">
        <v>5</v>
      </c>
      <c r="AI2906" t="s">
        <v>6</v>
      </c>
      <c r="AJ2906" t="s">
        <v>7</v>
      </c>
    </row>
    <row r="2907" spans="1:36">
      <c r="A2907" t="s">
        <v>7149</v>
      </c>
      <c r="B2907" t="s">
        <v>7150</v>
      </c>
      <c r="F2907" t="str">
        <f t="shared" si="45"/>
        <v>68191</v>
      </c>
      <c r="AE2907">
        <v>1101110000086</v>
      </c>
      <c r="AG2907" t="s">
        <v>2</v>
      </c>
      <c r="AH2907" t="s">
        <v>248</v>
      </c>
      <c r="AI2907" t="s">
        <v>249</v>
      </c>
      <c r="AJ2907" t="s">
        <v>121</v>
      </c>
    </row>
    <row r="2908" spans="1:36">
      <c r="A2908" t="s">
        <v>7151</v>
      </c>
      <c r="B2908" t="s">
        <v>7152</v>
      </c>
      <c r="F2908" t="str">
        <f t="shared" si="45"/>
        <v>68197</v>
      </c>
      <c r="AE2908">
        <v>1101350000903</v>
      </c>
      <c r="AG2908" t="s">
        <v>2</v>
      </c>
      <c r="AH2908" t="s">
        <v>5</v>
      </c>
      <c r="AI2908" t="s">
        <v>6</v>
      </c>
      <c r="AJ2908" t="s">
        <v>7</v>
      </c>
    </row>
    <row r="2909" spans="1:36">
      <c r="A2909" t="s">
        <v>7153</v>
      </c>
      <c r="B2909" t="s">
        <v>7154</v>
      </c>
      <c r="F2909" t="str">
        <f t="shared" si="45"/>
        <v>68209</v>
      </c>
      <c r="AE2909">
        <v>1101360027690</v>
      </c>
      <c r="AG2909" t="s">
        <v>4</v>
      </c>
    </row>
    <row r="2910" spans="1:36">
      <c r="A2910" t="s">
        <v>7155</v>
      </c>
      <c r="B2910" t="s">
        <v>7156</v>
      </c>
      <c r="F2910" t="str">
        <f t="shared" si="45"/>
        <v>68210</v>
      </c>
      <c r="AE2910">
        <v>1101380000014</v>
      </c>
      <c r="AG2910" t="s">
        <v>4</v>
      </c>
    </row>
    <row r="2911" spans="1:36">
      <c r="A2911" t="s">
        <v>7157</v>
      </c>
      <c r="B2911" t="s">
        <v>7158</v>
      </c>
      <c r="F2911" t="str">
        <f t="shared" si="45"/>
        <v>68211</v>
      </c>
      <c r="AE2911">
        <v>1101110018443</v>
      </c>
      <c r="AG2911" t="s">
        <v>4</v>
      </c>
    </row>
    <row r="2912" spans="1:36">
      <c r="A2912" t="s">
        <v>7159</v>
      </c>
      <c r="B2912" t="s">
        <v>7160</v>
      </c>
      <c r="F2912" t="str">
        <f t="shared" si="45"/>
        <v>68212</v>
      </c>
      <c r="AE2912">
        <v>1101110023393</v>
      </c>
      <c r="AG2912" t="s">
        <v>4</v>
      </c>
      <c r="AH2912" t="s">
        <v>5</v>
      </c>
      <c r="AI2912" t="s">
        <v>6</v>
      </c>
      <c r="AJ2912" t="s">
        <v>7</v>
      </c>
    </row>
    <row r="2913" spans="1:36">
      <c r="A2913" t="s">
        <v>7161</v>
      </c>
      <c r="B2913" t="s">
        <v>7162</v>
      </c>
      <c r="F2913" t="str">
        <f t="shared" si="45"/>
        <v>68213</v>
      </c>
      <c r="AE2913">
        <v>1942110226226</v>
      </c>
      <c r="AG2913" t="s">
        <v>4</v>
      </c>
      <c r="AH2913" t="s">
        <v>973</v>
      </c>
      <c r="AI2913" t="s">
        <v>6</v>
      </c>
      <c r="AJ2913" t="s">
        <v>974</v>
      </c>
    </row>
    <row r="2914" spans="1:36">
      <c r="A2914" t="s">
        <v>7163</v>
      </c>
      <c r="B2914" t="s">
        <v>7164</v>
      </c>
      <c r="F2914" t="str">
        <f t="shared" si="45"/>
        <v>68214</v>
      </c>
      <c r="AE2914">
        <v>2001110396882</v>
      </c>
      <c r="AG2914" t="s">
        <v>4</v>
      </c>
      <c r="AH2914" t="s">
        <v>973</v>
      </c>
      <c r="AI2914" t="s">
        <v>6</v>
      </c>
      <c r="AJ2914" t="s">
        <v>974</v>
      </c>
    </row>
    <row r="2915" spans="1:36">
      <c r="A2915" t="s">
        <v>7165</v>
      </c>
      <c r="B2915" t="s">
        <v>7166</v>
      </c>
      <c r="F2915" t="str">
        <f t="shared" si="45"/>
        <v>68215</v>
      </c>
      <c r="AE2915">
        <v>1101112202797</v>
      </c>
      <c r="AG2915" t="s">
        <v>4</v>
      </c>
      <c r="AH2915" t="s">
        <v>973</v>
      </c>
      <c r="AI2915" t="s">
        <v>6</v>
      </c>
      <c r="AJ2915" t="s">
        <v>974</v>
      </c>
    </row>
    <row r="2916" spans="1:36">
      <c r="A2916" t="s">
        <v>7167</v>
      </c>
      <c r="B2916" t="s">
        <v>7168</v>
      </c>
      <c r="F2916" t="str">
        <f t="shared" si="45"/>
        <v>68216</v>
      </c>
      <c r="AE2916">
        <v>1101112207177</v>
      </c>
      <c r="AG2916" t="s">
        <v>4</v>
      </c>
      <c r="AH2916" t="s">
        <v>874</v>
      </c>
      <c r="AI2916" t="s">
        <v>278</v>
      </c>
      <c r="AJ2916" t="s">
        <v>875</v>
      </c>
    </row>
    <row r="2917" spans="1:36">
      <c r="A2917" t="s">
        <v>7169</v>
      </c>
      <c r="B2917" t="s">
        <v>7170</v>
      </c>
      <c r="F2917" t="str">
        <f t="shared" si="45"/>
        <v>68217</v>
      </c>
      <c r="AE2917">
        <v>1101112322438</v>
      </c>
      <c r="AG2917" t="s">
        <v>2</v>
      </c>
      <c r="AH2917" t="s">
        <v>973</v>
      </c>
      <c r="AI2917" t="s">
        <v>6</v>
      </c>
      <c r="AJ2917" t="s">
        <v>974</v>
      </c>
    </row>
    <row r="2918" spans="1:36">
      <c r="A2918" t="s">
        <v>7171</v>
      </c>
      <c r="B2918" t="s">
        <v>7172</v>
      </c>
      <c r="F2918" t="str">
        <f t="shared" si="45"/>
        <v>68218</v>
      </c>
      <c r="AE2918">
        <v>1101112207119</v>
      </c>
      <c r="AG2918" t="s">
        <v>4</v>
      </c>
      <c r="AH2918" t="s">
        <v>874</v>
      </c>
      <c r="AI2918" t="s">
        <v>278</v>
      </c>
      <c r="AJ2918" t="s">
        <v>875</v>
      </c>
    </row>
    <row r="2919" spans="1:36">
      <c r="A2919" t="s">
        <v>7173</v>
      </c>
      <c r="B2919" t="s">
        <v>7174</v>
      </c>
      <c r="F2919" t="str">
        <f t="shared" si="45"/>
        <v>68219</v>
      </c>
      <c r="AE2919">
        <v>2442350009895</v>
      </c>
      <c r="AG2919" t="s">
        <v>4</v>
      </c>
    </row>
    <row r="2920" spans="1:36">
      <c r="A2920" t="s">
        <v>7175</v>
      </c>
      <c r="B2920" t="s">
        <v>7176</v>
      </c>
      <c r="F2920" t="str">
        <f t="shared" si="45"/>
        <v>68220</v>
      </c>
      <c r="AE2920">
        <v>1101114809385</v>
      </c>
      <c r="AG2920" t="s">
        <v>4</v>
      </c>
      <c r="AH2920" t="s">
        <v>5</v>
      </c>
      <c r="AI2920" t="s">
        <v>6</v>
      </c>
      <c r="AJ2920" t="s">
        <v>7</v>
      </c>
    </row>
    <row r="2921" spans="1:36">
      <c r="A2921" t="s">
        <v>7177</v>
      </c>
      <c r="B2921" t="s">
        <v>7178</v>
      </c>
      <c r="F2921" t="str">
        <f t="shared" si="45"/>
        <v>68221</v>
      </c>
      <c r="AG2921" t="s">
        <v>4</v>
      </c>
    </row>
    <row r="2922" spans="1:36">
      <c r="A2922" t="s">
        <v>7179</v>
      </c>
      <c r="B2922" t="s">
        <v>7180</v>
      </c>
      <c r="F2922" t="str">
        <f t="shared" si="45"/>
        <v>68222</v>
      </c>
      <c r="AG2922" t="s">
        <v>4</v>
      </c>
    </row>
    <row r="2923" spans="1:36">
      <c r="A2923" t="s">
        <v>7181</v>
      </c>
      <c r="B2923" t="s">
        <v>7182</v>
      </c>
      <c r="F2923" t="str">
        <f t="shared" si="45"/>
        <v>68223</v>
      </c>
      <c r="AG2923" t="s">
        <v>4</v>
      </c>
    </row>
    <row r="2924" spans="1:36">
      <c r="A2924" t="s">
        <v>7183</v>
      </c>
      <c r="B2924" t="s">
        <v>7184</v>
      </c>
      <c r="F2924" t="str">
        <f t="shared" si="45"/>
        <v>68224</v>
      </c>
      <c r="AG2924" t="s">
        <v>4</v>
      </c>
    </row>
    <row r="2925" spans="1:36">
      <c r="A2925" t="s">
        <v>7185</v>
      </c>
      <c r="B2925" t="s">
        <v>7186</v>
      </c>
      <c r="F2925" t="str">
        <f t="shared" si="45"/>
        <v>68225</v>
      </c>
      <c r="AG2925" t="s">
        <v>4</v>
      </c>
    </row>
    <row r="2926" spans="1:36">
      <c r="A2926" t="s">
        <v>7187</v>
      </c>
      <c r="B2926" t="s">
        <v>7188</v>
      </c>
      <c r="F2926" t="str">
        <f t="shared" si="45"/>
        <v>68226</v>
      </c>
      <c r="AG2926" t="s">
        <v>4</v>
      </c>
    </row>
    <row r="2927" spans="1:36">
      <c r="A2927" t="s">
        <v>7189</v>
      </c>
      <c r="B2927" t="s">
        <v>7190</v>
      </c>
      <c r="F2927" t="str">
        <f t="shared" si="45"/>
        <v>68227</v>
      </c>
      <c r="AG2927" t="s">
        <v>4</v>
      </c>
    </row>
    <row r="2928" spans="1:36">
      <c r="A2928" t="s">
        <v>7191</v>
      </c>
      <c r="B2928" t="s">
        <v>7192</v>
      </c>
      <c r="F2928" t="str">
        <f t="shared" si="45"/>
        <v>68228</v>
      </c>
      <c r="AG2928" t="s">
        <v>4</v>
      </c>
    </row>
    <row r="2929" spans="1:33">
      <c r="A2929" t="s">
        <v>7193</v>
      </c>
      <c r="B2929" t="s">
        <v>7194</v>
      </c>
      <c r="F2929" t="str">
        <f t="shared" si="45"/>
        <v>68246</v>
      </c>
      <c r="AG2929" t="s">
        <v>4</v>
      </c>
    </row>
    <row r="2930" spans="1:33">
      <c r="A2930" t="s">
        <v>7195</v>
      </c>
      <c r="B2930" t="s">
        <v>7196</v>
      </c>
      <c r="F2930" t="str">
        <f t="shared" si="45"/>
        <v>68247</v>
      </c>
      <c r="AG2930" t="s">
        <v>4</v>
      </c>
    </row>
    <row r="2931" spans="1:33">
      <c r="A2931" t="s">
        <v>7197</v>
      </c>
      <c r="B2931" t="s">
        <v>7198</v>
      </c>
      <c r="F2931" t="str">
        <f t="shared" si="45"/>
        <v>68248</v>
      </c>
      <c r="AG2931" t="s">
        <v>4</v>
      </c>
    </row>
    <row r="2932" spans="1:33">
      <c r="A2932" t="s">
        <v>7199</v>
      </c>
      <c r="B2932" t="s">
        <v>7200</v>
      </c>
      <c r="F2932" t="str">
        <f t="shared" si="45"/>
        <v>68249</v>
      </c>
      <c r="AG2932" t="s">
        <v>4</v>
      </c>
    </row>
    <row r="2933" spans="1:33">
      <c r="A2933" t="s">
        <v>7201</v>
      </c>
      <c r="B2933" t="s">
        <v>7202</v>
      </c>
      <c r="F2933" t="str">
        <f t="shared" si="45"/>
        <v>68255</v>
      </c>
      <c r="AG2933" t="s">
        <v>4</v>
      </c>
    </row>
    <row r="2934" spans="1:33">
      <c r="A2934" t="s">
        <v>7203</v>
      </c>
      <c r="B2934" t="s">
        <v>7204</v>
      </c>
      <c r="F2934" t="str">
        <f t="shared" si="45"/>
        <v>68256</v>
      </c>
      <c r="AG2934" t="s">
        <v>4</v>
      </c>
    </row>
    <row r="2935" spans="1:33">
      <c r="A2935" t="s">
        <v>7205</v>
      </c>
      <c r="B2935" t="s">
        <v>7206</v>
      </c>
      <c r="F2935" t="str">
        <f t="shared" si="45"/>
        <v>68257</v>
      </c>
      <c r="AG2935" t="s">
        <v>4</v>
      </c>
    </row>
    <row r="2936" spans="1:33">
      <c r="A2936" t="s">
        <v>7207</v>
      </c>
      <c r="B2936" t="s">
        <v>7208</v>
      </c>
      <c r="F2936" t="str">
        <f t="shared" si="45"/>
        <v>68263</v>
      </c>
      <c r="AG2936" t="s">
        <v>4</v>
      </c>
    </row>
    <row r="2937" spans="1:33">
      <c r="A2937" t="s">
        <v>7209</v>
      </c>
      <c r="B2937" t="s">
        <v>7210</v>
      </c>
      <c r="F2937" t="str">
        <f t="shared" si="45"/>
        <v>68267</v>
      </c>
      <c r="AG2937" t="s">
        <v>4</v>
      </c>
    </row>
    <row r="2938" spans="1:33">
      <c r="A2938" t="s">
        <v>7211</v>
      </c>
      <c r="B2938" t="s">
        <v>7212</v>
      </c>
      <c r="F2938" t="str">
        <f t="shared" si="45"/>
        <v>68269</v>
      </c>
      <c r="AG2938" t="s">
        <v>4</v>
      </c>
    </row>
    <row r="2939" spans="1:33">
      <c r="A2939" t="s">
        <v>7213</v>
      </c>
      <c r="B2939" t="s">
        <v>7214</v>
      </c>
      <c r="F2939" t="str">
        <f t="shared" si="45"/>
        <v>68270</v>
      </c>
      <c r="AG2939" t="s">
        <v>4</v>
      </c>
    </row>
    <row r="2940" spans="1:33">
      <c r="A2940" t="s">
        <v>7215</v>
      </c>
      <c r="B2940" t="s">
        <v>7216</v>
      </c>
      <c r="F2940" t="str">
        <f t="shared" si="45"/>
        <v>68273</v>
      </c>
      <c r="AG2940" t="s">
        <v>4</v>
      </c>
    </row>
    <row r="2941" spans="1:33">
      <c r="A2941" t="s">
        <v>7217</v>
      </c>
      <c r="B2941" t="s">
        <v>7218</v>
      </c>
      <c r="F2941" t="str">
        <f t="shared" si="45"/>
        <v>68274</v>
      </c>
      <c r="AG2941" t="s">
        <v>4</v>
      </c>
    </row>
    <row r="2942" spans="1:33">
      <c r="A2942" t="s">
        <v>7219</v>
      </c>
      <c r="B2942" t="s">
        <v>7220</v>
      </c>
      <c r="F2942" t="str">
        <f t="shared" si="45"/>
        <v>68277</v>
      </c>
      <c r="AG2942" t="s">
        <v>4</v>
      </c>
    </row>
    <row r="2943" spans="1:33">
      <c r="A2943" t="s">
        <v>7221</v>
      </c>
      <c r="B2943" t="s">
        <v>7222</v>
      </c>
      <c r="F2943" t="str">
        <f t="shared" si="45"/>
        <v>68286</v>
      </c>
      <c r="AG2943" t="s">
        <v>4</v>
      </c>
    </row>
    <row r="2944" spans="1:33">
      <c r="A2944" t="s">
        <v>7223</v>
      </c>
      <c r="B2944" t="s">
        <v>7224</v>
      </c>
      <c r="F2944" t="str">
        <f t="shared" si="45"/>
        <v>68287</v>
      </c>
      <c r="AG2944" t="s">
        <v>4</v>
      </c>
    </row>
    <row r="2945" spans="1:33">
      <c r="A2945" t="s">
        <v>7225</v>
      </c>
      <c r="B2945" t="s">
        <v>7226</v>
      </c>
      <c r="F2945" t="str">
        <f t="shared" si="45"/>
        <v>68289</v>
      </c>
      <c r="AG2945" t="s">
        <v>4</v>
      </c>
    </row>
    <row r="2946" spans="1:33">
      <c r="A2946" t="s">
        <v>7227</v>
      </c>
      <c r="B2946" t="s">
        <v>7228</v>
      </c>
      <c r="F2946" t="str">
        <f t="shared" si="45"/>
        <v>68290</v>
      </c>
      <c r="AG2946" t="s">
        <v>4</v>
      </c>
    </row>
    <row r="2947" spans="1:33">
      <c r="A2947" t="s">
        <v>7229</v>
      </c>
      <c r="B2947" t="s">
        <v>7230</v>
      </c>
      <c r="F2947" t="str">
        <f t="shared" si="45"/>
        <v>68299</v>
      </c>
      <c r="AG2947" t="s">
        <v>4</v>
      </c>
    </row>
    <row r="2948" spans="1:33">
      <c r="A2948" t="s">
        <v>7231</v>
      </c>
      <c r="B2948" t="s">
        <v>7232</v>
      </c>
      <c r="F2948" t="str">
        <f t="shared" si="45"/>
        <v>68300</v>
      </c>
      <c r="AG2948" t="s">
        <v>4</v>
      </c>
    </row>
    <row r="2949" spans="1:33">
      <c r="A2949" t="s">
        <v>7233</v>
      </c>
      <c r="B2949" t="s">
        <v>7234</v>
      </c>
      <c r="F2949" t="str">
        <f t="shared" si="45"/>
        <v>68301</v>
      </c>
      <c r="AG2949" t="s">
        <v>4</v>
      </c>
    </row>
    <row r="2950" spans="1:33">
      <c r="A2950" t="s">
        <v>7235</v>
      </c>
      <c r="B2950" t="s">
        <v>7236</v>
      </c>
      <c r="F2950" t="str">
        <f t="shared" si="45"/>
        <v>68302</v>
      </c>
      <c r="AG2950" t="s">
        <v>4</v>
      </c>
    </row>
    <row r="2951" spans="1:33">
      <c r="A2951" t="s">
        <v>7237</v>
      </c>
      <c r="B2951" t="s">
        <v>7238</v>
      </c>
      <c r="F2951" t="str">
        <f t="shared" si="45"/>
        <v>68303</v>
      </c>
      <c r="AG2951" t="s">
        <v>4</v>
      </c>
    </row>
    <row r="2952" spans="1:33">
      <c r="A2952" t="s">
        <v>7239</v>
      </c>
      <c r="B2952" t="s">
        <v>7240</v>
      </c>
      <c r="F2952" t="str">
        <f t="shared" si="45"/>
        <v>68304</v>
      </c>
      <c r="AG2952" t="s">
        <v>4</v>
      </c>
    </row>
    <row r="2953" spans="1:33">
      <c r="A2953" t="s">
        <v>7241</v>
      </c>
      <c r="B2953" t="s">
        <v>7242</v>
      </c>
      <c r="F2953" t="str">
        <f t="shared" si="45"/>
        <v>68305</v>
      </c>
      <c r="AG2953" t="s">
        <v>4</v>
      </c>
    </row>
    <row r="2954" spans="1:33">
      <c r="A2954" t="s">
        <v>7243</v>
      </c>
      <c r="B2954" t="s">
        <v>7244</v>
      </c>
      <c r="F2954" t="str">
        <f t="shared" ref="F2954:F3017" si="46">CHOOSE($C$1, A2954, B2954)</f>
        <v>68306</v>
      </c>
      <c r="AG2954" t="s">
        <v>4</v>
      </c>
    </row>
    <row r="2955" spans="1:33">
      <c r="A2955" t="s">
        <v>7245</v>
      </c>
      <c r="B2955" t="s">
        <v>7246</v>
      </c>
      <c r="F2955" t="str">
        <f t="shared" si="46"/>
        <v>68307</v>
      </c>
      <c r="AG2955" t="s">
        <v>4</v>
      </c>
    </row>
    <row r="2956" spans="1:33">
      <c r="A2956" t="s">
        <v>7247</v>
      </c>
      <c r="B2956" t="s">
        <v>7248</v>
      </c>
      <c r="F2956" t="str">
        <f t="shared" si="46"/>
        <v>68308</v>
      </c>
      <c r="AG2956" t="s">
        <v>4</v>
      </c>
    </row>
    <row r="2957" spans="1:33">
      <c r="A2957" t="s">
        <v>7249</v>
      </c>
      <c r="B2957" t="s">
        <v>7250</v>
      </c>
      <c r="F2957" t="str">
        <f t="shared" si="46"/>
        <v>68309</v>
      </c>
      <c r="AG2957" t="s">
        <v>4</v>
      </c>
    </row>
    <row r="2958" spans="1:33">
      <c r="A2958" t="s">
        <v>7251</v>
      </c>
      <c r="B2958" t="s">
        <v>7252</v>
      </c>
      <c r="F2958" t="str">
        <f t="shared" si="46"/>
        <v>68310</v>
      </c>
      <c r="AE2958">
        <v>1101140067791</v>
      </c>
      <c r="AG2958" t="s">
        <v>4</v>
      </c>
    </row>
    <row r="2959" spans="1:33">
      <c r="A2959" t="s">
        <v>7253</v>
      </c>
      <c r="B2959" t="s">
        <v>7254</v>
      </c>
      <c r="F2959" t="str">
        <f t="shared" si="46"/>
        <v>68311</v>
      </c>
      <c r="AG2959" t="s">
        <v>4</v>
      </c>
    </row>
    <row r="2960" spans="1:33">
      <c r="A2960" t="s">
        <v>7255</v>
      </c>
      <c r="B2960" t="s">
        <v>7256</v>
      </c>
      <c r="F2960" t="str">
        <f t="shared" si="46"/>
        <v>68312</v>
      </c>
      <c r="AG2960" t="s">
        <v>4</v>
      </c>
    </row>
    <row r="2961" spans="1:33">
      <c r="A2961" t="s">
        <v>7257</v>
      </c>
      <c r="B2961" t="s">
        <v>7258</v>
      </c>
      <c r="F2961" t="str">
        <f t="shared" si="46"/>
        <v>68313</v>
      </c>
      <c r="AG2961" t="s">
        <v>4</v>
      </c>
    </row>
    <row r="2962" spans="1:33">
      <c r="A2962" t="s">
        <v>7259</v>
      </c>
      <c r="B2962" t="s">
        <v>7260</v>
      </c>
      <c r="F2962" t="str">
        <f t="shared" si="46"/>
        <v>68318</v>
      </c>
      <c r="AG2962" t="s">
        <v>4</v>
      </c>
    </row>
    <row r="2963" spans="1:33">
      <c r="A2963" t="s">
        <v>7261</v>
      </c>
      <c r="B2963" t="s">
        <v>7262</v>
      </c>
      <c r="F2963" t="str">
        <f t="shared" si="46"/>
        <v>68319</v>
      </c>
      <c r="AG2963" t="s">
        <v>4</v>
      </c>
    </row>
    <row r="2964" spans="1:33">
      <c r="A2964" t="s">
        <v>7263</v>
      </c>
      <c r="B2964" t="s">
        <v>7264</v>
      </c>
      <c r="F2964" t="str">
        <f t="shared" si="46"/>
        <v>68321</v>
      </c>
      <c r="AG2964" t="s">
        <v>4</v>
      </c>
    </row>
    <row r="2965" spans="1:33">
      <c r="A2965" t="s">
        <v>7265</v>
      </c>
      <c r="B2965" t="s">
        <v>7266</v>
      </c>
      <c r="F2965" t="str">
        <f t="shared" si="46"/>
        <v>68322</v>
      </c>
      <c r="AG2965" t="s">
        <v>4</v>
      </c>
    </row>
    <row r="2966" spans="1:33">
      <c r="A2966" t="s">
        <v>7267</v>
      </c>
      <c r="B2966" t="s">
        <v>7268</v>
      </c>
      <c r="F2966" t="str">
        <f t="shared" si="46"/>
        <v>68323</v>
      </c>
      <c r="AG2966" t="s">
        <v>4</v>
      </c>
    </row>
    <row r="2967" spans="1:33">
      <c r="A2967" t="s">
        <v>7269</v>
      </c>
      <c r="B2967" t="s">
        <v>7270</v>
      </c>
      <c r="F2967" t="str">
        <f t="shared" si="46"/>
        <v>68324</v>
      </c>
      <c r="AG2967" t="s">
        <v>4</v>
      </c>
    </row>
    <row r="2968" spans="1:33">
      <c r="A2968" t="s">
        <v>7271</v>
      </c>
      <c r="B2968" t="s">
        <v>7272</v>
      </c>
      <c r="F2968" t="str">
        <f t="shared" si="46"/>
        <v>68326</v>
      </c>
      <c r="AG2968" t="s">
        <v>4</v>
      </c>
    </row>
    <row r="2969" spans="1:33">
      <c r="A2969" t="s">
        <v>7273</v>
      </c>
      <c r="B2969" t="s">
        <v>7274</v>
      </c>
      <c r="F2969" t="str">
        <f t="shared" si="46"/>
        <v>68327</v>
      </c>
      <c r="AG2969" t="s">
        <v>4</v>
      </c>
    </row>
    <row r="2970" spans="1:33">
      <c r="A2970" t="s">
        <v>7275</v>
      </c>
      <c r="B2970" t="s">
        <v>7276</v>
      </c>
      <c r="F2970" t="str">
        <f t="shared" si="46"/>
        <v>68328</v>
      </c>
      <c r="AG2970" t="s">
        <v>4</v>
      </c>
    </row>
    <row r="2971" spans="1:33">
      <c r="A2971" t="s">
        <v>7277</v>
      </c>
      <c r="B2971" t="s">
        <v>7278</v>
      </c>
      <c r="F2971" t="str">
        <f t="shared" si="46"/>
        <v>68329</v>
      </c>
      <c r="AG2971" t="s">
        <v>4</v>
      </c>
    </row>
    <row r="2972" spans="1:33">
      <c r="A2972" t="s">
        <v>7279</v>
      </c>
      <c r="B2972" t="s">
        <v>7280</v>
      </c>
      <c r="F2972" t="str">
        <f t="shared" si="46"/>
        <v>68330</v>
      </c>
      <c r="AG2972" t="s">
        <v>4</v>
      </c>
    </row>
    <row r="2973" spans="1:33">
      <c r="A2973" t="s">
        <v>7281</v>
      </c>
      <c r="B2973" t="s">
        <v>7282</v>
      </c>
      <c r="F2973" t="str">
        <f t="shared" si="46"/>
        <v>68334</v>
      </c>
      <c r="AG2973" t="s">
        <v>4</v>
      </c>
    </row>
    <row r="2974" spans="1:33">
      <c r="A2974" t="s">
        <v>7283</v>
      </c>
      <c r="B2974" t="s">
        <v>7284</v>
      </c>
      <c r="F2974" t="str">
        <f t="shared" si="46"/>
        <v>68336</v>
      </c>
      <c r="AG2974" t="s">
        <v>4</v>
      </c>
    </row>
    <row r="2975" spans="1:33">
      <c r="A2975" t="s">
        <v>7285</v>
      </c>
      <c r="B2975" t="s">
        <v>7286</v>
      </c>
      <c r="F2975" t="str">
        <f t="shared" si="46"/>
        <v>68337</v>
      </c>
      <c r="AG2975" t="s">
        <v>4</v>
      </c>
    </row>
    <row r="2976" spans="1:33">
      <c r="A2976" t="s">
        <v>7287</v>
      </c>
      <c r="B2976" t="s">
        <v>7288</v>
      </c>
      <c r="F2976" t="str">
        <f t="shared" si="46"/>
        <v>68338</v>
      </c>
      <c r="AG2976" t="s">
        <v>4</v>
      </c>
    </row>
    <row r="2977" spans="1:33">
      <c r="A2977" t="s">
        <v>7289</v>
      </c>
      <c r="B2977" t="s">
        <v>7290</v>
      </c>
      <c r="F2977" t="str">
        <f t="shared" si="46"/>
        <v>68339</v>
      </c>
      <c r="AG2977" t="s">
        <v>4</v>
      </c>
    </row>
    <row r="2978" spans="1:33">
      <c r="A2978" t="s">
        <v>7291</v>
      </c>
      <c r="B2978" t="s">
        <v>7292</v>
      </c>
      <c r="F2978" t="str">
        <f t="shared" si="46"/>
        <v>68340</v>
      </c>
      <c r="AG2978" t="s">
        <v>4</v>
      </c>
    </row>
    <row r="2979" spans="1:33">
      <c r="A2979" t="s">
        <v>7293</v>
      </c>
      <c r="B2979" t="s">
        <v>7294</v>
      </c>
      <c r="F2979" t="str">
        <f t="shared" si="46"/>
        <v>68346</v>
      </c>
      <c r="AG2979" t="s">
        <v>4</v>
      </c>
    </row>
    <row r="2980" spans="1:33">
      <c r="A2980" t="s">
        <v>7295</v>
      </c>
      <c r="B2980" t="s">
        <v>7296</v>
      </c>
      <c r="F2980" t="str">
        <f t="shared" si="46"/>
        <v>68354</v>
      </c>
      <c r="AG2980" t="s">
        <v>4</v>
      </c>
    </row>
    <row r="2981" spans="1:33">
      <c r="A2981" t="s">
        <v>7297</v>
      </c>
      <c r="B2981" t="s">
        <v>7298</v>
      </c>
      <c r="F2981" t="str">
        <f t="shared" si="46"/>
        <v>68357</v>
      </c>
      <c r="AG2981" t="s">
        <v>4</v>
      </c>
    </row>
    <row r="2982" spans="1:33">
      <c r="A2982" t="s">
        <v>7299</v>
      </c>
      <c r="B2982" t="s">
        <v>7300</v>
      </c>
      <c r="F2982" t="str">
        <f t="shared" si="46"/>
        <v>68358</v>
      </c>
      <c r="AE2982">
        <v>1101113963265</v>
      </c>
      <c r="AG2982" t="s">
        <v>4</v>
      </c>
    </row>
    <row r="2983" spans="1:33">
      <c r="A2983" t="s">
        <v>7301</v>
      </c>
      <c r="B2983" t="s">
        <v>7302</v>
      </c>
      <c r="F2983" t="str">
        <f t="shared" si="46"/>
        <v>68359</v>
      </c>
      <c r="AG2983" t="s">
        <v>4</v>
      </c>
    </row>
    <row r="2984" spans="1:33">
      <c r="A2984" t="s">
        <v>7303</v>
      </c>
      <c r="B2984" t="s">
        <v>7304</v>
      </c>
      <c r="F2984" t="str">
        <f t="shared" si="46"/>
        <v>68361</v>
      </c>
      <c r="AE2984">
        <v>1101114048074</v>
      </c>
      <c r="AG2984" t="s">
        <v>4</v>
      </c>
    </row>
    <row r="2985" spans="1:33">
      <c r="A2985" t="s">
        <v>7305</v>
      </c>
      <c r="B2985" t="s">
        <v>7306</v>
      </c>
      <c r="F2985" t="str">
        <f t="shared" si="46"/>
        <v>68362</v>
      </c>
      <c r="AG2985" t="s">
        <v>4</v>
      </c>
    </row>
    <row r="2986" spans="1:33">
      <c r="A2986" t="s">
        <v>7307</v>
      </c>
      <c r="B2986" t="s">
        <v>7308</v>
      </c>
      <c r="F2986" t="str">
        <f t="shared" si="46"/>
        <v>68363</v>
      </c>
      <c r="AG2986" t="s">
        <v>4</v>
      </c>
    </row>
    <row r="2987" spans="1:33">
      <c r="A2987" t="s">
        <v>7309</v>
      </c>
      <c r="B2987" t="s">
        <v>7310</v>
      </c>
      <c r="F2987" t="str">
        <f t="shared" si="46"/>
        <v>68364</v>
      </c>
      <c r="AG2987" t="s">
        <v>4</v>
      </c>
    </row>
    <row r="2988" spans="1:33">
      <c r="A2988" t="s">
        <v>7311</v>
      </c>
      <c r="B2988" t="s">
        <v>7312</v>
      </c>
      <c r="F2988" t="str">
        <f t="shared" si="46"/>
        <v>68365</v>
      </c>
      <c r="AG2988" t="s">
        <v>4</v>
      </c>
    </row>
    <row r="2989" spans="1:33">
      <c r="A2989" t="s">
        <v>7313</v>
      </c>
      <c r="B2989" t="s">
        <v>7314</v>
      </c>
      <c r="F2989" t="str">
        <f t="shared" si="46"/>
        <v>68366</v>
      </c>
      <c r="AE2989">
        <v>1101114037340</v>
      </c>
      <c r="AG2989" t="s">
        <v>4</v>
      </c>
    </row>
    <row r="2990" spans="1:33">
      <c r="A2990" t="s">
        <v>7315</v>
      </c>
      <c r="B2990" t="s">
        <v>7316</v>
      </c>
      <c r="F2990" t="str">
        <f t="shared" si="46"/>
        <v>68367</v>
      </c>
      <c r="AG2990" t="s">
        <v>4</v>
      </c>
    </row>
    <row r="2991" spans="1:33">
      <c r="A2991" t="s">
        <v>7317</v>
      </c>
      <c r="B2991" t="s">
        <v>7318</v>
      </c>
      <c r="F2991" t="str">
        <f t="shared" si="46"/>
        <v>68369</v>
      </c>
      <c r="AG2991" t="s">
        <v>4</v>
      </c>
    </row>
    <row r="2992" spans="1:33">
      <c r="A2992" t="s">
        <v>7319</v>
      </c>
      <c r="B2992" t="s">
        <v>7320</v>
      </c>
      <c r="F2992" t="str">
        <f t="shared" si="46"/>
        <v>68373</v>
      </c>
      <c r="AG2992" t="s">
        <v>4</v>
      </c>
    </row>
    <row r="2993" spans="1:33">
      <c r="A2993" t="s">
        <v>7321</v>
      </c>
      <c r="B2993" t="s">
        <v>7322</v>
      </c>
      <c r="F2993" t="str">
        <f t="shared" si="46"/>
        <v>68375</v>
      </c>
      <c r="AG2993" t="s">
        <v>4</v>
      </c>
    </row>
    <row r="2994" spans="1:33">
      <c r="A2994" t="s">
        <v>7323</v>
      </c>
      <c r="B2994" t="s">
        <v>7324</v>
      </c>
      <c r="F2994" t="str">
        <f t="shared" si="46"/>
        <v>68376</v>
      </c>
      <c r="AG2994" t="s">
        <v>4</v>
      </c>
    </row>
    <row r="2995" spans="1:33">
      <c r="A2995" t="s">
        <v>7325</v>
      </c>
      <c r="B2995" t="s">
        <v>7326</v>
      </c>
      <c r="F2995" t="str">
        <f t="shared" si="46"/>
        <v>68377</v>
      </c>
      <c r="AG2995" t="s">
        <v>4</v>
      </c>
    </row>
    <row r="2996" spans="1:33">
      <c r="A2996" t="s">
        <v>7327</v>
      </c>
      <c r="B2996" t="s">
        <v>7328</v>
      </c>
      <c r="F2996" t="str">
        <f t="shared" si="46"/>
        <v>68379</v>
      </c>
      <c r="AG2996" t="s">
        <v>4</v>
      </c>
    </row>
    <row r="2997" spans="1:33">
      <c r="A2997" t="s">
        <v>7329</v>
      </c>
      <c r="B2997" t="s">
        <v>7330</v>
      </c>
      <c r="F2997" t="str">
        <f t="shared" si="46"/>
        <v>68380</v>
      </c>
      <c r="AG2997" t="s">
        <v>4</v>
      </c>
    </row>
    <row r="2998" spans="1:33">
      <c r="A2998" t="s">
        <v>7331</v>
      </c>
      <c r="B2998" t="s">
        <v>7332</v>
      </c>
      <c r="F2998" t="str">
        <f t="shared" si="46"/>
        <v>68385</v>
      </c>
      <c r="AG2998" t="s">
        <v>4</v>
      </c>
    </row>
    <row r="2999" spans="1:33">
      <c r="A2999" t="s">
        <v>7333</v>
      </c>
      <c r="B2999" t="s">
        <v>7334</v>
      </c>
      <c r="F2999" t="str">
        <f t="shared" si="46"/>
        <v>68386</v>
      </c>
      <c r="AG2999" t="s">
        <v>4</v>
      </c>
    </row>
    <row r="3000" spans="1:33">
      <c r="A3000" t="s">
        <v>7335</v>
      </c>
      <c r="B3000" t="s">
        <v>7336</v>
      </c>
      <c r="F3000" t="str">
        <f t="shared" si="46"/>
        <v>68388</v>
      </c>
      <c r="AG3000" t="s">
        <v>4</v>
      </c>
    </row>
    <row r="3001" spans="1:33">
      <c r="A3001" t="s">
        <v>7337</v>
      </c>
      <c r="B3001" t="s">
        <v>7338</v>
      </c>
      <c r="F3001" t="str">
        <f t="shared" si="46"/>
        <v>68389</v>
      </c>
      <c r="AG3001" t="s">
        <v>4</v>
      </c>
    </row>
    <row r="3002" spans="1:33">
      <c r="A3002" t="s">
        <v>7339</v>
      </c>
      <c r="B3002" t="s">
        <v>7340</v>
      </c>
      <c r="F3002" t="str">
        <f t="shared" si="46"/>
        <v>68390</v>
      </c>
      <c r="AG3002" t="s">
        <v>4</v>
      </c>
    </row>
    <row r="3003" spans="1:33">
      <c r="A3003" t="s">
        <v>7341</v>
      </c>
      <c r="B3003" t="s">
        <v>7342</v>
      </c>
      <c r="F3003" t="str">
        <f t="shared" si="46"/>
        <v>68400</v>
      </c>
      <c r="AE3003">
        <v>1101113266007</v>
      </c>
      <c r="AG3003" t="s">
        <v>4</v>
      </c>
    </row>
    <row r="3004" spans="1:33">
      <c r="A3004" t="s">
        <v>7343</v>
      </c>
      <c r="B3004" t="s">
        <v>7344</v>
      </c>
      <c r="F3004" t="str">
        <f t="shared" si="46"/>
        <v>68401</v>
      </c>
      <c r="AG3004" t="s">
        <v>4</v>
      </c>
    </row>
    <row r="3005" spans="1:33">
      <c r="A3005" t="s">
        <v>7345</v>
      </c>
      <c r="B3005" t="s">
        <v>7346</v>
      </c>
      <c r="F3005" t="str">
        <f t="shared" si="46"/>
        <v>68402</v>
      </c>
      <c r="AG3005" t="s">
        <v>4</v>
      </c>
    </row>
    <row r="3006" spans="1:33">
      <c r="A3006" t="s">
        <v>7347</v>
      </c>
      <c r="B3006" t="s">
        <v>7348</v>
      </c>
      <c r="F3006" t="str">
        <f t="shared" si="46"/>
        <v>68403</v>
      </c>
      <c r="AG3006" t="s">
        <v>4</v>
      </c>
    </row>
    <row r="3007" spans="1:33">
      <c r="A3007" t="s">
        <v>7349</v>
      </c>
      <c r="B3007" t="s">
        <v>7350</v>
      </c>
      <c r="F3007" t="str">
        <f t="shared" si="46"/>
        <v>68404</v>
      </c>
      <c r="AG3007" t="s">
        <v>4</v>
      </c>
    </row>
    <row r="3008" spans="1:33">
      <c r="A3008" t="s">
        <v>7351</v>
      </c>
      <c r="B3008" t="s">
        <v>7352</v>
      </c>
      <c r="F3008" t="str">
        <f t="shared" si="46"/>
        <v>68405</v>
      </c>
      <c r="AG3008" t="s">
        <v>4</v>
      </c>
    </row>
    <row r="3009" spans="1:33">
      <c r="A3009" t="s">
        <v>7353</v>
      </c>
      <c r="B3009" t="s">
        <v>7354</v>
      </c>
      <c r="F3009" t="str">
        <f t="shared" si="46"/>
        <v>68406</v>
      </c>
      <c r="AG3009" t="s">
        <v>4</v>
      </c>
    </row>
    <row r="3010" spans="1:33">
      <c r="A3010" t="s">
        <v>7355</v>
      </c>
      <c r="B3010" t="s">
        <v>7356</v>
      </c>
      <c r="F3010" t="str">
        <f t="shared" si="46"/>
        <v>68407</v>
      </c>
      <c r="AG3010" t="s">
        <v>4</v>
      </c>
    </row>
    <row r="3011" spans="1:33">
      <c r="A3011" t="s">
        <v>7357</v>
      </c>
      <c r="B3011" t="s">
        <v>7358</v>
      </c>
      <c r="F3011" t="str">
        <f t="shared" si="46"/>
        <v>68408</v>
      </c>
      <c r="AG3011" t="s">
        <v>4</v>
      </c>
    </row>
    <row r="3012" spans="1:33">
      <c r="A3012" t="s">
        <v>7359</v>
      </c>
      <c r="B3012" t="s">
        <v>7360</v>
      </c>
      <c r="F3012" t="str">
        <f t="shared" si="46"/>
        <v>68409</v>
      </c>
      <c r="AG3012" t="s">
        <v>4</v>
      </c>
    </row>
    <row r="3013" spans="1:33">
      <c r="A3013" t="s">
        <v>7361</v>
      </c>
      <c r="B3013" t="s">
        <v>7362</v>
      </c>
      <c r="F3013" t="str">
        <f t="shared" si="46"/>
        <v>68410</v>
      </c>
      <c r="AG3013" t="s">
        <v>4</v>
      </c>
    </row>
    <row r="3014" spans="1:33">
      <c r="A3014" t="s">
        <v>7363</v>
      </c>
      <c r="B3014" t="s">
        <v>7364</v>
      </c>
      <c r="F3014" t="str">
        <f t="shared" si="46"/>
        <v>68411</v>
      </c>
      <c r="AG3014" t="s">
        <v>4</v>
      </c>
    </row>
    <row r="3015" spans="1:33">
      <c r="A3015" t="s">
        <v>7365</v>
      </c>
      <c r="B3015" t="s">
        <v>7366</v>
      </c>
      <c r="F3015" t="str">
        <f t="shared" si="46"/>
        <v>68412</v>
      </c>
      <c r="AG3015" t="s">
        <v>4</v>
      </c>
    </row>
    <row r="3016" spans="1:33">
      <c r="A3016" t="s">
        <v>7367</v>
      </c>
      <c r="B3016" t="s">
        <v>7368</v>
      </c>
      <c r="F3016" t="str">
        <f t="shared" si="46"/>
        <v>68413</v>
      </c>
      <c r="AG3016" t="s">
        <v>4</v>
      </c>
    </row>
    <row r="3017" spans="1:33">
      <c r="A3017" t="s">
        <v>7369</v>
      </c>
      <c r="B3017" t="s">
        <v>7370</v>
      </c>
      <c r="F3017" t="str">
        <f t="shared" si="46"/>
        <v>68414</v>
      </c>
      <c r="AG3017" t="s">
        <v>4</v>
      </c>
    </row>
    <row r="3018" spans="1:33">
      <c r="A3018" t="s">
        <v>7371</v>
      </c>
      <c r="B3018" t="s">
        <v>7372</v>
      </c>
      <c r="F3018" t="str">
        <f t="shared" ref="F3018:F3081" si="47">CHOOSE($C$1, A3018, B3018)</f>
        <v>68415</v>
      </c>
      <c r="AE3018">
        <v>1101114101137</v>
      </c>
      <c r="AG3018" t="s">
        <v>4</v>
      </c>
    </row>
    <row r="3019" spans="1:33">
      <c r="A3019" t="s">
        <v>7373</v>
      </c>
      <c r="B3019" t="s">
        <v>7374</v>
      </c>
      <c r="F3019" t="str">
        <f t="shared" si="47"/>
        <v>68416</v>
      </c>
      <c r="AG3019" t="s">
        <v>4</v>
      </c>
    </row>
    <row r="3020" spans="1:33">
      <c r="A3020" t="s">
        <v>7375</v>
      </c>
      <c r="B3020" t="s">
        <v>7376</v>
      </c>
      <c r="F3020" t="str">
        <f t="shared" si="47"/>
        <v>68417</v>
      </c>
      <c r="AG3020" t="s">
        <v>4</v>
      </c>
    </row>
    <row r="3021" spans="1:33">
      <c r="A3021" t="s">
        <v>7377</v>
      </c>
      <c r="B3021" t="s">
        <v>7378</v>
      </c>
      <c r="F3021" t="str">
        <f t="shared" si="47"/>
        <v>68420</v>
      </c>
      <c r="AG3021" t="s">
        <v>4</v>
      </c>
    </row>
    <row r="3022" spans="1:33">
      <c r="A3022" t="s">
        <v>7379</v>
      </c>
      <c r="B3022" t="s">
        <v>7380</v>
      </c>
      <c r="F3022" t="str">
        <f t="shared" si="47"/>
        <v>68421</v>
      </c>
      <c r="AG3022" t="s">
        <v>4</v>
      </c>
    </row>
    <row r="3023" spans="1:33">
      <c r="A3023" t="s">
        <v>7381</v>
      </c>
      <c r="B3023" t="s">
        <v>7382</v>
      </c>
      <c r="F3023" t="str">
        <f t="shared" si="47"/>
        <v>68422</v>
      </c>
      <c r="AG3023" t="s">
        <v>4</v>
      </c>
    </row>
    <row r="3024" spans="1:33">
      <c r="A3024" t="s">
        <v>7383</v>
      </c>
      <c r="B3024" t="s">
        <v>7384</v>
      </c>
      <c r="F3024" t="str">
        <f t="shared" si="47"/>
        <v>68423</v>
      </c>
      <c r="AG3024" t="s">
        <v>4</v>
      </c>
    </row>
    <row r="3025" spans="1:33">
      <c r="A3025" t="s">
        <v>7385</v>
      </c>
      <c r="B3025" t="s">
        <v>7386</v>
      </c>
      <c r="F3025" t="str">
        <f t="shared" si="47"/>
        <v>68424</v>
      </c>
      <c r="AG3025" t="s">
        <v>4</v>
      </c>
    </row>
    <row r="3026" spans="1:33">
      <c r="A3026" t="s">
        <v>7387</v>
      </c>
      <c r="B3026" t="s">
        <v>7388</v>
      </c>
      <c r="F3026" t="str">
        <f t="shared" si="47"/>
        <v>68425</v>
      </c>
      <c r="AG3026" t="s">
        <v>4</v>
      </c>
    </row>
    <row r="3027" spans="1:33">
      <c r="A3027" t="s">
        <v>7389</v>
      </c>
      <c r="B3027" t="s">
        <v>7390</v>
      </c>
      <c r="F3027" t="str">
        <f t="shared" si="47"/>
        <v>68426</v>
      </c>
      <c r="AG3027" t="s">
        <v>4</v>
      </c>
    </row>
    <row r="3028" spans="1:33">
      <c r="A3028" t="s">
        <v>7391</v>
      </c>
      <c r="B3028" t="s">
        <v>7392</v>
      </c>
      <c r="F3028" t="str">
        <f t="shared" si="47"/>
        <v>68427</v>
      </c>
      <c r="AG3028" t="s">
        <v>4</v>
      </c>
    </row>
    <row r="3029" spans="1:33">
      <c r="A3029" t="s">
        <v>7393</v>
      </c>
      <c r="B3029" t="s">
        <v>7394</v>
      </c>
      <c r="F3029" t="str">
        <f t="shared" si="47"/>
        <v>68428</v>
      </c>
      <c r="AG3029" t="s">
        <v>4</v>
      </c>
    </row>
    <row r="3030" spans="1:33">
      <c r="A3030" t="s">
        <v>7395</v>
      </c>
      <c r="B3030" t="s">
        <v>7396</v>
      </c>
      <c r="F3030" t="str">
        <f t="shared" si="47"/>
        <v>68430</v>
      </c>
      <c r="AG3030" t="s">
        <v>4</v>
      </c>
    </row>
    <row r="3031" spans="1:33">
      <c r="A3031" t="s">
        <v>7397</v>
      </c>
      <c r="B3031" t="s">
        <v>7398</v>
      </c>
      <c r="F3031" t="str">
        <f t="shared" si="47"/>
        <v>68431</v>
      </c>
      <c r="AG3031" t="s">
        <v>4</v>
      </c>
    </row>
    <row r="3032" spans="1:33">
      <c r="A3032" t="s">
        <v>7399</v>
      </c>
      <c r="B3032" t="s">
        <v>7400</v>
      </c>
      <c r="F3032" t="str">
        <f t="shared" si="47"/>
        <v>68433</v>
      </c>
      <c r="AG3032" t="s">
        <v>4</v>
      </c>
    </row>
    <row r="3033" spans="1:33">
      <c r="A3033" t="s">
        <v>7401</v>
      </c>
      <c r="B3033" t="s">
        <v>7402</v>
      </c>
      <c r="F3033" t="str">
        <f t="shared" si="47"/>
        <v>68434</v>
      </c>
      <c r="AG3033" t="s">
        <v>4</v>
      </c>
    </row>
    <row r="3034" spans="1:33">
      <c r="A3034" t="s">
        <v>7403</v>
      </c>
      <c r="B3034" t="s">
        <v>7404</v>
      </c>
      <c r="F3034" t="str">
        <f t="shared" si="47"/>
        <v>68435</v>
      </c>
      <c r="AG3034" t="s">
        <v>4</v>
      </c>
    </row>
    <row r="3035" spans="1:33">
      <c r="A3035" t="s">
        <v>7405</v>
      </c>
      <c r="B3035" t="s">
        <v>7406</v>
      </c>
      <c r="F3035" t="str">
        <f t="shared" si="47"/>
        <v>68436</v>
      </c>
      <c r="AG3035" t="s">
        <v>4</v>
      </c>
    </row>
    <row r="3036" spans="1:33">
      <c r="A3036" t="s">
        <v>7407</v>
      </c>
      <c r="B3036" t="s">
        <v>7408</v>
      </c>
      <c r="F3036" t="str">
        <f t="shared" si="47"/>
        <v>68439</v>
      </c>
      <c r="AG3036" t="s">
        <v>4</v>
      </c>
    </row>
    <row r="3037" spans="1:33">
      <c r="A3037" t="s">
        <v>7409</v>
      </c>
      <c r="B3037" t="s">
        <v>7410</v>
      </c>
      <c r="F3037" t="str">
        <f t="shared" si="47"/>
        <v>68440</v>
      </c>
      <c r="AG3037" t="s">
        <v>4</v>
      </c>
    </row>
    <row r="3038" spans="1:33">
      <c r="A3038" t="s">
        <v>7411</v>
      </c>
      <c r="B3038" t="s">
        <v>7412</v>
      </c>
      <c r="F3038" t="str">
        <f t="shared" si="47"/>
        <v>68441</v>
      </c>
      <c r="AG3038" t="s">
        <v>4</v>
      </c>
    </row>
    <row r="3039" spans="1:33">
      <c r="A3039" t="s">
        <v>7413</v>
      </c>
      <c r="B3039" t="s">
        <v>7414</v>
      </c>
      <c r="F3039" t="str">
        <f t="shared" si="47"/>
        <v>68442</v>
      </c>
      <c r="AG3039" t="s">
        <v>4</v>
      </c>
    </row>
    <row r="3040" spans="1:33">
      <c r="A3040" t="s">
        <v>7415</v>
      </c>
      <c r="B3040" t="s">
        <v>7416</v>
      </c>
      <c r="F3040" t="str">
        <f t="shared" si="47"/>
        <v>68444</v>
      </c>
      <c r="AG3040" t="s">
        <v>4</v>
      </c>
    </row>
    <row r="3041" spans="1:33">
      <c r="A3041" t="s">
        <v>7417</v>
      </c>
      <c r="B3041" t="s">
        <v>7418</v>
      </c>
      <c r="F3041" t="str">
        <f t="shared" si="47"/>
        <v>68449</v>
      </c>
      <c r="AG3041" t="s">
        <v>4</v>
      </c>
    </row>
    <row r="3042" spans="1:33">
      <c r="A3042" t="s">
        <v>7419</v>
      </c>
      <c r="B3042" t="s">
        <v>7420</v>
      </c>
      <c r="F3042" t="str">
        <f t="shared" si="47"/>
        <v>68450</v>
      </c>
      <c r="AE3042">
        <v>1101140084167</v>
      </c>
      <c r="AG3042" t="s">
        <v>4</v>
      </c>
    </row>
    <row r="3043" spans="1:33">
      <c r="A3043" t="s">
        <v>7421</v>
      </c>
      <c r="B3043" t="s">
        <v>7422</v>
      </c>
      <c r="F3043" t="str">
        <f t="shared" si="47"/>
        <v>68461</v>
      </c>
      <c r="AG3043" t="s">
        <v>4</v>
      </c>
    </row>
    <row r="3044" spans="1:33">
      <c r="A3044" t="s">
        <v>7423</v>
      </c>
      <c r="B3044" t="s">
        <v>7424</v>
      </c>
      <c r="F3044" t="str">
        <f t="shared" si="47"/>
        <v>68462</v>
      </c>
      <c r="AG3044" t="s">
        <v>4</v>
      </c>
    </row>
    <row r="3045" spans="1:33">
      <c r="A3045" t="s">
        <v>7425</v>
      </c>
      <c r="B3045" t="s">
        <v>7426</v>
      </c>
      <c r="F3045" t="str">
        <f t="shared" si="47"/>
        <v>68463</v>
      </c>
      <c r="AG3045" t="s">
        <v>4</v>
      </c>
    </row>
    <row r="3046" spans="1:33">
      <c r="A3046" t="s">
        <v>7427</v>
      </c>
      <c r="B3046" t="s">
        <v>7428</v>
      </c>
      <c r="F3046" t="str">
        <f t="shared" si="47"/>
        <v>68464</v>
      </c>
      <c r="AG3046" t="s">
        <v>4</v>
      </c>
    </row>
    <row r="3047" spans="1:33">
      <c r="A3047" t="s">
        <v>7429</v>
      </c>
      <c r="B3047" t="s">
        <v>7430</v>
      </c>
      <c r="F3047" t="str">
        <f t="shared" si="47"/>
        <v>68465</v>
      </c>
      <c r="AG3047" t="s">
        <v>4</v>
      </c>
    </row>
    <row r="3048" spans="1:33">
      <c r="A3048" t="s">
        <v>7431</v>
      </c>
      <c r="B3048" t="s">
        <v>7432</v>
      </c>
      <c r="F3048" t="str">
        <f t="shared" si="47"/>
        <v>68466</v>
      </c>
      <c r="AG3048" t="s">
        <v>4</v>
      </c>
    </row>
    <row r="3049" spans="1:33">
      <c r="A3049" t="s">
        <v>7433</v>
      </c>
      <c r="B3049" t="s">
        <v>7434</v>
      </c>
      <c r="F3049" t="str">
        <f t="shared" si="47"/>
        <v>68467</v>
      </c>
      <c r="AG3049" t="s">
        <v>4</v>
      </c>
    </row>
    <row r="3050" spans="1:33">
      <c r="A3050" t="s">
        <v>7435</v>
      </c>
      <c r="B3050" t="s">
        <v>7436</v>
      </c>
      <c r="F3050" t="str">
        <f t="shared" si="47"/>
        <v>68468</v>
      </c>
      <c r="AG3050" t="s">
        <v>4</v>
      </c>
    </row>
    <row r="3051" spans="1:33">
      <c r="A3051" t="s">
        <v>7437</v>
      </c>
      <c r="B3051" t="s">
        <v>7438</v>
      </c>
      <c r="F3051" t="str">
        <f t="shared" si="47"/>
        <v>68469</v>
      </c>
      <c r="AG3051" t="s">
        <v>4</v>
      </c>
    </row>
    <row r="3052" spans="1:33">
      <c r="A3052" t="s">
        <v>7439</v>
      </c>
      <c r="B3052" t="s">
        <v>7440</v>
      </c>
      <c r="F3052" t="str">
        <f t="shared" si="47"/>
        <v>68470</v>
      </c>
      <c r="AE3052">
        <v>1101140082434</v>
      </c>
      <c r="AG3052" t="s">
        <v>4</v>
      </c>
    </row>
    <row r="3053" spans="1:33">
      <c r="A3053" t="s">
        <v>7441</v>
      </c>
      <c r="B3053" t="s">
        <v>7442</v>
      </c>
      <c r="F3053" t="str">
        <f t="shared" si="47"/>
        <v>68471</v>
      </c>
      <c r="AG3053" t="s">
        <v>4</v>
      </c>
    </row>
    <row r="3054" spans="1:33">
      <c r="A3054" t="s">
        <v>7443</v>
      </c>
      <c r="B3054" t="s">
        <v>7444</v>
      </c>
      <c r="F3054" t="str">
        <f t="shared" si="47"/>
        <v>68472</v>
      </c>
      <c r="AG3054" t="s">
        <v>4</v>
      </c>
    </row>
    <row r="3055" spans="1:33">
      <c r="A3055" t="s">
        <v>7445</v>
      </c>
      <c r="B3055" t="s">
        <v>7446</v>
      </c>
      <c r="F3055" t="str">
        <f t="shared" si="47"/>
        <v>68473</v>
      </c>
      <c r="AG3055" t="s">
        <v>4</v>
      </c>
    </row>
    <row r="3056" spans="1:33">
      <c r="A3056" t="s">
        <v>7447</v>
      </c>
      <c r="B3056" t="s">
        <v>7448</v>
      </c>
      <c r="F3056" t="str">
        <f t="shared" si="47"/>
        <v>68474</v>
      </c>
      <c r="AG3056" t="s">
        <v>4</v>
      </c>
    </row>
    <row r="3057" spans="1:33">
      <c r="A3057" t="s">
        <v>7449</v>
      </c>
      <c r="B3057" t="s">
        <v>7450</v>
      </c>
      <c r="F3057" t="str">
        <f t="shared" si="47"/>
        <v>68475</v>
      </c>
      <c r="AG3057" t="s">
        <v>4</v>
      </c>
    </row>
    <row r="3058" spans="1:33">
      <c r="A3058" t="s">
        <v>7451</v>
      </c>
      <c r="B3058" t="s">
        <v>7452</v>
      </c>
      <c r="F3058" t="str">
        <f t="shared" si="47"/>
        <v>68476</v>
      </c>
      <c r="AG3058" t="s">
        <v>4</v>
      </c>
    </row>
    <row r="3059" spans="1:33">
      <c r="A3059" t="s">
        <v>7453</v>
      </c>
      <c r="B3059" t="s">
        <v>7454</v>
      </c>
      <c r="F3059" t="str">
        <f t="shared" si="47"/>
        <v>68477</v>
      </c>
      <c r="AG3059" t="s">
        <v>4</v>
      </c>
    </row>
    <row r="3060" spans="1:33">
      <c r="A3060" t="s">
        <v>7455</v>
      </c>
      <c r="B3060" t="s">
        <v>7456</v>
      </c>
      <c r="F3060" t="str">
        <f t="shared" si="47"/>
        <v>68478</v>
      </c>
      <c r="AG3060" t="s">
        <v>4</v>
      </c>
    </row>
    <row r="3061" spans="1:33">
      <c r="A3061" t="s">
        <v>7457</v>
      </c>
      <c r="B3061" t="s">
        <v>7458</v>
      </c>
      <c r="F3061" t="str">
        <f t="shared" si="47"/>
        <v>68479</v>
      </c>
      <c r="AG3061" t="s">
        <v>4</v>
      </c>
    </row>
    <row r="3062" spans="1:33">
      <c r="A3062" t="s">
        <v>7459</v>
      </c>
      <c r="B3062" t="s">
        <v>7460</v>
      </c>
      <c r="F3062" t="str">
        <f t="shared" si="47"/>
        <v>68480</v>
      </c>
      <c r="AG3062" t="s">
        <v>4</v>
      </c>
    </row>
    <row r="3063" spans="1:33">
      <c r="A3063" t="s">
        <v>7461</v>
      </c>
      <c r="B3063" t="s">
        <v>7462</v>
      </c>
      <c r="F3063" t="str">
        <f t="shared" si="47"/>
        <v>68481</v>
      </c>
      <c r="AG3063" t="s">
        <v>4</v>
      </c>
    </row>
    <row r="3064" spans="1:33">
      <c r="A3064" t="s">
        <v>7463</v>
      </c>
      <c r="B3064" t="s">
        <v>7464</v>
      </c>
      <c r="F3064" t="str">
        <f t="shared" si="47"/>
        <v>68483</v>
      </c>
      <c r="AG3064" t="s">
        <v>4</v>
      </c>
    </row>
    <row r="3065" spans="1:33">
      <c r="A3065" t="s">
        <v>7465</v>
      </c>
      <c r="B3065" t="s">
        <v>7466</v>
      </c>
      <c r="F3065" t="str">
        <f t="shared" si="47"/>
        <v>68484</v>
      </c>
      <c r="AG3065" t="s">
        <v>4</v>
      </c>
    </row>
    <row r="3066" spans="1:33">
      <c r="A3066" t="s">
        <v>7467</v>
      </c>
      <c r="B3066" t="s">
        <v>7468</v>
      </c>
      <c r="F3066" t="str">
        <f t="shared" si="47"/>
        <v>68485</v>
      </c>
      <c r="AG3066" t="s">
        <v>4</v>
      </c>
    </row>
    <row r="3067" spans="1:33">
      <c r="A3067" t="s">
        <v>7469</v>
      </c>
      <c r="B3067" t="s">
        <v>7470</v>
      </c>
      <c r="F3067" t="str">
        <f t="shared" si="47"/>
        <v>68486</v>
      </c>
      <c r="AG3067" t="s">
        <v>4</v>
      </c>
    </row>
    <row r="3068" spans="1:33">
      <c r="A3068" t="s">
        <v>7471</v>
      </c>
      <c r="B3068" t="s">
        <v>7472</v>
      </c>
      <c r="F3068" t="str">
        <f t="shared" si="47"/>
        <v>68492</v>
      </c>
      <c r="AG3068" t="s">
        <v>4</v>
      </c>
    </row>
    <row r="3069" spans="1:33">
      <c r="A3069" t="s">
        <v>7473</v>
      </c>
      <c r="B3069" t="s">
        <v>7474</v>
      </c>
      <c r="F3069" t="str">
        <f t="shared" si="47"/>
        <v>68493</v>
      </c>
      <c r="AG3069" t="s">
        <v>4</v>
      </c>
    </row>
    <row r="3070" spans="1:33">
      <c r="A3070" t="s">
        <v>7475</v>
      </c>
      <c r="B3070" t="s">
        <v>7476</v>
      </c>
      <c r="F3070" t="str">
        <f t="shared" si="47"/>
        <v>68494</v>
      </c>
      <c r="AG3070" t="s">
        <v>4</v>
      </c>
    </row>
    <row r="3071" spans="1:33">
      <c r="A3071" t="s">
        <v>7477</v>
      </c>
      <c r="B3071" t="s">
        <v>7478</v>
      </c>
      <c r="F3071" t="str">
        <f t="shared" si="47"/>
        <v>68495</v>
      </c>
      <c r="AG3071" t="s">
        <v>4</v>
      </c>
    </row>
    <row r="3072" spans="1:33">
      <c r="A3072" t="s">
        <v>7479</v>
      </c>
      <c r="B3072" t="s">
        <v>7480</v>
      </c>
      <c r="F3072" t="str">
        <f t="shared" si="47"/>
        <v>68496</v>
      </c>
      <c r="AE3072">
        <v>110114110114</v>
      </c>
      <c r="AG3072" t="s">
        <v>4</v>
      </c>
    </row>
    <row r="3073" spans="1:33">
      <c r="A3073" t="s">
        <v>7481</v>
      </c>
      <c r="B3073" t="s">
        <v>7482</v>
      </c>
      <c r="F3073" t="str">
        <f t="shared" si="47"/>
        <v>68497</v>
      </c>
      <c r="AG3073" t="s">
        <v>4</v>
      </c>
    </row>
    <row r="3074" spans="1:33">
      <c r="A3074" t="s">
        <v>7483</v>
      </c>
      <c r="B3074" t="s">
        <v>7484</v>
      </c>
      <c r="F3074" t="str">
        <f t="shared" si="47"/>
        <v>68498</v>
      </c>
      <c r="AG3074" t="s">
        <v>4</v>
      </c>
    </row>
    <row r="3075" spans="1:33">
      <c r="A3075" t="s">
        <v>7485</v>
      </c>
      <c r="B3075" t="s">
        <v>7486</v>
      </c>
      <c r="F3075" t="str">
        <f t="shared" si="47"/>
        <v>68499</v>
      </c>
      <c r="AG3075" t="s">
        <v>4</v>
      </c>
    </row>
    <row r="3076" spans="1:33">
      <c r="A3076" t="s">
        <v>7487</v>
      </c>
      <c r="B3076" t="s">
        <v>7488</v>
      </c>
      <c r="F3076" t="str">
        <f t="shared" si="47"/>
        <v>68500</v>
      </c>
      <c r="AG3076" t="s">
        <v>4</v>
      </c>
    </row>
    <row r="3077" spans="1:33">
      <c r="A3077" t="s">
        <v>7489</v>
      </c>
      <c r="B3077" t="s">
        <v>7490</v>
      </c>
      <c r="F3077" t="str">
        <f t="shared" si="47"/>
        <v>68501</v>
      </c>
      <c r="AE3077">
        <v>1101114171990</v>
      </c>
      <c r="AG3077" t="s">
        <v>4</v>
      </c>
    </row>
    <row r="3078" spans="1:33">
      <c r="A3078" t="s">
        <v>7491</v>
      </c>
      <c r="B3078" t="s">
        <v>7492</v>
      </c>
      <c r="F3078" t="str">
        <f t="shared" si="47"/>
        <v>68502</v>
      </c>
      <c r="AG3078" t="s">
        <v>4</v>
      </c>
    </row>
    <row r="3079" spans="1:33">
      <c r="A3079" t="s">
        <v>7493</v>
      </c>
      <c r="B3079" t="s">
        <v>7494</v>
      </c>
      <c r="F3079" t="str">
        <f t="shared" si="47"/>
        <v>68503</v>
      </c>
      <c r="AG3079" t="s">
        <v>4</v>
      </c>
    </row>
    <row r="3080" spans="1:33">
      <c r="A3080" t="s">
        <v>7495</v>
      </c>
      <c r="B3080" t="s">
        <v>7496</v>
      </c>
      <c r="F3080" t="str">
        <f t="shared" si="47"/>
        <v>68504</v>
      </c>
      <c r="AG3080" t="s">
        <v>4</v>
      </c>
    </row>
    <row r="3081" spans="1:33">
      <c r="A3081" t="s">
        <v>7497</v>
      </c>
      <c r="B3081" t="s">
        <v>7498</v>
      </c>
      <c r="F3081" t="str">
        <f t="shared" si="47"/>
        <v>68524</v>
      </c>
      <c r="AG3081" t="s">
        <v>4</v>
      </c>
    </row>
    <row r="3082" spans="1:33">
      <c r="A3082" t="s">
        <v>7499</v>
      </c>
      <c r="B3082" t="s">
        <v>7500</v>
      </c>
      <c r="F3082" t="str">
        <f t="shared" ref="F3082:F3145" si="48">CHOOSE($C$1, A3082, B3082)</f>
        <v>68525</v>
      </c>
      <c r="AG3082" t="s">
        <v>4</v>
      </c>
    </row>
    <row r="3083" spans="1:33">
      <c r="A3083" t="s">
        <v>7501</v>
      </c>
      <c r="B3083" t="s">
        <v>7502</v>
      </c>
      <c r="F3083" t="str">
        <f t="shared" si="48"/>
        <v>68549</v>
      </c>
      <c r="AG3083" t="s">
        <v>4</v>
      </c>
    </row>
    <row r="3084" spans="1:33">
      <c r="A3084" t="s">
        <v>7503</v>
      </c>
      <c r="B3084" t="s">
        <v>7504</v>
      </c>
      <c r="F3084" t="str">
        <f t="shared" si="48"/>
        <v>68550</v>
      </c>
      <c r="AG3084" t="s">
        <v>4</v>
      </c>
    </row>
    <row r="3085" spans="1:33">
      <c r="A3085" t="s">
        <v>7505</v>
      </c>
      <c r="B3085" t="s">
        <v>7506</v>
      </c>
      <c r="F3085" t="str">
        <f t="shared" si="48"/>
        <v>68551</v>
      </c>
      <c r="AG3085" t="s">
        <v>4</v>
      </c>
    </row>
    <row r="3086" spans="1:33">
      <c r="A3086" t="s">
        <v>7507</v>
      </c>
      <c r="B3086" t="s">
        <v>7508</v>
      </c>
      <c r="F3086" t="str">
        <f t="shared" si="48"/>
        <v>68552</v>
      </c>
      <c r="AE3086">
        <v>1101140086840</v>
      </c>
      <c r="AG3086" t="s">
        <v>4</v>
      </c>
    </row>
    <row r="3087" spans="1:33">
      <c r="A3087" t="s">
        <v>7509</v>
      </c>
      <c r="B3087" t="s">
        <v>7510</v>
      </c>
      <c r="F3087" t="str">
        <f t="shared" si="48"/>
        <v>68553</v>
      </c>
      <c r="AE3087">
        <v>1101114157966</v>
      </c>
      <c r="AG3087" t="s">
        <v>4</v>
      </c>
    </row>
    <row r="3088" spans="1:33">
      <c r="A3088" t="s">
        <v>7511</v>
      </c>
      <c r="B3088" t="s">
        <v>7512</v>
      </c>
      <c r="F3088" t="str">
        <f t="shared" si="48"/>
        <v>68554</v>
      </c>
      <c r="AG3088" t="s">
        <v>4</v>
      </c>
    </row>
    <row r="3089" spans="1:33">
      <c r="A3089" t="s">
        <v>7513</v>
      </c>
      <c r="B3089" t="s">
        <v>7514</v>
      </c>
      <c r="F3089" t="str">
        <f t="shared" si="48"/>
        <v>68555</v>
      </c>
      <c r="AG3089" t="s">
        <v>4</v>
      </c>
    </row>
    <row r="3090" spans="1:33">
      <c r="A3090" t="s">
        <v>7515</v>
      </c>
      <c r="B3090" t="s">
        <v>7516</v>
      </c>
      <c r="F3090" t="str">
        <f t="shared" si="48"/>
        <v>68556</v>
      </c>
      <c r="AG3090" t="s">
        <v>4</v>
      </c>
    </row>
    <row r="3091" spans="1:33">
      <c r="A3091" t="s">
        <v>7517</v>
      </c>
      <c r="B3091" t="s">
        <v>7518</v>
      </c>
      <c r="F3091" t="str">
        <f t="shared" si="48"/>
        <v>68557</v>
      </c>
      <c r="AE3091">
        <v>1101140086709</v>
      </c>
      <c r="AG3091" t="s">
        <v>4</v>
      </c>
    </row>
    <row r="3092" spans="1:33">
      <c r="A3092" t="s">
        <v>7519</v>
      </c>
      <c r="B3092" t="s">
        <v>7520</v>
      </c>
      <c r="F3092" t="str">
        <f t="shared" si="48"/>
        <v>68581</v>
      </c>
      <c r="AE3092">
        <v>1101140086791</v>
      </c>
      <c r="AG3092" t="s">
        <v>4</v>
      </c>
    </row>
    <row r="3093" spans="1:33">
      <c r="A3093" t="s">
        <v>7521</v>
      </c>
      <c r="B3093" t="s">
        <v>7522</v>
      </c>
      <c r="F3093" t="str">
        <f t="shared" si="48"/>
        <v>68588</v>
      </c>
      <c r="AG3093" t="s">
        <v>4</v>
      </c>
    </row>
    <row r="3094" spans="1:33">
      <c r="A3094" t="s">
        <v>7523</v>
      </c>
      <c r="B3094" t="s">
        <v>7524</v>
      </c>
      <c r="F3094" t="str">
        <f t="shared" si="48"/>
        <v>68595</v>
      </c>
      <c r="AG3094" t="s">
        <v>4</v>
      </c>
    </row>
    <row r="3095" spans="1:33">
      <c r="A3095" t="s">
        <v>7525</v>
      </c>
      <c r="B3095" t="s">
        <v>7526</v>
      </c>
      <c r="F3095" t="str">
        <f t="shared" si="48"/>
        <v>68604</v>
      </c>
      <c r="AG3095" t="s">
        <v>4</v>
      </c>
    </row>
    <row r="3096" spans="1:33">
      <c r="A3096" t="s">
        <v>7527</v>
      </c>
      <c r="B3096" t="s">
        <v>7528</v>
      </c>
      <c r="F3096" t="str">
        <f t="shared" si="48"/>
        <v>68605</v>
      </c>
      <c r="AE3096">
        <v>1101140087327</v>
      </c>
      <c r="AG3096" t="s">
        <v>4</v>
      </c>
    </row>
    <row r="3097" spans="1:33">
      <c r="A3097" t="s">
        <v>7529</v>
      </c>
      <c r="B3097" t="s">
        <v>7530</v>
      </c>
      <c r="F3097" t="str">
        <f t="shared" si="48"/>
        <v>68620</v>
      </c>
      <c r="AE3097">
        <v>1101140087294</v>
      </c>
      <c r="AG3097" t="s">
        <v>4</v>
      </c>
    </row>
    <row r="3098" spans="1:33">
      <c r="A3098" t="s">
        <v>7531</v>
      </c>
      <c r="B3098" t="s">
        <v>7532</v>
      </c>
      <c r="F3098" t="str">
        <f t="shared" si="48"/>
        <v>68632</v>
      </c>
      <c r="AE3098">
        <v>1101140087252</v>
      </c>
      <c r="AG3098" t="s">
        <v>4</v>
      </c>
    </row>
    <row r="3099" spans="1:33">
      <c r="A3099" t="s">
        <v>7533</v>
      </c>
      <c r="B3099" t="s">
        <v>7534</v>
      </c>
      <c r="F3099" t="str">
        <f t="shared" si="48"/>
        <v>68633</v>
      </c>
      <c r="AE3099">
        <v>1101140084498</v>
      </c>
      <c r="AG3099" t="s">
        <v>4</v>
      </c>
    </row>
    <row r="3100" spans="1:33">
      <c r="A3100" t="s">
        <v>7535</v>
      </c>
      <c r="B3100" t="s">
        <v>7536</v>
      </c>
      <c r="F3100" t="str">
        <f t="shared" si="48"/>
        <v>68637</v>
      </c>
      <c r="AE3100">
        <v>1101140087343</v>
      </c>
      <c r="AG3100" t="s">
        <v>4</v>
      </c>
    </row>
    <row r="3101" spans="1:33">
      <c r="A3101" t="s">
        <v>7537</v>
      </c>
      <c r="B3101" t="s">
        <v>7538</v>
      </c>
      <c r="F3101" t="str">
        <f t="shared" si="48"/>
        <v>68648</v>
      </c>
      <c r="AE3101">
        <v>1101140085826</v>
      </c>
      <c r="AG3101" t="s">
        <v>4</v>
      </c>
    </row>
    <row r="3102" spans="1:33">
      <c r="A3102" t="s">
        <v>7539</v>
      </c>
      <c r="B3102" t="s">
        <v>7540</v>
      </c>
      <c r="F3102" t="str">
        <f t="shared" si="48"/>
        <v>68653</v>
      </c>
      <c r="AE3102">
        <v>1101140087492</v>
      </c>
      <c r="AG3102" t="s">
        <v>4</v>
      </c>
    </row>
    <row r="3103" spans="1:33">
      <c r="A3103" t="s">
        <v>7541</v>
      </c>
      <c r="B3103" t="s">
        <v>7542</v>
      </c>
      <c r="F3103" t="str">
        <f t="shared" si="48"/>
        <v>68661</v>
      </c>
      <c r="AG3103" t="s">
        <v>4</v>
      </c>
    </row>
    <row r="3104" spans="1:33">
      <c r="A3104" t="s">
        <v>7543</v>
      </c>
      <c r="B3104" t="s">
        <v>7544</v>
      </c>
      <c r="F3104" t="str">
        <f t="shared" si="48"/>
        <v>68662</v>
      </c>
      <c r="AG3104" t="s">
        <v>4</v>
      </c>
    </row>
    <row r="3105" spans="1:33">
      <c r="A3105" t="s">
        <v>7545</v>
      </c>
      <c r="B3105" t="s">
        <v>7546</v>
      </c>
      <c r="F3105" t="str">
        <f t="shared" si="48"/>
        <v>68664</v>
      </c>
      <c r="AE3105">
        <v>1101140087278</v>
      </c>
      <c r="AG3105" t="s">
        <v>4</v>
      </c>
    </row>
    <row r="3106" spans="1:33">
      <c r="A3106" t="s">
        <v>7547</v>
      </c>
      <c r="B3106" t="s">
        <v>7548</v>
      </c>
      <c r="F3106" t="str">
        <f t="shared" si="48"/>
        <v>68665</v>
      </c>
      <c r="AE3106">
        <v>1101140087418</v>
      </c>
      <c r="AG3106" t="s">
        <v>4</v>
      </c>
    </row>
    <row r="3107" spans="1:33">
      <c r="A3107" t="s">
        <v>7549</v>
      </c>
      <c r="B3107" t="s">
        <v>7550</v>
      </c>
      <c r="F3107" t="str">
        <f t="shared" si="48"/>
        <v>68666</v>
      </c>
      <c r="AE3107">
        <v>1101140087658</v>
      </c>
      <c r="AG3107" t="s">
        <v>4</v>
      </c>
    </row>
    <row r="3108" spans="1:33">
      <c r="A3108" t="s">
        <v>7551</v>
      </c>
      <c r="B3108" t="s">
        <v>7552</v>
      </c>
      <c r="F3108" t="str">
        <f t="shared" si="48"/>
        <v>68670</v>
      </c>
      <c r="AG3108" t="s">
        <v>4</v>
      </c>
    </row>
    <row r="3109" spans="1:33">
      <c r="A3109" t="s">
        <v>7553</v>
      </c>
      <c r="B3109" t="s">
        <v>7554</v>
      </c>
      <c r="F3109" t="str">
        <f t="shared" si="48"/>
        <v>68671</v>
      </c>
      <c r="AG3109" t="s">
        <v>4</v>
      </c>
    </row>
    <row r="3110" spans="1:33">
      <c r="A3110" t="s">
        <v>7555</v>
      </c>
      <c r="B3110" t="s">
        <v>7556</v>
      </c>
      <c r="F3110" t="str">
        <f t="shared" si="48"/>
        <v>68672</v>
      </c>
      <c r="AG3110" t="s">
        <v>4</v>
      </c>
    </row>
    <row r="3111" spans="1:33">
      <c r="A3111" t="s">
        <v>7557</v>
      </c>
      <c r="B3111" t="s">
        <v>7558</v>
      </c>
      <c r="F3111" t="str">
        <f t="shared" si="48"/>
        <v>68678</v>
      </c>
      <c r="AG3111" t="s">
        <v>4</v>
      </c>
    </row>
    <row r="3112" spans="1:33">
      <c r="A3112" t="s">
        <v>7559</v>
      </c>
      <c r="B3112" t="s">
        <v>7560</v>
      </c>
      <c r="F3112" t="str">
        <f t="shared" si="48"/>
        <v>68679</v>
      </c>
      <c r="AG3112" t="s">
        <v>4</v>
      </c>
    </row>
    <row r="3113" spans="1:33">
      <c r="A3113" t="s">
        <v>7561</v>
      </c>
      <c r="B3113" t="s">
        <v>7562</v>
      </c>
      <c r="F3113" t="str">
        <f t="shared" si="48"/>
        <v>68680</v>
      </c>
      <c r="AG3113" t="s">
        <v>4</v>
      </c>
    </row>
    <row r="3114" spans="1:33">
      <c r="A3114" t="s">
        <v>7563</v>
      </c>
      <c r="B3114" t="s">
        <v>7564</v>
      </c>
      <c r="F3114" t="str">
        <f t="shared" si="48"/>
        <v>68681</v>
      </c>
      <c r="AG3114" t="s">
        <v>4</v>
      </c>
    </row>
    <row r="3115" spans="1:33">
      <c r="A3115" t="s">
        <v>7565</v>
      </c>
      <c r="B3115" t="s">
        <v>7566</v>
      </c>
      <c r="F3115" t="str">
        <f t="shared" si="48"/>
        <v>68682</v>
      </c>
      <c r="AG3115" t="s">
        <v>4</v>
      </c>
    </row>
    <row r="3116" spans="1:33">
      <c r="A3116" t="s">
        <v>7567</v>
      </c>
      <c r="B3116" t="s">
        <v>7568</v>
      </c>
      <c r="F3116" t="str">
        <f t="shared" si="48"/>
        <v>68683</v>
      </c>
      <c r="AE3116">
        <v>1101140087898</v>
      </c>
      <c r="AG3116" t="s">
        <v>4</v>
      </c>
    </row>
    <row r="3117" spans="1:33">
      <c r="A3117" t="s">
        <v>7569</v>
      </c>
      <c r="B3117" t="s">
        <v>7570</v>
      </c>
      <c r="F3117" t="str">
        <f t="shared" si="48"/>
        <v>68684</v>
      </c>
      <c r="AG3117" t="s">
        <v>4</v>
      </c>
    </row>
    <row r="3118" spans="1:33">
      <c r="A3118" t="s">
        <v>7571</v>
      </c>
      <c r="B3118" t="s">
        <v>7572</v>
      </c>
      <c r="F3118" t="str">
        <f t="shared" si="48"/>
        <v>68685</v>
      </c>
      <c r="AG3118" t="s">
        <v>4</v>
      </c>
    </row>
    <row r="3119" spans="1:33">
      <c r="A3119" t="s">
        <v>7573</v>
      </c>
      <c r="B3119" t="s">
        <v>7574</v>
      </c>
      <c r="F3119" t="str">
        <f t="shared" si="48"/>
        <v>68686</v>
      </c>
      <c r="AE3119">
        <v>1101140088002</v>
      </c>
      <c r="AG3119" t="s">
        <v>4</v>
      </c>
    </row>
    <row r="3120" spans="1:33">
      <c r="A3120" t="s">
        <v>7575</v>
      </c>
      <c r="B3120" t="s">
        <v>7576</v>
      </c>
      <c r="F3120" t="str">
        <f t="shared" si="48"/>
        <v>68687</v>
      </c>
      <c r="AG3120" t="s">
        <v>4</v>
      </c>
    </row>
    <row r="3121" spans="1:33">
      <c r="A3121" t="s">
        <v>7577</v>
      </c>
      <c r="B3121" t="s">
        <v>7578</v>
      </c>
      <c r="F3121" t="str">
        <f t="shared" si="48"/>
        <v>68688</v>
      </c>
      <c r="AG3121" t="s">
        <v>4</v>
      </c>
    </row>
    <row r="3122" spans="1:33">
      <c r="A3122" t="s">
        <v>7579</v>
      </c>
      <c r="B3122" t="s">
        <v>7580</v>
      </c>
      <c r="F3122" t="str">
        <f t="shared" si="48"/>
        <v>68689</v>
      </c>
      <c r="AG3122" t="s">
        <v>4</v>
      </c>
    </row>
    <row r="3123" spans="1:33">
      <c r="A3123" t="s">
        <v>7581</v>
      </c>
      <c r="B3123" t="s">
        <v>7582</v>
      </c>
      <c r="F3123" t="str">
        <f t="shared" si="48"/>
        <v>68690</v>
      </c>
      <c r="AG3123" t="s">
        <v>4</v>
      </c>
    </row>
    <row r="3124" spans="1:33">
      <c r="A3124" t="s">
        <v>7583</v>
      </c>
      <c r="B3124" t="s">
        <v>7584</v>
      </c>
      <c r="F3124" t="str">
        <f t="shared" si="48"/>
        <v>68691</v>
      </c>
      <c r="AG3124" t="s">
        <v>4</v>
      </c>
    </row>
    <row r="3125" spans="1:33">
      <c r="A3125" t="s">
        <v>7585</v>
      </c>
      <c r="B3125" t="s">
        <v>7586</v>
      </c>
      <c r="F3125" t="str">
        <f t="shared" si="48"/>
        <v>68692</v>
      </c>
      <c r="AE3125">
        <v>1101140088036</v>
      </c>
      <c r="AG3125" t="s">
        <v>4</v>
      </c>
    </row>
    <row r="3126" spans="1:33">
      <c r="A3126" t="s">
        <v>7587</v>
      </c>
      <c r="B3126" t="s">
        <v>7588</v>
      </c>
      <c r="F3126" t="str">
        <f t="shared" si="48"/>
        <v>68694</v>
      </c>
      <c r="AG3126" t="s">
        <v>4</v>
      </c>
    </row>
    <row r="3127" spans="1:33">
      <c r="A3127" t="s">
        <v>7589</v>
      </c>
      <c r="B3127" t="s">
        <v>7590</v>
      </c>
      <c r="F3127" t="str">
        <f t="shared" si="48"/>
        <v>68700</v>
      </c>
      <c r="AG3127" t="s">
        <v>4</v>
      </c>
    </row>
    <row r="3128" spans="1:33">
      <c r="A3128" t="s">
        <v>7591</v>
      </c>
      <c r="B3128" t="s">
        <v>7592</v>
      </c>
      <c r="F3128" t="str">
        <f t="shared" si="48"/>
        <v>68701</v>
      </c>
      <c r="AG3128" t="s">
        <v>4</v>
      </c>
    </row>
    <row r="3129" spans="1:33">
      <c r="A3129" t="s">
        <v>7593</v>
      </c>
      <c r="B3129" t="s">
        <v>7594</v>
      </c>
      <c r="F3129" t="str">
        <f t="shared" si="48"/>
        <v>68702</v>
      </c>
      <c r="AG3129" t="s">
        <v>4</v>
      </c>
    </row>
    <row r="3130" spans="1:33">
      <c r="A3130" t="s">
        <v>7595</v>
      </c>
      <c r="B3130" t="s">
        <v>7596</v>
      </c>
      <c r="F3130" t="str">
        <f t="shared" si="48"/>
        <v>68704</v>
      </c>
      <c r="AG3130" t="s">
        <v>4</v>
      </c>
    </row>
    <row r="3131" spans="1:33">
      <c r="A3131" t="s">
        <v>7597</v>
      </c>
      <c r="B3131" t="s">
        <v>7598</v>
      </c>
      <c r="F3131" t="str">
        <f t="shared" si="48"/>
        <v>68707</v>
      </c>
      <c r="AG3131" t="s">
        <v>4</v>
      </c>
    </row>
    <row r="3132" spans="1:33">
      <c r="A3132" t="s">
        <v>7599</v>
      </c>
      <c r="B3132" t="s">
        <v>7600</v>
      </c>
      <c r="F3132" t="str">
        <f t="shared" si="48"/>
        <v>68709</v>
      </c>
      <c r="AG3132" t="s">
        <v>4</v>
      </c>
    </row>
    <row r="3133" spans="1:33">
      <c r="A3133" t="s">
        <v>7601</v>
      </c>
      <c r="B3133" t="s">
        <v>7602</v>
      </c>
      <c r="F3133" t="str">
        <f t="shared" si="48"/>
        <v>68710</v>
      </c>
      <c r="AG3133" t="s">
        <v>4</v>
      </c>
    </row>
    <row r="3134" spans="1:33">
      <c r="A3134" t="s">
        <v>7603</v>
      </c>
      <c r="B3134" t="s">
        <v>7604</v>
      </c>
      <c r="F3134" t="str">
        <f t="shared" si="48"/>
        <v>68715</v>
      </c>
      <c r="AG3134" t="s">
        <v>4</v>
      </c>
    </row>
    <row r="3135" spans="1:33">
      <c r="A3135" t="s">
        <v>7605</v>
      </c>
      <c r="B3135" t="s">
        <v>7606</v>
      </c>
      <c r="F3135" t="str">
        <f t="shared" si="48"/>
        <v>68716</v>
      </c>
      <c r="AG3135" t="s">
        <v>4</v>
      </c>
    </row>
    <row r="3136" spans="1:33">
      <c r="A3136" t="s">
        <v>7607</v>
      </c>
      <c r="B3136" t="s">
        <v>7608</v>
      </c>
      <c r="F3136" t="str">
        <f t="shared" si="48"/>
        <v>68717</v>
      </c>
      <c r="AG3136" t="s">
        <v>4</v>
      </c>
    </row>
    <row r="3137" spans="1:33">
      <c r="A3137" t="s">
        <v>7609</v>
      </c>
      <c r="B3137" t="s">
        <v>7610</v>
      </c>
      <c r="F3137" t="str">
        <f t="shared" si="48"/>
        <v>68718</v>
      </c>
      <c r="AE3137">
        <v>1101140088721</v>
      </c>
      <c r="AG3137" t="s">
        <v>4</v>
      </c>
    </row>
    <row r="3138" spans="1:33">
      <c r="A3138" t="s">
        <v>7611</v>
      </c>
      <c r="B3138" t="s">
        <v>7612</v>
      </c>
      <c r="F3138" t="str">
        <f t="shared" si="48"/>
        <v>68719</v>
      </c>
      <c r="AG3138" t="s">
        <v>4</v>
      </c>
    </row>
    <row r="3139" spans="1:33">
      <c r="A3139" t="s">
        <v>7613</v>
      </c>
      <c r="B3139" t="s">
        <v>7614</v>
      </c>
      <c r="F3139" t="str">
        <f t="shared" si="48"/>
        <v>68720</v>
      </c>
      <c r="AE3139">
        <v>1101140088680</v>
      </c>
      <c r="AG3139" t="s">
        <v>4</v>
      </c>
    </row>
    <row r="3140" spans="1:33">
      <c r="A3140" t="s">
        <v>7615</v>
      </c>
      <c r="B3140" t="s">
        <v>7616</v>
      </c>
      <c r="F3140" t="str">
        <f t="shared" si="48"/>
        <v>68721</v>
      </c>
      <c r="AG3140" t="s">
        <v>4</v>
      </c>
    </row>
    <row r="3141" spans="1:33">
      <c r="A3141" t="s">
        <v>7617</v>
      </c>
      <c r="B3141" t="s">
        <v>7618</v>
      </c>
      <c r="F3141" t="str">
        <f t="shared" si="48"/>
        <v>68722</v>
      </c>
      <c r="AG3141" t="s">
        <v>4</v>
      </c>
    </row>
    <row r="3142" spans="1:33">
      <c r="A3142" t="s">
        <v>7619</v>
      </c>
      <c r="B3142" t="s">
        <v>7620</v>
      </c>
      <c r="F3142" t="str">
        <f t="shared" si="48"/>
        <v>68723</v>
      </c>
      <c r="AG3142" t="s">
        <v>4</v>
      </c>
    </row>
    <row r="3143" spans="1:33">
      <c r="A3143" t="s">
        <v>7621</v>
      </c>
      <c r="B3143" t="s">
        <v>7622</v>
      </c>
      <c r="F3143" t="str">
        <f t="shared" si="48"/>
        <v>68724</v>
      </c>
      <c r="AG3143" t="s">
        <v>4</v>
      </c>
    </row>
    <row r="3144" spans="1:33">
      <c r="A3144" t="s">
        <v>7623</v>
      </c>
      <c r="B3144" t="s">
        <v>7624</v>
      </c>
      <c r="F3144" t="str">
        <f t="shared" si="48"/>
        <v>68725</v>
      </c>
      <c r="AG3144" t="s">
        <v>4</v>
      </c>
    </row>
    <row r="3145" spans="1:33">
      <c r="A3145" t="s">
        <v>7625</v>
      </c>
      <c r="B3145" t="s">
        <v>7626</v>
      </c>
      <c r="F3145" t="str">
        <f t="shared" si="48"/>
        <v>68726</v>
      </c>
      <c r="AG3145" t="s">
        <v>4</v>
      </c>
    </row>
    <row r="3146" spans="1:33">
      <c r="A3146" t="s">
        <v>7627</v>
      </c>
      <c r="B3146" t="s">
        <v>7628</v>
      </c>
      <c r="F3146" t="str">
        <f t="shared" ref="F3146:F3209" si="49">CHOOSE($C$1, A3146, B3146)</f>
        <v>68728</v>
      </c>
      <c r="AG3146" t="s">
        <v>4</v>
      </c>
    </row>
    <row r="3147" spans="1:33">
      <c r="A3147" t="s">
        <v>7629</v>
      </c>
      <c r="B3147" t="s">
        <v>7630</v>
      </c>
      <c r="F3147" t="str">
        <f t="shared" si="49"/>
        <v>68729</v>
      </c>
      <c r="AG3147" t="s">
        <v>4</v>
      </c>
    </row>
    <row r="3148" spans="1:33">
      <c r="A3148" t="s">
        <v>7631</v>
      </c>
      <c r="B3148" t="s">
        <v>7632</v>
      </c>
      <c r="F3148" t="str">
        <f t="shared" si="49"/>
        <v>68730</v>
      </c>
      <c r="AE3148">
        <v>1101140079259</v>
      </c>
      <c r="AG3148" t="s">
        <v>4</v>
      </c>
    </row>
    <row r="3149" spans="1:33">
      <c r="A3149" t="s">
        <v>7633</v>
      </c>
      <c r="B3149" t="s">
        <v>7634</v>
      </c>
      <c r="F3149" t="str">
        <f t="shared" si="49"/>
        <v>68731</v>
      </c>
      <c r="AG3149" t="s">
        <v>4</v>
      </c>
    </row>
    <row r="3150" spans="1:33">
      <c r="A3150" t="s">
        <v>7635</v>
      </c>
      <c r="B3150" t="s">
        <v>7636</v>
      </c>
      <c r="F3150" t="str">
        <f t="shared" si="49"/>
        <v>68734</v>
      </c>
      <c r="AG3150" t="s">
        <v>4</v>
      </c>
    </row>
    <row r="3151" spans="1:33">
      <c r="A3151" t="s">
        <v>7637</v>
      </c>
      <c r="B3151" t="s">
        <v>7638</v>
      </c>
      <c r="F3151" t="str">
        <f t="shared" si="49"/>
        <v>68735</v>
      </c>
      <c r="AG3151" t="s">
        <v>4</v>
      </c>
    </row>
    <row r="3152" spans="1:33">
      <c r="A3152" t="s">
        <v>7639</v>
      </c>
      <c r="B3152" t="s">
        <v>7640</v>
      </c>
      <c r="F3152" t="str">
        <f t="shared" si="49"/>
        <v>68736</v>
      </c>
      <c r="AG3152" t="s">
        <v>4</v>
      </c>
    </row>
    <row r="3153" spans="1:33">
      <c r="A3153" t="s">
        <v>7641</v>
      </c>
      <c r="B3153" t="s">
        <v>7642</v>
      </c>
      <c r="F3153" t="str">
        <f t="shared" si="49"/>
        <v>68738</v>
      </c>
      <c r="AG3153" t="s">
        <v>4</v>
      </c>
    </row>
    <row r="3154" spans="1:33">
      <c r="A3154" t="s">
        <v>7643</v>
      </c>
      <c r="B3154" t="s">
        <v>7644</v>
      </c>
      <c r="F3154" t="str">
        <f t="shared" si="49"/>
        <v>68739</v>
      </c>
      <c r="AE3154">
        <v>1101114285006</v>
      </c>
      <c r="AG3154" t="s">
        <v>4</v>
      </c>
    </row>
    <row r="3155" spans="1:33">
      <c r="A3155" t="s">
        <v>7645</v>
      </c>
      <c r="B3155" t="s">
        <v>7646</v>
      </c>
      <c r="F3155" t="str">
        <f t="shared" si="49"/>
        <v>68741</v>
      </c>
      <c r="AE3155">
        <v>1101140089216</v>
      </c>
      <c r="AG3155" t="s">
        <v>4</v>
      </c>
    </row>
    <row r="3156" spans="1:33">
      <c r="A3156" t="s">
        <v>7647</v>
      </c>
      <c r="B3156" t="s">
        <v>7648</v>
      </c>
      <c r="F3156" t="str">
        <f t="shared" si="49"/>
        <v>68749</v>
      </c>
      <c r="AG3156" t="s">
        <v>4</v>
      </c>
    </row>
    <row r="3157" spans="1:33">
      <c r="A3157" t="s">
        <v>7649</v>
      </c>
      <c r="B3157" t="s">
        <v>7650</v>
      </c>
      <c r="F3157" t="str">
        <f t="shared" si="49"/>
        <v>68750</v>
      </c>
      <c r="AG3157" t="s">
        <v>4</v>
      </c>
    </row>
    <row r="3158" spans="1:33">
      <c r="A3158" t="s">
        <v>7651</v>
      </c>
      <c r="B3158" t="s">
        <v>7652</v>
      </c>
      <c r="F3158" t="str">
        <f t="shared" si="49"/>
        <v>68753</v>
      </c>
      <c r="AG3158" t="s">
        <v>4</v>
      </c>
    </row>
    <row r="3159" spans="1:33">
      <c r="A3159" t="s">
        <v>7653</v>
      </c>
      <c r="B3159" t="s">
        <v>7654</v>
      </c>
      <c r="F3159" t="str">
        <f t="shared" si="49"/>
        <v>68754</v>
      </c>
      <c r="AE3159">
        <v>1101140089274</v>
      </c>
      <c r="AG3159" t="s">
        <v>4</v>
      </c>
    </row>
    <row r="3160" spans="1:33">
      <c r="A3160" t="s">
        <v>7655</v>
      </c>
      <c r="B3160" t="s">
        <v>7656</v>
      </c>
      <c r="F3160" t="str">
        <f t="shared" si="49"/>
        <v>68755</v>
      </c>
      <c r="AG3160" t="s">
        <v>4</v>
      </c>
    </row>
    <row r="3161" spans="1:33">
      <c r="A3161" t="s">
        <v>7657</v>
      </c>
      <c r="B3161" t="s">
        <v>7658</v>
      </c>
      <c r="F3161" t="str">
        <f t="shared" si="49"/>
        <v>68756</v>
      </c>
      <c r="AE3161">
        <v>1101140089472</v>
      </c>
      <c r="AG3161" t="s">
        <v>4</v>
      </c>
    </row>
    <row r="3162" spans="1:33">
      <c r="A3162" t="s">
        <v>7659</v>
      </c>
      <c r="B3162" t="s">
        <v>7660</v>
      </c>
      <c r="F3162" t="str">
        <f t="shared" si="49"/>
        <v>68757</v>
      </c>
      <c r="AG3162" t="s">
        <v>4</v>
      </c>
    </row>
    <row r="3163" spans="1:33">
      <c r="A3163" t="s">
        <v>7661</v>
      </c>
      <c r="B3163" t="s">
        <v>7662</v>
      </c>
      <c r="F3163" t="str">
        <f t="shared" si="49"/>
        <v>68758</v>
      </c>
      <c r="AE3163">
        <v>1101140089612</v>
      </c>
      <c r="AG3163" t="s">
        <v>4</v>
      </c>
    </row>
    <row r="3164" spans="1:33">
      <c r="A3164" t="s">
        <v>7663</v>
      </c>
      <c r="B3164" t="s">
        <v>7664</v>
      </c>
      <c r="F3164" t="str">
        <f t="shared" si="49"/>
        <v>68767</v>
      </c>
      <c r="AE3164">
        <v>1101140089745</v>
      </c>
      <c r="AG3164" t="s">
        <v>4</v>
      </c>
    </row>
    <row r="3165" spans="1:33">
      <c r="A3165" t="s">
        <v>7665</v>
      </c>
      <c r="B3165" t="s">
        <v>7666</v>
      </c>
      <c r="F3165" t="str">
        <f t="shared" si="49"/>
        <v>68768</v>
      </c>
      <c r="AE3165">
        <v>1101140089779</v>
      </c>
      <c r="AG3165" t="s">
        <v>4</v>
      </c>
    </row>
    <row r="3166" spans="1:33">
      <c r="A3166" t="s">
        <v>7667</v>
      </c>
      <c r="B3166" t="s">
        <v>7668</v>
      </c>
      <c r="F3166" t="str">
        <f t="shared" si="49"/>
        <v>68769</v>
      </c>
      <c r="AG3166" t="s">
        <v>4</v>
      </c>
    </row>
    <row r="3167" spans="1:33">
      <c r="A3167" t="s">
        <v>7669</v>
      </c>
      <c r="B3167" t="s">
        <v>7670</v>
      </c>
      <c r="F3167" t="str">
        <f t="shared" si="49"/>
        <v>68770</v>
      </c>
      <c r="AG3167" t="s">
        <v>4</v>
      </c>
    </row>
    <row r="3168" spans="1:33">
      <c r="A3168" t="s">
        <v>7671</v>
      </c>
      <c r="B3168" t="s">
        <v>7672</v>
      </c>
      <c r="F3168" t="str">
        <f t="shared" si="49"/>
        <v>68771</v>
      </c>
      <c r="AE3168">
        <v>1101140089323</v>
      </c>
      <c r="AG3168" t="s">
        <v>4</v>
      </c>
    </row>
    <row r="3169" spans="1:33">
      <c r="A3169" t="s">
        <v>7673</v>
      </c>
      <c r="B3169" t="s">
        <v>7674</v>
      </c>
      <c r="F3169" t="str">
        <f t="shared" si="49"/>
        <v>68772</v>
      </c>
      <c r="AE3169">
        <v>1101140089795</v>
      </c>
      <c r="AG3169" t="s">
        <v>4</v>
      </c>
    </row>
    <row r="3170" spans="1:33">
      <c r="A3170" t="s">
        <v>7675</v>
      </c>
      <c r="B3170" t="s">
        <v>7676</v>
      </c>
      <c r="F3170" t="str">
        <f t="shared" si="49"/>
        <v>68773</v>
      </c>
      <c r="AE3170">
        <v>1101140089828</v>
      </c>
      <c r="AG3170" t="s">
        <v>4</v>
      </c>
    </row>
    <row r="3171" spans="1:33">
      <c r="A3171" t="s">
        <v>7677</v>
      </c>
      <c r="B3171" t="s">
        <v>7678</v>
      </c>
      <c r="F3171" t="str">
        <f t="shared" si="49"/>
        <v>68774</v>
      </c>
      <c r="AG3171" t="s">
        <v>4</v>
      </c>
    </row>
    <row r="3172" spans="1:33">
      <c r="A3172" t="s">
        <v>7679</v>
      </c>
      <c r="B3172" t="s">
        <v>7680</v>
      </c>
      <c r="F3172" t="str">
        <f t="shared" si="49"/>
        <v>68832</v>
      </c>
      <c r="AG3172" t="s">
        <v>4</v>
      </c>
    </row>
    <row r="3173" spans="1:33">
      <c r="A3173" t="s">
        <v>7681</v>
      </c>
      <c r="B3173" t="s">
        <v>7682</v>
      </c>
      <c r="F3173" t="str">
        <f t="shared" si="49"/>
        <v>68833</v>
      </c>
      <c r="AG3173" t="s">
        <v>4</v>
      </c>
    </row>
    <row r="3174" spans="1:33">
      <c r="A3174" t="s">
        <v>7683</v>
      </c>
      <c r="B3174" t="s">
        <v>7684</v>
      </c>
      <c r="F3174" t="str">
        <f t="shared" si="49"/>
        <v>68834</v>
      </c>
      <c r="AE3174">
        <v>1101140089753</v>
      </c>
      <c r="AG3174" t="s">
        <v>4</v>
      </c>
    </row>
    <row r="3175" spans="1:33">
      <c r="A3175" t="s">
        <v>7685</v>
      </c>
      <c r="B3175" t="s">
        <v>7686</v>
      </c>
      <c r="F3175" t="str">
        <f t="shared" si="49"/>
        <v>68835</v>
      </c>
      <c r="AG3175" t="s">
        <v>4</v>
      </c>
    </row>
    <row r="3176" spans="1:33">
      <c r="A3176" t="s">
        <v>7687</v>
      </c>
      <c r="B3176" t="s">
        <v>7688</v>
      </c>
      <c r="F3176" t="str">
        <f t="shared" si="49"/>
        <v>68836</v>
      </c>
      <c r="AE3176">
        <v>1101140090031</v>
      </c>
      <c r="AG3176" t="s">
        <v>4</v>
      </c>
    </row>
    <row r="3177" spans="1:33">
      <c r="A3177" t="s">
        <v>7689</v>
      </c>
      <c r="B3177" t="s">
        <v>7690</v>
      </c>
      <c r="F3177" t="str">
        <f t="shared" si="49"/>
        <v>68837</v>
      </c>
      <c r="AE3177">
        <v>1101114307040</v>
      </c>
      <c r="AG3177" t="s">
        <v>4</v>
      </c>
    </row>
    <row r="3178" spans="1:33">
      <c r="A3178" t="s">
        <v>7691</v>
      </c>
      <c r="B3178" t="s">
        <v>7692</v>
      </c>
      <c r="F3178" t="str">
        <f t="shared" si="49"/>
        <v>68849</v>
      </c>
      <c r="AG3178" t="s">
        <v>4</v>
      </c>
    </row>
    <row r="3179" spans="1:33">
      <c r="A3179" t="s">
        <v>7693</v>
      </c>
      <c r="B3179" t="s">
        <v>7694</v>
      </c>
      <c r="F3179" t="str">
        <f t="shared" si="49"/>
        <v>68850</v>
      </c>
      <c r="AG3179" t="s">
        <v>4</v>
      </c>
    </row>
    <row r="3180" spans="1:33">
      <c r="A3180" t="s">
        <v>7695</v>
      </c>
      <c r="B3180" t="s">
        <v>7696</v>
      </c>
      <c r="F3180" t="str">
        <f t="shared" si="49"/>
        <v>68854</v>
      </c>
      <c r="AG3180" t="s">
        <v>4</v>
      </c>
    </row>
    <row r="3181" spans="1:33">
      <c r="A3181" t="s">
        <v>7697</v>
      </c>
      <c r="B3181" t="s">
        <v>7698</v>
      </c>
      <c r="F3181" t="str">
        <f t="shared" si="49"/>
        <v>68869</v>
      </c>
      <c r="AG3181" t="s">
        <v>4</v>
      </c>
    </row>
    <row r="3182" spans="1:33">
      <c r="A3182" t="s">
        <v>7699</v>
      </c>
      <c r="B3182" t="s">
        <v>7700</v>
      </c>
      <c r="F3182" t="str">
        <f t="shared" si="49"/>
        <v>68871</v>
      </c>
      <c r="AG3182" t="s">
        <v>4</v>
      </c>
    </row>
    <row r="3183" spans="1:33">
      <c r="A3183" t="s">
        <v>7701</v>
      </c>
      <c r="B3183" t="s">
        <v>7702</v>
      </c>
      <c r="F3183" t="str">
        <f t="shared" si="49"/>
        <v>68872</v>
      </c>
      <c r="AG3183" t="s">
        <v>4</v>
      </c>
    </row>
    <row r="3184" spans="1:33">
      <c r="A3184" t="s">
        <v>7703</v>
      </c>
      <c r="B3184" t="s">
        <v>7704</v>
      </c>
      <c r="F3184" t="str">
        <f t="shared" si="49"/>
        <v>68875</v>
      </c>
      <c r="AG3184" t="s">
        <v>4</v>
      </c>
    </row>
    <row r="3185" spans="1:33">
      <c r="A3185" t="s">
        <v>7705</v>
      </c>
      <c r="B3185" t="s">
        <v>7706</v>
      </c>
      <c r="F3185" t="str">
        <f t="shared" si="49"/>
        <v>68880</v>
      </c>
      <c r="AG3185" t="s">
        <v>4</v>
      </c>
    </row>
    <row r="3186" spans="1:33">
      <c r="A3186" t="s">
        <v>7707</v>
      </c>
      <c r="B3186" t="s">
        <v>7708</v>
      </c>
      <c r="F3186" t="str">
        <f t="shared" si="49"/>
        <v>68882</v>
      </c>
      <c r="AG3186" t="s">
        <v>4</v>
      </c>
    </row>
    <row r="3187" spans="1:33">
      <c r="A3187" t="s">
        <v>7709</v>
      </c>
      <c r="B3187" t="s">
        <v>7710</v>
      </c>
      <c r="F3187" t="str">
        <f t="shared" si="49"/>
        <v>68897</v>
      </c>
      <c r="AG3187" t="s">
        <v>4</v>
      </c>
    </row>
    <row r="3188" spans="1:33">
      <c r="A3188" t="s">
        <v>7711</v>
      </c>
      <c r="B3188" t="s">
        <v>7712</v>
      </c>
      <c r="F3188" t="str">
        <f t="shared" si="49"/>
        <v>68898</v>
      </c>
      <c r="AE3188">
        <v>1101140090487</v>
      </c>
      <c r="AG3188" t="s">
        <v>4</v>
      </c>
    </row>
    <row r="3189" spans="1:33">
      <c r="A3189" t="s">
        <v>7713</v>
      </c>
      <c r="B3189" t="s">
        <v>7714</v>
      </c>
      <c r="F3189" t="str">
        <f t="shared" si="49"/>
        <v>68899</v>
      </c>
      <c r="AE3189">
        <v>1101140090495</v>
      </c>
      <c r="AG3189" t="s">
        <v>4</v>
      </c>
    </row>
    <row r="3190" spans="1:33">
      <c r="A3190" t="s">
        <v>7715</v>
      </c>
      <c r="B3190" t="s">
        <v>7716</v>
      </c>
      <c r="F3190" t="str">
        <f t="shared" si="49"/>
        <v>68900</v>
      </c>
      <c r="AG3190" t="s">
        <v>4</v>
      </c>
    </row>
    <row r="3191" spans="1:33">
      <c r="A3191" t="s">
        <v>7717</v>
      </c>
      <c r="B3191" t="s">
        <v>7718</v>
      </c>
      <c r="F3191" t="str">
        <f t="shared" si="49"/>
        <v>68901</v>
      </c>
      <c r="AG3191" t="s">
        <v>4</v>
      </c>
    </row>
    <row r="3192" spans="1:33">
      <c r="A3192" t="s">
        <v>7719</v>
      </c>
      <c r="B3192" t="s">
        <v>7720</v>
      </c>
      <c r="F3192" t="str">
        <f t="shared" si="49"/>
        <v>68902</v>
      </c>
      <c r="AG3192" t="s">
        <v>4</v>
      </c>
    </row>
    <row r="3193" spans="1:33">
      <c r="A3193" t="s">
        <v>7721</v>
      </c>
      <c r="B3193" t="s">
        <v>7722</v>
      </c>
      <c r="F3193" t="str">
        <f t="shared" si="49"/>
        <v>68903</v>
      </c>
      <c r="AE3193">
        <v>1101114327882</v>
      </c>
      <c r="AG3193" t="s">
        <v>4</v>
      </c>
    </row>
    <row r="3194" spans="1:33">
      <c r="A3194" t="s">
        <v>7723</v>
      </c>
      <c r="B3194" t="s">
        <v>7724</v>
      </c>
      <c r="F3194" t="str">
        <f t="shared" si="49"/>
        <v>68904</v>
      </c>
      <c r="AG3194" t="s">
        <v>4</v>
      </c>
    </row>
    <row r="3195" spans="1:33">
      <c r="A3195" t="s">
        <v>7725</v>
      </c>
      <c r="B3195" t="s">
        <v>7726</v>
      </c>
      <c r="F3195" t="str">
        <f t="shared" si="49"/>
        <v>68910</v>
      </c>
      <c r="AG3195" t="s">
        <v>4</v>
      </c>
    </row>
    <row r="3196" spans="1:33">
      <c r="A3196" t="s">
        <v>7727</v>
      </c>
      <c r="B3196" t="s">
        <v>7728</v>
      </c>
      <c r="F3196" t="str">
        <f t="shared" si="49"/>
        <v>68911</v>
      </c>
      <c r="AG3196" t="s">
        <v>4</v>
      </c>
    </row>
    <row r="3197" spans="1:33">
      <c r="A3197" t="s">
        <v>7729</v>
      </c>
      <c r="B3197" t="s">
        <v>7730</v>
      </c>
      <c r="F3197" t="str">
        <f t="shared" si="49"/>
        <v>68914</v>
      </c>
      <c r="AG3197" t="s">
        <v>4</v>
      </c>
    </row>
    <row r="3198" spans="1:33">
      <c r="A3198" t="s">
        <v>7731</v>
      </c>
      <c r="B3198" t="s">
        <v>7732</v>
      </c>
      <c r="F3198" t="str">
        <f t="shared" si="49"/>
        <v>68915</v>
      </c>
      <c r="AE3198">
        <v>1101140090685</v>
      </c>
      <c r="AG3198" t="s">
        <v>4</v>
      </c>
    </row>
    <row r="3199" spans="1:33">
      <c r="A3199" t="s">
        <v>7733</v>
      </c>
      <c r="B3199" t="s">
        <v>7734</v>
      </c>
      <c r="F3199" t="str">
        <f t="shared" si="49"/>
        <v>68916</v>
      </c>
      <c r="AG3199" t="s">
        <v>4</v>
      </c>
    </row>
    <row r="3200" spans="1:33">
      <c r="A3200" t="s">
        <v>7735</v>
      </c>
      <c r="B3200" t="s">
        <v>7736</v>
      </c>
      <c r="F3200" t="str">
        <f t="shared" si="49"/>
        <v>68917</v>
      </c>
      <c r="AG3200" t="s">
        <v>4</v>
      </c>
    </row>
    <row r="3201" spans="1:33">
      <c r="A3201" t="s">
        <v>7737</v>
      </c>
      <c r="B3201" t="s">
        <v>7738</v>
      </c>
      <c r="F3201" t="str">
        <f t="shared" si="49"/>
        <v>68918</v>
      </c>
      <c r="AG3201" t="s">
        <v>4</v>
      </c>
    </row>
    <row r="3202" spans="1:33">
      <c r="A3202" t="s">
        <v>7739</v>
      </c>
      <c r="B3202" t="s">
        <v>7740</v>
      </c>
      <c r="F3202" t="str">
        <f t="shared" si="49"/>
        <v>68919</v>
      </c>
      <c r="AG3202" t="s">
        <v>4</v>
      </c>
    </row>
    <row r="3203" spans="1:33">
      <c r="A3203" t="s">
        <v>7741</v>
      </c>
      <c r="B3203" t="s">
        <v>7742</v>
      </c>
      <c r="F3203" t="str">
        <f t="shared" si="49"/>
        <v>68920</v>
      </c>
      <c r="AG3203" t="s">
        <v>4</v>
      </c>
    </row>
    <row r="3204" spans="1:33">
      <c r="A3204" t="s">
        <v>7743</v>
      </c>
      <c r="B3204" t="s">
        <v>7744</v>
      </c>
      <c r="F3204" t="str">
        <f t="shared" si="49"/>
        <v>68921</v>
      </c>
      <c r="AG3204" t="s">
        <v>4</v>
      </c>
    </row>
    <row r="3205" spans="1:33">
      <c r="A3205" t="s">
        <v>7745</v>
      </c>
      <c r="B3205" t="s">
        <v>7746</v>
      </c>
      <c r="F3205" t="str">
        <f t="shared" si="49"/>
        <v>68922</v>
      </c>
      <c r="AG3205" t="s">
        <v>4</v>
      </c>
    </row>
    <row r="3206" spans="1:33">
      <c r="A3206" t="s">
        <v>7747</v>
      </c>
      <c r="B3206" t="s">
        <v>7748</v>
      </c>
      <c r="F3206" t="str">
        <f t="shared" si="49"/>
        <v>68925</v>
      </c>
      <c r="AG3206" t="s">
        <v>4</v>
      </c>
    </row>
    <row r="3207" spans="1:33">
      <c r="A3207" t="s">
        <v>7749</v>
      </c>
      <c r="B3207" t="s">
        <v>7750</v>
      </c>
      <c r="F3207" t="str">
        <f t="shared" si="49"/>
        <v>68926</v>
      </c>
      <c r="AG3207" t="s">
        <v>4</v>
      </c>
    </row>
    <row r="3208" spans="1:33">
      <c r="A3208" t="s">
        <v>7751</v>
      </c>
      <c r="B3208" t="s">
        <v>7752</v>
      </c>
      <c r="F3208" t="str">
        <f t="shared" si="49"/>
        <v>68927</v>
      </c>
      <c r="AG3208" t="s">
        <v>4</v>
      </c>
    </row>
    <row r="3209" spans="1:33">
      <c r="A3209" t="s">
        <v>7753</v>
      </c>
      <c r="B3209" t="s">
        <v>7754</v>
      </c>
      <c r="F3209" t="str">
        <f t="shared" si="49"/>
        <v>68928</v>
      </c>
      <c r="AG3209" t="s">
        <v>4</v>
      </c>
    </row>
    <row r="3210" spans="1:33">
      <c r="A3210" t="s">
        <v>7755</v>
      </c>
      <c r="B3210" t="s">
        <v>7756</v>
      </c>
      <c r="F3210" t="str">
        <f t="shared" ref="F3210:F3273" si="50">CHOOSE($C$1, A3210, B3210)</f>
        <v>68930</v>
      </c>
      <c r="AG3210" t="s">
        <v>4</v>
      </c>
    </row>
    <row r="3211" spans="1:33">
      <c r="A3211" t="s">
        <v>7757</v>
      </c>
      <c r="B3211" t="s">
        <v>7758</v>
      </c>
      <c r="F3211" t="str">
        <f t="shared" si="50"/>
        <v>68931</v>
      </c>
      <c r="AE3211">
        <v>1101114350669</v>
      </c>
      <c r="AG3211" t="s">
        <v>4</v>
      </c>
    </row>
    <row r="3212" spans="1:33">
      <c r="A3212" t="s">
        <v>7759</v>
      </c>
      <c r="B3212" t="s">
        <v>7760</v>
      </c>
      <c r="F3212" t="str">
        <f t="shared" si="50"/>
        <v>68933</v>
      </c>
      <c r="AG3212" t="s">
        <v>4</v>
      </c>
    </row>
    <row r="3213" spans="1:33">
      <c r="A3213" t="s">
        <v>7761</v>
      </c>
      <c r="B3213" t="s">
        <v>7762</v>
      </c>
      <c r="F3213" t="str">
        <f t="shared" si="50"/>
        <v>68941</v>
      </c>
      <c r="AE3213">
        <v>1101140091609</v>
      </c>
      <c r="AG3213" t="s">
        <v>4</v>
      </c>
    </row>
    <row r="3214" spans="1:33">
      <c r="A3214" t="s">
        <v>7763</v>
      </c>
      <c r="B3214" t="s">
        <v>7764</v>
      </c>
      <c r="F3214" t="str">
        <f t="shared" si="50"/>
        <v>68942</v>
      </c>
      <c r="AG3214" t="s">
        <v>4</v>
      </c>
    </row>
    <row r="3215" spans="1:33">
      <c r="A3215" t="s">
        <v>7765</v>
      </c>
      <c r="B3215" t="s">
        <v>7766</v>
      </c>
      <c r="F3215" t="str">
        <f t="shared" si="50"/>
        <v>68943</v>
      </c>
      <c r="AE3215">
        <v>1101140091584</v>
      </c>
      <c r="AG3215" t="s">
        <v>4</v>
      </c>
    </row>
    <row r="3216" spans="1:33">
      <c r="A3216" t="s">
        <v>7767</v>
      </c>
      <c r="B3216" t="s">
        <v>7768</v>
      </c>
      <c r="F3216" t="str">
        <f t="shared" si="50"/>
        <v>68944</v>
      </c>
      <c r="AE3216">
        <v>1101140091576</v>
      </c>
      <c r="AG3216" t="s">
        <v>4</v>
      </c>
    </row>
    <row r="3217" spans="1:33">
      <c r="A3217" t="s">
        <v>7769</v>
      </c>
      <c r="B3217" t="s">
        <v>7770</v>
      </c>
      <c r="F3217" t="str">
        <f t="shared" si="50"/>
        <v>68945</v>
      </c>
      <c r="AE3217">
        <v>1101140091667</v>
      </c>
      <c r="AG3217" t="s">
        <v>4</v>
      </c>
    </row>
    <row r="3218" spans="1:33">
      <c r="A3218" t="s">
        <v>7771</v>
      </c>
      <c r="B3218" t="s">
        <v>7772</v>
      </c>
      <c r="F3218" t="str">
        <f t="shared" si="50"/>
        <v>68946</v>
      </c>
      <c r="AE3218">
        <v>1101140091675</v>
      </c>
      <c r="AG3218" t="s">
        <v>4</v>
      </c>
    </row>
    <row r="3219" spans="1:33">
      <c r="A3219" t="s">
        <v>7773</v>
      </c>
      <c r="B3219" t="s">
        <v>7774</v>
      </c>
      <c r="F3219" t="str">
        <f t="shared" si="50"/>
        <v>68947</v>
      </c>
      <c r="AE3219">
        <v>1101140091881</v>
      </c>
      <c r="AG3219" t="s">
        <v>4</v>
      </c>
    </row>
    <row r="3220" spans="1:33">
      <c r="A3220" t="s">
        <v>7775</v>
      </c>
      <c r="B3220" t="s">
        <v>7776</v>
      </c>
      <c r="F3220" t="str">
        <f t="shared" si="50"/>
        <v>68948</v>
      </c>
      <c r="AE3220">
        <v>1101140091956</v>
      </c>
      <c r="AG3220" t="s">
        <v>4</v>
      </c>
    </row>
    <row r="3221" spans="1:33">
      <c r="A3221" t="s">
        <v>7777</v>
      </c>
      <c r="B3221" t="s">
        <v>7778</v>
      </c>
      <c r="F3221" t="str">
        <f t="shared" si="50"/>
        <v>68949</v>
      </c>
      <c r="AE3221">
        <v>1101114360981</v>
      </c>
      <c r="AG3221" t="s">
        <v>4</v>
      </c>
    </row>
    <row r="3222" spans="1:33">
      <c r="A3222" t="s">
        <v>7779</v>
      </c>
      <c r="B3222" t="s">
        <v>7780</v>
      </c>
      <c r="F3222" t="str">
        <f t="shared" si="50"/>
        <v>68950</v>
      </c>
      <c r="AG3222" t="s">
        <v>4</v>
      </c>
    </row>
    <row r="3223" spans="1:33">
      <c r="A3223" t="s">
        <v>7781</v>
      </c>
      <c r="B3223" t="s">
        <v>7782</v>
      </c>
      <c r="F3223" t="str">
        <f t="shared" si="50"/>
        <v>68951</v>
      </c>
      <c r="AG3223" t="s">
        <v>4</v>
      </c>
    </row>
    <row r="3224" spans="1:33">
      <c r="A3224" t="s">
        <v>7783</v>
      </c>
      <c r="B3224" t="s">
        <v>7784</v>
      </c>
      <c r="F3224" t="str">
        <f t="shared" si="50"/>
        <v>68952</v>
      </c>
      <c r="AG3224" t="s">
        <v>4</v>
      </c>
    </row>
    <row r="3225" spans="1:33">
      <c r="A3225" t="s">
        <v>7785</v>
      </c>
      <c r="B3225" t="s">
        <v>7786</v>
      </c>
      <c r="F3225" t="str">
        <f t="shared" si="50"/>
        <v>68953</v>
      </c>
      <c r="AG3225" t="s">
        <v>4</v>
      </c>
    </row>
    <row r="3226" spans="1:33">
      <c r="A3226" t="s">
        <v>7787</v>
      </c>
      <c r="B3226" t="s">
        <v>7788</v>
      </c>
      <c r="F3226" t="str">
        <f t="shared" si="50"/>
        <v>68954</v>
      </c>
      <c r="AG3226" t="s">
        <v>4</v>
      </c>
    </row>
    <row r="3227" spans="1:33">
      <c r="A3227" t="s">
        <v>7789</v>
      </c>
      <c r="B3227" t="s">
        <v>7790</v>
      </c>
      <c r="F3227" t="str">
        <f t="shared" si="50"/>
        <v>68955</v>
      </c>
      <c r="AG3227" t="s">
        <v>4</v>
      </c>
    </row>
    <row r="3228" spans="1:33">
      <c r="A3228" t="s">
        <v>7791</v>
      </c>
      <c r="B3228" t="s">
        <v>7792</v>
      </c>
      <c r="F3228" t="str">
        <f t="shared" si="50"/>
        <v>68956</v>
      </c>
      <c r="AG3228" t="s">
        <v>4</v>
      </c>
    </row>
    <row r="3229" spans="1:33">
      <c r="A3229" t="s">
        <v>7793</v>
      </c>
      <c r="B3229" t="s">
        <v>7794</v>
      </c>
      <c r="F3229" t="str">
        <f t="shared" si="50"/>
        <v>68957</v>
      </c>
      <c r="AG3229" t="s">
        <v>4</v>
      </c>
    </row>
    <row r="3230" spans="1:33">
      <c r="A3230" t="s">
        <v>7795</v>
      </c>
      <c r="B3230" t="s">
        <v>7796</v>
      </c>
      <c r="F3230" t="str">
        <f t="shared" si="50"/>
        <v>68965</v>
      </c>
      <c r="AE3230">
        <v>1101140092524</v>
      </c>
      <c r="AG3230" t="s">
        <v>4</v>
      </c>
    </row>
    <row r="3231" spans="1:33">
      <c r="A3231" t="s">
        <v>7797</v>
      </c>
      <c r="B3231" t="s">
        <v>7798</v>
      </c>
      <c r="F3231" t="str">
        <f t="shared" si="50"/>
        <v>68966</v>
      </c>
      <c r="AE3231">
        <v>1101114371920</v>
      </c>
      <c r="AG3231" t="s">
        <v>4</v>
      </c>
    </row>
    <row r="3232" spans="1:33">
      <c r="A3232" t="s">
        <v>7799</v>
      </c>
      <c r="B3232" t="s">
        <v>7800</v>
      </c>
      <c r="F3232" t="str">
        <f t="shared" si="50"/>
        <v>68967</v>
      </c>
      <c r="AG3232" t="s">
        <v>4</v>
      </c>
    </row>
    <row r="3233" spans="1:33">
      <c r="A3233" t="s">
        <v>7801</v>
      </c>
      <c r="B3233" t="s">
        <v>7802</v>
      </c>
      <c r="F3233" t="str">
        <f t="shared" si="50"/>
        <v>68968</v>
      </c>
      <c r="AG3233" t="s">
        <v>4</v>
      </c>
    </row>
    <row r="3234" spans="1:33">
      <c r="A3234" t="s">
        <v>7803</v>
      </c>
      <c r="B3234" t="s">
        <v>7804</v>
      </c>
      <c r="F3234" t="str">
        <f t="shared" si="50"/>
        <v>68969</v>
      </c>
      <c r="AE3234">
        <v>1101140092425</v>
      </c>
      <c r="AG3234" t="s">
        <v>4</v>
      </c>
    </row>
    <row r="3235" spans="1:33">
      <c r="A3235" t="s">
        <v>7805</v>
      </c>
      <c r="B3235" t="s">
        <v>7806</v>
      </c>
      <c r="F3235" t="str">
        <f t="shared" si="50"/>
        <v>68970</v>
      </c>
      <c r="AG3235" t="s">
        <v>4</v>
      </c>
    </row>
    <row r="3236" spans="1:33">
      <c r="A3236" t="s">
        <v>7807</v>
      </c>
      <c r="B3236" t="s">
        <v>7808</v>
      </c>
      <c r="F3236" t="str">
        <f t="shared" si="50"/>
        <v>68971</v>
      </c>
      <c r="AE3236">
        <v>1101114327139</v>
      </c>
      <c r="AG3236" t="s">
        <v>4</v>
      </c>
    </row>
    <row r="3237" spans="1:33">
      <c r="A3237" t="s">
        <v>7809</v>
      </c>
      <c r="B3237" t="s">
        <v>7810</v>
      </c>
      <c r="F3237" t="str">
        <f t="shared" si="50"/>
        <v>68972</v>
      </c>
      <c r="AG3237" t="s">
        <v>4</v>
      </c>
    </row>
    <row r="3238" spans="1:33">
      <c r="A3238" t="s">
        <v>7811</v>
      </c>
      <c r="B3238" t="s">
        <v>7812</v>
      </c>
      <c r="F3238" t="str">
        <f t="shared" si="50"/>
        <v>68973</v>
      </c>
      <c r="AG3238" t="s">
        <v>4</v>
      </c>
    </row>
    <row r="3239" spans="1:33">
      <c r="A3239" t="s">
        <v>7813</v>
      </c>
      <c r="B3239" t="s">
        <v>7814</v>
      </c>
      <c r="F3239" t="str">
        <f t="shared" si="50"/>
        <v>68974</v>
      </c>
      <c r="AE3239">
        <v>1101114393742</v>
      </c>
      <c r="AG3239" t="s">
        <v>4</v>
      </c>
    </row>
    <row r="3240" spans="1:33">
      <c r="A3240" t="s">
        <v>7815</v>
      </c>
      <c r="B3240" t="s">
        <v>7816</v>
      </c>
      <c r="F3240" t="str">
        <f t="shared" si="50"/>
        <v>68975</v>
      </c>
      <c r="AE3240">
        <v>1101114393669</v>
      </c>
      <c r="AG3240" t="s">
        <v>4</v>
      </c>
    </row>
    <row r="3241" spans="1:33">
      <c r="A3241" t="s">
        <v>7817</v>
      </c>
      <c r="B3241" t="s">
        <v>7818</v>
      </c>
      <c r="F3241" t="str">
        <f t="shared" si="50"/>
        <v>68976</v>
      </c>
      <c r="AG3241" t="s">
        <v>4</v>
      </c>
    </row>
    <row r="3242" spans="1:33">
      <c r="A3242" t="s">
        <v>7819</v>
      </c>
      <c r="B3242" t="s">
        <v>7820</v>
      </c>
      <c r="F3242" t="str">
        <f t="shared" si="50"/>
        <v>68977</v>
      </c>
      <c r="AG3242" t="s">
        <v>4</v>
      </c>
    </row>
    <row r="3243" spans="1:33">
      <c r="A3243" t="s">
        <v>7821</v>
      </c>
      <c r="B3243" t="s">
        <v>7822</v>
      </c>
      <c r="F3243" t="str">
        <f t="shared" si="50"/>
        <v>68978</v>
      </c>
      <c r="AG3243" t="s">
        <v>4</v>
      </c>
    </row>
    <row r="3244" spans="1:33">
      <c r="A3244" t="s">
        <v>7823</v>
      </c>
      <c r="B3244" t="s">
        <v>7824</v>
      </c>
      <c r="F3244" t="str">
        <f t="shared" si="50"/>
        <v>68979</v>
      </c>
      <c r="AG3244" t="s">
        <v>4</v>
      </c>
    </row>
    <row r="3245" spans="1:33">
      <c r="A3245" t="s">
        <v>7825</v>
      </c>
      <c r="B3245" t="s">
        <v>7826</v>
      </c>
      <c r="F3245" t="str">
        <f t="shared" si="50"/>
        <v>68980</v>
      </c>
      <c r="AG3245" t="s">
        <v>4</v>
      </c>
    </row>
    <row r="3246" spans="1:33">
      <c r="A3246" t="s">
        <v>7827</v>
      </c>
      <c r="B3246" t="s">
        <v>7828</v>
      </c>
      <c r="F3246" t="str">
        <f t="shared" si="50"/>
        <v>68981</v>
      </c>
      <c r="AG3246" t="s">
        <v>4</v>
      </c>
    </row>
    <row r="3247" spans="1:33">
      <c r="A3247" t="s">
        <v>7829</v>
      </c>
      <c r="B3247" t="s">
        <v>7830</v>
      </c>
      <c r="F3247" t="str">
        <f t="shared" si="50"/>
        <v>68982</v>
      </c>
      <c r="AG3247" t="s">
        <v>4</v>
      </c>
    </row>
    <row r="3248" spans="1:33">
      <c r="A3248" t="s">
        <v>7831</v>
      </c>
      <c r="B3248" t="s">
        <v>7832</v>
      </c>
      <c r="F3248" t="str">
        <f t="shared" si="50"/>
        <v>68983</v>
      </c>
      <c r="AG3248" t="s">
        <v>4</v>
      </c>
    </row>
    <row r="3249" spans="1:33">
      <c r="A3249" t="s">
        <v>7833</v>
      </c>
      <c r="B3249" t="s">
        <v>7834</v>
      </c>
      <c r="F3249" t="str">
        <f t="shared" si="50"/>
        <v>68995</v>
      </c>
      <c r="AG3249" t="s">
        <v>4</v>
      </c>
    </row>
    <row r="3250" spans="1:33">
      <c r="A3250" t="s">
        <v>7835</v>
      </c>
      <c r="B3250" t="s">
        <v>7836</v>
      </c>
      <c r="F3250" t="str">
        <f t="shared" si="50"/>
        <v>68997</v>
      </c>
      <c r="AG3250" t="s">
        <v>4</v>
      </c>
    </row>
    <row r="3251" spans="1:33">
      <c r="A3251" t="s">
        <v>7837</v>
      </c>
      <c r="B3251" t="s">
        <v>7838</v>
      </c>
      <c r="F3251" t="str">
        <f t="shared" si="50"/>
        <v>68999</v>
      </c>
      <c r="AG3251" t="s">
        <v>4</v>
      </c>
    </row>
    <row r="3252" spans="1:33">
      <c r="A3252" t="s">
        <v>7839</v>
      </c>
      <c r="B3252" t="s">
        <v>7840</v>
      </c>
      <c r="F3252" t="str">
        <f t="shared" si="50"/>
        <v>69000</v>
      </c>
      <c r="AG3252" t="s">
        <v>4</v>
      </c>
    </row>
    <row r="3253" spans="1:33">
      <c r="A3253" t="s">
        <v>7841</v>
      </c>
      <c r="B3253" t="s">
        <v>7842</v>
      </c>
      <c r="F3253" t="str">
        <f t="shared" si="50"/>
        <v>69004</v>
      </c>
      <c r="AG3253" t="s">
        <v>4</v>
      </c>
    </row>
    <row r="3254" spans="1:33">
      <c r="A3254" t="s">
        <v>7843</v>
      </c>
      <c r="B3254" t="s">
        <v>7844</v>
      </c>
      <c r="F3254" t="str">
        <f t="shared" si="50"/>
        <v>69006</v>
      </c>
      <c r="AG3254" t="s">
        <v>4</v>
      </c>
    </row>
    <row r="3255" spans="1:33">
      <c r="A3255" t="s">
        <v>7845</v>
      </c>
      <c r="B3255" t="s">
        <v>7846</v>
      </c>
      <c r="F3255" t="str">
        <f t="shared" si="50"/>
        <v>69007</v>
      </c>
      <c r="AG3255" t="s">
        <v>4</v>
      </c>
    </row>
    <row r="3256" spans="1:33">
      <c r="A3256" t="s">
        <v>7847</v>
      </c>
      <c r="B3256" t="s">
        <v>7848</v>
      </c>
      <c r="F3256" t="str">
        <f t="shared" si="50"/>
        <v>69012</v>
      </c>
      <c r="AG3256" t="s">
        <v>4</v>
      </c>
    </row>
    <row r="3257" spans="1:33">
      <c r="A3257" t="s">
        <v>7849</v>
      </c>
      <c r="B3257" t="s">
        <v>7850</v>
      </c>
      <c r="F3257" t="str">
        <f t="shared" si="50"/>
        <v>69013</v>
      </c>
      <c r="AE3257">
        <v>1101114400919</v>
      </c>
      <c r="AG3257" t="s">
        <v>4</v>
      </c>
    </row>
    <row r="3258" spans="1:33">
      <c r="A3258" t="s">
        <v>7851</v>
      </c>
      <c r="B3258" t="s">
        <v>7852</v>
      </c>
      <c r="F3258" t="str">
        <f t="shared" si="50"/>
        <v>69017</v>
      </c>
      <c r="AG3258" t="s">
        <v>4</v>
      </c>
    </row>
    <row r="3259" spans="1:33">
      <c r="A3259" t="s">
        <v>7853</v>
      </c>
      <c r="B3259" t="s">
        <v>7854</v>
      </c>
      <c r="F3259" t="str">
        <f t="shared" si="50"/>
        <v>69018</v>
      </c>
      <c r="AG3259" t="s">
        <v>4</v>
      </c>
    </row>
    <row r="3260" spans="1:33">
      <c r="A3260" t="s">
        <v>7855</v>
      </c>
      <c r="B3260" t="s">
        <v>7856</v>
      </c>
      <c r="F3260" t="str">
        <f t="shared" si="50"/>
        <v>69023</v>
      </c>
      <c r="AG3260" t="s">
        <v>4</v>
      </c>
    </row>
    <row r="3261" spans="1:33">
      <c r="A3261" t="s">
        <v>7857</v>
      </c>
      <c r="B3261" t="s">
        <v>7858</v>
      </c>
      <c r="F3261" t="str">
        <f t="shared" si="50"/>
        <v>69024</v>
      </c>
      <c r="AG3261" t="s">
        <v>4</v>
      </c>
    </row>
    <row r="3262" spans="1:33">
      <c r="A3262" t="s">
        <v>7859</v>
      </c>
      <c r="B3262" t="s">
        <v>7860</v>
      </c>
      <c r="F3262" t="str">
        <f t="shared" si="50"/>
        <v>69025</v>
      </c>
      <c r="AG3262" t="s">
        <v>4</v>
      </c>
    </row>
    <row r="3263" spans="1:33">
      <c r="A3263" t="s">
        <v>7861</v>
      </c>
      <c r="B3263" t="s">
        <v>7862</v>
      </c>
      <c r="F3263" t="str">
        <f t="shared" si="50"/>
        <v>69026</v>
      </c>
      <c r="AG3263" t="s">
        <v>4</v>
      </c>
    </row>
    <row r="3264" spans="1:33">
      <c r="A3264" t="s">
        <v>7863</v>
      </c>
      <c r="B3264" t="s">
        <v>7864</v>
      </c>
      <c r="F3264" t="str">
        <f t="shared" si="50"/>
        <v>69027</v>
      </c>
      <c r="AG3264" t="s">
        <v>4</v>
      </c>
    </row>
    <row r="3265" spans="1:33">
      <c r="A3265" t="s">
        <v>7865</v>
      </c>
      <c r="B3265" t="s">
        <v>7866</v>
      </c>
      <c r="F3265" t="str">
        <f t="shared" si="50"/>
        <v>69028</v>
      </c>
      <c r="AG3265" t="s">
        <v>4</v>
      </c>
    </row>
    <row r="3266" spans="1:33">
      <c r="A3266" t="s">
        <v>7867</v>
      </c>
      <c r="B3266" t="s">
        <v>7868</v>
      </c>
      <c r="F3266" t="str">
        <f t="shared" si="50"/>
        <v>69029</v>
      </c>
      <c r="AG3266" t="s">
        <v>4</v>
      </c>
    </row>
    <row r="3267" spans="1:33">
      <c r="A3267" t="s">
        <v>7869</v>
      </c>
      <c r="B3267" t="s">
        <v>7870</v>
      </c>
      <c r="F3267" t="str">
        <f t="shared" si="50"/>
        <v>69030</v>
      </c>
      <c r="AE3267">
        <v>1101140093449</v>
      </c>
      <c r="AG3267" t="s">
        <v>4</v>
      </c>
    </row>
    <row r="3268" spans="1:33">
      <c r="A3268" t="s">
        <v>7871</v>
      </c>
      <c r="B3268" t="s">
        <v>7872</v>
      </c>
      <c r="F3268" t="str">
        <f t="shared" si="50"/>
        <v>69031</v>
      </c>
      <c r="AE3268">
        <v>1101140093663</v>
      </c>
      <c r="AG3268" t="s">
        <v>4</v>
      </c>
    </row>
    <row r="3269" spans="1:33">
      <c r="A3269" t="s">
        <v>7873</v>
      </c>
      <c r="B3269" t="s">
        <v>7874</v>
      </c>
      <c r="F3269" t="str">
        <f t="shared" si="50"/>
        <v>69032</v>
      </c>
      <c r="AG3269" t="s">
        <v>4</v>
      </c>
    </row>
    <row r="3270" spans="1:33">
      <c r="A3270" t="s">
        <v>7875</v>
      </c>
      <c r="B3270" t="s">
        <v>7876</v>
      </c>
      <c r="F3270" t="str">
        <f t="shared" si="50"/>
        <v>69033</v>
      </c>
      <c r="AG3270" t="s">
        <v>4</v>
      </c>
    </row>
    <row r="3271" spans="1:33">
      <c r="A3271" t="s">
        <v>7877</v>
      </c>
      <c r="B3271" t="s">
        <v>7878</v>
      </c>
      <c r="F3271" t="str">
        <f t="shared" si="50"/>
        <v>69034</v>
      </c>
      <c r="AG3271" t="s">
        <v>4</v>
      </c>
    </row>
    <row r="3272" spans="1:33">
      <c r="A3272" t="s">
        <v>7879</v>
      </c>
      <c r="B3272" t="s">
        <v>7880</v>
      </c>
      <c r="F3272" t="str">
        <f t="shared" si="50"/>
        <v>69035</v>
      </c>
      <c r="AG3272" t="s">
        <v>4</v>
      </c>
    </row>
    <row r="3273" spans="1:33">
      <c r="A3273" t="s">
        <v>7881</v>
      </c>
      <c r="B3273" t="s">
        <v>7882</v>
      </c>
      <c r="F3273" t="str">
        <f t="shared" si="50"/>
        <v>69036</v>
      </c>
      <c r="AE3273">
        <v>1101140093746</v>
      </c>
      <c r="AG3273" t="s">
        <v>4</v>
      </c>
    </row>
    <row r="3274" spans="1:33">
      <c r="A3274" t="s">
        <v>7883</v>
      </c>
      <c r="B3274" t="s">
        <v>7884</v>
      </c>
      <c r="F3274" t="str">
        <f t="shared" ref="F3274:F3337" si="51">CHOOSE($C$1, A3274, B3274)</f>
        <v>69037</v>
      </c>
      <c r="AG3274" t="s">
        <v>4</v>
      </c>
    </row>
    <row r="3275" spans="1:33">
      <c r="A3275" t="s">
        <v>7885</v>
      </c>
      <c r="B3275" t="s">
        <v>7886</v>
      </c>
      <c r="F3275" t="str">
        <f t="shared" si="51"/>
        <v>69038</v>
      </c>
      <c r="AG3275" t="s">
        <v>4</v>
      </c>
    </row>
    <row r="3276" spans="1:33">
      <c r="A3276" t="s">
        <v>7887</v>
      </c>
      <c r="B3276" t="s">
        <v>7888</v>
      </c>
      <c r="F3276" t="str">
        <f t="shared" si="51"/>
        <v>69041</v>
      </c>
      <c r="AE3276">
        <v>1101140094207</v>
      </c>
      <c r="AG3276" t="s">
        <v>4</v>
      </c>
    </row>
    <row r="3277" spans="1:33">
      <c r="A3277" t="s">
        <v>7889</v>
      </c>
      <c r="B3277" t="s">
        <v>7890</v>
      </c>
      <c r="F3277" t="str">
        <f t="shared" si="51"/>
        <v>69046</v>
      </c>
      <c r="AE3277">
        <v>1101140094025</v>
      </c>
      <c r="AG3277" t="s">
        <v>4</v>
      </c>
    </row>
    <row r="3278" spans="1:33">
      <c r="A3278" t="s">
        <v>7891</v>
      </c>
      <c r="B3278" t="s">
        <v>7892</v>
      </c>
      <c r="F3278" t="str">
        <f t="shared" si="51"/>
        <v>69047</v>
      </c>
      <c r="AE3278">
        <v>1101140094017</v>
      </c>
      <c r="AG3278" t="s">
        <v>4</v>
      </c>
    </row>
    <row r="3279" spans="1:33">
      <c r="A3279" t="s">
        <v>7893</v>
      </c>
      <c r="B3279" t="s">
        <v>7894</v>
      </c>
      <c r="F3279" t="str">
        <f t="shared" si="51"/>
        <v>69048</v>
      </c>
      <c r="AE3279">
        <v>1101140094231</v>
      </c>
      <c r="AG3279" t="s">
        <v>4</v>
      </c>
    </row>
    <row r="3280" spans="1:33">
      <c r="A3280" t="s">
        <v>7895</v>
      </c>
      <c r="B3280" t="s">
        <v>7896</v>
      </c>
      <c r="F3280" t="str">
        <f t="shared" si="51"/>
        <v>69049</v>
      </c>
      <c r="AG3280" t="s">
        <v>4</v>
      </c>
    </row>
    <row r="3281" spans="1:33">
      <c r="A3281" t="s">
        <v>7897</v>
      </c>
      <c r="B3281" t="s">
        <v>7898</v>
      </c>
      <c r="F3281" t="str">
        <f t="shared" si="51"/>
        <v>69051</v>
      </c>
      <c r="AG3281" t="s">
        <v>4</v>
      </c>
    </row>
    <row r="3282" spans="1:33">
      <c r="A3282" t="s">
        <v>7899</v>
      </c>
      <c r="B3282" t="s">
        <v>7900</v>
      </c>
      <c r="F3282" t="str">
        <f t="shared" si="51"/>
        <v>69057</v>
      </c>
      <c r="AG3282" t="s">
        <v>4</v>
      </c>
    </row>
    <row r="3283" spans="1:33">
      <c r="A3283" t="s">
        <v>7901</v>
      </c>
      <c r="B3283" t="s">
        <v>7902</v>
      </c>
      <c r="F3283" t="str">
        <f t="shared" si="51"/>
        <v>69066</v>
      </c>
      <c r="AG3283" t="s">
        <v>4</v>
      </c>
    </row>
    <row r="3284" spans="1:33">
      <c r="A3284" t="s">
        <v>7903</v>
      </c>
      <c r="B3284" t="s">
        <v>7904</v>
      </c>
      <c r="F3284" t="str">
        <f t="shared" si="51"/>
        <v>69068</v>
      </c>
      <c r="AG3284" t="s">
        <v>4</v>
      </c>
    </row>
    <row r="3285" spans="1:33">
      <c r="A3285" t="s">
        <v>7905</v>
      </c>
      <c r="B3285" t="s">
        <v>7906</v>
      </c>
      <c r="F3285" t="str">
        <f t="shared" si="51"/>
        <v>69074</v>
      </c>
      <c r="AE3285">
        <v>1101140094182</v>
      </c>
      <c r="AG3285" t="s">
        <v>4</v>
      </c>
    </row>
    <row r="3286" spans="1:33">
      <c r="A3286" t="s">
        <v>7907</v>
      </c>
      <c r="B3286" t="s">
        <v>7908</v>
      </c>
      <c r="F3286" t="str">
        <f t="shared" si="51"/>
        <v>69079</v>
      </c>
      <c r="AG3286" t="s">
        <v>4</v>
      </c>
    </row>
    <row r="3287" spans="1:33">
      <c r="A3287" t="s">
        <v>7909</v>
      </c>
      <c r="B3287" t="s">
        <v>7910</v>
      </c>
      <c r="F3287" t="str">
        <f t="shared" si="51"/>
        <v>69080</v>
      </c>
      <c r="AE3287">
        <v>1101140094306</v>
      </c>
      <c r="AG3287" t="s">
        <v>4</v>
      </c>
    </row>
    <row r="3288" spans="1:33">
      <c r="A3288" t="s">
        <v>7911</v>
      </c>
      <c r="B3288" t="s">
        <v>7912</v>
      </c>
      <c r="F3288" t="str">
        <f t="shared" si="51"/>
        <v>69081</v>
      </c>
      <c r="AG3288" t="s">
        <v>4</v>
      </c>
    </row>
    <row r="3289" spans="1:33">
      <c r="A3289" t="s">
        <v>7913</v>
      </c>
      <c r="B3289" t="s">
        <v>7914</v>
      </c>
      <c r="F3289" t="str">
        <f t="shared" si="51"/>
        <v>69082</v>
      </c>
      <c r="AE3289">
        <v>1101140094249</v>
      </c>
      <c r="AG3289" t="s">
        <v>4</v>
      </c>
    </row>
    <row r="3290" spans="1:33">
      <c r="A3290" t="s">
        <v>7915</v>
      </c>
      <c r="B3290" t="s">
        <v>7916</v>
      </c>
      <c r="F3290" t="str">
        <f t="shared" si="51"/>
        <v>69083</v>
      </c>
      <c r="AG3290" t="s">
        <v>4</v>
      </c>
    </row>
    <row r="3291" spans="1:33">
      <c r="A3291" t="s">
        <v>7917</v>
      </c>
      <c r="B3291" t="s">
        <v>7918</v>
      </c>
      <c r="F3291" t="str">
        <f t="shared" si="51"/>
        <v>69084</v>
      </c>
      <c r="AG3291" t="s">
        <v>4</v>
      </c>
    </row>
    <row r="3292" spans="1:33">
      <c r="A3292" t="s">
        <v>7919</v>
      </c>
      <c r="B3292" t="s">
        <v>7920</v>
      </c>
      <c r="F3292" t="str">
        <f t="shared" si="51"/>
        <v>69085</v>
      </c>
      <c r="AG3292" t="s">
        <v>4</v>
      </c>
    </row>
    <row r="3293" spans="1:33">
      <c r="A3293" t="s">
        <v>7921</v>
      </c>
      <c r="B3293" t="s">
        <v>7922</v>
      </c>
      <c r="F3293" t="str">
        <f t="shared" si="51"/>
        <v>69086</v>
      </c>
      <c r="AG3293" t="s">
        <v>4</v>
      </c>
    </row>
    <row r="3294" spans="1:33">
      <c r="A3294" t="s">
        <v>7923</v>
      </c>
      <c r="B3294" t="s">
        <v>7924</v>
      </c>
      <c r="F3294" t="str">
        <f t="shared" si="51"/>
        <v>69088</v>
      </c>
      <c r="AE3294">
        <v>1101140094463</v>
      </c>
      <c r="AG3294" t="s">
        <v>4</v>
      </c>
    </row>
    <row r="3295" spans="1:33">
      <c r="A3295" t="s">
        <v>7925</v>
      </c>
      <c r="B3295" t="s">
        <v>7926</v>
      </c>
      <c r="F3295" t="str">
        <f t="shared" si="51"/>
        <v>69091</v>
      </c>
      <c r="AE3295">
        <v>1101140092863</v>
      </c>
      <c r="AG3295" t="s">
        <v>4</v>
      </c>
    </row>
    <row r="3296" spans="1:33">
      <c r="A3296" t="s">
        <v>7927</v>
      </c>
      <c r="B3296" t="s">
        <v>7928</v>
      </c>
      <c r="F3296" t="str">
        <f t="shared" si="51"/>
        <v>69094</v>
      </c>
      <c r="AG3296" t="s">
        <v>4</v>
      </c>
    </row>
    <row r="3297" spans="1:33">
      <c r="A3297" t="s">
        <v>7929</v>
      </c>
      <c r="B3297" t="s">
        <v>7930</v>
      </c>
      <c r="F3297" t="str">
        <f t="shared" si="51"/>
        <v>69095</v>
      </c>
      <c r="AG3297" t="s">
        <v>4</v>
      </c>
    </row>
    <row r="3298" spans="1:33">
      <c r="A3298" t="s">
        <v>7931</v>
      </c>
      <c r="B3298" t="s">
        <v>7932</v>
      </c>
      <c r="F3298" t="str">
        <f t="shared" si="51"/>
        <v>69096</v>
      </c>
      <c r="AG3298" t="s">
        <v>4</v>
      </c>
    </row>
    <row r="3299" spans="1:33">
      <c r="A3299" t="s">
        <v>7933</v>
      </c>
      <c r="B3299" t="s">
        <v>7934</v>
      </c>
      <c r="F3299" t="str">
        <f t="shared" si="51"/>
        <v>69097</v>
      </c>
      <c r="AE3299">
        <v>1101140094603</v>
      </c>
      <c r="AG3299" t="s">
        <v>4</v>
      </c>
    </row>
    <row r="3300" spans="1:33">
      <c r="A3300" t="s">
        <v>7935</v>
      </c>
      <c r="B3300" t="s">
        <v>7936</v>
      </c>
      <c r="F3300" t="str">
        <f t="shared" si="51"/>
        <v>69103</v>
      </c>
      <c r="AE3300">
        <v>1101140090148</v>
      </c>
      <c r="AG3300" t="s">
        <v>4</v>
      </c>
    </row>
    <row r="3301" spans="1:33">
      <c r="A3301" t="s">
        <v>7937</v>
      </c>
      <c r="B3301" t="s">
        <v>7938</v>
      </c>
      <c r="F3301" t="str">
        <f t="shared" si="51"/>
        <v>69105</v>
      </c>
      <c r="AG3301" t="s">
        <v>4</v>
      </c>
    </row>
    <row r="3302" spans="1:33">
      <c r="A3302" t="s">
        <v>7939</v>
      </c>
      <c r="B3302" t="s">
        <v>7940</v>
      </c>
      <c r="F3302" t="str">
        <f t="shared" si="51"/>
        <v>69106</v>
      </c>
      <c r="AG3302" t="s">
        <v>4</v>
      </c>
    </row>
    <row r="3303" spans="1:33">
      <c r="A3303" t="s">
        <v>7941</v>
      </c>
      <c r="B3303" t="s">
        <v>7942</v>
      </c>
      <c r="F3303" t="str">
        <f t="shared" si="51"/>
        <v>69115</v>
      </c>
      <c r="AE3303">
        <v>1101140094744</v>
      </c>
      <c r="AG3303" t="s">
        <v>4</v>
      </c>
    </row>
    <row r="3304" spans="1:33">
      <c r="A3304" t="s">
        <v>7943</v>
      </c>
      <c r="B3304" t="s">
        <v>7944</v>
      </c>
      <c r="F3304" t="str">
        <f t="shared" si="51"/>
        <v>69116</v>
      </c>
      <c r="AG3304" t="s">
        <v>4</v>
      </c>
    </row>
    <row r="3305" spans="1:33">
      <c r="A3305" t="s">
        <v>7945</v>
      </c>
      <c r="B3305" t="s">
        <v>7946</v>
      </c>
      <c r="F3305" t="str">
        <f t="shared" si="51"/>
        <v>69117</v>
      </c>
      <c r="AG3305" t="s">
        <v>4</v>
      </c>
    </row>
    <row r="3306" spans="1:33">
      <c r="A3306" t="s">
        <v>7947</v>
      </c>
      <c r="B3306" t="s">
        <v>7948</v>
      </c>
      <c r="F3306" t="str">
        <f t="shared" si="51"/>
        <v>69118</v>
      </c>
      <c r="AE3306">
        <v>1101140094950</v>
      </c>
      <c r="AG3306" t="s">
        <v>4</v>
      </c>
    </row>
    <row r="3307" spans="1:33">
      <c r="A3307" t="s">
        <v>7949</v>
      </c>
      <c r="B3307" t="s">
        <v>7950</v>
      </c>
      <c r="F3307" t="str">
        <f t="shared" si="51"/>
        <v>69119</v>
      </c>
      <c r="AE3307">
        <v>1101114452449</v>
      </c>
      <c r="AG3307" t="s">
        <v>4</v>
      </c>
    </row>
    <row r="3308" spans="1:33">
      <c r="A3308" t="s">
        <v>7951</v>
      </c>
      <c r="B3308" t="s">
        <v>7952</v>
      </c>
      <c r="F3308" t="str">
        <f t="shared" si="51"/>
        <v>69120</v>
      </c>
      <c r="AG3308" t="s">
        <v>4</v>
      </c>
    </row>
    <row r="3309" spans="1:33">
      <c r="A3309" t="s">
        <v>7953</v>
      </c>
      <c r="B3309" t="s">
        <v>7954</v>
      </c>
      <c r="F3309" t="str">
        <f t="shared" si="51"/>
        <v>69121</v>
      </c>
      <c r="AG3309" t="s">
        <v>4</v>
      </c>
    </row>
    <row r="3310" spans="1:33">
      <c r="A3310" t="s">
        <v>7955</v>
      </c>
      <c r="B3310" t="s">
        <v>7956</v>
      </c>
      <c r="F3310" t="str">
        <f t="shared" si="51"/>
        <v>69122</v>
      </c>
      <c r="AE3310">
        <v>1101140095007</v>
      </c>
      <c r="AG3310" t="s">
        <v>4</v>
      </c>
    </row>
    <row r="3311" spans="1:33">
      <c r="A3311" t="s">
        <v>7957</v>
      </c>
      <c r="B3311" t="s">
        <v>7958</v>
      </c>
      <c r="F3311" t="str">
        <f t="shared" si="51"/>
        <v>69123</v>
      </c>
      <c r="AG3311" t="s">
        <v>4</v>
      </c>
    </row>
    <row r="3312" spans="1:33">
      <c r="A3312" t="s">
        <v>7959</v>
      </c>
      <c r="B3312" t="s">
        <v>7960</v>
      </c>
      <c r="F3312" t="str">
        <f t="shared" si="51"/>
        <v>69124</v>
      </c>
      <c r="AG3312" t="s">
        <v>4</v>
      </c>
    </row>
    <row r="3313" spans="1:33">
      <c r="A3313" t="s">
        <v>7961</v>
      </c>
      <c r="B3313" t="s">
        <v>7962</v>
      </c>
      <c r="F3313" t="str">
        <f t="shared" si="51"/>
        <v>69125</v>
      </c>
      <c r="AG3313" t="s">
        <v>4</v>
      </c>
    </row>
    <row r="3314" spans="1:33">
      <c r="A3314" t="s">
        <v>7963</v>
      </c>
      <c r="B3314" t="s">
        <v>7964</v>
      </c>
      <c r="F3314" t="str">
        <f t="shared" si="51"/>
        <v>69126</v>
      </c>
      <c r="AG3314" t="s">
        <v>4</v>
      </c>
    </row>
    <row r="3315" spans="1:33">
      <c r="A3315" t="s">
        <v>7965</v>
      </c>
      <c r="B3315" t="s">
        <v>7966</v>
      </c>
      <c r="F3315" t="str">
        <f t="shared" si="51"/>
        <v>69127</v>
      </c>
      <c r="AE3315">
        <v>1101140095263</v>
      </c>
      <c r="AG3315" t="s">
        <v>4</v>
      </c>
    </row>
    <row r="3316" spans="1:33">
      <c r="A3316" t="s">
        <v>7967</v>
      </c>
      <c r="B3316" t="s">
        <v>7968</v>
      </c>
      <c r="F3316" t="str">
        <f t="shared" si="51"/>
        <v>69128</v>
      </c>
      <c r="AG3316" t="s">
        <v>4</v>
      </c>
    </row>
    <row r="3317" spans="1:33">
      <c r="A3317" t="s">
        <v>7969</v>
      </c>
      <c r="B3317" t="s">
        <v>7970</v>
      </c>
      <c r="F3317" t="str">
        <f t="shared" si="51"/>
        <v>69129</v>
      </c>
      <c r="AE3317">
        <v>1101140095560</v>
      </c>
      <c r="AG3317" t="s">
        <v>4</v>
      </c>
    </row>
    <row r="3318" spans="1:33">
      <c r="A3318" t="s">
        <v>7971</v>
      </c>
      <c r="B3318" t="s">
        <v>7972</v>
      </c>
      <c r="F3318" t="str">
        <f t="shared" si="51"/>
        <v>69130</v>
      </c>
      <c r="AE3318">
        <v>1101140092409</v>
      </c>
      <c r="AG3318" t="s">
        <v>4</v>
      </c>
    </row>
    <row r="3319" spans="1:33">
      <c r="A3319" t="s">
        <v>7973</v>
      </c>
      <c r="B3319" t="s">
        <v>7974</v>
      </c>
      <c r="F3319" t="str">
        <f t="shared" si="51"/>
        <v>69131</v>
      </c>
      <c r="AE3319">
        <v>1101140095586</v>
      </c>
      <c r="AG3319" t="s">
        <v>4</v>
      </c>
    </row>
    <row r="3320" spans="1:33">
      <c r="A3320" t="s">
        <v>7975</v>
      </c>
      <c r="B3320" t="s">
        <v>7976</v>
      </c>
      <c r="F3320" t="str">
        <f t="shared" si="51"/>
        <v>69132</v>
      </c>
      <c r="AE3320">
        <v>1101114467258</v>
      </c>
      <c r="AG3320" t="s">
        <v>4</v>
      </c>
    </row>
    <row r="3321" spans="1:33">
      <c r="A3321" t="s">
        <v>7977</v>
      </c>
      <c r="B3321" t="s">
        <v>7978</v>
      </c>
      <c r="F3321" t="str">
        <f t="shared" si="51"/>
        <v>69133</v>
      </c>
      <c r="AG3321" t="s">
        <v>4</v>
      </c>
    </row>
    <row r="3322" spans="1:33">
      <c r="A3322" t="s">
        <v>7979</v>
      </c>
      <c r="B3322" t="s">
        <v>7980</v>
      </c>
      <c r="F3322" t="str">
        <f t="shared" si="51"/>
        <v>69134</v>
      </c>
      <c r="AG3322" t="s">
        <v>4</v>
      </c>
    </row>
    <row r="3323" spans="1:33">
      <c r="A3323" t="s">
        <v>7981</v>
      </c>
      <c r="B3323" t="s">
        <v>7982</v>
      </c>
      <c r="F3323" t="str">
        <f t="shared" si="51"/>
        <v>69135</v>
      </c>
      <c r="AE3323">
        <v>1101114435304</v>
      </c>
      <c r="AG3323" t="s">
        <v>4</v>
      </c>
    </row>
    <row r="3324" spans="1:33">
      <c r="A3324" t="s">
        <v>7983</v>
      </c>
      <c r="B3324" t="s">
        <v>7984</v>
      </c>
      <c r="F3324" t="str">
        <f t="shared" si="51"/>
        <v>69136</v>
      </c>
      <c r="AE3324">
        <v>1101140095833</v>
      </c>
      <c r="AG3324" t="s">
        <v>4</v>
      </c>
    </row>
    <row r="3325" spans="1:33">
      <c r="A3325" t="s">
        <v>7985</v>
      </c>
      <c r="B3325" t="s">
        <v>7986</v>
      </c>
      <c r="F3325" t="str">
        <f t="shared" si="51"/>
        <v>69137</v>
      </c>
      <c r="AG3325" t="s">
        <v>4</v>
      </c>
    </row>
    <row r="3326" spans="1:33">
      <c r="A3326" t="s">
        <v>7987</v>
      </c>
      <c r="B3326" t="s">
        <v>7988</v>
      </c>
      <c r="F3326" t="str">
        <f t="shared" si="51"/>
        <v>69138</v>
      </c>
      <c r="AG3326" t="s">
        <v>4</v>
      </c>
    </row>
    <row r="3327" spans="1:33">
      <c r="A3327" t="s">
        <v>7989</v>
      </c>
      <c r="B3327" t="s">
        <v>7990</v>
      </c>
      <c r="F3327" t="str">
        <f t="shared" si="51"/>
        <v>69139</v>
      </c>
      <c r="AG3327" t="s">
        <v>4</v>
      </c>
    </row>
    <row r="3328" spans="1:33">
      <c r="A3328" t="s">
        <v>7991</v>
      </c>
      <c r="B3328" t="s">
        <v>7992</v>
      </c>
      <c r="F3328" t="str">
        <f t="shared" si="51"/>
        <v>69140</v>
      </c>
      <c r="AG3328" t="s">
        <v>4</v>
      </c>
    </row>
    <row r="3329" spans="1:33">
      <c r="A3329" t="s">
        <v>7993</v>
      </c>
      <c r="B3329" t="s">
        <v>7994</v>
      </c>
      <c r="F3329" t="str">
        <f t="shared" si="51"/>
        <v>69144</v>
      </c>
      <c r="AE3329">
        <v>1101114477679</v>
      </c>
      <c r="AG3329" t="s">
        <v>4</v>
      </c>
    </row>
    <row r="3330" spans="1:33">
      <c r="A3330" t="s">
        <v>7995</v>
      </c>
      <c r="B3330" t="s">
        <v>7996</v>
      </c>
      <c r="F3330" t="str">
        <f t="shared" si="51"/>
        <v>69145</v>
      </c>
      <c r="AE3330">
        <v>1101140096138</v>
      </c>
      <c r="AG3330" t="s">
        <v>4</v>
      </c>
    </row>
    <row r="3331" spans="1:33">
      <c r="A3331" t="s">
        <v>7997</v>
      </c>
      <c r="B3331" t="s">
        <v>7998</v>
      </c>
      <c r="F3331" t="str">
        <f t="shared" si="51"/>
        <v>69146</v>
      </c>
      <c r="AE3331">
        <v>1101140095693</v>
      </c>
      <c r="AG3331" t="s">
        <v>4</v>
      </c>
    </row>
    <row r="3332" spans="1:33">
      <c r="A3332" t="s">
        <v>7999</v>
      </c>
      <c r="B3332" t="s">
        <v>8000</v>
      </c>
      <c r="F3332" t="str">
        <f t="shared" si="51"/>
        <v>69153</v>
      </c>
      <c r="AG3332" t="s">
        <v>4</v>
      </c>
    </row>
    <row r="3333" spans="1:33">
      <c r="A3333" t="s">
        <v>8001</v>
      </c>
      <c r="B3333" t="s">
        <v>8002</v>
      </c>
      <c r="F3333" t="str">
        <f t="shared" si="51"/>
        <v>69154</v>
      </c>
      <c r="AG3333" t="s">
        <v>4</v>
      </c>
    </row>
    <row r="3334" spans="1:33">
      <c r="A3334" t="s">
        <v>8003</v>
      </c>
      <c r="B3334" t="s">
        <v>8004</v>
      </c>
      <c r="F3334" t="str">
        <f t="shared" si="51"/>
        <v>69155</v>
      </c>
      <c r="AE3334">
        <v>1101140096302</v>
      </c>
      <c r="AG3334" t="s">
        <v>4</v>
      </c>
    </row>
    <row r="3335" spans="1:33">
      <c r="A3335" t="s">
        <v>8005</v>
      </c>
      <c r="B3335" t="s">
        <v>8006</v>
      </c>
      <c r="F3335" t="str">
        <f t="shared" si="51"/>
        <v>69156</v>
      </c>
      <c r="AG3335" t="s">
        <v>4</v>
      </c>
    </row>
    <row r="3336" spans="1:33">
      <c r="A3336" t="s">
        <v>8007</v>
      </c>
      <c r="B3336" t="s">
        <v>8008</v>
      </c>
      <c r="F3336" t="str">
        <f t="shared" si="51"/>
        <v>69157</v>
      </c>
      <c r="AE3336">
        <v>1101114411429</v>
      </c>
      <c r="AG3336" t="s">
        <v>4</v>
      </c>
    </row>
    <row r="3337" spans="1:33">
      <c r="A3337" t="s">
        <v>8009</v>
      </c>
      <c r="B3337" t="s">
        <v>8010</v>
      </c>
      <c r="F3337" t="str">
        <f t="shared" si="51"/>
        <v>69158</v>
      </c>
      <c r="AG3337" t="s">
        <v>4</v>
      </c>
    </row>
    <row r="3338" spans="1:33">
      <c r="A3338" t="s">
        <v>8011</v>
      </c>
      <c r="B3338" t="s">
        <v>8012</v>
      </c>
      <c r="F3338" t="str">
        <f t="shared" ref="F3338:F3401" si="52">CHOOSE($C$1, A3338, B3338)</f>
        <v>69159</v>
      </c>
      <c r="AG3338" t="s">
        <v>4</v>
      </c>
    </row>
    <row r="3339" spans="1:33">
      <c r="A3339" t="s">
        <v>8013</v>
      </c>
      <c r="B3339" t="s">
        <v>8014</v>
      </c>
      <c r="F3339" t="str">
        <f t="shared" si="52"/>
        <v>69160</v>
      </c>
      <c r="AE3339">
        <v>1101140096708</v>
      </c>
      <c r="AG3339" t="s">
        <v>4</v>
      </c>
    </row>
    <row r="3340" spans="1:33">
      <c r="A3340" t="s">
        <v>8015</v>
      </c>
      <c r="B3340" t="s">
        <v>8016</v>
      </c>
      <c r="F3340" t="str">
        <f t="shared" si="52"/>
        <v>69161</v>
      </c>
      <c r="AE3340">
        <v>1101140096930</v>
      </c>
      <c r="AG3340" t="s">
        <v>4</v>
      </c>
    </row>
    <row r="3341" spans="1:33">
      <c r="A3341" t="s">
        <v>8017</v>
      </c>
      <c r="B3341" t="s">
        <v>8018</v>
      </c>
      <c r="F3341" t="str">
        <f t="shared" si="52"/>
        <v>69162</v>
      </c>
      <c r="AG3341" t="s">
        <v>4</v>
      </c>
    </row>
    <row r="3342" spans="1:33">
      <c r="A3342" t="s">
        <v>8019</v>
      </c>
      <c r="B3342" t="s">
        <v>8020</v>
      </c>
      <c r="F3342" t="str">
        <f t="shared" si="52"/>
        <v>69163</v>
      </c>
      <c r="AG3342" t="s">
        <v>4</v>
      </c>
    </row>
    <row r="3343" spans="1:33">
      <c r="A3343" t="s">
        <v>8021</v>
      </c>
      <c r="B3343" t="s">
        <v>8022</v>
      </c>
      <c r="F3343" t="str">
        <f t="shared" si="52"/>
        <v>69164</v>
      </c>
      <c r="AE3343">
        <v>1101114485630</v>
      </c>
      <c r="AG3343" t="s">
        <v>4</v>
      </c>
    </row>
    <row r="3344" spans="1:33">
      <c r="A3344" t="s">
        <v>8023</v>
      </c>
      <c r="B3344" t="s">
        <v>8024</v>
      </c>
      <c r="F3344" t="str">
        <f t="shared" si="52"/>
        <v>69165</v>
      </c>
      <c r="AE3344">
        <v>1101114491471</v>
      </c>
      <c r="AG3344" t="s">
        <v>4</v>
      </c>
    </row>
    <row r="3345" spans="1:33">
      <c r="A3345" t="s">
        <v>8025</v>
      </c>
      <c r="B3345" t="s">
        <v>8026</v>
      </c>
      <c r="F3345" t="str">
        <f t="shared" si="52"/>
        <v>69166</v>
      </c>
      <c r="AE3345">
        <v>1101140097079</v>
      </c>
      <c r="AG3345" t="s">
        <v>4</v>
      </c>
    </row>
    <row r="3346" spans="1:33">
      <c r="A3346" t="s">
        <v>8027</v>
      </c>
      <c r="B3346" t="s">
        <v>8028</v>
      </c>
      <c r="F3346" t="str">
        <f t="shared" si="52"/>
        <v>69167</v>
      </c>
      <c r="AE3346">
        <v>1101140097087</v>
      </c>
      <c r="AG3346" t="s">
        <v>4</v>
      </c>
    </row>
    <row r="3347" spans="1:33">
      <c r="A3347" t="s">
        <v>8029</v>
      </c>
      <c r="B3347" t="s">
        <v>8030</v>
      </c>
      <c r="F3347" t="str">
        <f t="shared" si="52"/>
        <v>69168</v>
      </c>
      <c r="AG3347" t="s">
        <v>4</v>
      </c>
    </row>
    <row r="3348" spans="1:33">
      <c r="A3348" t="s">
        <v>8031</v>
      </c>
      <c r="B3348" t="s">
        <v>8032</v>
      </c>
      <c r="F3348" t="str">
        <f t="shared" si="52"/>
        <v>69169</v>
      </c>
      <c r="AE3348">
        <v>1101114495936</v>
      </c>
      <c r="AG3348" t="s">
        <v>4</v>
      </c>
    </row>
    <row r="3349" spans="1:33">
      <c r="A3349" t="s">
        <v>8033</v>
      </c>
      <c r="B3349" t="s">
        <v>8034</v>
      </c>
      <c r="F3349" t="str">
        <f t="shared" si="52"/>
        <v>69170</v>
      </c>
      <c r="AE3349">
        <v>1101114494136</v>
      </c>
      <c r="AG3349" t="s">
        <v>4</v>
      </c>
    </row>
    <row r="3350" spans="1:33">
      <c r="A3350" t="s">
        <v>8035</v>
      </c>
      <c r="B3350" t="s">
        <v>8036</v>
      </c>
      <c r="F3350" t="str">
        <f t="shared" si="52"/>
        <v>69171</v>
      </c>
      <c r="AG3350" t="s">
        <v>4</v>
      </c>
    </row>
    <row r="3351" spans="1:33">
      <c r="A3351" t="s">
        <v>8037</v>
      </c>
      <c r="B3351" t="s">
        <v>8038</v>
      </c>
      <c r="F3351" t="str">
        <f t="shared" si="52"/>
        <v>69172</v>
      </c>
      <c r="AG3351" t="s">
        <v>4</v>
      </c>
    </row>
    <row r="3352" spans="1:33">
      <c r="A3352" t="s">
        <v>8039</v>
      </c>
      <c r="B3352" t="s">
        <v>8040</v>
      </c>
      <c r="F3352" t="str">
        <f t="shared" si="52"/>
        <v>69173</v>
      </c>
      <c r="AE3352">
        <v>1101140087707</v>
      </c>
      <c r="AG3352" t="s">
        <v>4</v>
      </c>
    </row>
    <row r="3353" spans="1:33">
      <c r="A3353" t="s">
        <v>8041</v>
      </c>
      <c r="B3353" t="s">
        <v>8042</v>
      </c>
      <c r="F3353" t="str">
        <f t="shared" si="52"/>
        <v>69174</v>
      </c>
      <c r="AE3353">
        <v>1101140097920</v>
      </c>
      <c r="AG3353" t="s">
        <v>4</v>
      </c>
    </row>
    <row r="3354" spans="1:33">
      <c r="A3354" t="s">
        <v>8043</v>
      </c>
      <c r="B3354" t="s">
        <v>8044</v>
      </c>
      <c r="F3354" t="str">
        <f t="shared" si="52"/>
        <v>69183</v>
      </c>
      <c r="AG3354" t="s">
        <v>4</v>
      </c>
    </row>
    <row r="3355" spans="1:33">
      <c r="A3355" t="s">
        <v>8045</v>
      </c>
      <c r="B3355" t="s">
        <v>8046</v>
      </c>
      <c r="F3355" t="str">
        <f t="shared" si="52"/>
        <v>69189</v>
      </c>
      <c r="AG3355" t="s">
        <v>4</v>
      </c>
    </row>
    <row r="3356" spans="1:33">
      <c r="A3356" t="s">
        <v>8047</v>
      </c>
      <c r="B3356" t="s">
        <v>8048</v>
      </c>
      <c r="F3356" t="str">
        <f t="shared" si="52"/>
        <v>69190</v>
      </c>
      <c r="AE3356">
        <v>1101114533372</v>
      </c>
      <c r="AG3356" t="s">
        <v>4</v>
      </c>
    </row>
    <row r="3357" spans="1:33">
      <c r="A3357" t="s">
        <v>8049</v>
      </c>
      <c r="B3357" t="s">
        <v>8050</v>
      </c>
      <c r="F3357" t="str">
        <f t="shared" si="52"/>
        <v>69209</v>
      </c>
      <c r="AG3357" t="s">
        <v>4</v>
      </c>
    </row>
    <row r="3358" spans="1:33">
      <c r="A3358" t="s">
        <v>8051</v>
      </c>
      <c r="B3358" t="s">
        <v>8052</v>
      </c>
      <c r="F3358" t="str">
        <f t="shared" si="52"/>
        <v>69230</v>
      </c>
      <c r="AG3358" t="s">
        <v>4</v>
      </c>
    </row>
    <row r="3359" spans="1:33">
      <c r="A3359" t="s">
        <v>8053</v>
      </c>
      <c r="B3359" t="s">
        <v>8054</v>
      </c>
      <c r="F3359" t="str">
        <f t="shared" si="52"/>
        <v>69253</v>
      </c>
      <c r="AG3359" t="s">
        <v>4</v>
      </c>
    </row>
    <row r="3360" spans="1:33">
      <c r="A3360" t="s">
        <v>8055</v>
      </c>
      <c r="B3360" t="s">
        <v>8056</v>
      </c>
      <c r="F3360" t="str">
        <f t="shared" si="52"/>
        <v>69254</v>
      </c>
      <c r="AG3360" t="s">
        <v>4</v>
      </c>
    </row>
    <row r="3361" spans="1:33">
      <c r="A3361" t="s">
        <v>8057</v>
      </c>
      <c r="B3361" t="s">
        <v>8058</v>
      </c>
      <c r="F3361" t="str">
        <f t="shared" si="52"/>
        <v>69261</v>
      </c>
      <c r="AG3361" t="s">
        <v>4</v>
      </c>
    </row>
    <row r="3362" spans="1:33">
      <c r="A3362" t="s">
        <v>8059</v>
      </c>
      <c r="B3362" t="s">
        <v>8060</v>
      </c>
      <c r="F3362" t="str">
        <f t="shared" si="52"/>
        <v>69276</v>
      </c>
      <c r="AG3362" t="s">
        <v>4</v>
      </c>
    </row>
    <row r="3363" spans="1:33">
      <c r="A3363" t="s">
        <v>8061</v>
      </c>
      <c r="B3363" t="s">
        <v>8062</v>
      </c>
      <c r="F3363" t="str">
        <f t="shared" si="52"/>
        <v>69277</v>
      </c>
      <c r="AG3363" t="s">
        <v>4</v>
      </c>
    </row>
    <row r="3364" spans="1:33">
      <c r="A3364" t="s">
        <v>8063</v>
      </c>
      <c r="B3364" t="s">
        <v>8064</v>
      </c>
      <c r="F3364" t="str">
        <f t="shared" si="52"/>
        <v>69278</v>
      </c>
      <c r="AG3364" t="s">
        <v>4</v>
      </c>
    </row>
    <row r="3365" spans="1:33">
      <c r="A3365" t="s">
        <v>8065</v>
      </c>
      <c r="B3365" t="s">
        <v>8066</v>
      </c>
      <c r="F3365" t="str">
        <f t="shared" si="52"/>
        <v>69279</v>
      </c>
      <c r="AG3365" t="s">
        <v>4</v>
      </c>
    </row>
    <row r="3366" spans="1:33">
      <c r="A3366" t="s">
        <v>8067</v>
      </c>
      <c r="B3366" t="s">
        <v>8068</v>
      </c>
      <c r="F3366" t="str">
        <f t="shared" si="52"/>
        <v>69280</v>
      </c>
      <c r="AG3366" t="s">
        <v>4</v>
      </c>
    </row>
    <row r="3367" spans="1:33">
      <c r="A3367" t="s">
        <v>8069</v>
      </c>
      <c r="B3367" t="s">
        <v>8070</v>
      </c>
      <c r="F3367" t="str">
        <f t="shared" si="52"/>
        <v>69281</v>
      </c>
      <c r="AG3367" t="s">
        <v>4</v>
      </c>
    </row>
    <row r="3368" spans="1:33">
      <c r="A3368" t="s">
        <v>8071</v>
      </c>
      <c r="B3368" t="s">
        <v>8072</v>
      </c>
      <c r="F3368" t="str">
        <f t="shared" si="52"/>
        <v>69282</v>
      </c>
      <c r="AE3368">
        <v>1101140098803</v>
      </c>
      <c r="AG3368" t="s">
        <v>4</v>
      </c>
    </row>
    <row r="3369" spans="1:33">
      <c r="A3369" t="s">
        <v>8073</v>
      </c>
      <c r="B3369" t="s">
        <v>8074</v>
      </c>
      <c r="F3369" t="str">
        <f t="shared" si="52"/>
        <v>69283</v>
      </c>
      <c r="AE3369">
        <v>1101140099017</v>
      </c>
      <c r="AG3369" t="s">
        <v>4</v>
      </c>
    </row>
    <row r="3370" spans="1:33">
      <c r="A3370" t="s">
        <v>8075</v>
      </c>
      <c r="B3370" t="s">
        <v>8076</v>
      </c>
      <c r="F3370" t="str">
        <f t="shared" si="52"/>
        <v>69284</v>
      </c>
      <c r="AE3370">
        <v>1101114550574</v>
      </c>
      <c r="AG3370" t="s">
        <v>4</v>
      </c>
    </row>
    <row r="3371" spans="1:33">
      <c r="A3371" t="s">
        <v>8077</v>
      </c>
      <c r="B3371" t="s">
        <v>8078</v>
      </c>
      <c r="F3371" t="str">
        <f t="shared" si="52"/>
        <v>69291</v>
      </c>
      <c r="AE3371">
        <v>1101114561274</v>
      </c>
      <c r="AG3371" t="s">
        <v>4</v>
      </c>
    </row>
    <row r="3372" spans="1:33">
      <c r="A3372" t="s">
        <v>8079</v>
      </c>
      <c r="B3372" t="s">
        <v>8080</v>
      </c>
      <c r="F3372" t="str">
        <f t="shared" si="52"/>
        <v>69301</v>
      </c>
      <c r="AE3372">
        <v>1101140087955</v>
      </c>
      <c r="AG3372" t="s">
        <v>4</v>
      </c>
    </row>
    <row r="3373" spans="1:33">
      <c r="A3373" t="s">
        <v>8081</v>
      </c>
      <c r="B3373" t="s">
        <v>8082</v>
      </c>
      <c r="F3373" t="str">
        <f t="shared" si="52"/>
        <v>69307</v>
      </c>
      <c r="AG3373" t="s">
        <v>4</v>
      </c>
    </row>
    <row r="3374" spans="1:33">
      <c r="A3374" t="s">
        <v>8083</v>
      </c>
      <c r="B3374" t="s">
        <v>8084</v>
      </c>
      <c r="F3374" t="str">
        <f t="shared" si="52"/>
        <v>69308</v>
      </c>
      <c r="AG3374" t="s">
        <v>4</v>
      </c>
    </row>
    <row r="3375" spans="1:33">
      <c r="A3375" t="s">
        <v>8085</v>
      </c>
      <c r="B3375" t="s">
        <v>8086</v>
      </c>
      <c r="F3375" t="str">
        <f t="shared" si="52"/>
        <v>69309</v>
      </c>
      <c r="AG3375" t="s">
        <v>4</v>
      </c>
    </row>
    <row r="3376" spans="1:33">
      <c r="A3376" t="s">
        <v>8087</v>
      </c>
      <c r="B3376" t="s">
        <v>8088</v>
      </c>
      <c r="F3376" t="str">
        <f t="shared" si="52"/>
        <v>69310</v>
      </c>
      <c r="AG3376" t="s">
        <v>4</v>
      </c>
    </row>
    <row r="3377" spans="1:33">
      <c r="A3377" t="s">
        <v>8089</v>
      </c>
      <c r="B3377" t="s">
        <v>8090</v>
      </c>
      <c r="F3377" t="str">
        <f t="shared" si="52"/>
        <v>69311</v>
      </c>
      <c r="AG3377" t="s">
        <v>4</v>
      </c>
    </row>
    <row r="3378" spans="1:33">
      <c r="A3378" t="s">
        <v>8091</v>
      </c>
      <c r="B3378" t="s">
        <v>8092</v>
      </c>
      <c r="F3378" t="str">
        <f t="shared" si="52"/>
        <v>69312</v>
      </c>
      <c r="AE3378">
        <v>1101140099489</v>
      </c>
      <c r="AG3378" t="s">
        <v>4</v>
      </c>
    </row>
    <row r="3379" spans="1:33">
      <c r="A3379" t="s">
        <v>8093</v>
      </c>
      <c r="B3379" t="s">
        <v>8094</v>
      </c>
      <c r="F3379" t="str">
        <f t="shared" si="52"/>
        <v>69313</v>
      </c>
      <c r="AG3379" t="s">
        <v>4</v>
      </c>
    </row>
    <row r="3380" spans="1:33">
      <c r="A3380" t="s">
        <v>8095</v>
      </c>
      <c r="B3380" t="s">
        <v>8096</v>
      </c>
      <c r="F3380" t="str">
        <f t="shared" si="52"/>
        <v>69314</v>
      </c>
      <c r="AE3380">
        <v>1101140099637</v>
      </c>
      <c r="AG3380" t="s">
        <v>4</v>
      </c>
    </row>
    <row r="3381" spans="1:33">
      <c r="A3381" t="s">
        <v>8097</v>
      </c>
      <c r="B3381" t="s">
        <v>8098</v>
      </c>
      <c r="F3381" t="str">
        <f t="shared" si="52"/>
        <v>69315</v>
      </c>
      <c r="AG3381" t="s">
        <v>4</v>
      </c>
    </row>
    <row r="3382" spans="1:33">
      <c r="A3382" t="s">
        <v>8099</v>
      </c>
      <c r="B3382" t="s">
        <v>8100</v>
      </c>
      <c r="F3382" t="str">
        <f t="shared" si="52"/>
        <v>69316</v>
      </c>
      <c r="AE3382">
        <v>1101140100567</v>
      </c>
      <c r="AG3382" t="s">
        <v>4</v>
      </c>
    </row>
    <row r="3383" spans="1:33">
      <c r="A3383" t="s">
        <v>8101</v>
      </c>
      <c r="B3383" t="s">
        <v>8102</v>
      </c>
      <c r="F3383" t="str">
        <f t="shared" si="52"/>
        <v>69317</v>
      </c>
      <c r="AE3383">
        <v>1101114328179</v>
      </c>
      <c r="AG3383" t="s">
        <v>4</v>
      </c>
    </row>
    <row r="3384" spans="1:33">
      <c r="A3384" t="s">
        <v>8103</v>
      </c>
      <c r="B3384" t="s">
        <v>8104</v>
      </c>
      <c r="F3384" t="str">
        <f t="shared" si="52"/>
        <v>69318</v>
      </c>
      <c r="AG3384" t="s">
        <v>4</v>
      </c>
    </row>
    <row r="3385" spans="1:33">
      <c r="A3385" t="s">
        <v>8105</v>
      </c>
      <c r="B3385" t="s">
        <v>8106</v>
      </c>
      <c r="F3385" t="str">
        <f t="shared" si="52"/>
        <v>69319</v>
      </c>
      <c r="AE3385">
        <v>1101140101268</v>
      </c>
      <c r="AG3385" t="s">
        <v>4</v>
      </c>
    </row>
    <row r="3386" spans="1:33">
      <c r="A3386" t="s">
        <v>8107</v>
      </c>
      <c r="B3386" t="s">
        <v>8108</v>
      </c>
      <c r="F3386" t="str">
        <f t="shared" si="52"/>
        <v>69320</v>
      </c>
      <c r="AG3386" t="s">
        <v>4</v>
      </c>
    </row>
    <row r="3387" spans="1:33">
      <c r="A3387" t="s">
        <v>8109</v>
      </c>
      <c r="B3387" t="s">
        <v>8110</v>
      </c>
      <c r="F3387" t="str">
        <f t="shared" si="52"/>
        <v>69321</v>
      </c>
      <c r="AG3387" t="s">
        <v>4</v>
      </c>
    </row>
    <row r="3388" spans="1:33">
      <c r="A3388" t="s">
        <v>8111</v>
      </c>
      <c r="B3388" t="s">
        <v>8112</v>
      </c>
      <c r="F3388" t="str">
        <f t="shared" si="52"/>
        <v>69322</v>
      </c>
      <c r="AE3388">
        <v>1101140101424</v>
      </c>
      <c r="AG3388" t="s">
        <v>4</v>
      </c>
    </row>
    <row r="3389" spans="1:33">
      <c r="A3389" t="s">
        <v>8113</v>
      </c>
      <c r="B3389" t="s">
        <v>8114</v>
      </c>
      <c r="F3389" t="str">
        <f t="shared" si="52"/>
        <v>69323</v>
      </c>
      <c r="AG3389" t="s">
        <v>4</v>
      </c>
    </row>
    <row r="3390" spans="1:33">
      <c r="A3390" t="s">
        <v>8115</v>
      </c>
      <c r="B3390" t="s">
        <v>8116</v>
      </c>
      <c r="F3390" t="str">
        <f t="shared" si="52"/>
        <v>69324</v>
      </c>
      <c r="AG3390" t="s">
        <v>4</v>
      </c>
    </row>
    <row r="3391" spans="1:33">
      <c r="A3391" t="s">
        <v>8117</v>
      </c>
      <c r="B3391" t="s">
        <v>8118</v>
      </c>
      <c r="F3391" t="str">
        <f t="shared" si="52"/>
        <v>69325</v>
      </c>
      <c r="AE3391">
        <v>1101140101458</v>
      </c>
      <c r="AG3391" t="s">
        <v>4</v>
      </c>
    </row>
    <row r="3392" spans="1:33">
      <c r="A3392" t="s">
        <v>8119</v>
      </c>
      <c r="B3392" t="s">
        <v>8120</v>
      </c>
      <c r="F3392" t="str">
        <f t="shared" si="52"/>
        <v>69326</v>
      </c>
      <c r="AE3392">
        <v>1101140101276</v>
      </c>
      <c r="AG3392" t="s">
        <v>4</v>
      </c>
    </row>
    <row r="3393" spans="1:33">
      <c r="A3393" t="s">
        <v>8121</v>
      </c>
      <c r="B3393" t="s">
        <v>8122</v>
      </c>
      <c r="F3393" t="str">
        <f t="shared" si="52"/>
        <v>69327</v>
      </c>
      <c r="AE3393">
        <v>1101140101284</v>
      </c>
      <c r="AG3393" t="s">
        <v>4</v>
      </c>
    </row>
    <row r="3394" spans="1:33">
      <c r="A3394" t="s">
        <v>8123</v>
      </c>
      <c r="B3394" t="s">
        <v>8124</v>
      </c>
      <c r="F3394" t="str">
        <f t="shared" si="52"/>
        <v>69328</v>
      </c>
      <c r="AE3394">
        <v>1101140101507</v>
      </c>
      <c r="AG3394" t="s">
        <v>4</v>
      </c>
    </row>
    <row r="3395" spans="1:33">
      <c r="A3395" t="s">
        <v>8125</v>
      </c>
      <c r="B3395" t="s">
        <v>8126</v>
      </c>
      <c r="F3395" t="str">
        <f t="shared" si="52"/>
        <v>69331</v>
      </c>
      <c r="AE3395">
        <v>1101140100591</v>
      </c>
      <c r="AG3395" t="s">
        <v>4</v>
      </c>
    </row>
    <row r="3396" spans="1:33">
      <c r="A3396" t="s">
        <v>8127</v>
      </c>
      <c r="B3396" t="s">
        <v>8128</v>
      </c>
      <c r="F3396" t="str">
        <f t="shared" si="52"/>
        <v>69332</v>
      </c>
      <c r="AG3396" t="s">
        <v>4</v>
      </c>
    </row>
    <row r="3397" spans="1:33">
      <c r="A3397" t="s">
        <v>8129</v>
      </c>
      <c r="B3397" t="s">
        <v>8130</v>
      </c>
      <c r="F3397" t="str">
        <f t="shared" si="52"/>
        <v>69333</v>
      </c>
      <c r="AE3397">
        <v>1101140101549</v>
      </c>
      <c r="AG3397" t="s">
        <v>4</v>
      </c>
    </row>
    <row r="3398" spans="1:33">
      <c r="A3398" t="s">
        <v>8131</v>
      </c>
      <c r="B3398" t="s">
        <v>8132</v>
      </c>
      <c r="F3398" t="str">
        <f t="shared" si="52"/>
        <v>69334</v>
      </c>
      <c r="AE3398">
        <v>1101140101995</v>
      </c>
      <c r="AG3398" t="s">
        <v>4</v>
      </c>
    </row>
    <row r="3399" spans="1:33">
      <c r="A3399" t="s">
        <v>8133</v>
      </c>
      <c r="B3399" t="s">
        <v>8134</v>
      </c>
      <c r="F3399" t="str">
        <f t="shared" si="52"/>
        <v>69335</v>
      </c>
      <c r="AE3399">
        <v>1101140102323</v>
      </c>
      <c r="AG3399" t="s">
        <v>4</v>
      </c>
    </row>
    <row r="3400" spans="1:33">
      <c r="A3400" t="s">
        <v>8135</v>
      </c>
      <c r="B3400" t="s">
        <v>8136</v>
      </c>
      <c r="F3400" t="str">
        <f t="shared" si="52"/>
        <v>69336</v>
      </c>
      <c r="AE3400">
        <v>1101140102357</v>
      </c>
      <c r="AG3400" t="s">
        <v>4</v>
      </c>
    </row>
    <row r="3401" spans="1:33">
      <c r="A3401" t="s">
        <v>8137</v>
      </c>
      <c r="B3401" t="s">
        <v>8138</v>
      </c>
      <c r="F3401" t="str">
        <f t="shared" si="52"/>
        <v>69337</v>
      </c>
      <c r="AE3401">
        <v>1101140101854</v>
      </c>
      <c r="AG3401" t="s">
        <v>4</v>
      </c>
    </row>
    <row r="3402" spans="1:33">
      <c r="A3402" t="s">
        <v>8139</v>
      </c>
      <c r="B3402" t="s">
        <v>8140</v>
      </c>
      <c r="F3402" t="str">
        <f t="shared" ref="F3402:F3465" si="53">CHOOSE($C$1, A3402, B3402)</f>
        <v>69338</v>
      </c>
      <c r="AG3402" t="s">
        <v>4</v>
      </c>
    </row>
    <row r="3403" spans="1:33">
      <c r="A3403" t="s">
        <v>8141</v>
      </c>
      <c r="B3403" t="s">
        <v>8142</v>
      </c>
      <c r="F3403" t="str">
        <f t="shared" si="53"/>
        <v>69339</v>
      </c>
      <c r="AG3403" t="s">
        <v>4</v>
      </c>
    </row>
    <row r="3404" spans="1:33">
      <c r="A3404" t="s">
        <v>8143</v>
      </c>
      <c r="B3404" t="s">
        <v>8144</v>
      </c>
      <c r="F3404" t="str">
        <f t="shared" si="53"/>
        <v>69353</v>
      </c>
      <c r="AE3404">
        <v>1101140102878</v>
      </c>
      <c r="AG3404" t="s">
        <v>4</v>
      </c>
    </row>
    <row r="3405" spans="1:33">
      <c r="A3405" t="s">
        <v>8145</v>
      </c>
      <c r="B3405" t="s">
        <v>8146</v>
      </c>
      <c r="F3405" t="str">
        <f t="shared" si="53"/>
        <v>69354</v>
      </c>
      <c r="AE3405">
        <v>1101140102860</v>
      </c>
      <c r="AG3405" t="s">
        <v>4</v>
      </c>
    </row>
    <row r="3406" spans="1:33">
      <c r="A3406" t="s">
        <v>8147</v>
      </c>
      <c r="B3406" t="s">
        <v>8148</v>
      </c>
      <c r="F3406" t="str">
        <f t="shared" si="53"/>
        <v>69357</v>
      </c>
      <c r="AE3406">
        <v>1101114611475</v>
      </c>
      <c r="AG3406" t="s">
        <v>4</v>
      </c>
    </row>
    <row r="3407" spans="1:33">
      <c r="A3407" t="s">
        <v>8149</v>
      </c>
      <c r="B3407" t="s">
        <v>8150</v>
      </c>
      <c r="F3407" t="str">
        <f t="shared" si="53"/>
        <v>69358</v>
      </c>
      <c r="AE3407">
        <v>1101140103280</v>
      </c>
      <c r="AG3407" t="s">
        <v>4</v>
      </c>
    </row>
    <row r="3408" spans="1:33">
      <c r="A3408" t="s">
        <v>8151</v>
      </c>
      <c r="B3408" t="s">
        <v>8152</v>
      </c>
      <c r="F3408" t="str">
        <f t="shared" si="53"/>
        <v>69359</v>
      </c>
      <c r="AE3408">
        <v>1101140103298</v>
      </c>
      <c r="AG3408" t="s">
        <v>4</v>
      </c>
    </row>
    <row r="3409" spans="1:33">
      <c r="A3409" t="s">
        <v>8153</v>
      </c>
      <c r="B3409" t="s">
        <v>8154</v>
      </c>
      <c r="F3409" t="str">
        <f t="shared" si="53"/>
        <v>69360</v>
      </c>
      <c r="AE3409">
        <v>1101114673631</v>
      </c>
      <c r="AG3409" t="s">
        <v>4</v>
      </c>
    </row>
    <row r="3410" spans="1:33">
      <c r="A3410" t="s">
        <v>8155</v>
      </c>
      <c r="B3410" t="s">
        <v>8156</v>
      </c>
      <c r="F3410" t="str">
        <f t="shared" si="53"/>
        <v>69361</v>
      </c>
      <c r="AE3410">
        <v>1101140103339</v>
      </c>
      <c r="AG3410" t="s">
        <v>4</v>
      </c>
    </row>
    <row r="3411" spans="1:33">
      <c r="A3411" t="s">
        <v>8157</v>
      </c>
      <c r="B3411" t="s">
        <v>8158</v>
      </c>
      <c r="F3411" t="str">
        <f t="shared" si="53"/>
        <v>69362</v>
      </c>
      <c r="AE3411">
        <v>1101140102977</v>
      </c>
      <c r="AG3411" t="s">
        <v>4</v>
      </c>
    </row>
    <row r="3412" spans="1:33">
      <c r="A3412" t="s">
        <v>8159</v>
      </c>
      <c r="B3412" t="s">
        <v>8160</v>
      </c>
      <c r="F3412" t="str">
        <f t="shared" si="53"/>
        <v>69363</v>
      </c>
      <c r="AE3412">
        <v>1101140103678</v>
      </c>
      <c r="AG3412" t="s">
        <v>4</v>
      </c>
    </row>
    <row r="3413" spans="1:33">
      <c r="A3413" t="s">
        <v>8161</v>
      </c>
      <c r="B3413" t="s">
        <v>8162</v>
      </c>
      <c r="F3413" t="str">
        <f t="shared" si="53"/>
        <v>69364</v>
      </c>
      <c r="AE3413">
        <v>1101140103610</v>
      </c>
      <c r="AG3413" t="s">
        <v>4</v>
      </c>
    </row>
    <row r="3414" spans="1:33">
      <c r="A3414" t="s">
        <v>8163</v>
      </c>
      <c r="B3414" t="s">
        <v>8164</v>
      </c>
      <c r="F3414" t="str">
        <f t="shared" si="53"/>
        <v>69365</v>
      </c>
      <c r="AE3414">
        <v>1101114689802</v>
      </c>
      <c r="AG3414" t="s">
        <v>4</v>
      </c>
    </row>
    <row r="3415" spans="1:33">
      <c r="A3415" t="s">
        <v>8165</v>
      </c>
      <c r="B3415" t="s">
        <v>8166</v>
      </c>
      <c r="F3415" t="str">
        <f t="shared" si="53"/>
        <v>69366</v>
      </c>
      <c r="AG3415" t="s">
        <v>4</v>
      </c>
    </row>
    <row r="3416" spans="1:33">
      <c r="A3416" t="s">
        <v>8167</v>
      </c>
      <c r="B3416" t="s">
        <v>8168</v>
      </c>
      <c r="F3416" t="str">
        <f t="shared" si="53"/>
        <v>69367</v>
      </c>
      <c r="AG3416" t="s">
        <v>4</v>
      </c>
    </row>
    <row r="3417" spans="1:33">
      <c r="A3417" t="s">
        <v>8169</v>
      </c>
      <c r="B3417" t="s">
        <v>8170</v>
      </c>
      <c r="F3417" t="str">
        <f t="shared" si="53"/>
        <v>69368</v>
      </c>
      <c r="AE3417">
        <v>1101140104072</v>
      </c>
      <c r="AG3417" t="s">
        <v>4</v>
      </c>
    </row>
    <row r="3418" spans="1:33">
      <c r="A3418" t="s">
        <v>8171</v>
      </c>
      <c r="B3418" t="s">
        <v>8172</v>
      </c>
      <c r="F3418" t="str">
        <f t="shared" si="53"/>
        <v>69369</v>
      </c>
      <c r="AE3418">
        <v>1101140104288</v>
      </c>
      <c r="AG3418" t="s">
        <v>4</v>
      </c>
    </row>
    <row r="3419" spans="1:33">
      <c r="A3419" t="s">
        <v>8173</v>
      </c>
      <c r="B3419" t="s">
        <v>8174</v>
      </c>
      <c r="F3419" t="str">
        <f t="shared" si="53"/>
        <v>69370</v>
      </c>
      <c r="AE3419">
        <v>1101140105020</v>
      </c>
      <c r="AG3419" t="s">
        <v>4</v>
      </c>
    </row>
    <row r="3420" spans="1:33">
      <c r="A3420" t="s">
        <v>8175</v>
      </c>
      <c r="B3420" t="s">
        <v>8176</v>
      </c>
      <c r="F3420" t="str">
        <f t="shared" si="53"/>
        <v>69371</v>
      </c>
      <c r="AE3420">
        <v>1101140105012</v>
      </c>
      <c r="AG3420" t="s">
        <v>4</v>
      </c>
    </row>
    <row r="3421" spans="1:33">
      <c r="A3421" t="s">
        <v>8177</v>
      </c>
      <c r="B3421" t="s">
        <v>8178</v>
      </c>
      <c r="F3421" t="str">
        <f t="shared" si="53"/>
        <v>69372</v>
      </c>
      <c r="AE3421">
        <v>1101114708438</v>
      </c>
      <c r="AG3421" t="s">
        <v>4</v>
      </c>
    </row>
    <row r="3422" spans="1:33">
      <c r="A3422" t="s">
        <v>8179</v>
      </c>
      <c r="B3422" t="s">
        <v>8180</v>
      </c>
      <c r="F3422" t="str">
        <f t="shared" si="53"/>
        <v>69373</v>
      </c>
      <c r="AE3422">
        <v>1101114713536</v>
      </c>
      <c r="AG3422" t="s">
        <v>4</v>
      </c>
    </row>
    <row r="3423" spans="1:33">
      <c r="A3423" t="s">
        <v>8181</v>
      </c>
      <c r="B3423" t="s">
        <v>8182</v>
      </c>
      <c r="F3423" t="str">
        <f t="shared" si="53"/>
        <v>69374</v>
      </c>
      <c r="AG3423" t="s">
        <v>4</v>
      </c>
    </row>
    <row r="3424" spans="1:33">
      <c r="A3424" t="s">
        <v>8183</v>
      </c>
      <c r="B3424" t="s">
        <v>8184</v>
      </c>
      <c r="F3424" t="str">
        <f t="shared" si="53"/>
        <v>69375</v>
      </c>
      <c r="AG3424" t="s">
        <v>4</v>
      </c>
    </row>
    <row r="3425" spans="1:33">
      <c r="A3425" t="s">
        <v>8185</v>
      </c>
      <c r="B3425" t="s">
        <v>8186</v>
      </c>
      <c r="F3425" t="str">
        <f t="shared" si="53"/>
        <v>69376</v>
      </c>
      <c r="AG3425" t="s">
        <v>4</v>
      </c>
    </row>
    <row r="3426" spans="1:33">
      <c r="A3426" t="s">
        <v>8187</v>
      </c>
      <c r="B3426" t="s">
        <v>8188</v>
      </c>
      <c r="F3426" t="str">
        <f t="shared" si="53"/>
        <v>69377</v>
      </c>
      <c r="AG3426" t="s">
        <v>4</v>
      </c>
    </row>
    <row r="3427" spans="1:33">
      <c r="A3427" t="s">
        <v>8189</v>
      </c>
      <c r="B3427" t="s">
        <v>8190</v>
      </c>
      <c r="F3427" t="str">
        <f t="shared" si="53"/>
        <v>69381</v>
      </c>
      <c r="AG3427" t="s">
        <v>4</v>
      </c>
    </row>
    <row r="3428" spans="1:33">
      <c r="A3428" t="s">
        <v>8191</v>
      </c>
      <c r="B3428" t="s">
        <v>8192</v>
      </c>
      <c r="F3428" t="str">
        <f t="shared" si="53"/>
        <v>69388</v>
      </c>
      <c r="AG3428" t="s">
        <v>4</v>
      </c>
    </row>
    <row r="3429" spans="1:33">
      <c r="A3429" t="s">
        <v>8193</v>
      </c>
      <c r="B3429" t="s">
        <v>8194</v>
      </c>
      <c r="F3429" t="str">
        <f t="shared" si="53"/>
        <v>69389</v>
      </c>
      <c r="AG3429" t="s">
        <v>4</v>
      </c>
    </row>
    <row r="3430" spans="1:33">
      <c r="A3430" t="s">
        <v>8195</v>
      </c>
      <c r="B3430" t="s">
        <v>8196</v>
      </c>
      <c r="F3430" t="str">
        <f t="shared" si="53"/>
        <v>69390</v>
      </c>
      <c r="AG3430" t="s">
        <v>4</v>
      </c>
    </row>
    <row r="3431" spans="1:33">
      <c r="A3431" t="s">
        <v>8197</v>
      </c>
      <c r="B3431" t="s">
        <v>8198</v>
      </c>
      <c r="F3431" t="str">
        <f t="shared" si="53"/>
        <v>69391</v>
      </c>
      <c r="AE3431">
        <v>1101140106177</v>
      </c>
      <c r="AG3431" t="s">
        <v>4</v>
      </c>
    </row>
    <row r="3432" spans="1:33">
      <c r="A3432" t="s">
        <v>8199</v>
      </c>
      <c r="B3432" t="s">
        <v>8200</v>
      </c>
      <c r="F3432" t="str">
        <f t="shared" si="53"/>
        <v>69392</v>
      </c>
      <c r="AG3432" t="s">
        <v>4</v>
      </c>
    </row>
    <row r="3433" spans="1:33">
      <c r="A3433" t="s">
        <v>8201</v>
      </c>
      <c r="B3433" t="s">
        <v>8202</v>
      </c>
      <c r="F3433" t="str">
        <f t="shared" si="53"/>
        <v>69393</v>
      </c>
      <c r="AE3433">
        <v>1101114732560</v>
      </c>
      <c r="AG3433" t="s">
        <v>4</v>
      </c>
    </row>
    <row r="3434" spans="1:33">
      <c r="A3434" t="s">
        <v>8203</v>
      </c>
      <c r="B3434" t="s">
        <v>8204</v>
      </c>
      <c r="F3434" t="str">
        <f t="shared" si="53"/>
        <v>69394</v>
      </c>
      <c r="AE3434">
        <v>1101140106086</v>
      </c>
      <c r="AG3434" t="s">
        <v>4</v>
      </c>
    </row>
    <row r="3435" spans="1:33">
      <c r="A3435" t="s">
        <v>8205</v>
      </c>
      <c r="B3435" t="s">
        <v>8206</v>
      </c>
      <c r="F3435" t="str">
        <f t="shared" si="53"/>
        <v>69395</v>
      </c>
      <c r="AE3435">
        <v>1101140106119</v>
      </c>
      <c r="AG3435" t="s">
        <v>4</v>
      </c>
    </row>
    <row r="3436" spans="1:33">
      <c r="A3436" t="s">
        <v>8207</v>
      </c>
      <c r="B3436" t="s">
        <v>8208</v>
      </c>
      <c r="F3436" t="str">
        <f t="shared" si="53"/>
        <v>69396</v>
      </c>
      <c r="AE3436">
        <v>1101140106078</v>
      </c>
      <c r="AG3436" t="s">
        <v>4</v>
      </c>
    </row>
    <row r="3437" spans="1:33">
      <c r="A3437" t="s">
        <v>8209</v>
      </c>
      <c r="B3437" t="s">
        <v>8210</v>
      </c>
      <c r="F3437" t="str">
        <f t="shared" si="53"/>
        <v>69397</v>
      </c>
      <c r="AG3437" t="s">
        <v>4</v>
      </c>
    </row>
    <row r="3438" spans="1:33">
      <c r="A3438" t="s">
        <v>8211</v>
      </c>
      <c r="B3438" t="s">
        <v>8212</v>
      </c>
      <c r="F3438" t="str">
        <f t="shared" si="53"/>
        <v>69398</v>
      </c>
      <c r="AG3438" t="s">
        <v>4</v>
      </c>
    </row>
    <row r="3439" spans="1:33">
      <c r="A3439" t="s">
        <v>8213</v>
      </c>
      <c r="B3439" t="s">
        <v>8214</v>
      </c>
      <c r="F3439" t="str">
        <f t="shared" si="53"/>
        <v>69399</v>
      </c>
      <c r="AG3439" t="s">
        <v>4</v>
      </c>
    </row>
    <row r="3440" spans="1:33">
      <c r="A3440" t="s">
        <v>8215</v>
      </c>
      <c r="B3440" t="s">
        <v>8216</v>
      </c>
      <c r="F3440" t="str">
        <f t="shared" si="53"/>
        <v>69400</v>
      </c>
      <c r="AG3440" t="s">
        <v>4</v>
      </c>
    </row>
    <row r="3441" spans="1:33">
      <c r="A3441" t="s">
        <v>8217</v>
      </c>
      <c r="B3441" t="s">
        <v>8218</v>
      </c>
      <c r="F3441" t="str">
        <f t="shared" si="53"/>
        <v>69401</v>
      </c>
      <c r="AE3441">
        <v>1101140107878</v>
      </c>
      <c r="AG3441" t="s">
        <v>4</v>
      </c>
    </row>
    <row r="3442" spans="1:33">
      <c r="A3442" t="s">
        <v>8219</v>
      </c>
      <c r="B3442" t="s">
        <v>8220</v>
      </c>
      <c r="F3442" t="str">
        <f t="shared" si="53"/>
        <v>69402</v>
      </c>
      <c r="AE3442">
        <v>1101140105335</v>
      </c>
      <c r="AG3442" t="s">
        <v>4</v>
      </c>
    </row>
    <row r="3443" spans="1:33">
      <c r="A3443" t="s">
        <v>8221</v>
      </c>
      <c r="B3443" t="s">
        <v>8222</v>
      </c>
      <c r="F3443" t="str">
        <f t="shared" si="53"/>
        <v>69403</v>
      </c>
      <c r="AE3443">
        <v>1101140093358</v>
      </c>
      <c r="AG3443" t="s">
        <v>4</v>
      </c>
    </row>
    <row r="3444" spans="1:33">
      <c r="A3444" t="s">
        <v>8223</v>
      </c>
      <c r="B3444" t="s">
        <v>8224</v>
      </c>
      <c r="F3444" t="str">
        <f t="shared" si="53"/>
        <v>69404</v>
      </c>
      <c r="AG3444" t="s">
        <v>4</v>
      </c>
    </row>
    <row r="3445" spans="1:33">
      <c r="A3445" t="s">
        <v>8225</v>
      </c>
      <c r="B3445" t="s">
        <v>8226</v>
      </c>
      <c r="F3445" t="str">
        <f t="shared" si="53"/>
        <v>69405</v>
      </c>
      <c r="AG3445" t="s">
        <v>4</v>
      </c>
    </row>
    <row r="3446" spans="1:33">
      <c r="A3446" t="s">
        <v>8227</v>
      </c>
      <c r="B3446" t="s">
        <v>8228</v>
      </c>
      <c r="F3446" t="str">
        <f t="shared" si="53"/>
        <v>69416</v>
      </c>
      <c r="AG3446" t="s">
        <v>4</v>
      </c>
    </row>
    <row r="3447" spans="1:33">
      <c r="A3447" t="s">
        <v>8229</v>
      </c>
      <c r="B3447" t="s">
        <v>8230</v>
      </c>
      <c r="F3447" t="str">
        <f t="shared" si="53"/>
        <v>69417</v>
      </c>
      <c r="AG3447" t="s">
        <v>4</v>
      </c>
    </row>
    <row r="3448" spans="1:33">
      <c r="A3448" t="s">
        <v>8231</v>
      </c>
      <c r="B3448" t="s">
        <v>8232</v>
      </c>
      <c r="F3448" t="str">
        <f t="shared" si="53"/>
        <v>69418</v>
      </c>
      <c r="AG3448" t="s">
        <v>4</v>
      </c>
    </row>
    <row r="3449" spans="1:33">
      <c r="A3449" t="s">
        <v>8233</v>
      </c>
      <c r="B3449" t="s">
        <v>8234</v>
      </c>
      <c r="F3449" t="str">
        <f t="shared" si="53"/>
        <v>69419</v>
      </c>
      <c r="AG3449" t="s">
        <v>4</v>
      </c>
    </row>
    <row r="3450" spans="1:33">
      <c r="A3450" t="s">
        <v>8235</v>
      </c>
      <c r="B3450" t="s">
        <v>8236</v>
      </c>
      <c r="F3450" t="str">
        <f t="shared" si="53"/>
        <v>69420</v>
      </c>
      <c r="AG3450" t="s">
        <v>4</v>
      </c>
    </row>
    <row r="3451" spans="1:33">
      <c r="A3451" t="s">
        <v>8237</v>
      </c>
      <c r="B3451" t="s">
        <v>8238</v>
      </c>
      <c r="F3451" t="str">
        <f t="shared" si="53"/>
        <v>69421</v>
      </c>
      <c r="AG3451" t="s">
        <v>4</v>
      </c>
    </row>
    <row r="3452" spans="1:33">
      <c r="A3452" t="s">
        <v>8239</v>
      </c>
      <c r="B3452" t="s">
        <v>8240</v>
      </c>
      <c r="F3452" t="str">
        <f t="shared" si="53"/>
        <v>69422</v>
      </c>
      <c r="AG3452" t="s">
        <v>4</v>
      </c>
    </row>
    <row r="3453" spans="1:33">
      <c r="A3453" t="s">
        <v>8241</v>
      </c>
      <c r="B3453" t="s">
        <v>8242</v>
      </c>
      <c r="F3453" t="str">
        <f t="shared" si="53"/>
        <v>69423</v>
      </c>
      <c r="AG3453" t="s">
        <v>4</v>
      </c>
    </row>
    <row r="3454" spans="1:33">
      <c r="A3454" t="s">
        <v>8243</v>
      </c>
      <c r="B3454" t="s">
        <v>8244</v>
      </c>
      <c r="F3454" t="str">
        <f t="shared" si="53"/>
        <v>69424</v>
      </c>
      <c r="AG3454" t="s">
        <v>4</v>
      </c>
    </row>
    <row r="3455" spans="1:33">
      <c r="A3455" t="s">
        <v>8245</v>
      </c>
      <c r="B3455" t="s">
        <v>8246</v>
      </c>
      <c r="F3455" t="str">
        <f t="shared" si="53"/>
        <v>69425</v>
      </c>
      <c r="AG3455" t="s">
        <v>4</v>
      </c>
    </row>
    <row r="3456" spans="1:33">
      <c r="A3456" t="s">
        <v>8247</v>
      </c>
      <c r="B3456" t="s">
        <v>8248</v>
      </c>
      <c r="F3456" t="str">
        <f t="shared" si="53"/>
        <v>69426</v>
      </c>
      <c r="AG3456" t="s">
        <v>4</v>
      </c>
    </row>
    <row r="3457" spans="1:33">
      <c r="A3457" t="s">
        <v>8249</v>
      </c>
      <c r="B3457" t="s">
        <v>8250</v>
      </c>
      <c r="F3457" t="str">
        <f t="shared" si="53"/>
        <v>69430</v>
      </c>
      <c r="AG3457" t="s">
        <v>4</v>
      </c>
    </row>
    <row r="3458" spans="1:33">
      <c r="A3458" t="s">
        <v>8251</v>
      </c>
      <c r="B3458" t="s">
        <v>8252</v>
      </c>
      <c r="F3458" t="str">
        <f t="shared" si="53"/>
        <v>69431</v>
      </c>
      <c r="AG3458" t="s">
        <v>4</v>
      </c>
    </row>
    <row r="3459" spans="1:33">
      <c r="A3459" t="s">
        <v>8253</v>
      </c>
      <c r="B3459" t="s">
        <v>8254</v>
      </c>
      <c r="F3459" t="str">
        <f t="shared" si="53"/>
        <v>69432</v>
      </c>
      <c r="AG3459" t="s">
        <v>4</v>
      </c>
    </row>
    <row r="3460" spans="1:33">
      <c r="A3460" t="s">
        <v>8255</v>
      </c>
      <c r="B3460" t="s">
        <v>8256</v>
      </c>
      <c r="F3460" t="str">
        <f t="shared" si="53"/>
        <v>69433</v>
      </c>
      <c r="AG3460" t="s">
        <v>4</v>
      </c>
    </row>
    <row r="3461" spans="1:33">
      <c r="A3461" t="s">
        <v>8257</v>
      </c>
      <c r="B3461" t="s">
        <v>8258</v>
      </c>
      <c r="F3461" t="str">
        <f t="shared" si="53"/>
        <v>69434</v>
      </c>
      <c r="AG3461" t="s">
        <v>4</v>
      </c>
    </row>
    <row r="3462" spans="1:33">
      <c r="A3462" t="s">
        <v>8259</v>
      </c>
      <c r="B3462" t="s">
        <v>8260</v>
      </c>
      <c r="F3462" t="str">
        <f t="shared" si="53"/>
        <v>69435</v>
      </c>
      <c r="AG3462" t="s">
        <v>4</v>
      </c>
    </row>
    <row r="3463" spans="1:33">
      <c r="A3463" t="s">
        <v>8261</v>
      </c>
      <c r="B3463" t="s">
        <v>8262</v>
      </c>
      <c r="F3463" t="str">
        <f t="shared" si="53"/>
        <v>69436</v>
      </c>
      <c r="AG3463" t="s">
        <v>4</v>
      </c>
    </row>
    <row r="3464" spans="1:33">
      <c r="A3464" t="s">
        <v>8263</v>
      </c>
      <c r="B3464" t="s">
        <v>8264</v>
      </c>
      <c r="F3464" t="str">
        <f t="shared" si="53"/>
        <v>69437</v>
      </c>
      <c r="AG3464" t="s">
        <v>4</v>
      </c>
    </row>
    <row r="3465" spans="1:33">
      <c r="A3465" t="s">
        <v>8265</v>
      </c>
      <c r="B3465" t="s">
        <v>8266</v>
      </c>
      <c r="F3465" t="str">
        <f t="shared" si="53"/>
        <v>69438</v>
      </c>
      <c r="AG3465" t="s">
        <v>4</v>
      </c>
    </row>
    <row r="3466" spans="1:33">
      <c r="A3466" t="s">
        <v>8267</v>
      </c>
      <c r="B3466" t="s">
        <v>8268</v>
      </c>
      <c r="F3466" t="str">
        <f t="shared" ref="F3466:F3529" si="54">CHOOSE($C$1, A3466, B3466)</f>
        <v>69442</v>
      </c>
      <c r="AG3466" t="s">
        <v>4</v>
      </c>
    </row>
    <row r="3467" spans="1:33">
      <c r="A3467" t="s">
        <v>8269</v>
      </c>
      <c r="B3467" t="s">
        <v>8270</v>
      </c>
      <c r="F3467" t="str">
        <f t="shared" si="54"/>
        <v>69445</v>
      </c>
      <c r="AG3467" t="s">
        <v>4</v>
      </c>
    </row>
    <row r="3468" spans="1:33">
      <c r="A3468" t="s">
        <v>8271</v>
      </c>
      <c r="B3468" t="s">
        <v>8272</v>
      </c>
      <c r="F3468" t="str">
        <f t="shared" si="54"/>
        <v>69446</v>
      </c>
      <c r="AG3468" t="s">
        <v>4</v>
      </c>
    </row>
    <row r="3469" spans="1:33">
      <c r="A3469" t="s">
        <v>8273</v>
      </c>
      <c r="B3469" t="s">
        <v>8274</v>
      </c>
      <c r="F3469" t="str">
        <f t="shared" si="54"/>
        <v>69448</v>
      </c>
      <c r="AG3469" t="s">
        <v>4</v>
      </c>
    </row>
    <row r="3470" spans="1:33">
      <c r="A3470" t="s">
        <v>8275</v>
      </c>
      <c r="B3470" t="s">
        <v>8276</v>
      </c>
      <c r="F3470" t="str">
        <f t="shared" si="54"/>
        <v>69455</v>
      </c>
      <c r="AG3470" t="s">
        <v>4</v>
      </c>
    </row>
    <row r="3471" spans="1:33">
      <c r="A3471" t="s">
        <v>8277</v>
      </c>
      <c r="B3471" t="s">
        <v>8278</v>
      </c>
      <c r="F3471" t="str">
        <f t="shared" si="54"/>
        <v>69463</v>
      </c>
      <c r="AG3471" t="s">
        <v>4</v>
      </c>
    </row>
    <row r="3472" spans="1:33">
      <c r="A3472" t="s">
        <v>8279</v>
      </c>
      <c r="B3472" t="s">
        <v>8280</v>
      </c>
      <c r="F3472" t="str">
        <f t="shared" si="54"/>
        <v>69466</v>
      </c>
      <c r="AG3472" t="s">
        <v>4</v>
      </c>
    </row>
    <row r="3473" spans="1:33">
      <c r="A3473" t="s">
        <v>8281</v>
      </c>
      <c r="B3473" t="s">
        <v>8282</v>
      </c>
      <c r="F3473" t="str">
        <f t="shared" si="54"/>
        <v>69471</v>
      </c>
      <c r="AG3473" t="s">
        <v>4</v>
      </c>
    </row>
    <row r="3474" spans="1:33">
      <c r="A3474" t="s">
        <v>8283</v>
      </c>
      <c r="B3474" t="s">
        <v>8284</v>
      </c>
      <c r="F3474" t="str">
        <f t="shared" si="54"/>
        <v>69472</v>
      </c>
      <c r="AG3474" t="s">
        <v>4</v>
      </c>
    </row>
    <row r="3475" spans="1:33">
      <c r="A3475" t="s">
        <v>8285</v>
      </c>
      <c r="B3475" t="s">
        <v>8286</v>
      </c>
      <c r="F3475" t="str">
        <f t="shared" si="54"/>
        <v>69473</v>
      </c>
      <c r="AG3475" t="s">
        <v>4</v>
      </c>
    </row>
    <row r="3476" spans="1:33">
      <c r="A3476" t="s">
        <v>8287</v>
      </c>
      <c r="B3476" t="s">
        <v>8288</v>
      </c>
      <c r="F3476" t="str">
        <f t="shared" si="54"/>
        <v>69474</v>
      </c>
      <c r="AG3476" t="s">
        <v>4</v>
      </c>
    </row>
    <row r="3477" spans="1:33">
      <c r="A3477" t="s">
        <v>8289</v>
      </c>
      <c r="B3477" t="s">
        <v>8290</v>
      </c>
      <c r="F3477" t="str">
        <f t="shared" si="54"/>
        <v>69475</v>
      </c>
      <c r="AG3477" t="s">
        <v>4</v>
      </c>
    </row>
    <row r="3478" spans="1:33">
      <c r="A3478" t="s">
        <v>8291</v>
      </c>
      <c r="B3478" t="s">
        <v>8292</v>
      </c>
      <c r="F3478" t="str">
        <f t="shared" si="54"/>
        <v>69476</v>
      </c>
      <c r="AG3478" t="s">
        <v>4</v>
      </c>
    </row>
    <row r="3479" spans="1:33">
      <c r="A3479" t="s">
        <v>8293</v>
      </c>
      <c r="B3479" t="s">
        <v>8294</v>
      </c>
      <c r="F3479" t="str">
        <f t="shared" si="54"/>
        <v>69477</v>
      </c>
      <c r="AG3479" t="s">
        <v>4</v>
      </c>
    </row>
    <row r="3480" spans="1:33">
      <c r="A3480" t="s">
        <v>8295</v>
      </c>
      <c r="B3480" t="s">
        <v>8296</v>
      </c>
      <c r="F3480" t="str">
        <f t="shared" si="54"/>
        <v>69478</v>
      </c>
      <c r="AG3480" t="s">
        <v>4</v>
      </c>
    </row>
    <row r="3481" spans="1:33">
      <c r="A3481" t="s">
        <v>8297</v>
      </c>
      <c r="B3481" t="s">
        <v>8298</v>
      </c>
      <c r="F3481" t="str">
        <f t="shared" si="54"/>
        <v>69479</v>
      </c>
      <c r="AG3481" t="s">
        <v>4</v>
      </c>
    </row>
    <row r="3482" spans="1:33">
      <c r="A3482" t="s">
        <v>8299</v>
      </c>
      <c r="B3482" t="s">
        <v>8300</v>
      </c>
      <c r="F3482" t="str">
        <f t="shared" si="54"/>
        <v>69480</v>
      </c>
      <c r="AG3482" t="s">
        <v>4</v>
      </c>
    </row>
    <row r="3483" spans="1:33">
      <c r="A3483" t="s">
        <v>8301</v>
      </c>
      <c r="B3483" t="s">
        <v>8302</v>
      </c>
      <c r="F3483" t="str">
        <f t="shared" si="54"/>
        <v>69481</v>
      </c>
      <c r="AG3483" t="s">
        <v>4</v>
      </c>
    </row>
    <row r="3484" spans="1:33">
      <c r="A3484" t="s">
        <v>8303</v>
      </c>
      <c r="B3484" t="s">
        <v>8304</v>
      </c>
      <c r="F3484" t="str">
        <f t="shared" si="54"/>
        <v>69482</v>
      </c>
      <c r="AG3484" t="s">
        <v>4</v>
      </c>
    </row>
    <row r="3485" spans="1:33">
      <c r="A3485" t="s">
        <v>8305</v>
      </c>
      <c r="B3485" t="s">
        <v>8306</v>
      </c>
      <c r="F3485" t="str">
        <f t="shared" si="54"/>
        <v>69483</v>
      </c>
      <c r="AG3485" t="s">
        <v>4</v>
      </c>
    </row>
    <row r="3486" spans="1:33">
      <c r="A3486" t="s">
        <v>8307</v>
      </c>
      <c r="B3486" t="s">
        <v>8308</v>
      </c>
      <c r="F3486" t="str">
        <f t="shared" si="54"/>
        <v>69484</v>
      </c>
      <c r="AG3486" t="s">
        <v>4</v>
      </c>
    </row>
    <row r="3487" spans="1:33">
      <c r="A3487" t="s">
        <v>8309</v>
      </c>
      <c r="B3487" t="s">
        <v>8310</v>
      </c>
      <c r="F3487" t="str">
        <f t="shared" si="54"/>
        <v>69485</v>
      </c>
      <c r="AG3487" t="s">
        <v>4</v>
      </c>
    </row>
    <row r="3488" spans="1:33">
      <c r="A3488" t="s">
        <v>8311</v>
      </c>
      <c r="B3488" t="s">
        <v>8312</v>
      </c>
      <c r="F3488" t="str">
        <f t="shared" si="54"/>
        <v>69486</v>
      </c>
      <c r="AG3488" t="s">
        <v>4</v>
      </c>
    </row>
    <row r="3489" spans="1:33">
      <c r="A3489" t="s">
        <v>8313</v>
      </c>
      <c r="B3489" t="s">
        <v>8314</v>
      </c>
      <c r="F3489" t="str">
        <f t="shared" si="54"/>
        <v>69487</v>
      </c>
      <c r="AG3489" t="s">
        <v>4</v>
      </c>
    </row>
    <row r="3490" spans="1:33">
      <c r="A3490" t="s">
        <v>8315</v>
      </c>
      <c r="B3490" t="s">
        <v>8316</v>
      </c>
      <c r="F3490" t="str">
        <f t="shared" si="54"/>
        <v>69488</v>
      </c>
      <c r="AG3490" t="s">
        <v>4</v>
      </c>
    </row>
    <row r="3491" spans="1:33">
      <c r="A3491" t="s">
        <v>8317</v>
      </c>
      <c r="B3491" t="s">
        <v>8318</v>
      </c>
      <c r="F3491" t="str">
        <f t="shared" si="54"/>
        <v>69489</v>
      </c>
      <c r="AG3491" t="s">
        <v>4</v>
      </c>
    </row>
    <row r="3492" spans="1:33">
      <c r="A3492" t="s">
        <v>8319</v>
      </c>
      <c r="B3492" t="s">
        <v>8320</v>
      </c>
      <c r="F3492" t="str">
        <f t="shared" si="54"/>
        <v>69490</v>
      </c>
      <c r="AG3492" t="s">
        <v>4</v>
      </c>
    </row>
    <row r="3493" spans="1:33">
      <c r="A3493" t="s">
        <v>8321</v>
      </c>
      <c r="B3493" t="s">
        <v>8322</v>
      </c>
      <c r="F3493" t="str">
        <f t="shared" si="54"/>
        <v>69491</v>
      </c>
      <c r="AG3493" t="s">
        <v>4</v>
      </c>
    </row>
    <row r="3494" spans="1:33">
      <c r="A3494" t="s">
        <v>8323</v>
      </c>
      <c r="B3494" t="s">
        <v>8324</v>
      </c>
      <c r="F3494" t="str">
        <f t="shared" si="54"/>
        <v>69492</v>
      </c>
      <c r="AG3494" t="s">
        <v>4</v>
      </c>
    </row>
    <row r="3495" spans="1:33">
      <c r="A3495" t="s">
        <v>8325</v>
      </c>
      <c r="B3495" t="s">
        <v>8326</v>
      </c>
      <c r="F3495" t="str">
        <f t="shared" si="54"/>
        <v>69493</v>
      </c>
      <c r="AG3495" t="s">
        <v>4</v>
      </c>
    </row>
    <row r="3496" spans="1:33">
      <c r="A3496" t="s">
        <v>8327</v>
      </c>
      <c r="B3496" t="s">
        <v>8328</v>
      </c>
      <c r="F3496" t="str">
        <f t="shared" si="54"/>
        <v>69496</v>
      </c>
      <c r="AG3496" t="s">
        <v>4</v>
      </c>
    </row>
    <row r="3497" spans="1:33">
      <c r="A3497" t="s">
        <v>8329</v>
      </c>
      <c r="B3497" t="s">
        <v>8330</v>
      </c>
      <c r="F3497" t="str">
        <f t="shared" si="54"/>
        <v>69497</v>
      </c>
      <c r="AG3497" t="s">
        <v>4</v>
      </c>
    </row>
    <row r="3498" spans="1:33">
      <c r="A3498" t="s">
        <v>8331</v>
      </c>
      <c r="B3498" t="s">
        <v>8332</v>
      </c>
      <c r="F3498" t="str">
        <f t="shared" si="54"/>
        <v>69498</v>
      </c>
      <c r="AG3498" t="s">
        <v>4</v>
      </c>
    </row>
    <row r="3499" spans="1:33">
      <c r="A3499" t="s">
        <v>8333</v>
      </c>
      <c r="B3499" t="s">
        <v>8334</v>
      </c>
      <c r="F3499" t="str">
        <f t="shared" si="54"/>
        <v>69499</v>
      </c>
      <c r="AG3499" t="s">
        <v>4</v>
      </c>
    </row>
    <row r="3500" spans="1:33">
      <c r="A3500" t="s">
        <v>8335</v>
      </c>
      <c r="B3500" t="s">
        <v>8336</v>
      </c>
      <c r="F3500" t="str">
        <f t="shared" si="54"/>
        <v>69500</v>
      </c>
      <c r="AG3500" t="s">
        <v>4</v>
      </c>
    </row>
    <row r="3501" spans="1:33">
      <c r="A3501" t="s">
        <v>8337</v>
      </c>
      <c r="B3501" t="s">
        <v>8338</v>
      </c>
      <c r="F3501" t="str">
        <f t="shared" si="54"/>
        <v>69502</v>
      </c>
      <c r="AG3501" t="s">
        <v>4</v>
      </c>
    </row>
    <row r="3502" spans="1:33">
      <c r="A3502" t="s">
        <v>8339</v>
      </c>
      <c r="B3502" t="s">
        <v>8340</v>
      </c>
      <c r="F3502" t="str">
        <f t="shared" si="54"/>
        <v>69503</v>
      </c>
      <c r="AG3502" t="s">
        <v>4</v>
      </c>
    </row>
    <row r="3503" spans="1:33">
      <c r="A3503" t="s">
        <v>8341</v>
      </c>
      <c r="B3503" t="s">
        <v>8342</v>
      </c>
      <c r="F3503" t="str">
        <f t="shared" si="54"/>
        <v>69504</v>
      </c>
      <c r="AG3503" t="s">
        <v>4</v>
      </c>
    </row>
    <row r="3504" spans="1:33">
      <c r="A3504" t="s">
        <v>8343</v>
      </c>
      <c r="B3504" t="s">
        <v>8344</v>
      </c>
      <c r="F3504" t="str">
        <f t="shared" si="54"/>
        <v>69505</v>
      </c>
      <c r="AG3504" t="s">
        <v>4</v>
      </c>
    </row>
    <row r="3505" spans="1:33">
      <c r="A3505" t="s">
        <v>8345</v>
      </c>
      <c r="B3505" t="s">
        <v>8346</v>
      </c>
      <c r="F3505" t="str">
        <f t="shared" si="54"/>
        <v>69506</v>
      </c>
      <c r="AG3505" t="s">
        <v>4</v>
      </c>
    </row>
    <row r="3506" spans="1:33">
      <c r="A3506" t="s">
        <v>8347</v>
      </c>
      <c r="B3506" t="s">
        <v>8348</v>
      </c>
      <c r="F3506" t="str">
        <f t="shared" si="54"/>
        <v>69507</v>
      </c>
      <c r="AG3506" t="s">
        <v>4</v>
      </c>
    </row>
    <row r="3507" spans="1:33">
      <c r="A3507" t="s">
        <v>8349</v>
      </c>
      <c r="B3507" t="s">
        <v>8350</v>
      </c>
      <c r="F3507" t="str">
        <f t="shared" si="54"/>
        <v>69508</v>
      </c>
      <c r="AG3507" t="s">
        <v>4</v>
      </c>
    </row>
    <row r="3508" spans="1:33">
      <c r="A3508" t="s">
        <v>8351</v>
      </c>
      <c r="B3508" t="s">
        <v>8352</v>
      </c>
      <c r="F3508" t="str">
        <f t="shared" si="54"/>
        <v>69509</v>
      </c>
      <c r="AG3508" t="s">
        <v>4</v>
      </c>
    </row>
    <row r="3509" spans="1:33">
      <c r="A3509" t="s">
        <v>8353</v>
      </c>
      <c r="B3509" t="s">
        <v>8354</v>
      </c>
      <c r="F3509" t="str">
        <f t="shared" si="54"/>
        <v>69510</v>
      </c>
      <c r="AG3509" t="s">
        <v>4</v>
      </c>
    </row>
    <row r="3510" spans="1:33">
      <c r="A3510" t="s">
        <v>8355</v>
      </c>
      <c r="B3510" t="s">
        <v>8356</v>
      </c>
      <c r="F3510" t="str">
        <f t="shared" si="54"/>
        <v>69512</v>
      </c>
      <c r="AG3510" t="s">
        <v>4</v>
      </c>
    </row>
    <row r="3511" spans="1:33">
      <c r="A3511" t="s">
        <v>8357</v>
      </c>
      <c r="B3511" t="s">
        <v>8358</v>
      </c>
      <c r="F3511" t="str">
        <f t="shared" si="54"/>
        <v>69513</v>
      </c>
      <c r="AG3511" t="s">
        <v>4</v>
      </c>
    </row>
    <row r="3512" spans="1:33">
      <c r="A3512" t="s">
        <v>8359</v>
      </c>
      <c r="B3512" t="s">
        <v>8360</v>
      </c>
      <c r="F3512" t="str">
        <f t="shared" si="54"/>
        <v>69530</v>
      </c>
      <c r="AG3512" t="s">
        <v>4</v>
      </c>
    </row>
    <row r="3513" spans="1:33">
      <c r="A3513" t="s">
        <v>8361</v>
      </c>
      <c r="B3513" t="s">
        <v>8362</v>
      </c>
      <c r="F3513" t="str">
        <f t="shared" si="54"/>
        <v>69531</v>
      </c>
      <c r="AG3513" t="s">
        <v>4</v>
      </c>
    </row>
    <row r="3514" spans="1:33">
      <c r="A3514" t="s">
        <v>8363</v>
      </c>
      <c r="B3514" t="s">
        <v>8364</v>
      </c>
      <c r="F3514" t="str">
        <f t="shared" si="54"/>
        <v>69532</v>
      </c>
      <c r="AG3514" t="s">
        <v>4</v>
      </c>
    </row>
    <row r="3515" spans="1:33">
      <c r="A3515" t="s">
        <v>8365</v>
      </c>
      <c r="B3515" t="s">
        <v>8366</v>
      </c>
      <c r="F3515" t="str">
        <f t="shared" si="54"/>
        <v>69533</v>
      </c>
      <c r="AG3515" t="s">
        <v>4</v>
      </c>
    </row>
    <row r="3516" spans="1:33">
      <c r="A3516" t="s">
        <v>8367</v>
      </c>
      <c r="B3516" t="s">
        <v>8368</v>
      </c>
      <c r="F3516" t="str">
        <f t="shared" si="54"/>
        <v>69534</v>
      </c>
      <c r="AG3516" t="s">
        <v>4</v>
      </c>
    </row>
    <row r="3517" spans="1:33">
      <c r="A3517" t="s">
        <v>8369</v>
      </c>
      <c r="B3517" t="s">
        <v>8370</v>
      </c>
      <c r="F3517" t="str">
        <f t="shared" si="54"/>
        <v>69535</v>
      </c>
      <c r="AG3517" t="s">
        <v>4</v>
      </c>
    </row>
    <row r="3518" spans="1:33">
      <c r="A3518" t="s">
        <v>8371</v>
      </c>
      <c r="B3518" t="s">
        <v>8372</v>
      </c>
      <c r="F3518" t="str">
        <f t="shared" si="54"/>
        <v>69536</v>
      </c>
      <c r="AG3518" t="s">
        <v>4</v>
      </c>
    </row>
    <row r="3519" spans="1:33">
      <c r="A3519" t="s">
        <v>8373</v>
      </c>
      <c r="B3519" t="s">
        <v>8374</v>
      </c>
      <c r="F3519" t="str">
        <f t="shared" si="54"/>
        <v>69537</v>
      </c>
      <c r="AG3519" t="s">
        <v>4</v>
      </c>
    </row>
    <row r="3520" spans="1:33">
      <c r="A3520" t="s">
        <v>8375</v>
      </c>
      <c r="B3520" t="s">
        <v>8376</v>
      </c>
      <c r="F3520" t="str">
        <f t="shared" si="54"/>
        <v>69538</v>
      </c>
      <c r="AG3520" t="s">
        <v>4</v>
      </c>
    </row>
    <row r="3521" spans="1:36">
      <c r="A3521" t="s">
        <v>8377</v>
      </c>
      <c r="B3521" t="s">
        <v>8378</v>
      </c>
      <c r="F3521" t="str">
        <f t="shared" si="54"/>
        <v>69539</v>
      </c>
      <c r="AG3521" t="s">
        <v>4</v>
      </c>
    </row>
    <row r="3522" spans="1:36">
      <c r="A3522" t="s">
        <v>8379</v>
      </c>
      <c r="B3522" t="s">
        <v>8380</v>
      </c>
      <c r="F3522" t="str">
        <f t="shared" si="54"/>
        <v>69540</v>
      </c>
      <c r="AG3522" t="s">
        <v>4</v>
      </c>
    </row>
    <row r="3523" spans="1:36">
      <c r="A3523" t="s">
        <v>8381</v>
      </c>
      <c r="B3523" t="s">
        <v>8382</v>
      </c>
      <c r="F3523" t="str">
        <f t="shared" si="54"/>
        <v>69545</v>
      </c>
      <c r="AG3523" t="s">
        <v>4</v>
      </c>
    </row>
    <row r="3524" spans="1:36">
      <c r="A3524" t="s">
        <v>8383</v>
      </c>
      <c r="B3524" t="s">
        <v>8384</v>
      </c>
      <c r="F3524" t="str">
        <f t="shared" si="54"/>
        <v>69546</v>
      </c>
      <c r="AG3524" t="s">
        <v>4</v>
      </c>
    </row>
    <row r="3525" spans="1:36">
      <c r="A3525" t="s">
        <v>8385</v>
      </c>
      <c r="B3525" t="s">
        <v>8386</v>
      </c>
      <c r="F3525" t="str">
        <f t="shared" si="54"/>
        <v>69547</v>
      </c>
      <c r="AE3525">
        <v>1101140145472</v>
      </c>
      <c r="AG3525" t="s">
        <v>4</v>
      </c>
    </row>
    <row r="3526" spans="1:36">
      <c r="A3526" t="s">
        <v>8387</v>
      </c>
      <c r="B3526" t="s">
        <v>8388</v>
      </c>
      <c r="F3526" t="str">
        <f t="shared" si="54"/>
        <v>69554</v>
      </c>
      <c r="AE3526">
        <v>1101117104881</v>
      </c>
      <c r="AG3526" t="s">
        <v>4</v>
      </c>
    </row>
    <row r="3527" spans="1:36">
      <c r="A3527" t="s">
        <v>8389</v>
      </c>
      <c r="B3527" t="s">
        <v>8390</v>
      </c>
      <c r="F3527" t="str">
        <f t="shared" si="54"/>
        <v>69555</v>
      </c>
      <c r="AE3527">
        <v>1101110012809</v>
      </c>
      <c r="AG3527" t="s">
        <v>4</v>
      </c>
      <c r="AH3527" t="s">
        <v>5</v>
      </c>
      <c r="AI3527" t="s">
        <v>6</v>
      </c>
      <c r="AJ3527" t="s">
        <v>7</v>
      </c>
    </row>
    <row r="3528" spans="1:36">
      <c r="A3528" t="s">
        <v>8391</v>
      </c>
      <c r="B3528" t="s">
        <v>8392</v>
      </c>
      <c r="F3528" t="str">
        <f t="shared" si="54"/>
        <v>69556</v>
      </c>
      <c r="AE3528">
        <v>1101110013328</v>
      </c>
      <c r="AG3528" t="s">
        <v>2</v>
      </c>
      <c r="AH3528" t="s">
        <v>54</v>
      </c>
      <c r="AI3528" t="s">
        <v>55</v>
      </c>
      <c r="AJ3528" t="s">
        <v>56</v>
      </c>
    </row>
    <row r="3529" spans="1:36">
      <c r="A3529" t="s">
        <v>8393</v>
      </c>
      <c r="B3529" t="s">
        <v>8394</v>
      </c>
      <c r="F3529" t="str">
        <f t="shared" si="54"/>
        <v>69557</v>
      </c>
      <c r="AE3529">
        <v>1101110013419</v>
      </c>
      <c r="AG3529" t="s">
        <v>4</v>
      </c>
      <c r="AH3529" t="s">
        <v>5</v>
      </c>
      <c r="AI3529" t="s">
        <v>6</v>
      </c>
      <c r="AJ3529" t="s">
        <v>7</v>
      </c>
    </row>
    <row r="3530" spans="1:36">
      <c r="A3530" t="s">
        <v>8395</v>
      </c>
      <c r="B3530" t="s">
        <v>8396</v>
      </c>
      <c r="F3530" t="str">
        <f t="shared" ref="F3530:F3593" si="55">CHOOSE($C$1, A3530, B3530)</f>
        <v>69571</v>
      </c>
      <c r="AG3530" t="s">
        <v>4</v>
      </c>
    </row>
    <row r="3531" spans="1:36">
      <c r="A3531" t="s">
        <v>8397</v>
      </c>
      <c r="B3531" t="s">
        <v>8398</v>
      </c>
      <c r="F3531" t="str">
        <f t="shared" si="55"/>
        <v>69572</v>
      </c>
      <c r="AE3531">
        <v>1101110006456</v>
      </c>
      <c r="AG3531" t="s">
        <v>2</v>
      </c>
      <c r="AH3531" t="s">
        <v>54</v>
      </c>
      <c r="AI3531" t="s">
        <v>55</v>
      </c>
      <c r="AJ3531" t="s">
        <v>56</v>
      </c>
    </row>
    <row r="3532" spans="1:36">
      <c r="A3532" t="s">
        <v>8399</v>
      </c>
      <c r="B3532" t="s">
        <v>8400</v>
      </c>
      <c r="F3532" t="str">
        <f t="shared" si="55"/>
        <v>69573</v>
      </c>
      <c r="AE3532">
        <v>1101110014459</v>
      </c>
      <c r="AG3532" t="s">
        <v>2</v>
      </c>
      <c r="AH3532" t="s">
        <v>54</v>
      </c>
      <c r="AI3532" t="s">
        <v>55</v>
      </c>
      <c r="AJ3532" t="s">
        <v>56</v>
      </c>
    </row>
    <row r="3533" spans="1:36">
      <c r="A3533" t="s">
        <v>8401</v>
      </c>
      <c r="B3533" t="s">
        <v>8402</v>
      </c>
      <c r="F3533" t="str">
        <f t="shared" si="55"/>
        <v>69574</v>
      </c>
      <c r="AG3533" t="s">
        <v>4</v>
      </c>
    </row>
    <row r="3534" spans="1:36">
      <c r="A3534" t="s">
        <v>8403</v>
      </c>
      <c r="B3534" t="s">
        <v>8404</v>
      </c>
      <c r="F3534" t="str">
        <f t="shared" si="55"/>
        <v>69575</v>
      </c>
      <c r="AE3534">
        <v>1101110007826</v>
      </c>
      <c r="AG3534" t="s">
        <v>2</v>
      </c>
      <c r="AH3534" t="s">
        <v>114</v>
      </c>
      <c r="AI3534" t="s">
        <v>63</v>
      </c>
      <c r="AJ3534" t="s">
        <v>115</v>
      </c>
    </row>
    <row r="3535" spans="1:36">
      <c r="A3535" t="s">
        <v>8405</v>
      </c>
      <c r="B3535" t="s">
        <v>8406</v>
      </c>
      <c r="F3535" t="str">
        <f t="shared" si="55"/>
        <v>69576</v>
      </c>
      <c r="AE3535">
        <v>1101110019962</v>
      </c>
      <c r="AG3535" t="s">
        <v>2</v>
      </c>
      <c r="AH3535" t="s">
        <v>114</v>
      </c>
      <c r="AI3535" t="s">
        <v>63</v>
      </c>
      <c r="AJ3535" t="s">
        <v>115</v>
      </c>
    </row>
    <row r="3536" spans="1:36">
      <c r="A3536" t="s">
        <v>8407</v>
      </c>
      <c r="B3536" t="s">
        <v>8408</v>
      </c>
      <c r="F3536" t="str">
        <f t="shared" si="55"/>
        <v>69577</v>
      </c>
      <c r="AE3536">
        <v>1101110037112</v>
      </c>
      <c r="AG3536" t="s">
        <v>2</v>
      </c>
      <c r="AH3536" t="s">
        <v>114</v>
      </c>
      <c r="AI3536" t="s">
        <v>63</v>
      </c>
      <c r="AJ3536" t="s">
        <v>115</v>
      </c>
    </row>
    <row r="3537" spans="1:36">
      <c r="A3537" t="s">
        <v>8409</v>
      </c>
      <c r="B3537" t="s">
        <v>8410</v>
      </c>
      <c r="F3537" t="str">
        <f t="shared" si="55"/>
        <v>69578</v>
      </c>
      <c r="AE3537">
        <v>1101110672538</v>
      </c>
      <c r="AG3537" t="s">
        <v>4</v>
      </c>
      <c r="AH3537" t="s">
        <v>5</v>
      </c>
      <c r="AI3537" t="s">
        <v>6</v>
      </c>
      <c r="AJ3537" t="s">
        <v>7</v>
      </c>
    </row>
    <row r="3538" spans="1:36">
      <c r="A3538" t="s">
        <v>8411</v>
      </c>
      <c r="B3538" t="s">
        <v>8412</v>
      </c>
      <c r="F3538" t="str">
        <f t="shared" si="55"/>
        <v>69579</v>
      </c>
      <c r="AE3538">
        <v>1101110042476</v>
      </c>
      <c r="AG3538" t="s">
        <v>4</v>
      </c>
      <c r="AH3538" t="s">
        <v>215</v>
      </c>
      <c r="AJ3538" t="s">
        <v>115</v>
      </c>
    </row>
    <row r="3539" spans="1:36">
      <c r="A3539" t="s">
        <v>8413</v>
      </c>
      <c r="B3539" t="s">
        <v>8414</v>
      </c>
      <c r="F3539" t="str">
        <f t="shared" si="55"/>
        <v>69580</v>
      </c>
      <c r="AE3539">
        <v>1101110042492</v>
      </c>
      <c r="AG3539" t="s">
        <v>2</v>
      </c>
      <c r="AH3539" t="s">
        <v>114</v>
      </c>
      <c r="AI3539" t="s">
        <v>63</v>
      </c>
      <c r="AJ3539" t="s">
        <v>115</v>
      </c>
    </row>
    <row r="3540" spans="1:36">
      <c r="A3540" t="s">
        <v>8415</v>
      </c>
      <c r="B3540" t="s">
        <v>8416</v>
      </c>
      <c r="F3540" t="str">
        <f t="shared" si="55"/>
        <v>69581</v>
      </c>
      <c r="AE3540">
        <v>1101110003155</v>
      </c>
      <c r="AG3540" t="s">
        <v>2</v>
      </c>
      <c r="AH3540" t="s">
        <v>114</v>
      </c>
      <c r="AI3540" t="s">
        <v>63</v>
      </c>
      <c r="AJ3540" t="s">
        <v>115</v>
      </c>
    </row>
    <row r="3541" spans="1:36">
      <c r="A3541" t="s">
        <v>8417</v>
      </c>
      <c r="B3541" t="s">
        <v>8418</v>
      </c>
      <c r="F3541" t="str">
        <f t="shared" si="55"/>
        <v>69582</v>
      </c>
      <c r="AE3541">
        <v>1101110042955</v>
      </c>
      <c r="AG3541" t="s">
        <v>2</v>
      </c>
      <c r="AH3541" t="s">
        <v>114</v>
      </c>
      <c r="AI3541" t="s">
        <v>63</v>
      </c>
      <c r="AJ3541" t="s">
        <v>115</v>
      </c>
    </row>
    <row r="3542" spans="1:36">
      <c r="A3542" t="s">
        <v>8419</v>
      </c>
      <c r="B3542" t="s">
        <v>8420</v>
      </c>
      <c r="F3542" t="str">
        <f t="shared" si="55"/>
        <v>69583</v>
      </c>
      <c r="AE3542">
        <v>1101110672538</v>
      </c>
      <c r="AG3542" t="s">
        <v>4</v>
      </c>
      <c r="AH3542" t="s">
        <v>5</v>
      </c>
      <c r="AI3542" t="s">
        <v>6</v>
      </c>
      <c r="AJ3542" t="s">
        <v>7</v>
      </c>
    </row>
    <row r="3543" spans="1:36">
      <c r="A3543" t="s">
        <v>8421</v>
      </c>
      <c r="B3543" t="s">
        <v>8422</v>
      </c>
      <c r="F3543" t="str">
        <f t="shared" si="55"/>
        <v>69584</v>
      </c>
      <c r="AE3543">
        <v>1101114809450</v>
      </c>
      <c r="AG3543" t="s">
        <v>4</v>
      </c>
      <c r="AH3543" t="s">
        <v>973</v>
      </c>
      <c r="AI3543" t="s">
        <v>6</v>
      </c>
      <c r="AJ3543" t="s">
        <v>974</v>
      </c>
    </row>
    <row r="3544" spans="1:36">
      <c r="A3544" t="s">
        <v>8423</v>
      </c>
      <c r="B3544" t="s">
        <v>8424</v>
      </c>
      <c r="F3544" t="str">
        <f t="shared" si="55"/>
        <v>69585</v>
      </c>
      <c r="AE3544">
        <v>1701110000141</v>
      </c>
      <c r="AG3544" t="s">
        <v>4</v>
      </c>
      <c r="AH3544" t="s">
        <v>5</v>
      </c>
      <c r="AI3544" t="s">
        <v>6</v>
      </c>
      <c r="AJ3544" t="s">
        <v>7</v>
      </c>
    </row>
    <row r="3545" spans="1:36">
      <c r="A3545" t="s">
        <v>8425</v>
      </c>
      <c r="B3545" t="s">
        <v>8426</v>
      </c>
      <c r="F3545" t="str">
        <f t="shared" si="55"/>
        <v>69586</v>
      </c>
      <c r="AE3545">
        <v>1801110002997</v>
      </c>
      <c r="AG3545" t="s">
        <v>4</v>
      </c>
      <c r="AH3545" t="s">
        <v>5</v>
      </c>
      <c r="AI3545" t="s">
        <v>6</v>
      </c>
      <c r="AJ3545" t="s">
        <v>7</v>
      </c>
    </row>
    <row r="3546" spans="1:36">
      <c r="A3546" t="s">
        <v>8427</v>
      </c>
      <c r="B3546" t="s">
        <v>8428</v>
      </c>
      <c r="F3546" t="str">
        <f t="shared" si="55"/>
        <v>69587</v>
      </c>
      <c r="AE3546">
        <v>2001110000053</v>
      </c>
      <c r="AG3546" t="s">
        <v>4</v>
      </c>
      <c r="AH3546" t="s">
        <v>5</v>
      </c>
      <c r="AI3546" t="s">
        <v>6</v>
      </c>
      <c r="AJ3546" t="s">
        <v>7</v>
      </c>
    </row>
    <row r="3547" spans="1:36">
      <c r="A3547" t="s">
        <v>8429</v>
      </c>
      <c r="B3547" t="s">
        <v>8430</v>
      </c>
      <c r="F3547" t="str">
        <f t="shared" si="55"/>
        <v>69588</v>
      </c>
      <c r="AE3547">
        <v>1101110095285</v>
      </c>
      <c r="AG3547" t="s">
        <v>2</v>
      </c>
      <c r="AH3547" t="s">
        <v>54</v>
      </c>
      <c r="AI3547" t="s">
        <v>55</v>
      </c>
      <c r="AJ3547" t="s">
        <v>56</v>
      </c>
    </row>
    <row r="3548" spans="1:36">
      <c r="A3548" t="s">
        <v>8431</v>
      </c>
      <c r="B3548" t="s">
        <v>8432</v>
      </c>
      <c r="F3548" t="str">
        <f t="shared" si="55"/>
        <v>69589</v>
      </c>
      <c r="AE3548">
        <v>1101110098130</v>
      </c>
      <c r="AG3548" t="s">
        <v>2</v>
      </c>
      <c r="AH3548" t="s">
        <v>114</v>
      </c>
      <c r="AI3548" t="s">
        <v>63</v>
      </c>
      <c r="AJ3548" t="s">
        <v>115</v>
      </c>
    </row>
    <row r="3549" spans="1:36">
      <c r="A3549" t="s">
        <v>8433</v>
      </c>
      <c r="B3549" t="s">
        <v>8434</v>
      </c>
      <c r="F3549" t="str">
        <f t="shared" si="55"/>
        <v>69590</v>
      </c>
      <c r="AE3549">
        <v>2201110000819</v>
      </c>
      <c r="AG3549" t="s">
        <v>2</v>
      </c>
      <c r="AH3549" t="s">
        <v>5</v>
      </c>
      <c r="AI3549" t="s">
        <v>6</v>
      </c>
      <c r="AJ3549" t="s">
        <v>7</v>
      </c>
    </row>
    <row r="3550" spans="1:36">
      <c r="A3550" t="s">
        <v>8435</v>
      </c>
      <c r="B3550" t="s">
        <v>8436</v>
      </c>
      <c r="F3550" t="str">
        <f t="shared" si="55"/>
        <v>69591</v>
      </c>
      <c r="AE3550">
        <v>2101110000043</v>
      </c>
      <c r="AG3550" t="s">
        <v>4</v>
      </c>
      <c r="AH3550" t="s">
        <v>5</v>
      </c>
      <c r="AI3550" t="s">
        <v>6</v>
      </c>
      <c r="AJ3550" t="s">
        <v>7</v>
      </c>
    </row>
    <row r="3551" spans="1:36">
      <c r="A3551" t="s">
        <v>8437</v>
      </c>
      <c r="B3551" t="s">
        <v>8438</v>
      </c>
      <c r="F3551" t="str">
        <f t="shared" si="55"/>
        <v>69592</v>
      </c>
      <c r="AE3551">
        <v>1901110000197</v>
      </c>
      <c r="AG3551" t="s">
        <v>4</v>
      </c>
      <c r="AH3551" t="s">
        <v>5</v>
      </c>
      <c r="AI3551" t="s">
        <v>6</v>
      </c>
      <c r="AJ3551" t="s">
        <v>7</v>
      </c>
    </row>
    <row r="3552" spans="1:36">
      <c r="A3552" t="s">
        <v>8439</v>
      </c>
      <c r="B3552" t="s">
        <v>8440</v>
      </c>
      <c r="F3552" t="str">
        <f t="shared" si="55"/>
        <v>69593</v>
      </c>
      <c r="AE3552">
        <v>1101110011679</v>
      </c>
      <c r="AG3552" t="s">
        <v>2</v>
      </c>
      <c r="AH3552" t="s">
        <v>114</v>
      </c>
      <c r="AI3552" t="s">
        <v>63</v>
      </c>
      <c r="AJ3552" t="s">
        <v>115</v>
      </c>
    </row>
    <row r="3553" spans="1:36">
      <c r="A3553" t="s">
        <v>8441</v>
      </c>
      <c r="B3553" t="s">
        <v>8442</v>
      </c>
      <c r="F3553" t="str">
        <f t="shared" si="55"/>
        <v>69594</v>
      </c>
      <c r="AE3553">
        <v>1101110128341</v>
      </c>
      <c r="AG3553" t="s">
        <v>4</v>
      </c>
    </row>
    <row r="3554" spans="1:36">
      <c r="A3554" t="s">
        <v>8443</v>
      </c>
      <c r="B3554" t="s">
        <v>8444</v>
      </c>
      <c r="F3554" t="str">
        <f t="shared" si="55"/>
        <v>69595</v>
      </c>
      <c r="AE3554">
        <v>1801110005701</v>
      </c>
      <c r="AG3554" t="s">
        <v>4</v>
      </c>
      <c r="AH3554" t="s">
        <v>381</v>
      </c>
      <c r="AI3554" t="s">
        <v>6</v>
      </c>
      <c r="AJ3554" t="s">
        <v>382</v>
      </c>
    </row>
    <row r="3555" spans="1:36">
      <c r="A3555" t="s">
        <v>8445</v>
      </c>
      <c r="B3555" t="s">
        <v>8446</v>
      </c>
      <c r="F3555" t="str">
        <f t="shared" si="55"/>
        <v>69596</v>
      </c>
      <c r="AE3555">
        <v>1101110141301</v>
      </c>
      <c r="AG3555" t="s">
        <v>2</v>
      </c>
      <c r="AH3555" t="s">
        <v>114</v>
      </c>
      <c r="AI3555" t="s">
        <v>63</v>
      </c>
      <c r="AJ3555" t="s">
        <v>115</v>
      </c>
    </row>
    <row r="3556" spans="1:36">
      <c r="A3556" t="s">
        <v>8447</v>
      </c>
      <c r="B3556" t="s">
        <v>8448</v>
      </c>
      <c r="F3556" t="str">
        <f t="shared" si="55"/>
        <v>69597</v>
      </c>
      <c r="AE3556">
        <v>1101110143448</v>
      </c>
      <c r="AG3556" t="s">
        <v>4</v>
      </c>
      <c r="AH3556" t="s">
        <v>114</v>
      </c>
      <c r="AI3556" t="s">
        <v>63</v>
      </c>
      <c r="AJ3556" t="s">
        <v>115</v>
      </c>
    </row>
    <row r="3557" spans="1:36">
      <c r="A3557" t="s">
        <v>8449</v>
      </c>
      <c r="B3557" t="s">
        <v>8450</v>
      </c>
      <c r="F3557" t="str">
        <f t="shared" si="55"/>
        <v>69598</v>
      </c>
      <c r="AE3557">
        <v>2001110000954</v>
      </c>
      <c r="AG3557" t="s">
        <v>2</v>
      </c>
      <c r="AH3557" t="s">
        <v>729</v>
      </c>
      <c r="AI3557" t="s">
        <v>6</v>
      </c>
      <c r="AJ3557" t="s">
        <v>730</v>
      </c>
    </row>
    <row r="3558" spans="1:36">
      <c r="A3558" t="s">
        <v>8451</v>
      </c>
      <c r="B3558" t="s">
        <v>8452</v>
      </c>
      <c r="F3558" t="str">
        <f t="shared" si="55"/>
        <v>69599</v>
      </c>
      <c r="AE3558">
        <v>1101113352004</v>
      </c>
      <c r="AG3558" t="s">
        <v>2</v>
      </c>
      <c r="AH3558" t="s">
        <v>973</v>
      </c>
      <c r="AI3558" t="s">
        <v>6</v>
      </c>
      <c r="AJ3558" t="s">
        <v>974</v>
      </c>
    </row>
    <row r="3559" spans="1:36">
      <c r="A3559" t="s">
        <v>8453</v>
      </c>
      <c r="B3559" t="s">
        <v>8454</v>
      </c>
      <c r="F3559" t="str">
        <f t="shared" si="55"/>
        <v>69602</v>
      </c>
      <c r="AG3559" t="s">
        <v>4</v>
      </c>
    </row>
    <row r="3560" spans="1:36">
      <c r="A3560" t="s">
        <v>8455</v>
      </c>
      <c r="B3560" t="s">
        <v>8456</v>
      </c>
      <c r="F3560" t="str">
        <f t="shared" si="55"/>
        <v>69605</v>
      </c>
      <c r="AE3560">
        <v>1101110623606</v>
      </c>
      <c r="AG3560" t="s">
        <v>4</v>
      </c>
      <c r="AH3560" t="s">
        <v>734</v>
      </c>
      <c r="AI3560" t="s">
        <v>55</v>
      </c>
      <c r="AJ3560" t="s">
        <v>735</v>
      </c>
    </row>
    <row r="3561" spans="1:36">
      <c r="A3561" t="s">
        <v>8457</v>
      </c>
      <c r="B3561" t="s">
        <v>8458</v>
      </c>
      <c r="F3561" t="str">
        <f t="shared" si="55"/>
        <v>69608</v>
      </c>
      <c r="AE3561">
        <v>1101114809369</v>
      </c>
      <c r="AG3561" t="s">
        <v>4</v>
      </c>
      <c r="AH3561" t="s">
        <v>54</v>
      </c>
      <c r="AI3561" t="s">
        <v>55</v>
      </c>
      <c r="AJ3561" t="s">
        <v>56</v>
      </c>
    </row>
    <row r="3562" spans="1:36">
      <c r="A3562" t="s">
        <v>8459</v>
      </c>
      <c r="B3562" t="s">
        <v>8460</v>
      </c>
      <c r="F3562" t="str">
        <f t="shared" si="55"/>
        <v>69611</v>
      </c>
      <c r="AE3562">
        <v>1101110303183</v>
      </c>
      <c r="AG3562" t="s">
        <v>4</v>
      </c>
      <c r="AH3562" t="s">
        <v>54</v>
      </c>
      <c r="AI3562" t="s">
        <v>55</v>
      </c>
      <c r="AJ3562" t="s">
        <v>56</v>
      </c>
    </row>
    <row r="3563" spans="1:36">
      <c r="A3563" t="s">
        <v>8461</v>
      </c>
      <c r="B3563" t="s">
        <v>8462</v>
      </c>
      <c r="F3563" t="str">
        <f t="shared" si="55"/>
        <v>69613</v>
      </c>
      <c r="AE3563">
        <v>1101110337041</v>
      </c>
      <c r="AG3563" t="s">
        <v>4</v>
      </c>
      <c r="AH3563" t="s">
        <v>114</v>
      </c>
      <c r="AI3563" t="s">
        <v>63</v>
      </c>
      <c r="AJ3563" t="s">
        <v>115</v>
      </c>
    </row>
    <row r="3564" spans="1:36">
      <c r="A3564" t="s">
        <v>8463</v>
      </c>
      <c r="B3564" t="s">
        <v>8464</v>
      </c>
      <c r="F3564" t="str">
        <f t="shared" si="55"/>
        <v>69614</v>
      </c>
      <c r="AE3564">
        <v>1101110339956</v>
      </c>
      <c r="AG3564" t="s">
        <v>2</v>
      </c>
      <c r="AH3564" t="s">
        <v>114</v>
      </c>
      <c r="AI3564" t="s">
        <v>63</v>
      </c>
      <c r="AJ3564" t="s">
        <v>115</v>
      </c>
    </row>
    <row r="3565" spans="1:36">
      <c r="A3565" t="s">
        <v>8465</v>
      </c>
      <c r="B3565" t="s">
        <v>8466</v>
      </c>
      <c r="F3565" t="str">
        <f t="shared" si="55"/>
        <v>69618</v>
      </c>
      <c r="AE3565">
        <v>1101110303539</v>
      </c>
      <c r="AG3565" t="s">
        <v>4</v>
      </c>
      <c r="AH3565" t="s">
        <v>5</v>
      </c>
      <c r="AI3565" t="s">
        <v>6</v>
      </c>
      <c r="AJ3565" t="s">
        <v>7</v>
      </c>
    </row>
    <row r="3566" spans="1:36">
      <c r="A3566" t="s">
        <v>8467</v>
      </c>
      <c r="B3566" t="s">
        <v>8468</v>
      </c>
      <c r="F3566" t="str">
        <f t="shared" si="55"/>
        <v>69620</v>
      </c>
      <c r="AE3566">
        <v>1101110519970</v>
      </c>
      <c r="AG3566" t="s">
        <v>4</v>
      </c>
      <c r="AH3566" t="s">
        <v>634</v>
      </c>
      <c r="AI3566" t="s">
        <v>6</v>
      </c>
      <c r="AJ3566" t="s">
        <v>635</v>
      </c>
    </row>
    <row r="3567" spans="1:36">
      <c r="A3567" t="s">
        <v>8469</v>
      </c>
      <c r="B3567" t="s">
        <v>8470</v>
      </c>
      <c r="F3567" t="str">
        <f t="shared" si="55"/>
        <v>69621</v>
      </c>
      <c r="AE3567">
        <v>1101113646697</v>
      </c>
      <c r="AG3567" t="s">
        <v>4</v>
      </c>
      <c r="AH3567" t="s">
        <v>634</v>
      </c>
      <c r="AI3567" t="s">
        <v>6</v>
      </c>
      <c r="AJ3567" t="s">
        <v>635</v>
      </c>
    </row>
    <row r="3568" spans="1:36">
      <c r="A3568" t="s">
        <v>8471</v>
      </c>
      <c r="B3568" t="s">
        <v>8472</v>
      </c>
      <c r="F3568" t="str">
        <f t="shared" si="55"/>
        <v>69622</v>
      </c>
      <c r="AE3568">
        <v>1101110321424</v>
      </c>
      <c r="AG3568" t="s">
        <v>4</v>
      </c>
      <c r="AH3568" t="s">
        <v>114</v>
      </c>
      <c r="AI3568" t="s">
        <v>63</v>
      </c>
      <c r="AJ3568" t="s">
        <v>115</v>
      </c>
    </row>
    <row r="3569" spans="1:36">
      <c r="A3569" t="s">
        <v>8473</v>
      </c>
      <c r="B3569" t="s">
        <v>8474</v>
      </c>
      <c r="F3569" t="str">
        <f t="shared" si="55"/>
        <v>69623</v>
      </c>
      <c r="AE3569">
        <v>1301110013499</v>
      </c>
      <c r="AG3569" t="s">
        <v>4</v>
      </c>
      <c r="AH3569" t="s">
        <v>652</v>
      </c>
      <c r="AI3569" t="s">
        <v>6</v>
      </c>
      <c r="AJ3569" t="s">
        <v>653</v>
      </c>
    </row>
    <row r="3570" spans="1:36">
      <c r="A3570" t="s">
        <v>8475</v>
      </c>
      <c r="B3570" t="s">
        <v>8476</v>
      </c>
      <c r="F3570" t="str">
        <f t="shared" si="55"/>
        <v>69624</v>
      </c>
      <c r="AE3570">
        <v>1101112365321</v>
      </c>
      <c r="AG3570" t="s">
        <v>4</v>
      </c>
      <c r="AH3570" t="s">
        <v>5</v>
      </c>
      <c r="AI3570" t="s">
        <v>6</v>
      </c>
      <c r="AJ3570" t="s">
        <v>7</v>
      </c>
    </row>
    <row r="3571" spans="1:36">
      <c r="A3571" t="s">
        <v>8477</v>
      </c>
      <c r="B3571" t="s">
        <v>8478</v>
      </c>
      <c r="F3571" t="str">
        <f t="shared" si="55"/>
        <v>69625</v>
      </c>
      <c r="AE3571">
        <v>1101110135627</v>
      </c>
      <c r="AG3571" t="s">
        <v>4</v>
      </c>
      <c r="AH3571" t="s">
        <v>381</v>
      </c>
      <c r="AI3571" t="s">
        <v>6</v>
      </c>
      <c r="AJ3571" t="s">
        <v>382</v>
      </c>
    </row>
    <row r="3572" spans="1:36">
      <c r="A3572" t="s">
        <v>8479</v>
      </c>
      <c r="B3572" t="s">
        <v>8480</v>
      </c>
      <c r="F3572" t="str">
        <f t="shared" si="55"/>
        <v>69626</v>
      </c>
      <c r="AE3572">
        <v>1101110338693</v>
      </c>
      <c r="AG3572" t="s">
        <v>4</v>
      </c>
      <c r="AH3572" t="s">
        <v>381</v>
      </c>
      <c r="AI3572" t="s">
        <v>6</v>
      </c>
      <c r="AJ3572" t="s">
        <v>382</v>
      </c>
    </row>
    <row r="3573" spans="1:36">
      <c r="A3573" t="s">
        <v>8481</v>
      </c>
      <c r="B3573" t="s">
        <v>8482</v>
      </c>
      <c r="F3573" t="str">
        <f t="shared" si="55"/>
        <v>69627</v>
      </c>
      <c r="AE3573">
        <v>1101380000014</v>
      </c>
      <c r="AG3573" t="s">
        <v>4</v>
      </c>
    </row>
    <row r="3574" spans="1:36">
      <c r="A3574" t="s">
        <v>8483</v>
      </c>
      <c r="B3574" t="s">
        <v>8484</v>
      </c>
      <c r="F3574" t="str">
        <f t="shared" si="55"/>
        <v>69628</v>
      </c>
      <c r="AE3574">
        <v>2101110091498</v>
      </c>
      <c r="AG3574" t="s">
        <v>2</v>
      </c>
      <c r="AH3574" t="s">
        <v>973</v>
      </c>
      <c r="AI3574" t="s">
        <v>6</v>
      </c>
      <c r="AJ3574" t="s">
        <v>974</v>
      </c>
    </row>
    <row r="3575" spans="1:36">
      <c r="A3575" t="s">
        <v>8485</v>
      </c>
      <c r="B3575" t="s">
        <v>8486</v>
      </c>
      <c r="F3575" t="str">
        <f t="shared" si="55"/>
        <v>69632</v>
      </c>
      <c r="AE3575">
        <v>1101110346901</v>
      </c>
      <c r="AG3575" t="s">
        <v>2</v>
      </c>
      <c r="AH3575" t="s">
        <v>791</v>
      </c>
      <c r="AI3575" t="s">
        <v>55</v>
      </c>
      <c r="AJ3575" t="s">
        <v>635</v>
      </c>
    </row>
    <row r="3576" spans="1:36">
      <c r="A3576" t="s">
        <v>8487</v>
      </c>
      <c r="B3576" t="s">
        <v>8488</v>
      </c>
      <c r="F3576" t="str">
        <f t="shared" si="55"/>
        <v>69633</v>
      </c>
      <c r="AE3576">
        <v>1101110995378</v>
      </c>
      <c r="AG3576" t="s">
        <v>4</v>
      </c>
      <c r="AH3576" t="s">
        <v>791</v>
      </c>
      <c r="AI3576" t="s">
        <v>55</v>
      </c>
      <c r="AJ3576" t="s">
        <v>635</v>
      </c>
    </row>
    <row r="3577" spans="1:36">
      <c r="A3577" t="s">
        <v>8489</v>
      </c>
      <c r="B3577" t="s">
        <v>8490</v>
      </c>
      <c r="F3577" t="str">
        <f t="shared" si="55"/>
        <v>69640</v>
      </c>
      <c r="AE3577">
        <v>1801110093095</v>
      </c>
      <c r="AG3577" t="s">
        <v>4</v>
      </c>
      <c r="AH3577" t="s">
        <v>114</v>
      </c>
      <c r="AI3577" t="s">
        <v>63</v>
      </c>
      <c r="AJ3577" t="s">
        <v>115</v>
      </c>
    </row>
    <row r="3578" spans="1:36">
      <c r="A3578" t="s">
        <v>8491</v>
      </c>
      <c r="B3578" t="s">
        <v>8492</v>
      </c>
      <c r="F3578" t="str">
        <f t="shared" si="55"/>
        <v>69644</v>
      </c>
      <c r="AE3578">
        <v>1101110878706</v>
      </c>
      <c r="AG3578" t="s">
        <v>2</v>
      </c>
    </row>
    <row r="3579" spans="1:36">
      <c r="A3579" t="s">
        <v>8493</v>
      </c>
      <c r="B3579" t="s">
        <v>8494</v>
      </c>
      <c r="F3579" t="str">
        <f t="shared" si="55"/>
        <v>69645</v>
      </c>
      <c r="AE3579">
        <v>1101110018089</v>
      </c>
      <c r="AG3579" t="s">
        <v>2</v>
      </c>
      <c r="AH3579" t="s">
        <v>114</v>
      </c>
      <c r="AI3579" t="s">
        <v>63</v>
      </c>
      <c r="AJ3579" t="s">
        <v>115</v>
      </c>
    </row>
    <row r="3580" spans="1:36">
      <c r="A3580" t="s">
        <v>8495</v>
      </c>
      <c r="B3580" t="s">
        <v>8496</v>
      </c>
      <c r="F3580" t="str">
        <f t="shared" si="55"/>
        <v>69646</v>
      </c>
      <c r="AE3580">
        <v>1101110208169</v>
      </c>
      <c r="AG3580" t="s">
        <v>4</v>
      </c>
      <c r="AH3580" t="s">
        <v>114</v>
      </c>
      <c r="AI3580" t="s">
        <v>63</v>
      </c>
      <c r="AJ3580" t="s">
        <v>115</v>
      </c>
    </row>
    <row r="3581" spans="1:36">
      <c r="A3581" t="s">
        <v>8497</v>
      </c>
      <c r="B3581" t="s">
        <v>8498</v>
      </c>
      <c r="F3581" t="str">
        <f t="shared" si="55"/>
        <v>69647</v>
      </c>
      <c r="AE3581">
        <v>1101110412926</v>
      </c>
      <c r="AG3581" t="s">
        <v>4</v>
      </c>
      <c r="AH3581" t="s">
        <v>791</v>
      </c>
      <c r="AI3581" t="s">
        <v>55</v>
      </c>
      <c r="AJ3581" t="s">
        <v>635</v>
      </c>
    </row>
    <row r="3582" spans="1:36">
      <c r="A3582" t="s">
        <v>8499</v>
      </c>
      <c r="B3582" t="s">
        <v>8500</v>
      </c>
      <c r="F3582" t="str">
        <f t="shared" si="55"/>
        <v>69648</v>
      </c>
      <c r="AE3582">
        <v>1101110377203</v>
      </c>
      <c r="AG3582" t="s">
        <v>4</v>
      </c>
      <c r="AH3582" t="s">
        <v>791</v>
      </c>
      <c r="AI3582" t="s">
        <v>55</v>
      </c>
      <c r="AJ3582" t="s">
        <v>635</v>
      </c>
    </row>
    <row r="3583" spans="1:36">
      <c r="A3583" t="s">
        <v>8501</v>
      </c>
      <c r="B3583" t="s">
        <v>8502</v>
      </c>
      <c r="F3583" t="str">
        <f t="shared" si="55"/>
        <v>69649</v>
      </c>
      <c r="AE3583">
        <v>1112350000158</v>
      </c>
      <c r="AG3583" t="s">
        <v>4</v>
      </c>
    </row>
    <row r="3584" spans="1:36">
      <c r="A3584" t="s">
        <v>8503</v>
      </c>
      <c r="B3584" t="s">
        <v>8504</v>
      </c>
      <c r="F3584" t="str">
        <f t="shared" si="55"/>
        <v>69650</v>
      </c>
      <c r="AE3584">
        <v>1101360027690</v>
      </c>
      <c r="AG3584" t="s">
        <v>4</v>
      </c>
    </row>
    <row r="3585" spans="1:36">
      <c r="A3585" t="s">
        <v>8505</v>
      </c>
      <c r="B3585" t="s">
        <v>8506</v>
      </c>
      <c r="F3585" t="str">
        <f t="shared" si="55"/>
        <v>69651</v>
      </c>
      <c r="AE3585">
        <v>1101110624688</v>
      </c>
      <c r="AG3585" t="s">
        <v>2</v>
      </c>
      <c r="AH3585" t="s">
        <v>734</v>
      </c>
      <c r="AI3585" t="s">
        <v>55</v>
      </c>
      <c r="AJ3585" t="s">
        <v>735</v>
      </c>
    </row>
    <row r="3586" spans="1:36">
      <c r="A3586" t="s">
        <v>8507</v>
      </c>
      <c r="B3586" t="s">
        <v>8508</v>
      </c>
      <c r="F3586" t="str">
        <f t="shared" si="55"/>
        <v>69652</v>
      </c>
      <c r="AE3586">
        <v>1101380000014</v>
      </c>
      <c r="AG3586" t="s">
        <v>4</v>
      </c>
    </row>
    <row r="3587" spans="1:36">
      <c r="A3587" t="s">
        <v>8509</v>
      </c>
      <c r="B3587" t="s">
        <v>8510</v>
      </c>
      <c r="F3587" t="str">
        <f t="shared" si="55"/>
        <v>69661</v>
      </c>
      <c r="AE3587">
        <v>1101110018443</v>
      </c>
      <c r="AG3587" t="s">
        <v>4</v>
      </c>
      <c r="AH3587" t="s">
        <v>734</v>
      </c>
      <c r="AI3587" t="s">
        <v>55</v>
      </c>
      <c r="AJ3587" t="s">
        <v>735</v>
      </c>
    </row>
    <row r="3588" spans="1:36">
      <c r="A3588" t="s">
        <v>8511</v>
      </c>
      <c r="B3588" t="s">
        <v>8512</v>
      </c>
      <c r="F3588" t="str">
        <f t="shared" si="55"/>
        <v>69662</v>
      </c>
      <c r="AE3588">
        <v>1101110667498</v>
      </c>
      <c r="AG3588" t="s">
        <v>4</v>
      </c>
      <c r="AH3588" t="s">
        <v>734</v>
      </c>
      <c r="AI3588" t="s">
        <v>55</v>
      </c>
      <c r="AJ3588" t="s">
        <v>735</v>
      </c>
    </row>
    <row r="3589" spans="1:36">
      <c r="A3589" t="s">
        <v>8513</v>
      </c>
      <c r="B3589" t="s">
        <v>8514</v>
      </c>
      <c r="F3589" t="str">
        <f t="shared" si="55"/>
        <v>69663</v>
      </c>
      <c r="AE3589">
        <v>2001110014608</v>
      </c>
      <c r="AG3589" t="s">
        <v>4</v>
      </c>
      <c r="AH3589" t="s">
        <v>734</v>
      </c>
      <c r="AI3589" t="s">
        <v>55</v>
      </c>
      <c r="AJ3589" t="s">
        <v>735</v>
      </c>
    </row>
    <row r="3590" spans="1:36">
      <c r="A3590" t="s">
        <v>8515</v>
      </c>
      <c r="B3590" t="s">
        <v>8516</v>
      </c>
      <c r="F3590" t="str">
        <f t="shared" si="55"/>
        <v>69664</v>
      </c>
      <c r="AE3590">
        <v>1101111220336</v>
      </c>
      <c r="AG3590" t="s">
        <v>4</v>
      </c>
      <c r="AH3590" t="s">
        <v>634</v>
      </c>
      <c r="AI3590" t="s">
        <v>6</v>
      </c>
      <c r="AJ3590" t="s">
        <v>635</v>
      </c>
    </row>
    <row r="3591" spans="1:36">
      <c r="A3591" t="s">
        <v>8517</v>
      </c>
      <c r="B3591" t="s">
        <v>8518</v>
      </c>
      <c r="F3591" t="str">
        <f t="shared" si="55"/>
        <v>69665</v>
      </c>
      <c r="AE3591">
        <v>1701110092784</v>
      </c>
      <c r="AG3591" t="s">
        <v>4</v>
      </c>
      <c r="AH3591" t="s">
        <v>634</v>
      </c>
      <c r="AI3591" t="s">
        <v>6</v>
      </c>
      <c r="AJ3591" t="s">
        <v>635</v>
      </c>
    </row>
    <row r="3592" spans="1:36">
      <c r="A3592" t="s">
        <v>8519</v>
      </c>
      <c r="B3592" t="s">
        <v>8520</v>
      </c>
      <c r="F3592" t="str">
        <f t="shared" si="55"/>
        <v>69666</v>
      </c>
      <c r="AE3592">
        <v>1146710006125</v>
      </c>
      <c r="AG3592" t="s">
        <v>2</v>
      </c>
      <c r="AH3592" t="s">
        <v>277</v>
      </c>
      <c r="AI3592" t="s">
        <v>278</v>
      </c>
      <c r="AJ3592" t="s">
        <v>279</v>
      </c>
    </row>
    <row r="3593" spans="1:36">
      <c r="A3593" t="s">
        <v>8521</v>
      </c>
      <c r="B3593" t="s">
        <v>8522</v>
      </c>
      <c r="F3593" t="str">
        <f t="shared" si="55"/>
        <v>69667</v>
      </c>
      <c r="AE3593">
        <v>1101113634428</v>
      </c>
      <c r="AG3593" t="s">
        <v>4</v>
      </c>
      <c r="AH3593" t="s">
        <v>634</v>
      </c>
      <c r="AI3593" t="s">
        <v>6</v>
      </c>
      <c r="AJ3593" t="s">
        <v>635</v>
      </c>
    </row>
    <row r="3594" spans="1:36">
      <c r="A3594" t="s">
        <v>8523</v>
      </c>
      <c r="B3594" t="s">
        <v>8524</v>
      </c>
      <c r="F3594" t="str">
        <f t="shared" ref="F3594:F3657" si="56">CHOOSE($C$1, A3594, B3594)</f>
        <v>69672</v>
      </c>
      <c r="AE3594">
        <v>1101110023393</v>
      </c>
      <c r="AG3594" t="s">
        <v>4</v>
      </c>
      <c r="AH3594" t="s">
        <v>5</v>
      </c>
      <c r="AI3594" t="s">
        <v>6</v>
      </c>
      <c r="AJ3594" t="s">
        <v>7</v>
      </c>
    </row>
    <row r="3595" spans="1:36">
      <c r="A3595" t="s">
        <v>8525</v>
      </c>
      <c r="B3595" t="s">
        <v>8526</v>
      </c>
      <c r="F3595" t="str">
        <f t="shared" si="56"/>
        <v>69710</v>
      </c>
      <c r="AE3595">
        <v>1101111821423</v>
      </c>
      <c r="AG3595" t="s">
        <v>4</v>
      </c>
      <c r="AH3595" t="s">
        <v>114</v>
      </c>
      <c r="AI3595" t="s">
        <v>63</v>
      </c>
      <c r="AJ3595" t="s">
        <v>115</v>
      </c>
    </row>
    <row r="3596" spans="1:36">
      <c r="A3596" t="s">
        <v>8527</v>
      </c>
      <c r="B3596" t="s">
        <v>8528</v>
      </c>
      <c r="F3596" t="str">
        <f t="shared" si="56"/>
        <v>69722</v>
      </c>
      <c r="AE3596">
        <v>1101111911274</v>
      </c>
      <c r="AG3596" t="s">
        <v>4</v>
      </c>
      <c r="AH3596" t="s">
        <v>114</v>
      </c>
      <c r="AI3596" t="s">
        <v>63</v>
      </c>
      <c r="AJ3596" t="s">
        <v>115</v>
      </c>
    </row>
    <row r="3597" spans="1:36">
      <c r="A3597" t="s">
        <v>8529</v>
      </c>
      <c r="B3597" t="s">
        <v>8530</v>
      </c>
      <c r="F3597" t="str">
        <f t="shared" si="56"/>
        <v>69724</v>
      </c>
      <c r="AE3597">
        <v>1942110226226</v>
      </c>
      <c r="AG3597" t="s">
        <v>4</v>
      </c>
      <c r="AH3597" t="s">
        <v>5</v>
      </c>
      <c r="AI3597" t="s">
        <v>6</v>
      </c>
      <c r="AJ3597" t="s">
        <v>7</v>
      </c>
    </row>
    <row r="3598" spans="1:36">
      <c r="A3598" t="s">
        <v>8531</v>
      </c>
      <c r="B3598" t="s">
        <v>8532</v>
      </c>
      <c r="F3598" t="str">
        <f t="shared" si="56"/>
        <v>69728</v>
      </c>
      <c r="AE3598">
        <v>2001110396882</v>
      </c>
      <c r="AG3598" t="s">
        <v>4</v>
      </c>
      <c r="AH3598" t="s">
        <v>5</v>
      </c>
      <c r="AI3598" t="s">
        <v>6</v>
      </c>
      <c r="AJ3598" t="s">
        <v>7</v>
      </c>
    </row>
    <row r="3599" spans="1:36">
      <c r="A3599" t="s">
        <v>8533</v>
      </c>
      <c r="B3599" t="s">
        <v>8534</v>
      </c>
      <c r="F3599" t="str">
        <f t="shared" si="56"/>
        <v>69729</v>
      </c>
      <c r="AE3599">
        <v>1101112202797</v>
      </c>
      <c r="AG3599" t="s">
        <v>4</v>
      </c>
      <c r="AH3599" t="s">
        <v>973</v>
      </c>
      <c r="AI3599" t="s">
        <v>6</v>
      </c>
      <c r="AJ3599" t="s">
        <v>974</v>
      </c>
    </row>
    <row r="3600" spans="1:36">
      <c r="A3600" t="s">
        <v>8535</v>
      </c>
      <c r="B3600" t="s">
        <v>8536</v>
      </c>
      <c r="F3600" t="str">
        <f t="shared" si="56"/>
        <v>69730</v>
      </c>
      <c r="AE3600">
        <v>1101112322438</v>
      </c>
      <c r="AG3600" t="s">
        <v>2</v>
      </c>
      <c r="AH3600" t="s">
        <v>973</v>
      </c>
      <c r="AI3600" t="s">
        <v>6</v>
      </c>
      <c r="AJ3600" t="s">
        <v>974</v>
      </c>
    </row>
    <row r="3601" spans="1:36">
      <c r="A3601" t="s">
        <v>8537</v>
      </c>
      <c r="B3601" t="s">
        <v>8538</v>
      </c>
      <c r="F3601" t="str">
        <f t="shared" si="56"/>
        <v>69731</v>
      </c>
      <c r="AE3601">
        <v>1101115505354</v>
      </c>
      <c r="AG3601" t="s">
        <v>4</v>
      </c>
      <c r="AH3601" t="s">
        <v>634</v>
      </c>
      <c r="AI3601" t="s">
        <v>6</v>
      </c>
      <c r="AJ3601" t="s">
        <v>635</v>
      </c>
    </row>
    <row r="3602" spans="1:36">
      <c r="A3602" t="s">
        <v>8539</v>
      </c>
      <c r="B3602" t="s">
        <v>8540</v>
      </c>
      <c r="F3602" t="str">
        <f t="shared" si="56"/>
        <v>69732</v>
      </c>
      <c r="AE3602">
        <v>1115110041560</v>
      </c>
      <c r="AG3602" t="s">
        <v>4</v>
      </c>
    </row>
    <row r="3603" spans="1:36">
      <c r="A3603" t="s">
        <v>8541</v>
      </c>
      <c r="B3603" t="s">
        <v>8542</v>
      </c>
      <c r="F3603" t="str">
        <f t="shared" si="56"/>
        <v>69733</v>
      </c>
      <c r="AE3603">
        <v>1101114210459</v>
      </c>
      <c r="AG3603" t="s">
        <v>4</v>
      </c>
      <c r="AH3603" t="s">
        <v>634</v>
      </c>
      <c r="AI3603" t="s">
        <v>6</v>
      </c>
      <c r="AJ3603" t="s">
        <v>635</v>
      </c>
    </row>
    <row r="3604" spans="1:36">
      <c r="A3604" t="s">
        <v>8543</v>
      </c>
      <c r="B3604" t="s">
        <v>8544</v>
      </c>
      <c r="F3604" t="str">
        <f t="shared" si="56"/>
        <v>69734</v>
      </c>
      <c r="AE3604">
        <v>1801110750893</v>
      </c>
      <c r="AG3604" t="s">
        <v>2</v>
      </c>
      <c r="AH3604" t="s">
        <v>973</v>
      </c>
      <c r="AI3604" t="s">
        <v>6</v>
      </c>
      <c r="AJ3604" t="s">
        <v>974</v>
      </c>
    </row>
    <row r="3605" spans="1:36">
      <c r="A3605" t="s">
        <v>8545</v>
      </c>
      <c r="B3605" t="s">
        <v>8546</v>
      </c>
      <c r="F3605" t="str">
        <f t="shared" si="56"/>
        <v>69735</v>
      </c>
      <c r="AE3605">
        <v>2442350009895</v>
      </c>
      <c r="AG3605" t="s">
        <v>4</v>
      </c>
      <c r="AH3605" t="s">
        <v>5</v>
      </c>
      <c r="AI3605" t="s">
        <v>6</v>
      </c>
      <c r="AJ3605" t="s">
        <v>7</v>
      </c>
    </row>
    <row r="3606" spans="1:36">
      <c r="A3606" t="s">
        <v>8547</v>
      </c>
      <c r="B3606" t="s">
        <v>8548</v>
      </c>
      <c r="F3606" t="str">
        <f t="shared" si="56"/>
        <v>69736</v>
      </c>
      <c r="AE3606">
        <v>1101114809377</v>
      </c>
      <c r="AG3606" t="s">
        <v>4</v>
      </c>
      <c r="AH3606" t="s">
        <v>734</v>
      </c>
      <c r="AI3606" t="s">
        <v>55</v>
      </c>
      <c r="AJ3606" t="s">
        <v>735</v>
      </c>
    </row>
    <row r="3607" spans="1:36">
      <c r="A3607" t="s">
        <v>8549</v>
      </c>
      <c r="B3607" t="s">
        <v>8550</v>
      </c>
      <c r="F3607" t="str">
        <f t="shared" si="56"/>
        <v>69737</v>
      </c>
      <c r="AE3607">
        <v>1101114809385</v>
      </c>
      <c r="AG3607" t="s">
        <v>4</v>
      </c>
      <c r="AH3607" t="s">
        <v>5</v>
      </c>
      <c r="AI3607" t="s">
        <v>6</v>
      </c>
      <c r="AJ3607" t="s">
        <v>7</v>
      </c>
    </row>
    <row r="3608" spans="1:36">
      <c r="A3608" t="s">
        <v>8551</v>
      </c>
      <c r="B3608" t="s">
        <v>8552</v>
      </c>
      <c r="F3608" t="str">
        <f t="shared" si="56"/>
        <v>69738</v>
      </c>
      <c r="AG3608" t="s">
        <v>4</v>
      </c>
    </row>
    <row r="3609" spans="1:36">
      <c r="A3609" t="s">
        <v>8553</v>
      </c>
      <c r="B3609" t="s">
        <v>8554</v>
      </c>
      <c r="F3609" t="str">
        <f t="shared" si="56"/>
        <v>69739</v>
      </c>
      <c r="AG3609" t="s">
        <v>4</v>
      </c>
    </row>
    <row r="3610" spans="1:36">
      <c r="A3610" t="s">
        <v>8555</v>
      </c>
      <c r="B3610" t="s">
        <v>8556</v>
      </c>
      <c r="F3610" t="str">
        <f t="shared" si="56"/>
        <v>69740</v>
      </c>
      <c r="AG3610" t="s">
        <v>4</v>
      </c>
    </row>
    <row r="3611" spans="1:36">
      <c r="A3611" t="s">
        <v>8557</v>
      </c>
      <c r="B3611" t="s">
        <v>8558</v>
      </c>
      <c r="F3611" t="str">
        <f t="shared" si="56"/>
        <v>69741</v>
      </c>
      <c r="AG3611" t="s">
        <v>4</v>
      </c>
    </row>
    <row r="3612" spans="1:36">
      <c r="A3612" t="s">
        <v>8559</v>
      </c>
      <c r="B3612" t="s">
        <v>8560</v>
      </c>
      <c r="F3612" t="str">
        <f t="shared" si="56"/>
        <v>69742</v>
      </c>
      <c r="AE3612">
        <v>1243110001795</v>
      </c>
      <c r="AG3612" t="s">
        <v>4</v>
      </c>
    </row>
    <row r="3613" spans="1:36">
      <c r="A3613" t="s">
        <v>8561</v>
      </c>
      <c r="B3613" t="s">
        <v>8562</v>
      </c>
      <c r="F3613" t="str">
        <f t="shared" si="56"/>
        <v>69743</v>
      </c>
      <c r="AE3613">
        <v>2013110000107</v>
      </c>
      <c r="AG3613" t="s">
        <v>4</v>
      </c>
    </row>
    <row r="3614" spans="1:36">
      <c r="A3614" t="s">
        <v>8563</v>
      </c>
      <c r="B3614" t="s">
        <v>8564</v>
      </c>
      <c r="F3614" t="str">
        <f t="shared" si="56"/>
        <v>69744</v>
      </c>
      <c r="AE3614">
        <v>1101110095516</v>
      </c>
      <c r="AG3614" t="s">
        <v>4</v>
      </c>
    </row>
    <row r="3615" spans="1:36">
      <c r="A3615" t="s">
        <v>8565</v>
      </c>
      <c r="B3615" t="s">
        <v>8566</v>
      </c>
      <c r="F3615" t="str">
        <f t="shared" si="56"/>
        <v>69745</v>
      </c>
      <c r="AG3615" t="s">
        <v>4</v>
      </c>
    </row>
    <row r="3616" spans="1:36">
      <c r="A3616" t="s">
        <v>8567</v>
      </c>
      <c r="B3616" t="s">
        <v>8568</v>
      </c>
      <c r="F3616" t="str">
        <f t="shared" si="56"/>
        <v>69746</v>
      </c>
      <c r="AE3616">
        <v>1101110112328</v>
      </c>
      <c r="AG3616" t="s">
        <v>4</v>
      </c>
    </row>
    <row r="3617" spans="1:33">
      <c r="A3617" t="s">
        <v>8569</v>
      </c>
      <c r="B3617" t="s">
        <v>8570</v>
      </c>
      <c r="F3617" t="str">
        <f t="shared" si="56"/>
        <v>69747</v>
      </c>
      <c r="AG3617" t="s">
        <v>4</v>
      </c>
    </row>
    <row r="3618" spans="1:33">
      <c r="A3618" t="s">
        <v>8571</v>
      </c>
      <c r="B3618" t="s">
        <v>8572</v>
      </c>
      <c r="F3618" t="str">
        <f t="shared" si="56"/>
        <v>69748</v>
      </c>
      <c r="AG3618" t="s">
        <v>4</v>
      </c>
    </row>
    <row r="3619" spans="1:33">
      <c r="A3619" t="s">
        <v>8573</v>
      </c>
      <c r="B3619" t="s">
        <v>8574</v>
      </c>
      <c r="F3619" t="str">
        <f t="shared" si="56"/>
        <v>69749</v>
      </c>
      <c r="AG3619" t="s">
        <v>4</v>
      </c>
    </row>
    <row r="3620" spans="1:33">
      <c r="A3620" t="s">
        <v>8575</v>
      </c>
      <c r="B3620" t="s">
        <v>8576</v>
      </c>
      <c r="F3620" t="str">
        <f t="shared" si="56"/>
        <v>69750</v>
      </c>
      <c r="AG3620" t="s">
        <v>4</v>
      </c>
    </row>
    <row r="3621" spans="1:33">
      <c r="A3621" t="s">
        <v>8577</v>
      </c>
      <c r="B3621" t="s">
        <v>8578</v>
      </c>
      <c r="F3621" t="str">
        <f t="shared" si="56"/>
        <v>69751</v>
      </c>
      <c r="AE3621">
        <v>1101111081928</v>
      </c>
      <c r="AG3621" t="s">
        <v>4</v>
      </c>
    </row>
    <row r="3622" spans="1:33">
      <c r="A3622" t="s">
        <v>8579</v>
      </c>
      <c r="B3622" t="s">
        <v>8580</v>
      </c>
      <c r="F3622" t="str">
        <f t="shared" si="56"/>
        <v>69752</v>
      </c>
      <c r="AE3622">
        <v>1101110243800</v>
      </c>
      <c r="AG3622" t="s">
        <v>4</v>
      </c>
    </row>
    <row r="3623" spans="1:33">
      <c r="A3623" t="s">
        <v>8581</v>
      </c>
      <c r="B3623" t="s">
        <v>8582</v>
      </c>
      <c r="F3623" t="str">
        <f t="shared" si="56"/>
        <v>69755</v>
      </c>
      <c r="AE3623">
        <v>1243110015051</v>
      </c>
      <c r="AG3623" t="s">
        <v>4</v>
      </c>
    </row>
    <row r="3624" spans="1:33">
      <c r="A3624" t="s">
        <v>8583</v>
      </c>
      <c r="B3624" t="s">
        <v>8584</v>
      </c>
      <c r="F3624" t="str">
        <f t="shared" si="56"/>
        <v>69756</v>
      </c>
      <c r="AG3624" t="s">
        <v>4</v>
      </c>
    </row>
    <row r="3625" spans="1:33">
      <c r="A3625" t="s">
        <v>8585</v>
      </c>
      <c r="B3625" t="s">
        <v>8586</v>
      </c>
      <c r="F3625" t="str">
        <f t="shared" si="56"/>
        <v>69758</v>
      </c>
      <c r="AE3625">
        <v>1746110005478</v>
      </c>
      <c r="AG3625" t="s">
        <v>4</v>
      </c>
    </row>
    <row r="3626" spans="1:33">
      <c r="A3626" t="s">
        <v>8587</v>
      </c>
      <c r="B3626" t="s">
        <v>8588</v>
      </c>
      <c r="F3626" t="str">
        <f t="shared" si="56"/>
        <v>69760</v>
      </c>
      <c r="AE3626">
        <v>1101110519003</v>
      </c>
      <c r="AG3626" t="s">
        <v>4</v>
      </c>
    </row>
    <row r="3627" spans="1:33">
      <c r="A3627" t="s">
        <v>8589</v>
      </c>
      <c r="B3627" t="s">
        <v>8590</v>
      </c>
      <c r="F3627" t="str">
        <f t="shared" si="56"/>
        <v>69761</v>
      </c>
      <c r="AG3627" t="s">
        <v>4</v>
      </c>
    </row>
    <row r="3628" spans="1:33">
      <c r="A3628" t="s">
        <v>8591</v>
      </c>
      <c r="B3628" t="s">
        <v>8592</v>
      </c>
      <c r="F3628" t="str">
        <f t="shared" si="56"/>
        <v>69762</v>
      </c>
      <c r="AE3628">
        <v>1101111303140</v>
      </c>
      <c r="AG3628" t="s">
        <v>4</v>
      </c>
    </row>
    <row r="3629" spans="1:33">
      <c r="A3629" t="s">
        <v>8593</v>
      </c>
      <c r="B3629" t="s">
        <v>8594</v>
      </c>
      <c r="F3629" t="str">
        <f t="shared" si="56"/>
        <v>69763</v>
      </c>
      <c r="AE3629">
        <v>1101112394263</v>
      </c>
      <c r="AG3629" t="s">
        <v>4</v>
      </c>
    </row>
    <row r="3630" spans="1:33">
      <c r="A3630" t="s">
        <v>8595</v>
      </c>
      <c r="B3630" t="s">
        <v>8596</v>
      </c>
      <c r="F3630" t="str">
        <f t="shared" si="56"/>
        <v>69778</v>
      </c>
      <c r="AE3630">
        <v>1101110337653</v>
      </c>
      <c r="AG3630" t="s">
        <v>4</v>
      </c>
    </row>
    <row r="3631" spans="1:33">
      <c r="A3631" t="s">
        <v>8597</v>
      </c>
      <c r="B3631" t="s">
        <v>8598</v>
      </c>
      <c r="F3631" t="str">
        <f t="shared" si="56"/>
        <v>69790</v>
      </c>
      <c r="AG3631" t="s">
        <v>4</v>
      </c>
    </row>
    <row r="3632" spans="1:33">
      <c r="A3632" t="s">
        <v>8599</v>
      </c>
      <c r="B3632" t="s">
        <v>8600</v>
      </c>
      <c r="F3632" t="str">
        <f t="shared" si="56"/>
        <v>69791</v>
      </c>
      <c r="AE3632">
        <v>1601110038665</v>
      </c>
      <c r="AG3632" t="s">
        <v>4</v>
      </c>
    </row>
    <row r="3633" spans="1:33">
      <c r="A3633" t="s">
        <v>8601</v>
      </c>
      <c r="B3633" t="s">
        <v>8602</v>
      </c>
      <c r="F3633" t="str">
        <f t="shared" si="56"/>
        <v>69792</v>
      </c>
      <c r="AG3633" t="s">
        <v>4</v>
      </c>
    </row>
    <row r="3634" spans="1:33">
      <c r="A3634" t="s">
        <v>8603</v>
      </c>
      <c r="B3634" t="s">
        <v>8604</v>
      </c>
      <c r="F3634" t="str">
        <f t="shared" si="56"/>
        <v>69793</v>
      </c>
      <c r="AG3634" t="s">
        <v>4</v>
      </c>
    </row>
    <row r="3635" spans="1:33">
      <c r="A3635" t="s">
        <v>8605</v>
      </c>
      <c r="B3635" t="s">
        <v>8606</v>
      </c>
      <c r="F3635" t="str">
        <f t="shared" si="56"/>
        <v>69794</v>
      </c>
      <c r="AG3635" t="s">
        <v>4</v>
      </c>
    </row>
    <row r="3636" spans="1:33">
      <c r="A3636" t="s">
        <v>8607</v>
      </c>
      <c r="B3636" t="s">
        <v>8608</v>
      </c>
      <c r="F3636" t="str">
        <f t="shared" si="56"/>
        <v>69795</v>
      </c>
      <c r="AG3636" t="s">
        <v>4</v>
      </c>
    </row>
    <row r="3637" spans="1:33">
      <c r="A3637" t="s">
        <v>8609</v>
      </c>
      <c r="B3637" t="s">
        <v>8610</v>
      </c>
      <c r="F3637" t="str">
        <f t="shared" si="56"/>
        <v>69796</v>
      </c>
      <c r="AG3637" t="s">
        <v>4</v>
      </c>
    </row>
    <row r="3638" spans="1:33">
      <c r="A3638" t="s">
        <v>8611</v>
      </c>
      <c r="B3638" t="s">
        <v>8612</v>
      </c>
      <c r="F3638" t="str">
        <f t="shared" si="56"/>
        <v>69797</v>
      </c>
      <c r="AG3638" t="s">
        <v>4</v>
      </c>
    </row>
    <row r="3639" spans="1:33">
      <c r="A3639" t="s">
        <v>8613</v>
      </c>
      <c r="B3639" t="s">
        <v>8614</v>
      </c>
      <c r="F3639" t="str">
        <f t="shared" si="56"/>
        <v>69798</v>
      </c>
      <c r="AE3639">
        <v>1311110501021</v>
      </c>
      <c r="AG3639" t="s">
        <v>4</v>
      </c>
    </row>
    <row r="3640" spans="1:33">
      <c r="A3640" t="s">
        <v>8615</v>
      </c>
      <c r="B3640" t="s">
        <v>8616</v>
      </c>
      <c r="F3640" t="str">
        <f t="shared" si="56"/>
        <v>69799</v>
      </c>
      <c r="AE3640">
        <v>1201110095499</v>
      </c>
      <c r="AG3640" t="s">
        <v>4</v>
      </c>
    </row>
    <row r="3641" spans="1:33">
      <c r="A3641" t="s">
        <v>8617</v>
      </c>
      <c r="B3641" t="s">
        <v>8618</v>
      </c>
      <c r="F3641" t="str">
        <f t="shared" si="56"/>
        <v>69800</v>
      </c>
      <c r="AG3641" t="s">
        <v>4</v>
      </c>
    </row>
    <row r="3642" spans="1:33">
      <c r="A3642" t="s">
        <v>8619</v>
      </c>
      <c r="B3642" t="s">
        <v>8620</v>
      </c>
      <c r="F3642" t="str">
        <f t="shared" si="56"/>
        <v>69801</v>
      </c>
      <c r="AG3642" t="s">
        <v>4</v>
      </c>
    </row>
    <row r="3643" spans="1:33">
      <c r="A3643" t="s">
        <v>8621</v>
      </c>
      <c r="B3643" t="s">
        <v>8622</v>
      </c>
      <c r="F3643" t="str">
        <f t="shared" si="56"/>
        <v>69802</v>
      </c>
      <c r="AG3643" t="s">
        <v>4</v>
      </c>
    </row>
    <row r="3644" spans="1:33">
      <c r="A3644" t="s">
        <v>8623</v>
      </c>
      <c r="B3644" t="s">
        <v>8624</v>
      </c>
      <c r="F3644" t="str">
        <f t="shared" si="56"/>
        <v>69803</v>
      </c>
      <c r="AG3644" t="s">
        <v>4</v>
      </c>
    </row>
    <row r="3645" spans="1:33">
      <c r="A3645" t="s">
        <v>8625</v>
      </c>
      <c r="B3645" t="s">
        <v>8626</v>
      </c>
      <c r="F3645" t="str">
        <f t="shared" si="56"/>
        <v>69804</v>
      </c>
      <c r="AG3645" t="s">
        <v>4</v>
      </c>
    </row>
    <row r="3646" spans="1:33">
      <c r="A3646" t="s">
        <v>8627</v>
      </c>
      <c r="B3646" t="s">
        <v>8628</v>
      </c>
      <c r="F3646" t="str">
        <f t="shared" si="56"/>
        <v>69805</v>
      </c>
      <c r="AG3646" t="s">
        <v>4</v>
      </c>
    </row>
    <row r="3647" spans="1:33">
      <c r="A3647" t="s">
        <v>8629</v>
      </c>
      <c r="B3647" t="s">
        <v>8630</v>
      </c>
      <c r="F3647" t="str">
        <f t="shared" si="56"/>
        <v>69806</v>
      </c>
      <c r="AG3647" t="s">
        <v>4</v>
      </c>
    </row>
    <row r="3648" spans="1:33">
      <c r="A3648" t="s">
        <v>8631</v>
      </c>
      <c r="B3648" t="s">
        <v>8632</v>
      </c>
      <c r="F3648" t="str">
        <f t="shared" si="56"/>
        <v>69807</v>
      </c>
      <c r="AE3648">
        <v>1812110002530</v>
      </c>
      <c r="AG3648" t="s">
        <v>4</v>
      </c>
    </row>
    <row r="3649" spans="1:33">
      <c r="A3649" t="s">
        <v>8633</v>
      </c>
      <c r="B3649" t="s">
        <v>8634</v>
      </c>
      <c r="F3649" t="str">
        <f t="shared" si="56"/>
        <v>69819</v>
      </c>
      <c r="AG3649" t="s">
        <v>4</v>
      </c>
    </row>
    <row r="3650" spans="1:33">
      <c r="A3650" t="s">
        <v>8635</v>
      </c>
      <c r="B3650" t="s">
        <v>8636</v>
      </c>
      <c r="F3650" t="str">
        <f t="shared" si="56"/>
        <v>69820</v>
      </c>
      <c r="AG3650" t="s">
        <v>4</v>
      </c>
    </row>
    <row r="3651" spans="1:33">
      <c r="A3651" t="s">
        <v>8637</v>
      </c>
      <c r="B3651" t="s">
        <v>8638</v>
      </c>
      <c r="F3651" t="str">
        <f t="shared" si="56"/>
        <v>69821</v>
      </c>
      <c r="AG3651" t="s">
        <v>4</v>
      </c>
    </row>
    <row r="3652" spans="1:33">
      <c r="A3652" t="s">
        <v>8639</v>
      </c>
      <c r="B3652" t="s">
        <v>8640</v>
      </c>
      <c r="F3652" t="str">
        <f t="shared" si="56"/>
        <v>69822</v>
      </c>
      <c r="AG3652" t="s">
        <v>4</v>
      </c>
    </row>
    <row r="3653" spans="1:33">
      <c r="A3653" t="s">
        <v>8641</v>
      </c>
      <c r="B3653" t="s">
        <v>8642</v>
      </c>
      <c r="F3653" t="str">
        <f t="shared" si="56"/>
        <v>69823</v>
      </c>
      <c r="AG3653" t="s">
        <v>4</v>
      </c>
    </row>
    <row r="3654" spans="1:33">
      <c r="A3654" t="s">
        <v>8643</v>
      </c>
      <c r="B3654" t="s">
        <v>8644</v>
      </c>
      <c r="F3654" t="str">
        <f t="shared" si="56"/>
        <v>69824</v>
      </c>
      <c r="AE3654">
        <v>1348110197550</v>
      </c>
      <c r="AG3654" t="s">
        <v>4</v>
      </c>
    </row>
    <row r="3655" spans="1:33">
      <c r="A3655" t="s">
        <v>8645</v>
      </c>
      <c r="B3655" t="s">
        <v>8646</v>
      </c>
      <c r="F3655" t="str">
        <f t="shared" si="56"/>
        <v>69825</v>
      </c>
      <c r="AG3655" t="s">
        <v>4</v>
      </c>
    </row>
    <row r="3656" spans="1:33">
      <c r="A3656" t="s">
        <v>8647</v>
      </c>
      <c r="B3656" t="s">
        <v>8648</v>
      </c>
      <c r="F3656" t="str">
        <f t="shared" si="56"/>
        <v>69826</v>
      </c>
      <c r="AG3656" t="s">
        <v>4</v>
      </c>
    </row>
    <row r="3657" spans="1:33">
      <c r="A3657" t="s">
        <v>8649</v>
      </c>
      <c r="B3657" t="s">
        <v>8650</v>
      </c>
      <c r="F3657" t="str">
        <f t="shared" si="56"/>
        <v>69827</v>
      </c>
      <c r="AG3657" t="s">
        <v>4</v>
      </c>
    </row>
    <row r="3658" spans="1:33">
      <c r="A3658" t="s">
        <v>8651</v>
      </c>
      <c r="B3658" t="s">
        <v>8652</v>
      </c>
      <c r="F3658" t="str">
        <f t="shared" ref="F3658:F3721" si="57">CHOOSE($C$1, A3658, B3658)</f>
        <v>69828</v>
      </c>
      <c r="AG3658" t="s">
        <v>4</v>
      </c>
    </row>
    <row r="3659" spans="1:33">
      <c r="A3659" t="s">
        <v>8653</v>
      </c>
      <c r="B3659" t="s">
        <v>8654</v>
      </c>
      <c r="F3659" t="str">
        <f t="shared" si="57"/>
        <v>69832</v>
      </c>
      <c r="AG3659" t="s">
        <v>4</v>
      </c>
    </row>
    <row r="3660" spans="1:33">
      <c r="A3660" t="s">
        <v>8655</v>
      </c>
      <c r="B3660" t="s">
        <v>8656</v>
      </c>
      <c r="F3660" t="str">
        <f t="shared" si="57"/>
        <v>69835</v>
      </c>
      <c r="AG3660" t="s">
        <v>4</v>
      </c>
    </row>
    <row r="3661" spans="1:33">
      <c r="A3661" t="s">
        <v>8657</v>
      </c>
      <c r="B3661" t="s">
        <v>8658</v>
      </c>
      <c r="F3661" t="str">
        <f t="shared" si="57"/>
        <v>69845</v>
      </c>
      <c r="AG3661" t="s">
        <v>4</v>
      </c>
    </row>
    <row r="3662" spans="1:33">
      <c r="A3662" t="s">
        <v>8659</v>
      </c>
      <c r="B3662" t="s">
        <v>8660</v>
      </c>
      <c r="F3662" t="str">
        <f t="shared" si="57"/>
        <v>69846</v>
      </c>
      <c r="AG3662" t="s">
        <v>4</v>
      </c>
    </row>
    <row r="3663" spans="1:33">
      <c r="A3663" t="s">
        <v>8661</v>
      </c>
      <c r="B3663" t="s">
        <v>8662</v>
      </c>
      <c r="F3663" t="str">
        <f t="shared" si="57"/>
        <v>69850</v>
      </c>
      <c r="AG3663" t="s">
        <v>4</v>
      </c>
    </row>
    <row r="3664" spans="1:33">
      <c r="A3664" t="s">
        <v>8663</v>
      </c>
      <c r="B3664" t="s">
        <v>8664</v>
      </c>
      <c r="F3664" t="str">
        <f t="shared" si="57"/>
        <v>69851</v>
      </c>
      <c r="AG3664" t="s">
        <v>4</v>
      </c>
    </row>
    <row r="3665" spans="1:33">
      <c r="A3665" t="s">
        <v>8665</v>
      </c>
      <c r="B3665" t="s">
        <v>8666</v>
      </c>
      <c r="F3665" t="str">
        <f t="shared" si="57"/>
        <v>69854</v>
      </c>
      <c r="AG3665" t="s">
        <v>4</v>
      </c>
    </row>
    <row r="3666" spans="1:33">
      <c r="A3666" t="s">
        <v>8667</v>
      </c>
      <c r="B3666" t="s">
        <v>8668</v>
      </c>
      <c r="F3666" t="str">
        <f t="shared" si="57"/>
        <v>69856</v>
      </c>
      <c r="AG3666" t="s">
        <v>4</v>
      </c>
    </row>
    <row r="3667" spans="1:33">
      <c r="A3667" t="s">
        <v>8669</v>
      </c>
      <c r="B3667" t="s">
        <v>8670</v>
      </c>
      <c r="F3667" t="str">
        <f t="shared" si="57"/>
        <v>69858</v>
      </c>
      <c r="AE3667">
        <v>1101110013419</v>
      </c>
      <c r="AG3667" t="s">
        <v>4</v>
      </c>
    </row>
    <row r="3668" spans="1:33">
      <c r="A3668" t="s">
        <v>8671</v>
      </c>
      <c r="B3668" t="s">
        <v>8672</v>
      </c>
      <c r="F3668" t="str">
        <f t="shared" si="57"/>
        <v>69859</v>
      </c>
      <c r="AG3668" t="s">
        <v>4</v>
      </c>
    </row>
    <row r="3669" spans="1:33">
      <c r="A3669" t="s">
        <v>8673</v>
      </c>
      <c r="B3669" t="s">
        <v>8674</v>
      </c>
      <c r="F3669" t="str">
        <f t="shared" si="57"/>
        <v>69860</v>
      </c>
      <c r="AG3669" t="s">
        <v>4</v>
      </c>
    </row>
    <row r="3670" spans="1:33">
      <c r="A3670" t="s">
        <v>8675</v>
      </c>
      <c r="B3670" t="s">
        <v>8676</v>
      </c>
      <c r="F3670" t="str">
        <f t="shared" si="57"/>
        <v>69861</v>
      </c>
      <c r="AG3670" t="s">
        <v>4</v>
      </c>
    </row>
    <row r="3671" spans="1:33">
      <c r="A3671" t="s">
        <v>8677</v>
      </c>
      <c r="B3671" t="s">
        <v>8678</v>
      </c>
      <c r="F3671" t="str">
        <f t="shared" si="57"/>
        <v>69865</v>
      </c>
      <c r="AG3671" t="s">
        <v>4</v>
      </c>
    </row>
    <row r="3672" spans="1:33">
      <c r="A3672" t="s">
        <v>8679</v>
      </c>
      <c r="B3672" t="s">
        <v>8680</v>
      </c>
      <c r="F3672" t="str">
        <f t="shared" si="57"/>
        <v>69869</v>
      </c>
      <c r="AE3672">
        <v>1101115554591</v>
      </c>
      <c r="AG3672" t="s">
        <v>4</v>
      </c>
    </row>
    <row r="3673" spans="1:33">
      <c r="A3673" t="s">
        <v>8681</v>
      </c>
      <c r="B3673" t="s">
        <v>8682</v>
      </c>
      <c r="F3673" t="str">
        <f t="shared" si="57"/>
        <v>69872</v>
      </c>
      <c r="AE3673">
        <v>1101111868615</v>
      </c>
      <c r="AG3673" t="s">
        <v>4</v>
      </c>
    </row>
    <row r="3674" spans="1:33">
      <c r="A3674" t="s">
        <v>8683</v>
      </c>
      <c r="B3674" t="s">
        <v>8684</v>
      </c>
      <c r="F3674" t="str">
        <f t="shared" si="57"/>
        <v>69873</v>
      </c>
      <c r="AG3674" t="s">
        <v>4</v>
      </c>
    </row>
    <row r="3675" spans="1:33">
      <c r="A3675" t="s">
        <v>8685</v>
      </c>
      <c r="B3675" t="s">
        <v>8686</v>
      </c>
      <c r="F3675" t="str">
        <f t="shared" si="57"/>
        <v>69874</v>
      </c>
      <c r="AG3675" t="s">
        <v>4</v>
      </c>
    </row>
    <row r="3676" spans="1:33">
      <c r="A3676" t="s">
        <v>8687</v>
      </c>
      <c r="B3676" t="s">
        <v>8688</v>
      </c>
      <c r="F3676" t="str">
        <f t="shared" si="57"/>
        <v>69875</v>
      </c>
    </row>
    <row r="3677" spans="1:33">
      <c r="A3677" t="s">
        <v>8689</v>
      </c>
      <c r="B3677" t="s">
        <v>8690</v>
      </c>
      <c r="F3677" t="str">
        <f t="shared" si="57"/>
        <v>69876</v>
      </c>
    </row>
    <row r="3678" spans="1:33">
      <c r="A3678" t="s">
        <v>8691</v>
      </c>
      <c r="B3678" t="s">
        <v>8692</v>
      </c>
      <c r="F3678" t="str">
        <f t="shared" si="57"/>
        <v>69877</v>
      </c>
    </row>
    <row r="3679" spans="1:33">
      <c r="A3679" t="s">
        <v>8693</v>
      </c>
      <c r="B3679" t="s">
        <v>8694</v>
      </c>
      <c r="F3679" t="str">
        <f t="shared" si="57"/>
        <v>69878</v>
      </c>
    </row>
    <row r="3680" spans="1:33">
      <c r="A3680" t="s">
        <v>8695</v>
      </c>
      <c r="B3680" t="s">
        <v>8696</v>
      </c>
      <c r="F3680" t="str">
        <f t="shared" si="57"/>
        <v>69879</v>
      </c>
    </row>
    <row r="3681" spans="1:6">
      <c r="A3681" t="s">
        <v>8697</v>
      </c>
      <c r="B3681" t="s">
        <v>8698</v>
      </c>
      <c r="F3681" t="str">
        <f t="shared" si="57"/>
        <v>69880</v>
      </c>
    </row>
    <row r="3682" spans="1:6">
      <c r="A3682" t="s">
        <v>8699</v>
      </c>
      <c r="B3682" t="s">
        <v>8700</v>
      </c>
      <c r="F3682" t="str">
        <f t="shared" si="57"/>
        <v>69881</v>
      </c>
    </row>
    <row r="3683" spans="1:6">
      <c r="A3683" t="s">
        <v>8701</v>
      </c>
      <c r="B3683" t="s">
        <v>8702</v>
      </c>
      <c r="F3683" t="str">
        <f t="shared" si="57"/>
        <v>69882</v>
      </c>
    </row>
    <row r="3684" spans="1:6">
      <c r="A3684" t="s">
        <v>8703</v>
      </c>
      <c r="B3684" t="s">
        <v>8704</v>
      </c>
      <c r="F3684" t="str">
        <f t="shared" si="57"/>
        <v>69883</v>
      </c>
    </row>
    <row r="3685" spans="1:6">
      <c r="A3685" t="s">
        <v>8705</v>
      </c>
      <c r="B3685" t="s">
        <v>8706</v>
      </c>
      <c r="F3685" t="str">
        <f t="shared" si="57"/>
        <v>69884</v>
      </c>
    </row>
    <row r="3686" spans="1:6">
      <c r="A3686" t="s">
        <v>8707</v>
      </c>
      <c r="B3686" t="s">
        <v>8708</v>
      </c>
      <c r="F3686" t="str">
        <f t="shared" si="57"/>
        <v>69885</v>
      </c>
    </row>
    <row r="3687" spans="1:6">
      <c r="A3687" t="s">
        <v>8709</v>
      </c>
      <c r="B3687" t="s">
        <v>8710</v>
      </c>
      <c r="F3687" t="str">
        <f t="shared" si="57"/>
        <v>69886</v>
      </c>
    </row>
    <row r="3688" spans="1:6">
      <c r="A3688" t="s">
        <v>8711</v>
      </c>
      <c r="B3688" t="s">
        <v>8712</v>
      </c>
      <c r="F3688" t="str">
        <f t="shared" si="57"/>
        <v>69887</v>
      </c>
    </row>
    <row r="3689" spans="1:6">
      <c r="A3689" t="s">
        <v>8713</v>
      </c>
      <c r="B3689" t="s">
        <v>8714</v>
      </c>
      <c r="F3689" t="str">
        <f t="shared" si="57"/>
        <v>69888</v>
      </c>
    </row>
    <row r="3690" spans="1:6">
      <c r="A3690" t="s">
        <v>8715</v>
      </c>
      <c r="B3690" t="s">
        <v>8716</v>
      </c>
      <c r="F3690" t="str">
        <f t="shared" si="57"/>
        <v>69889</v>
      </c>
    </row>
    <row r="3691" spans="1:6">
      <c r="A3691" t="s">
        <v>8717</v>
      </c>
      <c r="B3691" t="s">
        <v>8718</v>
      </c>
      <c r="F3691" t="str">
        <f t="shared" si="57"/>
        <v>69890</v>
      </c>
    </row>
    <row r="3692" spans="1:6">
      <c r="A3692" t="s">
        <v>8719</v>
      </c>
      <c r="B3692" t="s">
        <v>8720</v>
      </c>
      <c r="F3692" t="str">
        <f t="shared" si="57"/>
        <v>69891</v>
      </c>
    </row>
    <row r="3693" spans="1:6">
      <c r="A3693" t="s">
        <v>8721</v>
      </c>
      <c r="B3693" t="s">
        <v>8722</v>
      </c>
      <c r="F3693" t="str">
        <f t="shared" si="57"/>
        <v>69892</v>
      </c>
    </row>
    <row r="3694" spans="1:6">
      <c r="A3694" t="s">
        <v>8723</v>
      </c>
      <c r="B3694" t="s">
        <v>8724</v>
      </c>
      <c r="F3694" t="str">
        <f t="shared" si="57"/>
        <v>69893</v>
      </c>
    </row>
    <row r="3695" spans="1:6">
      <c r="A3695" t="s">
        <v>8725</v>
      </c>
      <c r="B3695" t="s">
        <v>8726</v>
      </c>
      <c r="F3695" t="str">
        <f t="shared" si="57"/>
        <v>69894</v>
      </c>
    </row>
    <row r="3696" spans="1:6">
      <c r="A3696" t="s">
        <v>8727</v>
      </c>
      <c r="B3696" t="s">
        <v>8728</v>
      </c>
      <c r="F3696" t="str">
        <f t="shared" si="57"/>
        <v>69895</v>
      </c>
    </row>
    <row r="3697" spans="1:6">
      <c r="A3697" t="s">
        <v>8729</v>
      </c>
      <c r="B3697" t="s">
        <v>8730</v>
      </c>
      <c r="F3697" t="str">
        <f t="shared" si="57"/>
        <v>69896</v>
      </c>
    </row>
    <row r="3698" spans="1:6">
      <c r="A3698" t="s">
        <v>8731</v>
      </c>
      <c r="B3698" t="s">
        <v>8732</v>
      </c>
      <c r="F3698" t="str">
        <f t="shared" si="57"/>
        <v>69897</v>
      </c>
    </row>
    <row r="3699" spans="1:6">
      <c r="A3699" t="s">
        <v>8733</v>
      </c>
      <c r="B3699" t="s">
        <v>8734</v>
      </c>
      <c r="F3699" t="str">
        <f t="shared" si="57"/>
        <v>69898</v>
      </c>
    </row>
    <row r="3700" spans="1:6">
      <c r="A3700" t="s">
        <v>8735</v>
      </c>
      <c r="B3700" t="s">
        <v>8736</v>
      </c>
      <c r="F3700" t="str">
        <f t="shared" si="57"/>
        <v>69899</v>
      </c>
    </row>
    <row r="3701" spans="1:6">
      <c r="A3701" t="s">
        <v>8737</v>
      </c>
      <c r="B3701" t="s">
        <v>8738</v>
      </c>
      <c r="F3701" t="str">
        <f t="shared" si="57"/>
        <v>69900</v>
      </c>
    </row>
    <row r="3702" spans="1:6">
      <c r="A3702" t="s">
        <v>8739</v>
      </c>
      <c r="B3702" t="s">
        <v>8740</v>
      </c>
      <c r="F3702" t="str">
        <f t="shared" si="57"/>
        <v>69901</v>
      </c>
    </row>
    <row r="3703" spans="1:6">
      <c r="A3703" t="s">
        <v>8741</v>
      </c>
      <c r="B3703" t="s">
        <v>8742</v>
      </c>
      <c r="F3703" t="str">
        <f t="shared" si="57"/>
        <v>69902</v>
      </c>
    </row>
    <row r="3704" spans="1:6">
      <c r="A3704" t="s">
        <v>8743</v>
      </c>
      <c r="B3704" t="s">
        <v>8744</v>
      </c>
      <c r="F3704" t="str">
        <f t="shared" si="57"/>
        <v>69903</v>
      </c>
    </row>
    <row r="3705" spans="1:6">
      <c r="A3705" t="s">
        <v>8745</v>
      </c>
      <c r="B3705" t="s">
        <v>8746</v>
      </c>
      <c r="F3705" t="str">
        <f t="shared" si="57"/>
        <v>69904</v>
      </c>
    </row>
    <row r="3706" spans="1:6">
      <c r="A3706" t="s">
        <v>8747</v>
      </c>
      <c r="B3706" t="s">
        <v>8748</v>
      </c>
      <c r="F3706" t="str">
        <f t="shared" si="57"/>
        <v>69905</v>
      </c>
    </row>
    <row r="3707" spans="1:6">
      <c r="A3707" t="s">
        <v>8749</v>
      </c>
      <c r="B3707" t="s">
        <v>8750</v>
      </c>
      <c r="F3707" t="str">
        <f t="shared" si="57"/>
        <v>69906</v>
      </c>
    </row>
    <row r="3708" spans="1:6">
      <c r="A3708" t="s">
        <v>8751</v>
      </c>
      <c r="B3708" t="s">
        <v>8752</v>
      </c>
      <c r="F3708" t="str">
        <f t="shared" si="57"/>
        <v>69914</v>
      </c>
    </row>
    <row r="3709" spans="1:6">
      <c r="A3709" t="s">
        <v>8753</v>
      </c>
      <c r="B3709" t="s">
        <v>8754</v>
      </c>
      <c r="F3709" t="str">
        <f t="shared" si="57"/>
        <v>69915</v>
      </c>
    </row>
    <row r="3710" spans="1:6">
      <c r="A3710" t="s">
        <v>8755</v>
      </c>
      <c r="B3710" t="s">
        <v>8756</v>
      </c>
      <c r="F3710" t="str">
        <f t="shared" si="57"/>
        <v>69916</v>
      </c>
    </row>
    <row r="3711" spans="1:6">
      <c r="A3711" t="s">
        <v>8757</v>
      </c>
      <c r="B3711" t="s">
        <v>8758</v>
      </c>
      <c r="F3711" t="str">
        <f t="shared" si="57"/>
        <v>69917</v>
      </c>
    </row>
    <row r="3712" spans="1:6">
      <c r="A3712" t="s">
        <v>8759</v>
      </c>
      <c r="B3712" t="s">
        <v>8760</v>
      </c>
      <c r="F3712" t="str">
        <f t="shared" si="57"/>
        <v>69918</v>
      </c>
    </row>
    <row r="3713" spans="1:6">
      <c r="A3713" t="s">
        <v>8761</v>
      </c>
      <c r="B3713" t="s">
        <v>8762</v>
      </c>
      <c r="F3713" t="str">
        <f t="shared" si="57"/>
        <v>69919</v>
      </c>
    </row>
    <row r="3714" spans="1:6">
      <c r="A3714" t="s">
        <v>8763</v>
      </c>
      <c r="B3714" t="s">
        <v>8764</v>
      </c>
      <c r="F3714" t="str">
        <f t="shared" si="57"/>
        <v>69920</v>
      </c>
    </row>
    <row r="3715" spans="1:6">
      <c r="A3715" t="s">
        <v>8765</v>
      </c>
      <c r="B3715" t="s">
        <v>8766</v>
      </c>
      <c r="F3715" t="str">
        <f t="shared" si="57"/>
        <v>69921</v>
      </c>
    </row>
    <row r="3716" spans="1:6">
      <c r="A3716" t="s">
        <v>8767</v>
      </c>
      <c r="B3716" t="s">
        <v>8768</v>
      </c>
      <c r="F3716" t="str">
        <f t="shared" si="57"/>
        <v>69922</v>
      </c>
    </row>
    <row r="3717" spans="1:6">
      <c r="A3717" t="s">
        <v>8769</v>
      </c>
      <c r="B3717" t="s">
        <v>8770</v>
      </c>
      <c r="F3717" t="str">
        <f t="shared" si="57"/>
        <v>69923</v>
      </c>
    </row>
    <row r="3718" spans="1:6">
      <c r="A3718" t="s">
        <v>8771</v>
      </c>
      <c r="B3718" t="s">
        <v>8772</v>
      </c>
      <c r="F3718" t="str">
        <f t="shared" si="57"/>
        <v>69924</v>
      </c>
    </row>
    <row r="3719" spans="1:6">
      <c r="A3719" t="s">
        <v>8773</v>
      </c>
      <c r="B3719" t="s">
        <v>8774</v>
      </c>
      <c r="F3719" t="str">
        <f t="shared" si="57"/>
        <v>69925</v>
      </c>
    </row>
    <row r="3720" spans="1:6">
      <c r="A3720" t="s">
        <v>8775</v>
      </c>
      <c r="B3720" t="s">
        <v>8776</v>
      </c>
      <c r="F3720" t="str">
        <f t="shared" si="57"/>
        <v>69926</v>
      </c>
    </row>
    <row r="3721" spans="1:6">
      <c r="A3721" t="s">
        <v>8777</v>
      </c>
      <c r="B3721" t="s">
        <v>8778</v>
      </c>
      <c r="F3721" t="str">
        <f t="shared" si="57"/>
        <v>69927</v>
      </c>
    </row>
    <row r="3722" spans="1:6">
      <c r="A3722" t="s">
        <v>8779</v>
      </c>
      <c r="B3722" t="s">
        <v>8780</v>
      </c>
      <c r="F3722" t="str">
        <f t="shared" ref="F3722:F3785" si="58">CHOOSE($C$1, A3722, B3722)</f>
        <v>69928</v>
      </c>
    </row>
    <row r="3723" spans="1:6">
      <c r="A3723" t="s">
        <v>8781</v>
      </c>
      <c r="B3723" t="s">
        <v>8782</v>
      </c>
      <c r="F3723" t="str">
        <f t="shared" si="58"/>
        <v>69929</v>
      </c>
    </row>
    <row r="3724" spans="1:6">
      <c r="A3724" t="s">
        <v>8783</v>
      </c>
      <c r="B3724" t="s">
        <v>8784</v>
      </c>
      <c r="F3724" t="str">
        <f t="shared" si="58"/>
        <v>69930</v>
      </c>
    </row>
    <row r="3725" spans="1:6">
      <c r="A3725" t="s">
        <v>8785</v>
      </c>
      <c r="B3725" t="s">
        <v>8786</v>
      </c>
      <c r="F3725" t="str">
        <f t="shared" si="58"/>
        <v>69931</v>
      </c>
    </row>
    <row r="3726" spans="1:6">
      <c r="A3726" t="s">
        <v>8787</v>
      </c>
      <c r="B3726" t="s">
        <v>8788</v>
      </c>
      <c r="F3726" t="str">
        <f t="shared" si="58"/>
        <v>69932</v>
      </c>
    </row>
    <row r="3727" spans="1:6">
      <c r="A3727" t="s">
        <v>8789</v>
      </c>
      <c r="B3727" t="s">
        <v>8790</v>
      </c>
      <c r="F3727" t="str">
        <f t="shared" si="58"/>
        <v>69933</v>
      </c>
    </row>
    <row r="3728" spans="1:6">
      <c r="A3728" t="s">
        <v>8791</v>
      </c>
      <c r="B3728" t="s">
        <v>8792</v>
      </c>
      <c r="F3728" t="str">
        <f t="shared" si="58"/>
        <v>69934</v>
      </c>
    </row>
    <row r="3729" spans="1:6">
      <c r="A3729" t="s">
        <v>8793</v>
      </c>
      <c r="B3729" t="s">
        <v>8794</v>
      </c>
      <c r="F3729" t="str">
        <f t="shared" si="58"/>
        <v>69935</v>
      </c>
    </row>
    <row r="3730" spans="1:6">
      <c r="A3730" t="s">
        <v>8795</v>
      </c>
      <c r="B3730" t="s">
        <v>8796</v>
      </c>
      <c r="F3730" t="str">
        <f t="shared" si="58"/>
        <v>69936</v>
      </c>
    </row>
    <row r="3731" spans="1:6">
      <c r="A3731" t="s">
        <v>8797</v>
      </c>
      <c r="B3731" t="s">
        <v>8798</v>
      </c>
      <c r="F3731" t="str">
        <f t="shared" si="58"/>
        <v>69937</v>
      </c>
    </row>
    <row r="3732" spans="1:6">
      <c r="A3732" t="s">
        <v>8799</v>
      </c>
      <c r="B3732" t="s">
        <v>8800</v>
      </c>
      <c r="F3732" t="str">
        <f t="shared" si="58"/>
        <v>69938</v>
      </c>
    </row>
    <row r="3733" spans="1:6">
      <c r="A3733" t="s">
        <v>8801</v>
      </c>
      <c r="B3733" t="s">
        <v>8802</v>
      </c>
      <c r="F3733" t="str">
        <f t="shared" si="58"/>
        <v>69941</v>
      </c>
    </row>
    <row r="3734" spans="1:6">
      <c r="A3734" t="s">
        <v>8803</v>
      </c>
      <c r="B3734" t="s">
        <v>8804</v>
      </c>
      <c r="F3734" t="str">
        <f t="shared" si="58"/>
        <v>69942</v>
      </c>
    </row>
    <row r="3735" spans="1:6">
      <c r="A3735" t="s">
        <v>8805</v>
      </c>
      <c r="B3735" t="s">
        <v>8806</v>
      </c>
      <c r="F3735" t="str">
        <f t="shared" si="58"/>
        <v>69943</v>
      </c>
    </row>
    <row r="3736" spans="1:6">
      <c r="A3736" t="s">
        <v>8807</v>
      </c>
      <c r="B3736" t="s">
        <v>8808</v>
      </c>
      <c r="F3736" t="str">
        <f t="shared" si="58"/>
        <v>69944</v>
      </c>
    </row>
    <row r="3737" spans="1:6">
      <c r="A3737" t="s">
        <v>8809</v>
      </c>
      <c r="B3737" t="s">
        <v>8810</v>
      </c>
      <c r="F3737" t="str">
        <f t="shared" si="58"/>
        <v>69945</v>
      </c>
    </row>
    <row r="3738" spans="1:6">
      <c r="A3738" t="s">
        <v>8811</v>
      </c>
      <c r="B3738" t="s">
        <v>8812</v>
      </c>
      <c r="F3738" t="str">
        <f t="shared" si="58"/>
        <v>69946</v>
      </c>
    </row>
    <row r="3739" spans="1:6">
      <c r="A3739" t="s">
        <v>8813</v>
      </c>
      <c r="B3739" t="s">
        <v>8814</v>
      </c>
      <c r="F3739" t="str">
        <f t="shared" si="58"/>
        <v>69947</v>
      </c>
    </row>
    <row r="3740" spans="1:6">
      <c r="A3740" t="s">
        <v>8815</v>
      </c>
      <c r="B3740" t="s">
        <v>8816</v>
      </c>
      <c r="F3740" t="str">
        <f t="shared" si="58"/>
        <v>69948</v>
      </c>
    </row>
    <row r="3741" spans="1:6">
      <c r="A3741" t="s">
        <v>8817</v>
      </c>
      <c r="B3741" t="s">
        <v>8818</v>
      </c>
      <c r="F3741" t="str">
        <f t="shared" si="58"/>
        <v>69949</v>
      </c>
    </row>
    <row r="3742" spans="1:6">
      <c r="A3742" t="s">
        <v>8819</v>
      </c>
      <c r="B3742" t="s">
        <v>8820</v>
      </c>
      <c r="F3742" t="str">
        <f t="shared" si="58"/>
        <v>69950</v>
      </c>
    </row>
    <row r="3743" spans="1:6">
      <c r="A3743" t="s">
        <v>8821</v>
      </c>
      <c r="B3743" t="s">
        <v>8822</v>
      </c>
      <c r="F3743" t="str">
        <f t="shared" si="58"/>
        <v>69951</v>
      </c>
    </row>
    <row r="3744" spans="1:6">
      <c r="A3744" t="s">
        <v>8823</v>
      </c>
      <c r="B3744" t="s">
        <v>8824</v>
      </c>
      <c r="F3744" t="str">
        <f t="shared" si="58"/>
        <v>69952</v>
      </c>
    </row>
    <row r="3745" spans="1:6">
      <c r="A3745" t="s">
        <v>8825</v>
      </c>
      <c r="B3745" t="s">
        <v>8826</v>
      </c>
      <c r="F3745" t="str">
        <f t="shared" si="58"/>
        <v>69953</v>
      </c>
    </row>
    <row r="3746" spans="1:6">
      <c r="A3746" t="s">
        <v>8827</v>
      </c>
      <c r="B3746" t="s">
        <v>8828</v>
      </c>
      <c r="F3746" t="str">
        <f t="shared" si="58"/>
        <v>69954</v>
      </c>
    </row>
    <row r="3747" spans="1:6">
      <c r="A3747" t="s">
        <v>8829</v>
      </c>
      <c r="B3747" t="s">
        <v>8830</v>
      </c>
      <c r="F3747" t="str">
        <f t="shared" si="58"/>
        <v>69955</v>
      </c>
    </row>
    <row r="3748" spans="1:6">
      <c r="A3748" t="s">
        <v>8831</v>
      </c>
      <c r="B3748" t="s">
        <v>8832</v>
      </c>
      <c r="F3748" t="str">
        <f t="shared" si="58"/>
        <v>69956</v>
      </c>
    </row>
    <row r="3749" spans="1:6">
      <c r="A3749" t="s">
        <v>8833</v>
      </c>
      <c r="B3749" t="s">
        <v>8834</v>
      </c>
      <c r="F3749" t="str">
        <f t="shared" si="58"/>
        <v>69957</v>
      </c>
    </row>
    <row r="3750" spans="1:6">
      <c r="A3750" t="s">
        <v>8835</v>
      </c>
      <c r="B3750" t="s">
        <v>8836</v>
      </c>
      <c r="F3750" t="str">
        <f t="shared" si="58"/>
        <v>69958</v>
      </c>
    </row>
    <row r="3751" spans="1:6">
      <c r="A3751" t="s">
        <v>8837</v>
      </c>
      <c r="B3751" t="s">
        <v>8838</v>
      </c>
      <c r="F3751" t="str">
        <f t="shared" si="58"/>
        <v>69959</v>
      </c>
    </row>
    <row r="3752" spans="1:6">
      <c r="A3752" t="s">
        <v>8839</v>
      </c>
      <c r="B3752" t="s">
        <v>8840</v>
      </c>
      <c r="F3752" t="str">
        <f t="shared" si="58"/>
        <v>69960</v>
      </c>
    </row>
    <row r="3753" spans="1:6">
      <c r="A3753" t="s">
        <v>8841</v>
      </c>
      <c r="B3753" t="s">
        <v>8842</v>
      </c>
      <c r="F3753" t="str">
        <f t="shared" si="58"/>
        <v>69961</v>
      </c>
    </row>
    <row r="3754" spans="1:6">
      <c r="A3754" t="s">
        <v>8843</v>
      </c>
      <c r="B3754" t="s">
        <v>8844</v>
      </c>
      <c r="F3754" t="str">
        <f t="shared" si="58"/>
        <v>69962</v>
      </c>
    </row>
    <row r="3755" spans="1:6">
      <c r="A3755" t="s">
        <v>8845</v>
      </c>
      <c r="B3755" t="s">
        <v>8846</v>
      </c>
      <c r="F3755" t="str">
        <f t="shared" si="58"/>
        <v>69963</v>
      </c>
    </row>
    <row r="3756" spans="1:6">
      <c r="A3756" t="s">
        <v>8847</v>
      </c>
      <c r="B3756" t="s">
        <v>8848</v>
      </c>
      <c r="F3756" t="str">
        <f t="shared" si="58"/>
        <v>69964</v>
      </c>
    </row>
    <row r="3757" spans="1:6">
      <c r="A3757" t="s">
        <v>8849</v>
      </c>
      <c r="B3757" t="s">
        <v>8850</v>
      </c>
      <c r="F3757" t="str">
        <f t="shared" si="58"/>
        <v>69965</v>
      </c>
    </row>
    <row r="3758" spans="1:6">
      <c r="A3758" t="s">
        <v>8851</v>
      </c>
      <c r="B3758" t="s">
        <v>8852</v>
      </c>
      <c r="F3758" t="str">
        <f t="shared" si="58"/>
        <v>69966</v>
      </c>
    </row>
    <row r="3759" spans="1:6">
      <c r="A3759" t="s">
        <v>8853</v>
      </c>
      <c r="B3759" t="s">
        <v>8854</v>
      </c>
      <c r="F3759" t="str">
        <f t="shared" si="58"/>
        <v>69967</v>
      </c>
    </row>
    <row r="3760" spans="1:6">
      <c r="A3760" t="s">
        <v>8855</v>
      </c>
      <c r="B3760" t="s">
        <v>8856</v>
      </c>
      <c r="F3760" t="str">
        <f t="shared" si="58"/>
        <v>69968</v>
      </c>
    </row>
    <row r="3761" spans="1:6">
      <c r="A3761" t="s">
        <v>8857</v>
      </c>
      <c r="B3761" t="s">
        <v>8858</v>
      </c>
      <c r="F3761" t="str">
        <f t="shared" si="58"/>
        <v>69969</v>
      </c>
    </row>
    <row r="3762" spans="1:6">
      <c r="A3762" t="s">
        <v>8859</v>
      </c>
      <c r="B3762" t="s">
        <v>8860</v>
      </c>
      <c r="F3762" t="str">
        <f t="shared" si="58"/>
        <v>69970</v>
      </c>
    </row>
    <row r="3763" spans="1:6">
      <c r="A3763" t="s">
        <v>8861</v>
      </c>
      <c r="B3763" t="s">
        <v>8862</v>
      </c>
      <c r="F3763" t="str">
        <f t="shared" si="58"/>
        <v>69971</v>
      </c>
    </row>
    <row r="3764" spans="1:6">
      <c r="A3764" t="s">
        <v>8863</v>
      </c>
      <c r="B3764" t="s">
        <v>8864</v>
      </c>
      <c r="F3764" t="str">
        <f t="shared" si="58"/>
        <v>69974</v>
      </c>
    </row>
    <row r="3765" spans="1:6">
      <c r="A3765" t="s">
        <v>8865</v>
      </c>
      <c r="B3765" t="s">
        <v>8866</v>
      </c>
      <c r="F3765" t="str">
        <f t="shared" si="58"/>
        <v>69975</v>
      </c>
    </row>
    <row r="3766" spans="1:6">
      <c r="A3766" t="s">
        <v>8867</v>
      </c>
      <c r="B3766" t="s">
        <v>8868</v>
      </c>
      <c r="F3766" t="str">
        <f t="shared" si="58"/>
        <v>69976</v>
      </c>
    </row>
    <row r="3767" spans="1:6">
      <c r="A3767" t="s">
        <v>8869</v>
      </c>
      <c r="B3767" t="s">
        <v>8870</v>
      </c>
      <c r="F3767" t="str">
        <f t="shared" si="58"/>
        <v>69977</v>
      </c>
    </row>
    <row r="3768" spans="1:6">
      <c r="A3768" t="s">
        <v>8871</v>
      </c>
      <c r="B3768" t="s">
        <v>8872</v>
      </c>
      <c r="F3768" t="str">
        <f t="shared" si="58"/>
        <v>69978</v>
      </c>
    </row>
    <row r="3769" spans="1:6">
      <c r="A3769" t="s">
        <v>8873</v>
      </c>
      <c r="B3769" t="s">
        <v>8874</v>
      </c>
      <c r="F3769" t="str">
        <f t="shared" si="58"/>
        <v>69979</v>
      </c>
    </row>
    <row r="3770" spans="1:6">
      <c r="A3770" t="s">
        <v>8875</v>
      </c>
      <c r="B3770" t="s">
        <v>8876</v>
      </c>
      <c r="F3770" t="str">
        <f t="shared" si="58"/>
        <v>69981</v>
      </c>
    </row>
    <row r="3771" spans="1:6">
      <c r="A3771" t="s">
        <v>8877</v>
      </c>
      <c r="B3771" t="s">
        <v>8878</v>
      </c>
      <c r="F3771" t="str">
        <f t="shared" si="58"/>
        <v>69997</v>
      </c>
    </row>
    <row r="3772" spans="1:6">
      <c r="A3772" t="s">
        <v>8879</v>
      </c>
      <c r="B3772" t="s">
        <v>8880</v>
      </c>
      <c r="F3772" t="str">
        <f t="shared" si="58"/>
        <v>69998</v>
      </c>
    </row>
    <row r="3773" spans="1:6">
      <c r="A3773" t="s">
        <v>8881</v>
      </c>
      <c r="B3773" t="s">
        <v>8882</v>
      </c>
      <c r="F3773" t="str">
        <f t="shared" si="58"/>
        <v>69999</v>
      </c>
    </row>
    <row r="3774" spans="1:6">
      <c r="A3774" t="s">
        <v>8883</v>
      </c>
      <c r="B3774" t="s">
        <v>8884</v>
      </c>
      <c r="F3774" t="str">
        <f t="shared" si="58"/>
        <v>70009</v>
      </c>
    </row>
    <row r="3775" spans="1:6">
      <c r="A3775" t="s">
        <v>8885</v>
      </c>
      <c r="B3775" t="s">
        <v>8886</v>
      </c>
      <c r="F3775" t="str">
        <f t="shared" si="58"/>
        <v>70021</v>
      </c>
    </row>
    <row r="3776" spans="1:6">
      <c r="A3776" t="s">
        <v>8887</v>
      </c>
      <c r="B3776" t="s">
        <v>8888</v>
      </c>
      <c r="F3776" t="str">
        <f t="shared" si="58"/>
        <v>70022</v>
      </c>
    </row>
    <row r="3777" spans="1:6">
      <c r="A3777" t="s">
        <v>8889</v>
      </c>
      <c r="B3777" t="s">
        <v>8890</v>
      </c>
      <c r="F3777" t="str">
        <f t="shared" si="58"/>
        <v>70023</v>
      </c>
    </row>
    <row r="3778" spans="1:6">
      <c r="A3778" t="s">
        <v>8891</v>
      </c>
      <c r="B3778" t="s">
        <v>8892</v>
      </c>
      <c r="F3778" t="str">
        <f t="shared" si="58"/>
        <v>70024</v>
      </c>
    </row>
    <row r="3779" spans="1:6">
      <c r="A3779" t="s">
        <v>8893</v>
      </c>
      <c r="B3779" t="s">
        <v>8894</v>
      </c>
      <c r="F3779" t="str">
        <f t="shared" si="58"/>
        <v>70025</v>
      </c>
    </row>
    <row r="3780" spans="1:6">
      <c r="A3780" t="s">
        <v>8895</v>
      </c>
      <c r="B3780" t="s">
        <v>8896</v>
      </c>
      <c r="F3780" t="str">
        <f t="shared" si="58"/>
        <v>70026</v>
      </c>
    </row>
    <row r="3781" spans="1:6">
      <c r="A3781" t="s">
        <v>8897</v>
      </c>
      <c r="B3781" t="s">
        <v>8898</v>
      </c>
      <c r="F3781" t="str">
        <f t="shared" si="58"/>
        <v>70027</v>
      </c>
    </row>
    <row r="3782" spans="1:6">
      <c r="A3782" t="s">
        <v>8899</v>
      </c>
      <c r="B3782" t="s">
        <v>8900</v>
      </c>
      <c r="F3782" t="str">
        <f t="shared" si="58"/>
        <v>70028</v>
      </c>
    </row>
    <row r="3783" spans="1:6">
      <c r="A3783" t="s">
        <v>8901</v>
      </c>
      <c r="B3783" t="s">
        <v>8902</v>
      </c>
      <c r="F3783" t="str">
        <f t="shared" si="58"/>
        <v>70029</v>
      </c>
    </row>
    <row r="3784" spans="1:6">
      <c r="A3784" t="s">
        <v>8903</v>
      </c>
      <c r="B3784" t="s">
        <v>8904</v>
      </c>
      <c r="F3784" t="str">
        <f t="shared" si="58"/>
        <v>70033</v>
      </c>
    </row>
    <row r="3785" spans="1:6">
      <c r="A3785" t="s">
        <v>8905</v>
      </c>
      <c r="B3785" t="s">
        <v>8906</v>
      </c>
      <c r="F3785" t="str">
        <f t="shared" si="58"/>
        <v>70036</v>
      </c>
    </row>
    <row r="3786" spans="1:6">
      <c r="A3786" t="s">
        <v>8907</v>
      </c>
      <c r="B3786" t="s">
        <v>8908</v>
      </c>
      <c r="F3786" t="str">
        <f t="shared" ref="F3786:F3849" si="59">CHOOSE($C$1, A3786, B3786)</f>
        <v>70040</v>
      </c>
    </row>
    <row r="3787" spans="1:6">
      <c r="A3787" t="s">
        <v>8909</v>
      </c>
      <c r="B3787" t="s">
        <v>8910</v>
      </c>
      <c r="F3787" t="str">
        <f t="shared" si="59"/>
        <v>70048</v>
      </c>
    </row>
    <row r="3788" spans="1:6">
      <c r="A3788" t="s">
        <v>8911</v>
      </c>
      <c r="B3788" t="s">
        <v>8912</v>
      </c>
      <c r="F3788" t="str">
        <f t="shared" si="59"/>
        <v>70049</v>
      </c>
    </row>
    <row r="3789" spans="1:6">
      <c r="A3789" t="s">
        <v>8913</v>
      </c>
      <c r="B3789" t="s">
        <v>8914</v>
      </c>
      <c r="F3789" t="str">
        <f t="shared" si="59"/>
        <v>70050</v>
      </c>
    </row>
    <row r="3790" spans="1:6">
      <c r="A3790" t="s">
        <v>8915</v>
      </c>
      <c r="B3790" t="s">
        <v>8916</v>
      </c>
      <c r="F3790" t="str">
        <f t="shared" si="59"/>
        <v>70051</v>
      </c>
    </row>
    <row r="3791" spans="1:6">
      <c r="A3791" t="s">
        <v>8917</v>
      </c>
      <c r="B3791" t="s">
        <v>8918</v>
      </c>
      <c r="F3791" t="str">
        <f t="shared" si="59"/>
        <v>70052</v>
      </c>
    </row>
    <row r="3792" spans="1:6">
      <c r="A3792" t="s">
        <v>8919</v>
      </c>
      <c r="B3792" t="s">
        <v>8920</v>
      </c>
      <c r="F3792" t="str">
        <f t="shared" si="59"/>
        <v>70053</v>
      </c>
    </row>
    <row r="3793" spans="1:6">
      <c r="A3793" t="s">
        <v>8921</v>
      </c>
      <c r="B3793" t="s">
        <v>8922</v>
      </c>
      <c r="F3793" t="str">
        <f t="shared" si="59"/>
        <v>70054</v>
      </c>
    </row>
    <row r="3794" spans="1:6">
      <c r="A3794" t="s">
        <v>8923</v>
      </c>
      <c r="B3794" t="s">
        <v>8924</v>
      </c>
      <c r="F3794" t="str">
        <f t="shared" si="59"/>
        <v>70055</v>
      </c>
    </row>
    <row r="3795" spans="1:6">
      <c r="A3795" t="s">
        <v>8925</v>
      </c>
      <c r="B3795" t="s">
        <v>8926</v>
      </c>
      <c r="F3795" t="str">
        <f t="shared" si="59"/>
        <v>70056</v>
      </c>
    </row>
    <row r="3796" spans="1:6">
      <c r="A3796" t="s">
        <v>8927</v>
      </c>
      <c r="B3796" t="s">
        <v>8928</v>
      </c>
      <c r="F3796" t="str">
        <f t="shared" si="59"/>
        <v>70057</v>
      </c>
    </row>
    <row r="3797" spans="1:6">
      <c r="A3797" t="s">
        <v>8929</v>
      </c>
      <c r="B3797" t="s">
        <v>8930</v>
      </c>
      <c r="F3797" t="str">
        <f t="shared" si="59"/>
        <v>70058</v>
      </c>
    </row>
    <row r="3798" spans="1:6">
      <c r="A3798" t="s">
        <v>8931</v>
      </c>
      <c r="B3798" t="s">
        <v>8932</v>
      </c>
      <c r="F3798" t="str">
        <f t="shared" si="59"/>
        <v>70059</v>
      </c>
    </row>
    <row r="3799" spans="1:6">
      <c r="A3799" t="s">
        <v>8933</v>
      </c>
      <c r="B3799" t="s">
        <v>8934</v>
      </c>
      <c r="F3799" t="str">
        <f t="shared" si="59"/>
        <v>70060</v>
      </c>
    </row>
    <row r="3800" spans="1:6">
      <c r="A3800" t="s">
        <v>8935</v>
      </c>
      <c r="B3800" t="s">
        <v>8936</v>
      </c>
      <c r="F3800" t="str">
        <f t="shared" si="59"/>
        <v>70064</v>
      </c>
    </row>
    <row r="3801" spans="1:6">
      <c r="A3801" t="s">
        <v>8937</v>
      </c>
      <c r="B3801" t="s">
        <v>8938</v>
      </c>
      <c r="F3801" t="str">
        <f t="shared" si="59"/>
        <v>70065</v>
      </c>
    </row>
    <row r="3802" spans="1:6">
      <c r="A3802" t="s">
        <v>8939</v>
      </c>
      <c r="B3802" t="s">
        <v>8940</v>
      </c>
      <c r="F3802" t="str">
        <f t="shared" si="59"/>
        <v>70088</v>
      </c>
    </row>
    <row r="3803" spans="1:6">
      <c r="A3803" t="s">
        <v>8941</v>
      </c>
      <c r="B3803" t="s">
        <v>8942</v>
      </c>
      <c r="F3803" t="str">
        <f t="shared" si="59"/>
        <v>70089</v>
      </c>
    </row>
    <row r="3804" spans="1:6">
      <c r="A3804" t="s">
        <v>8943</v>
      </c>
      <c r="B3804" t="s">
        <v>8944</v>
      </c>
      <c r="F3804" t="str">
        <f t="shared" si="59"/>
        <v>70090</v>
      </c>
    </row>
    <row r="3805" spans="1:6">
      <c r="A3805" t="s">
        <v>8945</v>
      </c>
      <c r="B3805" t="s">
        <v>8946</v>
      </c>
      <c r="F3805" t="str">
        <f t="shared" si="59"/>
        <v>70091</v>
      </c>
    </row>
    <row r="3806" spans="1:6">
      <c r="A3806" t="s">
        <v>8947</v>
      </c>
      <c r="B3806" t="s">
        <v>8948</v>
      </c>
      <c r="F3806" t="str">
        <f t="shared" si="59"/>
        <v>70095</v>
      </c>
    </row>
    <row r="3807" spans="1:6">
      <c r="A3807" t="s">
        <v>8949</v>
      </c>
      <c r="B3807" t="s">
        <v>8950</v>
      </c>
      <c r="F3807" t="str">
        <f t="shared" si="59"/>
        <v>70096</v>
      </c>
    </row>
    <row r="3808" spans="1:6">
      <c r="A3808" t="s">
        <v>8951</v>
      </c>
      <c r="B3808" t="s">
        <v>8952</v>
      </c>
      <c r="F3808" t="str">
        <f t="shared" si="59"/>
        <v>70097</v>
      </c>
    </row>
    <row r="3809" spans="1:6">
      <c r="A3809" t="s">
        <v>8953</v>
      </c>
      <c r="B3809" t="s">
        <v>8954</v>
      </c>
      <c r="F3809" t="str">
        <f t="shared" si="59"/>
        <v>70098</v>
      </c>
    </row>
    <row r="3810" spans="1:6">
      <c r="A3810" t="s">
        <v>8955</v>
      </c>
      <c r="B3810" t="s">
        <v>8956</v>
      </c>
      <c r="F3810" t="str">
        <f t="shared" si="59"/>
        <v>70099</v>
      </c>
    </row>
    <row r="3811" spans="1:6">
      <c r="A3811" t="s">
        <v>8957</v>
      </c>
      <c r="B3811" t="s">
        <v>8958</v>
      </c>
      <c r="F3811" t="str">
        <f t="shared" si="59"/>
        <v>70100</v>
      </c>
    </row>
    <row r="3812" spans="1:6">
      <c r="A3812" t="s">
        <v>8959</v>
      </c>
      <c r="B3812" t="s">
        <v>8960</v>
      </c>
      <c r="F3812" t="str">
        <f t="shared" si="59"/>
        <v>70101</v>
      </c>
    </row>
    <row r="3813" spans="1:6">
      <c r="A3813" t="s">
        <v>8961</v>
      </c>
      <c r="B3813" t="s">
        <v>8962</v>
      </c>
      <c r="F3813" t="str">
        <f t="shared" si="59"/>
        <v>70102</v>
      </c>
    </row>
    <row r="3814" spans="1:6">
      <c r="A3814" t="s">
        <v>8963</v>
      </c>
      <c r="B3814" t="s">
        <v>8964</v>
      </c>
      <c r="F3814" t="str">
        <f t="shared" si="59"/>
        <v>70103</v>
      </c>
    </row>
    <row r="3815" spans="1:6">
      <c r="A3815" t="s">
        <v>8965</v>
      </c>
      <c r="B3815" t="s">
        <v>8966</v>
      </c>
      <c r="F3815" t="str">
        <f t="shared" si="59"/>
        <v>70105</v>
      </c>
    </row>
    <row r="3816" spans="1:6">
      <c r="A3816" t="s">
        <v>8967</v>
      </c>
      <c r="B3816" t="s">
        <v>8968</v>
      </c>
      <c r="F3816" t="str">
        <f t="shared" si="59"/>
        <v>70107</v>
      </c>
    </row>
    <row r="3817" spans="1:6">
      <c r="A3817" t="s">
        <v>8969</v>
      </c>
      <c r="B3817" t="s">
        <v>8970</v>
      </c>
      <c r="F3817" t="str">
        <f t="shared" si="59"/>
        <v>70108</v>
      </c>
    </row>
    <row r="3818" spans="1:6">
      <c r="A3818" t="s">
        <v>8971</v>
      </c>
      <c r="B3818" t="s">
        <v>8972</v>
      </c>
      <c r="F3818" t="str">
        <f t="shared" si="59"/>
        <v>70116</v>
      </c>
    </row>
    <row r="3819" spans="1:6">
      <c r="A3819" t="s">
        <v>8973</v>
      </c>
      <c r="B3819" t="s">
        <v>8974</v>
      </c>
      <c r="F3819" t="str">
        <f t="shared" si="59"/>
        <v>70124</v>
      </c>
    </row>
    <row r="3820" spans="1:6">
      <c r="A3820" t="s">
        <v>8975</v>
      </c>
      <c r="B3820" t="s">
        <v>8976</v>
      </c>
      <c r="F3820" t="str">
        <f t="shared" si="59"/>
        <v>70125</v>
      </c>
    </row>
    <row r="3821" spans="1:6">
      <c r="A3821" t="s">
        <v>8977</v>
      </c>
      <c r="B3821" t="s">
        <v>8978</v>
      </c>
      <c r="F3821" t="str">
        <f t="shared" si="59"/>
        <v>70126</v>
      </c>
    </row>
    <row r="3822" spans="1:6">
      <c r="A3822" t="s">
        <v>8979</v>
      </c>
      <c r="B3822" t="s">
        <v>8980</v>
      </c>
      <c r="F3822" t="str">
        <f t="shared" si="59"/>
        <v>70127</v>
      </c>
    </row>
    <row r="3823" spans="1:6">
      <c r="A3823" t="s">
        <v>8981</v>
      </c>
      <c r="B3823" t="s">
        <v>8982</v>
      </c>
      <c r="F3823" t="str">
        <f t="shared" si="59"/>
        <v>70128</v>
      </c>
    </row>
    <row r="3824" spans="1:6">
      <c r="A3824" t="s">
        <v>8983</v>
      </c>
      <c r="B3824" t="s">
        <v>8984</v>
      </c>
      <c r="F3824" t="str">
        <f t="shared" si="59"/>
        <v>70129</v>
      </c>
    </row>
    <row r="3825" spans="1:6">
      <c r="A3825" t="s">
        <v>8985</v>
      </c>
      <c r="B3825" t="s">
        <v>8986</v>
      </c>
      <c r="F3825" t="str">
        <f t="shared" si="59"/>
        <v>70130</v>
      </c>
    </row>
    <row r="3826" spans="1:6">
      <c r="A3826" t="s">
        <v>8987</v>
      </c>
      <c r="B3826" t="s">
        <v>8988</v>
      </c>
      <c r="F3826" t="str">
        <f t="shared" si="59"/>
        <v>70131</v>
      </c>
    </row>
    <row r="3827" spans="1:6">
      <c r="A3827" t="s">
        <v>8989</v>
      </c>
      <c r="B3827" t="s">
        <v>8990</v>
      </c>
      <c r="F3827" t="str">
        <f t="shared" si="59"/>
        <v>70133</v>
      </c>
    </row>
    <row r="3828" spans="1:6">
      <c r="A3828" t="s">
        <v>8991</v>
      </c>
      <c r="B3828" t="s">
        <v>8992</v>
      </c>
      <c r="F3828" t="str">
        <f t="shared" si="59"/>
        <v>70134</v>
      </c>
    </row>
    <row r="3829" spans="1:6">
      <c r="A3829" t="s">
        <v>8993</v>
      </c>
      <c r="B3829" t="s">
        <v>8994</v>
      </c>
      <c r="F3829" t="str">
        <f t="shared" si="59"/>
        <v>70135</v>
      </c>
    </row>
    <row r="3830" spans="1:6">
      <c r="A3830" t="s">
        <v>8995</v>
      </c>
      <c r="B3830" t="s">
        <v>8996</v>
      </c>
      <c r="F3830" t="str">
        <f t="shared" si="59"/>
        <v>70136</v>
      </c>
    </row>
    <row r="3831" spans="1:6">
      <c r="A3831" t="s">
        <v>8997</v>
      </c>
      <c r="B3831" t="s">
        <v>8998</v>
      </c>
      <c r="F3831" t="str">
        <f t="shared" si="59"/>
        <v>70138</v>
      </c>
    </row>
    <row r="3832" spans="1:6">
      <c r="A3832" t="s">
        <v>8999</v>
      </c>
      <c r="B3832" t="s">
        <v>9000</v>
      </c>
      <c r="F3832" t="str">
        <f t="shared" si="59"/>
        <v>70148</v>
      </c>
    </row>
    <row r="3833" spans="1:6">
      <c r="A3833" t="s">
        <v>9001</v>
      </c>
      <c r="B3833" t="s">
        <v>9002</v>
      </c>
      <c r="F3833" t="str">
        <f t="shared" si="59"/>
        <v>70149</v>
      </c>
    </row>
    <row r="3834" spans="1:6">
      <c r="A3834" t="s">
        <v>9003</v>
      </c>
      <c r="B3834" t="s">
        <v>9004</v>
      </c>
      <c r="F3834" t="str">
        <f t="shared" si="59"/>
        <v>70150</v>
      </c>
    </row>
    <row r="3835" spans="1:6">
      <c r="A3835" t="s">
        <v>9005</v>
      </c>
      <c r="B3835" t="s">
        <v>9006</v>
      </c>
      <c r="F3835" t="str">
        <f t="shared" si="59"/>
        <v>70151</v>
      </c>
    </row>
    <row r="3836" spans="1:6">
      <c r="A3836" t="s">
        <v>9007</v>
      </c>
      <c r="B3836" t="s">
        <v>9008</v>
      </c>
      <c r="F3836" t="str">
        <f t="shared" si="59"/>
        <v>70152</v>
      </c>
    </row>
    <row r="3837" spans="1:6">
      <c r="A3837" t="s">
        <v>9009</v>
      </c>
      <c r="B3837" t="s">
        <v>9010</v>
      </c>
      <c r="F3837" t="str">
        <f t="shared" si="59"/>
        <v>70153</v>
      </c>
    </row>
    <row r="3838" spans="1:6">
      <c r="A3838" t="s">
        <v>9011</v>
      </c>
      <c r="B3838" t="s">
        <v>9012</v>
      </c>
      <c r="F3838" t="str">
        <f t="shared" si="59"/>
        <v>70155</v>
      </c>
    </row>
    <row r="3839" spans="1:6">
      <c r="A3839" t="s">
        <v>9013</v>
      </c>
      <c r="B3839" t="s">
        <v>9014</v>
      </c>
      <c r="F3839" t="str">
        <f t="shared" si="59"/>
        <v>70156</v>
      </c>
    </row>
    <row r="3840" spans="1:6">
      <c r="A3840" t="s">
        <v>9015</v>
      </c>
      <c r="B3840" t="s">
        <v>9016</v>
      </c>
      <c r="F3840" t="str">
        <f t="shared" si="59"/>
        <v>70157</v>
      </c>
    </row>
    <row r="3841" spans="1:6">
      <c r="A3841" t="s">
        <v>9017</v>
      </c>
      <c r="B3841" t="s">
        <v>9018</v>
      </c>
      <c r="F3841" t="str">
        <f t="shared" si="59"/>
        <v>70158</v>
      </c>
    </row>
    <row r="3842" spans="1:6">
      <c r="A3842" t="s">
        <v>9019</v>
      </c>
      <c r="B3842" t="s">
        <v>9020</v>
      </c>
      <c r="F3842" t="str">
        <f t="shared" si="59"/>
        <v>70159</v>
      </c>
    </row>
    <row r="3843" spans="1:6">
      <c r="A3843" t="s">
        <v>9021</v>
      </c>
      <c r="B3843" t="s">
        <v>9022</v>
      </c>
      <c r="F3843" t="str">
        <f t="shared" si="59"/>
        <v>70160</v>
      </c>
    </row>
    <row r="3844" spans="1:6">
      <c r="A3844" t="s">
        <v>9023</v>
      </c>
      <c r="B3844" t="s">
        <v>9024</v>
      </c>
      <c r="F3844" t="str">
        <f t="shared" si="59"/>
        <v>70161</v>
      </c>
    </row>
    <row r="3845" spans="1:6">
      <c r="A3845" t="s">
        <v>9025</v>
      </c>
      <c r="B3845" t="s">
        <v>9026</v>
      </c>
      <c r="F3845" t="str">
        <f t="shared" si="59"/>
        <v>70162</v>
      </c>
    </row>
    <row r="3846" spans="1:6">
      <c r="A3846" t="s">
        <v>9027</v>
      </c>
      <c r="B3846" t="s">
        <v>9028</v>
      </c>
      <c r="F3846" t="str">
        <f t="shared" si="59"/>
        <v>70163</v>
      </c>
    </row>
    <row r="3847" spans="1:6">
      <c r="A3847" t="s">
        <v>9029</v>
      </c>
      <c r="B3847" t="s">
        <v>9030</v>
      </c>
      <c r="F3847" t="str">
        <f t="shared" si="59"/>
        <v>70164</v>
      </c>
    </row>
    <row r="3848" spans="1:6">
      <c r="A3848" t="s">
        <v>9031</v>
      </c>
      <c r="B3848" t="s">
        <v>9032</v>
      </c>
      <c r="F3848" t="str">
        <f t="shared" si="59"/>
        <v>70165</v>
      </c>
    </row>
    <row r="3849" spans="1:6">
      <c r="A3849" t="s">
        <v>9033</v>
      </c>
      <c r="B3849" t="s">
        <v>9034</v>
      </c>
      <c r="F3849" t="str">
        <f t="shared" si="59"/>
        <v>70166</v>
      </c>
    </row>
    <row r="3850" spans="1:6">
      <c r="A3850" t="s">
        <v>9035</v>
      </c>
      <c r="B3850" t="s">
        <v>9036</v>
      </c>
      <c r="F3850" t="str">
        <f t="shared" ref="F3850:F3913" si="60">CHOOSE($C$1, A3850, B3850)</f>
        <v>70167</v>
      </c>
    </row>
    <row r="3851" spans="1:6">
      <c r="A3851" t="s">
        <v>9037</v>
      </c>
      <c r="B3851" t="s">
        <v>9038</v>
      </c>
      <c r="F3851" t="str">
        <f t="shared" si="60"/>
        <v>70168</v>
      </c>
    </row>
    <row r="3852" spans="1:6">
      <c r="A3852" t="s">
        <v>9039</v>
      </c>
      <c r="B3852" t="s">
        <v>9040</v>
      </c>
      <c r="F3852" t="str">
        <f t="shared" si="60"/>
        <v>70169</v>
      </c>
    </row>
    <row r="3853" spans="1:6">
      <c r="A3853" t="s">
        <v>9041</v>
      </c>
      <c r="B3853" t="s">
        <v>9042</v>
      </c>
      <c r="F3853" t="str">
        <f t="shared" si="60"/>
        <v>70170</v>
      </c>
    </row>
    <row r="3854" spans="1:6">
      <c r="A3854" t="s">
        <v>9043</v>
      </c>
      <c r="B3854" t="s">
        <v>9044</v>
      </c>
      <c r="F3854" t="str">
        <f t="shared" si="60"/>
        <v>70171</v>
      </c>
    </row>
    <row r="3855" spans="1:6">
      <c r="A3855" t="s">
        <v>9045</v>
      </c>
      <c r="B3855" t="s">
        <v>9046</v>
      </c>
      <c r="F3855" t="str">
        <f t="shared" si="60"/>
        <v>70172</v>
      </c>
    </row>
    <row r="3856" spans="1:6">
      <c r="A3856" t="s">
        <v>9047</v>
      </c>
      <c r="B3856" t="s">
        <v>9048</v>
      </c>
      <c r="F3856" t="str">
        <f t="shared" si="60"/>
        <v>70173</v>
      </c>
    </row>
    <row r="3857" spans="1:6">
      <c r="A3857" t="s">
        <v>9049</v>
      </c>
      <c r="B3857" t="s">
        <v>9050</v>
      </c>
      <c r="F3857" t="str">
        <f t="shared" si="60"/>
        <v>70174</v>
      </c>
    </row>
    <row r="3858" spans="1:6">
      <c r="A3858" t="s">
        <v>9051</v>
      </c>
      <c r="B3858" t="s">
        <v>9052</v>
      </c>
      <c r="F3858" t="str">
        <f t="shared" si="60"/>
        <v>70175</v>
      </c>
    </row>
    <row r="3859" spans="1:6">
      <c r="A3859" t="s">
        <v>9053</v>
      </c>
      <c r="B3859" t="s">
        <v>9054</v>
      </c>
      <c r="F3859" t="str">
        <f t="shared" si="60"/>
        <v>70176</v>
      </c>
    </row>
    <row r="3860" spans="1:6">
      <c r="A3860" t="s">
        <v>9055</v>
      </c>
      <c r="B3860" t="s">
        <v>9056</v>
      </c>
      <c r="F3860" t="str">
        <f t="shared" si="60"/>
        <v>70177</v>
      </c>
    </row>
    <row r="3861" spans="1:6">
      <c r="A3861" t="s">
        <v>9057</v>
      </c>
      <c r="B3861" t="s">
        <v>9058</v>
      </c>
      <c r="F3861" t="str">
        <f t="shared" si="60"/>
        <v>70178</v>
      </c>
    </row>
    <row r="3862" spans="1:6">
      <c r="A3862" t="s">
        <v>9059</v>
      </c>
      <c r="B3862" t="s">
        <v>9060</v>
      </c>
      <c r="F3862" t="str">
        <f t="shared" si="60"/>
        <v>70179</v>
      </c>
    </row>
    <row r="3863" spans="1:6">
      <c r="A3863" t="s">
        <v>9061</v>
      </c>
      <c r="B3863" t="s">
        <v>9062</v>
      </c>
      <c r="F3863" t="str">
        <f t="shared" si="60"/>
        <v>70180</v>
      </c>
    </row>
    <row r="3864" spans="1:6">
      <c r="A3864" t="s">
        <v>9063</v>
      </c>
      <c r="B3864" t="s">
        <v>9064</v>
      </c>
      <c r="F3864" t="str">
        <f t="shared" si="60"/>
        <v>70182</v>
      </c>
    </row>
    <row r="3865" spans="1:6">
      <c r="A3865" t="s">
        <v>9065</v>
      </c>
      <c r="B3865" t="s">
        <v>9066</v>
      </c>
      <c r="F3865" t="str">
        <f t="shared" si="60"/>
        <v>70183</v>
      </c>
    </row>
    <row r="3866" spans="1:6">
      <c r="A3866" t="s">
        <v>9067</v>
      </c>
      <c r="B3866" t="s">
        <v>9068</v>
      </c>
      <c r="F3866" t="str">
        <f t="shared" si="60"/>
        <v>70184</v>
      </c>
    </row>
    <row r="3867" spans="1:6">
      <c r="A3867" t="s">
        <v>9069</v>
      </c>
      <c r="B3867" t="s">
        <v>9070</v>
      </c>
      <c r="F3867" t="str">
        <f t="shared" si="60"/>
        <v>70185</v>
      </c>
    </row>
    <row r="3868" spans="1:6">
      <c r="A3868" t="s">
        <v>9071</v>
      </c>
      <c r="B3868" t="s">
        <v>9072</v>
      </c>
      <c r="F3868" t="str">
        <f t="shared" si="60"/>
        <v>70187</v>
      </c>
    </row>
    <row r="3869" spans="1:6">
      <c r="A3869" t="s">
        <v>9073</v>
      </c>
      <c r="B3869" t="s">
        <v>9074</v>
      </c>
      <c r="F3869" t="str">
        <f t="shared" si="60"/>
        <v>70188</v>
      </c>
    </row>
    <row r="3870" spans="1:6">
      <c r="A3870" t="s">
        <v>9075</v>
      </c>
      <c r="B3870" t="s">
        <v>9076</v>
      </c>
      <c r="F3870" t="str">
        <f t="shared" si="60"/>
        <v>70189</v>
      </c>
    </row>
    <row r="3871" spans="1:6">
      <c r="A3871" t="s">
        <v>9077</v>
      </c>
      <c r="B3871" t="s">
        <v>9078</v>
      </c>
      <c r="F3871" t="str">
        <f t="shared" si="60"/>
        <v>70190</v>
      </c>
    </row>
    <row r="3872" spans="1:6">
      <c r="A3872" t="s">
        <v>9079</v>
      </c>
      <c r="B3872" t="s">
        <v>9080</v>
      </c>
      <c r="F3872" t="str">
        <f t="shared" si="60"/>
        <v>70191</v>
      </c>
    </row>
    <row r="3873" spans="1:6">
      <c r="A3873" t="s">
        <v>9081</v>
      </c>
      <c r="B3873" t="s">
        <v>9082</v>
      </c>
      <c r="F3873" t="str">
        <f t="shared" si="60"/>
        <v>70195</v>
      </c>
    </row>
    <row r="3874" spans="1:6">
      <c r="A3874" t="s">
        <v>9083</v>
      </c>
      <c r="B3874" t="s">
        <v>9084</v>
      </c>
      <c r="F3874" t="str">
        <f t="shared" si="60"/>
        <v>70196</v>
      </c>
    </row>
    <row r="3875" spans="1:6">
      <c r="A3875" t="s">
        <v>9085</v>
      </c>
      <c r="B3875" t="s">
        <v>9086</v>
      </c>
      <c r="F3875" t="str">
        <f t="shared" si="60"/>
        <v>70197</v>
      </c>
    </row>
    <row r="3876" spans="1:6">
      <c r="A3876" t="s">
        <v>9087</v>
      </c>
      <c r="B3876" t="s">
        <v>9088</v>
      </c>
      <c r="F3876" t="str">
        <f t="shared" si="60"/>
        <v>70198</v>
      </c>
    </row>
    <row r="3877" spans="1:6">
      <c r="A3877" t="s">
        <v>9089</v>
      </c>
      <c r="B3877" t="s">
        <v>9090</v>
      </c>
      <c r="F3877" t="str">
        <f t="shared" si="60"/>
        <v>70199</v>
      </c>
    </row>
    <row r="3878" spans="1:6">
      <c r="A3878" t="s">
        <v>9091</v>
      </c>
      <c r="B3878" t="s">
        <v>9092</v>
      </c>
      <c r="F3878" t="str">
        <f t="shared" si="60"/>
        <v>70200</v>
      </c>
    </row>
    <row r="3879" spans="1:6">
      <c r="A3879" t="s">
        <v>9093</v>
      </c>
      <c r="B3879" t="s">
        <v>9094</v>
      </c>
      <c r="F3879" t="str">
        <f t="shared" si="60"/>
        <v>70201</v>
      </c>
    </row>
    <row r="3880" spans="1:6">
      <c r="A3880" t="s">
        <v>9095</v>
      </c>
      <c r="B3880" t="s">
        <v>9096</v>
      </c>
      <c r="F3880" t="str">
        <f t="shared" si="60"/>
        <v>70202</v>
      </c>
    </row>
    <row r="3881" spans="1:6">
      <c r="A3881" t="s">
        <v>9097</v>
      </c>
      <c r="B3881" t="s">
        <v>9098</v>
      </c>
      <c r="F3881" t="str">
        <f t="shared" si="60"/>
        <v>70225</v>
      </c>
    </row>
    <row r="3882" spans="1:6">
      <c r="A3882" t="s">
        <v>9099</v>
      </c>
      <c r="B3882" t="s">
        <v>9100</v>
      </c>
      <c r="F3882" t="str">
        <f t="shared" si="60"/>
        <v>70259</v>
      </c>
    </row>
    <row r="3883" spans="1:6">
      <c r="A3883" t="s">
        <v>9101</v>
      </c>
      <c r="B3883" t="s">
        <v>9102</v>
      </c>
      <c r="F3883" t="str">
        <f t="shared" si="60"/>
        <v>70260</v>
      </c>
    </row>
    <row r="3884" spans="1:6">
      <c r="A3884" t="s">
        <v>9103</v>
      </c>
      <c r="B3884" t="s">
        <v>9104</v>
      </c>
      <c r="F3884" t="str">
        <f t="shared" si="60"/>
        <v>70261</v>
      </c>
    </row>
    <row r="3885" spans="1:6">
      <c r="A3885" t="s">
        <v>9105</v>
      </c>
      <c r="B3885" t="s">
        <v>9106</v>
      </c>
      <c r="F3885" t="str">
        <f t="shared" si="60"/>
        <v>70262</v>
      </c>
    </row>
    <row r="3886" spans="1:6">
      <c r="A3886" t="s">
        <v>9107</v>
      </c>
      <c r="B3886" t="s">
        <v>9108</v>
      </c>
      <c r="F3886" t="str">
        <f t="shared" si="60"/>
        <v>70263</v>
      </c>
    </row>
    <row r="3887" spans="1:6">
      <c r="A3887" t="s">
        <v>9109</v>
      </c>
      <c r="B3887" t="s">
        <v>9110</v>
      </c>
      <c r="F3887" t="str">
        <f t="shared" si="60"/>
        <v>70264</v>
      </c>
    </row>
    <row r="3888" spans="1:6">
      <c r="A3888" t="s">
        <v>9111</v>
      </c>
      <c r="B3888" t="s">
        <v>9112</v>
      </c>
      <c r="F3888" t="str">
        <f t="shared" si="60"/>
        <v>70265</v>
      </c>
    </row>
    <row r="3889" spans="1:6">
      <c r="A3889" t="s">
        <v>9113</v>
      </c>
      <c r="B3889" t="s">
        <v>9114</v>
      </c>
      <c r="F3889" t="str">
        <f t="shared" si="60"/>
        <v>70266</v>
      </c>
    </row>
    <row r="3890" spans="1:6">
      <c r="A3890" t="s">
        <v>9115</v>
      </c>
      <c r="B3890" t="s">
        <v>9116</v>
      </c>
      <c r="F3890" t="str">
        <f t="shared" si="60"/>
        <v>70267</v>
      </c>
    </row>
    <row r="3891" spans="1:6">
      <c r="A3891" t="s">
        <v>9117</v>
      </c>
      <c r="B3891" t="s">
        <v>9118</v>
      </c>
      <c r="F3891" t="str">
        <f t="shared" si="60"/>
        <v>70268</v>
      </c>
    </row>
    <row r="3892" spans="1:6">
      <c r="A3892" t="s">
        <v>9119</v>
      </c>
      <c r="B3892" t="s">
        <v>9120</v>
      </c>
      <c r="F3892" t="str">
        <f t="shared" si="60"/>
        <v>70269</v>
      </c>
    </row>
    <row r="3893" spans="1:6">
      <c r="A3893" t="s">
        <v>9121</v>
      </c>
      <c r="B3893" t="s">
        <v>9122</v>
      </c>
      <c r="F3893" t="str">
        <f t="shared" si="60"/>
        <v>70270</v>
      </c>
    </row>
    <row r="3894" spans="1:6">
      <c r="A3894" t="s">
        <v>9123</v>
      </c>
      <c r="B3894" t="s">
        <v>9124</v>
      </c>
      <c r="F3894" t="str">
        <f t="shared" si="60"/>
        <v>70271</v>
      </c>
    </row>
    <row r="3895" spans="1:6">
      <c r="A3895" t="s">
        <v>9125</v>
      </c>
      <c r="B3895" t="s">
        <v>9126</v>
      </c>
      <c r="F3895" t="str">
        <f t="shared" si="60"/>
        <v>70272</v>
      </c>
    </row>
    <row r="3896" spans="1:6">
      <c r="A3896" t="s">
        <v>9127</v>
      </c>
      <c r="B3896" t="s">
        <v>9128</v>
      </c>
      <c r="F3896" t="str">
        <f t="shared" si="60"/>
        <v>70273</v>
      </c>
    </row>
    <row r="3897" spans="1:6">
      <c r="A3897" t="s">
        <v>9129</v>
      </c>
      <c r="B3897" t="s">
        <v>9130</v>
      </c>
      <c r="F3897" t="str">
        <f t="shared" si="60"/>
        <v>70274</v>
      </c>
    </row>
    <row r="3898" spans="1:6">
      <c r="A3898" t="s">
        <v>9131</v>
      </c>
      <c r="B3898" t="s">
        <v>9132</v>
      </c>
      <c r="F3898" t="str">
        <f t="shared" si="60"/>
        <v>70275</v>
      </c>
    </row>
    <row r="3899" spans="1:6">
      <c r="A3899" t="s">
        <v>9133</v>
      </c>
      <c r="B3899" t="s">
        <v>9134</v>
      </c>
      <c r="F3899" t="str">
        <f t="shared" si="60"/>
        <v>70276</v>
      </c>
    </row>
    <row r="3900" spans="1:6">
      <c r="A3900" t="s">
        <v>9135</v>
      </c>
      <c r="B3900" t="s">
        <v>9136</v>
      </c>
      <c r="F3900" t="str">
        <f t="shared" si="60"/>
        <v>70277</v>
      </c>
    </row>
    <row r="3901" spans="1:6">
      <c r="A3901" t="s">
        <v>9137</v>
      </c>
      <c r="B3901" t="s">
        <v>9138</v>
      </c>
      <c r="F3901" t="str">
        <f t="shared" si="60"/>
        <v>70278</v>
      </c>
    </row>
    <row r="3902" spans="1:6">
      <c r="A3902" t="s">
        <v>9139</v>
      </c>
      <c r="B3902" t="s">
        <v>9140</v>
      </c>
      <c r="F3902" t="str">
        <f t="shared" si="60"/>
        <v>70279</v>
      </c>
    </row>
    <row r="3903" spans="1:6">
      <c r="A3903" t="s">
        <v>9141</v>
      </c>
      <c r="B3903" t="s">
        <v>9142</v>
      </c>
      <c r="F3903" t="str">
        <f t="shared" si="60"/>
        <v>70281</v>
      </c>
    </row>
    <row r="3904" spans="1:6">
      <c r="A3904" t="s">
        <v>9143</v>
      </c>
      <c r="B3904" t="s">
        <v>9144</v>
      </c>
      <c r="F3904" t="str">
        <f t="shared" si="60"/>
        <v>70282</v>
      </c>
    </row>
    <row r="3905" spans="1:6">
      <c r="A3905" t="s">
        <v>9145</v>
      </c>
      <c r="B3905" t="s">
        <v>9146</v>
      </c>
      <c r="F3905" t="str">
        <f t="shared" si="60"/>
        <v>70283</v>
      </c>
    </row>
    <row r="3906" spans="1:6">
      <c r="A3906" t="s">
        <v>9147</v>
      </c>
      <c r="B3906" t="s">
        <v>9148</v>
      </c>
      <c r="F3906" t="str">
        <f t="shared" si="60"/>
        <v>70284</v>
      </c>
    </row>
    <row r="3907" spans="1:6">
      <c r="A3907" t="s">
        <v>9149</v>
      </c>
      <c r="B3907" t="s">
        <v>9150</v>
      </c>
      <c r="F3907" t="str">
        <f t="shared" si="60"/>
        <v>70285</v>
      </c>
    </row>
    <row r="3908" spans="1:6">
      <c r="A3908" t="s">
        <v>9151</v>
      </c>
      <c r="B3908" t="s">
        <v>9152</v>
      </c>
      <c r="F3908" t="str">
        <f t="shared" si="60"/>
        <v>70286</v>
      </c>
    </row>
    <row r="3909" spans="1:6">
      <c r="A3909" t="s">
        <v>9153</v>
      </c>
      <c r="B3909" t="s">
        <v>9154</v>
      </c>
      <c r="F3909" t="str">
        <f t="shared" si="60"/>
        <v>70287</v>
      </c>
    </row>
    <row r="3910" spans="1:6">
      <c r="A3910" t="s">
        <v>9155</v>
      </c>
      <c r="B3910" t="s">
        <v>9156</v>
      </c>
      <c r="F3910" t="str">
        <f t="shared" si="60"/>
        <v>70288</v>
      </c>
    </row>
    <row r="3911" spans="1:6">
      <c r="A3911" t="s">
        <v>9157</v>
      </c>
      <c r="B3911" t="s">
        <v>9158</v>
      </c>
      <c r="F3911" t="str">
        <f t="shared" si="60"/>
        <v>70289</v>
      </c>
    </row>
    <row r="3912" spans="1:6">
      <c r="A3912" t="s">
        <v>9159</v>
      </c>
      <c r="B3912" t="s">
        <v>9160</v>
      </c>
      <c r="F3912" t="str">
        <f t="shared" si="60"/>
        <v>70290</v>
      </c>
    </row>
    <row r="3913" spans="1:6">
      <c r="A3913" t="s">
        <v>9161</v>
      </c>
      <c r="B3913" t="s">
        <v>9162</v>
      </c>
      <c r="F3913" t="str">
        <f t="shared" si="60"/>
        <v>70291</v>
      </c>
    </row>
    <row r="3914" spans="1:6">
      <c r="A3914" t="s">
        <v>9163</v>
      </c>
      <c r="B3914" t="s">
        <v>9164</v>
      </c>
      <c r="F3914" t="str">
        <f t="shared" ref="F3914:F3977" si="61">CHOOSE($C$1, A3914, B3914)</f>
        <v>70294</v>
      </c>
    </row>
    <row r="3915" spans="1:6">
      <c r="A3915" t="s">
        <v>9165</v>
      </c>
      <c r="B3915" t="s">
        <v>9166</v>
      </c>
      <c r="F3915" t="str">
        <f t="shared" si="61"/>
        <v>70295</v>
      </c>
    </row>
    <row r="3916" spans="1:6">
      <c r="A3916" t="s">
        <v>9167</v>
      </c>
      <c r="B3916" t="s">
        <v>9168</v>
      </c>
      <c r="F3916" t="str">
        <f t="shared" si="61"/>
        <v>70296</v>
      </c>
    </row>
    <row r="3917" spans="1:6">
      <c r="A3917" t="s">
        <v>9169</v>
      </c>
      <c r="B3917" t="s">
        <v>9170</v>
      </c>
      <c r="F3917" t="str">
        <f t="shared" si="61"/>
        <v>70297</v>
      </c>
    </row>
    <row r="3918" spans="1:6">
      <c r="A3918" t="s">
        <v>9171</v>
      </c>
      <c r="B3918" t="s">
        <v>9172</v>
      </c>
      <c r="F3918" t="str">
        <f t="shared" si="61"/>
        <v>70298</v>
      </c>
    </row>
    <row r="3919" spans="1:6">
      <c r="A3919" t="s">
        <v>9173</v>
      </c>
      <c r="B3919" t="s">
        <v>9174</v>
      </c>
      <c r="F3919" t="str">
        <f t="shared" si="61"/>
        <v>70299</v>
      </c>
    </row>
    <row r="3920" spans="1:6">
      <c r="A3920" t="s">
        <v>9175</v>
      </c>
      <c r="B3920" t="s">
        <v>9176</v>
      </c>
      <c r="F3920" t="str">
        <f t="shared" si="61"/>
        <v>70300</v>
      </c>
    </row>
    <row r="3921" spans="1:6">
      <c r="A3921" t="s">
        <v>9177</v>
      </c>
      <c r="B3921" t="s">
        <v>9178</v>
      </c>
      <c r="F3921" t="str">
        <f t="shared" si="61"/>
        <v>70301</v>
      </c>
    </row>
    <row r="3922" spans="1:6">
      <c r="A3922" t="s">
        <v>9179</v>
      </c>
      <c r="B3922" t="s">
        <v>9180</v>
      </c>
      <c r="F3922" t="str">
        <f t="shared" si="61"/>
        <v>70302</v>
      </c>
    </row>
    <row r="3923" spans="1:6">
      <c r="A3923" t="s">
        <v>9181</v>
      </c>
      <c r="B3923" t="s">
        <v>9182</v>
      </c>
      <c r="F3923" t="str">
        <f t="shared" si="61"/>
        <v>70304</v>
      </c>
    </row>
    <row r="3924" spans="1:6">
      <c r="A3924" t="s">
        <v>9183</v>
      </c>
      <c r="B3924" t="s">
        <v>9184</v>
      </c>
      <c r="F3924" t="str">
        <f t="shared" si="61"/>
        <v>70340</v>
      </c>
    </row>
    <row r="3925" spans="1:6">
      <c r="A3925" t="s">
        <v>9185</v>
      </c>
      <c r="B3925" t="s">
        <v>9186</v>
      </c>
      <c r="F3925" t="str">
        <f t="shared" si="61"/>
        <v>70341</v>
      </c>
    </row>
    <row r="3926" spans="1:6">
      <c r="A3926" t="s">
        <v>9187</v>
      </c>
      <c r="B3926" t="s">
        <v>9188</v>
      </c>
      <c r="F3926" t="str">
        <f t="shared" si="61"/>
        <v>70342</v>
      </c>
    </row>
    <row r="3927" spans="1:6">
      <c r="A3927" t="s">
        <v>9189</v>
      </c>
      <c r="B3927" t="s">
        <v>9190</v>
      </c>
      <c r="F3927" t="str">
        <f t="shared" si="61"/>
        <v>70343</v>
      </c>
    </row>
    <row r="3928" spans="1:6">
      <c r="A3928" t="s">
        <v>9191</v>
      </c>
      <c r="B3928" t="s">
        <v>9192</v>
      </c>
      <c r="F3928" t="str">
        <f t="shared" si="61"/>
        <v>70344</v>
      </c>
    </row>
    <row r="3929" spans="1:6">
      <c r="A3929" t="s">
        <v>9193</v>
      </c>
      <c r="B3929" t="s">
        <v>9194</v>
      </c>
      <c r="F3929" t="str">
        <f t="shared" si="61"/>
        <v>70345</v>
      </c>
    </row>
    <row r="3930" spans="1:6">
      <c r="A3930" t="s">
        <v>9195</v>
      </c>
      <c r="B3930" t="s">
        <v>9196</v>
      </c>
      <c r="F3930" t="str">
        <f t="shared" si="61"/>
        <v>70346</v>
      </c>
    </row>
    <row r="3931" spans="1:6">
      <c r="A3931" t="s">
        <v>9197</v>
      </c>
      <c r="B3931" t="s">
        <v>9198</v>
      </c>
      <c r="F3931" t="str">
        <f t="shared" si="61"/>
        <v>70347</v>
      </c>
    </row>
    <row r="3932" spans="1:6">
      <c r="A3932" t="s">
        <v>9199</v>
      </c>
      <c r="B3932" t="s">
        <v>9200</v>
      </c>
      <c r="F3932" t="str">
        <f t="shared" si="61"/>
        <v>70348</v>
      </c>
    </row>
    <row r="3933" spans="1:6">
      <c r="A3933" t="s">
        <v>9201</v>
      </c>
      <c r="B3933" t="s">
        <v>9202</v>
      </c>
      <c r="F3933" t="str">
        <f t="shared" si="61"/>
        <v>70349</v>
      </c>
    </row>
    <row r="3934" spans="1:6">
      <c r="A3934" t="s">
        <v>9203</v>
      </c>
      <c r="B3934" t="s">
        <v>9204</v>
      </c>
      <c r="F3934" t="str">
        <f t="shared" si="61"/>
        <v>70356</v>
      </c>
    </row>
    <row r="3935" spans="1:6">
      <c r="A3935" t="s">
        <v>9205</v>
      </c>
      <c r="B3935" t="s">
        <v>9206</v>
      </c>
      <c r="F3935" t="str">
        <f t="shared" si="61"/>
        <v>70359</v>
      </c>
    </row>
    <row r="3936" spans="1:6">
      <c r="A3936" t="s">
        <v>9207</v>
      </c>
      <c r="B3936" t="s">
        <v>9208</v>
      </c>
      <c r="F3936" t="str">
        <f t="shared" si="61"/>
        <v>70360</v>
      </c>
    </row>
    <row r="3937" spans="1:6">
      <c r="A3937" t="s">
        <v>9209</v>
      </c>
      <c r="B3937" t="s">
        <v>9210</v>
      </c>
      <c r="F3937" t="str">
        <f t="shared" si="61"/>
        <v>70361</v>
      </c>
    </row>
    <row r="3938" spans="1:6">
      <c r="A3938" t="s">
        <v>9211</v>
      </c>
      <c r="B3938" t="s">
        <v>9212</v>
      </c>
      <c r="F3938" t="str">
        <f t="shared" si="61"/>
        <v>70362</v>
      </c>
    </row>
    <row r="3939" spans="1:6">
      <c r="A3939" t="s">
        <v>9213</v>
      </c>
      <c r="B3939" t="s">
        <v>9214</v>
      </c>
      <c r="F3939" t="str">
        <f t="shared" si="61"/>
        <v>70365</v>
      </c>
    </row>
    <row r="3940" spans="1:6">
      <c r="A3940" t="s">
        <v>9215</v>
      </c>
      <c r="B3940" t="s">
        <v>9216</v>
      </c>
      <c r="F3940" t="str">
        <f t="shared" si="61"/>
        <v>70366</v>
      </c>
    </row>
    <row r="3941" spans="1:6">
      <c r="A3941" t="s">
        <v>9217</v>
      </c>
      <c r="B3941" t="s">
        <v>9218</v>
      </c>
      <c r="F3941" t="str">
        <f t="shared" si="61"/>
        <v>70367</v>
      </c>
    </row>
    <row r="3942" spans="1:6">
      <c r="A3942" t="s">
        <v>9219</v>
      </c>
      <c r="B3942" t="s">
        <v>9220</v>
      </c>
      <c r="F3942" t="str">
        <f t="shared" si="61"/>
        <v>70368</v>
      </c>
    </row>
    <row r="3943" spans="1:6">
      <c r="A3943" t="s">
        <v>9221</v>
      </c>
      <c r="B3943" t="s">
        <v>9222</v>
      </c>
      <c r="F3943" t="str">
        <f t="shared" si="61"/>
        <v>70369</v>
      </c>
    </row>
    <row r="3944" spans="1:6">
      <c r="A3944" t="s">
        <v>9223</v>
      </c>
      <c r="B3944" t="s">
        <v>9224</v>
      </c>
      <c r="F3944" t="str">
        <f t="shared" si="61"/>
        <v>70370</v>
      </c>
    </row>
    <row r="3945" spans="1:6">
      <c r="A3945" t="s">
        <v>9225</v>
      </c>
      <c r="B3945" t="s">
        <v>9226</v>
      </c>
      <c r="F3945" t="str">
        <f t="shared" si="61"/>
        <v>70371</v>
      </c>
    </row>
    <row r="3946" spans="1:6">
      <c r="A3946" t="s">
        <v>9227</v>
      </c>
      <c r="B3946" t="s">
        <v>9228</v>
      </c>
      <c r="F3946" t="str">
        <f t="shared" si="61"/>
        <v>70372</v>
      </c>
    </row>
    <row r="3947" spans="1:6">
      <c r="A3947" t="s">
        <v>9229</v>
      </c>
      <c r="B3947" t="s">
        <v>9230</v>
      </c>
      <c r="F3947" t="str">
        <f t="shared" si="61"/>
        <v>70373</v>
      </c>
    </row>
    <row r="3948" spans="1:6">
      <c r="A3948" t="s">
        <v>9231</v>
      </c>
      <c r="B3948" t="s">
        <v>9232</v>
      </c>
      <c r="F3948" t="str">
        <f t="shared" si="61"/>
        <v>70374</v>
      </c>
    </row>
    <row r="3949" spans="1:6">
      <c r="A3949" t="s">
        <v>9233</v>
      </c>
      <c r="B3949" t="s">
        <v>9234</v>
      </c>
      <c r="F3949" t="str">
        <f t="shared" si="61"/>
        <v>70375</v>
      </c>
    </row>
    <row r="3950" spans="1:6">
      <c r="A3950" t="s">
        <v>9235</v>
      </c>
      <c r="B3950" t="s">
        <v>9236</v>
      </c>
      <c r="F3950" t="str">
        <f t="shared" si="61"/>
        <v>70376</v>
      </c>
    </row>
    <row r="3951" spans="1:6">
      <c r="A3951" t="s">
        <v>9237</v>
      </c>
      <c r="B3951" t="s">
        <v>9238</v>
      </c>
      <c r="F3951" t="str">
        <f t="shared" si="61"/>
        <v>70380</v>
      </c>
    </row>
    <row r="3952" spans="1:6">
      <c r="A3952" t="s">
        <v>9239</v>
      </c>
      <c r="B3952" t="s">
        <v>9240</v>
      </c>
      <c r="F3952" t="str">
        <f t="shared" si="61"/>
        <v>70391</v>
      </c>
    </row>
    <row r="3953" spans="1:6">
      <c r="A3953" t="s">
        <v>9241</v>
      </c>
      <c r="B3953" t="s">
        <v>9242</v>
      </c>
      <c r="F3953" t="str">
        <f t="shared" si="61"/>
        <v>70394</v>
      </c>
    </row>
    <row r="3954" spans="1:6">
      <c r="A3954" t="s">
        <v>9243</v>
      </c>
      <c r="B3954" t="s">
        <v>9244</v>
      </c>
      <c r="F3954" t="str">
        <f t="shared" si="61"/>
        <v>70397</v>
      </c>
    </row>
    <row r="3955" spans="1:6">
      <c r="A3955" t="s">
        <v>9245</v>
      </c>
      <c r="B3955" t="s">
        <v>9246</v>
      </c>
      <c r="F3955" t="str">
        <f t="shared" si="61"/>
        <v>70398</v>
      </c>
    </row>
    <row r="3956" spans="1:6">
      <c r="A3956" t="s">
        <v>9247</v>
      </c>
      <c r="B3956" t="s">
        <v>9248</v>
      </c>
      <c r="F3956" t="str">
        <f t="shared" si="61"/>
        <v>70399</v>
      </c>
    </row>
    <row r="3957" spans="1:6">
      <c r="A3957" t="s">
        <v>9249</v>
      </c>
      <c r="B3957" t="s">
        <v>9250</v>
      </c>
      <c r="F3957" t="str">
        <f t="shared" si="61"/>
        <v>70400</v>
      </c>
    </row>
    <row r="3958" spans="1:6">
      <c r="A3958" t="s">
        <v>9251</v>
      </c>
      <c r="B3958" t="s">
        <v>9252</v>
      </c>
      <c r="F3958" t="str">
        <f t="shared" si="61"/>
        <v>70401</v>
      </c>
    </row>
    <row r="3959" spans="1:6">
      <c r="A3959" t="s">
        <v>9253</v>
      </c>
      <c r="B3959" t="s">
        <v>9254</v>
      </c>
      <c r="F3959" t="str">
        <f t="shared" si="61"/>
        <v>70402</v>
      </c>
    </row>
    <row r="3960" spans="1:6">
      <c r="A3960" t="s">
        <v>9255</v>
      </c>
      <c r="B3960" t="s">
        <v>9256</v>
      </c>
      <c r="F3960" t="str">
        <f t="shared" si="61"/>
        <v>70403</v>
      </c>
    </row>
    <row r="3961" spans="1:6">
      <c r="A3961" t="s">
        <v>9257</v>
      </c>
      <c r="B3961" t="s">
        <v>9258</v>
      </c>
      <c r="F3961" t="str">
        <f t="shared" si="61"/>
        <v>70404</v>
      </c>
    </row>
    <row r="3962" spans="1:6">
      <c r="A3962" t="s">
        <v>9259</v>
      </c>
      <c r="B3962" t="s">
        <v>9260</v>
      </c>
      <c r="F3962" t="str">
        <f t="shared" si="61"/>
        <v>70407</v>
      </c>
    </row>
    <row r="3963" spans="1:6">
      <c r="A3963" t="s">
        <v>9261</v>
      </c>
      <c r="B3963" t="s">
        <v>9262</v>
      </c>
      <c r="F3963" t="str">
        <f t="shared" si="61"/>
        <v>70410</v>
      </c>
    </row>
    <row r="3964" spans="1:6">
      <c r="A3964" t="s">
        <v>9263</v>
      </c>
      <c r="B3964" t="s">
        <v>9264</v>
      </c>
      <c r="F3964" t="str">
        <f t="shared" si="61"/>
        <v>70411</v>
      </c>
    </row>
    <row r="3965" spans="1:6">
      <c r="A3965" t="s">
        <v>9265</v>
      </c>
      <c r="B3965" t="s">
        <v>9266</v>
      </c>
      <c r="F3965" t="str">
        <f t="shared" si="61"/>
        <v>70412</v>
      </c>
    </row>
    <row r="3966" spans="1:6">
      <c r="A3966" t="s">
        <v>9267</v>
      </c>
      <c r="B3966" t="s">
        <v>9268</v>
      </c>
      <c r="F3966" t="str">
        <f t="shared" si="61"/>
        <v>70413</v>
      </c>
    </row>
    <row r="3967" spans="1:6">
      <c r="A3967" t="s">
        <v>9269</v>
      </c>
      <c r="B3967" t="s">
        <v>9270</v>
      </c>
      <c r="F3967" t="str">
        <f t="shared" si="61"/>
        <v>70414</v>
      </c>
    </row>
    <row r="3968" spans="1:6">
      <c r="A3968" t="s">
        <v>9271</v>
      </c>
      <c r="B3968" t="s">
        <v>9272</v>
      </c>
      <c r="F3968" t="str">
        <f t="shared" si="61"/>
        <v>70415</v>
      </c>
    </row>
    <row r="3969" spans="1:6">
      <c r="A3969" t="s">
        <v>9273</v>
      </c>
      <c r="B3969" t="s">
        <v>9274</v>
      </c>
      <c r="F3969" t="str">
        <f t="shared" si="61"/>
        <v>70416</v>
      </c>
    </row>
    <row r="3970" spans="1:6">
      <c r="A3970" t="s">
        <v>9275</v>
      </c>
      <c r="B3970" t="s">
        <v>9276</v>
      </c>
      <c r="F3970" t="str">
        <f t="shared" si="61"/>
        <v>70417</v>
      </c>
    </row>
    <row r="3971" spans="1:6">
      <c r="A3971" t="s">
        <v>9277</v>
      </c>
      <c r="B3971" t="s">
        <v>9278</v>
      </c>
      <c r="F3971" t="str">
        <f t="shared" si="61"/>
        <v>70418</v>
      </c>
    </row>
    <row r="3972" spans="1:6">
      <c r="A3972" t="s">
        <v>9279</v>
      </c>
      <c r="B3972" t="s">
        <v>9280</v>
      </c>
      <c r="F3972" t="str">
        <f t="shared" si="61"/>
        <v>70422</v>
      </c>
    </row>
    <row r="3973" spans="1:6">
      <c r="A3973" t="s">
        <v>9281</v>
      </c>
      <c r="B3973" t="s">
        <v>9282</v>
      </c>
      <c r="F3973" t="str">
        <f t="shared" si="61"/>
        <v>70423</v>
      </c>
    </row>
    <row r="3974" spans="1:6">
      <c r="A3974" t="s">
        <v>9283</v>
      </c>
      <c r="B3974" t="s">
        <v>9284</v>
      </c>
      <c r="F3974" t="str">
        <f t="shared" si="61"/>
        <v>70424</v>
      </c>
    </row>
    <row r="3975" spans="1:6">
      <c r="A3975" t="s">
        <v>9285</v>
      </c>
      <c r="B3975" t="s">
        <v>9286</v>
      </c>
      <c r="F3975" t="str">
        <f t="shared" si="61"/>
        <v>70425</v>
      </c>
    </row>
    <row r="3976" spans="1:6">
      <c r="A3976" t="s">
        <v>9287</v>
      </c>
      <c r="B3976" t="s">
        <v>9288</v>
      </c>
      <c r="F3976" t="str">
        <f t="shared" si="61"/>
        <v>70435</v>
      </c>
    </row>
    <row r="3977" spans="1:6">
      <c r="A3977" t="s">
        <v>9289</v>
      </c>
      <c r="B3977" t="s">
        <v>9290</v>
      </c>
      <c r="F3977" t="str">
        <f t="shared" si="61"/>
        <v>70436</v>
      </c>
    </row>
    <row r="3978" spans="1:6">
      <c r="A3978" t="s">
        <v>9291</v>
      </c>
      <c r="B3978" t="s">
        <v>9292</v>
      </c>
      <c r="F3978" t="str">
        <f t="shared" ref="F3978:F4041" si="62">CHOOSE($C$1, A3978, B3978)</f>
        <v>70437</v>
      </c>
    </row>
    <row r="3979" spans="1:6">
      <c r="A3979" t="s">
        <v>9293</v>
      </c>
      <c r="B3979" t="s">
        <v>9294</v>
      </c>
      <c r="F3979" t="str">
        <f t="shared" si="62"/>
        <v>70438</v>
      </c>
    </row>
    <row r="3980" spans="1:6">
      <c r="A3980" t="s">
        <v>9295</v>
      </c>
      <c r="B3980" t="s">
        <v>9296</v>
      </c>
      <c r="F3980" t="str">
        <f t="shared" si="62"/>
        <v>70439</v>
      </c>
    </row>
    <row r="3981" spans="1:6">
      <c r="A3981" t="s">
        <v>9297</v>
      </c>
      <c r="B3981" t="s">
        <v>9298</v>
      </c>
      <c r="F3981" t="str">
        <f t="shared" si="62"/>
        <v>70440</v>
      </c>
    </row>
    <row r="3982" spans="1:6">
      <c r="A3982" t="s">
        <v>9299</v>
      </c>
      <c r="B3982" t="s">
        <v>9300</v>
      </c>
      <c r="F3982" t="str">
        <f t="shared" si="62"/>
        <v>70441</v>
      </c>
    </row>
    <row r="3983" spans="1:6">
      <c r="A3983" t="s">
        <v>9301</v>
      </c>
      <c r="B3983" t="s">
        <v>9302</v>
      </c>
      <c r="F3983" t="str">
        <f t="shared" si="62"/>
        <v>70442</v>
      </c>
    </row>
    <row r="3984" spans="1:6">
      <c r="A3984" t="s">
        <v>9303</v>
      </c>
      <c r="B3984" t="s">
        <v>9304</v>
      </c>
      <c r="F3984" t="str">
        <f t="shared" si="62"/>
        <v>70443</v>
      </c>
    </row>
    <row r="3985" spans="1:6">
      <c r="A3985" t="s">
        <v>9305</v>
      </c>
      <c r="B3985" t="s">
        <v>9306</v>
      </c>
      <c r="F3985" t="str">
        <f t="shared" si="62"/>
        <v>70444</v>
      </c>
    </row>
    <row r="3986" spans="1:6">
      <c r="A3986" t="s">
        <v>9307</v>
      </c>
      <c r="B3986" t="s">
        <v>9308</v>
      </c>
      <c r="F3986" t="str">
        <f t="shared" si="62"/>
        <v>70445</v>
      </c>
    </row>
    <row r="3987" spans="1:6">
      <c r="A3987" t="s">
        <v>9309</v>
      </c>
      <c r="B3987" t="s">
        <v>9310</v>
      </c>
      <c r="F3987" t="str">
        <f t="shared" si="62"/>
        <v>70446</v>
      </c>
    </row>
    <row r="3988" spans="1:6">
      <c r="A3988" t="s">
        <v>9311</v>
      </c>
      <c r="B3988" t="s">
        <v>9312</v>
      </c>
      <c r="F3988" t="str">
        <f t="shared" si="62"/>
        <v>70447</v>
      </c>
    </row>
    <row r="3989" spans="1:6">
      <c r="A3989" t="s">
        <v>9313</v>
      </c>
      <c r="B3989" t="s">
        <v>9314</v>
      </c>
      <c r="F3989" t="str">
        <f t="shared" si="62"/>
        <v>70448</v>
      </c>
    </row>
    <row r="3990" spans="1:6">
      <c r="A3990" t="s">
        <v>9315</v>
      </c>
      <c r="B3990" t="s">
        <v>9316</v>
      </c>
      <c r="F3990" t="str">
        <f t="shared" si="62"/>
        <v>70449</v>
      </c>
    </row>
    <row r="3991" spans="1:6">
      <c r="A3991" t="s">
        <v>9317</v>
      </c>
      <c r="B3991" t="s">
        <v>9318</v>
      </c>
      <c r="F3991" t="str">
        <f t="shared" si="62"/>
        <v>70450</v>
      </c>
    </row>
    <row r="3992" spans="1:6">
      <c r="A3992" t="s">
        <v>9319</v>
      </c>
      <c r="B3992" t="s">
        <v>9320</v>
      </c>
      <c r="F3992" t="str">
        <f t="shared" si="62"/>
        <v>70451</v>
      </c>
    </row>
    <row r="3993" spans="1:6">
      <c r="A3993" t="s">
        <v>9321</v>
      </c>
      <c r="B3993" t="s">
        <v>9322</v>
      </c>
      <c r="F3993" t="str">
        <f t="shared" si="62"/>
        <v>70452</v>
      </c>
    </row>
    <row r="3994" spans="1:6">
      <c r="A3994" t="s">
        <v>9323</v>
      </c>
      <c r="B3994" t="s">
        <v>9324</v>
      </c>
      <c r="F3994" t="str">
        <f t="shared" si="62"/>
        <v>70453</v>
      </c>
    </row>
    <row r="3995" spans="1:6">
      <c r="A3995" t="s">
        <v>9325</v>
      </c>
      <c r="B3995" t="s">
        <v>9326</v>
      </c>
      <c r="F3995" t="str">
        <f t="shared" si="62"/>
        <v>70454</v>
      </c>
    </row>
    <row r="3996" spans="1:6">
      <c r="A3996" t="s">
        <v>9327</v>
      </c>
      <c r="B3996" t="s">
        <v>9328</v>
      </c>
      <c r="F3996" t="str">
        <f t="shared" si="62"/>
        <v>70455</v>
      </c>
    </row>
    <row r="3997" spans="1:6">
      <c r="A3997" t="s">
        <v>9329</v>
      </c>
      <c r="B3997" t="s">
        <v>9330</v>
      </c>
      <c r="F3997" t="str">
        <f t="shared" si="62"/>
        <v>70456</v>
      </c>
    </row>
    <row r="3998" spans="1:6">
      <c r="A3998" t="s">
        <v>9331</v>
      </c>
      <c r="B3998" t="s">
        <v>9332</v>
      </c>
      <c r="F3998" t="str">
        <f t="shared" si="62"/>
        <v>70457</v>
      </c>
    </row>
    <row r="3999" spans="1:6">
      <c r="A3999" t="s">
        <v>9333</v>
      </c>
      <c r="B3999" t="s">
        <v>9334</v>
      </c>
      <c r="F3999" t="str">
        <f t="shared" si="62"/>
        <v>70458</v>
      </c>
    </row>
    <row r="4000" spans="1:6">
      <c r="A4000" t="s">
        <v>9335</v>
      </c>
      <c r="B4000" t="s">
        <v>9336</v>
      </c>
      <c r="F4000" t="str">
        <f t="shared" si="62"/>
        <v>70459</v>
      </c>
    </row>
    <row r="4001" spans="1:6">
      <c r="A4001" t="s">
        <v>9337</v>
      </c>
      <c r="B4001" t="s">
        <v>9338</v>
      </c>
      <c r="F4001" t="str">
        <f t="shared" si="62"/>
        <v>70460</v>
      </c>
    </row>
    <row r="4002" spans="1:6">
      <c r="A4002" t="s">
        <v>9339</v>
      </c>
      <c r="B4002" t="s">
        <v>9340</v>
      </c>
      <c r="F4002" t="str">
        <f t="shared" si="62"/>
        <v>70461</v>
      </c>
    </row>
    <row r="4003" spans="1:6">
      <c r="A4003" t="s">
        <v>9341</v>
      </c>
      <c r="B4003" t="s">
        <v>9342</v>
      </c>
      <c r="F4003" t="str">
        <f t="shared" si="62"/>
        <v>70462</v>
      </c>
    </row>
    <row r="4004" spans="1:6">
      <c r="A4004" t="s">
        <v>9343</v>
      </c>
      <c r="B4004" t="s">
        <v>9344</v>
      </c>
      <c r="F4004" t="str">
        <f t="shared" si="62"/>
        <v>70463</v>
      </c>
    </row>
    <row r="4005" spans="1:6">
      <c r="A4005" t="s">
        <v>9345</v>
      </c>
      <c r="B4005" t="s">
        <v>9346</v>
      </c>
      <c r="F4005" t="str">
        <f t="shared" si="62"/>
        <v>70464</v>
      </c>
    </row>
    <row r="4006" spans="1:6">
      <c r="A4006" t="s">
        <v>9347</v>
      </c>
      <c r="B4006" t="s">
        <v>9348</v>
      </c>
      <c r="F4006" t="str">
        <f t="shared" si="62"/>
        <v>70465</v>
      </c>
    </row>
    <row r="4007" spans="1:6">
      <c r="A4007" t="s">
        <v>9349</v>
      </c>
      <c r="B4007" t="s">
        <v>9350</v>
      </c>
      <c r="F4007" t="str">
        <f t="shared" si="62"/>
        <v>70466</v>
      </c>
    </row>
    <row r="4008" spans="1:6">
      <c r="A4008" t="s">
        <v>9351</v>
      </c>
      <c r="B4008" t="s">
        <v>9352</v>
      </c>
      <c r="F4008" t="str">
        <f t="shared" si="62"/>
        <v>70467</v>
      </c>
    </row>
    <row r="4009" spans="1:6">
      <c r="A4009" t="s">
        <v>9353</v>
      </c>
      <c r="B4009" t="s">
        <v>9354</v>
      </c>
      <c r="F4009" t="str">
        <f t="shared" si="62"/>
        <v>70468</v>
      </c>
    </row>
    <row r="4010" spans="1:6">
      <c r="A4010" t="s">
        <v>9355</v>
      </c>
      <c r="B4010" t="s">
        <v>9356</v>
      </c>
      <c r="F4010" t="str">
        <f t="shared" si="62"/>
        <v>70469</v>
      </c>
    </row>
    <row r="4011" spans="1:6">
      <c r="A4011" t="s">
        <v>9357</v>
      </c>
      <c r="B4011" t="s">
        <v>9358</v>
      </c>
      <c r="F4011" t="str">
        <f t="shared" si="62"/>
        <v>70470</v>
      </c>
    </row>
    <row r="4012" spans="1:6">
      <c r="A4012" t="s">
        <v>9359</v>
      </c>
      <c r="B4012" t="s">
        <v>9360</v>
      </c>
      <c r="F4012" t="str">
        <f t="shared" si="62"/>
        <v>70471</v>
      </c>
    </row>
    <row r="4013" spans="1:6">
      <c r="A4013" t="s">
        <v>9361</v>
      </c>
      <c r="B4013" t="s">
        <v>9362</v>
      </c>
      <c r="F4013" t="str">
        <f t="shared" si="62"/>
        <v>70472</v>
      </c>
    </row>
    <row r="4014" spans="1:6">
      <c r="A4014" t="s">
        <v>9363</v>
      </c>
      <c r="B4014" t="s">
        <v>9364</v>
      </c>
      <c r="F4014" t="str">
        <f t="shared" si="62"/>
        <v>70473</v>
      </c>
    </row>
    <row r="4015" spans="1:6">
      <c r="A4015" t="s">
        <v>9365</v>
      </c>
      <c r="B4015" t="s">
        <v>9366</v>
      </c>
      <c r="F4015" t="str">
        <f t="shared" si="62"/>
        <v>70474</v>
      </c>
    </row>
    <row r="4016" spans="1:6">
      <c r="A4016" t="s">
        <v>9367</v>
      </c>
      <c r="B4016" t="s">
        <v>9368</v>
      </c>
      <c r="F4016" t="str">
        <f t="shared" si="62"/>
        <v>70475</v>
      </c>
    </row>
    <row r="4017" spans="1:6">
      <c r="A4017" t="s">
        <v>9369</v>
      </c>
      <c r="B4017" t="s">
        <v>9370</v>
      </c>
      <c r="F4017" t="str">
        <f t="shared" si="62"/>
        <v>70476</v>
      </c>
    </row>
    <row r="4018" spans="1:6">
      <c r="A4018" t="s">
        <v>9371</v>
      </c>
      <c r="B4018" t="s">
        <v>9372</v>
      </c>
      <c r="F4018" t="str">
        <f t="shared" si="62"/>
        <v>70477</v>
      </c>
    </row>
    <row r="4019" spans="1:6">
      <c r="A4019" t="s">
        <v>9373</v>
      </c>
      <c r="B4019" t="s">
        <v>9374</v>
      </c>
      <c r="F4019" t="str">
        <f t="shared" si="62"/>
        <v>70478</v>
      </c>
    </row>
    <row r="4020" spans="1:6">
      <c r="A4020" t="s">
        <v>9375</v>
      </c>
      <c r="B4020" t="s">
        <v>9376</v>
      </c>
      <c r="F4020" t="str">
        <f t="shared" si="62"/>
        <v>70479</v>
      </c>
    </row>
    <row r="4021" spans="1:6">
      <c r="A4021" t="s">
        <v>9377</v>
      </c>
      <c r="B4021" t="s">
        <v>9378</v>
      </c>
      <c r="F4021" t="str">
        <f t="shared" si="62"/>
        <v>70480</v>
      </c>
    </row>
    <row r="4022" spans="1:6">
      <c r="A4022" t="s">
        <v>9379</v>
      </c>
      <c r="B4022" t="s">
        <v>9380</v>
      </c>
      <c r="F4022" t="str">
        <f t="shared" si="62"/>
        <v>70481</v>
      </c>
    </row>
    <row r="4023" spans="1:6">
      <c r="A4023" t="s">
        <v>9381</v>
      </c>
      <c r="B4023" t="s">
        <v>9382</v>
      </c>
      <c r="F4023" t="str">
        <f t="shared" si="62"/>
        <v>70482</v>
      </c>
    </row>
    <row r="4024" spans="1:6">
      <c r="A4024" t="s">
        <v>9383</v>
      </c>
      <c r="B4024" t="s">
        <v>9384</v>
      </c>
      <c r="F4024" t="str">
        <f t="shared" si="62"/>
        <v>70483</v>
      </c>
    </row>
    <row r="4025" spans="1:6">
      <c r="A4025" t="s">
        <v>9385</v>
      </c>
      <c r="B4025" t="s">
        <v>9386</v>
      </c>
      <c r="F4025" t="str">
        <f t="shared" si="62"/>
        <v>70484</v>
      </c>
    </row>
    <row r="4026" spans="1:6">
      <c r="A4026" t="s">
        <v>9387</v>
      </c>
      <c r="B4026" t="s">
        <v>9388</v>
      </c>
      <c r="F4026" t="str">
        <f t="shared" si="62"/>
        <v>70485</v>
      </c>
    </row>
    <row r="4027" spans="1:6">
      <c r="A4027" t="s">
        <v>9389</v>
      </c>
      <c r="B4027" t="s">
        <v>9390</v>
      </c>
      <c r="F4027" t="str">
        <f t="shared" si="62"/>
        <v>70486</v>
      </c>
    </row>
    <row r="4028" spans="1:6">
      <c r="A4028" t="s">
        <v>9391</v>
      </c>
      <c r="B4028" t="s">
        <v>9392</v>
      </c>
      <c r="F4028" t="str">
        <f t="shared" si="62"/>
        <v>70487</v>
      </c>
    </row>
    <row r="4029" spans="1:6">
      <c r="A4029" t="s">
        <v>9393</v>
      </c>
      <c r="B4029" t="s">
        <v>9394</v>
      </c>
      <c r="F4029" t="str">
        <f t="shared" si="62"/>
        <v>70488</v>
      </c>
    </row>
    <row r="4030" spans="1:6">
      <c r="A4030" t="s">
        <v>9395</v>
      </c>
      <c r="B4030" t="s">
        <v>9396</v>
      </c>
      <c r="F4030" t="str">
        <f t="shared" si="62"/>
        <v>70489</v>
      </c>
    </row>
    <row r="4031" spans="1:6">
      <c r="A4031" t="s">
        <v>9397</v>
      </c>
      <c r="B4031" t="s">
        <v>9398</v>
      </c>
      <c r="F4031" t="str">
        <f t="shared" si="62"/>
        <v>70490</v>
      </c>
    </row>
    <row r="4032" spans="1:6">
      <c r="A4032" t="s">
        <v>9399</v>
      </c>
      <c r="B4032" t="s">
        <v>9400</v>
      </c>
      <c r="F4032" t="str">
        <f t="shared" si="62"/>
        <v>70491</v>
      </c>
    </row>
    <row r="4033" spans="1:6">
      <c r="A4033" t="s">
        <v>9401</v>
      </c>
      <c r="B4033" t="s">
        <v>9402</v>
      </c>
      <c r="F4033" t="str">
        <f t="shared" si="62"/>
        <v>70492</v>
      </c>
    </row>
    <row r="4034" spans="1:6">
      <c r="A4034" t="s">
        <v>9403</v>
      </c>
      <c r="B4034" t="s">
        <v>9404</v>
      </c>
      <c r="F4034" t="str">
        <f t="shared" si="62"/>
        <v>70493</v>
      </c>
    </row>
    <row r="4035" spans="1:6">
      <c r="A4035" t="s">
        <v>9405</v>
      </c>
      <c r="B4035" t="s">
        <v>9406</v>
      </c>
      <c r="F4035" t="str">
        <f t="shared" si="62"/>
        <v>70495</v>
      </c>
    </row>
    <row r="4036" spans="1:6">
      <c r="A4036" t="s">
        <v>9407</v>
      </c>
      <c r="B4036" t="s">
        <v>9408</v>
      </c>
      <c r="F4036" t="str">
        <f t="shared" si="62"/>
        <v>70497</v>
      </c>
    </row>
    <row r="4037" spans="1:6">
      <c r="A4037" t="s">
        <v>9409</v>
      </c>
      <c r="B4037" t="s">
        <v>9410</v>
      </c>
      <c r="F4037" t="str">
        <f t="shared" si="62"/>
        <v>70509</v>
      </c>
    </row>
    <row r="4038" spans="1:6">
      <c r="A4038" t="s">
        <v>9411</v>
      </c>
      <c r="B4038" t="s">
        <v>9412</v>
      </c>
      <c r="F4038" t="str">
        <f t="shared" si="62"/>
        <v>70510</v>
      </c>
    </row>
    <row r="4039" spans="1:6">
      <c r="A4039" t="s">
        <v>9413</v>
      </c>
      <c r="B4039" t="s">
        <v>9414</v>
      </c>
      <c r="F4039" t="str">
        <f t="shared" si="62"/>
        <v>70511</v>
      </c>
    </row>
    <row r="4040" spans="1:6">
      <c r="A4040" t="s">
        <v>9415</v>
      </c>
      <c r="B4040" t="s">
        <v>9416</v>
      </c>
      <c r="F4040" t="str">
        <f t="shared" si="62"/>
        <v>70512</v>
      </c>
    </row>
    <row r="4041" spans="1:6">
      <c r="A4041" t="s">
        <v>9417</v>
      </c>
      <c r="B4041" t="s">
        <v>9418</v>
      </c>
      <c r="F4041" t="str">
        <f t="shared" si="62"/>
        <v>70544</v>
      </c>
    </row>
    <row r="4042" spans="1:6">
      <c r="A4042" t="s">
        <v>9419</v>
      </c>
      <c r="B4042" t="s">
        <v>9420</v>
      </c>
      <c r="F4042" t="str">
        <f t="shared" ref="F4042:F4105" si="63">CHOOSE($C$1, A4042, B4042)</f>
        <v>70546</v>
      </c>
    </row>
    <row r="4043" spans="1:6">
      <c r="A4043" t="s">
        <v>9421</v>
      </c>
      <c r="B4043" t="s">
        <v>9422</v>
      </c>
      <c r="F4043" t="str">
        <f t="shared" si="63"/>
        <v>70548</v>
      </c>
    </row>
    <row r="4044" spans="1:6">
      <c r="A4044" t="s">
        <v>9423</v>
      </c>
      <c r="B4044" t="s">
        <v>9424</v>
      </c>
      <c r="F4044" t="str">
        <f t="shared" si="63"/>
        <v>70549</v>
      </c>
    </row>
    <row r="4045" spans="1:6">
      <c r="A4045" t="s">
        <v>9425</v>
      </c>
      <c r="B4045" t="s">
        <v>9426</v>
      </c>
      <c r="F4045" t="str">
        <f t="shared" si="63"/>
        <v>70553</v>
      </c>
    </row>
    <row r="4046" spans="1:6">
      <c r="A4046" t="s">
        <v>9427</v>
      </c>
      <c r="B4046" t="s">
        <v>9428</v>
      </c>
      <c r="F4046" t="str">
        <f t="shared" si="63"/>
        <v>70554</v>
      </c>
    </row>
    <row r="4047" spans="1:6">
      <c r="A4047" t="s">
        <v>9429</v>
      </c>
      <c r="B4047" t="s">
        <v>9430</v>
      </c>
      <c r="F4047" t="str">
        <f t="shared" si="63"/>
        <v>70555</v>
      </c>
    </row>
    <row r="4048" spans="1:6">
      <c r="A4048" t="s">
        <v>9431</v>
      </c>
      <c r="B4048" t="s">
        <v>9432</v>
      </c>
      <c r="F4048" t="str">
        <f t="shared" si="63"/>
        <v>70566</v>
      </c>
    </row>
    <row r="4049" spans="1:6">
      <c r="A4049" t="s">
        <v>9433</v>
      </c>
      <c r="B4049" t="s">
        <v>9434</v>
      </c>
      <c r="F4049" t="str">
        <f t="shared" si="63"/>
        <v>70567</v>
      </c>
    </row>
    <row r="4050" spans="1:6">
      <c r="A4050" t="s">
        <v>9435</v>
      </c>
      <c r="B4050" t="s">
        <v>9436</v>
      </c>
      <c r="F4050" t="str">
        <f t="shared" si="63"/>
        <v>70568</v>
      </c>
    </row>
    <row r="4051" spans="1:6">
      <c r="A4051" t="s">
        <v>9437</v>
      </c>
      <c r="B4051" t="s">
        <v>9438</v>
      </c>
      <c r="F4051" t="str">
        <f t="shared" si="63"/>
        <v>70569</v>
      </c>
    </row>
    <row r="4052" spans="1:6">
      <c r="A4052" t="s">
        <v>9439</v>
      </c>
      <c r="B4052" t="s">
        <v>9440</v>
      </c>
      <c r="F4052" t="str">
        <f t="shared" si="63"/>
        <v>70570</v>
      </c>
    </row>
    <row r="4053" spans="1:6">
      <c r="A4053" t="s">
        <v>9441</v>
      </c>
      <c r="B4053" t="s">
        <v>9442</v>
      </c>
      <c r="F4053" t="str">
        <f t="shared" si="63"/>
        <v>70571</v>
      </c>
    </row>
    <row r="4054" spans="1:6">
      <c r="A4054" t="s">
        <v>9443</v>
      </c>
      <c r="B4054" t="s">
        <v>9444</v>
      </c>
      <c r="F4054" t="str">
        <f t="shared" si="63"/>
        <v>70572</v>
      </c>
    </row>
    <row r="4055" spans="1:6">
      <c r="A4055" t="s">
        <v>9445</v>
      </c>
      <c r="B4055" t="s">
        <v>9446</v>
      </c>
      <c r="F4055" t="str">
        <f t="shared" si="63"/>
        <v>70573</v>
      </c>
    </row>
    <row r="4056" spans="1:6">
      <c r="A4056" t="s">
        <v>9447</v>
      </c>
      <c r="B4056" t="s">
        <v>9448</v>
      </c>
      <c r="F4056" t="str">
        <f t="shared" si="63"/>
        <v>70574</v>
      </c>
    </row>
    <row r="4057" spans="1:6">
      <c r="A4057" t="s">
        <v>9449</v>
      </c>
      <c r="B4057" t="s">
        <v>9450</v>
      </c>
      <c r="F4057" t="str">
        <f t="shared" si="63"/>
        <v>70576</v>
      </c>
    </row>
    <row r="4058" spans="1:6">
      <c r="A4058" t="s">
        <v>9451</v>
      </c>
      <c r="B4058" t="s">
        <v>9452</v>
      </c>
      <c r="F4058" t="str">
        <f t="shared" si="63"/>
        <v>70577</v>
      </c>
    </row>
    <row r="4059" spans="1:6">
      <c r="A4059" t="s">
        <v>9453</v>
      </c>
      <c r="B4059" t="s">
        <v>9454</v>
      </c>
      <c r="F4059" t="str">
        <f t="shared" si="63"/>
        <v>70578</v>
      </c>
    </row>
    <row r="4060" spans="1:6">
      <c r="A4060" t="s">
        <v>9601</v>
      </c>
      <c r="B4060" t="s">
        <v>9602</v>
      </c>
      <c r="F4060" t="str">
        <f t="shared" si="63"/>
        <v>70589</v>
      </c>
    </row>
    <row r="4061" spans="1:6">
      <c r="A4061" t="s">
        <v>9603</v>
      </c>
      <c r="B4061" t="s">
        <v>9604</v>
      </c>
      <c r="F4061" t="str">
        <f t="shared" si="63"/>
        <v>70590</v>
      </c>
    </row>
    <row r="4062" spans="1:6">
      <c r="A4062" t="s">
        <v>1511</v>
      </c>
      <c r="B4062" t="s">
        <v>1512</v>
      </c>
      <c r="F4062" t="str">
        <f t="shared" si="63"/>
        <v>A0001</v>
      </c>
    </row>
    <row r="4063" spans="1:6">
      <c r="A4063" t="s">
        <v>9455</v>
      </c>
      <c r="B4063" t="s">
        <v>9456</v>
      </c>
      <c r="F4063" t="str">
        <f t="shared" si="63"/>
        <v>A0011</v>
      </c>
    </row>
    <row r="4064" spans="1:6">
      <c r="A4064" t="s">
        <v>9457</v>
      </c>
      <c r="B4064" t="s">
        <v>9458</v>
      </c>
      <c r="F4064" t="str">
        <f t="shared" si="63"/>
        <v>A0021</v>
      </c>
    </row>
    <row r="4065" spans="1:6">
      <c r="A4065" t="s">
        <v>1513</v>
      </c>
      <c r="B4065" t="s">
        <v>1514</v>
      </c>
      <c r="F4065" t="str">
        <f t="shared" si="63"/>
        <v>A0054</v>
      </c>
    </row>
    <row r="4066" spans="1:6">
      <c r="A4066" t="s">
        <v>9459</v>
      </c>
      <c r="B4066" t="s">
        <v>9460</v>
      </c>
      <c r="F4066" t="str">
        <f t="shared" si="63"/>
        <v>A0082</v>
      </c>
    </row>
    <row r="4067" spans="1:6">
      <c r="A4067" t="s">
        <v>9461</v>
      </c>
      <c r="B4067" t="s">
        <v>9462</v>
      </c>
      <c r="F4067" t="str">
        <f t="shared" si="63"/>
        <v>A0119</v>
      </c>
    </row>
    <row r="4068" spans="1:6">
      <c r="A4068" t="s">
        <v>9463</v>
      </c>
      <c r="B4068" t="s">
        <v>9464</v>
      </c>
      <c r="F4068" t="str">
        <f t="shared" si="63"/>
        <v>A0143</v>
      </c>
    </row>
    <row r="4069" spans="1:6">
      <c r="A4069" t="s">
        <v>1515</v>
      </c>
      <c r="B4069" t="s">
        <v>1516</v>
      </c>
      <c r="F4069" t="str">
        <f t="shared" si="63"/>
        <v>A0145</v>
      </c>
    </row>
    <row r="4070" spans="1:6">
      <c r="A4070" t="s">
        <v>9465</v>
      </c>
      <c r="B4070" t="s">
        <v>9466</v>
      </c>
      <c r="F4070" t="str">
        <f t="shared" si="63"/>
        <v>A0238</v>
      </c>
    </row>
    <row r="4071" spans="1:6">
      <c r="A4071" t="s">
        <v>9467</v>
      </c>
      <c r="B4071" t="s">
        <v>9468</v>
      </c>
      <c r="F4071" t="str">
        <f t="shared" si="63"/>
        <v>A0334</v>
      </c>
    </row>
    <row r="4072" spans="1:6">
      <c r="A4072" t="s">
        <v>9469</v>
      </c>
      <c r="B4072" t="s">
        <v>9470</v>
      </c>
      <c r="F4072" t="str">
        <f t="shared" si="63"/>
        <v>A0338</v>
      </c>
    </row>
    <row r="4073" spans="1:6">
      <c r="A4073" t="s">
        <v>9471</v>
      </c>
      <c r="B4073" t="s">
        <v>9472</v>
      </c>
      <c r="F4073" t="str">
        <f t="shared" si="63"/>
        <v>A0359</v>
      </c>
    </row>
    <row r="4074" spans="1:6">
      <c r="A4074" t="s">
        <v>9473</v>
      </c>
      <c r="B4074" t="s">
        <v>9474</v>
      </c>
      <c r="F4074" t="str">
        <f t="shared" si="63"/>
        <v>A0369</v>
      </c>
    </row>
    <row r="4075" spans="1:6">
      <c r="A4075" t="s">
        <v>1517</v>
      </c>
      <c r="B4075" t="s">
        <v>1518</v>
      </c>
      <c r="F4075" t="str">
        <f t="shared" si="63"/>
        <v>A0494</v>
      </c>
    </row>
    <row r="4076" spans="1:6">
      <c r="A4076" t="s">
        <v>1519</v>
      </c>
      <c r="B4076" t="s">
        <v>1520</v>
      </c>
      <c r="F4076" t="str">
        <f t="shared" si="63"/>
        <v>A0495</v>
      </c>
    </row>
    <row r="4077" spans="1:6">
      <c r="A4077" t="s">
        <v>1521</v>
      </c>
      <c r="B4077" t="s">
        <v>1522</v>
      </c>
      <c r="F4077" t="str">
        <f t="shared" si="63"/>
        <v>A0527</v>
      </c>
    </row>
    <row r="4078" spans="1:6">
      <c r="A4078" t="s">
        <v>1523</v>
      </c>
      <c r="B4078" t="s">
        <v>1524</v>
      </c>
      <c r="F4078" t="str">
        <f t="shared" si="63"/>
        <v>A0528</v>
      </c>
    </row>
    <row r="4079" spans="1:6">
      <c r="A4079" t="s">
        <v>1525</v>
      </c>
      <c r="B4079" t="s">
        <v>1526</v>
      </c>
      <c r="F4079" t="str">
        <f t="shared" si="63"/>
        <v>A0530</v>
      </c>
    </row>
    <row r="4080" spans="1:6">
      <c r="A4080" t="s">
        <v>1527</v>
      </c>
      <c r="B4080" t="s">
        <v>1528</v>
      </c>
      <c r="F4080" t="str">
        <f t="shared" si="63"/>
        <v>A0549</v>
      </c>
    </row>
    <row r="4081" spans="1:6">
      <c r="A4081" t="s">
        <v>1529</v>
      </c>
      <c r="B4081" t="s">
        <v>1530</v>
      </c>
      <c r="F4081" t="str">
        <f t="shared" si="63"/>
        <v>A0622</v>
      </c>
    </row>
    <row r="4082" spans="1:6">
      <c r="A4082" t="s">
        <v>1531</v>
      </c>
      <c r="B4082" t="s">
        <v>1532</v>
      </c>
      <c r="F4082" t="str">
        <f t="shared" si="63"/>
        <v>A0635</v>
      </c>
    </row>
    <row r="4083" spans="1:6">
      <c r="A4083" t="s">
        <v>1533</v>
      </c>
      <c r="B4083" t="s">
        <v>1534</v>
      </c>
      <c r="F4083" t="str">
        <f t="shared" si="63"/>
        <v>A1108</v>
      </c>
    </row>
    <row r="4084" spans="1:6">
      <c r="A4084" t="s">
        <v>1537</v>
      </c>
      <c r="B4084" t="s">
        <v>1538</v>
      </c>
      <c r="F4084" t="str">
        <f t="shared" si="63"/>
        <v>A1534</v>
      </c>
    </row>
    <row r="4085" spans="1:6">
      <c r="A4085" t="s">
        <v>1539</v>
      </c>
      <c r="B4085" t="s">
        <v>1540</v>
      </c>
      <c r="F4085" t="str">
        <f t="shared" si="63"/>
        <v>A1767</v>
      </c>
    </row>
    <row r="4086" spans="1:6">
      <c r="A4086" t="s">
        <v>9475</v>
      </c>
      <c r="B4086" t="s">
        <v>9476</v>
      </c>
      <c r="F4086" t="str">
        <f t="shared" si="63"/>
        <v>A1802</v>
      </c>
    </row>
    <row r="4087" spans="1:6">
      <c r="A4087" t="s">
        <v>9477</v>
      </c>
      <c r="B4087" t="s">
        <v>9478</v>
      </c>
      <c r="F4087" t="str">
        <f t="shared" si="63"/>
        <v>A1865</v>
      </c>
    </row>
    <row r="4088" spans="1:6">
      <c r="A4088" t="s">
        <v>1541</v>
      </c>
      <c r="B4088" t="s">
        <v>1542</v>
      </c>
      <c r="F4088" t="str">
        <f t="shared" si="63"/>
        <v>A1987</v>
      </c>
    </row>
    <row r="4089" spans="1:6">
      <c r="A4089" t="s">
        <v>9479</v>
      </c>
      <c r="B4089" t="s">
        <v>9480</v>
      </c>
      <c r="F4089" t="str">
        <f t="shared" si="63"/>
        <v>A1988</v>
      </c>
    </row>
    <row r="4090" spans="1:6">
      <c r="A4090" t="s">
        <v>9481</v>
      </c>
      <c r="B4090" t="s">
        <v>9482</v>
      </c>
      <c r="F4090" t="str">
        <f t="shared" si="63"/>
        <v>A2102</v>
      </c>
    </row>
    <row r="4091" spans="1:6">
      <c r="A4091" t="s">
        <v>9483</v>
      </c>
      <c r="B4091" t="s">
        <v>9484</v>
      </c>
      <c r="F4091" t="str">
        <f t="shared" si="63"/>
        <v>A2333</v>
      </c>
    </row>
    <row r="4092" spans="1:6">
      <c r="A4092" t="s">
        <v>1543</v>
      </c>
      <c r="B4092" t="s">
        <v>1544</v>
      </c>
      <c r="F4092" t="str">
        <f t="shared" si="63"/>
        <v>A2411</v>
      </c>
    </row>
    <row r="4093" spans="1:6">
      <c r="A4093" t="s">
        <v>1545</v>
      </c>
      <c r="B4093" t="s">
        <v>1546</v>
      </c>
      <c r="F4093" t="str">
        <f t="shared" si="63"/>
        <v>A2561</v>
      </c>
    </row>
    <row r="4094" spans="1:6">
      <c r="A4094" t="s">
        <v>9485</v>
      </c>
      <c r="B4094" t="s">
        <v>9486</v>
      </c>
      <c r="F4094" t="str">
        <f t="shared" si="63"/>
        <v>A2831</v>
      </c>
    </row>
    <row r="4095" spans="1:6">
      <c r="A4095" t="s">
        <v>1549</v>
      </c>
      <c r="B4095" t="s">
        <v>1550</v>
      </c>
      <c r="F4095" t="str">
        <f t="shared" si="63"/>
        <v>A2896</v>
      </c>
    </row>
    <row r="4096" spans="1:6">
      <c r="A4096" t="s">
        <v>1551</v>
      </c>
      <c r="B4096" t="s">
        <v>1552</v>
      </c>
      <c r="F4096" t="str">
        <f t="shared" si="63"/>
        <v>A2953</v>
      </c>
    </row>
    <row r="4097" spans="1:6">
      <c r="A4097" t="s">
        <v>9487</v>
      </c>
      <c r="B4097" t="s">
        <v>9488</v>
      </c>
      <c r="F4097" t="str">
        <f t="shared" si="63"/>
        <v>A3001</v>
      </c>
    </row>
    <row r="4098" spans="1:6">
      <c r="A4098" t="s">
        <v>9489</v>
      </c>
      <c r="B4098" t="s">
        <v>9490</v>
      </c>
      <c r="F4098" t="str">
        <f t="shared" si="63"/>
        <v>A3087</v>
      </c>
    </row>
    <row r="4099" spans="1:6">
      <c r="A4099" t="s">
        <v>1553</v>
      </c>
      <c r="B4099" t="s">
        <v>1554</v>
      </c>
      <c r="F4099" t="str">
        <f t="shared" si="63"/>
        <v>A3094</v>
      </c>
    </row>
    <row r="4100" spans="1:6">
      <c r="A4100" t="s">
        <v>9491</v>
      </c>
      <c r="B4100" t="s">
        <v>9492</v>
      </c>
      <c r="F4100" t="str">
        <f t="shared" si="63"/>
        <v>A3320</v>
      </c>
    </row>
    <row r="4101" spans="1:6">
      <c r="A4101" t="s">
        <v>9493</v>
      </c>
      <c r="B4101" t="s">
        <v>9494</v>
      </c>
      <c r="F4101" t="str">
        <f t="shared" si="63"/>
        <v>A3339</v>
      </c>
    </row>
    <row r="4102" spans="1:6">
      <c r="A4102" t="s">
        <v>1555</v>
      </c>
      <c r="B4102" t="s">
        <v>1556</v>
      </c>
      <c r="F4102" t="str">
        <f t="shared" si="63"/>
        <v>A3430</v>
      </c>
    </row>
    <row r="4103" spans="1:6">
      <c r="A4103" t="s">
        <v>1557</v>
      </c>
      <c r="B4103" t="s">
        <v>1558</v>
      </c>
      <c r="F4103" t="str">
        <f t="shared" si="63"/>
        <v>A3481</v>
      </c>
    </row>
    <row r="4104" spans="1:6">
      <c r="A4104" t="s">
        <v>9495</v>
      </c>
      <c r="B4104" t="s">
        <v>9496</v>
      </c>
      <c r="F4104" t="str">
        <f t="shared" si="63"/>
        <v>A3573</v>
      </c>
    </row>
    <row r="4105" spans="1:6">
      <c r="A4105" t="s">
        <v>9497</v>
      </c>
      <c r="B4105" t="s">
        <v>9498</v>
      </c>
      <c r="F4105" t="str">
        <f t="shared" si="63"/>
        <v>A3577</v>
      </c>
    </row>
    <row r="4106" spans="1:6">
      <c r="A4106" t="s">
        <v>9499</v>
      </c>
      <c r="B4106" t="s">
        <v>9500</v>
      </c>
      <c r="F4106" t="str">
        <f t="shared" ref="F4106:F4169" si="64">CHOOSE($C$1, A4106, B4106)</f>
        <v>A3579</v>
      </c>
    </row>
    <row r="4107" spans="1:6">
      <c r="A4107" t="s">
        <v>9501</v>
      </c>
      <c r="B4107" t="s">
        <v>9502</v>
      </c>
      <c r="F4107" t="str">
        <f t="shared" si="64"/>
        <v>A3793</v>
      </c>
    </row>
    <row r="4108" spans="1:6">
      <c r="A4108" t="s">
        <v>9503</v>
      </c>
      <c r="B4108" t="s">
        <v>9504</v>
      </c>
      <c r="F4108" t="str">
        <f t="shared" si="64"/>
        <v>A3840</v>
      </c>
    </row>
    <row r="4109" spans="1:6">
      <c r="A4109" t="s">
        <v>9505</v>
      </c>
      <c r="B4109" t="s">
        <v>9506</v>
      </c>
      <c r="F4109" t="str">
        <f t="shared" si="64"/>
        <v>A3864</v>
      </c>
    </row>
    <row r="4110" spans="1:6">
      <c r="A4110" t="s">
        <v>1559</v>
      </c>
      <c r="B4110" t="s">
        <v>1560</v>
      </c>
      <c r="F4110" t="str">
        <f t="shared" si="64"/>
        <v>A3923</v>
      </c>
    </row>
    <row r="4111" spans="1:6">
      <c r="A4111" t="s">
        <v>1561</v>
      </c>
      <c r="B4111" t="s">
        <v>1562</v>
      </c>
      <c r="F4111" t="str">
        <f t="shared" si="64"/>
        <v>A3938</v>
      </c>
    </row>
    <row r="4112" spans="1:6">
      <c r="A4112" t="s">
        <v>1563</v>
      </c>
      <c r="B4112" t="s">
        <v>1564</v>
      </c>
      <c r="F4112" t="str">
        <f t="shared" si="64"/>
        <v>A3986</v>
      </c>
    </row>
    <row r="4113" spans="1:6">
      <c r="A4113" t="s">
        <v>1565</v>
      </c>
      <c r="B4113" t="s">
        <v>1566</v>
      </c>
      <c r="F4113" t="str">
        <f t="shared" si="64"/>
        <v>A4217</v>
      </c>
    </row>
    <row r="4114" spans="1:6">
      <c r="A4114" t="s">
        <v>9507</v>
      </c>
      <c r="B4114" t="s">
        <v>9508</v>
      </c>
      <c r="F4114" t="str">
        <f t="shared" si="64"/>
        <v>A5454</v>
      </c>
    </row>
    <row r="4115" spans="1:6">
      <c r="A4115" t="s">
        <v>9509</v>
      </c>
      <c r="B4115" t="s">
        <v>9510</v>
      </c>
      <c r="F4115" t="str">
        <f t="shared" si="64"/>
        <v>A5484</v>
      </c>
    </row>
    <row r="4116" spans="1:6">
      <c r="A4116" t="s">
        <v>9511</v>
      </c>
      <c r="B4116" t="s">
        <v>9512</v>
      </c>
      <c r="F4116" t="str">
        <f t="shared" si="64"/>
        <v>A5501</v>
      </c>
    </row>
    <row r="4117" spans="1:6">
      <c r="A4117" t="s">
        <v>9513</v>
      </c>
      <c r="B4117" t="s">
        <v>9514</v>
      </c>
      <c r="F4117" t="str">
        <f t="shared" si="64"/>
        <v>A5979</v>
      </c>
    </row>
    <row r="4118" spans="1:6">
      <c r="A4118" t="s">
        <v>9515</v>
      </c>
      <c r="B4118" t="s">
        <v>9516</v>
      </c>
      <c r="F4118" t="str">
        <f t="shared" si="64"/>
        <v>A6104</v>
      </c>
    </row>
    <row r="4119" spans="1:6">
      <c r="A4119" t="s">
        <v>9517</v>
      </c>
      <c r="B4119" t="s">
        <v>9518</v>
      </c>
      <c r="F4119" t="str">
        <f t="shared" si="64"/>
        <v>A6176</v>
      </c>
    </row>
    <row r="4120" spans="1:6">
      <c r="A4120" t="s">
        <v>1567</v>
      </c>
      <c r="B4120" t="s">
        <v>1568</v>
      </c>
      <c r="F4120" t="str">
        <f t="shared" si="64"/>
        <v>A6217</v>
      </c>
    </row>
    <row r="4121" spans="1:6">
      <c r="A4121" t="s">
        <v>1569</v>
      </c>
      <c r="B4121" t="s">
        <v>1570</v>
      </c>
      <c r="F4121" t="str">
        <f t="shared" si="64"/>
        <v>A6432</v>
      </c>
    </row>
    <row r="4122" spans="1:6">
      <c r="A4122" t="s">
        <v>9519</v>
      </c>
      <c r="B4122" t="s">
        <v>9520</v>
      </c>
      <c r="F4122" t="str">
        <f t="shared" si="64"/>
        <v>A6675</v>
      </c>
    </row>
    <row r="4123" spans="1:6">
      <c r="A4123" t="s">
        <v>9521</v>
      </c>
      <c r="B4123" t="s">
        <v>9522</v>
      </c>
      <c r="F4123" t="str">
        <f t="shared" si="64"/>
        <v>A6688</v>
      </c>
    </row>
    <row r="4124" spans="1:6">
      <c r="A4124" t="s">
        <v>1571</v>
      </c>
      <c r="B4124" t="s">
        <v>1572</v>
      </c>
      <c r="F4124" t="str">
        <f t="shared" si="64"/>
        <v>A6710</v>
      </c>
    </row>
    <row r="4125" spans="1:6">
      <c r="A4125" t="s">
        <v>9523</v>
      </c>
      <c r="B4125" t="s">
        <v>9524</v>
      </c>
      <c r="F4125" t="str">
        <f t="shared" si="64"/>
        <v>A6748</v>
      </c>
    </row>
    <row r="4126" spans="1:6">
      <c r="A4126" t="s">
        <v>1573</v>
      </c>
      <c r="B4126" t="s">
        <v>1574</v>
      </c>
      <c r="F4126" t="str">
        <f t="shared" si="64"/>
        <v>A6860</v>
      </c>
    </row>
    <row r="4127" spans="1:6">
      <c r="A4127" t="s">
        <v>9525</v>
      </c>
      <c r="B4127" t="s">
        <v>9526</v>
      </c>
      <c r="F4127" t="str">
        <f t="shared" si="64"/>
        <v>A7039</v>
      </c>
    </row>
    <row r="4128" spans="1:6">
      <c r="A4128" t="s">
        <v>9527</v>
      </c>
      <c r="B4128" t="s">
        <v>9528</v>
      </c>
      <c r="F4128" t="str">
        <f t="shared" si="64"/>
        <v>A7084</v>
      </c>
    </row>
    <row r="4129" spans="1:6">
      <c r="A4129" t="s">
        <v>1575</v>
      </c>
      <c r="B4129" t="s">
        <v>1576</v>
      </c>
      <c r="F4129" t="str">
        <f t="shared" si="64"/>
        <v>A7315</v>
      </c>
    </row>
    <row r="4130" spans="1:6">
      <c r="A4130" t="s">
        <v>1579</v>
      </c>
      <c r="B4130" t="s">
        <v>1580</v>
      </c>
      <c r="F4130" t="str">
        <f t="shared" si="64"/>
        <v>A7850</v>
      </c>
    </row>
    <row r="4131" spans="1:6">
      <c r="A4131" t="s">
        <v>9529</v>
      </c>
      <c r="B4131" t="s">
        <v>9530</v>
      </c>
      <c r="F4131" t="str">
        <f t="shared" si="64"/>
        <v>A7858</v>
      </c>
    </row>
    <row r="4132" spans="1:6">
      <c r="A4132" t="s">
        <v>9531</v>
      </c>
      <c r="B4132" t="s">
        <v>9532</v>
      </c>
      <c r="F4132" t="str">
        <f t="shared" si="64"/>
        <v>A8210</v>
      </c>
    </row>
    <row r="4133" spans="1:6">
      <c r="A4133" t="s">
        <v>1581</v>
      </c>
      <c r="B4133" t="s">
        <v>1582</v>
      </c>
      <c r="F4133" t="str">
        <f t="shared" si="64"/>
        <v>A8519</v>
      </c>
    </row>
    <row r="4134" spans="1:6">
      <c r="A4134" t="s">
        <v>9533</v>
      </c>
      <c r="B4134" t="s">
        <v>9534</v>
      </c>
      <c r="F4134" t="str">
        <f t="shared" si="64"/>
        <v>A8637</v>
      </c>
    </row>
    <row r="4135" spans="1:6">
      <c r="A4135" t="s">
        <v>1583</v>
      </c>
      <c r="B4135" t="s">
        <v>1584</v>
      </c>
      <c r="F4135" t="str">
        <f t="shared" si="64"/>
        <v>A8796</v>
      </c>
    </row>
    <row r="4136" spans="1:6">
      <c r="A4136" t="s">
        <v>9535</v>
      </c>
      <c r="B4136" t="s">
        <v>9536</v>
      </c>
      <c r="F4136" t="str">
        <f t="shared" si="64"/>
        <v>A8805</v>
      </c>
    </row>
    <row r="4137" spans="1:6">
      <c r="A4137" t="s">
        <v>9537</v>
      </c>
      <c r="B4137" t="s">
        <v>9538</v>
      </c>
      <c r="F4137" t="str">
        <f t="shared" si="64"/>
        <v>A8869</v>
      </c>
    </row>
    <row r="4138" spans="1:6">
      <c r="A4138" t="s">
        <v>9539</v>
      </c>
      <c r="B4138" t="s">
        <v>9540</v>
      </c>
      <c r="F4138" t="str">
        <f t="shared" si="64"/>
        <v>A8936</v>
      </c>
    </row>
    <row r="4139" spans="1:6">
      <c r="A4139" t="s">
        <v>1585</v>
      </c>
      <c r="B4139" t="s">
        <v>1586</v>
      </c>
      <c r="F4139" t="str">
        <f t="shared" si="64"/>
        <v>A9084</v>
      </c>
    </row>
    <row r="4140" spans="1:6">
      <c r="A4140" t="s">
        <v>9541</v>
      </c>
      <c r="B4140" t="s">
        <v>9542</v>
      </c>
      <c r="F4140" t="str">
        <f t="shared" si="64"/>
        <v>A9190</v>
      </c>
    </row>
    <row r="4141" spans="1:6">
      <c r="A4141" t="s">
        <v>9543</v>
      </c>
      <c r="B4141" t="s">
        <v>9544</v>
      </c>
      <c r="F4141" t="str">
        <f t="shared" si="64"/>
        <v>A9300</v>
      </c>
    </row>
    <row r="4142" spans="1:6">
      <c r="A4142" t="s">
        <v>1587</v>
      </c>
      <c r="B4142" t="s">
        <v>1588</v>
      </c>
      <c r="F4142" t="str">
        <f t="shared" si="64"/>
        <v>A9327</v>
      </c>
    </row>
    <row r="4143" spans="1:6">
      <c r="A4143" t="s">
        <v>1591</v>
      </c>
      <c r="B4143" t="s">
        <v>1592</v>
      </c>
      <c r="F4143" t="str">
        <f t="shared" si="64"/>
        <v>A9845</v>
      </c>
    </row>
    <row r="4144" spans="1:6">
      <c r="A4144" t="s">
        <v>1593</v>
      </c>
      <c r="B4144" t="s">
        <v>1594</v>
      </c>
      <c r="F4144" t="str">
        <f t="shared" si="64"/>
        <v>B0001</v>
      </c>
    </row>
    <row r="4145" spans="1:6">
      <c r="A4145" t="s">
        <v>1595</v>
      </c>
      <c r="B4145" t="s">
        <v>1596</v>
      </c>
      <c r="F4145" t="str">
        <f t="shared" si="64"/>
        <v>B0040</v>
      </c>
    </row>
    <row r="4146" spans="1:6">
      <c r="A4146" t="s">
        <v>1597</v>
      </c>
      <c r="B4146" t="s">
        <v>1598</v>
      </c>
      <c r="F4146" t="str">
        <f t="shared" si="64"/>
        <v>B0145</v>
      </c>
    </row>
    <row r="4147" spans="1:6">
      <c r="A4147" t="s">
        <v>1599</v>
      </c>
      <c r="B4147" t="s">
        <v>1600</v>
      </c>
      <c r="F4147" t="str">
        <f t="shared" si="64"/>
        <v>B0494</v>
      </c>
    </row>
    <row r="4148" spans="1:6">
      <c r="A4148" t="s">
        <v>1601</v>
      </c>
      <c r="B4148" t="s">
        <v>1602</v>
      </c>
      <c r="F4148" t="str">
        <f t="shared" si="64"/>
        <v>B0527</v>
      </c>
    </row>
    <row r="4149" spans="1:6">
      <c r="A4149" t="s">
        <v>1603</v>
      </c>
      <c r="B4149" t="s">
        <v>1604</v>
      </c>
      <c r="F4149" t="str">
        <f t="shared" si="64"/>
        <v>B0528</v>
      </c>
    </row>
    <row r="4150" spans="1:6">
      <c r="A4150" t="s">
        <v>1605</v>
      </c>
      <c r="B4150" t="s">
        <v>1606</v>
      </c>
      <c r="F4150" t="str">
        <f t="shared" si="64"/>
        <v>B0622</v>
      </c>
    </row>
    <row r="4151" spans="1:6">
      <c r="A4151" t="s">
        <v>9545</v>
      </c>
      <c r="B4151" t="s">
        <v>9546</v>
      </c>
      <c r="F4151" t="str">
        <f t="shared" si="64"/>
        <v>B1078</v>
      </c>
    </row>
    <row r="4152" spans="1:6">
      <c r="A4152" t="s">
        <v>1607</v>
      </c>
      <c r="B4152" t="s">
        <v>1608</v>
      </c>
      <c r="F4152" t="str">
        <f t="shared" si="64"/>
        <v>B1118</v>
      </c>
    </row>
    <row r="4153" spans="1:6">
      <c r="A4153" t="s">
        <v>1609</v>
      </c>
      <c r="B4153" t="s">
        <v>1610</v>
      </c>
      <c r="F4153" t="str">
        <f t="shared" si="64"/>
        <v>B1369</v>
      </c>
    </row>
    <row r="4154" spans="1:6">
      <c r="A4154" t="s">
        <v>9547</v>
      </c>
      <c r="B4154" t="s">
        <v>9548</v>
      </c>
      <c r="F4154" t="str">
        <f t="shared" si="64"/>
        <v>B1767</v>
      </c>
    </row>
    <row r="4155" spans="1:6">
      <c r="A4155" t="s">
        <v>1611</v>
      </c>
      <c r="B4155" t="s">
        <v>1612</v>
      </c>
      <c r="F4155" t="str">
        <f t="shared" si="64"/>
        <v>B2313</v>
      </c>
    </row>
    <row r="4156" spans="1:6">
      <c r="A4156" t="s">
        <v>1613</v>
      </c>
      <c r="B4156" t="s">
        <v>1614</v>
      </c>
      <c r="F4156" t="str">
        <f t="shared" si="64"/>
        <v>B2353</v>
      </c>
    </row>
    <row r="4157" spans="1:6">
      <c r="A4157" t="s">
        <v>1615</v>
      </c>
      <c r="B4157" t="s">
        <v>1616</v>
      </c>
      <c r="F4157" t="str">
        <f t="shared" si="64"/>
        <v>B2411</v>
      </c>
    </row>
    <row r="4158" spans="1:6">
      <c r="A4158" t="s">
        <v>9549</v>
      </c>
      <c r="B4158" t="s">
        <v>9550</v>
      </c>
      <c r="F4158" t="str">
        <f t="shared" si="64"/>
        <v>B2953</v>
      </c>
    </row>
    <row r="4159" spans="1:6">
      <c r="A4159" t="s">
        <v>1617</v>
      </c>
      <c r="B4159" t="s">
        <v>1618</v>
      </c>
      <c r="F4159" t="str">
        <f t="shared" si="64"/>
        <v>B3401</v>
      </c>
    </row>
    <row r="4160" spans="1:6">
      <c r="A4160" t="s">
        <v>9551</v>
      </c>
      <c r="B4160" t="s">
        <v>9552</v>
      </c>
      <c r="F4160" t="str">
        <f t="shared" si="64"/>
        <v>B3986</v>
      </c>
    </row>
    <row r="4161" spans="1:6">
      <c r="A4161" t="s">
        <v>1619</v>
      </c>
      <c r="B4161" t="s">
        <v>1620</v>
      </c>
      <c r="F4161" t="str">
        <f t="shared" si="64"/>
        <v>B5405</v>
      </c>
    </row>
    <row r="4162" spans="1:6">
      <c r="A4162" t="s">
        <v>1621</v>
      </c>
      <c r="B4162" t="s">
        <v>1622</v>
      </c>
      <c r="F4162" t="str">
        <f t="shared" si="64"/>
        <v>B5406</v>
      </c>
    </row>
    <row r="4163" spans="1:6">
      <c r="A4163" t="s">
        <v>1623</v>
      </c>
      <c r="B4163" t="s">
        <v>1624</v>
      </c>
      <c r="F4163" t="str">
        <f t="shared" si="64"/>
        <v>B5773</v>
      </c>
    </row>
    <row r="4164" spans="1:6">
      <c r="A4164" t="s">
        <v>9553</v>
      </c>
      <c r="B4164" t="s">
        <v>9554</v>
      </c>
      <c r="F4164" t="str">
        <f t="shared" si="64"/>
        <v>B6556</v>
      </c>
    </row>
    <row r="4165" spans="1:6">
      <c r="A4165" t="s">
        <v>1625</v>
      </c>
      <c r="B4165" t="s">
        <v>1626</v>
      </c>
      <c r="F4165" t="str">
        <f t="shared" si="64"/>
        <v>B7445</v>
      </c>
    </row>
    <row r="4166" spans="1:6">
      <c r="A4166" t="s">
        <v>9555</v>
      </c>
      <c r="B4166" t="s">
        <v>9556</v>
      </c>
      <c r="F4166" t="str">
        <f t="shared" si="64"/>
        <v>B7858</v>
      </c>
    </row>
    <row r="4167" spans="1:6">
      <c r="A4167" t="s">
        <v>1627</v>
      </c>
      <c r="B4167" t="s">
        <v>1628</v>
      </c>
      <c r="F4167" t="str">
        <f t="shared" si="64"/>
        <v>B9327</v>
      </c>
    </row>
    <row r="4168" spans="1:6">
      <c r="A4168" t="s">
        <v>1629</v>
      </c>
      <c r="B4168" t="s">
        <v>1630</v>
      </c>
      <c r="F4168" t="str">
        <f t="shared" si="64"/>
        <v>B9845</v>
      </c>
    </row>
    <row r="4169" spans="1:6">
      <c r="A4169" t="s">
        <v>1631</v>
      </c>
      <c r="B4169" t="s">
        <v>1632</v>
      </c>
      <c r="F4169" t="str">
        <f t="shared" si="64"/>
        <v>C0001</v>
      </c>
    </row>
    <row r="4170" spans="1:6">
      <c r="A4170" t="s">
        <v>1633</v>
      </c>
      <c r="B4170" t="s">
        <v>1634</v>
      </c>
      <c r="F4170" t="str">
        <f t="shared" ref="F4170:F4233" si="65">CHOOSE($C$1, A4170, B4170)</f>
        <v>C0527</v>
      </c>
    </row>
    <row r="4171" spans="1:6">
      <c r="A4171" t="s">
        <v>1635</v>
      </c>
      <c r="B4171" t="s">
        <v>1636</v>
      </c>
      <c r="F4171" t="str">
        <f t="shared" si="65"/>
        <v>C0528</v>
      </c>
    </row>
    <row r="4172" spans="1:6">
      <c r="A4172" t="s">
        <v>9557</v>
      </c>
      <c r="B4172" t="s">
        <v>9558</v>
      </c>
      <c r="F4172" t="str">
        <f t="shared" si="65"/>
        <v>C1118</v>
      </c>
    </row>
    <row r="4173" spans="1:6">
      <c r="A4173" t="s">
        <v>9559</v>
      </c>
      <c r="B4173" t="s">
        <v>9560</v>
      </c>
      <c r="F4173" t="str">
        <f t="shared" si="65"/>
        <v>C2313</v>
      </c>
    </row>
    <row r="4174" spans="1:6">
      <c r="A4174" t="s">
        <v>1637</v>
      </c>
      <c r="B4174" t="s">
        <v>1638</v>
      </c>
      <c r="F4174" t="str">
        <f t="shared" si="65"/>
        <v>C2411</v>
      </c>
    </row>
    <row r="4175" spans="1:6">
      <c r="A4175" t="s">
        <v>9561</v>
      </c>
      <c r="B4175" t="s">
        <v>9562</v>
      </c>
      <c r="F4175" t="str">
        <f t="shared" si="65"/>
        <v>C3818</v>
      </c>
    </row>
    <row r="4176" spans="1:6">
      <c r="A4176" t="s">
        <v>1639</v>
      </c>
      <c r="B4176" t="s">
        <v>1640</v>
      </c>
      <c r="F4176" t="str">
        <f t="shared" si="65"/>
        <v>C3946</v>
      </c>
    </row>
    <row r="4177" spans="1:6">
      <c r="A4177" t="s">
        <v>1641</v>
      </c>
      <c r="B4177" t="s">
        <v>1642</v>
      </c>
      <c r="F4177" t="str">
        <f t="shared" si="65"/>
        <v>C5405</v>
      </c>
    </row>
    <row r="4178" spans="1:6">
      <c r="A4178" t="s">
        <v>1643</v>
      </c>
      <c r="B4178" t="s">
        <v>1644</v>
      </c>
      <c r="F4178" t="str">
        <f t="shared" si="65"/>
        <v>C5406</v>
      </c>
    </row>
    <row r="4179" spans="1:6">
      <c r="A4179" t="s">
        <v>9563</v>
      </c>
      <c r="B4179" t="s">
        <v>9564</v>
      </c>
      <c r="F4179" t="str">
        <f t="shared" si="65"/>
        <v>C7858</v>
      </c>
    </row>
    <row r="4180" spans="1:6">
      <c r="A4180" t="s">
        <v>9565</v>
      </c>
      <c r="B4180" t="s">
        <v>9566</v>
      </c>
      <c r="F4180" t="str">
        <f t="shared" si="65"/>
        <v>C9327</v>
      </c>
    </row>
    <row r="4181" spans="1:6">
      <c r="A4181" t="s">
        <v>9567</v>
      </c>
      <c r="B4181" t="s">
        <v>9568</v>
      </c>
      <c r="F4181" t="str">
        <f t="shared" si="65"/>
        <v>C9845</v>
      </c>
    </row>
    <row r="4182" spans="1:6">
      <c r="A4182" t="s">
        <v>9569</v>
      </c>
      <c r="B4182" t="s">
        <v>9570</v>
      </c>
      <c r="F4182" t="str">
        <f t="shared" si="65"/>
        <v>D0001</v>
      </c>
    </row>
    <row r="4183" spans="1:6">
      <c r="A4183" t="s">
        <v>9571</v>
      </c>
      <c r="B4183" t="s">
        <v>9572</v>
      </c>
      <c r="F4183" t="str">
        <f t="shared" si="65"/>
        <v>D2313</v>
      </c>
    </row>
    <row r="4184" spans="1:6">
      <c r="A4184" t="s">
        <v>1645</v>
      </c>
      <c r="B4184" t="s">
        <v>1646</v>
      </c>
      <c r="F4184" t="str">
        <f t="shared" si="65"/>
        <v>D2411</v>
      </c>
    </row>
    <row r="4185" spans="1:6">
      <c r="A4185" t="s">
        <v>9573</v>
      </c>
      <c r="B4185" t="s">
        <v>9574</v>
      </c>
      <c r="F4185" t="str">
        <f t="shared" si="65"/>
        <v>D3818</v>
      </c>
    </row>
    <row r="4186" spans="1:6">
      <c r="A4186" t="s">
        <v>1647</v>
      </c>
      <c r="B4186" t="s">
        <v>1648</v>
      </c>
      <c r="F4186" t="str">
        <f t="shared" si="65"/>
        <v>D3946</v>
      </c>
    </row>
    <row r="4187" spans="1:6">
      <c r="A4187" t="s">
        <v>1649</v>
      </c>
      <c r="B4187" t="s">
        <v>1650</v>
      </c>
      <c r="F4187" t="str">
        <f t="shared" si="65"/>
        <v>D5405</v>
      </c>
    </row>
    <row r="4188" spans="1:6">
      <c r="A4188" t="s">
        <v>1651</v>
      </c>
      <c r="B4188" t="s">
        <v>1652</v>
      </c>
      <c r="F4188" t="str">
        <f t="shared" si="65"/>
        <v>E3946</v>
      </c>
    </row>
    <row r="4189" spans="1:6">
      <c r="A4189" t="s">
        <v>9575</v>
      </c>
      <c r="B4189" t="s">
        <v>9576</v>
      </c>
      <c r="F4189" t="str">
        <f t="shared" si="65"/>
        <v>F3946</v>
      </c>
    </row>
    <row r="4190" spans="1:6">
      <c r="A4190" t="s">
        <v>1653</v>
      </c>
      <c r="B4190" t="s">
        <v>1654</v>
      </c>
      <c r="F4190" t="str">
        <f t="shared" si="65"/>
        <v>H0037</v>
      </c>
    </row>
    <row r="4191" spans="1:6">
      <c r="A4191" t="s">
        <v>1655</v>
      </c>
      <c r="B4191" t="s">
        <v>1656</v>
      </c>
      <c r="F4191" t="str">
        <f t="shared" si="65"/>
        <v>H3574</v>
      </c>
    </row>
    <row r="4192" spans="1:6">
      <c r="A4192" t="s">
        <v>1657</v>
      </c>
      <c r="B4192" t="s">
        <v>1658</v>
      </c>
      <c r="F4192" t="str">
        <f t="shared" si="65"/>
        <v>S0001</v>
      </c>
    </row>
    <row r="4193" spans="1:6">
      <c r="A4193" t="s">
        <v>1659</v>
      </c>
      <c r="B4193" t="s">
        <v>1660</v>
      </c>
      <c r="F4193" t="str">
        <f t="shared" si="65"/>
        <v>S0006</v>
      </c>
    </row>
    <row r="4194" spans="1:6">
      <c r="A4194" t="s">
        <v>1661</v>
      </c>
      <c r="B4194" t="s">
        <v>1662</v>
      </c>
      <c r="F4194" t="str">
        <f t="shared" si="65"/>
        <v>S0037</v>
      </c>
    </row>
    <row r="4195" spans="1:6">
      <c r="A4195" t="s">
        <v>1663</v>
      </c>
      <c r="B4195" t="s">
        <v>1664</v>
      </c>
      <c r="F4195" t="str">
        <f t="shared" si="65"/>
        <v>S0040</v>
      </c>
    </row>
    <row r="4196" spans="1:6">
      <c r="A4196" t="s">
        <v>1665</v>
      </c>
      <c r="B4196" t="s">
        <v>1666</v>
      </c>
      <c r="F4196" t="str">
        <f t="shared" si="65"/>
        <v>S0054</v>
      </c>
    </row>
    <row r="4197" spans="1:6">
      <c r="A4197" t="s">
        <v>1667</v>
      </c>
      <c r="B4197" t="s">
        <v>1668</v>
      </c>
      <c r="F4197" t="str">
        <f t="shared" si="65"/>
        <v>S0150</v>
      </c>
    </row>
    <row r="4198" spans="1:6">
      <c r="A4198" t="s">
        <v>1669</v>
      </c>
      <c r="B4198" t="s">
        <v>1670</v>
      </c>
      <c r="F4198" t="str">
        <f t="shared" si="65"/>
        <v>S0151</v>
      </c>
    </row>
    <row r="4199" spans="1:6">
      <c r="A4199" t="s">
        <v>9577</v>
      </c>
      <c r="B4199" t="s">
        <v>9578</v>
      </c>
      <c r="F4199" t="str">
        <f t="shared" si="65"/>
        <v>S0255</v>
      </c>
    </row>
    <row r="4200" spans="1:6">
      <c r="A4200" t="s">
        <v>1671</v>
      </c>
      <c r="B4200" t="s">
        <v>1672</v>
      </c>
      <c r="F4200" t="str">
        <f t="shared" si="65"/>
        <v>S0286</v>
      </c>
    </row>
    <row r="4201" spans="1:6">
      <c r="A4201" t="s">
        <v>1673</v>
      </c>
      <c r="B4201" t="s">
        <v>1674</v>
      </c>
      <c r="F4201" t="str">
        <f t="shared" si="65"/>
        <v>S0354</v>
      </c>
    </row>
    <row r="4202" spans="1:6">
      <c r="A4202" t="s">
        <v>9579</v>
      </c>
      <c r="B4202" t="s">
        <v>9580</v>
      </c>
      <c r="F4202" t="str">
        <f t="shared" si="65"/>
        <v>S0389</v>
      </c>
    </row>
    <row r="4203" spans="1:6">
      <c r="A4203" t="s">
        <v>1675</v>
      </c>
      <c r="B4203" t="s">
        <v>1676</v>
      </c>
      <c r="F4203" t="str">
        <f t="shared" si="65"/>
        <v>S0494</v>
      </c>
    </row>
    <row r="4204" spans="1:6">
      <c r="A4204" t="s">
        <v>1677</v>
      </c>
      <c r="B4204" t="s">
        <v>1678</v>
      </c>
      <c r="F4204" t="str">
        <f t="shared" si="65"/>
        <v>S0527</v>
      </c>
    </row>
    <row r="4205" spans="1:6">
      <c r="A4205" t="s">
        <v>1679</v>
      </c>
      <c r="B4205" t="s">
        <v>1680</v>
      </c>
      <c r="F4205" t="str">
        <f t="shared" si="65"/>
        <v>S0528</v>
      </c>
    </row>
    <row r="4206" spans="1:6">
      <c r="A4206" t="s">
        <v>1681</v>
      </c>
      <c r="B4206" t="s">
        <v>1682</v>
      </c>
      <c r="F4206" t="str">
        <f t="shared" si="65"/>
        <v>S0583</v>
      </c>
    </row>
    <row r="4207" spans="1:6">
      <c r="A4207" t="s">
        <v>1683</v>
      </c>
      <c r="B4207" t="s">
        <v>1684</v>
      </c>
      <c r="F4207" t="str">
        <f t="shared" si="65"/>
        <v>S0680</v>
      </c>
    </row>
    <row r="4208" spans="1:6">
      <c r="A4208" t="s">
        <v>1685</v>
      </c>
      <c r="B4208" t="s">
        <v>1686</v>
      </c>
      <c r="F4208" t="str">
        <f t="shared" si="65"/>
        <v>S0856</v>
      </c>
    </row>
    <row r="4209" spans="1:6">
      <c r="A4209" t="s">
        <v>1687</v>
      </c>
      <c r="B4209" t="s">
        <v>1688</v>
      </c>
      <c r="F4209" t="str">
        <f t="shared" si="65"/>
        <v>S0867</v>
      </c>
    </row>
    <row r="4210" spans="1:6">
      <c r="A4210" t="s">
        <v>9581</v>
      </c>
      <c r="B4210" t="s">
        <v>9582</v>
      </c>
      <c r="F4210" t="str">
        <f t="shared" si="65"/>
        <v>S1273</v>
      </c>
    </row>
    <row r="4211" spans="1:6">
      <c r="A4211" t="s">
        <v>1689</v>
      </c>
      <c r="B4211" t="s">
        <v>1690</v>
      </c>
      <c r="F4211" t="str">
        <f t="shared" si="65"/>
        <v>S1369</v>
      </c>
    </row>
    <row r="4212" spans="1:6">
      <c r="A4212" t="s">
        <v>9583</v>
      </c>
      <c r="B4212" t="s">
        <v>9584</v>
      </c>
      <c r="F4212" t="str">
        <f t="shared" si="65"/>
        <v>S1781</v>
      </c>
    </row>
    <row r="4213" spans="1:6">
      <c r="A4213" t="s">
        <v>1691</v>
      </c>
      <c r="B4213" t="s">
        <v>1692</v>
      </c>
      <c r="F4213" t="str">
        <f t="shared" si="65"/>
        <v>S2313</v>
      </c>
    </row>
    <row r="4214" spans="1:6">
      <c r="A4214" t="s">
        <v>1693</v>
      </c>
      <c r="B4214" t="s">
        <v>1694</v>
      </c>
      <c r="F4214" t="str">
        <f t="shared" si="65"/>
        <v>S3021</v>
      </c>
    </row>
    <row r="4215" spans="1:6">
      <c r="A4215" t="s">
        <v>9585</v>
      </c>
      <c r="B4215" t="s">
        <v>9586</v>
      </c>
      <c r="F4215" t="str">
        <f t="shared" si="65"/>
        <v>S3049</v>
      </c>
    </row>
    <row r="4216" spans="1:6">
      <c r="A4216" t="s">
        <v>1695</v>
      </c>
      <c r="B4216" t="s">
        <v>1696</v>
      </c>
      <c r="F4216" t="str">
        <f t="shared" si="65"/>
        <v>S3075</v>
      </c>
    </row>
    <row r="4217" spans="1:6">
      <c r="A4217" t="s">
        <v>9587</v>
      </c>
      <c r="B4217" t="s">
        <v>9588</v>
      </c>
      <c r="F4217" t="str">
        <f t="shared" si="65"/>
        <v>S3481</v>
      </c>
    </row>
    <row r="4218" spans="1:6">
      <c r="A4218" t="s">
        <v>9589</v>
      </c>
      <c r="B4218" t="s">
        <v>9590</v>
      </c>
      <c r="F4218" t="str">
        <f t="shared" si="65"/>
        <v>S3483</v>
      </c>
    </row>
    <row r="4219" spans="1:6">
      <c r="A4219" t="s">
        <v>1697</v>
      </c>
      <c r="B4219" t="s">
        <v>1698</v>
      </c>
      <c r="F4219" t="str">
        <f t="shared" si="65"/>
        <v>S3491</v>
      </c>
    </row>
    <row r="4220" spans="1:6">
      <c r="A4220" t="s">
        <v>1699</v>
      </c>
      <c r="B4220" t="s">
        <v>1700</v>
      </c>
      <c r="F4220" t="str">
        <f t="shared" si="65"/>
        <v>S3523</v>
      </c>
    </row>
    <row r="4221" spans="1:6">
      <c r="A4221" t="s">
        <v>1701</v>
      </c>
      <c r="B4221" t="s">
        <v>1702</v>
      </c>
      <c r="F4221" t="str">
        <f t="shared" si="65"/>
        <v>S3574</v>
      </c>
    </row>
    <row r="4222" spans="1:6">
      <c r="A4222" t="s">
        <v>1703</v>
      </c>
      <c r="B4222" t="s">
        <v>9591</v>
      </c>
      <c r="F4222" t="str">
        <f t="shared" si="65"/>
        <v>S3577</v>
      </c>
    </row>
    <row r="4223" spans="1:6">
      <c r="A4223" t="s">
        <v>1704</v>
      </c>
      <c r="B4223" t="s">
        <v>1705</v>
      </c>
      <c r="F4223" t="str">
        <f t="shared" si="65"/>
        <v>S3579</v>
      </c>
    </row>
    <row r="4224" spans="1:6">
      <c r="A4224" t="s">
        <v>9592</v>
      </c>
      <c r="B4224" t="s">
        <v>9593</v>
      </c>
      <c r="F4224" t="str">
        <f t="shared" si="65"/>
        <v>S3587</v>
      </c>
    </row>
    <row r="4225" spans="1:6">
      <c r="A4225" t="s">
        <v>1706</v>
      </c>
      <c r="B4225" t="s">
        <v>1707</v>
      </c>
      <c r="F4225" t="str">
        <f t="shared" si="65"/>
        <v>S3776</v>
      </c>
    </row>
    <row r="4226" spans="1:6">
      <c r="A4226" t="s">
        <v>1708</v>
      </c>
      <c r="B4226" t="s">
        <v>1709</v>
      </c>
      <c r="F4226" t="str">
        <f t="shared" si="65"/>
        <v>S3946</v>
      </c>
    </row>
    <row r="4227" spans="1:6">
      <c r="A4227" t="s">
        <v>9594</v>
      </c>
      <c r="B4227" t="s">
        <v>9595</v>
      </c>
      <c r="F4227" t="str">
        <f t="shared" si="65"/>
        <v>S4364</v>
      </c>
    </row>
    <row r="4228" spans="1:6">
      <c r="A4228" t="s">
        <v>1710</v>
      </c>
      <c r="B4228" t="s">
        <v>1711</v>
      </c>
      <c r="F4228" t="str">
        <f t="shared" si="65"/>
        <v>S5406</v>
      </c>
    </row>
    <row r="4229" spans="1:6">
      <c r="A4229" t="s">
        <v>9596</v>
      </c>
      <c r="B4229" t="s">
        <v>9597</v>
      </c>
      <c r="F4229" t="str">
        <f t="shared" si="65"/>
        <v>S7992</v>
      </c>
    </row>
    <row r="4230" spans="1:6">
      <c r="A4230" t="s">
        <v>9598</v>
      </c>
      <c r="B4230" t="s">
        <v>9599</v>
      </c>
      <c r="F4230" t="str">
        <f t="shared" si="65"/>
        <v>S8805</v>
      </c>
    </row>
    <row r="4231" spans="1:6">
      <c r="A4231" t="s">
        <v>1712</v>
      </c>
      <c r="B4231" t="s">
        <v>1713</v>
      </c>
      <c r="F4231" t="str">
        <f t="shared" si="65"/>
        <v>S9844</v>
      </c>
    </row>
    <row r="4232" spans="1:6">
      <c r="A4232" t="s">
        <v>1714</v>
      </c>
      <c r="B4232" t="s">
        <v>1715</v>
      </c>
      <c r="F4232" t="str">
        <f t="shared" si="65"/>
        <v>S9845</v>
      </c>
    </row>
    <row r="4233" spans="1:6">
      <c r="F4233">
        <f t="shared" si="65"/>
        <v>0</v>
      </c>
    </row>
    <row r="4234" spans="1:6">
      <c r="F4234">
        <f t="shared" ref="F4234:F4297" si="66">CHOOSE($C$1, A4234, B4234)</f>
        <v>0</v>
      </c>
    </row>
    <row r="4235" spans="1:6">
      <c r="F4235">
        <f t="shared" si="66"/>
        <v>0</v>
      </c>
    </row>
    <row r="4236" spans="1:6">
      <c r="F4236">
        <f t="shared" si="66"/>
        <v>0</v>
      </c>
    </row>
    <row r="4237" spans="1:6">
      <c r="F4237">
        <f t="shared" si="66"/>
        <v>0</v>
      </c>
    </row>
    <row r="4238" spans="1:6">
      <c r="F4238">
        <f t="shared" si="66"/>
        <v>0</v>
      </c>
    </row>
    <row r="4239" spans="1:6">
      <c r="F4239">
        <f t="shared" si="66"/>
        <v>0</v>
      </c>
    </row>
    <row r="4240" spans="1:6">
      <c r="F4240">
        <f t="shared" si="66"/>
        <v>0</v>
      </c>
    </row>
    <row r="4241" spans="6:6">
      <c r="F4241">
        <f t="shared" si="66"/>
        <v>0</v>
      </c>
    </row>
    <row r="4242" spans="6:6">
      <c r="F4242">
        <f t="shared" si="66"/>
        <v>0</v>
      </c>
    </row>
    <row r="4243" spans="6:6">
      <c r="F4243">
        <f t="shared" si="66"/>
        <v>0</v>
      </c>
    </row>
    <row r="4244" spans="6:6">
      <c r="F4244">
        <f t="shared" si="66"/>
        <v>0</v>
      </c>
    </row>
    <row r="4245" spans="6:6">
      <c r="F4245">
        <f t="shared" si="66"/>
        <v>0</v>
      </c>
    </row>
    <row r="4246" spans="6:6">
      <c r="F4246">
        <f t="shared" si="66"/>
        <v>0</v>
      </c>
    </row>
    <row r="4247" spans="6:6">
      <c r="F4247">
        <f t="shared" si="66"/>
        <v>0</v>
      </c>
    </row>
    <row r="4248" spans="6:6">
      <c r="F4248">
        <f t="shared" si="66"/>
        <v>0</v>
      </c>
    </row>
    <row r="4249" spans="6:6">
      <c r="F4249">
        <f t="shared" si="66"/>
        <v>0</v>
      </c>
    </row>
    <row r="4250" spans="6:6">
      <c r="F4250">
        <f t="shared" si="66"/>
        <v>0</v>
      </c>
    </row>
    <row r="4251" spans="6:6">
      <c r="F4251">
        <f t="shared" si="66"/>
        <v>0</v>
      </c>
    </row>
    <row r="4252" spans="6:6">
      <c r="F4252">
        <f t="shared" si="66"/>
        <v>0</v>
      </c>
    </row>
    <row r="4253" spans="6:6">
      <c r="F4253">
        <f t="shared" si="66"/>
        <v>0</v>
      </c>
    </row>
    <row r="4254" spans="6:6">
      <c r="F4254">
        <f t="shared" si="66"/>
        <v>0</v>
      </c>
    </row>
    <row r="4255" spans="6:6">
      <c r="F4255">
        <f t="shared" si="66"/>
        <v>0</v>
      </c>
    </row>
    <row r="4256" spans="6:6">
      <c r="F4256">
        <f t="shared" si="66"/>
        <v>0</v>
      </c>
    </row>
    <row r="4257" spans="6:6">
      <c r="F4257">
        <f t="shared" si="66"/>
        <v>0</v>
      </c>
    </row>
    <row r="4258" spans="6:6">
      <c r="F4258">
        <f t="shared" si="66"/>
        <v>0</v>
      </c>
    </row>
    <row r="4259" spans="6:6">
      <c r="F4259">
        <f t="shared" si="66"/>
        <v>0</v>
      </c>
    </row>
    <row r="4260" spans="6:6">
      <c r="F4260">
        <f t="shared" si="66"/>
        <v>0</v>
      </c>
    </row>
    <row r="4261" spans="6:6">
      <c r="F4261">
        <f t="shared" si="66"/>
        <v>0</v>
      </c>
    </row>
    <row r="4262" spans="6:6">
      <c r="F4262">
        <f t="shared" si="66"/>
        <v>0</v>
      </c>
    </row>
    <row r="4263" spans="6:6">
      <c r="F4263">
        <f t="shared" si="66"/>
        <v>0</v>
      </c>
    </row>
    <row r="4264" spans="6:6">
      <c r="F4264">
        <f t="shared" si="66"/>
        <v>0</v>
      </c>
    </row>
    <row r="4265" spans="6:6">
      <c r="F4265">
        <f t="shared" si="66"/>
        <v>0</v>
      </c>
    </row>
    <row r="4266" spans="6:6">
      <c r="F4266">
        <f t="shared" si="66"/>
        <v>0</v>
      </c>
    </row>
    <row r="4267" spans="6:6">
      <c r="F4267">
        <f t="shared" si="66"/>
        <v>0</v>
      </c>
    </row>
    <row r="4268" spans="6:6">
      <c r="F4268">
        <f t="shared" si="66"/>
        <v>0</v>
      </c>
    </row>
    <row r="4269" spans="6:6">
      <c r="F4269">
        <f t="shared" si="66"/>
        <v>0</v>
      </c>
    </row>
    <row r="4270" spans="6:6">
      <c r="F4270">
        <f t="shared" si="66"/>
        <v>0</v>
      </c>
    </row>
    <row r="4271" spans="6:6">
      <c r="F4271">
        <f t="shared" si="66"/>
        <v>0</v>
      </c>
    </row>
    <row r="4272" spans="6:6">
      <c r="F4272">
        <f t="shared" si="66"/>
        <v>0</v>
      </c>
    </row>
    <row r="4273" spans="6:6">
      <c r="F4273">
        <f t="shared" si="66"/>
        <v>0</v>
      </c>
    </row>
    <row r="4274" spans="6:6">
      <c r="F4274">
        <f t="shared" si="66"/>
        <v>0</v>
      </c>
    </row>
    <row r="4275" spans="6:6">
      <c r="F4275">
        <f t="shared" si="66"/>
        <v>0</v>
      </c>
    </row>
    <row r="4276" spans="6:6">
      <c r="F4276">
        <f t="shared" si="66"/>
        <v>0</v>
      </c>
    </row>
    <row r="4277" spans="6:6">
      <c r="F4277">
        <f t="shared" si="66"/>
        <v>0</v>
      </c>
    </row>
    <row r="4278" spans="6:6">
      <c r="F4278">
        <f t="shared" si="66"/>
        <v>0</v>
      </c>
    </row>
    <row r="4279" spans="6:6">
      <c r="F4279">
        <f t="shared" si="66"/>
        <v>0</v>
      </c>
    </row>
    <row r="4280" spans="6:6">
      <c r="F4280">
        <f t="shared" si="66"/>
        <v>0</v>
      </c>
    </row>
    <row r="4281" spans="6:6">
      <c r="F4281">
        <f t="shared" si="66"/>
        <v>0</v>
      </c>
    </row>
    <row r="4282" spans="6:6">
      <c r="F4282">
        <f t="shared" si="66"/>
        <v>0</v>
      </c>
    </row>
    <row r="4283" spans="6:6">
      <c r="F4283">
        <f t="shared" si="66"/>
        <v>0</v>
      </c>
    </row>
    <row r="4284" spans="6:6">
      <c r="F4284">
        <f t="shared" si="66"/>
        <v>0</v>
      </c>
    </row>
    <row r="4285" spans="6:6">
      <c r="F4285">
        <f t="shared" si="66"/>
        <v>0</v>
      </c>
    </row>
    <row r="4286" spans="6:6">
      <c r="F4286">
        <f t="shared" si="66"/>
        <v>0</v>
      </c>
    </row>
    <row r="4287" spans="6:6">
      <c r="F4287">
        <f t="shared" si="66"/>
        <v>0</v>
      </c>
    </row>
    <row r="4288" spans="6:6">
      <c r="F4288">
        <f t="shared" si="66"/>
        <v>0</v>
      </c>
    </row>
    <row r="4289" spans="6:6">
      <c r="F4289">
        <f t="shared" si="66"/>
        <v>0</v>
      </c>
    </row>
    <row r="4290" spans="6:6">
      <c r="F4290">
        <f t="shared" si="66"/>
        <v>0</v>
      </c>
    </row>
    <row r="4291" spans="6:6">
      <c r="F4291">
        <f t="shared" si="66"/>
        <v>0</v>
      </c>
    </row>
    <row r="4292" spans="6:6">
      <c r="F4292">
        <f t="shared" si="66"/>
        <v>0</v>
      </c>
    </row>
    <row r="4293" spans="6:6">
      <c r="F4293">
        <f t="shared" si="66"/>
        <v>0</v>
      </c>
    </row>
    <row r="4294" spans="6:6">
      <c r="F4294">
        <f t="shared" si="66"/>
        <v>0</v>
      </c>
    </row>
    <row r="4295" spans="6:6">
      <c r="F4295">
        <f t="shared" si="66"/>
        <v>0</v>
      </c>
    </row>
    <row r="4296" spans="6:6">
      <c r="F4296">
        <f t="shared" si="66"/>
        <v>0</v>
      </c>
    </row>
    <row r="4297" spans="6:6">
      <c r="F4297">
        <f t="shared" si="66"/>
        <v>0</v>
      </c>
    </row>
    <row r="4298" spans="6:6">
      <c r="F4298">
        <f t="shared" ref="F4298:F4361" si="67">CHOOSE($C$1, A4298, B4298)</f>
        <v>0</v>
      </c>
    </row>
    <row r="4299" spans="6:6">
      <c r="F4299">
        <f t="shared" si="67"/>
        <v>0</v>
      </c>
    </row>
    <row r="4300" spans="6:6">
      <c r="F4300">
        <f t="shared" si="67"/>
        <v>0</v>
      </c>
    </row>
    <row r="4301" spans="6:6">
      <c r="F4301">
        <f t="shared" si="67"/>
        <v>0</v>
      </c>
    </row>
    <row r="4302" spans="6:6">
      <c r="F4302">
        <f t="shared" si="67"/>
        <v>0</v>
      </c>
    </row>
    <row r="4303" spans="6:6">
      <c r="F4303">
        <f t="shared" si="67"/>
        <v>0</v>
      </c>
    </row>
    <row r="4304" spans="6:6">
      <c r="F4304">
        <f t="shared" si="67"/>
        <v>0</v>
      </c>
    </row>
    <row r="4305" spans="6:6">
      <c r="F4305">
        <f t="shared" si="67"/>
        <v>0</v>
      </c>
    </row>
    <row r="4306" spans="6:6">
      <c r="F4306">
        <f t="shared" si="67"/>
        <v>0</v>
      </c>
    </row>
    <row r="4307" spans="6:6">
      <c r="F4307">
        <f t="shared" si="67"/>
        <v>0</v>
      </c>
    </row>
    <row r="4308" spans="6:6">
      <c r="F4308">
        <f t="shared" si="67"/>
        <v>0</v>
      </c>
    </row>
    <row r="4309" spans="6:6">
      <c r="F4309">
        <f t="shared" si="67"/>
        <v>0</v>
      </c>
    </row>
    <row r="4310" spans="6:6">
      <c r="F4310">
        <f t="shared" si="67"/>
        <v>0</v>
      </c>
    </row>
    <row r="4311" spans="6:6">
      <c r="F4311">
        <f t="shared" si="67"/>
        <v>0</v>
      </c>
    </row>
    <row r="4312" spans="6:6">
      <c r="F4312">
        <f t="shared" si="67"/>
        <v>0</v>
      </c>
    </row>
    <row r="4313" spans="6:6">
      <c r="F4313">
        <f t="shared" si="67"/>
        <v>0</v>
      </c>
    </row>
    <row r="4314" spans="6:6">
      <c r="F4314">
        <f t="shared" si="67"/>
        <v>0</v>
      </c>
    </row>
    <row r="4315" spans="6:6">
      <c r="F4315">
        <f t="shared" si="67"/>
        <v>0</v>
      </c>
    </row>
    <row r="4316" spans="6:6">
      <c r="F4316">
        <f t="shared" si="67"/>
        <v>0</v>
      </c>
    </row>
    <row r="4317" spans="6:6">
      <c r="F4317">
        <f t="shared" si="67"/>
        <v>0</v>
      </c>
    </row>
    <row r="4318" spans="6:6">
      <c r="F4318">
        <f t="shared" si="67"/>
        <v>0</v>
      </c>
    </row>
    <row r="4319" spans="6:6">
      <c r="F4319">
        <f t="shared" si="67"/>
        <v>0</v>
      </c>
    </row>
    <row r="4320" spans="6:6">
      <c r="F4320">
        <f t="shared" si="67"/>
        <v>0</v>
      </c>
    </row>
    <row r="4321" spans="6:6">
      <c r="F4321">
        <f t="shared" si="67"/>
        <v>0</v>
      </c>
    </row>
    <row r="4322" spans="6:6">
      <c r="F4322">
        <f t="shared" si="67"/>
        <v>0</v>
      </c>
    </row>
    <row r="4323" spans="6:6">
      <c r="F4323">
        <f t="shared" si="67"/>
        <v>0</v>
      </c>
    </row>
    <row r="4324" spans="6:6">
      <c r="F4324">
        <f t="shared" si="67"/>
        <v>0</v>
      </c>
    </row>
    <row r="4325" spans="6:6">
      <c r="F4325">
        <f t="shared" si="67"/>
        <v>0</v>
      </c>
    </row>
    <row r="4326" spans="6:6">
      <c r="F4326">
        <f t="shared" si="67"/>
        <v>0</v>
      </c>
    </row>
    <row r="4327" spans="6:6">
      <c r="F4327">
        <f t="shared" si="67"/>
        <v>0</v>
      </c>
    </row>
    <row r="4328" spans="6:6">
      <c r="F4328">
        <f t="shared" si="67"/>
        <v>0</v>
      </c>
    </row>
    <row r="4329" spans="6:6">
      <c r="F4329">
        <f t="shared" si="67"/>
        <v>0</v>
      </c>
    </row>
    <row r="4330" spans="6:6">
      <c r="F4330">
        <f t="shared" si="67"/>
        <v>0</v>
      </c>
    </row>
    <row r="4331" spans="6:6">
      <c r="F4331">
        <f t="shared" si="67"/>
        <v>0</v>
      </c>
    </row>
    <row r="4332" spans="6:6">
      <c r="F4332">
        <f t="shared" si="67"/>
        <v>0</v>
      </c>
    </row>
    <row r="4333" spans="6:6">
      <c r="F4333">
        <f t="shared" si="67"/>
        <v>0</v>
      </c>
    </row>
    <row r="4334" spans="6:6">
      <c r="F4334">
        <f t="shared" si="67"/>
        <v>0</v>
      </c>
    </row>
    <row r="4335" spans="6:6">
      <c r="F4335">
        <f t="shared" si="67"/>
        <v>0</v>
      </c>
    </row>
    <row r="4336" spans="6:6">
      <c r="F4336">
        <f t="shared" si="67"/>
        <v>0</v>
      </c>
    </row>
    <row r="4337" spans="6:6">
      <c r="F4337">
        <f t="shared" si="67"/>
        <v>0</v>
      </c>
    </row>
    <row r="4338" spans="6:6">
      <c r="F4338">
        <f t="shared" si="67"/>
        <v>0</v>
      </c>
    </row>
    <row r="4339" spans="6:6">
      <c r="F4339">
        <f t="shared" si="67"/>
        <v>0</v>
      </c>
    </row>
    <row r="4340" spans="6:6">
      <c r="F4340">
        <f t="shared" si="67"/>
        <v>0</v>
      </c>
    </row>
    <row r="4341" spans="6:6">
      <c r="F4341">
        <f t="shared" si="67"/>
        <v>0</v>
      </c>
    </row>
    <row r="4342" spans="6:6">
      <c r="F4342">
        <f t="shared" si="67"/>
        <v>0</v>
      </c>
    </row>
    <row r="4343" spans="6:6">
      <c r="F4343">
        <f t="shared" si="67"/>
        <v>0</v>
      </c>
    </row>
    <row r="4344" spans="6:6">
      <c r="F4344">
        <f t="shared" si="67"/>
        <v>0</v>
      </c>
    </row>
    <row r="4345" spans="6:6">
      <c r="F4345">
        <f t="shared" si="67"/>
        <v>0</v>
      </c>
    </row>
    <row r="4346" spans="6:6">
      <c r="F4346">
        <f t="shared" si="67"/>
        <v>0</v>
      </c>
    </row>
    <row r="4347" spans="6:6">
      <c r="F4347">
        <f t="shared" si="67"/>
        <v>0</v>
      </c>
    </row>
    <row r="4348" spans="6:6">
      <c r="F4348">
        <f t="shared" si="67"/>
        <v>0</v>
      </c>
    </row>
    <row r="4349" spans="6:6">
      <c r="F4349">
        <f t="shared" si="67"/>
        <v>0</v>
      </c>
    </row>
    <row r="4350" spans="6:6">
      <c r="F4350">
        <f t="shared" si="67"/>
        <v>0</v>
      </c>
    </row>
    <row r="4351" spans="6:6">
      <c r="F4351">
        <f t="shared" si="67"/>
        <v>0</v>
      </c>
    </row>
    <row r="4352" spans="6:6">
      <c r="F4352">
        <f t="shared" si="67"/>
        <v>0</v>
      </c>
    </row>
    <row r="4353" spans="6:6">
      <c r="F4353">
        <f t="shared" si="67"/>
        <v>0</v>
      </c>
    </row>
    <row r="4354" spans="6:6">
      <c r="F4354">
        <f t="shared" si="67"/>
        <v>0</v>
      </c>
    </row>
    <row r="4355" spans="6:6">
      <c r="F4355">
        <f t="shared" si="67"/>
        <v>0</v>
      </c>
    </row>
    <row r="4356" spans="6:6">
      <c r="F4356">
        <f t="shared" si="67"/>
        <v>0</v>
      </c>
    </row>
    <row r="4357" spans="6:6">
      <c r="F4357">
        <f t="shared" si="67"/>
        <v>0</v>
      </c>
    </row>
    <row r="4358" spans="6:6">
      <c r="F4358">
        <f t="shared" si="67"/>
        <v>0</v>
      </c>
    </row>
    <row r="4359" spans="6:6">
      <c r="F4359">
        <f t="shared" si="67"/>
        <v>0</v>
      </c>
    </row>
    <row r="4360" spans="6:6">
      <c r="F4360">
        <f t="shared" si="67"/>
        <v>0</v>
      </c>
    </row>
    <row r="4361" spans="6:6">
      <c r="F4361">
        <f t="shared" si="67"/>
        <v>0</v>
      </c>
    </row>
    <row r="4362" spans="6:6">
      <c r="F4362">
        <f t="shared" ref="F4362:F4425" si="68">CHOOSE($C$1, A4362, B4362)</f>
        <v>0</v>
      </c>
    </row>
    <row r="4363" spans="6:6">
      <c r="F4363">
        <f t="shared" si="68"/>
        <v>0</v>
      </c>
    </row>
    <row r="4364" spans="6:6">
      <c r="F4364">
        <f t="shared" si="68"/>
        <v>0</v>
      </c>
    </row>
    <row r="4365" spans="6:6">
      <c r="F4365">
        <f t="shared" si="68"/>
        <v>0</v>
      </c>
    </row>
    <row r="4366" spans="6:6">
      <c r="F4366">
        <f t="shared" si="68"/>
        <v>0</v>
      </c>
    </row>
    <row r="4367" spans="6:6">
      <c r="F4367">
        <f t="shared" si="68"/>
        <v>0</v>
      </c>
    </row>
    <row r="4368" spans="6:6">
      <c r="F4368">
        <f t="shared" si="68"/>
        <v>0</v>
      </c>
    </row>
    <row r="4369" spans="6:6">
      <c r="F4369">
        <f t="shared" si="68"/>
        <v>0</v>
      </c>
    </row>
    <row r="4370" spans="6:6">
      <c r="F4370">
        <f t="shared" si="68"/>
        <v>0</v>
      </c>
    </row>
    <row r="4371" spans="6:6">
      <c r="F4371">
        <f t="shared" si="68"/>
        <v>0</v>
      </c>
    </row>
    <row r="4372" spans="6:6">
      <c r="F4372">
        <f t="shared" si="68"/>
        <v>0</v>
      </c>
    </row>
    <row r="4373" spans="6:6">
      <c r="F4373">
        <f t="shared" si="68"/>
        <v>0</v>
      </c>
    </row>
    <row r="4374" spans="6:6">
      <c r="F4374">
        <f t="shared" si="68"/>
        <v>0</v>
      </c>
    </row>
    <row r="4375" spans="6:6">
      <c r="F4375">
        <f t="shared" si="68"/>
        <v>0</v>
      </c>
    </row>
    <row r="4376" spans="6:6">
      <c r="F4376">
        <f t="shared" si="68"/>
        <v>0</v>
      </c>
    </row>
    <row r="4377" spans="6:6">
      <c r="F4377">
        <f t="shared" si="68"/>
        <v>0</v>
      </c>
    </row>
    <row r="4378" spans="6:6">
      <c r="F4378">
        <f t="shared" si="68"/>
        <v>0</v>
      </c>
    </row>
    <row r="4379" spans="6:6">
      <c r="F4379">
        <f t="shared" si="68"/>
        <v>0</v>
      </c>
    </row>
    <row r="4380" spans="6:6">
      <c r="F4380">
        <f t="shared" si="68"/>
        <v>0</v>
      </c>
    </row>
    <row r="4381" spans="6:6">
      <c r="F4381">
        <f t="shared" si="68"/>
        <v>0</v>
      </c>
    </row>
    <row r="4382" spans="6:6">
      <c r="F4382">
        <f t="shared" si="68"/>
        <v>0</v>
      </c>
    </row>
    <row r="4383" spans="6:6">
      <c r="F4383">
        <f t="shared" si="68"/>
        <v>0</v>
      </c>
    </row>
    <row r="4384" spans="6:6">
      <c r="F4384">
        <f t="shared" si="68"/>
        <v>0</v>
      </c>
    </row>
    <row r="4385" spans="6:6">
      <c r="F4385">
        <f t="shared" si="68"/>
        <v>0</v>
      </c>
    </row>
    <row r="4386" spans="6:6">
      <c r="F4386">
        <f t="shared" si="68"/>
        <v>0</v>
      </c>
    </row>
    <row r="4387" spans="6:6">
      <c r="F4387">
        <f t="shared" si="68"/>
        <v>0</v>
      </c>
    </row>
    <row r="4388" spans="6:6">
      <c r="F4388">
        <f t="shared" si="68"/>
        <v>0</v>
      </c>
    </row>
    <row r="4389" spans="6:6">
      <c r="F4389">
        <f t="shared" si="68"/>
        <v>0</v>
      </c>
    </row>
    <row r="4390" spans="6:6">
      <c r="F4390">
        <f t="shared" si="68"/>
        <v>0</v>
      </c>
    </row>
    <row r="4391" spans="6:6">
      <c r="F4391">
        <f t="shared" si="68"/>
        <v>0</v>
      </c>
    </row>
    <row r="4392" spans="6:6">
      <c r="F4392">
        <f t="shared" si="68"/>
        <v>0</v>
      </c>
    </row>
    <row r="4393" spans="6:6">
      <c r="F4393">
        <f t="shared" si="68"/>
        <v>0</v>
      </c>
    </row>
    <row r="4394" spans="6:6">
      <c r="F4394">
        <f t="shared" si="68"/>
        <v>0</v>
      </c>
    </row>
    <row r="4395" spans="6:6">
      <c r="F4395">
        <f t="shared" si="68"/>
        <v>0</v>
      </c>
    </row>
    <row r="4396" spans="6:6">
      <c r="F4396">
        <f t="shared" si="68"/>
        <v>0</v>
      </c>
    </row>
    <row r="4397" spans="6:6">
      <c r="F4397">
        <f t="shared" si="68"/>
        <v>0</v>
      </c>
    </row>
    <row r="4398" spans="6:6">
      <c r="F4398">
        <f t="shared" si="68"/>
        <v>0</v>
      </c>
    </row>
    <row r="4399" spans="6:6">
      <c r="F4399">
        <f t="shared" si="68"/>
        <v>0</v>
      </c>
    </row>
    <row r="4400" spans="6:6">
      <c r="F4400">
        <f t="shared" si="68"/>
        <v>0</v>
      </c>
    </row>
    <row r="4401" spans="6:6">
      <c r="F4401">
        <f t="shared" si="68"/>
        <v>0</v>
      </c>
    </row>
    <row r="4402" spans="6:6">
      <c r="F4402">
        <f t="shared" si="68"/>
        <v>0</v>
      </c>
    </row>
    <row r="4403" spans="6:6">
      <c r="F4403">
        <f t="shared" si="68"/>
        <v>0</v>
      </c>
    </row>
    <row r="4404" spans="6:6">
      <c r="F4404">
        <f t="shared" si="68"/>
        <v>0</v>
      </c>
    </row>
    <row r="4405" spans="6:6">
      <c r="F4405">
        <f t="shared" si="68"/>
        <v>0</v>
      </c>
    </row>
    <row r="4406" spans="6:6">
      <c r="F4406">
        <f t="shared" si="68"/>
        <v>0</v>
      </c>
    </row>
    <row r="4407" spans="6:6">
      <c r="F4407">
        <f t="shared" si="68"/>
        <v>0</v>
      </c>
    </row>
    <row r="4408" spans="6:6">
      <c r="F4408">
        <f t="shared" si="68"/>
        <v>0</v>
      </c>
    </row>
    <row r="4409" spans="6:6">
      <c r="F4409">
        <f t="shared" si="68"/>
        <v>0</v>
      </c>
    </row>
    <row r="4410" spans="6:6">
      <c r="F4410">
        <f t="shared" si="68"/>
        <v>0</v>
      </c>
    </row>
    <row r="4411" spans="6:6">
      <c r="F4411">
        <f t="shared" si="68"/>
        <v>0</v>
      </c>
    </row>
    <row r="4412" spans="6:6">
      <c r="F4412">
        <f t="shared" si="68"/>
        <v>0</v>
      </c>
    </row>
    <row r="4413" spans="6:6">
      <c r="F4413">
        <f t="shared" si="68"/>
        <v>0</v>
      </c>
    </row>
    <row r="4414" spans="6:6">
      <c r="F4414">
        <f t="shared" si="68"/>
        <v>0</v>
      </c>
    </row>
    <row r="4415" spans="6:6">
      <c r="F4415">
        <f t="shared" si="68"/>
        <v>0</v>
      </c>
    </row>
    <row r="4416" spans="6:6">
      <c r="F4416">
        <f t="shared" si="68"/>
        <v>0</v>
      </c>
    </row>
    <row r="4417" spans="6:6">
      <c r="F4417">
        <f t="shared" si="68"/>
        <v>0</v>
      </c>
    </row>
    <row r="4418" spans="6:6">
      <c r="F4418">
        <f t="shared" si="68"/>
        <v>0</v>
      </c>
    </row>
    <row r="4419" spans="6:6">
      <c r="F4419">
        <f t="shared" si="68"/>
        <v>0</v>
      </c>
    </row>
    <row r="4420" spans="6:6">
      <c r="F4420">
        <f t="shared" si="68"/>
        <v>0</v>
      </c>
    </row>
    <row r="4421" spans="6:6">
      <c r="F4421">
        <f t="shared" si="68"/>
        <v>0</v>
      </c>
    </row>
    <row r="4422" spans="6:6">
      <c r="F4422">
        <f t="shared" si="68"/>
        <v>0</v>
      </c>
    </row>
    <row r="4423" spans="6:6">
      <c r="F4423">
        <f t="shared" si="68"/>
        <v>0</v>
      </c>
    </row>
    <row r="4424" spans="6:6">
      <c r="F4424">
        <f t="shared" si="68"/>
        <v>0</v>
      </c>
    </row>
    <row r="4425" spans="6:6">
      <c r="F4425">
        <f t="shared" si="68"/>
        <v>0</v>
      </c>
    </row>
    <row r="4426" spans="6:6">
      <c r="F4426">
        <f t="shared" ref="F4426:F4489" si="69">CHOOSE($C$1, A4426, B4426)</f>
        <v>0</v>
      </c>
    </row>
    <row r="4427" spans="6:6">
      <c r="F4427">
        <f t="shared" si="69"/>
        <v>0</v>
      </c>
    </row>
    <row r="4428" spans="6:6">
      <c r="F4428">
        <f t="shared" si="69"/>
        <v>0</v>
      </c>
    </row>
    <row r="4429" spans="6:6">
      <c r="F4429">
        <f t="shared" si="69"/>
        <v>0</v>
      </c>
    </row>
    <row r="4430" spans="6:6">
      <c r="F4430">
        <f t="shared" si="69"/>
        <v>0</v>
      </c>
    </row>
    <row r="4431" spans="6:6">
      <c r="F4431">
        <f t="shared" si="69"/>
        <v>0</v>
      </c>
    </row>
    <row r="4432" spans="6:6">
      <c r="F4432">
        <f t="shared" si="69"/>
        <v>0</v>
      </c>
    </row>
    <row r="4433" spans="6:6">
      <c r="F4433">
        <f t="shared" si="69"/>
        <v>0</v>
      </c>
    </row>
    <row r="4434" spans="6:6">
      <c r="F4434">
        <f t="shared" si="69"/>
        <v>0</v>
      </c>
    </row>
    <row r="4435" spans="6:6">
      <c r="F4435">
        <f t="shared" si="69"/>
        <v>0</v>
      </c>
    </row>
    <row r="4436" spans="6:6">
      <c r="F4436">
        <f t="shared" si="69"/>
        <v>0</v>
      </c>
    </row>
    <row r="4437" spans="6:6">
      <c r="F4437">
        <f t="shared" si="69"/>
        <v>0</v>
      </c>
    </row>
    <row r="4438" spans="6:6">
      <c r="F4438">
        <f t="shared" si="69"/>
        <v>0</v>
      </c>
    </row>
    <row r="4439" spans="6:6">
      <c r="F4439">
        <f t="shared" si="69"/>
        <v>0</v>
      </c>
    </row>
    <row r="4440" spans="6:6">
      <c r="F4440">
        <f t="shared" si="69"/>
        <v>0</v>
      </c>
    </row>
    <row r="4441" spans="6:6">
      <c r="F4441">
        <f t="shared" si="69"/>
        <v>0</v>
      </c>
    </row>
    <row r="4442" spans="6:6">
      <c r="F4442">
        <f t="shared" si="69"/>
        <v>0</v>
      </c>
    </row>
    <row r="4443" spans="6:6">
      <c r="F4443">
        <f t="shared" si="69"/>
        <v>0</v>
      </c>
    </row>
    <row r="4444" spans="6:6">
      <c r="F4444">
        <f t="shared" si="69"/>
        <v>0</v>
      </c>
    </row>
    <row r="4445" spans="6:6">
      <c r="F4445">
        <f t="shared" si="69"/>
        <v>0</v>
      </c>
    </row>
    <row r="4446" spans="6:6">
      <c r="F4446">
        <f t="shared" si="69"/>
        <v>0</v>
      </c>
    </row>
    <row r="4447" spans="6:6">
      <c r="F4447">
        <f t="shared" si="69"/>
        <v>0</v>
      </c>
    </row>
    <row r="4448" spans="6:6">
      <c r="F4448">
        <f t="shared" si="69"/>
        <v>0</v>
      </c>
    </row>
    <row r="4449" spans="6:6">
      <c r="F4449">
        <f t="shared" si="69"/>
        <v>0</v>
      </c>
    </row>
    <row r="4450" spans="6:6">
      <c r="F4450">
        <f t="shared" si="69"/>
        <v>0</v>
      </c>
    </row>
    <row r="4451" spans="6:6">
      <c r="F4451">
        <f t="shared" si="69"/>
        <v>0</v>
      </c>
    </row>
    <row r="4452" spans="6:6">
      <c r="F4452">
        <f t="shared" si="69"/>
        <v>0</v>
      </c>
    </row>
    <row r="4453" spans="6:6">
      <c r="F4453">
        <f t="shared" si="69"/>
        <v>0</v>
      </c>
    </row>
    <row r="4454" spans="6:6">
      <c r="F4454">
        <f t="shared" si="69"/>
        <v>0</v>
      </c>
    </row>
    <row r="4455" spans="6:6">
      <c r="F4455">
        <f t="shared" si="69"/>
        <v>0</v>
      </c>
    </row>
    <row r="4456" spans="6:6">
      <c r="F4456">
        <f t="shared" si="69"/>
        <v>0</v>
      </c>
    </row>
    <row r="4457" spans="6:6">
      <c r="F4457">
        <f t="shared" si="69"/>
        <v>0</v>
      </c>
    </row>
    <row r="4458" spans="6:6">
      <c r="F4458">
        <f t="shared" si="69"/>
        <v>0</v>
      </c>
    </row>
    <row r="4459" spans="6:6">
      <c r="F4459">
        <f t="shared" si="69"/>
        <v>0</v>
      </c>
    </row>
    <row r="4460" spans="6:6">
      <c r="F4460">
        <f t="shared" si="69"/>
        <v>0</v>
      </c>
    </row>
    <row r="4461" spans="6:6">
      <c r="F4461">
        <f t="shared" si="69"/>
        <v>0</v>
      </c>
    </row>
    <row r="4462" spans="6:6">
      <c r="F4462">
        <f t="shared" si="69"/>
        <v>0</v>
      </c>
    </row>
    <row r="4463" spans="6:6">
      <c r="F4463">
        <f t="shared" si="69"/>
        <v>0</v>
      </c>
    </row>
    <row r="4464" spans="6:6">
      <c r="F4464">
        <f t="shared" si="69"/>
        <v>0</v>
      </c>
    </row>
    <row r="4465" spans="6:6">
      <c r="F4465">
        <f t="shared" si="69"/>
        <v>0</v>
      </c>
    </row>
    <row r="4466" spans="6:6">
      <c r="F4466">
        <f t="shared" si="69"/>
        <v>0</v>
      </c>
    </row>
    <row r="4467" spans="6:6">
      <c r="F4467">
        <f t="shared" si="69"/>
        <v>0</v>
      </c>
    </row>
    <row r="4468" spans="6:6">
      <c r="F4468">
        <f t="shared" si="69"/>
        <v>0</v>
      </c>
    </row>
    <row r="4469" spans="6:6">
      <c r="F4469">
        <f t="shared" si="69"/>
        <v>0</v>
      </c>
    </row>
    <row r="4470" spans="6:6">
      <c r="F4470">
        <f t="shared" si="69"/>
        <v>0</v>
      </c>
    </row>
    <row r="4471" spans="6:6">
      <c r="F4471">
        <f t="shared" si="69"/>
        <v>0</v>
      </c>
    </row>
    <row r="4472" spans="6:6">
      <c r="F4472">
        <f t="shared" si="69"/>
        <v>0</v>
      </c>
    </row>
    <row r="4473" spans="6:6">
      <c r="F4473">
        <f t="shared" si="69"/>
        <v>0</v>
      </c>
    </row>
    <row r="4474" spans="6:6">
      <c r="F4474">
        <f t="shared" si="69"/>
        <v>0</v>
      </c>
    </row>
    <row r="4475" spans="6:6">
      <c r="F4475">
        <f t="shared" si="69"/>
        <v>0</v>
      </c>
    </row>
    <row r="4476" spans="6:6">
      <c r="F4476">
        <f t="shared" si="69"/>
        <v>0</v>
      </c>
    </row>
    <row r="4477" spans="6:6">
      <c r="F4477">
        <f t="shared" si="69"/>
        <v>0</v>
      </c>
    </row>
    <row r="4478" spans="6:6">
      <c r="F4478">
        <f t="shared" si="69"/>
        <v>0</v>
      </c>
    </row>
    <row r="4479" spans="6:6">
      <c r="F4479">
        <f t="shared" si="69"/>
        <v>0</v>
      </c>
    </row>
    <row r="4480" spans="6:6">
      <c r="F4480">
        <f t="shared" si="69"/>
        <v>0</v>
      </c>
    </row>
    <row r="4481" spans="6:6">
      <c r="F4481">
        <f t="shared" si="69"/>
        <v>0</v>
      </c>
    </row>
    <row r="4482" spans="6:6">
      <c r="F4482">
        <f t="shared" si="69"/>
        <v>0</v>
      </c>
    </row>
    <row r="4483" spans="6:6">
      <c r="F4483">
        <f t="shared" si="69"/>
        <v>0</v>
      </c>
    </row>
    <row r="4484" spans="6:6">
      <c r="F4484">
        <f t="shared" si="69"/>
        <v>0</v>
      </c>
    </row>
    <row r="4485" spans="6:6">
      <c r="F4485">
        <f t="shared" si="69"/>
        <v>0</v>
      </c>
    </row>
    <row r="4486" spans="6:6">
      <c r="F4486">
        <f t="shared" si="69"/>
        <v>0</v>
      </c>
    </row>
    <row r="4487" spans="6:6">
      <c r="F4487">
        <f t="shared" si="69"/>
        <v>0</v>
      </c>
    </row>
    <row r="4488" spans="6:6">
      <c r="F4488">
        <f t="shared" si="69"/>
        <v>0</v>
      </c>
    </row>
    <row r="4489" spans="6:6">
      <c r="F4489">
        <f t="shared" si="69"/>
        <v>0</v>
      </c>
    </row>
    <row r="4490" spans="6:6">
      <c r="F4490">
        <f t="shared" ref="F4490:F4553" si="70">CHOOSE($C$1, A4490, B4490)</f>
        <v>0</v>
      </c>
    </row>
    <row r="4491" spans="6:6">
      <c r="F4491">
        <f t="shared" si="70"/>
        <v>0</v>
      </c>
    </row>
    <row r="4492" spans="6:6">
      <c r="F4492">
        <f t="shared" si="70"/>
        <v>0</v>
      </c>
    </row>
    <row r="4493" spans="6:6">
      <c r="F4493">
        <f t="shared" si="70"/>
        <v>0</v>
      </c>
    </row>
    <row r="4494" spans="6:6">
      <c r="F4494">
        <f t="shared" si="70"/>
        <v>0</v>
      </c>
    </row>
    <row r="4495" spans="6:6">
      <c r="F4495">
        <f t="shared" si="70"/>
        <v>0</v>
      </c>
    </row>
    <row r="4496" spans="6:6">
      <c r="F4496">
        <f t="shared" si="70"/>
        <v>0</v>
      </c>
    </row>
    <row r="4497" spans="6:6">
      <c r="F4497">
        <f t="shared" si="70"/>
        <v>0</v>
      </c>
    </row>
    <row r="4498" spans="6:6">
      <c r="F4498">
        <f t="shared" si="70"/>
        <v>0</v>
      </c>
    </row>
    <row r="4499" spans="6:6">
      <c r="F4499">
        <f t="shared" si="70"/>
        <v>0</v>
      </c>
    </row>
    <row r="4500" spans="6:6">
      <c r="F4500">
        <f t="shared" si="70"/>
        <v>0</v>
      </c>
    </row>
    <row r="4501" spans="6:6">
      <c r="F4501">
        <f t="shared" si="70"/>
        <v>0</v>
      </c>
    </row>
    <row r="4502" spans="6:6">
      <c r="F4502">
        <f t="shared" si="70"/>
        <v>0</v>
      </c>
    </row>
    <row r="4503" spans="6:6">
      <c r="F4503">
        <f t="shared" si="70"/>
        <v>0</v>
      </c>
    </row>
    <row r="4504" spans="6:6">
      <c r="F4504">
        <f t="shared" si="70"/>
        <v>0</v>
      </c>
    </row>
    <row r="4505" spans="6:6">
      <c r="F4505">
        <f t="shared" si="70"/>
        <v>0</v>
      </c>
    </row>
    <row r="4506" spans="6:6">
      <c r="F4506">
        <f t="shared" si="70"/>
        <v>0</v>
      </c>
    </row>
    <row r="4507" spans="6:6">
      <c r="F4507">
        <f t="shared" si="70"/>
        <v>0</v>
      </c>
    </row>
    <row r="4508" spans="6:6">
      <c r="F4508">
        <f t="shared" si="70"/>
        <v>0</v>
      </c>
    </row>
    <row r="4509" spans="6:6">
      <c r="F4509">
        <f t="shared" si="70"/>
        <v>0</v>
      </c>
    </row>
    <row r="4510" spans="6:6">
      <c r="F4510">
        <f t="shared" si="70"/>
        <v>0</v>
      </c>
    </row>
    <row r="4511" spans="6:6">
      <c r="F4511">
        <f t="shared" si="70"/>
        <v>0</v>
      </c>
    </row>
    <row r="4512" spans="6:6">
      <c r="F4512">
        <f t="shared" si="70"/>
        <v>0</v>
      </c>
    </row>
    <row r="4513" spans="6:6">
      <c r="F4513">
        <f t="shared" si="70"/>
        <v>0</v>
      </c>
    </row>
    <row r="4514" spans="6:6">
      <c r="F4514">
        <f t="shared" si="70"/>
        <v>0</v>
      </c>
    </row>
    <row r="4515" spans="6:6">
      <c r="F4515">
        <f t="shared" si="70"/>
        <v>0</v>
      </c>
    </row>
    <row r="4516" spans="6:6">
      <c r="F4516">
        <f t="shared" si="70"/>
        <v>0</v>
      </c>
    </row>
    <row r="4517" spans="6:6">
      <c r="F4517">
        <f t="shared" si="70"/>
        <v>0</v>
      </c>
    </row>
    <row r="4518" spans="6:6">
      <c r="F4518">
        <f t="shared" si="70"/>
        <v>0</v>
      </c>
    </row>
    <row r="4519" spans="6:6">
      <c r="F4519">
        <f t="shared" si="70"/>
        <v>0</v>
      </c>
    </row>
    <row r="4520" spans="6:6">
      <c r="F4520">
        <f t="shared" si="70"/>
        <v>0</v>
      </c>
    </row>
    <row r="4521" spans="6:6">
      <c r="F4521">
        <f t="shared" si="70"/>
        <v>0</v>
      </c>
    </row>
    <row r="4522" spans="6:6">
      <c r="F4522">
        <f t="shared" si="70"/>
        <v>0</v>
      </c>
    </row>
    <row r="4523" spans="6:6">
      <c r="F4523">
        <f t="shared" si="70"/>
        <v>0</v>
      </c>
    </row>
    <row r="4524" spans="6:6">
      <c r="F4524">
        <f t="shared" si="70"/>
        <v>0</v>
      </c>
    </row>
    <row r="4525" spans="6:6">
      <c r="F4525">
        <f t="shared" si="70"/>
        <v>0</v>
      </c>
    </row>
    <row r="4526" spans="6:6">
      <c r="F4526">
        <f t="shared" si="70"/>
        <v>0</v>
      </c>
    </row>
    <row r="4527" spans="6:6">
      <c r="F4527">
        <f t="shared" si="70"/>
        <v>0</v>
      </c>
    </row>
    <row r="4528" spans="6:6">
      <c r="F4528">
        <f t="shared" si="70"/>
        <v>0</v>
      </c>
    </row>
    <row r="4529" spans="6:6">
      <c r="F4529">
        <f t="shared" si="70"/>
        <v>0</v>
      </c>
    </row>
    <row r="4530" spans="6:6">
      <c r="F4530">
        <f t="shared" si="70"/>
        <v>0</v>
      </c>
    </row>
    <row r="4531" spans="6:6">
      <c r="F4531">
        <f t="shared" si="70"/>
        <v>0</v>
      </c>
    </row>
    <row r="4532" spans="6:6">
      <c r="F4532">
        <f t="shared" si="70"/>
        <v>0</v>
      </c>
    </row>
    <row r="4533" spans="6:6">
      <c r="F4533">
        <f t="shared" si="70"/>
        <v>0</v>
      </c>
    </row>
    <row r="4534" spans="6:6">
      <c r="F4534">
        <f t="shared" si="70"/>
        <v>0</v>
      </c>
    </row>
    <row r="4535" spans="6:6">
      <c r="F4535">
        <f t="shared" si="70"/>
        <v>0</v>
      </c>
    </row>
    <row r="4536" spans="6:6">
      <c r="F4536">
        <f t="shared" si="70"/>
        <v>0</v>
      </c>
    </row>
    <row r="4537" spans="6:6">
      <c r="F4537">
        <f t="shared" si="70"/>
        <v>0</v>
      </c>
    </row>
    <row r="4538" spans="6:6">
      <c r="F4538">
        <f t="shared" si="70"/>
        <v>0</v>
      </c>
    </row>
    <row r="4539" spans="6:6">
      <c r="F4539">
        <f t="shared" si="70"/>
        <v>0</v>
      </c>
    </row>
    <row r="4540" spans="6:6">
      <c r="F4540">
        <f t="shared" si="70"/>
        <v>0</v>
      </c>
    </row>
    <row r="4541" spans="6:6">
      <c r="F4541">
        <f t="shared" si="70"/>
        <v>0</v>
      </c>
    </row>
    <row r="4542" spans="6:6">
      <c r="F4542">
        <f t="shared" si="70"/>
        <v>0</v>
      </c>
    </row>
    <row r="4543" spans="6:6">
      <c r="F4543">
        <f t="shared" si="70"/>
        <v>0</v>
      </c>
    </row>
    <row r="4544" spans="6:6">
      <c r="F4544">
        <f t="shared" si="70"/>
        <v>0</v>
      </c>
    </row>
    <row r="4545" spans="6:6">
      <c r="F4545">
        <f t="shared" si="70"/>
        <v>0</v>
      </c>
    </row>
    <row r="4546" spans="6:6">
      <c r="F4546">
        <f t="shared" si="70"/>
        <v>0</v>
      </c>
    </row>
    <row r="4547" spans="6:6">
      <c r="F4547">
        <f t="shared" si="70"/>
        <v>0</v>
      </c>
    </row>
    <row r="4548" spans="6:6">
      <c r="F4548">
        <f t="shared" si="70"/>
        <v>0</v>
      </c>
    </row>
    <row r="4549" spans="6:6">
      <c r="F4549">
        <f t="shared" si="70"/>
        <v>0</v>
      </c>
    </row>
    <row r="4550" spans="6:6">
      <c r="F4550">
        <f t="shared" si="70"/>
        <v>0</v>
      </c>
    </row>
    <row r="4551" spans="6:6">
      <c r="F4551">
        <f t="shared" si="70"/>
        <v>0</v>
      </c>
    </row>
    <row r="4552" spans="6:6">
      <c r="F4552">
        <f t="shared" si="70"/>
        <v>0</v>
      </c>
    </row>
    <row r="4553" spans="6:6">
      <c r="F4553">
        <f t="shared" si="70"/>
        <v>0</v>
      </c>
    </row>
    <row r="4554" spans="6:6">
      <c r="F4554">
        <f t="shared" ref="F4554:F4617" si="71">CHOOSE($C$1, A4554, B4554)</f>
        <v>0</v>
      </c>
    </row>
    <row r="4555" spans="6:6">
      <c r="F4555">
        <f t="shared" si="71"/>
        <v>0</v>
      </c>
    </row>
    <row r="4556" spans="6:6">
      <c r="F4556">
        <f t="shared" si="71"/>
        <v>0</v>
      </c>
    </row>
    <row r="4557" spans="6:6">
      <c r="F4557">
        <f t="shared" si="71"/>
        <v>0</v>
      </c>
    </row>
    <row r="4558" spans="6:6">
      <c r="F4558">
        <f t="shared" si="71"/>
        <v>0</v>
      </c>
    </row>
    <row r="4559" spans="6:6">
      <c r="F4559">
        <f t="shared" si="71"/>
        <v>0</v>
      </c>
    </row>
    <row r="4560" spans="6:6">
      <c r="F4560">
        <f t="shared" si="71"/>
        <v>0</v>
      </c>
    </row>
    <row r="4561" spans="6:6">
      <c r="F4561">
        <f t="shared" si="71"/>
        <v>0</v>
      </c>
    </row>
    <row r="4562" spans="6:6">
      <c r="F4562">
        <f t="shared" si="71"/>
        <v>0</v>
      </c>
    </row>
    <row r="4563" spans="6:6">
      <c r="F4563">
        <f t="shared" si="71"/>
        <v>0</v>
      </c>
    </row>
    <row r="4564" spans="6:6">
      <c r="F4564">
        <f t="shared" si="71"/>
        <v>0</v>
      </c>
    </row>
    <row r="4565" spans="6:6">
      <c r="F4565">
        <f t="shared" si="71"/>
        <v>0</v>
      </c>
    </row>
    <row r="4566" spans="6:6">
      <c r="F4566">
        <f t="shared" si="71"/>
        <v>0</v>
      </c>
    </row>
    <row r="4567" spans="6:6">
      <c r="F4567">
        <f t="shared" si="71"/>
        <v>0</v>
      </c>
    </row>
    <row r="4568" spans="6:6">
      <c r="F4568">
        <f t="shared" si="71"/>
        <v>0</v>
      </c>
    </row>
    <row r="4569" spans="6:6">
      <c r="F4569">
        <f t="shared" si="71"/>
        <v>0</v>
      </c>
    </row>
    <row r="4570" spans="6:6">
      <c r="F4570">
        <f t="shared" si="71"/>
        <v>0</v>
      </c>
    </row>
    <row r="4571" spans="6:6">
      <c r="F4571">
        <f t="shared" si="71"/>
        <v>0</v>
      </c>
    </row>
    <row r="4572" spans="6:6">
      <c r="F4572">
        <f t="shared" si="71"/>
        <v>0</v>
      </c>
    </row>
    <row r="4573" spans="6:6">
      <c r="F4573">
        <f t="shared" si="71"/>
        <v>0</v>
      </c>
    </row>
    <row r="4574" spans="6:6">
      <c r="F4574">
        <f t="shared" si="71"/>
        <v>0</v>
      </c>
    </row>
    <row r="4575" spans="6:6">
      <c r="F4575">
        <f t="shared" si="71"/>
        <v>0</v>
      </c>
    </row>
    <row r="4576" spans="6:6">
      <c r="F4576">
        <f t="shared" si="71"/>
        <v>0</v>
      </c>
    </row>
    <row r="4577" spans="6:6">
      <c r="F4577">
        <f t="shared" si="71"/>
        <v>0</v>
      </c>
    </row>
    <row r="4578" spans="6:6">
      <c r="F4578">
        <f t="shared" si="71"/>
        <v>0</v>
      </c>
    </row>
    <row r="4579" spans="6:6">
      <c r="F4579">
        <f t="shared" si="71"/>
        <v>0</v>
      </c>
    </row>
    <row r="4580" spans="6:6">
      <c r="F4580">
        <f t="shared" si="71"/>
        <v>0</v>
      </c>
    </row>
    <row r="4581" spans="6:6">
      <c r="F4581">
        <f t="shared" si="71"/>
        <v>0</v>
      </c>
    </row>
    <row r="4582" spans="6:6">
      <c r="F4582">
        <f t="shared" si="71"/>
        <v>0</v>
      </c>
    </row>
    <row r="4583" spans="6:6">
      <c r="F4583">
        <f t="shared" si="71"/>
        <v>0</v>
      </c>
    </row>
    <row r="4584" spans="6:6">
      <c r="F4584">
        <f t="shared" si="71"/>
        <v>0</v>
      </c>
    </row>
    <row r="4585" spans="6:6">
      <c r="F4585">
        <f t="shared" si="71"/>
        <v>0</v>
      </c>
    </row>
    <row r="4586" spans="6:6">
      <c r="F4586">
        <f t="shared" si="71"/>
        <v>0</v>
      </c>
    </row>
    <row r="4587" spans="6:6">
      <c r="F4587">
        <f t="shared" si="71"/>
        <v>0</v>
      </c>
    </row>
    <row r="4588" spans="6:6">
      <c r="F4588">
        <f t="shared" si="71"/>
        <v>0</v>
      </c>
    </row>
    <row r="4589" spans="6:6">
      <c r="F4589">
        <f t="shared" si="71"/>
        <v>0</v>
      </c>
    </row>
    <row r="4590" spans="6:6">
      <c r="F4590">
        <f t="shared" si="71"/>
        <v>0</v>
      </c>
    </row>
    <row r="4591" spans="6:6">
      <c r="F4591">
        <f t="shared" si="71"/>
        <v>0</v>
      </c>
    </row>
    <row r="4592" spans="6:6">
      <c r="F4592">
        <f t="shared" si="71"/>
        <v>0</v>
      </c>
    </row>
    <row r="4593" spans="6:6">
      <c r="F4593">
        <f t="shared" si="71"/>
        <v>0</v>
      </c>
    </row>
    <row r="4594" spans="6:6">
      <c r="F4594">
        <f t="shared" si="71"/>
        <v>0</v>
      </c>
    </row>
    <row r="4595" spans="6:6">
      <c r="F4595">
        <f t="shared" si="71"/>
        <v>0</v>
      </c>
    </row>
    <row r="4596" spans="6:6">
      <c r="F4596">
        <f t="shared" si="71"/>
        <v>0</v>
      </c>
    </row>
    <row r="4597" spans="6:6">
      <c r="F4597">
        <f t="shared" si="71"/>
        <v>0</v>
      </c>
    </row>
    <row r="4598" spans="6:6">
      <c r="F4598">
        <f t="shared" si="71"/>
        <v>0</v>
      </c>
    </row>
    <row r="4599" spans="6:6">
      <c r="F4599">
        <f t="shared" si="71"/>
        <v>0</v>
      </c>
    </row>
    <row r="4600" spans="6:6">
      <c r="F4600">
        <f t="shared" si="71"/>
        <v>0</v>
      </c>
    </row>
    <row r="4601" spans="6:6">
      <c r="F4601">
        <f t="shared" si="71"/>
        <v>0</v>
      </c>
    </row>
    <row r="4602" spans="6:6">
      <c r="F4602">
        <f t="shared" si="71"/>
        <v>0</v>
      </c>
    </row>
    <row r="4603" spans="6:6">
      <c r="F4603">
        <f t="shared" si="71"/>
        <v>0</v>
      </c>
    </row>
    <row r="4604" spans="6:6">
      <c r="F4604">
        <f t="shared" si="71"/>
        <v>0</v>
      </c>
    </row>
    <row r="4605" spans="6:6">
      <c r="F4605">
        <f t="shared" si="71"/>
        <v>0</v>
      </c>
    </row>
    <row r="4606" spans="6:6">
      <c r="F4606">
        <f t="shared" si="71"/>
        <v>0</v>
      </c>
    </row>
    <row r="4607" spans="6:6">
      <c r="F4607">
        <f t="shared" si="71"/>
        <v>0</v>
      </c>
    </row>
    <row r="4608" spans="6:6">
      <c r="F4608">
        <f t="shared" si="71"/>
        <v>0</v>
      </c>
    </row>
    <row r="4609" spans="6:6">
      <c r="F4609">
        <f t="shared" si="71"/>
        <v>0</v>
      </c>
    </row>
    <row r="4610" spans="6:6">
      <c r="F4610">
        <f t="shared" si="71"/>
        <v>0</v>
      </c>
    </row>
    <row r="4611" spans="6:6">
      <c r="F4611">
        <f t="shared" si="71"/>
        <v>0</v>
      </c>
    </row>
    <row r="4612" spans="6:6">
      <c r="F4612">
        <f t="shared" si="71"/>
        <v>0</v>
      </c>
    </row>
    <row r="4613" spans="6:6">
      <c r="F4613">
        <f t="shared" si="71"/>
        <v>0</v>
      </c>
    </row>
    <row r="4614" spans="6:6">
      <c r="F4614">
        <f t="shared" si="71"/>
        <v>0</v>
      </c>
    </row>
    <row r="4615" spans="6:6">
      <c r="F4615">
        <f t="shared" si="71"/>
        <v>0</v>
      </c>
    </row>
    <row r="4616" spans="6:6">
      <c r="F4616">
        <f t="shared" si="71"/>
        <v>0</v>
      </c>
    </row>
    <row r="4617" spans="6:6">
      <c r="F4617">
        <f t="shared" si="71"/>
        <v>0</v>
      </c>
    </row>
    <row r="4618" spans="6:6">
      <c r="F4618">
        <f t="shared" ref="F4618:F4681" si="72">CHOOSE($C$1, A4618, B4618)</f>
        <v>0</v>
      </c>
    </row>
    <row r="4619" spans="6:6">
      <c r="F4619">
        <f t="shared" si="72"/>
        <v>0</v>
      </c>
    </row>
    <row r="4620" spans="6:6">
      <c r="F4620">
        <f t="shared" si="72"/>
        <v>0</v>
      </c>
    </row>
    <row r="4621" spans="6:6">
      <c r="F4621">
        <f t="shared" si="72"/>
        <v>0</v>
      </c>
    </row>
    <row r="4622" spans="6:6">
      <c r="F4622">
        <f t="shared" si="72"/>
        <v>0</v>
      </c>
    </row>
    <row r="4623" spans="6:6">
      <c r="F4623">
        <f t="shared" si="72"/>
        <v>0</v>
      </c>
    </row>
    <row r="4624" spans="6:6">
      <c r="F4624">
        <f t="shared" si="72"/>
        <v>0</v>
      </c>
    </row>
    <row r="4625" spans="6:6">
      <c r="F4625">
        <f t="shared" si="72"/>
        <v>0</v>
      </c>
    </row>
    <row r="4626" spans="6:6">
      <c r="F4626">
        <f t="shared" si="72"/>
        <v>0</v>
      </c>
    </row>
    <row r="4627" spans="6:6">
      <c r="F4627">
        <f t="shared" si="72"/>
        <v>0</v>
      </c>
    </row>
    <row r="4628" spans="6:6">
      <c r="F4628">
        <f t="shared" si="72"/>
        <v>0</v>
      </c>
    </row>
    <row r="4629" spans="6:6">
      <c r="F4629">
        <f t="shared" si="72"/>
        <v>0</v>
      </c>
    </row>
    <row r="4630" spans="6:6">
      <c r="F4630">
        <f t="shared" si="72"/>
        <v>0</v>
      </c>
    </row>
    <row r="4631" spans="6:6">
      <c r="F4631">
        <f t="shared" si="72"/>
        <v>0</v>
      </c>
    </row>
    <row r="4632" spans="6:6">
      <c r="F4632">
        <f t="shared" si="72"/>
        <v>0</v>
      </c>
    </row>
    <row r="4633" spans="6:6">
      <c r="F4633">
        <f t="shared" si="72"/>
        <v>0</v>
      </c>
    </row>
    <row r="4634" spans="6:6">
      <c r="F4634">
        <f t="shared" si="72"/>
        <v>0</v>
      </c>
    </row>
    <row r="4635" spans="6:6">
      <c r="F4635">
        <f t="shared" si="72"/>
        <v>0</v>
      </c>
    </row>
    <row r="4636" spans="6:6">
      <c r="F4636">
        <f t="shared" si="72"/>
        <v>0</v>
      </c>
    </row>
    <row r="4637" spans="6:6">
      <c r="F4637">
        <f t="shared" si="72"/>
        <v>0</v>
      </c>
    </row>
    <row r="4638" spans="6:6">
      <c r="F4638">
        <f t="shared" si="72"/>
        <v>0</v>
      </c>
    </row>
    <row r="4639" spans="6:6">
      <c r="F4639">
        <f t="shared" si="72"/>
        <v>0</v>
      </c>
    </row>
    <row r="4640" spans="6:6">
      <c r="F4640">
        <f t="shared" si="72"/>
        <v>0</v>
      </c>
    </row>
    <row r="4641" spans="6:6">
      <c r="F4641">
        <f t="shared" si="72"/>
        <v>0</v>
      </c>
    </row>
    <row r="4642" spans="6:6">
      <c r="F4642">
        <f t="shared" si="72"/>
        <v>0</v>
      </c>
    </row>
    <row r="4643" spans="6:6">
      <c r="F4643">
        <f t="shared" si="72"/>
        <v>0</v>
      </c>
    </row>
    <row r="4644" spans="6:6">
      <c r="F4644">
        <f t="shared" si="72"/>
        <v>0</v>
      </c>
    </row>
    <row r="4645" spans="6:6">
      <c r="F4645">
        <f t="shared" si="72"/>
        <v>0</v>
      </c>
    </row>
    <row r="4646" spans="6:6">
      <c r="F4646">
        <f t="shared" si="72"/>
        <v>0</v>
      </c>
    </row>
    <row r="4647" spans="6:6">
      <c r="F4647">
        <f t="shared" si="72"/>
        <v>0</v>
      </c>
    </row>
    <row r="4648" spans="6:6">
      <c r="F4648">
        <f t="shared" si="72"/>
        <v>0</v>
      </c>
    </row>
    <row r="4649" spans="6:6">
      <c r="F4649">
        <f t="shared" si="72"/>
        <v>0</v>
      </c>
    </row>
    <row r="4650" spans="6:6">
      <c r="F4650">
        <f t="shared" si="72"/>
        <v>0</v>
      </c>
    </row>
    <row r="4651" spans="6:6">
      <c r="F4651">
        <f t="shared" si="72"/>
        <v>0</v>
      </c>
    </row>
    <row r="4652" spans="6:6">
      <c r="F4652">
        <f t="shared" si="72"/>
        <v>0</v>
      </c>
    </row>
    <row r="4653" spans="6:6">
      <c r="F4653">
        <f t="shared" si="72"/>
        <v>0</v>
      </c>
    </row>
    <row r="4654" spans="6:6">
      <c r="F4654">
        <f t="shared" si="72"/>
        <v>0</v>
      </c>
    </row>
    <row r="4655" spans="6:6">
      <c r="F4655">
        <f t="shared" si="72"/>
        <v>0</v>
      </c>
    </row>
    <row r="4656" spans="6:6">
      <c r="F4656">
        <f t="shared" si="72"/>
        <v>0</v>
      </c>
    </row>
    <row r="4657" spans="6:6">
      <c r="F4657">
        <f t="shared" si="72"/>
        <v>0</v>
      </c>
    </row>
    <row r="4658" spans="6:6">
      <c r="F4658">
        <f t="shared" si="72"/>
        <v>0</v>
      </c>
    </row>
    <row r="4659" spans="6:6">
      <c r="F4659">
        <f t="shared" si="72"/>
        <v>0</v>
      </c>
    </row>
    <row r="4660" spans="6:6">
      <c r="F4660">
        <f t="shared" si="72"/>
        <v>0</v>
      </c>
    </row>
    <row r="4661" spans="6:6">
      <c r="F4661">
        <f t="shared" si="72"/>
        <v>0</v>
      </c>
    </row>
    <row r="4662" spans="6:6">
      <c r="F4662">
        <f t="shared" si="72"/>
        <v>0</v>
      </c>
    </row>
    <row r="4663" spans="6:6">
      <c r="F4663">
        <f t="shared" si="72"/>
        <v>0</v>
      </c>
    </row>
    <row r="4664" spans="6:6">
      <c r="F4664">
        <f t="shared" si="72"/>
        <v>0</v>
      </c>
    </row>
    <row r="4665" spans="6:6">
      <c r="F4665">
        <f t="shared" si="72"/>
        <v>0</v>
      </c>
    </row>
    <row r="4666" spans="6:6">
      <c r="F4666">
        <f t="shared" si="72"/>
        <v>0</v>
      </c>
    </row>
    <row r="4667" spans="6:6">
      <c r="F4667">
        <f t="shared" si="72"/>
        <v>0</v>
      </c>
    </row>
    <row r="4668" spans="6:6">
      <c r="F4668">
        <f t="shared" si="72"/>
        <v>0</v>
      </c>
    </row>
    <row r="4669" spans="6:6">
      <c r="F4669">
        <f t="shared" si="72"/>
        <v>0</v>
      </c>
    </row>
    <row r="4670" spans="6:6">
      <c r="F4670">
        <f t="shared" si="72"/>
        <v>0</v>
      </c>
    </row>
    <row r="4671" spans="6:6">
      <c r="F4671">
        <f t="shared" si="72"/>
        <v>0</v>
      </c>
    </row>
    <row r="4672" spans="6:6">
      <c r="F4672">
        <f t="shared" si="72"/>
        <v>0</v>
      </c>
    </row>
    <row r="4673" spans="6:6">
      <c r="F4673">
        <f t="shared" si="72"/>
        <v>0</v>
      </c>
    </row>
    <row r="4674" spans="6:6">
      <c r="F4674">
        <f t="shared" si="72"/>
        <v>0</v>
      </c>
    </row>
    <row r="4675" spans="6:6">
      <c r="F4675">
        <f t="shared" si="72"/>
        <v>0</v>
      </c>
    </row>
    <row r="4676" spans="6:6">
      <c r="F4676">
        <f t="shared" si="72"/>
        <v>0</v>
      </c>
    </row>
    <row r="4677" spans="6:6">
      <c r="F4677">
        <f t="shared" si="72"/>
        <v>0</v>
      </c>
    </row>
    <row r="4678" spans="6:6">
      <c r="F4678">
        <f t="shared" si="72"/>
        <v>0</v>
      </c>
    </row>
    <row r="4679" spans="6:6">
      <c r="F4679">
        <f t="shared" si="72"/>
        <v>0</v>
      </c>
    </row>
    <row r="4680" spans="6:6">
      <c r="F4680">
        <f t="shared" si="72"/>
        <v>0</v>
      </c>
    </row>
    <row r="4681" spans="6:6">
      <c r="F4681">
        <f t="shared" si="72"/>
        <v>0</v>
      </c>
    </row>
    <row r="4682" spans="6:6">
      <c r="F4682">
        <f t="shared" ref="F4682:F4745" si="73">CHOOSE($C$1, A4682, B4682)</f>
        <v>0</v>
      </c>
    </row>
    <row r="4683" spans="6:6">
      <c r="F4683">
        <f t="shared" si="73"/>
        <v>0</v>
      </c>
    </row>
    <row r="4684" spans="6:6">
      <c r="F4684">
        <f t="shared" si="73"/>
        <v>0</v>
      </c>
    </row>
    <row r="4685" spans="6:6">
      <c r="F4685">
        <f t="shared" si="73"/>
        <v>0</v>
      </c>
    </row>
    <row r="4686" spans="6:6">
      <c r="F4686">
        <f t="shared" si="73"/>
        <v>0</v>
      </c>
    </row>
    <row r="4687" spans="6:6">
      <c r="F4687">
        <f t="shared" si="73"/>
        <v>0</v>
      </c>
    </row>
    <row r="4688" spans="6:6">
      <c r="F4688">
        <f t="shared" si="73"/>
        <v>0</v>
      </c>
    </row>
    <row r="4689" spans="6:6">
      <c r="F4689">
        <f t="shared" si="73"/>
        <v>0</v>
      </c>
    </row>
    <row r="4690" spans="6:6">
      <c r="F4690">
        <f t="shared" si="73"/>
        <v>0</v>
      </c>
    </row>
    <row r="4691" spans="6:6">
      <c r="F4691">
        <f t="shared" si="73"/>
        <v>0</v>
      </c>
    </row>
    <row r="4692" spans="6:6">
      <c r="F4692">
        <f t="shared" si="73"/>
        <v>0</v>
      </c>
    </row>
    <row r="4693" spans="6:6">
      <c r="F4693">
        <f t="shared" si="73"/>
        <v>0</v>
      </c>
    </row>
    <row r="4694" spans="6:6">
      <c r="F4694">
        <f t="shared" si="73"/>
        <v>0</v>
      </c>
    </row>
    <row r="4695" spans="6:6">
      <c r="F4695">
        <f t="shared" si="73"/>
        <v>0</v>
      </c>
    </row>
    <row r="4696" spans="6:6">
      <c r="F4696">
        <f t="shared" si="73"/>
        <v>0</v>
      </c>
    </row>
    <row r="4697" spans="6:6">
      <c r="F4697">
        <f t="shared" si="73"/>
        <v>0</v>
      </c>
    </row>
    <row r="4698" spans="6:6">
      <c r="F4698">
        <f t="shared" si="73"/>
        <v>0</v>
      </c>
    </row>
    <row r="4699" spans="6:6">
      <c r="F4699">
        <f t="shared" si="73"/>
        <v>0</v>
      </c>
    </row>
    <row r="4700" spans="6:6">
      <c r="F4700">
        <f t="shared" si="73"/>
        <v>0</v>
      </c>
    </row>
    <row r="4701" spans="6:6">
      <c r="F4701">
        <f t="shared" si="73"/>
        <v>0</v>
      </c>
    </row>
    <row r="4702" spans="6:6">
      <c r="F4702">
        <f t="shared" si="73"/>
        <v>0</v>
      </c>
    </row>
    <row r="4703" spans="6:6">
      <c r="F4703">
        <f t="shared" si="73"/>
        <v>0</v>
      </c>
    </row>
    <row r="4704" spans="6:6">
      <c r="F4704">
        <f t="shared" si="73"/>
        <v>0</v>
      </c>
    </row>
    <row r="4705" spans="6:6">
      <c r="F4705">
        <f t="shared" si="73"/>
        <v>0</v>
      </c>
    </row>
    <row r="4706" spans="6:6">
      <c r="F4706">
        <f t="shared" si="73"/>
        <v>0</v>
      </c>
    </row>
    <row r="4707" spans="6:6">
      <c r="F4707">
        <f t="shared" si="73"/>
        <v>0</v>
      </c>
    </row>
    <row r="4708" spans="6:6">
      <c r="F4708">
        <f t="shared" si="73"/>
        <v>0</v>
      </c>
    </row>
    <row r="4709" spans="6:6">
      <c r="F4709">
        <f t="shared" si="73"/>
        <v>0</v>
      </c>
    </row>
    <row r="4710" spans="6:6">
      <c r="F4710">
        <f t="shared" si="73"/>
        <v>0</v>
      </c>
    </row>
    <row r="4711" spans="6:6">
      <c r="F4711">
        <f t="shared" si="73"/>
        <v>0</v>
      </c>
    </row>
    <row r="4712" spans="6:6">
      <c r="F4712">
        <f t="shared" si="73"/>
        <v>0</v>
      </c>
    </row>
    <row r="4713" spans="6:6">
      <c r="F4713">
        <f t="shared" si="73"/>
        <v>0</v>
      </c>
    </row>
    <row r="4714" spans="6:6">
      <c r="F4714">
        <f t="shared" si="73"/>
        <v>0</v>
      </c>
    </row>
    <row r="4715" spans="6:6">
      <c r="F4715">
        <f t="shared" si="73"/>
        <v>0</v>
      </c>
    </row>
    <row r="4716" spans="6:6">
      <c r="F4716">
        <f t="shared" si="73"/>
        <v>0</v>
      </c>
    </row>
    <row r="4717" spans="6:6">
      <c r="F4717">
        <f t="shared" si="73"/>
        <v>0</v>
      </c>
    </row>
    <row r="4718" spans="6:6">
      <c r="F4718">
        <f t="shared" si="73"/>
        <v>0</v>
      </c>
    </row>
    <row r="4719" spans="6:6">
      <c r="F4719">
        <f t="shared" si="73"/>
        <v>0</v>
      </c>
    </row>
    <row r="4720" spans="6:6">
      <c r="F4720">
        <f t="shared" si="73"/>
        <v>0</v>
      </c>
    </row>
    <row r="4721" spans="6:6">
      <c r="F4721">
        <f t="shared" si="73"/>
        <v>0</v>
      </c>
    </row>
    <row r="4722" spans="6:6">
      <c r="F4722">
        <f t="shared" si="73"/>
        <v>0</v>
      </c>
    </row>
    <row r="4723" spans="6:6">
      <c r="F4723">
        <f t="shared" si="73"/>
        <v>0</v>
      </c>
    </row>
    <row r="4724" spans="6:6">
      <c r="F4724">
        <f t="shared" si="73"/>
        <v>0</v>
      </c>
    </row>
    <row r="4725" spans="6:6">
      <c r="F4725">
        <f t="shared" si="73"/>
        <v>0</v>
      </c>
    </row>
    <row r="4726" spans="6:6">
      <c r="F4726">
        <f t="shared" si="73"/>
        <v>0</v>
      </c>
    </row>
    <row r="4727" spans="6:6">
      <c r="F4727">
        <f t="shared" si="73"/>
        <v>0</v>
      </c>
    </row>
    <row r="4728" spans="6:6">
      <c r="F4728">
        <f t="shared" si="73"/>
        <v>0</v>
      </c>
    </row>
    <row r="4729" spans="6:6">
      <c r="F4729">
        <f t="shared" si="73"/>
        <v>0</v>
      </c>
    </row>
    <row r="4730" spans="6:6">
      <c r="F4730">
        <f t="shared" si="73"/>
        <v>0</v>
      </c>
    </row>
    <row r="4731" spans="6:6">
      <c r="F4731">
        <f t="shared" si="73"/>
        <v>0</v>
      </c>
    </row>
    <row r="4732" spans="6:6">
      <c r="F4732">
        <f t="shared" si="73"/>
        <v>0</v>
      </c>
    </row>
    <row r="4733" spans="6:6">
      <c r="F4733">
        <f t="shared" si="73"/>
        <v>0</v>
      </c>
    </row>
    <row r="4734" spans="6:6">
      <c r="F4734">
        <f t="shared" si="73"/>
        <v>0</v>
      </c>
    </row>
    <row r="4735" spans="6:6">
      <c r="F4735">
        <f t="shared" si="73"/>
        <v>0</v>
      </c>
    </row>
    <row r="4736" spans="6:6">
      <c r="F4736">
        <f t="shared" si="73"/>
        <v>0</v>
      </c>
    </row>
    <row r="4737" spans="6:6">
      <c r="F4737">
        <f t="shared" si="73"/>
        <v>0</v>
      </c>
    </row>
    <row r="4738" spans="6:6">
      <c r="F4738">
        <f t="shared" si="73"/>
        <v>0</v>
      </c>
    </row>
    <row r="4739" spans="6:6">
      <c r="F4739">
        <f t="shared" si="73"/>
        <v>0</v>
      </c>
    </row>
    <row r="4740" spans="6:6">
      <c r="F4740">
        <f t="shared" si="73"/>
        <v>0</v>
      </c>
    </row>
    <row r="4741" spans="6:6">
      <c r="F4741">
        <f t="shared" si="73"/>
        <v>0</v>
      </c>
    </row>
    <row r="4742" spans="6:6">
      <c r="F4742">
        <f t="shared" si="73"/>
        <v>0</v>
      </c>
    </row>
    <row r="4743" spans="6:6">
      <c r="F4743">
        <f t="shared" si="73"/>
        <v>0</v>
      </c>
    </row>
    <row r="4744" spans="6:6">
      <c r="F4744">
        <f t="shared" si="73"/>
        <v>0</v>
      </c>
    </row>
    <row r="4745" spans="6:6">
      <c r="F4745">
        <f t="shared" si="73"/>
        <v>0</v>
      </c>
    </row>
    <row r="4746" spans="6:6">
      <c r="F4746">
        <f t="shared" ref="F4746:F4809" si="74">CHOOSE($C$1, A4746, B4746)</f>
        <v>0</v>
      </c>
    </row>
    <row r="4747" spans="6:6">
      <c r="F4747">
        <f t="shared" si="74"/>
        <v>0</v>
      </c>
    </row>
    <row r="4748" spans="6:6">
      <c r="F4748">
        <f t="shared" si="74"/>
        <v>0</v>
      </c>
    </row>
    <row r="4749" spans="6:6">
      <c r="F4749">
        <f t="shared" si="74"/>
        <v>0</v>
      </c>
    </row>
    <row r="4750" spans="6:6">
      <c r="F4750">
        <f t="shared" si="74"/>
        <v>0</v>
      </c>
    </row>
    <row r="4751" spans="6:6">
      <c r="F4751">
        <f t="shared" si="74"/>
        <v>0</v>
      </c>
    </row>
    <row r="4752" spans="6:6">
      <c r="F4752">
        <f t="shared" si="74"/>
        <v>0</v>
      </c>
    </row>
    <row r="4753" spans="6:6">
      <c r="F4753">
        <f t="shared" si="74"/>
        <v>0</v>
      </c>
    </row>
    <row r="4754" spans="6:6">
      <c r="F4754">
        <f t="shared" si="74"/>
        <v>0</v>
      </c>
    </row>
    <row r="4755" spans="6:6">
      <c r="F4755">
        <f t="shared" si="74"/>
        <v>0</v>
      </c>
    </row>
    <row r="4756" spans="6:6">
      <c r="F4756">
        <f t="shared" si="74"/>
        <v>0</v>
      </c>
    </row>
    <row r="4757" spans="6:6">
      <c r="F4757">
        <f t="shared" si="74"/>
        <v>0</v>
      </c>
    </row>
    <row r="4758" spans="6:6">
      <c r="F4758">
        <f t="shared" si="74"/>
        <v>0</v>
      </c>
    </row>
    <row r="4759" spans="6:6">
      <c r="F4759">
        <f t="shared" si="74"/>
        <v>0</v>
      </c>
    </row>
    <row r="4760" spans="6:6">
      <c r="F4760">
        <f t="shared" si="74"/>
        <v>0</v>
      </c>
    </row>
    <row r="4761" spans="6:6">
      <c r="F4761">
        <f t="shared" si="74"/>
        <v>0</v>
      </c>
    </row>
    <row r="4762" spans="6:6">
      <c r="F4762">
        <f t="shared" si="74"/>
        <v>0</v>
      </c>
    </row>
    <row r="4763" spans="6:6">
      <c r="F4763">
        <f t="shared" si="74"/>
        <v>0</v>
      </c>
    </row>
    <row r="4764" spans="6:6">
      <c r="F4764">
        <f t="shared" si="74"/>
        <v>0</v>
      </c>
    </row>
    <row r="4765" spans="6:6">
      <c r="F4765">
        <f t="shared" si="74"/>
        <v>0</v>
      </c>
    </row>
    <row r="4766" spans="6:6">
      <c r="F4766">
        <f t="shared" si="74"/>
        <v>0</v>
      </c>
    </row>
    <row r="4767" spans="6:6">
      <c r="F4767">
        <f t="shared" si="74"/>
        <v>0</v>
      </c>
    </row>
    <row r="4768" spans="6:6">
      <c r="F4768">
        <f t="shared" si="74"/>
        <v>0</v>
      </c>
    </row>
    <row r="4769" spans="6:6">
      <c r="F4769">
        <f t="shared" si="74"/>
        <v>0</v>
      </c>
    </row>
    <row r="4770" spans="6:6">
      <c r="F4770">
        <f t="shared" si="74"/>
        <v>0</v>
      </c>
    </row>
    <row r="4771" spans="6:6">
      <c r="F4771">
        <f t="shared" si="74"/>
        <v>0</v>
      </c>
    </row>
    <row r="4772" spans="6:6">
      <c r="F4772">
        <f t="shared" si="74"/>
        <v>0</v>
      </c>
    </row>
    <row r="4773" spans="6:6">
      <c r="F4773">
        <f t="shared" si="74"/>
        <v>0</v>
      </c>
    </row>
    <row r="4774" spans="6:6">
      <c r="F4774">
        <f t="shared" si="74"/>
        <v>0</v>
      </c>
    </row>
    <row r="4775" spans="6:6">
      <c r="F4775">
        <f t="shared" si="74"/>
        <v>0</v>
      </c>
    </row>
    <row r="4776" spans="6:6">
      <c r="F4776">
        <f t="shared" si="74"/>
        <v>0</v>
      </c>
    </row>
    <row r="4777" spans="6:6">
      <c r="F4777">
        <f t="shared" si="74"/>
        <v>0</v>
      </c>
    </row>
    <row r="4778" spans="6:6">
      <c r="F4778">
        <f t="shared" si="74"/>
        <v>0</v>
      </c>
    </row>
    <row r="4779" spans="6:6">
      <c r="F4779">
        <f t="shared" si="74"/>
        <v>0</v>
      </c>
    </row>
    <row r="4780" spans="6:6">
      <c r="F4780">
        <f t="shared" si="74"/>
        <v>0</v>
      </c>
    </row>
    <row r="4781" spans="6:6">
      <c r="F4781">
        <f t="shared" si="74"/>
        <v>0</v>
      </c>
    </row>
    <row r="4782" spans="6:6">
      <c r="F4782">
        <f t="shared" si="74"/>
        <v>0</v>
      </c>
    </row>
    <row r="4783" spans="6:6">
      <c r="F4783">
        <f t="shared" si="74"/>
        <v>0</v>
      </c>
    </row>
    <row r="4784" spans="6:6">
      <c r="F4784">
        <f t="shared" si="74"/>
        <v>0</v>
      </c>
    </row>
    <row r="4785" spans="6:6">
      <c r="F4785">
        <f t="shared" si="74"/>
        <v>0</v>
      </c>
    </row>
    <row r="4786" spans="6:6">
      <c r="F4786">
        <f t="shared" si="74"/>
        <v>0</v>
      </c>
    </row>
    <row r="4787" spans="6:6">
      <c r="F4787">
        <f t="shared" si="74"/>
        <v>0</v>
      </c>
    </row>
    <row r="4788" spans="6:6">
      <c r="F4788">
        <f t="shared" si="74"/>
        <v>0</v>
      </c>
    </row>
    <row r="4789" spans="6:6">
      <c r="F4789">
        <f t="shared" si="74"/>
        <v>0</v>
      </c>
    </row>
    <row r="4790" spans="6:6">
      <c r="F4790">
        <f t="shared" si="74"/>
        <v>0</v>
      </c>
    </row>
    <row r="4791" spans="6:6">
      <c r="F4791">
        <f t="shared" si="74"/>
        <v>0</v>
      </c>
    </row>
    <row r="4792" spans="6:6">
      <c r="F4792">
        <f t="shared" si="74"/>
        <v>0</v>
      </c>
    </row>
    <row r="4793" spans="6:6">
      <c r="F4793">
        <f t="shared" si="74"/>
        <v>0</v>
      </c>
    </row>
    <row r="4794" spans="6:6">
      <c r="F4794">
        <f t="shared" si="74"/>
        <v>0</v>
      </c>
    </row>
    <row r="4795" spans="6:6">
      <c r="F4795">
        <f t="shared" si="74"/>
        <v>0</v>
      </c>
    </row>
    <row r="4796" spans="6:6">
      <c r="F4796">
        <f t="shared" si="74"/>
        <v>0</v>
      </c>
    </row>
    <row r="4797" spans="6:6">
      <c r="F4797">
        <f t="shared" si="74"/>
        <v>0</v>
      </c>
    </row>
    <row r="4798" spans="6:6">
      <c r="F4798">
        <f t="shared" si="74"/>
        <v>0</v>
      </c>
    </row>
    <row r="4799" spans="6:6">
      <c r="F4799">
        <f t="shared" si="74"/>
        <v>0</v>
      </c>
    </row>
    <row r="4800" spans="6:6">
      <c r="F4800">
        <f t="shared" si="74"/>
        <v>0</v>
      </c>
    </row>
    <row r="4801" spans="6:6">
      <c r="F4801">
        <f t="shared" si="74"/>
        <v>0</v>
      </c>
    </row>
    <row r="4802" spans="6:6">
      <c r="F4802">
        <f t="shared" si="74"/>
        <v>0</v>
      </c>
    </row>
    <row r="4803" spans="6:6">
      <c r="F4803">
        <f t="shared" si="74"/>
        <v>0</v>
      </c>
    </row>
    <row r="4804" spans="6:6">
      <c r="F4804">
        <f t="shared" si="74"/>
        <v>0</v>
      </c>
    </row>
    <row r="4805" spans="6:6">
      <c r="F4805">
        <f t="shared" si="74"/>
        <v>0</v>
      </c>
    </row>
    <row r="4806" spans="6:6">
      <c r="F4806">
        <f t="shared" si="74"/>
        <v>0</v>
      </c>
    </row>
    <row r="4807" spans="6:6">
      <c r="F4807">
        <f t="shared" si="74"/>
        <v>0</v>
      </c>
    </row>
    <row r="4808" spans="6:6">
      <c r="F4808">
        <f t="shared" si="74"/>
        <v>0</v>
      </c>
    </row>
    <row r="4809" spans="6:6">
      <c r="F4809">
        <f t="shared" si="74"/>
        <v>0</v>
      </c>
    </row>
    <row r="4810" spans="6:6">
      <c r="F4810">
        <f t="shared" ref="F4810:F4873" si="75">CHOOSE($C$1, A4810, B4810)</f>
        <v>0</v>
      </c>
    </row>
    <row r="4811" spans="6:6">
      <c r="F4811">
        <f t="shared" si="75"/>
        <v>0</v>
      </c>
    </row>
    <row r="4812" spans="6:6">
      <c r="F4812">
        <f t="shared" si="75"/>
        <v>0</v>
      </c>
    </row>
    <row r="4813" spans="6:6">
      <c r="F4813">
        <f t="shared" si="75"/>
        <v>0</v>
      </c>
    </row>
    <row r="4814" spans="6:6">
      <c r="F4814">
        <f t="shared" si="75"/>
        <v>0</v>
      </c>
    </row>
    <row r="4815" spans="6:6">
      <c r="F4815">
        <f t="shared" si="75"/>
        <v>0</v>
      </c>
    </row>
    <row r="4816" spans="6:6">
      <c r="F4816">
        <f t="shared" si="75"/>
        <v>0</v>
      </c>
    </row>
    <row r="4817" spans="6:6">
      <c r="F4817">
        <f t="shared" si="75"/>
        <v>0</v>
      </c>
    </row>
    <row r="4818" spans="6:6">
      <c r="F4818">
        <f t="shared" si="75"/>
        <v>0</v>
      </c>
    </row>
    <row r="4819" spans="6:6">
      <c r="F4819">
        <f t="shared" si="75"/>
        <v>0</v>
      </c>
    </row>
    <row r="4820" spans="6:6">
      <c r="F4820">
        <f t="shared" si="75"/>
        <v>0</v>
      </c>
    </row>
    <row r="4821" spans="6:6">
      <c r="F4821">
        <f t="shared" si="75"/>
        <v>0</v>
      </c>
    </row>
    <row r="4822" spans="6:6">
      <c r="F4822">
        <f t="shared" si="75"/>
        <v>0</v>
      </c>
    </row>
    <row r="4823" spans="6:6">
      <c r="F4823">
        <f t="shared" si="75"/>
        <v>0</v>
      </c>
    </row>
    <row r="4824" spans="6:6">
      <c r="F4824">
        <f t="shared" si="75"/>
        <v>0</v>
      </c>
    </row>
    <row r="4825" spans="6:6">
      <c r="F4825">
        <f t="shared" si="75"/>
        <v>0</v>
      </c>
    </row>
    <row r="4826" spans="6:6">
      <c r="F4826">
        <f t="shared" si="75"/>
        <v>0</v>
      </c>
    </row>
    <row r="4827" spans="6:6">
      <c r="F4827">
        <f t="shared" si="75"/>
        <v>0</v>
      </c>
    </row>
    <row r="4828" spans="6:6">
      <c r="F4828">
        <f t="shared" si="75"/>
        <v>0</v>
      </c>
    </row>
    <row r="4829" spans="6:6">
      <c r="F4829">
        <f t="shared" si="75"/>
        <v>0</v>
      </c>
    </row>
    <row r="4830" spans="6:6">
      <c r="F4830">
        <f t="shared" si="75"/>
        <v>0</v>
      </c>
    </row>
    <row r="4831" spans="6:6">
      <c r="F4831">
        <f t="shared" si="75"/>
        <v>0</v>
      </c>
    </row>
    <row r="4832" spans="6:6">
      <c r="F4832">
        <f t="shared" si="75"/>
        <v>0</v>
      </c>
    </row>
    <row r="4833" spans="6:6">
      <c r="F4833">
        <f t="shared" si="75"/>
        <v>0</v>
      </c>
    </row>
    <row r="4834" spans="6:6">
      <c r="F4834">
        <f t="shared" si="75"/>
        <v>0</v>
      </c>
    </row>
    <row r="4835" spans="6:6">
      <c r="F4835">
        <f t="shared" si="75"/>
        <v>0</v>
      </c>
    </row>
    <row r="4836" spans="6:6">
      <c r="F4836">
        <f t="shared" si="75"/>
        <v>0</v>
      </c>
    </row>
    <row r="4837" spans="6:6">
      <c r="F4837">
        <f t="shared" si="75"/>
        <v>0</v>
      </c>
    </row>
    <row r="4838" spans="6:6">
      <c r="F4838">
        <f t="shared" si="75"/>
        <v>0</v>
      </c>
    </row>
    <row r="4839" spans="6:6">
      <c r="F4839">
        <f t="shared" si="75"/>
        <v>0</v>
      </c>
    </row>
    <row r="4840" spans="6:6">
      <c r="F4840">
        <f t="shared" si="75"/>
        <v>0</v>
      </c>
    </row>
    <row r="4841" spans="6:6">
      <c r="F4841">
        <f t="shared" si="75"/>
        <v>0</v>
      </c>
    </row>
    <row r="4842" spans="6:6">
      <c r="F4842">
        <f t="shared" si="75"/>
        <v>0</v>
      </c>
    </row>
    <row r="4843" spans="6:6">
      <c r="F4843">
        <f t="shared" si="75"/>
        <v>0</v>
      </c>
    </row>
    <row r="4844" spans="6:6">
      <c r="F4844">
        <f t="shared" si="75"/>
        <v>0</v>
      </c>
    </row>
    <row r="4845" spans="6:6">
      <c r="F4845">
        <f t="shared" si="75"/>
        <v>0</v>
      </c>
    </row>
    <row r="4846" spans="6:6">
      <c r="F4846">
        <f t="shared" si="75"/>
        <v>0</v>
      </c>
    </row>
    <row r="4847" spans="6:6">
      <c r="F4847">
        <f t="shared" si="75"/>
        <v>0</v>
      </c>
    </row>
    <row r="4848" spans="6:6">
      <c r="F4848">
        <f t="shared" si="75"/>
        <v>0</v>
      </c>
    </row>
    <row r="4849" spans="6:6">
      <c r="F4849">
        <f t="shared" si="75"/>
        <v>0</v>
      </c>
    </row>
    <row r="4850" spans="6:6">
      <c r="F4850">
        <f t="shared" si="75"/>
        <v>0</v>
      </c>
    </row>
    <row r="4851" spans="6:6">
      <c r="F4851">
        <f t="shared" si="75"/>
        <v>0</v>
      </c>
    </row>
    <row r="4852" spans="6:6">
      <c r="F4852">
        <f t="shared" si="75"/>
        <v>0</v>
      </c>
    </row>
    <row r="4853" spans="6:6">
      <c r="F4853">
        <f t="shared" si="75"/>
        <v>0</v>
      </c>
    </row>
    <row r="4854" spans="6:6">
      <c r="F4854">
        <f t="shared" si="75"/>
        <v>0</v>
      </c>
    </row>
    <row r="4855" spans="6:6">
      <c r="F4855">
        <f t="shared" si="75"/>
        <v>0</v>
      </c>
    </row>
    <row r="4856" spans="6:6">
      <c r="F4856">
        <f t="shared" si="75"/>
        <v>0</v>
      </c>
    </row>
    <row r="4857" spans="6:6">
      <c r="F4857">
        <f t="shared" si="75"/>
        <v>0</v>
      </c>
    </row>
    <row r="4858" spans="6:6">
      <c r="F4858">
        <f t="shared" si="75"/>
        <v>0</v>
      </c>
    </row>
    <row r="4859" spans="6:6">
      <c r="F4859">
        <f t="shared" si="75"/>
        <v>0</v>
      </c>
    </row>
    <row r="4860" spans="6:6">
      <c r="F4860">
        <f t="shared" si="75"/>
        <v>0</v>
      </c>
    </row>
    <row r="4861" spans="6:6">
      <c r="F4861">
        <f t="shared" si="75"/>
        <v>0</v>
      </c>
    </row>
    <row r="4862" spans="6:6">
      <c r="F4862">
        <f t="shared" si="75"/>
        <v>0</v>
      </c>
    </row>
    <row r="4863" spans="6:6">
      <c r="F4863">
        <f t="shared" si="75"/>
        <v>0</v>
      </c>
    </row>
    <row r="4864" spans="6:6">
      <c r="F4864">
        <f t="shared" si="75"/>
        <v>0</v>
      </c>
    </row>
    <row r="4865" spans="6:6">
      <c r="F4865">
        <f t="shared" si="75"/>
        <v>0</v>
      </c>
    </row>
    <row r="4866" spans="6:6">
      <c r="F4866">
        <f t="shared" si="75"/>
        <v>0</v>
      </c>
    </row>
    <row r="4867" spans="6:6">
      <c r="F4867">
        <f t="shared" si="75"/>
        <v>0</v>
      </c>
    </row>
    <row r="4868" spans="6:6">
      <c r="F4868">
        <f t="shared" si="75"/>
        <v>0</v>
      </c>
    </row>
    <row r="4869" spans="6:6">
      <c r="F4869">
        <f t="shared" si="75"/>
        <v>0</v>
      </c>
    </row>
    <row r="4870" spans="6:6">
      <c r="F4870">
        <f t="shared" si="75"/>
        <v>0</v>
      </c>
    </row>
    <row r="4871" spans="6:6">
      <c r="F4871">
        <f t="shared" si="75"/>
        <v>0</v>
      </c>
    </row>
    <row r="4872" spans="6:6">
      <c r="F4872">
        <f t="shared" si="75"/>
        <v>0</v>
      </c>
    </row>
    <row r="4873" spans="6:6">
      <c r="F4873">
        <f t="shared" si="75"/>
        <v>0</v>
      </c>
    </row>
    <row r="4874" spans="6:6">
      <c r="F4874">
        <f t="shared" ref="F4874:F4937" si="76">CHOOSE($C$1, A4874, B4874)</f>
        <v>0</v>
      </c>
    </row>
    <row r="4875" spans="6:6">
      <c r="F4875">
        <f t="shared" si="76"/>
        <v>0</v>
      </c>
    </row>
    <row r="4876" spans="6:6">
      <c r="F4876">
        <f t="shared" si="76"/>
        <v>0</v>
      </c>
    </row>
    <row r="4877" spans="6:6">
      <c r="F4877">
        <f t="shared" si="76"/>
        <v>0</v>
      </c>
    </row>
    <row r="4878" spans="6:6">
      <c r="F4878">
        <f t="shared" si="76"/>
        <v>0</v>
      </c>
    </row>
    <row r="4879" spans="6:6">
      <c r="F4879">
        <f t="shared" si="76"/>
        <v>0</v>
      </c>
    </row>
    <row r="4880" spans="6:6">
      <c r="F4880">
        <f t="shared" si="76"/>
        <v>0</v>
      </c>
    </row>
    <row r="4881" spans="6:6">
      <c r="F4881">
        <f t="shared" si="76"/>
        <v>0</v>
      </c>
    </row>
    <row r="4882" spans="6:6">
      <c r="F4882">
        <f t="shared" si="76"/>
        <v>0</v>
      </c>
    </row>
    <row r="4883" spans="6:6">
      <c r="F4883">
        <f t="shared" si="76"/>
        <v>0</v>
      </c>
    </row>
    <row r="4884" spans="6:6">
      <c r="F4884">
        <f t="shared" si="76"/>
        <v>0</v>
      </c>
    </row>
    <row r="4885" spans="6:6">
      <c r="F4885">
        <f t="shared" si="76"/>
        <v>0</v>
      </c>
    </row>
    <row r="4886" spans="6:6">
      <c r="F4886">
        <f t="shared" si="76"/>
        <v>0</v>
      </c>
    </row>
    <row r="4887" spans="6:6">
      <c r="F4887">
        <f t="shared" si="76"/>
        <v>0</v>
      </c>
    </row>
    <row r="4888" spans="6:6">
      <c r="F4888">
        <f t="shared" si="76"/>
        <v>0</v>
      </c>
    </row>
    <row r="4889" spans="6:6">
      <c r="F4889">
        <f t="shared" si="76"/>
        <v>0</v>
      </c>
    </row>
    <row r="4890" spans="6:6">
      <c r="F4890">
        <f t="shared" si="76"/>
        <v>0</v>
      </c>
    </row>
    <row r="4891" spans="6:6">
      <c r="F4891">
        <f t="shared" si="76"/>
        <v>0</v>
      </c>
    </row>
    <row r="4892" spans="6:6">
      <c r="F4892">
        <f t="shared" si="76"/>
        <v>0</v>
      </c>
    </row>
    <row r="4893" spans="6:6">
      <c r="F4893">
        <f t="shared" si="76"/>
        <v>0</v>
      </c>
    </row>
    <row r="4894" spans="6:6">
      <c r="F4894">
        <f t="shared" si="76"/>
        <v>0</v>
      </c>
    </row>
    <row r="4895" spans="6:6">
      <c r="F4895">
        <f t="shared" si="76"/>
        <v>0</v>
      </c>
    </row>
    <row r="4896" spans="6:6">
      <c r="F4896">
        <f t="shared" si="76"/>
        <v>0</v>
      </c>
    </row>
    <row r="4897" spans="6:6">
      <c r="F4897">
        <f t="shared" si="76"/>
        <v>0</v>
      </c>
    </row>
    <row r="4898" spans="6:6">
      <c r="F4898">
        <f t="shared" si="76"/>
        <v>0</v>
      </c>
    </row>
    <row r="4899" spans="6:6">
      <c r="F4899">
        <f t="shared" si="76"/>
        <v>0</v>
      </c>
    </row>
    <row r="4900" spans="6:6">
      <c r="F4900">
        <f t="shared" si="76"/>
        <v>0</v>
      </c>
    </row>
    <row r="4901" spans="6:6">
      <c r="F4901">
        <f t="shared" si="76"/>
        <v>0</v>
      </c>
    </row>
    <row r="4902" spans="6:6">
      <c r="F4902">
        <f t="shared" si="76"/>
        <v>0</v>
      </c>
    </row>
    <row r="4903" spans="6:6">
      <c r="F4903">
        <f t="shared" si="76"/>
        <v>0</v>
      </c>
    </row>
    <row r="4904" spans="6:6">
      <c r="F4904">
        <f t="shared" si="76"/>
        <v>0</v>
      </c>
    </row>
    <row r="4905" spans="6:6">
      <c r="F4905">
        <f t="shared" si="76"/>
        <v>0</v>
      </c>
    </row>
    <row r="4906" spans="6:6">
      <c r="F4906">
        <f t="shared" si="76"/>
        <v>0</v>
      </c>
    </row>
    <row r="4907" spans="6:6">
      <c r="F4907">
        <f t="shared" si="76"/>
        <v>0</v>
      </c>
    </row>
    <row r="4908" spans="6:6">
      <c r="F4908">
        <f t="shared" si="76"/>
        <v>0</v>
      </c>
    </row>
    <row r="4909" spans="6:6">
      <c r="F4909">
        <f t="shared" si="76"/>
        <v>0</v>
      </c>
    </row>
    <row r="4910" spans="6:6">
      <c r="F4910">
        <f t="shared" si="76"/>
        <v>0</v>
      </c>
    </row>
    <row r="4911" spans="6:6">
      <c r="F4911">
        <f t="shared" si="76"/>
        <v>0</v>
      </c>
    </row>
    <row r="4912" spans="6:6">
      <c r="F4912">
        <f t="shared" si="76"/>
        <v>0</v>
      </c>
    </row>
    <row r="4913" spans="6:6">
      <c r="F4913">
        <f t="shared" si="76"/>
        <v>0</v>
      </c>
    </row>
    <row r="4914" spans="6:6">
      <c r="F4914">
        <f t="shared" si="76"/>
        <v>0</v>
      </c>
    </row>
    <row r="4915" spans="6:6">
      <c r="F4915">
        <f t="shared" si="76"/>
        <v>0</v>
      </c>
    </row>
    <row r="4916" spans="6:6">
      <c r="F4916">
        <f t="shared" si="76"/>
        <v>0</v>
      </c>
    </row>
    <row r="4917" spans="6:6">
      <c r="F4917">
        <f t="shared" si="76"/>
        <v>0</v>
      </c>
    </row>
    <row r="4918" spans="6:6">
      <c r="F4918">
        <f t="shared" si="76"/>
        <v>0</v>
      </c>
    </row>
    <row r="4919" spans="6:6">
      <c r="F4919">
        <f t="shared" si="76"/>
        <v>0</v>
      </c>
    </row>
    <row r="4920" spans="6:6">
      <c r="F4920">
        <f t="shared" si="76"/>
        <v>0</v>
      </c>
    </row>
    <row r="4921" spans="6:6">
      <c r="F4921">
        <f t="shared" si="76"/>
        <v>0</v>
      </c>
    </row>
    <row r="4922" spans="6:6">
      <c r="F4922">
        <f t="shared" si="76"/>
        <v>0</v>
      </c>
    </row>
    <row r="4923" spans="6:6">
      <c r="F4923">
        <f t="shared" si="76"/>
        <v>0</v>
      </c>
    </row>
    <row r="4924" spans="6:6">
      <c r="F4924">
        <f t="shared" si="76"/>
        <v>0</v>
      </c>
    </row>
    <row r="4925" spans="6:6">
      <c r="F4925">
        <f t="shared" si="76"/>
        <v>0</v>
      </c>
    </row>
    <row r="4926" spans="6:6">
      <c r="F4926">
        <f t="shared" si="76"/>
        <v>0</v>
      </c>
    </row>
    <row r="4927" spans="6:6">
      <c r="F4927">
        <f t="shared" si="76"/>
        <v>0</v>
      </c>
    </row>
    <row r="4928" spans="6:6">
      <c r="F4928">
        <f t="shared" si="76"/>
        <v>0</v>
      </c>
    </row>
    <row r="4929" spans="6:6">
      <c r="F4929">
        <f t="shared" si="76"/>
        <v>0</v>
      </c>
    </row>
    <row r="4930" spans="6:6">
      <c r="F4930">
        <f t="shared" si="76"/>
        <v>0</v>
      </c>
    </row>
    <row r="4931" spans="6:6">
      <c r="F4931">
        <f t="shared" si="76"/>
        <v>0</v>
      </c>
    </row>
    <row r="4932" spans="6:6">
      <c r="F4932">
        <f t="shared" si="76"/>
        <v>0</v>
      </c>
    </row>
    <row r="4933" spans="6:6">
      <c r="F4933">
        <f t="shared" si="76"/>
        <v>0</v>
      </c>
    </row>
    <row r="4934" spans="6:6">
      <c r="F4934">
        <f t="shared" si="76"/>
        <v>0</v>
      </c>
    </row>
    <row r="4935" spans="6:6">
      <c r="F4935">
        <f t="shared" si="76"/>
        <v>0</v>
      </c>
    </row>
    <row r="4936" spans="6:6">
      <c r="F4936">
        <f t="shared" si="76"/>
        <v>0</v>
      </c>
    </row>
    <row r="4937" spans="6:6">
      <c r="F4937">
        <f t="shared" si="76"/>
        <v>0</v>
      </c>
    </row>
    <row r="4938" spans="6:6">
      <c r="F4938">
        <f t="shared" ref="F4938:F5001" si="77">CHOOSE($C$1, A4938, B4938)</f>
        <v>0</v>
      </c>
    </row>
    <row r="4939" spans="6:6">
      <c r="F4939">
        <f t="shared" si="77"/>
        <v>0</v>
      </c>
    </row>
    <row r="4940" spans="6:6">
      <c r="F4940">
        <f t="shared" si="77"/>
        <v>0</v>
      </c>
    </row>
    <row r="4941" spans="6:6">
      <c r="F4941">
        <f t="shared" si="77"/>
        <v>0</v>
      </c>
    </row>
    <row r="4942" spans="6:6">
      <c r="F4942">
        <f t="shared" si="77"/>
        <v>0</v>
      </c>
    </row>
    <row r="4943" spans="6:6">
      <c r="F4943">
        <f t="shared" si="77"/>
        <v>0</v>
      </c>
    </row>
    <row r="4944" spans="6:6">
      <c r="F4944">
        <f t="shared" si="77"/>
        <v>0</v>
      </c>
    </row>
    <row r="4945" spans="6:6">
      <c r="F4945">
        <f t="shared" si="77"/>
        <v>0</v>
      </c>
    </row>
    <row r="4946" spans="6:6">
      <c r="F4946">
        <f t="shared" si="77"/>
        <v>0</v>
      </c>
    </row>
    <row r="4947" spans="6:6">
      <c r="F4947">
        <f t="shared" si="77"/>
        <v>0</v>
      </c>
    </row>
    <row r="4948" spans="6:6">
      <c r="F4948">
        <f t="shared" si="77"/>
        <v>0</v>
      </c>
    </row>
    <row r="4949" spans="6:6">
      <c r="F4949">
        <f t="shared" si="77"/>
        <v>0</v>
      </c>
    </row>
    <row r="4950" spans="6:6">
      <c r="F4950">
        <f t="shared" si="77"/>
        <v>0</v>
      </c>
    </row>
    <row r="4951" spans="6:6">
      <c r="F4951">
        <f t="shared" si="77"/>
        <v>0</v>
      </c>
    </row>
    <row r="4952" spans="6:6">
      <c r="F4952">
        <f t="shared" si="77"/>
        <v>0</v>
      </c>
    </row>
    <row r="4953" spans="6:6">
      <c r="F4953">
        <f t="shared" si="77"/>
        <v>0</v>
      </c>
    </row>
    <row r="4954" spans="6:6">
      <c r="F4954">
        <f t="shared" si="77"/>
        <v>0</v>
      </c>
    </row>
    <row r="4955" spans="6:6">
      <c r="F4955">
        <f t="shared" si="77"/>
        <v>0</v>
      </c>
    </row>
    <row r="4956" spans="6:6">
      <c r="F4956">
        <f t="shared" si="77"/>
        <v>0</v>
      </c>
    </row>
    <row r="4957" spans="6:6">
      <c r="F4957">
        <f t="shared" si="77"/>
        <v>0</v>
      </c>
    </row>
    <row r="4958" spans="6:6">
      <c r="F4958">
        <f t="shared" si="77"/>
        <v>0</v>
      </c>
    </row>
    <row r="4959" spans="6:6">
      <c r="F4959">
        <f t="shared" si="77"/>
        <v>0</v>
      </c>
    </row>
    <row r="4960" spans="6:6">
      <c r="F4960">
        <f t="shared" si="77"/>
        <v>0</v>
      </c>
    </row>
    <row r="4961" spans="6:6">
      <c r="F4961">
        <f t="shared" si="77"/>
        <v>0</v>
      </c>
    </row>
    <row r="4962" spans="6:6">
      <c r="F4962">
        <f t="shared" si="77"/>
        <v>0</v>
      </c>
    </row>
    <row r="4963" spans="6:6">
      <c r="F4963">
        <f t="shared" si="77"/>
        <v>0</v>
      </c>
    </row>
    <row r="4964" spans="6:6">
      <c r="F4964">
        <f t="shared" si="77"/>
        <v>0</v>
      </c>
    </row>
    <row r="4965" spans="6:6">
      <c r="F4965">
        <f t="shared" si="77"/>
        <v>0</v>
      </c>
    </row>
    <row r="4966" spans="6:6">
      <c r="F4966">
        <f t="shared" si="77"/>
        <v>0</v>
      </c>
    </row>
    <row r="4967" spans="6:6">
      <c r="F4967">
        <f t="shared" si="77"/>
        <v>0</v>
      </c>
    </row>
    <row r="4968" spans="6:6">
      <c r="F4968">
        <f t="shared" si="77"/>
        <v>0</v>
      </c>
    </row>
    <row r="4969" spans="6:6">
      <c r="F4969">
        <f t="shared" si="77"/>
        <v>0</v>
      </c>
    </row>
    <row r="4970" spans="6:6">
      <c r="F4970">
        <f t="shared" si="77"/>
        <v>0</v>
      </c>
    </row>
    <row r="4971" spans="6:6">
      <c r="F4971">
        <f t="shared" si="77"/>
        <v>0</v>
      </c>
    </row>
    <row r="4972" spans="6:6">
      <c r="F4972">
        <f t="shared" si="77"/>
        <v>0</v>
      </c>
    </row>
    <row r="4973" spans="6:6">
      <c r="F4973">
        <f t="shared" si="77"/>
        <v>0</v>
      </c>
    </row>
    <row r="4974" spans="6:6">
      <c r="F4974">
        <f t="shared" si="77"/>
        <v>0</v>
      </c>
    </row>
    <row r="4975" spans="6:6">
      <c r="F4975">
        <f t="shared" si="77"/>
        <v>0</v>
      </c>
    </row>
    <row r="4976" spans="6:6">
      <c r="F4976">
        <f t="shared" si="77"/>
        <v>0</v>
      </c>
    </row>
    <row r="4977" spans="6:6">
      <c r="F4977">
        <f t="shared" si="77"/>
        <v>0</v>
      </c>
    </row>
    <row r="4978" spans="6:6">
      <c r="F4978">
        <f t="shared" si="77"/>
        <v>0</v>
      </c>
    </row>
    <row r="4979" spans="6:6">
      <c r="F4979">
        <f t="shared" si="77"/>
        <v>0</v>
      </c>
    </row>
    <row r="4980" spans="6:6">
      <c r="F4980">
        <f t="shared" si="77"/>
        <v>0</v>
      </c>
    </row>
    <row r="4981" spans="6:6">
      <c r="F4981">
        <f t="shared" si="77"/>
        <v>0</v>
      </c>
    </row>
    <row r="4982" spans="6:6">
      <c r="F4982">
        <f t="shared" si="77"/>
        <v>0</v>
      </c>
    </row>
    <row r="4983" spans="6:6">
      <c r="F4983">
        <f t="shared" si="77"/>
        <v>0</v>
      </c>
    </row>
    <row r="4984" spans="6:6">
      <c r="F4984">
        <f t="shared" si="77"/>
        <v>0</v>
      </c>
    </row>
    <row r="4985" spans="6:6">
      <c r="F4985">
        <f t="shared" si="77"/>
        <v>0</v>
      </c>
    </row>
    <row r="4986" spans="6:6">
      <c r="F4986">
        <f t="shared" si="77"/>
        <v>0</v>
      </c>
    </row>
    <row r="4987" spans="6:6">
      <c r="F4987">
        <f t="shared" si="77"/>
        <v>0</v>
      </c>
    </row>
    <row r="4988" spans="6:6">
      <c r="F4988">
        <f t="shared" si="77"/>
        <v>0</v>
      </c>
    </row>
    <row r="4989" spans="6:6">
      <c r="F4989">
        <f t="shared" si="77"/>
        <v>0</v>
      </c>
    </row>
    <row r="4990" spans="6:6">
      <c r="F4990">
        <f t="shared" si="77"/>
        <v>0</v>
      </c>
    </row>
    <row r="4991" spans="6:6">
      <c r="F4991">
        <f t="shared" si="77"/>
        <v>0</v>
      </c>
    </row>
    <row r="4992" spans="6:6">
      <c r="F4992">
        <f t="shared" si="77"/>
        <v>0</v>
      </c>
    </row>
    <row r="4993" spans="6:6">
      <c r="F4993">
        <f t="shared" si="77"/>
        <v>0</v>
      </c>
    </row>
    <row r="4994" spans="6:6">
      <c r="F4994">
        <f t="shared" si="77"/>
        <v>0</v>
      </c>
    </row>
    <row r="4995" spans="6:6">
      <c r="F4995">
        <f t="shared" si="77"/>
        <v>0</v>
      </c>
    </row>
    <row r="4996" spans="6:6">
      <c r="F4996">
        <f t="shared" si="77"/>
        <v>0</v>
      </c>
    </row>
    <row r="4997" spans="6:6">
      <c r="F4997">
        <f t="shared" si="77"/>
        <v>0</v>
      </c>
    </row>
    <row r="4998" spans="6:6">
      <c r="F4998">
        <f t="shared" si="77"/>
        <v>0</v>
      </c>
    </row>
    <row r="4999" spans="6:6">
      <c r="F4999">
        <f t="shared" si="77"/>
        <v>0</v>
      </c>
    </row>
    <row r="5000" spans="6:6">
      <c r="F5000">
        <f t="shared" si="77"/>
        <v>0</v>
      </c>
    </row>
    <row r="5001" spans="6:6">
      <c r="F5001">
        <f t="shared" si="77"/>
        <v>0</v>
      </c>
    </row>
    <row r="5002" spans="6:6">
      <c r="F5002">
        <f t="shared" ref="F5002:F5008" si="78">CHOOSE($C$1, A5002, B5002)</f>
        <v>0</v>
      </c>
    </row>
    <row r="5003" spans="6:6">
      <c r="F5003">
        <f t="shared" si="78"/>
        <v>0</v>
      </c>
    </row>
    <row r="5004" spans="6:6">
      <c r="F5004">
        <f t="shared" si="78"/>
        <v>0</v>
      </c>
    </row>
    <row r="5005" spans="6:6">
      <c r="F5005">
        <f t="shared" si="78"/>
        <v>0</v>
      </c>
    </row>
    <row r="5006" spans="6:6">
      <c r="F5006">
        <f t="shared" si="78"/>
        <v>0</v>
      </c>
    </row>
    <row r="5007" spans="6:6">
      <c r="F5007">
        <f t="shared" si="78"/>
        <v>0</v>
      </c>
    </row>
    <row r="5008" spans="6:6">
      <c r="F5008">
        <f t="shared" si="78"/>
        <v>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신용등급</vt:lpstr>
      <vt:lpstr>기관코드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2019-06-10T02:53:56Z</dcterms:created>
  <dcterms:modified xsi:type="dcterms:W3CDTF">2023-07-17T07:23:17Z</dcterms:modified>
</cp:coreProperties>
</file>