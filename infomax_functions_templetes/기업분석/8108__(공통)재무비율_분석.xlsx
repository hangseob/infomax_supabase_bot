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360" yWindow="90" windowWidth="21420" windowHeight="8775"/>
  </bookViews>
  <sheets>
    <sheet name="재무비율" sheetId="1" r:id="rId1"/>
    <sheet name="Sheet1" sheetId="2" state="hidden" r:id="rId2"/>
  </sheets>
  <calcPr calcId="145621"/>
</workbook>
</file>

<file path=xl/calcChain.xml><?xml version="1.0" encoding="utf-8"?>
<calcChain xmlns="http://schemas.openxmlformats.org/spreadsheetml/2006/main">
  <c r="AS135" i="1" l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Q106" i="1"/>
  <c r="P106" i="1"/>
  <c r="O106" i="1"/>
  <c r="M106" i="1"/>
  <c r="L106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R102" i="1"/>
  <c r="N102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P99" i="1"/>
  <c r="O99" i="1"/>
  <c r="L99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R98" i="1"/>
  <c r="Q98" i="1"/>
  <c r="N98" i="1"/>
  <c r="M98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P97" i="1"/>
  <c r="O97" i="1"/>
  <c r="L97" i="1"/>
  <c r="K135" i="1"/>
  <c r="K134" i="1"/>
  <c r="K133" i="1"/>
  <c r="K132" i="1"/>
  <c r="K131" i="1"/>
  <c r="K128" i="1"/>
  <c r="K127" i="1"/>
  <c r="K124" i="1"/>
  <c r="K123" i="1"/>
  <c r="K121" i="1"/>
  <c r="K120" i="1"/>
  <c r="K119" i="1"/>
  <c r="K116" i="1"/>
  <c r="K115" i="1"/>
  <c r="K113" i="1"/>
  <c r="K112" i="1"/>
  <c r="K111" i="1"/>
  <c r="K110" i="1"/>
  <c r="K109" i="1"/>
  <c r="K108" i="1"/>
  <c r="K107" i="1"/>
  <c r="K106" i="1"/>
  <c r="K105" i="1"/>
  <c r="K104" i="1"/>
  <c r="K103" i="1"/>
  <c r="K101" i="1"/>
  <c r="K100" i="1"/>
  <c r="K99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H91" i="1"/>
  <c r="S130" i="1" s="1"/>
  <c r="M97" i="1" l="1"/>
  <c r="Q97" i="1"/>
  <c r="O98" i="1"/>
  <c r="S98" i="1"/>
  <c r="M99" i="1"/>
  <c r="Q99" i="1"/>
  <c r="K98" i="1"/>
  <c r="K102" i="1"/>
  <c r="K114" i="1"/>
  <c r="K118" i="1"/>
  <c r="K122" i="1"/>
  <c r="K126" i="1"/>
  <c r="K130" i="1"/>
  <c r="N97" i="1"/>
  <c r="R97" i="1"/>
  <c r="L98" i="1"/>
  <c r="P98" i="1"/>
  <c r="N99" i="1"/>
  <c r="R99" i="1"/>
  <c r="L102" i="1"/>
  <c r="P102" i="1"/>
  <c r="N103" i="1"/>
  <c r="R103" i="1"/>
  <c r="N107" i="1"/>
  <c r="R107" i="1"/>
  <c r="L108" i="1"/>
  <c r="P108" i="1"/>
  <c r="N111" i="1"/>
  <c r="R111" i="1"/>
  <c r="L112" i="1"/>
  <c r="P112" i="1"/>
  <c r="L114" i="1"/>
  <c r="P114" i="1"/>
  <c r="N115" i="1"/>
  <c r="R115" i="1"/>
  <c r="L116" i="1"/>
  <c r="P116" i="1"/>
  <c r="N117" i="1"/>
  <c r="R117" i="1"/>
  <c r="L118" i="1"/>
  <c r="P118" i="1"/>
  <c r="N119" i="1"/>
  <c r="R119" i="1"/>
  <c r="L120" i="1"/>
  <c r="P120" i="1"/>
  <c r="L122" i="1"/>
  <c r="P122" i="1"/>
  <c r="N123" i="1"/>
  <c r="R123" i="1"/>
  <c r="N125" i="1"/>
  <c r="R125" i="1"/>
  <c r="L126" i="1"/>
  <c r="P126" i="1"/>
  <c r="N127" i="1"/>
  <c r="R127" i="1"/>
  <c r="L128" i="1"/>
  <c r="P128" i="1"/>
  <c r="N129" i="1"/>
  <c r="R129" i="1"/>
  <c r="L130" i="1"/>
  <c r="P130" i="1"/>
  <c r="M102" i="1"/>
  <c r="Q102" i="1"/>
  <c r="O103" i="1"/>
  <c r="S103" i="1"/>
  <c r="O107" i="1"/>
  <c r="S107" i="1"/>
  <c r="M108" i="1"/>
  <c r="Q108" i="1"/>
  <c r="O111" i="1"/>
  <c r="S111" i="1"/>
  <c r="M112" i="1"/>
  <c r="Q112" i="1"/>
  <c r="M114" i="1"/>
  <c r="Q114" i="1"/>
  <c r="O115" i="1"/>
  <c r="S115" i="1"/>
  <c r="M116" i="1"/>
  <c r="Q116" i="1"/>
  <c r="O117" i="1"/>
  <c r="S117" i="1"/>
  <c r="M118" i="1"/>
  <c r="Q118" i="1"/>
  <c r="O119" i="1"/>
  <c r="S119" i="1"/>
  <c r="M120" i="1"/>
  <c r="Q120" i="1"/>
  <c r="M122" i="1"/>
  <c r="Q122" i="1"/>
  <c r="O123" i="1"/>
  <c r="S123" i="1"/>
  <c r="O125" i="1"/>
  <c r="S125" i="1"/>
  <c r="M126" i="1"/>
  <c r="Q126" i="1"/>
  <c r="O127" i="1"/>
  <c r="S127" i="1"/>
  <c r="M128" i="1"/>
  <c r="Q128" i="1"/>
  <c r="O129" i="1"/>
  <c r="S129" i="1"/>
  <c r="M130" i="1"/>
  <c r="Q130" i="1"/>
  <c r="L103" i="1"/>
  <c r="P103" i="1"/>
  <c r="N106" i="1"/>
  <c r="R106" i="1"/>
  <c r="L107" i="1"/>
  <c r="P107" i="1"/>
  <c r="N108" i="1"/>
  <c r="R108" i="1"/>
  <c r="L111" i="1"/>
  <c r="P111" i="1"/>
  <c r="N112" i="1"/>
  <c r="R112" i="1"/>
  <c r="N114" i="1"/>
  <c r="R114" i="1"/>
  <c r="L115" i="1"/>
  <c r="P115" i="1"/>
  <c r="N116" i="1"/>
  <c r="R116" i="1"/>
  <c r="L117" i="1"/>
  <c r="P117" i="1"/>
  <c r="N118" i="1"/>
  <c r="R118" i="1"/>
  <c r="L119" i="1"/>
  <c r="P119" i="1"/>
  <c r="N120" i="1"/>
  <c r="R120" i="1"/>
  <c r="N122" i="1"/>
  <c r="R122" i="1"/>
  <c r="L123" i="1"/>
  <c r="P123" i="1"/>
  <c r="L125" i="1"/>
  <c r="P125" i="1"/>
  <c r="N126" i="1"/>
  <c r="R126" i="1"/>
  <c r="L127" i="1"/>
  <c r="P127" i="1"/>
  <c r="N128" i="1"/>
  <c r="R128" i="1"/>
  <c r="L129" i="1"/>
  <c r="P129" i="1"/>
  <c r="N130" i="1"/>
  <c r="R130" i="1"/>
  <c r="K97" i="1"/>
  <c r="K117" i="1"/>
  <c r="K125" i="1"/>
  <c r="K129" i="1"/>
  <c r="O102" i="1"/>
  <c r="S102" i="1"/>
  <c r="M103" i="1"/>
  <c r="Q103" i="1"/>
  <c r="M107" i="1"/>
  <c r="Q107" i="1"/>
  <c r="O108" i="1"/>
  <c r="S108" i="1"/>
  <c r="M111" i="1"/>
  <c r="Q111" i="1"/>
  <c r="O112" i="1"/>
  <c r="S112" i="1"/>
  <c r="O114" i="1"/>
  <c r="S114" i="1"/>
  <c r="M115" i="1"/>
  <c r="Q115" i="1"/>
  <c r="O116" i="1"/>
  <c r="S116" i="1"/>
  <c r="M117" i="1"/>
  <c r="Q117" i="1"/>
  <c r="O118" i="1"/>
  <c r="S118" i="1"/>
  <c r="M119" i="1"/>
  <c r="Q119" i="1"/>
  <c r="O120" i="1"/>
  <c r="S120" i="1"/>
  <c r="O122" i="1"/>
  <c r="S122" i="1"/>
  <c r="M123" i="1"/>
  <c r="Q123" i="1"/>
  <c r="M125" i="1"/>
  <c r="Q125" i="1"/>
  <c r="O126" i="1"/>
  <c r="S126" i="1"/>
  <c r="M127" i="1"/>
  <c r="Q127" i="1"/>
  <c r="O128" i="1"/>
  <c r="S128" i="1"/>
  <c r="M129" i="1"/>
  <c r="Q129" i="1"/>
  <c r="O130" i="1"/>
  <c r="K359" i="1"/>
  <c r="K363" i="1" s="1"/>
  <c r="K374" i="1" s="1"/>
  <c r="K358" i="1"/>
  <c r="K362" i="1" s="1"/>
  <c r="K373" i="1" s="1"/>
  <c r="K357" i="1"/>
  <c r="K361" i="1" s="1"/>
  <c r="K372" i="1" s="1"/>
  <c r="K343" i="1"/>
  <c r="K333" i="1"/>
  <c r="K331" i="1"/>
  <c r="K330" i="1"/>
  <c r="K329" i="1"/>
  <c r="K283" i="1"/>
  <c r="K282" i="1"/>
  <c r="K281" i="1"/>
  <c r="K274" i="1"/>
  <c r="K280" i="1" s="1"/>
  <c r="K229" i="1"/>
  <c r="K227" i="1"/>
  <c r="K226" i="1"/>
  <c r="K225" i="1"/>
  <c r="K220" i="1"/>
  <c r="K228" i="1" s="1"/>
  <c r="K202" i="1"/>
  <c r="K201" i="1"/>
  <c r="K200" i="1"/>
  <c r="K199" i="1"/>
  <c r="K198" i="1"/>
  <c r="K210" i="1"/>
  <c r="K208" i="1"/>
  <c r="K207" i="1"/>
  <c r="K206" i="1"/>
  <c r="K257" i="1"/>
  <c r="K311" i="1"/>
  <c r="K309" i="1"/>
  <c r="K308" i="1"/>
  <c r="K307" i="1"/>
  <c r="K302" i="1"/>
  <c r="K310" i="1" s="1"/>
  <c r="K365" i="1" l="1"/>
  <c r="K366" i="1"/>
  <c r="K367" i="1"/>
  <c r="L404" i="1"/>
  <c r="M404" i="1"/>
  <c r="N404" i="1"/>
  <c r="O404" i="1"/>
  <c r="K404" i="1"/>
  <c r="L394" i="1"/>
  <c r="L398" i="1" s="1"/>
  <c r="L405" i="1" s="1"/>
  <c r="M394" i="1"/>
  <c r="M398" i="1" s="1"/>
  <c r="M405" i="1" s="1"/>
  <c r="N394" i="1"/>
  <c r="N398" i="1" s="1"/>
  <c r="N405" i="1" s="1"/>
  <c r="O394" i="1"/>
  <c r="O398" i="1" s="1"/>
  <c r="O405" i="1" s="1"/>
  <c r="P394" i="1"/>
  <c r="P398" i="1" s="1"/>
  <c r="L395" i="1"/>
  <c r="L399" i="1" s="1"/>
  <c r="L406" i="1" s="1"/>
  <c r="M395" i="1"/>
  <c r="M399" i="1" s="1"/>
  <c r="M406" i="1" s="1"/>
  <c r="N395" i="1"/>
  <c r="N399" i="1" s="1"/>
  <c r="N406" i="1" s="1"/>
  <c r="O395" i="1"/>
  <c r="O399" i="1" s="1"/>
  <c r="O406" i="1" s="1"/>
  <c r="P395" i="1"/>
  <c r="P399" i="1" s="1"/>
  <c r="L396" i="1"/>
  <c r="L400" i="1" s="1"/>
  <c r="L407" i="1" s="1"/>
  <c r="M396" i="1"/>
  <c r="M400" i="1" s="1"/>
  <c r="M407" i="1" s="1"/>
  <c r="N396" i="1"/>
  <c r="N400" i="1" s="1"/>
  <c r="N407" i="1" s="1"/>
  <c r="O396" i="1"/>
  <c r="O400" i="1" s="1"/>
  <c r="O407" i="1" s="1"/>
  <c r="P396" i="1"/>
  <c r="P400" i="1" s="1"/>
  <c r="K395" i="1"/>
  <c r="K399" i="1" s="1"/>
  <c r="K406" i="1" s="1"/>
  <c r="K396" i="1"/>
  <c r="K400" i="1" s="1"/>
  <c r="K407" i="1" s="1"/>
  <c r="K394" i="1"/>
  <c r="K398" i="1" s="1"/>
  <c r="K405" i="1" s="1"/>
  <c r="J371" i="1"/>
  <c r="L371" i="1"/>
  <c r="M371" i="1"/>
  <c r="N371" i="1"/>
  <c r="O371" i="1"/>
  <c r="P371" i="1"/>
  <c r="Q371" i="1"/>
  <c r="R371" i="1"/>
  <c r="S371" i="1"/>
  <c r="K371" i="1"/>
  <c r="L357" i="1"/>
  <c r="L361" i="1" s="1"/>
  <c r="L372" i="1" s="1"/>
  <c r="M357" i="1"/>
  <c r="M361" i="1" s="1"/>
  <c r="M372" i="1" s="1"/>
  <c r="N357" i="1"/>
  <c r="N361" i="1" s="1"/>
  <c r="N372" i="1" s="1"/>
  <c r="O357" i="1"/>
  <c r="O361" i="1" s="1"/>
  <c r="O372" i="1" s="1"/>
  <c r="P357" i="1"/>
  <c r="P361" i="1" s="1"/>
  <c r="P372" i="1" s="1"/>
  <c r="Q357" i="1"/>
  <c r="Q361" i="1" s="1"/>
  <c r="Q372" i="1" s="1"/>
  <c r="R357" i="1"/>
  <c r="R361" i="1" s="1"/>
  <c r="R372" i="1" s="1"/>
  <c r="S357" i="1"/>
  <c r="S361" i="1" s="1"/>
  <c r="S372" i="1" s="1"/>
  <c r="T357" i="1"/>
  <c r="T361" i="1" s="1"/>
  <c r="L358" i="1"/>
  <c r="L362" i="1" s="1"/>
  <c r="L373" i="1" s="1"/>
  <c r="M358" i="1"/>
  <c r="M362" i="1" s="1"/>
  <c r="M373" i="1" s="1"/>
  <c r="N358" i="1"/>
  <c r="N362" i="1" s="1"/>
  <c r="N373" i="1" s="1"/>
  <c r="O358" i="1"/>
  <c r="O362" i="1" s="1"/>
  <c r="O373" i="1" s="1"/>
  <c r="P358" i="1"/>
  <c r="P362" i="1" s="1"/>
  <c r="P373" i="1" s="1"/>
  <c r="Q358" i="1"/>
  <c r="Q362" i="1" s="1"/>
  <c r="Q373" i="1" s="1"/>
  <c r="R358" i="1"/>
  <c r="R362" i="1" s="1"/>
  <c r="R373" i="1" s="1"/>
  <c r="S358" i="1"/>
  <c r="S362" i="1" s="1"/>
  <c r="S373" i="1" s="1"/>
  <c r="T358" i="1"/>
  <c r="T362" i="1" s="1"/>
  <c r="L359" i="1"/>
  <c r="L363" i="1" s="1"/>
  <c r="L374" i="1" s="1"/>
  <c r="M359" i="1"/>
  <c r="M363" i="1" s="1"/>
  <c r="M374" i="1" s="1"/>
  <c r="N359" i="1"/>
  <c r="N363" i="1" s="1"/>
  <c r="N374" i="1" s="1"/>
  <c r="O359" i="1"/>
  <c r="O363" i="1" s="1"/>
  <c r="O374" i="1" s="1"/>
  <c r="P359" i="1"/>
  <c r="P363" i="1" s="1"/>
  <c r="P374" i="1" s="1"/>
  <c r="Q359" i="1"/>
  <c r="Q363" i="1" s="1"/>
  <c r="Q374" i="1" s="1"/>
  <c r="R359" i="1"/>
  <c r="R363" i="1" s="1"/>
  <c r="R374" i="1" s="1"/>
  <c r="S359" i="1"/>
  <c r="S363" i="1" s="1"/>
  <c r="S374" i="1" s="1"/>
  <c r="T359" i="1"/>
  <c r="T363" i="1" s="1"/>
  <c r="L343" i="1"/>
  <c r="M343" i="1"/>
  <c r="N343" i="1"/>
  <c r="O343" i="1"/>
  <c r="P343" i="1"/>
  <c r="Q343" i="1"/>
  <c r="R343" i="1"/>
  <c r="S343" i="1"/>
  <c r="T343" i="1"/>
  <c r="L329" i="1"/>
  <c r="M329" i="1"/>
  <c r="N329" i="1"/>
  <c r="O329" i="1"/>
  <c r="L330" i="1"/>
  <c r="M330" i="1"/>
  <c r="N330" i="1"/>
  <c r="O330" i="1"/>
  <c r="L333" i="1"/>
  <c r="M333" i="1"/>
  <c r="N333" i="1"/>
  <c r="O333" i="1"/>
  <c r="L331" i="1"/>
  <c r="M331" i="1"/>
  <c r="N331" i="1"/>
  <c r="O331" i="1"/>
  <c r="L325" i="1"/>
  <c r="L332" i="1" s="1"/>
  <c r="M325" i="1"/>
  <c r="M332" i="1" s="1"/>
  <c r="N325" i="1"/>
  <c r="N332" i="1" s="1"/>
  <c r="O325" i="1"/>
  <c r="O332" i="1" s="1"/>
  <c r="P325" i="1"/>
  <c r="K325" i="1"/>
  <c r="K332" i="1" s="1"/>
  <c r="L328" i="1"/>
  <c r="M328" i="1"/>
  <c r="N328" i="1"/>
  <c r="O328" i="1"/>
  <c r="K328" i="1"/>
  <c r="L307" i="1"/>
  <c r="M307" i="1"/>
  <c r="N307" i="1"/>
  <c r="O307" i="1"/>
  <c r="P307" i="1"/>
  <c r="Q307" i="1"/>
  <c r="R307" i="1"/>
  <c r="S307" i="1"/>
  <c r="L308" i="1"/>
  <c r="M308" i="1"/>
  <c r="N308" i="1"/>
  <c r="O308" i="1"/>
  <c r="P308" i="1"/>
  <c r="Q308" i="1"/>
  <c r="R308" i="1"/>
  <c r="S308" i="1"/>
  <c r="L311" i="1"/>
  <c r="M311" i="1"/>
  <c r="N311" i="1"/>
  <c r="O311" i="1"/>
  <c r="P311" i="1"/>
  <c r="Q311" i="1"/>
  <c r="R311" i="1"/>
  <c r="S311" i="1"/>
  <c r="L309" i="1"/>
  <c r="M309" i="1"/>
  <c r="N309" i="1"/>
  <c r="O309" i="1"/>
  <c r="P309" i="1"/>
  <c r="Q309" i="1"/>
  <c r="R309" i="1"/>
  <c r="S309" i="1"/>
  <c r="L306" i="1"/>
  <c r="M306" i="1"/>
  <c r="N306" i="1"/>
  <c r="O306" i="1"/>
  <c r="P306" i="1"/>
  <c r="Q306" i="1"/>
  <c r="R306" i="1"/>
  <c r="S306" i="1"/>
  <c r="K306" i="1"/>
  <c r="L302" i="1"/>
  <c r="L310" i="1" s="1"/>
  <c r="M302" i="1"/>
  <c r="M310" i="1" s="1"/>
  <c r="N302" i="1"/>
  <c r="N310" i="1" s="1"/>
  <c r="O302" i="1"/>
  <c r="O310" i="1" s="1"/>
  <c r="P302" i="1"/>
  <c r="P310" i="1" s="1"/>
  <c r="Q302" i="1"/>
  <c r="Q310" i="1" s="1"/>
  <c r="R302" i="1"/>
  <c r="R310" i="1" s="1"/>
  <c r="S302" i="1"/>
  <c r="S310" i="1" s="1"/>
  <c r="T302" i="1"/>
  <c r="L281" i="1"/>
  <c r="M281" i="1"/>
  <c r="N281" i="1"/>
  <c r="O281" i="1"/>
  <c r="L282" i="1"/>
  <c r="M282" i="1"/>
  <c r="N282" i="1"/>
  <c r="O282" i="1"/>
  <c r="L283" i="1"/>
  <c r="M283" i="1"/>
  <c r="N283" i="1"/>
  <c r="O283" i="1"/>
  <c r="L257" i="1"/>
  <c r="M257" i="1"/>
  <c r="N257" i="1"/>
  <c r="O257" i="1"/>
  <c r="P257" i="1"/>
  <c r="Q257" i="1"/>
  <c r="R257" i="1"/>
  <c r="S257" i="1"/>
  <c r="O92" i="1"/>
  <c r="O91" i="1"/>
  <c r="K91" i="1"/>
  <c r="L279" i="1"/>
  <c r="M279" i="1"/>
  <c r="N279" i="1"/>
  <c r="O279" i="1"/>
  <c r="K279" i="1"/>
  <c r="L255" i="1"/>
  <c r="M255" i="1"/>
  <c r="N255" i="1"/>
  <c r="O255" i="1"/>
  <c r="P255" i="1"/>
  <c r="Q255" i="1"/>
  <c r="R255" i="1"/>
  <c r="S255" i="1"/>
  <c r="K255" i="1"/>
  <c r="S205" i="1"/>
  <c r="L205" i="1"/>
  <c r="M205" i="1"/>
  <c r="N205" i="1"/>
  <c r="O205" i="1"/>
  <c r="P205" i="1"/>
  <c r="Q205" i="1"/>
  <c r="R205" i="1"/>
  <c r="K205" i="1"/>
  <c r="L224" i="1"/>
  <c r="M224" i="1"/>
  <c r="N224" i="1"/>
  <c r="O224" i="1"/>
  <c r="K224" i="1"/>
  <c r="Q367" i="1" l="1"/>
  <c r="M367" i="1"/>
  <c r="O5" i="1"/>
  <c r="K92" i="1"/>
  <c r="P365" i="1"/>
  <c r="L365" i="1"/>
  <c r="S365" i="1"/>
  <c r="R366" i="1"/>
  <c r="N367" i="1"/>
  <c r="T366" i="1"/>
  <c r="P366" i="1"/>
  <c r="L366" i="1"/>
  <c r="O365" i="1"/>
  <c r="T367" i="1"/>
  <c r="P367" i="1"/>
  <c r="L367" i="1"/>
  <c r="N366" i="1"/>
  <c r="Q366" i="1"/>
  <c r="M366" i="1"/>
  <c r="R365" i="1"/>
  <c r="N365" i="1"/>
  <c r="S367" i="1"/>
  <c r="O367" i="1"/>
  <c r="Q365" i="1"/>
  <c r="M365" i="1"/>
  <c r="R367" i="1"/>
  <c r="S366" i="1"/>
  <c r="O366" i="1"/>
  <c r="T365" i="1"/>
  <c r="L274" i="1"/>
  <c r="L280" i="1" s="1"/>
  <c r="M274" i="1"/>
  <c r="M280" i="1" s="1"/>
  <c r="N274" i="1"/>
  <c r="N280" i="1" s="1"/>
  <c r="O274" i="1"/>
  <c r="O280" i="1" s="1"/>
  <c r="P274" i="1"/>
  <c r="L276" i="1"/>
  <c r="L275" i="1" s="1"/>
  <c r="L284" i="1" s="1"/>
  <c r="M276" i="1"/>
  <c r="M275" i="1" s="1"/>
  <c r="M284" i="1" s="1"/>
  <c r="N276" i="1"/>
  <c r="N275" i="1" s="1"/>
  <c r="N284" i="1" s="1"/>
  <c r="O276" i="1"/>
  <c r="O275" i="1" s="1"/>
  <c r="O284" i="1" s="1"/>
  <c r="P276" i="1"/>
  <c r="P275" i="1" s="1"/>
  <c r="K276" i="1"/>
  <c r="K237" i="1"/>
  <c r="J255" i="1"/>
  <c r="L246" i="1"/>
  <c r="L258" i="1" s="1"/>
  <c r="M246" i="1"/>
  <c r="M258" i="1" s="1"/>
  <c r="N246" i="1"/>
  <c r="N258" i="1" s="1"/>
  <c r="O246" i="1"/>
  <c r="O258" i="1" s="1"/>
  <c r="P246" i="1"/>
  <c r="P258" i="1" s="1"/>
  <c r="Q246" i="1"/>
  <c r="Q258" i="1" s="1"/>
  <c r="R246" i="1"/>
  <c r="R258" i="1" s="1"/>
  <c r="S246" i="1"/>
  <c r="S258" i="1" s="1"/>
  <c r="T246" i="1"/>
  <c r="L247" i="1"/>
  <c r="L256" i="1" s="1"/>
  <c r="M247" i="1"/>
  <c r="M256" i="1" s="1"/>
  <c r="N247" i="1"/>
  <c r="N256" i="1" s="1"/>
  <c r="O247" i="1"/>
  <c r="O256" i="1" s="1"/>
  <c r="P247" i="1"/>
  <c r="P256" i="1" s="1"/>
  <c r="Q247" i="1"/>
  <c r="Q256" i="1" s="1"/>
  <c r="R247" i="1"/>
  <c r="R256" i="1" s="1"/>
  <c r="S247" i="1"/>
  <c r="S256" i="1" s="1"/>
  <c r="T247" i="1"/>
  <c r="K247" i="1"/>
  <c r="K256" i="1" s="1"/>
  <c r="K246" i="1"/>
  <c r="K258" i="1" s="1"/>
  <c r="K275" i="1" l="1"/>
  <c r="K284" i="1" s="1"/>
  <c r="L206" i="1"/>
  <c r="M206" i="1"/>
  <c r="N206" i="1"/>
  <c r="O206" i="1"/>
  <c r="P206" i="1"/>
  <c r="Q206" i="1"/>
  <c r="R206" i="1"/>
  <c r="S206" i="1"/>
  <c r="L207" i="1"/>
  <c r="M207" i="1"/>
  <c r="N207" i="1"/>
  <c r="O207" i="1"/>
  <c r="P207" i="1"/>
  <c r="Q207" i="1"/>
  <c r="R207" i="1"/>
  <c r="S207" i="1"/>
  <c r="L208" i="1"/>
  <c r="M208" i="1"/>
  <c r="N208" i="1"/>
  <c r="O208" i="1"/>
  <c r="P208" i="1"/>
  <c r="Q208" i="1"/>
  <c r="R208" i="1"/>
  <c r="S208" i="1"/>
  <c r="L210" i="1"/>
  <c r="M210" i="1"/>
  <c r="N210" i="1"/>
  <c r="O210" i="1"/>
  <c r="P210" i="1"/>
  <c r="Q210" i="1"/>
  <c r="R210" i="1"/>
  <c r="S210" i="1"/>
  <c r="J205" i="1"/>
  <c r="L249" i="1"/>
  <c r="L260" i="1" s="1"/>
  <c r="M249" i="1"/>
  <c r="M260" i="1" s="1"/>
  <c r="N249" i="1"/>
  <c r="N260" i="1" s="1"/>
  <c r="O249" i="1"/>
  <c r="O260" i="1" s="1"/>
  <c r="P249" i="1"/>
  <c r="P260" i="1" s="1"/>
  <c r="Q249" i="1"/>
  <c r="Q260" i="1" s="1"/>
  <c r="R249" i="1"/>
  <c r="R260" i="1" s="1"/>
  <c r="S249" i="1"/>
  <c r="S260" i="1" s="1"/>
  <c r="T249" i="1"/>
  <c r="K249" i="1"/>
  <c r="K260" i="1" s="1"/>
  <c r="T248" i="1" l="1"/>
  <c r="P248" i="1"/>
  <c r="P259" i="1" s="1"/>
  <c r="L248" i="1"/>
  <c r="L259" i="1" s="1"/>
  <c r="S248" i="1"/>
  <c r="S259" i="1" s="1"/>
  <c r="O248" i="1"/>
  <c r="O259" i="1" s="1"/>
  <c r="R248" i="1"/>
  <c r="R259" i="1" s="1"/>
  <c r="N248" i="1"/>
  <c r="N259" i="1" s="1"/>
  <c r="K248" i="1"/>
  <c r="K259" i="1" s="1"/>
  <c r="Q248" i="1"/>
  <c r="Q259" i="1" s="1"/>
  <c r="M248" i="1"/>
  <c r="M259" i="1" s="1"/>
  <c r="L198" i="1"/>
  <c r="L209" i="1" s="1"/>
  <c r="M198" i="1"/>
  <c r="M209" i="1" s="1"/>
  <c r="N198" i="1"/>
  <c r="N209" i="1" s="1"/>
  <c r="O198" i="1"/>
  <c r="O209" i="1" s="1"/>
  <c r="P198" i="1"/>
  <c r="P209" i="1" s="1"/>
  <c r="Q198" i="1"/>
  <c r="Q209" i="1" s="1"/>
  <c r="R198" i="1"/>
  <c r="R209" i="1" s="1"/>
  <c r="S198" i="1"/>
  <c r="S209" i="1" s="1"/>
  <c r="K209" i="1"/>
  <c r="L229" i="1"/>
  <c r="M229" i="1"/>
  <c r="N229" i="1"/>
  <c r="O229" i="1"/>
  <c r="O220" i="1"/>
  <c r="O228" i="1" s="1"/>
  <c r="L220" i="1"/>
  <c r="L228" i="1" s="1"/>
  <c r="M220" i="1"/>
  <c r="M228" i="1" s="1"/>
  <c r="N220" i="1"/>
  <c r="N228" i="1" s="1"/>
  <c r="N202" i="1"/>
  <c r="O202" i="1"/>
  <c r="P202" i="1"/>
  <c r="Q202" i="1"/>
  <c r="R202" i="1"/>
  <c r="S202" i="1"/>
  <c r="L202" i="1"/>
  <c r="M202" i="1"/>
  <c r="N4" i="1"/>
  <c r="J93" i="1" l="1"/>
  <c r="L225" i="1"/>
  <c r="M225" i="1"/>
  <c r="N225" i="1"/>
  <c r="O225" i="1"/>
  <c r="L226" i="1"/>
  <c r="M226" i="1"/>
  <c r="N226" i="1"/>
  <c r="O226" i="1"/>
  <c r="L227" i="1"/>
  <c r="M227" i="1"/>
  <c r="N227" i="1"/>
  <c r="O227" i="1"/>
  <c r="L200" i="1"/>
  <c r="M200" i="1"/>
  <c r="N200" i="1"/>
  <c r="O200" i="1"/>
  <c r="P200" i="1"/>
  <c r="Q200" i="1"/>
  <c r="R200" i="1"/>
  <c r="S200" i="1"/>
  <c r="L201" i="1"/>
  <c r="M201" i="1"/>
  <c r="N201" i="1"/>
  <c r="O201" i="1"/>
  <c r="P201" i="1"/>
  <c r="Q201" i="1"/>
  <c r="R201" i="1"/>
  <c r="S201" i="1"/>
  <c r="L199" i="1"/>
  <c r="M199" i="1"/>
  <c r="N199" i="1"/>
  <c r="O199" i="1"/>
  <c r="P199" i="1"/>
  <c r="Q199" i="1"/>
  <c r="R199" i="1"/>
  <c r="S199" i="1"/>
  <c r="L92" i="1" l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97" i="1"/>
  <c r="J237" i="1"/>
  <c r="J214" i="1"/>
  <c r="J351" i="1"/>
  <c r="J388" i="1"/>
  <c r="J315" i="1"/>
  <c r="J186" i="1"/>
  <c r="J380" i="1"/>
  <c r="J292" i="1"/>
  <c r="J345" i="1"/>
  <c r="J340" i="1"/>
  <c r="J189" i="1"/>
  <c r="J264" i="1"/>
  <c r="A1" i="2"/>
</calcChain>
</file>

<file path=xl/sharedStrings.xml><?xml version="1.0" encoding="utf-8"?>
<sst xmlns="http://schemas.openxmlformats.org/spreadsheetml/2006/main" count="368" uniqueCount="284">
  <si>
    <t>재무상태표</t>
  </si>
  <si>
    <t>포괄손익계산서</t>
  </si>
  <si>
    <t>현금흐름표</t>
  </si>
  <si>
    <t>자본변동표</t>
  </si>
  <si>
    <t>재무비율</t>
  </si>
  <si>
    <t>자산</t>
  </si>
  <si>
    <t>매출액(영업수익)</t>
  </si>
  <si>
    <t>영업활동으로인한현금흐름</t>
  </si>
  <si>
    <t>기말자본금</t>
  </si>
  <si>
    <t>총자산증가율</t>
  </si>
  <si>
    <t>현금및현금성자산</t>
  </si>
  <si>
    <t>매출원가(영업비용)</t>
  </si>
  <si>
    <t>당기순손익</t>
  </si>
  <si>
    <t>기초자본금</t>
  </si>
  <si>
    <t>유형자산증가율</t>
  </si>
  <si>
    <t>금융자산</t>
  </si>
  <si>
    <t>매출총이익</t>
  </si>
  <si>
    <t>현금유출이없는비용등가산</t>
  </si>
  <si>
    <t>유상증자</t>
  </si>
  <si>
    <t>부채총계증가율</t>
  </si>
  <si>
    <t>파생상품자산</t>
  </si>
  <si>
    <t>판매비와 관리비</t>
  </si>
  <si>
    <t>감가상각비(현금흐름표)</t>
  </si>
  <si>
    <t>무상증자</t>
  </si>
  <si>
    <t>차입금증가율</t>
  </si>
  <si>
    <t>대출채권</t>
  </si>
  <si>
    <t>급여</t>
  </si>
  <si>
    <t>기타무형자산상각비(현금흐름표)</t>
  </si>
  <si>
    <t>주식매수선택권</t>
  </si>
  <si>
    <t>자기자본증가율</t>
  </si>
  <si>
    <t>기타자산</t>
  </si>
  <si>
    <t>감가상각비(포괄손익계산서)</t>
  </si>
  <si>
    <t>외환거래손실(현금흐름표)</t>
  </si>
  <si>
    <t>전환사채</t>
  </si>
  <si>
    <t>매출액(영업수익)증가율</t>
  </si>
  <si>
    <t>유형자산</t>
  </si>
  <si>
    <t>기타무형자산상각비(포괄손익계산서)</t>
  </si>
  <si>
    <t>자산처분손실</t>
  </si>
  <si>
    <t>신주인수권부사채</t>
  </si>
  <si>
    <t>매출원가(영업비용)증가율</t>
  </si>
  <si>
    <t>투자부동산</t>
  </si>
  <si>
    <t>연구개발비</t>
  </si>
  <si>
    <t>(현금유입이없는수익등차감)</t>
  </si>
  <si>
    <t>기말자본잉여금</t>
  </si>
  <si>
    <t>영업이익증가율(보고서기재)</t>
  </si>
  <si>
    <t>비업무용자산</t>
  </si>
  <si>
    <t>영업이익</t>
  </si>
  <si>
    <t>외환거래이익(현금흐름표)</t>
  </si>
  <si>
    <t>기말기타자본</t>
  </si>
  <si>
    <t>순이익증가율</t>
  </si>
  <si>
    <t>영업권</t>
  </si>
  <si>
    <t>이자수익</t>
  </si>
  <si>
    <t>자산처분이익</t>
  </si>
  <si>
    <t>기말기타포괄손익누계액</t>
  </si>
  <si>
    <t>EPS증가율</t>
  </si>
  <si>
    <t>무형자산</t>
  </si>
  <si>
    <t>배당금수익</t>
  </si>
  <si>
    <t>영업활동으로인한자산부채변동</t>
  </si>
  <si>
    <t>기말이익잉여금</t>
  </si>
  <si>
    <t>희석EPS증가율</t>
  </si>
  <si>
    <t>이연법인세자산</t>
  </si>
  <si>
    <t>외환거래이익(포괄손익계산서)</t>
  </si>
  <si>
    <t>자산의감소</t>
  </si>
  <si>
    <t>처분후이익잉여금</t>
  </si>
  <si>
    <t>영업활동으로인한현금흐름증가율</t>
  </si>
  <si>
    <t>당기법인세자산</t>
  </si>
  <si>
    <t>금융자산처분이익</t>
  </si>
  <si>
    <t>부채의증가</t>
  </si>
  <si>
    <t>(중간배당)</t>
  </si>
  <si>
    <t>투자활동으로인한현금흐름증가율</t>
  </si>
  <si>
    <t>기타금융업자산</t>
  </si>
  <si>
    <t>금융자산평가이익</t>
  </si>
  <si>
    <t>영업활동으로인한현금흐름(간접법)</t>
  </si>
  <si>
    <t>기타포괄손익(자본변동표)</t>
  </si>
  <si>
    <t>재무활동으로인한현금흐름증가율</t>
  </si>
  <si>
    <t>자본</t>
  </si>
  <si>
    <t>파생상품이익</t>
  </si>
  <si>
    <t>영업에서창출된현금흐름</t>
  </si>
  <si>
    <t>당기순이익(자본변동표)</t>
  </si>
  <si>
    <t>기말현금증가율</t>
  </si>
  <si>
    <t>상장자본금</t>
  </si>
  <si>
    <t>이자비용</t>
  </si>
  <si>
    <t>이자수입</t>
  </si>
  <si>
    <t>기말비지배주주지분</t>
  </si>
  <si>
    <t>ROE</t>
  </si>
  <si>
    <t>신종자본증권</t>
  </si>
  <si>
    <t>외환거래손실(포괄손익계산서)</t>
  </si>
  <si>
    <t>이자지급(-)</t>
  </si>
  <si>
    <t>합계(자본변동표)</t>
  </si>
  <si>
    <t>ROA</t>
  </si>
  <si>
    <t>자본잉여금</t>
  </si>
  <si>
    <t>금융자산처분손실</t>
  </si>
  <si>
    <t>배당금수입</t>
  </si>
  <si>
    <t>총자산영업이익률</t>
  </si>
  <si>
    <t>기타자본</t>
  </si>
  <si>
    <t>금융자산평가손실</t>
  </si>
  <si>
    <t>영업활동배당금지급(-)</t>
  </si>
  <si>
    <t>자기자본영업이익률</t>
  </si>
  <si>
    <t>기타포괄손익누계액</t>
  </si>
  <si>
    <t>파생상품손실</t>
  </si>
  <si>
    <t>법인세환입</t>
  </si>
  <si>
    <t>자본금영업이익률</t>
  </si>
  <si>
    <t>이익잉여금(결손금)</t>
  </si>
  <si>
    <t>종속기업공동지배기업관계기업손익</t>
  </si>
  <si>
    <t>법인세납부(-)</t>
  </si>
  <si>
    <t>자본금순이익률</t>
  </si>
  <si>
    <t>부채</t>
  </si>
  <si>
    <t>법인세비용차감전순이익</t>
  </si>
  <si>
    <t>투자활동으로인한현금흐름</t>
  </si>
  <si>
    <t>영업이익률</t>
  </si>
  <si>
    <t>비예수부채</t>
  </si>
  <si>
    <t>법인세비용</t>
  </si>
  <si>
    <t>투자활동으로인한현금유입액</t>
  </si>
  <si>
    <t>적립금비율</t>
  </si>
  <si>
    <t>금융부채</t>
  </si>
  <si>
    <t>계속영업이익</t>
  </si>
  <si>
    <t>유형자산의감소</t>
  </si>
  <si>
    <t>유형자산구성비율</t>
  </si>
  <si>
    <t>파생상품부채</t>
  </si>
  <si>
    <t>당기순이익(포괄손익계산서)</t>
  </si>
  <si>
    <t>무형자산의감소</t>
  </si>
  <si>
    <t>타인자본구성비율</t>
  </si>
  <si>
    <t>차입금</t>
  </si>
  <si>
    <t>당기순이익지배기업주주지분</t>
  </si>
  <si>
    <t>(투자활동으로인한현금유출액)</t>
  </si>
  <si>
    <t>자기자본비율</t>
  </si>
  <si>
    <t>사채</t>
  </si>
  <si>
    <t>기타포괄손익(포괄손익계산서)</t>
  </si>
  <si>
    <t>유형자산의증가</t>
  </si>
  <si>
    <t>차입금비율</t>
  </si>
  <si>
    <t>기타금융업부채</t>
  </si>
  <si>
    <t>총포괄손익</t>
  </si>
  <si>
    <t>무형자산의증가</t>
  </si>
  <si>
    <t>차입금의존도</t>
  </si>
  <si>
    <t>기타충당부채</t>
  </si>
  <si>
    <t>총포괄손익지배기업주주지분</t>
  </si>
  <si>
    <t>재무활동으로인한현금흐름</t>
  </si>
  <si>
    <t>유보율</t>
  </si>
  <si>
    <t>당기법인세부채</t>
  </si>
  <si>
    <t>주당순손익</t>
  </si>
  <si>
    <t>재무활동으로인한현금유입액</t>
  </si>
  <si>
    <t>총자산회전율</t>
  </si>
  <si>
    <t>종업원급여충당부채</t>
  </si>
  <si>
    <t>희석주당순손익</t>
  </si>
  <si>
    <t>사채의증가</t>
  </si>
  <si>
    <t>타인자본회전율</t>
  </si>
  <si>
    <t>기타부채</t>
  </si>
  <si>
    <t>차입금의증가</t>
  </si>
  <si>
    <t>이연법인세부채</t>
  </si>
  <si>
    <t>(재무활동으로인한현금유출액)</t>
  </si>
  <si>
    <t>예수부채</t>
  </si>
  <si>
    <t>사채의감소</t>
  </si>
  <si>
    <t>차입금의감소</t>
  </si>
  <si>
    <t>재무활동배당금지급(-)</t>
  </si>
  <si>
    <t>현금및현금성자산의증가</t>
  </si>
  <si>
    <t>기초현금및현금성자산</t>
  </si>
  <si>
    <t>연결기준</t>
  </si>
  <si>
    <t>연결</t>
  </si>
  <si>
    <t>누적</t>
  </si>
  <si>
    <t>연속</t>
  </si>
  <si>
    <t>누적기준</t>
  </si>
  <si>
    <t>개별</t>
  </si>
  <si>
    <t>순</t>
  </si>
  <si>
    <t>분기</t>
  </si>
  <si>
    <t>일자</t>
    <phoneticPr fontId="3" type="noConversion"/>
  </si>
  <si>
    <t>기말현금및현금성자산</t>
    <phoneticPr fontId="3" type="noConversion"/>
  </si>
  <si>
    <t>일자</t>
    <phoneticPr fontId="3" type="noConversion"/>
  </si>
  <si>
    <t>매출액(QoQ)</t>
    <phoneticPr fontId="3" type="noConversion"/>
  </si>
  <si>
    <t>영업이익(QoQ)</t>
    <phoneticPr fontId="3" type="noConversion"/>
  </si>
  <si>
    <t>순이익(QoQ)</t>
    <phoneticPr fontId="3" type="noConversion"/>
  </si>
  <si>
    <t>YoY</t>
    <phoneticPr fontId="3" type="noConversion"/>
  </si>
  <si>
    <t>QoQ</t>
    <phoneticPr fontId="3" type="noConversion"/>
  </si>
  <si>
    <t>순</t>
    <phoneticPr fontId="3" type="noConversion"/>
  </si>
  <si>
    <t>연간 성장성(%)</t>
    <phoneticPr fontId="3" type="noConversion"/>
  </si>
  <si>
    <t>재무비율 및 재무제표 분석</t>
    <phoneticPr fontId="3" type="noConversion"/>
  </si>
  <si>
    <t>주당순손익</t>
    <phoneticPr fontId="3" type="noConversion"/>
  </si>
  <si>
    <t>EPS(QoQ)</t>
    <phoneticPr fontId="3" type="noConversion"/>
  </si>
  <si>
    <t>EPS</t>
    <phoneticPr fontId="3" type="noConversion"/>
  </si>
  <si>
    <t>주당순손익</t>
    <phoneticPr fontId="3" type="noConversion"/>
  </si>
  <si>
    <t>EPS(원)</t>
    <phoneticPr fontId="3" type="noConversion"/>
  </si>
  <si>
    <t>EPS증가율</t>
    <phoneticPr fontId="3" type="noConversion"/>
  </si>
  <si>
    <t>EPS(원)</t>
    <phoneticPr fontId="3" type="noConversion"/>
  </si>
  <si>
    <t>EPS증가율</t>
    <phoneticPr fontId="3" type="noConversion"/>
  </si>
  <si>
    <t>영업이익률</t>
    <phoneticPr fontId="3" type="noConversion"/>
  </si>
  <si>
    <t>일자</t>
  </si>
  <si>
    <t>일자</t>
    <phoneticPr fontId="3" type="noConversion"/>
  </si>
  <si>
    <t>EBITDA</t>
    <phoneticPr fontId="3" type="noConversion"/>
  </si>
  <si>
    <t>EBITDA마진율</t>
    <phoneticPr fontId="3" type="noConversion"/>
  </si>
  <si>
    <t>순이익률</t>
    <phoneticPr fontId="3" type="noConversion"/>
  </si>
  <si>
    <t>순이익률</t>
    <phoneticPr fontId="3" type="noConversion"/>
  </si>
  <si>
    <t>총이익률</t>
    <phoneticPr fontId="3" type="noConversion"/>
  </si>
  <si>
    <t>매출총이익</t>
    <phoneticPr fontId="3" type="noConversion"/>
  </si>
  <si>
    <t>총이익률</t>
    <phoneticPr fontId="3" type="noConversion"/>
  </si>
  <si>
    <t>EBITDA(천원)</t>
    <phoneticPr fontId="3" type="noConversion"/>
  </si>
  <si>
    <t>총이익률</t>
    <phoneticPr fontId="3" type="noConversion"/>
  </si>
  <si>
    <t>영업이익률</t>
    <phoneticPr fontId="3" type="noConversion"/>
  </si>
  <si>
    <t>EBITDA마진율</t>
    <phoneticPr fontId="3" type="noConversion"/>
  </si>
  <si>
    <t>ROA</t>
    <phoneticPr fontId="3" type="noConversion"/>
  </si>
  <si>
    <t>ROE</t>
    <phoneticPr fontId="3" type="noConversion"/>
  </si>
  <si>
    <t>연간 수익성(%)</t>
    <phoneticPr fontId="3" type="noConversion"/>
  </si>
  <si>
    <t>재무제표 보기</t>
    <phoneticPr fontId="3" type="noConversion"/>
  </si>
  <si>
    <t>그래프 보기</t>
    <phoneticPr fontId="3" type="noConversion"/>
  </si>
  <si>
    <t>시작일</t>
    <phoneticPr fontId="3" type="noConversion"/>
  </si>
  <si>
    <t>재무제표</t>
    <phoneticPr fontId="3" type="noConversion"/>
  </si>
  <si>
    <t>유보율</t>
    <phoneticPr fontId="3" type="noConversion"/>
  </si>
  <si>
    <t>영업이익</t>
    <phoneticPr fontId="3" type="noConversion"/>
  </si>
  <si>
    <t>이자비용</t>
    <phoneticPr fontId="3" type="noConversion"/>
  </si>
  <si>
    <t>자기자본비율</t>
    <phoneticPr fontId="3" type="noConversion"/>
  </si>
  <si>
    <t>자본</t>
    <phoneticPr fontId="3" type="noConversion"/>
  </si>
  <si>
    <t>자산</t>
    <phoneticPr fontId="3" type="noConversion"/>
  </si>
  <si>
    <t>유형자산구성비율</t>
    <phoneticPr fontId="3" type="noConversion"/>
  </si>
  <si>
    <t>이자보상 배율</t>
    <phoneticPr fontId="3" type="noConversion"/>
  </si>
  <si>
    <t>자기자본지율</t>
    <phoneticPr fontId="3" type="noConversion"/>
  </si>
  <si>
    <t>유형자산구성비율</t>
    <phoneticPr fontId="3" type="noConversion"/>
  </si>
  <si>
    <t>유보율</t>
    <phoneticPr fontId="3" type="noConversion"/>
  </si>
  <si>
    <t>차입금비율</t>
    <phoneticPr fontId="3" type="noConversion"/>
  </si>
  <si>
    <t>차입금비율</t>
    <phoneticPr fontId="3" type="noConversion"/>
  </si>
  <si>
    <t>이자보상배율(배)</t>
    <phoneticPr fontId="3" type="noConversion"/>
  </si>
  <si>
    <t>분기 안정성(%)</t>
    <phoneticPr fontId="3" type="noConversion"/>
  </si>
  <si>
    <t>연간 안정성(%)</t>
    <phoneticPr fontId="3" type="noConversion"/>
  </si>
  <si>
    <t>차입금비율</t>
    <phoneticPr fontId="3" type="noConversion"/>
  </si>
  <si>
    <t>매출액(영업수익)</t>
    <phoneticPr fontId="3" type="noConversion"/>
  </si>
  <si>
    <t>부채</t>
    <phoneticPr fontId="3" type="noConversion"/>
  </si>
  <si>
    <t>평균자산</t>
    <phoneticPr fontId="3" type="noConversion"/>
  </si>
  <si>
    <t>평균부채</t>
    <phoneticPr fontId="3" type="noConversion"/>
  </si>
  <si>
    <t>평균자본</t>
    <phoneticPr fontId="3" type="noConversion"/>
  </si>
  <si>
    <t>매출액 연율화</t>
    <phoneticPr fontId="3" type="noConversion"/>
  </si>
  <si>
    <t>총자산회전율</t>
    <phoneticPr fontId="3" type="noConversion"/>
  </si>
  <si>
    <t>총부재회전율</t>
  </si>
  <si>
    <t>총자본회전율</t>
  </si>
  <si>
    <t>총자산회전율(연율화)</t>
    <phoneticPr fontId="3" type="noConversion"/>
  </si>
  <si>
    <t>총부재회전율(연율화)</t>
    <phoneticPr fontId="3" type="noConversion"/>
  </si>
  <si>
    <t>총자본회전율(연율화)</t>
    <phoneticPr fontId="3" type="noConversion"/>
  </si>
  <si>
    <t>총부재회전율</t>
    <phoneticPr fontId="3" type="noConversion"/>
  </si>
  <si>
    <t>총자본회전율</t>
    <phoneticPr fontId="3" type="noConversion"/>
  </si>
  <si>
    <t>&lt;인포맥스&gt;</t>
    <phoneticPr fontId="3" type="noConversion"/>
  </si>
  <si>
    <t>총자산회전율</t>
    <phoneticPr fontId="3" type="noConversion"/>
  </si>
  <si>
    <t>총부채회전율</t>
    <phoneticPr fontId="3" type="noConversion"/>
  </si>
  <si>
    <t>총자본회전율</t>
    <phoneticPr fontId="3" type="noConversion"/>
  </si>
  <si>
    <t>연간 활동성(회)</t>
    <phoneticPr fontId="3" type="noConversion"/>
  </si>
  <si>
    <t>수정 가능한 영역 표시</t>
    <phoneticPr fontId="3" type="noConversion"/>
  </si>
  <si>
    <t>재무비율 - 성장성</t>
    <phoneticPr fontId="3" type="noConversion"/>
  </si>
  <si>
    <t>재무비율 - 수익성</t>
    <phoneticPr fontId="3" type="noConversion"/>
  </si>
  <si>
    <t>재무비율 - 안정성</t>
    <phoneticPr fontId="3" type="noConversion"/>
  </si>
  <si>
    <t>재무비율 - 활동성</t>
    <phoneticPr fontId="3" type="noConversion"/>
  </si>
  <si>
    <t>천원</t>
    <phoneticPr fontId="3" type="noConversion"/>
  </si>
  <si>
    <t>백만원</t>
    <phoneticPr fontId="3" type="noConversion"/>
  </si>
  <si>
    <t>억원</t>
    <phoneticPr fontId="3" type="noConversion"/>
  </si>
  <si>
    <t>십억원</t>
    <phoneticPr fontId="3" type="noConversion"/>
  </si>
  <si>
    <t>단위:</t>
    <phoneticPr fontId="3" type="noConversion"/>
  </si>
  <si>
    <t>기준시점</t>
    <phoneticPr fontId="3" type="noConversion"/>
  </si>
  <si>
    <t>005930</t>
    <phoneticPr fontId="3" type="noConversion"/>
  </si>
  <si>
    <t>9.77</t>
  </si>
  <si>
    <t>83.46</t>
  </si>
  <si>
    <t>5.12</t>
  </si>
  <si>
    <t>85.63</t>
  </si>
  <si>
    <t>-15.99</t>
  </si>
  <si>
    <t>43.45</t>
  </si>
  <si>
    <t>29.62</t>
  </si>
  <si>
    <t>-52.84</t>
  </si>
  <si>
    <t>39.46</t>
  </si>
  <si>
    <t>51.12</t>
  </si>
  <si>
    <t>21.48</t>
  </si>
  <si>
    <t>-50.98</t>
  </si>
  <si>
    <t>-77.58</t>
  </si>
  <si>
    <t>-95.26</t>
  </si>
  <si>
    <t>-95.47</t>
  </si>
  <si>
    <t>-68.95</t>
  </si>
  <si>
    <t>-31.39</t>
  </si>
  <si>
    <t>12.18</t>
  </si>
  <si>
    <t>50.50</t>
  </si>
  <si>
    <t>53.27</t>
  </si>
  <si>
    <t>28.04</t>
  </si>
  <si>
    <t>54.26</t>
  </si>
  <si>
    <t>-37.76</t>
  </si>
  <si>
    <t>-84.47</t>
  </si>
  <si>
    <t>-86.10</t>
  </si>
  <si>
    <t>119.98</t>
  </si>
  <si>
    <t>-23.62</t>
  </si>
  <si>
    <t>15.20</t>
  </si>
  <si>
    <t>58.57</t>
  </si>
  <si>
    <t>64.03</t>
  </si>
  <si>
    <t>31.33</t>
  </si>
  <si>
    <t>73.44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</si>
</sst>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name val="MS Sans Serif"/>
      <family val="2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u/>
      <sz val="11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rgb="FF8CADD4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6" fillId="0" borderId="0" xfId="0" applyFont="1">
      <alignment vertical="center"/>
    </xf>
    <xf numFmtId="0" fontId="4" fillId="3" borderId="2" xfId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41" fontId="7" fillId="0" borderId="0" xfId="2" applyFont="1">
      <alignment vertical="center"/>
    </xf>
    <xf numFmtId="0" fontId="11" fillId="0" borderId="0" xfId="1" applyFont="1">
      <alignment vertical="center"/>
    </xf>
    <xf numFmtId="0" fontId="11" fillId="0" borderId="0" xfId="0" applyFont="1" applyAlignment="1">
      <alignment horizontal="right" vertical="center"/>
    </xf>
    <xf numFmtId="0" fontId="4" fillId="0" borderId="0" xfId="0" applyFont="1" applyFill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11" fillId="0" borderId="2" xfId="0" applyFont="1" applyBorder="1">
      <alignment vertical="center"/>
    </xf>
    <xf numFmtId="0" fontId="4" fillId="3" borderId="2" xfId="0" applyNumberFormat="1" applyFont="1" applyFill="1" applyBorder="1" applyAlignment="1">
      <alignment horizontal="center" vertical="center"/>
    </xf>
    <xf numFmtId="2" fontId="11" fillId="0" borderId="2" xfId="0" applyNumberFormat="1" applyFont="1" applyBorder="1">
      <alignment vertical="center"/>
    </xf>
    <xf numFmtId="3" fontId="11" fillId="0" borderId="0" xfId="1" applyNumberFormat="1" applyFont="1">
      <alignment vertical="center"/>
    </xf>
    <xf numFmtId="0" fontId="12" fillId="0" borderId="0" xfId="0" applyFont="1">
      <alignment vertical="center"/>
    </xf>
    <xf numFmtId="41" fontId="12" fillId="0" borderId="0" xfId="2" applyFont="1">
      <alignment vertical="center"/>
    </xf>
    <xf numFmtId="1" fontId="11" fillId="0" borderId="2" xfId="0" applyNumberFormat="1" applyFont="1" applyBorder="1">
      <alignment vertical="center"/>
    </xf>
    <xf numFmtId="0" fontId="12" fillId="0" borderId="0" xfId="0" applyFont="1" applyFill="1" applyBorder="1">
      <alignment vertical="center"/>
    </xf>
    <xf numFmtId="0" fontId="15" fillId="0" borderId="0" xfId="0" applyFont="1" applyFill="1" applyBorder="1">
      <alignment vertical="center"/>
    </xf>
    <xf numFmtId="14" fontId="5" fillId="0" borderId="2" xfId="2" applyNumberFormat="1" applyFont="1" applyFill="1" applyBorder="1" applyAlignment="1">
      <alignment horizontal="center" vertical="center"/>
    </xf>
    <xf numFmtId="49" fontId="5" fillId="0" borderId="2" xfId="2" applyNumberFormat="1" applyFont="1" applyFill="1" applyBorder="1" applyAlignment="1">
      <alignment horizontal="center" vertical="center"/>
    </xf>
    <xf numFmtId="0" fontId="12" fillId="0" borderId="0" xfId="1" applyFont="1">
      <alignment vertical="center"/>
    </xf>
    <xf numFmtId="49" fontId="14" fillId="5" borderId="2" xfId="2" applyNumberFormat="1" applyFont="1" applyFill="1" applyBorder="1" applyAlignment="1">
      <alignment horizontal="center" vertical="center"/>
    </xf>
    <xf numFmtId="14" fontId="5" fillId="5" borderId="2" xfId="2" applyNumberFormat="1" applyFont="1" applyFill="1" applyBorder="1" applyAlignment="1">
      <alignment horizontal="center" vertical="center"/>
    </xf>
    <xf numFmtId="49" fontId="5" fillId="5" borderId="2" xfId="2" applyNumberFormat="1" applyFont="1" applyFill="1" applyBorder="1" applyAlignment="1">
      <alignment horizontal="center" vertical="center"/>
    </xf>
    <xf numFmtId="41" fontId="5" fillId="5" borderId="2" xfId="2" applyFont="1" applyFill="1" applyBorder="1" applyAlignment="1">
      <alignment horizontal="center" vertical="center"/>
    </xf>
    <xf numFmtId="0" fontId="17" fillId="3" borderId="2" xfId="11" applyNumberFormat="1" applyFont="1" applyFill="1" applyBorder="1" applyAlignment="1">
      <alignment horizontal="center" vertical="center"/>
    </xf>
    <xf numFmtId="14" fontId="17" fillId="3" borderId="2" xfId="1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21" fillId="0" borderId="0" xfId="0" applyFont="1">
      <alignment vertical="center"/>
    </xf>
    <xf numFmtId="0" fontId="17" fillId="3" borderId="2" xfId="11" applyFont="1" applyFill="1" applyBorder="1" applyAlignment="1">
      <alignment horizontal="center" vertical="center"/>
    </xf>
    <xf numFmtId="14" fontId="21" fillId="0" borderId="0" xfId="0" applyNumberFormat="1" applyFont="1">
      <alignment vertical="center"/>
    </xf>
    <xf numFmtId="0" fontId="11" fillId="0" borderId="2" xfId="12" applyNumberFormat="1" applyFont="1" applyBorder="1">
      <alignment vertical="center"/>
    </xf>
    <xf numFmtId="14" fontId="0" fillId="0" borderId="0" xfId="0" applyNumberFormat="1">
      <alignment vertical="center"/>
    </xf>
    <xf numFmtId="0" fontId="19" fillId="4" borderId="0" xfId="4" applyFont="1" applyFill="1">
      <alignment vertical="center"/>
    </xf>
    <xf numFmtId="0" fontId="20" fillId="0" borderId="4" xfId="11" applyFont="1" applyBorder="1" applyAlignment="1">
      <alignment horizontal="center" vertical="center"/>
    </xf>
    <xf numFmtId="0" fontId="0" fillId="0" borderId="0" xfId="0">
      <alignment vertical="center"/>
    </xf>
    <xf numFmtId="0" fontId="20" fillId="0" borderId="3" xfId="11" applyFont="1" applyBorder="1" applyAlignment="1">
      <alignment horizontal="center" vertical="center"/>
    </xf>
  </cellXfs>
  <cellStyles count="13">
    <cellStyle name="_x000a_386grabber=M" xfId="5"/>
    <cellStyle name="메모 2" xfId="3"/>
    <cellStyle name="쉼표 [0]" xfId="12" builtinId="6"/>
    <cellStyle name="쉼표 [0] 2" xfId="2"/>
    <cellStyle name="쉼표 [0] 2 2" xfId="10"/>
    <cellStyle name="쉼표 [0] 3" xfId="6"/>
    <cellStyle name="표준" xfId="0" builtinId="0"/>
    <cellStyle name="표준 2" xfId="1"/>
    <cellStyle name="표준 2 2" xfId="7"/>
    <cellStyle name="표준 3" xfId="8"/>
    <cellStyle name="표준 4" xfId="9"/>
    <cellStyle name="표준 5" xfId="4"/>
    <cellStyle name="하이퍼링크" xfId="11" builtinId="8"/>
  </cellStyles>
  <dxfs count="0"/>
  <tableStyles count="0" defaultTableStyle="TableStyleMedium2" defaultPivotStyle="PivotStyleLight16"/>
  <colors>
    <mruColors>
      <color rgb="FF8CADD4"/>
      <color rgb="FF4F81B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x9.GUU32_0</stp>
        <stp>64</stp>
        <stp>461158</stp>
        <tr r="J237" s="1"/>
      </tp>
      <tp>
        <v>0</v>
        <stp/>
        <stp>H</stp>
        <stp>x8.GUU32_0</stp>
        <stp>65</stp>
        <stp>461158</stp>
        <tr r="J214" s="1"/>
      </tp>
      <tp>
        <v>0</v>
        <stp/>
        <stp>H</stp>
        <stp>x7.GUU32_0</stp>
        <stp>66</stp>
        <stp>461158</stp>
        <tr r="J351" s="1"/>
      </tp>
      <tp>
        <v>0</v>
        <stp/>
        <stp>H</stp>
        <stp>x6.GUU32_0</stp>
        <stp>67</stp>
        <stp>461158</stp>
        <tr r="J388" s="1"/>
      </tp>
      <tp>
        <v>0</v>
        <stp/>
        <stp>H</stp>
        <stp>x5.GUU32_0</stp>
        <stp>68</stp>
        <stp>461158</stp>
        <tr r="J315" s="1"/>
      </tp>
      <tp>
        <v>0</v>
        <stp/>
        <stp>H</stp>
        <stp>x4.GUU32_0</stp>
        <stp>69</stp>
        <stp>461158</stp>
        <tr r="J186" s="1"/>
      </tp>
      <tp>
        <v>0</v>
        <stp/>
        <stp>H</stp>
        <stp>x3.GUU32_0</stp>
        <stp>70</stp>
        <stp>461158</stp>
        <tr r="J380" s="1"/>
      </tp>
      <tp>
        <v>0</v>
        <stp/>
        <stp>H</stp>
        <stp>x2.GUU32_0</stp>
        <stp>71</stp>
        <stp>461158</stp>
        <tr r="J292" s="1"/>
      </tp>
      <tp>
        <v>0</v>
        <stp/>
        <stp>H</stp>
        <stp>x1.GUU32_0</stp>
        <stp>39</stp>
        <stp>461158</stp>
        <tr r="A1" s="2"/>
      </tp>
      <tp>
        <v>0</v>
        <stp/>
        <stp>H</stp>
        <stp>x12.GUU32_0</stp>
        <stp>73</stp>
        <stp>461158</stp>
        <tr r="J340" s="1"/>
      </tp>
      <tp>
        <v>0</v>
        <stp/>
        <stp>H</stp>
        <stp>x13.GUU32_0</stp>
        <stp>72</stp>
        <stp>461158</stp>
        <tr r="J345" s="1"/>
      </tp>
      <tp>
        <v>0</v>
        <stp/>
        <stp>H</stp>
        <stp>x10.GUU32_0</stp>
        <stp>75</stp>
        <stp>461158</stp>
        <tr r="J264" s="1"/>
      </tp>
      <tp>
        <v>0</v>
        <stp/>
        <stp>H</stp>
        <stp>x11.GUU32_0</stp>
        <stp>74</stp>
        <stp>461158</stp>
        <tr r="J189" s="1"/>
      </tp>
      <tp t="s">
        <v>삼성전자</v>
        <stp/>
        <stp>P</stp>
        <stp>0</stp>
        <stp>STK</stp>
        <stp>005930</stp>
        <stp>한글종목명</stp>
        <stp/>
        <stp/>
        <tr r="N4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연간 성장성</a:t>
            </a:r>
            <a:endParaRPr lang="en-US" altLang="ko-KR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매출액</c:v>
          </c:tx>
          <c:invertIfNegative val="0"/>
          <c:cat>
            <c:strRef>
              <c:f>재무비율!$K$224:$O$224</c:f>
              <c:strCache>
                <c:ptCount val="5"/>
                <c:pt idx="0">
                  <c:v>2022/12</c:v>
                </c:pt>
                <c:pt idx="1">
                  <c:v>2021/12</c:v>
                </c:pt>
                <c:pt idx="2">
                  <c:v>2020/12</c:v>
                </c:pt>
                <c:pt idx="3">
                  <c:v>2019/12</c:v>
                </c:pt>
                <c:pt idx="4">
                  <c:v>2018/12</c:v>
                </c:pt>
              </c:strCache>
            </c:strRef>
          </c:cat>
          <c:val>
            <c:numRef>
              <c:f>재무비율!$K$225:$O$225</c:f>
              <c:numCache>
                <c:formatCode>General</c:formatCode>
                <c:ptCount val="5"/>
                <c:pt idx="0">
                  <c:v>8.09</c:v>
                </c:pt>
                <c:pt idx="1">
                  <c:v>18.07</c:v>
                </c:pt>
                <c:pt idx="2">
                  <c:v>2.78</c:v>
                </c:pt>
                <c:pt idx="3">
                  <c:v>-5.48</c:v>
                </c:pt>
                <c:pt idx="4">
                  <c:v>1.75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104064"/>
        <c:axId val="149627264"/>
      </c:barChart>
      <c:lineChart>
        <c:grouping val="standard"/>
        <c:varyColors val="0"/>
        <c:ser>
          <c:idx val="1"/>
          <c:order val="1"/>
          <c:tx>
            <c:v>영업이익</c:v>
          </c:tx>
          <c:spPr>
            <a:ln w="12700"/>
          </c:spPr>
          <c:cat>
            <c:strRef>
              <c:f>재무비율!$K$224:$O$224</c:f>
              <c:strCache>
                <c:ptCount val="5"/>
                <c:pt idx="0">
                  <c:v>2022/12</c:v>
                </c:pt>
                <c:pt idx="1">
                  <c:v>2021/12</c:v>
                </c:pt>
                <c:pt idx="2">
                  <c:v>2020/12</c:v>
                </c:pt>
                <c:pt idx="3">
                  <c:v>2019/12</c:v>
                </c:pt>
                <c:pt idx="4">
                  <c:v>2018/12</c:v>
                </c:pt>
              </c:strCache>
            </c:strRef>
          </c:cat>
          <c:val>
            <c:numRef>
              <c:f>재무비율!$K$226:$O$226</c:f>
              <c:numCache>
                <c:formatCode>General</c:formatCode>
                <c:ptCount val="5"/>
                <c:pt idx="0">
                  <c:v>-15.99</c:v>
                </c:pt>
                <c:pt idx="1">
                  <c:v>43.45</c:v>
                </c:pt>
                <c:pt idx="2">
                  <c:v>29.62</c:v>
                </c:pt>
                <c:pt idx="3">
                  <c:v>-52.84</c:v>
                </c:pt>
                <c:pt idx="4">
                  <c:v>9.77</c:v>
                </c:pt>
              </c:numCache>
            </c:numRef>
          </c:val>
          <c:smooth val="0"/>
        </c:ser>
        <c:ser>
          <c:idx val="2"/>
          <c:order val="2"/>
          <c:tx>
            <c:v>순이익</c:v>
          </c:tx>
          <c:spPr>
            <a:ln w="12700"/>
          </c:spPr>
          <c:marker>
            <c:symbol val="plus"/>
            <c:size val="5"/>
          </c:marker>
          <c:cat>
            <c:strRef>
              <c:f>재무비율!$K$224:$O$224</c:f>
              <c:strCache>
                <c:ptCount val="5"/>
                <c:pt idx="0">
                  <c:v>2022/12</c:v>
                </c:pt>
                <c:pt idx="1">
                  <c:v>2021/12</c:v>
                </c:pt>
                <c:pt idx="2">
                  <c:v>2020/12</c:v>
                </c:pt>
                <c:pt idx="3">
                  <c:v>2019/12</c:v>
                </c:pt>
                <c:pt idx="4">
                  <c:v>2018/12</c:v>
                </c:pt>
              </c:strCache>
            </c:strRef>
          </c:cat>
          <c:val>
            <c:numRef>
              <c:f>재무비율!$K$227:$O$227</c:f>
              <c:numCache>
                <c:formatCode>General</c:formatCode>
                <c:ptCount val="5"/>
                <c:pt idx="0">
                  <c:v>39.46</c:v>
                </c:pt>
                <c:pt idx="1">
                  <c:v>51.12</c:v>
                </c:pt>
                <c:pt idx="2">
                  <c:v>21.48</c:v>
                </c:pt>
                <c:pt idx="3">
                  <c:v>-50.98</c:v>
                </c:pt>
                <c:pt idx="4">
                  <c:v>5.12</c:v>
                </c:pt>
              </c:numCache>
            </c:numRef>
          </c:val>
          <c:smooth val="0"/>
        </c:ser>
        <c:ser>
          <c:idx val="3"/>
          <c:order val="3"/>
          <c:tx>
            <c:v>EPS</c:v>
          </c:tx>
          <c:spPr>
            <a:ln w="12700"/>
          </c:spPr>
          <c:cat>
            <c:strRef>
              <c:f>재무비율!$K$224:$O$224</c:f>
              <c:strCache>
                <c:ptCount val="5"/>
                <c:pt idx="0">
                  <c:v>2022/12</c:v>
                </c:pt>
                <c:pt idx="1">
                  <c:v>2021/12</c:v>
                </c:pt>
                <c:pt idx="2">
                  <c:v>2020/12</c:v>
                </c:pt>
                <c:pt idx="3">
                  <c:v>2019/12</c:v>
                </c:pt>
                <c:pt idx="4">
                  <c:v>2018/12</c:v>
                </c:pt>
              </c:strCache>
            </c:strRef>
          </c:cat>
          <c:val>
            <c:numRef>
              <c:f>재무비율!$K$228:$O$228</c:f>
              <c:numCache>
                <c:formatCode>0.00</c:formatCode>
                <c:ptCount val="5"/>
                <c:pt idx="0">
                  <c:v>39.466851306906698</c:v>
                </c:pt>
                <c:pt idx="1">
                  <c:v>50.403540744597763</c:v>
                </c:pt>
                <c:pt idx="2">
                  <c:v>21.320277953253317</c:v>
                </c:pt>
                <c:pt idx="3">
                  <c:v>-50.998297477170716</c:v>
                </c:pt>
                <c:pt idx="4">
                  <c:v>7.737201934300483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104064"/>
        <c:axId val="149627264"/>
      </c:lineChart>
      <c:catAx>
        <c:axId val="144104064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low"/>
        <c:crossAx val="149627264"/>
        <c:crosses val="autoZero"/>
        <c:auto val="1"/>
        <c:lblAlgn val="ctr"/>
        <c:lblOffset val="100"/>
        <c:noMultiLvlLbl val="0"/>
      </c:catAx>
      <c:valAx>
        <c:axId val="1496272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4410406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분기</a:t>
            </a:r>
            <a:r>
              <a:rPr lang="ko-KR" altLang="en-US" baseline="0"/>
              <a:t> </a:t>
            </a:r>
            <a:r>
              <a:rPr lang="ko-KR" altLang="en-US"/>
              <a:t>성장성</a:t>
            </a:r>
            <a:endParaRPr lang="en-US" altLang="ko-KR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매출액</c:v>
          </c:tx>
          <c:invertIfNegative val="0"/>
          <c:cat>
            <c:strRef>
              <c:f>재무비율!$K$205:$S$205</c:f>
              <c:strCache>
                <c:ptCount val="9"/>
                <c:pt idx="0">
                  <c:v>2023/3Q</c:v>
                </c:pt>
                <c:pt idx="1">
                  <c:v>2023/2Q</c:v>
                </c:pt>
                <c:pt idx="2">
                  <c:v>2023/1Q</c:v>
                </c:pt>
                <c:pt idx="3">
                  <c:v>2022/4Q</c:v>
                </c:pt>
                <c:pt idx="4">
                  <c:v>2022/3Q</c:v>
                </c:pt>
                <c:pt idx="5">
                  <c:v>2022/2Q</c:v>
                </c:pt>
                <c:pt idx="6">
                  <c:v>2022/1Q</c:v>
                </c:pt>
                <c:pt idx="7">
                  <c:v>2021/4Q</c:v>
                </c:pt>
                <c:pt idx="8">
                  <c:v>2021/3Q</c:v>
                </c:pt>
              </c:strCache>
            </c:strRef>
          </c:cat>
          <c:val>
            <c:numRef>
              <c:f>재무비율!$K$206:$P$206</c:f>
              <c:numCache>
                <c:formatCode>0.00</c:formatCode>
                <c:ptCount val="6"/>
                <c:pt idx="0">
                  <c:v>-12.21</c:v>
                </c:pt>
                <c:pt idx="1">
                  <c:v>-22.28</c:v>
                </c:pt>
                <c:pt idx="2">
                  <c:v>-18.05</c:v>
                </c:pt>
                <c:pt idx="3">
                  <c:v>-7.97</c:v>
                </c:pt>
                <c:pt idx="4">
                  <c:v>3.79</c:v>
                </c:pt>
                <c:pt idx="5">
                  <c:v>21.25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687296"/>
        <c:axId val="149697280"/>
      </c:barChart>
      <c:lineChart>
        <c:grouping val="standard"/>
        <c:varyColors val="0"/>
        <c:ser>
          <c:idx val="1"/>
          <c:order val="1"/>
          <c:tx>
            <c:v>영업이익</c:v>
          </c:tx>
          <c:spPr>
            <a:ln w="12700"/>
          </c:spPr>
          <c:cat>
            <c:strRef>
              <c:f>재무비율!$K$205:$S$205</c:f>
              <c:strCache>
                <c:ptCount val="9"/>
                <c:pt idx="0">
                  <c:v>2023/3Q</c:v>
                </c:pt>
                <c:pt idx="1">
                  <c:v>2023/2Q</c:v>
                </c:pt>
                <c:pt idx="2">
                  <c:v>2023/1Q</c:v>
                </c:pt>
                <c:pt idx="3">
                  <c:v>2022/4Q</c:v>
                </c:pt>
                <c:pt idx="4">
                  <c:v>2022/3Q</c:v>
                </c:pt>
                <c:pt idx="5">
                  <c:v>2022/2Q</c:v>
                </c:pt>
                <c:pt idx="6">
                  <c:v>2022/1Q</c:v>
                </c:pt>
                <c:pt idx="7">
                  <c:v>2021/4Q</c:v>
                </c:pt>
                <c:pt idx="8">
                  <c:v>2021/3Q</c:v>
                </c:pt>
              </c:strCache>
            </c:strRef>
          </c:cat>
          <c:val>
            <c:numRef>
              <c:f>재무비율!$K$207:$P$207</c:f>
              <c:numCache>
                <c:formatCode>0.00</c:formatCode>
                <c:ptCount val="6"/>
                <c:pt idx="0">
                  <c:v>-77.58</c:v>
                </c:pt>
                <c:pt idx="1">
                  <c:v>-95.26</c:v>
                </c:pt>
                <c:pt idx="2">
                  <c:v>-95.47</c:v>
                </c:pt>
                <c:pt idx="3">
                  <c:v>-68.95</c:v>
                </c:pt>
                <c:pt idx="4">
                  <c:v>-31.39</c:v>
                </c:pt>
                <c:pt idx="5">
                  <c:v>12.18</c:v>
                </c:pt>
              </c:numCache>
            </c:numRef>
          </c:val>
          <c:smooth val="0"/>
        </c:ser>
        <c:ser>
          <c:idx val="2"/>
          <c:order val="2"/>
          <c:tx>
            <c:v>순이익</c:v>
          </c:tx>
          <c:spPr>
            <a:ln w="12700"/>
          </c:spPr>
          <c:marker>
            <c:symbol val="plus"/>
            <c:size val="5"/>
          </c:marker>
          <c:cat>
            <c:strRef>
              <c:f>재무비율!$K$205:$S$205</c:f>
              <c:strCache>
                <c:ptCount val="9"/>
                <c:pt idx="0">
                  <c:v>2023/3Q</c:v>
                </c:pt>
                <c:pt idx="1">
                  <c:v>2023/2Q</c:v>
                </c:pt>
                <c:pt idx="2">
                  <c:v>2023/1Q</c:v>
                </c:pt>
                <c:pt idx="3">
                  <c:v>2022/4Q</c:v>
                </c:pt>
                <c:pt idx="4">
                  <c:v>2022/3Q</c:v>
                </c:pt>
                <c:pt idx="5">
                  <c:v>2022/2Q</c:v>
                </c:pt>
                <c:pt idx="6">
                  <c:v>2022/1Q</c:v>
                </c:pt>
                <c:pt idx="7">
                  <c:v>2021/4Q</c:v>
                </c:pt>
                <c:pt idx="8">
                  <c:v>2021/3Q</c:v>
                </c:pt>
              </c:strCache>
            </c:strRef>
          </c:cat>
          <c:val>
            <c:numRef>
              <c:f>재무비율!$K$208:$P$208</c:f>
              <c:numCache>
                <c:formatCode>0.00</c:formatCode>
                <c:ptCount val="6"/>
                <c:pt idx="0">
                  <c:v>-37.76</c:v>
                </c:pt>
                <c:pt idx="1">
                  <c:v>-84.47</c:v>
                </c:pt>
                <c:pt idx="2">
                  <c:v>-86.1</c:v>
                </c:pt>
                <c:pt idx="3">
                  <c:v>119.98</c:v>
                </c:pt>
                <c:pt idx="4">
                  <c:v>-23.62</c:v>
                </c:pt>
                <c:pt idx="5">
                  <c:v>15.2</c:v>
                </c:pt>
              </c:numCache>
            </c:numRef>
          </c:val>
          <c:smooth val="0"/>
        </c:ser>
        <c:ser>
          <c:idx val="3"/>
          <c:order val="3"/>
          <c:tx>
            <c:v>EPS</c:v>
          </c:tx>
          <c:spPr>
            <a:ln w="12700"/>
          </c:spPr>
          <c:cat>
            <c:strRef>
              <c:f>재무비율!$K$205:$S$205</c:f>
              <c:strCache>
                <c:ptCount val="9"/>
                <c:pt idx="0">
                  <c:v>2023/3Q</c:v>
                </c:pt>
                <c:pt idx="1">
                  <c:v>2023/2Q</c:v>
                </c:pt>
                <c:pt idx="2">
                  <c:v>2023/1Q</c:v>
                </c:pt>
                <c:pt idx="3">
                  <c:v>2022/4Q</c:v>
                </c:pt>
                <c:pt idx="4">
                  <c:v>2022/3Q</c:v>
                </c:pt>
                <c:pt idx="5">
                  <c:v>2022/2Q</c:v>
                </c:pt>
                <c:pt idx="6">
                  <c:v>2022/1Q</c:v>
                </c:pt>
                <c:pt idx="7">
                  <c:v>2021/4Q</c:v>
                </c:pt>
                <c:pt idx="8">
                  <c:v>2021/3Q</c:v>
                </c:pt>
              </c:strCache>
            </c:strRef>
          </c:cat>
          <c:val>
            <c:numRef>
              <c:f>재무비율!$K$209:$P$209</c:f>
              <c:numCache>
                <c:formatCode>0.00</c:formatCode>
                <c:ptCount val="6"/>
                <c:pt idx="0">
                  <c:v>-39.821693907875186</c:v>
                </c:pt>
                <c:pt idx="1">
                  <c:v>-85.864848109113453</c:v>
                </c:pt>
                <c:pt idx="2">
                  <c:v>-87.423687423687426</c:v>
                </c:pt>
                <c:pt idx="3">
                  <c:v>120.94508301404854</c:v>
                </c:pt>
                <c:pt idx="4">
                  <c:v>-24.211711711711711</c:v>
                </c:pt>
                <c:pt idx="5">
                  <c:v>15.959741193386053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687296"/>
        <c:axId val="149697280"/>
      </c:lineChart>
      <c:dateAx>
        <c:axId val="149687296"/>
        <c:scaling>
          <c:orientation val="maxMin"/>
        </c:scaling>
        <c:delete val="0"/>
        <c:axPos val="b"/>
        <c:majorTickMark val="out"/>
        <c:minorTickMark val="none"/>
        <c:tickLblPos val="low"/>
        <c:crossAx val="149697280"/>
        <c:crosses val="autoZero"/>
        <c:auto val="0"/>
        <c:lblOffset val="100"/>
        <c:baseTimeUnit val="days"/>
      </c:dateAx>
      <c:valAx>
        <c:axId val="14969728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14968729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분기 수익성</a:t>
            </a:r>
            <a:endParaRPr lang="en-US" altLang="ko-KR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재무비율!$J$256</c:f>
              <c:strCache>
                <c:ptCount val="1"/>
                <c:pt idx="0">
                  <c:v>총이익률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  <a:alpha val="65000"/>
              </a:schemeClr>
            </a:solidFill>
          </c:spPr>
          <c:invertIfNegative val="0"/>
          <c:cat>
            <c:strRef>
              <c:f>재무비율!$K$255:$P$255</c:f>
              <c:strCache>
                <c:ptCount val="6"/>
                <c:pt idx="0">
                  <c:v>2023/3Q</c:v>
                </c:pt>
                <c:pt idx="1">
                  <c:v>2023/2Q</c:v>
                </c:pt>
                <c:pt idx="2">
                  <c:v>2023/1Q</c:v>
                </c:pt>
                <c:pt idx="3">
                  <c:v>2022/4Q</c:v>
                </c:pt>
                <c:pt idx="4">
                  <c:v>2022/3Q</c:v>
                </c:pt>
                <c:pt idx="5">
                  <c:v>2022/2Q</c:v>
                </c:pt>
              </c:strCache>
            </c:strRef>
          </c:cat>
          <c:val>
            <c:numRef>
              <c:f>재무비율!$K$256:$P$256</c:f>
              <c:numCache>
                <c:formatCode>0.00</c:formatCode>
                <c:ptCount val="6"/>
                <c:pt idx="0">
                  <c:v>30.837524389266193</c:v>
                </c:pt>
                <c:pt idx="1">
                  <c:v>30.594417018177307</c:v>
                </c:pt>
                <c:pt idx="2">
                  <c:v>27.8267703548231</c:v>
                </c:pt>
                <c:pt idx="3">
                  <c:v>30.989822900372278</c:v>
                </c:pt>
                <c:pt idx="4">
                  <c:v>37.391006552604736</c:v>
                </c:pt>
                <c:pt idx="5">
                  <c:v>40.067893459951939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749120"/>
        <c:axId val="149951616"/>
      </c:barChart>
      <c:lineChart>
        <c:grouping val="standard"/>
        <c:varyColors val="0"/>
        <c:ser>
          <c:idx val="0"/>
          <c:order val="1"/>
          <c:tx>
            <c:strRef>
              <c:f>재무비율!$J$257</c:f>
              <c:strCache>
                <c:ptCount val="1"/>
                <c:pt idx="0">
                  <c:v>영업이익률</c:v>
                </c:pt>
              </c:strCache>
            </c:strRef>
          </c:tx>
          <c:spPr>
            <a:ln w="12700"/>
          </c:spPr>
          <c:marker>
            <c:symbol val="square"/>
            <c:size val="5"/>
          </c:marker>
          <c:cat>
            <c:strRef>
              <c:f>재무비율!$K$255:$P$255</c:f>
              <c:strCache>
                <c:ptCount val="6"/>
                <c:pt idx="0">
                  <c:v>2023/3Q</c:v>
                </c:pt>
                <c:pt idx="1">
                  <c:v>2023/2Q</c:v>
                </c:pt>
                <c:pt idx="2">
                  <c:v>2023/1Q</c:v>
                </c:pt>
                <c:pt idx="3">
                  <c:v>2022/4Q</c:v>
                </c:pt>
                <c:pt idx="4">
                  <c:v>2022/3Q</c:v>
                </c:pt>
                <c:pt idx="5">
                  <c:v>2022/2Q</c:v>
                </c:pt>
              </c:strCache>
            </c:strRef>
          </c:cat>
          <c:val>
            <c:numRef>
              <c:f>재무비율!$K$257:$P$257</c:f>
              <c:numCache>
                <c:formatCode>0.00</c:formatCode>
                <c:ptCount val="6"/>
                <c:pt idx="0">
                  <c:v>3.61</c:v>
                </c:pt>
                <c:pt idx="1">
                  <c:v>1.1100000000000001</c:v>
                </c:pt>
                <c:pt idx="2">
                  <c:v>1</c:v>
                </c:pt>
                <c:pt idx="3">
                  <c:v>6.11</c:v>
                </c:pt>
                <c:pt idx="4">
                  <c:v>14.13</c:v>
                </c:pt>
                <c:pt idx="5">
                  <c:v>18.260000000000002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재무비율!$J$258</c:f>
              <c:strCache>
                <c:ptCount val="1"/>
                <c:pt idx="0">
                  <c:v>순이익률</c:v>
                </c:pt>
              </c:strCache>
            </c:strRef>
          </c:tx>
          <c:spPr>
            <a:ln w="12700"/>
          </c:spPr>
          <c:marker>
            <c:symbol val="plus"/>
            <c:size val="5"/>
          </c:marker>
          <c:cat>
            <c:strRef>
              <c:f>재무비율!$K$255:$P$255</c:f>
              <c:strCache>
                <c:ptCount val="6"/>
                <c:pt idx="0">
                  <c:v>2023/3Q</c:v>
                </c:pt>
                <c:pt idx="1">
                  <c:v>2023/2Q</c:v>
                </c:pt>
                <c:pt idx="2">
                  <c:v>2023/1Q</c:v>
                </c:pt>
                <c:pt idx="3">
                  <c:v>2022/4Q</c:v>
                </c:pt>
                <c:pt idx="4">
                  <c:v>2022/3Q</c:v>
                </c:pt>
                <c:pt idx="5">
                  <c:v>2022/2Q</c:v>
                </c:pt>
              </c:strCache>
            </c:strRef>
          </c:cat>
          <c:val>
            <c:numRef>
              <c:f>재무비율!$K$258:$P$258</c:f>
              <c:numCache>
                <c:formatCode>0.00</c:formatCode>
                <c:ptCount val="6"/>
                <c:pt idx="0">
                  <c:v>8.6702784252932563</c:v>
                </c:pt>
                <c:pt idx="1">
                  <c:v>2.8723534544722735</c:v>
                </c:pt>
                <c:pt idx="2">
                  <c:v>2.4701401455487644</c:v>
                </c:pt>
                <c:pt idx="3">
                  <c:v>33.834655215049544</c:v>
                </c:pt>
                <c:pt idx="4">
                  <c:v>12.228435220484887</c:v>
                </c:pt>
                <c:pt idx="5">
                  <c:v>14.376018726689804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재무비율!$J$259</c:f>
              <c:strCache>
                <c:ptCount val="1"/>
                <c:pt idx="0">
                  <c:v>EBITDA마진율</c:v>
                </c:pt>
              </c:strCache>
            </c:strRef>
          </c:tx>
          <c:spPr>
            <a:ln w="12700"/>
          </c:spPr>
          <c:cat>
            <c:strRef>
              <c:f>재무비율!$K$255:$P$255</c:f>
              <c:strCache>
                <c:ptCount val="6"/>
                <c:pt idx="0">
                  <c:v>2023/3Q</c:v>
                </c:pt>
                <c:pt idx="1">
                  <c:v>2023/2Q</c:v>
                </c:pt>
                <c:pt idx="2">
                  <c:v>2023/1Q</c:v>
                </c:pt>
                <c:pt idx="3">
                  <c:v>2022/4Q</c:v>
                </c:pt>
                <c:pt idx="4">
                  <c:v>2022/3Q</c:v>
                </c:pt>
                <c:pt idx="5">
                  <c:v>2022/2Q</c:v>
                </c:pt>
              </c:strCache>
            </c:strRef>
          </c:cat>
          <c:val>
            <c:numRef>
              <c:f>재무비율!$K$259:$P$259</c:f>
              <c:numCache>
                <c:formatCode>0.00</c:formatCode>
                <c:ptCount val="6"/>
                <c:pt idx="0">
                  <c:v>17.981876087721659</c:v>
                </c:pt>
                <c:pt idx="1">
                  <c:v>17.04366828972255</c:v>
                </c:pt>
                <c:pt idx="2">
                  <c:v>16.043001773415043</c:v>
                </c:pt>
                <c:pt idx="3">
                  <c:v>19.804545759340776</c:v>
                </c:pt>
                <c:pt idx="4">
                  <c:v>26.946235091495787</c:v>
                </c:pt>
                <c:pt idx="5">
                  <c:v>31.006855677092908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749120"/>
        <c:axId val="149951616"/>
      </c:lineChart>
      <c:catAx>
        <c:axId val="149749120"/>
        <c:scaling>
          <c:orientation val="maxMin"/>
        </c:scaling>
        <c:delete val="0"/>
        <c:axPos val="b"/>
        <c:majorTickMark val="out"/>
        <c:minorTickMark val="none"/>
        <c:tickLblPos val="nextTo"/>
        <c:crossAx val="149951616"/>
        <c:crosses val="autoZero"/>
        <c:auto val="1"/>
        <c:lblAlgn val="ctr"/>
        <c:lblOffset val="100"/>
        <c:noMultiLvlLbl val="0"/>
      </c:catAx>
      <c:valAx>
        <c:axId val="14995161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14974912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연간 수익성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재무비율!$J$280</c:f>
              <c:strCache>
                <c:ptCount val="1"/>
                <c:pt idx="0">
                  <c:v>총이익률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  <a:alpha val="65000"/>
              </a:schemeClr>
            </a:solidFill>
          </c:spPr>
          <c:invertIfNegative val="0"/>
          <c:cat>
            <c:strRef>
              <c:f>재무비율!$K$279:$O$279</c:f>
              <c:strCache>
                <c:ptCount val="5"/>
                <c:pt idx="0">
                  <c:v>2022/12</c:v>
                </c:pt>
                <c:pt idx="1">
                  <c:v>2021/12</c:v>
                </c:pt>
                <c:pt idx="2">
                  <c:v>2020/12</c:v>
                </c:pt>
                <c:pt idx="3">
                  <c:v>2019/12</c:v>
                </c:pt>
                <c:pt idx="4">
                  <c:v>2018/12</c:v>
                </c:pt>
              </c:strCache>
            </c:strRef>
          </c:cat>
          <c:val>
            <c:numRef>
              <c:f>재무비율!$K$280:$O$280</c:f>
              <c:numCache>
                <c:formatCode>0.00</c:formatCode>
                <c:ptCount val="5"/>
                <c:pt idx="0">
                  <c:v>37.120433167491292</c:v>
                </c:pt>
                <c:pt idx="1">
                  <c:v>40.48337417842388</c:v>
                </c:pt>
                <c:pt idx="2">
                  <c:v>38.984783675387149</c:v>
                </c:pt>
                <c:pt idx="3">
                  <c:v>36.094190108587306</c:v>
                </c:pt>
                <c:pt idx="4">
                  <c:v>45.689115764454989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992192"/>
        <c:axId val="149993728"/>
      </c:barChart>
      <c:lineChart>
        <c:grouping val="standard"/>
        <c:varyColors val="0"/>
        <c:ser>
          <c:idx val="1"/>
          <c:order val="1"/>
          <c:tx>
            <c:strRef>
              <c:f>재무비율!$J$281</c:f>
              <c:strCache>
                <c:ptCount val="1"/>
                <c:pt idx="0">
                  <c:v>영업이익률</c:v>
                </c:pt>
              </c:strCache>
            </c:strRef>
          </c:tx>
          <c:spPr>
            <a:ln w="12700"/>
          </c:spPr>
          <c:cat>
            <c:strRef>
              <c:f>재무비율!$K$279:$O$279</c:f>
              <c:strCache>
                <c:ptCount val="5"/>
                <c:pt idx="0">
                  <c:v>2022/12</c:v>
                </c:pt>
                <c:pt idx="1">
                  <c:v>2021/12</c:v>
                </c:pt>
                <c:pt idx="2">
                  <c:v>2020/12</c:v>
                </c:pt>
                <c:pt idx="3">
                  <c:v>2019/12</c:v>
                </c:pt>
                <c:pt idx="4">
                  <c:v>2018/12</c:v>
                </c:pt>
              </c:strCache>
            </c:strRef>
          </c:cat>
          <c:val>
            <c:numRef>
              <c:f>재무비율!$K$281:$O$281</c:f>
              <c:numCache>
                <c:formatCode>General</c:formatCode>
                <c:ptCount val="5"/>
                <c:pt idx="0">
                  <c:v>14.35</c:v>
                </c:pt>
                <c:pt idx="1">
                  <c:v>18.47</c:v>
                </c:pt>
                <c:pt idx="2">
                  <c:v>15.2</c:v>
                </c:pt>
                <c:pt idx="3">
                  <c:v>12.05</c:v>
                </c:pt>
                <c:pt idx="4">
                  <c:v>24.16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재무비율!$J$282</c:f>
              <c:strCache>
                <c:ptCount val="1"/>
                <c:pt idx="0">
                  <c:v>ROE</c:v>
                </c:pt>
              </c:strCache>
            </c:strRef>
          </c:tx>
          <c:spPr>
            <a:ln w="12700"/>
          </c:spPr>
          <c:cat>
            <c:strRef>
              <c:f>재무비율!$K$279:$O$279</c:f>
              <c:strCache>
                <c:ptCount val="5"/>
                <c:pt idx="0">
                  <c:v>2022/12</c:v>
                </c:pt>
                <c:pt idx="1">
                  <c:v>2021/12</c:v>
                </c:pt>
                <c:pt idx="2">
                  <c:v>2020/12</c:v>
                </c:pt>
                <c:pt idx="3">
                  <c:v>2019/12</c:v>
                </c:pt>
                <c:pt idx="4">
                  <c:v>2018/12</c:v>
                </c:pt>
              </c:strCache>
            </c:strRef>
          </c:cat>
          <c:val>
            <c:numRef>
              <c:f>재무비율!$K$282:$O$282</c:f>
              <c:numCache>
                <c:formatCode>0.00</c:formatCode>
                <c:ptCount val="5"/>
                <c:pt idx="0">
                  <c:v>17.07</c:v>
                </c:pt>
                <c:pt idx="1">
                  <c:v>13.92</c:v>
                </c:pt>
                <c:pt idx="2">
                  <c:v>9.99</c:v>
                </c:pt>
                <c:pt idx="3">
                  <c:v>8.69</c:v>
                </c:pt>
                <c:pt idx="4">
                  <c:v>19.63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재무비율!$J$283</c:f>
              <c:strCache>
                <c:ptCount val="1"/>
                <c:pt idx="0">
                  <c:v>ROA</c:v>
                </c:pt>
              </c:strCache>
            </c:strRef>
          </c:tx>
          <c:spPr>
            <a:ln w="12700"/>
          </c:spPr>
          <c:cat>
            <c:strRef>
              <c:f>재무비율!$K$279:$O$279</c:f>
              <c:strCache>
                <c:ptCount val="5"/>
                <c:pt idx="0">
                  <c:v>2022/12</c:v>
                </c:pt>
                <c:pt idx="1">
                  <c:v>2021/12</c:v>
                </c:pt>
                <c:pt idx="2">
                  <c:v>2020/12</c:v>
                </c:pt>
                <c:pt idx="3">
                  <c:v>2019/12</c:v>
                </c:pt>
                <c:pt idx="4">
                  <c:v>2018/12</c:v>
                </c:pt>
              </c:strCache>
            </c:strRef>
          </c:cat>
          <c:val>
            <c:numRef>
              <c:f>재무비율!$K$283:$O$283</c:f>
              <c:numCache>
                <c:formatCode>0.00</c:formatCode>
                <c:ptCount val="5"/>
                <c:pt idx="0">
                  <c:v>12.51</c:v>
                </c:pt>
                <c:pt idx="1">
                  <c:v>9.75</c:v>
                </c:pt>
                <c:pt idx="2">
                  <c:v>7.14</c:v>
                </c:pt>
                <c:pt idx="3">
                  <c:v>6.22</c:v>
                </c:pt>
                <c:pt idx="4">
                  <c:v>13.69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재무비율!$J$284</c:f>
              <c:strCache>
                <c:ptCount val="1"/>
                <c:pt idx="0">
                  <c:v>EBITDA마진율</c:v>
                </c:pt>
              </c:strCache>
            </c:strRef>
          </c:tx>
          <c:spPr>
            <a:ln w="12700"/>
          </c:spPr>
          <c:cat>
            <c:strRef>
              <c:f>재무비율!$K$279:$O$279</c:f>
              <c:strCache>
                <c:ptCount val="5"/>
                <c:pt idx="0">
                  <c:v>2022/12</c:v>
                </c:pt>
                <c:pt idx="1">
                  <c:v>2021/12</c:v>
                </c:pt>
                <c:pt idx="2">
                  <c:v>2020/12</c:v>
                </c:pt>
                <c:pt idx="3">
                  <c:v>2019/12</c:v>
                </c:pt>
                <c:pt idx="4">
                  <c:v>2018/12</c:v>
                </c:pt>
              </c:strCache>
            </c:strRef>
          </c:cat>
          <c:val>
            <c:numRef>
              <c:f>재무비율!$K$284:$O$284</c:f>
              <c:numCache>
                <c:formatCode>0.00</c:formatCode>
                <c:ptCount val="5"/>
                <c:pt idx="0">
                  <c:v>27.291770450293445</c:v>
                </c:pt>
                <c:pt idx="1">
                  <c:v>30.715215656938703</c:v>
                </c:pt>
                <c:pt idx="2">
                  <c:v>28.009938625628735</c:v>
                </c:pt>
                <c:pt idx="3">
                  <c:v>24.898406095938498</c:v>
                </c:pt>
                <c:pt idx="4">
                  <c:v>35.019982141876646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92192"/>
        <c:axId val="149993728"/>
      </c:lineChart>
      <c:catAx>
        <c:axId val="149992192"/>
        <c:scaling>
          <c:orientation val="maxMin"/>
        </c:scaling>
        <c:delete val="0"/>
        <c:axPos val="b"/>
        <c:majorTickMark val="out"/>
        <c:minorTickMark val="none"/>
        <c:tickLblPos val="nextTo"/>
        <c:crossAx val="149993728"/>
        <c:crosses val="autoZero"/>
        <c:auto val="1"/>
        <c:lblAlgn val="ctr"/>
        <c:lblOffset val="100"/>
        <c:noMultiLvlLbl val="0"/>
      </c:catAx>
      <c:valAx>
        <c:axId val="14999372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14999219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분기 안정성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v>이자보상배율(좌)</c:v>
          </c:tx>
          <c:spPr>
            <a:solidFill>
              <a:schemeClr val="accent6">
                <a:lumMod val="60000"/>
                <a:lumOff val="40000"/>
                <a:alpha val="65000"/>
              </a:schemeClr>
            </a:solidFill>
          </c:spPr>
          <c:invertIfNegative val="0"/>
          <c:cat>
            <c:strRef>
              <c:f>재무비율!$K$306:$P$306</c:f>
              <c:strCache>
                <c:ptCount val="6"/>
                <c:pt idx="0">
                  <c:v>2023/3Q</c:v>
                </c:pt>
                <c:pt idx="1">
                  <c:v>2023/2Q</c:v>
                </c:pt>
                <c:pt idx="2">
                  <c:v>2023/1Q</c:v>
                </c:pt>
                <c:pt idx="3">
                  <c:v>2022/4Q</c:v>
                </c:pt>
                <c:pt idx="4">
                  <c:v>2022/3Q</c:v>
                </c:pt>
                <c:pt idx="5">
                  <c:v>2022/2Q</c:v>
                </c:pt>
              </c:strCache>
            </c:strRef>
          </c:cat>
          <c:val>
            <c:numRef>
              <c:f>재무비율!$K$310:$P$310</c:f>
              <c:numCache>
                <c:formatCode>0.00</c:formatCode>
                <c:ptCount val="6"/>
                <c:pt idx="0">
                  <c:v>4.3623190264145668</c:v>
                </c:pt>
                <c:pt idx="1">
                  <c:v>2.261999412344228</c:v>
                </c:pt>
                <c:pt idx="2">
                  <c:v>2.1948182407251857</c:v>
                </c:pt>
                <c:pt idx="3">
                  <c:v>56.848987241404167</c:v>
                </c:pt>
                <c:pt idx="4">
                  <c:v>79.938331444191192</c:v>
                </c:pt>
                <c:pt idx="5">
                  <c:v>103.63192126186672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393600"/>
        <c:axId val="152395136"/>
      </c:barChart>
      <c:lineChart>
        <c:grouping val="standard"/>
        <c:varyColors val="0"/>
        <c:ser>
          <c:idx val="0"/>
          <c:order val="0"/>
          <c:tx>
            <c:strRef>
              <c:f>재무비율!$J$307</c:f>
              <c:strCache>
                <c:ptCount val="1"/>
                <c:pt idx="0">
                  <c:v>유형자산구성비율</c:v>
                </c:pt>
              </c:strCache>
            </c:strRef>
          </c:tx>
          <c:spPr>
            <a:ln w="12700"/>
          </c:spPr>
          <c:cat>
            <c:strRef>
              <c:f>재무비율!$K$306:$P$306</c:f>
              <c:strCache>
                <c:ptCount val="6"/>
                <c:pt idx="0">
                  <c:v>2023/3Q</c:v>
                </c:pt>
                <c:pt idx="1">
                  <c:v>2023/2Q</c:v>
                </c:pt>
                <c:pt idx="2">
                  <c:v>2023/1Q</c:v>
                </c:pt>
                <c:pt idx="3">
                  <c:v>2022/4Q</c:v>
                </c:pt>
                <c:pt idx="4">
                  <c:v>2022/3Q</c:v>
                </c:pt>
                <c:pt idx="5">
                  <c:v>2022/2Q</c:v>
                </c:pt>
              </c:strCache>
            </c:strRef>
          </c:cat>
          <c:val>
            <c:numRef>
              <c:f>재무비율!$K$307:$P$307</c:f>
              <c:numCache>
                <c:formatCode>0.00</c:formatCode>
                <c:ptCount val="6"/>
                <c:pt idx="0">
                  <c:v>39.78</c:v>
                </c:pt>
                <c:pt idx="1">
                  <c:v>39.700000000000003</c:v>
                </c:pt>
                <c:pt idx="2">
                  <c:v>37.85</c:v>
                </c:pt>
                <c:pt idx="3">
                  <c:v>37.47</c:v>
                </c:pt>
                <c:pt idx="4">
                  <c:v>34.1</c:v>
                </c:pt>
                <c:pt idx="5">
                  <c:v>34.43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재무비율!$J$308</c:f>
              <c:strCache>
                <c:ptCount val="1"/>
                <c:pt idx="0">
                  <c:v>자기자본지율</c:v>
                </c:pt>
              </c:strCache>
            </c:strRef>
          </c:tx>
          <c:spPr>
            <a:ln w="12700"/>
          </c:spPr>
          <c:cat>
            <c:strRef>
              <c:f>재무비율!$K$306:$P$306</c:f>
              <c:strCache>
                <c:ptCount val="6"/>
                <c:pt idx="0">
                  <c:v>2023/3Q</c:v>
                </c:pt>
                <c:pt idx="1">
                  <c:v>2023/2Q</c:v>
                </c:pt>
                <c:pt idx="2">
                  <c:v>2023/1Q</c:v>
                </c:pt>
                <c:pt idx="3">
                  <c:v>2022/4Q</c:v>
                </c:pt>
                <c:pt idx="4">
                  <c:v>2022/3Q</c:v>
                </c:pt>
                <c:pt idx="5">
                  <c:v>2022/2Q</c:v>
                </c:pt>
              </c:strCache>
            </c:strRef>
          </c:cat>
          <c:val>
            <c:numRef>
              <c:f>재무비율!$K$308:$P$308</c:f>
              <c:numCache>
                <c:formatCode>0.00</c:formatCode>
                <c:ptCount val="6"/>
                <c:pt idx="0">
                  <c:v>80.069999999999993</c:v>
                </c:pt>
                <c:pt idx="1">
                  <c:v>80.13</c:v>
                </c:pt>
                <c:pt idx="2">
                  <c:v>79.23</c:v>
                </c:pt>
                <c:pt idx="3">
                  <c:v>79.11</c:v>
                </c:pt>
                <c:pt idx="4">
                  <c:v>73.34</c:v>
                </c:pt>
                <c:pt idx="5">
                  <c:v>73.19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재무비율!$J$309</c:f>
              <c:strCache>
                <c:ptCount val="1"/>
                <c:pt idx="0">
                  <c:v>차입금비율</c:v>
                </c:pt>
              </c:strCache>
            </c:strRef>
          </c:tx>
          <c:spPr>
            <a:ln w="12700"/>
          </c:spPr>
          <c:cat>
            <c:strRef>
              <c:f>재무비율!$K$306:$P$306</c:f>
              <c:strCache>
                <c:ptCount val="6"/>
                <c:pt idx="0">
                  <c:v>2023/3Q</c:v>
                </c:pt>
                <c:pt idx="1">
                  <c:v>2023/2Q</c:v>
                </c:pt>
                <c:pt idx="2">
                  <c:v>2023/1Q</c:v>
                </c:pt>
                <c:pt idx="3">
                  <c:v>2022/4Q</c:v>
                </c:pt>
                <c:pt idx="4">
                  <c:v>2022/3Q</c:v>
                </c:pt>
                <c:pt idx="5">
                  <c:v>2022/2Q</c:v>
                </c:pt>
              </c:strCache>
            </c:strRef>
          </c:cat>
          <c:val>
            <c:numRef>
              <c:f>재무비율!$K$309:$P$309</c:f>
              <c:numCache>
                <c:formatCode>0.00</c:formatCode>
                <c:ptCount val="6"/>
                <c:pt idx="0">
                  <c:v>2.76</c:v>
                </c:pt>
                <c:pt idx="1">
                  <c:v>2.5499999999999998</c:v>
                </c:pt>
                <c:pt idx="2">
                  <c:v>2.76</c:v>
                </c:pt>
                <c:pt idx="3">
                  <c:v>2.91</c:v>
                </c:pt>
                <c:pt idx="4">
                  <c:v>3.61</c:v>
                </c:pt>
                <c:pt idx="5">
                  <c:v>5.32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06656"/>
        <c:axId val="152405120"/>
      </c:lineChart>
      <c:catAx>
        <c:axId val="152393600"/>
        <c:scaling>
          <c:orientation val="maxMin"/>
        </c:scaling>
        <c:delete val="0"/>
        <c:axPos val="b"/>
        <c:majorTickMark val="out"/>
        <c:minorTickMark val="none"/>
        <c:tickLblPos val="nextTo"/>
        <c:crossAx val="152395136"/>
        <c:crosses val="autoZero"/>
        <c:auto val="1"/>
        <c:lblAlgn val="ctr"/>
        <c:lblOffset val="100"/>
        <c:noMultiLvlLbl val="0"/>
      </c:catAx>
      <c:valAx>
        <c:axId val="152395136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high"/>
        <c:crossAx val="152393600"/>
        <c:crosses val="autoZero"/>
        <c:crossBetween val="between"/>
      </c:valAx>
      <c:valAx>
        <c:axId val="152405120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low"/>
        <c:crossAx val="152406656"/>
        <c:crosses val="autoZero"/>
        <c:crossBetween val="between"/>
      </c:valAx>
      <c:catAx>
        <c:axId val="152406656"/>
        <c:scaling>
          <c:orientation val="maxMin"/>
        </c:scaling>
        <c:delete val="0"/>
        <c:axPos val="t"/>
        <c:majorTickMark val="none"/>
        <c:minorTickMark val="none"/>
        <c:tickLblPos val="none"/>
        <c:spPr>
          <a:ln>
            <a:noFill/>
          </a:ln>
        </c:spPr>
        <c:crossAx val="152405120"/>
        <c:crosses val="max"/>
        <c:auto val="1"/>
        <c:lblAlgn val="ctr"/>
        <c:lblOffset val="100"/>
        <c:noMultiLvlLbl val="0"/>
      </c:cat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연간 안정성</a:t>
            </a:r>
            <a:endParaRPr lang="en-US" altLang="ko-KR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재무비율!$J$332</c:f>
              <c:strCache>
                <c:ptCount val="1"/>
                <c:pt idx="0">
                  <c:v>이자보상배율(배)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  <a:alpha val="65000"/>
              </a:schemeClr>
            </a:solidFill>
          </c:spPr>
          <c:invertIfNegative val="0"/>
          <c:cat>
            <c:strRef>
              <c:f>재무비율!$K$328:$O$328</c:f>
              <c:strCache>
                <c:ptCount val="5"/>
                <c:pt idx="0">
                  <c:v>2022/12</c:v>
                </c:pt>
                <c:pt idx="1">
                  <c:v>2021/12</c:v>
                </c:pt>
                <c:pt idx="2">
                  <c:v>2020/12</c:v>
                </c:pt>
                <c:pt idx="3">
                  <c:v>2019/12</c:v>
                </c:pt>
                <c:pt idx="4">
                  <c:v>2018/12</c:v>
                </c:pt>
              </c:strCache>
            </c:strRef>
          </c:cat>
          <c:val>
            <c:numRef>
              <c:f>재무비율!$K$332:$O$332</c:f>
              <c:numCache>
                <c:formatCode>0.00</c:formatCode>
                <c:ptCount val="5"/>
                <c:pt idx="0">
                  <c:v>56.848987241404167</c:v>
                </c:pt>
                <c:pt idx="1">
                  <c:v>119.65022014181767</c:v>
                </c:pt>
                <c:pt idx="2">
                  <c:v>61.737690240183326</c:v>
                </c:pt>
                <c:pt idx="3">
                  <c:v>40.457880458537552</c:v>
                </c:pt>
                <c:pt idx="4">
                  <c:v>87.289038076419658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43520"/>
        <c:axId val="152449408"/>
      </c:barChart>
      <c:lineChart>
        <c:grouping val="standard"/>
        <c:varyColors val="0"/>
        <c:ser>
          <c:idx val="0"/>
          <c:order val="0"/>
          <c:tx>
            <c:strRef>
              <c:f>재무비율!$J$329</c:f>
              <c:strCache>
                <c:ptCount val="1"/>
                <c:pt idx="0">
                  <c:v>유형자산구성비율</c:v>
                </c:pt>
              </c:strCache>
            </c:strRef>
          </c:tx>
          <c:spPr>
            <a:ln w="12700"/>
          </c:spPr>
          <c:cat>
            <c:strRef>
              <c:f>재무비율!$K$328:$O$328</c:f>
              <c:strCache>
                <c:ptCount val="5"/>
                <c:pt idx="0">
                  <c:v>2022/12</c:v>
                </c:pt>
                <c:pt idx="1">
                  <c:v>2021/12</c:v>
                </c:pt>
                <c:pt idx="2">
                  <c:v>2020/12</c:v>
                </c:pt>
                <c:pt idx="3">
                  <c:v>2019/12</c:v>
                </c:pt>
                <c:pt idx="4">
                  <c:v>2018/12</c:v>
                </c:pt>
              </c:strCache>
            </c:strRef>
          </c:cat>
          <c:val>
            <c:numRef>
              <c:f>재무비율!$K$329:$O$329</c:f>
              <c:numCache>
                <c:formatCode>0.00</c:formatCode>
                <c:ptCount val="5"/>
                <c:pt idx="0">
                  <c:v>37.47</c:v>
                </c:pt>
                <c:pt idx="1">
                  <c:v>35.14</c:v>
                </c:pt>
                <c:pt idx="2">
                  <c:v>34.090000000000003</c:v>
                </c:pt>
                <c:pt idx="3">
                  <c:v>33.99</c:v>
                </c:pt>
                <c:pt idx="4">
                  <c:v>34.01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재무비율!$J$330</c:f>
              <c:strCache>
                <c:ptCount val="1"/>
                <c:pt idx="0">
                  <c:v>자기자본지율</c:v>
                </c:pt>
              </c:strCache>
            </c:strRef>
          </c:tx>
          <c:spPr>
            <a:ln w="12700"/>
          </c:spPr>
          <c:cat>
            <c:strRef>
              <c:f>재무비율!$K$328:$O$328</c:f>
              <c:strCache>
                <c:ptCount val="5"/>
                <c:pt idx="0">
                  <c:v>2022/12</c:v>
                </c:pt>
                <c:pt idx="1">
                  <c:v>2021/12</c:v>
                </c:pt>
                <c:pt idx="2">
                  <c:v>2020/12</c:v>
                </c:pt>
                <c:pt idx="3">
                  <c:v>2019/12</c:v>
                </c:pt>
                <c:pt idx="4">
                  <c:v>2018/12</c:v>
                </c:pt>
              </c:strCache>
            </c:strRef>
          </c:cat>
          <c:val>
            <c:numRef>
              <c:f>재무비율!$K$330:$O$330</c:f>
              <c:numCache>
                <c:formatCode>0.00</c:formatCode>
                <c:ptCount val="5"/>
                <c:pt idx="0">
                  <c:v>79.11</c:v>
                </c:pt>
                <c:pt idx="1">
                  <c:v>71.47</c:v>
                </c:pt>
                <c:pt idx="2">
                  <c:v>72.959999999999994</c:v>
                </c:pt>
                <c:pt idx="3">
                  <c:v>74.56</c:v>
                </c:pt>
                <c:pt idx="4">
                  <c:v>73.010000000000005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재무비율!$J$331</c:f>
              <c:strCache>
                <c:ptCount val="1"/>
                <c:pt idx="0">
                  <c:v>차입금비율</c:v>
                </c:pt>
              </c:strCache>
            </c:strRef>
          </c:tx>
          <c:spPr>
            <a:ln w="12700"/>
          </c:spPr>
          <c:cat>
            <c:strRef>
              <c:f>재무비율!$K$328:$O$328</c:f>
              <c:strCache>
                <c:ptCount val="5"/>
                <c:pt idx="0">
                  <c:v>2022/12</c:v>
                </c:pt>
                <c:pt idx="1">
                  <c:v>2021/12</c:v>
                </c:pt>
                <c:pt idx="2">
                  <c:v>2020/12</c:v>
                </c:pt>
                <c:pt idx="3">
                  <c:v>2019/12</c:v>
                </c:pt>
                <c:pt idx="4">
                  <c:v>2018/12</c:v>
                </c:pt>
              </c:strCache>
            </c:strRef>
          </c:cat>
          <c:val>
            <c:numRef>
              <c:f>재무비율!$K$331:$O$331</c:f>
              <c:numCache>
                <c:formatCode>0.00</c:formatCode>
                <c:ptCount val="5"/>
                <c:pt idx="0">
                  <c:v>2.91</c:v>
                </c:pt>
                <c:pt idx="1">
                  <c:v>6.03</c:v>
                </c:pt>
                <c:pt idx="2">
                  <c:v>8.0500000000000007</c:v>
                </c:pt>
                <c:pt idx="3">
                  <c:v>7.85</c:v>
                </c:pt>
                <c:pt idx="4">
                  <c:v>5.92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52480"/>
        <c:axId val="152450944"/>
      </c:lineChart>
      <c:catAx>
        <c:axId val="152443520"/>
        <c:scaling>
          <c:orientation val="maxMin"/>
        </c:scaling>
        <c:delete val="0"/>
        <c:axPos val="b"/>
        <c:majorTickMark val="out"/>
        <c:minorTickMark val="none"/>
        <c:tickLblPos val="nextTo"/>
        <c:crossAx val="152449408"/>
        <c:crosses val="autoZero"/>
        <c:auto val="1"/>
        <c:lblAlgn val="ctr"/>
        <c:lblOffset val="100"/>
        <c:noMultiLvlLbl val="0"/>
      </c:catAx>
      <c:valAx>
        <c:axId val="152449408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high"/>
        <c:crossAx val="152443520"/>
        <c:crosses val="autoZero"/>
        <c:crossBetween val="between"/>
      </c:valAx>
      <c:valAx>
        <c:axId val="152450944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crossAx val="152452480"/>
        <c:crosses val="autoZero"/>
        <c:crossBetween val="between"/>
      </c:valAx>
      <c:catAx>
        <c:axId val="152452480"/>
        <c:scaling>
          <c:orientation val="maxMin"/>
        </c:scaling>
        <c:delete val="0"/>
        <c:axPos val="t"/>
        <c:majorTickMark val="none"/>
        <c:minorTickMark val="none"/>
        <c:tickLblPos val="none"/>
        <c:spPr>
          <a:ln>
            <a:noFill/>
          </a:ln>
        </c:spPr>
        <c:crossAx val="152450944"/>
        <c:crosses val="max"/>
        <c:auto val="1"/>
        <c:lblAlgn val="ctr"/>
        <c:lblOffset val="100"/>
        <c:noMultiLvlLbl val="0"/>
      </c:cat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분기 활동성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재무비율!$J$372</c:f>
              <c:strCache>
                <c:ptCount val="1"/>
                <c:pt idx="0">
                  <c:v>총자산회전율</c:v>
                </c:pt>
              </c:strCache>
            </c:strRef>
          </c:tx>
          <c:spPr>
            <a:ln w="12700"/>
          </c:spPr>
          <c:cat>
            <c:strRef>
              <c:f>재무비율!$K$371:$P$371</c:f>
              <c:strCache>
                <c:ptCount val="6"/>
                <c:pt idx="0">
                  <c:v>2023/3Q</c:v>
                </c:pt>
                <c:pt idx="1">
                  <c:v>2023/2Q</c:v>
                </c:pt>
                <c:pt idx="2">
                  <c:v>2023/1Q</c:v>
                </c:pt>
                <c:pt idx="3">
                  <c:v>2022/4Q</c:v>
                </c:pt>
                <c:pt idx="4">
                  <c:v>2022/3Q</c:v>
                </c:pt>
                <c:pt idx="5">
                  <c:v>2022/2Q</c:v>
                </c:pt>
              </c:strCache>
            </c:strRef>
          </c:cat>
          <c:val>
            <c:numRef>
              <c:f>재무비율!$K$372:$P$372</c:f>
              <c:numCache>
                <c:formatCode>0.00</c:formatCode>
                <c:ptCount val="6"/>
                <c:pt idx="0">
                  <c:v>0.41342334539030945</c:v>
                </c:pt>
                <c:pt idx="1">
                  <c:v>0.27621699476270289</c:v>
                </c:pt>
                <c:pt idx="2">
                  <c:v>0.14269987505612375</c:v>
                </c:pt>
                <c:pt idx="3">
                  <c:v>0.69077848640047834</c:v>
                </c:pt>
                <c:pt idx="4">
                  <c:v>0.52632454806555062</c:v>
                </c:pt>
                <c:pt idx="5">
                  <c:v>0.3721942744633599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재무비율!$J$373</c:f>
              <c:strCache>
                <c:ptCount val="1"/>
                <c:pt idx="0">
                  <c:v>총부채회전율</c:v>
                </c:pt>
              </c:strCache>
            </c:strRef>
          </c:tx>
          <c:spPr>
            <a:ln w="12700"/>
          </c:spPr>
          <c:cat>
            <c:strRef>
              <c:f>재무비율!$K$371:$P$371</c:f>
              <c:strCache>
                <c:ptCount val="6"/>
                <c:pt idx="0">
                  <c:v>2023/3Q</c:v>
                </c:pt>
                <c:pt idx="1">
                  <c:v>2023/2Q</c:v>
                </c:pt>
                <c:pt idx="2">
                  <c:v>2023/1Q</c:v>
                </c:pt>
                <c:pt idx="3">
                  <c:v>2022/4Q</c:v>
                </c:pt>
                <c:pt idx="4">
                  <c:v>2022/3Q</c:v>
                </c:pt>
                <c:pt idx="5">
                  <c:v>2022/2Q</c:v>
                </c:pt>
              </c:strCache>
            </c:strRef>
          </c:cat>
          <c:val>
            <c:numRef>
              <c:f>재무비율!$K$373:$P$373</c:f>
              <c:numCache>
                <c:formatCode>0.00</c:formatCode>
                <c:ptCount val="6"/>
                <c:pt idx="0">
                  <c:v>1.7704069943186174</c:v>
                </c:pt>
                <c:pt idx="1">
                  <c:v>1.1833194466033559</c:v>
                </c:pt>
                <c:pt idx="2">
                  <c:v>0.58394025429609586</c:v>
                </c:pt>
                <c:pt idx="3">
                  <c:v>2.8062840311940609</c:v>
                </c:pt>
                <c:pt idx="4">
                  <c:v>1.9392590650762351</c:v>
                </c:pt>
                <c:pt idx="5">
                  <c:v>1.3925775911770095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재무비율!$J$374</c:f>
              <c:strCache>
                <c:ptCount val="1"/>
                <c:pt idx="0">
                  <c:v>총자본회전율</c:v>
                </c:pt>
              </c:strCache>
            </c:strRef>
          </c:tx>
          <c:spPr>
            <a:ln w="12700"/>
          </c:spPr>
          <c:cat>
            <c:strRef>
              <c:f>재무비율!$K$371:$P$371</c:f>
              <c:strCache>
                <c:ptCount val="6"/>
                <c:pt idx="0">
                  <c:v>2023/3Q</c:v>
                </c:pt>
                <c:pt idx="1">
                  <c:v>2023/2Q</c:v>
                </c:pt>
                <c:pt idx="2">
                  <c:v>2023/1Q</c:v>
                </c:pt>
                <c:pt idx="3">
                  <c:v>2022/4Q</c:v>
                </c:pt>
                <c:pt idx="4">
                  <c:v>2022/3Q</c:v>
                </c:pt>
                <c:pt idx="5">
                  <c:v>2022/2Q</c:v>
                </c:pt>
              </c:strCache>
            </c:strRef>
          </c:cat>
          <c:val>
            <c:numRef>
              <c:f>재무비율!$K$374:$P$374</c:f>
              <c:numCache>
                <c:formatCode>0.00</c:formatCode>
                <c:ptCount val="6"/>
                <c:pt idx="0">
                  <c:v>0.53937833581978156</c:v>
                </c:pt>
                <c:pt idx="1">
                  <c:v>0.36032637848327698</c:v>
                </c:pt>
                <c:pt idx="2">
                  <c:v>0.18884989962121143</c:v>
                </c:pt>
                <c:pt idx="3">
                  <c:v>0.91633918911198808</c:v>
                </c:pt>
                <c:pt idx="4">
                  <c:v>0.7223828413277793</c:v>
                </c:pt>
                <c:pt idx="5">
                  <c:v>0.50795558658424611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87040"/>
        <c:axId val="152488576"/>
      </c:lineChart>
      <c:catAx>
        <c:axId val="152487040"/>
        <c:scaling>
          <c:orientation val="maxMin"/>
        </c:scaling>
        <c:delete val="0"/>
        <c:axPos val="b"/>
        <c:majorTickMark val="out"/>
        <c:minorTickMark val="none"/>
        <c:tickLblPos val="nextTo"/>
        <c:crossAx val="152488576"/>
        <c:crosses val="autoZero"/>
        <c:auto val="1"/>
        <c:lblAlgn val="ctr"/>
        <c:lblOffset val="100"/>
        <c:noMultiLvlLbl val="0"/>
      </c:catAx>
      <c:valAx>
        <c:axId val="15248857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15248704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연간 활동성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재무비율!$J$405</c:f>
              <c:strCache>
                <c:ptCount val="1"/>
                <c:pt idx="0">
                  <c:v>총자산회전율</c:v>
                </c:pt>
              </c:strCache>
            </c:strRef>
          </c:tx>
          <c:spPr>
            <a:ln w="12700"/>
          </c:spPr>
          <c:cat>
            <c:strRef>
              <c:f>재무비율!$K$404:$O$404</c:f>
              <c:strCache>
                <c:ptCount val="5"/>
                <c:pt idx="0">
                  <c:v>2022/12</c:v>
                </c:pt>
                <c:pt idx="1">
                  <c:v>2021/12</c:v>
                </c:pt>
                <c:pt idx="2">
                  <c:v>2020/12</c:v>
                </c:pt>
                <c:pt idx="3">
                  <c:v>2019/12</c:v>
                </c:pt>
                <c:pt idx="4">
                  <c:v>2018/12</c:v>
                </c:pt>
              </c:strCache>
            </c:strRef>
          </c:cat>
          <c:val>
            <c:numRef>
              <c:f>재무비율!$K$405:$O$405</c:f>
              <c:numCache>
                <c:formatCode>0.00</c:formatCode>
                <c:ptCount val="5"/>
                <c:pt idx="0">
                  <c:v>0.69077848640047834</c:v>
                </c:pt>
                <c:pt idx="1">
                  <c:v>0.69479383810345929</c:v>
                </c:pt>
                <c:pt idx="2">
                  <c:v>0.6480758575036818</c:v>
                </c:pt>
                <c:pt idx="3">
                  <c:v>0.66597381567173508</c:v>
                </c:pt>
                <c:pt idx="4">
                  <c:v>0.76046752736874046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재무비율!$J$406</c:f>
              <c:strCache>
                <c:ptCount val="1"/>
                <c:pt idx="0">
                  <c:v>총부재회전율</c:v>
                </c:pt>
              </c:strCache>
            </c:strRef>
          </c:tx>
          <c:spPr>
            <a:ln w="12700"/>
          </c:spPr>
          <c:cat>
            <c:strRef>
              <c:f>재무비율!$K$404:$O$404</c:f>
              <c:strCache>
                <c:ptCount val="5"/>
                <c:pt idx="0">
                  <c:v>2022/12</c:v>
                </c:pt>
                <c:pt idx="1">
                  <c:v>2021/12</c:v>
                </c:pt>
                <c:pt idx="2">
                  <c:v>2020/12</c:v>
                </c:pt>
                <c:pt idx="3">
                  <c:v>2019/12</c:v>
                </c:pt>
                <c:pt idx="4">
                  <c:v>2018/12</c:v>
                </c:pt>
              </c:strCache>
            </c:strRef>
          </c:cat>
          <c:val>
            <c:numRef>
              <c:f>재무비율!$K$406:$O$406</c:f>
              <c:numCache>
                <c:formatCode>0.00</c:formatCode>
                <c:ptCount val="5"/>
                <c:pt idx="0">
                  <c:v>2.8062840311940609</c:v>
                </c:pt>
                <c:pt idx="1">
                  <c:v>2.4963719102464883</c:v>
                </c:pt>
                <c:pt idx="2">
                  <c:v>2.4671020966425594</c:v>
                </c:pt>
                <c:pt idx="3">
                  <c:v>2.5418196379230382</c:v>
                </c:pt>
                <c:pt idx="4">
                  <c:v>2.7257628305242898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재무비율!$J$407</c:f>
              <c:strCache>
                <c:ptCount val="1"/>
                <c:pt idx="0">
                  <c:v>총자본회전율</c:v>
                </c:pt>
              </c:strCache>
            </c:strRef>
          </c:tx>
          <c:spPr>
            <a:ln w="12700"/>
          </c:spPr>
          <c:cat>
            <c:strRef>
              <c:f>재무비율!$K$404:$O$404</c:f>
              <c:strCache>
                <c:ptCount val="5"/>
                <c:pt idx="0">
                  <c:v>2022/12</c:v>
                </c:pt>
                <c:pt idx="1">
                  <c:v>2021/12</c:v>
                </c:pt>
                <c:pt idx="2">
                  <c:v>2020/12</c:v>
                </c:pt>
                <c:pt idx="3">
                  <c:v>2019/12</c:v>
                </c:pt>
                <c:pt idx="4">
                  <c:v>2018/12</c:v>
                </c:pt>
              </c:strCache>
            </c:strRef>
          </c:cat>
          <c:val>
            <c:numRef>
              <c:f>재무비율!$K$407:$O$407</c:f>
              <c:numCache>
                <c:formatCode>0.00</c:formatCode>
                <c:ptCount val="5"/>
                <c:pt idx="0">
                  <c:v>0.91633918911198808</c:v>
                </c:pt>
                <c:pt idx="1">
                  <c:v>0.96274696482657962</c:v>
                </c:pt>
                <c:pt idx="2">
                  <c:v>0.87896989742581089</c:v>
                </c:pt>
                <c:pt idx="3">
                  <c:v>0.9024117563059374</c:v>
                </c:pt>
                <c:pt idx="4">
                  <c:v>1.0547290865622974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527104"/>
        <c:axId val="180528640"/>
      </c:lineChart>
      <c:catAx>
        <c:axId val="180527104"/>
        <c:scaling>
          <c:orientation val="maxMin"/>
        </c:scaling>
        <c:delete val="0"/>
        <c:axPos val="b"/>
        <c:majorTickMark val="out"/>
        <c:minorTickMark val="none"/>
        <c:tickLblPos val="nextTo"/>
        <c:crossAx val="180528640"/>
        <c:crosses val="autoZero"/>
        <c:auto val="1"/>
        <c:lblAlgn val="ctr"/>
        <c:lblOffset val="100"/>
        <c:noMultiLvlLbl val="0"/>
      </c:catAx>
      <c:valAx>
        <c:axId val="18052864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18052710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15" fmlaLink="$B$96" fmlaRange="$B$97:$B$101" noThreeD="1" val="0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Radio" checked="Checked" firstButton="1" fmlaLink="$G$205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Radio" checked="Checked" firstButton="1" fmlaLink="$G$255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GBox" noThreeD="1"/>
</file>

<file path=xl/ctrlProps/ctrlProp9.xml><?xml version="1.0" encoding="utf-8"?>
<formControlPr xmlns="http://schemas.microsoft.com/office/spreadsheetml/2009/9/main" objectType="Radio" checked="Checked" firstButton="1" fmlaLink="$G$371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Drop" dropStyle="combo" dx="15" fmlaLink="$H$90" fmlaRange="$F$90:$F$93" noThreeD="1" sel="3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&#51116;&#47924;&#48708;&#50984;!J285"/><Relationship Id="rId13" Type="http://schemas.openxmlformats.org/officeDocument/2006/relationships/hyperlink" Target="#&#51116;&#47924;&#48708;&#50984;!J312"/><Relationship Id="rId3" Type="http://schemas.openxmlformats.org/officeDocument/2006/relationships/chart" Target="../charts/chart2.xml"/><Relationship Id="rId7" Type="http://schemas.openxmlformats.org/officeDocument/2006/relationships/hyperlink" Target="#&#51116;&#47924;&#48708;&#50984;!J261"/><Relationship Id="rId12" Type="http://schemas.openxmlformats.org/officeDocument/2006/relationships/chart" Target="../charts/chart8.xml"/><Relationship Id="rId2" Type="http://schemas.openxmlformats.org/officeDocument/2006/relationships/hyperlink" Target="#&#51116;&#47924;&#48708;&#50984;!J230"/><Relationship Id="rId16" Type="http://schemas.openxmlformats.org/officeDocument/2006/relationships/hyperlink" Target="#&#51116;&#47924;&#48708;&#50984;!J408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11" Type="http://schemas.openxmlformats.org/officeDocument/2006/relationships/chart" Target="../charts/chart7.xml"/><Relationship Id="rId5" Type="http://schemas.openxmlformats.org/officeDocument/2006/relationships/chart" Target="../charts/chart3.xml"/><Relationship Id="rId15" Type="http://schemas.openxmlformats.org/officeDocument/2006/relationships/hyperlink" Target="#&#51116;&#47924;&#48708;&#50984;!J375"/><Relationship Id="rId10" Type="http://schemas.openxmlformats.org/officeDocument/2006/relationships/chart" Target="../charts/chart6.xml"/><Relationship Id="rId4" Type="http://schemas.openxmlformats.org/officeDocument/2006/relationships/hyperlink" Target="#&#51116;&#47924;&#48708;&#50984;!J211"/><Relationship Id="rId9" Type="http://schemas.openxmlformats.org/officeDocument/2006/relationships/chart" Target="../charts/chart5.xml"/><Relationship Id="rId14" Type="http://schemas.openxmlformats.org/officeDocument/2006/relationships/hyperlink" Target="#&#51116;&#47924;&#48708;&#50984;!J334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93</xdr:row>
          <xdr:rowOff>57150</xdr:rowOff>
        </xdr:from>
        <xdr:to>
          <xdr:col>9</xdr:col>
          <xdr:colOff>1790700</xdr:colOff>
          <xdr:row>94</xdr:row>
          <xdr:rowOff>85725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13</xdr:col>
      <xdr:colOff>0</xdr:colOff>
      <xdr:row>6</xdr:row>
      <xdr:rowOff>0</xdr:rowOff>
    </xdr:from>
    <xdr:to>
      <xdr:col>17</xdr:col>
      <xdr:colOff>66675</xdr:colOff>
      <xdr:row>24</xdr:row>
      <xdr:rowOff>104775</xdr:rowOff>
    </xdr:to>
    <xdr:grpSp>
      <xdr:nvGrpSpPr>
        <xdr:cNvPr id="5" name="그룹 4"/>
        <xdr:cNvGrpSpPr/>
      </xdr:nvGrpSpPr>
      <xdr:grpSpPr>
        <a:xfrm>
          <a:off x="6953250" y="1381125"/>
          <a:ext cx="5324475" cy="3876675"/>
          <a:chOff x="6953250" y="1533525"/>
          <a:chExt cx="5324475" cy="3190875"/>
        </a:xfrm>
      </xdr:grpSpPr>
      <xdr:graphicFrame macro="">
        <xdr:nvGraphicFramePr>
          <xdr:cNvPr id="17" name="연간 성장성"/>
          <xdr:cNvGraphicFramePr>
            <a:graphicFrameLocks/>
          </xdr:cNvGraphicFramePr>
        </xdr:nvGraphicFramePr>
        <xdr:xfrm>
          <a:off x="6953250" y="1533525"/>
          <a:ext cx="5324475" cy="31908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5" name="TextBox 24">
            <a:hlinkClick xmlns:r="http://schemas.openxmlformats.org/officeDocument/2006/relationships" r:id="rId2"/>
          </xdr:cNvPr>
          <xdr:cNvSpPr txBox="1"/>
        </xdr:nvSpPr>
        <xdr:spPr>
          <a:xfrm>
            <a:off x="11772900" y="1552575"/>
            <a:ext cx="46179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100" b="1" u="sng">
                <a:solidFill>
                  <a:srgbClr val="0070C0"/>
                </a:solidFill>
              </a:rPr>
              <a:t>Data</a:t>
            </a:r>
            <a:endParaRPr lang="ko-KR" altLang="en-US" sz="1100" b="1" u="sng">
              <a:solidFill>
                <a:srgbClr val="0070C0"/>
              </a:solidFill>
            </a:endParaRPr>
          </a:p>
        </xdr:txBody>
      </xdr:sp>
      <xdr:sp macro="" textlink="">
        <xdr:nvSpPr>
          <xdr:cNvPr id="16" name="TextBox 15"/>
          <xdr:cNvSpPr txBox="1"/>
        </xdr:nvSpPr>
        <xdr:spPr>
          <a:xfrm>
            <a:off x="11601449" y="1857375"/>
            <a:ext cx="67627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ko-KR" altLang="en-US" sz="900" b="1">
                <a:latin typeface="+mj-ea"/>
                <a:ea typeface="+mj-ea"/>
              </a:rPr>
              <a:t>증가율</a:t>
            </a:r>
            <a:r>
              <a:rPr lang="en-US" altLang="ko-KR" sz="900" b="1">
                <a:latin typeface="+mj-ea"/>
                <a:ea typeface="+mj-ea"/>
              </a:rPr>
              <a:t>(%)</a:t>
            </a:r>
            <a:endParaRPr lang="ko-KR" altLang="en-US" sz="900" b="1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9</xdr:col>
      <xdr:colOff>0</xdr:colOff>
      <xdr:row>6</xdr:row>
      <xdr:rowOff>0</xdr:rowOff>
    </xdr:from>
    <xdr:to>
      <xdr:col>12</xdr:col>
      <xdr:colOff>262100</xdr:colOff>
      <xdr:row>24</xdr:row>
      <xdr:rowOff>104775</xdr:rowOff>
    </xdr:to>
    <xdr:graphicFrame macro="">
      <xdr:nvGraphicFramePr>
        <xdr:cNvPr id="14" name="분기 성장성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927781</xdr:colOff>
      <xdr:row>7</xdr:row>
      <xdr:rowOff>152400</xdr:rowOff>
    </xdr:from>
    <xdr:to>
      <xdr:col>12</xdr:col>
      <xdr:colOff>266700</xdr:colOff>
      <xdr:row>9</xdr:row>
      <xdr:rowOff>74060</xdr:rowOff>
    </xdr:to>
    <xdr:sp macro="" textlink="">
      <xdr:nvSpPr>
        <xdr:cNvPr id="3" name="TextBox 2"/>
        <xdr:cNvSpPr txBox="1"/>
      </xdr:nvSpPr>
      <xdr:spPr>
        <a:xfrm>
          <a:off x="10738531" y="1857375"/>
          <a:ext cx="65336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900" b="1">
              <a:latin typeface="+mj-ea"/>
              <a:ea typeface="+mj-ea"/>
            </a:rPr>
            <a:t>증가율</a:t>
          </a:r>
          <a:r>
            <a:rPr lang="en-US" altLang="ko-KR" sz="900" b="1">
              <a:latin typeface="+mj-ea"/>
              <a:ea typeface="+mj-ea"/>
            </a:rPr>
            <a:t>(%)</a:t>
          </a:r>
          <a:endParaRPr lang="ko-KR" altLang="en-US" sz="900" b="1"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1093425</xdr:colOff>
      <xdr:row>6</xdr:row>
      <xdr:rowOff>19050</xdr:rowOff>
    </xdr:from>
    <xdr:to>
      <xdr:col>12</xdr:col>
      <xdr:colOff>225127</xdr:colOff>
      <xdr:row>7</xdr:row>
      <xdr:rowOff>112160</xdr:rowOff>
    </xdr:to>
    <xdr:sp macro="" textlink="">
      <xdr:nvSpPr>
        <xdr:cNvPr id="22" name="TextBox 21">
          <a:hlinkClick xmlns:r="http://schemas.openxmlformats.org/officeDocument/2006/relationships" r:id="rId4"/>
        </xdr:cNvPr>
        <xdr:cNvSpPr txBox="1"/>
      </xdr:nvSpPr>
      <xdr:spPr>
        <a:xfrm>
          <a:off x="10904175" y="1552575"/>
          <a:ext cx="44615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 b="1" u="sng">
              <a:solidFill>
                <a:srgbClr val="0070C0"/>
              </a:solidFill>
            </a:rPr>
            <a:t>Data</a:t>
          </a:r>
          <a:endParaRPr lang="ko-KR" altLang="en-US" sz="1100" b="1" u="sng">
            <a:solidFill>
              <a:srgbClr val="0070C0"/>
            </a:solidFill>
          </a:endParaRP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12</xdr:col>
      <xdr:colOff>270825</xdr:colOff>
      <xdr:row>44</xdr:row>
      <xdr:rowOff>103500</xdr:rowOff>
    </xdr:to>
    <xdr:graphicFrame macro="">
      <xdr:nvGraphicFramePr>
        <xdr:cNvPr id="23" name="차트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1190626</xdr:colOff>
      <xdr:row>27</xdr:row>
      <xdr:rowOff>123825</xdr:rowOff>
    </xdr:from>
    <xdr:to>
      <xdr:col>12</xdr:col>
      <xdr:colOff>276226</xdr:colOff>
      <xdr:row>29</xdr:row>
      <xdr:rowOff>45485</xdr:rowOff>
    </xdr:to>
    <xdr:sp macro="" textlink="">
      <xdr:nvSpPr>
        <xdr:cNvPr id="27" name="TextBox 26"/>
        <xdr:cNvSpPr txBox="1"/>
      </xdr:nvSpPr>
      <xdr:spPr>
        <a:xfrm>
          <a:off x="11001376" y="5257800"/>
          <a:ext cx="4000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00" b="1">
              <a:latin typeface="+mj-ea"/>
              <a:ea typeface="+mj-ea"/>
            </a:rPr>
            <a:t>(%)</a:t>
          </a:r>
          <a:endParaRPr lang="ko-KR" altLang="en-US" sz="900" b="1">
            <a:latin typeface="+mj-ea"/>
            <a:ea typeface="+mj-ea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</xdr:colOff>
          <xdr:row>7</xdr:row>
          <xdr:rowOff>9525</xdr:rowOff>
        </xdr:from>
        <xdr:to>
          <xdr:col>11</xdr:col>
          <xdr:colOff>800100</xdr:colOff>
          <xdr:row>9</xdr:row>
          <xdr:rowOff>133350</xdr:rowOff>
        </xdr:to>
        <xdr:sp macro="" textlink="">
          <xdr:nvSpPr>
            <xdr:cNvPr id="1043" name="Group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산출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180975</xdr:colOff>
          <xdr:row>7</xdr:row>
          <xdr:rowOff>123825</xdr:rowOff>
        </xdr:from>
        <xdr:to>
          <xdr:col>11</xdr:col>
          <xdr:colOff>676275</xdr:colOff>
          <xdr:row>8</xdr:row>
          <xdr:rowOff>114300</xdr:rowOff>
        </xdr:to>
        <xdr:sp macro="" textlink="">
          <xdr:nvSpPr>
            <xdr:cNvPr id="1044" name="Option Button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YoY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180975</xdr:colOff>
          <xdr:row>8</xdr:row>
          <xdr:rowOff>133350</xdr:rowOff>
        </xdr:from>
        <xdr:to>
          <xdr:col>11</xdr:col>
          <xdr:colOff>676275</xdr:colOff>
          <xdr:row>9</xdr:row>
          <xdr:rowOff>123825</xdr:rowOff>
        </xdr:to>
        <xdr:sp macro="" textlink="">
          <xdr:nvSpPr>
            <xdr:cNvPr id="1045" name="Option Button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QoQ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180975</xdr:colOff>
          <xdr:row>26</xdr:row>
          <xdr:rowOff>95250</xdr:rowOff>
        </xdr:from>
        <xdr:to>
          <xdr:col>11</xdr:col>
          <xdr:colOff>904875</xdr:colOff>
          <xdr:row>29</xdr:row>
          <xdr:rowOff>9525</xdr:rowOff>
        </xdr:to>
        <xdr:sp macro="" textlink="">
          <xdr:nvSpPr>
            <xdr:cNvPr id="1046" name="Group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산출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238125</xdr:colOff>
          <xdr:row>27</xdr:row>
          <xdr:rowOff>19050</xdr:rowOff>
        </xdr:from>
        <xdr:to>
          <xdr:col>11</xdr:col>
          <xdr:colOff>866775</xdr:colOff>
          <xdr:row>27</xdr:row>
          <xdr:rowOff>180975</xdr:rowOff>
        </xdr:to>
        <xdr:sp macro="" textlink="">
          <xdr:nvSpPr>
            <xdr:cNvPr id="1047" name="Option Button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238125</xdr:colOff>
          <xdr:row>28</xdr:row>
          <xdr:rowOff>9525</xdr:rowOff>
        </xdr:from>
        <xdr:to>
          <xdr:col>11</xdr:col>
          <xdr:colOff>866775</xdr:colOff>
          <xdr:row>28</xdr:row>
          <xdr:rowOff>171450</xdr:rowOff>
        </xdr:to>
        <xdr:sp macro="" textlink="">
          <xdr:nvSpPr>
            <xdr:cNvPr id="1048" name="Option Button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누적</a:t>
              </a:r>
            </a:p>
          </xdr:txBody>
        </xdr:sp>
        <xdr:clientData/>
      </xdr:twoCellAnchor>
    </mc:Choice>
    <mc:Fallback/>
  </mc:AlternateContent>
  <xdr:twoCellAnchor>
    <xdr:from>
      <xdr:col>13</xdr:col>
      <xdr:colOff>0</xdr:colOff>
      <xdr:row>26</xdr:row>
      <xdr:rowOff>0</xdr:rowOff>
    </xdr:from>
    <xdr:to>
      <xdr:col>17</xdr:col>
      <xdr:colOff>66600</xdr:colOff>
      <xdr:row>44</xdr:row>
      <xdr:rowOff>103500</xdr:rowOff>
    </xdr:to>
    <xdr:graphicFrame macro="">
      <xdr:nvGraphicFramePr>
        <xdr:cNvPr id="43" name="차트 4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923926</xdr:colOff>
      <xdr:row>27</xdr:row>
      <xdr:rowOff>123825</xdr:rowOff>
    </xdr:from>
    <xdr:to>
      <xdr:col>17</xdr:col>
      <xdr:colOff>9526</xdr:colOff>
      <xdr:row>29</xdr:row>
      <xdr:rowOff>45485</xdr:rowOff>
    </xdr:to>
    <xdr:sp macro="" textlink="">
      <xdr:nvSpPr>
        <xdr:cNvPr id="44" name="TextBox 43"/>
        <xdr:cNvSpPr txBox="1"/>
      </xdr:nvSpPr>
      <xdr:spPr>
        <a:xfrm>
          <a:off x="17306926" y="5257800"/>
          <a:ext cx="4000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00" b="1">
              <a:latin typeface="+mj-ea"/>
              <a:ea typeface="+mj-ea"/>
            </a:rPr>
            <a:t>(%)</a:t>
          </a:r>
          <a:endParaRPr lang="ko-KR" altLang="en-US" sz="900" b="1"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1093425</xdr:colOff>
      <xdr:row>26</xdr:row>
      <xdr:rowOff>47625</xdr:rowOff>
    </xdr:from>
    <xdr:to>
      <xdr:col>12</xdr:col>
      <xdr:colOff>225127</xdr:colOff>
      <xdr:row>27</xdr:row>
      <xdr:rowOff>140735</xdr:rowOff>
    </xdr:to>
    <xdr:sp macro="" textlink="">
      <xdr:nvSpPr>
        <xdr:cNvPr id="45" name="TextBox 44">
          <a:hlinkClick xmlns:r="http://schemas.openxmlformats.org/officeDocument/2006/relationships" r:id="rId7"/>
        </xdr:cNvPr>
        <xdr:cNvSpPr txBox="1"/>
      </xdr:nvSpPr>
      <xdr:spPr>
        <a:xfrm>
          <a:off x="10904175" y="5010150"/>
          <a:ext cx="44615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 b="1" u="sng">
              <a:solidFill>
                <a:srgbClr val="0070C0"/>
              </a:solidFill>
            </a:rPr>
            <a:t>Data</a:t>
          </a:r>
          <a:endParaRPr lang="ko-KR" altLang="en-US" sz="1100" b="1" u="sng">
            <a:solidFill>
              <a:srgbClr val="0070C0"/>
            </a:solidFill>
          </a:endParaRPr>
        </a:p>
      </xdr:txBody>
    </xdr:sp>
    <xdr:clientData/>
  </xdr:twoCellAnchor>
  <xdr:twoCellAnchor>
    <xdr:from>
      <xdr:col>16</xdr:col>
      <xdr:colOff>874350</xdr:colOff>
      <xdr:row>26</xdr:row>
      <xdr:rowOff>47625</xdr:rowOff>
    </xdr:from>
    <xdr:to>
      <xdr:col>17</xdr:col>
      <xdr:colOff>6052</xdr:colOff>
      <xdr:row>27</xdr:row>
      <xdr:rowOff>140735</xdr:rowOff>
    </xdr:to>
    <xdr:sp macro="" textlink="">
      <xdr:nvSpPr>
        <xdr:cNvPr id="46" name="TextBox 45">
          <a:hlinkClick xmlns:r="http://schemas.openxmlformats.org/officeDocument/2006/relationships" r:id="rId8"/>
        </xdr:cNvPr>
        <xdr:cNvSpPr txBox="1"/>
      </xdr:nvSpPr>
      <xdr:spPr>
        <a:xfrm>
          <a:off x="17257350" y="5010150"/>
          <a:ext cx="44615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 b="1" u="sng">
              <a:solidFill>
                <a:srgbClr val="0070C0"/>
              </a:solidFill>
            </a:rPr>
            <a:t>Data</a:t>
          </a:r>
          <a:endParaRPr lang="ko-KR" altLang="en-US" sz="1100" b="1" u="sng">
            <a:solidFill>
              <a:srgbClr val="0070C0"/>
            </a:solidFill>
          </a:endParaRPr>
        </a:p>
      </xdr:txBody>
    </xdr:sp>
    <xdr:clientData/>
  </xdr:twoCellAnchor>
  <xdr:twoCellAnchor>
    <xdr:from>
      <xdr:col>9</xdr:col>
      <xdr:colOff>0</xdr:colOff>
      <xdr:row>46</xdr:row>
      <xdr:rowOff>0</xdr:rowOff>
    </xdr:from>
    <xdr:to>
      <xdr:col>12</xdr:col>
      <xdr:colOff>270825</xdr:colOff>
      <xdr:row>64</xdr:row>
      <xdr:rowOff>103500</xdr:rowOff>
    </xdr:to>
    <xdr:graphicFrame macro="">
      <xdr:nvGraphicFramePr>
        <xdr:cNvPr id="49" name="차트 4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857250</xdr:colOff>
      <xdr:row>47</xdr:row>
      <xdr:rowOff>104775</xdr:rowOff>
    </xdr:from>
    <xdr:to>
      <xdr:col>12</xdr:col>
      <xdr:colOff>209549</xdr:colOff>
      <xdr:row>49</xdr:row>
      <xdr:rowOff>26435</xdr:rowOff>
    </xdr:to>
    <xdr:sp macro="" textlink="">
      <xdr:nvSpPr>
        <xdr:cNvPr id="50" name="TextBox 49"/>
        <xdr:cNvSpPr txBox="1"/>
      </xdr:nvSpPr>
      <xdr:spPr>
        <a:xfrm>
          <a:off x="5181600" y="8401050"/>
          <a:ext cx="6667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00" b="1">
              <a:latin typeface="+mj-ea"/>
              <a:ea typeface="+mj-ea"/>
            </a:rPr>
            <a:t>(</a:t>
          </a:r>
          <a:r>
            <a:rPr lang="ko-KR" altLang="en-US" sz="900" b="1">
              <a:latin typeface="+mj-ea"/>
              <a:ea typeface="+mj-ea"/>
            </a:rPr>
            <a:t>누적</a:t>
          </a:r>
          <a:r>
            <a:rPr lang="en-US" altLang="ko-KR" sz="900" b="1">
              <a:latin typeface="+mj-ea"/>
              <a:ea typeface="+mj-ea"/>
            </a:rPr>
            <a:t>, %)</a:t>
          </a:r>
          <a:endParaRPr lang="ko-KR" altLang="en-US" sz="900" b="1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85726</xdr:colOff>
      <xdr:row>47</xdr:row>
      <xdr:rowOff>104775</xdr:rowOff>
    </xdr:from>
    <xdr:to>
      <xdr:col>9</xdr:col>
      <xdr:colOff>485776</xdr:colOff>
      <xdr:row>49</xdr:row>
      <xdr:rowOff>26435</xdr:rowOff>
    </xdr:to>
    <xdr:sp macro="" textlink="">
      <xdr:nvSpPr>
        <xdr:cNvPr id="51" name="TextBox 50"/>
        <xdr:cNvSpPr txBox="1"/>
      </xdr:nvSpPr>
      <xdr:spPr>
        <a:xfrm>
          <a:off x="285751" y="8401050"/>
          <a:ext cx="4000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00" b="1">
              <a:latin typeface="+mj-ea"/>
              <a:ea typeface="+mj-ea"/>
            </a:rPr>
            <a:t>(</a:t>
          </a:r>
          <a:r>
            <a:rPr lang="ko-KR" altLang="en-US" sz="900" b="1">
              <a:latin typeface="+mj-ea"/>
              <a:ea typeface="+mj-ea"/>
            </a:rPr>
            <a:t>배</a:t>
          </a:r>
          <a:r>
            <a:rPr lang="en-US" altLang="ko-KR" sz="900" b="1">
              <a:latin typeface="+mj-ea"/>
              <a:ea typeface="+mj-ea"/>
            </a:rPr>
            <a:t>)</a:t>
          </a:r>
          <a:endParaRPr lang="ko-KR" altLang="en-US" sz="9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0</xdr:colOff>
      <xdr:row>46</xdr:row>
      <xdr:rowOff>0</xdr:rowOff>
    </xdr:from>
    <xdr:to>
      <xdr:col>17</xdr:col>
      <xdr:colOff>66600</xdr:colOff>
      <xdr:row>64</xdr:row>
      <xdr:rowOff>103500</xdr:rowOff>
    </xdr:to>
    <xdr:graphicFrame macro="">
      <xdr:nvGraphicFramePr>
        <xdr:cNvPr id="55" name="차트 5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95251</xdr:colOff>
      <xdr:row>47</xdr:row>
      <xdr:rowOff>104775</xdr:rowOff>
    </xdr:from>
    <xdr:to>
      <xdr:col>13</xdr:col>
      <xdr:colOff>495301</xdr:colOff>
      <xdr:row>49</xdr:row>
      <xdr:rowOff>26435</xdr:rowOff>
    </xdr:to>
    <xdr:sp macro="" textlink="">
      <xdr:nvSpPr>
        <xdr:cNvPr id="57" name="TextBox 56"/>
        <xdr:cNvSpPr txBox="1"/>
      </xdr:nvSpPr>
      <xdr:spPr>
        <a:xfrm>
          <a:off x="7048501" y="8401050"/>
          <a:ext cx="4000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00" b="1">
              <a:latin typeface="+mj-ea"/>
              <a:ea typeface="+mj-ea"/>
            </a:rPr>
            <a:t>(</a:t>
          </a:r>
          <a:r>
            <a:rPr lang="ko-KR" altLang="en-US" sz="900" b="1">
              <a:latin typeface="+mj-ea"/>
              <a:ea typeface="+mj-ea"/>
            </a:rPr>
            <a:t>배</a:t>
          </a:r>
          <a:r>
            <a:rPr lang="en-US" altLang="ko-KR" sz="900" b="1">
              <a:latin typeface="+mj-ea"/>
              <a:ea typeface="+mj-ea"/>
            </a:rPr>
            <a:t>)</a:t>
          </a:r>
          <a:endParaRPr lang="ko-KR" altLang="en-US" sz="900" b="1"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933451</xdr:colOff>
      <xdr:row>47</xdr:row>
      <xdr:rowOff>104775</xdr:rowOff>
    </xdr:from>
    <xdr:to>
      <xdr:col>17</xdr:col>
      <xdr:colOff>1</xdr:colOff>
      <xdr:row>49</xdr:row>
      <xdr:rowOff>26435</xdr:rowOff>
    </xdr:to>
    <xdr:sp macro="" textlink="">
      <xdr:nvSpPr>
        <xdr:cNvPr id="59" name="TextBox 58"/>
        <xdr:cNvSpPr txBox="1"/>
      </xdr:nvSpPr>
      <xdr:spPr>
        <a:xfrm>
          <a:off x="17316451" y="8401050"/>
          <a:ext cx="3810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00" b="1">
              <a:latin typeface="+mj-ea"/>
              <a:ea typeface="+mj-ea"/>
            </a:rPr>
            <a:t>(%)</a:t>
          </a:r>
          <a:endParaRPr lang="ko-KR" altLang="en-US" sz="900" b="1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0</xdr:colOff>
      <xdr:row>66</xdr:row>
      <xdr:rowOff>0</xdr:rowOff>
    </xdr:from>
    <xdr:to>
      <xdr:col>12</xdr:col>
      <xdr:colOff>270825</xdr:colOff>
      <xdr:row>84</xdr:row>
      <xdr:rowOff>103500</xdr:rowOff>
    </xdr:to>
    <xdr:graphicFrame macro="">
      <xdr:nvGraphicFramePr>
        <xdr:cNvPr id="62" name="차트 6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1228725</xdr:colOff>
          <xdr:row>67</xdr:row>
          <xdr:rowOff>28575</xdr:rowOff>
        </xdr:from>
        <xdr:to>
          <xdr:col>11</xdr:col>
          <xdr:colOff>752475</xdr:colOff>
          <xdr:row>69</xdr:row>
          <xdr:rowOff>152400</xdr:rowOff>
        </xdr:to>
        <xdr:sp macro="" textlink="">
          <xdr:nvSpPr>
            <xdr:cNvPr id="1077" name="Group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매출 연율화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67</xdr:row>
          <xdr:rowOff>133350</xdr:rowOff>
        </xdr:from>
        <xdr:to>
          <xdr:col>11</xdr:col>
          <xdr:colOff>647700</xdr:colOff>
          <xdr:row>68</xdr:row>
          <xdr:rowOff>123825</xdr:rowOff>
        </xdr:to>
        <xdr:sp macro="" textlink="">
          <xdr:nvSpPr>
            <xdr:cNvPr id="1081" name="Option Button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미적용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68</xdr:row>
          <xdr:rowOff>133350</xdr:rowOff>
        </xdr:from>
        <xdr:to>
          <xdr:col>11</xdr:col>
          <xdr:colOff>647700</xdr:colOff>
          <xdr:row>69</xdr:row>
          <xdr:rowOff>123825</xdr:rowOff>
        </xdr:to>
        <xdr:sp macro="" textlink="">
          <xdr:nvSpPr>
            <xdr:cNvPr id="1082" name="Option Button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적용</a:t>
              </a:r>
            </a:p>
          </xdr:txBody>
        </xdr:sp>
        <xdr:clientData/>
      </xdr:twoCellAnchor>
    </mc:Choice>
    <mc:Fallback/>
  </mc:AlternateContent>
  <xdr:twoCellAnchor>
    <xdr:from>
      <xdr:col>11</xdr:col>
      <xdr:colOff>857250</xdr:colOff>
      <xdr:row>67</xdr:row>
      <xdr:rowOff>104775</xdr:rowOff>
    </xdr:from>
    <xdr:to>
      <xdr:col>12</xdr:col>
      <xdr:colOff>209549</xdr:colOff>
      <xdr:row>69</xdr:row>
      <xdr:rowOff>26435</xdr:rowOff>
    </xdr:to>
    <xdr:sp macro="" textlink="">
      <xdr:nvSpPr>
        <xdr:cNvPr id="78" name="TextBox 77"/>
        <xdr:cNvSpPr txBox="1"/>
      </xdr:nvSpPr>
      <xdr:spPr>
        <a:xfrm>
          <a:off x="10668000" y="11830050"/>
          <a:ext cx="6667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00" b="1">
              <a:latin typeface="+mj-ea"/>
              <a:ea typeface="+mj-ea"/>
            </a:rPr>
            <a:t>(</a:t>
          </a:r>
          <a:r>
            <a:rPr lang="ko-KR" altLang="en-US" sz="900" b="1">
              <a:latin typeface="+mj-ea"/>
              <a:ea typeface="+mj-ea"/>
            </a:rPr>
            <a:t>누적</a:t>
          </a:r>
          <a:r>
            <a:rPr lang="en-US" altLang="ko-KR" sz="900" b="1">
              <a:latin typeface="+mj-ea"/>
              <a:ea typeface="+mj-ea"/>
            </a:rPr>
            <a:t>, </a:t>
          </a:r>
          <a:r>
            <a:rPr lang="ko-KR" altLang="en-US" sz="900" b="1">
              <a:latin typeface="+mj-ea"/>
              <a:ea typeface="+mj-ea"/>
            </a:rPr>
            <a:t>회</a:t>
          </a:r>
          <a:r>
            <a:rPr lang="en-US" altLang="ko-KR" sz="900" b="1">
              <a:latin typeface="+mj-ea"/>
              <a:ea typeface="+mj-ea"/>
            </a:rPr>
            <a:t>)</a:t>
          </a:r>
          <a:endParaRPr lang="ko-KR" altLang="en-US" sz="9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17</xdr:col>
      <xdr:colOff>66600</xdr:colOff>
      <xdr:row>84</xdr:row>
      <xdr:rowOff>103500</xdr:rowOff>
    </xdr:to>
    <xdr:graphicFrame macro="">
      <xdr:nvGraphicFramePr>
        <xdr:cNvPr id="80" name="차트 7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990600</xdr:colOff>
      <xdr:row>67</xdr:row>
      <xdr:rowOff>104775</xdr:rowOff>
    </xdr:from>
    <xdr:to>
      <xdr:col>17</xdr:col>
      <xdr:colOff>38099</xdr:colOff>
      <xdr:row>69</xdr:row>
      <xdr:rowOff>26435</xdr:rowOff>
    </xdr:to>
    <xdr:sp macro="" textlink="">
      <xdr:nvSpPr>
        <xdr:cNvPr id="81" name="TextBox 80"/>
        <xdr:cNvSpPr txBox="1"/>
      </xdr:nvSpPr>
      <xdr:spPr>
        <a:xfrm>
          <a:off x="17373600" y="11830050"/>
          <a:ext cx="3619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00" b="1">
              <a:latin typeface="+mj-ea"/>
              <a:ea typeface="+mj-ea"/>
            </a:rPr>
            <a:t>(</a:t>
          </a:r>
          <a:r>
            <a:rPr lang="ko-KR" altLang="en-US" sz="900" b="1">
              <a:latin typeface="+mj-ea"/>
              <a:ea typeface="+mj-ea"/>
            </a:rPr>
            <a:t>회</a:t>
          </a:r>
          <a:r>
            <a:rPr lang="en-US" altLang="ko-KR" sz="900" b="1">
              <a:latin typeface="+mj-ea"/>
              <a:ea typeface="+mj-ea"/>
            </a:rPr>
            <a:t>)</a:t>
          </a:r>
          <a:endParaRPr lang="ko-KR" altLang="en-US" sz="900" b="1"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1093425</xdr:colOff>
      <xdr:row>46</xdr:row>
      <xdr:rowOff>28575</xdr:rowOff>
    </xdr:from>
    <xdr:to>
      <xdr:col>12</xdr:col>
      <xdr:colOff>225127</xdr:colOff>
      <xdr:row>47</xdr:row>
      <xdr:rowOff>121685</xdr:rowOff>
    </xdr:to>
    <xdr:sp macro="" textlink="">
      <xdr:nvSpPr>
        <xdr:cNvPr id="35" name="TextBox 34">
          <a:hlinkClick xmlns:r="http://schemas.openxmlformats.org/officeDocument/2006/relationships" r:id="rId13"/>
        </xdr:cNvPr>
        <xdr:cNvSpPr txBox="1"/>
      </xdr:nvSpPr>
      <xdr:spPr>
        <a:xfrm>
          <a:off x="5417775" y="8153400"/>
          <a:ext cx="44615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 b="1" u="sng">
              <a:solidFill>
                <a:srgbClr val="0070C0"/>
              </a:solidFill>
            </a:rPr>
            <a:t>Data</a:t>
          </a:r>
          <a:endParaRPr lang="ko-KR" altLang="en-US" sz="1100" b="1" u="sng">
            <a:solidFill>
              <a:srgbClr val="0070C0"/>
            </a:solidFill>
          </a:endParaRPr>
        </a:p>
      </xdr:txBody>
    </xdr:sp>
    <xdr:clientData/>
  </xdr:twoCellAnchor>
  <xdr:twoCellAnchor>
    <xdr:from>
      <xdr:col>16</xdr:col>
      <xdr:colOff>893400</xdr:colOff>
      <xdr:row>46</xdr:row>
      <xdr:rowOff>28575</xdr:rowOff>
    </xdr:from>
    <xdr:to>
      <xdr:col>17</xdr:col>
      <xdr:colOff>25102</xdr:colOff>
      <xdr:row>47</xdr:row>
      <xdr:rowOff>121685</xdr:rowOff>
    </xdr:to>
    <xdr:sp macro="" textlink="">
      <xdr:nvSpPr>
        <xdr:cNvPr id="36" name="TextBox 35">
          <a:hlinkClick xmlns:r="http://schemas.openxmlformats.org/officeDocument/2006/relationships" r:id="rId14"/>
        </xdr:cNvPr>
        <xdr:cNvSpPr txBox="1"/>
      </xdr:nvSpPr>
      <xdr:spPr>
        <a:xfrm>
          <a:off x="11790000" y="8153400"/>
          <a:ext cx="44615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 b="1" u="sng">
              <a:solidFill>
                <a:srgbClr val="0070C0"/>
              </a:solidFill>
            </a:rPr>
            <a:t>Data</a:t>
          </a:r>
          <a:endParaRPr lang="ko-KR" altLang="en-US" sz="1100" b="1" u="sng">
            <a:solidFill>
              <a:srgbClr val="0070C0"/>
            </a:solidFill>
          </a:endParaRPr>
        </a:p>
      </xdr:txBody>
    </xdr:sp>
    <xdr:clientData/>
  </xdr:twoCellAnchor>
  <xdr:twoCellAnchor>
    <xdr:from>
      <xdr:col>11</xdr:col>
      <xdr:colOff>1093425</xdr:colOff>
      <xdr:row>66</xdr:row>
      <xdr:rowOff>38100</xdr:rowOff>
    </xdr:from>
    <xdr:to>
      <xdr:col>12</xdr:col>
      <xdr:colOff>225127</xdr:colOff>
      <xdr:row>67</xdr:row>
      <xdr:rowOff>131210</xdr:rowOff>
    </xdr:to>
    <xdr:sp macro="" textlink="">
      <xdr:nvSpPr>
        <xdr:cNvPr id="37" name="TextBox 36">
          <a:hlinkClick xmlns:r="http://schemas.openxmlformats.org/officeDocument/2006/relationships" r:id="rId15"/>
        </xdr:cNvPr>
        <xdr:cNvSpPr txBox="1"/>
      </xdr:nvSpPr>
      <xdr:spPr>
        <a:xfrm>
          <a:off x="5417775" y="11591925"/>
          <a:ext cx="44615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 b="1" u="sng">
              <a:solidFill>
                <a:srgbClr val="0070C0"/>
              </a:solidFill>
            </a:rPr>
            <a:t>Data</a:t>
          </a:r>
          <a:endParaRPr lang="ko-KR" altLang="en-US" sz="1100" b="1" u="sng">
            <a:solidFill>
              <a:srgbClr val="0070C0"/>
            </a:solidFill>
          </a:endParaRPr>
        </a:p>
      </xdr:txBody>
    </xdr:sp>
    <xdr:clientData/>
  </xdr:twoCellAnchor>
  <xdr:twoCellAnchor>
    <xdr:from>
      <xdr:col>16</xdr:col>
      <xdr:colOff>893400</xdr:colOff>
      <xdr:row>66</xdr:row>
      <xdr:rowOff>38100</xdr:rowOff>
    </xdr:from>
    <xdr:to>
      <xdr:col>17</xdr:col>
      <xdr:colOff>25102</xdr:colOff>
      <xdr:row>67</xdr:row>
      <xdr:rowOff>131210</xdr:rowOff>
    </xdr:to>
    <xdr:sp macro="" textlink="">
      <xdr:nvSpPr>
        <xdr:cNvPr id="38" name="TextBox 37">
          <a:hlinkClick xmlns:r="http://schemas.openxmlformats.org/officeDocument/2006/relationships" r:id="rId16"/>
        </xdr:cNvPr>
        <xdr:cNvSpPr txBox="1"/>
      </xdr:nvSpPr>
      <xdr:spPr>
        <a:xfrm>
          <a:off x="11790000" y="11591925"/>
          <a:ext cx="44615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 b="1" u="sng">
              <a:solidFill>
                <a:srgbClr val="0070C0"/>
              </a:solidFill>
            </a:rPr>
            <a:t>Data</a:t>
          </a:r>
          <a:endParaRPr lang="ko-KR" altLang="en-US" sz="1100" b="1" u="sng">
            <a:solidFill>
              <a:srgbClr val="0070C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93</xdr:row>
          <xdr:rowOff>0</xdr:rowOff>
        </xdr:from>
        <xdr:to>
          <xdr:col>10</xdr:col>
          <xdr:colOff>1000125</xdr:colOff>
          <xdr:row>93</xdr:row>
          <xdr:rowOff>190500</xdr:rowOff>
        </xdr:to>
        <xdr:sp macro="" textlink="">
          <xdr:nvSpPr>
            <xdr:cNvPr id="1084" name="Drop Down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TY409"/>
  <sheetViews>
    <sheetView showGridLines="0" tabSelected="1" topLeftCell="I1" zoomScaleNormal="100" workbookViewId="0">
      <selection activeCell="I1" sqref="I1"/>
    </sheetView>
  </sheetViews>
  <sheetFormatPr defaultColWidth="0" defaultRowHeight="16.5" zeroHeight="1" x14ac:dyDescent="0.3"/>
  <cols>
    <col min="1" max="8" width="9" hidden="1" customWidth="1"/>
    <col min="9" max="9" width="2.625" customWidth="1"/>
    <col min="10" max="10" width="36.875" customWidth="1"/>
    <col min="11" max="20" width="17.25" customWidth="1"/>
    <col min="21" max="45" width="17.25" hidden="1"/>
    <col min="10010" max="16384" width="9" hidden="1"/>
  </cols>
  <sheetData>
    <row r="1" spans="1:22" s="3" customFormat="1" x14ac:dyDescent="0.3">
      <c r="A1"/>
      <c r="B1"/>
      <c r="C1"/>
      <c r="D1"/>
      <c r="E1"/>
      <c r="F1"/>
      <c r="G1"/>
      <c r="H1"/>
      <c r="I1" s="14"/>
    </row>
    <row r="2" spans="1:22" s="3" customFormat="1" ht="26.25" x14ac:dyDescent="0.3">
      <c r="A2"/>
      <c r="B2"/>
      <c r="C2"/>
      <c r="D2"/>
      <c r="E2"/>
      <c r="F2"/>
      <c r="G2"/>
      <c r="H2"/>
      <c r="I2" s="14"/>
      <c r="J2" s="35" t="s">
        <v>174</v>
      </c>
      <c r="K2" s="35"/>
      <c r="L2" s="35"/>
      <c r="M2" s="35"/>
      <c r="N2" s="35"/>
      <c r="O2" s="35"/>
      <c r="P2" s="35"/>
      <c r="Q2" s="35"/>
      <c r="R2" s="35"/>
      <c r="S2" s="35"/>
      <c r="T2" s="14"/>
      <c r="U2" s="14"/>
      <c r="V2" s="17"/>
    </row>
    <row r="3" spans="1:22" s="3" customFormat="1" x14ac:dyDescent="0.3">
      <c r="A3"/>
      <c r="B3"/>
      <c r="C3"/>
      <c r="D3"/>
      <c r="E3"/>
      <c r="F3"/>
      <c r="G3"/>
      <c r="H3"/>
      <c r="I3" s="14"/>
      <c r="V3" s="18"/>
    </row>
    <row r="4" spans="1:22" s="3" customFormat="1" ht="16.5" customHeight="1" x14ac:dyDescent="0.3">
      <c r="A4"/>
      <c r="B4"/>
      <c r="C4"/>
      <c r="D4"/>
      <c r="E4"/>
      <c r="F4"/>
      <c r="G4"/>
      <c r="H4"/>
      <c r="I4" s="14"/>
      <c r="N4" s="2" t="str">
        <f>_xll.IMDP("STK",$N$5,"한글종목명")</f>
        <v>삼성전자</v>
      </c>
      <c r="O4" s="2" t="s">
        <v>250</v>
      </c>
      <c r="P4" s="2" t="s">
        <v>156</v>
      </c>
      <c r="Q4" s="36" t="s">
        <v>200</v>
      </c>
    </row>
    <row r="5" spans="1:22" s="3" customFormat="1" ht="16.5" customHeight="1" x14ac:dyDescent="0.3">
      <c r="A5"/>
      <c r="B5"/>
      <c r="C5"/>
      <c r="D5"/>
      <c r="E5"/>
      <c r="F5"/>
      <c r="G5"/>
      <c r="H5"/>
      <c r="I5" s="14"/>
      <c r="M5" s="29" t="s">
        <v>240</v>
      </c>
      <c r="N5" s="22" t="s">
        <v>251</v>
      </c>
      <c r="O5" s="19">
        <f>K96</f>
        <v>45199</v>
      </c>
      <c r="P5" s="24" t="s">
        <v>157</v>
      </c>
      <c r="Q5" s="36"/>
    </row>
    <row r="6" spans="1:22" s="3" customFormat="1" x14ac:dyDescent="0.3">
      <c r="A6"/>
      <c r="B6"/>
      <c r="C6"/>
      <c r="D6"/>
      <c r="E6"/>
      <c r="F6"/>
      <c r="G6"/>
      <c r="H6"/>
      <c r="I6" s="14"/>
      <c r="P6" s="5"/>
      <c r="Q6" s="5"/>
      <c r="V6" s="14"/>
    </row>
    <row r="7" spans="1:22" s="3" customFormat="1" x14ac:dyDescent="0.3">
      <c r="A7"/>
      <c r="B7"/>
      <c r="C7"/>
      <c r="D7"/>
      <c r="E7"/>
      <c r="F7"/>
      <c r="G7"/>
      <c r="H7"/>
      <c r="I7" s="14"/>
      <c r="P7" s="5"/>
      <c r="Q7" s="5"/>
      <c r="R7" s="4"/>
      <c r="S7" s="15"/>
      <c r="T7" s="15"/>
      <c r="U7" s="15"/>
      <c r="V7" s="14"/>
    </row>
    <row r="8" spans="1:22" s="3" customFormat="1" x14ac:dyDescent="0.3">
      <c r="A8"/>
      <c r="B8"/>
      <c r="C8"/>
      <c r="D8"/>
      <c r="E8"/>
      <c r="F8"/>
      <c r="G8"/>
      <c r="H8"/>
      <c r="I8" s="14"/>
      <c r="P8" s="5"/>
      <c r="Q8" s="5"/>
      <c r="R8" s="4"/>
      <c r="S8" s="15"/>
      <c r="T8" s="15"/>
      <c r="U8" s="15"/>
      <c r="V8" s="14"/>
    </row>
    <row r="9" spans="1:22" s="3" customFormat="1" x14ac:dyDescent="0.3">
      <c r="A9"/>
      <c r="B9"/>
      <c r="C9"/>
      <c r="D9"/>
      <c r="E9"/>
      <c r="F9"/>
      <c r="G9"/>
      <c r="H9"/>
      <c r="I9" s="14"/>
      <c r="P9" s="5"/>
      <c r="Q9" s="5"/>
      <c r="R9" s="4"/>
      <c r="S9" s="4"/>
      <c r="T9" s="4"/>
      <c r="U9" s="4"/>
    </row>
    <row r="10" spans="1:22" s="3" customFormat="1" x14ac:dyDescent="0.3">
      <c r="A10"/>
      <c r="B10"/>
      <c r="C10"/>
      <c r="D10"/>
      <c r="E10"/>
      <c r="F10"/>
      <c r="G10"/>
      <c r="H10"/>
      <c r="I10" s="14"/>
      <c r="P10" s="5"/>
      <c r="Q10" s="5"/>
      <c r="R10" s="4"/>
      <c r="S10" s="4"/>
      <c r="T10" s="4"/>
      <c r="U10" s="4"/>
    </row>
    <row r="11" spans="1:22" s="3" customFormat="1" x14ac:dyDescent="0.3">
      <c r="A11"/>
      <c r="B11"/>
      <c r="C11"/>
      <c r="D11"/>
      <c r="E11"/>
      <c r="F11"/>
      <c r="G11"/>
      <c r="H11"/>
      <c r="I11" s="14"/>
      <c r="P11" s="5"/>
      <c r="Q11" s="5"/>
      <c r="R11" s="4"/>
      <c r="S11" s="4"/>
      <c r="T11" s="4"/>
      <c r="U11" s="4"/>
    </row>
    <row r="12" spans="1:22" s="3" customFormat="1" x14ac:dyDescent="0.3">
      <c r="A12"/>
      <c r="B12"/>
      <c r="C12"/>
      <c r="D12"/>
      <c r="E12"/>
      <c r="F12"/>
      <c r="G12"/>
      <c r="H12"/>
      <c r="I12" s="14"/>
      <c r="P12" s="5"/>
      <c r="Q12" s="5"/>
      <c r="R12" s="4"/>
      <c r="S12" s="4"/>
      <c r="T12" s="4"/>
      <c r="U12" s="4"/>
    </row>
    <row r="13" spans="1:22" s="3" customFormat="1" x14ac:dyDescent="0.3">
      <c r="A13"/>
      <c r="B13"/>
      <c r="C13"/>
      <c r="D13"/>
      <c r="E13"/>
      <c r="F13"/>
      <c r="G13"/>
      <c r="H13"/>
      <c r="I13" s="14"/>
      <c r="P13" s="5"/>
      <c r="Q13" s="5"/>
      <c r="R13" s="4"/>
      <c r="S13" s="4"/>
      <c r="T13" s="4"/>
      <c r="U13" s="4"/>
    </row>
    <row r="14" spans="1:22" s="3" customFormat="1" x14ac:dyDescent="0.3">
      <c r="A14"/>
      <c r="B14"/>
      <c r="C14"/>
      <c r="D14"/>
      <c r="E14"/>
      <c r="F14"/>
      <c r="G14"/>
      <c r="H14"/>
      <c r="I14" s="14"/>
      <c r="P14" s="5"/>
      <c r="Q14" s="5"/>
      <c r="R14" s="4"/>
      <c r="S14" s="4"/>
      <c r="T14" s="4"/>
      <c r="U14" s="4"/>
    </row>
    <row r="15" spans="1:22" s="3" customFormat="1" x14ac:dyDescent="0.3">
      <c r="A15"/>
      <c r="B15"/>
      <c r="C15"/>
      <c r="D15"/>
      <c r="E15"/>
      <c r="F15"/>
      <c r="G15"/>
      <c r="H15"/>
      <c r="I15" s="14"/>
      <c r="P15" s="5"/>
      <c r="Q15" s="5"/>
      <c r="R15" s="4"/>
      <c r="S15" s="4"/>
      <c r="T15" s="4"/>
      <c r="U15" s="4"/>
    </row>
    <row r="16" spans="1:22" s="3" customFormat="1" x14ac:dyDescent="0.3">
      <c r="A16"/>
      <c r="B16"/>
      <c r="C16"/>
      <c r="D16"/>
      <c r="E16"/>
      <c r="F16"/>
      <c r="G16"/>
      <c r="H16"/>
      <c r="I16" s="14"/>
      <c r="P16" s="5"/>
      <c r="Q16" s="5"/>
      <c r="R16" s="4"/>
      <c r="S16" s="4"/>
      <c r="T16" s="4"/>
      <c r="U16" s="4"/>
    </row>
    <row r="17" spans="1:21" s="3" customFormat="1" x14ac:dyDescent="0.3">
      <c r="A17"/>
      <c r="B17"/>
      <c r="C17"/>
      <c r="D17"/>
      <c r="E17"/>
      <c r="F17"/>
      <c r="G17"/>
      <c r="H17"/>
      <c r="I17" s="14"/>
      <c r="P17" s="5"/>
      <c r="Q17" s="5"/>
      <c r="R17" s="4"/>
      <c r="S17" s="4"/>
      <c r="T17" s="4"/>
      <c r="U17" s="4"/>
    </row>
    <row r="18" spans="1:21" s="3" customFormat="1" x14ac:dyDescent="0.3">
      <c r="A18"/>
      <c r="B18"/>
      <c r="C18"/>
      <c r="D18"/>
      <c r="E18"/>
      <c r="F18"/>
      <c r="G18"/>
      <c r="H18"/>
      <c r="I18" s="14"/>
      <c r="P18" s="5"/>
      <c r="Q18" s="5"/>
      <c r="R18" s="4"/>
      <c r="S18" s="4"/>
      <c r="T18" s="4"/>
      <c r="U18" s="4"/>
    </row>
    <row r="19" spans="1:21" s="3" customFormat="1" x14ac:dyDescent="0.3">
      <c r="A19"/>
      <c r="B19"/>
      <c r="C19"/>
      <c r="D19"/>
      <c r="E19"/>
      <c r="F19"/>
      <c r="G19"/>
      <c r="H19"/>
      <c r="I19" s="14"/>
      <c r="P19" s="5"/>
      <c r="Q19" s="5"/>
      <c r="R19" s="4"/>
      <c r="S19" s="4"/>
      <c r="T19" s="4"/>
      <c r="U19" s="4"/>
    </row>
    <row r="20" spans="1:21" s="3" customFormat="1" x14ac:dyDescent="0.3">
      <c r="A20"/>
      <c r="B20"/>
      <c r="C20"/>
      <c r="D20"/>
      <c r="E20"/>
      <c r="F20"/>
      <c r="G20"/>
      <c r="H20"/>
      <c r="I20" s="14"/>
      <c r="P20" s="5"/>
      <c r="Q20" s="5"/>
      <c r="R20" s="4"/>
      <c r="S20" s="4"/>
      <c r="T20" s="4"/>
      <c r="U20" s="4"/>
    </row>
    <row r="21" spans="1:21" s="3" customFormat="1" x14ac:dyDescent="0.3">
      <c r="A21"/>
      <c r="B21"/>
      <c r="C21"/>
      <c r="D21"/>
      <c r="E21"/>
      <c r="F21"/>
      <c r="G21"/>
      <c r="H21"/>
      <c r="I21" s="14"/>
      <c r="P21" s="5"/>
      <c r="Q21" s="5"/>
      <c r="R21" s="4"/>
      <c r="S21" s="4"/>
      <c r="T21" s="4"/>
      <c r="U21" s="4"/>
    </row>
    <row r="22" spans="1:21" s="3" customFormat="1" x14ac:dyDescent="0.3">
      <c r="A22"/>
      <c r="B22"/>
      <c r="C22"/>
      <c r="D22"/>
      <c r="E22"/>
      <c r="F22"/>
      <c r="G22"/>
      <c r="H22"/>
      <c r="I22" s="14"/>
      <c r="P22" s="5"/>
      <c r="Q22" s="5"/>
      <c r="R22" s="4"/>
      <c r="S22" s="4"/>
      <c r="T22" s="4"/>
      <c r="U22" s="4"/>
    </row>
    <row r="23" spans="1:21" s="3" customFormat="1" x14ac:dyDescent="0.3">
      <c r="A23"/>
      <c r="B23"/>
      <c r="C23"/>
      <c r="D23"/>
      <c r="E23"/>
      <c r="F23"/>
      <c r="G23"/>
      <c r="H23"/>
      <c r="I23" s="14"/>
      <c r="P23" s="5"/>
      <c r="Q23" s="5"/>
      <c r="R23" s="4"/>
      <c r="S23" s="4"/>
      <c r="T23" s="4"/>
      <c r="U23" s="4"/>
    </row>
    <row r="24" spans="1:21" s="3" customFormat="1" x14ac:dyDescent="0.3">
      <c r="A24"/>
      <c r="B24"/>
      <c r="C24"/>
      <c r="D24"/>
      <c r="E24"/>
      <c r="F24"/>
      <c r="G24"/>
      <c r="H24"/>
      <c r="I24" s="14"/>
      <c r="P24" s="5"/>
      <c r="Q24" s="5"/>
      <c r="R24" s="4"/>
      <c r="S24" s="4"/>
      <c r="T24" s="4"/>
      <c r="U24" s="4"/>
    </row>
    <row r="25" spans="1:21" s="3" customFormat="1" x14ac:dyDescent="0.3">
      <c r="A25"/>
      <c r="B25"/>
      <c r="C25"/>
      <c r="D25"/>
      <c r="E25"/>
      <c r="F25"/>
      <c r="G25"/>
      <c r="H25"/>
      <c r="I25" s="14"/>
      <c r="P25" s="5"/>
      <c r="Q25" s="5"/>
      <c r="R25" s="4"/>
      <c r="S25" s="4"/>
      <c r="T25" s="4"/>
      <c r="U25" s="4"/>
    </row>
    <row r="26" spans="1:21" s="3" customFormat="1" x14ac:dyDescent="0.3">
      <c r="A26"/>
      <c r="B26"/>
      <c r="C26"/>
      <c r="D26"/>
      <c r="E26"/>
      <c r="F26"/>
      <c r="G26"/>
      <c r="H26"/>
      <c r="I26" s="14"/>
      <c r="P26" s="5"/>
      <c r="Q26" s="5"/>
      <c r="R26" s="4"/>
      <c r="S26" s="4"/>
      <c r="T26" s="4"/>
      <c r="U26" s="4"/>
    </row>
    <row r="27" spans="1:21" s="3" customFormat="1" x14ac:dyDescent="0.3">
      <c r="A27"/>
      <c r="B27"/>
      <c r="C27"/>
      <c r="D27"/>
      <c r="E27"/>
      <c r="F27"/>
      <c r="G27"/>
      <c r="H27"/>
      <c r="I27" s="14"/>
      <c r="P27" s="13"/>
      <c r="Q27" s="5"/>
      <c r="R27" s="4"/>
      <c r="S27" s="4"/>
      <c r="T27" s="4"/>
      <c r="U27" s="4"/>
    </row>
    <row r="28" spans="1:21" s="3" customFormat="1" x14ac:dyDescent="0.3">
      <c r="A28"/>
      <c r="B28"/>
      <c r="C28"/>
      <c r="D28"/>
      <c r="E28"/>
      <c r="F28"/>
      <c r="G28"/>
      <c r="H28"/>
      <c r="I28" s="14"/>
      <c r="P28" s="13"/>
      <c r="Q28" s="5"/>
      <c r="R28" s="4"/>
      <c r="S28" s="4"/>
      <c r="T28" s="4"/>
      <c r="U28" s="4"/>
    </row>
    <row r="29" spans="1:21" s="3" customFormat="1" x14ac:dyDescent="0.3">
      <c r="A29"/>
      <c r="B29"/>
      <c r="C29"/>
      <c r="D29"/>
      <c r="E29"/>
      <c r="F29"/>
      <c r="G29"/>
      <c r="H29"/>
      <c r="I29" s="14"/>
      <c r="P29" s="13"/>
      <c r="Q29" s="5"/>
      <c r="R29" s="4"/>
      <c r="S29" s="4"/>
      <c r="T29" s="4"/>
      <c r="U29" s="4"/>
    </row>
    <row r="30" spans="1:21" s="3" customFormat="1" x14ac:dyDescent="0.3">
      <c r="A30"/>
      <c r="B30"/>
      <c r="C30"/>
      <c r="D30"/>
      <c r="E30"/>
      <c r="F30"/>
      <c r="G30"/>
      <c r="H30"/>
      <c r="I30" s="14"/>
      <c r="P30" s="13"/>
      <c r="Q30" s="5"/>
      <c r="R30" s="4"/>
      <c r="S30" s="4"/>
      <c r="T30" s="4"/>
      <c r="U30" s="4"/>
    </row>
    <row r="31" spans="1:21" s="3" customFormat="1" x14ac:dyDescent="0.3">
      <c r="A31"/>
      <c r="B31"/>
      <c r="C31"/>
      <c r="D31"/>
      <c r="E31"/>
      <c r="F31"/>
      <c r="G31"/>
      <c r="H31"/>
      <c r="I31" s="14"/>
      <c r="P31" s="13"/>
      <c r="Q31" s="5"/>
      <c r="R31" s="4"/>
      <c r="S31" s="4"/>
      <c r="T31" s="4"/>
      <c r="U31" s="4"/>
    </row>
    <row r="32" spans="1:21" s="3" customFormat="1" x14ac:dyDescent="0.3">
      <c r="A32"/>
      <c r="B32"/>
      <c r="C32"/>
      <c r="D32"/>
      <c r="E32"/>
      <c r="F32"/>
      <c r="G32"/>
      <c r="H32"/>
      <c r="I32" s="14"/>
      <c r="P32" s="13"/>
      <c r="Q32" s="5"/>
      <c r="R32" s="4"/>
      <c r="S32" s="4"/>
      <c r="T32" s="4"/>
      <c r="U32" s="4"/>
    </row>
    <row r="33" spans="1:21" s="3" customFormat="1" x14ac:dyDescent="0.3">
      <c r="A33"/>
      <c r="B33"/>
      <c r="C33"/>
      <c r="D33"/>
      <c r="E33"/>
      <c r="F33"/>
      <c r="G33"/>
      <c r="H33"/>
      <c r="I33" s="14"/>
      <c r="P33" s="13"/>
      <c r="Q33" s="5"/>
      <c r="R33" s="4"/>
      <c r="S33" s="4"/>
      <c r="T33" s="4"/>
      <c r="U33" s="4"/>
    </row>
    <row r="34" spans="1:21" s="3" customFormat="1" x14ac:dyDescent="0.3">
      <c r="A34"/>
      <c r="B34"/>
      <c r="C34"/>
      <c r="D34"/>
      <c r="E34"/>
      <c r="F34"/>
      <c r="G34"/>
      <c r="H34"/>
      <c r="I34" s="14"/>
      <c r="P34" s="13"/>
      <c r="Q34" s="5"/>
      <c r="R34" s="4"/>
      <c r="S34" s="4"/>
      <c r="T34" s="4"/>
      <c r="U34" s="4"/>
    </row>
    <row r="35" spans="1:21" s="3" customFormat="1" x14ac:dyDescent="0.3">
      <c r="A35"/>
      <c r="B35"/>
      <c r="C35"/>
      <c r="D35"/>
      <c r="E35"/>
      <c r="F35"/>
      <c r="G35"/>
      <c r="H35"/>
      <c r="I35" s="14"/>
      <c r="P35" s="13"/>
      <c r="Q35" s="5"/>
      <c r="R35" s="4"/>
      <c r="S35" s="4"/>
      <c r="T35" s="4"/>
      <c r="U35" s="4"/>
    </row>
    <row r="36" spans="1:21" s="3" customFormat="1" x14ac:dyDescent="0.3">
      <c r="A36"/>
      <c r="B36"/>
      <c r="C36"/>
      <c r="D36"/>
      <c r="E36"/>
      <c r="F36"/>
      <c r="G36"/>
      <c r="H36"/>
      <c r="I36" s="14"/>
      <c r="P36" s="13"/>
      <c r="Q36" s="5"/>
      <c r="R36" s="4"/>
      <c r="S36" s="4"/>
      <c r="T36" s="4"/>
      <c r="U36" s="4"/>
    </row>
    <row r="37" spans="1:21" s="3" customFormat="1" x14ac:dyDescent="0.3">
      <c r="A37"/>
      <c r="B37"/>
      <c r="C37"/>
      <c r="D37"/>
      <c r="E37"/>
      <c r="F37"/>
      <c r="G37"/>
      <c r="H37"/>
      <c r="I37" s="14"/>
      <c r="P37" s="13"/>
      <c r="Q37" s="5"/>
      <c r="R37" s="4"/>
      <c r="S37" s="4"/>
      <c r="T37" s="4"/>
      <c r="U37" s="4"/>
    </row>
    <row r="38" spans="1:21" s="3" customFormat="1" x14ac:dyDescent="0.3">
      <c r="A38"/>
      <c r="B38"/>
      <c r="C38"/>
      <c r="D38"/>
      <c r="E38"/>
      <c r="F38"/>
      <c r="G38"/>
      <c r="H38"/>
      <c r="I38" s="14"/>
      <c r="P38" s="13"/>
      <c r="Q38" s="5"/>
      <c r="R38" s="4"/>
      <c r="S38" s="4"/>
      <c r="T38" s="4"/>
      <c r="U38" s="4"/>
    </row>
    <row r="39" spans="1:21" s="3" customFormat="1" x14ac:dyDescent="0.3">
      <c r="A39"/>
      <c r="B39"/>
      <c r="C39"/>
      <c r="D39"/>
      <c r="E39"/>
      <c r="F39"/>
      <c r="G39"/>
      <c r="H39"/>
      <c r="I39" s="14"/>
      <c r="P39" s="13"/>
      <c r="Q39" s="5"/>
      <c r="R39" s="4"/>
      <c r="S39" s="4"/>
      <c r="T39" s="4"/>
      <c r="U39" s="4"/>
    </row>
    <row r="40" spans="1:21" s="3" customFormat="1" x14ac:dyDescent="0.3">
      <c r="A40"/>
      <c r="B40"/>
      <c r="C40"/>
      <c r="D40"/>
      <c r="E40"/>
      <c r="F40"/>
      <c r="G40"/>
      <c r="H40"/>
      <c r="I40" s="14"/>
      <c r="P40" s="13"/>
      <c r="Q40" s="5"/>
      <c r="R40" s="4"/>
      <c r="S40" s="4"/>
      <c r="T40" s="4"/>
      <c r="U40" s="4"/>
    </row>
    <row r="41" spans="1:21" s="3" customFormat="1" x14ac:dyDescent="0.3">
      <c r="A41"/>
      <c r="B41"/>
      <c r="C41"/>
      <c r="D41"/>
      <c r="E41"/>
      <c r="F41"/>
      <c r="G41"/>
      <c r="H41"/>
      <c r="I41" s="14"/>
      <c r="P41" s="13"/>
      <c r="Q41" s="5"/>
      <c r="R41" s="4"/>
      <c r="S41" s="4"/>
      <c r="T41" s="4"/>
      <c r="U41" s="4"/>
    </row>
    <row r="42" spans="1:21" s="3" customFormat="1" x14ac:dyDescent="0.3">
      <c r="A42"/>
      <c r="B42"/>
      <c r="C42"/>
      <c r="D42"/>
      <c r="E42"/>
      <c r="F42"/>
      <c r="G42"/>
      <c r="H42"/>
      <c r="I42" s="14"/>
      <c r="P42" s="13"/>
      <c r="Q42" s="5"/>
      <c r="R42" s="4"/>
      <c r="S42" s="4"/>
      <c r="T42" s="4"/>
      <c r="U42" s="4"/>
    </row>
    <row r="43" spans="1:21" s="3" customFormat="1" x14ac:dyDescent="0.3">
      <c r="A43"/>
      <c r="B43"/>
      <c r="C43"/>
      <c r="D43"/>
      <c r="E43"/>
      <c r="F43"/>
      <c r="G43"/>
      <c r="H43"/>
      <c r="I43" s="14"/>
      <c r="P43" s="13"/>
      <c r="Q43" s="5"/>
      <c r="R43" s="4"/>
      <c r="S43" s="4"/>
      <c r="T43" s="4"/>
      <c r="U43" s="4"/>
    </row>
    <row r="44" spans="1:21" s="3" customFormat="1" x14ac:dyDescent="0.3">
      <c r="A44"/>
      <c r="B44"/>
      <c r="C44"/>
      <c r="D44"/>
      <c r="E44"/>
      <c r="F44"/>
      <c r="G44"/>
      <c r="H44"/>
      <c r="I44" s="14"/>
      <c r="P44" s="13"/>
      <c r="Q44" s="5"/>
      <c r="R44" s="4"/>
      <c r="S44" s="4"/>
      <c r="T44" s="4"/>
      <c r="U44" s="4"/>
    </row>
    <row r="45" spans="1:21" s="3" customFormat="1" x14ac:dyDescent="0.3">
      <c r="A45"/>
      <c r="B45"/>
      <c r="C45"/>
      <c r="D45"/>
      <c r="E45"/>
      <c r="F45"/>
      <c r="G45"/>
      <c r="H45"/>
      <c r="I45" s="14"/>
      <c r="P45" s="13"/>
      <c r="Q45" s="5"/>
      <c r="R45" s="4"/>
      <c r="S45" s="4"/>
      <c r="T45" s="4"/>
      <c r="U45" s="4"/>
    </row>
    <row r="46" spans="1:21" s="3" customFormat="1" x14ac:dyDescent="0.3">
      <c r="A46"/>
      <c r="B46"/>
      <c r="C46"/>
      <c r="D46"/>
      <c r="E46"/>
      <c r="F46"/>
      <c r="G46"/>
      <c r="H46"/>
      <c r="I46" s="14"/>
      <c r="P46" s="13"/>
      <c r="Q46" s="5"/>
      <c r="R46" s="4"/>
      <c r="S46" s="4"/>
      <c r="T46" s="4"/>
      <c r="U46" s="4"/>
    </row>
    <row r="47" spans="1:21" s="3" customFormat="1" x14ac:dyDescent="0.3">
      <c r="A47"/>
      <c r="B47"/>
      <c r="C47"/>
      <c r="D47"/>
      <c r="E47"/>
      <c r="F47"/>
      <c r="G47"/>
      <c r="H47"/>
      <c r="I47" s="14"/>
      <c r="P47" s="13"/>
      <c r="Q47" s="5"/>
      <c r="R47" s="4"/>
      <c r="S47" s="4"/>
      <c r="T47" s="4"/>
      <c r="U47" s="4"/>
    </row>
    <row r="48" spans="1:21" s="3" customFormat="1" x14ac:dyDescent="0.3">
      <c r="A48"/>
      <c r="B48"/>
      <c r="C48"/>
      <c r="D48"/>
      <c r="E48"/>
      <c r="F48"/>
      <c r="G48"/>
      <c r="H48"/>
      <c r="I48" s="14"/>
      <c r="P48" s="13"/>
      <c r="Q48" s="5"/>
      <c r="R48" s="4"/>
      <c r="S48" s="4"/>
      <c r="T48" s="4"/>
      <c r="U48" s="4"/>
    </row>
    <row r="49" spans="1:21" s="3" customFormat="1" x14ac:dyDescent="0.3">
      <c r="A49"/>
      <c r="B49"/>
      <c r="C49"/>
      <c r="D49"/>
      <c r="E49"/>
      <c r="F49"/>
      <c r="G49"/>
      <c r="H49"/>
      <c r="I49" s="14"/>
      <c r="P49" s="13"/>
      <c r="Q49" s="5"/>
      <c r="R49" s="4"/>
      <c r="S49" s="4"/>
      <c r="T49" s="4"/>
      <c r="U49" s="4"/>
    </row>
    <row r="50" spans="1:21" s="3" customFormat="1" x14ac:dyDescent="0.3">
      <c r="A50"/>
      <c r="B50"/>
      <c r="C50"/>
      <c r="D50"/>
      <c r="E50"/>
      <c r="F50"/>
      <c r="G50"/>
      <c r="H50"/>
      <c r="I50" s="14"/>
      <c r="P50" s="13"/>
      <c r="Q50" s="5"/>
      <c r="R50" s="4"/>
      <c r="S50" s="4"/>
      <c r="T50" s="4"/>
      <c r="U50" s="4"/>
    </row>
    <row r="51" spans="1:21" s="3" customFormat="1" x14ac:dyDescent="0.3">
      <c r="A51"/>
      <c r="B51"/>
      <c r="C51"/>
      <c r="D51"/>
      <c r="E51"/>
      <c r="F51"/>
      <c r="G51"/>
      <c r="H51"/>
      <c r="I51" s="14"/>
      <c r="P51" s="13"/>
      <c r="Q51" s="5"/>
      <c r="R51" s="4"/>
      <c r="S51" s="4"/>
      <c r="T51" s="4"/>
      <c r="U51" s="4"/>
    </row>
    <row r="52" spans="1:21" s="3" customFormat="1" x14ac:dyDescent="0.3">
      <c r="A52"/>
      <c r="B52"/>
      <c r="C52"/>
      <c r="D52"/>
      <c r="E52"/>
      <c r="F52"/>
      <c r="G52"/>
      <c r="H52"/>
      <c r="I52" s="14"/>
      <c r="P52" s="13"/>
      <c r="Q52" s="5"/>
      <c r="R52" s="4"/>
      <c r="S52" s="4"/>
      <c r="T52" s="4"/>
      <c r="U52" s="4"/>
    </row>
    <row r="53" spans="1:21" s="3" customFormat="1" x14ac:dyDescent="0.3">
      <c r="A53"/>
      <c r="B53"/>
      <c r="C53"/>
      <c r="D53"/>
      <c r="E53"/>
      <c r="F53"/>
      <c r="G53"/>
      <c r="H53"/>
      <c r="I53" s="14"/>
      <c r="P53" s="13"/>
      <c r="Q53" s="5"/>
      <c r="R53" s="4"/>
      <c r="S53" s="4"/>
      <c r="T53" s="4"/>
      <c r="U53" s="4"/>
    </row>
    <row r="54" spans="1:21" s="3" customFormat="1" x14ac:dyDescent="0.3">
      <c r="A54"/>
      <c r="B54"/>
      <c r="C54"/>
      <c r="D54"/>
      <c r="E54"/>
      <c r="F54"/>
      <c r="G54"/>
      <c r="H54"/>
      <c r="I54" s="14"/>
      <c r="P54" s="13"/>
      <c r="Q54" s="5"/>
      <c r="R54" s="4"/>
      <c r="S54" s="4"/>
      <c r="T54" s="4"/>
      <c r="U54" s="4"/>
    </row>
    <row r="55" spans="1:21" s="3" customFormat="1" x14ac:dyDescent="0.3">
      <c r="A55"/>
      <c r="B55"/>
      <c r="C55"/>
      <c r="D55"/>
      <c r="E55"/>
      <c r="F55"/>
      <c r="G55"/>
      <c r="H55"/>
      <c r="I55" s="14"/>
      <c r="P55" s="13"/>
      <c r="Q55" s="5"/>
      <c r="R55" s="4"/>
      <c r="S55" s="4"/>
      <c r="T55" s="4"/>
      <c r="U55" s="4"/>
    </row>
    <row r="56" spans="1:21" s="3" customFormat="1" x14ac:dyDescent="0.3">
      <c r="A56"/>
      <c r="B56"/>
      <c r="C56"/>
      <c r="D56"/>
      <c r="E56"/>
      <c r="F56"/>
      <c r="G56"/>
      <c r="H56"/>
      <c r="I56" s="14"/>
      <c r="P56" s="13"/>
      <c r="Q56" s="5"/>
      <c r="R56" s="4"/>
      <c r="S56" s="4"/>
      <c r="T56" s="4"/>
      <c r="U56" s="4"/>
    </row>
    <row r="57" spans="1:21" s="3" customFormat="1" x14ac:dyDescent="0.3">
      <c r="A57"/>
      <c r="B57"/>
      <c r="C57"/>
      <c r="D57"/>
      <c r="E57"/>
      <c r="F57"/>
      <c r="G57"/>
      <c r="H57"/>
      <c r="I57" s="14"/>
      <c r="P57" s="13"/>
      <c r="Q57" s="5"/>
      <c r="R57" s="4"/>
      <c r="S57" s="4"/>
      <c r="T57" s="4"/>
      <c r="U57" s="4"/>
    </row>
    <row r="58" spans="1:21" s="3" customFormat="1" x14ac:dyDescent="0.3">
      <c r="A58"/>
      <c r="B58"/>
      <c r="C58"/>
      <c r="D58"/>
      <c r="E58"/>
      <c r="F58"/>
      <c r="G58"/>
      <c r="H58"/>
      <c r="I58" s="14"/>
      <c r="P58" s="13"/>
      <c r="Q58" s="5"/>
      <c r="R58" s="4"/>
      <c r="S58" s="4"/>
      <c r="T58" s="4"/>
      <c r="U58" s="4"/>
    </row>
    <row r="59" spans="1:21" s="3" customFormat="1" x14ac:dyDescent="0.3">
      <c r="A59"/>
      <c r="B59"/>
      <c r="C59"/>
      <c r="D59"/>
      <c r="E59"/>
      <c r="F59"/>
      <c r="G59"/>
      <c r="H59"/>
      <c r="I59" s="14"/>
      <c r="P59" s="13"/>
      <c r="Q59" s="5"/>
      <c r="R59" s="4"/>
      <c r="S59" s="4"/>
      <c r="T59" s="4"/>
      <c r="U59" s="4"/>
    </row>
    <row r="60" spans="1:21" s="3" customFormat="1" x14ac:dyDescent="0.3">
      <c r="A60"/>
      <c r="B60"/>
      <c r="C60"/>
      <c r="D60"/>
      <c r="E60"/>
      <c r="F60"/>
      <c r="G60"/>
      <c r="H60"/>
      <c r="I60" s="14"/>
      <c r="P60" s="13"/>
      <c r="Q60" s="5"/>
      <c r="R60" s="4"/>
      <c r="S60" s="4"/>
      <c r="T60" s="4"/>
      <c r="U60" s="4"/>
    </row>
    <row r="61" spans="1:21" s="3" customFormat="1" x14ac:dyDescent="0.3">
      <c r="A61"/>
      <c r="B61"/>
      <c r="C61"/>
      <c r="D61"/>
      <c r="E61"/>
      <c r="F61"/>
      <c r="G61"/>
      <c r="H61"/>
      <c r="I61" s="14"/>
      <c r="P61" s="13"/>
      <c r="Q61" s="5"/>
      <c r="R61" s="4"/>
      <c r="S61" s="4"/>
      <c r="T61" s="4"/>
      <c r="U61" s="4"/>
    </row>
    <row r="62" spans="1:21" s="3" customFormat="1" x14ac:dyDescent="0.3">
      <c r="A62"/>
      <c r="B62"/>
      <c r="C62"/>
      <c r="D62"/>
      <c r="E62"/>
      <c r="F62"/>
      <c r="G62"/>
      <c r="H62"/>
      <c r="I62" s="14"/>
      <c r="P62" s="13"/>
      <c r="Q62" s="5"/>
      <c r="R62" s="4"/>
      <c r="S62" s="4"/>
      <c r="T62" s="4"/>
      <c r="U62" s="4"/>
    </row>
    <row r="63" spans="1:21" s="3" customFormat="1" x14ac:dyDescent="0.3">
      <c r="A63"/>
      <c r="B63"/>
      <c r="C63"/>
      <c r="D63"/>
      <c r="E63"/>
      <c r="F63"/>
      <c r="G63"/>
      <c r="H63"/>
      <c r="I63" s="14"/>
      <c r="P63" s="13"/>
      <c r="Q63" s="5"/>
      <c r="R63" s="4"/>
      <c r="S63" s="4"/>
      <c r="T63" s="4"/>
      <c r="U63" s="4"/>
    </row>
    <row r="64" spans="1:21" s="3" customFormat="1" x14ac:dyDescent="0.3">
      <c r="A64"/>
      <c r="B64"/>
      <c r="C64"/>
      <c r="D64"/>
      <c r="E64"/>
      <c r="F64"/>
      <c r="G64"/>
      <c r="H64"/>
      <c r="I64" s="14"/>
      <c r="P64" s="13"/>
      <c r="Q64" s="5"/>
      <c r="R64" s="4"/>
      <c r="S64" s="4"/>
      <c r="T64" s="4"/>
      <c r="U64" s="4"/>
    </row>
    <row r="65" spans="1:21" s="3" customFormat="1" x14ac:dyDescent="0.3">
      <c r="A65"/>
      <c r="B65"/>
      <c r="C65"/>
      <c r="D65"/>
      <c r="E65"/>
      <c r="F65"/>
      <c r="G65"/>
      <c r="H65"/>
      <c r="I65" s="14"/>
      <c r="P65" s="13"/>
      <c r="Q65" s="5"/>
      <c r="R65" s="4"/>
      <c r="S65" s="4"/>
      <c r="T65" s="4"/>
      <c r="U65" s="4"/>
    </row>
    <row r="66" spans="1:21" s="3" customFormat="1" x14ac:dyDescent="0.3">
      <c r="A66"/>
      <c r="B66"/>
      <c r="C66"/>
      <c r="D66"/>
      <c r="E66"/>
      <c r="F66"/>
      <c r="G66"/>
      <c r="H66"/>
      <c r="I66" s="14"/>
      <c r="P66" s="13"/>
      <c r="Q66" s="5"/>
      <c r="R66" s="4"/>
      <c r="S66" s="4"/>
      <c r="T66" s="4"/>
      <c r="U66" s="4"/>
    </row>
    <row r="67" spans="1:21" s="3" customFormat="1" x14ac:dyDescent="0.3">
      <c r="A67"/>
      <c r="B67"/>
      <c r="C67"/>
      <c r="D67"/>
      <c r="E67"/>
      <c r="F67"/>
      <c r="G67"/>
      <c r="H67"/>
      <c r="I67" s="14"/>
      <c r="P67" s="13"/>
      <c r="Q67" s="5"/>
      <c r="R67" s="4"/>
      <c r="S67" s="4"/>
      <c r="T67" s="4"/>
      <c r="U67" s="4"/>
    </row>
    <row r="68" spans="1:21" s="3" customFormat="1" x14ac:dyDescent="0.3">
      <c r="A68"/>
      <c r="B68"/>
      <c r="C68"/>
      <c r="D68"/>
      <c r="E68"/>
      <c r="F68"/>
      <c r="G68"/>
      <c r="H68"/>
      <c r="I68" s="14"/>
      <c r="P68" s="13"/>
      <c r="Q68" s="5"/>
      <c r="R68" s="4"/>
      <c r="S68" s="4"/>
      <c r="T68" s="4"/>
      <c r="U68" s="4"/>
    </row>
    <row r="69" spans="1:21" s="3" customFormat="1" x14ac:dyDescent="0.3">
      <c r="A69"/>
      <c r="B69"/>
      <c r="C69"/>
      <c r="D69"/>
      <c r="E69"/>
      <c r="F69"/>
      <c r="G69"/>
      <c r="H69"/>
      <c r="I69" s="14"/>
      <c r="P69" s="13"/>
      <c r="Q69" s="5"/>
      <c r="R69" s="4"/>
      <c r="S69" s="4"/>
      <c r="T69" s="4"/>
      <c r="U69" s="4"/>
    </row>
    <row r="70" spans="1:21" s="3" customFormat="1" x14ac:dyDescent="0.3">
      <c r="A70"/>
      <c r="B70"/>
      <c r="C70"/>
      <c r="D70"/>
      <c r="E70"/>
      <c r="F70"/>
      <c r="G70"/>
      <c r="H70"/>
      <c r="I70" s="14"/>
      <c r="P70" s="13"/>
      <c r="Q70" s="5"/>
      <c r="R70" s="4"/>
      <c r="S70" s="4"/>
      <c r="T70" s="4"/>
      <c r="U70" s="4"/>
    </row>
    <row r="71" spans="1:21" s="3" customFormat="1" x14ac:dyDescent="0.3">
      <c r="A71"/>
      <c r="B71"/>
      <c r="C71"/>
      <c r="D71"/>
      <c r="E71"/>
      <c r="F71"/>
      <c r="G71"/>
      <c r="H71"/>
      <c r="I71" s="14"/>
      <c r="P71" s="13"/>
      <c r="Q71" s="5"/>
      <c r="R71" s="4"/>
      <c r="S71" s="4"/>
      <c r="T71" s="4"/>
      <c r="U71" s="4"/>
    </row>
    <row r="72" spans="1:21" s="3" customFormat="1" x14ac:dyDescent="0.3">
      <c r="A72"/>
      <c r="B72"/>
      <c r="C72"/>
      <c r="D72"/>
      <c r="E72"/>
      <c r="F72"/>
      <c r="G72"/>
      <c r="H72"/>
      <c r="I72" s="14"/>
      <c r="P72" s="13"/>
      <c r="Q72" s="5"/>
      <c r="R72" s="4"/>
      <c r="S72" s="4"/>
      <c r="T72" s="4"/>
      <c r="U72" s="4"/>
    </row>
    <row r="73" spans="1:21" s="3" customFormat="1" x14ac:dyDescent="0.3">
      <c r="A73"/>
      <c r="B73"/>
      <c r="C73"/>
      <c r="D73"/>
      <c r="E73"/>
      <c r="F73"/>
      <c r="G73"/>
      <c r="H73"/>
      <c r="I73" s="14"/>
      <c r="P73" s="13"/>
      <c r="Q73" s="5"/>
      <c r="R73" s="4"/>
      <c r="S73" s="4"/>
      <c r="T73" s="4"/>
      <c r="U73" s="4"/>
    </row>
    <row r="74" spans="1:21" s="3" customFormat="1" x14ac:dyDescent="0.3">
      <c r="A74"/>
      <c r="B74"/>
      <c r="C74"/>
      <c r="D74"/>
      <c r="E74"/>
      <c r="F74"/>
      <c r="G74"/>
      <c r="H74"/>
      <c r="I74" s="14"/>
      <c r="P74" s="13"/>
      <c r="Q74" s="5"/>
      <c r="R74" s="4"/>
      <c r="S74" s="4"/>
      <c r="T74" s="4"/>
      <c r="U74" s="4"/>
    </row>
    <row r="75" spans="1:21" s="3" customFormat="1" x14ac:dyDescent="0.3">
      <c r="A75"/>
      <c r="B75"/>
      <c r="C75"/>
      <c r="D75"/>
      <c r="E75"/>
      <c r="F75"/>
      <c r="G75"/>
      <c r="H75"/>
      <c r="I75" s="14"/>
      <c r="P75" s="13"/>
      <c r="Q75" s="5"/>
      <c r="R75" s="4"/>
      <c r="S75" s="4"/>
      <c r="T75" s="4"/>
      <c r="U75" s="4"/>
    </row>
    <row r="76" spans="1:21" s="3" customFormat="1" x14ac:dyDescent="0.3">
      <c r="A76"/>
      <c r="B76"/>
      <c r="C76"/>
      <c r="D76"/>
      <c r="E76"/>
      <c r="F76"/>
      <c r="G76"/>
      <c r="H76"/>
      <c r="I76" s="14"/>
      <c r="P76" s="13"/>
      <c r="Q76" s="5"/>
      <c r="R76" s="4"/>
      <c r="S76" s="4"/>
      <c r="T76" s="4"/>
      <c r="U76" s="4"/>
    </row>
    <row r="77" spans="1:21" s="3" customFormat="1" x14ac:dyDescent="0.3">
      <c r="A77"/>
      <c r="B77"/>
      <c r="C77"/>
      <c r="D77"/>
      <c r="E77"/>
      <c r="F77"/>
      <c r="G77"/>
      <c r="H77"/>
      <c r="I77" s="14"/>
      <c r="P77" s="13"/>
      <c r="Q77" s="5"/>
      <c r="R77" s="4"/>
      <c r="S77" s="4"/>
      <c r="T77" s="4"/>
      <c r="U77" s="4"/>
    </row>
    <row r="78" spans="1:21" s="3" customFormat="1" x14ac:dyDescent="0.3">
      <c r="A78"/>
      <c r="B78"/>
      <c r="C78"/>
      <c r="D78"/>
      <c r="E78"/>
      <c r="F78"/>
      <c r="G78"/>
      <c r="H78"/>
      <c r="I78" s="14"/>
      <c r="P78" s="13"/>
      <c r="Q78" s="5"/>
      <c r="R78" s="4"/>
      <c r="S78" s="4"/>
      <c r="T78" s="4"/>
      <c r="U78" s="4"/>
    </row>
    <row r="79" spans="1:21" s="3" customFormat="1" x14ac:dyDescent="0.3">
      <c r="A79"/>
      <c r="B79"/>
      <c r="C79"/>
      <c r="D79"/>
      <c r="E79"/>
      <c r="F79"/>
      <c r="G79"/>
      <c r="H79"/>
      <c r="I79" s="14"/>
      <c r="P79" s="13"/>
      <c r="Q79" s="5"/>
      <c r="R79" s="4"/>
      <c r="S79" s="4"/>
      <c r="T79" s="4"/>
      <c r="U79" s="4"/>
    </row>
    <row r="80" spans="1:21" s="3" customFormat="1" x14ac:dyDescent="0.3">
      <c r="A80"/>
      <c r="B80"/>
      <c r="C80"/>
      <c r="D80"/>
      <c r="E80"/>
      <c r="F80"/>
      <c r="G80"/>
      <c r="H80"/>
      <c r="I80" s="14"/>
      <c r="P80" s="13"/>
      <c r="Q80" s="5"/>
      <c r="R80" s="4"/>
      <c r="S80" s="4"/>
      <c r="T80" s="4"/>
      <c r="U80" s="4"/>
    </row>
    <row r="81" spans="1:10009" s="3" customFormat="1" x14ac:dyDescent="0.3">
      <c r="A81"/>
      <c r="B81"/>
      <c r="C81"/>
      <c r="D81"/>
      <c r="E81"/>
      <c r="F81"/>
      <c r="G81"/>
      <c r="H81"/>
      <c r="I81" s="14"/>
      <c r="P81" s="13"/>
      <c r="Q81" s="5"/>
      <c r="R81" s="4"/>
      <c r="S81" s="4"/>
      <c r="T81" s="4"/>
      <c r="U81" s="4"/>
    </row>
    <row r="82" spans="1:10009" s="3" customFormat="1" x14ac:dyDescent="0.3">
      <c r="A82"/>
      <c r="B82"/>
      <c r="C82"/>
      <c r="D82"/>
      <c r="E82"/>
      <c r="F82"/>
      <c r="G82"/>
      <c r="H82"/>
      <c r="I82" s="14"/>
      <c r="P82" s="13"/>
      <c r="Q82" s="5"/>
      <c r="R82" s="4"/>
      <c r="S82" s="4"/>
      <c r="T82" s="4"/>
      <c r="U82" s="4"/>
    </row>
    <row r="83" spans="1:10009" s="3" customFormat="1" x14ac:dyDescent="0.3">
      <c r="A83"/>
      <c r="B83"/>
      <c r="C83"/>
      <c r="D83"/>
      <c r="E83"/>
      <c r="F83"/>
      <c r="G83"/>
      <c r="H83"/>
      <c r="I83" s="14"/>
      <c r="P83" s="13"/>
      <c r="Q83" s="5"/>
      <c r="R83" s="4"/>
      <c r="S83" s="4"/>
      <c r="T83" s="4"/>
      <c r="U83" s="4"/>
    </row>
    <row r="84" spans="1:10009" s="3" customFormat="1" x14ac:dyDescent="0.3">
      <c r="A84"/>
      <c r="B84"/>
      <c r="C84"/>
      <c r="D84"/>
      <c r="E84"/>
      <c r="F84"/>
      <c r="G84"/>
      <c r="H84"/>
      <c r="I84" s="14"/>
      <c r="P84" s="13"/>
      <c r="Q84" s="5"/>
      <c r="R84" s="4"/>
      <c r="S84" s="4"/>
      <c r="T84" s="4"/>
      <c r="U84" s="4"/>
    </row>
    <row r="85" spans="1:10009" s="3" customFormat="1" x14ac:dyDescent="0.3">
      <c r="A85"/>
      <c r="B85"/>
      <c r="C85"/>
      <c r="D85"/>
      <c r="E85"/>
      <c r="F85"/>
      <c r="G85"/>
      <c r="H85"/>
      <c r="I85" s="14"/>
      <c r="P85" s="13"/>
      <c r="Q85" s="5"/>
      <c r="R85" s="4"/>
      <c r="S85" s="4"/>
      <c r="T85" s="4"/>
      <c r="U85" s="4"/>
    </row>
    <row r="86" spans="1:10009" s="3" customFormat="1" ht="16.5" customHeight="1" x14ac:dyDescent="0.3">
      <c r="A86"/>
      <c r="B86"/>
      <c r="C86"/>
      <c r="D86"/>
      <c r="E86"/>
      <c r="F86"/>
      <c r="G86"/>
      <c r="H86"/>
      <c r="I86" s="14"/>
      <c r="P86" s="13"/>
      <c r="Q86" s="5"/>
      <c r="R86" s="4"/>
      <c r="S86" s="4"/>
      <c r="T86" s="4"/>
      <c r="U86" s="4"/>
    </row>
    <row r="87" spans="1:10009" s="3" customFormat="1" ht="16.5" customHeight="1" x14ac:dyDescent="0.3">
      <c r="A87"/>
      <c r="B87"/>
      <c r="C87"/>
      <c r="D87"/>
      <c r="E87"/>
      <c r="F87"/>
      <c r="G87"/>
      <c r="H87"/>
      <c r="I87" s="14"/>
      <c r="P87" s="13"/>
      <c r="Q87" s="5"/>
      <c r="R87" s="4"/>
      <c r="S87" s="4"/>
      <c r="T87" s="4"/>
      <c r="U87" s="4"/>
    </row>
    <row r="88" spans="1:10009" s="3" customFormat="1" ht="16.5" customHeight="1" x14ac:dyDescent="0.3">
      <c r="A88"/>
      <c r="B88"/>
      <c r="C88"/>
      <c r="D88"/>
      <c r="E88"/>
      <c r="F88"/>
      <c r="G88"/>
      <c r="H88"/>
      <c r="I88" s="14"/>
      <c r="P88" s="13"/>
      <c r="Q88" s="5"/>
      <c r="R88" s="4"/>
      <c r="S88" s="4"/>
      <c r="T88" s="4"/>
      <c r="U88" s="4"/>
    </row>
    <row r="89" spans="1:10009" s="3" customFormat="1" ht="26.25" x14ac:dyDescent="0.3">
      <c r="A89"/>
      <c r="B89"/>
      <c r="C89"/>
      <c r="D89"/>
      <c r="E89"/>
      <c r="F89"/>
      <c r="G89"/>
      <c r="H89"/>
      <c r="I89" s="14"/>
      <c r="J89" s="35" t="s">
        <v>203</v>
      </c>
      <c r="K89" s="35"/>
      <c r="L89" s="35"/>
      <c r="M89" s="35"/>
      <c r="N89" s="35"/>
      <c r="O89" s="35"/>
      <c r="P89" s="35"/>
      <c r="Q89" s="35"/>
      <c r="R89" s="35"/>
      <c r="S89" s="35"/>
      <c r="T89" s="4"/>
      <c r="U89" s="4"/>
    </row>
    <row r="90" spans="1:10009" s="3" customFormat="1" x14ac:dyDescent="0.3">
      <c r="A90"/>
      <c r="B90"/>
      <c r="C90"/>
      <c r="D90"/>
      <c r="E90"/>
      <c r="F90" t="s">
        <v>245</v>
      </c>
      <c r="G90">
        <v>1</v>
      </c>
      <c r="H90">
        <v>3</v>
      </c>
      <c r="I90" s="14"/>
      <c r="P90" s="5"/>
      <c r="Q90" s="5"/>
      <c r="R90" s="4"/>
      <c r="S90" s="4"/>
      <c r="T90" s="4"/>
      <c r="U90" s="4"/>
    </row>
    <row r="91" spans="1:10009" s="3" customFormat="1" x14ac:dyDescent="0.3">
      <c r="A91"/>
      <c r="B91"/>
      <c r="C91"/>
      <c r="D91"/>
      <c r="E91"/>
      <c r="F91" t="s">
        <v>246</v>
      </c>
      <c r="G91">
        <v>1000</v>
      </c>
      <c r="H91">
        <f>INDEX($G$90:$G$93, $H$90)</f>
        <v>100000</v>
      </c>
      <c r="I91" s="14"/>
      <c r="J91" s="38" t="s">
        <v>201</v>
      </c>
      <c r="K91" s="2" t="str">
        <f>O4</f>
        <v>기준시점</v>
      </c>
      <c r="L91" s="2" t="s">
        <v>202</v>
      </c>
      <c r="M91" s="2" t="s">
        <v>160</v>
      </c>
      <c r="N91" s="2" t="s">
        <v>163</v>
      </c>
      <c r="O91" s="2" t="str">
        <f>P4</f>
        <v>연결기준</v>
      </c>
      <c r="Q91" s="15" t="s">
        <v>157</v>
      </c>
      <c r="R91" s="15" t="s">
        <v>158</v>
      </c>
      <c r="S91" s="15" t="s">
        <v>159</v>
      </c>
    </row>
    <row r="92" spans="1:10009" s="3" customFormat="1" x14ac:dyDescent="0.3">
      <c r="A92"/>
      <c r="B92"/>
      <c r="C92"/>
      <c r="D92"/>
      <c r="E92"/>
      <c r="F92" t="s">
        <v>247</v>
      </c>
      <c r="G92">
        <v>100000</v>
      </c>
      <c r="H92"/>
      <c r="I92" s="14"/>
      <c r="J92" s="38"/>
      <c r="K92" s="19">
        <f>K96</f>
        <v>45199</v>
      </c>
      <c r="L92" s="23">
        <f ca="1">EOMONTH(TODAY(),-26)</f>
        <v>44469</v>
      </c>
      <c r="M92" s="25" t="s">
        <v>158</v>
      </c>
      <c r="N92" s="24" t="s">
        <v>159</v>
      </c>
      <c r="O92" s="20" t="str">
        <f>P5</f>
        <v>연결</v>
      </c>
      <c r="P92" s="4"/>
      <c r="Q92" s="15" t="s">
        <v>161</v>
      </c>
      <c r="R92" s="15" t="s">
        <v>162</v>
      </c>
      <c r="S92" s="15">
        <v>1</v>
      </c>
    </row>
    <row r="93" spans="1:10009" s="3" customFormat="1" x14ac:dyDescent="0.3">
      <c r="A93"/>
      <c r="B93"/>
      <c r="C93"/>
      <c r="D93"/>
      <c r="E93"/>
      <c r="F93" t="s">
        <v>248</v>
      </c>
      <c r="G93">
        <v>1000000</v>
      </c>
      <c r="I93" s="14"/>
      <c r="J93" s="28" t="str">
        <f>$N$4</f>
        <v>삼성전자</v>
      </c>
      <c r="P93" s="4"/>
      <c r="Q93" s="15"/>
      <c r="R93" s="15"/>
      <c r="S93" s="15">
        <v>2</v>
      </c>
    </row>
    <row r="94" spans="1:10009" s="3" customFormat="1" x14ac:dyDescent="0.3">
      <c r="A94"/>
      <c r="B94"/>
      <c r="C94"/>
      <c r="D94"/>
      <c r="E94"/>
      <c r="F94"/>
      <c r="G94"/>
      <c r="H94"/>
      <c r="I94" s="14"/>
      <c r="J94" s="6" t="s">
        <v>249</v>
      </c>
      <c r="P94" s="4"/>
      <c r="Q94" s="15"/>
      <c r="R94" s="15"/>
      <c r="S94" s="15">
        <v>3</v>
      </c>
    </row>
    <row r="95" spans="1:10009" s="3" customFormat="1" x14ac:dyDescent="0.3">
      <c r="A95"/>
      <c r="B95"/>
      <c r="C95"/>
      <c r="D95"/>
      <c r="E95"/>
      <c r="F95"/>
      <c r="G95"/>
      <c r="H95"/>
      <c r="I95" s="14"/>
      <c r="P95" s="4"/>
      <c r="Q95" s="15"/>
      <c r="R95" s="15"/>
      <c r="S95" s="15">
        <v>4</v>
      </c>
    </row>
    <row r="96" spans="1:10009" s="30" customFormat="1" x14ac:dyDescent="0.3">
      <c r="A96"/>
      <c r="B96">
        <v>1</v>
      </c>
      <c r="C96"/>
      <c r="D96" t="s">
        <v>0</v>
      </c>
      <c r="E96" t="s">
        <v>1</v>
      </c>
      <c r="F96" t="s">
        <v>2</v>
      </c>
      <c r="G96" t="s">
        <v>3</v>
      </c>
      <c r="H96" t="s">
        <v>4</v>
      </c>
      <c r="I96" s="7"/>
      <c r="J96" s="2" t="s">
        <v>164</v>
      </c>
      <c r="K96" s="8">
        <f>IF(Sheet1!D4="", "", Sheet1!D4)</f>
        <v>45199</v>
      </c>
      <c r="L96" s="8">
        <f>IF(Sheet1!E4="", "", Sheet1!E4)</f>
        <v>45107</v>
      </c>
      <c r="M96" s="8">
        <f>IF(Sheet1!F4="", "", Sheet1!F4)</f>
        <v>45016</v>
      </c>
      <c r="N96" s="8">
        <f>IF(Sheet1!G4="", "", Sheet1!G4)</f>
        <v>44926</v>
      </c>
      <c r="O96" s="8">
        <f>IF(Sheet1!H4="", "", Sheet1!H4)</f>
        <v>44834</v>
      </c>
      <c r="P96" s="8">
        <f>IF(Sheet1!I4="", "", Sheet1!I4)</f>
        <v>44742</v>
      </c>
      <c r="Q96" s="8">
        <f>IF(Sheet1!J4="", "", Sheet1!J4)</f>
        <v>44651</v>
      </c>
      <c r="R96" s="8">
        <f>IF(Sheet1!K4="", "", Sheet1!K4)</f>
        <v>44561</v>
      </c>
      <c r="S96" s="8">
        <f>IF(Sheet1!L4="", "", Sheet1!L4)</f>
        <v>44469</v>
      </c>
      <c r="T96" s="8" t="str">
        <f>IF(Sheet1!M4="", "", Sheet1!M4)</f>
        <v/>
      </c>
      <c r="U96" s="8" t="str">
        <f>IF(Sheet1!N4="", "", Sheet1!N4)</f>
        <v/>
      </c>
      <c r="V96" s="8" t="str">
        <f>IF(Sheet1!O4="", "", Sheet1!O4)</f>
        <v/>
      </c>
      <c r="W96" s="8" t="str">
        <f>IF(Sheet1!P4="", "", Sheet1!P4)</f>
        <v/>
      </c>
      <c r="X96" s="8" t="str">
        <f>IF(Sheet1!Q4="", "", Sheet1!Q4)</f>
        <v/>
      </c>
      <c r="Y96" s="8" t="str">
        <f>IF(Sheet1!R4="", "", Sheet1!R4)</f>
        <v/>
      </c>
      <c r="Z96" s="8" t="str">
        <f>IF(Sheet1!S4="", "", Sheet1!S4)</f>
        <v/>
      </c>
      <c r="AA96" s="8" t="str">
        <f>IF(Sheet1!T4="", "", Sheet1!T4)</f>
        <v/>
      </c>
      <c r="AB96" s="8" t="str">
        <f>IF(Sheet1!U4="", "", Sheet1!U4)</f>
        <v/>
      </c>
      <c r="AC96" s="8" t="str">
        <f>IF(Sheet1!V4="", "", Sheet1!V4)</f>
        <v/>
      </c>
      <c r="AD96" s="8" t="str">
        <f>IF(Sheet1!W4="", "", Sheet1!W4)</f>
        <v/>
      </c>
      <c r="AE96" s="8" t="str">
        <f>IF(Sheet1!X4="", "", Sheet1!X4)</f>
        <v/>
      </c>
      <c r="AF96" s="8" t="str">
        <f>IF(Sheet1!Y4="", "", Sheet1!Y4)</f>
        <v/>
      </c>
      <c r="AG96" s="8" t="str">
        <f>IF(Sheet1!Z4="", "", Sheet1!Z4)</f>
        <v/>
      </c>
      <c r="AH96" s="8" t="str">
        <f>IF(Sheet1!AA4="", "", Sheet1!AA4)</f>
        <v/>
      </c>
      <c r="AI96" s="8" t="str">
        <f>IF(Sheet1!AB4="", "", Sheet1!AB4)</f>
        <v/>
      </c>
      <c r="AJ96" s="8" t="str">
        <f>IF(Sheet1!AC4="", "", Sheet1!AC4)</f>
        <v/>
      </c>
      <c r="AK96" s="8" t="str">
        <f>IF(Sheet1!AD4="", "", Sheet1!AD4)</f>
        <v/>
      </c>
      <c r="AL96" s="8" t="str">
        <f>IF(Sheet1!AE4="", "", Sheet1!AE4)</f>
        <v/>
      </c>
      <c r="AM96" s="8" t="str">
        <f>IF(Sheet1!AF4="", "", Sheet1!AF4)</f>
        <v/>
      </c>
      <c r="AN96" s="8" t="str">
        <f>IF(Sheet1!AG4="", "", Sheet1!AG4)</f>
        <v/>
      </c>
      <c r="AO96" s="8" t="str">
        <f>IF(Sheet1!AH4="", "", Sheet1!AH4)</f>
        <v/>
      </c>
      <c r="AP96" s="8" t="str">
        <f>IF(Sheet1!AI4="", "", Sheet1!AI4)</f>
        <v/>
      </c>
      <c r="AQ96" s="8" t="str">
        <f>IF(Sheet1!AJ4="", "", Sheet1!AJ4)</f>
        <v/>
      </c>
      <c r="AR96" s="8" t="str">
        <f>IF(Sheet1!AK4="", "", Sheet1!AK4)</f>
        <v/>
      </c>
      <c r="AS96" s="8" t="str">
        <f>IF(Sheet1!AL4="", "", Sheet1!AL4)</f>
        <v/>
      </c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  <c r="EW96" s="32"/>
      <c r="EX96" s="32"/>
      <c r="EY96" s="32"/>
      <c r="EZ96" s="32"/>
      <c r="FA96" s="32"/>
      <c r="FB96" s="32"/>
      <c r="FC96" s="32"/>
      <c r="FD96" s="32"/>
      <c r="FE96" s="32"/>
      <c r="FF96" s="32"/>
      <c r="FG96" s="32"/>
      <c r="FH96" s="32"/>
      <c r="FI96" s="32"/>
      <c r="FJ96" s="32"/>
      <c r="FK96" s="32"/>
      <c r="FL96" s="32"/>
      <c r="FM96" s="32"/>
      <c r="FN96" s="32"/>
      <c r="FO96" s="32"/>
      <c r="FP96" s="32"/>
      <c r="FQ96" s="32"/>
      <c r="FR96" s="32"/>
      <c r="FS96" s="32"/>
      <c r="FT96" s="32"/>
      <c r="FU96" s="32"/>
      <c r="FV96" s="32"/>
      <c r="FW96" s="32"/>
      <c r="FX96" s="32"/>
      <c r="FY96" s="32"/>
      <c r="FZ96" s="32"/>
      <c r="GA96" s="32"/>
      <c r="GB96" s="32"/>
      <c r="GC96" s="32"/>
      <c r="GD96" s="32"/>
      <c r="GE96" s="32"/>
      <c r="GF96" s="32"/>
      <c r="GG96" s="32"/>
      <c r="GH96" s="32"/>
      <c r="GI96" s="32"/>
      <c r="GJ96" s="32"/>
      <c r="GK96" s="32"/>
      <c r="GL96" s="32"/>
      <c r="GM96" s="32"/>
      <c r="GN96" s="32"/>
      <c r="GO96" s="32"/>
      <c r="GP96" s="32"/>
      <c r="GQ96" s="32"/>
      <c r="GR96" s="32"/>
      <c r="GS96" s="32"/>
      <c r="GT96" s="32"/>
      <c r="GU96" s="32"/>
      <c r="GV96" s="32"/>
      <c r="GW96" s="32"/>
      <c r="GX96" s="32"/>
      <c r="GY96" s="32"/>
      <c r="GZ96" s="32"/>
      <c r="HA96" s="32"/>
      <c r="HB96" s="32"/>
      <c r="HC96" s="32"/>
      <c r="HD96" s="32"/>
      <c r="HE96" s="32"/>
      <c r="HF96" s="32"/>
      <c r="HG96" s="32"/>
      <c r="HH96" s="32"/>
      <c r="HI96" s="32"/>
      <c r="HJ96" s="32"/>
      <c r="HK96" s="32"/>
      <c r="HL96" s="32"/>
      <c r="HM96" s="32"/>
      <c r="HN96" s="32"/>
      <c r="HO96" s="32"/>
      <c r="HP96" s="32"/>
      <c r="HQ96" s="32"/>
      <c r="HR96" s="32"/>
      <c r="HS96" s="32"/>
      <c r="HT96" s="32"/>
      <c r="HU96" s="32"/>
      <c r="HV96" s="32"/>
      <c r="HW96" s="32"/>
      <c r="HX96" s="32"/>
      <c r="HY96" s="32"/>
      <c r="HZ96" s="32"/>
      <c r="IA96" s="32"/>
      <c r="IB96" s="32"/>
      <c r="IC96" s="32"/>
      <c r="ID96" s="32"/>
      <c r="IE96" s="32"/>
      <c r="IF96" s="32"/>
      <c r="IG96" s="32"/>
      <c r="IH96" s="32"/>
      <c r="II96" s="32"/>
      <c r="IJ96" s="32"/>
      <c r="IK96" s="32"/>
      <c r="IL96" s="32"/>
      <c r="IM96" s="32"/>
      <c r="IN96" s="32"/>
      <c r="IO96" s="32"/>
      <c r="IP96" s="32"/>
      <c r="IQ96" s="32"/>
      <c r="IR96" s="32"/>
      <c r="IS96" s="32"/>
      <c r="IT96" s="32"/>
      <c r="IU96" s="32"/>
      <c r="IV96" s="32"/>
      <c r="IW96" s="32"/>
      <c r="IX96" s="32"/>
      <c r="IY96" s="32"/>
      <c r="IZ96" s="32"/>
      <c r="JA96" s="32"/>
      <c r="JB96" s="32"/>
      <c r="JC96" s="32"/>
      <c r="JD96" s="32"/>
      <c r="JE96" s="32"/>
      <c r="JF96" s="32"/>
      <c r="JG96" s="32"/>
      <c r="JH96" s="32"/>
      <c r="JI96" s="32"/>
      <c r="JJ96" s="32"/>
      <c r="JK96" s="32"/>
      <c r="JL96" s="32"/>
      <c r="JM96" s="32"/>
      <c r="JN96" s="32"/>
      <c r="JO96" s="32"/>
      <c r="JP96" s="32"/>
      <c r="JQ96" s="32"/>
      <c r="JR96" s="32"/>
      <c r="JS96" s="32"/>
      <c r="JT96" s="32"/>
      <c r="JU96" s="32"/>
      <c r="JV96" s="32"/>
      <c r="JW96" s="32"/>
      <c r="JX96" s="32"/>
      <c r="JY96" s="32"/>
      <c r="JZ96" s="32"/>
      <c r="KA96" s="32"/>
      <c r="KB96" s="32"/>
      <c r="KC96" s="32"/>
      <c r="KD96" s="32"/>
      <c r="KE96" s="32"/>
      <c r="KF96" s="32"/>
      <c r="KG96" s="32"/>
      <c r="KH96" s="32"/>
      <c r="KI96" s="32"/>
      <c r="KJ96" s="32"/>
      <c r="KK96" s="32"/>
      <c r="KL96" s="32"/>
      <c r="KM96" s="32"/>
      <c r="KN96" s="32"/>
      <c r="KO96" s="32"/>
      <c r="KP96" s="32"/>
      <c r="KQ96" s="32"/>
      <c r="KR96" s="32"/>
      <c r="KS96" s="32"/>
      <c r="KT96" s="32"/>
      <c r="KU96" s="32"/>
      <c r="KV96" s="32"/>
      <c r="KW96" s="32"/>
      <c r="KX96" s="32"/>
      <c r="KY96" s="32"/>
      <c r="KZ96" s="32"/>
      <c r="LA96" s="32"/>
      <c r="LB96" s="32"/>
      <c r="LC96" s="32"/>
      <c r="LD96" s="32"/>
      <c r="LE96" s="32"/>
      <c r="LF96" s="32"/>
      <c r="LG96" s="32"/>
      <c r="LH96" s="32"/>
      <c r="LI96" s="32"/>
      <c r="LJ96" s="32"/>
      <c r="LK96" s="32"/>
      <c r="LL96" s="32"/>
      <c r="LM96" s="32"/>
      <c r="LN96" s="32"/>
      <c r="LO96" s="32"/>
      <c r="LP96" s="32"/>
      <c r="LQ96" s="32"/>
      <c r="LR96" s="32"/>
      <c r="LS96" s="32"/>
      <c r="LT96" s="32"/>
      <c r="LU96" s="32"/>
      <c r="LV96" s="32"/>
      <c r="LW96" s="32"/>
      <c r="LX96" s="32"/>
      <c r="LY96" s="32"/>
      <c r="LZ96" s="32"/>
      <c r="MA96" s="32"/>
      <c r="MB96" s="32"/>
      <c r="MC96" s="32"/>
      <c r="MD96" s="32"/>
      <c r="ME96" s="32"/>
      <c r="MF96" s="32"/>
      <c r="MG96" s="32"/>
      <c r="MH96" s="32"/>
      <c r="MI96" s="32"/>
      <c r="MJ96" s="32"/>
      <c r="MK96" s="32"/>
      <c r="ML96" s="32"/>
      <c r="MM96" s="32"/>
      <c r="MN96" s="32"/>
      <c r="MO96" s="32"/>
      <c r="MP96" s="32"/>
      <c r="MQ96" s="32"/>
      <c r="MR96" s="32"/>
      <c r="MS96" s="32"/>
      <c r="MT96" s="32"/>
      <c r="MU96" s="32"/>
      <c r="MV96" s="32"/>
      <c r="MW96" s="32"/>
      <c r="MX96" s="32"/>
      <c r="MY96" s="32"/>
      <c r="MZ96" s="32"/>
      <c r="NA96" s="32"/>
      <c r="NB96" s="32"/>
      <c r="NC96" s="32"/>
      <c r="ND96" s="32"/>
      <c r="NE96" s="32"/>
      <c r="NF96" s="32"/>
      <c r="NG96" s="32"/>
      <c r="NH96" s="32"/>
      <c r="NI96" s="32"/>
      <c r="NJ96" s="32"/>
      <c r="NK96" s="32"/>
      <c r="NL96" s="32"/>
      <c r="NM96" s="32"/>
      <c r="NN96" s="32"/>
      <c r="NO96" s="32"/>
      <c r="NP96" s="32"/>
      <c r="NQ96" s="32"/>
      <c r="NR96" s="32"/>
      <c r="NS96" s="32"/>
      <c r="NT96" s="32"/>
      <c r="NU96" s="32"/>
      <c r="NV96" s="32"/>
      <c r="NW96" s="32"/>
      <c r="NX96" s="32"/>
      <c r="NY96" s="32"/>
      <c r="NZ96" s="32"/>
      <c r="OA96" s="32"/>
      <c r="OB96" s="32"/>
      <c r="OC96" s="32"/>
      <c r="OD96" s="32"/>
      <c r="OE96" s="32"/>
      <c r="OF96" s="32"/>
      <c r="OG96" s="32"/>
      <c r="OH96" s="32"/>
      <c r="OI96" s="32"/>
      <c r="OJ96" s="32"/>
      <c r="OK96" s="32"/>
      <c r="OL96" s="32"/>
      <c r="OM96" s="32"/>
      <c r="ON96" s="32"/>
      <c r="OO96" s="32"/>
      <c r="OP96" s="32"/>
      <c r="OQ96" s="32"/>
      <c r="OR96" s="32"/>
      <c r="OS96" s="32"/>
      <c r="OT96" s="32"/>
      <c r="OU96" s="32"/>
      <c r="OV96" s="32"/>
      <c r="OW96" s="32"/>
      <c r="OX96" s="32"/>
      <c r="OY96" s="32"/>
      <c r="OZ96" s="32"/>
      <c r="PA96" s="32"/>
      <c r="PB96" s="32"/>
      <c r="PC96" s="32"/>
      <c r="PD96" s="32"/>
      <c r="PE96" s="32"/>
      <c r="PF96" s="32"/>
      <c r="PG96" s="32"/>
      <c r="PH96" s="32"/>
      <c r="PI96" s="32"/>
      <c r="PJ96" s="32"/>
      <c r="PK96" s="32"/>
      <c r="PL96" s="32"/>
      <c r="PM96" s="32"/>
      <c r="PN96" s="32"/>
      <c r="PO96" s="32"/>
      <c r="PP96" s="32"/>
      <c r="PQ96" s="32"/>
      <c r="PR96" s="32"/>
      <c r="PS96" s="32"/>
      <c r="PT96" s="32"/>
      <c r="PU96" s="32"/>
      <c r="PV96" s="32"/>
      <c r="PW96" s="32"/>
      <c r="PX96" s="32"/>
      <c r="PY96" s="32"/>
      <c r="PZ96" s="32"/>
      <c r="QA96" s="32"/>
      <c r="QB96" s="32"/>
      <c r="QC96" s="32"/>
      <c r="QD96" s="32"/>
      <c r="QE96" s="32"/>
      <c r="QF96" s="32"/>
      <c r="QG96" s="32"/>
      <c r="QH96" s="32"/>
      <c r="QI96" s="32"/>
      <c r="QJ96" s="32"/>
      <c r="QK96" s="32"/>
      <c r="QL96" s="32"/>
      <c r="QM96" s="32"/>
      <c r="QN96" s="32"/>
      <c r="QO96" s="32"/>
      <c r="QP96" s="32"/>
      <c r="QQ96" s="32"/>
      <c r="QR96" s="32"/>
      <c r="QS96" s="32"/>
      <c r="QT96" s="32"/>
      <c r="QU96" s="32"/>
      <c r="QV96" s="32"/>
      <c r="QW96" s="32"/>
      <c r="QX96" s="32"/>
      <c r="QY96" s="32"/>
      <c r="QZ96" s="32"/>
      <c r="RA96" s="32"/>
      <c r="RB96" s="32"/>
      <c r="RC96" s="32"/>
      <c r="RD96" s="32"/>
      <c r="RE96" s="32"/>
      <c r="RF96" s="32"/>
      <c r="RG96" s="32"/>
      <c r="RH96" s="32"/>
      <c r="RI96" s="32"/>
      <c r="RJ96" s="32"/>
      <c r="RK96" s="32"/>
      <c r="RL96" s="32"/>
      <c r="RM96" s="32"/>
      <c r="RN96" s="32"/>
      <c r="RO96" s="32"/>
      <c r="RP96" s="32"/>
      <c r="RQ96" s="32"/>
      <c r="RR96" s="32"/>
      <c r="RS96" s="32"/>
      <c r="RT96" s="32"/>
      <c r="RU96" s="32"/>
      <c r="RV96" s="32"/>
      <c r="RW96" s="32"/>
      <c r="RX96" s="32"/>
      <c r="RY96" s="32"/>
      <c r="RZ96" s="32"/>
      <c r="SA96" s="32"/>
      <c r="SB96" s="32"/>
      <c r="SC96" s="32"/>
      <c r="SD96" s="32"/>
      <c r="SE96" s="32"/>
      <c r="SF96" s="32"/>
      <c r="SG96" s="32"/>
      <c r="SH96" s="32"/>
      <c r="SI96" s="32"/>
      <c r="SJ96" s="32"/>
      <c r="SK96" s="32"/>
      <c r="SL96" s="32"/>
      <c r="SM96" s="32"/>
      <c r="SN96" s="32"/>
      <c r="SO96" s="32"/>
      <c r="SP96" s="32"/>
      <c r="SQ96" s="32"/>
      <c r="SR96" s="32"/>
      <c r="SS96" s="32"/>
      <c r="ST96" s="32"/>
      <c r="SU96" s="32"/>
      <c r="SV96" s="32"/>
      <c r="SW96" s="32"/>
      <c r="SX96" s="32"/>
      <c r="SY96" s="32"/>
      <c r="SZ96" s="32"/>
      <c r="TA96" s="32"/>
      <c r="TB96" s="32"/>
      <c r="TC96" s="32"/>
      <c r="TD96" s="32"/>
      <c r="TE96" s="32"/>
      <c r="TF96" s="32"/>
      <c r="TG96" s="32"/>
      <c r="TH96" s="32"/>
      <c r="TI96" s="32"/>
      <c r="TJ96" s="32"/>
      <c r="TK96" s="32"/>
      <c r="TL96" s="32"/>
      <c r="TM96" s="32"/>
      <c r="TN96" s="32"/>
      <c r="TO96" s="32"/>
      <c r="TP96" s="32"/>
      <c r="TQ96" s="32"/>
      <c r="TR96" s="32"/>
      <c r="TS96" s="32"/>
      <c r="TT96" s="32"/>
      <c r="TU96" s="32"/>
      <c r="TV96" s="32"/>
      <c r="TW96" s="32"/>
      <c r="TX96" s="32"/>
      <c r="TY96" s="32"/>
      <c r="TZ96" s="32"/>
      <c r="UA96" s="32"/>
      <c r="UB96" s="32"/>
      <c r="UC96" s="32"/>
      <c r="UD96" s="32"/>
      <c r="UE96" s="32"/>
      <c r="UF96" s="32"/>
      <c r="UG96" s="32"/>
      <c r="UH96" s="32"/>
      <c r="UI96" s="32"/>
      <c r="UJ96" s="32"/>
      <c r="UK96" s="32"/>
      <c r="UL96" s="32"/>
      <c r="UM96" s="32"/>
      <c r="UN96" s="32"/>
      <c r="UO96" s="32"/>
      <c r="UP96" s="32"/>
      <c r="UQ96" s="32"/>
      <c r="UR96" s="32"/>
      <c r="US96" s="32"/>
      <c r="UT96" s="32"/>
      <c r="UU96" s="32"/>
      <c r="UV96" s="32"/>
      <c r="UW96" s="32"/>
      <c r="UX96" s="32"/>
      <c r="UY96" s="32"/>
      <c r="UZ96" s="32"/>
      <c r="VA96" s="32"/>
      <c r="VB96" s="32"/>
      <c r="VC96" s="32"/>
      <c r="VD96" s="32"/>
      <c r="VE96" s="32"/>
      <c r="VF96" s="32"/>
      <c r="VG96" s="32"/>
      <c r="VH96" s="32"/>
      <c r="VI96" s="32"/>
      <c r="VJ96" s="32"/>
      <c r="VK96" s="32"/>
      <c r="VL96" s="32"/>
      <c r="VM96" s="32"/>
      <c r="VN96" s="32"/>
      <c r="VO96" s="32"/>
      <c r="VP96" s="32"/>
      <c r="VQ96" s="32"/>
      <c r="VR96" s="32"/>
      <c r="VS96" s="32"/>
      <c r="VT96" s="32"/>
      <c r="VU96" s="32"/>
      <c r="VV96" s="32"/>
      <c r="VW96" s="32"/>
      <c r="VX96" s="32"/>
      <c r="VY96" s="32"/>
      <c r="VZ96" s="32"/>
      <c r="WA96" s="32"/>
      <c r="WB96" s="32"/>
      <c r="WC96" s="32"/>
      <c r="WD96" s="32"/>
      <c r="WE96" s="32"/>
      <c r="WF96" s="32"/>
      <c r="WG96" s="32"/>
      <c r="WH96" s="32"/>
      <c r="WI96" s="32"/>
      <c r="WJ96" s="32"/>
      <c r="WK96" s="32"/>
      <c r="WL96" s="32"/>
      <c r="WM96" s="32"/>
      <c r="WN96" s="32"/>
      <c r="WO96" s="32"/>
      <c r="WP96" s="32"/>
      <c r="WQ96" s="32"/>
      <c r="WR96" s="32"/>
      <c r="WS96" s="32"/>
      <c r="WT96" s="32"/>
      <c r="WU96" s="32"/>
      <c r="WV96" s="32"/>
      <c r="WW96" s="32"/>
      <c r="WX96" s="32"/>
      <c r="WY96" s="32"/>
      <c r="WZ96" s="32"/>
      <c r="XA96" s="32"/>
      <c r="XB96" s="32"/>
      <c r="XC96" s="32"/>
      <c r="XD96" s="32"/>
      <c r="XE96" s="32"/>
      <c r="XF96" s="32"/>
      <c r="XG96" s="32"/>
      <c r="XH96" s="32"/>
      <c r="XI96" s="32"/>
      <c r="XJ96" s="32"/>
      <c r="XK96" s="32"/>
      <c r="XL96" s="32"/>
      <c r="XM96" s="32"/>
      <c r="XN96" s="32"/>
      <c r="XO96" s="32"/>
      <c r="XP96" s="32"/>
      <c r="XQ96" s="32"/>
      <c r="XR96" s="32"/>
      <c r="XS96" s="32"/>
      <c r="XT96" s="32"/>
      <c r="XU96" s="32"/>
      <c r="XV96" s="32"/>
      <c r="XW96" s="32"/>
      <c r="XX96" s="32"/>
      <c r="XY96" s="32"/>
      <c r="XZ96" s="32"/>
      <c r="YA96" s="32"/>
      <c r="YB96" s="32"/>
      <c r="YC96" s="32"/>
      <c r="YD96" s="32"/>
      <c r="YE96" s="32"/>
      <c r="YF96" s="32"/>
      <c r="YG96" s="32"/>
      <c r="YH96" s="32"/>
      <c r="YI96" s="32"/>
      <c r="YJ96" s="32"/>
      <c r="YK96" s="32"/>
      <c r="YL96" s="32"/>
      <c r="YM96" s="32"/>
      <c r="YN96" s="32"/>
      <c r="YO96" s="32"/>
      <c r="YP96" s="32"/>
      <c r="YQ96" s="32"/>
      <c r="YR96" s="32"/>
      <c r="YS96" s="32"/>
      <c r="YT96" s="32"/>
      <c r="YU96" s="32"/>
      <c r="YV96" s="32"/>
      <c r="YW96" s="32"/>
      <c r="YX96" s="32"/>
      <c r="YY96" s="32"/>
      <c r="YZ96" s="32"/>
      <c r="ZA96" s="32"/>
      <c r="ZB96" s="32"/>
      <c r="ZC96" s="32"/>
      <c r="ZD96" s="32"/>
      <c r="ZE96" s="32"/>
      <c r="ZF96" s="32"/>
      <c r="ZG96" s="32"/>
      <c r="ZH96" s="32"/>
      <c r="ZI96" s="32"/>
      <c r="ZJ96" s="32"/>
      <c r="ZK96" s="32"/>
      <c r="ZL96" s="32"/>
      <c r="ZM96" s="32"/>
      <c r="ZN96" s="32"/>
      <c r="ZO96" s="32"/>
      <c r="ZP96" s="32"/>
      <c r="ZQ96" s="32"/>
      <c r="ZR96" s="32"/>
      <c r="ZS96" s="32"/>
      <c r="ZT96" s="32"/>
      <c r="ZU96" s="32"/>
      <c r="ZV96" s="32"/>
      <c r="ZW96" s="32"/>
      <c r="ZX96" s="32"/>
      <c r="ZY96" s="32"/>
      <c r="ZZ96" s="32"/>
      <c r="AAA96" s="32"/>
      <c r="AAB96" s="32"/>
      <c r="AAC96" s="32"/>
      <c r="AAD96" s="32"/>
      <c r="AAE96" s="32"/>
      <c r="AAF96" s="32"/>
      <c r="AAG96" s="32"/>
      <c r="AAH96" s="32"/>
      <c r="AAI96" s="32"/>
      <c r="AAJ96" s="32"/>
      <c r="AAK96" s="32"/>
      <c r="AAL96" s="32"/>
      <c r="AAM96" s="32"/>
      <c r="AAN96" s="32"/>
      <c r="AAO96" s="32"/>
      <c r="AAP96" s="32"/>
      <c r="AAQ96" s="32"/>
      <c r="AAR96" s="32"/>
      <c r="AAS96" s="32"/>
      <c r="AAT96" s="32"/>
      <c r="AAU96" s="32"/>
      <c r="AAV96" s="32"/>
      <c r="AAW96" s="32"/>
      <c r="AAX96" s="32"/>
      <c r="AAY96" s="32"/>
      <c r="AAZ96" s="32"/>
      <c r="ABA96" s="32"/>
      <c r="ABB96" s="32"/>
      <c r="ABC96" s="32"/>
      <c r="ABD96" s="32"/>
      <c r="ABE96" s="32"/>
      <c r="ABF96" s="32"/>
      <c r="ABG96" s="32"/>
      <c r="ABH96" s="32"/>
      <c r="ABI96" s="32"/>
      <c r="ABJ96" s="32"/>
      <c r="ABK96" s="32"/>
      <c r="ABL96" s="32"/>
      <c r="ABM96" s="32"/>
      <c r="ABN96" s="32"/>
      <c r="ABO96" s="32"/>
      <c r="ABP96" s="32"/>
      <c r="ABQ96" s="32"/>
      <c r="ABR96" s="32"/>
      <c r="ABS96" s="32"/>
      <c r="ABT96" s="32"/>
      <c r="ABU96" s="32"/>
      <c r="ABV96" s="32"/>
      <c r="ABW96" s="32"/>
      <c r="ABX96" s="32"/>
      <c r="ABY96" s="32"/>
      <c r="ABZ96" s="32"/>
      <c r="ACA96" s="32"/>
      <c r="ACB96" s="32"/>
      <c r="ACC96" s="32"/>
      <c r="ACD96" s="32"/>
      <c r="ACE96" s="32"/>
      <c r="ACF96" s="32"/>
      <c r="ACG96" s="32"/>
      <c r="ACH96" s="32"/>
      <c r="ACI96" s="32"/>
      <c r="ACJ96" s="32"/>
      <c r="ACK96" s="32"/>
      <c r="ACL96" s="32"/>
      <c r="ACM96" s="32"/>
      <c r="ACN96" s="32"/>
      <c r="ACO96" s="32"/>
      <c r="ACP96" s="32"/>
      <c r="ACQ96" s="32"/>
      <c r="ACR96" s="32"/>
      <c r="ACS96" s="32"/>
      <c r="ACT96" s="32"/>
      <c r="ACU96" s="32"/>
      <c r="ACV96" s="32"/>
      <c r="ACW96" s="32"/>
      <c r="ACX96" s="32"/>
      <c r="ACY96" s="32"/>
      <c r="ACZ96" s="32"/>
      <c r="ADA96" s="32"/>
      <c r="ADB96" s="32"/>
      <c r="ADC96" s="32"/>
      <c r="ADD96" s="32"/>
      <c r="ADE96" s="32"/>
      <c r="ADF96" s="32"/>
      <c r="ADG96" s="32"/>
      <c r="ADH96" s="32"/>
      <c r="ADI96" s="32"/>
      <c r="ADJ96" s="32"/>
      <c r="ADK96" s="32"/>
      <c r="ADL96" s="32"/>
      <c r="ADM96" s="32"/>
      <c r="ADN96" s="32"/>
      <c r="ADO96" s="32"/>
      <c r="ADP96" s="32"/>
      <c r="ADQ96" s="32"/>
      <c r="ADR96" s="32"/>
      <c r="ADS96" s="32"/>
      <c r="ADT96" s="32"/>
      <c r="ADU96" s="32"/>
      <c r="ADV96" s="32"/>
      <c r="ADW96" s="32"/>
      <c r="ADX96" s="32"/>
      <c r="ADY96" s="32"/>
      <c r="ADZ96" s="32"/>
      <c r="AEA96" s="32"/>
      <c r="AEB96" s="32"/>
      <c r="AEC96" s="32"/>
      <c r="AED96" s="32"/>
      <c r="AEE96" s="32"/>
      <c r="AEF96" s="32"/>
      <c r="AEG96" s="32"/>
      <c r="AEH96" s="32"/>
      <c r="AEI96" s="32"/>
      <c r="AEJ96" s="32"/>
      <c r="AEK96" s="32"/>
      <c r="AEL96" s="32"/>
      <c r="AEM96" s="32"/>
      <c r="AEN96" s="32"/>
      <c r="AEO96" s="32"/>
      <c r="AEP96" s="32"/>
      <c r="AEQ96" s="32"/>
      <c r="AER96" s="32"/>
      <c r="AES96" s="32"/>
      <c r="AET96" s="32"/>
      <c r="AEU96" s="32"/>
      <c r="AEV96" s="32"/>
      <c r="AEW96" s="32"/>
      <c r="AEX96" s="32"/>
      <c r="AEY96" s="32"/>
      <c r="AEZ96" s="32"/>
      <c r="AFA96" s="32"/>
      <c r="AFB96" s="32"/>
      <c r="AFC96" s="32"/>
      <c r="AFD96" s="32"/>
      <c r="AFE96" s="32"/>
      <c r="AFF96" s="32"/>
      <c r="AFG96" s="32"/>
      <c r="AFH96" s="32"/>
      <c r="AFI96" s="32"/>
      <c r="AFJ96" s="32"/>
      <c r="AFK96" s="32"/>
      <c r="AFL96" s="32"/>
      <c r="AFM96" s="32"/>
      <c r="AFN96" s="32"/>
      <c r="AFO96" s="32"/>
      <c r="AFP96" s="32"/>
      <c r="AFQ96" s="32"/>
      <c r="AFR96" s="32"/>
      <c r="AFS96" s="32"/>
      <c r="AFT96" s="32"/>
      <c r="AFU96" s="32"/>
      <c r="AFV96" s="32"/>
      <c r="AFW96" s="32"/>
      <c r="AFX96" s="32"/>
      <c r="AFY96" s="32"/>
      <c r="AFZ96" s="32"/>
      <c r="AGA96" s="32"/>
      <c r="AGB96" s="32"/>
      <c r="AGC96" s="32"/>
      <c r="AGD96" s="32"/>
      <c r="AGE96" s="32"/>
      <c r="AGF96" s="32"/>
      <c r="AGG96" s="32"/>
      <c r="AGH96" s="32"/>
      <c r="AGI96" s="32"/>
      <c r="AGJ96" s="32"/>
      <c r="AGK96" s="32"/>
      <c r="AGL96" s="32"/>
      <c r="AGM96" s="32"/>
      <c r="AGN96" s="32"/>
      <c r="AGO96" s="32"/>
      <c r="AGP96" s="32"/>
      <c r="AGQ96" s="32"/>
      <c r="AGR96" s="32"/>
      <c r="AGS96" s="32"/>
      <c r="AGT96" s="32"/>
      <c r="AGU96" s="32"/>
      <c r="AGV96" s="32"/>
      <c r="AGW96" s="32"/>
      <c r="AGX96" s="32"/>
      <c r="AGY96" s="32"/>
      <c r="AGZ96" s="32"/>
      <c r="AHA96" s="32"/>
      <c r="AHB96" s="32"/>
      <c r="AHC96" s="32"/>
      <c r="AHD96" s="32"/>
      <c r="AHE96" s="32"/>
      <c r="AHF96" s="32"/>
      <c r="AHG96" s="32"/>
      <c r="AHH96" s="32"/>
      <c r="AHI96" s="32"/>
      <c r="AHJ96" s="32"/>
      <c r="AHK96" s="32"/>
      <c r="AHL96" s="32"/>
      <c r="AHM96" s="32"/>
      <c r="AHN96" s="32"/>
      <c r="AHO96" s="32"/>
      <c r="AHP96" s="32"/>
      <c r="AHQ96" s="32"/>
      <c r="AHR96" s="32"/>
      <c r="AHS96" s="32"/>
      <c r="AHT96" s="32"/>
      <c r="AHU96" s="32"/>
      <c r="AHV96" s="32"/>
      <c r="AHW96" s="32"/>
      <c r="AHX96" s="32"/>
      <c r="AHY96" s="32"/>
      <c r="AHZ96" s="32"/>
      <c r="AIA96" s="32"/>
      <c r="AIB96" s="32"/>
      <c r="AIC96" s="32"/>
      <c r="AID96" s="32"/>
      <c r="AIE96" s="32"/>
      <c r="AIF96" s="32"/>
      <c r="AIG96" s="32"/>
      <c r="AIH96" s="32"/>
      <c r="AII96" s="32"/>
      <c r="AIJ96" s="32"/>
      <c r="AIK96" s="32"/>
      <c r="AIL96" s="32"/>
      <c r="AIM96" s="32"/>
      <c r="AIN96" s="32"/>
      <c r="AIO96" s="32"/>
      <c r="AIP96" s="32"/>
      <c r="AIQ96" s="32"/>
      <c r="AIR96" s="32"/>
      <c r="AIS96" s="32"/>
      <c r="AIT96" s="32"/>
      <c r="AIU96" s="32"/>
      <c r="AIV96" s="32"/>
      <c r="AIW96" s="32"/>
      <c r="AIX96" s="32"/>
      <c r="AIY96" s="32"/>
      <c r="AIZ96" s="32"/>
      <c r="AJA96" s="32"/>
      <c r="AJB96" s="32"/>
      <c r="AJC96" s="32"/>
      <c r="AJD96" s="32"/>
      <c r="AJE96" s="32"/>
      <c r="AJF96" s="32"/>
      <c r="AJG96" s="32"/>
      <c r="AJH96" s="32"/>
      <c r="AJI96" s="32"/>
      <c r="AJJ96" s="32"/>
      <c r="AJK96" s="32"/>
      <c r="AJL96" s="32"/>
      <c r="AJM96" s="32"/>
      <c r="AJN96" s="32"/>
      <c r="AJO96" s="32"/>
      <c r="AJP96" s="32"/>
      <c r="AJQ96" s="32"/>
      <c r="AJR96" s="32"/>
      <c r="AJS96" s="32"/>
      <c r="AJT96" s="32"/>
      <c r="AJU96" s="32"/>
      <c r="AJV96" s="32"/>
      <c r="AJW96" s="32"/>
      <c r="AJX96" s="32"/>
      <c r="AJY96" s="32"/>
      <c r="AJZ96" s="32"/>
      <c r="AKA96" s="32"/>
      <c r="AKB96" s="32"/>
      <c r="AKC96" s="32"/>
      <c r="AKD96" s="32"/>
      <c r="AKE96" s="32"/>
      <c r="AKF96" s="32"/>
      <c r="AKG96" s="32"/>
      <c r="AKH96" s="32"/>
      <c r="AKI96" s="32"/>
      <c r="AKJ96" s="32"/>
      <c r="AKK96" s="32"/>
      <c r="AKL96" s="32"/>
      <c r="AKM96" s="32"/>
      <c r="AKN96" s="32"/>
      <c r="AKO96" s="32"/>
      <c r="AKP96" s="32"/>
      <c r="AKQ96" s="32"/>
      <c r="AKR96" s="32"/>
      <c r="AKS96" s="32"/>
      <c r="AKT96" s="32"/>
      <c r="AKU96" s="32"/>
      <c r="AKV96" s="32"/>
      <c r="AKW96" s="32"/>
      <c r="AKX96" s="32"/>
      <c r="AKY96" s="32"/>
      <c r="AKZ96" s="32"/>
      <c r="ALA96" s="32"/>
      <c r="ALB96" s="32"/>
      <c r="ALC96" s="32"/>
      <c r="ALD96" s="32"/>
      <c r="ALE96" s="32"/>
      <c r="ALF96" s="32"/>
      <c r="ALG96" s="32"/>
      <c r="ALH96" s="32"/>
      <c r="ALI96" s="32"/>
      <c r="ALJ96" s="32"/>
      <c r="ALK96" s="32"/>
      <c r="ALL96" s="32"/>
      <c r="ALM96" s="32"/>
      <c r="ALN96" s="32"/>
      <c r="ALO96" s="32"/>
      <c r="ALP96" s="32"/>
      <c r="ALQ96" s="32"/>
      <c r="ALR96" s="32"/>
      <c r="ALS96" s="32"/>
      <c r="ALT96" s="32"/>
      <c r="ALU96" s="32"/>
      <c r="ALV96" s="32"/>
      <c r="ALW96" s="32"/>
      <c r="ALX96" s="32"/>
      <c r="ALY96" s="32"/>
      <c r="ALZ96" s="32"/>
      <c r="AMA96" s="32"/>
      <c r="AMB96" s="32"/>
      <c r="AMC96" s="32"/>
      <c r="AMD96" s="32"/>
      <c r="AME96" s="32"/>
      <c r="AMF96" s="32"/>
      <c r="AMG96" s="32"/>
      <c r="AMH96" s="32"/>
      <c r="AMI96" s="32"/>
      <c r="AMJ96" s="32"/>
      <c r="AMK96" s="32"/>
      <c r="AML96" s="32"/>
      <c r="AMM96" s="32"/>
      <c r="AMN96" s="32"/>
      <c r="AMO96" s="32"/>
      <c r="AMP96" s="32"/>
      <c r="AMQ96" s="32"/>
      <c r="AMR96" s="32"/>
      <c r="AMS96" s="32"/>
      <c r="AMT96" s="32"/>
      <c r="AMU96" s="32"/>
      <c r="AMV96" s="32"/>
      <c r="AMW96" s="32"/>
      <c r="AMX96" s="32"/>
      <c r="AMY96" s="32"/>
      <c r="AMZ96" s="32"/>
      <c r="ANA96" s="32"/>
      <c r="ANB96" s="32"/>
      <c r="ANC96" s="32"/>
      <c r="AND96" s="32"/>
      <c r="ANE96" s="32"/>
      <c r="ANF96" s="32"/>
      <c r="ANG96" s="32"/>
      <c r="ANH96" s="32"/>
      <c r="ANI96" s="32"/>
      <c r="ANJ96" s="32"/>
      <c r="ANK96" s="32"/>
      <c r="ANL96" s="32"/>
      <c r="ANM96" s="32"/>
      <c r="ANN96" s="32"/>
      <c r="ANO96" s="32"/>
      <c r="ANP96" s="32"/>
      <c r="ANQ96" s="32"/>
      <c r="ANR96" s="32"/>
      <c r="ANS96" s="32"/>
      <c r="ANT96" s="32"/>
      <c r="ANU96" s="32"/>
      <c r="ANV96" s="32"/>
      <c r="ANW96" s="32"/>
      <c r="ANX96" s="32"/>
      <c r="ANY96" s="32"/>
      <c r="ANZ96" s="32"/>
      <c r="AOA96" s="32"/>
      <c r="AOB96" s="32"/>
      <c r="AOC96" s="32"/>
      <c r="AOD96" s="32"/>
      <c r="AOE96" s="32"/>
      <c r="AOF96" s="32"/>
      <c r="AOG96" s="32"/>
      <c r="AOH96" s="32"/>
      <c r="AOI96" s="32"/>
      <c r="AOJ96" s="32"/>
      <c r="AOK96" s="32"/>
      <c r="AOL96" s="32"/>
      <c r="AOM96" s="32"/>
      <c r="AON96" s="32"/>
      <c r="AOO96" s="32"/>
      <c r="AOP96" s="32"/>
      <c r="AOQ96" s="32"/>
      <c r="AOR96" s="32"/>
      <c r="AOS96" s="32"/>
      <c r="AOT96" s="32"/>
      <c r="AOU96" s="32"/>
      <c r="AOV96" s="32"/>
      <c r="AOW96" s="32"/>
      <c r="AOX96" s="32"/>
      <c r="AOY96" s="32"/>
      <c r="AOZ96" s="32"/>
      <c r="APA96" s="32"/>
      <c r="APB96" s="32"/>
      <c r="APC96" s="32"/>
      <c r="APD96" s="32"/>
      <c r="APE96" s="32"/>
      <c r="APF96" s="32"/>
      <c r="APG96" s="32"/>
      <c r="APH96" s="32"/>
      <c r="API96" s="32"/>
      <c r="APJ96" s="32"/>
      <c r="APK96" s="32"/>
      <c r="APL96" s="32"/>
      <c r="APM96" s="32"/>
      <c r="APN96" s="32"/>
      <c r="APO96" s="32"/>
      <c r="APP96" s="32"/>
      <c r="APQ96" s="32"/>
      <c r="APR96" s="32"/>
      <c r="APS96" s="32"/>
      <c r="APT96" s="32"/>
      <c r="APU96" s="32"/>
      <c r="APV96" s="32"/>
      <c r="APW96" s="32"/>
      <c r="APX96" s="32"/>
      <c r="APY96" s="32"/>
      <c r="APZ96" s="32"/>
      <c r="AQA96" s="32"/>
      <c r="AQB96" s="32"/>
      <c r="AQC96" s="32"/>
      <c r="AQD96" s="32"/>
      <c r="AQE96" s="32"/>
      <c r="AQF96" s="32"/>
      <c r="AQG96" s="32"/>
      <c r="AQH96" s="32"/>
      <c r="AQI96" s="32"/>
      <c r="AQJ96" s="32"/>
      <c r="AQK96" s="32"/>
      <c r="AQL96" s="32"/>
      <c r="AQM96" s="32"/>
      <c r="AQN96" s="32"/>
      <c r="AQO96" s="32"/>
      <c r="AQP96" s="32"/>
      <c r="AQQ96" s="32"/>
      <c r="AQR96" s="32"/>
      <c r="AQS96" s="32"/>
      <c r="AQT96" s="32"/>
      <c r="AQU96" s="32"/>
      <c r="AQV96" s="32"/>
      <c r="AQW96" s="32"/>
      <c r="AQX96" s="32"/>
      <c r="AQY96" s="32"/>
      <c r="AQZ96" s="32"/>
      <c r="ARA96" s="32"/>
      <c r="ARB96" s="32"/>
      <c r="ARC96" s="32"/>
      <c r="ARD96" s="32"/>
      <c r="ARE96" s="32"/>
      <c r="ARF96" s="32"/>
      <c r="ARG96" s="32"/>
      <c r="ARH96" s="32"/>
      <c r="ARI96" s="32"/>
      <c r="ARJ96" s="32"/>
      <c r="ARK96" s="32"/>
      <c r="ARL96" s="32"/>
      <c r="ARM96" s="32"/>
      <c r="ARN96" s="32"/>
      <c r="ARO96" s="32"/>
      <c r="ARP96" s="32"/>
      <c r="ARQ96" s="32"/>
      <c r="ARR96" s="32"/>
      <c r="ARS96" s="32"/>
      <c r="ART96" s="32"/>
      <c r="ARU96" s="32"/>
      <c r="ARV96" s="32"/>
      <c r="ARW96" s="32"/>
      <c r="ARX96" s="32"/>
      <c r="ARY96" s="32"/>
      <c r="ARZ96" s="32"/>
      <c r="ASA96" s="32"/>
      <c r="ASB96" s="32"/>
      <c r="ASC96" s="32"/>
      <c r="ASD96" s="32"/>
      <c r="ASE96" s="32"/>
      <c r="ASF96" s="32"/>
      <c r="ASG96" s="32"/>
      <c r="ASH96" s="32"/>
      <c r="ASI96" s="32"/>
      <c r="ASJ96" s="32"/>
      <c r="ASK96" s="32"/>
      <c r="ASL96" s="32"/>
      <c r="ASM96" s="32"/>
      <c r="ASN96" s="32"/>
      <c r="ASO96" s="32"/>
      <c r="ASP96" s="32"/>
      <c r="ASQ96" s="32"/>
      <c r="ASR96" s="32"/>
      <c r="ASS96" s="32"/>
      <c r="AST96" s="32"/>
      <c r="ASU96" s="32"/>
      <c r="ASV96" s="32"/>
      <c r="ASW96" s="32"/>
      <c r="ASX96" s="32"/>
      <c r="ASY96" s="32"/>
      <c r="ASZ96" s="32"/>
      <c r="ATA96" s="32"/>
      <c r="ATB96" s="32"/>
      <c r="ATC96" s="32"/>
      <c r="ATD96" s="32"/>
      <c r="ATE96" s="32"/>
      <c r="ATF96" s="32"/>
      <c r="ATG96" s="32"/>
      <c r="ATH96" s="32"/>
      <c r="ATI96" s="32"/>
      <c r="ATJ96" s="32"/>
      <c r="ATK96" s="32"/>
      <c r="ATL96" s="32"/>
      <c r="ATM96" s="32"/>
      <c r="ATN96" s="32"/>
      <c r="ATO96" s="32"/>
      <c r="ATP96" s="32"/>
      <c r="ATQ96" s="32"/>
      <c r="ATR96" s="32"/>
      <c r="ATS96" s="32"/>
      <c r="ATT96" s="32"/>
      <c r="ATU96" s="32"/>
      <c r="ATV96" s="32"/>
      <c r="ATW96" s="32"/>
      <c r="ATX96" s="32"/>
      <c r="ATY96" s="32"/>
      <c r="ATZ96" s="32"/>
      <c r="AUA96" s="32"/>
      <c r="AUB96" s="32"/>
      <c r="AUC96" s="32"/>
      <c r="AUD96" s="32"/>
      <c r="AUE96" s="32"/>
      <c r="AUF96" s="32"/>
      <c r="AUG96" s="32"/>
      <c r="AUH96" s="32"/>
      <c r="AUI96" s="32"/>
      <c r="AUJ96" s="32"/>
      <c r="AUK96" s="32"/>
      <c r="AUL96" s="32"/>
      <c r="AUM96" s="32"/>
      <c r="AUN96" s="32"/>
      <c r="AUO96" s="32"/>
      <c r="AUP96" s="32"/>
      <c r="AUQ96" s="32"/>
      <c r="AUR96" s="32"/>
      <c r="AUS96" s="32"/>
      <c r="AUT96" s="32"/>
      <c r="AUU96" s="32"/>
      <c r="AUV96" s="32"/>
      <c r="AUW96" s="32"/>
      <c r="AUX96" s="32"/>
      <c r="AUY96" s="32"/>
      <c r="AUZ96" s="32"/>
      <c r="AVA96" s="32"/>
      <c r="AVB96" s="32"/>
      <c r="AVC96" s="32"/>
      <c r="AVD96" s="32"/>
      <c r="AVE96" s="32"/>
      <c r="AVF96" s="32"/>
      <c r="AVG96" s="32"/>
      <c r="AVH96" s="32"/>
      <c r="AVI96" s="32"/>
      <c r="AVJ96" s="32"/>
      <c r="AVK96" s="32"/>
      <c r="AVL96" s="32"/>
      <c r="AVM96" s="32"/>
      <c r="AVN96" s="32"/>
      <c r="AVO96" s="32"/>
      <c r="AVP96" s="32"/>
      <c r="AVQ96" s="32"/>
      <c r="AVR96" s="32"/>
      <c r="AVS96" s="32"/>
      <c r="AVT96" s="32"/>
      <c r="AVU96" s="32"/>
      <c r="AVV96" s="32"/>
      <c r="AVW96" s="32"/>
      <c r="AVX96" s="32"/>
      <c r="AVY96" s="32"/>
      <c r="AVZ96" s="32"/>
      <c r="AWA96" s="32"/>
      <c r="AWB96" s="32"/>
      <c r="AWC96" s="32"/>
      <c r="AWD96" s="32"/>
      <c r="AWE96" s="32"/>
      <c r="AWF96" s="32"/>
      <c r="AWG96" s="32"/>
      <c r="AWH96" s="32"/>
      <c r="AWI96" s="32"/>
      <c r="AWJ96" s="32"/>
      <c r="AWK96" s="32"/>
      <c r="AWL96" s="32"/>
      <c r="AWM96" s="32"/>
      <c r="AWN96" s="32"/>
      <c r="AWO96" s="32"/>
      <c r="AWP96" s="32"/>
      <c r="AWQ96" s="32"/>
      <c r="AWR96" s="32"/>
      <c r="AWS96" s="32"/>
      <c r="AWT96" s="32"/>
      <c r="AWU96" s="32"/>
      <c r="AWV96" s="32"/>
      <c r="AWW96" s="32"/>
      <c r="AWX96" s="32"/>
      <c r="AWY96" s="32"/>
      <c r="AWZ96" s="32"/>
      <c r="AXA96" s="32"/>
      <c r="AXB96" s="32"/>
      <c r="AXC96" s="32"/>
      <c r="AXD96" s="32"/>
      <c r="AXE96" s="32"/>
      <c r="AXF96" s="32"/>
      <c r="AXG96" s="32"/>
      <c r="AXH96" s="32"/>
      <c r="AXI96" s="32"/>
      <c r="AXJ96" s="32"/>
      <c r="AXK96" s="32"/>
      <c r="AXL96" s="32"/>
      <c r="AXM96" s="32"/>
      <c r="AXN96" s="32"/>
      <c r="AXO96" s="32"/>
      <c r="AXP96" s="32"/>
      <c r="AXQ96" s="32"/>
      <c r="AXR96" s="32"/>
      <c r="AXS96" s="32"/>
      <c r="AXT96" s="32"/>
      <c r="AXU96" s="32"/>
      <c r="AXV96" s="32"/>
      <c r="AXW96" s="32"/>
      <c r="AXX96" s="32"/>
      <c r="AXY96" s="32"/>
      <c r="AXZ96" s="32"/>
      <c r="AYA96" s="32"/>
      <c r="AYB96" s="32"/>
      <c r="AYC96" s="32"/>
      <c r="AYD96" s="32"/>
      <c r="AYE96" s="32"/>
      <c r="AYF96" s="32"/>
      <c r="AYG96" s="32"/>
      <c r="AYH96" s="32"/>
      <c r="AYI96" s="32"/>
      <c r="AYJ96" s="32"/>
      <c r="AYK96" s="32"/>
      <c r="AYL96" s="32"/>
      <c r="AYM96" s="32"/>
      <c r="AYN96" s="32"/>
      <c r="AYO96" s="32"/>
      <c r="AYP96" s="32"/>
      <c r="AYQ96" s="32"/>
      <c r="AYR96" s="32"/>
      <c r="AYS96" s="32"/>
      <c r="AYT96" s="32"/>
      <c r="AYU96" s="32"/>
      <c r="AYV96" s="32"/>
      <c r="AYW96" s="32"/>
      <c r="AYX96" s="32"/>
      <c r="AYY96" s="32"/>
      <c r="AYZ96" s="32"/>
      <c r="AZA96" s="32"/>
      <c r="AZB96" s="32"/>
      <c r="AZC96" s="32"/>
      <c r="AZD96" s="32"/>
      <c r="AZE96" s="32"/>
      <c r="AZF96" s="32"/>
      <c r="AZG96" s="32"/>
      <c r="AZH96" s="32"/>
      <c r="AZI96" s="32"/>
      <c r="AZJ96" s="32"/>
      <c r="AZK96" s="32"/>
      <c r="AZL96" s="32"/>
      <c r="AZM96" s="32"/>
      <c r="AZN96" s="32"/>
      <c r="AZO96" s="32"/>
      <c r="AZP96" s="32"/>
      <c r="AZQ96" s="32"/>
      <c r="AZR96" s="32"/>
      <c r="AZS96" s="32"/>
      <c r="AZT96" s="32"/>
      <c r="AZU96" s="32"/>
      <c r="AZV96" s="32"/>
      <c r="AZW96" s="32"/>
      <c r="AZX96" s="32"/>
      <c r="AZY96" s="32"/>
      <c r="AZZ96" s="32"/>
      <c r="BAA96" s="32"/>
      <c r="BAB96" s="32"/>
      <c r="BAC96" s="32"/>
      <c r="BAD96" s="32"/>
      <c r="BAE96" s="32"/>
      <c r="BAF96" s="32"/>
      <c r="BAG96" s="32"/>
      <c r="BAH96" s="32"/>
      <c r="BAI96" s="32"/>
      <c r="BAJ96" s="32"/>
      <c r="BAK96" s="32"/>
      <c r="BAL96" s="32"/>
      <c r="BAM96" s="32"/>
      <c r="BAN96" s="32"/>
      <c r="BAO96" s="32"/>
      <c r="BAP96" s="32"/>
      <c r="BAQ96" s="32"/>
      <c r="BAR96" s="32"/>
      <c r="BAS96" s="32"/>
      <c r="BAT96" s="32"/>
      <c r="BAU96" s="32"/>
      <c r="BAV96" s="32"/>
      <c r="BAW96" s="32"/>
      <c r="BAX96" s="32"/>
      <c r="BAY96" s="32"/>
      <c r="BAZ96" s="32"/>
      <c r="BBA96" s="32"/>
      <c r="BBB96" s="32"/>
      <c r="BBC96" s="32"/>
      <c r="BBD96" s="32"/>
      <c r="BBE96" s="32"/>
      <c r="BBF96" s="32"/>
      <c r="BBG96" s="32"/>
      <c r="BBH96" s="32"/>
      <c r="BBI96" s="32"/>
      <c r="BBJ96" s="32"/>
      <c r="BBK96" s="32"/>
      <c r="BBL96" s="32"/>
      <c r="BBM96" s="32"/>
      <c r="BBN96" s="32"/>
      <c r="BBO96" s="32"/>
      <c r="BBP96" s="32"/>
      <c r="BBQ96" s="32"/>
      <c r="BBR96" s="32"/>
      <c r="BBS96" s="32"/>
      <c r="BBT96" s="32"/>
      <c r="BBU96" s="32"/>
      <c r="BBV96" s="32"/>
      <c r="BBW96" s="32"/>
      <c r="BBX96" s="32"/>
      <c r="BBY96" s="32"/>
      <c r="BBZ96" s="32"/>
      <c r="BCA96" s="32"/>
      <c r="BCB96" s="32"/>
      <c r="BCC96" s="32"/>
      <c r="BCD96" s="32"/>
      <c r="BCE96" s="32"/>
      <c r="BCF96" s="32"/>
      <c r="BCG96" s="32"/>
      <c r="BCH96" s="32"/>
      <c r="BCI96" s="32"/>
      <c r="BCJ96" s="32"/>
      <c r="BCK96" s="32"/>
      <c r="BCL96" s="32"/>
      <c r="BCM96" s="32"/>
      <c r="BCN96" s="32"/>
      <c r="BCO96" s="32"/>
      <c r="BCP96" s="32"/>
      <c r="BCQ96" s="32"/>
      <c r="BCR96" s="32"/>
      <c r="BCS96" s="32"/>
      <c r="BCT96" s="32"/>
      <c r="BCU96" s="32"/>
      <c r="BCV96" s="32"/>
      <c r="BCW96" s="32"/>
      <c r="BCX96" s="32"/>
      <c r="BCY96" s="32"/>
      <c r="BCZ96" s="32"/>
      <c r="BDA96" s="32"/>
      <c r="BDB96" s="32"/>
      <c r="BDC96" s="32"/>
      <c r="BDD96" s="32"/>
      <c r="BDE96" s="32"/>
      <c r="BDF96" s="32"/>
      <c r="BDG96" s="32"/>
      <c r="BDH96" s="32"/>
      <c r="BDI96" s="32"/>
      <c r="BDJ96" s="32"/>
      <c r="BDK96" s="32"/>
      <c r="BDL96" s="32"/>
      <c r="BDM96" s="32"/>
      <c r="BDN96" s="32"/>
      <c r="BDO96" s="32"/>
      <c r="BDP96" s="32"/>
      <c r="BDQ96" s="32"/>
      <c r="BDR96" s="32"/>
      <c r="BDS96" s="32"/>
      <c r="BDT96" s="32"/>
      <c r="BDU96" s="32"/>
      <c r="BDV96" s="32"/>
      <c r="BDW96" s="32"/>
      <c r="BDX96" s="32"/>
      <c r="BDY96" s="32"/>
      <c r="BDZ96" s="32"/>
      <c r="BEA96" s="32"/>
      <c r="BEB96" s="32"/>
      <c r="BEC96" s="32"/>
      <c r="BED96" s="32"/>
      <c r="BEE96" s="32"/>
      <c r="BEF96" s="32"/>
      <c r="BEG96" s="32"/>
      <c r="BEH96" s="32"/>
      <c r="BEI96" s="32"/>
      <c r="BEJ96" s="32"/>
      <c r="BEK96" s="32"/>
      <c r="BEL96" s="32"/>
      <c r="BEM96" s="32"/>
      <c r="BEN96" s="32"/>
      <c r="BEO96" s="32"/>
      <c r="BEP96" s="32"/>
      <c r="BEQ96" s="32"/>
      <c r="BER96" s="32"/>
      <c r="BES96" s="32"/>
      <c r="BET96" s="32"/>
      <c r="BEU96" s="32"/>
      <c r="BEV96" s="32"/>
      <c r="BEW96" s="32"/>
      <c r="BEX96" s="32"/>
      <c r="BEY96" s="32"/>
      <c r="BEZ96" s="32"/>
      <c r="BFA96" s="32"/>
      <c r="BFB96" s="32"/>
      <c r="BFC96" s="32"/>
      <c r="BFD96" s="32"/>
      <c r="BFE96" s="32"/>
      <c r="BFF96" s="32"/>
      <c r="BFG96" s="32"/>
      <c r="BFH96" s="32"/>
      <c r="BFI96" s="32"/>
      <c r="BFJ96" s="32"/>
      <c r="BFK96" s="32"/>
      <c r="BFL96" s="32"/>
      <c r="BFM96" s="32"/>
      <c r="BFN96" s="32"/>
      <c r="BFO96" s="32"/>
      <c r="BFP96" s="32"/>
      <c r="BFQ96" s="32"/>
      <c r="BFR96" s="32"/>
      <c r="BFS96" s="32"/>
      <c r="BFT96" s="32"/>
      <c r="BFU96" s="32"/>
      <c r="BFV96" s="32"/>
      <c r="BFW96" s="32"/>
      <c r="BFX96" s="32"/>
      <c r="BFY96" s="32"/>
      <c r="BFZ96" s="32"/>
      <c r="BGA96" s="32"/>
      <c r="BGB96" s="32"/>
      <c r="BGC96" s="32"/>
      <c r="BGD96" s="32"/>
      <c r="BGE96" s="32"/>
      <c r="BGF96" s="32"/>
      <c r="BGG96" s="32"/>
      <c r="BGH96" s="32"/>
      <c r="BGI96" s="32"/>
      <c r="BGJ96" s="32"/>
      <c r="BGK96" s="32"/>
      <c r="BGL96" s="32"/>
      <c r="BGM96" s="32"/>
      <c r="BGN96" s="32"/>
      <c r="BGO96" s="32"/>
      <c r="BGP96" s="32"/>
      <c r="BGQ96" s="32"/>
      <c r="BGR96" s="32"/>
      <c r="BGS96" s="32"/>
      <c r="BGT96" s="32"/>
      <c r="BGU96" s="32"/>
      <c r="BGV96" s="32"/>
      <c r="BGW96" s="32"/>
      <c r="BGX96" s="32"/>
      <c r="BGY96" s="32"/>
      <c r="BGZ96" s="32"/>
      <c r="BHA96" s="32"/>
      <c r="BHB96" s="32"/>
      <c r="BHC96" s="32"/>
      <c r="BHD96" s="32"/>
      <c r="BHE96" s="32"/>
      <c r="BHF96" s="32"/>
      <c r="BHG96" s="32"/>
      <c r="BHH96" s="32"/>
      <c r="BHI96" s="32"/>
      <c r="BHJ96" s="32"/>
      <c r="BHK96" s="32"/>
      <c r="BHL96" s="32"/>
      <c r="BHM96" s="32"/>
      <c r="BHN96" s="32"/>
      <c r="BHO96" s="32"/>
      <c r="BHP96" s="32"/>
      <c r="BHQ96" s="32"/>
      <c r="BHR96" s="32"/>
      <c r="BHS96" s="32"/>
      <c r="BHT96" s="32"/>
      <c r="BHU96" s="32"/>
      <c r="BHV96" s="32"/>
      <c r="BHW96" s="32"/>
      <c r="BHX96" s="32"/>
      <c r="BHY96" s="32"/>
      <c r="BHZ96" s="32"/>
      <c r="BIA96" s="32"/>
      <c r="BIB96" s="32"/>
      <c r="BIC96" s="32"/>
      <c r="BID96" s="32"/>
      <c r="BIE96" s="32"/>
      <c r="BIF96" s="32"/>
      <c r="BIG96" s="32"/>
      <c r="BIH96" s="32"/>
      <c r="BII96" s="32"/>
      <c r="BIJ96" s="32"/>
      <c r="BIK96" s="32"/>
      <c r="BIL96" s="32"/>
      <c r="BIM96" s="32"/>
      <c r="BIN96" s="32"/>
      <c r="BIO96" s="32"/>
      <c r="BIP96" s="32"/>
      <c r="BIQ96" s="32"/>
      <c r="BIR96" s="32"/>
      <c r="BIS96" s="32"/>
      <c r="BIT96" s="32"/>
      <c r="BIU96" s="32"/>
      <c r="BIV96" s="32"/>
      <c r="BIW96" s="32"/>
      <c r="BIX96" s="32"/>
      <c r="BIY96" s="32"/>
      <c r="BIZ96" s="32"/>
      <c r="BJA96" s="32"/>
      <c r="BJB96" s="32"/>
      <c r="BJC96" s="32"/>
      <c r="BJD96" s="32"/>
      <c r="BJE96" s="32"/>
      <c r="BJF96" s="32"/>
      <c r="BJG96" s="32"/>
      <c r="BJH96" s="32"/>
      <c r="BJI96" s="32"/>
      <c r="BJJ96" s="32"/>
      <c r="BJK96" s="32"/>
      <c r="BJL96" s="32"/>
      <c r="BJM96" s="32"/>
      <c r="BJN96" s="32"/>
      <c r="BJO96" s="32"/>
      <c r="BJP96" s="32"/>
      <c r="BJQ96" s="32"/>
      <c r="BJR96" s="32"/>
      <c r="BJS96" s="32"/>
      <c r="BJT96" s="32"/>
      <c r="BJU96" s="32"/>
      <c r="BJV96" s="32"/>
      <c r="BJW96" s="32"/>
      <c r="BJX96" s="32"/>
      <c r="BJY96" s="32"/>
      <c r="BJZ96" s="32"/>
      <c r="BKA96" s="32"/>
      <c r="BKB96" s="32"/>
      <c r="BKC96" s="32"/>
      <c r="BKD96" s="32"/>
      <c r="BKE96" s="32"/>
      <c r="BKF96" s="32"/>
      <c r="BKG96" s="32"/>
      <c r="BKH96" s="32"/>
      <c r="BKI96" s="32"/>
      <c r="BKJ96" s="32"/>
      <c r="BKK96" s="32"/>
      <c r="BKL96" s="32"/>
      <c r="BKM96" s="32"/>
      <c r="BKN96" s="32"/>
      <c r="BKO96" s="32"/>
      <c r="BKP96" s="32"/>
      <c r="BKQ96" s="32"/>
      <c r="BKR96" s="32"/>
      <c r="BKS96" s="32"/>
      <c r="BKT96" s="32"/>
      <c r="BKU96" s="32"/>
      <c r="BKV96" s="32"/>
      <c r="BKW96" s="32"/>
      <c r="BKX96" s="32"/>
      <c r="BKY96" s="32"/>
      <c r="BKZ96" s="32"/>
      <c r="BLA96" s="32"/>
      <c r="BLB96" s="32"/>
      <c r="BLC96" s="32"/>
      <c r="BLD96" s="32"/>
      <c r="BLE96" s="32"/>
      <c r="BLF96" s="32"/>
      <c r="BLG96" s="32"/>
      <c r="BLH96" s="32"/>
      <c r="BLI96" s="32"/>
      <c r="BLJ96" s="32"/>
      <c r="BLK96" s="32"/>
      <c r="BLL96" s="32"/>
      <c r="BLM96" s="32"/>
      <c r="BLN96" s="32"/>
      <c r="BLO96" s="32"/>
      <c r="BLP96" s="32"/>
      <c r="BLQ96" s="32"/>
      <c r="BLR96" s="32"/>
      <c r="BLS96" s="32"/>
      <c r="BLT96" s="32"/>
      <c r="BLU96" s="32"/>
      <c r="BLV96" s="32"/>
      <c r="BLW96" s="32"/>
      <c r="BLX96" s="32"/>
      <c r="BLY96" s="32"/>
      <c r="BLZ96" s="32"/>
      <c r="BMA96" s="32"/>
      <c r="BMB96" s="32"/>
      <c r="BMC96" s="32"/>
      <c r="BMD96" s="32"/>
      <c r="BME96" s="32"/>
      <c r="BMF96" s="32"/>
      <c r="BMG96" s="32"/>
      <c r="BMH96" s="32"/>
      <c r="BMI96" s="32"/>
      <c r="BMJ96" s="32"/>
      <c r="BMK96" s="32"/>
      <c r="BML96" s="32"/>
      <c r="BMM96" s="32"/>
      <c r="BMN96" s="32"/>
      <c r="BMO96" s="32"/>
      <c r="BMP96" s="32"/>
      <c r="BMQ96" s="32"/>
      <c r="BMR96" s="32"/>
      <c r="BMS96" s="32"/>
      <c r="BMT96" s="32"/>
      <c r="BMU96" s="32"/>
      <c r="BMV96" s="32"/>
      <c r="BMW96" s="32"/>
      <c r="BMX96" s="32"/>
      <c r="BMY96" s="32"/>
      <c r="BMZ96" s="32"/>
      <c r="BNA96" s="32"/>
      <c r="BNB96" s="32"/>
      <c r="BNC96" s="32"/>
      <c r="BND96" s="32"/>
      <c r="BNE96" s="32"/>
      <c r="BNF96" s="32"/>
      <c r="BNG96" s="32"/>
      <c r="BNH96" s="32"/>
      <c r="BNI96" s="32"/>
      <c r="BNJ96" s="32"/>
      <c r="BNK96" s="32"/>
      <c r="BNL96" s="32"/>
      <c r="BNM96" s="32"/>
      <c r="BNN96" s="32"/>
      <c r="BNO96" s="32"/>
      <c r="BNP96" s="32"/>
      <c r="BNQ96" s="32"/>
      <c r="BNR96" s="32"/>
      <c r="BNS96" s="32"/>
      <c r="BNT96" s="32"/>
      <c r="BNU96" s="32"/>
      <c r="BNV96" s="32"/>
      <c r="BNW96" s="32"/>
      <c r="BNX96" s="32"/>
      <c r="BNY96" s="32"/>
      <c r="BNZ96" s="32"/>
      <c r="BOA96" s="32"/>
      <c r="BOB96" s="32"/>
      <c r="BOC96" s="32"/>
      <c r="BOD96" s="32"/>
      <c r="BOE96" s="32"/>
      <c r="BOF96" s="32"/>
      <c r="BOG96" s="32"/>
      <c r="BOH96" s="32"/>
      <c r="BOI96" s="32"/>
      <c r="BOJ96" s="32"/>
      <c r="BOK96" s="32"/>
      <c r="BOL96" s="32"/>
      <c r="BOM96" s="32"/>
      <c r="BON96" s="32"/>
      <c r="BOO96" s="32"/>
      <c r="BOP96" s="32"/>
      <c r="BOQ96" s="32"/>
      <c r="BOR96" s="32"/>
      <c r="BOS96" s="32"/>
      <c r="BOT96" s="32"/>
      <c r="BOU96" s="32"/>
      <c r="BOV96" s="32"/>
      <c r="BOW96" s="32"/>
      <c r="BOX96" s="32"/>
      <c r="BOY96" s="32"/>
      <c r="BOZ96" s="32"/>
      <c r="BPA96" s="32"/>
      <c r="BPB96" s="32"/>
      <c r="BPC96" s="32"/>
      <c r="BPD96" s="32"/>
      <c r="BPE96" s="32"/>
      <c r="BPF96" s="32"/>
      <c r="BPG96" s="32"/>
      <c r="BPH96" s="32"/>
      <c r="BPI96" s="32"/>
      <c r="BPJ96" s="32"/>
      <c r="BPK96" s="32"/>
      <c r="BPL96" s="32"/>
      <c r="BPM96" s="32"/>
      <c r="BPN96" s="32"/>
      <c r="BPO96" s="32"/>
      <c r="BPP96" s="32"/>
      <c r="BPQ96" s="32"/>
      <c r="BPR96" s="32"/>
      <c r="BPS96" s="32"/>
      <c r="BPT96" s="32"/>
      <c r="BPU96" s="32"/>
      <c r="BPV96" s="32"/>
      <c r="BPW96" s="32"/>
      <c r="BPX96" s="32"/>
      <c r="BPY96" s="32"/>
      <c r="BPZ96" s="32"/>
      <c r="BQA96" s="32"/>
      <c r="BQB96" s="32"/>
      <c r="BQC96" s="32"/>
      <c r="BQD96" s="32"/>
      <c r="BQE96" s="32"/>
      <c r="BQF96" s="32"/>
      <c r="BQG96" s="32"/>
      <c r="BQH96" s="32"/>
      <c r="BQI96" s="32"/>
      <c r="BQJ96" s="32"/>
      <c r="BQK96" s="32"/>
      <c r="BQL96" s="32"/>
      <c r="BQM96" s="32"/>
      <c r="BQN96" s="32"/>
      <c r="BQO96" s="32"/>
      <c r="BQP96" s="32"/>
      <c r="BQQ96" s="32"/>
      <c r="BQR96" s="32"/>
      <c r="BQS96" s="32"/>
      <c r="BQT96" s="32"/>
      <c r="BQU96" s="32"/>
      <c r="BQV96" s="32"/>
      <c r="BQW96" s="32"/>
      <c r="BQX96" s="32"/>
      <c r="BQY96" s="32"/>
      <c r="BQZ96" s="32"/>
      <c r="BRA96" s="32"/>
      <c r="BRB96" s="32"/>
      <c r="BRC96" s="32"/>
      <c r="BRD96" s="32"/>
      <c r="BRE96" s="32"/>
      <c r="BRF96" s="32"/>
      <c r="BRG96" s="32"/>
      <c r="BRH96" s="32"/>
      <c r="BRI96" s="32"/>
      <c r="BRJ96" s="32"/>
      <c r="BRK96" s="32"/>
      <c r="BRL96" s="32"/>
      <c r="BRM96" s="32"/>
      <c r="BRN96" s="32"/>
      <c r="BRO96" s="32"/>
      <c r="BRP96" s="32"/>
      <c r="BRQ96" s="32"/>
      <c r="BRR96" s="32"/>
      <c r="BRS96" s="32"/>
      <c r="BRT96" s="32"/>
      <c r="BRU96" s="32"/>
      <c r="BRV96" s="32"/>
      <c r="BRW96" s="32"/>
      <c r="BRX96" s="32"/>
      <c r="BRY96" s="32"/>
      <c r="BRZ96" s="32"/>
      <c r="BSA96" s="32"/>
      <c r="BSB96" s="32"/>
      <c r="BSC96" s="32"/>
      <c r="BSD96" s="32"/>
      <c r="BSE96" s="32"/>
      <c r="BSF96" s="32"/>
      <c r="BSG96" s="32"/>
      <c r="BSH96" s="32"/>
      <c r="BSI96" s="32"/>
      <c r="BSJ96" s="32"/>
      <c r="BSK96" s="32"/>
      <c r="BSL96" s="32"/>
      <c r="BSM96" s="32"/>
      <c r="BSN96" s="32"/>
      <c r="BSO96" s="32"/>
      <c r="BSP96" s="32"/>
      <c r="BSQ96" s="32"/>
      <c r="BSR96" s="32"/>
      <c r="BSS96" s="32"/>
      <c r="BST96" s="32"/>
      <c r="BSU96" s="32"/>
      <c r="BSV96" s="32"/>
      <c r="BSW96" s="32"/>
      <c r="BSX96" s="32"/>
      <c r="BSY96" s="32"/>
      <c r="BSZ96" s="32"/>
      <c r="BTA96" s="32"/>
      <c r="BTB96" s="32"/>
      <c r="BTC96" s="32"/>
      <c r="BTD96" s="32"/>
      <c r="BTE96" s="32"/>
      <c r="BTF96" s="32"/>
      <c r="BTG96" s="32"/>
      <c r="BTH96" s="32"/>
      <c r="BTI96" s="32"/>
      <c r="BTJ96" s="32"/>
      <c r="BTK96" s="32"/>
      <c r="BTL96" s="32"/>
      <c r="BTM96" s="32"/>
      <c r="BTN96" s="32"/>
      <c r="BTO96" s="32"/>
      <c r="BTP96" s="32"/>
      <c r="BTQ96" s="32"/>
      <c r="BTR96" s="32"/>
      <c r="BTS96" s="32"/>
      <c r="BTT96" s="32"/>
      <c r="BTU96" s="32"/>
      <c r="BTV96" s="32"/>
      <c r="BTW96" s="32"/>
      <c r="BTX96" s="32"/>
      <c r="BTY96" s="32"/>
      <c r="BTZ96" s="32"/>
      <c r="BUA96" s="32"/>
      <c r="BUB96" s="32"/>
      <c r="BUC96" s="32"/>
      <c r="BUD96" s="32"/>
      <c r="BUE96" s="32"/>
      <c r="BUF96" s="32"/>
      <c r="BUG96" s="32"/>
      <c r="BUH96" s="32"/>
      <c r="BUI96" s="32"/>
      <c r="BUJ96" s="32"/>
      <c r="BUK96" s="32"/>
      <c r="BUL96" s="32"/>
      <c r="BUM96" s="32"/>
      <c r="BUN96" s="32"/>
      <c r="BUO96" s="32"/>
      <c r="BUP96" s="32"/>
      <c r="BUQ96" s="32"/>
      <c r="BUR96" s="32"/>
      <c r="BUS96" s="32"/>
      <c r="BUT96" s="32"/>
      <c r="BUU96" s="32"/>
      <c r="BUV96" s="32"/>
      <c r="BUW96" s="32"/>
      <c r="BUX96" s="32"/>
      <c r="BUY96" s="32"/>
      <c r="BUZ96" s="32"/>
      <c r="BVA96" s="32"/>
      <c r="BVB96" s="32"/>
      <c r="BVC96" s="32"/>
      <c r="BVD96" s="32"/>
      <c r="BVE96" s="32"/>
      <c r="BVF96" s="32"/>
      <c r="BVG96" s="32"/>
      <c r="BVH96" s="32"/>
      <c r="BVI96" s="32"/>
      <c r="BVJ96" s="32"/>
      <c r="BVK96" s="32"/>
      <c r="BVL96" s="32"/>
      <c r="BVM96" s="32"/>
      <c r="BVN96" s="32"/>
      <c r="BVO96" s="32"/>
      <c r="BVP96" s="32"/>
      <c r="BVQ96" s="32"/>
      <c r="BVR96" s="32"/>
      <c r="BVS96" s="32"/>
      <c r="BVT96" s="32"/>
      <c r="BVU96" s="32"/>
      <c r="BVV96" s="32"/>
      <c r="BVW96" s="32"/>
      <c r="BVX96" s="32"/>
      <c r="BVY96" s="32"/>
      <c r="BVZ96" s="32"/>
      <c r="BWA96" s="32"/>
      <c r="BWB96" s="32"/>
      <c r="BWC96" s="32"/>
      <c r="BWD96" s="32"/>
      <c r="BWE96" s="32"/>
      <c r="BWF96" s="32"/>
      <c r="BWG96" s="32"/>
      <c r="BWH96" s="32"/>
      <c r="BWI96" s="32"/>
      <c r="BWJ96" s="32"/>
      <c r="BWK96" s="32"/>
      <c r="BWL96" s="32"/>
      <c r="BWM96" s="32"/>
      <c r="BWN96" s="32"/>
      <c r="BWO96" s="32"/>
      <c r="BWP96" s="32"/>
      <c r="BWQ96" s="32"/>
      <c r="BWR96" s="32"/>
      <c r="BWS96" s="32"/>
      <c r="BWT96" s="32"/>
      <c r="BWU96" s="32"/>
      <c r="BWV96" s="32"/>
      <c r="BWW96" s="32"/>
      <c r="BWX96" s="32"/>
      <c r="BWY96" s="32"/>
      <c r="BWZ96" s="32"/>
      <c r="BXA96" s="32"/>
      <c r="BXB96" s="32"/>
      <c r="BXC96" s="32"/>
      <c r="BXD96" s="32"/>
      <c r="BXE96" s="32"/>
      <c r="BXF96" s="32"/>
      <c r="BXG96" s="32"/>
      <c r="BXH96" s="32"/>
      <c r="BXI96" s="32"/>
      <c r="BXJ96" s="32"/>
      <c r="BXK96" s="32"/>
      <c r="BXL96" s="32"/>
      <c r="BXM96" s="32"/>
      <c r="BXN96" s="32"/>
      <c r="BXO96" s="32"/>
      <c r="BXP96" s="32"/>
      <c r="BXQ96" s="32"/>
      <c r="BXR96" s="32"/>
      <c r="BXS96" s="32"/>
      <c r="BXT96" s="32"/>
      <c r="BXU96" s="32"/>
      <c r="BXV96" s="32"/>
      <c r="BXW96" s="32"/>
      <c r="BXX96" s="32"/>
      <c r="BXY96" s="32"/>
      <c r="BXZ96" s="32"/>
      <c r="BYA96" s="32"/>
      <c r="BYB96" s="32"/>
      <c r="BYC96" s="32"/>
      <c r="BYD96" s="32"/>
      <c r="BYE96" s="32"/>
      <c r="BYF96" s="32"/>
      <c r="BYG96" s="32"/>
      <c r="BYH96" s="32"/>
      <c r="BYI96" s="32"/>
      <c r="BYJ96" s="32"/>
      <c r="BYK96" s="32"/>
      <c r="BYL96" s="32"/>
      <c r="BYM96" s="32"/>
      <c r="BYN96" s="32"/>
      <c r="BYO96" s="32"/>
      <c r="BYP96" s="32"/>
      <c r="BYQ96" s="32"/>
      <c r="BYR96" s="32"/>
      <c r="BYS96" s="32"/>
      <c r="BYT96" s="32"/>
      <c r="BYU96" s="32"/>
      <c r="BYV96" s="32"/>
      <c r="BYW96" s="32"/>
      <c r="BYX96" s="32"/>
      <c r="BYY96" s="32"/>
      <c r="BYZ96" s="32"/>
      <c r="BZA96" s="32"/>
      <c r="BZB96" s="32"/>
      <c r="BZC96" s="32"/>
      <c r="BZD96" s="32"/>
      <c r="BZE96" s="32"/>
      <c r="BZF96" s="32"/>
      <c r="BZG96" s="32"/>
      <c r="BZH96" s="32"/>
      <c r="BZI96" s="32"/>
      <c r="BZJ96" s="32"/>
      <c r="BZK96" s="32"/>
      <c r="BZL96" s="32"/>
      <c r="BZM96" s="32"/>
      <c r="BZN96" s="32"/>
      <c r="BZO96" s="32"/>
      <c r="BZP96" s="32"/>
      <c r="BZQ96" s="32"/>
      <c r="BZR96" s="32"/>
      <c r="BZS96" s="32"/>
      <c r="BZT96" s="32"/>
      <c r="BZU96" s="32"/>
      <c r="BZV96" s="32"/>
      <c r="BZW96" s="32"/>
      <c r="BZX96" s="32"/>
      <c r="BZY96" s="32"/>
      <c r="BZZ96" s="32"/>
      <c r="CAA96" s="32"/>
      <c r="CAB96" s="32"/>
      <c r="CAC96" s="32"/>
      <c r="CAD96" s="32"/>
      <c r="CAE96" s="32"/>
      <c r="CAF96" s="32"/>
      <c r="CAG96" s="32"/>
      <c r="CAH96" s="32"/>
      <c r="CAI96" s="32"/>
      <c r="CAJ96" s="32"/>
      <c r="CAK96" s="32"/>
      <c r="CAL96" s="32"/>
      <c r="CAM96" s="32"/>
      <c r="CAN96" s="32"/>
      <c r="CAO96" s="32"/>
      <c r="CAP96" s="32"/>
      <c r="CAQ96" s="32"/>
      <c r="CAR96" s="32"/>
      <c r="CAS96" s="32"/>
      <c r="CAT96" s="32"/>
      <c r="CAU96" s="32"/>
      <c r="CAV96" s="32"/>
      <c r="CAW96" s="32"/>
      <c r="CAX96" s="32"/>
      <c r="CAY96" s="32"/>
      <c r="CAZ96" s="32"/>
      <c r="CBA96" s="32"/>
      <c r="CBB96" s="32"/>
      <c r="CBC96" s="32"/>
      <c r="CBD96" s="32"/>
      <c r="CBE96" s="32"/>
      <c r="CBF96" s="32"/>
      <c r="CBG96" s="32"/>
      <c r="CBH96" s="32"/>
      <c r="CBI96" s="32"/>
      <c r="CBJ96" s="32"/>
      <c r="CBK96" s="32"/>
      <c r="CBL96" s="32"/>
      <c r="CBM96" s="32"/>
      <c r="CBN96" s="32"/>
      <c r="CBO96" s="32"/>
      <c r="CBP96" s="32"/>
      <c r="CBQ96" s="32"/>
      <c r="CBR96" s="32"/>
      <c r="CBS96" s="32"/>
      <c r="CBT96" s="32"/>
      <c r="CBU96" s="32"/>
      <c r="CBV96" s="32"/>
      <c r="CBW96" s="32"/>
      <c r="CBX96" s="32"/>
      <c r="CBY96" s="32"/>
      <c r="CBZ96" s="32"/>
      <c r="CCA96" s="32"/>
      <c r="CCB96" s="32"/>
      <c r="CCC96" s="32"/>
      <c r="CCD96" s="32"/>
      <c r="CCE96" s="32"/>
      <c r="CCF96" s="32"/>
      <c r="CCG96" s="32"/>
      <c r="CCH96" s="32"/>
      <c r="CCI96" s="32"/>
      <c r="CCJ96" s="32"/>
      <c r="CCK96" s="32"/>
      <c r="CCL96" s="32"/>
      <c r="CCM96" s="32"/>
      <c r="CCN96" s="32"/>
      <c r="CCO96" s="32"/>
      <c r="CCP96" s="32"/>
      <c r="CCQ96" s="32"/>
      <c r="CCR96" s="32"/>
      <c r="CCS96" s="32"/>
      <c r="CCT96" s="32"/>
      <c r="CCU96" s="32"/>
      <c r="CCV96" s="32"/>
      <c r="CCW96" s="32"/>
      <c r="CCX96" s="32"/>
      <c r="CCY96" s="32"/>
      <c r="CCZ96" s="32"/>
      <c r="CDA96" s="32"/>
      <c r="CDB96" s="32"/>
      <c r="CDC96" s="32"/>
      <c r="CDD96" s="32"/>
      <c r="CDE96" s="32"/>
      <c r="CDF96" s="32"/>
      <c r="CDG96" s="32"/>
      <c r="CDH96" s="32"/>
      <c r="CDI96" s="32"/>
      <c r="CDJ96" s="32"/>
      <c r="CDK96" s="32"/>
      <c r="CDL96" s="32"/>
      <c r="CDM96" s="32"/>
      <c r="CDN96" s="32"/>
      <c r="CDO96" s="32"/>
      <c r="CDP96" s="32"/>
      <c r="CDQ96" s="32"/>
      <c r="CDR96" s="32"/>
      <c r="CDS96" s="32"/>
      <c r="CDT96" s="32"/>
      <c r="CDU96" s="32"/>
      <c r="CDV96" s="32"/>
      <c r="CDW96" s="32"/>
      <c r="CDX96" s="32"/>
      <c r="CDY96" s="32"/>
      <c r="CDZ96" s="32"/>
      <c r="CEA96" s="32"/>
      <c r="CEB96" s="32"/>
      <c r="CEC96" s="32"/>
      <c r="CED96" s="32"/>
      <c r="CEE96" s="32"/>
      <c r="CEF96" s="32"/>
      <c r="CEG96" s="32"/>
      <c r="CEH96" s="32"/>
      <c r="CEI96" s="32"/>
      <c r="CEJ96" s="32"/>
      <c r="CEK96" s="32"/>
      <c r="CEL96" s="32"/>
      <c r="CEM96" s="32"/>
      <c r="CEN96" s="32"/>
      <c r="CEO96" s="32"/>
      <c r="CEP96" s="32"/>
      <c r="CEQ96" s="32"/>
      <c r="CER96" s="32"/>
      <c r="CES96" s="32"/>
      <c r="CET96" s="32"/>
      <c r="CEU96" s="32"/>
      <c r="CEV96" s="32"/>
      <c r="CEW96" s="32"/>
      <c r="CEX96" s="32"/>
      <c r="CEY96" s="32"/>
      <c r="CEZ96" s="32"/>
      <c r="CFA96" s="32"/>
      <c r="CFB96" s="32"/>
      <c r="CFC96" s="32"/>
      <c r="CFD96" s="32"/>
      <c r="CFE96" s="32"/>
      <c r="CFF96" s="32"/>
      <c r="CFG96" s="32"/>
      <c r="CFH96" s="32"/>
      <c r="CFI96" s="32"/>
      <c r="CFJ96" s="32"/>
      <c r="CFK96" s="32"/>
      <c r="CFL96" s="32"/>
      <c r="CFM96" s="32"/>
      <c r="CFN96" s="32"/>
      <c r="CFO96" s="32"/>
      <c r="CFP96" s="32"/>
      <c r="CFQ96" s="32"/>
      <c r="CFR96" s="32"/>
      <c r="CFS96" s="32"/>
      <c r="CFT96" s="32"/>
      <c r="CFU96" s="32"/>
      <c r="CFV96" s="32"/>
      <c r="CFW96" s="32"/>
      <c r="CFX96" s="32"/>
      <c r="CFY96" s="32"/>
      <c r="CFZ96" s="32"/>
      <c r="CGA96" s="32"/>
      <c r="CGB96" s="32"/>
      <c r="CGC96" s="32"/>
      <c r="CGD96" s="32"/>
      <c r="CGE96" s="32"/>
      <c r="CGF96" s="32"/>
      <c r="CGG96" s="32"/>
      <c r="CGH96" s="32"/>
      <c r="CGI96" s="32"/>
      <c r="CGJ96" s="32"/>
      <c r="CGK96" s="32"/>
      <c r="CGL96" s="32"/>
      <c r="CGM96" s="32"/>
      <c r="CGN96" s="32"/>
      <c r="CGO96" s="32"/>
      <c r="CGP96" s="32"/>
      <c r="CGQ96" s="32"/>
      <c r="CGR96" s="32"/>
      <c r="CGS96" s="32"/>
      <c r="CGT96" s="32"/>
      <c r="CGU96" s="32"/>
      <c r="CGV96" s="32"/>
      <c r="CGW96" s="32"/>
      <c r="CGX96" s="32"/>
      <c r="CGY96" s="32"/>
      <c r="CGZ96" s="32"/>
      <c r="CHA96" s="32"/>
      <c r="CHB96" s="32"/>
      <c r="CHC96" s="32"/>
      <c r="CHD96" s="32"/>
      <c r="CHE96" s="32"/>
      <c r="CHF96" s="32"/>
      <c r="CHG96" s="32"/>
      <c r="CHH96" s="32"/>
      <c r="CHI96" s="32"/>
      <c r="CHJ96" s="32"/>
      <c r="CHK96" s="32"/>
      <c r="CHL96" s="32"/>
      <c r="CHM96" s="32"/>
      <c r="CHN96" s="32"/>
      <c r="CHO96" s="32"/>
      <c r="CHP96" s="32"/>
      <c r="CHQ96" s="32"/>
      <c r="CHR96" s="32"/>
      <c r="CHS96" s="32"/>
      <c r="CHT96" s="32"/>
      <c r="CHU96" s="32"/>
      <c r="CHV96" s="32"/>
      <c r="CHW96" s="32"/>
      <c r="CHX96" s="32"/>
      <c r="CHY96" s="32"/>
      <c r="CHZ96" s="32"/>
      <c r="CIA96" s="32"/>
      <c r="CIB96" s="32"/>
      <c r="CIC96" s="32"/>
      <c r="CID96" s="32"/>
      <c r="CIE96" s="32"/>
      <c r="CIF96" s="32"/>
      <c r="CIG96" s="32"/>
      <c r="CIH96" s="32"/>
      <c r="CII96" s="32"/>
      <c r="CIJ96" s="32"/>
      <c r="CIK96" s="32"/>
      <c r="CIL96" s="32"/>
      <c r="CIM96" s="32"/>
      <c r="CIN96" s="32"/>
      <c r="CIO96" s="32"/>
      <c r="CIP96" s="32"/>
      <c r="CIQ96" s="32"/>
      <c r="CIR96" s="32"/>
      <c r="CIS96" s="32"/>
      <c r="CIT96" s="32"/>
      <c r="CIU96" s="32"/>
      <c r="CIV96" s="32"/>
      <c r="CIW96" s="32"/>
      <c r="CIX96" s="32"/>
      <c r="CIY96" s="32"/>
      <c r="CIZ96" s="32"/>
      <c r="CJA96" s="32"/>
      <c r="CJB96" s="32"/>
      <c r="CJC96" s="32"/>
      <c r="CJD96" s="32"/>
      <c r="CJE96" s="32"/>
      <c r="CJF96" s="32"/>
      <c r="CJG96" s="32"/>
      <c r="CJH96" s="32"/>
      <c r="CJI96" s="32"/>
      <c r="CJJ96" s="32"/>
      <c r="CJK96" s="32"/>
      <c r="CJL96" s="32"/>
      <c r="CJM96" s="32"/>
      <c r="CJN96" s="32"/>
      <c r="CJO96" s="32"/>
      <c r="CJP96" s="32"/>
      <c r="CJQ96" s="32"/>
      <c r="CJR96" s="32"/>
      <c r="CJS96" s="32"/>
      <c r="CJT96" s="32"/>
      <c r="CJU96" s="32"/>
      <c r="CJV96" s="32"/>
      <c r="CJW96" s="32"/>
      <c r="CJX96" s="32"/>
      <c r="CJY96" s="32"/>
      <c r="CJZ96" s="32"/>
      <c r="CKA96" s="32"/>
      <c r="CKB96" s="32"/>
      <c r="CKC96" s="32"/>
      <c r="CKD96" s="32"/>
      <c r="CKE96" s="32"/>
      <c r="CKF96" s="32"/>
      <c r="CKG96" s="32"/>
      <c r="CKH96" s="32"/>
      <c r="CKI96" s="32"/>
      <c r="CKJ96" s="32"/>
      <c r="CKK96" s="32"/>
      <c r="CKL96" s="32"/>
      <c r="CKM96" s="32"/>
      <c r="CKN96" s="32"/>
      <c r="CKO96" s="32"/>
      <c r="CKP96" s="32"/>
      <c r="CKQ96" s="32"/>
      <c r="CKR96" s="32"/>
      <c r="CKS96" s="32"/>
      <c r="CKT96" s="32"/>
      <c r="CKU96" s="32"/>
      <c r="CKV96" s="32"/>
      <c r="CKW96" s="32"/>
      <c r="CKX96" s="32"/>
      <c r="CKY96" s="32"/>
      <c r="CKZ96" s="32"/>
      <c r="CLA96" s="32"/>
      <c r="CLB96" s="32"/>
      <c r="CLC96" s="32"/>
      <c r="CLD96" s="32"/>
      <c r="CLE96" s="32"/>
      <c r="CLF96" s="32"/>
      <c r="CLG96" s="32"/>
      <c r="CLH96" s="32"/>
      <c r="CLI96" s="32"/>
      <c r="CLJ96" s="32"/>
      <c r="CLK96" s="32"/>
      <c r="CLL96" s="32"/>
      <c r="CLM96" s="32"/>
      <c r="CLN96" s="32"/>
      <c r="CLO96" s="32"/>
      <c r="CLP96" s="32"/>
      <c r="CLQ96" s="32"/>
      <c r="CLR96" s="32"/>
      <c r="CLS96" s="32"/>
      <c r="CLT96" s="32"/>
      <c r="CLU96" s="32"/>
      <c r="CLV96" s="32"/>
      <c r="CLW96" s="32"/>
      <c r="CLX96" s="32"/>
      <c r="CLY96" s="32"/>
      <c r="CLZ96" s="32"/>
      <c r="CMA96" s="32"/>
      <c r="CMB96" s="32"/>
      <c r="CMC96" s="32"/>
      <c r="CMD96" s="32"/>
      <c r="CME96" s="32"/>
      <c r="CMF96" s="32"/>
      <c r="CMG96" s="32"/>
      <c r="CMH96" s="32"/>
      <c r="CMI96" s="32"/>
      <c r="CMJ96" s="32"/>
      <c r="CMK96" s="32"/>
      <c r="CML96" s="32"/>
      <c r="CMM96" s="32"/>
      <c r="CMN96" s="32"/>
      <c r="CMO96" s="32"/>
      <c r="CMP96" s="32"/>
      <c r="CMQ96" s="32"/>
      <c r="CMR96" s="32"/>
      <c r="CMS96" s="32"/>
      <c r="CMT96" s="32"/>
      <c r="CMU96" s="32"/>
      <c r="CMV96" s="32"/>
      <c r="CMW96" s="32"/>
      <c r="CMX96" s="32"/>
      <c r="CMY96" s="32"/>
      <c r="CMZ96" s="32"/>
      <c r="CNA96" s="32"/>
      <c r="CNB96" s="32"/>
      <c r="CNC96" s="32"/>
      <c r="CND96" s="32"/>
      <c r="CNE96" s="32"/>
      <c r="CNF96" s="32"/>
      <c r="CNG96" s="32"/>
      <c r="CNH96" s="32"/>
      <c r="CNI96" s="32"/>
      <c r="CNJ96" s="32"/>
      <c r="CNK96" s="32"/>
      <c r="CNL96" s="32"/>
      <c r="CNM96" s="32"/>
      <c r="CNN96" s="32"/>
      <c r="CNO96" s="32"/>
      <c r="CNP96" s="32"/>
      <c r="CNQ96" s="32"/>
      <c r="CNR96" s="32"/>
      <c r="CNS96" s="32"/>
      <c r="CNT96" s="32"/>
      <c r="CNU96" s="32"/>
      <c r="CNV96" s="32"/>
      <c r="CNW96" s="32"/>
      <c r="CNX96" s="32"/>
      <c r="CNY96" s="32"/>
      <c r="CNZ96" s="32"/>
      <c r="COA96" s="32"/>
      <c r="COB96" s="32"/>
      <c r="COC96" s="32"/>
      <c r="COD96" s="32"/>
      <c r="COE96" s="32"/>
      <c r="COF96" s="32"/>
      <c r="COG96" s="32"/>
      <c r="COH96" s="32"/>
      <c r="COI96" s="32"/>
      <c r="COJ96" s="32"/>
      <c r="COK96" s="32"/>
      <c r="COL96" s="32"/>
      <c r="COM96" s="32"/>
      <c r="CON96" s="32"/>
      <c r="COO96" s="32"/>
      <c r="COP96" s="32"/>
      <c r="COQ96" s="32"/>
      <c r="COR96" s="32"/>
      <c r="COS96" s="32"/>
      <c r="COT96" s="32"/>
      <c r="COU96" s="32"/>
      <c r="COV96" s="32"/>
      <c r="COW96" s="32"/>
      <c r="COX96" s="32"/>
      <c r="COY96" s="32"/>
      <c r="COZ96" s="32"/>
      <c r="CPA96" s="32"/>
      <c r="CPB96" s="32"/>
      <c r="CPC96" s="32"/>
      <c r="CPD96" s="32"/>
      <c r="CPE96" s="32"/>
      <c r="CPF96" s="32"/>
      <c r="CPG96" s="32"/>
      <c r="CPH96" s="32"/>
      <c r="CPI96" s="32"/>
      <c r="CPJ96" s="32"/>
      <c r="CPK96" s="32"/>
      <c r="CPL96" s="32"/>
      <c r="CPM96" s="32"/>
      <c r="CPN96" s="32"/>
      <c r="CPO96" s="32"/>
      <c r="CPP96" s="32"/>
      <c r="CPQ96" s="32"/>
      <c r="CPR96" s="32"/>
      <c r="CPS96" s="32"/>
      <c r="CPT96" s="32"/>
      <c r="CPU96" s="32"/>
      <c r="CPV96" s="32"/>
      <c r="CPW96" s="32"/>
      <c r="CPX96" s="32"/>
      <c r="CPY96" s="32"/>
      <c r="CPZ96" s="32"/>
      <c r="CQA96" s="32"/>
      <c r="CQB96" s="32"/>
      <c r="CQC96" s="32"/>
      <c r="CQD96" s="32"/>
      <c r="CQE96" s="32"/>
      <c r="CQF96" s="32"/>
      <c r="CQG96" s="32"/>
      <c r="CQH96" s="32"/>
      <c r="CQI96" s="32"/>
      <c r="CQJ96" s="32"/>
      <c r="CQK96" s="32"/>
      <c r="CQL96" s="32"/>
      <c r="CQM96" s="32"/>
      <c r="CQN96" s="32"/>
      <c r="CQO96" s="32"/>
      <c r="CQP96" s="32"/>
      <c r="CQQ96" s="32"/>
      <c r="CQR96" s="32"/>
      <c r="CQS96" s="32"/>
      <c r="CQT96" s="32"/>
      <c r="CQU96" s="32"/>
      <c r="CQV96" s="32"/>
      <c r="CQW96" s="32"/>
      <c r="CQX96" s="32"/>
      <c r="CQY96" s="32"/>
      <c r="CQZ96" s="32"/>
      <c r="CRA96" s="32"/>
      <c r="CRB96" s="32"/>
      <c r="CRC96" s="32"/>
      <c r="CRD96" s="32"/>
      <c r="CRE96" s="32"/>
      <c r="CRF96" s="32"/>
      <c r="CRG96" s="32"/>
      <c r="CRH96" s="32"/>
      <c r="CRI96" s="32"/>
      <c r="CRJ96" s="32"/>
      <c r="CRK96" s="32"/>
      <c r="CRL96" s="32"/>
      <c r="CRM96" s="32"/>
      <c r="CRN96" s="32"/>
      <c r="CRO96" s="32"/>
      <c r="CRP96" s="32"/>
      <c r="CRQ96" s="32"/>
      <c r="CRR96" s="32"/>
      <c r="CRS96" s="32"/>
      <c r="CRT96" s="32"/>
      <c r="CRU96" s="32"/>
      <c r="CRV96" s="32"/>
      <c r="CRW96" s="32"/>
      <c r="CRX96" s="32"/>
      <c r="CRY96" s="32"/>
      <c r="CRZ96" s="32"/>
      <c r="CSA96" s="32"/>
      <c r="CSB96" s="32"/>
      <c r="CSC96" s="32"/>
      <c r="CSD96" s="32"/>
      <c r="CSE96" s="32"/>
      <c r="CSF96" s="32"/>
      <c r="CSG96" s="32"/>
      <c r="CSH96" s="32"/>
      <c r="CSI96" s="32"/>
      <c r="CSJ96" s="32"/>
      <c r="CSK96" s="32"/>
      <c r="CSL96" s="32"/>
      <c r="CSM96" s="32"/>
      <c r="CSN96" s="32"/>
      <c r="CSO96" s="32"/>
      <c r="CSP96" s="32"/>
      <c r="CSQ96" s="32"/>
      <c r="CSR96" s="32"/>
      <c r="CSS96" s="32"/>
      <c r="CST96" s="32"/>
      <c r="CSU96" s="32"/>
      <c r="CSV96" s="32"/>
      <c r="CSW96" s="32"/>
      <c r="CSX96" s="32"/>
      <c r="CSY96" s="32"/>
      <c r="CSZ96" s="32"/>
      <c r="CTA96" s="32"/>
      <c r="CTB96" s="32"/>
      <c r="CTC96" s="32"/>
      <c r="CTD96" s="32"/>
      <c r="CTE96" s="32"/>
      <c r="CTF96" s="32"/>
      <c r="CTG96" s="32"/>
      <c r="CTH96" s="32"/>
      <c r="CTI96" s="32"/>
      <c r="CTJ96" s="32"/>
      <c r="CTK96" s="32"/>
      <c r="CTL96" s="32"/>
      <c r="CTM96" s="32"/>
      <c r="CTN96" s="32"/>
      <c r="CTO96" s="32"/>
      <c r="CTP96" s="32"/>
      <c r="CTQ96" s="32"/>
      <c r="CTR96" s="32"/>
      <c r="CTS96" s="32"/>
      <c r="CTT96" s="32"/>
      <c r="CTU96" s="32"/>
      <c r="CTV96" s="32"/>
      <c r="CTW96" s="32"/>
      <c r="CTX96" s="32"/>
      <c r="CTY96" s="32"/>
      <c r="CTZ96" s="32"/>
      <c r="CUA96" s="32"/>
      <c r="CUB96" s="32"/>
      <c r="CUC96" s="32"/>
      <c r="CUD96" s="32"/>
      <c r="CUE96" s="32"/>
      <c r="CUF96" s="32"/>
      <c r="CUG96" s="32"/>
      <c r="CUH96" s="32"/>
      <c r="CUI96" s="32"/>
      <c r="CUJ96" s="32"/>
      <c r="CUK96" s="32"/>
      <c r="CUL96" s="32"/>
      <c r="CUM96" s="32"/>
      <c r="CUN96" s="32"/>
      <c r="CUO96" s="32"/>
      <c r="CUP96" s="32"/>
      <c r="CUQ96" s="32"/>
      <c r="CUR96" s="32"/>
      <c r="CUS96" s="32"/>
      <c r="CUT96" s="32"/>
      <c r="CUU96" s="32"/>
      <c r="CUV96" s="32"/>
      <c r="CUW96" s="32"/>
      <c r="CUX96" s="32"/>
      <c r="CUY96" s="32"/>
      <c r="CUZ96" s="32"/>
      <c r="CVA96" s="32"/>
      <c r="CVB96" s="32"/>
      <c r="CVC96" s="32"/>
      <c r="CVD96" s="32"/>
      <c r="CVE96" s="32"/>
      <c r="CVF96" s="32"/>
      <c r="CVG96" s="32"/>
      <c r="CVH96" s="32"/>
      <c r="CVI96" s="32"/>
      <c r="CVJ96" s="32"/>
      <c r="CVK96" s="32"/>
      <c r="CVL96" s="32"/>
      <c r="CVM96" s="32"/>
      <c r="CVN96" s="32"/>
      <c r="CVO96" s="32"/>
      <c r="CVP96" s="32"/>
      <c r="CVQ96" s="32"/>
      <c r="CVR96" s="32"/>
      <c r="CVS96" s="32"/>
      <c r="CVT96" s="32"/>
      <c r="CVU96" s="32"/>
      <c r="CVV96" s="32"/>
      <c r="CVW96" s="32"/>
      <c r="CVX96" s="32"/>
      <c r="CVY96" s="32"/>
      <c r="CVZ96" s="32"/>
      <c r="CWA96" s="32"/>
      <c r="CWB96" s="32"/>
      <c r="CWC96" s="32"/>
      <c r="CWD96" s="32"/>
      <c r="CWE96" s="32"/>
      <c r="CWF96" s="32"/>
      <c r="CWG96" s="32"/>
      <c r="CWH96" s="32"/>
      <c r="CWI96" s="32"/>
      <c r="CWJ96" s="32"/>
      <c r="CWK96" s="32"/>
      <c r="CWL96" s="32"/>
      <c r="CWM96" s="32"/>
      <c r="CWN96" s="32"/>
      <c r="CWO96" s="32"/>
      <c r="CWP96" s="32"/>
      <c r="CWQ96" s="32"/>
      <c r="CWR96" s="32"/>
      <c r="CWS96" s="32"/>
      <c r="CWT96" s="32"/>
      <c r="CWU96" s="32"/>
      <c r="CWV96" s="32"/>
      <c r="CWW96" s="32"/>
      <c r="CWX96" s="32"/>
      <c r="CWY96" s="32"/>
      <c r="CWZ96" s="32"/>
      <c r="CXA96" s="32"/>
      <c r="CXB96" s="32"/>
      <c r="CXC96" s="32"/>
      <c r="CXD96" s="32"/>
      <c r="CXE96" s="32"/>
      <c r="CXF96" s="32"/>
      <c r="CXG96" s="32"/>
      <c r="CXH96" s="32"/>
      <c r="CXI96" s="32"/>
      <c r="CXJ96" s="32"/>
      <c r="CXK96" s="32"/>
      <c r="CXL96" s="32"/>
      <c r="CXM96" s="32"/>
      <c r="CXN96" s="32"/>
      <c r="CXO96" s="32"/>
      <c r="CXP96" s="32"/>
      <c r="CXQ96" s="32"/>
      <c r="CXR96" s="32"/>
      <c r="CXS96" s="32"/>
      <c r="CXT96" s="32"/>
      <c r="CXU96" s="32"/>
      <c r="CXV96" s="32"/>
      <c r="CXW96" s="32"/>
      <c r="CXX96" s="32"/>
      <c r="CXY96" s="32"/>
      <c r="CXZ96" s="32"/>
      <c r="CYA96" s="32"/>
      <c r="CYB96" s="32"/>
      <c r="CYC96" s="32"/>
      <c r="CYD96" s="32"/>
      <c r="CYE96" s="32"/>
      <c r="CYF96" s="32"/>
      <c r="CYG96" s="32"/>
      <c r="CYH96" s="32"/>
      <c r="CYI96" s="32"/>
      <c r="CYJ96" s="32"/>
      <c r="CYK96" s="32"/>
      <c r="CYL96" s="32"/>
      <c r="CYM96" s="32"/>
      <c r="CYN96" s="32"/>
      <c r="CYO96" s="32"/>
      <c r="CYP96" s="32"/>
      <c r="CYQ96" s="32"/>
      <c r="CYR96" s="32"/>
      <c r="CYS96" s="32"/>
      <c r="CYT96" s="32"/>
      <c r="CYU96" s="32"/>
      <c r="CYV96" s="32"/>
      <c r="CYW96" s="32"/>
      <c r="CYX96" s="32"/>
      <c r="CYY96" s="32"/>
      <c r="CYZ96" s="32"/>
      <c r="CZA96" s="32"/>
      <c r="CZB96" s="32"/>
      <c r="CZC96" s="32"/>
      <c r="CZD96" s="32"/>
      <c r="CZE96" s="32"/>
      <c r="CZF96" s="32"/>
      <c r="CZG96" s="32"/>
      <c r="CZH96" s="32"/>
      <c r="CZI96" s="32"/>
      <c r="CZJ96" s="32"/>
      <c r="CZK96" s="32"/>
      <c r="CZL96" s="32"/>
      <c r="CZM96" s="32"/>
      <c r="CZN96" s="32"/>
      <c r="CZO96" s="32"/>
      <c r="CZP96" s="32"/>
      <c r="CZQ96" s="32"/>
      <c r="CZR96" s="32"/>
      <c r="CZS96" s="32"/>
      <c r="CZT96" s="32"/>
      <c r="CZU96" s="32"/>
      <c r="CZV96" s="32"/>
      <c r="CZW96" s="32"/>
      <c r="CZX96" s="32"/>
      <c r="CZY96" s="32"/>
      <c r="CZZ96" s="32"/>
      <c r="DAA96" s="32"/>
      <c r="DAB96" s="32"/>
      <c r="DAC96" s="32"/>
      <c r="DAD96" s="32"/>
      <c r="DAE96" s="32"/>
      <c r="DAF96" s="32"/>
      <c r="DAG96" s="32"/>
      <c r="DAH96" s="32"/>
      <c r="DAI96" s="32"/>
      <c r="DAJ96" s="32"/>
      <c r="DAK96" s="32"/>
      <c r="DAL96" s="32"/>
      <c r="DAM96" s="32"/>
      <c r="DAN96" s="32"/>
      <c r="DAO96" s="32"/>
      <c r="DAP96" s="32"/>
      <c r="DAQ96" s="32"/>
      <c r="DAR96" s="32"/>
      <c r="DAS96" s="32"/>
      <c r="DAT96" s="32"/>
      <c r="DAU96" s="32"/>
      <c r="DAV96" s="32"/>
      <c r="DAW96" s="32"/>
      <c r="DAX96" s="32"/>
      <c r="DAY96" s="32"/>
      <c r="DAZ96" s="32"/>
      <c r="DBA96" s="32"/>
      <c r="DBB96" s="32"/>
      <c r="DBC96" s="32"/>
      <c r="DBD96" s="32"/>
      <c r="DBE96" s="32"/>
      <c r="DBF96" s="32"/>
      <c r="DBG96" s="32"/>
      <c r="DBH96" s="32"/>
      <c r="DBI96" s="32"/>
      <c r="DBJ96" s="32"/>
      <c r="DBK96" s="32"/>
      <c r="DBL96" s="32"/>
      <c r="DBM96" s="32"/>
      <c r="DBN96" s="32"/>
      <c r="DBO96" s="32"/>
      <c r="DBP96" s="32"/>
      <c r="DBQ96" s="32"/>
      <c r="DBR96" s="32"/>
      <c r="DBS96" s="32"/>
      <c r="DBT96" s="32"/>
      <c r="DBU96" s="32"/>
      <c r="DBV96" s="32"/>
      <c r="DBW96" s="32"/>
      <c r="DBX96" s="32"/>
      <c r="DBY96" s="32"/>
      <c r="DBZ96" s="32"/>
      <c r="DCA96" s="32"/>
      <c r="DCB96" s="32"/>
      <c r="DCC96" s="32"/>
      <c r="DCD96" s="32"/>
      <c r="DCE96" s="32"/>
      <c r="DCF96" s="32"/>
      <c r="DCG96" s="32"/>
      <c r="DCH96" s="32"/>
      <c r="DCI96" s="32"/>
      <c r="DCJ96" s="32"/>
      <c r="DCK96" s="32"/>
      <c r="DCL96" s="32"/>
      <c r="DCM96" s="32"/>
      <c r="DCN96" s="32"/>
      <c r="DCO96" s="32"/>
      <c r="DCP96" s="32"/>
      <c r="DCQ96" s="32"/>
      <c r="DCR96" s="32"/>
      <c r="DCS96" s="32"/>
      <c r="DCT96" s="32"/>
      <c r="DCU96" s="32"/>
      <c r="DCV96" s="32"/>
      <c r="DCW96" s="32"/>
      <c r="DCX96" s="32"/>
      <c r="DCY96" s="32"/>
      <c r="DCZ96" s="32"/>
      <c r="DDA96" s="32"/>
      <c r="DDB96" s="32"/>
      <c r="DDC96" s="32"/>
      <c r="DDD96" s="32"/>
      <c r="DDE96" s="32"/>
      <c r="DDF96" s="32"/>
      <c r="DDG96" s="32"/>
      <c r="DDH96" s="32"/>
      <c r="DDI96" s="32"/>
      <c r="DDJ96" s="32"/>
      <c r="DDK96" s="32"/>
      <c r="DDL96" s="32"/>
      <c r="DDM96" s="32"/>
      <c r="DDN96" s="32"/>
      <c r="DDO96" s="32"/>
      <c r="DDP96" s="32"/>
      <c r="DDQ96" s="32"/>
      <c r="DDR96" s="32"/>
      <c r="DDS96" s="32"/>
      <c r="DDT96" s="32"/>
      <c r="DDU96" s="32"/>
      <c r="DDV96" s="32"/>
      <c r="DDW96" s="32"/>
      <c r="DDX96" s="32"/>
      <c r="DDY96" s="32"/>
      <c r="DDZ96" s="32"/>
      <c r="DEA96" s="32"/>
      <c r="DEB96" s="32"/>
      <c r="DEC96" s="32"/>
      <c r="DED96" s="32"/>
      <c r="DEE96" s="32"/>
      <c r="DEF96" s="32"/>
      <c r="DEG96" s="32"/>
      <c r="DEH96" s="32"/>
      <c r="DEI96" s="32"/>
      <c r="DEJ96" s="32"/>
      <c r="DEK96" s="32"/>
      <c r="DEL96" s="32"/>
      <c r="DEM96" s="32"/>
      <c r="DEN96" s="32"/>
      <c r="DEO96" s="32"/>
      <c r="DEP96" s="32"/>
      <c r="DEQ96" s="32"/>
      <c r="DER96" s="32"/>
      <c r="DES96" s="32"/>
      <c r="DET96" s="32"/>
      <c r="DEU96" s="32"/>
      <c r="DEV96" s="32"/>
      <c r="DEW96" s="32"/>
      <c r="DEX96" s="32"/>
      <c r="DEY96" s="32"/>
      <c r="DEZ96" s="32"/>
      <c r="DFA96" s="32"/>
      <c r="DFB96" s="32"/>
      <c r="DFC96" s="32"/>
      <c r="DFD96" s="32"/>
      <c r="DFE96" s="32"/>
      <c r="DFF96" s="32"/>
      <c r="DFG96" s="32"/>
      <c r="DFH96" s="32"/>
      <c r="DFI96" s="32"/>
      <c r="DFJ96" s="32"/>
      <c r="DFK96" s="32"/>
      <c r="DFL96" s="32"/>
      <c r="DFM96" s="32"/>
      <c r="DFN96" s="32"/>
      <c r="DFO96" s="32"/>
      <c r="DFP96" s="32"/>
      <c r="DFQ96" s="32"/>
      <c r="DFR96" s="32"/>
      <c r="DFS96" s="32"/>
      <c r="DFT96" s="32"/>
      <c r="DFU96" s="32"/>
      <c r="DFV96" s="32"/>
      <c r="DFW96" s="32"/>
      <c r="DFX96" s="32"/>
      <c r="DFY96" s="32"/>
      <c r="DFZ96" s="32"/>
      <c r="DGA96" s="32"/>
      <c r="DGB96" s="32"/>
      <c r="DGC96" s="32"/>
      <c r="DGD96" s="32"/>
      <c r="DGE96" s="32"/>
      <c r="DGF96" s="32"/>
      <c r="DGG96" s="32"/>
      <c r="DGH96" s="32"/>
      <c r="DGI96" s="32"/>
      <c r="DGJ96" s="32"/>
      <c r="DGK96" s="32"/>
      <c r="DGL96" s="32"/>
      <c r="DGM96" s="32"/>
      <c r="DGN96" s="32"/>
      <c r="DGO96" s="32"/>
      <c r="DGP96" s="32"/>
      <c r="DGQ96" s="32"/>
      <c r="DGR96" s="32"/>
      <c r="DGS96" s="32"/>
      <c r="DGT96" s="32"/>
      <c r="DGU96" s="32"/>
      <c r="DGV96" s="32"/>
      <c r="DGW96" s="32"/>
      <c r="DGX96" s="32"/>
      <c r="DGY96" s="32"/>
      <c r="DGZ96" s="32"/>
      <c r="DHA96" s="32"/>
      <c r="DHB96" s="32"/>
      <c r="DHC96" s="32"/>
      <c r="DHD96" s="32"/>
      <c r="DHE96" s="32"/>
      <c r="DHF96" s="32"/>
      <c r="DHG96" s="32"/>
      <c r="DHH96" s="32"/>
      <c r="DHI96" s="32"/>
      <c r="DHJ96" s="32"/>
      <c r="DHK96" s="32"/>
      <c r="DHL96" s="32"/>
      <c r="DHM96" s="32"/>
      <c r="DHN96" s="32"/>
      <c r="DHO96" s="32"/>
      <c r="DHP96" s="32"/>
      <c r="DHQ96" s="32"/>
      <c r="DHR96" s="32"/>
      <c r="DHS96" s="32"/>
      <c r="DHT96" s="32"/>
      <c r="DHU96" s="32"/>
      <c r="DHV96" s="32"/>
      <c r="DHW96" s="32"/>
      <c r="DHX96" s="32"/>
      <c r="DHY96" s="32"/>
      <c r="DHZ96" s="32"/>
      <c r="DIA96" s="32"/>
      <c r="DIB96" s="32"/>
      <c r="DIC96" s="32"/>
      <c r="DID96" s="32"/>
      <c r="DIE96" s="32"/>
      <c r="DIF96" s="32"/>
      <c r="DIG96" s="32"/>
      <c r="DIH96" s="32"/>
      <c r="DII96" s="32"/>
      <c r="DIJ96" s="32"/>
      <c r="DIK96" s="32"/>
      <c r="DIL96" s="32"/>
      <c r="DIM96" s="32"/>
      <c r="DIN96" s="32"/>
      <c r="DIO96" s="32"/>
      <c r="DIP96" s="32"/>
      <c r="DIQ96" s="32"/>
      <c r="DIR96" s="32"/>
      <c r="DIS96" s="32"/>
      <c r="DIT96" s="32"/>
      <c r="DIU96" s="32"/>
      <c r="DIV96" s="32"/>
      <c r="DIW96" s="32"/>
      <c r="DIX96" s="32"/>
      <c r="DIY96" s="32"/>
      <c r="DIZ96" s="32"/>
      <c r="DJA96" s="32"/>
      <c r="DJB96" s="32"/>
      <c r="DJC96" s="32"/>
      <c r="DJD96" s="32"/>
      <c r="DJE96" s="32"/>
      <c r="DJF96" s="32"/>
      <c r="DJG96" s="32"/>
      <c r="DJH96" s="32"/>
      <c r="DJI96" s="32"/>
      <c r="DJJ96" s="32"/>
      <c r="DJK96" s="32"/>
      <c r="DJL96" s="32"/>
      <c r="DJM96" s="32"/>
      <c r="DJN96" s="32"/>
      <c r="DJO96" s="32"/>
      <c r="DJP96" s="32"/>
      <c r="DJQ96" s="32"/>
      <c r="DJR96" s="32"/>
      <c r="DJS96" s="32"/>
      <c r="DJT96" s="32"/>
      <c r="DJU96" s="32"/>
      <c r="DJV96" s="32"/>
      <c r="DJW96" s="32"/>
      <c r="DJX96" s="32"/>
      <c r="DJY96" s="32"/>
      <c r="DJZ96" s="32"/>
      <c r="DKA96" s="32"/>
      <c r="DKB96" s="32"/>
      <c r="DKC96" s="32"/>
      <c r="DKD96" s="32"/>
      <c r="DKE96" s="32"/>
      <c r="DKF96" s="32"/>
      <c r="DKG96" s="32"/>
      <c r="DKH96" s="32"/>
      <c r="DKI96" s="32"/>
      <c r="DKJ96" s="32"/>
      <c r="DKK96" s="32"/>
      <c r="DKL96" s="32"/>
      <c r="DKM96" s="32"/>
      <c r="DKN96" s="32"/>
      <c r="DKO96" s="32"/>
      <c r="DKP96" s="32"/>
      <c r="DKQ96" s="32"/>
      <c r="DKR96" s="32"/>
      <c r="DKS96" s="32"/>
      <c r="DKT96" s="32"/>
      <c r="DKU96" s="32"/>
      <c r="DKV96" s="32"/>
      <c r="DKW96" s="32"/>
      <c r="DKX96" s="32"/>
      <c r="DKY96" s="32"/>
      <c r="DKZ96" s="32"/>
      <c r="DLA96" s="32"/>
      <c r="DLB96" s="32"/>
      <c r="DLC96" s="32"/>
      <c r="DLD96" s="32"/>
      <c r="DLE96" s="32"/>
      <c r="DLF96" s="32"/>
      <c r="DLG96" s="32"/>
      <c r="DLH96" s="32"/>
      <c r="DLI96" s="32"/>
      <c r="DLJ96" s="32"/>
      <c r="DLK96" s="32"/>
      <c r="DLL96" s="32"/>
      <c r="DLM96" s="32"/>
      <c r="DLN96" s="32"/>
      <c r="DLO96" s="32"/>
      <c r="DLP96" s="32"/>
      <c r="DLQ96" s="32"/>
      <c r="DLR96" s="32"/>
      <c r="DLS96" s="32"/>
      <c r="DLT96" s="32"/>
      <c r="DLU96" s="32"/>
      <c r="DLV96" s="32"/>
      <c r="DLW96" s="32"/>
      <c r="DLX96" s="32"/>
      <c r="DLY96" s="32"/>
      <c r="DLZ96" s="32"/>
      <c r="DMA96" s="32"/>
      <c r="DMB96" s="32"/>
      <c r="DMC96" s="32"/>
      <c r="DMD96" s="32"/>
      <c r="DME96" s="32"/>
      <c r="DMF96" s="32"/>
      <c r="DMG96" s="32"/>
      <c r="DMH96" s="32"/>
      <c r="DMI96" s="32"/>
      <c r="DMJ96" s="32"/>
      <c r="DMK96" s="32"/>
      <c r="DML96" s="32"/>
      <c r="DMM96" s="32"/>
      <c r="DMN96" s="32"/>
      <c r="DMO96" s="32"/>
      <c r="DMP96" s="32"/>
      <c r="DMQ96" s="32"/>
      <c r="DMR96" s="32"/>
      <c r="DMS96" s="32"/>
      <c r="DMT96" s="32"/>
      <c r="DMU96" s="32"/>
      <c r="DMV96" s="32"/>
      <c r="DMW96" s="32"/>
      <c r="DMX96" s="32"/>
      <c r="DMY96" s="32"/>
      <c r="DMZ96" s="32"/>
      <c r="DNA96" s="32"/>
      <c r="DNB96" s="32"/>
      <c r="DNC96" s="32"/>
      <c r="DND96" s="32"/>
      <c r="DNE96" s="32"/>
      <c r="DNF96" s="32"/>
      <c r="DNG96" s="32"/>
      <c r="DNH96" s="32"/>
      <c r="DNI96" s="32"/>
      <c r="DNJ96" s="32"/>
      <c r="DNK96" s="32"/>
      <c r="DNL96" s="32"/>
      <c r="DNM96" s="32"/>
      <c r="DNN96" s="32"/>
      <c r="DNO96" s="32"/>
      <c r="DNP96" s="32"/>
      <c r="DNQ96" s="32"/>
      <c r="DNR96" s="32"/>
      <c r="DNS96" s="32"/>
      <c r="DNT96" s="32"/>
      <c r="DNU96" s="32"/>
      <c r="DNV96" s="32"/>
      <c r="DNW96" s="32"/>
      <c r="DNX96" s="32"/>
      <c r="DNY96" s="32"/>
      <c r="DNZ96" s="32"/>
      <c r="DOA96" s="32"/>
      <c r="DOB96" s="32"/>
      <c r="DOC96" s="32"/>
      <c r="DOD96" s="32"/>
      <c r="DOE96" s="32"/>
      <c r="DOF96" s="32"/>
      <c r="DOG96" s="32"/>
      <c r="DOH96" s="32"/>
      <c r="DOI96" s="32"/>
      <c r="DOJ96" s="32"/>
      <c r="DOK96" s="32"/>
      <c r="DOL96" s="32"/>
      <c r="DOM96" s="32"/>
      <c r="DON96" s="32"/>
      <c r="DOO96" s="32"/>
      <c r="DOP96" s="32"/>
      <c r="DOQ96" s="32"/>
      <c r="DOR96" s="32"/>
      <c r="DOS96" s="32"/>
      <c r="DOT96" s="32"/>
      <c r="DOU96" s="32"/>
      <c r="DOV96" s="32"/>
      <c r="DOW96" s="32"/>
      <c r="DOX96" s="32"/>
      <c r="DOY96" s="32"/>
      <c r="DOZ96" s="32"/>
      <c r="DPA96" s="32"/>
      <c r="DPB96" s="32"/>
      <c r="DPC96" s="32"/>
      <c r="DPD96" s="32"/>
      <c r="DPE96" s="32"/>
      <c r="DPF96" s="32"/>
      <c r="DPG96" s="32"/>
      <c r="DPH96" s="32"/>
      <c r="DPI96" s="32"/>
      <c r="DPJ96" s="32"/>
      <c r="DPK96" s="32"/>
      <c r="DPL96" s="32"/>
      <c r="DPM96" s="32"/>
      <c r="DPN96" s="32"/>
      <c r="DPO96" s="32"/>
      <c r="DPP96" s="32"/>
      <c r="DPQ96" s="32"/>
      <c r="DPR96" s="32"/>
      <c r="DPS96" s="32"/>
      <c r="DPT96" s="32"/>
      <c r="DPU96" s="32"/>
      <c r="DPV96" s="32"/>
      <c r="DPW96" s="32"/>
      <c r="DPX96" s="32"/>
      <c r="DPY96" s="32"/>
      <c r="DPZ96" s="32"/>
      <c r="DQA96" s="32"/>
      <c r="DQB96" s="32"/>
      <c r="DQC96" s="32"/>
      <c r="DQD96" s="32"/>
      <c r="DQE96" s="32"/>
      <c r="DQF96" s="32"/>
      <c r="DQG96" s="32"/>
      <c r="DQH96" s="32"/>
      <c r="DQI96" s="32"/>
      <c r="DQJ96" s="32"/>
      <c r="DQK96" s="32"/>
      <c r="DQL96" s="32"/>
      <c r="DQM96" s="32"/>
      <c r="DQN96" s="32"/>
      <c r="DQO96" s="32"/>
      <c r="DQP96" s="32"/>
      <c r="DQQ96" s="32"/>
      <c r="DQR96" s="32"/>
      <c r="DQS96" s="32"/>
      <c r="DQT96" s="32"/>
      <c r="DQU96" s="32"/>
      <c r="DQV96" s="32"/>
      <c r="DQW96" s="32"/>
      <c r="DQX96" s="32"/>
      <c r="DQY96" s="32"/>
      <c r="DQZ96" s="32"/>
      <c r="DRA96" s="32"/>
      <c r="DRB96" s="32"/>
      <c r="DRC96" s="32"/>
      <c r="DRD96" s="32"/>
      <c r="DRE96" s="32"/>
      <c r="DRF96" s="32"/>
      <c r="DRG96" s="32"/>
      <c r="DRH96" s="32"/>
      <c r="DRI96" s="32"/>
      <c r="DRJ96" s="32"/>
      <c r="DRK96" s="32"/>
      <c r="DRL96" s="32"/>
      <c r="DRM96" s="32"/>
      <c r="DRN96" s="32"/>
      <c r="DRO96" s="32"/>
      <c r="DRP96" s="32"/>
      <c r="DRQ96" s="32"/>
      <c r="DRR96" s="32"/>
      <c r="DRS96" s="32"/>
      <c r="DRT96" s="32"/>
      <c r="DRU96" s="32"/>
      <c r="DRV96" s="32"/>
      <c r="DRW96" s="32"/>
      <c r="DRX96" s="32"/>
      <c r="DRY96" s="32"/>
      <c r="DRZ96" s="32"/>
      <c r="DSA96" s="32"/>
      <c r="DSB96" s="32"/>
      <c r="DSC96" s="32"/>
      <c r="DSD96" s="32"/>
      <c r="DSE96" s="32"/>
      <c r="DSF96" s="32"/>
      <c r="DSG96" s="32"/>
      <c r="DSH96" s="32"/>
      <c r="DSI96" s="32"/>
      <c r="DSJ96" s="32"/>
      <c r="DSK96" s="32"/>
      <c r="DSL96" s="32"/>
      <c r="DSM96" s="32"/>
      <c r="DSN96" s="32"/>
      <c r="DSO96" s="32"/>
      <c r="DSP96" s="32"/>
      <c r="DSQ96" s="32"/>
      <c r="DSR96" s="32"/>
      <c r="DSS96" s="32"/>
      <c r="DST96" s="32"/>
      <c r="DSU96" s="32"/>
      <c r="DSV96" s="32"/>
      <c r="DSW96" s="32"/>
      <c r="DSX96" s="32"/>
      <c r="DSY96" s="32"/>
      <c r="DSZ96" s="32"/>
      <c r="DTA96" s="32"/>
      <c r="DTB96" s="32"/>
      <c r="DTC96" s="32"/>
      <c r="DTD96" s="32"/>
      <c r="DTE96" s="32"/>
      <c r="DTF96" s="32"/>
      <c r="DTG96" s="32"/>
      <c r="DTH96" s="32"/>
      <c r="DTI96" s="32"/>
      <c r="DTJ96" s="32"/>
      <c r="DTK96" s="32"/>
      <c r="DTL96" s="32"/>
      <c r="DTM96" s="32"/>
      <c r="DTN96" s="32"/>
      <c r="DTO96" s="32"/>
      <c r="DTP96" s="32"/>
      <c r="DTQ96" s="32"/>
      <c r="DTR96" s="32"/>
      <c r="DTS96" s="32"/>
      <c r="DTT96" s="32"/>
      <c r="DTU96" s="32"/>
      <c r="DTV96" s="32"/>
      <c r="DTW96" s="32"/>
      <c r="DTX96" s="32"/>
      <c r="DTY96" s="32"/>
      <c r="DTZ96" s="32"/>
      <c r="DUA96" s="32"/>
      <c r="DUB96" s="32"/>
      <c r="DUC96" s="32"/>
      <c r="DUD96" s="32"/>
      <c r="DUE96" s="32"/>
      <c r="DUF96" s="32"/>
      <c r="DUG96" s="32"/>
      <c r="DUH96" s="32"/>
      <c r="DUI96" s="32"/>
      <c r="DUJ96" s="32"/>
      <c r="DUK96" s="32"/>
      <c r="DUL96" s="32"/>
      <c r="DUM96" s="32"/>
      <c r="DUN96" s="32"/>
      <c r="DUO96" s="32"/>
      <c r="DUP96" s="32"/>
      <c r="DUQ96" s="32"/>
      <c r="DUR96" s="32"/>
      <c r="DUS96" s="32"/>
      <c r="DUT96" s="32"/>
      <c r="DUU96" s="32"/>
      <c r="DUV96" s="32"/>
      <c r="DUW96" s="32"/>
      <c r="DUX96" s="32"/>
      <c r="DUY96" s="32"/>
      <c r="DUZ96" s="32"/>
      <c r="DVA96" s="32"/>
      <c r="DVB96" s="32"/>
      <c r="DVC96" s="32"/>
      <c r="DVD96" s="32"/>
      <c r="DVE96" s="32"/>
      <c r="DVF96" s="32"/>
      <c r="DVG96" s="32"/>
      <c r="DVH96" s="32"/>
      <c r="DVI96" s="32"/>
      <c r="DVJ96" s="32"/>
      <c r="DVK96" s="32"/>
      <c r="DVL96" s="32"/>
      <c r="DVM96" s="32"/>
      <c r="DVN96" s="32"/>
      <c r="DVO96" s="32"/>
      <c r="DVP96" s="32"/>
      <c r="DVQ96" s="32"/>
      <c r="DVR96" s="32"/>
      <c r="DVS96" s="32"/>
      <c r="DVT96" s="32"/>
      <c r="DVU96" s="32"/>
      <c r="DVV96" s="32"/>
      <c r="DVW96" s="32"/>
      <c r="DVX96" s="32"/>
      <c r="DVY96" s="32"/>
      <c r="DVZ96" s="32"/>
      <c r="DWA96" s="32"/>
      <c r="DWB96" s="32"/>
      <c r="DWC96" s="32"/>
      <c r="DWD96" s="32"/>
      <c r="DWE96" s="32"/>
      <c r="DWF96" s="32"/>
      <c r="DWG96" s="32"/>
      <c r="DWH96" s="32"/>
      <c r="DWI96" s="32"/>
      <c r="DWJ96" s="32"/>
      <c r="DWK96" s="32"/>
      <c r="DWL96" s="32"/>
      <c r="DWM96" s="32"/>
      <c r="DWN96" s="32"/>
      <c r="DWO96" s="32"/>
      <c r="DWP96" s="32"/>
      <c r="DWQ96" s="32"/>
      <c r="DWR96" s="32"/>
      <c r="DWS96" s="32"/>
      <c r="DWT96" s="32"/>
      <c r="DWU96" s="32"/>
      <c r="DWV96" s="32"/>
      <c r="DWW96" s="32"/>
      <c r="DWX96" s="32"/>
      <c r="DWY96" s="32"/>
      <c r="DWZ96" s="32"/>
      <c r="DXA96" s="32"/>
      <c r="DXB96" s="32"/>
      <c r="DXC96" s="32"/>
      <c r="DXD96" s="32"/>
      <c r="DXE96" s="32"/>
      <c r="DXF96" s="32"/>
      <c r="DXG96" s="32"/>
      <c r="DXH96" s="32"/>
      <c r="DXI96" s="32"/>
      <c r="DXJ96" s="32"/>
      <c r="DXK96" s="32"/>
      <c r="DXL96" s="32"/>
      <c r="DXM96" s="32"/>
      <c r="DXN96" s="32"/>
      <c r="DXO96" s="32"/>
      <c r="DXP96" s="32"/>
      <c r="DXQ96" s="32"/>
      <c r="DXR96" s="32"/>
      <c r="DXS96" s="32"/>
      <c r="DXT96" s="32"/>
      <c r="DXU96" s="32"/>
      <c r="DXV96" s="32"/>
      <c r="DXW96" s="32"/>
      <c r="DXX96" s="32"/>
      <c r="DXY96" s="32"/>
      <c r="DXZ96" s="32"/>
      <c r="DYA96" s="32"/>
      <c r="DYB96" s="32"/>
      <c r="DYC96" s="32"/>
      <c r="DYD96" s="32"/>
      <c r="DYE96" s="32"/>
      <c r="DYF96" s="32"/>
      <c r="DYG96" s="32"/>
      <c r="DYH96" s="32"/>
      <c r="DYI96" s="32"/>
      <c r="DYJ96" s="32"/>
      <c r="DYK96" s="32"/>
      <c r="DYL96" s="32"/>
      <c r="DYM96" s="32"/>
      <c r="DYN96" s="32"/>
      <c r="DYO96" s="32"/>
      <c r="DYP96" s="32"/>
      <c r="DYQ96" s="32"/>
      <c r="DYR96" s="32"/>
      <c r="DYS96" s="32"/>
      <c r="DYT96" s="32"/>
      <c r="DYU96" s="32"/>
      <c r="DYV96" s="32"/>
      <c r="DYW96" s="32"/>
      <c r="DYX96" s="32"/>
      <c r="DYY96" s="32"/>
      <c r="DYZ96" s="32"/>
      <c r="DZA96" s="32"/>
      <c r="DZB96" s="32"/>
      <c r="DZC96" s="32"/>
      <c r="DZD96" s="32"/>
      <c r="DZE96" s="32"/>
      <c r="DZF96" s="32"/>
      <c r="DZG96" s="32"/>
      <c r="DZH96" s="32"/>
      <c r="DZI96" s="32"/>
      <c r="DZJ96" s="32"/>
      <c r="DZK96" s="32"/>
      <c r="DZL96" s="32"/>
      <c r="DZM96" s="32"/>
      <c r="DZN96" s="32"/>
      <c r="DZO96" s="32"/>
      <c r="DZP96" s="32"/>
      <c r="DZQ96" s="32"/>
      <c r="DZR96" s="32"/>
      <c r="DZS96" s="32"/>
      <c r="DZT96" s="32"/>
      <c r="DZU96" s="32"/>
      <c r="DZV96" s="32"/>
      <c r="DZW96" s="32"/>
      <c r="DZX96" s="32"/>
      <c r="DZY96" s="32"/>
      <c r="DZZ96" s="32"/>
      <c r="EAA96" s="32"/>
      <c r="EAB96" s="32"/>
      <c r="EAC96" s="32"/>
      <c r="EAD96" s="32"/>
      <c r="EAE96" s="32"/>
      <c r="EAF96" s="32"/>
      <c r="EAG96" s="32"/>
      <c r="EAH96" s="32"/>
      <c r="EAI96" s="32"/>
      <c r="EAJ96" s="32"/>
      <c r="EAK96" s="32"/>
      <c r="EAL96" s="32"/>
      <c r="EAM96" s="32"/>
      <c r="EAN96" s="32"/>
      <c r="EAO96" s="32"/>
      <c r="EAP96" s="32"/>
      <c r="EAQ96" s="32"/>
      <c r="EAR96" s="32"/>
      <c r="EAS96" s="32"/>
      <c r="EAT96" s="32"/>
      <c r="EAU96" s="32"/>
      <c r="EAV96" s="32"/>
      <c r="EAW96" s="32"/>
      <c r="EAX96" s="32"/>
      <c r="EAY96" s="32"/>
      <c r="EAZ96" s="32"/>
      <c r="EBA96" s="32"/>
      <c r="EBB96" s="32"/>
      <c r="EBC96" s="32"/>
      <c r="EBD96" s="32"/>
      <c r="EBE96" s="32"/>
      <c r="EBF96" s="32"/>
      <c r="EBG96" s="32"/>
      <c r="EBH96" s="32"/>
      <c r="EBI96" s="32"/>
      <c r="EBJ96" s="32"/>
      <c r="EBK96" s="32"/>
      <c r="EBL96" s="32"/>
      <c r="EBM96" s="32"/>
      <c r="EBN96" s="32"/>
      <c r="EBO96" s="32"/>
      <c r="EBP96" s="32"/>
      <c r="EBQ96" s="32"/>
      <c r="EBR96" s="32"/>
      <c r="EBS96" s="32"/>
      <c r="EBT96" s="32"/>
      <c r="EBU96" s="32"/>
      <c r="EBV96" s="32"/>
      <c r="EBW96" s="32"/>
      <c r="EBX96" s="32"/>
      <c r="EBY96" s="32"/>
      <c r="EBZ96" s="32"/>
      <c r="ECA96" s="32"/>
      <c r="ECB96" s="32"/>
      <c r="ECC96" s="32"/>
      <c r="ECD96" s="32"/>
      <c r="ECE96" s="32"/>
      <c r="ECF96" s="32"/>
      <c r="ECG96" s="32"/>
      <c r="ECH96" s="32"/>
      <c r="ECI96" s="32"/>
      <c r="ECJ96" s="32"/>
      <c r="ECK96" s="32"/>
      <c r="ECL96" s="32"/>
      <c r="ECM96" s="32"/>
      <c r="ECN96" s="32"/>
      <c r="ECO96" s="32"/>
      <c r="ECP96" s="32"/>
      <c r="ECQ96" s="32"/>
      <c r="ECR96" s="32"/>
      <c r="ECS96" s="32"/>
      <c r="ECT96" s="32"/>
      <c r="ECU96" s="32"/>
      <c r="ECV96" s="32"/>
      <c r="ECW96" s="32"/>
      <c r="ECX96" s="32"/>
      <c r="ECY96" s="32"/>
      <c r="ECZ96" s="32"/>
      <c r="EDA96" s="32"/>
      <c r="EDB96" s="32"/>
      <c r="EDC96" s="32"/>
      <c r="EDD96" s="32"/>
      <c r="EDE96" s="32"/>
      <c r="EDF96" s="32"/>
      <c r="EDG96" s="32"/>
      <c r="EDH96" s="32"/>
      <c r="EDI96" s="32"/>
      <c r="EDJ96" s="32"/>
      <c r="EDK96" s="32"/>
      <c r="EDL96" s="32"/>
      <c r="EDM96" s="32"/>
      <c r="EDN96" s="32"/>
      <c r="EDO96" s="32"/>
      <c r="EDP96" s="32"/>
      <c r="EDQ96" s="32"/>
      <c r="EDR96" s="32"/>
      <c r="EDS96" s="32"/>
      <c r="EDT96" s="32"/>
      <c r="EDU96" s="32"/>
      <c r="EDV96" s="32"/>
      <c r="EDW96" s="32"/>
      <c r="EDX96" s="32"/>
      <c r="EDY96" s="32"/>
      <c r="EDZ96" s="32"/>
      <c r="EEA96" s="32"/>
      <c r="EEB96" s="32"/>
      <c r="EEC96" s="32"/>
      <c r="EED96" s="32"/>
      <c r="EEE96" s="32"/>
      <c r="EEF96" s="32"/>
      <c r="EEG96" s="32"/>
      <c r="EEH96" s="32"/>
      <c r="EEI96" s="32"/>
      <c r="EEJ96" s="32"/>
      <c r="EEK96" s="32"/>
      <c r="EEL96" s="32"/>
      <c r="EEM96" s="32"/>
      <c r="EEN96" s="32"/>
      <c r="EEO96" s="32"/>
      <c r="EEP96" s="32"/>
      <c r="EEQ96" s="32"/>
      <c r="EER96" s="32"/>
      <c r="EES96" s="32"/>
      <c r="EET96" s="32"/>
      <c r="EEU96" s="32"/>
      <c r="EEV96" s="32"/>
      <c r="EEW96" s="32"/>
      <c r="EEX96" s="32"/>
      <c r="EEY96" s="32"/>
      <c r="EEZ96" s="32"/>
      <c r="EFA96" s="32"/>
      <c r="EFB96" s="32"/>
      <c r="EFC96" s="32"/>
      <c r="EFD96" s="32"/>
      <c r="EFE96" s="32"/>
      <c r="EFF96" s="32"/>
      <c r="EFG96" s="32"/>
      <c r="EFH96" s="32"/>
      <c r="EFI96" s="32"/>
      <c r="EFJ96" s="32"/>
      <c r="EFK96" s="32"/>
      <c r="EFL96" s="32"/>
      <c r="EFM96" s="32"/>
      <c r="EFN96" s="32"/>
      <c r="EFO96" s="32"/>
      <c r="EFP96" s="32"/>
      <c r="EFQ96" s="32"/>
      <c r="EFR96" s="32"/>
      <c r="EFS96" s="32"/>
      <c r="EFT96" s="32"/>
      <c r="EFU96" s="32"/>
      <c r="EFV96" s="32"/>
      <c r="EFW96" s="32"/>
      <c r="EFX96" s="32"/>
      <c r="EFY96" s="32"/>
      <c r="EFZ96" s="32"/>
      <c r="EGA96" s="32"/>
      <c r="EGB96" s="32"/>
      <c r="EGC96" s="32"/>
      <c r="EGD96" s="32"/>
      <c r="EGE96" s="32"/>
      <c r="EGF96" s="32"/>
      <c r="EGG96" s="32"/>
      <c r="EGH96" s="32"/>
      <c r="EGI96" s="32"/>
      <c r="EGJ96" s="32"/>
      <c r="EGK96" s="32"/>
      <c r="EGL96" s="32"/>
      <c r="EGM96" s="32"/>
      <c r="EGN96" s="32"/>
      <c r="EGO96" s="32"/>
      <c r="EGP96" s="32"/>
      <c r="EGQ96" s="32"/>
      <c r="EGR96" s="32"/>
      <c r="EGS96" s="32"/>
      <c r="EGT96" s="32"/>
      <c r="EGU96" s="32"/>
      <c r="EGV96" s="32"/>
      <c r="EGW96" s="32"/>
      <c r="EGX96" s="32"/>
      <c r="EGY96" s="32"/>
      <c r="EGZ96" s="32"/>
      <c r="EHA96" s="32"/>
      <c r="EHB96" s="32"/>
      <c r="EHC96" s="32"/>
      <c r="EHD96" s="32"/>
      <c r="EHE96" s="32"/>
      <c r="EHF96" s="32"/>
      <c r="EHG96" s="32"/>
      <c r="EHH96" s="32"/>
      <c r="EHI96" s="32"/>
      <c r="EHJ96" s="32"/>
      <c r="EHK96" s="32"/>
      <c r="EHL96" s="32"/>
      <c r="EHM96" s="32"/>
      <c r="EHN96" s="32"/>
      <c r="EHO96" s="32"/>
      <c r="EHP96" s="32"/>
      <c r="EHQ96" s="32"/>
      <c r="EHR96" s="32"/>
      <c r="EHS96" s="32"/>
      <c r="EHT96" s="32"/>
      <c r="EHU96" s="32"/>
      <c r="EHV96" s="32"/>
      <c r="EHW96" s="32"/>
      <c r="EHX96" s="32"/>
      <c r="EHY96" s="32"/>
      <c r="EHZ96" s="32"/>
      <c r="EIA96" s="32"/>
      <c r="EIB96" s="32"/>
      <c r="EIC96" s="32"/>
      <c r="EID96" s="32"/>
      <c r="EIE96" s="32"/>
      <c r="EIF96" s="32"/>
      <c r="EIG96" s="32"/>
      <c r="EIH96" s="32"/>
      <c r="EII96" s="32"/>
      <c r="EIJ96" s="32"/>
      <c r="EIK96" s="32"/>
      <c r="EIL96" s="32"/>
      <c r="EIM96" s="32"/>
      <c r="EIN96" s="32"/>
      <c r="EIO96" s="32"/>
      <c r="EIP96" s="32"/>
      <c r="EIQ96" s="32"/>
      <c r="EIR96" s="32"/>
      <c r="EIS96" s="32"/>
      <c r="EIT96" s="32"/>
      <c r="EIU96" s="32"/>
      <c r="EIV96" s="32"/>
      <c r="EIW96" s="32"/>
      <c r="EIX96" s="32"/>
      <c r="EIY96" s="32"/>
      <c r="EIZ96" s="32"/>
      <c r="EJA96" s="32"/>
      <c r="EJB96" s="32"/>
      <c r="EJC96" s="32"/>
      <c r="EJD96" s="32"/>
      <c r="EJE96" s="32"/>
      <c r="EJF96" s="32"/>
      <c r="EJG96" s="32"/>
      <c r="EJH96" s="32"/>
      <c r="EJI96" s="32"/>
      <c r="EJJ96" s="32"/>
      <c r="EJK96" s="32"/>
      <c r="EJL96" s="32"/>
      <c r="EJM96" s="32"/>
      <c r="EJN96" s="32"/>
      <c r="EJO96" s="32"/>
      <c r="EJP96" s="32"/>
      <c r="EJQ96" s="32"/>
      <c r="EJR96" s="32"/>
      <c r="EJS96" s="32"/>
      <c r="EJT96" s="32"/>
      <c r="EJU96" s="32"/>
      <c r="EJV96" s="32"/>
      <c r="EJW96" s="32"/>
      <c r="EJX96" s="32"/>
      <c r="EJY96" s="32"/>
      <c r="EJZ96" s="32"/>
      <c r="EKA96" s="32"/>
      <c r="EKB96" s="32"/>
      <c r="EKC96" s="32"/>
      <c r="EKD96" s="32"/>
      <c r="EKE96" s="32"/>
      <c r="EKF96" s="32"/>
      <c r="EKG96" s="32"/>
      <c r="EKH96" s="32"/>
      <c r="EKI96" s="32"/>
      <c r="EKJ96" s="32"/>
      <c r="EKK96" s="32"/>
      <c r="EKL96" s="32"/>
      <c r="EKM96" s="32"/>
      <c r="EKN96" s="32"/>
      <c r="EKO96" s="32"/>
      <c r="EKP96" s="32"/>
      <c r="EKQ96" s="32"/>
      <c r="EKR96" s="32"/>
      <c r="EKS96" s="32"/>
      <c r="EKT96" s="32"/>
      <c r="EKU96" s="32"/>
      <c r="EKV96" s="32"/>
      <c r="EKW96" s="32"/>
      <c r="EKX96" s="32"/>
      <c r="EKY96" s="32"/>
      <c r="EKZ96" s="32"/>
      <c r="ELA96" s="32"/>
      <c r="ELB96" s="32"/>
      <c r="ELC96" s="32"/>
      <c r="ELD96" s="32"/>
      <c r="ELE96" s="32"/>
      <c r="ELF96" s="32"/>
      <c r="ELG96" s="32"/>
      <c r="ELH96" s="32"/>
      <c r="ELI96" s="32"/>
      <c r="ELJ96" s="32"/>
      <c r="ELK96" s="32"/>
      <c r="ELL96" s="32"/>
      <c r="ELM96" s="32"/>
      <c r="ELN96" s="32"/>
      <c r="ELO96" s="32"/>
      <c r="ELP96" s="32"/>
      <c r="ELQ96" s="32"/>
      <c r="ELR96" s="32"/>
      <c r="ELS96" s="32"/>
      <c r="ELT96" s="32"/>
      <c r="ELU96" s="32"/>
      <c r="ELV96" s="32"/>
      <c r="ELW96" s="32"/>
      <c r="ELX96" s="32"/>
      <c r="ELY96" s="32"/>
      <c r="ELZ96" s="32"/>
      <c r="EMA96" s="32"/>
      <c r="EMB96" s="32"/>
      <c r="EMC96" s="32"/>
      <c r="EMD96" s="32"/>
      <c r="EME96" s="32"/>
      <c r="EMF96" s="32"/>
      <c r="EMG96" s="32"/>
      <c r="EMH96" s="32"/>
      <c r="EMI96" s="32"/>
      <c r="EMJ96" s="32"/>
      <c r="EMK96" s="32"/>
      <c r="EML96" s="32"/>
      <c r="EMM96" s="32"/>
      <c r="EMN96" s="32"/>
      <c r="EMO96" s="32"/>
      <c r="EMP96" s="32"/>
      <c r="EMQ96" s="32"/>
      <c r="EMR96" s="32"/>
      <c r="EMS96" s="32"/>
      <c r="EMT96" s="32"/>
      <c r="EMU96" s="32"/>
      <c r="EMV96" s="32"/>
      <c r="EMW96" s="32"/>
      <c r="EMX96" s="32"/>
      <c r="EMY96" s="32"/>
      <c r="EMZ96" s="32"/>
      <c r="ENA96" s="32"/>
      <c r="ENB96" s="32"/>
      <c r="ENC96" s="32"/>
      <c r="END96" s="32"/>
      <c r="ENE96" s="32"/>
      <c r="ENF96" s="32"/>
      <c r="ENG96" s="32"/>
      <c r="ENH96" s="32"/>
      <c r="ENI96" s="32"/>
      <c r="ENJ96" s="32"/>
      <c r="ENK96" s="32"/>
      <c r="ENL96" s="32"/>
      <c r="ENM96" s="32"/>
      <c r="ENN96" s="32"/>
      <c r="ENO96" s="32"/>
      <c r="ENP96" s="32"/>
      <c r="ENQ96" s="32"/>
      <c r="ENR96" s="32"/>
      <c r="ENS96" s="32"/>
      <c r="ENT96" s="32"/>
      <c r="ENU96" s="32"/>
      <c r="ENV96" s="32"/>
      <c r="ENW96" s="32"/>
      <c r="ENX96" s="32"/>
      <c r="ENY96" s="32"/>
      <c r="ENZ96" s="32"/>
      <c r="EOA96" s="32"/>
      <c r="EOB96" s="32"/>
      <c r="EOC96" s="32"/>
      <c r="EOD96" s="32"/>
      <c r="EOE96" s="32"/>
      <c r="EOF96" s="32"/>
      <c r="EOG96" s="32"/>
      <c r="EOH96" s="32"/>
      <c r="EOI96" s="32"/>
      <c r="EOJ96" s="32"/>
      <c r="EOK96" s="32"/>
      <c r="EOL96" s="32"/>
      <c r="EOM96" s="32"/>
      <c r="EON96" s="32"/>
      <c r="EOO96" s="32"/>
      <c r="EOP96" s="32"/>
      <c r="EOQ96" s="32"/>
      <c r="EOR96" s="32"/>
      <c r="EOS96" s="32"/>
      <c r="EOT96" s="32"/>
      <c r="EOU96" s="32"/>
      <c r="EOV96" s="32"/>
      <c r="EOW96" s="32"/>
      <c r="EOX96" s="32"/>
      <c r="EOY96" s="32"/>
      <c r="EOZ96" s="32"/>
      <c r="EPA96" s="32"/>
      <c r="EPB96" s="32"/>
      <c r="EPC96" s="32"/>
      <c r="EPD96" s="32"/>
      <c r="EPE96" s="32"/>
      <c r="EPF96" s="32"/>
      <c r="EPG96" s="32"/>
      <c r="EPH96" s="32"/>
      <c r="EPI96" s="32"/>
      <c r="EPJ96" s="32"/>
      <c r="EPK96" s="32"/>
      <c r="EPL96" s="32"/>
      <c r="EPM96" s="32"/>
      <c r="EPN96" s="32"/>
      <c r="EPO96" s="32"/>
      <c r="EPP96" s="32"/>
      <c r="EPQ96" s="32"/>
      <c r="EPR96" s="32"/>
      <c r="EPS96" s="32"/>
      <c r="EPT96" s="32"/>
      <c r="EPU96" s="32"/>
      <c r="EPV96" s="32"/>
      <c r="EPW96" s="32"/>
      <c r="EPX96" s="32"/>
      <c r="EPY96" s="32"/>
      <c r="EPZ96" s="32"/>
      <c r="EQA96" s="32"/>
      <c r="EQB96" s="32"/>
      <c r="EQC96" s="32"/>
      <c r="EQD96" s="32"/>
      <c r="EQE96" s="32"/>
      <c r="EQF96" s="32"/>
      <c r="EQG96" s="32"/>
      <c r="EQH96" s="32"/>
      <c r="EQI96" s="32"/>
      <c r="EQJ96" s="32"/>
      <c r="EQK96" s="32"/>
      <c r="EQL96" s="32"/>
      <c r="EQM96" s="32"/>
      <c r="EQN96" s="32"/>
      <c r="EQO96" s="32"/>
      <c r="EQP96" s="32"/>
      <c r="EQQ96" s="32"/>
      <c r="EQR96" s="32"/>
      <c r="EQS96" s="32"/>
      <c r="EQT96" s="32"/>
      <c r="EQU96" s="32"/>
      <c r="EQV96" s="32"/>
      <c r="EQW96" s="32"/>
      <c r="EQX96" s="32"/>
      <c r="EQY96" s="32"/>
      <c r="EQZ96" s="32"/>
      <c r="ERA96" s="32"/>
      <c r="ERB96" s="32"/>
      <c r="ERC96" s="32"/>
      <c r="ERD96" s="32"/>
      <c r="ERE96" s="32"/>
      <c r="ERF96" s="32"/>
      <c r="ERG96" s="32"/>
      <c r="ERH96" s="32"/>
      <c r="ERI96" s="32"/>
      <c r="ERJ96" s="32"/>
      <c r="ERK96" s="32"/>
      <c r="ERL96" s="32"/>
      <c r="ERM96" s="32"/>
      <c r="ERN96" s="32"/>
      <c r="ERO96" s="32"/>
      <c r="ERP96" s="32"/>
      <c r="ERQ96" s="32"/>
      <c r="ERR96" s="32"/>
      <c r="ERS96" s="32"/>
      <c r="ERT96" s="32"/>
      <c r="ERU96" s="32"/>
      <c r="ERV96" s="32"/>
      <c r="ERW96" s="32"/>
      <c r="ERX96" s="32"/>
      <c r="ERY96" s="32"/>
      <c r="ERZ96" s="32"/>
      <c r="ESA96" s="32"/>
      <c r="ESB96" s="32"/>
      <c r="ESC96" s="32"/>
      <c r="ESD96" s="32"/>
      <c r="ESE96" s="32"/>
      <c r="ESF96" s="32"/>
      <c r="ESG96" s="32"/>
      <c r="ESH96" s="32"/>
      <c r="ESI96" s="32"/>
      <c r="ESJ96" s="32"/>
      <c r="ESK96" s="32"/>
      <c r="ESL96" s="32"/>
      <c r="ESM96" s="32"/>
      <c r="ESN96" s="32"/>
      <c r="ESO96" s="32"/>
      <c r="ESP96" s="32"/>
      <c r="ESQ96" s="32"/>
      <c r="ESR96" s="32"/>
      <c r="ESS96" s="32"/>
      <c r="EST96" s="32"/>
      <c r="ESU96" s="32"/>
      <c r="ESV96" s="32"/>
      <c r="ESW96" s="32"/>
      <c r="ESX96" s="32"/>
      <c r="ESY96" s="32"/>
      <c r="ESZ96" s="32"/>
      <c r="ETA96" s="32"/>
      <c r="ETB96" s="32"/>
      <c r="ETC96" s="32"/>
      <c r="ETD96" s="32"/>
      <c r="ETE96" s="32"/>
      <c r="ETF96" s="32"/>
      <c r="ETG96" s="32"/>
      <c r="ETH96" s="32"/>
      <c r="ETI96" s="32"/>
      <c r="ETJ96" s="32"/>
      <c r="ETK96" s="32"/>
      <c r="ETL96" s="32"/>
      <c r="ETM96" s="32"/>
      <c r="ETN96" s="32"/>
      <c r="ETO96" s="32"/>
      <c r="ETP96" s="32"/>
      <c r="ETQ96" s="32"/>
      <c r="ETR96" s="32"/>
      <c r="ETS96" s="32"/>
      <c r="ETT96" s="32"/>
      <c r="ETU96" s="32"/>
      <c r="ETV96" s="32"/>
      <c r="ETW96" s="32"/>
      <c r="ETX96" s="32"/>
      <c r="ETY96" s="32"/>
      <c r="ETZ96" s="32"/>
      <c r="EUA96" s="32"/>
      <c r="EUB96" s="32"/>
      <c r="EUC96" s="32"/>
      <c r="EUD96" s="32"/>
      <c r="EUE96" s="32"/>
      <c r="EUF96" s="32"/>
      <c r="EUG96" s="32"/>
      <c r="EUH96" s="32"/>
      <c r="EUI96" s="32"/>
      <c r="EUJ96" s="32"/>
      <c r="EUK96" s="32"/>
      <c r="EUL96" s="32"/>
      <c r="EUM96" s="32"/>
      <c r="EUN96" s="32"/>
      <c r="EUO96" s="32"/>
      <c r="EUP96" s="32"/>
      <c r="EUQ96" s="32"/>
      <c r="EUR96" s="32"/>
      <c r="EUS96" s="32"/>
      <c r="EUT96" s="32"/>
      <c r="EUU96" s="32"/>
      <c r="EUV96" s="32"/>
      <c r="EUW96" s="32"/>
      <c r="EUX96" s="32"/>
      <c r="EUY96" s="32"/>
      <c r="EUZ96" s="32"/>
      <c r="EVA96" s="32"/>
      <c r="EVB96" s="32"/>
      <c r="EVC96" s="32"/>
      <c r="EVD96" s="32"/>
      <c r="EVE96" s="32"/>
      <c r="EVF96" s="32"/>
      <c r="EVG96" s="32"/>
      <c r="EVH96" s="32"/>
      <c r="EVI96" s="32"/>
      <c r="EVJ96" s="32"/>
      <c r="EVK96" s="32"/>
      <c r="EVL96" s="32"/>
      <c r="EVM96" s="32"/>
      <c r="EVN96" s="32"/>
      <c r="EVO96" s="32"/>
      <c r="EVP96" s="32"/>
      <c r="EVQ96" s="32"/>
      <c r="EVR96" s="32"/>
      <c r="EVS96" s="32"/>
      <c r="EVT96" s="32"/>
      <c r="EVU96" s="32"/>
      <c r="EVV96" s="32"/>
      <c r="EVW96" s="32"/>
      <c r="EVX96" s="32"/>
      <c r="EVY96" s="32"/>
      <c r="EVZ96" s="32"/>
      <c r="EWA96" s="32"/>
      <c r="EWB96" s="32"/>
      <c r="EWC96" s="32"/>
      <c r="EWD96" s="32"/>
      <c r="EWE96" s="32"/>
      <c r="EWF96" s="32"/>
      <c r="EWG96" s="32"/>
      <c r="EWH96" s="32"/>
      <c r="EWI96" s="32"/>
      <c r="EWJ96" s="32"/>
      <c r="EWK96" s="32"/>
      <c r="EWL96" s="32"/>
      <c r="EWM96" s="32"/>
      <c r="EWN96" s="32"/>
      <c r="EWO96" s="32"/>
      <c r="EWP96" s="32"/>
      <c r="EWQ96" s="32"/>
      <c r="EWR96" s="32"/>
      <c r="EWS96" s="32"/>
      <c r="EWT96" s="32"/>
      <c r="EWU96" s="32"/>
      <c r="EWV96" s="32"/>
      <c r="EWW96" s="32"/>
      <c r="EWX96" s="32"/>
      <c r="EWY96" s="32"/>
      <c r="EWZ96" s="32"/>
      <c r="EXA96" s="32"/>
      <c r="EXB96" s="32"/>
      <c r="EXC96" s="32"/>
      <c r="EXD96" s="32"/>
      <c r="EXE96" s="32"/>
      <c r="EXF96" s="32"/>
      <c r="EXG96" s="32"/>
      <c r="EXH96" s="32"/>
      <c r="EXI96" s="32"/>
      <c r="EXJ96" s="32"/>
      <c r="EXK96" s="32"/>
      <c r="EXL96" s="32"/>
      <c r="EXM96" s="32"/>
      <c r="EXN96" s="32"/>
      <c r="EXO96" s="32"/>
      <c r="EXP96" s="32"/>
      <c r="EXQ96" s="32"/>
      <c r="EXR96" s="32"/>
      <c r="EXS96" s="32"/>
      <c r="EXT96" s="32"/>
      <c r="EXU96" s="32"/>
      <c r="EXV96" s="32"/>
      <c r="EXW96" s="32"/>
      <c r="EXX96" s="32"/>
      <c r="EXY96" s="32"/>
      <c r="EXZ96" s="32"/>
      <c r="EYA96" s="32"/>
      <c r="EYB96" s="32"/>
      <c r="EYC96" s="32"/>
      <c r="EYD96" s="32"/>
      <c r="EYE96" s="32"/>
      <c r="EYF96" s="32"/>
      <c r="EYG96" s="32"/>
      <c r="EYH96" s="32"/>
      <c r="EYI96" s="32"/>
      <c r="EYJ96" s="32"/>
      <c r="EYK96" s="32"/>
      <c r="EYL96" s="32"/>
      <c r="EYM96" s="32"/>
      <c r="EYN96" s="32"/>
      <c r="EYO96" s="32"/>
      <c r="EYP96" s="32"/>
      <c r="EYQ96" s="32"/>
      <c r="EYR96" s="32"/>
      <c r="EYS96" s="32"/>
      <c r="EYT96" s="32"/>
      <c r="EYU96" s="32"/>
      <c r="EYV96" s="32"/>
      <c r="EYW96" s="32"/>
      <c r="EYX96" s="32"/>
      <c r="EYY96" s="32"/>
      <c r="EYZ96" s="32"/>
      <c r="EZA96" s="32"/>
      <c r="EZB96" s="32"/>
      <c r="EZC96" s="32"/>
      <c r="EZD96" s="32"/>
      <c r="EZE96" s="32"/>
      <c r="EZF96" s="32"/>
      <c r="EZG96" s="32"/>
      <c r="EZH96" s="32"/>
      <c r="EZI96" s="32"/>
      <c r="EZJ96" s="32"/>
      <c r="EZK96" s="32"/>
      <c r="EZL96" s="32"/>
      <c r="EZM96" s="32"/>
      <c r="EZN96" s="32"/>
      <c r="EZO96" s="32"/>
      <c r="EZP96" s="32"/>
      <c r="EZQ96" s="32"/>
      <c r="EZR96" s="32"/>
      <c r="EZS96" s="32"/>
      <c r="EZT96" s="32"/>
      <c r="EZU96" s="32"/>
      <c r="EZV96" s="32"/>
      <c r="EZW96" s="32"/>
      <c r="EZX96" s="32"/>
      <c r="EZY96" s="32"/>
      <c r="EZZ96" s="32"/>
      <c r="FAA96" s="32"/>
      <c r="FAB96" s="32"/>
      <c r="FAC96" s="32"/>
      <c r="FAD96" s="32"/>
      <c r="FAE96" s="32"/>
      <c r="FAF96" s="32"/>
      <c r="FAG96" s="32"/>
      <c r="FAH96" s="32"/>
      <c r="FAI96" s="32"/>
      <c r="FAJ96" s="32"/>
      <c r="FAK96" s="32"/>
      <c r="FAL96" s="32"/>
      <c r="FAM96" s="32"/>
      <c r="FAN96" s="32"/>
      <c r="FAO96" s="32"/>
      <c r="FAP96" s="32"/>
      <c r="FAQ96" s="32"/>
      <c r="FAR96" s="32"/>
      <c r="FAS96" s="32"/>
      <c r="FAT96" s="32"/>
      <c r="FAU96" s="32"/>
      <c r="FAV96" s="32"/>
      <c r="FAW96" s="32"/>
      <c r="FAX96" s="32"/>
      <c r="FAY96" s="32"/>
      <c r="FAZ96" s="32"/>
      <c r="FBA96" s="32"/>
      <c r="FBB96" s="32"/>
      <c r="FBC96" s="32"/>
      <c r="FBD96" s="32"/>
      <c r="FBE96" s="32"/>
      <c r="FBF96" s="32"/>
      <c r="FBG96" s="32"/>
      <c r="FBH96" s="32"/>
      <c r="FBI96" s="32"/>
      <c r="FBJ96" s="32"/>
      <c r="FBK96" s="32"/>
      <c r="FBL96" s="32"/>
      <c r="FBM96" s="32"/>
      <c r="FBN96" s="32"/>
      <c r="FBO96" s="32"/>
      <c r="FBP96" s="32"/>
      <c r="FBQ96" s="32"/>
      <c r="FBR96" s="32"/>
      <c r="FBS96" s="32"/>
      <c r="FBT96" s="32"/>
      <c r="FBU96" s="32"/>
      <c r="FBV96" s="32"/>
      <c r="FBW96" s="32"/>
      <c r="FBX96" s="32"/>
      <c r="FBY96" s="32"/>
      <c r="FBZ96" s="32"/>
      <c r="FCA96" s="32"/>
      <c r="FCB96" s="32"/>
      <c r="FCC96" s="32"/>
      <c r="FCD96" s="32"/>
      <c r="FCE96" s="32"/>
      <c r="FCF96" s="32"/>
      <c r="FCG96" s="32"/>
      <c r="FCH96" s="32"/>
      <c r="FCI96" s="32"/>
      <c r="FCJ96" s="32"/>
      <c r="FCK96" s="32"/>
      <c r="FCL96" s="32"/>
      <c r="FCM96" s="32"/>
      <c r="FCN96" s="32"/>
      <c r="FCO96" s="32"/>
      <c r="FCP96" s="32"/>
      <c r="FCQ96" s="32"/>
      <c r="FCR96" s="32"/>
      <c r="FCS96" s="32"/>
      <c r="FCT96" s="32"/>
      <c r="FCU96" s="32"/>
      <c r="FCV96" s="32"/>
      <c r="FCW96" s="32"/>
      <c r="FCX96" s="32"/>
      <c r="FCY96" s="32"/>
      <c r="FCZ96" s="32"/>
      <c r="FDA96" s="32"/>
      <c r="FDB96" s="32"/>
      <c r="FDC96" s="32"/>
      <c r="FDD96" s="32"/>
      <c r="FDE96" s="32"/>
      <c r="FDF96" s="32"/>
      <c r="FDG96" s="32"/>
      <c r="FDH96" s="32"/>
      <c r="FDI96" s="32"/>
      <c r="FDJ96" s="32"/>
      <c r="FDK96" s="32"/>
      <c r="FDL96" s="32"/>
      <c r="FDM96" s="32"/>
      <c r="FDN96" s="32"/>
      <c r="FDO96" s="32"/>
      <c r="FDP96" s="32"/>
      <c r="FDQ96" s="32"/>
      <c r="FDR96" s="32"/>
      <c r="FDS96" s="32"/>
      <c r="FDT96" s="32"/>
      <c r="FDU96" s="32"/>
      <c r="FDV96" s="32"/>
      <c r="FDW96" s="32"/>
      <c r="FDX96" s="32"/>
      <c r="FDY96" s="32"/>
      <c r="FDZ96" s="32"/>
      <c r="FEA96" s="32"/>
      <c r="FEB96" s="32"/>
      <c r="FEC96" s="32"/>
      <c r="FED96" s="32"/>
      <c r="FEE96" s="32"/>
      <c r="FEF96" s="32"/>
      <c r="FEG96" s="32"/>
      <c r="FEH96" s="32"/>
      <c r="FEI96" s="32"/>
      <c r="FEJ96" s="32"/>
      <c r="FEK96" s="32"/>
      <c r="FEL96" s="32"/>
      <c r="FEM96" s="32"/>
      <c r="FEN96" s="32"/>
      <c r="FEO96" s="32"/>
      <c r="FEP96" s="32"/>
      <c r="FEQ96" s="32"/>
      <c r="FER96" s="32"/>
      <c r="FES96" s="32"/>
      <c r="FET96" s="32"/>
      <c r="FEU96" s="32"/>
      <c r="FEV96" s="32"/>
      <c r="FEW96" s="32"/>
      <c r="FEX96" s="32"/>
      <c r="FEY96" s="32"/>
      <c r="FEZ96" s="32"/>
      <c r="FFA96" s="32"/>
      <c r="FFB96" s="32"/>
      <c r="FFC96" s="32"/>
      <c r="FFD96" s="32"/>
      <c r="FFE96" s="32"/>
      <c r="FFF96" s="32"/>
      <c r="FFG96" s="32"/>
      <c r="FFH96" s="32"/>
      <c r="FFI96" s="32"/>
      <c r="FFJ96" s="32"/>
      <c r="FFK96" s="32"/>
      <c r="FFL96" s="32"/>
      <c r="FFM96" s="32"/>
      <c r="FFN96" s="32"/>
      <c r="FFO96" s="32"/>
      <c r="FFP96" s="32"/>
      <c r="FFQ96" s="32"/>
      <c r="FFR96" s="32"/>
      <c r="FFS96" s="32"/>
      <c r="FFT96" s="32"/>
      <c r="FFU96" s="32"/>
      <c r="FFV96" s="32"/>
      <c r="FFW96" s="32"/>
      <c r="FFX96" s="32"/>
      <c r="FFY96" s="32"/>
      <c r="FFZ96" s="32"/>
      <c r="FGA96" s="32"/>
      <c r="FGB96" s="32"/>
      <c r="FGC96" s="32"/>
      <c r="FGD96" s="32"/>
      <c r="FGE96" s="32"/>
      <c r="FGF96" s="32"/>
      <c r="FGG96" s="32"/>
      <c r="FGH96" s="32"/>
      <c r="FGI96" s="32"/>
      <c r="FGJ96" s="32"/>
      <c r="FGK96" s="32"/>
      <c r="FGL96" s="32"/>
      <c r="FGM96" s="32"/>
      <c r="FGN96" s="32"/>
      <c r="FGO96" s="32"/>
      <c r="FGP96" s="32"/>
      <c r="FGQ96" s="32"/>
      <c r="FGR96" s="32"/>
      <c r="FGS96" s="32"/>
      <c r="FGT96" s="32"/>
      <c r="FGU96" s="32"/>
      <c r="FGV96" s="32"/>
      <c r="FGW96" s="32"/>
      <c r="FGX96" s="32"/>
      <c r="FGY96" s="32"/>
      <c r="FGZ96" s="32"/>
      <c r="FHA96" s="32"/>
      <c r="FHB96" s="32"/>
      <c r="FHC96" s="32"/>
      <c r="FHD96" s="32"/>
      <c r="FHE96" s="32"/>
      <c r="FHF96" s="32"/>
      <c r="FHG96" s="32"/>
      <c r="FHH96" s="32"/>
      <c r="FHI96" s="32"/>
      <c r="FHJ96" s="32"/>
      <c r="FHK96" s="32"/>
      <c r="FHL96" s="32"/>
      <c r="FHM96" s="32"/>
      <c r="FHN96" s="32"/>
      <c r="FHO96" s="32"/>
      <c r="FHP96" s="32"/>
      <c r="FHQ96" s="32"/>
      <c r="FHR96" s="32"/>
      <c r="FHS96" s="32"/>
      <c r="FHT96" s="32"/>
      <c r="FHU96" s="32"/>
      <c r="FHV96" s="32"/>
      <c r="FHW96" s="32"/>
      <c r="FHX96" s="32"/>
      <c r="FHY96" s="32"/>
      <c r="FHZ96" s="32"/>
      <c r="FIA96" s="32"/>
      <c r="FIB96" s="32"/>
      <c r="FIC96" s="32"/>
      <c r="FID96" s="32"/>
      <c r="FIE96" s="32"/>
      <c r="FIF96" s="32"/>
      <c r="FIG96" s="32"/>
      <c r="FIH96" s="32"/>
      <c r="FII96" s="32"/>
      <c r="FIJ96" s="32"/>
      <c r="FIK96" s="32"/>
      <c r="FIL96" s="32"/>
      <c r="FIM96" s="32"/>
      <c r="FIN96" s="32"/>
      <c r="FIO96" s="32"/>
      <c r="FIP96" s="32"/>
      <c r="FIQ96" s="32"/>
      <c r="FIR96" s="32"/>
      <c r="FIS96" s="32"/>
      <c r="FIT96" s="32"/>
      <c r="FIU96" s="32"/>
      <c r="FIV96" s="32"/>
      <c r="FIW96" s="32"/>
      <c r="FIX96" s="32"/>
      <c r="FIY96" s="32"/>
      <c r="FIZ96" s="32"/>
      <c r="FJA96" s="32"/>
      <c r="FJB96" s="32"/>
      <c r="FJC96" s="32"/>
      <c r="FJD96" s="32"/>
      <c r="FJE96" s="32"/>
      <c r="FJF96" s="32"/>
      <c r="FJG96" s="32"/>
      <c r="FJH96" s="32"/>
      <c r="FJI96" s="32"/>
      <c r="FJJ96" s="32"/>
      <c r="FJK96" s="32"/>
      <c r="FJL96" s="32"/>
      <c r="FJM96" s="32"/>
      <c r="FJN96" s="32"/>
      <c r="FJO96" s="32"/>
      <c r="FJP96" s="32"/>
      <c r="FJQ96" s="32"/>
      <c r="FJR96" s="32"/>
      <c r="FJS96" s="32"/>
      <c r="FJT96" s="32"/>
      <c r="FJU96" s="32"/>
      <c r="FJV96" s="32"/>
      <c r="FJW96" s="32"/>
      <c r="FJX96" s="32"/>
      <c r="FJY96" s="32"/>
      <c r="FJZ96" s="32"/>
      <c r="FKA96" s="32"/>
      <c r="FKB96" s="32"/>
      <c r="FKC96" s="32"/>
      <c r="FKD96" s="32"/>
      <c r="FKE96" s="32"/>
      <c r="FKF96" s="32"/>
      <c r="FKG96" s="32"/>
      <c r="FKH96" s="32"/>
      <c r="FKI96" s="32"/>
      <c r="FKJ96" s="32"/>
      <c r="FKK96" s="32"/>
      <c r="FKL96" s="32"/>
      <c r="FKM96" s="32"/>
      <c r="FKN96" s="32"/>
      <c r="FKO96" s="32"/>
      <c r="FKP96" s="32"/>
      <c r="FKQ96" s="32"/>
      <c r="FKR96" s="32"/>
      <c r="FKS96" s="32"/>
      <c r="FKT96" s="32"/>
      <c r="FKU96" s="32"/>
      <c r="FKV96" s="32"/>
      <c r="FKW96" s="32"/>
      <c r="FKX96" s="32"/>
      <c r="FKY96" s="32"/>
      <c r="FKZ96" s="32"/>
      <c r="FLA96" s="32"/>
      <c r="FLB96" s="32"/>
      <c r="FLC96" s="32"/>
      <c r="FLD96" s="32"/>
      <c r="FLE96" s="32"/>
      <c r="FLF96" s="32"/>
      <c r="FLG96" s="32"/>
      <c r="FLH96" s="32"/>
      <c r="FLI96" s="32"/>
      <c r="FLJ96" s="32"/>
      <c r="FLK96" s="32"/>
      <c r="FLL96" s="32"/>
      <c r="FLM96" s="32"/>
      <c r="FLN96" s="32"/>
      <c r="FLO96" s="32"/>
      <c r="FLP96" s="32"/>
      <c r="FLQ96" s="32"/>
      <c r="FLR96" s="32"/>
      <c r="FLS96" s="32"/>
      <c r="FLT96" s="32"/>
      <c r="FLU96" s="32"/>
      <c r="FLV96" s="32"/>
      <c r="FLW96" s="32"/>
      <c r="FLX96" s="32"/>
      <c r="FLY96" s="32"/>
      <c r="FLZ96" s="32"/>
      <c r="FMA96" s="32"/>
      <c r="FMB96" s="32"/>
      <c r="FMC96" s="32"/>
      <c r="FMD96" s="32"/>
      <c r="FME96" s="32"/>
      <c r="FMF96" s="32"/>
      <c r="FMG96" s="32"/>
      <c r="FMH96" s="32"/>
      <c r="FMI96" s="32"/>
      <c r="FMJ96" s="32"/>
      <c r="FMK96" s="32"/>
      <c r="FML96" s="32"/>
      <c r="FMM96" s="32"/>
      <c r="FMN96" s="32"/>
      <c r="FMO96" s="32"/>
      <c r="FMP96" s="32"/>
      <c r="FMQ96" s="32"/>
      <c r="FMR96" s="32"/>
      <c r="FMS96" s="32"/>
      <c r="FMT96" s="32"/>
      <c r="FMU96" s="32"/>
      <c r="FMV96" s="32"/>
      <c r="FMW96" s="32"/>
      <c r="FMX96" s="32"/>
      <c r="FMY96" s="32"/>
      <c r="FMZ96" s="32"/>
      <c r="FNA96" s="32"/>
      <c r="FNB96" s="32"/>
      <c r="FNC96" s="32"/>
      <c r="FND96" s="32"/>
      <c r="FNE96" s="32"/>
      <c r="FNF96" s="32"/>
      <c r="FNG96" s="32"/>
      <c r="FNH96" s="32"/>
      <c r="FNI96" s="32"/>
      <c r="FNJ96" s="32"/>
      <c r="FNK96" s="32"/>
      <c r="FNL96" s="32"/>
      <c r="FNM96" s="32"/>
      <c r="FNN96" s="32"/>
      <c r="FNO96" s="32"/>
      <c r="FNP96" s="32"/>
      <c r="FNQ96" s="32"/>
      <c r="FNR96" s="32"/>
      <c r="FNS96" s="32"/>
      <c r="FNT96" s="32"/>
      <c r="FNU96" s="32"/>
      <c r="FNV96" s="32"/>
      <c r="FNW96" s="32"/>
      <c r="FNX96" s="32"/>
      <c r="FNY96" s="32"/>
      <c r="FNZ96" s="32"/>
      <c r="FOA96" s="32"/>
      <c r="FOB96" s="32"/>
      <c r="FOC96" s="32"/>
      <c r="FOD96" s="32"/>
      <c r="FOE96" s="32"/>
      <c r="FOF96" s="32"/>
      <c r="FOG96" s="32"/>
      <c r="FOH96" s="32"/>
      <c r="FOI96" s="32"/>
      <c r="FOJ96" s="32"/>
      <c r="FOK96" s="32"/>
      <c r="FOL96" s="32"/>
      <c r="FOM96" s="32"/>
      <c r="FON96" s="32"/>
      <c r="FOO96" s="32"/>
      <c r="FOP96" s="32"/>
      <c r="FOQ96" s="32"/>
      <c r="FOR96" s="32"/>
      <c r="FOS96" s="32"/>
      <c r="FOT96" s="32"/>
      <c r="FOU96" s="32"/>
      <c r="FOV96" s="32"/>
      <c r="FOW96" s="32"/>
      <c r="FOX96" s="32"/>
      <c r="FOY96" s="32"/>
      <c r="FOZ96" s="32"/>
      <c r="FPA96" s="32"/>
      <c r="FPB96" s="32"/>
      <c r="FPC96" s="32"/>
      <c r="FPD96" s="32"/>
      <c r="FPE96" s="32"/>
      <c r="FPF96" s="32"/>
      <c r="FPG96" s="32"/>
      <c r="FPH96" s="32"/>
      <c r="FPI96" s="32"/>
      <c r="FPJ96" s="32"/>
      <c r="FPK96" s="32"/>
      <c r="FPL96" s="32"/>
      <c r="FPM96" s="32"/>
      <c r="FPN96" s="32"/>
      <c r="FPO96" s="32"/>
      <c r="FPP96" s="32"/>
      <c r="FPQ96" s="32"/>
      <c r="FPR96" s="32"/>
      <c r="FPS96" s="32"/>
      <c r="FPT96" s="32"/>
      <c r="FPU96" s="32"/>
      <c r="FPV96" s="32"/>
      <c r="FPW96" s="32"/>
      <c r="FPX96" s="32"/>
      <c r="FPY96" s="32"/>
      <c r="FPZ96" s="32"/>
      <c r="FQA96" s="32"/>
      <c r="FQB96" s="32"/>
      <c r="FQC96" s="32"/>
      <c r="FQD96" s="32"/>
      <c r="FQE96" s="32"/>
      <c r="FQF96" s="32"/>
      <c r="FQG96" s="32"/>
      <c r="FQH96" s="32"/>
      <c r="FQI96" s="32"/>
      <c r="FQJ96" s="32"/>
      <c r="FQK96" s="32"/>
      <c r="FQL96" s="32"/>
      <c r="FQM96" s="32"/>
      <c r="FQN96" s="32"/>
      <c r="FQO96" s="32"/>
      <c r="FQP96" s="32"/>
      <c r="FQQ96" s="32"/>
      <c r="FQR96" s="32"/>
      <c r="FQS96" s="32"/>
      <c r="FQT96" s="32"/>
      <c r="FQU96" s="32"/>
      <c r="FQV96" s="32"/>
      <c r="FQW96" s="32"/>
      <c r="FQX96" s="32"/>
      <c r="FQY96" s="32"/>
      <c r="FQZ96" s="32"/>
      <c r="FRA96" s="32"/>
      <c r="FRB96" s="32"/>
      <c r="FRC96" s="32"/>
      <c r="FRD96" s="32"/>
      <c r="FRE96" s="32"/>
      <c r="FRF96" s="32"/>
      <c r="FRG96" s="32"/>
      <c r="FRH96" s="32"/>
      <c r="FRI96" s="32"/>
      <c r="FRJ96" s="32"/>
      <c r="FRK96" s="32"/>
      <c r="FRL96" s="32"/>
      <c r="FRM96" s="32"/>
      <c r="FRN96" s="32"/>
      <c r="FRO96" s="32"/>
      <c r="FRP96" s="32"/>
      <c r="FRQ96" s="32"/>
      <c r="FRR96" s="32"/>
      <c r="FRS96" s="32"/>
      <c r="FRT96" s="32"/>
      <c r="FRU96" s="32"/>
      <c r="FRV96" s="32"/>
      <c r="FRW96" s="32"/>
      <c r="FRX96" s="32"/>
      <c r="FRY96" s="32"/>
      <c r="FRZ96" s="32"/>
      <c r="FSA96" s="32"/>
      <c r="FSB96" s="32"/>
      <c r="FSC96" s="32"/>
      <c r="FSD96" s="32"/>
      <c r="FSE96" s="32"/>
      <c r="FSF96" s="32"/>
      <c r="FSG96" s="32"/>
      <c r="FSH96" s="32"/>
      <c r="FSI96" s="32"/>
      <c r="FSJ96" s="32"/>
      <c r="FSK96" s="32"/>
      <c r="FSL96" s="32"/>
      <c r="FSM96" s="32"/>
      <c r="FSN96" s="32"/>
      <c r="FSO96" s="32"/>
      <c r="FSP96" s="32"/>
      <c r="FSQ96" s="32"/>
      <c r="FSR96" s="32"/>
      <c r="FSS96" s="32"/>
      <c r="FST96" s="32"/>
      <c r="FSU96" s="32"/>
      <c r="FSV96" s="32"/>
      <c r="FSW96" s="32"/>
      <c r="FSX96" s="32"/>
      <c r="FSY96" s="32"/>
      <c r="FSZ96" s="32"/>
      <c r="FTA96" s="32"/>
      <c r="FTB96" s="32"/>
      <c r="FTC96" s="32"/>
      <c r="FTD96" s="32"/>
      <c r="FTE96" s="32"/>
      <c r="FTF96" s="32"/>
      <c r="FTG96" s="32"/>
      <c r="FTH96" s="32"/>
      <c r="FTI96" s="32"/>
      <c r="FTJ96" s="32"/>
      <c r="FTK96" s="32"/>
      <c r="FTL96" s="32"/>
      <c r="FTM96" s="32"/>
      <c r="FTN96" s="32"/>
      <c r="FTO96" s="32"/>
      <c r="FTP96" s="32"/>
      <c r="FTQ96" s="32"/>
      <c r="FTR96" s="32"/>
      <c r="FTS96" s="32"/>
      <c r="FTT96" s="32"/>
      <c r="FTU96" s="32"/>
      <c r="FTV96" s="32"/>
      <c r="FTW96" s="32"/>
      <c r="FTX96" s="32"/>
      <c r="FTY96" s="32"/>
      <c r="FTZ96" s="32"/>
      <c r="FUA96" s="32"/>
      <c r="FUB96" s="32"/>
      <c r="FUC96" s="32"/>
      <c r="FUD96" s="32"/>
      <c r="FUE96" s="32"/>
      <c r="FUF96" s="32"/>
      <c r="FUG96" s="32"/>
      <c r="FUH96" s="32"/>
      <c r="FUI96" s="32"/>
      <c r="FUJ96" s="32"/>
      <c r="FUK96" s="32"/>
      <c r="FUL96" s="32"/>
      <c r="FUM96" s="32"/>
      <c r="FUN96" s="32"/>
      <c r="FUO96" s="32"/>
      <c r="FUP96" s="32"/>
      <c r="FUQ96" s="32"/>
      <c r="FUR96" s="32"/>
      <c r="FUS96" s="32"/>
      <c r="FUT96" s="32"/>
      <c r="FUU96" s="32"/>
      <c r="FUV96" s="32"/>
      <c r="FUW96" s="32"/>
      <c r="FUX96" s="32"/>
      <c r="FUY96" s="32"/>
      <c r="FUZ96" s="32"/>
      <c r="FVA96" s="32"/>
      <c r="FVB96" s="32"/>
      <c r="FVC96" s="32"/>
      <c r="FVD96" s="32"/>
      <c r="FVE96" s="32"/>
      <c r="FVF96" s="32"/>
      <c r="FVG96" s="32"/>
      <c r="FVH96" s="32"/>
      <c r="FVI96" s="32"/>
      <c r="FVJ96" s="32"/>
      <c r="FVK96" s="32"/>
      <c r="FVL96" s="32"/>
      <c r="FVM96" s="32"/>
      <c r="FVN96" s="32"/>
      <c r="FVO96" s="32"/>
      <c r="FVP96" s="32"/>
      <c r="FVQ96" s="32"/>
      <c r="FVR96" s="32"/>
      <c r="FVS96" s="32"/>
      <c r="FVT96" s="32"/>
      <c r="FVU96" s="32"/>
      <c r="FVV96" s="32"/>
      <c r="FVW96" s="32"/>
      <c r="FVX96" s="32"/>
      <c r="FVY96" s="32"/>
      <c r="FVZ96" s="32"/>
      <c r="FWA96" s="32"/>
      <c r="FWB96" s="32"/>
      <c r="FWC96" s="32"/>
      <c r="FWD96" s="32"/>
      <c r="FWE96" s="32"/>
      <c r="FWF96" s="32"/>
      <c r="FWG96" s="32"/>
      <c r="FWH96" s="32"/>
      <c r="FWI96" s="32"/>
      <c r="FWJ96" s="32"/>
      <c r="FWK96" s="32"/>
      <c r="FWL96" s="32"/>
      <c r="FWM96" s="32"/>
      <c r="FWN96" s="32"/>
      <c r="FWO96" s="32"/>
      <c r="FWP96" s="32"/>
      <c r="FWQ96" s="32"/>
      <c r="FWR96" s="32"/>
      <c r="FWS96" s="32"/>
      <c r="FWT96" s="32"/>
      <c r="FWU96" s="32"/>
      <c r="FWV96" s="32"/>
      <c r="FWW96" s="32"/>
      <c r="FWX96" s="32"/>
      <c r="FWY96" s="32"/>
      <c r="FWZ96" s="32"/>
      <c r="FXA96" s="32"/>
      <c r="FXB96" s="32"/>
      <c r="FXC96" s="32"/>
      <c r="FXD96" s="32"/>
      <c r="FXE96" s="32"/>
      <c r="FXF96" s="32"/>
      <c r="FXG96" s="32"/>
      <c r="FXH96" s="32"/>
      <c r="FXI96" s="32"/>
      <c r="FXJ96" s="32"/>
      <c r="FXK96" s="32"/>
      <c r="FXL96" s="32"/>
      <c r="FXM96" s="32"/>
      <c r="FXN96" s="32"/>
      <c r="FXO96" s="32"/>
      <c r="FXP96" s="32"/>
      <c r="FXQ96" s="32"/>
      <c r="FXR96" s="32"/>
      <c r="FXS96" s="32"/>
      <c r="FXT96" s="32"/>
      <c r="FXU96" s="32"/>
      <c r="FXV96" s="32"/>
      <c r="FXW96" s="32"/>
      <c r="FXX96" s="32"/>
      <c r="FXY96" s="32"/>
      <c r="FXZ96" s="32"/>
      <c r="FYA96" s="32"/>
      <c r="FYB96" s="32"/>
      <c r="FYC96" s="32"/>
      <c r="FYD96" s="32"/>
      <c r="FYE96" s="32"/>
      <c r="FYF96" s="32"/>
      <c r="FYG96" s="32"/>
      <c r="FYH96" s="32"/>
      <c r="FYI96" s="32"/>
      <c r="FYJ96" s="32"/>
      <c r="FYK96" s="32"/>
      <c r="FYL96" s="32"/>
      <c r="FYM96" s="32"/>
      <c r="FYN96" s="32"/>
      <c r="FYO96" s="32"/>
      <c r="FYP96" s="32"/>
      <c r="FYQ96" s="32"/>
      <c r="FYR96" s="32"/>
      <c r="FYS96" s="32"/>
      <c r="FYT96" s="32"/>
      <c r="FYU96" s="32"/>
      <c r="FYV96" s="32"/>
      <c r="FYW96" s="32"/>
      <c r="FYX96" s="32"/>
      <c r="FYY96" s="32"/>
      <c r="FYZ96" s="32"/>
      <c r="FZA96" s="32"/>
      <c r="FZB96" s="32"/>
      <c r="FZC96" s="32"/>
      <c r="FZD96" s="32"/>
      <c r="FZE96" s="32"/>
      <c r="FZF96" s="32"/>
      <c r="FZG96" s="32"/>
      <c r="FZH96" s="32"/>
      <c r="FZI96" s="32"/>
      <c r="FZJ96" s="32"/>
      <c r="FZK96" s="32"/>
      <c r="FZL96" s="32"/>
      <c r="FZM96" s="32"/>
      <c r="FZN96" s="32"/>
      <c r="FZO96" s="32"/>
      <c r="FZP96" s="32"/>
      <c r="FZQ96" s="32"/>
      <c r="FZR96" s="32"/>
      <c r="FZS96" s="32"/>
      <c r="FZT96" s="32"/>
      <c r="FZU96" s="32"/>
      <c r="FZV96" s="32"/>
      <c r="FZW96" s="32"/>
      <c r="FZX96" s="32"/>
      <c r="FZY96" s="32"/>
      <c r="FZZ96" s="32"/>
      <c r="GAA96" s="32"/>
      <c r="GAB96" s="32"/>
      <c r="GAC96" s="32"/>
      <c r="GAD96" s="32"/>
      <c r="GAE96" s="32"/>
      <c r="GAF96" s="32"/>
      <c r="GAG96" s="32"/>
      <c r="GAH96" s="32"/>
      <c r="GAI96" s="32"/>
      <c r="GAJ96" s="32"/>
      <c r="GAK96" s="32"/>
      <c r="GAL96" s="32"/>
      <c r="GAM96" s="32"/>
      <c r="GAN96" s="32"/>
      <c r="GAO96" s="32"/>
      <c r="GAP96" s="32"/>
      <c r="GAQ96" s="32"/>
      <c r="GAR96" s="32"/>
      <c r="GAS96" s="32"/>
      <c r="GAT96" s="32"/>
      <c r="GAU96" s="32"/>
      <c r="GAV96" s="32"/>
      <c r="GAW96" s="32"/>
      <c r="GAX96" s="32"/>
      <c r="GAY96" s="32"/>
      <c r="GAZ96" s="32"/>
      <c r="GBA96" s="32"/>
      <c r="GBB96" s="32"/>
      <c r="GBC96" s="32"/>
      <c r="GBD96" s="32"/>
      <c r="GBE96" s="32"/>
      <c r="GBF96" s="32"/>
      <c r="GBG96" s="32"/>
      <c r="GBH96" s="32"/>
      <c r="GBI96" s="32"/>
      <c r="GBJ96" s="32"/>
      <c r="GBK96" s="32"/>
      <c r="GBL96" s="32"/>
      <c r="GBM96" s="32"/>
      <c r="GBN96" s="32"/>
      <c r="GBO96" s="32"/>
      <c r="GBP96" s="32"/>
      <c r="GBQ96" s="32"/>
      <c r="GBR96" s="32"/>
      <c r="GBS96" s="32"/>
      <c r="GBT96" s="32"/>
      <c r="GBU96" s="32"/>
      <c r="GBV96" s="32"/>
      <c r="GBW96" s="32"/>
      <c r="GBX96" s="32"/>
      <c r="GBY96" s="32"/>
      <c r="GBZ96" s="32"/>
      <c r="GCA96" s="32"/>
      <c r="GCB96" s="32"/>
      <c r="GCC96" s="32"/>
      <c r="GCD96" s="32"/>
      <c r="GCE96" s="32"/>
      <c r="GCF96" s="32"/>
      <c r="GCG96" s="32"/>
      <c r="GCH96" s="32"/>
      <c r="GCI96" s="32"/>
      <c r="GCJ96" s="32"/>
      <c r="GCK96" s="32"/>
      <c r="GCL96" s="32"/>
      <c r="GCM96" s="32"/>
      <c r="GCN96" s="32"/>
      <c r="GCO96" s="32"/>
      <c r="GCP96" s="32"/>
      <c r="GCQ96" s="32"/>
      <c r="GCR96" s="32"/>
      <c r="GCS96" s="32"/>
      <c r="GCT96" s="32"/>
      <c r="GCU96" s="32"/>
      <c r="GCV96" s="32"/>
      <c r="GCW96" s="32"/>
      <c r="GCX96" s="32"/>
      <c r="GCY96" s="32"/>
      <c r="GCZ96" s="32"/>
      <c r="GDA96" s="32"/>
      <c r="GDB96" s="32"/>
      <c r="GDC96" s="32"/>
      <c r="GDD96" s="32"/>
      <c r="GDE96" s="32"/>
      <c r="GDF96" s="32"/>
      <c r="GDG96" s="32"/>
      <c r="GDH96" s="32"/>
      <c r="GDI96" s="32"/>
      <c r="GDJ96" s="32"/>
      <c r="GDK96" s="32"/>
      <c r="GDL96" s="32"/>
      <c r="GDM96" s="32"/>
      <c r="GDN96" s="32"/>
      <c r="GDO96" s="32"/>
      <c r="GDP96" s="32"/>
      <c r="GDQ96" s="32"/>
      <c r="GDR96" s="32"/>
      <c r="GDS96" s="32"/>
      <c r="GDT96" s="32"/>
      <c r="GDU96" s="32"/>
      <c r="GDV96" s="32"/>
      <c r="GDW96" s="32"/>
      <c r="GDX96" s="32"/>
      <c r="GDY96" s="32"/>
      <c r="GDZ96" s="32"/>
      <c r="GEA96" s="32"/>
      <c r="GEB96" s="32"/>
      <c r="GEC96" s="32"/>
      <c r="GED96" s="32"/>
      <c r="GEE96" s="32"/>
      <c r="GEF96" s="32"/>
      <c r="GEG96" s="32"/>
      <c r="GEH96" s="32"/>
      <c r="GEI96" s="32"/>
      <c r="GEJ96" s="32"/>
      <c r="GEK96" s="32"/>
      <c r="GEL96" s="32"/>
      <c r="GEM96" s="32"/>
      <c r="GEN96" s="32"/>
      <c r="GEO96" s="32"/>
      <c r="GEP96" s="32"/>
      <c r="GEQ96" s="32"/>
      <c r="GER96" s="32"/>
      <c r="GES96" s="32"/>
      <c r="GET96" s="32"/>
      <c r="GEU96" s="32"/>
      <c r="GEV96" s="32"/>
      <c r="GEW96" s="32"/>
      <c r="GEX96" s="32"/>
      <c r="GEY96" s="32"/>
      <c r="GEZ96" s="32"/>
      <c r="GFA96" s="32"/>
      <c r="GFB96" s="32"/>
      <c r="GFC96" s="32"/>
      <c r="GFD96" s="32"/>
      <c r="GFE96" s="32"/>
      <c r="GFF96" s="32"/>
      <c r="GFG96" s="32"/>
      <c r="GFH96" s="32"/>
      <c r="GFI96" s="32"/>
      <c r="GFJ96" s="32"/>
      <c r="GFK96" s="32"/>
      <c r="GFL96" s="32"/>
      <c r="GFM96" s="32"/>
      <c r="GFN96" s="32"/>
      <c r="GFO96" s="32"/>
      <c r="GFP96" s="32"/>
      <c r="GFQ96" s="32"/>
      <c r="GFR96" s="32"/>
      <c r="GFS96" s="32"/>
      <c r="GFT96" s="32"/>
      <c r="GFU96" s="32"/>
      <c r="GFV96" s="32"/>
      <c r="GFW96" s="32"/>
      <c r="GFX96" s="32"/>
      <c r="GFY96" s="32"/>
      <c r="GFZ96" s="32"/>
      <c r="GGA96" s="32"/>
      <c r="GGB96" s="32"/>
      <c r="GGC96" s="32"/>
      <c r="GGD96" s="32"/>
      <c r="GGE96" s="32"/>
      <c r="GGF96" s="32"/>
      <c r="GGG96" s="32"/>
      <c r="GGH96" s="32"/>
      <c r="GGI96" s="32"/>
      <c r="GGJ96" s="32"/>
      <c r="GGK96" s="32"/>
      <c r="GGL96" s="32"/>
      <c r="GGM96" s="32"/>
      <c r="GGN96" s="32"/>
      <c r="GGO96" s="32"/>
      <c r="GGP96" s="32"/>
      <c r="GGQ96" s="32"/>
      <c r="GGR96" s="32"/>
      <c r="GGS96" s="32"/>
      <c r="GGT96" s="32"/>
      <c r="GGU96" s="32"/>
      <c r="GGV96" s="32"/>
      <c r="GGW96" s="32"/>
      <c r="GGX96" s="32"/>
      <c r="GGY96" s="32"/>
      <c r="GGZ96" s="32"/>
      <c r="GHA96" s="32"/>
      <c r="GHB96" s="32"/>
      <c r="GHC96" s="32"/>
      <c r="GHD96" s="32"/>
      <c r="GHE96" s="32"/>
      <c r="GHF96" s="32"/>
      <c r="GHG96" s="32"/>
      <c r="GHH96" s="32"/>
      <c r="GHI96" s="32"/>
      <c r="GHJ96" s="32"/>
      <c r="GHK96" s="32"/>
      <c r="GHL96" s="32"/>
      <c r="GHM96" s="32"/>
      <c r="GHN96" s="32"/>
      <c r="GHO96" s="32"/>
      <c r="GHP96" s="32"/>
      <c r="GHQ96" s="32"/>
      <c r="GHR96" s="32"/>
      <c r="GHS96" s="32"/>
      <c r="GHT96" s="32"/>
      <c r="GHU96" s="32"/>
      <c r="GHV96" s="32"/>
      <c r="GHW96" s="32"/>
      <c r="GHX96" s="32"/>
      <c r="GHY96" s="32"/>
      <c r="GHZ96" s="32"/>
      <c r="GIA96" s="32"/>
      <c r="GIB96" s="32"/>
      <c r="GIC96" s="32"/>
      <c r="GID96" s="32"/>
      <c r="GIE96" s="32"/>
      <c r="GIF96" s="32"/>
      <c r="GIG96" s="32"/>
      <c r="GIH96" s="32"/>
      <c r="GII96" s="32"/>
      <c r="GIJ96" s="32"/>
      <c r="GIK96" s="32"/>
      <c r="GIL96" s="32"/>
      <c r="GIM96" s="32"/>
      <c r="GIN96" s="32"/>
      <c r="GIO96" s="32"/>
      <c r="GIP96" s="32"/>
      <c r="GIQ96" s="32"/>
      <c r="GIR96" s="32"/>
      <c r="GIS96" s="32"/>
      <c r="GIT96" s="32"/>
      <c r="GIU96" s="32"/>
      <c r="GIV96" s="32"/>
      <c r="GIW96" s="32"/>
      <c r="GIX96" s="32"/>
      <c r="GIY96" s="32"/>
      <c r="GIZ96" s="32"/>
      <c r="GJA96" s="32"/>
      <c r="GJB96" s="32"/>
      <c r="GJC96" s="32"/>
      <c r="GJD96" s="32"/>
      <c r="GJE96" s="32"/>
      <c r="GJF96" s="32"/>
      <c r="GJG96" s="32"/>
      <c r="GJH96" s="32"/>
      <c r="GJI96" s="32"/>
      <c r="GJJ96" s="32"/>
      <c r="GJK96" s="32"/>
      <c r="GJL96" s="32"/>
      <c r="GJM96" s="32"/>
      <c r="GJN96" s="32"/>
      <c r="GJO96" s="32"/>
      <c r="GJP96" s="32"/>
      <c r="GJQ96" s="32"/>
      <c r="GJR96" s="32"/>
      <c r="GJS96" s="32"/>
      <c r="GJT96" s="32"/>
      <c r="GJU96" s="32"/>
      <c r="GJV96" s="32"/>
      <c r="GJW96" s="32"/>
      <c r="GJX96" s="32"/>
      <c r="GJY96" s="32"/>
      <c r="GJZ96" s="32"/>
      <c r="GKA96" s="32"/>
      <c r="GKB96" s="32"/>
      <c r="GKC96" s="32"/>
      <c r="GKD96" s="32"/>
      <c r="GKE96" s="32"/>
      <c r="GKF96" s="32"/>
      <c r="GKG96" s="32"/>
      <c r="GKH96" s="32"/>
      <c r="GKI96" s="32"/>
      <c r="GKJ96" s="32"/>
      <c r="GKK96" s="32"/>
      <c r="GKL96" s="32"/>
      <c r="GKM96" s="32"/>
      <c r="GKN96" s="32"/>
      <c r="GKO96" s="32"/>
      <c r="GKP96" s="32"/>
      <c r="GKQ96" s="32"/>
      <c r="GKR96" s="32"/>
      <c r="GKS96" s="32"/>
      <c r="GKT96" s="32"/>
      <c r="GKU96" s="32"/>
      <c r="GKV96" s="32"/>
      <c r="GKW96" s="32"/>
      <c r="GKX96" s="32"/>
      <c r="GKY96" s="32"/>
      <c r="GKZ96" s="32"/>
      <c r="GLA96" s="32"/>
      <c r="GLB96" s="32"/>
      <c r="GLC96" s="32"/>
      <c r="GLD96" s="32"/>
      <c r="GLE96" s="32"/>
      <c r="GLF96" s="32"/>
      <c r="GLG96" s="32"/>
      <c r="GLH96" s="32"/>
      <c r="GLI96" s="32"/>
      <c r="GLJ96" s="32"/>
      <c r="GLK96" s="32"/>
      <c r="GLL96" s="32"/>
      <c r="GLM96" s="32"/>
      <c r="GLN96" s="32"/>
      <c r="GLO96" s="32"/>
      <c r="GLP96" s="32"/>
      <c r="GLQ96" s="32"/>
      <c r="GLR96" s="32"/>
      <c r="GLS96" s="32"/>
      <c r="GLT96" s="32"/>
      <c r="GLU96" s="32"/>
      <c r="GLV96" s="32"/>
      <c r="GLW96" s="32"/>
      <c r="GLX96" s="32"/>
      <c r="GLY96" s="32"/>
      <c r="GLZ96" s="32"/>
      <c r="GMA96" s="32"/>
      <c r="GMB96" s="32"/>
      <c r="GMC96" s="32"/>
      <c r="GMD96" s="32"/>
      <c r="GME96" s="32"/>
      <c r="GMF96" s="32"/>
      <c r="GMG96" s="32"/>
      <c r="GMH96" s="32"/>
      <c r="GMI96" s="32"/>
      <c r="GMJ96" s="32"/>
      <c r="GMK96" s="32"/>
      <c r="GML96" s="32"/>
      <c r="GMM96" s="32"/>
      <c r="GMN96" s="32"/>
      <c r="GMO96" s="32"/>
      <c r="GMP96" s="32"/>
      <c r="GMQ96" s="32"/>
      <c r="GMR96" s="32"/>
      <c r="GMS96" s="32"/>
      <c r="GMT96" s="32"/>
      <c r="GMU96" s="32"/>
      <c r="GMV96" s="32"/>
      <c r="GMW96" s="32"/>
      <c r="GMX96" s="32"/>
      <c r="GMY96" s="32"/>
      <c r="GMZ96" s="32"/>
      <c r="GNA96" s="32"/>
      <c r="GNB96" s="32"/>
      <c r="GNC96" s="32"/>
      <c r="GND96" s="32"/>
      <c r="GNE96" s="32"/>
      <c r="GNF96" s="32"/>
      <c r="GNG96" s="32"/>
      <c r="GNH96" s="32"/>
      <c r="GNI96" s="32"/>
      <c r="GNJ96" s="32"/>
      <c r="GNK96" s="32"/>
      <c r="GNL96" s="32"/>
      <c r="GNM96" s="32"/>
      <c r="GNN96" s="32"/>
      <c r="GNO96" s="32"/>
      <c r="GNP96" s="32"/>
      <c r="GNQ96" s="32"/>
      <c r="GNR96" s="32"/>
      <c r="GNS96" s="32"/>
      <c r="GNT96" s="32"/>
      <c r="GNU96" s="32"/>
      <c r="GNV96" s="32"/>
      <c r="GNW96" s="32"/>
      <c r="GNX96" s="32"/>
      <c r="GNY96" s="32"/>
      <c r="GNZ96" s="32"/>
      <c r="GOA96" s="32"/>
      <c r="GOB96" s="32"/>
      <c r="GOC96" s="32"/>
      <c r="GOD96" s="32"/>
      <c r="GOE96" s="32"/>
      <c r="GOF96" s="32"/>
      <c r="GOG96" s="32"/>
      <c r="GOH96" s="32"/>
      <c r="GOI96" s="32"/>
      <c r="GOJ96" s="32"/>
      <c r="GOK96" s="32"/>
      <c r="GOL96" s="32"/>
      <c r="GOM96" s="32"/>
      <c r="GON96" s="32"/>
      <c r="GOO96" s="32"/>
      <c r="GOP96" s="32"/>
      <c r="GOQ96" s="32"/>
      <c r="GOR96" s="32"/>
      <c r="GOS96" s="32"/>
      <c r="GOT96" s="32"/>
      <c r="GOU96" s="32"/>
      <c r="GOV96" s="32"/>
      <c r="GOW96" s="32"/>
      <c r="GOX96" s="32"/>
      <c r="GOY96" s="32"/>
      <c r="GOZ96" s="32"/>
      <c r="GPA96" s="32"/>
      <c r="GPB96" s="32"/>
      <c r="GPC96" s="32"/>
      <c r="GPD96" s="32"/>
      <c r="GPE96" s="32"/>
      <c r="GPF96" s="32"/>
      <c r="GPG96" s="32"/>
      <c r="GPH96" s="32"/>
      <c r="GPI96" s="32"/>
      <c r="GPJ96" s="32"/>
      <c r="GPK96" s="32"/>
      <c r="GPL96" s="32"/>
      <c r="GPM96" s="32"/>
      <c r="GPN96" s="32"/>
      <c r="GPO96" s="32"/>
      <c r="GPP96" s="32"/>
      <c r="GPQ96" s="32"/>
      <c r="GPR96" s="32"/>
      <c r="GPS96" s="32"/>
      <c r="GPT96" s="32"/>
      <c r="GPU96" s="32"/>
      <c r="GPV96" s="32"/>
      <c r="GPW96" s="32"/>
      <c r="GPX96" s="32"/>
      <c r="GPY96" s="32"/>
      <c r="GPZ96" s="32"/>
      <c r="GQA96" s="32"/>
      <c r="GQB96" s="32"/>
      <c r="GQC96" s="32"/>
      <c r="GQD96" s="32"/>
      <c r="GQE96" s="32"/>
      <c r="GQF96" s="32"/>
      <c r="GQG96" s="32"/>
      <c r="GQH96" s="32"/>
      <c r="GQI96" s="32"/>
      <c r="GQJ96" s="32"/>
      <c r="GQK96" s="32"/>
      <c r="GQL96" s="32"/>
      <c r="GQM96" s="32"/>
      <c r="GQN96" s="32"/>
      <c r="GQO96" s="32"/>
      <c r="GQP96" s="32"/>
      <c r="GQQ96" s="32"/>
      <c r="GQR96" s="32"/>
      <c r="GQS96" s="32"/>
      <c r="GQT96" s="32"/>
      <c r="GQU96" s="32"/>
      <c r="GQV96" s="32"/>
      <c r="GQW96" s="32"/>
      <c r="GQX96" s="32"/>
      <c r="GQY96" s="32"/>
      <c r="GQZ96" s="32"/>
      <c r="GRA96" s="32"/>
      <c r="GRB96" s="32"/>
      <c r="GRC96" s="32"/>
      <c r="GRD96" s="32"/>
      <c r="GRE96" s="32"/>
      <c r="GRF96" s="32"/>
      <c r="GRG96" s="32"/>
      <c r="GRH96" s="32"/>
      <c r="GRI96" s="32"/>
      <c r="GRJ96" s="32"/>
      <c r="GRK96" s="32"/>
      <c r="GRL96" s="32"/>
      <c r="GRM96" s="32"/>
      <c r="GRN96" s="32"/>
      <c r="GRO96" s="32"/>
      <c r="GRP96" s="32"/>
      <c r="GRQ96" s="32"/>
      <c r="GRR96" s="32"/>
      <c r="GRS96" s="32"/>
      <c r="GRT96" s="32"/>
      <c r="GRU96" s="32"/>
      <c r="GRV96" s="32"/>
      <c r="GRW96" s="32"/>
      <c r="GRX96" s="32"/>
      <c r="GRY96" s="32"/>
      <c r="GRZ96" s="32"/>
      <c r="GSA96" s="32"/>
      <c r="GSB96" s="32"/>
      <c r="GSC96" s="32"/>
      <c r="GSD96" s="32"/>
      <c r="GSE96" s="32"/>
      <c r="GSF96" s="32"/>
      <c r="GSG96" s="32"/>
      <c r="GSH96" s="32"/>
      <c r="GSI96" s="32"/>
      <c r="GSJ96" s="32"/>
      <c r="GSK96" s="32"/>
      <c r="GSL96" s="32"/>
      <c r="GSM96" s="32"/>
      <c r="GSN96" s="32"/>
      <c r="GSO96" s="32"/>
      <c r="GSP96" s="32"/>
      <c r="GSQ96" s="32"/>
      <c r="GSR96" s="32"/>
      <c r="GSS96" s="32"/>
      <c r="GST96" s="32"/>
      <c r="GSU96" s="32"/>
      <c r="GSV96" s="32"/>
      <c r="GSW96" s="32"/>
      <c r="GSX96" s="32"/>
      <c r="GSY96" s="32"/>
      <c r="GSZ96" s="32"/>
      <c r="GTA96" s="32"/>
      <c r="GTB96" s="32"/>
      <c r="GTC96" s="32"/>
      <c r="GTD96" s="32"/>
      <c r="GTE96" s="32"/>
      <c r="GTF96" s="32"/>
      <c r="GTG96" s="32"/>
      <c r="GTH96" s="32"/>
      <c r="GTI96" s="32"/>
      <c r="GTJ96" s="32"/>
      <c r="GTK96" s="32"/>
      <c r="GTL96" s="32"/>
      <c r="GTM96" s="32"/>
      <c r="GTN96" s="32"/>
      <c r="GTO96" s="32"/>
      <c r="GTP96" s="32"/>
      <c r="GTQ96" s="32"/>
      <c r="GTR96" s="32"/>
      <c r="GTS96" s="32"/>
      <c r="GTT96" s="32"/>
      <c r="GTU96" s="32"/>
      <c r="GTV96" s="32"/>
      <c r="GTW96" s="32"/>
      <c r="GTX96" s="32"/>
      <c r="GTY96" s="32"/>
      <c r="GTZ96" s="32"/>
      <c r="GUA96" s="32"/>
      <c r="GUB96" s="32"/>
      <c r="GUC96" s="32"/>
      <c r="GUD96" s="32"/>
      <c r="GUE96" s="32"/>
      <c r="GUF96" s="32"/>
      <c r="GUG96" s="32"/>
      <c r="GUH96" s="32"/>
      <c r="GUI96" s="32"/>
      <c r="GUJ96" s="32"/>
      <c r="GUK96" s="32"/>
      <c r="GUL96" s="32"/>
      <c r="GUM96" s="32"/>
      <c r="GUN96" s="32"/>
      <c r="GUO96" s="32"/>
      <c r="GUP96" s="32"/>
      <c r="GUQ96" s="32"/>
      <c r="GUR96" s="32"/>
      <c r="GUS96" s="32"/>
      <c r="GUT96" s="32"/>
      <c r="GUU96" s="32"/>
      <c r="GUV96" s="32"/>
      <c r="GUW96" s="32"/>
      <c r="GUX96" s="32"/>
      <c r="GUY96" s="32"/>
      <c r="GUZ96" s="32"/>
      <c r="GVA96" s="32"/>
      <c r="GVB96" s="32"/>
      <c r="GVC96" s="32"/>
      <c r="GVD96" s="32"/>
      <c r="GVE96" s="32"/>
      <c r="GVF96" s="32"/>
      <c r="GVG96" s="32"/>
      <c r="GVH96" s="32"/>
      <c r="GVI96" s="32"/>
      <c r="GVJ96" s="32"/>
      <c r="GVK96" s="32"/>
      <c r="GVL96" s="32"/>
      <c r="GVM96" s="32"/>
      <c r="GVN96" s="32"/>
      <c r="GVO96" s="32"/>
      <c r="GVP96" s="32"/>
      <c r="GVQ96" s="32"/>
      <c r="GVR96" s="32"/>
      <c r="GVS96" s="32"/>
      <c r="GVT96" s="32"/>
      <c r="GVU96" s="32"/>
      <c r="GVV96" s="32"/>
      <c r="GVW96" s="32"/>
      <c r="GVX96" s="32"/>
      <c r="GVY96" s="32"/>
      <c r="GVZ96" s="32"/>
      <c r="GWA96" s="32"/>
      <c r="GWB96" s="32"/>
      <c r="GWC96" s="32"/>
      <c r="GWD96" s="32"/>
      <c r="GWE96" s="32"/>
      <c r="GWF96" s="32"/>
      <c r="GWG96" s="32"/>
      <c r="GWH96" s="32"/>
      <c r="GWI96" s="32"/>
      <c r="GWJ96" s="32"/>
      <c r="GWK96" s="32"/>
      <c r="GWL96" s="32"/>
      <c r="GWM96" s="32"/>
      <c r="GWN96" s="32"/>
      <c r="GWO96" s="32"/>
      <c r="GWP96" s="32"/>
      <c r="GWQ96" s="32"/>
      <c r="GWR96" s="32"/>
      <c r="GWS96" s="32"/>
      <c r="GWT96" s="32"/>
      <c r="GWU96" s="32"/>
      <c r="GWV96" s="32"/>
      <c r="GWW96" s="32"/>
      <c r="GWX96" s="32"/>
      <c r="GWY96" s="32"/>
      <c r="GWZ96" s="32"/>
      <c r="GXA96" s="32"/>
      <c r="GXB96" s="32"/>
      <c r="GXC96" s="32"/>
      <c r="GXD96" s="32"/>
      <c r="GXE96" s="32"/>
      <c r="GXF96" s="32"/>
      <c r="GXG96" s="32"/>
      <c r="GXH96" s="32"/>
      <c r="GXI96" s="32"/>
      <c r="GXJ96" s="32"/>
      <c r="GXK96" s="32"/>
      <c r="GXL96" s="32"/>
      <c r="GXM96" s="32"/>
      <c r="GXN96" s="32"/>
      <c r="GXO96" s="32"/>
      <c r="GXP96" s="32"/>
      <c r="GXQ96" s="32"/>
      <c r="GXR96" s="32"/>
      <c r="GXS96" s="32"/>
      <c r="GXT96" s="32"/>
      <c r="GXU96" s="32"/>
      <c r="GXV96" s="32"/>
      <c r="GXW96" s="32"/>
      <c r="GXX96" s="32"/>
      <c r="GXY96" s="32"/>
      <c r="GXZ96" s="32"/>
      <c r="GYA96" s="32"/>
      <c r="GYB96" s="32"/>
      <c r="GYC96" s="32"/>
      <c r="GYD96" s="32"/>
      <c r="GYE96" s="32"/>
      <c r="GYF96" s="32"/>
      <c r="GYG96" s="32"/>
      <c r="GYH96" s="32"/>
      <c r="GYI96" s="32"/>
      <c r="GYJ96" s="32"/>
      <c r="GYK96" s="32"/>
      <c r="GYL96" s="32"/>
      <c r="GYM96" s="32"/>
      <c r="GYN96" s="32"/>
      <c r="GYO96" s="32"/>
      <c r="GYP96" s="32"/>
      <c r="GYQ96" s="32"/>
      <c r="GYR96" s="32"/>
      <c r="GYS96" s="32"/>
      <c r="GYT96" s="32"/>
      <c r="GYU96" s="32"/>
      <c r="GYV96" s="32"/>
      <c r="GYW96" s="32"/>
      <c r="GYX96" s="32"/>
      <c r="GYY96" s="32"/>
      <c r="GYZ96" s="32"/>
      <c r="GZA96" s="32"/>
      <c r="GZB96" s="32"/>
      <c r="GZC96" s="32"/>
      <c r="GZD96" s="32"/>
      <c r="GZE96" s="32"/>
      <c r="GZF96" s="32"/>
      <c r="GZG96" s="32"/>
      <c r="GZH96" s="32"/>
      <c r="GZI96" s="32"/>
      <c r="GZJ96" s="32"/>
      <c r="GZK96" s="32"/>
      <c r="GZL96" s="32"/>
      <c r="GZM96" s="32"/>
      <c r="GZN96" s="32"/>
      <c r="GZO96" s="32"/>
      <c r="GZP96" s="32"/>
      <c r="GZQ96" s="32"/>
      <c r="GZR96" s="32"/>
      <c r="GZS96" s="32"/>
      <c r="GZT96" s="32"/>
      <c r="GZU96" s="32"/>
      <c r="GZV96" s="32"/>
      <c r="GZW96" s="32"/>
      <c r="GZX96" s="32"/>
      <c r="GZY96" s="32"/>
      <c r="GZZ96" s="32"/>
      <c r="HAA96" s="32"/>
      <c r="HAB96" s="32"/>
      <c r="HAC96" s="32"/>
      <c r="HAD96" s="32"/>
      <c r="HAE96" s="32"/>
      <c r="HAF96" s="32"/>
      <c r="HAG96" s="32"/>
      <c r="HAH96" s="32"/>
      <c r="HAI96" s="32"/>
      <c r="HAJ96" s="32"/>
      <c r="HAK96" s="32"/>
      <c r="HAL96" s="32"/>
      <c r="HAM96" s="32"/>
      <c r="HAN96" s="32"/>
      <c r="HAO96" s="32"/>
      <c r="HAP96" s="32"/>
      <c r="HAQ96" s="32"/>
      <c r="HAR96" s="32"/>
      <c r="HAS96" s="32"/>
      <c r="HAT96" s="32"/>
      <c r="HAU96" s="32"/>
      <c r="HAV96" s="32"/>
      <c r="HAW96" s="32"/>
      <c r="HAX96" s="32"/>
      <c r="HAY96" s="32"/>
      <c r="HAZ96" s="32"/>
      <c r="HBA96" s="32"/>
      <c r="HBB96" s="32"/>
      <c r="HBC96" s="32"/>
      <c r="HBD96" s="32"/>
      <c r="HBE96" s="32"/>
      <c r="HBF96" s="32"/>
      <c r="HBG96" s="32"/>
      <c r="HBH96" s="32"/>
      <c r="HBI96" s="32"/>
      <c r="HBJ96" s="32"/>
      <c r="HBK96" s="32"/>
      <c r="HBL96" s="32"/>
      <c r="HBM96" s="32"/>
      <c r="HBN96" s="32"/>
      <c r="HBO96" s="32"/>
      <c r="HBP96" s="32"/>
      <c r="HBQ96" s="32"/>
      <c r="HBR96" s="32"/>
      <c r="HBS96" s="32"/>
      <c r="HBT96" s="32"/>
      <c r="HBU96" s="32"/>
      <c r="HBV96" s="32"/>
      <c r="HBW96" s="32"/>
      <c r="HBX96" s="32"/>
      <c r="HBY96" s="32"/>
      <c r="HBZ96" s="32"/>
      <c r="HCA96" s="32"/>
      <c r="HCB96" s="32"/>
      <c r="HCC96" s="32"/>
      <c r="HCD96" s="32"/>
      <c r="HCE96" s="32"/>
      <c r="HCF96" s="32"/>
      <c r="HCG96" s="32"/>
      <c r="HCH96" s="32"/>
      <c r="HCI96" s="32"/>
      <c r="HCJ96" s="32"/>
      <c r="HCK96" s="32"/>
      <c r="HCL96" s="32"/>
      <c r="HCM96" s="32"/>
      <c r="HCN96" s="32"/>
      <c r="HCO96" s="32"/>
      <c r="HCP96" s="32"/>
      <c r="HCQ96" s="32"/>
      <c r="HCR96" s="32"/>
      <c r="HCS96" s="32"/>
      <c r="HCT96" s="32"/>
      <c r="HCU96" s="32"/>
      <c r="HCV96" s="32"/>
      <c r="HCW96" s="32"/>
      <c r="HCX96" s="32"/>
      <c r="HCY96" s="32"/>
      <c r="HCZ96" s="32"/>
      <c r="HDA96" s="32"/>
      <c r="HDB96" s="32"/>
      <c r="HDC96" s="32"/>
      <c r="HDD96" s="32"/>
      <c r="HDE96" s="32"/>
      <c r="HDF96" s="32"/>
      <c r="HDG96" s="32"/>
      <c r="HDH96" s="32"/>
      <c r="HDI96" s="32"/>
      <c r="HDJ96" s="32"/>
      <c r="HDK96" s="32"/>
      <c r="HDL96" s="32"/>
      <c r="HDM96" s="32"/>
      <c r="HDN96" s="32"/>
      <c r="HDO96" s="32"/>
      <c r="HDP96" s="32"/>
      <c r="HDQ96" s="32"/>
      <c r="HDR96" s="32"/>
      <c r="HDS96" s="32"/>
      <c r="HDT96" s="32"/>
      <c r="HDU96" s="32"/>
      <c r="HDV96" s="32"/>
      <c r="HDW96" s="32"/>
      <c r="HDX96" s="32"/>
      <c r="HDY96" s="32"/>
      <c r="HDZ96" s="32"/>
      <c r="HEA96" s="32"/>
      <c r="HEB96" s="32"/>
      <c r="HEC96" s="32"/>
      <c r="HED96" s="32"/>
      <c r="HEE96" s="32"/>
      <c r="HEF96" s="32"/>
      <c r="HEG96" s="32"/>
      <c r="HEH96" s="32"/>
      <c r="HEI96" s="32"/>
      <c r="HEJ96" s="32"/>
      <c r="HEK96" s="32"/>
      <c r="HEL96" s="32"/>
      <c r="HEM96" s="32"/>
      <c r="HEN96" s="32"/>
      <c r="HEO96" s="32"/>
      <c r="HEP96" s="32"/>
      <c r="HEQ96" s="32"/>
      <c r="HER96" s="32"/>
      <c r="HES96" s="32"/>
      <c r="HET96" s="32"/>
      <c r="HEU96" s="32"/>
      <c r="HEV96" s="32"/>
      <c r="HEW96" s="32"/>
      <c r="HEX96" s="32"/>
      <c r="HEY96" s="32"/>
      <c r="HEZ96" s="32"/>
      <c r="HFA96" s="32"/>
      <c r="HFB96" s="32"/>
      <c r="HFC96" s="32"/>
      <c r="HFD96" s="32"/>
      <c r="HFE96" s="32"/>
      <c r="HFF96" s="32"/>
      <c r="HFG96" s="32"/>
      <c r="HFH96" s="32"/>
      <c r="HFI96" s="32"/>
      <c r="HFJ96" s="32"/>
      <c r="HFK96" s="32"/>
      <c r="HFL96" s="32"/>
      <c r="HFM96" s="32"/>
      <c r="HFN96" s="32"/>
      <c r="HFO96" s="32"/>
      <c r="HFP96" s="32"/>
      <c r="HFQ96" s="32"/>
      <c r="HFR96" s="32"/>
      <c r="HFS96" s="32"/>
      <c r="HFT96" s="32"/>
      <c r="HFU96" s="32"/>
      <c r="HFV96" s="32"/>
      <c r="HFW96" s="32"/>
      <c r="HFX96" s="32"/>
      <c r="HFY96" s="32"/>
      <c r="HFZ96" s="32"/>
      <c r="HGA96" s="32"/>
      <c r="HGB96" s="32"/>
      <c r="HGC96" s="32"/>
      <c r="HGD96" s="32"/>
      <c r="HGE96" s="32"/>
      <c r="HGF96" s="32"/>
      <c r="HGG96" s="32"/>
      <c r="HGH96" s="32"/>
      <c r="HGI96" s="32"/>
      <c r="HGJ96" s="32"/>
      <c r="HGK96" s="32"/>
      <c r="HGL96" s="32"/>
      <c r="HGM96" s="32"/>
      <c r="HGN96" s="32"/>
      <c r="HGO96" s="32"/>
      <c r="HGP96" s="32"/>
      <c r="HGQ96" s="32"/>
      <c r="HGR96" s="32"/>
      <c r="HGS96" s="32"/>
      <c r="HGT96" s="32"/>
      <c r="HGU96" s="32"/>
      <c r="HGV96" s="32"/>
      <c r="HGW96" s="32"/>
      <c r="HGX96" s="32"/>
      <c r="HGY96" s="32"/>
      <c r="HGZ96" s="32"/>
      <c r="HHA96" s="32"/>
      <c r="HHB96" s="32"/>
      <c r="HHC96" s="32"/>
      <c r="HHD96" s="32"/>
      <c r="HHE96" s="32"/>
      <c r="HHF96" s="32"/>
      <c r="HHG96" s="32"/>
      <c r="HHH96" s="32"/>
      <c r="HHI96" s="32"/>
      <c r="HHJ96" s="32"/>
      <c r="HHK96" s="32"/>
      <c r="HHL96" s="32"/>
      <c r="HHM96" s="32"/>
      <c r="HHN96" s="32"/>
      <c r="HHO96" s="32"/>
      <c r="HHP96" s="32"/>
      <c r="HHQ96" s="32"/>
      <c r="HHR96" s="32"/>
      <c r="HHS96" s="32"/>
      <c r="HHT96" s="32"/>
      <c r="HHU96" s="32"/>
      <c r="HHV96" s="32"/>
      <c r="HHW96" s="32"/>
      <c r="HHX96" s="32"/>
      <c r="HHY96" s="32"/>
      <c r="HHZ96" s="32"/>
      <c r="HIA96" s="32"/>
      <c r="HIB96" s="32"/>
      <c r="HIC96" s="32"/>
      <c r="HID96" s="32"/>
      <c r="HIE96" s="32"/>
      <c r="HIF96" s="32"/>
      <c r="HIG96" s="32"/>
      <c r="HIH96" s="32"/>
      <c r="HII96" s="32"/>
      <c r="HIJ96" s="32"/>
      <c r="HIK96" s="32"/>
      <c r="HIL96" s="32"/>
      <c r="HIM96" s="32"/>
      <c r="HIN96" s="32"/>
      <c r="HIO96" s="32"/>
      <c r="HIP96" s="32"/>
      <c r="HIQ96" s="32"/>
      <c r="HIR96" s="32"/>
      <c r="HIS96" s="32"/>
      <c r="HIT96" s="32"/>
      <c r="HIU96" s="32"/>
      <c r="HIV96" s="32"/>
      <c r="HIW96" s="32"/>
      <c r="HIX96" s="32"/>
      <c r="HIY96" s="32"/>
      <c r="HIZ96" s="32"/>
      <c r="HJA96" s="32"/>
      <c r="HJB96" s="32"/>
      <c r="HJC96" s="32"/>
      <c r="HJD96" s="32"/>
      <c r="HJE96" s="32"/>
      <c r="HJF96" s="32"/>
      <c r="HJG96" s="32"/>
      <c r="HJH96" s="32"/>
      <c r="HJI96" s="32"/>
      <c r="HJJ96" s="32"/>
      <c r="HJK96" s="32"/>
      <c r="HJL96" s="32"/>
      <c r="HJM96" s="32"/>
      <c r="HJN96" s="32"/>
      <c r="HJO96" s="32"/>
      <c r="HJP96" s="32"/>
      <c r="HJQ96" s="32"/>
      <c r="HJR96" s="32"/>
      <c r="HJS96" s="32"/>
      <c r="HJT96" s="32"/>
      <c r="HJU96" s="32"/>
      <c r="HJV96" s="32"/>
      <c r="HJW96" s="32"/>
      <c r="HJX96" s="32"/>
      <c r="HJY96" s="32"/>
      <c r="HJZ96" s="32"/>
      <c r="HKA96" s="32"/>
      <c r="HKB96" s="32"/>
      <c r="HKC96" s="32"/>
      <c r="HKD96" s="32"/>
      <c r="HKE96" s="32"/>
      <c r="HKF96" s="32"/>
      <c r="HKG96" s="32"/>
      <c r="HKH96" s="32"/>
      <c r="HKI96" s="32"/>
      <c r="HKJ96" s="32"/>
      <c r="HKK96" s="32"/>
      <c r="HKL96" s="32"/>
      <c r="HKM96" s="32"/>
      <c r="HKN96" s="32"/>
      <c r="HKO96" s="32"/>
      <c r="HKP96" s="32"/>
      <c r="HKQ96" s="32"/>
      <c r="HKR96" s="32"/>
      <c r="HKS96" s="32"/>
      <c r="HKT96" s="32"/>
      <c r="HKU96" s="32"/>
      <c r="HKV96" s="32"/>
      <c r="HKW96" s="32"/>
      <c r="HKX96" s="32"/>
      <c r="HKY96" s="32"/>
      <c r="HKZ96" s="32"/>
      <c r="HLA96" s="32"/>
      <c r="HLB96" s="32"/>
      <c r="HLC96" s="32"/>
      <c r="HLD96" s="32"/>
      <c r="HLE96" s="32"/>
      <c r="HLF96" s="32"/>
      <c r="HLG96" s="32"/>
      <c r="HLH96" s="32"/>
      <c r="HLI96" s="32"/>
      <c r="HLJ96" s="32"/>
      <c r="HLK96" s="32"/>
      <c r="HLL96" s="32"/>
      <c r="HLM96" s="32"/>
      <c r="HLN96" s="32"/>
      <c r="HLO96" s="32"/>
      <c r="HLP96" s="32"/>
      <c r="HLQ96" s="32"/>
      <c r="HLR96" s="32"/>
      <c r="HLS96" s="32"/>
      <c r="HLT96" s="32"/>
      <c r="HLU96" s="32"/>
      <c r="HLV96" s="32"/>
      <c r="HLW96" s="32"/>
      <c r="HLX96" s="32"/>
      <c r="HLY96" s="32"/>
      <c r="HLZ96" s="32"/>
      <c r="HMA96" s="32"/>
      <c r="HMB96" s="32"/>
      <c r="HMC96" s="32"/>
      <c r="HMD96" s="32"/>
      <c r="HME96" s="32"/>
      <c r="HMF96" s="32"/>
      <c r="HMG96" s="32"/>
      <c r="HMH96" s="32"/>
      <c r="HMI96" s="32"/>
      <c r="HMJ96" s="32"/>
      <c r="HMK96" s="32"/>
      <c r="HML96" s="32"/>
      <c r="HMM96" s="32"/>
      <c r="HMN96" s="32"/>
      <c r="HMO96" s="32"/>
      <c r="HMP96" s="32"/>
      <c r="HMQ96" s="32"/>
      <c r="HMR96" s="32"/>
      <c r="HMS96" s="32"/>
      <c r="HMT96" s="32"/>
      <c r="HMU96" s="32"/>
      <c r="HMV96" s="32"/>
      <c r="HMW96" s="32"/>
      <c r="HMX96" s="32"/>
      <c r="HMY96" s="32"/>
      <c r="HMZ96" s="32"/>
      <c r="HNA96" s="32"/>
      <c r="HNB96" s="32"/>
      <c r="HNC96" s="32"/>
      <c r="HND96" s="32"/>
      <c r="HNE96" s="32"/>
      <c r="HNF96" s="32"/>
      <c r="HNG96" s="32"/>
      <c r="HNH96" s="32"/>
      <c r="HNI96" s="32"/>
      <c r="HNJ96" s="32"/>
      <c r="HNK96" s="32"/>
      <c r="HNL96" s="32"/>
      <c r="HNM96" s="32"/>
      <c r="HNN96" s="32"/>
      <c r="HNO96" s="32"/>
      <c r="HNP96" s="32"/>
      <c r="HNQ96" s="32"/>
      <c r="HNR96" s="32"/>
      <c r="HNS96" s="32"/>
      <c r="HNT96" s="32"/>
      <c r="HNU96" s="32"/>
      <c r="HNV96" s="32"/>
      <c r="HNW96" s="32"/>
      <c r="HNX96" s="32"/>
      <c r="HNY96" s="32"/>
      <c r="HNZ96" s="32"/>
      <c r="HOA96" s="32"/>
      <c r="HOB96" s="32"/>
      <c r="HOC96" s="32"/>
      <c r="HOD96" s="32"/>
      <c r="HOE96" s="32"/>
      <c r="HOF96" s="32"/>
      <c r="HOG96" s="32"/>
      <c r="HOH96" s="32"/>
      <c r="HOI96" s="32"/>
      <c r="HOJ96" s="32"/>
      <c r="HOK96" s="32"/>
      <c r="HOL96" s="32"/>
      <c r="HOM96" s="32"/>
      <c r="HON96" s="32"/>
      <c r="HOO96" s="32"/>
      <c r="HOP96" s="32"/>
      <c r="HOQ96" s="32"/>
      <c r="HOR96" s="32"/>
      <c r="HOS96" s="32"/>
      <c r="HOT96" s="32"/>
      <c r="HOU96" s="32"/>
      <c r="HOV96" s="32"/>
      <c r="HOW96" s="32"/>
      <c r="HOX96" s="32"/>
      <c r="HOY96" s="32"/>
      <c r="HOZ96" s="32"/>
      <c r="HPA96" s="32"/>
      <c r="HPB96" s="32"/>
      <c r="HPC96" s="32"/>
      <c r="HPD96" s="32"/>
      <c r="HPE96" s="32"/>
      <c r="HPF96" s="32"/>
      <c r="HPG96" s="32"/>
      <c r="HPH96" s="32"/>
      <c r="HPI96" s="32"/>
      <c r="HPJ96" s="32"/>
      <c r="HPK96" s="32"/>
      <c r="HPL96" s="32"/>
      <c r="HPM96" s="32"/>
      <c r="HPN96" s="32"/>
      <c r="HPO96" s="32"/>
      <c r="HPP96" s="32"/>
      <c r="HPQ96" s="32"/>
      <c r="HPR96" s="32"/>
      <c r="HPS96" s="32"/>
      <c r="HPT96" s="32"/>
      <c r="HPU96" s="32"/>
      <c r="HPV96" s="32"/>
      <c r="HPW96" s="32"/>
      <c r="HPX96" s="32"/>
      <c r="HPY96" s="32"/>
      <c r="HPZ96" s="32"/>
      <c r="HQA96" s="32"/>
      <c r="HQB96" s="32"/>
      <c r="HQC96" s="32"/>
      <c r="HQD96" s="32"/>
      <c r="HQE96" s="32"/>
      <c r="HQF96" s="32"/>
      <c r="HQG96" s="32"/>
      <c r="HQH96" s="32"/>
      <c r="HQI96" s="32"/>
      <c r="HQJ96" s="32"/>
      <c r="HQK96" s="32"/>
      <c r="HQL96" s="32"/>
      <c r="HQM96" s="32"/>
      <c r="HQN96" s="32"/>
      <c r="HQO96" s="32"/>
      <c r="HQP96" s="32"/>
      <c r="HQQ96" s="32"/>
      <c r="HQR96" s="32"/>
      <c r="HQS96" s="32"/>
      <c r="HQT96" s="32"/>
      <c r="HQU96" s="32"/>
      <c r="HQV96" s="32"/>
      <c r="HQW96" s="32"/>
      <c r="HQX96" s="32"/>
      <c r="HQY96" s="32"/>
      <c r="HQZ96" s="32"/>
      <c r="HRA96" s="32"/>
      <c r="HRB96" s="32"/>
      <c r="HRC96" s="32"/>
      <c r="HRD96" s="32"/>
      <c r="HRE96" s="32"/>
      <c r="HRF96" s="32"/>
      <c r="HRG96" s="32"/>
      <c r="HRH96" s="32"/>
      <c r="HRI96" s="32"/>
      <c r="HRJ96" s="32"/>
      <c r="HRK96" s="32"/>
      <c r="HRL96" s="32"/>
      <c r="HRM96" s="32"/>
      <c r="HRN96" s="32"/>
      <c r="HRO96" s="32"/>
      <c r="HRP96" s="32"/>
      <c r="HRQ96" s="32"/>
      <c r="HRR96" s="32"/>
      <c r="HRS96" s="32"/>
      <c r="HRT96" s="32"/>
      <c r="HRU96" s="32"/>
      <c r="HRV96" s="32"/>
      <c r="HRW96" s="32"/>
      <c r="HRX96" s="32"/>
      <c r="HRY96" s="32"/>
      <c r="HRZ96" s="32"/>
      <c r="HSA96" s="32"/>
      <c r="HSB96" s="32"/>
      <c r="HSC96" s="32"/>
      <c r="HSD96" s="32"/>
      <c r="HSE96" s="32"/>
      <c r="HSF96" s="32"/>
      <c r="HSG96" s="32"/>
      <c r="HSH96" s="32"/>
      <c r="HSI96" s="32"/>
      <c r="HSJ96" s="32"/>
      <c r="HSK96" s="32"/>
      <c r="HSL96" s="32"/>
      <c r="HSM96" s="32"/>
      <c r="HSN96" s="32"/>
      <c r="HSO96" s="32"/>
      <c r="HSP96" s="32"/>
      <c r="HSQ96" s="32"/>
      <c r="HSR96" s="32"/>
      <c r="HSS96" s="32"/>
      <c r="HST96" s="32"/>
      <c r="HSU96" s="32"/>
      <c r="HSV96" s="32"/>
      <c r="HSW96" s="32"/>
      <c r="HSX96" s="32"/>
      <c r="HSY96" s="32"/>
      <c r="HSZ96" s="32"/>
      <c r="HTA96" s="32"/>
      <c r="HTB96" s="32"/>
      <c r="HTC96" s="32"/>
      <c r="HTD96" s="32"/>
      <c r="HTE96" s="32"/>
      <c r="HTF96" s="32"/>
      <c r="HTG96" s="32"/>
      <c r="HTH96" s="32"/>
      <c r="HTI96" s="32"/>
      <c r="HTJ96" s="32"/>
      <c r="HTK96" s="32"/>
      <c r="HTL96" s="32"/>
      <c r="HTM96" s="32"/>
      <c r="HTN96" s="32"/>
      <c r="HTO96" s="32"/>
      <c r="HTP96" s="32"/>
      <c r="HTQ96" s="32"/>
      <c r="HTR96" s="32"/>
      <c r="HTS96" s="32"/>
      <c r="HTT96" s="32"/>
      <c r="HTU96" s="32"/>
      <c r="HTV96" s="32"/>
      <c r="HTW96" s="32"/>
      <c r="HTX96" s="32"/>
      <c r="HTY96" s="32"/>
      <c r="HTZ96" s="32"/>
      <c r="HUA96" s="32"/>
      <c r="HUB96" s="32"/>
      <c r="HUC96" s="32"/>
      <c r="HUD96" s="32"/>
      <c r="HUE96" s="32"/>
      <c r="HUF96" s="32"/>
      <c r="HUG96" s="32"/>
      <c r="HUH96" s="32"/>
      <c r="HUI96" s="32"/>
      <c r="HUJ96" s="32"/>
      <c r="HUK96" s="32"/>
      <c r="HUL96" s="32"/>
      <c r="HUM96" s="32"/>
      <c r="HUN96" s="32"/>
      <c r="HUO96" s="32"/>
      <c r="HUP96" s="32"/>
      <c r="HUQ96" s="32"/>
      <c r="HUR96" s="32"/>
      <c r="HUS96" s="32"/>
      <c r="HUT96" s="32"/>
      <c r="HUU96" s="32"/>
      <c r="HUV96" s="32"/>
      <c r="HUW96" s="32"/>
      <c r="HUX96" s="32"/>
      <c r="HUY96" s="32"/>
      <c r="HUZ96" s="32"/>
      <c r="HVA96" s="32"/>
      <c r="HVB96" s="32"/>
      <c r="HVC96" s="32"/>
      <c r="HVD96" s="32"/>
      <c r="HVE96" s="32"/>
      <c r="HVF96" s="32"/>
      <c r="HVG96" s="32"/>
      <c r="HVH96" s="32"/>
      <c r="HVI96" s="32"/>
      <c r="HVJ96" s="32"/>
      <c r="HVK96" s="32"/>
      <c r="HVL96" s="32"/>
      <c r="HVM96" s="32"/>
      <c r="HVN96" s="32"/>
      <c r="HVO96" s="32"/>
      <c r="HVP96" s="32"/>
      <c r="HVQ96" s="32"/>
      <c r="HVR96" s="32"/>
      <c r="HVS96" s="32"/>
      <c r="HVT96" s="32"/>
      <c r="HVU96" s="32"/>
      <c r="HVV96" s="32"/>
      <c r="HVW96" s="32"/>
      <c r="HVX96" s="32"/>
      <c r="HVY96" s="32"/>
      <c r="HVZ96" s="32"/>
      <c r="HWA96" s="32"/>
      <c r="HWB96" s="32"/>
      <c r="HWC96" s="32"/>
      <c r="HWD96" s="32"/>
      <c r="HWE96" s="32"/>
      <c r="HWF96" s="32"/>
      <c r="HWG96" s="32"/>
      <c r="HWH96" s="32"/>
      <c r="HWI96" s="32"/>
      <c r="HWJ96" s="32"/>
      <c r="HWK96" s="32"/>
      <c r="HWL96" s="32"/>
      <c r="HWM96" s="32"/>
      <c r="HWN96" s="32"/>
      <c r="HWO96" s="32"/>
      <c r="HWP96" s="32"/>
      <c r="HWQ96" s="32"/>
      <c r="HWR96" s="32"/>
      <c r="HWS96" s="32"/>
      <c r="HWT96" s="32"/>
      <c r="HWU96" s="32"/>
      <c r="HWV96" s="32"/>
      <c r="HWW96" s="32"/>
      <c r="HWX96" s="32"/>
      <c r="HWY96" s="32"/>
      <c r="HWZ96" s="32"/>
      <c r="HXA96" s="32"/>
      <c r="HXB96" s="32"/>
      <c r="HXC96" s="32"/>
      <c r="HXD96" s="32"/>
      <c r="HXE96" s="32"/>
      <c r="HXF96" s="32"/>
      <c r="HXG96" s="32"/>
      <c r="HXH96" s="32"/>
      <c r="HXI96" s="32"/>
      <c r="HXJ96" s="32"/>
      <c r="HXK96" s="32"/>
      <c r="HXL96" s="32"/>
      <c r="HXM96" s="32"/>
      <c r="HXN96" s="32"/>
      <c r="HXO96" s="32"/>
      <c r="HXP96" s="32"/>
      <c r="HXQ96" s="32"/>
      <c r="HXR96" s="32"/>
      <c r="HXS96" s="32"/>
      <c r="HXT96" s="32"/>
      <c r="HXU96" s="32"/>
      <c r="HXV96" s="32"/>
      <c r="HXW96" s="32"/>
      <c r="HXX96" s="32"/>
      <c r="HXY96" s="32"/>
      <c r="HXZ96" s="32"/>
      <c r="HYA96" s="32"/>
      <c r="HYB96" s="32"/>
      <c r="HYC96" s="32"/>
      <c r="HYD96" s="32"/>
      <c r="HYE96" s="32"/>
      <c r="HYF96" s="32"/>
      <c r="HYG96" s="32"/>
      <c r="HYH96" s="32"/>
      <c r="HYI96" s="32"/>
      <c r="HYJ96" s="32"/>
      <c r="HYK96" s="32"/>
      <c r="HYL96" s="32"/>
      <c r="HYM96" s="32"/>
      <c r="HYN96" s="32"/>
      <c r="HYO96" s="32"/>
      <c r="HYP96" s="32"/>
      <c r="HYQ96" s="32"/>
      <c r="HYR96" s="32"/>
      <c r="HYS96" s="32"/>
      <c r="HYT96" s="32"/>
      <c r="HYU96" s="32"/>
      <c r="HYV96" s="32"/>
      <c r="HYW96" s="32"/>
      <c r="HYX96" s="32"/>
      <c r="HYY96" s="32"/>
      <c r="HYZ96" s="32"/>
      <c r="HZA96" s="32"/>
      <c r="HZB96" s="32"/>
      <c r="HZC96" s="32"/>
      <c r="HZD96" s="32"/>
      <c r="HZE96" s="32"/>
      <c r="HZF96" s="32"/>
      <c r="HZG96" s="32"/>
      <c r="HZH96" s="32"/>
      <c r="HZI96" s="32"/>
      <c r="HZJ96" s="32"/>
      <c r="HZK96" s="32"/>
      <c r="HZL96" s="32"/>
      <c r="HZM96" s="32"/>
      <c r="HZN96" s="32"/>
      <c r="HZO96" s="32"/>
      <c r="HZP96" s="32"/>
      <c r="HZQ96" s="32"/>
      <c r="HZR96" s="32"/>
      <c r="HZS96" s="32"/>
      <c r="HZT96" s="32"/>
      <c r="HZU96" s="32"/>
      <c r="HZV96" s="32"/>
      <c r="HZW96" s="32"/>
      <c r="HZX96" s="32"/>
      <c r="HZY96" s="32"/>
      <c r="HZZ96" s="32"/>
      <c r="IAA96" s="32"/>
      <c r="IAB96" s="32"/>
      <c r="IAC96" s="32"/>
      <c r="IAD96" s="32"/>
      <c r="IAE96" s="32"/>
      <c r="IAF96" s="32"/>
      <c r="IAG96" s="32"/>
      <c r="IAH96" s="32"/>
      <c r="IAI96" s="32"/>
      <c r="IAJ96" s="32"/>
      <c r="IAK96" s="32"/>
      <c r="IAL96" s="32"/>
      <c r="IAM96" s="32"/>
      <c r="IAN96" s="32"/>
      <c r="IAO96" s="32"/>
      <c r="IAP96" s="32"/>
      <c r="IAQ96" s="32"/>
      <c r="IAR96" s="32"/>
      <c r="IAS96" s="32"/>
      <c r="IAT96" s="32"/>
      <c r="IAU96" s="32"/>
      <c r="IAV96" s="32"/>
      <c r="IAW96" s="32"/>
      <c r="IAX96" s="32"/>
      <c r="IAY96" s="32"/>
      <c r="IAZ96" s="32"/>
      <c r="IBA96" s="32"/>
      <c r="IBB96" s="32"/>
      <c r="IBC96" s="32"/>
      <c r="IBD96" s="32"/>
      <c r="IBE96" s="32"/>
      <c r="IBF96" s="32"/>
      <c r="IBG96" s="32"/>
      <c r="IBH96" s="32"/>
      <c r="IBI96" s="32"/>
      <c r="IBJ96" s="32"/>
      <c r="IBK96" s="32"/>
      <c r="IBL96" s="32"/>
      <c r="IBM96" s="32"/>
      <c r="IBN96" s="32"/>
      <c r="IBO96" s="32"/>
      <c r="IBP96" s="32"/>
      <c r="IBQ96" s="32"/>
      <c r="IBR96" s="32"/>
      <c r="IBS96" s="32"/>
      <c r="IBT96" s="32"/>
      <c r="IBU96" s="32"/>
      <c r="IBV96" s="32"/>
      <c r="IBW96" s="32"/>
      <c r="IBX96" s="32"/>
      <c r="IBY96" s="32"/>
      <c r="IBZ96" s="32"/>
      <c r="ICA96" s="32"/>
      <c r="ICB96" s="32"/>
      <c r="ICC96" s="32"/>
      <c r="ICD96" s="32"/>
      <c r="ICE96" s="32"/>
      <c r="ICF96" s="32"/>
      <c r="ICG96" s="32"/>
      <c r="ICH96" s="32"/>
      <c r="ICI96" s="32"/>
      <c r="ICJ96" s="32"/>
      <c r="ICK96" s="32"/>
      <c r="ICL96" s="32"/>
      <c r="ICM96" s="32"/>
      <c r="ICN96" s="32"/>
      <c r="ICO96" s="32"/>
      <c r="ICP96" s="32"/>
      <c r="ICQ96" s="32"/>
      <c r="ICR96" s="32"/>
      <c r="ICS96" s="32"/>
      <c r="ICT96" s="32"/>
      <c r="ICU96" s="32"/>
      <c r="ICV96" s="32"/>
      <c r="ICW96" s="32"/>
      <c r="ICX96" s="32"/>
      <c r="ICY96" s="32"/>
      <c r="ICZ96" s="32"/>
      <c r="IDA96" s="32"/>
      <c r="IDB96" s="32"/>
      <c r="IDC96" s="32"/>
      <c r="IDD96" s="32"/>
      <c r="IDE96" s="32"/>
      <c r="IDF96" s="32"/>
      <c r="IDG96" s="32"/>
      <c r="IDH96" s="32"/>
      <c r="IDI96" s="32"/>
      <c r="IDJ96" s="32"/>
      <c r="IDK96" s="32"/>
      <c r="IDL96" s="32"/>
      <c r="IDM96" s="32"/>
      <c r="IDN96" s="32"/>
      <c r="IDO96" s="32"/>
      <c r="IDP96" s="32"/>
      <c r="IDQ96" s="32"/>
      <c r="IDR96" s="32"/>
      <c r="IDS96" s="32"/>
      <c r="IDT96" s="32"/>
      <c r="IDU96" s="32"/>
      <c r="IDV96" s="32"/>
      <c r="IDW96" s="32"/>
      <c r="IDX96" s="32"/>
      <c r="IDY96" s="32"/>
      <c r="IDZ96" s="32"/>
      <c r="IEA96" s="32"/>
      <c r="IEB96" s="32"/>
      <c r="IEC96" s="32"/>
      <c r="IED96" s="32"/>
      <c r="IEE96" s="32"/>
      <c r="IEF96" s="32"/>
      <c r="IEG96" s="32"/>
      <c r="IEH96" s="32"/>
      <c r="IEI96" s="32"/>
      <c r="IEJ96" s="32"/>
      <c r="IEK96" s="32"/>
      <c r="IEL96" s="32"/>
      <c r="IEM96" s="32"/>
      <c r="IEN96" s="32"/>
      <c r="IEO96" s="32"/>
      <c r="IEP96" s="32"/>
      <c r="IEQ96" s="32"/>
      <c r="IER96" s="32"/>
      <c r="IES96" s="32"/>
      <c r="IET96" s="32"/>
      <c r="IEU96" s="32"/>
      <c r="IEV96" s="32"/>
      <c r="IEW96" s="32"/>
      <c r="IEX96" s="32"/>
      <c r="IEY96" s="32"/>
      <c r="IEZ96" s="32"/>
      <c r="IFA96" s="32"/>
      <c r="IFB96" s="32"/>
      <c r="IFC96" s="32"/>
      <c r="IFD96" s="32"/>
      <c r="IFE96" s="32"/>
      <c r="IFF96" s="32"/>
      <c r="IFG96" s="32"/>
      <c r="IFH96" s="32"/>
      <c r="IFI96" s="32"/>
      <c r="IFJ96" s="32"/>
      <c r="IFK96" s="32"/>
      <c r="IFL96" s="32"/>
      <c r="IFM96" s="32"/>
      <c r="IFN96" s="32"/>
      <c r="IFO96" s="32"/>
      <c r="IFP96" s="32"/>
      <c r="IFQ96" s="32"/>
      <c r="IFR96" s="32"/>
      <c r="IFS96" s="32"/>
      <c r="IFT96" s="32"/>
      <c r="IFU96" s="32"/>
      <c r="IFV96" s="32"/>
      <c r="IFW96" s="32"/>
      <c r="IFX96" s="32"/>
      <c r="IFY96" s="32"/>
      <c r="IFZ96" s="32"/>
      <c r="IGA96" s="32"/>
      <c r="IGB96" s="32"/>
      <c r="IGC96" s="32"/>
      <c r="IGD96" s="32"/>
      <c r="IGE96" s="32"/>
      <c r="IGF96" s="32"/>
      <c r="IGG96" s="32"/>
      <c r="IGH96" s="32"/>
      <c r="IGI96" s="32"/>
      <c r="IGJ96" s="32"/>
      <c r="IGK96" s="32"/>
      <c r="IGL96" s="32"/>
      <c r="IGM96" s="32"/>
      <c r="IGN96" s="32"/>
      <c r="IGO96" s="32"/>
      <c r="IGP96" s="32"/>
      <c r="IGQ96" s="32"/>
      <c r="IGR96" s="32"/>
      <c r="IGS96" s="32"/>
      <c r="IGT96" s="32"/>
      <c r="IGU96" s="32"/>
      <c r="IGV96" s="32"/>
      <c r="IGW96" s="32"/>
      <c r="IGX96" s="32"/>
      <c r="IGY96" s="32"/>
      <c r="IGZ96" s="32"/>
      <c r="IHA96" s="32"/>
      <c r="IHB96" s="32"/>
      <c r="IHC96" s="32"/>
      <c r="IHD96" s="32"/>
      <c r="IHE96" s="32"/>
      <c r="IHF96" s="32"/>
      <c r="IHG96" s="32"/>
      <c r="IHH96" s="32"/>
      <c r="IHI96" s="32"/>
      <c r="IHJ96" s="32"/>
      <c r="IHK96" s="32"/>
      <c r="IHL96" s="32"/>
      <c r="IHM96" s="32"/>
      <c r="IHN96" s="32"/>
      <c r="IHO96" s="32"/>
      <c r="IHP96" s="32"/>
      <c r="IHQ96" s="32"/>
      <c r="IHR96" s="32"/>
      <c r="IHS96" s="32"/>
      <c r="IHT96" s="32"/>
      <c r="IHU96" s="32"/>
      <c r="IHV96" s="32"/>
      <c r="IHW96" s="32"/>
      <c r="IHX96" s="32"/>
      <c r="IHY96" s="32"/>
      <c r="IHZ96" s="32"/>
      <c r="IIA96" s="32"/>
      <c r="IIB96" s="32"/>
      <c r="IIC96" s="32"/>
      <c r="IID96" s="32"/>
      <c r="IIE96" s="32"/>
      <c r="IIF96" s="32"/>
      <c r="IIG96" s="32"/>
      <c r="IIH96" s="32"/>
      <c r="III96" s="32"/>
      <c r="IIJ96" s="32"/>
      <c r="IIK96" s="32"/>
      <c r="IIL96" s="32"/>
      <c r="IIM96" s="32"/>
      <c r="IIN96" s="32"/>
      <c r="IIO96" s="32"/>
      <c r="IIP96" s="32"/>
      <c r="IIQ96" s="32"/>
      <c r="IIR96" s="32"/>
      <c r="IIS96" s="32"/>
      <c r="IIT96" s="32"/>
      <c r="IIU96" s="32"/>
      <c r="IIV96" s="32"/>
      <c r="IIW96" s="32"/>
      <c r="IIX96" s="32"/>
      <c r="IIY96" s="32"/>
      <c r="IIZ96" s="32"/>
      <c r="IJA96" s="32"/>
      <c r="IJB96" s="32"/>
      <c r="IJC96" s="32"/>
      <c r="IJD96" s="32"/>
      <c r="IJE96" s="32"/>
      <c r="IJF96" s="32"/>
      <c r="IJG96" s="32"/>
      <c r="IJH96" s="32"/>
      <c r="IJI96" s="32"/>
      <c r="IJJ96" s="32"/>
      <c r="IJK96" s="32"/>
      <c r="IJL96" s="32"/>
      <c r="IJM96" s="32"/>
      <c r="IJN96" s="32"/>
      <c r="IJO96" s="32"/>
      <c r="IJP96" s="32"/>
      <c r="IJQ96" s="32"/>
      <c r="IJR96" s="32"/>
      <c r="IJS96" s="32"/>
      <c r="IJT96" s="32"/>
      <c r="IJU96" s="32"/>
      <c r="IJV96" s="32"/>
      <c r="IJW96" s="32"/>
      <c r="IJX96" s="32"/>
      <c r="IJY96" s="32"/>
      <c r="IJZ96" s="32"/>
      <c r="IKA96" s="32"/>
      <c r="IKB96" s="32"/>
      <c r="IKC96" s="32"/>
      <c r="IKD96" s="32"/>
      <c r="IKE96" s="32"/>
      <c r="IKF96" s="32"/>
      <c r="IKG96" s="32"/>
      <c r="IKH96" s="32"/>
      <c r="IKI96" s="32"/>
      <c r="IKJ96" s="32"/>
      <c r="IKK96" s="32"/>
      <c r="IKL96" s="32"/>
      <c r="IKM96" s="32"/>
      <c r="IKN96" s="32"/>
      <c r="IKO96" s="32"/>
      <c r="IKP96" s="32"/>
      <c r="IKQ96" s="32"/>
      <c r="IKR96" s="32"/>
      <c r="IKS96" s="32"/>
      <c r="IKT96" s="32"/>
      <c r="IKU96" s="32"/>
      <c r="IKV96" s="32"/>
      <c r="IKW96" s="32"/>
      <c r="IKX96" s="32"/>
      <c r="IKY96" s="32"/>
      <c r="IKZ96" s="32"/>
      <c r="ILA96" s="32"/>
      <c r="ILB96" s="32"/>
      <c r="ILC96" s="32"/>
      <c r="ILD96" s="32"/>
      <c r="ILE96" s="32"/>
      <c r="ILF96" s="32"/>
      <c r="ILG96" s="32"/>
      <c r="ILH96" s="32"/>
      <c r="ILI96" s="32"/>
      <c r="ILJ96" s="32"/>
      <c r="ILK96" s="32"/>
      <c r="ILL96" s="32"/>
      <c r="ILM96" s="32"/>
      <c r="ILN96" s="32"/>
      <c r="ILO96" s="32"/>
      <c r="ILP96" s="32"/>
      <c r="ILQ96" s="32"/>
      <c r="ILR96" s="32"/>
      <c r="ILS96" s="32"/>
      <c r="ILT96" s="32"/>
      <c r="ILU96" s="32"/>
      <c r="ILV96" s="32"/>
      <c r="ILW96" s="32"/>
      <c r="ILX96" s="32"/>
      <c r="ILY96" s="32"/>
      <c r="ILZ96" s="32"/>
      <c r="IMA96" s="32"/>
      <c r="IMB96" s="32"/>
      <c r="IMC96" s="32"/>
      <c r="IMD96" s="32"/>
      <c r="IME96" s="32"/>
      <c r="IMF96" s="32"/>
      <c r="IMG96" s="32"/>
      <c r="IMH96" s="32"/>
      <c r="IMI96" s="32"/>
      <c r="IMJ96" s="32"/>
      <c r="IMK96" s="32"/>
      <c r="IML96" s="32"/>
      <c r="IMM96" s="32"/>
      <c r="IMN96" s="32"/>
      <c r="IMO96" s="32"/>
      <c r="IMP96" s="32"/>
      <c r="IMQ96" s="32"/>
      <c r="IMR96" s="32"/>
      <c r="IMS96" s="32"/>
      <c r="IMT96" s="32"/>
      <c r="IMU96" s="32"/>
      <c r="IMV96" s="32"/>
      <c r="IMW96" s="32"/>
      <c r="IMX96" s="32"/>
      <c r="IMY96" s="32"/>
      <c r="IMZ96" s="32"/>
      <c r="INA96" s="32"/>
      <c r="INB96" s="32"/>
      <c r="INC96" s="32"/>
      <c r="IND96" s="32"/>
      <c r="INE96" s="32"/>
      <c r="INF96" s="32"/>
      <c r="ING96" s="32"/>
      <c r="INH96" s="32"/>
      <c r="INI96" s="32"/>
      <c r="INJ96" s="32"/>
      <c r="INK96" s="32"/>
      <c r="INL96" s="32"/>
      <c r="INM96" s="32"/>
      <c r="INN96" s="32"/>
      <c r="INO96" s="32"/>
      <c r="INP96" s="32"/>
      <c r="INQ96" s="32"/>
      <c r="INR96" s="32"/>
      <c r="INS96" s="32"/>
      <c r="INT96" s="32"/>
      <c r="INU96" s="32"/>
      <c r="INV96" s="32"/>
      <c r="INW96" s="32"/>
      <c r="INX96" s="32"/>
      <c r="INY96" s="32"/>
      <c r="INZ96" s="32"/>
      <c r="IOA96" s="32"/>
      <c r="IOB96" s="32"/>
      <c r="IOC96" s="32"/>
      <c r="IOD96" s="32"/>
      <c r="IOE96" s="32"/>
      <c r="IOF96" s="32"/>
      <c r="IOG96" s="32"/>
      <c r="IOH96" s="32"/>
      <c r="IOI96" s="32"/>
      <c r="IOJ96" s="32"/>
      <c r="IOK96" s="32"/>
      <c r="IOL96" s="32"/>
      <c r="IOM96" s="32"/>
      <c r="ION96" s="32"/>
      <c r="IOO96" s="32"/>
      <c r="IOP96" s="32"/>
      <c r="IOQ96" s="32"/>
      <c r="IOR96" s="32"/>
      <c r="IOS96" s="32"/>
      <c r="IOT96" s="32"/>
      <c r="IOU96" s="32"/>
      <c r="IOV96" s="32"/>
      <c r="IOW96" s="32"/>
      <c r="IOX96" s="32"/>
      <c r="IOY96" s="32"/>
      <c r="IOZ96" s="32"/>
      <c r="IPA96" s="32"/>
      <c r="IPB96" s="32"/>
      <c r="IPC96" s="32"/>
      <c r="IPD96" s="32"/>
      <c r="IPE96" s="32"/>
      <c r="IPF96" s="32"/>
      <c r="IPG96" s="32"/>
      <c r="IPH96" s="32"/>
      <c r="IPI96" s="32"/>
      <c r="IPJ96" s="32"/>
      <c r="IPK96" s="32"/>
      <c r="IPL96" s="32"/>
      <c r="IPM96" s="32"/>
      <c r="IPN96" s="32"/>
      <c r="IPO96" s="32"/>
      <c r="IPP96" s="32"/>
      <c r="IPQ96" s="32"/>
      <c r="IPR96" s="32"/>
      <c r="IPS96" s="32"/>
      <c r="IPT96" s="32"/>
      <c r="IPU96" s="32"/>
      <c r="IPV96" s="32"/>
      <c r="IPW96" s="32"/>
      <c r="IPX96" s="32"/>
      <c r="IPY96" s="32"/>
      <c r="IPZ96" s="32"/>
      <c r="IQA96" s="32"/>
      <c r="IQB96" s="32"/>
      <c r="IQC96" s="32"/>
      <c r="IQD96" s="32"/>
      <c r="IQE96" s="32"/>
      <c r="IQF96" s="32"/>
      <c r="IQG96" s="32"/>
      <c r="IQH96" s="32"/>
      <c r="IQI96" s="32"/>
      <c r="IQJ96" s="32"/>
      <c r="IQK96" s="32"/>
      <c r="IQL96" s="32"/>
      <c r="IQM96" s="32"/>
      <c r="IQN96" s="32"/>
      <c r="IQO96" s="32"/>
      <c r="IQP96" s="32"/>
      <c r="IQQ96" s="32"/>
      <c r="IQR96" s="32"/>
      <c r="IQS96" s="32"/>
      <c r="IQT96" s="32"/>
      <c r="IQU96" s="32"/>
      <c r="IQV96" s="32"/>
      <c r="IQW96" s="32"/>
      <c r="IQX96" s="32"/>
      <c r="IQY96" s="32"/>
      <c r="IQZ96" s="32"/>
      <c r="IRA96" s="32"/>
      <c r="IRB96" s="32"/>
      <c r="IRC96" s="32"/>
      <c r="IRD96" s="32"/>
      <c r="IRE96" s="32"/>
      <c r="IRF96" s="32"/>
      <c r="IRG96" s="32"/>
      <c r="IRH96" s="32"/>
      <c r="IRI96" s="32"/>
      <c r="IRJ96" s="32"/>
      <c r="IRK96" s="32"/>
      <c r="IRL96" s="32"/>
      <c r="IRM96" s="32"/>
      <c r="IRN96" s="32"/>
      <c r="IRO96" s="32"/>
      <c r="IRP96" s="32"/>
      <c r="IRQ96" s="32"/>
      <c r="IRR96" s="32"/>
      <c r="IRS96" s="32"/>
      <c r="IRT96" s="32"/>
      <c r="IRU96" s="32"/>
      <c r="IRV96" s="32"/>
      <c r="IRW96" s="32"/>
      <c r="IRX96" s="32"/>
      <c r="IRY96" s="32"/>
      <c r="IRZ96" s="32"/>
      <c r="ISA96" s="32"/>
      <c r="ISB96" s="32"/>
      <c r="ISC96" s="32"/>
      <c r="ISD96" s="32"/>
      <c r="ISE96" s="32"/>
      <c r="ISF96" s="32"/>
      <c r="ISG96" s="32"/>
      <c r="ISH96" s="32"/>
      <c r="ISI96" s="32"/>
      <c r="ISJ96" s="32"/>
      <c r="ISK96" s="32"/>
      <c r="ISL96" s="32"/>
      <c r="ISM96" s="32"/>
      <c r="ISN96" s="32"/>
      <c r="ISO96" s="32"/>
      <c r="ISP96" s="32"/>
      <c r="ISQ96" s="32"/>
      <c r="ISR96" s="32"/>
      <c r="ISS96" s="32"/>
      <c r="IST96" s="32"/>
      <c r="ISU96" s="32"/>
      <c r="ISV96" s="32"/>
      <c r="ISW96" s="32"/>
      <c r="ISX96" s="32"/>
      <c r="ISY96" s="32"/>
      <c r="ISZ96" s="32"/>
      <c r="ITA96" s="32"/>
      <c r="ITB96" s="32"/>
      <c r="ITC96" s="32"/>
      <c r="ITD96" s="32"/>
      <c r="ITE96" s="32"/>
      <c r="ITF96" s="32"/>
      <c r="ITG96" s="32"/>
      <c r="ITH96" s="32"/>
      <c r="ITI96" s="32"/>
      <c r="ITJ96" s="32"/>
      <c r="ITK96" s="32"/>
      <c r="ITL96" s="32"/>
      <c r="ITM96" s="32"/>
      <c r="ITN96" s="32"/>
      <c r="ITO96" s="32"/>
      <c r="ITP96" s="32"/>
      <c r="ITQ96" s="32"/>
      <c r="ITR96" s="32"/>
      <c r="ITS96" s="32"/>
      <c r="ITT96" s="32"/>
      <c r="ITU96" s="32"/>
      <c r="ITV96" s="32"/>
      <c r="ITW96" s="32"/>
      <c r="ITX96" s="32"/>
      <c r="ITY96" s="32"/>
      <c r="ITZ96" s="32"/>
      <c r="IUA96" s="32"/>
      <c r="IUB96" s="32"/>
      <c r="IUC96" s="32"/>
      <c r="IUD96" s="32"/>
      <c r="IUE96" s="32"/>
      <c r="IUF96" s="32"/>
      <c r="IUG96" s="32"/>
      <c r="IUH96" s="32"/>
      <c r="IUI96" s="32"/>
      <c r="IUJ96" s="32"/>
      <c r="IUK96" s="32"/>
      <c r="IUL96" s="32"/>
      <c r="IUM96" s="32"/>
      <c r="IUN96" s="32"/>
      <c r="IUO96" s="32"/>
      <c r="IUP96" s="32"/>
      <c r="IUQ96" s="32"/>
      <c r="IUR96" s="32"/>
      <c r="IUS96" s="32"/>
      <c r="IUT96" s="32"/>
      <c r="IUU96" s="32"/>
      <c r="IUV96" s="32"/>
      <c r="IUW96" s="32"/>
      <c r="IUX96" s="32"/>
      <c r="IUY96" s="32"/>
      <c r="IUZ96" s="32"/>
      <c r="IVA96" s="32"/>
      <c r="IVB96" s="32"/>
      <c r="IVC96" s="32"/>
      <c r="IVD96" s="32"/>
      <c r="IVE96" s="32"/>
      <c r="IVF96" s="32"/>
      <c r="IVG96" s="32"/>
      <c r="IVH96" s="32"/>
      <c r="IVI96" s="32"/>
      <c r="IVJ96" s="32"/>
      <c r="IVK96" s="32"/>
      <c r="IVL96" s="32"/>
      <c r="IVM96" s="32"/>
      <c r="IVN96" s="32"/>
      <c r="IVO96" s="32"/>
      <c r="IVP96" s="32"/>
      <c r="IVQ96" s="32"/>
      <c r="IVR96" s="32"/>
      <c r="IVS96" s="32"/>
      <c r="IVT96" s="32"/>
      <c r="IVU96" s="32"/>
      <c r="IVV96" s="32"/>
      <c r="IVW96" s="32"/>
      <c r="IVX96" s="32"/>
      <c r="IVY96" s="32"/>
      <c r="IVZ96" s="32"/>
      <c r="IWA96" s="32"/>
      <c r="IWB96" s="32"/>
      <c r="IWC96" s="32"/>
      <c r="IWD96" s="32"/>
      <c r="IWE96" s="32"/>
      <c r="IWF96" s="32"/>
      <c r="IWG96" s="32"/>
      <c r="IWH96" s="32"/>
      <c r="IWI96" s="32"/>
      <c r="IWJ96" s="32"/>
      <c r="IWK96" s="32"/>
      <c r="IWL96" s="32"/>
      <c r="IWM96" s="32"/>
      <c r="IWN96" s="32"/>
      <c r="IWO96" s="32"/>
      <c r="IWP96" s="32"/>
      <c r="IWQ96" s="32"/>
      <c r="IWR96" s="32"/>
      <c r="IWS96" s="32"/>
      <c r="IWT96" s="32"/>
      <c r="IWU96" s="32"/>
      <c r="IWV96" s="32"/>
      <c r="IWW96" s="32"/>
      <c r="IWX96" s="32"/>
      <c r="IWY96" s="32"/>
      <c r="IWZ96" s="32"/>
      <c r="IXA96" s="32"/>
      <c r="IXB96" s="32"/>
      <c r="IXC96" s="32"/>
      <c r="IXD96" s="32"/>
      <c r="IXE96" s="32"/>
      <c r="IXF96" s="32"/>
      <c r="IXG96" s="32"/>
      <c r="IXH96" s="32"/>
      <c r="IXI96" s="32"/>
      <c r="IXJ96" s="32"/>
      <c r="IXK96" s="32"/>
      <c r="IXL96" s="32"/>
      <c r="IXM96" s="32"/>
      <c r="IXN96" s="32"/>
      <c r="IXO96" s="32"/>
      <c r="IXP96" s="32"/>
      <c r="IXQ96" s="32"/>
      <c r="IXR96" s="32"/>
      <c r="IXS96" s="32"/>
      <c r="IXT96" s="32"/>
      <c r="IXU96" s="32"/>
      <c r="IXV96" s="32"/>
      <c r="IXW96" s="32"/>
      <c r="IXX96" s="32"/>
      <c r="IXY96" s="32"/>
      <c r="IXZ96" s="32"/>
      <c r="IYA96" s="32"/>
      <c r="IYB96" s="32"/>
      <c r="IYC96" s="32"/>
      <c r="IYD96" s="32"/>
      <c r="IYE96" s="32"/>
      <c r="IYF96" s="32"/>
      <c r="IYG96" s="32"/>
      <c r="IYH96" s="32"/>
      <c r="IYI96" s="32"/>
      <c r="IYJ96" s="32"/>
      <c r="IYK96" s="32"/>
      <c r="IYL96" s="32"/>
      <c r="IYM96" s="32"/>
      <c r="IYN96" s="32"/>
      <c r="IYO96" s="32"/>
      <c r="IYP96" s="32"/>
      <c r="IYQ96" s="32"/>
      <c r="IYR96" s="32"/>
      <c r="IYS96" s="32"/>
      <c r="IYT96" s="32"/>
      <c r="IYU96" s="32"/>
      <c r="IYV96" s="32"/>
      <c r="IYW96" s="32"/>
      <c r="IYX96" s="32"/>
      <c r="IYY96" s="32"/>
      <c r="IYZ96" s="32"/>
      <c r="IZA96" s="32"/>
      <c r="IZB96" s="32"/>
      <c r="IZC96" s="32"/>
      <c r="IZD96" s="32"/>
      <c r="IZE96" s="32"/>
      <c r="IZF96" s="32"/>
      <c r="IZG96" s="32"/>
      <c r="IZH96" s="32"/>
      <c r="IZI96" s="32"/>
      <c r="IZJ96" s="32"/>
      <c r="IZK96" s="32"/>
      <c r="IZL96" s="32"/>
      <c r="IZM96" s="32"/>
      <c r="IZN96" s="32"/>
      <c r="IZO96" s="32"/>
      <c r="IZP96" s="32"/>
      <c r="IZQ96" s="32"/>
      <c r="IZR96" s="32"/>
      <c r="IZS96" s="32"/>
      <c r="IZT96" s="32"/>
      <c r="IZU96" s="32"/>
      <c r="IZV96" s="32"/>
      <c r="IZW96" s="32"/>
      <c r="IZX96" s="32"/>
      <c r="IZY96" s="32"/>
      <c r="IZZ96" s="32"/>
      <c r="JAA96" s="32"/>
      <c r="JAB96" s="32"/>
      <c r="JAC96" s="32"/>
      <c r="JAD96" s="32"/>
      <c r="JAE96" s="32"/>
      <c r="JAF96" s="32"/>
      <c r="JAG96" s="32"/>
      <c r="JAH96" s="32"/>
      <c r="JAI96" s="32"/>
      <c r="JAJ96" s="32"/>
      <c r="JAK96" s="32"/>
      <c r="JAL96" s="32"/>
      <c r="JAM96" s="32"/>
      <c r="JAN96" s="32"/>
      <c r="JAO96" s="32"/>
      <c r="JAP96" s="32"/>
      <c r="JAQ96" s="32"/>
      <c r="JAR96" s="32"/>
      <c r="JAS96" s="32"/>
      <c r="JAT96" s="32"/>
      <c r="JAU96" s="32"/>
      <c r="JAV96" s="32"/>
      <c r="JAW96" s="32"/>
      <c r="JAX96" s="32"/>
      <c r="JAY96" s="32"/>
      <c r="JAZ96" s="32"/>
      <c r="JBA96" s="32"/>
      <c r="JBB96" s="32"/>
      <c r="JBC96" s="32"/>
      <c r="JBD96" s="32"/>
      <c r="JBE96" s="32"/>
      <c r="JBF96" s="32"/>
      <c r="JBG96" s="32"/>
      <c r="JBH96" s="32"/>
      <c r="JBI96" s="32"/>
      <c r="JBJ96" s="32"/>
      <c r="JBK96" s="32"/>
      <c r="JBL96" s="32"/>
      <c r="JBM96" s="32"/>
      <c r="JBN96" s="32"/>
      <c r="JBO96" s="32"/>
      <c r="JBP96" s="32"/>
      <c r="JBQ96" s="32"/>
      <c r="JBR96" s="32"/>
      <c r="JBS96" s="32"/>
      <c r="JBT96" s="32"/>
      <c r="JBU96" s="32"/>
      <c r="JBV96" s="32"/>
      <c r="JBW96" s="32"/>
      <c r="JBX96" s="32"/>
      <c r="JBY96" s="32"/>
      <c r="JBZ96" s="32"/>
      <c r="JCA96" s="32"/>
      <c r="JCB96" s="32"/>
      <c r="JCC96" s="32"/>
      <c r="JCD96" s="32"/>
      <c r="JCE96" s="32"/>
      <c r="JCF96" s="32"/>
      <c r="JCG96" s="32"/>
      <c r="JCH96" s="32"/>
      <c r="JCI96" s="32"/>
      <c r="JCJ96" s="32"/>
      <c r="JCK96" s="32"/>
      <c r="JCL96" s="32"/>
      <c r="JCM96" s="32"/>
      <c r="JCN96" s="32"/>
      <c r="JCO96" s="32"/>
      <c r="JCP96" s="32"/>
      <c r="JCQ96" s="32"/>
      <c r="JCR96" s="32"/>
      <c r="JCS96" s="32"/>
      <c r="JCT96" s="32"/>
      <c r="JCU96" s="32"/>
      <c r="JCV96" s="32"/>
      <c r="JCW96" s="32"/>
      <c r="JCX96" s="32"/>
      <c r="JCY96" s="32"/>
      <c r="JCZ96" s="32"/>
      <c r="JDA96" s="32"/>
      <c r="JDB96" s="32"/>
      <c r="JDC96" s="32"/>
      <c r="JDD96" s="32"/>
      <c r="JDE96" s="32"/>
      <c r="JDF96" s="32"/>
      <c r="JDG96" s="32"/>
      <c r="JDH96" s="32"/>
      <c r="JDI96" s="32"/>
      <c r="JDJ96" s="32"/>
      <c r="JDK96" s="32"/>
      <c r="JDL96" s="32"/>
      <c r="JDM96" s="32"/>
      <c r="JDN96" s="32"/>
      <c r="JDO96" s="32"/>
      <c r="JDP96" s="32"/>
      <c r="JDQ96" s="32"/>
      <c r="JDR96" s="32"/>
      <c r="JDS96" s="32"/>
      <c r="JDT96" s="32"/>
      <c r="JDU96" s="32"/>
      <c r="JDV96" s="32"/>
      <c r="JDW96" s="32"/>
      <c r="JDX96" s="32"/>
      <c r="JDY96" s="32"/>
      <c r="JDZ96" s="32"/>
      <c r="JEA96" s="32"/>
      <c r="JEB96" s="32"/>
      <c r="JEC96" s="32"/>
      <c r="JED96" s="32"/>
      <c r="JEE96" s="32"/>
      <c r="JEF96" s="32"/>
      <c r="JEG96" s="32"/>
      <c r="JEH96" s="32"/>
      <c r="JEI96" s="32"/>
      <c r="JEJ96" s="32"/>
      <c r="JEK96" s="32"/>
      <c r="JEL96" s="32"/>
      <c r="JEM96" s="32"/>
      <c r="JEN96" s="32"/>
      <c r="JEO96" s="32"/>
      <c r="JEP96" s="32"/>
      <c r="JEQ96" s="32"/>
      <c r="JER96" s="32"/>
      <c r="JES96" s="32"/>
      <c r="JET96" s="32"/>
      <c r="JEU96" s="32"/>
      <c r="JEV96" s="32"/>
      <c r="JEW96" s="32"/>
      <c r="JEX96" s="32"/>
      <c r="JEY96" s="32"/>
      <c r="JEZ96" s="32"/>
      <c r="JFA96" s="32"/>
      <c r="JFB96" s="32"/>
      <c r="JFC96" s="32"/>
      <c r="JFD96" s="32"/>
      <c r="JFE96" s="32"/>
      <c r="JFF96" s="32"/>
      <c r="JFG96" s="32"/>
      <c r="JFH96" s="32"/>
      <c r="JFI96" s="32"/>
      <c r="JFJ96" s="32"/>
      <c r="JFK96" s="32"/>
      <c r="JFL96" s="32"/>
      <c r="JFM96" s="32"/>
      <c r="JFN96" s="32"/>
      <c r="JFO96" s="32"/>
      <c r="JFP96" s="32"/>
      <c r="JFQ96" s="32"/>
      <c r="JFR96" s="32"/>
      <c r="JFS96" s="32"/>
      <c r="JFT96" s="32"/>
      <c r="JFU96" s="32"/>
      <c r="JFV96" s="32"/>
      <c r="JFW96" s="32"/>
      <c r="JFX96" s="32"/>
      <c r="JFY96" s="32"/>
      <c r="JFZ96" s="32"/>
      <c r="JGA96" s="32"/>
      <c r="JGB96" s="32"/>
      <c r="JGC96" s="32"/>
      <c r="JGD96" s="32"/>
      <c r="JGE96" s="32"/>
      <c r="JGF96" s="32"/>
      <c r="JGG96" s="32"/>
      <c r="JGH96" s="32"/>
      <c r="JGI96" s="32"/>
      <c r="JGJ96" s="32"/>
      <c r="JGK96" s="32"/>
      <c r="JGL96" s="32"/>
      <c r="JGM96" s="32"/>
      <c r="JGN96" s="32"/>
      <c r="JGO96" s="32"/>
      <c r="JGP96" s="32"/>
      <c r="JGQ96" s="32"/>
      <c r="JGR96" s="32"/>
      <c r="JGS96" s="32"/>
      <c r="JGT96" s="32"/>
      <c r="JGU96" s="32"/>
      <c r="JGV96" s="32"/>
      <c r="JGW96" s="32"/>
      <c r="JGX96" s="32"/>
      <c r="JGY96" s="32"/>
      <c r="JGZ96" s="32"/>
      <c r="JHA96" s="32"/>
      <c r="JHB96" s="32"/>
      <c r="JHC96" s="32"/>
      <c r="JHD96" s="32"/>
      <c r="JHE96" s="32"/>
      <c r="JHF96" s="32"/>
      <c r="JHG96" s="32"/>
      <c r="JHH96" s="32"/>
      <c r="JHI96" s="32"/>
      <c r="JHJ96" s="32"/>
      <c r="JHK96" s="32"/>
      <c r="JHL96" s="32"/>
      <c r="JHM96" s="32"/>
      <c r="JHN96" s="32"/>
      <c r="JHO96" s="32"/>
      <c r="JHP96" s="32"/>
      <c r="JHQ96" s="32"/>
      <c r="JHR96" s="32"/>
      <c r="JHS96" s="32"/>
      <c r="JHT96" s="32"/>
      <c r="JHU96" s="32"/>
      <c r="JHV96" s="32"/>
      <c r="JHW96" s="32"/>
      <c r="JHX96" s="32"/>
      <c r="JHY96" s="32"/>
      <c r="JHZ96" s="32"/>
      <c r="JIA96" s="32"/>
      <c r="JIB96" s="32"/>
      <c r="JIC96" s="32"/>
      <c r="JID96" s="32"/>
      <c r="JIE96" s="32"/>
      <c r="JIF96" s="32"/>
      <c r="JIG96" s="32"/>
      <c r="JIH96" s="32"/>
      <c r="JII96" s="32"/>
      <c r="JIJ96" s="32"/>
      <c r="JIK96" s="32"/>
      <c r="JIL96" s="32"/>
      <c r="JIM96" s="32"/>
      <c r="JIN96" s="32"/>
      <c r="JIO96" s="32"/>
      <c r="JIP96" s="32"/>
      <c r="JIQ96" s="32"/>
      <c r="JIR96" s="32"/>
      <c r="JIS96" s="32"/>
      <c r="JIT96" s="32"/>
      <c r="JIU96" s="32"/>
      <c r="JIV96" s="32"/>
      <c r="JIW96" s="32"/>
      <c r="JIX96" s="32"/>
      <c r="JIY96" s="32"/>
      <c r="JIZ96" s="32"/>
      <c r="JJA96" s="32"/>
      <c r="JJB96" s="32"/>
      <c r="JJC96" s="32"/>
      <c r="JJD96" s="32"/>
      <c r="JJE96" s="32"/>
      <c r="JJF96" s="32"/>
      <c r="JJG96" s="32"/>
      <c r="JJH96" s="32"/>
      <c r="JJI96" s="32"/>
      <c r="JJJ96" s="32"/>
      <c r="JJK96" s="32"/>
      <c r="JJL96" s="32"/>
      <c r="JJM96" s="32"/>
      <c r="JJN96" s="32"/>
      <c r="JJO96" s="32"/>
      <c r="JJP96" s="32"/>
      <c r="JJQ96" s="32"/>
      <c r="JJR96" s="32"/>
      <c r="JJS96" s="32"/>
      <c r="JJT96" s="32"/>
      <c r="JJU96" s="32"/>
      <c r="JJV96" s="32"/>
      <c r="JJW96" s="32"/>
      <c r="JJX96" s="32"/>
      <c r="JJY96" s="32"/>
      <c r="JJZ96" s="32"/>
      <c r="JKA96" s="32"/>
      <c r="JKB96" s="32"/>
      <c r="JKC96" s="32"/>
      <c r="JKD96" s="32"/>
      <c r="JKE96" s="32"/>
      <c r="JKF96" s="32"/>
      <c r="JKG96" s="32"/>
      <c r="JKH96" s="32"/>
      <c r="JKI96" s="32"/>
      <c r="JKJ96" s="32"/>
      <c r="JKK96" s="32"/>
      <c r="JKL96" s="32"/>
      <c r="JKM96" s="32"/>
      <c r="JKN96" s="32"/>
      <c r="JKO96" s="32"/>
      <c r="JKP96" s="32"/>
      <c r="JKQ96" s="32"/>
      <c r="JKR96" s="32"/>
      <c r="JKS96" s="32"/>
      <c r="JKT96" s="32"/>
      <c r="JKU96" s="32"/>
      <c r="JKV96" s="32"/>
      <c r="JKW96" s="32"/>
      <c r="JKX96" s="32"/>
      <c r="JKY96" s="32"/>
      <c r="JKZ96" s="32"/>
      <c r="JLA96" s="32"/>
      <c r="JLB96" s="32"/>
      <c r="JLC96" s="32"/>
      <c r="JLD96" s="32"/>
      <c r="JLE96" s="32"/>
      <c r="JLF96" s="32"/>
      <c r="JLG96" s="32"/>
      <c r="JLH96" s="32"/>
      <c r="JLI96" s="32"/>
      <c r="JLJ96" s="32"/>
      <c r="JLK96" s="32"/>
      <c r="JLL96" s="32"/>
      <c r="JLM96" s="32"/>
      <c r="JLN96" s="32"/>
      <c r="JLO96" s="32"/>
      <c r="JLP96" s="32"/>
      <c r="JLQ96" s="32"/>
      <c r="JLR96" s="32"/>
      <c r="JLS96" s="32"/>
      <c r="JLT96" s="32"/>
      <c r="JLU96" s="32"/>
      <c r="JLV96" s="32"/>
      <c r="JLW96" s="32"/>
      <c r="JLX96" s="32"/>
      <c r="JLY96" s="32"/>
      <c r="JLZ96" s="32"/>
      <c r="JMA96" s="32"/>
      <c r="JMB96" s="32"/>
      <c r="JMC96" s="32"/>
      <c r="JMD96" s="32"/>
      <c r="JME96" s="32"/>
      <c r="JMF96" s="32"/>
      <c r="JMG96" s="32"/>
      <c r="JMH96" s="32"/>
      <c r="JMI96" s="32"/>
      <c r="JMJ96" s="32"/>
      <c r="JMK96" s="32"/>
      <c r="JML96" s="32"/>
      <c r="JMM96" s="32"/>
      <c r="JMN96" s="32"/>
      <c r="JMO96" s="32"/>
      <c r="JMP96" s="32"/>
      <c r="JMQ96" s="32"/>
      <c r="JMR96" s="32"/>
      <c r="JMS96" s="32"/>
      <c r="JMT96" s="32"/>
      <c r="JMU96" s="32"/>
      <c r="JMV96" s="32"/>
      <c r="JMW96" s="32"/>
      <c r="JMX96" s="32"/>
      <c r="JMY96" s="32"/>
      <c r="JMZ96" s="32"/>
      <c r="JNA96" s="32"/>
      <c r="JNB96" s="32"/>
      <c r="JNC96" s="32"/>
      <c r="JND96" s="32"/>
      <c r="JNE96" s="32"/>
      <c r="JNF96" s="32"/>
      <c r="JNG96" s="32"/>
      <c r="JNH96" s="32"/>
      <c r="JNI96" s="32"/>
      <c r="JNJ96" s="32"/>
      <c r="JNK96" s="32"/>
      <c r="JNL96" s="32"/>
      <c r="JNM96" s="32"/>
      <c r="JNN96" s="32"/>
      <c r="JNO96" s="32"/>
      <c r="JNP96" s="32"/>
      <c r="JNQ96" s="32"/>
      <c r="JNR96" s="32"/>
      <c r="JNS96" s="32"/>
      <c r="JNT96" s="32"/>
      <c r="JNU96" s="32"/>
      <c r="JNV96" s="32"/>
      <c r="JNW96" s="32"/>
      <c r="JNX96" s="32"/>
      <c r="JNY96" s="32"/>
      <c r="JNZ96" s="32"/>
      <c r="JOA96" s="32"/>
      <c r="JOB96" s="32"/>
      <c r="JOC96" s="32"/>
      <c r="JOD96" s="32"/>
      <c r="JOE96" s="32"/>
      <c r="JOF96" s="32"/>
      <c r="JOG96" s="32"/>
      <c r="JOH96" s="32"/>
      <c r="JOI96" s="32"/>
      <c r="JOJ96" s="32"/>
      <c r="JOK96" s="32"/>
      <c r="JOL96" s="32"/>
      <c r="JOM96" s="32"/>
      <c r="JON96" s="32"/>
      <c r="JOO96" s="32"/>
      <c r="JOP96" s="32"/>
      <c r="JOQ96" s="32"/>
      <c r="JOR96" s="32"/>
      <c r="JOS96" s="32"/>
      <c r="JOT96" s="32"/>
      <c r="JOU96" s="32"/>
      <c r="JOV96" s="32"/>
      <c r="JOW96" s="32"/>
      <c r="JOX96" s="32"/>
      <c r="JOY96" s="32"/>
      <c r="JOZ96" s="32"/>
      <c r="JPA96" s="32"/>
      <c r="JPB96" s="32"/>
      <c r="JPC96" s="32"/>
      <c r="JPD96" s="32"/>
      <c r="JPE96" s="32"/>
      <c r="JPF96" s="32"/>
      <c r="JPG96" s="32"/>
      <c r="JPH96" s="32"/>
      <c r="JPI96" s="32"/>
      <c r="JPJ96" s="32"/>
      <c r="JPK96" s="32"/>
      <c r="JPL96" s="32"/>
      <c r="JPM96" s="32"/>
      <c r="JPN96" s="32"/>
      <c r="JPO96" s="32"/>
      <c r="JPP96" s="32"/>
      <c r="JPQ96" s="32"/>
      <c r="JPR96" s="32"/>
      <c r="JPS96" s="32"/>
      <c r="JPT96" s="32"/>
      <c r="JPU96" s="32"/>
      <c r="JPV96" s="32"/>
      <c r="JPW96" s="32"/>
      <c r="JPX96" s="32"/>
      <c r="JPY96" s="32"/>
      <c r="JPZ96" s="32"/>
      <c r="JQA96" s="32"/>
      <c r="JQB96" s="32"/>
      <c r="JQC96" s="32"/>
      <c r="JQD96" s="32"/>
      <c r="JQE96" s="32"/>
      <c r="JQF96" s="32"/>
      <c r="JQG96" s="32"/>
      <c r="JQH96" s="32"/>
      <c r="JQI96" s="32"/>
      <c r="JQJ96" s="32"/>
      <c r="JQK96" s="32"/>
      <c r="JQL96" s="32"/>
      <c r="JQM96" s="32"/>
      <c r="JQN96" s="32"/>
      <c r="JQO96" s="32"/>
      <c r="JQP96" s="32"/>
      <c r="JQQ96" s="32"/>
      <c r="JQR96" s="32"/>
      <c r="JQS96" s="32"/>
      <c r="JQT96" s="32"/>
      <c r="JQU96" s="32"/>
      <c r="JQV96" s="32"/>
      <c r="JQW96" s="32"/>
      <c r="JQX96" s="32"/>
      <c r="JQY96" s="32"/>
      <c r="JQZ96" s="32"/>
      <c r="JRA96" s="32"/>
      <c r="JRB96" s="32"/>
      <c r="JRC96" s="32"/>
      <c r="JRD96" s="32"/>
      <c r="JRE96" s="32"/>
      <c r="JRF96" s="32"/>
      <c r="JRG96" s="32"/>
      <c r="JRH96" s="32"/>
      <c r="JRI96" s="32"/>
      <c r="JRJ96" s="32"/>
      <c r="JRK96" s="32"/>
      <c r="JRL96" s="32"/>
      <c r="JRM96" s="32"/>
      <c r="JRN96" s="32"/>
      <c r="JRO96" s="32"/>
      <c r="JRP96" s="32"/>
      <c r="JRQ96" s="32"/>
      <c r="JRR96" s="32"/>
      <c r="JRS96" s="32"/>
      <c r="JRT96" s="32"/>
      <c r="JRU96" s="32"/>
      <c r="JRV96" s="32"/>
      <c r="JRW96" s="32"/>
      <c r="JRX96" s="32"/>
      <c r="JRY96" s="32"/>
      <c r="JRZ96" s="32"/>
      <c r="JSA96" s="32"/>
      <c r="JSB96" s="32"/>
      <c r="JSC96" s="32"/>
      <c r="JSD96" s="32"/>
      <c r="JSE96" s="32"/>
      <c r="JSF96" s="32"/>
      <c r="JSG96" s="32"/>
      <c r="JSH96" s="32"/>
      <c r="JSI96" s="32"/>
      <c r="JSJ96" s="32"/>
      <c r="JSK96" s="32"/>
      <c r="JSL96" s="32"/>
      <c r="JSM96" s="32"/>
      <c r="JSN96" s="32"/>
      <c r="JSO96" s="32"/>
      <c r="JSP96" s="32"/>
      <c r="JSQ96" s="32"/>
      <c r="JSR96" s="32"/>
      <c r="JSS96" s="32"/>
      <c r="JST96" s="32"/>
      <c r="JSU96" s="32"/>
      <c r="JSV96" s="32"/>
      <c r="JSW96" s="32"/>
      <c r="JSX96" s="32"/>
      <c r="JSY96" s="32"/>
      <c r="JSZ96" s="32"/>
      <c r="JTA96" s="32"/>
      <c r="JTB96" s="32"/>
      <c r="JTC96" s="32"/>
      <c r="JTD96" s="32"/>
      <c r="JTE96" s="32"/>
      <c r="JTF96" s="32"/>
      <c r="JTG96" s="32"/>
      <c r="JTH96" s="32"/>
      <c r="JTI96" s="32"/>
      <c r="JTJ96" s="32"/>
      <c r="JTK96" s="32"/>
      <c r="JTL96" s="32"/>
      <c r="JTM96" s="32"/>
      <c r="JTN96" s="32"/>
      <c r="JTO96" s="32"/>
      <c r="JTP96" s="32"/>
      <c r="JTQ96" s="32"/>
      <c r="JTR96" s="32"/>
      <c r="JTS96" s="32"/>
      <c r="JTT96" s="32"/>
      <c r="JTU96" s="32"/>
      <c r="JTV96" s="32"/>
      <c r="JTW96" s="32"/>
      <c r="JTX96" s="32"/>
      <c r="JTY96" s="32"/>
      <c r="JTZ96" s="32"/>
      <c r="JUA96" s="32"/>
      <c r="JUB96" s="32"/>
      <c r="JUC96" s="32"/>
      <c r="JUD96" s="32"/>
      <c r="JUE96" s="32"/>
      <c r="JUF96" s="32"/>
      <c r="JUG96" s="32"/>
      <c r="JUH96" s="32"/>
      <c r="JUI96" s="32"/>
      <c r="JUJ96" s="32"/>
      <c r="JUK96" s="32"/>
      <c r="JUL96" s="32"/>
      <c r="JUM96" s="32"/>
      <c r="JUN96" s="32"/>
      <c r="JUO96" s="32"/>
      <c r="JUP96" s="32"/>
      <c r="JUQ96" s="32"/>
      <c r="JUR96" s="32"/>
      <c r="JUS96" s="32"/>
      <c r="JUT96" s="32"/>
      <c r="JUU96" s="32"/>
      <c r="JUV96" s="32"/>
      <c r="JUW96" s="32"/>
      <c r="JUX96" s="32"/>
      <c r="JUY96" s="32"/>
      <c r="JUZ96" s="32"/>
      <c r="JVA96" s="32"/>
      <c r="JVB96" s="32"/>
      <c r="JVC96" s="32"/>
      <c r="JVD96" s="32"/>
      <c r="JVE96" s="32"/>
      <c r="JVF96" s="32"/>
      <c r="JVG96" s="32"/>
      <c r="JVH96" s="32"/>
      <c r="JVI96" s="32"/>
      <c r="JVJ96" s="32"/>
      <c r="JVK96" s="32"/>
      <c r="JVL96" s="32"/>
      <c r="JVM96" s="32"/>
      <c r="JVN96" s="32"/>
      <c r="JVO96" s="32"/>
      <c r="JVP96" s="32"/>
      <c r="JVQ96" s="32"/>
      <c r="JVR96" s="32"/>
      <c r="JVS96" s="32"/>
      <c r="JVT96" s="32"/>
      <c r="JVU96" s="32"/>
      <c r="JVV96" s="32"/>
      <c r="JVW96" s="32"/>
      <c r="JVX96" s="32"/>
      <c r="JVY96" s="32"/>
      <c r="JVZ96" s="32"/>
      <c r="JWA96" s="32"/>
      <c r="JWB96" s="32"/>
      <c r="JWC96" s="32"/>
      <c r="JWD96" s="32"/>
      <c r="JWE96" s="32"/>
      <c r="JWF96" s="32"/>
      <c r="JWG96" s="32"/>
      <c r="JWH96" s="32"/>
      <c r="JWI96" s="32"/>
      <c r="JWJ96" s="32"/>
      <c r="JWK96" s="32"/>
      <c r="JWL96" s="32"/>
      <c r="JWM96" s="32"/>
      <c r="JWN96" s="32"/>
      <c r="JWO96" s="32"/>
      <c r="JWP96" s="32"/>
      <c r="JWQ96" s="32"/>
      <c r="JWR96" s="32"/>
      <c r="JWS96" s="32"/>
      <c r="JWT96" s="32"/>
      <c r="JWU96" s="32"/>
      <c r="JWV96" s="32"/>
      <c r="JWW96" s="32"/>
      <c r="JWX96" s="32"/>
      <c r="JWY96" s="32"/>
      <c r="JWZ96" s="32"/>
      <c r="JXA96" s="32"/>
      <c r="JXB96" s="32"/>
      <c r="JXC96" s="32"/>
      <c r="JXD96" s="32"/>
      <c r="JXE96" s="32"/>
      <c r="JXF96" s="32"/>
      <c r="JXG96" s="32"/>
      <c r="JXH96" s="32"/>
      <c r="JXI96" s="32"/>
      <c r="JXJ96" s="32"/>
      <c r="JXK96" s="32"/>
      <c r="JXL96" s="32"/>
      <c r="JXM96" s="32"/>
      <c r="JXN96" s="32"/>
      <c r="JXO96" s="32"/>
      <c r="JXP96" s="32"/>
      <c r="JXQ96" s="32"/>
      <c r="JXR96" s="32"/>
      <c r="JXS96" s="32"/>
      <c r="JXT96" s="32"/>
      <c r="JXU96" s="32"/>
      <c r="JXV96" s="32"/>
      <c r="JXW96" s="32"/>
      <c r="JXX96" s="32"/>
      <c r="JXY96" s="32"/>
      <c r="JXZ96" s="32"/>
      <c r="JYA96" s="32"/>
      <c r="JYB96" s="32"/>
      <c r="JYC96" s="32"/>
      <c r="JYD96" s="32"/>
      <c r="JYE96" s="32"/>
      <c r="JYF96" s="32"/>
      <c r="JYG96" s="32"/>
      <c r="JYH96" s="32"/>
      <c r="JYI96" s="32"/>
      <c r="JYJ96" s="32"/>
      <c r="JYK96" s="32"/>
      <c r="JYL96" s="32"/>
      <c r="JYM96" s="32"/>
      <c r="JYN96" s="32"/>
      <c r="JYO96" s="32"/>
      <c r="JYP96" s="32"/>
      <c r="JYQ96" s="32"/>
      <c r="JYR96" s="32"/>
      <c r="JYS96" s="32"/>
      <c r="JYT96" s="32"/>
      <c r="JYU96" s="32"/>
      <c r="JYV96" s="32"/>
      <c r="JYW96" s="32"/>
      <c r="JYX96" s="32"/>
      <c r="JYY96" s="32"/>
      <c r="JYZ96" s="32"/>
      <c r="JZA96" s="32"/>
      <c r="JZB96" s="32"/>
      <c r="JZC96" s="32"/>
      <c r="JZD96" s="32"/>
      <c r="JZE96" s="32"/>
      <c r="JZF96" s="32"/>
      <c r="JZG96" s="32"/>
      <c r="JZH96" s="32"/>
      <c r="JZI96" s="32"/>
      <c r="JZJ96" s="32"/>
      <c r="JZK96" s="32"/>
      <c r="JZL96" s="32"/>
      <c r="JZM96" s="32"/>
      <c r="JZN96" s="32"/>
      <c r="JZO96" s="32"/>
      <c r="JZP96" s="32"/>
      <c r="JZQ96" s="32"/>
      <c r="JZR96" s="32"/>
      <c r="JZS96" s="32"/>
      <c r="JZT96" s="32"/>
      <c r="JZU96" s="32"/>
      <c r="JZV96" s="32"/>
      <c r="JZW96" s="32"/>
      <c r="JZX96" s="32"/>
      <c r="JZY96" s="32"/>
      <c r="JZZ96" s="32"/>
      <c r="KAA96" s="32"/>
      <c r="KAB96" s="32"/>
      <c r="KAC96" s="32"/>
      <c r="KAD96" s="32"/>
      <c r="KAE96" s="32"/>
      <c r="KAF96" s="32"/>
      <c r="KAG96" s="32"/>
      <c r="KAH96" s="32"/>
      <c r="KAI96" s="32"/>
      <c r="KAJ96" s="32"/>
      <c r="KAK96" s="32"/>
      <c r="KAL96" s="32"/>
      <c r="KAM96" s="32"/>
      <c r="KAN96" s="32"/>
      <c r="KAO96" s="32"/>
      <c r="KAP96" s="32"/>
      <c r="KAQ96" s="32"/>
      <c r="KAR96" s="32"/>
      <c r="KAS96" s="32"/>
      <c r="KAT96" s="32"/>
      <c r="KAU96" s="32"/>
      <c r="KAV96" s="32"/>
      <c r="KAW96" s="32"/>
      <c r="KAX96" s="32"/>
      <c r="KAY96" s="32"/>
      <c r="KAZ96" s="32"/>
      <c r="KBA96" s="32"/>
      <c r="KBB96" s="32"/>
      <c r="KBC96" s="32"/>
      <c r="KBD96" s="32"/>
      <c r="KBE96" s="32"/>
      <c r="KBF96" s="32"/>
      <c r="KBG96" s="32"/>
      <c r="KBH96" s="32"/>
      <c r="KBI96" s="32"/>
      <c r="KBJ96" s="32"/>
      <c r="KBK96" s="32"/>
      <c r="KBL96" s="32"/>
      <c r="KBM96" s="32"/>
      <c r="KBN96" s="32"/>
      <c r="KBO96" s="32"/>
      <c r="KBP96" s="32"/>
      <c r="KBQ96" s="32"/>
      <c r="KBR96" s="32"/>
      <c r="KBS96" s="32"/>
      <c r="KBT96" s="32"/>
      <c r="KBU96" s="32"/>
      <c r="KBV96" s="32"/>
      <c r="KBW96" s="32"/>
      <c r="KBX96" s="32"/>
      <c r="KBY96" s="32"/>
      <c r="KBZ96" s="32"/>
      <c r="KCA96" s="32"/>
      <c r="KCB96" s="32"/>
      <c r="KCC96" s="32"/>
      <c r="KCD96" s="32"/>
      <c r="KCE96" s="32"/>
      <c r="KCF96" s="32"/>
      <c r="KCG96" s="32"/>
      <c r="KCH96" s="32"/>
      <c r="KCI96" s="32"/>
      <c r="KCJ96" s="32"/>
      <c r="KCK96" s="32"/>
      <c r="KCL96" s="32"/>
      <c r="KCM96" s="32"/>
      <c r="KCN96" s="32"/>
      <c r="KCO96" s="32"/>
      <c r="KCP96" s="32"/>
      <c r="KCQ96" s="32"/>
      <c r="KCR96" s="32"/>
      <c r="KCS96" s="32"/>
      <c r="KCT96" s="32"/>
      <c r="KCU96" s="32"/>
      <c r="KCV96" s="32"/>
      <c r="KCW96" s="32"/>
      <c r="KCX96" s="32"/>
      <c r="KCY96" s="32"/>
      <c r="KCZ96" s="32"/>
      <c r="KDA96" s="32"/>
      <c r="KDB96" s="32"/>
      <c r="KDC96" s="32"/>
      <c r="KDD96" s="32"/>
      <c r="KDE96" s="32"/>
      <c r="KDF96" s="32"/>
      <c r="KDG96" s="32"/>
      <c r="KDH96" s="32"/>
      <c r="KDI96" s="32"/>
      <c r="KDJ96" s="32"/>
      <c r="KDK96" s="32"/>
      <c r="KDL96" s="32"/>
      <c r="KDM96" s="32"/>
      <c r="KDN96" s="32"/>
      <c r="KDO96" s="32"/>
      <c r="KDP96" s="32"/>
      <c r="KDQ96" s="32"/>
      <c r="KDR96" s="32"/>
      <c r="KDS96" s="32"/>
      <c r="KDT96" s="32"/>
      <c r="KDU96" s="32"/>
      <c r="KDV96" s="32"/>
      <c r="KDW96" s="32"/>
      <c r="KDX96" s="32"/>
      <c r="KDY96" s="32"/>
      <c r="KDZ96" s="32"/>
      <c r="KEA96" s="32"/>
      <c r="KEB96" s="32"/>
      <c r="KEC96" s="32"/>
      <c r="KED96" s="32"/>
      <c r="KEE96" s="32"/>
      <c r="KEF96" s="32"/>
      <c r="KEG96" s="32"/>
      <c r="KEH96" s="32"/>
      <c r="KEI96" s="32"/>
      <c r="KEJ96" s="32"/>
      <c r="KEK96" s="32"/>
      <c r="KEL96" s="32"/>
      <c r="KEM96" s="32"/>
      <c r="KEN96" s="32"/>
      <c r="KEO96" s="32"/>
      <c r="KEP96" s="32"/>
      <c r="KEQ96" s="32"/>
      <c r="KER96" s="32"/>
      <c r="KES96" s="32"/>
      <c r="KET96" s="32"/>
      <c r="KEU96" s="32"/>
      <c r="KEV96" s="32"/>
      <c r="KEW96" s="32"/>
      <c r="KEX96" s="32"/>
      <c r="KEY96" s="32"/>
      <c r="KEZ96" s="32"/>
      <c r="KFA96" s="32"/>
      <c r="KFB96" s="32"/>
      <c r="KFC96" s="32"/>
      <c r="KFD96" s="32"/>
      <c r="KFE96" s="32"/>
      <c r="KFF96" s="32"/>
      <c r="KFG96" s="32"/>
      <c r="KFH96" s="32"/>
      <c r="KFI96" s="32"/>
      <c r="KFJ96" s="32"/>
      <c r="KFK96" s="32"/>
      <c r="KFL96" s="32"/>
      <c r="KFM96" s="32"/>
      <c r="KFN96" s="32"/>
      <c r="KFO96" s="32"/>
      <c r="KFP96" s="32"/>
      <c r="KFQ96" s="32"/>
      <c r="KFR96" s="32"/>
      <c r="KFS96" s="32"/>
      <c r="KFT96" s="32"/>
      <c r="KFU96" s="32"/>
      <c r="KFV96" s="32"/>
      <c r="KFW96" s="32"/>
      <c r="KFX96" s="32"/>
      <c r="KFY96" s="32"/>
      <c r="KFZ96" s="32"/>
      <c r="KGA96" s="32"/>
      <c r="KGB96" s="32"/>
      <c r="KGC96" s="32"/>
      <c r="KGD96" s="32"/>
      <c r="KGE96" s="32"/>
      <c r="KGF96" s="32"/>
      <c r="KGG96" s="32"/>
      <c r="KGH96" s="32"/>
      <c r="KGI96" s="32"/>
      <c r="KGJ96" s="32"/>
      <c r="KGK96" s="32"/>
      <c r="KGL96" s="32"/>
      <c r="KGM96" s="32"/>
      <c r="KGN96" s="32"/>
      <c r="KGO96" s="32"/>
      <c r="KGP96" s="32"/>
      <c r="KGQ96" s="32"/>
      <c r="KGR96" s="32"/>
      <c r="KGS96" s="32"/>
      <c r="KGT96" s="32"/>
      <c r="KGU96" s="32"/>
      <c r="KGV96" s="32"/>
      <c r="KGW96" s="32"/>
      <c r="KGX96" s="32"/>
      <c r="KGY96" s="32"/>
      <c r="KGZ96" s="32"/>
      <c r="KHA96" s="32"/>
      <c r="KHB96" s="32"/>
      <c r="KHC96" s="32"/>
      <c r="KHD96" s="32"/>
      <c r="KHE96" s="32"/>
      <c r="KHF96" s="32"/>
      <c r="KHG96" s="32"/>
      <c r="KHH96" s="32"/>
      <c r="KHI96" s="32"/>
      <c r="KHJ96" s="32"/>
      <c r="KHK96" s="32"/>
      <c r="KHL96" s="32"/>
      <c r="KHM96" s="32"/>
      <c r="KHN96" s="32"/>
      <c r="KHO96" s="32"/>
      <c r="KHP96" s="32"/>
      <c r="KHQ96" s="32"/>
      <c r="KHR96" s="32"/>
      <c r="KHS96" s="32"/>
      <c r="KHT96" s="32"/>
      <c r="KHU96" s="32"/>
      <c r="KHV96" s="32"/>
      <c r="KHW96" s="32"/>
      <c r="KHX96" s="32"/>
      <c r="KHY96" s="32"/>
      <c r="KHZ96" s="32"/>
      <c r="KIA96" s="32"/>
      <c r="KIB96" s="32"/>
      <c r="KIC96" s="32"/>
      <c r="KID96" s="32"/>
      <c r="KIE96" s="32"/>
      <c r="KIF96" s="32"/>
      <c r="KIG96" s="32"/>
      <c r="KIH96" s="32"/>
      <c r="KII96" s="32"/>
      <c r="KIJ96" s="32"/>
      <c r="KIK96" s="32"/>
      <c r="KIL96" s="32"/>
      <c r="KIM96" s="32"/>
      <c r="KIN96" s="32"/>
      <c r="KIO96" s="32"/>
      <c r="KIP96" s="32"/>
      <c r="KIQ96" s="32"/>
      <c r="KIR96" s="32"/>
      <c r="KIS96" s="32"/>
      <c r="KIT96" s="32"/>
      <c r="KIU96" s="32"/>
      <c r="KIV96" s="32"/>
      <c r="KIW96" s="32"/>
      <c r="KIX96" s="32"/>
      <c r="KIY96" s="32"/>
      <c r="KIZ96" s="32"/>
      <c r="KJA96" s="32"/>
      <c r="KJB96" s="32"/>
      <c r="KJC96" s="32"/>
      <c r="KJD96" s="32"/>
      <c r="KJE96" s="32"/>
      <c r="KJF96" s="32"/>
      <c r="KJG96" s="32"/>
      <c r="KJH96" s="32"/>
      <c r="KJI96" s="32"/>
      <c r="KJJ96" s="32"/>
      <c r="KJK96" s="32"/>
      <c r="KJL96" s="32"/>
      <c r="KJM96" s="32"/>
      <c r="KJN96" s="32"/>
      <c r="KJO96" s="32"/>
      <c r="KJP96" s="32"/>
      <c r="KJQ96" s="32"/>
      <c r="KJR96" s="32"/>
      <c r="KJS96" s="32"/>
      <c r="KJT96" s="32"/>
      <c r="KJU96" s="32"/>
      <c r="KJV96" s="32"/>
      <c r="KJW96" s="32"/>
      <c r="KJX96" s="32"/>
      <c r="KJY96" s="32"/>
      <c r="KJZ96" s="32"/>
      <c r="KKA96" s="32"/>
      <c r="KKB96" s="32"/>
      <c r="KKC96" s="32"/>
      <c r="KKD96" s="32"/>
      <c r="KKE96" s="32"/>
      <c r="KKF96" s="32"/>
      <c r="KKG96" s="32"/>
      <c r="KKH96" s="32"/>
      <c r="KKI96" s="32"/>
      <c r="KKJ96" s="32"/>
      <c r="KKK96" s="32"/>
      <c r="KKL96" s="32"/>
      <c r="KKM96" s="32"/>
      <c r="KKN96" s="32"/>
      <c r="KKO96" s="32"/>
      <c r="KKP96" s="32"/>
      <c r="KKQ96" s="32"/>
      <c r="KKR96" s="32"/>
      <c r="KKS96" s="32"/>
      <c r="KKT96" s="32"/>
      <c r="KKU96" s="32"/>
      <c r="KKV96" s="32"/>
      <c r="KKW96" s="32"/>
      <c r="KKX96" s="32"/>
      <c r="KKY96" s="32"/>
      <c r="KKZ96" s="32"/>
      <c r="KLA96" s="32"/>
      <c r="KLB96" s="32"/>
      <c r="KLC96" s="32"/>
      <c r="KLD96" s="32"/>
      <c r="KLE96" s="32"/>
      <c r="KLF96" s="32"/>
      <c r="KLG96" s="32"/>
      <c r="KLH96" s="32"/>
      <c r="KLI96" s="32"/>
      <c r="KLJ96" s="32"/>
      <c r="KLK96" s="32"/>
      <c r="KLL96" s="32"/>
      <c r="KLM96" s="32"/>
      <c r="KLN96" s="32"/>
      <c r="KLO96" s="32"/>
      <c r="KLP96" s="32"/>
      <c r="KLQ96" s="32"/>
      <c r="KLR96" s="32"/>
      <c r="KLS96" s="32"/>
      <c r="KLT96" s="32"/>
      <c r="KLU96" s="32"/>
      <c r="KLV96" s="32"/>
      <c r="KLW96" s="32"/>
      <c r="KLX96" s="32"/>
      <c r="KLY96" s="32"/>
      <c r="KLZ96" s="32"/>
      <c r="KMA96" s="32"/>
      <c r="KMB96" s="32"/>
      <c r="KMC96" s="32"/>
      <c r="KMD96" s="32"/>
      <c r="KME96" s="32"/>
      <c r="KMF96" s="32"/>
      <c r="KMG96" s="32"/>
      <c r="KMH96" s="32"/>
      <c r="KMI96" s="32"/>
      <c r="KMJ96" s="32"/>
      <c r="KMK96" s="32"/>
      <c r="KML96" s="32"/>
      <c r="KMM96" s="32"/>
      <c r="KMN96" s="32"/>
      <c r="KMO96" s="32"/>
      <c r="KMP96" s="32"/>
      <c r="KMQ96" s="32"/>
      <c r="KMR96" s="32"/>
      <c r="KMS96" s="32"/>
      <c r="KMT96" s="32"/>
      <c r="KMU96" s="32"/>
      <c r="KMV96" s="32"/>
      <c r="KMW96" s="32"/>
      <c r="KMX96" s="32"/>
      <c r="KMY96" s="32"/>
      <c r="KMZ96" s="32"/>
      <c r="KNA96" s="32"/>
      <c r="KNB96" s="32"/>
      <c r="KNC96" s="32"/>
      <c r="KND96" s="32"/>
      <c r="KNE96" s="32"/>
      <c r="KNF96" s="32"/>
      <c r="KNG96" s="32"/>
      <c r="KNH96" s="32"/>
      <c r="KNI96" s="32"/>
      <c r="KNJ96" s="32"/>
      <c r="KNK96" s="32"/>
      <c r="KNL96" s="32"/>
      <c r="KNM96" s="32"/>
      <c r="KNN96" s="32"/>
      <c r="KNO96" s="32"/>
      <c r="KNP96" s="32"/>
      <c r="KNQ96" s="32"/>
      <c r="KNR96" s="32"/>
      <c r="KNS96" s="32"/>
      <c r="KNT96" s="32"/>
      <c r="KNU96" s="32"/>
      <c r="KNV96" s="32"/>
      <c r="KNW96" s="32"/>
      <c r="KNX96" s="32"/>
      <c r="KNY96" s="32"/>
      <c r="KNZ96" s="32"/>
      <c r="KOA96" s="32"/>
      <c r="KOB96" s="32"/>
      <c r="KOC96" s="32"/>
      <c r="KOD96" s="32"/>
      <c r="KOE96" s="32"/>
      <c r="KOF96" s="32"/>
      <c r="KOG96" s="32"/>
      <c r="KOH96" s="32"/>
      <c r="KOI96" s="32"/>
      <c r="KOJ96" s="32"/>
      <c r="KOK96" s="32"/>
      <c r="KOL96" s="32"/>
      <c r="KOM96" s="32"/>
      <c r="KON96" s="32"/>
      <c r="KOO96" s="32"/>
      <c r="KOP96" s="32"/>
      <c r="KOQ96" s="32"/>
      <c r="KOR96" s="32"/>
      <c r="KOS96" s="32"/>
      <c r="KOT96" s="32"/>
      <c r="KOU96" s="32"/>
      <c r="KOV96" s="32"/>
      <c r="KOW96" s="32"/>
      <c r="KOX96" s="32"/>
      <c r="KOY96" s="32"/>
      <c r="KOZ96" s="32"/>
      <c r="KPA96" s="32"/>
      <c r="KPB96" s="32"/>
      <c r="KPC96" s="32"/>
      <c r="KPD96" s="32"/>
      <c r="KPE96" s="32"/>
      <c r="KPF96" s="32"/>
      <c r="KPG96" s="32"/>
      <c r="KPH96" s="32"/>
      <c r="KPI96" s="32"/>
      <c r="KPJ96" s="32"/>
      <c r="KPK96" s="32"/>
      <c r="KPL96" s="32"/>
      <c r="KPM96" s="32"/>
      <c r="KPN96" s="32"/>
      <c r="KPO96" s="32"/>
      <c r="KPP96" s="32"/>
      <c r="KPQ96" s="32"/>
      <c r="KPR96" s="32"/>
      <c r="KPS96" s="32"/>
      <c r="KPT96" s="32"/>
      <c r="KPU96" s="32"/>
      <c r="KPV96" s="32"/>
      <c r="KPW96" s="32"/>
      <c r="KPX96" s="32"/>
      <c r="KPY96" s="32"/>
      <c r="KPZ96" s="32"/>
      <c r="KQA96" s="32"/>
      <c r="KQB96" s="32"/>
      <c r="KQC96" s="32"/>
      <c r="KQD96" s="32"/>
      <c r="KQE96" s="32"/>
      <c r="KQF96" s="32"/>
      <c r="KQG96" s="32"/>
      <c r="KQH96" s="32"/>
      <c r="KQI96" s="32"/>
      <c r="KQJ96" s="32"/>
      <c r="KQK96" s="32"/>
      <c r="KQL96" s="32"/>
      <c r="KQM96" s="32"/>
      <c r="KQN96" s="32"/>
      <c r="KQO96" s="32"/>
      <c r="KQP96" s="32"/>
      <c r="KQQ96" s="32"/>
      <c r="KQR96" s="32"/>
      <c r="KQS96" s="32"/>
      <c r="KQT96" s="32"/>
      <c r="KQU96" s="32"/>
      <c r="KQV96" s="32"/>
      <c r="KQW96" s="32"/>
      <c r="KQX96" s="32"/>
      <c r="KQY96" s="32"/>
      <c r="KQZ96" s="32"/>
      <c r="KRA96" s="32"/>
      <c r="KRB96" s="32"/>
      <c r="KRC96" s="32"/>
      <c r="KRD96" s="32"/>
      <c r="KRE96" s="32"/>
      <c r="KRF96" s="32"/>
      <c r="KRG96" s="32"/>
      <c r="KRH96" s="32"/>
      <c r="KRI96" s="32"/>
      <c r="KRJ96" s="32"/>
      <c r="KRK96" s="32"/>
      <c r="KRL96" s="32"/>
      <c r="KRM96" s="32"/>
      <c r="KRN96" s="32"/>
      <c r="KRO96" s="32"/>
      <c r="KRP96" s="32"/>
      <c r="KRQ96" s="32"/>
      <c r="KRR96" s="32"/>
      <c r="KRS96" s="32"/>
      <c r="KRT96" s="32"/>
      <c r="KRU96" s="32"/>
      <c r="KRV96" s="32"/>
      <c r="KRW96" s="32"/>
      <c r="KRX96" s="32"/>
      <c r="KRY96" s="32"/>
      <c r="KRZ96" s="32"/>
      <c r="KSA96" s="32"/>
      <c r="KSB96" s="32"/>
      <c r="KSC96" s="32"/>
      <c r="KSD96" s="32"/>
      <c r="KSE96" s="32"/>
      <c r="KSF96" s="32"/>
      <c r="KSG96" s="32"/>
      <c r="KSH96" s="32"/>
      <c r="KSI96" s="32"/>
      <c r="KSJ96" s="32"/>
      <c r="KSK96" s="32"/>
      <c r="KSL96" s="32"/>
      <c r="KSM96" s="32"/>
      <c r="KSN96" s="32"/>
      <c r="KSO96" s="32"/>
      <c r="KSP96" s="32"/>
      <c r="KSQ96" s="32"/>
      <c r="KSR96" s="32"/>
      <c r="KSS96" s="32"/>
      <c r="KST96" s="32"/>
      <c r="KSU96" s="32"/>
      <c r="KSV96" s="32"/>
      <c r="KSW96" s="32"/>
      <c r="KSX96" s="32"/>
      <c r="KSY96" s="32"/>
      <c r="KSZ96" s="32"/>
      <c r="KTA96" s="32"/>
      <c r="KTB96" s="32"/>
      <c r="KTC96" s="32"/>
      <c r="KTD96" s="32"/>
      <c r="KTE96" s="32"/>
      <c r="KTF96" s="32"/>
      <c r="KTG96" s="32"/>
      <c r="KTH96" s="32"/>
      <c r="KTI96" s="32"/>
      <c r="KTJ96" s="32"/>
      <c r="KTK96" s="32"/>
      <c r="KTL96" s="32"/>
      <c r="KTM96" s="32"/>
      <c r="KTN96" s="32"/>
      <c r="KTO96" s="32"/>
      <c r="KTP96" s="32"/>
      <c r="KTQ96" s="32"/>
      <c r="KTR96" s="32"/>
      <c r="KTS96" s="32"/>
      <c r="KTT96" s="32"/>
      <c r="KTU96" s="32"/>
      <c r="KTV96" s="32"/>
      <c r="KTW96" s="32"/>
      <c r="KTX96" s="32"/>
      <c r="KTY96" s="32"/>
      <c r="KTZ96" s="32"/>
      <c r="KUA96" s="32"/>
      <c r="KUB96" s="32"/>
      <c r="KUC96" s="32"/>
      <c r="KUD96" s="32"/>
      <c r="KUE96" s="32"/>
      <c r="KUF96" s="32"/>
      <c r="KUG96" s="32"/>
      <c r="KUH96" s="32"/>
      <c r="KUI96" s="32"/>
      <c r="KUJ96" s="32"/>
      <c r="KUK96" s="32"/>
      <c r="KUL96" s="32"/>
      <c r="KUM96" s="32"/>
      <c r="KUN96" s="32"/>
      <c r="KUO96" s="32"/>
      <c r="KUP96" s="32"/>
      <c r="KUQ96" s="32"/>
      <c r="KUR96" s="32"/>
      <c r="KUS96" s="32"/>
      <c r="KUT96" s="32"/>
      <c r="KUU96" s="32"/>
      <c r="KUV96" s="32"/>
      <c r="KUW96" s="32"/>
      <c r="KUX96" s="32"/>
      <c r="KUY96" s="32"/>
      <c r="KUZ96" s="32"/>
      <c r="KVA96" s="32"/>
      <c r="KVB96" s="32"/>
      <c r="KVC96" s="32"/>
      <c r="KVD96" s="32"/>
      <c r="KVE96" s="32"/>
      <c r="KVF96" s="32"/>
      <c r="KVG96" s="32"/>
      <c r="KVH96" s="32"/>
      <c r="KVI96" s="32"/>
      <c r="KVJ96" s="32"/>
      <c r="KVK96" s="32"/>
      <c r="KVL96" s="32"/>
      <c r="KVM96" s="32"/>
      <c r="KVN96" s="32"/>
      <c r="KVO96" s="32"/>
      <c r="KVP96" s="32"/>
      <c r="KVQ96" s="32"/>
      <c r="KVR96" s="32"/>
      <c r="KVS96" s="32"/>
      <c r="KVT96" s="32"/>
      <c r="KVU96" s="32"/>
      <c r="KVV96" s="32"/>
      <c r="KVW96" s="32"/>
      <c r="KVX96" s="32"/>
      <c r="KVY96" s="32"/>
      <c r="KVZ96" s="32"/>
      <c r="KWA96" s="32"/>
      <c r="KWB96" s="32"/>
      <c r="KWC96" s="32"/>
      <c r="KWD96" s="32"/>
      <c r="KWE96" s="32"/>
      <c r="KWF96" s="32"/>
      <c r="KWG96" s="32"/>
      <c r="KWH96" s="32"/>
      <c r="KWI96" s="32"/>
      <c r="KWJ96" s="32"/>
      <c r="KWK96" s="32"/>
      <c r="KWL96" s="32"/>
      <c r="KWM96" s="32"/>
      <c r="KWN96" s="32"/>
      <c r="KWO96" s="32"/>
      <c r="KWP96" s="32"/>
      <c r="KWQ96" s="32"/>
      <c r="KWR96" s="32"/>
      <c r="KWS96" s="32"/>
      <c r="KWT96" s="32"/>
      <c r="KWU96" s="32"/>
      <c r="KWV96" s="32"/>
      <c r="KWW96" s="32"/>
      <c r="KWX96" s="32"/>
      <c r="KWY96" s="32"/>
      <c r="KWZ96" s="32"/>
      <c r="KXA96" s="32"/>
      <c r="KXB96" s="32"/>
      <c r="KXC96" s="32"/>
      <c r="KXD96" s="32"/>
      <c r="KXE96" s="32"/>
      <c r="KXF96" s="32"/>
      <c r="KXG96" s="32"/>
      <c r="KXH96" s="32"/>
      <c r="KXI96" s="32"/>
      <c r="KXJ96" s="32"/>
      <c r="KXK96" s="32"/>
      <c r="KXL96" s="32"/>
      <c r="KXM96" s="32"/>
      <c r="KXN96" s="32"/>
      <c r="KXO96" s="32"/>
      <c r="KXP96" s="32"/>
      <c r="KXQ96" s="32"/>
      <c r="KXR96" s="32"/>
      <c r="KXS96" s="32"/>
      <c r="KXT96" s="32"/>
      <c r="KXU96" s="32"/>
      <c r="KXV96" s="32"/>
      <c r="KXW96" s="32"/>
      <c r="KXX96" s="32"/>
      <c r="KXY96" s="32"/>
      <c r="KXZ96" s="32"/>
      <c r="KYA96" s="32"/>
      <c r="KYB96" s="32"/>
      <c r="KYC96" s="32"/>
      <c r="KYD96" s="32"/>
      <c r="KYE96" s="32"/>
      <c r="KYF96" s="32"/>
      <c r="KYG96" s="32"/>
      <c r="KYH96" s="32"/>
      <c r="KYI96" s="32"/>
      <c r="KYJ96" s="32"/>
      <c r="KYK96" s="32"/>
      <c r="KYL96" s="32"/>
      <c r="KYM96" s="32"/>
      <c r="KYN96" s="32"/>
      <c r="KYO96" s="32"/>
      <c r="KYP96" s="32"/>
      <c r="KYQ96" s="32"/>
      <c r="KYR96" s="32"/>
      <c r="KYS96" s="32"/>
      <c r="KYT96" s="32"/>
      <c r="KYU96" s="32"/>
      <c r="KYV96" s="32"/>
      <c r="KYW96" s="32"/>
      <c r="KYX96" s="32"/>
      <c r="KYY96" s="32"/>
      <c r="KYZ96" s="32"/>
      <c r="KZA96" s="32"/>
      <c r="KZB96" s="32"/>
      <c r="KZC96" s="32"/>
      <c r="KZD96" s="32"/>
      <c r="KZE96" s="32"/>
      <c r="KZF96" s="32"/>
      <c r="KZG96" s="32"/>
      <c r="KZH96" s="32"/>
      <c r="KZI96" s="32"/>
      <c r="KZJ96" s="32"/>
      <c r="KZK96" s="32"/>
      <c r="KZL96" s="32"/>
      <c r="KZM96" s="32"/>
      <c r="KZN96" s="32"/>
      <c r="KZO96" s="32"/>
      <c r="KZP96" s="32"/>
      <c r="KZQ96" s="32"/>
      <c r="KZR96" s="32"/>
      <c r="KZS96" s="32"/>
      <c r="KZT96" s="32"/>
      <c r="KZU96" s="32"/>
      <c r="KZV96" s="32"/>
      <c r="KZW96" s="32"/>
      <c r="KZX96" s="32"/>
      <c r="KZY96" s="32"/>
      <c r="KZZ96" s="32"/>
      <c r="LAA96" s="32"/>
      <c r="LAB96" s="32"/>
      <c r="LAC96" s="32"/>
      <c r="LAD96" s="32"/>
      <c r="LAE96" s="32"/>
      <c r="LAF96" s="32"/>
      <c r="LAG96" s="32"/>
      <c r="LAH96" s="32"/>
      <c r="LAI96" s="32"/>
      <c r="LAJ96" s="32"/>
      <c r="LAK96" s="32"/>
      <c r="LAL96" s="32"/>
      <c r="LAM96" s="32"/>
      <c r="LAN96" s="32"/>
      <c r="LAO96" s="32"/>
      <c r="LAP96" s="32"/>
      <c r="LAQ96" s="32"/>
      <c r="LAR96" s="32"/>
      <c r="LAS96" s="32"/>
      <c r="LAT96" s="32"/>
      <c r="LAU96" s="32"/>
      <c r="LAV96" s="32"/>
      <c r="LAW96" s="32"/>
      <c r="LAX96" s="32"/>
      <c r="LAY96" s="32"/>
      <c r="LAZ96" s="32"/>
      <c r="LBA96" s="32"/>
      <c r="LBB96" s="32"/>
      <c r="LBC96" s="32"/>
      <c r="LBD96" s="32"/>
      <c r="LBE96" s="32"/>
      <c r="LBF96" s="32"/>
      <c r="LBG96" s="32"/>
      <c r="LBH96" s="32"/>
      <c r="LBI96" s="32"/>
      <c r="LBJ96" s="32"/>
      <c r="LBK96" s="32"/>
      <c r="LBL96" s="32"/>
      <c r="LBM96" s="32"/>
      <c r="LBN96" s="32"/>
      <c r="LBO96" s="32"/>
      <c r="LBP96" s="32"/>
      <c r="LBQ96" s="32"/>
      <c r="LBR96" s="32"/>
      <c r="LBS96" s="32"/>
      <c r="LBT96" s="32"/>
      <c r="LBU96" s="32"/>
      <c r="LBV96" s="32"/>
      <c r="LBW96" s="32"/>
      <c r="LBX96" s="32"/>
      <c r="LBY96" s="32"/>
      <c r="LBZ96" s="32"/>
      <c r="LCA96" s="32"/>
      <c r="LCB96" s="32"/>
      <c r="LCC96" s="32"/>
      <c r="LCD96" s="32"/>
      <c r="LCE96" s="32"/>
      <c r="LCF96" s="32"/>
      <c r="LCG96" s="32"/>
      <c r="LCH96" s="32"/>
      <c r="LCI96" s="32"/>
      <c r="LCJ96" s="32"/>
      <c r="LCK96" s="32"/>
      <c r="LCL96" s="32"/>
      <c r="LCM96" s="32"/>
      <c r="LCN96" s="32"/>
      <c r="LCO96" s="32"/>
      <c r="LCP96" s="32"/>
      <c r="LCQ96" s="32"/>
      <c r="LCR96" s="32"/>
      <c r="LCS96" s="32"/>
      <c r="LCT96" s="32"/>
      <c r="LCU96" s="32"/>
      <c r="LCV96" s="32"/>
      <c r="LCW96" s="32"/>
      <c r="LCX96" s="32"/>
      <c r="LCY96" s="32"/>
      <c r="LCZ96" s="32"/>
      <c r="LDA96" s="32"/>
      <c r="LDB96" s="32"/>
      <c r="LDC96" s="32"/>
      <c r="LDD96" s="32"/>
      <c r="LDE96" s="32"/>
      <c r="LDF96" s="32"/>
      <c r="LDG96" s="32"/>
      <c r="LDH96" s="32"/>
      <c r="LDI96" s="32"/>
      <c r="LDJ96" s="32"/>
      <c r="LDK96" s="32"/>
      <c r="LDL96" s="32"/>
      <c r="LDM96" s="32"/>
      <c r="LDN96" s="32"/>
      <c r="LDO96" s="32"/>
      <c r="LDP96" s="32"/>
      <c r="LDQ96" s="32"/>
      <c r="LDR96" s="32"/>
      <c r="LDS96" s="32"/>
      <c r="LDT96" s="32"/>
      <c r="LDU96" s="32"/>
      <c r="LDV96" s="32"/>
      <c r="LDW96" s="32"/>
      <c r="LDX96" s="32"/>
      <c r="LDY96" s="32"/>
      <c r="LDZ96" s="32"/>
      <c r="LEA96" s="32"/>
      <c r="LEB96" s="32"/>
      <c r="LEC96" s="32"/>
      <c r="LED96" s="32"/>
      <c r="LEE96" s="32"/>
      <c r="LEF96" s="32"/>
      <c r="LEG96" s="32"/>
      <c r="LEH96" s="32"/>
      <c r="LEI96" s="32"/>
      <c r="LEJ96" s="32"/>
      <c r="LEK96" s="32"/>
      <c r="LEL96" s="32"/>
      <c r="LEM96" s="32"/>
      <c r="LEN96" s="32"/>
      <c r="LEO96" s="32"/>
      <c r="LEP96" s="32"/>
      <c r="LEQ96" s="32"/>
      <c r="LER96" s="32"/>
      <c r="LES96" s="32"/>
      <c r="LET96" s="32"/>
      <c r="LEU96" s="32"/>
      <c r="LEV96" s="32"/>
      <c r="LEW96" s="32"/>
      <c r="LEX96" s="32"/>
      <c r="LEY96" s="32"/>
      <c r="LEZ96" s="32"/>
      <c r="LFA96" s="32"/>
      <c r="LFB96" s="32"/>
      <c r="LFC96" s="32"/>
      <c r="LFD96" s="32"/>
      <c r="LFE96" s="32"/>
      <c r="LFF96" s="32"/>
      <c r="LFG96" s="32"/>
      <c r="LFH96" s="32"/>
      <c r="LFI96" s="32"/>
      <c r="LFJ96" s="32"/>
      <c r="LFK96" s="32"/>
      <c r="LFL96" s="32"/>
      <c r="LFM96" s="32"/>
      <c r="LFN96" s="32"/>
      <c r="LFO96" s="32"/>
      <c r="LFP96" s="32"/>
      <c r="LFQ96" s="32"/>
      <c r="LFR96" s="32"/>
      <c r="LFS96" s="32"/>
      <c r="LFT96" s="32"/>
      <c r="LFU96" s="32"/>
      <c r="LFV96" s="32"/>
      <c r="LFW96" s="32"/>
      <c r="LFX96" s="32"/>
      <c r="LFY96" s="32"/>
      <c r="LFZ96" s="32"/>
      <c r="LGA96" s="32"/>
      <c r="LGB96" s="32"/>
      <c r="LGC96" s="32"/>
      <c r="LGD96" s="32"/>
      <c r="LGE96" s="32"/>
      <c r="LGF96" s="32"/>
      <c r="LGG96" s="32"/>
      <c r="LGH96" s="32"/>
      <c r="LGI96" s="32"/>
      <c r="LGJ96" s="32"/>
      <c r="LGK96" s="32"/>
      <c r="LGL96" s="32"/>
      <c r="LGM96" s="32"/>
      <c r="LGN96" s="32"/>
      <c r="LGO96" s="32"/>
      <c r="LGP96" s="32"/>
      <c r="LGQ96" s="32"/>
      <c r="LGR96" s="32"/>
      <c r="LGS96" s="32"/>
      <c r="LGT96" s="32"/>
      <c r="LGU96" s="32"/>
      <c r="LGV96" s="32"/>
      <c r="LGW96" s="32"/>
      <c r="LGX96" s="32"/>
      <c r="LGY96" s="32"/>
      <c r="LGZ96" s="32"/>
      <c r="LHA96" s="32"/>
      <c r="LHB96" s="32"/>
      <c r="LHC96" s="32"/>
      <c r="LHD96" s="32"/>
      <c r="LHE96" s="32"/>
      <c r="LHF96" s="32"/>
      <c r="LHG96" s="32"/>
      <c r="LHH96" s="32"/>
      <c r="LHI96" s="32"/>
      <c r="LHJ96" s="32"/>
      <c r="LHK96" s="32"/>
      <c r="LHL96" s="32"/>
      <c r="LHM96" s="32"/>
      <c r="LHN96" s="32"/>
      <c r="LHO96" s="32"/>
      <c r="LHP96" s="32"/>
      <c r="LHQ96" s="32"/>
      <c r="LHR96" s="32"/>
      <c r="LHS96" s="32"/>
      <c r="LHT96" s="32"/>
      <c r="LHU96" s="32"/>
      <c r="LHV96" s="32"/>
      <c r="LHW96" s="32"/>
      <c r="LHX96" s="32"/>
      <c r="LHY96" s="32"/>
      <c r="LHZ96" s="32"/>
      <c r="LIA96" s="32"/>
      <c r="LIB96" s="32"/>
      <c r="LIC96" s="32"/>
      <c r="LID96" s="32"/>
      <c r="LIE96" s="32"/>
      <c r="LIF96" s="32"/>
      <c r="LIG96" s="32"/>
      <c r="LIH96" s="32"/>
      <c r="LII96" s="32"/>
      <c r="LIJ96" s="32"/>
      <c r="LIK96" s="32"/>
      <c r="LIL96" s="32"/>
      <c r="LIM96" s="32"/>
      <c r="LIN96" s="32"/>
      <c r="LIO96" s="32"/>
      <c r="LIP96" s="32"/>
      <c r="LIQ96" s="32"/>
      <c r="LIR96" s="32"/>
      <c r="LIS96" s="32"/>
      <c r="LIT96" s="32"/>
      <c r="LIU96" s="32"/>
      <c r="LIV96" s="32"/>
      <c r="LIW96" s="32"/>
      <c r="LIX96" s="32"/>
      <c r="LIY96" s="32"/>
      <c r="LIZ96" s="32"/>
      <c r="LJA96" s="32"/>
      <c r="LJB96" s="32"/>
      <c r="LJC96" s="32"/>
      <c r="LJD96" s="32"/>
      <c r="LJE96" s="32"/>
      <c r="LJF96" s="32"/>
      <c r="LJG96" s="32"/>
      <c r="LJH96" s="32"/>
      <c r="LJI96" s="32"/>
      <c r="LJJ96" s="32"/>
      <c r="LJK96" s="32"/>
      <c r="LJL96" s="32"/>
      <c r="LJM96" s="32"/>
      <c r="LJN96" s="32"/>
      <c r="LJO96" s="32"/>
      <c r="LJP96" s="32"/>
      <c r="LJQ96" s="32"/>
      <c r="LJR96" s="32"/>
      <c r="LJS96" s="32"/>
      <c r="LJT96" s="32"/>
      <c r="LJU96" s="32"/>
      <c r="LJV96" s="32"/>
      <c r="LJW96" s="32"/>
      <c r="LJX96" s="32"/>
      <c r="LJY96" s="32"/>
      <c r="LJZ96" s="32"/>
      <c r="LKA96" s="32"/>
      <c r="LKB96" s="32"/>
      <c r="LKC96" s="32"/>
      <c r="LKD96" s="32"/>
      <c r="LKE96" s="32"/>
      <c r="LKF96" s="32"/>
      <c r="LKG96" s="32"/>
      <c r="LKH96" s="32"/>
      <c r="LKI96" s="32"/>
      <c r="LKJ96" s="32"/>
      <c r="LKK96" s="32"/>
      <c r="LKL96" s="32"/>
      <c r="LKM96" s="32"/>
      <c r="LKN96" s="32"/>
      <c r="LKO96" s="32"/>
      <c r="LKP96" s="32"/>
      <c r="LKQ96" s="32"/>
      <c r="LKR96" s="32"/>
      <c r="LKS96" s="32"/>
      <c r="LKT96" s="32"/>
      <c r="LKU96" s="32"/>
      <c r="LKV96" s="32"/>
      <c r="LKW96" s="32"/>
      <c r="LKX96" s="32"/>
      <c r="LKY96" s="32"/>
      <c r="LKZ96" s="32"/>
      <c r="LLA96" s="32"/>
      <c r="LLB96" s="32"/>
      <c r="LLC96" s="32"/>
      <c r="LLD96" s="32"/>
      <c r="LLE96" s="32"/>
      <c r="LLF96" s="32"/>
      <c r="LLG96" s="32"/>
      <c r="LLH96" s="32"/>
      <c r="LLI96" s="32"/>
      <c r="LLJ96" s="32"/>
      <c r="LLK96" s="32"/>
      <c r="LLL96" s="32"/>
      <c r="LLM96" s="32"/>
      <c r="LLN96" s="32"/>
      <c r="LLO96" s="32"/>
      <c r="LLP96" s="32"/>
      <c r="LLQ96" s="32"/>
      <c r="LLR96" s="32"/>
      <c r="LLS96" s="32"/>
      <c r="LLT96" s="32"/>
      <c r="LLU96" s="32"/>
      <c r="LLV96" s="32"/>
      <c r="LLW96" s="32"/>
      <c r="LLX96" s="32"/>
      <c r="LLY96" s="32"/>
      <c r="LLZ96" s="32"/>
      <c r="LMA96" s="32"/>
      <c r="LMB96" s="32"/>
      <c r="LMC96" s="32"/>
      <c r="LMD96" s="32"/>
      <c r="LME96" s="32"/>
      <c r="LMF96" s="32"/>
      <c r="LMG96" s="32"/>
      <c r="LMH96" s="32"/>
      <c r="LMI96" s="32"/>
      <c r="LMJ96" s="32"/>
      <c r="LMK96" s="32"/>
      <c r="LML96" s="32"/>
      <c r="LMM96" s="32"/>
      <c r="LMN96" s="32"/>
      <c r="LMO96" s="32"/>
      <c r="LMP96" s="32"/>
      <c r="LMQ96" s="32"/>
      <c r="LMR96" s="32"/>
      <c r="LMS96" s="32"/>
      <c r="LMT96" s="32"/>
      <c r="LMU96" s="32"/>
      <c r="LMV96" s="32"/>
      <c r="LMW96" s="32"/>
      <c r="LMX96" s="32"/>
      <c r="LMY96" s="32"/>
      <c r="LMZ96" s="32"/>
      <c r="LNA96" s="32"/>
      <c r="LNB96" s="32"/>
      <c r="LNC96" s="32"/>
      <c r="LND96" s="32"/>
      <c r="LNE96" s="32"/>
      <c r="LNF96" s="32"/>
      <c r="LNG96" s="32"/>
      <c r="LNH96" s="32"/>
      <c r="LNI96" s="32"/>
      <c r="LNJ96" s="32"/>
      <c r="LNK96" s="32"/>
      <c r="LNL96" s="32"/>
      <c r="LNM96" s="32"/>
      <c r="LNN96" s="32"/>
      <c r="LNO96" s="32"/>
      <c r="LNP96" s="32"/>
      <c r="LNQ96" s="32"/>
      <c r="LNR96" s="32"/>
      <c r="LNS96" s="32"/>
      <c r="LNT96" s="32"/>
      <c r="LNU96" s="32"/>
      <c r="LNV96" s="32"/>
      <c r="LNW96" s="32"/>
      <c r="LNX96" s="32"/>
      <c r="LNY96" s="32"/>
      <c r="LNZ96" s="32"/>
      <c r="LOA96" s="32"/>
      <c r="LOB96" s="32"/>
      <c r="LOC96" s="32"/>
      <c r="LOD96" s="32"/>
      <c r="LOE96" s="32"/>
      <c r="LOF96" s="32"/>
      <c r="LOG96" s="32"/>
      <c r="LOH96" s="32"/>
      <c r="LOI96" s="32"/>
      <c r="LOJ96" s="32"/>
      <c r="LOK96" s="32"/>
      <c r="LOL96" s="32"/>
      <c r="LOM96" s="32"/>
      <c r="LON96" s="32"/>
      <c r="LOO96" s="32"/>
      <c r="LOP96" s="32"/>
      <c r="LOQ96" s="32"/>
      <c r="LOR96" s="32"/>
      <c r="LOS96" s="32"/>
      <c r="LOT96" s="32"/>
      <c r="LOU96" s="32"/>
      <c r="LOV96" s="32"/>
      <c r="LOW96" s="32"/>
      <c r="LOX96" s="32"/>
      <c r="LOY96" s="32"/>
      <c r="LOZ96" s="32"/>
      <c r="LPA96" s="32"/>
      <c r="LPB96" s="32"/>
      <c r="LPC96" s="32"/>
      <c r="LPD96" s="32"/>
      <c r="LPE96" s="32"/>
      <c r="LPF96" s="32"/>
      <c r="LPG96" s="32"/>
      <c r="LPH96" s="32"/>
      <c r="LPI96" s="32"/>
      <c r="LPJ96" s="32"/>
      <c r="LPK96" s="32"/>
      <c r="LPL96" s="32"/>
      <c r="LPM96" s="32"/>
      <c r="LPN96" s="32"/>
      <c r="LPO96" s="32"/>
      <c r="LPP96" s="32"/>
      <c r="LPQ96" s="32"/>
      <c r="LPR96" s="32"/>
      <c r="LPS96" s="32"/>
      <c r="LPT96" s="32"/>
      <c r="LPU96" s="32"/>
      <c r="LPV96" s="32"/>
      <c r="LPW96" s="32"/>
      <c r="LPX96" s="32"/>
      <c r="LPY96" s="32"/>
      <c r="LPZ96" s="32"/>
      <c r="LQA96" s="32"/>
      <c r="LQB96" s="32"/>
      <c r="LQC96" s="32"/>
      <c r="LQD96" s="32"/>
      <c r="LQE96" s="32"/>
      <c r="LQF96" s="32"/>
      <c r="LQG96" s="32"/>
      <c r="LQH96" s="32"/>
      <c r="LQI96" s="32"/>
      <c r="LQJ96" s="32"/>
      <c r="LQK96" s="32"/>
      <c r="LQL96" s="32"/>
      <c r="LQM96" s="32"/>
      <c r="LQN96" s="32"/>
      <c r="LQO96" s="32"/>
      <c r="LQP96" s="32"/>
      <c r="LQQ96" s="32"/>
      <c r="LQR96" s="32"/>
      <c r="LQS96" s="32"/>
      <c r="LQT96" s="32"/>
      <c r="LQU96" s="32"/>
      <c r="LQV96" s="32"/>
      <c r="LQW96" s="32"/>
      <c r="LQX96" s="32"/>
      <c r="LQY96" s="32"/>
      <c r="LQZ96" s="32"/>
      <c r="LRA96" s="32"/>
      <c r="LRB96" s="32"/>
      <c r="LRC96" s="32"/>
      <c r="LRD96" s="32"/>
      <c r="LRE96" s="32"/>
      <c r="LRF96" s="32"/>
      <c r="LRG96" s="32"/>
      <c r="LRH96" s="32"/>
      <c r="LRI96" s="32"/>
      <c r="LRJ96" s="32"/>
      <c r="LRK96" s="32"/>
      <c r="LRL96" s="32"/>
      <c r="LRM96" s="32"/>
      <c r="LRN96" s="32"/>
      <c r="LRO96" s="32"/>
      <c r="LRP96" s="32"/>
      <c r="LRQ96" s="32"/>
      <c r="LRR96" s="32"/>
      <c r="LRS96" s="32"/>
      <c r="LRT96" s="32"/>
      <c r="LRU96" s="32"/>
      <c r="LRV96" s="32"/>
      <c r="LRW96" s="32"/>
      <c r="LRX96" s="32"/>
      <c r="LRY96" s="32"/>
      <c r="LRZ96" s="32"/>
      <c r="LSA96" s="32"/>
      <c r="LSB96" s="32"/>
      <c r="LSC96" s="32"/>
      <c r="LSD96" s="32"/>
      <c r="LSE96" s="32"/>
      <c r="LSF96" s="32"/>
      <c r="LSG96" s="32"/>
      <c r="LSH96" s="32"/>
      <c r="LSI96" s="32"/>
      <c r="LSJ96" s="32"/>
      <c r="LSK96" s="32"/>
      <c r="LSL96" s="32"/>
      <c r="LSM96" s="32"/>
      <c r="LSN96" s="32"/>
      <c r="LSO96" s="32"/>
      <c r="LSP96" s="32"/>
      <c r="LSQ96" s="32"/>
      <c r="LSR96" s="32"/>
      <c r="LSS96" s="32"/>
      <c r="LST96" s="32"/>
      <c r="LSU96" s="32"/>
      <c r="LSV96" s="32"/>
      <c r="LSW96" s="32"/>
      <c r="LSX96" s="32"/>
      <c r="LSY96" s="32"/>
      <c r="LSZ96" s="32"/>
      <c r="LTA96" s="32"/>
      <c r="LTB96" s="32"/>
      <c r="LTC96" s="32"/>
      <c r="LTD96" s="32"/>
      <c r="LTE96" s="32"/>
      <c r="LTF96" s="32"/>
      <c r="LTG96" s="32"/>
      <c r="LTH96" s="32"/>
      <c r="LTI96" s="32"/>
      <c r="LTJ96" s="32"/>
      <c r="LTK96" s="32"/>
      <c r="LTL96" s="32"/>
      <c r="LTM96" s="32"/>
      <c r="LTN96" s="32"/>
      <c r="LTO96" s="32"/>
      <c r="LTP96" s="32"/>
      <c r="LTQ96" s="32"/>
      <c r="LTR96" s="32"/>
      <c r="LTS96" s="32"/>
      <c r="LTT96" s="32"/>
      <c r="LTU96" s="32"/>
      <c r="LTV96" s="32"/>
      <c r="LTW96" s="32"/>
      <c r="LTX96" s="32"/>
      <c r="LTY96" s="32"/>
      <c r="LTZ96" s="32"/>
      <c r="LUA96" s="32"/>
      <c r="LUB96" s="32"/>
      <c r="LUC96" s="32"/>
      <c r="LUD96" s="32"/>
      <c r="LUE96" s="32"/>
      <c r="LUF96" s="32"/>
      <c r="LUG96" s="32"/>
      <c r="LUH96" s="32"/>
      <c r="LUI96" s="32"/>
      <c r="LUJ96" s="32"/>
      <c r="LUK96" s="32"/>
      <c r="LUL96" s="32"/>
      <c r="LUM96" s="32"/>
      <c r="LUN96" s="32"/>
      <c r="LUO96" s="32"/>
      <c r="LUP96" s="32"/>
      <c r="LUQ96" s="32"/>
      <c r="LUR96" s="32"/>
      <c r="LUS96" s="32"/>
      <c r="LUT96" s="32"/>
      <c r="LUU96" s="32"/>
      <c r="LUV96" s="32"/>
      <c r="LUW96" s="32"/>
      <c r="LUX96" s="32"/>
      <c r="LUY96" s="32"/>
      <c r="LUZ96" s="32"/>
      <c r="LVA96" s="32"/>
      <c r="LVB96" s="32"/>
      <c r="LVC96" s="32"/>
      <c r="LVD96" s="32"/>
      <c r="LVE96" s="32"/>
      <c r="LVF96" s="32"/>
      <c r="LVG96" s="32"/>
      <c r="LVH96" s="32"/>
      <c r="LVI96" s="32"/>
      <c r="LVJ96" s="32"/>
      <c r="LVK96" s="32"/>
      <c r="LVL96" s="32"/>
      <c r="LVM96" s="32"/>
      <c r="LVN96" s="32"/>
      <c r="LVO96" s="32"/>
      <c r="LVP96" s="32"/>
      <c r="LVQ96" s="32"/>
      <c r="LVR96" s="32"/>
      <c r="LVS96" s="32"/>
      <c r="LVT96" s="32"/>
      <c r="LVU96" s="32"/>
      <c r="LVV96" s="32"/>
      <c r="LVW96" s="32"/>
      <c r="LVX96" s="32"/>
      <c r="LVY96" s="32"/>
      <c r="LVZ96" s="32"/>
      <c r="LWA96" s="32"/>
      <c r="LWB96" s="32"/>
      <c r="LWC96" s="32"/>
      <c r="LWD96" s="32"/>
      <c r="LWE96" s="32"/>
      <c r="LWF96" s="32"/>
      <c r="LWG96" s="32"/>
      <c r="LWH96" s="32"/>
      <c r="LWI96" s="32"/>
      <c r="LWJ96" s="32"/>
      <c r="LWK96" s="32"/>
      <c r="LWL96" s="32"/>
      <c r="LWM96" s="32"/>
      <c r="LWN96" s="32"/>
      <c r="LWO96" s="32"/>
      <c r="LWP96" s="32"/>
      <c r="LWQ96" s="32"/>
      <c r="LWR96" s="32"/>
      <c r="LWS96" s="32"/>
      <c r="LWT96" s="32"/>
      <c r="LWU96" s="32"/>
      <c r="LWV96" s="32"/>
      <c r="LWW96" s="32"/>
      <c r="LWX96" s="32"/>
      <c r="LWY96" s="32"/>
      <c r="LWZ96" s="32"/>
      <c r="LXA96" s="32"/>
      <c r="LXB96" s="32"/>
      <c r="LXC96" s="32"/>
      <c r="LXD96" s="32"/>
      <c r="LXE96" s="32"/>
      <c r="LXF96" s="32"/>
      <c r="LXG96" s="32"/>
      <c r="LXH96" s="32"/>
      <c r="LXI96" s="32"/>
      <c r="LXJ96" s="32"/>
      <c r="LXK96" s="32"/>
      <c r="LXL96" s="32"/>
      <c r="LXM96" s="32"/>
      <c r="LXN96" s="32"/>
      <c r="LXO96" s="32"/>
      <c r="LXP96" s="32"/>
      <c r="LXQ96" s="32"/>
      <c r="LXR96" s="32"/>
      <c r="LXS96" s="32"/>
      <c r="LXT96" s="32"/>
      <c r="LXU96" s="32"/>
      <c r="LXV96" s="32"/>
      <c r="LXW96" s="32"/>
      <c r="LXX96" s="32"/>
      <c r="LXY96" s="32"/>
      <c r="LXZ96" s="32"/>
      <c r="LYA96" s="32"/>
      <c r="LYB96" s="32"/>
      <c r="LYC96" s="32"/>
      <c r="LYD96" s="32"/>
      <c r="LYE96" s="32"/>
      <c r="LYF96" s="32"/>
      <c r="LYG96" s="32"/>
      <c r="LYH96" s="32"/>
      <c r="LYI96" s="32"/>
      <c r="LYJ96" s="32"/>
      <c r="LYK96" s="32"/>
      <c r="LYL96" s="32"/>
      <c r="LYM96" s="32"/>
      <c r="LYN96" s="32"/>
      <c r="LYO96" s="32"/>
      <c r="LYP96" s="32"/>
      <c r="LYQ96" s="32"/>
      <c r="LYR96" s="32"/>
      <c r="LYS96" s="32"/>
      <c r="LYT96" s="32"/>
      <c r="LYU96" s="32"/>
      <c r="LYV96" s="32"/>
      <c r="LYW96" s="32"/>
      <c r="LYX96" s="32"/>
      <c r="LYY96" s="32"/>
      <c r="LYZ96" s="32"/>
      <c r="LZA96" s="32"/>
      <c r="LZB96" s="32"/>
      <c r="LZC96" s="32"/>
      <c r="LZD96" s="32"/>
      <c r="LZE96" s="32"/>
      <c r="LZF96" s="32"/>
      <c r="LZG96" s="32"/>
      <c r="LZH96" s="32"/>
      <c r="LZI96" s="32"/>
      <c r="LZJ96" s="32"/>
      <c r="LZK96" s="32"/>
      <c r="LZL96" s="32"/>
      <c r="LZM96" s="32"/>
      <c r="LZN96" s="32"/>
      <c r="LZO96" s="32"/>
      <c r="LZP96" s="32"/>
      <c r="LZQ96" s="32"/>
      <c r="LZR96" s="32"/>
      <c r="LZS96" s="32"/>
      <c r="LZT96" s="32"/>
      <c r="LZU96" s="32"/>
      <c r="LZV96" s="32"/>
      <c r="LZW96" s="32"/>
      <c r="LZX96" s="32"/>
      <c r="LZY96" s="32"/>
      <c r="LZZ96" s="32"/>
      <c r="MAA96" s="32"/>
      <c r="MAB96" s="32"/>
      <c r="MAC96" s="32"/>
      <c r="MAD96" s="32"/>
      <c r="MAE96" s="32"/>
      <c r="MAF96" s="32"/>
      <c r="MAG96" s="32"/>
      <c r="MAH96" s="32"/>
      <c r="MAI96" s="32"/>
      <c r="MAJ96" s="32"/>
      <c r="MAK96" s="32"/>
      <c r="MAL96" s="32"/>
      <c r="MAM96" s="32"/>
      <c r="MAN96" s="32"/>
      <c r="MAO96" s="32"/>
      <c r="MAP96" s="32"/>
      <c r="MAQ96" s="32"/>
      <c r="MAR96" s="32"/>
      <c r="MAS96" s="32"/>
      <c r="MAT96" s="32"/>
      <c r="MAU96" s="32"/>
      <c r="MAV96" s="32"/>
      <c r="MAW96" s="32"/>
      <c r="MAX96" s="32"/>
      <c r="MAY96" s="32"/>
      <c r="MAZ96" s="32"/>
      <c r="MBA96" s="32"/>
      <c r="MBB96" s="32"/>
      <c r="MBC96" s="32"/>
      <c r="MBD96" s="32"/>
      <c r="MBE96" s="32"/>
      <c r="MBF96" s="32"/>
      <c r="MBG96" s="32"/>
      <c r="MBH96" s="32"/>
      <c r="MBI96" s="32"/>
      <c r="MBJ96" s="32"/>
      <c r="MBK96" s="32"/>
      <c r="MBL96" s="32"/>
      <c r="MBM96" s="32"/>
      <c r="MBN96" s="32"/>
      <c r="MBO96" s="32"/>
      <c r="MBP96" s="32"/>
      <c r="MBQ96" s="32"/>
      <c r="MBR96" s="32"/>
      <c r="MBS96" s="32"/>
      <c r="MBT96" s="32"/>
      <c r="MBU96" s="32"/>
      <c r="MBV96" s="32"/>
      <c r="MBW96" s="32"/>
      <c r="MBX96" s="32"/>
      <c r="MBY96" s="32"/>
      <c r="MBZ96" s="32"/>
      <c r="MCA96" s="32"/>
      <c r="MCB96" s="32"/>
      <c r="MCC96" s="32"/>
      <c r="MCD96" s="32"/>
      <c r="MCE96" s="32"/>
      <c r="MCF96" s="32"/>
      <c r="MCG96" s="32"/>
      <c r="MCH96" s="32"/>
      <c r="MCI96" s="32"/>
      <c r="MCJ96" s="32"/>
      <c r="MCK96" s="32"/>
      <c r="MCL96" s="32"/>
      <c r="MCM96" s="32"/>
      <c r="MCN96" s="32"/>
      <c r="MCO96" s="32"/>
      <c r="MCP96" s="32"/>
      <c r="MCQ96" s="32"/>
      <c r="MCR96" s="32"/>
      <c r="MCS96" s="32"/>
      <c r="MCT96" s="32"/>
      <c r="MCU96" s="32"/>
      <c r="MCV96" s="32"/>
      <c r="MCW96" s="32"/>
      <c r="MCX96" s="32"/>
      <c r="MCY96" s="32"/>
      <c r="MCZ96" s="32"/>
      <c r="MDA96" s="32"/>
      <c r="MDB96" s="32"/>
      <c r="MDC96" s="32"/>
      <c r="MDD96" s="32"/>
      <c r="MDE96" s="32"/>
      <c r="MDF96" s="32"/>
      <c r="MDG96" s="32"/>
      <c r="MDH96" s="32"/>
      <c r="MDI96" s="32"/>
      <c r="MDJ96" s="32"/>
      <c r="MDK96" s="32"/>
      <c r="MDL96" s="32"/>
      <c r="MDM96" s="32"/>
      <c r="MDN96" s="32"/>
      <c r="MDO96" s="32"/>
      <c r="MDP96" s="32"/>
      <c r="MDQ96" s="32"/>
      <c r="MDR96" s="32"/>
      <c r="MDS96" s="32"/>
      <c r="MDT96" s="32"/>
      <c r="MDU96" s="32"/>
      <c r="MDV96" s="32"/>
      <c r="MDW96" s="32"/>
      <c r="MDX96" s="32"/>
      <c r="MDY96" s="32"/>
      <c r="MDZ96" s="32"/>
      <c r="MEA96" s="32"/>
      <c r="MEB96" s="32"/>
      <c r="MEC96" s="32"/>
      <c r="MED96" s="32"/>
      <c r="MEE96" s="32"/>
      <c r="MEF96" s="32"/>
      <c r="MEG96" s="32"/>
      <c r="MEH96" s="32"/>
      <c r="MEI96" s="32"/>
      <c r="MEJ96" s="32"/>
      <c r="MEK96" s="32"/>
      <c r="MEL96" s="32"/>
      <c r="MEM96" s="32"/>
      <c r="MEN96" s="32"/>
      <c r="MEO96" s="32"/>
      <c r="MEP96" s="32"/>
      <c r="MEQ96" s="32"/>
      <c r="MER96" s="32"/>
      <c r="MES96" s="32"/>
      <c r="MET96" s="32"/>
      <c r="MEU96" s="32"/>
      <c r="MEV96" s="32"/>
      <c r="MEW96" s="32"/>
      <c r="MEX96" s="32"/>
      <c r="MEY96" s="32"/>
      <c r="MEZ96" s="32"/>
      <c r="MFA96" s="32"/>
      <c r="MFB96" s="32"/>
      <c r="MFC96" s="32"/>
      <c r="MFD96" s="32"/>
      <c r="MFE96" s="32"/>
      <c r="MFF96" s="32"/>
      <c r="MFG96" s="32"/>
      <c r="MFH96" s="32"/>
      <c r="MFI96" s="32"/>
      <c r="MFJ96" s="32"/>
      <c r="MFK96" s="32"/>
      <c r="MFL96" s="32"/>
      <c r="MFM96" s="32"/>
      <c r="MFN96" s="32"/>
      <c r="MFO96" s="32"/>
      <c r="MFP96" s="32"/>
      <c r="MFQ96" s="32"/>
      <c r="MFR96" s="32"/>
      <c r="MFS96" s="32"/>
      <c r="MFT96" s="32"/>
      <c r="MFU96" s="32"/>
      <c r="MFV96" s="32"/>
      <c r="MFW96" s="32"/>
      <c r="MFX96" s="32"/>
      <c r="MFY96" s="32"/>
      <c r="MFZ96" s="32"/>
      <c r="MGA96" s="32"/>
      <c r="MGB96" s="32"/>
      <c r="MGC96" s="32"/>
      <c r="MGD96" s="32"/>
      <c r="MGE96" s="32"/>
      <c r="MGF96" s="32"/>
      <c r="MGG96" s="32"/>
      <c r="MGH96" s="32"/>
      <c r="MGI96" s="32"/>
      <c r="MGJ96" s="32"/>
      <c r="MGK96" s="32"/>
      <c r="MGL96" s="32"/>
      <c r="MGM96" s="32"/>
      <c r="MGN96" s="32"/>
      <c r="MGO96" s="32"/>
      <c r="MGP96" s="32"/>
      <c r="MGQ96" s="32"/>
      <c r="MGR96" s="32"/>
      <c r="MGS96" s="32"/>
      <c r="MGT96" s="32"/>
      <c r="MGU96" s="32"/>
      <c r="MGV96" s="32"/>
      <c r="MGW96" s="32"/>
      <c r="MGX96" s="32"/>
      <c r="MGY96" s="32"/>
      <c r="MGZ96" s="32"/>
      <c r="MHA96" s="32"/>
      <c r="MHB96" s="32"/>
      <c r="MHC96" s="32"/>
      <c r="MHD96" s="32"/>
      <c r="MHE96" s="32"/>
      <c r="MHF96" s="32"/>
      <c r="MHG96" s="32"/>
      <c r="MHH96" s="32"/>
      <c r="MHI96" s="32"/>
      <c r="MHJ96" s="32"/>
      <c r="MHK96" s="32"/>
      <c r="MHL96" s="32"/>
      <c r="MHM96" s="32"/>
      <c r="MHN96" s="32"/>
      <c r="MHO96" s="32"/>
      <c r="MHP96" s="32"/>
      <c r="MHQ96" s="32"/>
      <c r="MHR96" s="32"/>
      <c r="MHS96" s="32"/>
      <c r="MHT96" s="32"/>
      <c r="MHU96" s="32"/>
      <c r="MHV96" s="32"/>
      <c r="MHW96" s="32"/>
      <c r="MHX96" s="32"/>
      <c r="MHY96" s="32"/>
      <c r="MHZ96" s="32"/>
      <c r="MIA96" s="32"/>
      <c r="MIB96" s="32"/>
      <c r="MIC96" s="32"/>
      <c r="MID96" s="32"/>
      <c r="MIE96" s="32"/>
      <c r="MIF96" s="32"/>
      <c r="MIG96" s="32"/>
      <c r="MIH96" s="32"/>
      <c r="MII96" s="32"/>
      <c r="MIJ96" s="32"/>
      <c r="MIK96" s="32"/>
      <c r="MIL96" s="32"/>
      <c r="MIM96" s="32"/>
      <c r="MIN96" s="32"/>
      <c r="MIO96" s="32"/>
      <c r="MIP96" s="32"/>
      <c r="MIQ96" s="32"/>
      <c r="MIR96" s="32"/>
      <c r="MIS96" s="32"/>
      <c r="MIT96" s="32"/>
      <c r="MIU96" s="32"/>
      <c r="MIV96" s="32"/>
      <c r="MIW96" s="32"/>
      <c r="MIX96" s="32"/>
      <c r="MIY96" s="32"/>
      <c r="MIZ96" s="32"/>
      <c r="MJA96" s="32"/>
      <c r="MJB96" s="32"/>
      <c r="MJC96" s="32"/>
      <c r="MJD96" s="32"/>
      <c r="MJE96" s="32"/>
      <c r="MJF96" s="32"/>
      <c r="MJG96" s="32"/>
      <c r="MJH96" s="32"/>
      <c r="MJI96" s="32"/>
      <c r="MJJ96" s="32"/>
      <c r="MJK96" s="32"/>
      <c r="MJL96" s="32"/>
      <c r="MJM96" s="32"/>
      <c r="MJN96" s="32"/>
      <c r="MJO96" s="32"/>
      <c r="MJP96" s="32"/>
      <c r="MJQ96" s="32"/>
      <c r="MJR96" s="32"/>
      <c r="MJS96" s="32"/>
      <c r="MJT96" s="32"/>
      <c r="MJU96" s="32"/>
      <c r="MJV96" s="32"/>
      <c r="MJW96" s="32"/>
      <c r="MJX96" s="32"/>
      <c r="MJY96" s="32"/>
      <c r="MJZ96" s="32"/>
      <c r="MKA96" s="32"/>
      <c r="MKB96" s="32"/>
      <c r="MKC96" s="32"/>
      <c r="MKD96" s="32"/>
      <c r="MKE96" s="32"/>
      <c r="MKF96" s="32"/>
      <c r="MKG96" s="32"/>
      <c r="MKH96" s="32"/>
      <c r="MKI96" s="32"/>
      <c r="MKJ96" s="32"/>
      <c r="MKK96" s="32"/>
      <c r="MKL96" s="32"/>
      <c r="MKM96" s="32"/>
      <c r="MKN96" s="32"/>
      <c r="MKO96" s="32"/>
      <c r="MKP96" s="32"/>
      <c r="MKQ96" s="32"/>
      <c r="MKR96" s="32"/>
      <c r="MKS96" s="32"/>
      <c r="MKT96" s="32"/>
      <c r="MKU96" s="32"/>
      <c r="MKV96" s="32"/>
      <c r="MKW96" s="32"/>
      <c r="MKX96" s="32"/>
      <c r="MKY96" s="32"/>
      <c r="MKZ96" s="32"/>
      <c r="MLA96" s="32"/>
      <c r="MLB96" s="32"/>
      <c r="MLC96" s="32"/>
      <c r="MLD96" s="32"/>
      <c r="MLE96" s="32"/>
      <c r="MLF96" s="32"/>
      <c r="MLG96" s="32"/>
      <c r="MLH96" s="32"/>
      <c r="MLI96" s="32"/>
      <c r="MLJ96" s="32"/>
      <c r="MLK96" s="32"/>
      <c r="MLL96" s="32"/>
      <c r="MLM96" s="32"/>
      <c r="MLN96" s="32"/>
      <c r="MLO96" s="32"/>
      <c r="MLP96" s="32"/>
      <c r="MLQ96" s="32"/>
      <c r="MLR96" s="32"/>
      <c r="MLS96" s="32"/>
      <c r="MLT96" s="32"/>
      <c r="MLU96" s="32"/>
      <c r="MLV96" s="32"/>
      <c r="MLW96" s="32"/>
      <c r="MLX96" s="32"/>
      <c r="MLY96" s="32"/>
      <c r="MLZ96" s="32"/>
      <c r="MMA96" s="32"/>
      <c r="MMB96" s="32"/>
      <c r="MMC96" s="32"/>
      <c r="MMD96" s="32"/>
      <c r="MME96" s="32"/>
      <c r="MMF96" s="32"/>
      <c r="MMG96" s="32"/>
      <c r="MMH96" s="32"/>
      <c r="MMI96" s="32"/>
      <c r="MMJ96" s="32"/>
      <c r="MMK96" s="32"/>
      <c r="MML96" s="32"/>
      <c r="MMM96" s="32"/>
      <c r="MMN96" s="32"/>
      <c r="MMO96" s="32"/>
      <c r="MMP96" s="32"/>
      <c r="MMQ96" s="32"/>
      <c r="MMR96" s="32"/>
      <c r="MMS96" s="32"/>
      <c r="MMT96" s="32"/>
      <c r="MMU96" s="32"/>
      <c r="MMV96" s="32"/>
      <c r="MMW96" s="32"/>
      <c r="MMX96" s="32"/>
      <c r="MMY96" s="32"/>
      <c r="MMZ96" s="32"/>
      <c r="MNA96" s="32"/>
      <c r="MNB96" s="32"/>
      <c r="MNC96" s="32"/>
      <c r="MND96" s="32"/>
      <c r="MNE96" s="32"/>
      <c r="MNF96" s="32"/>
      <c r="MNG96" s="32"/>
      <c r="MNH96" s="32"/>
      <c r="MNI96" s="32"/>
      <c r="MNJ96" s="32"/>
      <c r="MNK96" s="32"/>
      <c r="MNL96" s="32"/>
      <c r="MNM96" s="32"/>
      <c r="MNN96" s="32"/>
      <c r="MNO96" s="32"/>
      <c r="MNP96" s="32"/>
      <c r="MNQ96" s="32"/>
      <c r="MNR96" s="32"/>
      <c r="MNS96" s="32"/>
      <c r="MNT96" s="32"/>
      <c r="MNU96" s="32"/>
      <c r="MNV96" s="32"/>
      <c r="MNW96" s="32"/>
      <c r="MNX96" s="32"/>
      <c r="MNY96" s="32"/>
      <c r="MNZ96" s="32"/>
      <c r="MOA96" s="32"/>
      <c r="MOB96" s="32"/>
      <c r="MOC96" s="32"/>
      <c r="MOD96" s="32"/>
      <c r="MOE96" s="32"/>
      <c r="MOF96" s="32"/>
      <c r="MOG96" s="32"/>
      <c r="MOH96" s="32"/>
      <c r="MOI96" s="32"/>
      <c r="MOJ96" s="32"/>
      <c r="MOK96" s="32"/>
      <c r="MOL96" s="32"/>
      <c r="MOM96" s="32"/>
      <c r="MON96" s="32"/>
      <c r="MOO96" s="32"/>
      <c r="MOP96" s="32"/>
      <c r="MOQ96" s="32"/>
      <c r="MOR96" s="32"/>
      <c r="MOS96" s="32"/>
      <c r="MOT96" s="32"/>
      <c r="MOU96" s="32"/>
      <c r="MOV96" s="32"/>
      <c r="MOW96" s="32"/>
      <c r="MOX96" s="32"/>
      <c r="MOY96" s="32"/>
      <c r="MOZ96" s="32"/>
      <c r="MPA96" s="32"/>
      <c r="MPB96" s="32"/>
      <c r="MPC96" s="32"/>
      <c r="MPD96" s="32"/>
      <c r="MPE96" s="32"/>
      <c r="MPF96" s="32"/>
      <c r="MPG96" s="32"/>
      <c r="MPH96" s="32"/>
      <c r="MPI96" s="32"/>
      <c r="MPJ96" s="32"/>
      <c r="MPK96" s="32"/>
      <c r="MPL96" s="32"/>
      <c r="MPM96" s="32"/>
      <c r="MPN96" s="32"/>
      <c r="MPO96" s="32"/>
      <c r="MPP96" s="32"/>
      <c r="MPQ96" s="32"/>
      <c r="MPR96" s="32"/>
      <c r="MPS96" s="32"/>
      <c r="MPT96" s="32"/>
      <c r="MPU96" s="32"/>
      <c r="MPV96" s="32"/>
      <c r="MPW96" s="32"/>
      <c r="MPX96" s="32"/>
      <c r="MPY96" s="32"/>
      <c r="MPZ96" s="32"/>
      <c r="MQA96" s="32"/>
      <c r="MQB96" s="32"/>
      <c r="MQC96" s="32"/>
      <c r="MQD96" s="32"/>
      <c r="MQE96" s="32"/>
      <c r="MQF96" s="32"/>
      <c r="MQG96" s="32"/>
      <c r="MQH96" s="32"/>
      <c r="MQI96" s="32"/>
      <c r="MQJ96" s="32"/>
      <c r="MQK96" s="32"/>
      <c r="MQL96" s="32"/>
      <c r="MQM96" s="32"/>
      <c r="MQN96" s="32"/>
      <c r="MQO96" s="32"/>
      <c r="MQP96" s="32"/>
      <c r="MQQ96" s="32"/>
      <c r="MQR96" s="32"/>
      <c r="MQS96" s="32"/>
      <c r="MQT96" s="32"/>
      <c r="MQU96" s="32"/>
      <c r="MQV96" s="32"/>
      <c r="MQW96" s="32"/>
      <c r="MQX96" s="32"/>
      <c r="MQY96" s="32"/>
      <c r="MQZ96" s="32"/>
      <c r="MRA96" s="32"/>
      <c r="MRB96" s="32"/>
      <c r="MRC96" s="32"/>
      <c r="MRD96" s="32"/>
      <c r="MRE96" s="32"/>
      <c r="MRF96" s="32"/>
      <c r="MRG96" s="32"/>
      <c r="MRH96" s="32"/>
      <c r="MRI96" s="32"/>
      <c r="MRJ96" s="32"/>
      <c r="MRK96" s="32"/>
      <c r="MRL96" s="32"/>
      <c r="MRM96" s="32"/>
      <c r="MRN96" s="32"/>
      <c r="MRO96" s="32"/>
      <c r="MRP96" s="32"/>
      <c r="MRQ96" s="32"/>
      <c r="MRR96" s="32"/>
      <c r="MRS96" s="32"/>
      <c r="MRT96" s="32"/>
      <c r="MRU96" s="32"/>
      <c r="MRV96" s="32"/>
      <c r="MRW96" s="32"/>
      <c r="MRX96" s="32"/>
      <c r="MRY96" s="32"/>
      <c r="MRZ96" s="32"/>
      <c r="MSA96" s="32"/>
      <c r="MSB96" s="32"/>
      <c r="MSC96" s="32"/>
      <c r="MSD96" s="32"/>
      <c r="MSE96" s="32"/>
      <c r="MSF96" s="32"/>
      <c r="MSG96" s="32"/>
      <c r="MSH96" s="32"/>
      <c r="MSI96" s="32"/>
      <c r="MSJ96" s="32"/>
      <c r="MSK96" s="32"/>
      <c r="MSL96" s="32"/>
      <c r="MSM96" s="32"/>
      <c r="MSN96" s="32"/>
      <c r="MSO96" s="32"/>
      <c r="MSP96" s="32"/>
      <c r="MSQ96" s="32"/>
      <c r="MSR96" s="32"/>
      <c r="MSS96" s="32"/>
      <c r="MST96" s="32"/>
      <c r="MSU96" s="32"/>
      <c r="MSV96" s="32"/>
      <c r="MSW96" s="32"/>
      <c r="MSX96" s="32"/>
      <c r="MSY96" s="32"/>
      <c r="MSZ96" s="32"/>
      <c r="MTA96" s="32"/>
      <c r="MTB96" s="32"/>
      <c r="MTC96" s="32"/>
      <c r="MTD96" s="32"/>
      <c r="MTE96" s="32"/>
      <c r="MTF96" s="32"/>
      <c r="MTG96" s="32"/>
      <c r="MTH96" s="32"/>
      <c r="MTI96" s="32"/>
      <c r="MTJ96" s="32"/>
      <c r="MTK96" s="32"/>
      <c r="MTL96" s="32"/>
      <c r="MTM96" s="32"/>
      <c r="MTN96" s="32"/>
      <c r="MTO96" s="32"/>
      <c r="MTP96" s="32"/>
      <c r="MTQ96" s="32"/>
      <c r="MTR96" s="32"/>
      <c r="MTS96" s="32"/>
      <c r="MTT96" s="32"/>
      <c r="MTU96" s="32"/>
      <c r="MTV96" s="32"/>
      <c r="MTW96" s="32"/>
      <c r="MTX96" s="32"/>
      <c r="MTY96" s="32"/>
      <c r="MTZ96" s="32"/>
      <c r="MUA96" s="32"/>
      <c r="MUB96" s="32"/>
      <c r="MUC96" s="32"/>
      <c r="MUD96" s="32"/>
      <c r="MUE96" s="32"/>
      <c r="MUF96" s="32"/>
      <c r="MUG96" s="32"/>
      <c r="MUH96" s="32"/>
      <c r="MUI96" s="32"/>
      <c r="MUJ96" s="32"/>
      <c r="MUK96" s="32"/>
      <c r="MUL96" s="32"/>
      <c r="MUM96" s="32"/>
      <c r="MUN96" s="32"/>
      <c r="MUO96" s="32"/>
      <c r="MUP96" s="32"/>
      <c r="MUQ96" s="32"/>
      <c r="MUR96" s="32"/>
      <c r="MUS96" s="32"/>
      <c r="MUT96" s="32"/>
      <c r="MUU96" s="32"/>
      <c r="MUV96" s="32"/>
      <c r="MUW96" s="32"/>
      <c r="MUX96" s="32"/>
      <c r="MUY96" s="32"/>
      <c r="MUZ96" s="32"/>
      <c r="MVA96" s="32"/>
      <c r="MVB96" s="32"/>
      <c r="MVC96" s="32"/>
      <c r="MVD96" s="32"/>
      <c r="MVE96" s="32"/>
      <c r="MVF96" s="32"/>
      <c r="MVG96" s="32"/>
      <c r="MVH96" s="32"/>
      <c r="MVI96" s="32"/>
      <c r="MVJ96" s="32"/>
      <c r="MVK96" s="32"/>
      <c r="MVL96" s="32"/>
      <c r="MVM96" s="32"/>
      <c r="MVN96" s="32"/>
      <c r="MVO96" s="32"/>
      <c r="MVP96" s="32"/>
      <c r="MVQ96" s="32"/>
      <c r="MVR96" s="32"/>
      <c r="MVS96" s="32"/>
      <c r="MVT96" s="32"/>
      <c r="MVU96" s="32"/>
      <c r="MVV96" s="32"/>
      <c r="MVW96" s="32"/>
      <c r="MVX96" s="32"/>
      <c r="MVY96" s="32"/>
      <c r="MVZ96" s="32"/>
      <c r="MWA96" s="32"/>
      <c r="MWB96" s="32"/>
      <c r="MWC96" s="32"/>
      <c r="MWD96" s="32"/>
      <c r="MWE96" s="32"/>
      <c r="MWF96" s="32"/>
      <c r="MWG96" s="32"/>
      <c r="MWH96" s="32"/>
      <c r="MWI96" s="32"/>
      <c r="MWJ96" s="32"/>
      <c r="MWK96" s="32"/>
      <c r="MWL96" s="32"/>
      <c r="MWM96" s="32"/>
      <c r="MWN96" s="32"/>
      <c r="MWO96" s="32"/>
      <c r="MWP96" s="32"/>
      <c r="MWQ96" s="32"/>
      <c r="MWR96" s="32"/>
      <c r="MWS96" s="32"/>
      <c r="MWT96" s="32"/>
      <c r="MWU96" s="32"/>
      <c r="MWV96" s="32"/>
      <c r="MWW96" s="32"/>
      <c r="MWX96" s="32"/>
      <c r="MWY96" s="32"/>
      <c r="MWZ96" s="32"/>
      <c r="MXA96" s="32"/>
      <c r="MXB96" s="32"/>
      <c r="MXC96" s="32"/>
      <c r="MXD96" s="32"/>
      <c r="MXE96" s="32"/>
      <c r="MXF96" s="32"/>
      <c r="MXG96" s="32"/>
      <c r="MXH96" s="32"/>
      <c r="MXI96" s="32"/>
      <c r="MXJ96" s="32"/>
      <c r="MXK96" s="32"/>
      <c r="MXL96" s="32"/>
      <c r="MXM96" s="32"/>
      <c r="MXN96" s="32"/>
      <c r="MXO96" s="32"/>
      <c r="MXP96" s="32"/>
      <c r="MXQ96" s="32"/>
      <c r="MXR96" s="32"/>
      <c r="MXS96" s="32"/>
      <c r="MXT96" s="32"/>
      <c r="MXU96" s="32"/>
      <c r="MXV96" s="32"/>
      <c r="MXW96" s="32"/>
      <c r="MXX96" s="32"/>
      <c r="MXY96" s="32"/>
      <c r="MXZ96" s="32"/>
      <c r="MYA96" s="32"/>
      <c r="MYB96" s="32"/>
      <c r="MYC96" s="32"/>
      <c r="MYD96" s="32"/>
      <c r="MYE96" s="32"/>
      <c r="MYF96" s="32"/>
      <c r="MYG96" s="32"/>
      <c r="MYH96" s="32"/>
      <c r="MYI96" s="32"/>
      <c r="MYJ96" s="32"/>
      <c r="MYK96" s="32"/>
      <c r="MYL96" s="32"/>
      <c r="MYM96" s="32"/>
      <c r="MYN96" s="32"/>
      <c r="MYO96" s="32"/>
      <c r="MYP96" s="32"/>
      <c r="MYQ96" s="32"/>
      <c r="MYR96" s="32"/>
      <c r="MYS96" s="32"/>
      <c r="MYT96" s="32"/>
      <c r="MYU96" s="32"/>
      <c r="MYV96" s="32"/>
      <c r="MYW96" s="32"/>
      <c r="MYX96" s="32"/>
      <c r="MYY96" s="32"/>
      <c r="MYZ96" s="32"/>
      <c r="MZA96" s="32"/>
      <c r="MZB96" s="32"/>
      <c r="MZC96" s="32"/>
      <c r="MZD96" s="32"/>
      <c r="MZE96" s="32"/>
      <c r="MZF96" s="32"/>
      <c r="MZG96" s="32"/>
      <c r="MZH96" s="32"/>
      <c r="MZI96" s="32"/>
      <c r="MZJ96" s="32"/>
      <c r="MZK96" s="32"/>
      <c r="MZL96" s="32"/>
      <c r="MZM96" s="32"/>
      <c r="MZN96" s="32"/>
      <c r="MZO96" s="32"/>
      <c r="MZP96" s="32"/>
      <c r="MZQ96" s="32"/>
      <c r="MZR96" s="32"/>
      <c r="MZS96" s="32"/>
      <c r="MZT96" s="32"/>
      <c r="MZU96" s="32"/>
      <c r="MZV96" s="32"/>
      <c r="MZW96" s="32"/>
      <c r="MZX96" s="32"/>
      <c r="MZY96" s="32"/>
      <c r="MZZ96" s="32"/>
      <c r="NAA96" s="32"/>
      <c r="NAB96" s="32"/>
      <c r="NAC96" s="32"/>
      <c r="NAD96" s="32"/>
      <c r="NAE96" s="32"/>
      <c r="NAF96" s="32"/>
      <c r="NAG96" s="32"/>
      <c r="NAH96" s="32"/>
      <c r="NAI96" s="32"/>
      <c r="NAJ96" s="32"/>
      <c r="NAK96" s="32"/>
      <c r="NAL96" s="32"/>
      <c r="NAM96" s="32"/>
      <c r="NAN96" s="32"/>
      <c r="NAO96" s="32"/>
      <c r="NAP96" s="32"/>
      <c r="NAQ96" s="32"/>
      <c r="NAR96" s="32"/>
      <c r="NAS96" s="32"/>
      <c r="NAT96" s="32"/>
      <c r="NAU96" s="32"/>
      <c r="NAV96" s="32"/>
      <c r="NAW96" s="32"/>
      <c r="NAX96" s="32"/>
      <c r="NAY96" s="32"/>
      <c r="NAZ96" s="32"/>
      <c r="NBA96" s="32"/>
      <c r="NBB96" s="32"/>
      <c r="NBC96" s="32"/>
      <c r="NBD96" s="32"/>
      <c r="NBE96" s="32"/>
      <c r="NBF96" s="32"/>
      <c r="NBG96" s="32"/>
      <c r="NBH96" s="32"/>
      <c r="NBI96" s="32"/>
      <c r="NBJ96" s="32"/>
      <c r="NBK96" s="32"/>
      <c r="NBL96" s="32"/>
      <c r="NBM96" s="32"/>
      <c r="NBN96" s="32"/>
      <c r="NBO96" s="32"/>
      <c r="NBP96" s="32"/>
      <c r="NBQ96" s="32"/>
      <c r="NBR96" s="32"/>
      <c r="NBS96" s="32"/>
      <c r="NBT96" s="32"/>
      <c r="NBU96" s="32"/>
      <c r="NBV96" s="32"/>
      <c r="NBW96" s="32"/>
      <c r="NBX96" s="32"/>
      <c r="NBY96" s="32"/>
      <c r="NBZ96" s="32"/>
      <c r="NCA96" s="32"/>
      <c r="NCB96" s="32"/>
      <c r="NCC96" s="32"/>
      <c r="NCD96" s="32"/>
      <c r="NCE96" s="32"/>
      <c r="NCF96" s="32"/>
      <c r="NCG96" s="32"/>
      <c r="NCH96" s="32"/>
      <c r="NCI96" s="32"/>
      <c r="NCJ96" s="32"/>
      <c r="NCK96" s="32"/>
      <c r="NCL96" s="32"/>
      <c r="NCM96" s="32"/>
      <c r="NCN96" s="32"/>
      <c r="NCO96" s="32"/>
      <c r="NCP96" s="32"/>
      <c r="NCQ96" s="32"/>
      <c r="NCR96" s="32"/>
      <c r="NCS96" s="32"/>
      <c r="NCT96" s="32"/>
      <c r="NCU96" s="32"/>
      <c r="NCV96" s="32"/>
      <c r="NCW96" s="32"/>
      <c r="NCX96" s="32"/>
      <c r="NCY96" s="32"/>
      <c r="NCZ96" s="32"/>
      <c r="NDA96" s="32"/>
      <c r="NDB96" s="32"/>
      <c r="NDC96" s="32"/>
      <c r="NDD96" s="32"/>
      <c r="NDE96" s="32"/>
      <c r="NDF96" s="32"/>
      <c r="NDG96" s="32"/>
      <c r="NDH96" s="32"/>
      <c r="NDI96" s="32"/>
      <c r="NDJ96" s="32"/>
      <c r="NDK96" s="32"/>
      <c r="NDL96" s="32"/>
      <c r="NDM96" s="32"/>
      <c r="NDN96" s="32"/>
      <c r="NDO96" s="32"/>
      <c r="NDP96" s="32"/>
      <c r="NDQ96" s="32"/>
      <c r="NDR96" s="32"/>
      <c r="NDS96" s="32"/>
      <c r="NDT96" s="32"/>
      <c r="NDU96" s="32"/>
      <c r="NDV96" s="32"/>
      <c r="NDW96" s="32"/>
      <c r="NDX96" s="32"/>
      <c r="NDY96" s="32"/>
      <c r="NDZ96" s="32"/>
      <c r="NEA96" s="32"/>
      <c r="NEB96" s="32"/>
      <c r="NEC96" s="32"/>
      <c r="NED96" s="32"/>
      <c r="NEE96" s="32"/>
      <c r="NEF96" s="32"/>
      <c r="NEG96" s="32"/>
      <c r="NEH96" s="32"/>
      <c r="NEI96" s="32"/>
      <c r="NEJ96" s="32"/>
      <c r="NEK96" s="32"/>
      <c r="NEL96" s="32"/>
      <c r="NEM96" s="32"/>
      <c r="NEN96" s="32"/>
      <c r="NEO96" s="32"/>
      <c r="NEP96" s="32"/>
      <c r="NEQ96" s="32"/>
      <c r="NER96" s="32"/>
      <c r="NES96" s="32"/>
      <c r="NET96" s="32"/>
      <c r="NEU96" s="32"/>
      <c r="NEV96" s="32"/>
      <c r="NEW96" s="32"/>
      <c r="NEX96" s="32"/>
      <c r="NEY96" s="32"/>
      <c r="NEZ96" s="32"/>
      <c r="NFA96" s="32"/>
      <c r="NFB96" s="32"/>
      <c r="NFC96" s="32"/>
      <c r="NFD96" s="32"/>
      <c r="NFE96" s="32"/>
      <c r="NFF96" s="32"/>
      <c r="NFG96" s="32"/>
      <c r="NFH96" s="32"/>
      <c r="NFI96" s="32"/>
      <c r="NFJ96" s="32"/>
      <c r="NFK96" s="32"/>
      <c r="NFL96" s="32"/>
      <c r="NFM96" s="32"/>
      <c r="NFN96" s="32"/>
      <c r="NFO96" s="32"/>
      <c r="NFP96" s="32"/>
      <c r="NFQ96" s="32"/>
      <c r="NFR96" s="32"/>
      <c r="NFS96" s="32"/>
      <c r="NFT96" s="32"/>
      <c r="NFU96" s="32"/>
      <c r="NFV96" s="32"/>
      <c r="NFW96" s="32"/>
      <c r="NFX96" s="32"/>
      <c r="NFY96" s="32"/>
      <c r="NFZ96" s="32"/>
      <c r="NGA96" s="32"/>
      <c r="NGB96" s="32"/>
      <c r="NGC96" s="32"/>
      <c r="NGD96" s="32"/>
      <c r="NGE96" s="32"/>
      <c r="NGF96" s="32"/>
      <c r="NGG96" s="32"/>
      <c r="NGH96" s="32"/>
      <c r="NGI96" s="32"/>
      <c r="NGJ96" s="32"/>
      <c r="NGK96" s="32"/>
      <c r="NGL96" s="32"/>
      <c r="NGM96" s="32"/>
      <c r="NGN96" s="32"/>
      <c r="NGO96" s="32"/>
      <c r="NGP96" s="32"/>
      <c r="NGQ96" s="32"/>
      <c r="NGR96" s="32"/>
      <c r="NGS96" s="32"/>
      <c r="NGT96" s="32"/>
      <c r="NGU96" s="32"/>
      <c r="NGV96" s="32"/>
      <c r="NGW96" s="32"/>
      <c r="NGX96" s="32"/>
      <c r="NGY96" s="32"/>
      <c r="NGZ96" s="32"/>
      <c r="NHA96" s="32"/>
      <c r="NHB96" s="32"/>
      <c r="NHC96" s="32"/>
      <c r="NHD96" s="32"/>
      <c r="NHE96" s="32"/>
      <c r="NHF96" s="32"/>
      <c r="NHG96" s="32"/>
      <c r="NHH96" s="32"/>
      <c r="NHI96" s="32"/>
      <c r="NHJ96" s="32"/>
      <c r="NHK96" s="32"/>
      <c r="NHL96" s="32"/>
      <c r="NHM96" s="32"/>
      <c r="NHN96" s="32"/>
      <c r="NHO96" s="32"/>
      <c r="NHP96" s="32"/>
      <c r="NHQ96" s="32"/>
      <c r="NHR96" s="32"/>
      <c r="NHS96" s="32"/>
      <c r="NHT96" s="32"/>
      <c r="NHU96" s="32"/>
      <c r="NHV96" s="32"/>
      <c r="NHW96" s="32"/>
      <c r="NHX96" s="32"/>
      <c r="NHY96" s="32"/>
      <c r="NHZ96" s="32"/>
      <c r="NIA96" s="32"/>
      <c r="NIB96" s="32"/>
      <c r="NIC96" s="32"/>
      <c r="NID96" s="32"/>
      <c r="NIE96" s="32"/>
      <c r="NIF96" s="32"/>
      <c r="NIG96" s="32"/>
      <c r="NIH96" s="32"/>
      <c r="NII96" s="32"/>
      <c r="NIJ96" s="32"/>
      <c r="NIK96" s="32"/>
      <c r="NIL96" s="32"/>
      <c r="NIM96" s="32"/>
      <c r="NIN96" s="32"/>
      <c r="NIO96" s="32"/>
      <c r="NIP96" s="32"/>
      <c r="NIQ96" s="32"/>
      <c r="NIR96" s="32"/>
      <c r="NIS96" s="32"/>
      <c r="NIT96" s="32"/>
      <c r="NIU96" s="32"/>
      <c r="NIV96" s="32"/>
      <c r="NIW96" s="32"/>
      <c r="NIX96" s="32"/>
      <c r="NIY96" s="32"/>
      <c r="NIZ96" s="32"/>
      <c r="NJA96" s="32"/>
      <c r="NJB96" s="32"/>
      <c r="NJC96" s="32"/>
      <c r="NJD96" s="32"/>
      <c r="NJE96" s="32"/>
      <c r="NJF96" s="32"/>
      <c r="NJG96" s="32"/>
      <c r="NJH96" s="32"/>
      <c r="NJI96" s="32"/>
      <c r="NJJ96" s="32"/>
      <c r="NJK96" s="32"/>
      <c r="NJL96" s="32"/>
      <c r="NJM96" s="32"/>
      <c r="NJN96" s="32"/>
      <c r="NJO96" s="32"/>
      <c r="NJP96" s="32"/>
      <c r="NJQ96" s="32"/>
      <c r="NJR96" s="32"/>
      <c r="NJS96" s="32"/>
      <c r="NJT96" s="32"/>
      <c r="NJU96" s="32"/>
      <c r="NJV96" s="32"/>
      <c r="NJW96" s="32"/>
      <c r="NJX96" s="32"/>
      <c r="NJY96" s="32"/>
      <c r="NJZ96" s="32"/>
      <c r="NKA96" s="32"/>
      <c r="NKB96" s="32"/>
      <c r="NKC96" s="32"/>
      <c r="NKD96" s="32"/>
      <c r="NKE96" s="32"/>
      <c r="NKF96" s="32"/>
      <c r="NKG96" s="32"/>
      <c r="NKH96" s="32"/>
      <c r="NKI96" s="32"/>
      <c r="NKJ96" s="32"/>
      <c r="NKK96" s="32"/>
      <c r="NKL96" s="32"/>
      <c r="NKM96" s="32"/>
      <c r="NKN96" s="32"/>
      <c r="NKO96" s="32"/>
      <c r="NKP96" s="32"/>
      <c r="NKQ96" s="32"/>
      <c r="NKR96" s="32"/>
      <c r="NKS96" s="32"/>
      <c r="NKT96" s="32"/>
      <c r="NKU96" s="32"/>
      <c r="NKV96" s="32"/>
      <c r="NKW96" s="32"/>
      <c r="NKX96" s="32"/>
      <c r="NKY96" s="32"/>
      <c r="NKZ96" s="32"/>
      <c r="NLA96" s="32"/>
      <c r="NLB96" s="32"/>
      <c r="NLC96" s="32"/>
      <c r="NLD96" s="32"/>
      <c r="NLE96" s="32"/>
      <c r="NLF96" s="32"/>
      <c r="NLG96" s="32"/>
      <c r="NLH96" s="32"/>
      <c r="NLI96" s="32"/>
      <c r="NLJ96" s="32"/>
      <c r="NLK96" s="32"/>
      <c r="NLL96" s="32"/>
      <c r="NLM96" s="32"/>
      <c r="NLN96" s="32"/>
      <c r="NLO96" s="32"/>
      <c r="NLP96" s="32"/>
      <c r="NLQ96" s="32"/>
      <c r="NLR96" s="32"/>
      <c r="NLS96" s="32"/>
      <c r="NLT96" s="32"/>
      <c r="NLU96" s="32"/>
      <c r="NLV96" s="32"/>
      <c r="NLW96" s="32"/>
      <c r="NLX96" s="32"/>
      <c r="NLY96" s="32"/>
      <c r="NLZ96" s="32"/>
      <c r="NMA96" s="32"/>
      <c r="NMB96" s="32"/>
      <c r="NMC96" s="32"/>
      <c r="NMD96" s="32"/>
      <c r="NME96" s="32"/>
      <c r="NMF96" s="32"/>
      <c r="NMG96" s="32"/>
      <c r="NMH96" s="32"/>
      <c r="NMI96" s="32"/>
      <c r="NMJ96" s="32"/>
      <c r="NMK96" s="32"/>
      <c r="NML96" s="32"/>
      <c r="NMM96" s="32"/>
      <c r="NMN96" s="32"/>
      <c r="NMO96" s="32"/>
      <c r="NMP96" s="32"/>
      <c r="NMQ96" s="32"/>
      <c r="NMR96" s="32"/>
      <c r="NMS96" s="32"/>
      <c r="NMT96" s="32"/>
      <c r="NMU96" s="32"/>
      <c r="NMV96" s="32"/>
      <c r="NMW96" s="32"/>
      <c r="NMX96" s="32"/>
      <c r="NMY96" s="32"/>
      <c r="NMZ96" s="32"/>
      <c r="NNA96" s="32"/>
      <c r="NNB96" s="32"/>
      <c r="NNC96" s="32"/>
      <c r="NND96" s="32"/>
      <c r="NNE96" s="32"/>
      <c r="NNF96" s="32"/>
      <c r="NNG96" s="32"/>
      <c r="NNH96" s="32"/>
      <c r="NNI96" s="32"/>
      <c r="NNJ96" s="32"/>
      <c r="NNK96" s="32"/>
      <c r="NNL96" s="32"/>
      <c r="NNM96" s="32"/>
      <c r="NNN96" s="32"/>
      <c r="NNO96" s="32"/>
      <c r="NNP96" s="32"/>
      <c r="NNQ96" s="32"/>
      <c r="NNR96" s="32"/>
      <c r="NNS96" s="32"/>
      <c r="NNT96" s="32"/>
      <c r="NNU96" s="32"/>
      <c r="NNV96" s="32"/>
      <c r="NNW96" s="32"/>
      <c r="NNX96" s="32"/>
      <c r="NNY96" s="32"/>
      <c r="NNZ96" s="32"/>
      <c r="NOA96" s="32"/>
      <c r="NOB96" s="32"/>
      <c r="NOC96" s="32"/>
      <c r="NOD96" s="32"/>
      <c r="NOE96" s="32"/>
      <c r="NOF96" s="32"/>
      <c r="NOG96" s="32"/>
      <c r="NOH96" s="32"/>
      <c r="NOI96" s="32"/>
      <c r="NOJ96" s="32"/>
      <c r="NOK96" s="32"/>
      <c r="NOL96" s="32"/>
      <c r="NOM96" s="32"/>
      <c r="NON96" s="32"/>
      <c r="NOO96" s="32"/>
      <c r="NOP96" s="32"/>
      <c r="NOQ96" s="32"/>
      <c r="NOR96" s="32"/>
      <c r="NOS96" s="32"/>
      <c r="NOT96" s="32"/>
      <c r="NOU96" s="32"/>
      <c r="NOV96" s="32"/>
      <c r="NOW96" s="32"/>
      <c r="NOX96" s="32"/>
      <c r="NOY96" s="32"/>
      <c r="NOZ96" s="32"/>
      <c r="NPA96" s="32"/>
      <c r="NPB96" s="32"/>
      <c r="NPC96" s="32"/>
      <c r="NPD96" s="32"/>
      <c r="NPE96" s="32"/>
      <c r="NPF96" s="32"/>
      <c r="NPG96" s="32"/>
      <c r="NPH96" s="32"/>
      <c r="NPI96" s="32"/>
      <c r="NPJ96" s="32"/>
      <c r="NPK96" s="32"/>
      <c r="NPL96" s="32"/>
      <c r="NPM96" s="32"/>
      <c r="NPN96" s="32"/>
      <c r="NPO96" s="32"/>
      <c r="NPP96" s="32"/>
      <c r="NPQ96" s="32"/>
      <c r="NPR96" s="32"/>
      <c r="NPS96" s="32"/>
      <c r="NPT96" s="32"/>
      <c r="NPU96" s="32"/>
      <c r="NPV96" s="32"/>
      <c r="NPW96" s="32"/>
      <c r="NPX96" s="32"/>
      <c r="NPY96" s="32"/>
      <c r="NPZ96" s="32"/>
      <c r="NQA96" s="32"/>
      <c r="NQB96" s="32"/>
      <c r="NQC96" s="32"/>
      <c r="NQD96" s="32"/>
      <c r="NQE96" s="32"/>
      <c r="NQF96" s="32"/>
      <c r="NQG96" s="32"/>
      <c r="NQH96" s="32"/>
      <c r="NQI96" s="32"/>
      <c r="NQJ96" s="32"/>
      <c r="NQK96" s="32"/>
      <c r="NQL96" s="32"/>
      <c r="NQM96" s="32"/>
      <c r="NQN96" s="32"/>
      <c r="NQO96" s="32"/>
      <c r="NQP96" s="32"/>
      <c r="NQQ96" s="32"/>
      <c r="NQR96" s="32"/>
      <c r="NQS96" s="32"/>
      <c r="NQT96" s="32"/>
      <c r="NQU96" s="32"/>
      <c r="NQV96" s="32"/>
      <c r="NQW96" s="32"/>
      <c r="NQX96" s="32"/>
      <c r="NQY96" s="32"/>
      <c r="NQZ96" s="32"/>
      <c r="NRA96" s="32"/>
      <c r="NRB96" s="32"/>
      <c r="NRC96" s="32"/>
      <c r="NRD96" s="32"/>
      <c r="NRE96" s="32"/>
      <c r="NRF96" s="32"/>
      <c r="NRG96" s="32"/>
      <c r="NRH96" s="32"/>
      <c r="NRI96" s="32"/>
      <c r="NRJ96" s="32"/>
      <c r="NRK96" s="32"/>
      <c r="NRL96" s="32"/>
      <c r="NRM96" s="32"/>
      <c r="NRN96" s="32"/>
      <c r="NRO96" s="32"/>
      <c r="NRP96" s="32"/>
      <c r="NRQ96" s="32"/>
      <c r="NRR96" s="32"/>
      <c r="NRS96" s="32"/>
      <c r="NRT96" s="32"/>
      <c r="NRU96" s="32"/>
      <c r="NRV96" s="32"/>
      <c r="NRW96" s="32"/>
      <c r="NRX96" s="32"/>
      <c r="NRY96" s="32"/>
      <c r="NRZ96" s="32"/>
      <c r="NSA96" s="32"/>
      <c r="NSB96" s="32"/>
      <c r="NSC96" s="32"/>
      <c r="NSD96" s="32"/>
      <c r="NSE96" s="32"/>
      <c r="NSF96" s="32"/>
      <c r="NSG96" s="32"/>
      <c r="NSH96" s="32"/>
      <c r="NSI96" s="32"/>
      <c r="NSJ96" s="32"/>
      <c r="NSK96" s="32"/>
      <c r="NSL96" s="32"/>
      <c r="NSM96" s="32"/>
      <c r="NSN96" s="32"/>
      <c r="NSO96" s="32"/>
      <c r="NSP96" s="32"/>
      <c r="NSQ96" s="32"/>
      <c r="NSR96" s="32"/>
      <c r="NSS96" s="32"/>
      <c r="NST96" s="32"/>
      <c r="NSU96" s="32"/>
      <c r="NSV96" s="32"/>
      <c r="NSW96" s="32"/>
      <c r="NSX96" s="32"/>
      <c r="NSY96" s="32"/>
      <c r="NSZ96" s="32"/>
      <c r="NTA96" s="32"/>
      <c r="NTB96" s="32"/>
      <c r="NTC96" s="32"/>
      <c r="NTD96" s="32"/>
      <c r="NTE96" s="32"/>
      <c r="NTF96" s="32"/>
      <c r="NTG96" s="32"/>
      <c r="NTH96" s="32"/>
      <c r="NTI96" s="32"/>
      <c r="NTJ96" s="32"/>
      <c r="NTK96" s="32"/>
      <c r="NTL96" s="32"/>
      <c r="NTM96" s="32"/>
      <c r="NTN96" s="32"/>
      <c r="NTO96" s="32"/>
      <c r="NTP96" s="32"/>
      <c r="NTQ96" s="32"/>
      <c r="NTR96" s="32"/>
      <c r="NTS96" s="32"/>
      <c r="NTT96" s="32"/>
      <c r="NTU96" s="32"/>
      <c r="NTV96" s="32"/>
      <c r="NTW96" s="32"/>
      <c r="NTX96" s="32"/>
      <c r="NTY96" s="32"/>
    </row>
    <row r="97" spans="1:45" s="30" customFormat="1" x14ac:dyDescent="0.3">
      <c r="A97"/>
      <c r="B97" t="s">
        <v>0</v>
      </c>
      <c r="C97">
        <v>1</v>
      </c>
      <c r="D97" t="s">
        <v>5</v>
      </c>
      <c r="E97" t="s">
        <v>6</v>
      </c>
      <c r="F97" t="s">
        <v>7</v>
      </c>
      <c r="G97" t="s">
        <v>8</v>
      </c>
      <c r="H97" t="s">
        <v>9</v>
      </c>
      <c r="I97" s="14"/>
      <c r="J97" s="10" t="str">
        <f>IF(INDEX($D$97:$H$135,$C97,$B$96)=0,"",INDEX($D$97:$H$135,$C97,$B$96))</f>
        <v>자산</v>
      </c>
      <c r="K97" s="33">
        <f>IF(Sheet1!D5="", "", Sheet1!D5/$H$91)</f>
        <v>4544664.47</v>
      </c>
      <c r="L97" s="33">
        <f>IF(Sheet1!E5="", "", Sheet1!E5/$H$91)</f>
        <v>4480005.5199999996</v>
      </c>
      <c r="M97" s="33">
        <f>IF(Sheet1!F5="", "", Sheet1!F5/$H$91)</f>
        <v>4540917.7699999996</v>
      </c>
      <c r="N97" s="33">
        <f>IF(Sheet1!G5="", "", Sheet1!G5/$H$91)</f>
        <v>4484245.07</v>
      </c>
      <c r="O97" s="33">
        <f>IF(Sheet1!H5="", "", Sheet1!H5/$H$91)</f>
        <v>4702784.09</v>
      </c>
      <c r="P97" s="33">
        <f>IF(Sheet1!I5="", "", Sheet1!I5/$H$91)</f>
        <v>4480406.5</v>
      </c>
      <c r="Q97" s="33">
        <f>IF(Sheet1!J5="", "", Sheet1!J5/$H$91)</f>
        <v>4393269.59</v>
      </c>
      <c r="R97" s="33">
        <f>IF(Sheet1!K5="", "", Sheet1!K5/$H$91)</f>
        <v>4266211.58</v>
      </c>
      <c r="S97" s="33">
        <f>IF(Sheet1!L5="", "", Sheet1!L5/$H$91)</f>
        <v>4104207.18</v>
      </c>
      <c r="T97" s="33" t="str">
        <f>IF(Sheet1!M5="", "", Sheet1!M5/$H$91)</f>
        <v/>
      </c>
      <c r="U97" s="33" t="str">
        <f>IF(Sheet1!N5="", "", Sheet1!N5/$H$91)</f>
        <v/>
      </c>
      <c r="V97" s="33" t="str">
        <f>IF(Sheet1!O5="", "", Sheet1!O5/$H$91)</f>
        <v/>
      </c>
      <c r="W97" s="33" t="str">
        <f>IF(Sheet1!P5="", "", Sheet1!P5/$H$91)</f>
        <v/>
      </c>
      <c r="X97" s="33" t="str">
        <f>IF(Sheet1!Q5="", "", Sheet1!Q5/$H$91)</f>
        <v/>
      </c>
      <c r="Y97" s="33" t="str">
        <f>IF(Sheet1!R5="", "", Sheet1!R5/$H$91)</f>
        <v/>
      </c>
      <c r="Z97" s="33" t="str">
        <f>IF(Sheet1!S5="", "", Sheet1!S5/$H$91)</f>
        <v/>
      </c>
      <c r="AA97" s="33" t="str">
        <f>IF(Sheet1!T5="", "", Sheet1!T5/$H$91)</f>
        <v/>
      </c>
      <c r="AB97" s="33" t="str">
        <f>IF(Sheet1!U5="", "", Sheet1!U5/$H$91)</f>
        <v/>
      </c>
      <c r="AC97" s="33" t="str">
        <f>IF(Sheet1!V5="", "", Sheet1!V5/$H$91)</f>
        <v/>
      </c>
      <c r="AD97" s="33" t="str">
        <f>IF(Sheet1!W5="", "", Sheet1!W5/$H$91)</f>
        <v/>
      </c>
      <c r="AE97" s="33" t="str">
        <f>IF(Sheet1!X5="", "", Sheet1!X5/$H$91)</f>
        <v/>
      </c>
      <c r="AF97" s="33" t="str">
        <f>IF(Sheet1!Y5="", "", Sheet1!Y5/$H$91)</f>
        <v/>
      </c>
      <c r="AG97" s="33" t="str">
        <f>IF(Sheet1!Z5="", "", Sheet1!Z5/$H$91)</f>
        <v/>
      </c>
      <c r="AH97" s="33" t="str">
        <f>IF(Sheet1!AA5="", "", Sheet1!AA5/$H$91)</f>
        <v/>
      </c>
      <c r="AI97" s="33" t="str">
        <f>IF(Sheet1!AB5="", "", Sheet1!AB5/$H$91)</f>
        <v/>
      </c>
      <c r="AJ97" s="33" t="str">
        <f>IF(Sheet1!AC5="", "", Sheet1!AC5/$H$91)</f>
        <v/>
      </c>
      <c r="AK97" s="33" t="str">
        <f>IF(Sheet1!AD5="", "", Sheet1!AD5/$H$91)</f>
        <v/>
      </c>
      <c r="AL97" s="33" t="str">
        <f>IF(Sheet1!AE5="", "", Sheet1!AE5/$H$91)</f>
        <v/>
      </c>
      <c r="AM97" s="33" t="str">
        <f>IF(Sheet1!AF5="", "", Sheet1!AF5/$H$91)</f>
        <v/>
      </c>
      <c r="AN97" s="33" t="str">
        <f>IF(Sheet1!AG5="", "", Sheet1!AG5/$H$91)</f>
        <v/>
      </c>
      <c r="AO97" s="33" t="str">
        <f>IF(Sheet1!AH5="", "", Sheet1!AH5/$H$91)</f>
        <v/>
      </c>
      <c r="AP97" s="33" t="str">
        <f>IF(Sheet1!AI5="", "", Sheet1!AI5/$H$91)</f>
        <v/>
      </c>
      <c r="AQ97" s="33" t="str">
        <f>IF(Sheet1!AJ5="", "", Sheet1!AJ5/$H$91)</f>
        <v/>
      </c>
      <c r="AR97" s="33" t="str">
        <f>IF(Sheet1!AK5="", "", Sheet1!AK5/$H$91)</f>
        <v/>
      </c>
      <c r="AS97" s="33" t="str">
        <f>IF(Sheet1!AL5="", "", Sheet1!AL5/$H$91)</f>
        <v/>
      </c>
    </row>
    <row r="98" spans="1:45" s="30" customFormat="1" x14ac:dyDescent="0.3">
      <c r="A98"/>
      <c r="B98" t="s">
        <v>1</v>
      </c>
      <c r="C98">
        <v>2</v>
      </c>
      <c r="D98" t="s">
        <v>10</v>
      </c>
      <c r="E98" t="s">
        <v>11</v>
      </c>
      <c r="F98" t="s">
        <v>12</v>
      </c>
      <c r="G98" t="s">
        <v>13</v>
      </c>
      <c r="H98" t="s">
        <v>14</v>
      </c>
      <c r="I98" s="14"/>
      <c r="J98" s="10" t="str">
        <f t="shared" ref="J98:J135" si="0">IF(INDEX($D$97:$H$135,$C98,$B$96)=0,"",INDEX($D$97:$H$135,$C98,$B$96))</f>
        <v>현금및현금성자산</v>
      </c>
      <c r="K98" s="33">
        <f>IF(Sheet1!D6="", "", Sheet1!D6/$H$91)</f>
        <v>751442.84</v>
      </c>
      <c r="L98" s="33">
        <f>IF(Sheet1!E6="", "", Sheet1!E6/$H$91)</f>
        <v>799197.75</v>
      </c>
      <c r="M98" s="33">
        <f>IF(Sheet1!F6="", "", Sheet1!F6/$H$91)</f>
        <v>729493.77</v>
      </c>
      <c r="N98" s="33">
        <f>IF(Sheet1!G6="", "", Sheet1!G6/$H$91)</f>
        <v>496807.1</v>
      </c>
      <c r="O98" s="33">
        <f>IF(Sheet1!H6="", "", Sheet1!H6/$H$91)</f>
        <v>445154.21</v>
      </c>
      <c r="P98" s="33">
        <f>IF(Sheet1!I6="", "", Sheet1!I6/$H$91)</f>
        <v>395831.41</v>
      </c>
      <c r="Q98" s="33">
        <f>IF(Sheet1!J6="", "", Sheet1!J6/$H$91)</f>
        <v>489449.82</v>
      </c>
      <c r="R98" s="33">
        <f>IF(Sheet1!K6="", "", Sheet1!K6/$H$91)</f>
        <v>390314.15</v>
      </c>
      <c r="S98" s="33">
        <f>IF(Sheet1!L6="", "", Sheet1!L6/$H$91)</f>
        <v>326750.40000000002</v>
      </c>
      <c r="T98" s="33" t="str">
        <f>IF(Sheet1!M6="", "", Sheet1!M6/$H$91)</f>
        <v/>
      </c>
      <c r="U98" s="33" t="str">
        <f>IF(Sheet1!N6="", "", Sheet1!N6/$H$91)</f>
        <v/>
      </c>
      <c r="V98" s="33" t="str">
        <f>IF(Sheet1!O6="", "", Sheet1!O6/$H$91)</f>
        <v/>
      </c>
      <c r="W98" s="33" t="str">
        <f>IF(Sheet1!P6="", "", Sheet1!P6/$H$91)</f>
        <v/>
      </c>
      <c r="X98" s="33" t="str">
        <f>IF(Sheet1!Q6="", "", Sheet1!Q6/$H$91)</f>
        <v/>
      </c>
      <c r="Y98" s="33" t="str">
        <f>IF(Sheet1!R6="", "", Sheet1!R6/$H$91)</f>
        <v/>
      </c>
      <c r="Z98" s="33" t="str">
        <f>IF(Sheet1!S6="", "", Sheet1!S6/$H$91)</f>
        <v/>
      </c>
      <c r="AA98" s="33" t="str">
        <f>IF(Sheet1!T6="", "", Sheet1!T6/$H$91)</f>
        <v/>
      </c>
      <c r="AB98" s="33" t="str">
        <f>IF(Sheet1!U6="", "", Sheet1!U6/$H$91)</f>
        <v/>
      </c>
      <c r="AC98" s="33" t="str">
        <f>IF(Sheet1!V6="", "", Sheet1!V6/$H$91)</f>
        <v/>
      </c>
      <c r="AD98" s="33" t="str">
        <f>IF(Sheet1!W6="", "", Sheet1!W6/$H$91)</f>
        <v/>
      </c>
      <c r="AE98" s="33" t="str">
        <f>IF(Sheet1!X6="", "", Sheet1!X6/$H$91)</f>
        <v/>
      </c>
      <c r="AF98" s="33" t="str">
        <f>IF(Sheet1!Y6="", "", Sheet1!Y6/$H$91)</f>
        <v/>
      </c>
      <c r="AG98" s="33" t="str">
        <f>IF(Sheet1!Z6="", "", Sheet1!Z6/$H$91)</f>
        <v/>
      </c>
      <c r="AH98" s="33" t="str">
        <f>IF(Sheet1!AA6="", "", Sheet1!AA6/$H$91)</f>
        <v/>
      </c>
      <c r="AI98" s="33" t="str">
        <f>IF(Sheet1!AB6="", "", Sheet1!AB6/$H$91)</f>
        <v/>
      </c>
      <c r="AJ98" s="33" t="str">
        <f>IF(Sheet1!AC6="", "", Sheet1!AC6/$H$91)</f>
        <v/>
      </c>
      <c r="AK98" s="33" t="str">
        <f>IF(Sheet1!AD6="", "", Sheet1!AD6/$H$91)</f>
        <v/>
      </c>
      <c r="AL98" s="33" t="str">
        <f>IF(Sheet1!AE6="", "", Sheet1!AE6/$H$91)</f>
        <v/>
      </c>
      <c r="AM98" s="33" t="str">
        <f>IF(Sheet1!AF6="", "", Sheet1!AF6/$H$91)</f>
        <v/>
      </c>
      <c r="AN98" s="33" t="str">
        <f>IF(Sheet1!AG6="", "", Sheet1!AG6/$H$91)</f>
        <v/>
      </c>
      <c r="AO98" s="33" t="str">
        <f>IF(Sheet1!AH6="", "", Sheet1!AH6/$H$91)</f>
        <v/>
      </c>
      <c r="AP98" s="33" t="str">
        <f>IF(Sheet1!AI6="", "", Sheet1!AI6/$H$91)</f>
        <v/>
      </c>
      <c r="AQ98" s="33" t="str">
        <f>IF(Sheet1!AJ6="", "", Sheet1!AJ6/$H$91)</f>
        <v/>
      </c>
      <c r="AR98" s="33" t="str">
        <f>IF(Sheet1!AK6="", "", Sheet1!AK6/$H$91)</f>
        <v/>
      </c>
      <c r="AS98" s="33" t="str">
        <f>IF(Sheet1!AL6="", "", Sheet1!AL6/$H$91)</f>
        <v/>
      </c>
    </row>
    <row r="99" spans="1:45" s="30" customFormat="1" x14ac:dyDescent="0.3">
      <c r="A99"/>
      <c r="B99" t="s">
        <v>2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 s="14"/>
      <c r="J99" s="10" t="str">
        <f t="shared" si="0"/>
        <v>금융자산</v>
      </c>
      <c r="K99" s="33">
        <f>IF(Sheet1!D7="", "", Sheet1!D7/$H$91)</f>
        <v>179272.66</v>
      </c>
      <c r="L99" s="33">
        <f>IF(Sheet1!E7="", "", Sheet1!E7/$H$91)</f>
        <v>171801.3</v>
      </c>
      <c r="M99" s="33">
        <f>IF(Sheet1!F7="", "", Sheet1!F7/$H$91)</f>
        <v>352001.84</v>
      </c>
      <c r="N99" s="33">
        <f>IF(Sheet1!G7="", "", Sheet1!G7/$H$91)</f>
        <v>651028.86</v>
      </c>
      <c r="O99" s="33">
        <f>IF(Sheet1!H7="", "", Sheet1!H7/$H$91)</f>
        <v>836468.07</v>
      </c>
      <c r="P99" s="33">
        <f>IF(Sheet1!I7="", "", Sheet1!I7/$H$91)</f>
        <v>844288.22</v>
      </c>
      <c r="Q99" s="33">
        <f>IF(Sheet1!J7="", "", Sheet1!J7/$H$91)</f>
        <v>751214.26</v>
      </c>
      <c r="R99" s="33">
        <f>IF(Sheet1!K7="", "", Sheet1!K7/$H$91)</f>
        <v>817089.86</v>
      </c>
      <c r="S99" s="33">
        <f>IF(Sheet1!L7="", "", Sheet1!L7/$H$91)</f>
        <v>850774.01</v>
      </c>
      <c r="T99" s="33" t="str">
        <f>IF(Sheet1!M7="", "", Sheet1!M7/$H$91)</f>
        <v/>
      </c>
      <c r="U99" s="33" t="str">
        <f>IF(Sheet1!N7="", "", Sheet1!N7/$H$91)</f>
        <v/>
      </c>
      <c r="V99" s="33" t="str">
        <f>IF(Sheet1!O7="", "", Sheet1!O7/$H$91)</f>
        <v/>
      </c>
      <c r="W99" s="33" t="str">
        <f>IF(Sheet1!P7="", "", Sheet1!P7/$H$91)</f>
        <v/>
      </c>
      <c r="X99" s="33" t="str">
        <f>IF(Sheet1!Q7="", "", Sheet1!Q7/$H$91)</f>
        <v/>
      </c>
      <c r="Y99" s="33" t="str">
        <f>IF(Sheet1!R7="", "", Sheet1!R7/$H$91)</f>
        <v/>
      </c>
      <c r="Z99" s="33" t="str">
        <f>IF(Sheet1!S7="", "", Sheet1!S7/$H$91)</f>
        <v/>
      </c>
      <c r="AA99" s="33" t="str">
        <f>IF(Sheet1!T7="", "", Sheet1!T7/$H$91)</f>
        <v/>
      </c>
      <c r="AB99" s="33" t="str">
        <f>IF(Sheet1!U7="", "", Sheet1!U7/$H$91)</f>
        <v/>
      </c>
      <c r="AC99" s="33" t="str">
        <f>IF(Sheet1!V7="", "", Sheet1!V7/$H$91)</f>
        <v/>
      </c>
      <c r="AD99" s="33" t="str">
        <f>IF(Sheet1!W7="", "", Sheet1!W7/$H$91)</f>
        <v/>
      </c>
      <c r="AE99" s="33" t="str">
        <f>IF(Sheet1!X7="", "", Sheet1!X7/$H$91)</f>
        <v/>
      </c>
      <c r="AF99" s="33" t="str">
        <f>IF(Sheet1!Y7="", "", Sheet1!Y7/$H$91)</f>
        <v/>
      </c>
      <c r="AG99" s="33" t="str">
        <f>IF(Sheet1!Z7="", "", Sheet1!Z7/$H$91)</f>
        <v/>
      </c>
      <c r="AH99" s="33" t="str">
        <f>IF(Sheet1!AA7="", "", Sheet1!AA7/$H$91)</f>
        <v/>
      </c>
      <c r="AI99" s="33" t="str">
        <f>IF(Sheet1!AB7="", "", Sheet1!AB7/$H$91)</f>
        <v/>
      </c>
      <c r="AJ99" s="33" t="str">
        <f>IF(Sheet1!AC7="", "", Sheet1!AC7/$H$91)</f>
        <v/>
      </c>
      <c r="AK99" s="33" t="str">
        <f>IF(Sheet1!AD7="", "", Sheet1!AD7/$H$91)</f>
        <v/>
      </c>
      <c r="AL99" s="33" t="str">
        <f>IF(Sheet1!AE7="", "", Sheet1!AE7/$H$91)</f>
        <v/>
      </c>
      <c r="AM99" s="33" t="str">
        <f>IF(Sheet1!AF7="", "", Sheet1!AF7/$H$91)</f>
        <v/>
      </c>
      <c r="AN99" s="33" t="str">
        <f>IF(Sheet1!AG7="", "", Sheet1!AG7/$H$91)</f>
        <v/>
      </c>
      <c r="AO99" s="33" t="str">
        <f>IF(Sheet1!AH7="", "", Sheet1!AH7/$H$91)</f>
        <v/>
      </c>
      <c r="AP99" s="33" t="str">
        <f>IF(Sheet1!AI7="", "", Sheet1!AI7/$H$91)</f>
        <v/>
      </c>
      <c r="AQ99" s="33" t="str">
        <f>IF(Sheet1!AJ7="", "", Sheet1!AJ7/$H$91)</f>
        <v/>
      </c>
      <c r="AR99" s="33" t="str">
        <f>IF(Sheet1!AK7="", "", Sheet1!AK7/$H$91)</f>
        <v/>
      </c>
      <c r="AS99" s="33" t="str">
        <f>IF(Sheet1!AL7="", "", Sheet1!AL7/$H$91)</f>
        <v/>
      </c>
    </row>
    <row r="100" spans="1:45" s="30" customFormat="1" x14ac:dyDescent="0.3">
      <c r="A100"/>
      <c r="B100" t="s">
        <v>3</v>
      </c>
      <c r="C100">
        <v>4</v>
      </c>
      <c r="D100" t="s">
        <v>20</v>
      </c>
      <c r="E100" t="s">
        <v>21</v>
      </c>
      <c r="F100" t="s">
        <v>22</v>
      </c>
      <c r="G100" t="s">
        <v>23</v>
      </c>
      <c r="H100" t="s">
        <v>24</v>
      </c>
      <c r="I100" s="14"/>
      <c r="J100" s="10" t="str">
        <f t="shared" si="0"/>
        <v>파생상품자산</v>
      </c>
      <c r="K100" s="33" t="str">
        <f>IF(Sheet1!D8="", "", Sheet1!D8/$H$91)</f>
        <v/>
      </c>
      <c r="L100" s="33" t="str">
        <f>IF(Sheet1!E8="", "", Sheet1!E8/$H$91)</f>
        <v/>
      </c>
      <c r="M100" s="33" t="str">
        <f>IF(Sheet1!F8="", "", Sheet1!F8/$H$91)</f>
        <v/>
      </c>
      <c r="N100" s="33" t="str">
        <f>IF(Sheet1!G8="", "", Sheet1!G8/$H$91)</f>
        <v/>
      </c>
      <c r="O100" s="33" t="str">
        <f>IF(Sheet1!H8="", "", Sheet1!H8/$H$91)</f>
        <v/>
      </c>
      <c r="P100" s="33" t="str">
        <f>IF(Sheet1!I8="", "", Sheet1!I8/$H$91)</f>
        <v/>
      </c>
      <c r="Q100" s="33" t="str">
        <f>IF(Sheet1!J8="", "", Sheet1!J8/$H$91)</f>
        <v/>
      </c>
      <c r="R100" s="33" t="str">
        <f>IF(Sheet1!K8="", "", Sheet1!K8/$H$91)</f>
        <v/>
      </c>
      <c r="S100" s="33" t="str">
        <f>IF(Sheet1!L8="", "", Sheet1!L8/$H$91)</f>
        <v/>
      </c>
      <c r="T100" s="33" t="str">
        <f>IF(Sheet1!M8="", "", Sheet1!M8/$H$91)</f>
        <v/>
      </c>
      <c r="U100" s="33" t="str">
        <f>IF(Sheet1!N8="", "", Sheet1!N8/$H$91)</f>
        <v/>
      </c>
      <c r="V100" s="33" t="str">
        <f>IF(Sheet1!O8="", "", Sheet1!O8/$H$91)</f>
        <v/>
      </c>
      <c r="W100" s="33" t="str">
        <f>IF(Sheet1!P8="", "", Sheet1!P8/$H$91)</f>
        <v/>
      </c>
      <c r="X100" s="33" t="str">
        <f>IF(Sheet1!Q8="", "", Sheet1!Q8/$H$91)</f>
        <v/>
      </c>
      <c r="Y100" s="33" t="str">
        <f>IF(Sheet1!R8="", "", Sheet1!R8/$H$91)</f>
        <v/>
      </c>
      <c r="Z100" s="33" t="str">
        <f>IF(Sheet1!S8="", "", Sheet1!S8/$H$91)</f>
        <v/>
      </c>
      <c r="AA100" s="33" t="str">
        <f>IF(Sheet1!T8="", "", Sheet1!T8/$H$91)</f>
        <v/>
      </c>
      <c r="AB100" s="33" t="str">
        <f>IF(Sheet1!U8="", "", Sheet1!U8/$H$91)</f>
        <v/>
      </c>
      <c r="AC100" s="33" t="str">
        <f>IF(Sheet1!V8="", "", Sheet1!V8/$H$91)</f>
        <v/>
      </c>
      <c r="AD100" s="33" t="str">
        <f>IF(Sheet1!W8="", "", Sheet1!W8/$H$91)</f>
        <v/>
      </c>
      <c r="AE100" s="33" t="str">
        <f>IF(Sheet1!X8="", "", Sheet1!X8/$H$91)</f>
        <v/>
      </c>
      <c r="AF100" s="33" t="str">
        <f>IF(Sheet1!Y8="", "", Sheet1!Y8/$H$91)</f>
        <v/>
      </c>
      <c r="AG100" s="33" t="str">
        <f>IF(Sheet1!Z8="", "", Sheet1!Z8/$H$91)</f>
        <v/>
      </c>
      <c r="AH100" s="33" t="str">
        <f>IF(Sheet1!AA8="", "", Sheet1!AA8/$H$91)</f>
        <v/>
      </c>
      <c r="AI100" s="33" t="str">
        <f>IF(Sheet1!AB8="", "", Sheet1!AB8/$H$91)</f>
        <v/>
      </c>
      <c r="AJ100" s="33" t="str">
        <f>IF(Sheet1!AC8="", "", Sheet1!AC8/$H$91)</f>
        <v/>
      </c>
      <c r="AK100" s="33" t="str">
        <f>IF(Sheet1!AD8="", "", Sheet1!AD8/$H$91)</f>
        <v/>
      </c>
      <c r="AL100" s="33" t="str">
        <f>IF(Sheet1!AE8="", "", Sheet1!AE8/$H$91)</f>
        <v/>
      </c>
      <c r="AM100" s="33" t="str">
        <f>IF(Sheet1!AF8="", "", Sheet1!AF8/$H$91)</f>
        <v/>
      </c>
      <c r="AN100" s="33" t="str">
        <f>IF(Sheet1!AG8="", "", Sheet1!AG8/$H$91)</f>
        <v/>
      </c>
      <c r="AO100" s="33" t="str">
        <f>IF(Sheet1!AH8="", "", Sheet1!AH8/$H$91)</f>
        <v/>
      </c>
      <c r="AP100" s="33" t="str">
        <f>IF(Sheet1!AI8="", "", Sheet1!AI8/$H$91)</f>
        <v/>
      </c>
      <c r="AQ100" s="33" t="str">
        <f>IF(Sheet1!AJ8="", "", Sheet1!AJ8/$H$91)</f>
        <v/>
      </c>
      <c r="AR100" s="33" t="str">
        <f>IF(Sheet1!AK8="", "", Sheet1!AK8/$H$91)</f>
        <v/>
      </c>
      <c r="AS100" s="33" t="str">
        <f>IF(Sheet1!AL8="", "", Sheet1!AL8/$H$91)</f>
        <v/>
      </c>
    </row>
    <row r="101" spans="1:45" s="30" customFormat="1" x14ac:dyDescent="0.3">
      <c r="A101"/>
      <c r="B101" t="s">
        <v>4</v>
      </c>
      <c r="C101">
        <v>5</v>
      </c>
      <c r="D101" t="s">
        <v>25</v>
      </c>
      <c r="E101" t="s">
        <v>26</v>
      </c>
      <c r="F101" t="s">
        <v>27</v>
      </c>
      <c r="G101" t="s">
        <v>28</v>
      </c>
      <c r="H101" t="s">
        <v>29</v>
      </c>
      <c r="I101" s="14"/>
      <c r="J101" s="10" t="str">
        <f t="shared" si="0"/>
        <v>대출채권</v>
      </c>
      <c r="K101" s="33" t="str">
        <f>IF(Sheet1!D9="", "", Sheet1!D9/$H$91)</f>
        <v/>
      </c>
      <c r="L101" s="33" t="str">
        <f>IF(Sheet1!E9="", "", Sheet1!E9/$H$91)</f>
        <v/>
      </c>
      <c r="M101" s="33" t="str">
        <f>IF(Sheet1!F9="", "", Sheet1!F9/$H$91)</f>
        <v/>
      </c>
      <c r="N101" s="33" t="str">
        <f>IF(Sheet1!G9="", "", Sheet1!G9/$H$91)</f>
        <v/>
      </c>
      <c r="O101" s="33" t="str">
        <f>IF(Sheet1!H9="", "", Sheet1!H9/$H$91)</f>
        <v/>
      </c>
      <c r="P101" s="33" t="str">
        <f>IF(Sheet1!I9="", "", Sheet1!I9/$H$91)</f>
        <v/>
      </c>
      <c r="Q101" s="33" t="str">
        <f>IF(Sheet1!J9="", "", Sheet1!J9/$H$91)</f>
        <v/>
      </c>
      <c r="R101" s="33" t="str">
        <f>IF(Sheet1!K9="", "", Sheet1!K9/$H$91)</f>
        <v/>
      </c>
      <c r="S101" s="33" t="str">
        <f>IF(Sheet1!L9="", "", Sheet1!L9/$H$91)</f>
        <v/>
      </c>
      <c r="T101" s="33" t="str">
        <f>IF(Sheet1!M9="", "", Sheet1!M9/$H$91)</f>
        <v/>
      </c>
      <c r="U101" s="33" t="str">
        <f>IF(Sheet1!N9="", "", Sheet1!N9/$H$91)</f>
        <v/>
      </c>
      <c r="V101" s="33" t="str">
        <f>IF(Sheet1!O9="", "", Sheet1!O9/$H$91)</f>
        <v/>
      </c>
      <c r="W101" s="33" t="str">
        <f>IF(Sheet1!P9="", "", Sheet1!P9/$H$91)</f>
        <v/>
      </c>
      <c r="X101" s="33" t="str">
        <f>IF(Sheet1!Q9="", "", Sheet1!Q9/$H$91)</f>
        <v/>
      </c>
      <c r="Y101" s="33" t="str">
        <f>IF(Sheet1!R9="", "", Sheet1!R9/$H$91)</f>
        <v/>
      </c>
      <c r="Z101" s="33" t="str">
        <f>IF(Sheet1!S9="", "", Sheet1!S9/$H$91)</f>
        <v/>
      </c>
      <c r="AA101" s="33" t="str">
        <f>IF(Sheet1!T9="", "", Sheet1!T9/$H$91)</f>
        <v/>
      </c>
      <c r="AB101" s="33" t="str">
        <f>IF(Sheet1!U9="", "", Sheet1!U9/$H$91)</f>
        <v/>
      </c>
      <c r="AC101" s="33" t="str">
        <f>IF(Sheet1!V9="", "", Sheet1!V9/$H$91)</f>
        <v/>
      </c>
      <c r="AD101" s="33" t="str">
        <f>IF(Sheet1!W9="", "", Sheet1!W9/$H$91)</f>
        <v/>
      </c>
      <c r="AE101" s="33" t="str">
        <f>IF(Sheet1!X9="", "", Sheet1!X9/$H$91)</f>
        <v/>
      </c>
      <c r="AF101" s="33" t="str">
        <f>IF(Sheet1!Y9="", "", Sheet1!Y9/$H$91)</f>
        <v/>
      </c>
      <c r="AG101" s="33" t="str">
        <f>IF(Sheet1!Z9="", "", Sheet1!Z9/$H$91)</f>
        <v/>
      </c>
      <c r="AH101" s="33" t="str">
        <f>IF(Sheet1!AA9="", "", Sheet1!AA9/$H$91)</f>
        <v/>
      </c>
      <c r="AI101" s="33" t="str">
        <f>IF(Sheet1!AB9="", "", Sheet1!AB9/$H$91)</f>
        <v/>
      </c>
      <c r="AJ101" s="33" t="str">
        <f>IF(Sheet1!AC9="", "", Sheet1!AC9/$H$91)</f>
        <v/>
      </c>
      <c r="AK101" s="33" t="str">
        <f>IF(Sheet1!AD9="", "", Sheet1!AD9/$H$91)</f>
        <v/>
      </c>
      <c r="AL101" s="33" t="str">
        <f>IF(Sheet1!AE9="", "", Sheet1!AE9/$H$91)</f>
        <v/>
      </c>
      <c r="AM101" s="33" t="str">
        <f>IF(Sheet1!AF9="", "", Sheet1!AF9/$H$91)</f>
        <v/>
      </c>
      <c r="AN101" s="33" t="str">
        <f>IF(Sheet1!AG9="", "", Sheet1!AG9/$H$91)</f>
        <v/>
      </c>
      <c r="AO101" s="33" t="str">
        <f>IF(Sheet1!AH9="", "", Sheet1!AH9/$H$91)</f>
        <v/>
      </c>
      <c r="AP101" s="33" t="str">
        <f>IF(Sheet1!AI9="", "", Sheet1!AI9/$H$91)</f>
        <v/>
      </c>
      <c r="AQ101" s="33" t="str">
        <f>IF(Sheet1!AJ9="", "", Sheet1!AJ9/$H$91)</f>
        <v/>
      </c>
      <c r="AR101" s="33" t="str">
        <f>IF(Sheet1!AK9="", "", Sheet1!AK9/$H$91)</f>
        <v/>
      </c>
      <c r="AS101" s="33" t="str">
        <f>IF(Sheet1!AL9="", "", Sheet1!AL9/$H$91)</f>
        <v/>
      </c>
    </row>
    <row r="102" spans="1:45" s="30" customFormat="1" x14ac:dyDescent="0.3">
      <c r="A102"/>
      <c r="B102"/>
      <c r="C102">
        <v>6</v>
      </c>
      <c r="D102" t="s">
        <v>30</v>
      </c>
      <c r="E102" t="s">
        <v>31</v>
      </c>
      <c r="F102" t="s">
        <v>32</v>
      </c>
      <c r="G102" t="s">
        <v>33</v>
      </c>
      <c r="H102" t="s">
        <v>34</v>
      </c>
      <c r="I102" s="14"/>
      <c r="J102" s="10" t="str">
        <f t="shared" si="0"/>
        <v>기타자산</v>
      </c>
      <c r="K102" s="33">
        <f>IF(Sheet1!D10="", "", Sheet1!D10/$H$91)</f>
        <v>238584.34</v>
      </c>
      <c r="L102" s="33">
        <f>IF(Sheet1!E10="", "", Sheet1!E10/$H$91)</f>
        <v>233997.91</v>
      </c>
      <c r="M102" s="33">
        <f>IF(Sheet1!F10="", "", Sheet1!F10/$H$91)</f>
        <v>226843.43</v>
      </c>
      <c r="N102" s="33">
        <f>IF(Sheet1!G10="", "", Sheet1!G10/$H$91)</f>
        <v>210493</v>
      </c>
      <c r="O102" s="33">
        <f>IF(Sheet1!H10="", "", Sheet1!H10/$H$91)</f>
        <v>197927.57</v>
      </c>
      <c r="P102" s="33">
        <f>IF(Sheet1!I10="", "", Sheet1!I10/$H$91)</f>
        <v>180694.77</v>
      </c>
      <c r="Q102" s="33">
        <f>IF(Sheet1!J10="", "", Sheet1!J10/$H$91)</f>
        <v>183971.54</v>
      </c>
      <c r="R102" s="33">
        <f>IF(Sheet1!K10="", "", Sheet1!K10/$H$91)</f>
        <v>157986.06</v>
      </c>
      <c r="S102" s="33">
        <f>IF(Sheet1!L10="", "", Sheet1!L10/$H$91)</f>
        <v>143884.54999999999</v>
      </c>
      <c r="T102" s="33" t="str">
        <f>IF(Sheet1!M10="", "", Sheet1!M10/$H$91)</f>
        <v/>
      </c>
      <c r="U102" s="33" t="str">
        <f>IF(Sheet1!N10="", "", Sheet1!N10/$H$91)</f>
        <v/>
      </c>
      <c r="V102" s="33" t="str">
        <f>IF(Sheet1!O10="", "", Sheet1!O10/$H$91)</f>
        <v/>
      </c>
      <c r="W102" s="33" t="str">
        <f>IF(Sheet1!P10="", "", Sheet1!P10/$H$91)</f>
        <v/>
      </c>
      <c r="X102" s="33" t="str">
        <f>IF(Sheet1!Q10="", "", Sheet1!Q10/$H$91)</f>
        <v/>
      </c>
      <c r="Y102" s="33" t="str">
        <f>IF(Sheet1!R10="", "", Sheet1!R10/$H$91)</f>
        <v/>
      </c>
      <c r="Z102" s="33" t="str">
        <f>IF(Sheet1!S10="", "", Sheet1!S10/$H$91)</f>
        <v/>
      </c>
      <c r="AA102" s="33" t="str">
        <f>IF(Sheet1!T10="", "", Sheet1!T10/$H$91)</f>
        <v/>
      </c>
      <c r="AB102" s="33" t="str">
        <f>IF(Sheet1!U10="", "", Sheet1!U10/$H$91)</f>
        <v/>
      </c>
      <c r="AC102" s="33" t="str">
        <f>IF(Sheet1!V10="", "", Sheet1!V10/$H$91)</f>
        <v/>
      </c>
      <c r="AD102" s="33" t="str">
        <f>IF(Sheet1!W10="", "", Sheet1!W10/$H$91)</f>
        <v/>
      </c>
      <c r="AE102" s="33" t="str">
        <f>IF(Sheet1!X10="", "", Sheet1!X10/$H$91)</f>
        <v/>
      </c>
      <c r="AF102" s="33" t="str">
        <f>IF(Sheet1!Y10="", "", Sheet1!Y10/$H$91)</f>
        <v/>
      </c>
      <c r="AG102" s="33" t="str">
        <f>IF(Sheet1!Z10="", "", Sheet1!Z10/$H$91)</f>
        <v/>
      </c>
      <c r="AH102" s="33" t="str">
        <f>IF(Sheet1!AA10="", "", Sheet1!AA10/$H$91)</f>
        <v/>
      </c>
      <c r="AI102" s="33" t="str">
        <f>IF(Sheet1!AB10="", "", Sheet1!AB10/$H$91)</f>
        <v/>
      </c>
      <c r="AJ102" s="33" t="str">
        <f>IF(Sheet1!AC10="", "", Sheet1!AC10/$H$91)</f>
        <v/>
      </c>
      <c r="AK102" s="33" t="str">
        <f>IF(Sheet1!AD10="", "", Sheet1!AD10/$H$91)</f>
        <v/>
      </c>
      <c r="AL102" s="33" t="str">
        <f>IF(Sheet1!AE10="", "", Sheet1!AE10/$H$91)</f>
        <v/>
      </c>
      <c r="AM102" s="33" t="str">
        <f>IF(Sheet1!AF10="", "", Sheet1!AF10/$H$91)</f>
        <v/>
      </c>
      <c r="AN102" s="33" t="str">
        <f>IF(Sheet1!AG10="", "", Sheet1!AG10/$H$91)</f>
        <v/>
      </c>
      <c r="AO102" s="33" t="str">
        <f>IF(Sheet1!AH10="", "", Sheet1!AH10/$H$91)</f>
        <v/>
      </c>
      <c r="AP102" s="33" t="str">
        <f>IF(Sheet1!AI10="", "", Sheet1!AI10/$H$91)</f>
        <v/>
      </c>
      <c r="AQ102" s="33" t="str">
        <f>IF(Sheet1!AJ10="", "", Sheet1!AJ10/$H$91)</f>
        <v/>
      </c>
      <c r="AR102" s="33" t="str">
        <f>IF(Sheet1!AK10="", "", Sheet1!AK10/$H$91)</f>
        <v/>
      </c>
      <c r="AS102" s="33" t="str">
        <f>IF(Sheet1!AL10="", "", Sheet1!AL10/$H$91)</f>
        <v/>
      </c>
    </row>
    <row r="103" spans="1:45" s="30" customFormat="1" x14ac:dyDescent="0.3">
      <c r="A103"/>
      <c r="B103"/>
      <c r="C103">
        <v>7</v>
      </c>
      <c r="D103" t="s">
        <v>35</v>
      </c>
      <c r="E103" t="s">
        <v>36</v>
      </c>
      <c r="F103" t="s">
        <v>37</v>
      </c>
      <c r="G103" t="s">
        <v>38</v>
      </c>
      <c r="H103" t="s">
        <v>39</v>
      </c>
      <c r="I103" s="21"/>
      <c r="J103" s="10" t="str">
        <f t="shared" si="0"/>
        <v>유형자산</v>
      </c>
      <c r="K103" s="33">
        <f>IF(Sheet1!D11="", "", Sheet1!D11/$H$91)</f>
        <v>1808059.63</v>
      </c>
      <c r="L103" s="33">
        <f>IF(Sheet1!E11="", "", Sheet1!E11/$H$91)</f>
        <v>1778699.42</v>
      </c>
      <c r="M103" s="33">
        <f>IF(Sheet1!F11="", "", Sheet1!F11/$H$91)</f>
        <v>1718575.16</v>
      </c>
      <c r="N103" s="33">
        <f>IF(Sheet1!G11="", "", Sheet1!G11/$H$91)</f>
        <v>1680453.88</v>
      </c>
      <c r="O103" s="33">
        <f>IF(Sheet1!H11="", "", Sheet1!H11/$H$91)</f>
        <v>1603435.68</v>
      </c>
      <c r="P103" s="33">
        <f>IF(Sheet1!I11="", "", Sheet1!I11/$H$91)</f>
        <v>1542545.76</v>
      </c>
      <c r="Q103" s="33">
        <f>IF(Sheet1!J11="", "", Sheet1!J11/$H$91)</f>
        <v>1496180.19</v>
      </c>
      <c r="R103" s="33">
        <f>IF(Sheet1!K11="", "", Sheet1!K11/$H$91)</f>
        <v>1499285.39</v>
      </c>
      <c r="S103" s="33">
        <f>IF(Sheet1!L11="", "", Sheet1!L11/$H$91)</f>
        <v>1430293.84</v>
      </c>
      <c r="T103" s="33" t="str">
        <f>IF(Sheet1!M11="", "", Sheet1!M11/$H$91)</f>
        <v/>
      </c>
      <c r="U103" s="33" t="str">
        <f>IF(Sheet1!N11="", "", Sheet1!N11/$H$91)</f>
        <v/>
      </c>
      <c r="V103" s="33" t="str">
        <f>IF(Sheet1!O11="", "", Sheet1!O11/$H$91)</f>
        <v/>
      </c>
      <c r="W103" s="33" t="str">
        <f>IF(Sheet1!P11="", "", Sheet1!P11/$H$91)</f>
        <v/>
      </c>
      <c r="X103" s="33" t="str">
        <f>IF(Sheet1!Q11="", "", Sheet1!Q11/$H$91)</f>
        <v/>
      </c>
      <c r="Y103" s="33" t="str">
        <f>IF(Sheet1!R11="", "", Sheet1!R11/$H$91)</f>
        <v/>
      </c>
      <c r="Z103" s="33" t="str">
        <f>IF(Sheet1!S11="", "", Sheet1!S11/$H$91)</f>
        <v/>
      </c>
      <c r="AA103" s="33" t="str">
        <f>IF(Sheet1!T11="", "", Sheet1!T11/$H$91)</f>
        <v/>
      </c>
      <c r="AB103" s="33" t="str">
        <f>IF(Sheet1!U11="", "", Sheet1!U11/$H$91)</f>
        <v/>
      </c>
      <c r="AC103" s="33" t="str">
        <f>IF(Sheet1!V11="", "", Sheet1!V11/$H$91)</f>
        <v/>
      </c>
      <c r="AD103" s="33" t="str">
        <f>IF(Sheet1!W11="", "", Sheet1!W11/$H$91)</f>
        <v/>
      </c>
      <c r="AE103" s="33" t="str">
        <f>IF(Sheet1!X11="", "", Sheet1!X11/$H$91)</f>
        <v/>
      </c>
      <c r="AF103" s="33" t="str">
        <f>IF(Sheet1!Y11="", "", Sheet1!Y11/$H$91)</f>
        <v/>
      </c>
      <c r="AG103" s="33" t="str">
        <f>IF(Sheet1!Z11="", "", Sheet1!Z11/$H$91)</f>
        <v/>
      </c>
      <c r="AH103" s="33" t="str">
        <f>IF(Sheet1!AA11="", "", Sheet1!AA11/$H$91)</f>
        <v/>
      </c>
      <c r="AI103" s="33" t="str">
        <f>IF(Sheet1!AB11="", "", Sheet1!AB11/$H$91)</f>
        <v/>
      </c>
      <c r="AJ103" s="33" t="str">
        <f>IF(Sheet1!AC11="", "", Sheet1!AC11/$H$91)</f>
        <v/>
      </c>
      <c r="AK103" s="33" t="str">
        <f>IF(Sheet1!AD11="", "", Sheet1!AD11/$H$91)</f>
        <v/>
      </c>
      <c r="AL103" s="33" t="str">
        <f>IF(Sheet1!AE11="", "", Sheet1!AE11/$H$91)</f>
        <v/>
      </c>
      <c r="AM103" s="33" t="str">
        <f>IF(Sheet1!AF11="", "", Sheet1!AF11/$H$91)</f>
        <v/>
      </c>
      <c r="AN103" s="33" t="str">
        <f>IF(Sheet1!AG11="", "", Sheet1!AG11/$H$91)</f>
        <v/>
      </c>
      <c r="AO103" s="33" t="str">
        <f>IF(Sheet1!AH11="", "", Sheet1!AH11/$H$91)</f>
        <v/>
      </c>
      <c r="AP103" s="33" t="str">
        <f>IF(Sheet1!AI11="", "", Sheet1!AI11/$H$91)</f>
        <v/>
      </c>
      <c r="AQ103" s="33" t="str">
        <f>IF(Sheet1!AJ11="", "", Sheet1!AJ11/$H$91)</f>
        <v/>
      </c>
      <c r="AR103" s="33" t="str">
        <f>IF(Sheet1!AK11="", "", Sheet1!AK11/$H$91)</f>
        <v/>
      </c>
      <c r="AS103" s="33" t="str">
        <f>IF(Sheet1!AL11="", "", Sheet1!AL11/$H$91)</f>
        <v/>
      </c>
    </row>
    <row r="104" spans="1:45" s="30" customFormat="1" x14ac:dyDescent="0.3">
      <c r="A104"/>
      <c r="B104"/>
      <c r="C104">
        <v>8</v>
      </c>
      <c r="D104" t="s">
        <v>40</v>
      </c>
      <c r="E104" t="s">
        <v>41</v>
      </c>
      <c r="F104" t="s">
        <v>42</v>
      </c>
      <c r="G104" t="s">
        <v>43</v>
      </c>
      <c r="H104" t="s">
        <v>44</v>
      </c>
      <c r="I104" s="21"/>
      <c r="J104" s="10" t="str">
        <f t="shared" si="0"/>
        <v>투자부동산</v>
      </c>
      <c r="K104" s="33" t="str">
        <f>IF(Sheet1!D12="", "", Sheet1!D12/$H$91)</f>
        <v/>
      </c>
      <c r="L104" s="33" t="str">
        <f>IF(Sheet1!E12="", "", Sheet1!E12/$H$91)</f>
        <v/>
      </c>
      <c r="M104" s="33" t="str">
        <f>IF(Sheet1!F12="", "", Sheet1!F12/$H$91)</f>
        <v/>
      </c>
      <c r="N104" s="33" t="str">
        <f>IF(Sheet1!G12="", "", Sheet1!G12/$H$91)</f>
        <v/>
      </c>
      <c r="O104" s="33" t="str">
        <f>IF(Sheet1!H12="", "", Sheet1!H12/$H$91)</f>
        <v/>
      </c>
      <c r="P104" s="33" t="str">
        <f>IF(Sheet1!I12="", "", Sheet1!I12/$H$91)</f>
        <v/>
      </c>
      <c r="Q104" s="33" t="str">
        <f>IF(Sheet1!J12="", "", Sheet1!J12/$H$91)</f>
        <v/>
      </c>
      <c r="R104" s="33" t="str">
        <f>IF(Sheet1!K12="", "", Sheet1!K12/$H$91)</f>
        <v/>
      </c>
      <c r="S104" s="33" t="str">
        <f>IF(Sheet1!L12="", "", Sheet1!L12/$H$91)</f>
        <v/>
      </c>
      <c r="T104" s="33" t="str">
        <f>IF(Sheet1!M12="", "", Sheet1!M12/$H$91)</f>
        <v/>
      </c>
      <c r="U104" s="33" t="str">
        <f>IF(Sheet1!N12="", "", Sheet1!N12/$H$91)</f>
        <v/>
      </c>
      <c r="V104" s="33" t="str">
        <f>IF(Sheet1!O12="", "", Sheet1!O12/$H$91)</f>
        <v/>
      </c>
      <c r="W104" s="33" t="str">
        <f>IF(Sheet1!P12="", "", Sheet1!P12/$H$91)</f>
        <v/>
      </c>
      <c r="X104" s="33" t="str">
        <f>IF(Sheet1!Q12="", "", Sheet1!Q12/$H$91)</f>
        <v/>
      </c>
      <c r="Y104" s="33" t="str">
        <f>IF(Sheet1!R12="", "", Sheet1!R12/$H$91)</f>
        <v/>
      </c>
      <c r="Z104" s="33" t="str">
        <f>IF(Sheet1!S12="", "", Sheet1!S12/$H$91)</f>
        <v/>
      </c>
      <c r="AA104" s="33" t="str">
        <f>IF(Sheet1!T12="", "", Sheet1!T12/$H$91)</f>
        <v/>
      </c>
      <c r="AB104" s="33" t="str">
        <f>IF(Sheet1!U12="", "", Sheet1!U12/$H$91)</f>
        <v/>
      </c>
      <c r="AC104" s="33" t="str">
        <f>IF(Sheet1!V12="", "", Sheet1!V12/$H$91)</f>
        <v/>
      </c>
      <c r="AD104" s="33" t="str">
        <f>IF(Sheet1!W12="", "", Sheet1!W12/$H$91)</f>
        <v/>
      </c>
      <c r="AE104" s="33" t="str">
        <f>IF(Sheet1!X12="", "", Sheet1!X12/$H$91)</f>
        <v/>
      </c>
      <c r="AF104" s="33" t="str">
        <f>IF(Sheet1!Y12="", "", Sheet1!Y12/$H$91)</f>
        <v/>
      </c>
      <c r="AG104" s="33" t="str">
        <f>IF(Sheet1!Z12="", "", Sheet1!Z12/$H$91)</f>
        <v/>
      </c>
      <c r="AH104" s="33" t="str">
        <f>IF(Sheet1!AA12="", "", Sheet1!AA12/$H$91)</f>
        <v/>
      </c>
      <c r="AI104" s="33" t="str">
        <f>IF(Sheet1!AB12="", "", Sheet1!AB12/$H$91)</f>
        <v/>
      </c>
      <c r="AJ104" s="33" t="str">
        <f>IF(Sheet1!AC12="", "", Sheet1!AC12/$H$91)</f>
        <v/>
      </c>
      <c r="AK104" s="33" t="str">
        <f>IF(Sheet1!AD12="", "", Sheet1!AD12/$H$91)</f>
        <v/>
      </c>
      <c r="AL104" s="33" t="str">
        <f>IF(Sheet1!AE12="", "", Sheet1!AE12/$H$91)</f>
        <v/>
      </c>
      <c r="AM104" s="33" t="str">
        <f>IF(Sheet1!AF12="", "", Sheet1!AF12/$H$91)</f>
        <v/>
      </c>
      <c r="AN104" s="33" t="str">
        <f>IF(Sheet1!AG12="", "", Sheet1!AG12/$H$91)</f>
        <v/>
      </c>
      <c r="AO104" s="33" t="str">
        <f>IF(Sheet1!AH12="", "", Sheet1!AH12/$H$91)</f>
        <v/>
      </c>
      <c r="AP104" s="33" t="str">
        <f>IF(Sheet1!AI12="", "", Sheet1!AI12/$H$91)</f>
        <v/>
      </c>
      <c r="AQ104" s="33" t="str">
        <f>IF(Sheet1!AJ12="", "", Sheet1!AJ12/$H$91)</f>
        <v/>
      </c>
      <c r="AR104" s="33" t="str">
        <f>IF(Sheet1!AK12="", "", Sheet1!AK12/$H$91)</f>
        <v/>
      </c>
      <c r="AS104" s="33" t="str">
        <f>IF(Sheet1!AL12="", "", Sheet1!AL12/$H$91)</f>
        <v/>
      </c>
    </row>
    <row r="105" spans="1:45" s="30" customFormat="1" x14ac:dyDescent="0.3">
      <c r="A105"/>
      <c r="B105"/>
      <c r="C105">
        <v>9</v>
      </c>
      <c r="D105" t="s">
        <v>45</v>
      </c>
      <c r="E105" t="s">
        <v>46</v>
      </c>
      <c r="F105" t="s">
        <v>47</v>
      </c>
      <c r="G105" t="s">
        <v>48</v>
      </c>
      <c r="H105" t="s">
        <v>49</v>
      </c>
      <c r="I105" s="21"/>
      <c r="J105" s="10" t="str">
        <f t="shared" si="0"/>
        <v>비업무용자산</v>
      </c>
      <c r="K105" s="33" t="str">
        <f>IF(Sheet1!D13="", "", Sheet1!D13/$H$91)</f>
        <v/>
      </c>
      <c r="L105" s="33" t="str">
        <f>IF(Sheet1!E13="", "", Sheet1!E13/$H$91)</f>
        <v/>
      </c>
      <c r="M105" s="33" t="str">
        <f>IF(Sheet1!F13="", "", Sheet1!F13/$H$91)</f>
        <v/>
      </c>
      <c r="N105" s="33" t="str">
        <f>IF(Sheet1!G13="", "", Sheet1!G13/$H$91)</f>
        <v/>
      </c>
      <c r="O105" s="33" t="str">
        <f>IF(Sheet1!H13="", "", Sheet1!H13/$H$91)</f>
        <v/>
      </c>
      <c r="P105" s="33" t="str">
        <f>IF(Sheet1!I13="", "", Sheet1!I13/$H$91)</f>
        <v/>
      </c>
      <c r="Q105" s="33" t="str">
        <f>IF(Sheet1!J13="", "", Sheet1!J13/$H$91)</f>
        <v/>
      </c>
      <c r="R105" s="33" t="str">
        <f>IF(Sheet1!K13="", "", Sheet1!K13/$H$91)</f>
        <v/>
      </c>
      <c r="S105" s="33" t="str">
        <f>IF(Sheet1!L13="", "", Sheet1!L13/$H$91)</f>
        <v/>
      </c>
      <c r="T105" s="33" t="str">
        <f>IF(Sheet1!M13="", "", Sheet1!M13/$H$91)</f>
        <v/>
      </c>
      <c r="U105" s="33" t="str">
        <f>IF(Sheet1!N13="", "", Sheet1!N13/$H$91)</f>
        <v/>
      </c>
      <c r="V105" s="33" t="str">
        <f>IF(Sheet1!O13="", "", Sheet1!O13/$H$91)</f>
        <v/>
      </c>
      <c r="W105" s="33" t="str">
        <f>IF(Sheet1!P13="", "", Sheet1!P13/$H$91)</f>
        <v/>
      </c>
      <c r="X105" s="33" t="str">
        <f>IF(Sheet1!Q13="", "", Sheet1!Q13/$H$91)</f>
        <v/>
      </c>
      <c r="Y105" s="33" t="str">
        <f>IF(Sheet1!R13="", "", Sheet1!R13/$H$91)</f>
        <v/>
      </c>
      <c r="Z105" s="33" t="str">
        <f>IF(Sheet1!S13="", "", Sheet1!S13/$H$91)</f>
        <v/>
      </c>
      <c r="AA105" s="33" t="str">
        <f>IF(Sheet1!T13="", "", Sheet1!T13/$H$91)</f>
        <v/>
      </c>
      <c r="AB105" s="33" t="str">
        <f>IF(Sheet1!U13="", "", Sheet1!U13/$H$91)</f>
        <v/>
      </c>
      <c r="AC105" s="33" t="str">
        <f>IF(Sheet1!V13="", "", Sheet1!V13/$H$91)</f>
        <v/>
      </c>
      <c r="AD105" s="33" t="str">
        <f>IF(Sheet1!W13="", "", Sheet1!W13/$H$91)</f>
        <v/>
      </c>
      <c r="AE105" s="33" t="str">
        <f>IF(Sheet1!X13="", "", Sheet1!X13/$H$91)</f>
        <v/>
      </c>
      <c r="AF105" s="33" t="str">
        <f>IF(Sheet1!Y13="", "", Sheet1!Y13/$H$91)</f>
        <v/>
      </c>
      <c r="AG105" s="33" t="str">
        <f>IF(Sheet1!Z13="", "", Sheet1!Z13/$H$91)</f>
        <v/>
      </c>
      <c r="AH105" s="33" t="str">
        <f>IF(Sheet1!AA13="", "", Sheet1!AA13/$H$91)</f>
        <v/>
      </c>
      <c r="AI105" s="33" t="str">
        <f>IF(Sheet1!AB13="", "", Sheet1!AB13/$H$91)</f>
        <v/>
      </c>
      <c r="AJ105" s="33" t="str">
        <f>IF(Sheet1!AC13="", "", Sheet1!AC13/$H$91)</f>
        <v/>
      </c>
      <c r="AK105" s="33" t="str">
        <f>IF(Sheet1!AD13="", "", Sheet1!AD13/$H$91)</f>
        <v/>
      </c>
      <c r="AL105" s="33" t="str">
        <f>IF(Sheet1!AE13="", "", Sheet1!AE13/$H$91)</f>
        <v/>
      </c>
      <c r="AM105" s="33" t="str">
        <f>IF(Sheet1!AF13="", "", Sheet1!AF13/$H$91)</f>
        <v/>
      </c>
      <c r="AN105" s="33" t="str">
        <f>IF(Sheet1!AG13="", "", Sheet1!AG13/$H$91)</f>
        <v/>
      </c>
      <c r="AO105" s="33" t="str">
        <f>IF(Sheet1!AH13="", "", Sheet1!AH13/$H$91)</f>
        <v/>
      </c>
      <c r="AP105" s="33" t="str">
        <f>IF(Sheet1!AI13="", "", Sheet1!AI13/$H$91)</f>
        <v/>
      </c>
      <c r="AQ105" s="33" t="str">
        <f>IF(Sheet1!AJ13="", "", Sheet1!AJ13/$H$91)</f>
        <v/>
      </c>
      <c r="AR105" s="33" t="str">
        <f>IF(Sheet1!AK13="", "", Sheet1!AK13/$H$91)</f>
        <v/>
      </c>
      <c r="AS105" s="33" t="str">
        <f>IF(Sheet1!AL13="", "", Sheet1!AL13/$H$91)</f>
        <v/>
      </c>
    </row>
    <row r="106" spans="1:45" s="30" customFormat="1" x14ac:dyDescent="0.3">
      <c r="A106"/>
      <c r="B106"/>
      <c r="C106">
        <v>10</v>
      </c>
      <c r="D106" t="s">
        <v>50</v>
      </c>
      <c r="E106" t="s">
        <v>51</v>
      </c>
      <c r="F106" t="s">
        <v>52</v>
      </c>
      <c r="G106" t="s">
        <v>53</v>
      </c>
      <c r="H106" t="s">
        <v>54</v>
      </c>
      <c r="I106" s="21"/>
      <c r="J106" s="10" t="str">
        <f t="shared" si="0"/>
        <v>영업권</v>
      </c>
      <c r="K106" s="33" t="str">
        <f>IF(Sheet1!D14="", "", Sheet1!D14/$H$91)</f>
        <v/>
      </c>
      <c r="L106" s="33" t="str">
        <f>IF(Sheet1!E14="", "", Sheet1!E14/$H$91)</f>
        <v/>
      </c>
      <c r="M106" s="33" t="str">
        <f>IF(Sheet1!F14="", "", Sheet1!F14/$H$91)</f>
        <v/>
      </c>
      <c r="N106" s="33">
        <f>IF(Sheet1!G14="", "", Sheet1!G14/$H$91)</f>
        <v>60144.22</v>
      </c>
      <c r="O106" s="33" t="str">
        <f>IF(Sheet1!H14="", "", Sheet1!H14/$H$91)</f>
        <v/>
      </c>
      <c r="P106" s="33" t="str">
        <f>IF(Sheet1!I14="", "", Sheet1!I14/$H$91)</f>
        <v/>
      </c>
      <c r="Q106" s="33" t="str">
        <f>IF(Sheet1!J14="", "", Sheet1!J14/$H$91)</f>
        <v/>
      </c>
      <c r="R106" s="33">
        <f>IF(Sheet1!K14="", "", Sheet1!K14/$H$91)</f>
        <v>58442.59</v>
      </c>
      <c r="S106" s="33" t="str">
        <f>IF(Sheet1!L14="", "", Sheet1!L14/$H$91)</f>
        <v/>
      </c>
      <c r="T106" s="33" t="str">
        <f>IF(Sheet1!M14="", "", Sheet1!M14/$H$91)</f>
        <v/>
      </c>
      <c r="U106" s="33" t="str">
        <f>IF(Sheet1!N14="", "", Sheet1!N14/$H$91)</f>
        <v/>
      </c>
      <c r="V106" s="33" t="str">
        <f>IF(Sheet1!O14="", "", Sheet1!O14/$H$91)</f>
        <v/>
      </c>
      <c r="W106" s="33" t="str">
        <f>IF(Sheet1!P14="", "", Sheet1!P14/$H$91)</f>
        <v/>
      </c>
      <c r="X106" s="33" t="str">
        <f>IF(Sheet1!Q14="", "", Sheet1!Q14/$H$91)</f>
        <v/>
      </c>
      <c r="Y106" s="33" t="str">
        <f>IF(Sheet1!R14="", "", Sheet1!R14/$H$91)</f>
        <v/>
      </c>
      <c r="Z106" s="33" t="str">
        <f>IF(Sheet1!S14="", "", Sheet1!S14/$H$91)</f>
        <v/>
      </c>
      <c r="AA106" s="33" t="str">
        <f>IF(Sheet1!T14="", "", Sheet1!T14/$H$91)</f>
        <v/>
      </c>
      <c r="AB106" s="33" t="str">
        <f>IF(Sheet1!U14="", "", Sheet1!U14/$H$91)</f>
        <v/>
      </c>
      <c r="AC106" s="33" t="str">
        <f>IF(Sheet1!V14="", "", Sheet1!V14/$H$91)</f>
        <v/>
      </c>
      <c r="AD106" s="33" t="str">
        <f>IF(Sheet1!W14="", "", Sheet1!W14/$H$91)</f>
        <v/>
      </c>
      <c r="AE106" s="33" t="str">
        <f>IF(Sheet1!X14="", "", Sheet1!X14/$H$91)</f>
        <v/>
      </c>
      <c r="AF106" s="33" t="str">
        <f>IF(Sheet1!Y14="", "", Sheet1!Y14/$H$91)</f>
        <v/>
      </c>
      <c r="AG106" s="33" t="str">
        <f>IF(Sheet1!Z14="", "", Sheet1!Z14/$H$91)</f>
        <v/>
      </c>
      <c r="AH106" s="33" t="str">
        <f>IF(Sheet1!AA14="", "", Sheet1!AA14/$H$91)</f>
        <v/>
      </c>
      <c r="AI106" s="33" t="str">
        <f>IF(Sheet1!AB14="", "", Sheet1!AB14/$H$91)</f>
        <v/>
      </c>
      <c r="AJ106" s="33" t="str">
        <f>IF(Sheet1!AC14="", "", Sheet1!AC14/$H$91)</f>
        <v/>
      </c>
      <c r="AK106" s="33" t="str">
        <f>IF(Sheet1!AD14="", "", Sheet1!AD14/$H$91)</f>
        <v/>
      </c>
      <c r="AL106" s="33" t="str">
        <f>IF(Sheet1!AE14="", "", Sheet1!AE14/$H$91)</f>
        <v/>
      </c>
      <c r="AM106" s="33" t="str">
        <f>IF(Sheet1!AF14="", "", Sheet1!AF14/$H$91)</f>
        <v/>
      </c>
      <c r="AN106" s="33" t="str">
        <f>IF(Sheet1!AG14="", "", Sheet1!AG14/$H$91)</f>
        <v/>
      </c>
      <c r="AO106" s="33" t="str">
        <f>IF(Sheet1!AH14="", "", Sheet1!AH14/$H$91)</f>
        <v/>
      </c>
      <c r="AP106" s="33" t="str">
        <f>IF(Sheet1!AI14="", "", Sheet1!AI14/$H$91)</f>
        <v/>
      </c>
      <c r="AQ106" s="33" t="str">
        <f>IF(Sheet1!AJ14="", "", Sheet1!AJ14/$H$91)</f>
        <v/>
      </c>
      <c r="AR106" s="33" t="str">
        <f>IF(Sheet1!AK14="", "", Sheet1!AK14/$H$91)</f>
        <v/>
      </c>
      <c r="AS106" s="33" t="str">
        <f>IF(Sheet1!AL14="", "", Sheet1!AL14/$H$91)</f>
        <v/>
      </c>
    </row>
    <row r="107" spans="1:45" s="30" customFormat="1" x14ac:dyDescent="0.3">
      <c r="A107"/>
      <c r="B107"/>
      <c r="C107">
        <v>11</v>
      </c>
      <c r="D107" t="s">
        <v>55</v>
      </c>
      <c r="E107" t="s">
        <v>56</v>
      </c>
      <c r="F107" t="s">
        <v>57</v>
      </c>
      <c r="G107" t="s">
        <v>58</v>
      </c>
      <c r="H107" t="s">
        <v>59</v>
      </c>
      <c r="I107" s="21"/>
      <c r="J107" s="10" t="str">
        <f t="shared" si="0"/>
        <v>무형자산</v>
      </c>
      <c r="K107" s="33">
        <f>IF(Sheet1!D15="", "", Sheet1!D15/$H$91)</f>
        <v>231370</v>
      </c>
      <c r="L107" s="33">
        <f>IF(Sheet1!E15="", "", Sheet1!E15/$H$91)</f>
        <v>234302.34</v>
      </c>
      <c r="M107" s="33">
        <f>IF(Sheet1!F15="", "", Sheet1!F15/$H$91)</f>
        <v>236177.03</v>
      </c>
      <c r="N107" s="33">
        <f>IF(Sheet1!G15="", "", Sheet1!G15/$H$91)</f>
        <v>142033.32</v>
      </c>
      <c r="O107" s="33">
        <f>IF(Sheet1!H15="", "", Sheet1!H15/$H$91)</f>
        <v>214848.57</v>
      </c>
      <c r="P107" s="33">
        <f>IF(Sheet1!I15="", "", Sheet1!I15/$H$91)</f>
        <v>200969.26</v>
      </c>
      <c r="Q107" s="33">
        <f>IF(Sheet1!J15="", "", Sheet1!J15/$H$91)</f>
        <v>200106.94</v>
      </c>
      <c r="R107" s="33">
        <f>IF(Sheet1!K15="", "", Sheet1!K15/$H$91)</f>
        <v>143919.85</v>
      </c>
      <c r="S107" s="33">
        <f>IF(Sheet1!L15="", "", Sheet1!L15/$H$91)</f>
        <v>207536.37</v>
      </c>
      <c r="T107" s="33" t="str">
        <f>IF(Sheet1!M15="", "", Sheet1!M15/$H$91)</f>
        <v/>
      </c>
      <c r="U107" s="33" t="str">
        <f>IF(Sheet1!N15="", "", Sheet1!N15/$H$91)</f>
        <v/>
      </c>
      <c r="V107" s="33" t="str">
        <f>IF(Sheet1!O15="", "", Sheet1!O15/$H$91)</f>
        <v/>
      </c>
      <c r="W107" s="33" t="str">
        <f>IF(Sheet1!P15="", "", Sheet1!P15/$H$91)</f>
        <v/>
      </c>
      <c r="X107" s="33" t="str">
        <f>IF(Sheet1!Q15="", "", Sheet1!Q15/$H$91)</f>
        <v/>
      </c>
      <c r="Y107" s="33" t="str">
        <f>IF(Sheet1!R15="", "", Sheet1!R15/$H$91)</f>
        <v/>
      </c>
      <c r="Z107" s="33" t="str">
        <f>IF(Sheet1!S15="", "", Sheet1!S15/$H$91)</f>
        <v/>
      </c>
      <c r="AA107" s="33" t="str">
        <f>IF(Sheet1!T15="", "", Sheet1!T15/$H$91)</f>
        <v/>
      </c>
      <c r="AB107" s="33" t="str">
        <f>IF(Sheet1!U15="", "", Sheet1!U15/$H$91)</f>
        <v/>
      </c>
      <c r="AC107" s="33" t="str">
        <f>IF(Sheet1!V15="", "", Sheet1!V15/$H$91)</f>
        <v/>
      </c>
      <c r="AD107" s="33" t="str">
        <f>IF(Sheet1!W15="", "", Sheet1!W15/$H$91)</f>
        <v/>
      </c>
      <c r="AE107" s="33" t="str">
        <f>IF(Sheet1!X15="", "", Sheet1!X15/$H$91)</f>
        <v/>
      </c>
      <c r="AF107" s="33" t="str">
        <f>IF(Sheet1!Y15="", "", Sheet1!Y15/$H$91)</f>
        <v/>
      </c>
      <c r="AG107" s="33" t="str">
        <f>IF(Sheet1!Z15="", "", Sheet1!Z15/$H$91)</f>
        <v/>
      </c>
      <c r="AH107" s="33" t="str">
        <f>IF(Sheet1!AA15="", "", Sheet1!AA15/$H$91)</f>
        <v/>
      </c>
      <c r="AI107" s="33" t="str">
        <f>IF(Sheet1!AB15="", "", Sheet1!AB15/$H$91)</f>
        <v/>
      </c>
      <c r="AJ107" s="33" t="str">
        <f>IF(Sheet1!AC15="", "", Sheet1!AC15/$H$91)</f>
        <v/>
      </c>
      <c r="AK107" s="33" t="str">
        <f>IF(Sheet1!AD15="", "", Sheet1!AD15/$H$91)</f>
        <v/>
      </c>
      <c r="AL107" s="33" t="str">
        <f>IF(Sheet1!AE15="", "", Sheet1!AE15/$H$91)</f>
        <v/>
      </c>
      <c r="AM107" s="33" t="str">
        <f>IF(Sheet1!AF15="", "", Sheet1!AF15/$H$91)</f>
        <v/>
      </c>
      <c r="AN107" s="33" t="str">
        <f>IF(Sheet1!AG15="", "", Sheet1!AG15/$H$91)</f>
        <v/>
      </c>
      <c r="AO107" s="33" t="str">
        <f>IF(Sheet1!AH15="", "", Sheet1!AH15/$H$91)</f>
        <v/>
      </c>
      <c r="AP107" s="33" t="str">
        <f>IF(Sheet1!AI15="", "", Sheet1!AI15/$H$91)</f>
        <v/>
      </c>
      <c r="AQ107" s="33" t="str">
        <f>IF(Sheet1!AJ15="", "", Sheet1!AJ15/$H$91)</f>
        <v/>
      </c>
      <c r="AR107" s="33" t="str">
        <f>IF(Sheet1!AK15="", "", Sheet1!AK15/$H$91)</f>
        <v/>
      </c>
      <c r="AS107" s="33" t="str">
        <f>IF(Sheet1!AL15="", "", Sheet1!AL15/$H$91)</f>
        <v/>
      </c>
    </row>
    <row r="108" spans="1:45" s="30" customFormat="1" x14ac:dyDescent="0.3">
      <c r="A108"/>
      <c r="B108"/>
      <c r="C108">
        <v>12</v>
      </c>
      <c r="D108" t="s">
        <v>60</v>
      </c>
      <c r="E108" t="s">
        <v>61</v>
      </c>
      <c r="F108" t="s">
        <v>62</v>
      </c>
      <c r="G108" t="s">
        <v>63</v>
      </c>
      <c r="H108" t="s">
        <v>64</v>
      </c>
      <c r="I108" s="21"/>
      <c r="J108" s="10" t="str">
        <f t="shared" si="0"/>
        <v>이연법인세자산</v>
      </c>
      <c r="K108" s="33">
        <f>IF(Sheet1!D16="", "", Sheet1!D16/$H$91)</f>
        <v>65354.42</v>
      </c>
      <c r="L108" s="33">
        <f>IF(Sheet1!E16="", "", Sheet1!E16/$H$91)</f>
        <v>55273.77</v>
      </c>
      <c r="M108" s="33">
        <f>IF(Sheet1!F16="", "", Sheet1!F16/$H$91)</f>
        <v>51034.74</v>
      </c>
      <c r="N108" s="33">
        <f>IF(Sheet1!G16="", "", Sheet1!G16/$H$91)</f>
        <v>51013.18</v>
      </c>
      <c r="O108" s="33">
        <f>IF(Sheet1!H16="", "", Sheet1!H16/$H$91)</f>
        <v>54881.63</v>
      </c>
      <c r="P108" s="33">
        <f>IF(Sheet1!I16="", "", Sheet1!I16/$H$91)</f>
        <v>51143.32</v>
      </c>
      <c r="Q108" s="33">
        <f>IF(Sheet1!J16="", "", Sheet1!J16/$H$91)</f>
        <v>41789.839999999997</v>
      </c>
      <c r="R108" s="33">
        <f>IF(Sheet1!K16="", "", Sheet1!K16/$H$91)</f>
        <v>42612.14</v>
      </c>
      <c r="S108" s="33">
        <f>IF(Sheet1!L16="", "", Sheet1!L16/$H$91)</f>
        <v>39280.5</v>
      </c>
      <c r="T108" s="33" t="str">
        <f>IF(Sheet1!M16="", "", Sheet1!M16/$H$91)</f>
        <v/>
      </c>
      <c r="U108" s="33" t="str">
        <f>IF(Sheet1!N16="", "", Sheet1!N16/$H$91)</f>
        <v/>
      </c>
      <c r="V108" s="33" t="str">
        <f>IF(Sheet1!O16="", "", Sheet1!O16/$H$91)</f>
        <v/>
      </c>
      <c r="W108" s="33" t="str">
        <f>IF(Sheet1!P16="", "", Sheet1!P16/$H$91)</f>
        <v/>
      </c>
      <c r="X108" s="33" t="str">
        <f>IF(Sheet1!Q16="", "", Sheet1!Q16/$H$91)</f>
        <v/>
      </c>
      <c r="Y108" s="33" t="str">
        <f>IF(Sheet1!R16="", "", Sheet1!R16/$H$91)</f>
        <v/>
      </c>
      <c r="Z108" s="33" t="str">
        <f>IF(Sheet1!S16="", "", Sheet1!S16/$H$91)</f>
        <v/>
      </c>
      <c r="AA108" s="33" t="str">
        <f>IF(Sheet1!T16="", "", Sheet1!T16/$H$91)</f>
        <v/>
      </c>
      <c r="AB108" s="33" t="str">
        <f>IF(Sheet1!U16="", "", Sheet1!U16/$H$91)</f>
        <v/>
      </c>
      <c r="AC108" s="33" t="str">
        <f>IF(Sheet1!V16="", "", Sheet1!V16/$H$91)</f>
        <v/>
      </c>
      <c r="AD108" s="33" t="str">
        <f>IF(Sheet1!W16="", "", Sheet1!W16/$H$91)</f>
        <v/>
      </c>
      <c r="AE108" s="33" t="str">
        <f>IF(Sheet1!X16="", "", Sheet1!X16/$H$91)</f>
        <v/>
      </c>
      <c r="AF108" s="33" t="str">
        <f>IF(Sheet1!Y16="", "", Sheet1!Y16/$H$91)</f>
        <v/>
      </c>
      <c r="AG108" s="33" t="str">
        <f>IF(Sheet1!Z16="", "", Sheet1!Z16/$H$91)</f>
        <v/>
      </c>
      <c r="AH108" s="33" t="str">
        <f>IF(Sheet1!AA16="", "", Sheet1!AA16/$H$91)</f>
        <v/>
      </c>
      <c r="AI108" s="33" t="str">
        <f>IF(Sheet1!AB16="", "", Sheet1!AB16/$H$91)</f>
        <v/>
      </c>
      <c r="AJ108" s="33" t="str">
        <f>IF(Sheet1!AC16="", "", Sheet1!AC16/$H$91)</f>
        <v/>
      </c>
      <c r="AK108" s="33" t="str">
        <f>IF(Sheet1!AD16="", "", Sheet1!AD16/$H$91)</f>
        <v/>
      </c>
      <c r="AL108" s="33" t="str">
        <f>IF(Sheet1!AE16="", "", Sheet1!AE16/$H$91)</f>
        <v/>
      </c>
      <c r="AM108" s="33" t="str">
        <f>IF(Sheet1!AF16="", "", Sheet1!AF16/$H$91)</f>
        <v/>
      </c>
      <c r="AN108" s="33" t="str">
        <f>IF(Sheet1!AG16="", "", Sheet1!AG16/$H$91)</f>
        <v/>
      </c>
      <c r="AO108" s="33" t="str">
        <f>IF(Sheet1!AH16="", "", Sheet1!AH16/$H$91)</f>
        <v/>
      </c>
      <c r="AP108" s="33" t="str">
        <f>IF(Sheet1!AI16="", "", Sheet1!AI16/$H$91)</f>
        <v/>
      </c>
      <c r="AQ108" s="33" t="str">
        <f>IF(Sheet1!AJ16="", "", Sheet1!AJ16/$H$91)</f>
        <v/>
      </c>
      <c r="AR108" s="33" t="str">
        <f>IF(Sheet1!AK16="", "", Sheet1!AK16/$H$91)</f>
        <v/>
      </c>
      <c r="AS108" s="33" t="str">
        <f>IF(Sheet1!AL16="", "", Sheet1!AL16/$H$91)</f>
        <v/>
      </c>
    </row>
    <row r="109" spans="1:45" s="30" customFormat="1" x14ac:dyDescent="0.3">
      <c r="A109"/>
      <c r="B109"/>
      <c r="C109">
        <v>13</v>
      </c>
      <c r="D109" t="s">
        <v>65</v>
      </c>
      <c r="E109" t="s">
        <v>66</v>
      </c>
      <c r="F109" t="s">
        <v>67</v>
      </c>
      <c r="G109" t="s">
        <v>68</v>
      </c>
      <c r="H109" t="s">
        <v>69</v>
      </c>
      <c r="I109" s="21"/>
      <c r="J109" s="10" t="str">
        <f t="shared" si="0"/>
        <v>당기법인세자산</v>
      </c>
      <c r="K109" s="33" t="str">
        <f>IF(Sheet1!D17="", "", Sheet1!D17/$H$91)</f>
        <v/>
      </c>
      <c r="L109" s="33" t="str">
        <f>IF(Sheet1!E17="", "", Sheet1!E17/$H$91)</f>
        <v/>
      </c>
      <c r="M109" s="33" t="str">
        <f>IF(Sheet1!F17="", "", Sheet1!F17/$H$91)</f>
        <v/>
      </c>
      <c r="N109" s="33" t="str">
        <f>IF(Sheet1!G17="", "", Sheet1!G17/$H$91)</f>
        <v/>
      </c>
      <c r="O109" s="33" t="str">
        <f>IF(Sheet1!H17="", "", Sheet1!H17/$H$91)</f>
        <v/>
      </c>
      <c r="P109" s="33" t="str">
        <f>IF(Sheet1!I17="", "", Sheet1!I17/$H$91)</f>
        <v/>
      </c>
      <c r="Q109" s="33" t="str">
        <f>IF(Sheet1!J17="", "", Sheet1!J17/$H$91)</f>
        <v/>
      </c>
      <c r="R109" s="33" t="str">
        <f>IF(Sheet1!K17="", "", Sheet1!K17/$H$91)</f>
        <v/>
      </c>
      <c r="S109" s="33" t="str">
        <f>IF(Sheet1!L17="", "", Sheet1!L17/$H$91)</f>
        <v/>
      </c>
      <c r="T109" s="33" t="str">
        <f>IF(Sheet1!M17="", "", Sheet1!M17/$H$91)</f>
        <v/>
      </c>
      <c r="U109" s="33" t="str">
        <f>IF(Sheet1!N17="", "", Sheet1!N17/$H$91)</f>
        <v/>
      </c>
      <c r="V109" s="33" t="str">
        <f>IF(Sheet1!O17="", "", Sheet1!O17/$H$91)</f>
        <v/>
      </c>
      <c r="W109" s="33" t="str">
        <f>IF(Sheet1!P17="", "", Sheet1!P17/$H$91)</f>
        <v/>
      </c>
      <c r="X109" s="33" t="str">
        <f>IF(Sheet1!Q17="", "", Sheet1!Q17/$H$91)</f>
        <v/>
      </c>
      <c r="Y109" s="33" t="str">
        <f>IF(Sheet1!R17="", "", Sheet1!R17/$H$91)</f>
        <v/>
      </c>
      <c r="Z109" s="33" t="str">
        <f>IF(Sheet1!S17="", "", Sheet1!S17/$H$91)</f>
        <v/>
      </c>
      <c r="AA109" s="33" t="str">
        <f>IF(Sheet1!T17="", "", Sheet1!T17/$H$91)</f>
        <v/>
      </c>
      <c r="AB109" s="33" t="str">
        <f>IF(Sheet1!U17="", "", Sheet1!U17/$H$91)</f>
        <v/>
      </c>
      <c r="AC109" s="33" t="str">
        <f>IF(Sheet1!V17="", "", Sheet1!V17/$H$91)</f>
        <v/>
      </c>
      <c r="AD109" s="33" t="str">
        <f>IF(Sheet1!W17="", "", Sheet1!W17/$H$91)</f>
        <v/>
      </c>
      <c r="AE109" s="33" t="str">
        <f>IF(Sheet1!X17="", "", Sheet1!X17/$H$91)</f>
        <v/>
      </c>
      <c r="AF109" s="33" t="str">
        <f>IF(Sheet1!Y17="", "", Sheet1!Y17/$H$91)</f>
        <v/>
      </c>
      <c r="AG109" s="33" t="str">
        <f>IF(Sheet1!Z17="", "", Sheet1!Z17/$H$91)</f>
        <v/>
      </c>
      <c r="AH109" s="33" t="str">
        <f>IF(Sheet1!AA17="", "", Sheet1!AA17/$H$91)</f>
        <v/>
      </c>
      <c r="AI109" s="33" t="str">
        <f>IF(Sheet1!AB17="", "", Sheet1!AB17/$H$91)</f>
        <v/>
      </c>
      <c r="AJ109" s="33" t="str">
        <f>IF(Sheet1!AC17="", "", Sheet1!AC17/$H$91)</f>
        <v/>
      </c>
      <c r="AK109" s="33" t="str">
        <f>IF(Sheet1!AD17="", "", Sheet1!AD17/$H$91)</f>
        <v/>
      </c>
      <c r="AL109" s="33" t="str">
        <f>IF(Sheet1!AE17="", "", Sheet1!AE17/$H$91)</f>
        <v/>
      </c>
      <c r="AM109" s="33" t="str">
        <f>IF(Sheet1!AF17="", "", Sheet1!AF17/$H$91)</f>
        <v/>
      </c>
      <c r="AN109" s="33" t="str">
        <f>IF(Sheet1!AG17="", "", Sheet1!AG17/$H$91)</f>
        <v/>
      </c>
      <c r="AO109" s="33" t="str">
        <f>IF(Sheet1!AH17="", "", Sheet1!AH17/$H$91)</f>
        <v/>
      </c>
      <c r="AP109" s="33" t="str">
        <f>IF(Sheet1!AI17="", "", Sheet1!AI17/$H$91)</f>
        <v/>
      </c>
      <c r="AQ109" s="33" t="str">
        <f>IF(Sheet1!AJ17="", "", Sheet1!AJ17/$H$91)</f>
        <v/>
      </c>
      <c r="AR109" s="33" t="str">
        <f>IF(Sheet1!AK17="", "", Sheet1!AK17/$H$91)</f>
        <v/>
      </c>
      <c r="AS109" s="33" t="str">
        <f>IF(Sheet1!AL17="", "", Sheet1!AL17/$H$91)</f>
        <v/>
      </c>
    </row>
    <row r="110" spans="1:45" s="30" customFormat="1" x14ac:dyDescent="0.3">
      <c r="A110"/>
      <c r="B110"/>
      <c r="C110">
        <v>14</v>
      </c>
      <c r="D110" t="s">
        <v>70</v>
      </c>
      <c r="E110" t="s">
        <v>71</v>
      </c>
      <c r="F110" t="s">
        <v>72</v>
      </c>
      <c r="G110" t="s">
        <v>73</v>
      </c>
      <c r="H110" t="s">
        <v>74</v>
      </c>
      <c r="I110" s="21"/>
      <c r="J110" s="10" t="str">
        <f t="shared" si="0"/>
        <v>기타금융업자산</v>
      </c>
      <c r="K110" s="33" t="str">
        <f>IF(Sheet1!D18="", "", Sheet1!D18/$H$91)</f>
        <v/>
      </c>
      <c r="L110" s="33" t="str">
        <f>IF(Sheet1!E18="", "", Sheet1!E18/$H$91)</f>
        <v/>
      </c>
      <c r="M110" s="33" t="str">
        <f>IF(Sheet1!F18="", "", Sheet1!F18/$H$91)</f>
        <v/>
      </c>
      <c r="N110" s="33" t="str">
        <f>IF(Sheet1!G18="", "", Sheet1!G18/$H$91)</f>
        <v/>
      </c>
      <c r="O110" s="33" t="str">
        <f>IF(Sheet1!H18="", "", Sheet1!H18/$H$91)</f>
        <v/>
      </c>
      <c r="P110" s="33" t="str">
        <f>IF(Sheet1!I18="", "", Sheet1!I18/$H$91)</f>
        <v/>
      </c>
      <c r="Q110" s="33" t="str">
        <f>IF(Sheet1!J18="", "", Sheet1!J18/$H$91)</f>
        <v/>
      </c>
      <c r="R110" s="33" t="str">
        <f>IF(Sheet1!K18="", "", Sheet1!K18/$H$91)</f>
        <v/>
      </c>
      <c r="S110" s="33" t="str">
        <f>IF(Sheet1!L18="", "", Sheet1!L18/$H$91)</f>
        <v/>
      </c>
      <c r="T110" s="33" t="str">
        <f>IF(Sheet1!M18="", "", Sheet1!M18/$H$91)</f>
        <v/>
      </c>
      <c r="U110" s="33" t="str">
        <f>IF(Sheet1!N18="", "", Sheet1!N18/$H$91)</f>
        <v/>
      </c>
      <c r="V110" s="33" t="str">
        <f>IF(Sheet1!O18="", "", Sheet1!O18/$H$91)</f>
        <v/>
      </c>
      <c r="W110" s="33" t="str">
        <f>IF(Sheet1!P18="", "", Sheet1!P18/$H$91)</f>
        <v/>
      </c>
      <c r="X110" s="33" t="str">
        <f>IF(Sheet1!Q18="", "", Sheet1!Q18/$H$91)</f>
        <v/>
      </c>
      <c r="Y110" s="33" t="str">
        <f>IF(Sheet1!R18="", "", Sheet1!R18/$H$91)</f>
        <v/>
      </c>
      <c r="Z110" s="33" t="str">
        <f>IF(Sheet1!S18="", "", Sheet1!S18/$H$91)</f>
        <v/>
      </c>
      <c r="AA110" s="33" t="str">
        <f>IF(Sheet1!T18="", "", Sheet1!T18/$H$91)</f>
        <v/>
      </c>
      <c r="AB110" s="33" t="str">
        <f>IF(Sheet1!U18="", "", Sheet1!U18/$H$91)</f>
        <v/>
      </c>
      <c r="AC110" s="33" t="str">
        <f>IF(Sheet1!V18="", "", Sheet1!V18/$H$91)</f>
        <v/>
      </c>
      <c r="AD110" s="33" t="str">
        <f>IF(Sheet1!W18="", "", Sheet1!W18/$H$91)</f>
        <v/>
      </c>
      <c r="AE110" s="33" t="str">
        <f>IF(Sheet1!X18="", "", Sheet1!X18/$H$91)</f>
        <v/>
      </c>
      <c r="AF110" s="33" t="str">
        <f>IF(Sheet1!Y18="", "", Sheet1!Y18/$H$91)</f>
        <v/>
      </c>
      <c r="AG110" s="33" t="str">
        <f>IF(Sheet1!Z18="", "", Sheet1!Z18/$H$91)</f>
        <v/>
      </c>
      <c r="AH110" s="33" t="str">
        <f>IF(Sheet1!AA18="", "", Sheet1!AA18/$H$91)</f>
        <v/>
      </c>
      <c r="AI110" s="33" t="str">
        <f>IF(Sheet1!AB18="", "", Sheet1!AB18/$H$91)</f>
        <v/>
      </c>
      <c r="AJ110" s="33" t="str">
        <f>IF(Sheet1!AC18="", "", Sheet1!AC18/$H$91)</f>
        <v/>
      </c>
      <c r="AK110" s="33" t="str">
        <f>IF(Sheet1!AD18="", "", Sheet1!AD18/$H$91)</f>
        <v/>
      </c>
      <c r="AL110" s="33" t="str">
        <f>IF(Sheet1!AE18="", "", Sheet1!AE18/$H$91)</f>
        <v/>
      </c>
      <c r="AM110" s="33" t="str">
        <f>IF(Sheet1!AF18="", "", Sheet1!AF18/$H$91)</f>
        <v/>
      </c>
      <c r="AN110" s="33" t="str">
        <f>IF(Sheet1!AG18="", "", Sheet1!AG18/$H$91)</f>
        <v/>
      </c>
      <c r="AO110" s="33" t="str">
        <f>IF(Sheet1!AH18="", "", Sheet1!AH18/$H$91)</f>
        <v/>
      </c>
      <c r="AP110" s="33" t="str">
        <f>IF(Sheet1!AI18="", "", Sheet1!AI18/$H$91)</f>
        <v/>
      </c>
      <c r="AQ110" s="33" t="str">
        <f>IF(Sheet1!AJ18="", "", Sheet1!AJ18/$H$91)</f>
        <v/>
      </c>
      <c r="AR110" s="33" t="str">
        <f>IF(Sheet1!AK18="", "", Sheet1!AK18/$H$91)</f>
        <v/>
      </c>
      <c r="AS110" s="33" t="str">
        <f>IF(Sheet1!AL18="", "", Sheet1!AL18/$H$91)</f>
        <v/>
      </c>
    </row>
    <row r="111" spans="1:45" s="30" customFormat="1" x14ac:dyDescent="0.3">
      <c r="A111"/>
      <c r="B111"/>
      <c r="C111">
        <v>15</v>
      </c>
      <c r="D111" t="s">
        <v>75</v>
      </c>
      <c r="E111" t="s">
        <v>76</v>
      </c>
      <c r="F111" t="s">
        <v>77</v>
      </c>
      <c r="G111" t="s">
        <v>78</v>
      </c>
      <c r="H111" t="s">
        <v>79</v>
      </c>
      <c r="I111" s="21"/>
      <c r="J111" s="10" t="str">
        <f t="shared" si="0"/>
        <v>자본</v>
      </c>
      <c r="K111" s="33">
        <f>IF(Sheet1!D19="", "", Sheet1!D19/$H$91)</f>
        <v>3638926.43</v>
      </c>
      <c r="L111" s="33">
        <f>IF(Sheet1!E19="", "", Sheet1!E19/$H$91)</f>
        <v>3589756.26</v>
      </c>
      <c r="M111" s="33">
        <f>IF(Sheet1!F19="", "", Sheet1!F19/$H$91)</f>
        <v>3597994.16</v>
      </c>
      <c r="N111" s="33">
        <f>IF(Sheet1!G19="", "", Sheet1!G19/$H$91)</f>
        <v>3547496.04</v>
      </c>
      <c r="O111" s="33">
        <f>IF(Sheet1!H19="", "", Sheet1!H19/$H$91)</f>
        <v>3449068.89</v>
      </c>
      <c r="P111" s="33">
        <f>IF(Sheet1!I19="", "", Sheet1!I19/$H$91)</f>
        <v>3279066.64</v>
      </c>
      <c r="Q111" s="33">
        <f>IF(Sheet1!J19="", "", Sheet1!J19/$H$91)</f>
        <v>3152909.19</v>
      </c>
      <c r="R111" s="33">
        <f>IF(Sheet1!K19="", "", Sheet1!K19/$H$91)</f>
        <v>3048999.31</v>
      </c>
      <c r="S111" s="33">
        <f>IF(Sheet1!L19="", "", Sheet1!L19/$H$91)</f>
        <v>2967661.18</v>
      </c>
      <c r="T111" s="33" t="str">
        <f>IF(Sheet1!M19="", "", Sheet1!M19/$H$91)</f>
        <v/>
      </c>
      <c r="U111" s="33" t="str">
        <f>IF(Sheet1!N19="", "", Sheet1!N19/$H$91)</f>
        <v/>
      </c>
      <c r="V111" s="33" t="str">
        <f>IF(Sheet1!O19="", "", Sheet1!O19/$H$91)</f>
        <v/>
      </c>
      <c r="W111" s="33" t="str">
        <f>IF(Sheet1!P19="", "", Sheet1!P19/$H$91)</f>
        <v/>
      </c>
      <c r="X111" s="33" t="str">
        <f>IF(Sheet1!Q19="", "", Sheet1!Q19/$H$91)</f>
        <v/>
      </c>
      <c r="Y111" s="33" t="str">
        <f>IF(Sheet1!R19="", "", Sheet1!R19/$H$91)</f>
        <v/>
      </c>
      <c r="Z111" s="33" t="str">
        <f>IF(Sheet1!S19="", "", Sheet1!S19/$H$91)</f>
        <v/>
      </c>
      <c r="AA111" s="33" t="str">
        <f>IF(Sheet1!T19="", "", Sheet1!T19/$H$91)</f>
        <v/>
      </c>
      <c r="AB111" s="33" t="str">
        <f>IF(Sheet1!U19="", "", Sheet1!U19/$H$91)</f>
        <v/>
      </c>
      <c r="AC111" s="33" t="str">
        <f>IF(Sheet1!V19="", "", Sheet1!V19/$H$91)</f>
        <v/>
      </c>
      <c r="AD111" s="33" t="str">
        <f>IF(Sheet1!W19="", "", Sheet1!W19/$H$91)</f>
        <v/>
      </c>
      <c r="AE111" s="33" t="str">
        <f>IF(Sheet1!X19="", "", Sheet1!X19/$H$91)</f>
        <v/>
      </c>
      <c r="AF111" s="33" t="str">
        <f>IF(Sheet1!Y19="", "", Sheet1!Y19/$H$91)</f>
        <v/>
      </c>
      <c r="AG111" s="33" t="str">
        <f>IF(Sheet1!Z19="", "", Sheet1!Z19/$H$91)</f>
        <v/>
      </c>
      <c r="AH111" s="33" t="str">
        <f>IF(Sheet1!AA19="", "", Sheet1!AA19/$H$91)</f>
        <v/>
      </c>
      <c r="AI111" s="33" t="str">
        <f>IF(Sheet1!AB19="", "", Sheet1!AB19/$H$91)</f>
        <v/>
      </c>
      <c r="AJ111" s="33" t="str">
        <f>IF(Sheet1!AC19="", "", Sheet1!AC19/$H$91)</f>
        <v/>
      </c>
      <c r="AK111" s="33" t="str">
        <f>IF(Sheet1!AD19="", "", Sheet1!AD19/$H$91)</f>
        <v/>
      </c>
      <c r="AL111" s="33" t="str">
        <f>IF(Sheet1!AE19="", "", Sheet1!AE19/$H$91)</f>
        <v/>
      </c>
      <c r="AM111" s="33" t="str">
        <f>IF(Sheet1!AF19="", "", Sheet1!AF19/$H$91)</f>
        <v/>
      </c>
      <c r="AN111" s="33" t="str">
        <f>IF(Sheet1!AG19="", "", Sheet1!AG19/$H$91)</f>
        <v/>
      </c>
      <c r="AO111" s="33" t="str">
        <f>IF(Sheet1!AH19="", "", Sheet1!AH19/$H$91)</f>
        <v/>
      </c>
      <c r="AP111" s="33" t="str">
        <f>IF(Sheet1!AI19="", "", Sheet1!AI19/$H$91)</f>
        <v/>
      </c>
      <c r="AQ111" s="33" t="str">
        <f>IF(Sheet1!AJ19="", "", Sheet1!AJ19/$H$91)</f>
        <v/>
      </c>
      <c r="AR111" s="33" t="str">
        <f>IF(Sheet1!AK19="", "", Sheet1!AK19/$H$91)</f>
        <v/>
      </c>
      <c r="AS111" s="33" t="str">
        <f>IF(Sheet1!AL19="", "", Sheet1!AL19/$H$91)</f>
        <v/>
      </c>
    </row>
    <row r="112" spans="1:45" s="30" customFormat="1" x14ac:dyDescent="0.3">
      <c r="A112"/>
      <c r="B112"/>
      <c r="C112">
        <v>16</v>
      </c>
      <c r="D112" t="s">
        <v>80</v>
      </c>
      <c r="E112" t="s">
        <v>81</v>
      </c>
      <c r="F112" t="s">
        <v>82</v>
      </c>
      <c r="G112" t="s">
        <v>83</v>
      </c>
      <c r="H112" t="s">
        <v>84</v>
      </c>
      <c r="I112" s="21"/>
      <c r="J112" s="10" t="str">
        <f t="shared" si="0"/>
        <v>상장자본금</v>
      </c>
      <c r="K112" s="33">
        <f>IF(Sheet1!D20="", "", Sheet1!D20/$H$91)</f>
        <v>8975.14</v>
      </c>
      <c r="L112" s="33">
        <f>IF(Sheet1!E20="", "", Sheet1!E20/$H$91)</f>
        <v>8975.14</v>
      </c>
      <c r="M112" s="33">
        <f>IF(Sheet1!F20="", "", Sheet1!F20/$H$91)</f>
        <v>8975.14</v>
      </c>
      <c r="N112" s="33">
        <f>IF(Sheet1!G20="", "", Sheet1!G20/$H$91)</f>
        <v>8975.14</v>
      </c>
      <c r="O112" s="33">
        <f>IF(Sheet1!H20="", "", Sheet1!H20/$H$91)</f>
        <v>8975.14</v>
      </c>
      <c r="P112" s="33">
        <f>IF(Sheet1!I20="", "", Sheet1!I20/$H$91)</f>
        <v>8975.14</v>
      </c>
      <c r="Q112" s="33">
        <f>IF(Sheet1!J20="", "", Sheet1!J20/$H$91)</f>
        <v>8975.14</v>
      </c>
      <c r="R112" s="33">
        <f>IF(Sheet1!K20="", "", Sheet1!K20/$H$91)</f>
        <v>8975.14</v>
      </c>
      <c r="S112" s="33">
        <f>IF(Sheet1!L20="", "", Sheet1!L20/$H$91)</f>
        <v>8975.14</v>
      </c>
      <c r="T112" s="33" t="str">
        <f>IF(Sheet1!M20="", "", Sheet1!M20/$H$91)</f>
        <v/>
      </c>
      <c r="U112" s="33" t="str">
        <f>IF(Sheet1!N20="", "", Sheet1!N20/$H$91)</f>
        <v/>
      </c>
      <c r="V112" s="33" t="str">
        <f>IF(Sheet1!O20="", "", Sheet1!O20/$H$91)</f>
        <v/>
      </c>
      <c r="W112" s="33" t="str">
        <f>IF(Sheet1!P20="", "", Sheet1!P20/$H$91)</f>
        <v/>
      </c>
      <c r="X112" s="33" t="str">
        <f>IF(Sheet1!Q20="", "", Sheet1!Q20/$H$91)</f>
        <v/>
      </c>
      <c r="Y112" s="33" t="str">
        <f>IF(Sheet1!R20="", "", Sheet1!R20/$H$91)</f>
        <v/>
      </c>
      <c r="Z112" s="33" t="str">
        <f>IF(Sheet1!S20="", "", Sheet1!S20/$H$91)</f>
        <v/>
      </c>
      <c r="AA112" s="33" t="str">
        <f>IF(Sheet1!T20="", "", Sheet1!T20/$H$91)</f>
        <v/>
      </c>
      <c r="AB112" s="33" t="str">
        <f>IF(Sheet1!U20="", "", Sheet1!U20/$H$91)</f>
        <v/>
      </c>
      <c r="AC112" s="33" t="str">
        <f>IF(Sheet1!V20="", "", Sheet1!V20/$H$91)</f>
        <v/>
      </c>
      <c r="AD112" s="33" t="str">
        <f>IF(Sheet1!W20="", "", Sheet1!W20/$H$91)</f>
        <v/>
      </c>
      <c r="AE112" s="33" t="str">
        <f>IF(Sheet1!X20="", "", Sheet1!X20/$H$91)</f>
        <v/>
      </c>
      <c r="AF112" s="33" t="str">
        <f>IF(Sheet1!Y20="", "", Sheet1!Y20/$H$91)</f>
        <v/>
      </c>
      <c r="AG112" s="33" t="str">
        <f>IF(Sheet1!Z20="", "", Sheet1!Z20/$H$91)</f>
        <v/>
      </c>
      <c r="AH112" s="33" t="str">
        <f>IF(Sheet1!AA20="", "", Sheet1!AA20/$H$91)</f>
        <v/>
      </c>
      <c r="AI112" s="33" t="str">
        <f>IF(Sheet1!AB20="", "", Sheet1!AB20/$H$91)</f>
        <v/>
      </c>
      <c r="AJ112" s="33" t="str">
        <f>IF(Sheet1!AC20="", "", Sheet1!AC20/$H$91)</f>
        <v/>
      </c>
      <c r="AK112" s="33" t="str">
        <f>IF(Sheet1!AD20="", "", Sheet1!AD20/$H$91)</f>
        <v/>
      </c>
      <c r="AL112" s="33" t="str">
        <f>IF(Sheet1!AE20="", "", Sheet1!AE20/$H$91)</f>
        <v/>
      </c>
      <c r="AM112" s="33" t="str">
        <f>IF(Sheet1!AF20="", "", Sheet1!AF20/$H$91)</f>
        <v/>
      </c>
      <c r="AN112" s="33" t="str">
        <f>IF(Sheet1!AG20="", "", Sheet1!AG20/$H$91)</f>
        <v/>
      </c>
      <c r="AO112" s="33" t="str">
        <f>IF(Sheet1!AH20="", "", Sheet1!AH20/$H$91)</f>
        <v/>
      </c>
      <c r="AP112" s="33" t="str">
        <f>IF(Sheet1!AI20="", "", Sheet1!AI20/$H$91)</f>
        <v/>
      </c>
      <c r="AQ112" s="33" t="str">
        <f>IF(Sheet1!AJ20="", "", Sheet1!AJ20/$H$91)</f>
        <v/>
      </c>
      <c r="AR112" s="33" t="str">
        <f>IF(Sheet1!AK20="", "", Sheet1!AK20/$H$91)</f>
        <v/>
      </c>
      <c r="AS112" s="33" t="str">
        <f>IF(Sheet1!AL20="", "", Sheet1!AL20/$H$91)</f>
        <v/>
      </c>
    </row>
    <row r="113" spans="1:45" s="30" customFormat="1" x14ac:dyDescent="0.3">
      <c r="A113"/>
      <c r="B113"/>
      <c r="C113">
        <v>17</v>
      </c>
      <c r="D113" t="s">
        <v>85</v>
      </c>
      <c r="E113" t="s">
        <v>86</v>
      </c>
      <c r="F113" t="s">
        <v>87</v>
      </c>
      <c r="G113" t="s">
        <v>88</v>
      </c>
      <c r="H113" t="s">
        <v>89</v>
      </c>
      <c r="I113" s="21"/>
      <c r="J113" s="10" t="str">
        <f t="shared" si="0"/>
        <v>신종자본증권</v>
      </c>
      <c r="K113" s="33" t="str">
        <f>IF(Sheet1!D21="", "", Sheet1!D21/$H$91)</f>
        <v/>
      </c>
      <c r="L113" s="33" t="str">
        <f>IF(Sheet1!E21="", "", Sheet1!E21/$H$91)</f>
        <v/>
      </c>
      <c r="M113" s="33" t="str">
        <f>IF(Sheet1!F21="", "", Sheet1!F21/$H$91)</f>
        <v/>
      </c>
      <c r="N113" s="33" t="str">
        <f>IF(Sheet1!G21="", "", Sheet1!G21/$H$91)</f>
        <v/>
      </c>
      <c r="O113" s="33" t="str">
        <f>IF(Sheet1!H21="", "", Sheet1!H21/$H$91)</f>
        <v/>
      </c>
      <c r="P113" s="33" t="str">
        <f>IF(Sheet1!I21="", "", Sheet1!I21/$H$91)</f>
        <v/>
      </c>
      <c r="Q113" s="33" t="str">
        <f>IF(Sheet1!J21="", "", Sheet1!J21/$H$91)</f>
        <v/>
      </c>
      <c r="R113" s="33" t="str">
        <f>IF(Sheet1!K21="", "", Sheet1!K21/$H$91)</f>
        <v/>
      </c>
      <c r="S113" s="33" t="str">
        <f>IF(Sheet1!L21="", "", Sheet1!L21/$H$91)</f>
        <v/>
      </c>
      <c r="T113" s="33" t="str">
        <f>IF(Sheet1!M21="", "", Sheet1!M21/$H$91)</f>
        <v/>
      </c>
      <c r="U113" s="33" t="str">
        <f>IF(Sheet1!N21="", "", Sheet1!N21/$H$91)</f>
        <v/>
      </c>
      <c r="V113" s="33" t="str">
        <f>IF(Sheet1!O21="", "", Sheet1!O21/$H$91)</f>
        <v/>
      </c>
      <c r="W113" s="33" t="str">
        <f>IF(Sheet1!P21="", "", Sheet1!P21/$H$91)</f>
        <v/>
      </c>
      <c r="X113" s="33" t="str">
        <f>IF(Sheet1!Q21="", "", Sheet1!Q21/$H$91)</f>
        <v/>
      </c>
      <c r="Y113" s="33" t="str">
        <f>IF(Sheet1!R21="", "", Sheet1!R21/$H$91)</f>
        <v/>
      </c>
      <c r="Z113" s="33" t="str">
        <f>IF(Sheet1!S21="", "", Sheet1!S21/$H$91)</f>
        <v/>
      </c>
      <c r="AA113" s="33" t="str">
        <f>IF(Sheet1!T21="", "", Sheet1!T21/$H$91)</f>
        <v/>
      </c>
      <c r="AB113" s="33" t="str">
        <f>IF(Sheet1!U21="", "", Sheet1!U21/$H$91)</f>
        <v/>
      </c>
      <c r="AC113" s="33" t="str">
        <f>IF(Sheet1!V21="", "", Sheet1!V21/$H$91)</f>
        <v/>
      </c>
      <c r="AD113" s="33" t="str">
        <f>IF(Sheet1!W21="", "", Sheet1!W21/$H$91)</f>
        <v/>
      </c>
      <c r="AE113" s="33" t="str">
        <f>IF(Sheet1!X21="", "", Sheet1!X21/$H$91)</f>
        <v/>
      </c>
      <c r="AF113" s="33" t="str">
        <f>IF(Sheet1!Y21="", "", Sheet1!Y21/$H$91)</f>
        <v/>
      </c>
      <c r="AG113" s="33" t="str">
        <f>IF(Sheet1!Z21="", "", Sheet1!Z21/$H$91)</f>
        <v/>
      </c>
      <c r="AH113" s="33" t="str">
        <f>IF(Sheet1!AA21="", "", Sheet1!AA21/$H$91)</f>
        <v/>
      </c>
      <c r="AI113" s="33" t="str">
        <f>IF(Sheet1!AB21="", "", Sheet1!AB21/$H$91)</f>
        <v/>
      </c>
      <c r="AJ113" s="33" t="str">
        <f>IF(Sheet1!AC21="", "", Sheet1!AC21/$H$91)</f>
        <v/>
      </c>
      <c r="AK113" s="33" t="str">
        <f>IF(Sheet1!AD21="", "", Sheet1!AD21/$H$91)</f>
        <v/>
      </c>
      <c r="AL113" s="33" t="str">
        <f>IF(Sheet1!AE21="", "", Sheet1!AE21/$H$91)</f>
        <v/>
      </c>
      <c r="AM113" s="33" t="str">
        <f>IF(Sheet1!AF21="", "", Sheet1!AF21/$H$91)</f>
        <v/>
      </c>
      <c r="AN113" s="33" t="str">
        <f>IF(Sheet1!AG21="", "", Sheet1!AG21/$H$91)</f>
        <v/>
      </c>
      <c r="AO113" s="33" t="str">
        <f>IF(Sheet1!AH21="", "", Sheet1!AH21/$H$91)</f>
        <v/>
      </c>
      <c r="AP113" s="33" t="str">
        <f>IF(Sheet1!AI21="", "", Sheet1!AI21/$H$91)</f>
        <v/>
      </c>
      <c r="AQ113" s="33" t="str">
        <f>IF(Sheet1!AJ21="", "", Sheet1!AJ21/$H$91)</f>
        <v/>
      </c>
      <c r="AR113" s="33" t="str">
        <f>IF(Sheet1!AK21="", "", Sheet1!AK21/$H$91)</f>
        <v/>
      </c>
      <c r="AS113" s="33" t="str">
        <f>IF(Sheet1!AL21="", "", Sheet1!AL21/$H$91)</f>
        <v/>
      </c>
    </row>
    <row r="114" spans="1:45" s="30" customFormat="1" x14ac:dyDescent="0.3">
      <c r="A114"/>
      <c r="B114"/>
      <c r="C114">
        <v>18</v>
      </c>
      <c r="D114" t="s">
        <v>90</v>
      </c>
      <c r="E114" t="s">
        <v>91</v>
      </c>
      <c r="F114" t="s">
        <v>92</v>
      </c>
      <c r="G114"/>
      <c r="H114" t="s">
        <v>93</v>
      </c>
      <c r="I114" s="21"/>
      <c r="J114" s="10" t="str">
        <f t="shared" si="0"/>
        <v>자본잉여금</v>
      </c>
      <c r="K114" s="33">
        <f>IF(Sheet1!D22="", "", Sheet1!D22/$H$91)</f>
        <v>44038.93</v>
      </c>
      <c r="L114" s="33">
        <f>IF(Sheet1!E22="", "", Sheet1!E22/$H$91)</f>
        <v>44038.93</v>
      </c>
      <c r="M114" s="33">
        <f>IF(Sheet1!F22="", "", Sheet1!F22/$H$91)</f>
        <v>44038.93</v>
      </c>
      <c r="N114" s="33">
        <f>IF(Sheet1!G22="", "", Sheet1!G22/$H$91)</f>
        <v>44038.93</v>
      </c>
      <c r="O114" s="33">
        <f>IF(Sheet1!H22="", "", Sheet1!H22/$H$91)</f>
        <v>44038.93</v>
      </c>
      <c r="P114" s="33">
        <f>IF(Sheet1!I22="", "", Sheet1!I22/$H$91)</f>
        <v>44038.93</v>
      </c>
      <c r="Q114" s="33">
        <f>IF(Sheet1!J22="", "", Sheet1!J22/$H$91)</f>
        <v>44038.93</v>
      </c>
      <c r="R114" s="33">
        <f>IF(Sheet1!K22="", "", Sheet1!K22/$H$91)</f>
        <v>44038.93</v>
      </c>
      <c r="S114" s="33">
        <f>IF(Sheet1!L22="", "", Sheet1!L22/$H$91)</f>
        <v>44038.93</v>
      </c>
      <c r="T114" s="33" t="str">
        <f>IF(Sheet1!M22="", "", Sheet1!M22/$H$91)</f>
        <v/>
      </c>
      <c r="U114" s="33" t="str">
        <f>IF(Sheet1!N22="", "", Sheet1!N22/$H$91)</f>
        <v/>
      </c>
      <c r="V114" s="33" t="str">
        <f>IF(Sheet1!O22="", "", Sheet1!O22/$H$91)</f>
        <v/>
      </c>
      <c r="W114" s="33" t="str">
        <f>IF(Sheet1!P22="", "", Sheet1!P22/$H$91)</f>
        <v/>
      </c>
      <c r="X114" s="33" t="str">
        <f>IF(Sheet1!Q22="", "", Sheet1!Q22/$H$91)</f>
        <v/>
      </c>
      <c r="Y114" s="33" t="str">
        <f>IF(Sheet1!R22="", "", Sheet1!R22/$H$91)</f>
        <v/>
      </c>
      <c r="Z114" s="33" t="str">
        <f>IF(Sheet1!S22="", "", Sheet1!S22/$H$91)</f>
        <v/>
      </c>
      <c r="AA114" s="33" t="str">
        <f>IF(Sheet1!T22="", "", Sheet1!T22/$H$91)</f>
        <v/>
      </c>
      <c r="AB114" s="33" t="str">
        <f>IF(Sheet1!U22="", "", Sheet1!U22/$H$91)</f>
        <v/>
      </c>
      <c r="AC114" s="33" t="str">
        <f>IF(Sheet1!V22="", "", Sheet1!V22/$H$91)</f>
        <v/>
      </c>
      <c r="AD114" s="33" t="str">
        <f>IF(Sheet1!W22="", "", Sheet1!W22/$H$91)</f>
        <v/>
      </c>
      <c r="AE114" s="33" t="str">
        <f>IF(Sheet1!X22="", "", Sheet1!X22/$H$91)</f>
        <v/>
      </c>
      <c r="AF114" s="33" t="str">
        <f>IF(Sheet1!Y22="", "", Sheet1!Y22/$H$91)</f>
        <v/>
      </c>
      <c r="AG114" s="33" t="str">
        <f>IF(Sheet1!Z22="", "", Sheet1!Z22/$H$91)</f>
        <v/>
      </c>
      <c r="AH114" s="33" t="str">
        <f>IF(Sheet1!AA22="", "", Sheet1!AA22/$H$91)</f>
        <v/>
      </c>
      <c r="AI114" s="33" t="str">
        <f>IF(Sheet1!AB22="", "", Sheet1!AB22/$H$91)</f>
        <v/>
      </c>
      <c r="AJ114" s="33" t="str">
        <f>IF(Sheet1!AC22="", "", Sheet1!AC22/$H$91)</f>
        <v/>
      </c>
      <c r="AK114" s="33" t="str">
        <f>IF(Sheet1!AD22="", "", Sheet1!AD22/$H$91)</f>
        <v/>
      </c>
      <c r="AL114" s="33" t="str">
        <f>IF(Sheet1!AE22="", "", Sheet1!AE22/$H$91)</f>
        <v/>
      </c>
      <c r="AM114" s="33" t="str">
        <f>IF(Sheet1!AF22="", "", Sheet1!AF22/$H$91)</f>
        <v/>
      </c>
      <c r="AN114" s="33" t="str">
        <f>IF(Sheet1!AG22="", "", Sheet1!AG22/$H$91)</f>
        <v/>
      </c>
      <c r="AO114" s="33" t="str">
        <f>IF(Sheet1!AH22="", "", Sheet1!AH22/$H$91)</f>
        <v/>
      </c>
      <c r="AP114" s="33" t="str">
        <f>IF(Sheet1!AI22="", "", Sheet1!AI22/$H$91)</f>
        <v/>
      </c>
      <c r="AQ114" s="33" t="str">
        <f>IF(Sheet1!AJ22="", "", Sheet1!AJ22/$H$91)</f>
        <v/>
      </c>
      <c r="AR114" s="33" t="str">
        <f>IF(Sheet1!AK22="", "", Sheet1!AK22/$H$91)</f>
        <v/>
      </c>
      <c r="AS114" s="33" t="str">
        <f>IF(Sheet1!AL22="", "", Sheet1!AL22/$H$91)</f>
        <v/>
      </c>
    </row>
    <row r="115" spans="1:45" s="30" customFormat="1" x14ac:dyDescent="0.3">
      <c r="A115"/>
      <c r="B115"/>
      <c r="C115">
        <v>19</v>
      </c>
      <c r="D115" t="s">
        <v>94</v>
      </c>
      <c r="E115" t="s">
        <v>95</v>
      </c>
      <c r="F115" t="s">
        <v>96</v>
      </c>
      <c r="G115"/>
      <c r="H115" t="s">
        <v>97</v>
      </c>
      <c r="I115" s="21"/>
      <c r="J115" s="10" t="str">
        <f t="shared" si="0"/>
        <v>기타자본</v>
      </c>
      <c r="K115" s="33">
        <f>IF(Sheet1!D23="", "", Sheet1!D23/$H$91)</f>
        <v>860.67</v>
      </c>
      <c r="L115" s="33">
        <f>IF(Sheet1!E23="", "", Sheet1!E23/$H$91)</f>
        <v>994.52</v>
      </c>
      <c r="M115" s="33">
        <f>IF(Sheet1!F23="", "", Sheet1!F23/$H$91)</f>
        <v>947.53</v>
      </c>
      <c r="N115" s="33">
        <f>IF(Sheet1!G23="", "", Sheet1!G23/$H$91)</f>
        <v>866.45</v>
      </c>
      <c r="O115" s="33">
        <f>IF(Sheet1!H23="", "", Sheet1!H23/$H$91)</f>
        <v>876.49</v>
      </c>
      <c r="P115" s="33">
        <f>IF(Sheet1!I23="", "", Sheet1!I23/$H$91)</f>
        <v>946.72</v>
      </c>
      <c r="Q115" s="33">
        <f>IF(Sheet1!J23="", "", Sheet1!J23/$H$91)</f>
        <v>931.05</v>
      </c>
      <c r="R115" s="33">
        <f>IF(Sheet1!K23="", "", Sheet1!K23/$H$91)</f>
        <v>867.63</v>
      </c>
      <c r="S115" s="33">
        <f>IF(Sheet1!L23="", "", Sheet1!L23/$H$91)</f>
        <v>685.43</v>
      </c>
      <c r="T115" s="33" t="str">
        <f>IF(Sheet1!M23="", "", Sheet1!M23/$H$91)</f>
        <v/>
      </c>
      <c r="U115" s="33" t="str">
        <f>IF(Sheet1!N23="", "", Sheet1!N23/$H$91)</f>
        <v/>
      </c>
      <c r="V115" s="33" t="str">
        <f>IF(Sheet1!O23="", "", Sheet1!O23/$H$91)</f>
        <v/>
      </c>
      <c r="W115" s="33" t="str">
        <f>IF(Sheet1!P23="", "", Sheet1!P23/$H$91)</f>
        <v/>
      </c>
      <c r="X115" s="33" t="str">
        <f>IF(Sheet1!Q23="", "", Sheet1!Q23/$H$91)</f>
        <v/>
      </c>
      <c r="Y115" s="33" t="str">
        <f>IF(Sheet1!R23="", "", Sheet1!R23/$H$91)</f>
        <v/>
      </c>
      <c r="Z115" s="33" t="str">
        <f>IF(Sheet1!S23="", "", Sheet1!S23/$H$91)</f>
        <v/>
      </c>
      <c r="AA115" s="33" t="str">
        <f>IF(Sheet1!T23="", "", Sheet1!T23/$H$91)</f>
        <v/>
      </c>
      <c r="AB115" s="33" t="str">
        <f>IF(Sheet1!U23="", "", Sheet1!U23/$H$91)</f>
        <v/>
      </c>
      <c r="AC115" s="33" t="str">
        <f>IF(Sheet1!V23="", "", Sheet1!V23/$H$91)</f>
        <v/>
      </c>
      <c r="AD115" s="33" t="str">
        <f>IF(Sheet1!W23="", "", Sheet1!W23/$H$91)</f>
        <v/>
      </c>
      <c r="AE115" s="33" t="str">
        <f>IF(Sheet1!X23="", "", Sheet1!X23/$H$91)</f>
        <v/>
      </c>
      <c r="AF115" s="33" t="str">
        <f>IF(Sheet1!Y23="", "", Sheet1!Y23/$H$91)</f>
        <v/>
      </c>
      <c r="AG115" s="33" t="str">
        <f>IF(Sheet1!Z23="", "", Sheet1!Z23/$H$91)</f>
        <v/>
      </c>
      <c r="AH115" s="33" t="str">
        <f>IF(Sheet1!AA23="", "", Sheet1!AA23/$H$91)</f>
        <v/>
      </c>
      <c r="AI115" s="33" t="str">
        <f>IF(Sheet1!AB23="", "", Sheet1!AB23/$H$91)</f>
        <v/>
      </c>
      <c r="AJ115" s="33" t="str">
        <f>IF(Sheet1!AC23="", "", Sheet1!AC23/$H$91)</f>
        <v/>
      </c>
      <c r="AK115" s="33" t="str">
        <f>IF(Sheet1!AD23="", "", Sheet1!AD23/$H$91)</f>
        <v/>
      </c>
      <c r="AL115" s="33" t="str">
        <f>IF(Sheet1!AE23="", "", Sheet1!AE23/$H$91)</f>
        <v/>
      </c>
      <c r="AM115" s="33" t="str">
        <f>IF(Sheet1!AF23="", "", Sheet1!AF23/$H$91)</f>
        <v/>
      </c>
      <c r="AN115" s="33" t="str">
        <f>IF(Sheet1!AG23="", "", Sheet1!AG23/$H$91)</f>
        <v/>
      </c>
      <c r="AO115" s="33" t="str">
        <f>IF(Sheet1!AH23="", "", Sheet1!AH23/$H$91)</f>
        <v/>
      </c>
      <c r="AP115" s="33" t="str">
        <f>IF(Sheet1!AI23="", "", Sheet1!AI23/$H$91)</f>
        <v/>
      </c>
      <c r="AQ115" s="33" t="str">
        <f>IF(Sheet1!AJ23="", "", Sheet1!AJ23/$H$91)</f>
        <v/>
      </c>
      <c r="AR115" s="33" t="str">
        <f>IF(Sheet1!AK23="", "", Sheet1!AK23/$H$91)</f>
        <v/>
      </c>
      <c r="AS115" s="33" t="str">
        <f>IF(Sheet1!AL23="", "", Sheet1!AL23/$H$91)</f>
        <v/>
      </c>
    </row>
    <row r="116" spans="1:45" s="30" customFormat="1" x14ac:dyDescent="0.3">
      <c r="A116"/>
      <c r="B116"/>
      <c r="C116">
        <v>20</v>
      </c>
      <c r="D116" t="s">
        <v>98</v>
      </c>
      <c r="E116" t="s">
        <v>99</v>
      </c>
      <c r="F116" t="s">
        <v>100</v>
      </c>
      <c r="G116"/>
      <c r="H116" t="s">
        <v>101</v>
      </c>
      <c r="I116" s="21"/>
      <c r="J116" s="10" t="str">
        <f t="shared" si="0"/>
        <v>기타포괄손익누계액</v>
      </c>
      <c r="K116" s="33">
        <f>IF(Sheet1!D24="", "", Sheet1!D24/$H$91)</f>
        <v>61672.93</v>
      </c>
      <c r="L116" s="33">
        <f>IF(Sheet1!E24="", "", Sheet1!E24/$H$91)</f>
        <v>53308.99</v>
      </c>
      <c r="M116" s="33">
        <f>IF(Sheet1!F24="", "", Sheet1!F24/$H$91)</f>
        <v>77419.16</v>
      </c>
      <c r="N116" s="33">
        <f>IF(Sheet1!G24="", "", Sheet1!G24/$H$91)</f>
        <v>18516.830000000002</v>
      </c>
      <c r="O116" s="33">
        <f>IF(Sheet1!H24="", "", Sheet1!H24/$H$91)</f>
        <v>131908.48000000001</v>
      </c>
      <c r="P116" s="33">
        <f>IF(Sheet1!I24="", "", Sheet1!I24/$H$91)</f>
        <v>32177.48</v>
      </c>
      <c r="Q116" s="33">
        <f>IF(Sheet1!J24="", "", Sheet1!J24/$H$91)</f>
        <v>-7457.94</v>
      </c>
      <c r="R116" s="33">
        <f>IF(Sheet1!K24="", "", Sheet1!K24/$H$91)</f>
        <v>-22152.36</v>
      </c>
      <c r="S116" s="33">
        <f>IF(Sheet1!L24="", "", Sheet1!L24/$H$91)</f>
        <v>-18657.34</v>
      </c>
      <c r="T116" s="33" t="str">
        <f>IF(Sheet1!M24="", "", Sheet1!M24/$H$91)</f>
        <v/>
      </c>
      <c r="U116" s="33" t="str">
        <f>IF(Sheet1!N24="", "", Sheet1!N24/$H$91)</f>
        <v/>
      </c>
      <c r="V116" s="33" t="str">
        <f>IF(Sheet1!O24="", "", Sheet1!O24/$H$91)</f>
        <v/>
      </c>
      <c r="W116" s="33" t="str">
        <f>IF(Sheet1!P24="", "", Sheet1!P24/$H$91)</f>
        <v/>
      </c>
      <c r="X116" s="33" t="str">
        <f>IF(Sheet1!Q24="", "", Sheet1!Q24/$H$91)</f>
        <v/>
      </c>
      <c r="Y116" s="33" t="str">
        <f>IF(Sheet1!R24="", "", Sheet1!R24/$H$91)</f>
        <v/>
      </c>
      <c r="Z116" s="33" t="str">
        <f>IF(Sheet1!S24="", "", Sheet1!S24/$H$91)</f>
        <v/>
      </c>
      <c r="AA116" s="33" t="str">
        <f>IF(Sheet1!T24="", "", Sheet1!T24/$H$91)</f>
        <v/>
      </c>
      <c r="AB116" s="33" t="str">
        <f>IF(Sheet1!U24="", "", Sheet1!U24/$H$91)</f>
        <v/>
      </c>
      <c r="AC116" s="33" t="str">
        <f>IF(Sheet1!V24="", "", Sheet1!V24/$H$91)</f>
        <v/>
      </c>
      <c r="AD116" s="33" t="str">
        <f>IF(Sheet1!W24="", "", Sheet1!W24/$H$91)</f>
        <v/>
      </c>
      <c r="AE116" s="33" t="str">
        <f>IF(Sheet1!X24="", "", Sheet1!X24/$H$91)</f>
        <v/>
      </c>
      <c r="AF116" s="33" t="str">
        <f>IF(Sheet1!Y24="", "", Sheet1!Y24/$H$91)</f>
        <v/>
      </c>
      <c r="AG116" s="33" t="str">
        <f>IF(Sheet1!Z24="", "", Sheet1!Z24/$H$91)</f>
        <v/>
      </c>
      <c r="AH116" s="33" t="str">
        <f>IF(Sheet1!AA24="", "", Sheet1!AA24/$H$91)</f>
        <v/>
      </c>
      <c r="AI116" s="33" t="str">
        <f>IF(Sheet1!AB24="", "", Sheet1!AB24/$H$91)</f>
        <v/>
      </c>
      <c r="AJ116" s="33" t="str">
        <f>IF(Sheet1!AC24="", "", Sheet1!AC24/$H$91)</f>
        <v/>
      </c>
      <c r="AK116" s="33" t="str">
        <f>IF(Sheet1!AD24="", "", Sheet1!AD24/$H$91)</f>
        <v/>
      </c>
      <c r="AL116" s="33" t="str">
        <f>IF(Sheet1!AE24="", "", Sheet1!AE24/$H$91)</f>
        <v/>
      </c>
      <c r="AM116" s="33" t="str">
        <f>IF(Sheet1!AF24="", "", Sheet1!AF24/$H$91)</f>
        <v/>
      </c>
      <c r="AN116" s="33" t="str">
        <f>IF(Sheet1!AG24="", "", Sheet1!AG24/$H$91)</f>
        <v/>
      </c>
      <c r="AO116" s="33" t="str">
        <f>IF(Sheet1!AH24="", "", Sheet1!AH24/$H$91)</f>
        <v/>
      </c>
      <c r="AP116" s="33" t="str">
        <f>IF(Sheet1!AI24="", "", Sheet1!AI24/$H$91)</f>
        <v/>
      </c>
      <c r="AQ116" s="33" t="str">
        <f>IF(Sheet1!AJ24="", "", Sheet1!AJ24/$H$91)</f>
        <v/>
      </c>
      <c r="AR116" s="33" t="str">
        <f>IF(Sheet1!AK24="", "", Sheet1!AK24/$H$91)</f>
        <v/>
      </c>
      <c r="AS116" s="33" t="str">
        <f>IF(Sheet1!AL24="", "", Sheet1!AL24/$H$91)</f>
        <v/>
      </c>
    </row>
    <row r="117" spans="1:45" s="30" customFormat="1" x14ac:dyDescent="0.3">
      <c r="A117"/>
      <c r="B117"/>
      <c r="C117">
        <v>21</v>
      </c>
      <c r="D117" t="s">
        <v>102</v>
      </c>
      <c r="E117" t="s">
        <v>103</v>
      </c>
      <c r="F117" t="s">
        <v>104</v>
      </c>
      <c r="G117"/>
      <c r="H117" t="s">
        <v>105</v>
      </c>
      <c r="I117" s="21"/>
      <c r="J117" s="10" t="str">
        <f t="shared" si="0"/>
        <v>이익잉여금(결손금)</v>
      </c>
      <c r="K117" s="33">
        <f>IF(Sheet1!D25="", "", Sheet1!D25/$H$91)</f>
        <v>3421254.19</v>
      </c>
      <c r="L117" s="33">
        <f>IF(Sheet1!E25="", "", Sheet1!E25/$H$91)</f>
        <v>3383106.55</v>
      </c>
      <c r="M117" s="33">
        <f>IF(Sheet1!F25="", "", Sheet1!F25/$H$91)</f>
        <v>3368818.52</v>
      </c>
      <c r="N117" s="33">
        <f>IF(Sheet1!G25="", "", Sheet1!G25/$H$91)</f>
        <v>3379464.07</v>
      </c>
      <c r="O117" s="33">
        <f>IF(Sheet1!H25="", "", Sheet1!H25/$H$91)</f>
        <v>3168902.72</v>
      </c>
      <c r="P117" s="33">
        <f>IF(Sheet1!I25="", "", Sheet1!I25/$H$91)</f>
        <v>3102167.85</v>
      </c>
      <c r="Q117" s="33">
        <f>IF(Sheet1!J25="", "", Sheet1!J25/$H$91)</f>
        <v>3017431.52</v>
      </c>
      <c r="R117" s="33">
        <f>IF(Sheet1!K25="", "", Sheet1!K25/$H$91)</f>
        <v>2930647.63</v>
      </c>
      <c r="S117" s="33">
        <f>IF(Sheet1!L25="", "", Sheet1!L25/$H$91)</f>
        <v>2848269.92</v>
      </c>
      <c r="T117" s="33" t="str">
        <f>IF(Sheet1!M25="", "", Sheet1!M25/$H$91)</f>
        <v/>
      </c>
      <c r="U117" s="33" t="str">
        <f>IF(Sheet1!N25="", "", Sheet1!N25/$H$91)</f>
        <v/>
      </c>
      <c r="V117" s="33" t="str">
        <f>IF(Sheet1!O25="", "", Sheet1!O25/$H$91)</f>
        <v/>
      </c>
      <c r="W117" s="33" t="str">
        <f>IF(Sheet1!P25="", "", Sheet1!P25/$H$91)</f>
        <v/>
      </c>
      <c r="X117" s="33" t="str">
        <f>IF(Sheet1!Q25="", "", Sheet1!Q25/$H$91)</f>
        <v/>
      </c>
      <c r="Y117" s="33" t="str">
        <f>IF(Sheet1!R25="", "", Sheet1!R25/$H$91)</f>
        <v/>
      </c>
      <c r="Z117" s="33" t="str">
        <f>IF(Sheet1!S25="", "", Sheet1!S25/$H$91)</f>
        <v/>
      </c>
      <c r="AA117" s="33" t="str">
        <f>IF(Sheet1!T25="", "", Sheet1!T25/$H$91)</f>
        <v/>
      </c>
      <c r="AB117" s="33" t="str">
        <f>IF(Sheet1!U25="", "", Sheet1!U25/$H$91)</f>
        <v/>
      </c>
      <c r="AC117" s="33" t="str">
        <f>IF(Sheet1!V25="", "", Sheet1!V25/$H$91)</f>
        <v/>
      </c>
      <c r="AD117" s="33" t="str">
        <f>IF(Sheet1!W25="", "", Sheet1!W25/$H$91)</f>
        <v/>
      </c>
      <c r="AE117" s="33" t="str">
        <f>IF(Sheet1!X25="", "", Sheet1!X25/$H$91)</f>
        <v/>
      </c>
      <c r="AF117" s="33" t="str">
        <f>IF(Sheet1!Y25="", "", Sheet1!Y25/$H$91)</f>
        <v/>
      </c>
      <c r="AG117" s="33" t="str">
        <f>IF(Sheet1!Z25="", "", Sheet1!Z25/$H$91)</f>
        <v/>
      </c>
      <c r="AH117" s="33" t="str">
        <f>IF(Sheet1!AA25="", "", Sheet1!AA25/$H$91)</f>
        <v/>
      </c>
      <c r="AI117" s="33" t="str">
        <f>IF(Sheet1!AB25="", "", Sheet1!AB25/$H$91)</f>
        <v/>
      </c>
      <c r="AJ117" s="33" t="str">
        <f>IF(Sheet1!AC25="", "", Sheet1!AC25/$H$91)</f>
        <v/>
      </c>
      <c r="AK117" s="33" t="str">
        <f>IF(Sheet1!AD25="", "", Sheet1!AD25/$H$91)</f>
        <v/>
      </c>
      <c r="AL117" s="33" t="str">
        <f>IF(Sheet1!AE25="", "", Sheet1!AE25/$H$91)</f>
        <v/>
      </c>
      <c r="AM117" s="33" t="str">
        <f>IF(Sheet1!AF25="", "", Sheet1!AF25/$H$91)</f>
        <v/>
      </c>
      <c r="AN117" s="33" t="str">
        <f>IF(Sheet1!AG25="", "", Sheet1!AG25/$H$91)</f>
        <v/>
      </c>
      <c r="AO117" s="33" t="str">
        <f>IF(Sheet1!AH25="", "", Sheet1!AH25/$H$91)</f>
        <v/>
      </c>
      <c r="AP117" s="33" t="str">
        <f>IF(Sheet1!AI25="", "", Sheet1!AI25/$H$91)</f>
        <v/>
      </c>
      <c r="AQ117" s="33" t="str">
        <f>IF(Sheet1!AJ25="", "", Sheet1!AJ25/$H$91)</f>
        <v/>
      </c>
      <c r="AR117" s="33" t="str">
        <f>IF(Sheet1!AK25="", "", Sheet1!AK25/$H$91)</f>
        <v/>
      </c>
      <c r="AS117" s="33" t="str">
        <f>IF(Sheet1!AL25="", "", Sheet1!AL25/$H$91)</f>
        <v/>
      </c>
    </row>
    <row r="118" spans="1:45" s="30" customFormat="1" x14ac:dyDescent="0.3">
      <c r="A118"/>
      <c r="B118"/>
      <c r="C118">
        <v>22</v>
      </c>
      <c r="D118" t="s">
        <v>106</v>
      </c>
      <c r="E118" t="s">
        <v>107</v>
      </c>
      <c r="F118" t="s">
        <v>108</v>
      </c>
      <c r="G118"/>
      <c r="H118" t="s">
        <v>109</v>
      </c>
      <c r="I118" s="21"/>
      <c r="J118" s="10" t="str">
        <f t="shared" si="0"/>
        <v>부채</v>
      </c>
      <c r="K118" s="33">
        <f>IF(Sheet1!D26="", "", Sheet1!D26/$H$91)</f>
        <v>905738.04</v>
      </c>
      <c r="L118" s="33">
        <f>IF(Sheet1!E26="", "", Sheet1!E26/$H$91)</f>
        <v>890249.26</v>
      </c>
      <c r="M118" s="33">
        <f>IF(Sheet1!F26="", "", Sheet1!F26/$H$91)</f>
        <v>942923.61</v>
      </c>
      <c r="N118" s="33">
        <f>IF(Sheet1!G26="", "", Sheet1!G26/$H$91)</f>
        <v>936749.03</v>
      </c>
      <c r="O118" s="33">
        <f>IF(Sheet1!H26="", "", Sheet1!H26/$H$91)</f>
        <v>1253715.2</v>
      </c>
      <c r="P118" s="33">
        <f>IF(Sheet1!I26="", "", Sheet1!I26/$H$91)</f>
        <v>1201339.8600000001</v>
      </c>
      <c r="Q118" s="33">
        <f>IF(Sheet1!J26="", "", Sheet1!J26/$H$91)</f>
        <v>1240360.3999999999</v>
      </c>
      <c r="R118" s="33">
        <f>IF(Sheet1!K26="", "", Sheet1!K26/$H$91)</f>
        <v>1217212.27</v>
      </c>
      <c r="S118" s="33">
        <f>IF(Sheet1!L26="", "", Sheet1!L26/$H$91)</f>
        <v>1136546</v>
      </c>
      <c r="T118" s="33" t="str">
        <f>IF(Sheet1!M26="", "", Sheet1!M26/$H$91)</f>
        <v/>
      </c>
      <c r="U118" s="33" t="str">
        <f>IF(Sheet1!N26="", "", Sheet1!N26/$H$91)</f>
        <v/>
      </c>
      <c r="V118" s="33" t="str">
        <f>IF(Sheet1!O26="", "", Sheet1!O26/$H$91)</f>
        <v/>
      </c>
      <c r="W118" s="33" t="str">
        <f>IF(Sheet1!P26="", "", Sheet1!P26/$H$91)</f>
        <v/>
      </c>
      <c r="X118" s="33" t="str">
        <f>IF(Sheet1!Q26="", "", Sheet1!Q26/$H$91)</f>
        <v/>
      </c>
      <c r="Y118" s="33" t="str">
        <f>IF(Sheet1!R26="", "", Sheet1!R26/$H$91)</f>
        <v/>
      </c>
      <c r="Z118" s="33" t="str">
        <f>IF(Sheet1!S26="", "", Sheet1!S26/$H$91)</f>
        <v/>
      </c>
      <c r="AA118" s="33" t="str">
        <f>IF(Sheet1!T26="", "", Sheet1!T26/$H$91)</f>
        <v/>
      </c>
      <c r="AB118" s="33" t="str">
        <f>IF(Sheet1!U26="", "", Sheet1!U26/$H$91)</f>
        <v/>
      </c>
      <c r="AC118" s="33" t="str">
        <f>IF(Sheet1!V26="", "", Sheet1!V26/$H$91)</f>
        <v/>
      </c>
      <c r="AD118" s="33" t="str">
        <f>IF(Sheet1!W26="", "", Sheet1!W26/$H$91)</f>
        <v/>
      </c>
      <c r="AE118" s="33" t="str">
        <f>IF(Sheet1!X26="", "", Sheet1!X26/$H$91)</f>
        <v/>
      </c>
      <c r="AF118" s="33" t="str">
        <f>IF(Sheet1!Y26="", "", Sheet1!Y26/$H$91)</f>
        <v/>
      </c>
      <c r="AG118" s="33" t="str">
        <f>IF(Sheet1!Z26="", "", Sheet1!Z26/$H$91)</f>
        <v/>
      </c>
      <c r="AH118" s="33" t="str">
        <f>IF(Sheet1!AA26="", "", Sheet1!AA26/$H$91)</f>
        <v/>
      </c>
      <c r="AI118" s="33" t="str">
        <f>IF(Sheet1!AB26="", "", Sheet1!AB26/$H$91)</f>
        <v/>
      </c>
      <c r="AJ118" s="33" t="str">
        <f>IF(Sheet1!AC26="", "", Sheet1!AC26/$H$91)</f>
        <v/>
      </c>
      <c r="AK118" s="33" t="str">
        <f>IF(Sheet1!AD26="", "", Sheet1!AD26/$H$91)</f>
        <v/>
      </c>
      <c r="AL118" s="33" t="str">
        <f>IF(Sheet1!AE26="", "", Sheet1!AE26/$H$91)</f>
        <v/>
      </c>
      <c r="AM118" s="33" t="str">
        <f>IF(Sheet1!AF26="", "", Sheet1!AF26/$H$91)</f>
        <v/>
      </c>
      <c r="AN118" s="33" t="str">
        <f>IF(Sheet1!AG26="", "", Sheet1!AG26/$H$91)</f>
        <v/>
      </c>
      <c r="AO118" s="33" t="str">
        <f>IF(Sheet1!AH26="", "", Sheet1!AH26/$H$91)</f>
        <v/>
      </c>
      <c r="AP118" s="33" t="str">
        <f>IF(Sheet1!AI26="", "", Sheet1!AI26/$H$91)</f>
        <v/>
      </c>
      <c r="AQ118" s="33" t="str">
        <f>IF(Sheet1!AJ26="", "", Sheet1!AJ26/$H$91)</f>
        <v/>
      </c>
      <c r="AR118" s="33" t="str">
        <f>IF(Sheet1!AK26="", "", Sheet1!AK26/$H$91)</f>
        <v/>
      </c>
      <c r="AS118" s="33" t="str">
        <f>IF(Sheet1!AL26="", "", Sheet1!AL26/$H$91)</f>
        <v/>
      </c>
    </row>
    <row r="119" spans="1:45" s="30" customFormat="1" x14ac:dyDescent="0.3">
      <c r="A119"/>
      <c r="B119"/>
      <c r="C119">
        <v>23</v>
      </c>
      <c r="D119" t="s">
        <v>110</v>
      </c>
      <c r="E119" t="s">
        <v>111</v>
      </c>
      <c r="F119" t="s">
        <v>112</v>
      </c>
      <c r="G119"/>
      <c r="H119" t="s">
        <v>113</v>
      </c>
      <c r="I119" s="21"/>
      <c r="J119" s="10" t="str">
        <f t="shared" si="0"/>
        <v>비예수부채</v>
      </c>
      <c r="K119" s="33">
        <f>IF(Sheet1!D27="", "", Sheet1!D27/$H$91)</f>
        <v>15488.78</v>
      </c>
      <c r="L119" s="33">
        <f>IF(Sheet1!E27="", "", Sheet1!E27/$H$91)</f>
        <v>-52674.35</v>
      </c>
      <c r="M119" s="33">
        <f>IF(Sheet1!F27="", "", Sheet1!F27/$H$91)</f>
        <v>6174.58</v>
      </c>
      <c r="N119" s="33">
        <f>IF(Sheet1!G27="", "", Sheet1!G27/$H$91)</f>
        <v>-52674.35</v>
      </c>
      <c r="O119" s="33">
        <f>IF(Sheet1!H27="", "", Sheet1!H27/$H$91)</f>
        <v>15488.78</v>
      </c>
      <c r="P119" s="33">
        <f>IF(Sheet1!I27="", "", Sheet1!I27/$H$91)</f>
        <v>-52674.35</v>
      </c>
      <c r="Q119" s="33">
        <f>IF(Sheet1!J27="", "", Sheet1!J27/$H$91)</f>
        <v>6174.58</v>
      </c>
      <c r="R119" s="33">
        <f>IF(Sheet1!K27="", "", Sheet1!K27/$H$91)</f>
        <v>-52674.35</v>
      </c>
      <c r="S119" s="33">
        <f>IF(Sheet1!L27="", "", Sheet1!L27/$H$91)</f>
        <v>-52674.35</v>
      </c>
      <c r="T119" s="33" t="str">
        <f>IF(Sheet1!M27="", "", Sheet1!M27/$H$91)</f>
        <v/>
      </c>
      <c r="U119" s="33" t="str">
        <f>IF(Sheet1!N27="", "", Sheet1!N27/$H$91)</f>
        <v/>
      </c>
      <c r="V119" s="33" t="str">
        <f>IF(Sheet1!O27="", "", Sheet1!O27/$H$91)</f>
        <v/>
      </c>
      <c r="W119" s="33" t="str">
        <f>IF(Sheet1!P27="", "", Sheet1!P27/$H$91)</f>
        <v/>
      </c>
      <c r="X119" s="33" t="str">
        <f>IF(Sheet1!Q27="", "", Sheet1!Q27/$H$91)</f>
        <v/>
      </c>
      <c r="Y119" s="33" t="str">
        <f>IF(Sheet1!R27="", "", Sheet1!R27/$H$91)</f>
        <v/>
      </c>
      <c r="Z119" s="33" t="str">
        <f>IF(Sheet1!S27="", "", Sheet1!S27/$H$91)</f>
        <v/>
      </c>
      <c r="AA119" s="33" t="str">
        <f>IF(Sheet1!T27="", "", Sheet1!T27/$H$91)</f>
        <v/>
      </c>
      <c r="AB119" s="33" t="str">
        <f>IF(Sheet1!U27="", "", Sheet1!U27/$H$91)</f>
        <v/>
      </c>
      <c r="AC119" s="33" t="str">
        <f>IF(Sheet1!V27="", "", Sheet1!V27/$H$91)</f>
        <v/>
      </c>
      <c r="AD119" s="33" t="str">
        <f>IF(Sheet1!W27="", "", Sheet1!W27/$H$91)</f>
        <v/>
      </c>
      <c r="AE119" s="33" t="str">
        <f>IF(Sheet1!X27="", "", Sheet1!X27/$H$91)</f>
        <v/>
      </c>
      <c r="AF119" s="33" t="str">
        <f>IF(Sheet1!Y27="", "", Sheet1!Y27/$H$91)</f>
        <v/>
      </c>
      <c r="AG119" s="33" t="str">
        <f>IF(Sheet1!Z27="", "", Sheet1!Z27/$H$91)</f>
        <v/>
      </c>
      <c r="AH119" s="33" t="str">
        <f>IF(Sheet1!AA27="", "", Sheet1!AA27/$H$91)</f>
        <v/>
      </c>
      <c r="AI119" s="33" t="str">
        <f>IF(Sheet1!AB27="", "", Sheet1!AB27/$H$91)</f>
        <v/>
      </c>
      <c r="AJ119" s="33" t="str">
        <f>IF(Sheet1!AC27="", "", Sheet1!AC27/$H$91)</f>
        <v/>
      </c>
      <c r="AK119" s="33" t="str">
        <f>IF(Sheet1!AD27="", "", Sheet1!AD27/$H$91)</f>
        <v/>
      </c>
      <c r="AL119" s="33" t="str">
        <f>IF(Sheet1!AE27="", "", Sheet1!AE27/$H$91)</f>
        <v/>
      </c>
      <c r="AM119" s="33" t="str">
        <f>IF(Sheet1!AF27="", "", Sheet1!AF27/$H$91)</f>
        <v/>
      </c>
      <c r="AN119" s="33" t="str">
        <f>IF(Sheet1!AG27="", "", Sheet1!AG27/$H$91)</f>
        <v/>
      </c>
      <c r="AO119" s="33" t="str">
        <f>IF(Sheet1!AH27="", "", Sheet1!AH27/$H$91)</f>
        <v/>
      </c>
      <c r="AP119" s="33" t="str">
        <f>IF(Sheet1!AI27="", "", Sheet1!AI27/$H$91)</f>
        <v/>
      </c>
      <c r="AQ119" s="33" t="str">
        <f>IF(Sheet1!AJ27="", "", Sheet1!AJ27/$H$91)</f>
        <v/>
      </c>
      <c r="AR119" s="33" t="str">
        <f>IF(Sheet1!AK27="", "", Sheet1!AK27/$H$91)</f>
        <v/>
      </c>
      <c r="AS119" s="33" t="str">
        <f>IF(Sheet1!AL27="", "", Sheet1!AL27/$H$91)</f>
        <v/>
      </c>
    </row>
    <row r="120" spans="1:45" s="30" customFormat="1" x14ac:dyDescent="0.3">
      <c r="A120"/>
      <c r="B120"/>
      <c r="C120">
        <v>24</v>
      </c>
      <c r="D120" t="s">
        <v>114</v>
      </c>
      <c r="E120" t="s">
        <v>115</v>
      </c>
      <c r="F120" t="s">
        <v>116</v>
      </c>
      <c r="G120"/>
      <c r="H120" t="s">
        <v>117</v>
      </c>
      <c r="I120" s="21"/>
      <c r="J120" s="10" t="str">
        <f t="shared" si="0"/>
        <v>금융부채</v>
      </c>
      <c r="K120" s="33">
        <f>IF(Sheet1!D28="", "", Sheet1!D28/$H$91)</f>
        <v>38305.07</v>
      </c>
      <c r="L120" s="33">
        <f>IF(Sheet1!E28="", "", Sheet1!E28/$H$91)</f>
        <v>46941.77</v>
      </c>
      <c r="M120" s="33">
        <f>IF(Sheet1!F28="", "", Sheet1!F28/$H$91)</f>
        <v>36925.949999999997</v>
      </c>
      <c r="N120" s="33">
        <f>IF(Sheet1!G28="", "", Sheet1!G28/$H$91)</f>
        <v>35268.26</v>
      </c>
      <c r="O120" s="33">
        <f>IF(Sheet1!H28="", "", Sheet1!H28/$H$91)</f>
        <v>31674.48</v>
      </c>
      <c r="P120" s="33">
        <f>IF(Sheet1!I28="", "", Sheet1!I28/$H$91)</f>
        <v>29347.08</v>
      </c>
      <c r="Q120" s="33">
        <f>IF(Sheet1!J28="", "", Sheet1!J28/$H$91)</f>
        <v>27782.07</v>
      </c>
      <c r="R120" s="33">
        <f>IF(Sheet1!K28="", "", Sheet1!K28/$H$91)</f>
        <v>28646.560000000001</v>
      </c>
      <c r="S120" s="33">
        <f>IF(Sheet1!L28="", "", Sheet1!L28/$H$91)</f>
        <v>21667.41</v>
      </c>
      <c r="T120" s="33" t="str">
        <f>IF(Sheet1!M28="", "", Sheet1!M28/$H$91)</f>
        <v/>
      </c>
      <c r="U120" s="33" t="str">
        <f>IF(Sheet1!N28="", "", Sheet1!N28/$H$91)</f>
        <v/>
      </c>
      <c r="V120" s="33" t="str">
        <f>IF(Sheet1!O28="", "", Sheet1!O28/$H$91)</f>
        <v/>
      </c>
      <c r="W120" s="33" t="str">
        <f>IF(Sheet1!P28="", "", Sheet1!P28/$H$91)</f>
        <v/>
      </c>
      <c r="X120" s="33" t="str">
        <f>IF(Sheet1!Q28="", "", Sheet1!Q28/$H$91)</f>
        <v/>
      </c>
      <c r="Y120" s="33" t="str">
        <f>IF(Sheet1!R28="", "", Sheet1!R28/$H$91)</f>
        <v/>
      </c>
      <c r="Z120" s="33" t="str">
        <f>IF(Sheet1!S28="", "", Sheet1!S28/$H$91)</f>
        <v/>
      </c>
      <c r="AA120" s="33" t="str">
        <f>IF(Sheet1!T28="", "", Sheet1!T28/$H$91)</f>
        <v/>
      </c>
      <c r="AB120" s="33" t="str">
        <f>IF(Sheet1!U28="", "", Sheet1!U28/$H$91)</f>
        <v/>
      </c>
      <c r="AC120" s="33" t="str">
        <f>IF(Sheet1!V28="", "", Sheet1!V28/$H$91)</f>
        <v/>
      </c>
      <c r="AD120" s="33" t="str">
        <f>IF(Sheet1!W28="", "", Sheet1!W28/$H$91)</f>
        <v/>
      </c>
      <c r="AE120" s="33" t="str">
        <f>IF(Sheet1!X28="", "", Sheet1!X28/$H$91)</f>
        <v/>
      </c>
      <c r="AF120" s="33" t="str">
        <f>IF(Sheet1!Y28="", "", Sheet1!Y28/$H$91)</f>
        <v/>
      </c>
      <c r="AG120" s="33" t="str">
        <f>IF(Sheet1!Z28="", "", Sheet1!Z28/$H$91)</f>
        <v/>
      </c>
      <c r="AH120" s="33" t="str">
        <f>IF(Sheet1!AA28="", "", Sheet1!AA28/$H$91)</f>
        <v/>
      </c>
      <c r="AI120" s="33" t="str">
        <f>IF(Sheet1!AB28="", "", Sheet1!AB28/$H$91)</f>
        <v/>
      </c>
      <c r="AJ120" s="33" t="str">
        <f>IF(Sheet1!AC28="", "", Sheet1!AC28/$H$91)</f>
        <v/>
      </c>
      <c r="AK120" s="33" t="str">
        <f>IF(Sheet1!AD28="", "", Sheet1!AD28/$H$91)</f>
        <v/>
      </c>
      <c r="AL120" s="33" t="str">
        <f>IF(Sheet1!AE28="", "", Sheet1!AE28/$H$91)</f>
        <v/>
      </c>
      <c r="AM120" s="33" t="str">
        <f>IF(Sheet1!AF28="", "", Sheet1!AF28/$H$91)</f>
        <v/>
      </c>
      <c r="AN120" s="33" t="str">
        <f>IF(Sheet1!AG28="", "", Sheet1!AG28/$H$91)</f>
        <v/>
      </c>
      <c r="AO120" s="33" t="str">
        <f>IF(Sheet1!AH28="", "", Sheet1!AH28/$H$91)</f>
        <v/>
      </c>
      <c r="AP120" s="33" t="str">
        <f>IF(Sheet1!AI28="", "", Sheet1!AI28/$H$91)</f>
        <v/>
      </c>
      <c r="AQ120" s="33" t="str">
        <f>IF(Sheet1!AJ28="", "", Sheet1!AJ28/$H$91)</f>
        <v/>
      </c>
      <c r="AR120" s="33" t="str">
        <f>IF(Sheet1!AK28="", "", Sheet1!AK28/$H$91)</f>
        <v/>
      </c>
      <c r="AS120" s="33" t="str">
        <f>IF(Sheet1!AL28="", "", Sheet1!AL28/$H$91)</f>
        <v/>
      </c>
    </row>
    <row r="121" spans="1:45" s="30" customFormat="1" x14ac:dyDescent="0.3">
      <c r="A121"/>
      <c r="B121"/>
      <c r="C121">
        <v>25</v>
      </c>
      <c r="D121" t="s">
        <v>118</v>
      </c>
      <c r="E121" t="s">
        <v>119</v>
      </c>
      <c r="F121" t="s">
        <v>120</v>
      </c>
      <c r="G121"/>
      <c r="H121" t="s">
        <v>121</v>
      </c>
      <c r="I121" s="21"/>
      <c r="J121" s="10" t="str">
        <f t="shared" si="0"/>
        <v>파생상품부채</v>
      </c>
      <c r="K121" s="33" t="str">
        <f>IF(Sheet1!D29="", "", Sheet1!D29/$H$91)</f>
        <v/>
      </c>
      <c r="L121" s="33" t="str">
        <f>IF(Sheet1!E29="", "", Sheet1!E29/$H$91)</f>
        <v/>
      </c>
      <c r="M121" s="33" t="str">
        <f>IF(Sheet1!F29="", "", Sheet1!F29/$H$91)</f>
        <v/>
      </c>
      <c r="N121" s="33" t="str">
        <f>IF(Sheet1!G29="", "", Sheet1!G29/$H$91)</f>
        <v/>
      </c>
      <c r="O121" s="33" t="str">
        <f>IF(Sheet1!H29="", "", Sheet1!H29/$H$91)</f>
        <v/>
      </c>
      <c r="P121" s="33" t="str">
        <f>IF(Sheet1!I29="", "", Sheet1!I29/$H$91)</f>
        <v/>
      </c>
      <c r="Q121" s="33" t="str">
        <f>IF(Sheet1!J29="", "", Sheet1!J29/$H$91)</f>
        <v/>
      </c>
      <c r="R121" s="33" t="str">
        <f>IF(Sheet1!K29="", "", Sheet1!K29/$H$91)</f>
        <v/>
      </c>
      <c r="S121" s="33" t="str">
        <f>IF(Sheet1!L29="", "", Sheet1!L29/$H$91)</f>
        <v/>
      </c>
      <c r="T121" s="33" t="str">
        <f>IF(Sheet1!M29="", "", Sheet1!M29/$H$91)</f>
        <v/>
      </c>
      <c r="U121" s="33" t="str">
        <f>IF(Sheet1!N29="", "", Sheet1!N29/$H$91)</f>
        <v/>
      </c>
      <c r="V121" s="33" t="str">
        <f>IF(Sheet1!O29="", "", Sheet1!O29/$H$91)</f>
        <v/>
      </c>
      <c r="W121" s="33" t="str">
        <f>IF(Sheet1!P29="", "", Sheet1!P29/$H$91)</f>
        <v/>
      </c>
      <c r="X121" s="33" t="str">
        <f>IF(Sheet1!Q29="", "", Sheet1!Q29/$H$91)</f>
        <v/>
      </c>
      <c r="Y121" s="33" t="str">
        <f>IF(Sheet1!R29="", "", Sheet1!R29/$H$91)</f>
        <v/>
      </c>
      <c r="Z121" s="33" t="str">
        <f>IF(Sheet1!S29="", "", Sheet1!S29/$H$91)</f>
        <v/>
      </c>
      <c r="AA121" s="33" t="str">
        <f>IF(Sheet1!T29="", "", Sheet1!T29/$H$91)</f>
        <v/>
      </c>
      <c r="AB121" s="33" t="str">
        <f>IF(Sheet1!U29="", "", Sheet1!U29/$H$91)</f>
        <v/>
      </c>
      <c r="AC121" s="33" t="str">
        <f>IF(Sheet1!V29="", "", Sheet1!V29/$H$91)</f>
        <v/>
      </c>
      <c r="AD121" s="33" t="str">
        <f>IF(Sheet1!W29="", "", Sheet1!W29/$H$91)</f>
        <v/>
      </c>
      <c r="AE121" s="33" t="str">
        <f>IF(Sheet1!X29="", "", Sheet1!X29/$H$91)</f>
        <v/>
      </c>
      <c r="AF121" s="33" t="str">
        <f>IF(Sheet1!Y29="", "", Sheet1!Y29/$H$91)</f>
        <v/>
      </c>
      <c r="AG121" s="33" t="str">
        <f>IF(Sheet1!Z29="", "", Sheet1!Z29/$H$91)</f>
        <v/>
      </c>
      <c r="AH121" s="33" t="str">
        <f>IF(Sheet1!AA29="", "", Sheet1!AA29/$H$91)</f>
        <v/>
      </c>
      <c r="AI121" s="33" t="str">
        <f>IF(Sheet1!AB29="", "", Sheet1!AB29/$H$91)</f>
        <v/>
      </c>
      <c r="AJ121" s="33" t="str">
        <f>IF(Sheet1!AC29="", "", Sheet1!AC29/$H$91)</f>
        <v/>
      </c>
      <c r="AK121" s="33" t="str">
        <f>IF(Sheet1!AD29="", "", Sheet1!AD29/$H$91)</f>
        <v/>
      </c>
      <c r="AL121" s="33" t="str">
        <f>IF(Sheet1!AE29="", "", Sheet1!AE29/$H$91)</f>
        <v/>
      </c>
      <c r="AM121" s="33" t="str">
        <f>IF(Sheet1!AF29="", "", Sheet1!AF29/$H$91)</f>
        <v/>
      </c>
      <c r="AN121" s="33" t="str">
        <f>IF(Sheet1!AG29="", "", Sheet1!AG29/$H$91)</f>
        <v/>
      </c>
      <c r="AO121" s="33" t="str">
        <f>IF(Sheet1!AH29="", "", Sheet1!AH29/$H$91)</f>
        <v/>
      </c>
      <c r="AP121" s="33" t="str">
        <f>IF(Sheet1!AI29="", "", Sheet1!AI29/$H$91)</f>
        <v/>
      </c>
      <c r="AQ121" s="33" t="str">
        <f>IF(Sheet1!AJ29="", "", Sheet1!AJ29/$H$91)</f>
        <v/>
      </c>
      <c r="AR121" s="33" t="str">
        <f>IF(Sheet1!AK29="", "", Sheet1!AK29/$H$91)</f>
        <v/>
      </c>
      <c r="AS121" s="33" t="str">
        <f>IF(Sheet1!AL29="", "", Sheet1!AL29/$H$91)</f>
        <v/>
      </c>
    </row>
    <row r="122" spans="1:45" s="30" customFormat="1" x14ac:dyDescent="0.3">
      <c r="A122"/>
      <c r="B122"/>
      <c r="C122">
        <v>26</v>
      </c>
      <c r="D122" t="s">
        <v>122</v>
      </c>
      <c r="E122" t="s">
        <v>123</v>
      </c>
      <c r="F122" t="s">
        <v>124</v>
      </c>
      <c r="G122"/>
      <c r="H122" t="s">
        <v>125</v>
      </c>
      <c r="I122" s="21"/>
      <c r="J122" s="10" t="str">
        <f t="shared" si="0"/>
        <v>차입금</v>
      </c>
      <c r="K122" s="33">
        <f>IF(Sheet1!D30="", "", Sheet1!D30/$H$91)</f>
        <v>43765.79</v>
      </c>
      <c r="L122" s="33">
        <f>IF(Sheet1!E30="", "", Sheet1!E30/$H$91)</f>
        <v>35911.160000000003</v>
      </c>
      <c r="M122" s="33">
        <f>IF(Sheet1!F30="", "", Sheet1!F30/$H$91)</f>
        <v>45006.89</v>
      </c>
      <c r="N122" s="33">
        <f>IF(Sheet1!G30="", "", Sheet1!G30/$H$91)</f>
        <v>51811.61</v>
      </c>
      <c r="O122" s="33">
        <f>IF(Sheet1!H30="", "", Sheet1!H30/$H$91)</f>
        <v>76246.429999999993</v>
      </c>
      <c r="P122" s="33">
        <f>IF(Sheet1!I30="", "", Sheet1!I30/$H$91)</f>
        <v>129976.88</v>
      </c>
      <c r="Q122" s="33">
        <f>IF(Sheet1!J30="", "", Sheet1!J30/$H$91)</f>
        <v>138883.89000000001</v>
      </c>
      <c r="R122" s="33">
        <f>IF(Sheet1!K30="", "", Sheet1!K30/$H$91)</f>
        <v>136892.93</v>
      </c>
      <c r="S122" s="33">
        <f>IF(Sheet1!L30="", "", Sheet1!L30/$H$91)</f>
        <v>172838.81</v>
      </c>
      <c r="T122" s="33" t="str">
        <f>IF(Sheet1!M30="", "", Sheet1!M30/$H$91)</f>
        <v/>
      </c>
      <c r="U122" s="33" t="str">
        <f>IF(Sheet1!N30="", "", Sheet1!N30/$H$91)</f>
        <v/>
      </c>
      <c r="V122" s="33" t="str">
        <f>IF(Sheet1!O30="", "", Sheet1!O30/$H$91)</f>
        <v/>
      </c>
      <c r="W122" s="33" t="str">
        <f>IF(Sheet1!P30="", "", Sheet1!P30/$H$91)</f>
        <v/>
      </c>
      <c r="X122" s="33" t="str">
        <f>IF(Sheet1!Q30="", "", Sheet1!Q30/$H$91)</f>
        <v/>
      </c>
      <c r="Y122" s="33" t="str">
        <f>IF(Sheet1!R30="", "", Sheet1!R30/$H$91)</f>
        <v/>
      </c>
      <c r="Z122" s="33" t="str">
        <f>IF(Sheet1!S30="", "", Sheet1!S30/$H$91)</f>
        <v/>
      </c>
      <c r="AA122" s="33" t="str">
        <f>IF(Sheet1!T30="", "", Sheet1!T30/$H$91)</f>
        <v/>
      </c>
      <c r="AB122" s="33" t="str">
        <f>IF(Sheet1!U30="", "", Sheet1!U30/$H$91)</f>
        <v/>
      </c>
      <c r="AC122" s="33" t="str">
        <f>IF(Sheet1!V30="", "", Sheet1!V30/$H$91)</f>
        <v/>
      </c>
      <c r="AD122" s="33" t="str">
        <f>IF(Sheet1!W30="", "", Sheet1!W30/$H$91)</f>
        <v/>
      </c>
      <c r="AE122" s="33" t="str">
        <f>IF(Sheet1!X30="", "", Sheet1!X30/$H$91)</f>
        <v/>
      </c>
      <c r="AF122" s="33" t="str">
        <f>IF(Sheet1!Y30="", "", Sheet1!Y30/$H$91)</f>
        <v/>
      </c>
      <c r="AG122" s="33" t="str">
        <f>IF(Sheet1!Z30="", "", Sheet1!Z30/$H$91)</f>
        <v/>
      </c>
      <c r="AH122" s="33" t="str">
        <f>IF(Sheet1!AA30="", "", Sheet1!AA30/$H$91)</f>
        <v/>
      </c>
      <c r="AI122" s="33" t="str">
        <f>IF(Sheet1!AB30="", "", Sheet1!AB30/$H$91)</f>
        <v/>
      </c>
      <c r="AJ122" s="33" t="str">
        <f>IF(Sheet1!AC30="", "", Sheet1!AC30/$H$91)</f>
        <v/>
      </c>
      <c r="AK122" s="33" t="str">
        <f>IF(Sheet1!AD30="", "", Sheet1!AD30/$H$91)</f>
        <v/>
      </c>
      <c r="AL122" s="33" t="str">
        <f>IF(Sheet1!AE30="", "", Sheet1!AE30/$H$91)</f>
        <v/>
      </c>
      <c r="AM122" s="33" t="str">
        <f>IF(Sheet1!AF30="", "", Sheet1!AF30/$H$91)</f>
        <v/>
      </c>
      <c r="AN122" s="33" t="str">
        <f>IF(Sheet1!AG30="", "", Sheet1!AG30/$H$91)</f>
        <v/>
      </c>
      <c r="AO122" s="33" t="str">
        <f>IF(Sheet1!AH30="", "", Sheet1!AH30/$H$91)</f>
        <v/>
      </c>
      <c r="AP122" s="33" t="str">
        <f>IF(Sheet1!AI30="", "", Sheet1!AI30/$H$91)</f>
        <v/>
      </c>
      <c r="AQ122" s="33" t="str">
        <f>IF(Sheet1!AJ30="", "", Sheet1!AJ30/$H$91)</f>
        <v/>
      </c>
      <c r="AR122" s="33" t="str">
        <f>IF(Sheet1!AK30="", "", Sheet1!AK30/$H$91)</f>
        <v/>
      </c>
      <c r="AS122" s="33" t="str">
        <f>IF(Sheet1!AL30="", "", Sheet1!AL30/$H$91)</f>
        <v/>
      </c>
    </row>
    <row r="123" spans="1:45" s="30" customFormat="1" x14ac:dyDescent="0.3">
      <c r="A123"/>
      <c r="B123"/>
      <c r="C123">
        <v>27</v>
      </c>
      <c r="D123" t="s">
        <v>126</v>
      </c>
      <c r="E123" t="s">
        <v>127</v>
      </c>
      <c r="F123" t="s">
        <v>128</v>
      </c>
      <c r="G123"/>
      <c r="H123" t="s">
        <v>129</v>
      </c>
      <c r="I123" s="21"/>
      <c r="J123" s="10" t="str">
        <f t="shared" si="0"/>
        <v>사채</v>
      </c>
      <c r="K123" s="33">
        <f>IF(Sheet1!D31="", "", Sheet1!D31/$H$91)</f>
        <v>5648.16</v>
      </c>
      <c r="L123" s="33">
        <f>IF(Sheet1!E31="", "", Sheet1!E31/$H$91)</f>
        <v>5546.25</v>
      </c>
      <c r="M123" s="33">
        <f>IF(Sheet1!F31="", "", Sheet1!F31/$H$91)</f>
        <v>5511.72</v>
      </c>
      <c r="N123" s="33">
        <f>IF(Sheet1!G31="", "", Sheet1!G31/$H$91)</f>
        <v>5360.93</v>
      </c>
      <c r="O123" s="33">
        <f>IF(Sheet1!H31="", "", Sheet1!H31/$H$91)</f>
        <v>6097.9</v>
      </c>
      <c r="P123" s="33">
        <f>IF(Sheet1!I31="", "", Sheet1!I31/$H$91)</f>
        <v>5537.83</v>
      </c>
      <c r="Q123" s="33">
        <f>IF(Sheet1!J31="", "", Sheet1!J31/$H$91)</f>
        <v>5188.5600000000004</v>
      </c>
      <c r="R123" s="33">
        <f>IF(Sheet1!K31="", "", Sheet1!K31/$H$91)</f>
        <v>5082.32</v>
      </c>
      <c r="S123" s="33">
        <f>IF(Sheet1!L31="", "", Sheet1!L31/$H$91)</f>
        <v>5140.96</v>
      </c>
      <c r="T123" s="33" t="str">
        <f>IF(Sheet1!M31="", "", Sheet1!M31/$H$91)</f>
        <v/>
      </c>
      <c r="U123" s="33" t="str">
        <f>IF(Sheet1!N31="", "", Sheet1!N31/$H$91)</f>
        <v/>
      </c>
      <c r="V123" s="33" t="str">
        <f>IF(Sheet1!O31="", "", Sheet1!O31/$H$91)</f>
        <v/>
      </c>
      <c r="W123" s="33" t="str">
        <f>IF(Sheet1!P31="", "", Sheet1!P31/$H$91)</f>
        <v/>
      </c>
      <c r="X123" s="33" t="str">
        <f>IF(Sheet1!Q31="", "", Sheet1!Q31/$H$91)</f>
        <v/>
      </c>
      <c r="Y123" s="33" t="str">
        <f>IF(Sheet1!R31="", "", Sheet1!R31/$H$91)</f>
        <v/>
      </c>
      <c r="Z123" s="33" t="str">
        <f>IF(Sheet1!S31="", "", Sheet1!S31/$H$91)</f>
        <v/>
      </c>
      <c r="AA123" s="33" t="str">
        <f>IF(Sheet1!T31="", "", Sheet1!T31/$H$91)</f>
        <v/>
      </c>
      <c r="AB123" s="33" t="str">
        <f>IF(Sheet1!U31="", "", Sheet1!U31/$H$91)</f>
        <v/>
      </c>
      <c r="AC123" s="33" t="str">
        <f>IF(Sheet1!V31="", "", Sheet1!V31/$H$91)</f>
        <v/>
      </c>
      <c r="AD123" s="33" t="str">
        <f>IF(Sheet1!W31="", "", Sheet1!W31/$H$91)</f>
        <v/>
      </c>
      <c r="AE123" s="33" t="str">
        <f>IF(Sheet1!X31="", "", Sheet1!X31/$H$91)</f>
        <v/>
      </c>
      <c r="AF123" s="33" t="str">
        <f>IF(Sheet1!Y31="", "", Sheet1!Y31/$H$91)</f>
        <v/>
      </c>
      <c r="AG123" s="33" t="str">
        <f>IF(Sheet1!Z31="", "", Sheet1!Z31/$H$91)</f>
        <v/>
      </c>
      <c r="AH123" s="33" t="str">
        <f>IF(Sheet1!AA31="", "", Sheet1!AA31/$H$91)</f>
        <v/>
      </c>
      <c r="AI123" s="33" t="str">
        <f>IF(Sheet1!AB31="", "", Sheet1!AB31/$H$91)</f>
        <v/>
      </c>
      <c r="AJ123" s="33" t="str">
        <f>IF(Sheet1!AC31="", "", Sheet1!AC31/$H$91)</f>
        <v/>
      </c>
      <c r="AK123" s="33" t="str">
        <f>IF(Sheet1!AD31="", "", Sheet1!AD31/$H$91)</f>
        <v/>
      </c>
      <c r="AL123" s="33" t="str">
        <f>IF(Sheet1!AE31="", "", Sheet1!AE31/$H$91)</f>
        <v/>
      </c>
      <c r="AM123" s="33" t="str">
        <f>IF(Sheet1!AF31="", "", Sheet1!AF31/$H$91)</f>
        <v/>
      </c>
      <c r="AN123" s="33" t="str">
        <f>IF(Sheet1!AG31="", "", Sheet1!AG31/$H$91)</f>
        <v/>
      </c>
      <c r="AO123" s="33" t="str">
        <f>IF(Sheet1!AH31="", "", Sheet1!AH31/$H$91)</f>
        <v/>
      </c>
      <c r="AP123" s="33" t="str">
        <f>IF(Sheet1!AI31="", "", Sheet1!AI31/$H$91)</f>
        <v/>
      </c>
      <c r="AQ123" s="33" t="str">
        <f>IF(Sheet1!AJ31="", "", Sheet1!AJ31/$H$91)</f>
        <v/>
      </c>
      <c r="AR123" s="33" t="str">
        <f>IF(Sheet1!AK31="", "", Sheet1!AK31/$H$91)</f>
        <v/>
      </c>
      <c r="AS123" s="33" t="str">
        <f>IF(Sheet1!AL31="", "", Sheet1!AL31/$H$91)</f>
        <v/>
      </c>
    </row>
    <row r="124" spans="1:45" s="30" customFormat="1" x14ac:dyDescent="0.3">
      <c r="A124"/>
      <c r="B124"/>
      <c r="C124">
        <v>28</v>
      </c>
      <c r="D124" t="s">
        <v>130</v>
      </c>
      <c r="E124" t="s">
        <v>131</v>
      </c>
      <c r="F124" t="s">
        <v>132</v>
      </c>
      <c r="G124"/>
      <c r="H124" t="s">
        <v>133</v>
      </c>
      <c r="I124" s="21"/>
      <c r="J124" s="10" t="str">
        <f t="shared" si="0"/>
        <v>기타금융업부채</v>
      </c>
      <c r="K124" s="33" t="str">
        <f>IF(Sheet1!D32="", "", Sheet1!D32/$H$91)</f>
        <v/>
      </c>
      <c r="L124" s="33" t="str">
        <f>IF(Sheet1!E32="", "", Sheet1!E32/$H$91)</f>
        <v/>
      </c>
      <c r="M124" s="33" t="str">
        <f>IF(Sheet1!F32="", "", Sheet1!F32/$H$91)</f>
        <v/>
      </c>
      <c r="N124" s="33" t="str">
        <f>IF(Sheet1!G32="", "", Sheet1!G32/$H$91)</f>
        <v/>
      </c>
      <c r="O124" s="33" t="str">
        <f>IF(Sheet1!H32="", "", Sheet1!H32/$H$91)</f>
        <v/>
      </c>
      <c r="P124" s="33" t="str">
        <f>IF(Sheet1!I32="", "", Sheet1!I32/$H$91)</f>
        <v/>
      </c>
      <c r="Q124" s="33" t="str">
        <f>IF(Sheet1!J32="", "", Sheet1!J32/$H$91)</f>
        <v/>
      </c>
      <c r="R124" s="33" t="str">
        <f>IF(Sheet1!K32="", "", Sheet1!K32/$H$91)</f>
        <v/>
      </c>
      <c r="S124" s="33" t="str">
        <f>IF(Sheet1!L32="", "", Sheet1!L32/$H$91)</f>
        <v/>
      </c>
      <c r="T124" s="33" t="str">
        <f>IF(Sheet1!M32="", "", Sheet1!M32/$H$91)</f>
        <v/>
      </c>
      <c r="U124" s="33" t="str">
        <f>IF(Sheet1!N32="", "", Sheet1!N32/$H$91)</f>
        <v/>
      </c>
      <c r="V124" s="33" t="str">
        <f>IF(Sheet1!O32="", "", Sheet1!O32/$H$91)</f>
        <v/>
      </c>
      <c r="W124" s="33" t="str">
        <f>IF(Sheet1!P32="", "", Sheet1!P32/$H$91)</f>
        <v/>
      </c>
      <c r="X124" s="33" t="str">
        <f>IF(Sheet1!Q32="", "", Sheet1!Q32/$H$91)</f>
        <v/>
      </c>
      <c r="Y124" s="33" t="str">
        <f>IF(Sheet1!R32="", "", Sheet1!R32/$H$91)</f>
        <v/>
      </c>
      <c r="Z124" s="33" t="str">
        <f>IF(Sheet1!S32="", "", Sheet1!S32/$H$91)</f>
        <v/>
      </c>
      <c r="AA124" s="33" t="str">
        <f>IF(Sheet1!T32="", "", Sheet1!T32/$H$91)</f>
        <v/>
      </c>
      <c r="AB124" s="33" t="str">
        <f>IF(Sheet1!U32="", "", Sheet1!U32/$H$91)</f>
        <v/>
      </c>
      <c r="AC124" s="33" t="str">
        <f>IF(Sheet1!V32="", "", Sheet1!V32/$H$91)</f>
        <v/>
      </c>
      <c r="AD124" s="33" t="str">
        <f>IF(Sheet1!W32="", "", Sheet1!W32/$H$91)</f>
        <v/>
      </c>
      <c r="AE124" s="33" t="str">
        <f>IF(Sheet1!X32="", "", Sheet1!X32/$H$91)</f>
        <v/>
      </c>
      <c r="AF124" s="33" t="str">
        <f>IF(Sheet1!Y32="", "", Sheet1!Y32/$H$91)</f>
        <v/>
      </c>
      <c r="AG124" s="33" t="str">
        <f>IF(Sheet1!Z32="", "", Sheet1!Z32/$H$91)</f>
        <v/>
      </c>
      <c r="AH124" s="33" t="str">
        <f>IF(Sheet1!AA32="", "", Sheet1!AA32/$H$91)</f>
        <v/>
      </c>
      <c r="AI124" s="33" t="str">
        <f>IF(Sheet1!AB32="", "", Sheet1!AB32/$H$91)</f>
        <v/>
      </c>
      <c r="AJ124" s="33" t="str">
        <f>IF(Sheet1!AC32="", "", Sheet1!AC32/$H$91)</f>
        <v/>
      </c>
      <c r="AK124" s="33" t="str">
        <f>IF(Sheet1!AD32="", "", Sheet1!AD32/$H$91)</f>
        <v/>
      </c>
      <c r="AL124" s="33" t="str">
        <f>IF(Sheet1!AE32="", "", Sheet1!AE32/$H$91)</f>
        <v/>
      </c>
      <c r="AM124" s="33" t="str">
        <f>IF(Sheet1!AF32="", "", Sheet1!AF32/$H$91)</f>
        <v/>
      </c>
      <c r="AN124" s="33" t="str">
        <f>IF(Sheet1!AG32="", "", Sheet1!AG32/$H$91)</f>
        <v/>
      </c>
      <c r="AO124" s="33" t="str">
        <f>IF(Sheet1!AH32="", "", Sheet1!AH32/$H$91)</f>
        <v/>
      </c>
      <c r="AP124" s="33" t="str">
        <f>IF(Sheet1!AI32="", "", Sheet1!AI32/$H$91)</f>
        <v/>
      </c>
      <c r="AQ124" s="33" t="str">
        <f>IF(Sheet1!AJ32="", "", Sheet1!AJ32/$H$91)</f>
        <v/>
      </c>
      <c r="AR124" s="33" t="str">
        <f>IF(Sheet1!AK32="", "", Sheet1!AK32/$H$91)</f>
        <v/>
      </c>
      <c r="AS124" s="33" t="str">
        <f>IF(Sheet1!AL32="", "", Sheet1!AL32/$H$91)</f>
        <v/>
      </c>
    </row>
    <row r="125" spans="1:45" s="30" customFormat="1" x14ac:dyDescent="0.3">
      <c r="A125"/>
      <c r="B125"/>
      <c r="C125">
        <v>29</v>
      </c>
      <c r="D125" t="s">
        <v>134</v>
      </c>
      <c r="E125" t="s">
        <v>135</v>
      </c>
      <c r="F125" t="s">
        <v>136</v>
      </c>
      <c r="G125"/>
      <c r="H125" t="s">
        <v>137</v>
      </c>
      <c r="I125" s="21"/>
      <c r="J125" s="10" t="str">
        <f t="shared" si="0"/>
        <v>기타충당부채</v>
      </c>
      <c r="K125" s="33">
        <f>IF(Sheet1!D33="", "", Sheet1!D33/$H$91)</f>
        <v>97487.63</v>
      </c>
      <c r="L125" s="33">
        <f>IF(Sheet1!E33="", "", Sheet1!E33/$H$91)</f>
        <v>91330.21</v>
      </c>
      <c r="M125" s="33">
        <f>IF(Sheet1!F33="", "", Sheet1!F33/$H$91)</f>
        <v>91922.9</v>
      </c>
      <c r="N125" s="33">
        <f>IF(Sheet1!G33="", "", Sheet1!G33/$H$91)</f>
        <v>77734.25</v>
      </c>
      <c r="O125" s="33">
        <f>IF(Sheet1!H33="", "", Sheet1!H33/$H$91)</f>
        <v>83331.360000000001</v>
      </c>
      <c r="P125" s="33">
        <f>IF(Sheet1!I33="", "", Sheet1!I33/$H$91)</f>
        <v>82740.210000000006</v>
      </c>
      <c r="Q125" s="33">
        <f>IF(Sheet1!J33="", "", Sheet1!J33/$H$91)</f>
        <v>81604.27</v>
      </c>
      <c r="R125" s="33">
        <f>IF(Sheet1!K33="", "", Sheet1!K33/$H$91)</f>
        <v>76798.66</v>
      </c>
      <c r="S125" s="33">
        <f>IF(Sheet1!L33="", "", Sheet1!L33/$H$91)</f>
        <v>71169.31</v>
      </c>
      <c r="T125" s="33" t="str">
        <f>IF(Sheet1!M33="", "", Sheet1!M33/$H$91)</f>
        <v/>
      </c>
      <c r="U125" s="33" t="str">
        <f>IF(Sheet1!N33="", "", Sheet1!N33/$H$91)</f>
        <v/>
      </c>
      <c r="V125" s="33" t="str">
        <f>IF(Sheet1!O33="", "", Sheet1!O33/$H$91)</f>
        <v/>
      </c>
      <c r="W125" s="33" t="str">
        <f>IF(Sheet1!P33="", "", Sheet1!P33/$H$91)</f>
        <v/>
      </c>
      <c r="X125" s="33" t="str">
        <f>IF(Sheet1!Q33="", "", Sheet1!Q33/$H$91)</f>
        <v/>
      </c>
      <c r="Y125" s="33" t="str">
        <f>IF(Sheet1!R33="", "", Sheet1!R33/$H$91)</f>
        <v/>
      </c>
      <c r="Z125" s="33" t="str">
        <f>IF(Sheet1!S33="", "", Sheet1!S33/$H$91)</f>
        <v/>
      </c>
      <c r="AA125" s="33" t="str">
        <f>IF(Sheet1!T33="", "", Sheet1!T33/$H$91)</f>
        <v/>
      </c>
      <c r="AB125" s="33" t="str">
        <f>IF(Sheet1!U33="", "", Sheet1!U33/$H$91)</f>
        <v/>
      </c>
      <c r="AC125" s="33" t="str">
        <f>IF(Sheet1!V33="", "", Sheet1!V33/$H$91)</f>
        <v/>
      </c>
      <c r="AD125" s="33" t="str">
        <f>IF(Sheet1!W33="", "", Sheet1!W33/$H$91)</f>
        <v/>
      </c>
      <c r="AE125" s="33" t="str">
        <f>IF(Sheet1!X33="", "", Sheet1!X33/$H$91)</f>
        <v/>
      </c>
      <c r="AF125" s="33" t="str">
        <f>IF(Sheet1!Y33="", "", Sheet1!Y33/$H$91)</f>
        <v/>
      </c>
      <c r="AG125" s="33" t="str">
        <f>IF(Sheet1!Z33="", "", Sheet1!Z33/$H$91)</f>
        <v/>
      </c>
      <c r="AH125" s="33" t="str">
        <f>IF(Sheet1!AA33="", "", Sheet1!AA33/$H$91)</f>
        <v/>
      </c>
      <c r="AI125" s="33" t="str">
        <f>IF(Sheet1!AB33="", "", Sheet1!AB33/$H$91)</f>
        <v/>
      </c>
      <c r="AJ125" s="33" t="str">
        <f>IF(Sheet1!AC33="", "", Sheet1!AC33/$H$91)</f>
        <v/>
      </c>
      <c r="AK125" s="33" t="str">
        <f>IF(Sheet1!AD33="", "", Sheet1!AD33/$H$91)</f>
        <v/>
      </c>
      <c r="AL125" s="33" t="str">
        <f>IF(Sheet1!AE33="", "", Sheet1!AE33/$H$91)</f>
        <v/>
      </c>
      <c r="AM125" s="33" t="str">
        <f>IF(Sheet1!AF33="", "", Sheet1!AF33/$H$91)</f>
        <v/>
      </c>
      <c r="AN125" s="33" t="str">
        <f>IF(Sheet1!AG33="", "", Sheet1!AG33/$H$91)</f>
        <v/>
      </c>
      <c r="AO125" s="33" t="str">
        <f>IF(Sheet1!AH33="", "", Sheet1!AH33/$H$91)</f>
        <v/>
      </c>
      <c r="AP125" s="33" t="str">
        <f>IF(Sheet1!AI33="", "", Sheet1!AI33/$H$91)</f>
        <v/>
      </c>
      <c r="AQ125" s="33" t="str">
        <f>IF(Sheet1!AJ33="", "", Sheet1!AJ33/$H$91)</f>
        <v/>
      </c>
      <c r="AR125" s="33" t="str">
        <f>IF(Sheet1!AK33="", "", Sheet1!AK33/$H$91)</f>
        <v/>
      </c>
      <c r="AS125" s="33" t="str">
        <f>IF(Sheet1!AL33="", "", Sheet1!AL33/$H$91)</f>
        <v/>
      </c>
    </row>
    <row r="126" spans="1:45" s="30" customFormat="1" x14ac:dyDescent="0.3">
      <c r="A126"/>
      <c r="B126"/>
      <c r="C126">
        <v>30</v>
      </c>
      <c r="D126" t="s">
        <v>138</v>
      </c>
      <c r="E126" t="s">
        <v>139</v>
      </c>
      <c r="F126" t="s">
        <v>140</v>
      </c>
      <c r="G126"/>
      <c r="H126" t="s">
        <v>141</v>
      </c>
      <c r="I126" s="21"/>
      <c r="J126" s="10" t="str">
        <f t="shared" si="0"/>
        <v>당기법인세부채</v>
      </c>
      <c r="K126" s="33">
        <f>IF(Sheet1!D34="", "", Sheet1!D34/$H$91)</f>
        <v>34116.949999999997</v>
      </c>
      <c r="L126" s="33">
        <f>IF(Sheet1!E34="", "", Sheet1!E34/$H$91)</f>
        <v>26015.84</v>
      </c>
      <c r="M126" s="33">
        <f>IF(Sheet1!F34="", "", Sheet1!F34/$H$91)</f>
        <v>33578.86</v>
      </c>
      <c r="N126" s="33">
        <f>IF(Sheet1!G34="", "", Sheet1!G34/$H$91)</f>
        <v>42503.97</v>
      </c>
      <c r="O126" s="33">
        <f>IF(Sheet1!H34="", "", Sheet1!H34/$H$91)</f>
        <v>42806.32</v>
      </c>
      <c r="P126" s="33">
        <f>IF(Sheet1!I34="", "", Sheet1!I34/$H$91)</f>
        <v>60676.53</v>
      </c>
      <c r="Q126" s="33">
        <f>IF(Sheet1!J34="", "", Sheet1!J34/$H$91)</f>
        <v>71937.539999999994</v>
      </c>
      <c r="R126" s="33">
        <f>IF(Sheet1!K34="", "", Sheet1!K34/$H$91)</f>
        <v>67491.490000000005</v>
      </c>
      <c r="S126" s="33">
        <f>IF(Sheet1!L34="", "", Sheet1!L34/$H$91)</f>
        <v>43801.43</v>
      </c>
      <c r="T126" s="33" t="str">
        <f>IF(Sheet1!M34="", "", Sheet1!M34/$H$91)</f>
        <v/>
      </c>
      <c r="U126" s="33" t="str">
        <f>IF(Sheet1!N34="", "", Sheet1!N34/$H$91)</f>
        <v/>
      </c>
      <c r="V126" s="33" t="str">
        <f>IF(Sheet1!O34="", "", Sheet1!O34/$H$91)</f>
        <v/>
      </c>
      <c r="W126" s="33" t="str">
        <f>IF(Sheet1!P34="", "", Sheet1!P34/$H$91)</f>
        <v/>
      </c>
      <c r="X126" s="33" t="str">
        <f>IF(Sheet1!Q34="", "", Sheet1!Q34/$H$91)</f>
        <v/>
      </c>
      <c r="Y126" s="33" t="str">
        <f>IF(Sheet1!R34="", "", Sheet1!R34/$H$91)</f>
        <v/>
      </c>
      <c r="Z126" s="33" t="str">
        <f>IF(Sheet1!S34="", "", Sheet1!S34/$H$91)</f>
        <v/>
      </c>
      <c r="AA126" s="33" t="str">
        <f>IF(Sheet1!T34="", "", Sheet1!T34/$H$91)</f>
        <v/>
      </c>
      <c r="AB126" s="33" t="str">
        <f>IF(Sheet1!U34="", "", Sheet1!U34/$H$91)</f>
        <v/>
      </c>
      <c r="AC126" s="33" t="str">
        <f>IF(Sheet1!V34="", "", Sheet1!V34/$H$91)</f>
        <v/>
      </c>
      <c r="AD126" s="33" t="str">
        <f>IF(Sheet1!W34="", "", Sheet1!W34/$H$91)</f>
        <v/>
      </c>
      <c r="AE126" s="33" t="str">
        <f>IF(Sheet1!X34="", "", Sheet1!X34/$H$91)</f>
        <v/>
      </c>
      <c r="AF126" s="33" t="str">
        <f>IF(Sheet1!Y34="", "", Sheet1!Y34/$H$91)</f>
        <v/>
      </c>
      <c r="AG126" s="33" t="str">
        <f>IF(Sheet1!Z34="", "", Sheet1!Z34/$H$91)</f>
        <v/>
      </c>
      <c r="AH126" s="33" t="str">
        <f>IF(Sheet1!AA34="", "", Sheet1!AA34/$H$91)</f>
        <v/>
      </c>
      <c r="AI126" s="33" t="str">
        <f>IF(Sheet1!AB34="", "", Sheet1!AB34/$H$91)</f>
        <v/>
      </c>
      <c r="AJ126" s="33" t="str">
        <f>IF(Sheet1!AC34="", "", Sheet1!AC34/$H$91)</f>
        <v/>
      </c>
      <c r="AK126" s="33" t="str">
        <f>IF(Sheet1!AD34="", "", Sheet1!AD34/$H$91)</f>
        <v/>
      </c>
      <c r="AL126" s="33" t="str">
        <f>IF(Sheet1!AE34="", "", Sheet1!AE34/$H$91)</f>
        <v/>
      </c>
      <c r="AM126" s="33" t="str">
        <f>IF(Sheet1!AF34="", "", Sheet1!AF34/$H$91)</f>
        <v/>
      </c>
      <c r="AN126" s="33" t="str">
        <f>IF(Sheet1!AG34="", "", Sheet1!AG34/$H$91)</f>
        <v/>
      </c>
      <c r="AO126" s="33" t="str">
        <f>IF(Sheet1!AH34="", "", Sheet1!AH34/$H$91)</f>
        <v/>
      </c>
      <c r="AP126" s="33" t="str">
        <f>IF(Sheet1!AI34="", "", Sheet1!AI34/$H$91)</f>
        <v/>
      </c>
      <c r="AQ126" s="33" t="str">
        <f>IF(Sheet1!AJ34="", "", Sheet1!AJ34/$H$91)</f>
        <v/>
      </c>
      <c r="AR126" s="33" t="str">
        <f>IF(Sheet1!AK34="", "", Sheet1!AK34/$H$91)</f>
        <v/>
      </c>
      <c r="AS126" s="33" t="str">
        <f>IF(Sheet1!AL34="", "", Sheet1!AL34/$H$91)</f>
        <v/>
      </c>
    </row>
    <row r="127" spans="1:45" s="30" customFormat="1" x14ac:dyDescent="0.3">
      <c r="A127"/>
      <c r="B127"/>
      <c r="C127">
        <v>31</v>
      </c>
      <c r="D127" t="s">
        <v>142</v>
      </c>
      <c r="E127" t="s">
        <v>143</v>
      </c>
      <c r="F127" t="s">
        <v>144</v>
      </c>
      <c r="G127"/>
      <c r="H127" t="s">
        <v>145</v>
      </c>
      <c r="I127" s="21"/>
      <c r="J127" s="10" t="str">
        <f t="shared" si="0"/>
        <v>종업원급여충당부채</v>
      </c>
      <c r="K127" s="33">
        <f>IF(Sheet1!D35="", "", Sheet1!D35/$H$91)</f>
        <v>4392.38</v>
      </c>
      <c r="L127" s="33">
        <f>IF(Sheet1!E35="", "", Sheet1!E35/$H$91)</f>
        <v>4292.42</v>
      </c>
      <c r="M127" s="33">
        <f>IF(Sheet1!F35="", "", Sheet1!F35/$H$91)</f>
        <v>2380.17</v>
      </c>
      <c r="N127" s="33">
        <f>IF(Sheet1!G35="", "", Sheet1!G35/$H$91)</f>
        <v>2683.7</v>
      </c>
      <c r="O127" s="33">
        <f>IF(Sheet1!H35="", "", Sheet1!H35/$H$91)</f>
        <v>5757.45</v>
      </c>
      <c r="P127" s="33">
        <f>IF(Sheet1!I35="", "", Sheet1!I35/$H$91)</f>
        <v>5171.43</v>
      </c>
      <c r="Q127" s="33">
        <f>IF(Sheet1!J35="", "", Sheet1!J35/$H$91)</f>
        <v>4769.03</v>
      </c>
      <c r="R127" s="33">
        <f>IF(Sheet1!K35="", "", Sheet1!K35/$H$91)</f>
        <v>4658.84</v>
      </c>
      <c r="S127" s="33">
        <f>IF(Sheet1!L35="", "", Sheet1!L35/$H$91)</f>
        <v>5580.19</v>
      </c>
      <c r="T127" s="33" t="str">
        <f>IF(Sheet1!M35="", "", Sheet1!M35/$H$91)</f>
        <v/>
      </c>
      <c r="U127" s="33" t="str">
        <f>IF(Sheet1!N35="", "", Sheet1!N35/$H$91)</f>
        <v/>
      </c>
      <c r="V127" s="33" t="str">
        <f>IF(Sheet1!O35="", "", Sheet1!O35/$H$91)</f>
        <v/>
      </c>
      <c r="W127" s="33" t="str">
        <f>IF(Sheet1!P35="", "", Sheet1!P35/$H$91)</f>
        <v/>
      </c>
      <c r="X127" s="33" t="str">
        <f>IF(Sheet1!Q35="", "", Sheet1!Q35/$H$91)</f>
        <v/>
      </c>
      <c r="Y127" s="33" t="str">
        <f>IF(Sheet1!R35="", "", Sheet1!R35/$H$91)</f>
        <v/>
      </c>
      <c r="Z127" s="33" t="str">
        <f>IF(Sheet1!S35="", "", Sheet1!S35/$H$91)</f>
        <v/>
      </c>
      <c r="AA127" s="33" t="str">
        <f>IF(Sheet1!T35="", "", Sheet1!T35/$H$91)</f>
        <v/>
      </c>
      <c r="AB127" s="33" t="str">
        <f>IF(Sheet1!U35="", "", Sheet1!U35/$H$91)</f>
        <v/>
      </c>
      <c r="AC127" s="33" t="str">
        <f>IF(Sheet1!V35="", "", Sheet1!V35/$H$91)</f>
        <v/>
      </c>
      <c r="AD127" s="33" t="str">
        <f>IF(Sheet1!W35="", "", Sheet1!W35/$H$91)</f>
        <v/>
      </c>
      <c r="AE127" s="33" t="str">
        <f>IF(Sheet1!X35="", "", Sheet1!X35/$H$91)</f>
        <v/>
      </c>
      <c r="AF127" s="33" t="str">
        <f>IF(Sheet1!Y35="", "", Sheet1!Y35/$H$91)</f>
        <v/>
      </c>
      <c r="AG127" s="33" t="str">
        <f>IF(Sheet1!Z35="", "", Sheet1!Z35/$H$91)</f>
        <v/>
      </c>
      <c r="AH127" s="33" t="str">
        <f>IF(Sheet1!AA35="", "", Sheet1!AA35/$H$91)</f>
        <v/>
      </c>
      <c r="AI127" s="33" t="str">
        <f>IF(Sheet1!AB35="", "", Sheet1!AB35/$H$91)</f>
        <v/>
      </c>
      <c r="AJ127" s="33" t="str">
        <f>IF(Sheet1!AC35="", "", Sheet1!AC35/$H$91)</f>
        <v/>
      </c>
      <c r="AK127" s="33" t="str">
        <f>IF(Sheet1!AD35="", "", Sheet1!AD35/$H$91)</f>
        <v/>
      </c>
      <c r="AL127" s="33" t="str">
        <f>IF(Sheet1!AE35="", "", Sheet1!AE35/$H$91)</f>
        <v/>
      </c>
      <c r="AM127" s="33" t="str">
        <f>IF(Sheet1!AF35="", "", Sheet1!AF35/$H$91)</f>
        <v/>
      </c>
      <c r="AN127" s="33" t="str">
        <f>IF(Sheet1!AG35="", "", Sheet1!AG35/$H$91)</f>
        <v/>
      </c>
      <c r="AO127" s="33" t="str">
        <f>IF(Sheet1!AH35="", "", Sheet1!AH35/$H$91)</f>
        <v/>
      </c>
      <c r="AP127" s="33" t="str">
        <f>IF(Sheet1!AI35="", "", Sheet1!AI35/$H$91)</f>
        <v/>
      </c>
      <c r="AQ127" s="33" t="str">
        <f>IF(Sheet1!AJ35="", "", Sheet1!AJ35/$H$91)</f>
        <v/>
      </c>
      <c r="AR127" s="33" t="str">
        <f>IF(Sheet1!AK35="", "", Sheet1!AK35/$H$91)</f>
        <v/>
      </c>
      <c r="AS127" s="33" t="str">
        <f>IF(Sheet1!AL35="", "", Sheet1!AL35/$H$91)</f>
        <v/>
      </c>
    </row>
    <row r="128" spans="1:45" s="30" customFormat="1" x14ac:dyDescent="0.3">
      <c r="A128"/>
      <c r="B128"/>
      <c r="C128">
        <v>32</v>
      </c>
      <c r="D128" t="s">
        <v>146</v>
      </c>
      <c r="E128"/>
      <c r="F128" t="s">
        <v>147</v>
      </c>
      <c r="G128"/>
      <c r="H128"/>
      <c r="I128" s="21"/>
      <c r="J128" s="10" t="str">
        <f t="shared" si="0"/>
        <v>기타부채</v>
      </c>
      <c r="K128" s="33">
        <f>IF(Sheet1!D36="", "", Sheet1!D36/$H$91)</f>
        <v>63541</v>
      </c>
      <c r="L128" s="33">
        <f>IF(Sheet1!E36="", "", Sheet1!E36/$H$91)</f>
        <v>59543.88</v>
      </c>
      <c r="M128" s="33">
        <f>IF(Sheet1!F36="", "", Sheet1!F36/$H$91)</f>
        <v>49734.22</v>
      </c>
      <c r="N128" s="33">
        <f>IF(Sheet1!G36="", "", Sheet1!G36/$H$91)</f>
        <v>44380.49</v>
      </c>
      <c r="O128" s="33">
        <f>IF(Sheet1!H36="", "", Sheet1!H36/$H$91)</f>
        <v>48104.160000000003</v>
      </c>
      <c r="P128" s="33">
        <f>IF(Sheet1!I36="", "", Sheet1!I36/$H$91)</f>
        <v>43969.46</v>
      </c>
      <c r="Q128" s="33">
        <f>IF(Sheet1!J36="", "", Sheet1!J36/$H$91)</f>
        <v>44126.37</v>
      </c>
      <c r="R128" s="33">
        <f>IF(Sheet1!K36="", "", Sheet1!K36/$H$91)</f>
        <v>39842.339999999997</v>
      </c>
      <c r="S128" s="33">
        <f>IF(Sheet1!L36="", "", Sheet1!L36/$H$91)</f>
        <v>38087.730000000003</v>
      </c>
      <c r="T128" s="33" t="str">
        <f>IF(Sheet1!M36="", "", Sheet1!M36/$H$91)</f>
        <v/>
      </c>
      <c r="U128" s="33" t="str">
        <f>IF(Sheet1!N36="", "", Sheet1!N36/$H$91)</f>
        <v/>
      </c>
      <c r="V128" s="33" t="str">
        <f>IF(Sheet1!O36="", "", Sheet1!O36/$H$91)</f>
        <v/>
      </c>
      <c r="W128" s="33" t="str">
        <f>IF(Sheet1!P36="", "", Sheet1!P36/$H$91)</f>
        <v/>
      </c>
      <c r="X128" s="33" t="str">
        <f>IF(Sheet1!Q36="", "", Sheet1!Q36/$H$91)</f>
        <v/>
      </c>
      <c r="Y128" s="33" t="str">
        <f>IF(Sheet1!R36="", "", Sheet1!R36/$H$91)</f>
        <v/>
      </c>
      <c r="Z128" s="33" t="str">
        <f>IF(Sheet1!S36="", "", Sheet1!S36/$H$91)</f>
        <v/>
      </c>
      <c r="AA128" s="33" t="str">
        <f>IF(Sheet1!T36="", "", Sheet1!T36/$H$91)</f>
        <v/>
      </c>
      <c r="AB128" s="33" t="str">
        <f>IF(Sheet1!U36="", "", Sheet1!U36/$H$91)</f>
        <v/>
      </c>
      <c r="AC128" s="33" t="str">
        <f>IF(Sheet1!V36="", "", Sheet1!V36/$H$91)</f>
        <v/>
      </c>
      <c r="AD128" s="33" t="str">
        <f>IF(Sheet1!W36="", "", Sheet1!W36/$H$91)</f>
        <v/>
      </c>
      <c r="AE128" s="33" t="str">
        <f>IF(Sheet1!X36="", "", Sheet1!X36/$H$91)</f>
        <v/>
      </c>
      <c r="AF128" s="33" t="str">
        <f>IF(Sheet1!Y36="", "", Sheet1!Y36/$H$91)</f>
        <v/>
      </c>
      <c r="AG128" s="33" t="str">
        <f>IF(Sheet1!Z36="", "", Sheet1!Z36/$H$91)</f>
        <v/>
      </c>
      <c r="AH128" s="33" t="str">
        <f>IF(Sheet1!AA36="", "", Sheet1!AA36/$H$91)</f>
        <v/>
      </c>
      <c r="AI128" s="33" t="str">
        <f>IF(Sheet1!AB36="", "", Sheet1!AB36/$H$91)</f>
        <v/>
      </c>
      <c r="AJ128" s="33" t="str">
        <f>IF(Sheet1!AC36="", "", Sheet1!AC36/$H$91)</f>
        <v/>
      </c>
      <c r="AK128" s="33" t="str">
        <f>IF(Sheet1!AD36="", "", Sheet1!AD36/$H$91)</f>
        <v/>
      </c>
      <c r="AL128" s="33" t="str">
        <f>IF(Sheet1!AE36="", "", Sheet1!AE36/$H$91)</f>
        <v/>
      </c>
      <c r="AM128" s="33" t="str">
        <f>IF(Sheet1!AF36="", "", Sheet1!AF36/$H$91)</f>
        <v/>
      </c>
      <c r="AN128" s="33" t="str">
        <f>IF(Sheet1!AG36="", "", Sheet1!AG36/$H$91)</f>
        <v/>
      </c>
      <c r="AO128" s="33" t="str">
        <f>IF(Sheet1!AH36="", "", Sheet1!AH36/$H$91)</f>
        <v/>
      </c>
      <c r="AP128" s="33" t="str">
        <f>IF(Sheet1!AI36="", "", Sheet1!AI36/$H$91)</f>
        <v/>
      </c>
      <c r="AQ128" s="33" t="str">
        <f>IF(Sheet1!AJ36="", "", Sheet1!AJ36/$H$91)</f>
        <v/>
      </c>
      <c r="AR128" s="33" t="str">
        <f>IF(Sheet1!AK36="", "", Sheet1!AK36/$H$91)</f>
        <v/>
      </c>
      <c r="AS128" s="33" t="str">
        <f>IF(Sheet1!AL36="", "", Sheet1!AL36/$H$91)</f>
        <v/>
      </c>
    </row>
    <row r="129" spans="1:45" s="30" customFormat="1" x14ac:dyDescent="0.3">
      <c r="A129"/>
      <c r="B129"/>
      <c r="C129">
        <v>33</v>
      </c>
      <c r="D129" t="s">
        <v>148</v>
      </c>
      <c r="E129"/>
      <c r="F129" t="s">
        <v>149</v>
      </c>
      <c r="G129"/>
      <c r="H129"/>
      <c r="I129" s="21"/>
      <c r="J129" s="10" t="str">
        <f t="shared" si="0"/>
        <v>이연법인세부채</v>
      </c>
      <c r="K129" s="33">
        <f>IF(Sheet1!D37="", "", Sheet1!D37/$H$91)</f>
        <v>10706.01</v>
      </c>
      <c r="L129" s="33">
        <f>IF(Sheet1!E37="", "", Sheet1!E37/$H$91)</f>
        <v>34853.519999999997</v>
      </c>
      <c r="M129" s="33">
        <f>IF(Sheet1!F37="", "", Sheet1!F37/$H$91)</f>
        <v>46346.92</v>
      </c>
      <c r="N129" s="33">
        <f>IF(Sheet1!G37="", "", Sheet1!G37/$H$91)</f>
        <v>51113.32</v>
      </c>
      <c r="O129" s="33">
        <f>IF(Sheet1!H37="", "", Sheet1!H37/$H$91)</f>
        <v>288962.78999999998</v>
      </c>
      <c r="P129" s="33">
        <f>IF(Sheet1!I37="", "", Sheet1!I37/$H$91)</f>
        <v>263413.82</v>
      </c>
      <c r="Q129" s="33">
        <f>IF(Sheet1!J37="", "", Sheet1!J37/$H$91)</f>
        <v>237053.74</v>
      </c>
      <c r="R129" s="33">
        <f>IF(Sheet1!K37="", "", Sheet1!K37/$H$91)</f>
        <v>231982.05</v>
      </c>
      <c r="S129" s="33">
        <f>IF(Sheet1!L37="", "", Sheet1!L37/$H$91)</f>
        <v>224879.82</v>
      </c>
      <c r="T129" s="33" t="str">
        <f>IF(Sheet1!M37="", "", Sheet1!M37/$H$91)</f>
        <v/>
      </c>
      <c r="U129" s="33" t="str">
        <f>IF(Sheet1!N37="", "", Sheet1!N37/$H$91)</f>
        <v/>
      </c>
      <c r="V129" s="33" t="str">
        <f>IF(Sheet1!O37="", "", Sheet1!O37/$H$91)</f>
        <v/>
      </c>
      <c r="W129" s="33" t="str">
        <f>IF(Sheet1!P37="", "", Sheet1!P37/$H$91)</f>
        <v/>
      </c>
      <c r="X129" s="33" t="str">
        <f>IF(Sheet1!Q37="", "", Sheet1!Q37/$H$91)</f>
        <v/>
      </c>
      <c r="Y129" s="33" t="str">
        <f>IF(Sheet1!R37="", "", Sheet1!R37/$H$91)</f>
        <v/>
      </c>
      <c r="Z129" s="33" t="str">
        <f>IF(Sheet1!S37="", "", Sheet1!S37/$H$91)</f>
        <v/>
      </c>
      <c r="AA129" s="33" t="str">
        <f>IF(Sheet1!T37="", "", Sheet1!T37/$H$91)</f>
        <v/>
      </c>
      <c r="AB129" s="33" t="str">
        <f>IF(Sheet1!U37="", "", Sheet1!U37/$H$91)</f>
        <v/>
      </c>
      <c r="AC129" s="33" t="str">
        <f>IF(Sheet1!V37="", "", Sheet1!V37/$H$91)</f>
        <v/>
      </c>
      <c r="AD129" s="33" t="str">
        <f>IF(Sheet1!W37="", "", Sheet1!W37/$H$91)</f>
        <v/>
      </c>
      <c r="AE129" s="33" t="str">
        <f>IF(Sheet1!X37="", "", Sheet1!X37/$H$91)</f>
        <v/>
      </c>
      <c r="AF129" s="33" t="str">
        <f>IF(Sheet1!Y37="", "", Sheet1!Y37/$H$91)</f>
        <v/>
      </c>
      <c r="AG129" s="33" t="str">
        <f>IF(Sheet1!Z37="", "", Sheet1!Z37/$H$91)</f>
        <v/>
      </c>
      <c r="AH129" s="33" t="str">
        <f>IF(Sheet1!AA37="", "", Sheet1!AA37/$H$91)</f>
        <v/>
      </c>
      <c r="AI129" s="33" t="str">
        <f>IF(Sheet1!AB37="", "", Sheet1!AB37/$H$91)</f>
        <v/>
      </c>
      <c r="AJ129" s="33" t="str">
        <f>IF(Sheet1!AC37="", "", Sheet1!AC37/$H$91)</f>
        <v/>
      </c>
      <c r="AK129" s="33" t="str">
        <f>IF(Sheet1!AD37="", "", Sheet1!AD37/$H$91)</f>
        <v/>
      </c>
      <c r="AL129" s="33" t="str">
        <f>IF(Sheet1!AE37="", "", Sheet1!AE37/$H$91)</f>
        <v/>
      </c>
      <c r="AM129" s="33" t="str">
        <f>IF(Sheet1!AF37="", "", Sheet1!AF37/$H$91)</f>
        <v/>
      </c>
      <c r="AN129" s="33" t="str">
        <f>IF(Sheet1!AG37="", "", Sheet1!AG37/$H$91)</f>
        <v/>
      </c>
      <c r="AO129" s="33" t="str">
        <f>IF(Sheet1!AH37="", "", Sheet1!AH37/$H$91)</f>
        <v/>
      </c>
      <c r="AP129" s="33" t="str">
        <f>IF(Sheet1!AI37="", "", Sheet1!AI37/$H$91)</f>
        <v/>
      </c>
      <c r="AQ129" s="33" t="str">
        <f>IF(Sheet1!AJ37="", "", Sheet1!AJ37/$H$91)</f>
        <v/>
      </c>
      <c r="AR129" s="33" t="str">
        <f>IF(Sheet1!AK37="", "", Sheet1!AK37/$H$91)</f>
        <v/>
      </c>
      <c r="AS129" s="33" t="str">
        <f>IF(Sheet1!AL37="", "", Sheet1!AL37/$H$91)</f>
        <v/>
      </c>
    </row>
    <row r="130" spans="1:45" s="30" customFormat="1" x14ac:dyDescent="0.3">
      <c r="A130"/>
      <c r="B130"/>
      <c r="C130">
        <v>34</v>
      </c>
      <c r="D130" t="s">
        <v>150</v>
      </c>
      <c r="E130"/>
      <c r="F130" t="s">
        <v>151</v>
      </c>
      <c r="G130"/>
      <c r="H130"/>
      <c r="I130" s="21"/>
      <c r="J130" s="10" t="str">
        <f t="shared" si="0"/>
        <v>예수부채</v>
      </c>
      <c r="K130" s="33">
        <f>IF(Sheet1!D38="", "", Sheet1!D38/$H$91)</f>
        <v>-24147.51</v>
      </c>
      <c r="L130" s="33">
        <f>IF(Sheet1!E38="", "", Sheet1!E38/$H$91)</f>
        <v>-11493.4</v>
      </c>
      <c r="M130" s="33">
        <f>IF(Sheet1!F38="", "", Sheet1!F38/$H$91)</f>
        <v>-4766.3999999999996</v>
      </c>
      <c r="N130" s="33">
        <f>IF(Sheet1!G38="", "", Sheet1!G38/$H$91)</f>
        <v>-11493.4</v>
      </c>
      <c r="O130" s="33">
        <f>IF(Sheet1!H38="", "", Sheet1!H38/$H$91)</f>
        <v>-24147.51</v>
      </c>
      <c r="P130" s="33">
        <f>IF(Sheet1!I38="", "", Sheet1!I38/$H$91)</f>
        <v>-11493.4</v>
      </c>
      <c r="Q130" s="33">
        <f>IF(Sheet1!J38="", "", Sheet1!J38/$H$91)</f>
        <v>-4766.3999999999996</v>
      </c>
      <c r="R130" s="33">
        <f>IF(Sheet1!K38="", "", Sheet1!K38/$H$91)</f>
        <v>-11493.4</v>
      </c>
      <c r="S130" s="33">
        <f>IF(Sheet1!L38="", "", Sheet1!L38/$H$91)</f>
        <v>-11493.4</v>
      </c>
      <c r="T130" s="33" t="str">
        <f>IF(Sheet1!M38="", "", Sheet1!M38/$H$91)</f>
        <v/>
      </c>
      <c r="U130" s="33" t="str">
        <f>IF(Sheet1!N38="", "", Sheet1!N38/$H$91)</f>
        <v/>
      </c>
      <c r="V130" s="33" t="str">
        <f>IF(Sheet1!O38="", "", Sheet1!O38/$H$91)</f>
        <v/>
      </c>
      <c r="W130" s="33" t="str">
        <f>IF(Sheet1!P38="", "", Sheet1!P38/$H$91)</f>
        <v/>
      </c>
      <c r="X130" s="33" t="str">
        <f>IF(Sheet1!Q38="", "", Sheet1!Q38/$H$91)</f>
        <v/>
      </c>
      <c r="Y130" s="33" t="str">
        <f>IF(Sheet1!R38="", "", Sheet1!R38/$H$91)</f>
        <v/>
      </c>
      <c r="Z130" s="33" t="str">
        <f>IF(Sheet1!S38="", "", Sheet1!S38/$H$91)</f>
        <v/>
      </c>
      <c r="AA130" s="33" t="str">
        <f>IF(Sheet1!T38="", "", Sheet1!T38/$H$91)</f>
        <v/>
      </c>
      <c r="AB130" s="33" t="str">
        <f>IF(Sheet1!U38="", "", Sheet1!U38/$H$91)</f>
        <v/>
      </c>
      <c r="AC130" s="33" t="str">
        <f>IF(Sheet1!V38="", "", Sheet1!V38/$H$91)</f>
        <v/>
      </c>
      <c r="AD130" s="33" t="str">
        <f>IF(Sheet1!W38="", "", Sheet1!W38/$H$91)</f>
        <v/>
      </c>
      <c r="AE130" s="33" t="str">
        <f>IF(Sheet1!X38="", "", Sheet1!X38/$H$91)</f>
        <v/>
      </c>
      <c r="AF130" s="33" t="str">
        <f>IF(Sheet1!Y38="", "", Sheet1!Y38/$H$91)</f>
        <v/>
      </c>
      <c r="AG130" s="33" t="str">
        <f>IF(Sheet1!Z38="", "", Sheet1!Z38/$H$91)</f>
        <v/>
      </c>
      <c r="AH130" s="33" t="str">
        <f>IF(Sheet1!AA38="", "", Sheet1!AA38/$H$91)</f>
        <v/>
      </c>
      <c r="AI130" s="33" t="str">
        <f>IF(Sheet1!AB38="", "", Sheet1!AB38/$H$91)</f>
        <v/>
      </c>
      <c r="AJ130" s="33" t="str">
        <f>IF(Sheet1!AC38="", "", Sheet1!AC38/$H$91)</f>
        <v/>
      </c>
      <c r="AK130" s="33" t="str">
        <f>IF(Sheet1!AD38="", "", Sheet1!AD38/$H$91)</f>
        <v/>
      </c>
      <c r="AL130" s="33" t="str">
        <f>IF(Sheet1!AE38="", "", Sheet1!AE38/$H$91)</f>
        <v/>
      </c>
      <c r="AM130" s="33" t="str">
        <f>IF(Sheet1!AF38="", "", Sheet1!AF38/$H$91)</f>
        <v/>
      </c>
      <c r="AN130" s="33" t="str">
        <f>IF(Sheet1!AG38="", "", Sheet1!AG38/$H$91)</f>
        <v/>
      </c>
      <c r="AO130" s="33" t="str">
        <f>IF(Sheet1!AH38="", "", Sheet1!AH38/$H$91)</f>
        <v/>
      </c>
      <c r="AP130" s="33" t="str">
        <f>IF(Sheet1!AI38="", "", Sheet1!AI38/$H$91)</f>
        <v/>
      </c>
      <c r="AQ130" s="33" t="str">
        <f>IF(Sheet1!AJ38="", "", Sheet1!AJ38/$H$91)</f>
        <v/>
      </c>
      <c r="AR130" s="33" t="str">
        <f>IF(Sheet1!AK38="", "", Sheet1!AK38/$H$91)</f>
        <v/>
      </c>
      <c r="AS130" s="33" t="str">
        <f>IF(Sheet1!AL38="", "", Sheet1!AL38/$H$91)</f>
        <v/>
      </c>
    </row>
    <row r="131" spans="1:45" s="30" customFormat="1" x14ac:dyDescent="0.3">
      <c r="A131"/>
      <c r="B131"/>
      <c r="C131">
        <v>35</v>
      </c>
      <c r="D131"/>
      <c r="E131"/>
      <c r="F131" t="s">
        <v>152</v>
      </c>
      <c r="G131"/>
      <c r="H131"/>
      <c r="I131" s="21"/>
      <c r="J131" s="10" t="str">
        <f t="shared" si="0"/>
        <v/>
      </c>
      <c r="K131" s="33" t="str">
        <f>IF(Sheet1!D39="", "", Sheet1!D39/$H$91)</f>
        <v/>
      </c>
      <c r="L131" s="33" t="str">
        <f>IF(Sheet1!E39="", "", Sheet1!E39/$H$91)</f>
        <v/>
      </c>
      <c r="M131" s="33" t="str">
        <f>IF(Sheet1!F39="", "", Sheet1!F39/$H$91)</f>
        <v/>
      </c>
      <c r="N131" s="33" t="str">
        <f>IF(Sheet1!G39="", "", Sheet1!G39/$H$91)</f>
        <v/>
      </c>
      <c r="O131" s="33" t="str">
        <f>IF(Sheet1!H39="", "", Sheet1!H39/$H$91)</f>
        <v/>
      </c>
      <c r="P131" s="33" t="str">
        <f>IF(Sheet1!I39="", "", Sheet1!I39/$H$91)</f>
        <v/>
      </c>
      <c r="Q131" s="33" t="str">
        <f>IF(Sheet1!J39="", "", Sheet1!J39/$H$91)</f>
        <v/>
      </c>
      <c r="R131" s="33" t="str">
        <f>IF(Sheet1!K39="", "", Sheet1!K39/$H$91)</f>
        <v/>
      </c>
      <c r="S131" s="33" t="str">
        <f>IF(Sheet1!L39="", "", Sheet1!L39/$H$91)</f>
        <v/>
      </c>
      <c r="T131" s="33" t="str">
        <f>IF(Sheet1!M39="", "", Sheet1!M39/$H$91)</f>
        <v/>
      </c>
      <c r="U131" s="33" t="str">
        <f>IF(Sheet1!N39="", "", Sheet1!N39/$H$91)</f>
        <v/>
      </c>
      <c r="V131" s="33" t="str">
        <f>IF(Sheet1!O39="", "", Sheet1!O39/$H$91)</f>
        <v/>
      </c>
      <c r="W131" s="33" t="str">
        <f>IF(Sheet1!P39="", "", Sheet1!P39/$H$91)</f>
        <v/>
      </c>
      <c r="X131" s="33" t="str">
        <f>IF(Sheet1!Q39="", "", Sheet1!Q39/$H$91)</f>
        <v/>
      </c>
      <c r="Y131" s="33" t="str">
        <f>IF(Sheet1!R39="", "", Sheet1!R39/$H$91)</f>
        <v/>
      </c>
      <c r="Z131" s="33" t="str">
        <f>IF(Sheet1!S39="", "", Sheet1!S39/$H$91)</f>
        <v/>
      </c>
      <c r="AA131" s="33" t="str">
        <f>IF(Sheet1!T39="", "", Sheet1!T39/$H$91)</f>
        <v/>
      </c>
      <c r="AB131" s="33" t="str">
        <f>IF(Sheet1!U39="", "", Sheet1!U39/$H$91)</f>
        <v/>
      </c>
      <c r="AC131" s="33" t="str">
        <f>IF(Sheet1!V39="", "", Sheet1!V39/$H$91)</f>
        <v/>
      </c>
      <c r="AD131" s="33" t="str">
        <f>IF(Sheet1!W39="", "", Sheet1!W39/$H$91)</f>
        <v/>
      </c>
      <c r="AE131" s="33" t="str">
        <f>IF(Sheet1!X39="", "", Sheet1!X39/$H$91)</f>
        <v/>
      </c>
      <c r="AF131" s="33" t="str">
        <f>IF(Sheet1!Y39="", "", Sheet1!Y39/$H$91)</f>
        <v/>
      </c>
      <c r="AG131" s="33" t="str">
        <f>IF(Sheet1!Z39="", "", Sheet1!Z39/$H$91)</f>
        <v/>
      </c>
      <c r="AH131" s="33" t="str">
        <f>IF(Sheet1!AA39="", "", Sheet1!AA39/$H$91)</f>
        <v/>
      </c>
      <c r="AI131" s="33" t="str">
        <f>IF(Sheet1!AB39="", "", Sheet1!AB39/$H$91)</f>
        <v/>
      </c>
      <c r="AJ131" s="33" t="str">
        <f>IF(Sheet1!AC39="", "", Sheet1!AC39/$H$91)</f>
        <v/>
      </c>
      <c r="AK131" s="33" t="str">
        <f>IF(Sheet1!AD39="", "", Sheet1!AD39/$H$91)</f>
        <v/>
      </c>
      <c r="AL131" s="33" t="str">
        <f>IF(Sheet1!AE39="", "", Sheet1!AE39/$H$91)</f>
        <v/>
      </c>
      <c r="AM131" s="33" t="str">
        <f>IF(Sheet1!AF39="", "", Sheet1!AF39/$H$91)</f>
        <v/>
      </c>
      <c r="AN131" s="33" t="str">
        <f>IF(Sheet1!AG39="", "", Sheet1!AG39/$H$91)</f>
        <v/>
      </c>
      <c r="AO131" s="33" t="str">
        <f>IF(Sheet1!AH39="", "", Sheet1!AH39/$H$91)</f>
        <v/>
      </c>
      <c r="AP131" s="33" t="str">
        <f>IF(Sheet1!AI39="", "", Sheet1!AI39/$H$91)</f>
        <v/>
      </c>
      <c r="AQ131" s="33" t="str">
        <f>IF(Sheet1!AJ39="", "", Sheet1!AJ39/$H$91)</f>
        <v/>
      </c>
      <c r="AR131" s="33" t="str">
        <f>IF(Sheet1!AK39="", "", Sheet1!AK39/$H$91)</f>
        <v/>
      </c>
      <c r="AS131" s="33" t="str">
        <f>IF(Sheet1!AL39="", "", Sheet1!AL39/$H$91)</f>
        <v/>
      </c>
    </row>
    <row r="132" spans="1:45" s="30" customFormat="1" x14ac:dyDescent="0.3">
      <c r="A132"/>
      <c r="B132"/>
      <c r="C132">
        <v>36</v>
      </c>
      <c r="D132"/>
      <c r="E132"/>
      <c r="F132" t="s">
        <v>153</v>
      </c>
      <c r="G132"/>
      <c r="H132"/>
      <c r="I132" s="21"/>
      <c r="J132" s="10" t="str">
        <f t="shared" si="0"/>
        <v/>
      </c>
      <c r="K132" s="33" t="str">
        <f>IF(Sheet1!D40="", "", Sheet1!D40/$H$91)</f>
        <v/>
      </c>
      <c r="L132" s="33" t="str">
        <f>IF(Sheet1!E40="", "", Sheet1!E40/$H$91)</f>
        <v/>
      </c>
      <c r="M132" s="33" t="str">
        <f>IF(Sheet1!F40="", "", Sheet1!F40/$H$91)</f>
        <v/>
      </c>
      <c r="N132" s="33" t="str">
        <f>IF(Sheet1!G40="", "", Sheet1!G40/$H$91)</f>
        <v/>
      </c>
      <c r="O132" s="33" t="str">
        <f>IF(Sheet1!H40="", "", Sheet1!H40/$H$91)</f>
        <v/>
      </c>
      <c r="P132" s="33" t="str">
        <f>IF(Sheet1!I40="", "", Sheet1!I40/$H$91)</f>
        <v/>
      </c>
      <c r="Q132" s="33" t="str">
        <f>IF(Sheet1!J40="", "", Sheet1!J40/$H$91)</f>
        <v/>
      </c>
      <c r="R132" s="33" t="str">
        <f>IF(Sheet1!K40="", "", Sheet1!K40/$H$91)</f>
        <v/>
      </c>
      <c r="S132" s="33" t="str">
        <f>IF(Sheet1!L40="", "", Sheet1!L40/$H$91)</f>
        <v/>
      </c>
      <c r="T132" s="33" t="str">
        <f>IF(Sheet1!M40="", "", Sheet1!M40/$H$91)</f>
        <v/>
      </c>
      <c r="U132" s="33" t="str">
        <f>IF(Sheet1!N40="", "", Sheet1!N40/$H$91)</f>
        <v/>
      </c>
      <c r="V132" s="33" t="str">
        <f>IF(Sheet1!O40="", "", Sheet1!O40/$H$91)</f>
        <v/>
      </c>
      <c r="W132" s="33" t="str">
        <f>IF(Sheet1!P40="", "", Sheet1!P40/$H$91)</f>
        <v/>
      </c>
      <c r="X132" s="33" t="str">
        <f>IF(Sheet1!Q40="", "", Sheet1!Q40/$H$91)</f>
        <v/>
      </c>
      <c r="Y132" s="33" t="str">
        <f>IF(Sheet1!R40="", "", Sheet1!R40/$H$91)</f>
        <v/>
      </c>
      <c r="Z132" s="33" t="str">
        <f>IF(Sheet1!S40="", "", Sheet1!S40/$H$91)</f>
        <v/>
      </c>
      <c r="AA132" s="33" t="str">
        <f>IF(Sheet1!T40="", "", Sheet1!T40/$H$91)</f>
        <v/>
      </c>
      <c r="AB132" s="33" t="str">
        <f>IF(Sheet1!U40="", "", Sheet1!U40/$H$91)</f>
        <v/>
      </c>
      <c r="AC132" s="33" t="str">
        <f>IF(Sheet1!V40="", "", Sheet1!V40/$H$91)</f>
        <v/>
      </c>
      <c r="AD132" s="33" t="str">
        <f>IF(Sheet1!W40="", "", Sheet1!W40/$H$91)</f>
        <v/>
      </c>
      <c r="AE132" s="33" t="str">
        <f>IF(Sheet1!X40="", "", Sheet1!X40/$H$91)</f>
        <v/>
      </c>
      <c r="AF132" s="33" t="str">
        <f>IF(Sheet1!Y40="", "", Sheet1!Y40/$H$91)</f>
        <v/>
      </c>
      <c r="AG132" s="33" t="str">
        <f>IF(Sheet1!Z40="", "", Sheet1!Z40/$H$91)</f>
        <v/>
      </c>
      <c r="AH132" s="33" t="str">
        <f>IF(Sheet1!AA40="", "", Sheet1!AA40/$H$91)</f>
        <v/>
      </c>
      <c r="AI132" s="33" t="str">
        <f>IF(Sheet1!AB40="", "", Sheet1!AB40/$H$91)</f>
        <v/>
      </c>
      <c r="AJ132" s="33" t="str">
        <f>IF(Sheet1!AC40="", "", Sheet1!AC40/$H$91)</f>
        <v/>
      </c>
      <c r="AK132" s="33" t="str">
        <f>IF(Sheet1!AD40="", "", Sheet1!AD40/$H$91)</f>
        <v/>
      </c>
      <c r="AL132" s="33" t="str">
        <f>IF(Sheet1!AE40="", "", Sheet1!AE40/$H$91)</f>
        <v/>
      </c>
      <c r="AM132" s="33" t="str">
        <f>IF(Sheet1!AF40="", "", Sheet1!AF40/$H$91)</f>
        <v/>
      </c>
      <c r="AN132" s="33" t="str">
        <f>IF(Sheet1!AG40="", "", Sheet1!AG40/$H$91)</f>
        <v/>
      </c>
      <c r="AO132" s="33" t="str">
        <f>IF(Sheet1!AH40="", "", Sheet1!AH40/$H$91)</f>
        <v/>
      </c>
      <c r="AP132" s="33" t="str">
        <f>IF(Sheet1!AI40="", "", Sheet1!AI40/$H$91)</f>
        <v/>
      </c>
      <c r="AQ132" s="33" t="str">
        <f>IF(Sheet1!AJ40="", "", Sheet1!AJ40/$H$91)</f>
        <v/>
      </c>
      <c r="AR132" s="33" t="str">
        <f>IF(Sheet1!AK40="", "", Sheet1!AK40/$H$91)</f>
        <v/>
      </c>
      <c r="AS132" s="33" t="str">
        <f>IF(Sheet1!AL40="", "", Sheet1!AL40/$H$91)</f>
        <v/>
      </c>
    </row>
    <row r="133" spans="1:45" s="30" customFormat="1" x14ac:dyDescent="0.3">
      <c r="A133"/>
      <c r="B133"/>
      <c r="C133">
        <v>37</v>
      </c>
      <c r="D133"/>
      <c r="E133"/>
      <c r="F133" t="s">
        <v>154</v>
      </c>
      <c r="G133"/>
      <c r="H133"/>
      <c r="I133" s="21"/>
      <c r="J133" s="10" t="str">
        <f t="shared" si="0"/>
        <v/>
      </c>
      <c r="K133" s="33" t="str">
        <f>IF(Sheet1!D41="", "", Sheet1!D41/$H$91)</f>
        <v/>
      </c>
      <c r="L133" s="33" t="str">
        <f>IF(Sheet1!E41="", "", Sheet1!E41/$H$91)</f>
        <v/>
      </c>
      <c r="M133" s="33" t="str">
        <f>IF(Sheet1!F41="", "", Sheet1!F41/$H$91)</f>
        <v/>
      </c>
      <c r="N133" s="33" t="str">
        <f>IF(Sheet1!G41="", "", Sheet1!G41/$H$91)</f>
        <v/>
      </c>
      <c r="O133" s="33" t="str">
        <f>IF(Sheet1!H41="", "", Sheet1!H41/$H$91)</f>
        <v/>
      </c>
      <c r="P133" s="33" t="str">
        <f>IF(Sheet1!I41="", "", Sheet1!I41/$H$91)</f>
        <v/>
      </c>
      <c r="Q133" s="33" t="str">
        <f>IF(Sheet1!J41="", "", Sheet1!J41/$H$91)</f>
        <v/>
      </c>
      <c r="R133" s="33" t="str">
        <f>IF(Sheet1!K41="", "", Sheet1!K41/$H$91)</f>
        <v/>
      </c>
      <c r="S133" s="33" t="str">
        <f>IF(Sheet1!L41="", "", Sheet1!L41/$H$91)</f>
        <v/>
      </c>
      <c r="T133" s="33" t="str">
        <f>IF(Sheet1!M41="", "", Sheet1!M41/$H$91)</f>
        <v/>
      </c>
      <c r="U133" s="33" t="str">
        <f>IF(Sheet1!N41="", "", Sheet1!N41/$H$91)</f>
        <v/>
      </c>
      <c r="V133" s="33" t="str">
        <f>IF(Sheet1!O41="", "", Sheet1!O41/$H$91)</f>
        <v/>
      </c>
      <c r="W133" s="33" t="str">
        <f>IF(Sheet1!P41="", "", Sheet1!P41/$H$91)</f>
        <v/>
      </c>
      <c r="X133" s="33" t="str">
        <f>IF(Sheet1!Q41="", "", Sheet1!Q41/$H$91)</f>
        <v/>
      </c>
      <c r="Y133" s="33" t="str">
        <f>IF(Sheet1!R41="", "", Sheet1!R41/$H$91)</f>
        <v/>
      </c>
      <c r="Z133" s="33" t="str">
        <f>IF(Sheet1!S41="", "", Sheet1!S41/$H$91)</f>
        <v/>
      </c>
      <c r="AA133" s="33" t="str">
        <f>IF(Sheet1!T41="", "", Sheet1!T41/$H$91)</f>
        <v/>
      </c>
      <c r="AB133" s="33" t="str">
        <f>IF(Sheet1!U41="", "", Sheet1!U41/$H$91)</f>
        <v/>
      </c>
      <c r="AC133" s="33" t="str">
        <f>IF(Sheet1!V41="", "", Sheet1!V41/$H$91)</f>
        <v/>
      </c>
      <c r="AD133" s="33" t="str">
        <f>IF(Sheet1!W41="", "", Sheet1!W41/$H$91)</f>
        <v/>
      </c>
      <c r="AE133" s="33" t="str">
        <f>IF(Sheet1!X41="", "", Sheet1!X41/$H$91)</f>
        <v/>
      </c>
      <c r="AF133" s="33" t="str">
        <f>IF(Sheet1!Y41="", "", Sheet1!Y41/$H$91)</f>
        <v/>
      </c>
      <c r="AG133" s="33" t="str">
        <f>IF(Sheet1!Z41="", "", Sheet1!Z41/$H$91)</f>
        <v/>
      </c>
      <c r="AH133" s="33" t="str">
        <f>IF(Sheet1!AA41="", "", Sheet1!AA41/$H$91)</f>
        <v/>
      </c>
      <c r="AI133" s="33" t="str">
        <f>IF(Sheet1!AB41="", "", Sheet1!AB41/$H$91)</f>
        <v/>
      </c>
      <c r="AJ133" s="33" t="str">
        <f>IF(Sheet1!AC41="", "", Sheet1!AC41/$H$91)</f>
        <v/>
      </c>
      <c r="AK133" s="33" t="str">
        <f>IF(Sheet1!AD41="", "", Sheet1!AD41/$H$91)</f>
        <v/>
      </c>
      <c r="AL133" s="33" t="str">
        <f>IF(Sheet1!AE41="", "", Sheet1!AE41/$H$91)</f>
        <v/>
      </c>
      <c r="AM133" s="33" t="str">
        <f>IF(Sheet1!AF41="", "", Sheet1!AF41/$H$91)</f>
        <v/>
      </c>
      <c r="AN133" s="33" t="str">
        <f>IF(Sheet1!AG41="", "", Sheet1!AG41/$H$91)</f>
        <v/>
      </c>
      <c r="AO133" s="33" t="str">
        <f>IF(Sheet1!AH41="", "", Sheet1!AH41/$H$91)</f>
        <v/>
      </c>
      <c r="AP133" s="33" t="str">
        <f>IF(Sheet1!AI41="", "", Sheet1!AI41/$H$91)</f>
        <v/>
      </c>
      <c r="AQ133" s="33" t="str">
        <f>IF(Sheet1!AJ41="", "", Sheet1!AJ41/$H$91)</f>
        <v/>
      </c>
      <c r="AR133" s="33" t="str">
        <f>IF(Sheet1!AK41="", "", Sheet1!AK41/$H$91)</f>
        <v/>
      </c>
      <c r="AS133" s="33" t="str">
        <f>IF(Sheet1!AL41="", "", Sheet1!AL41/$H$91)</f>
        <v/>
      </c>
    </row>
    <row r="134" spans="1:45" s="30" customFormat="1" x14ac:dyDescent="0.3">
      <c r="A134"/>
      <c r="B134"/>
      <c r="C134">
        <v>38</v>
      </c>
      <c r="D134"/>
      <c r="E134"/>
      <c r="F134" t="s">
        <v>155</v>
      </c>
      <c r="G134"/>
      <c r="H134"/>
      <c r="I134" s="21"/>
      <c r="J134" s="10" t="str">
        <f t="shared" si="0"/>
        <v/>
      </c>
      <c r="K134" s="33" t="str">
        <f>IF(Sheet1!D42="", "", Sheet1!D42/$H$91)</f>
        <v/>
      </c>
      <c r="L134" s="33" t="str">
        <f>IF(Sheet1!E42="", "", Sheet1!E42/$H$91)</f>
        <v/>
      </c>
      <c r="M134" s="33" t="str">
        <f>IF(Sheet1!F42="", "", Sheet1!F42/$H$91)</f>
        <v/>
      </c>
      <c r="N134" s="33" t="str">
        <f>IF(Sheet1!G42="", "", Sheet1!G42/$H$91)</f>
        <v/>
      </c>
      <c r="O134" s="33" t="str">
        <f>IF(Sheet1!H42="", "", Sheet1!H42/$H$91)</f>
        <v/>
      </c>
      <c r="P134" s="33" t="str">
        <f>IF(Sheet1!I42="", "", Sheet1!I42/$H$91)</f>
        <v/>
      </c>
      <c r="Q134" s="33" t="str">
        <f>IF(Sheet1!J42="", "", Sheet1!J42/$H$91)</f>
        <v/>
      </c>
      <c r="R134" s="33" t="str">
        <f>IF(Sheet1!K42="", "", Sheet1!K42/$H$91)</f>
        <v/>
      </c>
      <c r="S134" s="33" t="str">
        <f>IF(Sheet1!L42="", "", Sheet1!L42/$H$91)</f>
        <v/>
      </c>
      <c r="T134" s="33" t="str">
        <f>IF(Sheet1!M42="", "", Sheet1!M42/$H$91)</f>
        <v/>
      </c>
      <c r="U134" s="33" t="str">
        <f>IF(Sheet1!N42="", "", Sheet1!N42/$H$91)</f>
        <v/>
      </c>
      <c r="V134" s="33" t="str">
        <f>IF(Sheet1!O42="", "", Sheet1!O42/$H$91)</f>
        <v/>
      </c>
      <c r="W134" s="33" t="str">
        <f>IF(Sheet1!P42="", "", Sheet1!P42/$H$91)</f>
        <v/>
      </c>
      <c r="X134" s="33" t="str">
        <f>IF(Sheet1!Q42="", "", Sheet1!Q42/$H$91)</f>
        <v/>
      </c>
      <c r="Y134" s="33" t="str">
        <f>IF(Sheet1!R42="", "", Sheet1!R42/$H$91)</f>
        <v/>
      </c>
      <c r="Z134" s="33" t="str">
        <f>IF(Sheet1!S42="", "", Sheet1!S42/$H$91)</f>
        <v/>
      </c>
      <c r="AA134" s="33" t="str">
        <f>IF(Sheet1!T42="", "", Sheet1!T42/$H$91)</f>
        <v/>
      </c>
      <c r="AB134" s="33" t="str">
        <f>IF(Sheet1!U42="", "", Sheet1!U42/$H$91)</f>
        <v/>
      </c>
      <c r="AC134" s="33" t="str">
        <f>IF(Sheet1!V42="", "", Sheet1!V42/$H$91)</f>
        <v/>
      </c>
      <c r="AD134" s="33" t="str">
        <f>IF(Sheet1!W42="", "", Sheet1!W42/$H$91)</f>
        <v/>
      </c>
      <c r="AE134" s="33" t="str">
        <f>IF(Sheet1!X42="", "", Sheet1!X42/$H$91)</f>
        <v/>
      </c>
      <c r="AF134" s="33" t="str">
        <f>IF(Sheet1!Y42="", "", Sheet1!Y42/$H$91)</f>
        <v/>
      </c>
      <c r="AG134" s="33" t="str">
        <f>IF(Sheet1!Z42="", "", Sheet1!Z42/$H$91)</f>
        <v/>
      </c>
      <c r="AH134" s="33" t="str">
        <f>IF(Sheet1!AA42="", "", Sheet1!AA42/$H$91)</f>
        <v/>
      </c>
      <c r="AI134" s="33" t="str">
        <f>IF(Sheet1!AB42="", "", Sheet1!AB42/$H$91)</f>
        <v/>
      </c>
      <c r="AJ134" s="33" t="str">
        <f>IF(Sheet1!AC42="", "", Sheet1!AC42/$H$91)</f>
        <v/>
      </c>
      <c r="AK134" s="33" t="str">
        <f>IF(Sheet1!AD42="", "", Sheet1!AD42/$H$91)</f>
        <v/>
      </c>
      <c r="AL134" s="33" t="str">
        <f>IF(Sheet1!AE42="", "", Sheet1!AE42/$H$91)</f>
        <v/>
      </c>
      <c r="AM134" s="33" t="str">
        <f>IF(Sheet1!AF42="", "", Sheet1!AF42/$H$91)</f>
        <v/>
      </c>
      <c r="AN134" s="33" t="str">
        <f>IF(Sheet1!AG42="", "", Sheet1!AG42/$H$91)</f>
        <v/>
      </c>
      <c r="AO134" s="33" t="str">
        <f>IF(Sheet1!AH42="", "", Sheet1!AH42/$H$91)</f>
        <v/>
      </c>
      <c r="AP134" s="33" t="str">
        <f>IF(Sheet1!AI42="", "", Sheet1!AI42/$H$91)</f>
        <v/>
      </c>
      <c r="AQ134" s="33" t="str">
        <f>IF(Sheet1!AJ42="", "", Sheet1!AJ42/$H$91)</f>
        <v/>
      </c>
      <c r="AR134" s="33" t="str">
        <f>IF(Sheet1!AK42="", "", Sheet1!AK42/$H$91)</f>
        <v/>
      </c>
      <c r="AS134" s="33" t="str">
        <f>IF(Sheet1!AL42="", "", Sheet1!AL42/$H$91)</f>
        <v/>
      </c>
    </row>
    <row r="135" spans="1:45" s="30" customFormat="1" x14ac:dyDescent="0.3">
      <c r="A135"/>
      <c r="B135"/>
      <c r="C135">
        <v>39</v>
      </c>
      <c r="D135"/>
      <c r="E135"/>
      <c r="F135" t="s">
        <v>165</v>
      </c>
      <c r="G135"/>
      <c r="H135"/>
      <c r="I135" s="21"/>
      <c r="J135" s="10" t="str">
        <f t="shared" si="0"/>
        <v/>
      </c>
      <c r="K135" s="33" t="str">
        <f>IF(Sheet1!D43="", "", Sheet1!D43/$H$91)</f>
        <v/>
      </c>
      <c r="L135" s="33" t="str">
        <f>IF(Sheet1!E43="", "", Sheet1!E43/$H$91)</f>
        <v/>
      </c>
      <c r="M135" s="33" t="str">
        <f>IF(Sheet1!F43="", "", Sheet1!F43/$H$91)</f>
        <v/>
      </c>
      <c r="N135" s="33" t="str">
        <f>IF(Sheet1!G43="", "", Sheet1!G43/$H$91)</f>
        <v/>
      </c>
      <c r="O135" s="33" t="str">
        <f>IF(Sheet1!H43="", "", Sheet1!H43/$H$91)</f>
        <v/>
      </c>
      <c r="P135" s="33" t="str">
        <f>IF(Sheet1!I43="", "", Sheet1!I43/$H$91)</f>
        <v/>
      </c>
      <c r="Q135" s="33" t="str">
        <f>IF(Sheet1!J43="", "", Sheet1!J43/$H$91)</f>
        <v/>
      </c>
      <c r="R135" s="33" t="str">
        <f>IF(Sheet1!K43="", "", Sheet1!K43/$H$91)</f>
        <v/>
      </c>
      <c r="S135" s="33" t="str">
        <f>IF(Sheet1!L43="", "", Sheet1!L43/$H$91)</f>
        <v/>
      </c>
      <c r="T135" s="33" t="str">
        <f>IF(Sheet1!M43="", "", Sheet1!M43/$H$91)</f>
        <v/>
      </c>
      <c r="U135" s="33" t="str">
        <f>IF(Sheet1!N43="", "", Sheet1!N43/$H$91)</f>
        <v/>
      </c>
      <c r="V135" s="33" t="str">
        <f>IF(Sheet1!O43="", "", Sheet1!O43/$H$91)</f>
        <v/>
      </c>
      <c r="W135" s="33" t="str">
        <f>IF(Sheet1!P43="", "", Sheet1!P43/$H$91)</f>
        <v/>
      </c>
      <c r="X135" s="33" t="str">
        <f>IF(Sheet1!Q43="", "", Sheet1!Q43/$H$91)</f>
        <v/>
      </c>
      <c r="Y135" s="33" t="str">
        <f>IF(Sheet1!R43="", "", Sheet1!R43/$H$91)</f>
        <v/>
      </c>
      <c r="Z135" s="33" t="str">
        <f>IF(Sheet1!S43="", "", Sheet1!S43/$H$91)</f>
        <v/>
      </c>
      <c r="AA135" s="33" t="str">
        <f>IF(Sheet1!T43="", "", Sheet1!T43/$H$91)</f>
        <v/>
      </c>
      <c r="AB135" s="33" t="str">
        <f>IF(Sheet1!U43="", "", Sheet1!U43/$H$91)</f>
        <v/>
      </c>
      <c r="AC135" s="33" t="str">
        <f>IF(Sheet1!V43="", "", Sheet1!V43/$H$91)</f>
        <v/>
      </c>
      <c r="AD135" s="33" t="str">
        <f>IF(Sheet1!W43="", "", Sheet1!W43/$H$91)</f>
        <v/>
      </c>
      <c r="AE135" s="33" t="str">
        <f>IF(Sheet1!X43="", "", Sheet1!X43/$H$91)</f>
        <v/>
      </c>
      <c r="AF135" s="33" t="str">
        <f>IF(Sheet1!Y43="", "", Sheet1!Y43/$H$91)</f>
        <v/>
      </c>
      <c r="AG135" s="33" t="str">
        <f>IF(Sheet1!Z43="", "", Sheet1!Z43/$H$91)</f>
        <v/>
      </c>
      <c r="AH135" s="33" t="str">
        <f>IF(Sheet1!AA43="", "", Sheet1!AA43/$H$91)</f>
        <v/>
      </c>
      <c r="AI135" s="33" t="str">
        <f>IF(Sheet1!AB43="", "", Sheet1!AB43/$H$91)</f>
        <v/>
      </c>
      <c r="AJ135" s="33" t="str">
        <f>IF(Sheet1!AC43="", "", Sheet1!AC43/$H$91)</f>
        <v/>
      </c>
      <c r="AK135" s="33" t="str">
        <f>IF(Sheet1!AD43="", "", Sheet1!AD43/$H$91)</f>
        <v/>
      </c>
      <c r="AL135" s="33" t="str">
        <f>IF(Sheet1!AE43="", "", Sheet1!AE43/$H$91)</f>
        <v/>
      </c>
      <c r="AM135" s="33" t="str">
        <f>IF(Sheet1!AF43="", "", Sheet1!AF43/$H$91)</f>
        <v/>
      </c>
      <c r="AN135" s="33" t="str">
        <f>IF(Sheet1!AG43="", "", Sheet1!AG43/$H$91)</f>
        <v/>
      </c>
      <c r="AO135" s="33" t="str">
        <f>IF(Sheet1!AH43="", "", Sheet1!AH43/$H$91)</f>
        <v/>
      </c>
      <c r="AP135" s="33" t="str">
        <f>IF(Sheet1!AI43="", "", Sheet1!AI43/$H$91)</f>
        <v/>
      </c>
      <c r="AQ135" s="33" t="str">
        <f>IF(Sheet1!AJ43="", "", Sheet1!AJ43/$H$91)</f>
        <v/>
      </c>
      <c r="AR135" s="33" t="str">
        <f>IF(Sheet1!AK43="", "", Sheet1!AK43/$H$91)</f>
        <v/>
      </c>
      <c r="AS135" s="33" t="str">
        <f>IF(Sheet1!AL43="", "", Sheet1!AL43/$H$91)</f>
        <v/>
      </c>
    </row>
    <row r="136" spans="1:45" s="30" customFormat="1" x14ac:dyDescent="0.3">
      <c r="A136"/>
      <c r="B136"/>
      <c r="C136"/>
      <c r="D136"/>
      <c r="E136"/>
      <c r="F136"/>
      <c r="G136"/>
      <c r="H136"/>
      <c r="I136" s="2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</row>
    <row r="137" spans="1:45" x14ac:dyDescent="0.3"/>
    <row r="138" spans="1:45" x14ac:dyDescent="0.3"/>
    <row r="139" spans="1:45" x14ac:dyDescent="0.3"/>
    <row r="140" spans="1:45" hidden="1" x14ac:dyDescent="0.3"/>
    <row r="141" spans="1:45" hidden="1" x14ac:dyDescent="0.3"/>
    <row r="142" spans="1:45" hidden="1" x14ac:dyDescent="0.3"/>
    <row r="143" spans="1:45" hidden="1" x14ac:dyDescent="0.3"/>
    <row r="144" spans="1:45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spans="1:10009" hidden="1" x14ac:dyDescent="0.3"/>
    <row r="178" spans="1:10009" hidden="1" x14ac:dyDescent="0.3"/>
    <row r="179" spans="1:10009" hidden="1" x14ac:dyDescent="0.3"/>
    <row r="180" spans="1:10009" hidden="1" x14ac:dyDescent="0.3"/>
    <row r="181" spans="1:10009" hidden="1" x14ac:dyDescent="0.3"/>
    <row r="182" spans="1:10009" hidden="1" x14ac:dyDescent="0.3"/>
    <row r="183" spans="1:10009" hidden="1" x14ac:dyDescent="0.3"/>
    <row r="184" spans="1:10009" s="1" customFormat="1" ht="26.25" x14ac:dyDescent="0.3">
      <c r="A184"/>
      <c r="B184"/>
      <c r="C184"/>
      <c r="D184"/>
      <c r="E184"/>
      <c r="F184"/>
      <c r="G184"/>
      <c r="H184"/>
      <c r="I184" s="14"/>
      <c r="J184" s="35" t="s">
        <v>241</v>
      </c>
      <c r="K184" s="35"/>
      <c r="L184" s="35"/>
      <c r="M184" s="35"/>
      <c r="N184" s="35"/>
      <c r="O184" s="35"/>
      <c r="P184" s="35"/>
      <c r="Q184" s="35"/>
      <c r="R184" s="35"/>
      <c r="S184" s="35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</row>
    <row r="185" spans="1:10009" hidden="1" x14ac:dyDescent="0.3"/>
    <row r="186" spans="1:10009" hidden="1" x14ac:dyDescent="0.3">
      <c r="J186" t="str">
        <f ca="1">_xll.IMDH("STK",$N$5,J187:J188,$L$92-458,$O$5-365,9999,"Per=분기,sort=D,real=true,Bizday=0,Quote=종가,Pos=11,Orient=H,Cons="&amp;$P$5&amp;",Comp=순,Trai=연속,DtFmt=1,TmFmt=1,unit=true,title=분기성장성EPS-Y용")</f>
        <v>분기성장성EPS-Y용</v>
      </c>
    </row>
    <row r="187" spans="1:10009" hidden="1" x14ac:dyDescent="0.3">
      <c r="J187" t="s">
        <v>164</v>
      </c>
      <c r="K187" s="34">
        <v>44834</v>
      </c>
      <c r="L187" s="34">
        <v>44742</v>
      </c>
      <c r="M187" s="34">
        <v>44651</v>
      </c>
      <c r="N187" s="34">
        <v>44561</v>
      </c>
      <c r="O187" s="34">
        <v>44469</v>
      </c>
      <c r="P187" s="34">
        <v>44377</v>
      </c>
      <c r="Q187" s="34">
        <v>44286</v>
      </c>
      <c r="R187" s="34">
        <v>44196</v>
      </c>
      <c r="S187" s="34">
        <v>44104</v>
      </c>
      <c r="T187" s="34">
        <v>44012</v>
      </c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34"/>
      <c r="DW187" s="34"/>
      <c r="DX187" s="34"/>
      <c r="DY187" s="34"/>
      <c r="DZ187" s="34"/>
      <c r="EA187" s="34"/>
      <c r="EB187" s="34"/>
      <c r="EC187" s="34"/>
      <c r="ED187" s="34"/>
      <c r="EE187" s="34"/>
      <c r="EF187" s="34"/>
      <c r="EG187" s="34"/>
      <c r="EH187" s="34"/>
      <c r="EI187" s="34"/>
      <c r="EJ187" s="34"/>
      <c r="EK187" s="34"/>
      <c r="EL187" s="34"/>
      <c r="EM187" s="34"/>
      <c r="EN187" s="34"/>
      <c r="EO187" s="34"/>
      <c r="EP187" s="34"/>
      <c r="EQ187" s="34"/>
      <c r="ER187" s="34"/>
      <c r="ES187" s="34"/>
      <c r="ET187" s="34"/>
      <c r="EU187" s="34"/>
      <c r="EV187" s="34"/>
      <c r="EW187" s="34"/>
      <c r="EX187" s="34"/>
      <c r="EY187" s="34"/>
      <c r="EZ187" s="34"/>
      <c r="FA187" s="34"/>
      <c r="FB187" s="34"/>
      <c r="FC187" s="34"/>
      <c r="FD187" s="34"/>
      <c r="FE187" s="34"/>
      <c r="FF187" s="34"/>
      <c r="FG187" s="34"/>
      <c r="FH187" s="34"/>
      <c r="FI187" s="34"/>
      <c r="FJ187" s="34"/>
      <c r="FK187" s="34"/>
      <c r="FL187" s="34"/>
      <c r="FM187" s="34"/>
      <c r="FN187" s="34"/>
      <c r="FO187" s="34"/>
      <c r="FP187" s="34"/>
      <c r="FQ187" s="34"/>
      <c r="FR187" s="34"/>
      <c r="FS187" s="34"/>
      <c r="FT187" s="34"/>
      <c r="FU187" s="34"/>
      <c r="FV187" s="34"/>
      <c r="FW187" s="34"/>
      <c r="FX187" s="34"/>
      <c r="FY187" s="34"/>
      <c r="FZ187" s="34"/>
      <c r="GA187" s="34"/>
      <c r="GB187" s="34"/>
      <c r="GC187" s="34"/>
      <c r="GD187" s="34"/>
      <c r="GE187" s="34"/>
      <c r="GF187" s="34"/>
      <c r="GG187" s="34"/>
      <c r="GH187" s="34"/>
      <c r="GI187" s="34"/>
      <c r="GJ187" s="34"/>
      <c r="GK187" s="34"/>
      <c r="GL187" s="34"/>
      <c r="GM187" s="34"/>
      <c r="GN187" s="34"/>
      <c r="GO187" s="34"/>
      <c r="GP187" s="34"/>
      <c r="GQ187" s="34"/>
      <c r="GR187" s="34"/>
      <c r="GS187" s="34"/>
      <c r="GT187" s="34"/>
      <c r="GU187" s="34"/>
      <c r="GV187" s="34"/>
      <c r="GW187" s="34"/>
      <c r="GX187" s="34"/>
      <c r="GY187" s="34"/>
      <c r="GZ187" s="34"/>
      <c r="HA187" s="34"/>
      <c r="HB187" s="34"/>
      <c r="HC187" s="34"/>
      <c r="HD187" s="34"/>
      <c r="HE187" s="34"/>
      <c r="HF187" s="34"/>
      <c r="HG187" s="34"/>
      <c r="HH187" s="34"/>
      <c r="HI187" s="34"/>
      <c r="HJ187" s="34"/>
      <c r="HK187" s="34"/>
      <c r="HL187" s="34"/>
      <c r="HM187" s="34"/>
      <c r="HN187" s="34"/>
      <c r="HO187" s="34"/>
      <c r="HP187" s="34"/>
      <c r="HQ187" s="34"/>
      <c r="HR187" s="34"/>
      <c r="HS187" s="34"/>
      <c r="HT187" s="34"/>
      <c r="HU187" s="34"/>
      <c r="HV187" s="34"/>
      <c r="HW187" s="34"/>
      <c r="HX187" s="34"/>
      <c r="HY187" s="34"/>
      <c r="HZ187" s="34"/>
      <c r="IA187" s="34"/>
      <c r="IB187" s="34"/>
      <c r="IC187" s="34"/>
      <c r="ID187" s="34"/>
      <c r="IE187" s="34"/>
      <c r="IF187" s="34"/>
      <c r="IG187" s="34"/>
      <c r="IH187" s="34"/>
      <c r="II187" s="34"/>
      <c r="IJ187" s="34"/>
      <c r="IK187" s="34"/>
      <c r="IL187" s="34"/>
      <c r="IM187" s="34"/>
      <c r="IN187" s="34"/>
      <c r="IO187" s="34"/>
      <c r="IP187" s="34"/>
      <c r="IQ187" s="34"/>
      <c r="IR187" s="34"/>
      <c r="IS187" s="34"/>
      <c r="IT187" s="34"/>
      <c r="IU187" s="34"/>
      <c r="IV187" s="34"/>
      <c r="IW187" s="34"/>
      <c r="IX187" s="34"/>
      <c r="IY187" s="34"/>
      <c r="IZ187" s="34"/>
      <c r="JA187" s="34"/>
      <c r="JB187" s="34"/>
      <c r="JC187" s="34"/>
      <c r="JD187" s="34"/>
      <c r="JE187" s="34"/>
      <c r="JF187" s="34"/>
      <c r="JG187" s="34"/>
      <c r="JH187" s="34"/>
      <c r="JI187" s="34"/>
      <c r="JJ187" s="34"/>
      <c r="JK187" s="34"/>
      <c r="JL187" s="34"/>
      <c r="JM187" s="34"/>
      <c r="JN187" s="34"/>
      <c r="JO187" s="34"/>
      <c r="JP187" s="34"/>
      <c r="JQ187" s="34"/>
      <c r="JR187" s="34"/>
      <c r="JS187" s="34"/>
      <c r="JT187" s="34"/>
      <c r="JU187" s="34"/>
      <c r="JV187" s="34"/>
      <c r="JW187" s="34"/>
      <c r="JX187" s="34"/>
      <c r="JY187" s="34"/>
      <c r="JZ187" s="34"/>
      <c r="KA187" s="34"/>
      <c r="KB187" s="34"/>
      <c r="KC187" s="34"/>
      <c r="KD187" s="34"/>
      <c r="KE187" s="34"/>
      <c r="KF187" s="34"/>
      <c r="KG187" s="34"/>
      <c r="KH187" s="34"/>
      <c r="KI187" s="34"/>
      <c r="KJ187" s="34"/>
      <c r="KK187" s="34"/>
      <c r="KL187" s="34"/>
      <c r="KM187" s="34"/>
      <c r="KN187" s="34"/>
      <c r="KO187" s="34"/>
      <c r="KP187" s="34"/>
      <c r="KQ187" s="34"/>
      <c r="KR187" s="34"/>
      <c r="KS187" s="34"/>
      <c r="KT187" s="34"/>
      <c r="KU187" s="34"/>
      <c r="KV187" s="34"/>
      <c r="KW187" s="34"/>
      <c r="KX187" s="34"/>
      <c r="KY187" s="34"/>
      <c r="KZ187" s="34"/>
      <c r="LA187" s="34"/>
      <c r="LB187" s="34"/>
      <c r="LC187" s="34"/>
      <c r="LD187" s="34"/>
      <c r="LE187" s="34"/>
      <c r="LF187" s="34"/>
      <c r="LG187" s="34"/>
      <c r="LH187" s="34"/>
      <c r="LI187" s="34"/>
      <c r="LJ187" s="34"/>
      <c r="LK187" s="34"/>
      <c r="LL187" s="34"/>
      <c r="LM187" s="34"/>
      <c r="LN187" s="34"/>
      <c r="LO187" s="34"/>
      <c r="LP187" s="34"/>
      <c r="LQ187" s="34"/>
      <c r="LR187" s="34"/>
      <c r="LS187" s="34"/>
      <c r="LT187" s="34"/>
      <c r="LU187" s="34"/>
      <c r="LV187" s="34"/>
      <c r="LW187" s="34"/>
      <c r="LX187" s="34"/>
      <c r="LY187" s="34"/>
      <c r="LZ187" s="34"/>
      <c r="MA187" s="34"/>
      <c r="MB187" s="34"/>
      <c r="MC187" s="34"/>
      <c r="MD187" s="34"/>
      <c r="ME187" s="34"/>
      <c r="MF187" s="34"/>
      <c r="MG187" s="34"/>
      <c r="MH187" s="34"/>
      <c r="MI187" s="34"/>
      <c r="MJ187" s="34"/>
      <c r="MK187" s="34"/>
      <c r="ML187" s="34"/>
      <c r="MM187" s="34"/>
      <c r="MN187" s="34"/>
      <c r="MO187" s="34"/>
      <c r="MP187" s="34"/>
      <c r="MQ187" s="34"/>
      <c r="MR187" s="34"/>
      <c r="MS187" s="34"/>
      <c r="MT187" s="34"/>
      <c r="MU187" s="34"/>
      <c r="MV187" s="34"/>
      <c r="MW187" s="34"/>
      <c r="MX187" s="34"/>
      <c r="MY187" s="34"/>
      <c r="MZ187" s="34"/>
      <c r="NA187" s="34"/>
      <c r="NB187" s="34"/>
      <c r="NC187" s="34"/>
      <c r="ND187" s="34"/>
      <c r="NE187" s="34"/>
      <c r="NF187" s="34"/>
      <c r="NG187" s="34"/>
      <c r="NH187" s="34"/>
      <c r="NI187" s="34"/>
      <c r="NJ187" s="34"/>
      <c r="NK187" s="34"/>
      <c r="NL187" s="34"/>
      <c r="NM187" s="34"/>
      <c r="NN187" s="34"/>
      <c r="NO187" s="34"/>
      <c r="NP187" s="34"/>
      <c r="NQ187" s="34"/>
      <c r="NR187" s="34"/>
      <c r="NS187" s="34"/>
      <c r="NT187" s="34"/>
      <c r="NU187" s="34"/>
      <c r="NV187" s="34"/>
      <c r="NW187" s="34"/>
      <c r="NX187" s="34"/>
      <c r="NY187" s="34"/>
      <c r="NZ187" s="34"/>
      <c r="OA187" s="34"/>
      <c r="OB187" s="34"/>
      <c r="OC187" s="34"/>
      <c r="OD187" s="34"/>
      <c r="OE187" s="34"/>
      <c r="OF187" s="34"/>
      <c r="OG187" s="34"/>
      <c r="OH187" s="34"/>
      <c r="OI187" s="34"/>
      <c r="OJ187" s="34"/>
      <c r="OK187" s="34"/>
      <c r="OL187" s="34"/>
      <c r="OM187" s="34"/>
      <c r="ON187" s="34"/>
      <c r="OO187" s="34"/>
      <c r="OP187" s="34"/>
      <c r="OQ187" s="34"/>
      <c r="OR187" s="34"/>
      <c r="OS187" s="34"/>
      <c r="OT187" s="34"/>
      <c r="OU187" s="34"/>
      <c r="OV187" s="34"/>
      <c r="OW187" s="34"/>
      <c r="OX187" s="34"/>
      <c r="OY187" s="34"/>
      <c r="OZ187" s="34"/>
      <c r="PA187" s="34"/>
      <c r="PB187" s="34"/>
      <c r="PC187" s="34"/>
      <c r="PD187" s="34"/>
      <c r="PE187" s="34"/>
      <c r="PF187" s="34"/>
      <c r="PG187" s="34"/>
      <c r="PH187" s="34"/>
      <c r="PI187" s="34"/>
      <c r="PJ187" s="34"/>
      <c r="PK187" s="34"/>
      <c r="PL187" s="34"/>
      <c r="PM187" s="34"/>
      <c r="PN187" s="34"/>
      <c r="PO187" s="34"/>
      <c r="PP187" s="34"/>
      <c r="PQ187" s="34"/>
      <c r="PR187" s="34"/>
      <c r="PS187" s="34"/>
      <c r="PT187" s="34"/>
      <c r="PU187" s="34"/>
      <c r="PV187" s="34"/>
      <c r="PW187" s="34"/>
      <c r="PX187" s="34"/>
      <c r="PY187" s="34"/>
      <c r="PZ187" s="34"/>
      <c r="QA187" s="34"/>
      <c r="QB187" s="34"/>
      <c r="QC187" s="34"/>
      <c r="QD187" s="34"/>
      <c r="QE187" s="34"/>
      <c r="QF187" s="34"/>
      <c r="QG187" s="34"/>
      <c r="QH187" s="34"/>
      <c r="QI187" s="34"/>
      <c r="QJ187" s="34"/>
      <c r="QK187" s="34"/>
      <c r="QL187" s="34"/>
      <c r="QM187" s="34"/>
      <c r="QN187" s="34"/>
      <c r="QO187" s="34"/>
      <c r="QP187" s="34"/>
      <c r="QQ187" s="34"/>
      <c r="QR187" s="34"/>
      <c r="QS187" s="34"/>
      <c r="QT187" s="34"/>
      <c r="QU187" s="34"/>
      <c r="QV187" s="34"/>
      <c r="QW187" s="34"/>
      <c r="QX187" s="34"/>
      <c r="QY187" s="34"/>
      <c r="QZ187" s="34"/>
      <c r="RA187" s="34"/>
      <c r="RB187" s="34"/>
      <c r="RC187" s="34"/>
      <c r="RD187" s="34"/>
      <c r="RE187" s="34"/>
      <c r="RF187" s="34"/>
      <c r="RG187" s="34"/>
      <c r="RH187" s="34"/>
      <c r="RI187" s="34"/>
      <c r="RJ187" s="34"/>
      <c r="RK187" s="34"/>
      <c r="RL187" s="34"/>
      <c r="RM187" s="34"/>
      <c r="RN187" s="34"/>
      <c r="RO187" s="34"/>
      <c r="RP187" s="34"/>
      <c r="RQ187" s="34"/>
      <c r="RR187" s="34"/>
      <c r="RS187" s="34"/>
      <c r="RT187" s="34"/>
      <c r="RU187" s="34"/>
      <c r="RV187" s="34"/>
      <c r="RW187" s="34"/>
      <c r="RX187" s="34"/>
      <c r="RY187" s="34"/>
      <c r="RZ187" s="34"/>
      <c r="SA187" s="34"/>
      <c r="SB187" s="34"/>
      <c r="SC187" s="34"/>
      <c r="SD187" s="34"/>
      <c r="SE187" s="34"/>
      <c r="SF187" s="34"/>
      <c r="SG187" s="34"/>
      <c r="SH187" s="34"/>
      <c r="SI187" s="34"/>
      <c r="SJ187" s="34"/>
      <c r="SK187" s="34"/>
      <c r="SL187" s="34"/>
      <c r="SM187" s="34"/>
      <c r="SN187" s="34"/>
      <c r="SO187" s="34"/>
      <c r="SP187" s="34"/>
      <c r="SQ187" s="34"/>
      <c r="SR187" s="34"/>
      <c r="SS187" s="34"/>
      <c r="ST187" s="34"/>
      <c r="SU187" s="34"/>
      <c r="SV187" s="34"/>
      <c r="SW187" s="34"/>
      <c r="SX187" s="34"/>
      <c r="SY187" s="34"/>
      <c r="SZ187" s="34"/>
      <c r="TA187" s="34"/>
      <c r="TB187" s="34"/>
      <c r="TC187" s="34"/>
      <c r="TD187" s="34"/>
      <c r="TE187" s="34"/>
      <c r="TF187" s="34"/>
      <c r="TG187" s="34"/>
      <c r="TH187" s="34"/>
      <c r="TI187" s="34"/>
      <c r="TJ187" s="34"/>
      <c r="TK187" s="34"/>
      <c r="TL187" s="34"/>
      <c r="TM187" s="34"/>
      <c r="TN187" s="34"/>
      <c r="TO187" s="34"/>
      <c r="TP187" s="34"/>
      <c r="TQ187" s="34"/>
      <c r="TR187" s="34"/>
      <c r="TS187" s="34"/>
      <c r="TT187" s="34"/>
      <c r="TU187" s="34"/>
      <c r="TV187" s="34"/>
      <c r="TW187" s="34"/>
      <c r="TX187" s="34"/>
      <c r="TY187" s="34"/>
      <c r="TZ187" s="34"/>
      <c r="UA187" s="34"/>
      <c r="UB187" s="34"/>
      <c r="UC187" s="34"/>
      <c r="UD187" s="34"/>
      <c r="UE187" s="34"/>
      <c r="UF187" s="34"/>
      <c r="UG187" s="34"/>
      <c r="UH187" s="34"/>
      <c r="UI187" s="34"/>
      <c r="UJ187" s="34"/>
      <c r="UK187" s="34"/>
      <c r="UL187" s="34"/>
      <c r="UM187" s="34"/>
      <c r="UN187" s="34"/>
      <c r="UO187" s="34"/>
      <c r="UP187" s="34"/>
      <c r="UQ187" s="34"/>
      <c r="UR187" s="34"/>
      <c r="US187" s="34"/>
      <c r="UT187" s="34"/>
      <c r="UU187" s="34"/>
      <c r="UV187" s="34"/>
      <c r="UW187" s="34"/>
      <c r="UX187" s="34"/>
      <c r="UY187" s="34"/>
      <c r="UZ187" s="34"/>
      <c r="VA187" s="34"/>
      <c r="VB187" s="34"/>
      <c r="VC187" s="34"/>
      <c r="VD187" s="34"/>
      <c r="VE187" s="34"/>
      <c r="VF187" s="34"/>
      <c r="VG187" s="34"/>
      <c r="VH187" s="34"/>
      <c r="VI187" s="34"/>
      <c r="VJ187" s="34"/>
      <c r="VK187" s="34"/>
      <c r="VL187" s="34"/>
      <c r="VM187" s="34"/>
      <c r="VN187" s="34"/>
      <c r="VO187" s="34"/>
      <c r="VP187" s="34"/>
      <c r="VQ187" s="34"/>
      <c r="VR187" s="34"/>
      <c r="VS187" s="34"/>
      <c r="VT187" s="34"/>
      <c r="VU187" s="34"/>
      <c r="VV187" s="34"/>
      <c r="VW187" s="34"/>
      <c r="VX187" s="34"/>
      <c r="VY187" s="34"/>
      <c r="VZ187" s="34"/>
      <c r="WA187" s="34"/>
      <c r="WB187" s="34"/>
      <c r="WC187" s="34"/>
      <c r="WD187" s="34"/>
      <c r="WE187" s="34"/>
      <c r="WF187" s="34"/>
      <c r="WG187" s="34"/>
      <c r="WH187" s="34"/>
      <c r="WI187" s="34"/>
      <c r="WJ187" s="34"/>
      <c r="WK187" s="34"/>
      <c r="WL187" s="34"/>
      <c r="WM187" s="34"/>
      <c r="WN187" s="34"/>
      <c r="WO187" s="34"/>
      <c r="WP187" s="34"/>
      <c r="WQ187" s="34"/>
      <c r="WR187" s="34"/>
      <c r="WS187" s="34"/>
      <c r="WT187" s="34"/>
      <c r="WU187" s="34"/>
      <c r="WV187" s="34"/>
      <c r="WW187" s="34"/>
      <c r="WX187" s="34"/>
      <c r="WY187" s="34"/>
      <c r="WZ187" s="34"/>
      <c r="XA187" s="34"/>
      <c r="XB187" s="34"/>
      <c r="XC187" s="34"/>
      <c r="XD187" s="34"/>
      <c r="XE187" s="34"/>
      <c r="XF187" s="34"/>
      <c r="XG187" s="34"/>
      <c r="XH187" s="34"/>
      <c r="XI187" s="34"/>
      <c r="XJ187" s="34"/>
      <c r="XK187" s="34"/>
      <c r="XL187" s="34"/>
      <c r="XM187" s="34"/>
      <c r="XN187" s="34"/>
      <c r="XO187" s="34"/>
      <c r="XP187" s="34"/>
      <c r="XQ187" s="34"/>
      <c r="XR187" s="34"/>
      <c r="XS187" s="34"/>
      <c r="XT187" s="34"/>
      <c r="XU187" s="34"/>
      <c r="XV187" s="34"/>
      <c r="XW187" s="34"/>
      <c r="XX187" s="34"/>
      <c r="XY187" s="34"/>
      <c r="XZ187" s="34"/>
      <c r="YA187" s="34"/>
      <c r="YB187" s="34"/>
      <c r="YC187" s="34"/>
      <c r="YD187" s="34"/>
      <c r="YE187" s="34"/>
      <c r="YF187" s="34"/>
      <c r="YG187" s="34"/>
      <c r="YH187" s="34"/>
      <c r="YI187" s="34"/>
      <c r="YJ187" s="34"/>
      <c r="YK187" s="34"/>
      <c r="YL187" s="34"/>
      <c r="YM187" s="34"/>
      <c r="YN187" s="34"/>
      <c r="YO187" s="34"/>
      <c r="YP187" s="34"/>
      <c r="YQ187" s="34"/>
      <c r="YR187" s="34"/>
      <c r="YS187" s="34"/>
      <c r="YT187" s="34"/>
      <c r="YU187" s="34"/>
      <c r="YV187" s="34"/>
      <c r="YW187" s="34"/>
      <c r="YX187" s="34"/>
      <c r="YY187" s="34"/>
      <c r="YZ187" s="34"/>
      <c r="ZA187" s="34"/>
      <c r="ZB187" s="34"/>
      <c r="ZC187" s="34"/>
      <c r="ZD187" s="34"/>
      <c r="ZE187" s="34"/>
      <c r="ZF187" s="34"/>
      <c r="ZG187" s="34"/>
      <c r="ZH187" s="34"/>
      <c r="ZI187" s="34"/>
      <c r="ZJ187" s="34"/>
      <c r="ZK187" s="34"/>
      <c r="ZL187" s="34"/>
      <c r="ZM187" s="34"/>
      <c r="ZN187" s="34"/>
      <c r="ZO187" s="34"/>
      <c r="ZP187" s="34"/>
      <c r="ZQ187" s="34"/>
      <c r="ZR187" s="34"/>
      <c r="ZS187" s="34"/>
      <c r="ZT187" s="34"/>
      <c r="ZU187" s="34"/>
      <c r="ZV187" s="34"/>
      <c r="ZW187" s="34"/>
      <c r="ZX187" s="34"/>
      <c r="ZY187" s="34"/>
      <c r="ZZ187" s="34"/>
      <c r="AAA187" s="34"/>
      <c r="AAB187" s="34"/>
      <c r="AAC187" s="34"/>
      <c r="AAD187" s="34"/>
      <c r="AAE187" s="34"/>
      <c r="AAF187" s="34"/>
      <c r="AAG187" s="34"/>
      <c r="AAH187" s="34"/>
      <c r="AAI187" s="34"/>
      <c r="AAJ187" s="34"/>
      <c r="AAK187" s="34"/>
      <c r="AAL187" s="34"/>
      <c r="AAM187" s="34"/>
      <c r="AAN187" s="34"/>
      <c r="AAO187" s="34"/>
      <c r="AAP187" s="34"/>
      <c r="AAQ187" s="34"/>
      <c r="AAR187" s="34"/>
      <c r="AAS187" s="34"/>
      <c r="AAT187" s="34"/>
      <c r="AAU187" s="34"/>
      <c r="AAV187" s="34"/>
      <c r="AAW187" s="34"/>
      <c r="AAX187" s="34"/>
      <c r="AAY187" s="34"/>
      <c r="AAZ187" s="34"/>
      <c r="ABA187" s="34"/>
      <c r="ABB187" s="34"/>
      <c r="ABC187" s="34"/>
      <c r="ABD187" s="34"/>
      <c r="ABE187" s="34"/>
      <c r="ABF187" s="34"/>
      <c r="ABG187" s="34"/>
      <c r="ABH187" s="34"/>
      <c r="ABI187" s="34"/>
      <c r="ABJ187" s="34"/>
      <c r="ABK187" s="34"/>
      <c r="ABL187" s="34"/>
      <c r="ABM187" s="34"/>
      <c r="ABN187" s="34"/>
      <c r="ABO187" s="34"/>
      <c r="ABP187" s="34"/>
      <c r="ABQ187" s="34"/>
      <c r="ABR187" s="34"/>
      <c r="ABS187" s="34"/>
      <c r="ABT187" s="34"/>
      <c r="ABU187" s="34"/>
      <c r="ABV187" s="34"/>
      <c r="ABW187" s="34"/>
      <c r="ABX187" s="34"/>
      <c r="ABY187" s="34"/>
      <c r="ABZ187" s="34"/>
      <c r="ACA187" s="34"/>
      <c r="ACB187" s="34"/>
      <c r="ACC187" s="34"/>
      <c r="ACD187" s="34"/>
      <c r="ACE187" s="34"/>
      <c r="ACF187" s="34"/>
      <c r="ACG187" s="34"/>
      <c r="ACH187" s="34"/>
      <c r="ACI187" s="34"/>
      <c r="ACJ187" s="34"/>
      <c r="ACK187" s="34"/>
      <c r="ACL187" s="34"/>
      <c r="ACM187" s="34"/>
      <c r="ACN187" s="34"/>
      <c r="ACO187" s="34"/>
      <c r="ACP187" s="34"/>
      <c r="ACQ187" s="34"/>
      <c r="ACR187" s="34"/>
      <c r="ACS187" s="34"/>
      <c r="ACT187" s="34"/>
      <c r="ACU187" s="34"/>
      <c r="ACV187" s="34"/>
      <c r="ACW187" s="34"/>
      <c r="ACX187" s="34"/>
      <c r="ACY187" s="34"/>
      <c r="ACZ187" s="34"/>
      <c r="ADA187" s="34"/>
      <c r="ADB187" s="34"/>
      <c r="ADC187" s="34"/>
      <c r="ADD187" s="34"/>
      <c r="ADE187" s="34"/>
      <c r="ADF187" s="34"/>
      <c r="ADG187" s="34"/>
      <c r="ADH187" s="34"/>
      <c r="ADI187" s="34"/>
      <c r="ADJ187" s="34"/>
      <c r="ADK187" s="34"/>
      <c r="ADL187" s="34"/>
      <c r="ADM187" s="34"/>
      <c r="ADN187" s="34"/>
      <c r="ADO187" s="34"/>
      <c r="ADP187" s="34"/>
      <c r="ADQ187" s="34"/>
      <c r="ADR187" s="34"/>
      <c r="ADS187" s="34"/>
      <c r="ADT187" s="34"/>
      <c r="ADU187" s="34"/>
      <c r="ADV187" s="34"/>
      <c r="ADW187" s="34"/>
      <c r="ADX187" s="34"/>
      <c r="ADY187" s="34"/>
      <c r="ADZ187" s="34"/>
      <c r="AEA187" s="34"/>
      <c r="AEB187" s="34"/>
      <c r="AEC187" s="34"/>
      <c r="AED187" s="34"/>
      <c r="AEE187" s="34"/>
      <c r="AEF187" s="34"/>
      <c r="AEG187" s="34"/>
      <c r="AEH187" s="34"/>
      <c r="AEI187" s="34"/>
      <c r="AEJ187" s="34"/>
      <c r="AEK187" s="34"/>
      <c r="AEL187" s="34"/>
      <c r="AEM187" s="34"/>
      <c r="AEN187" s="34"/>
      <c r="AEO187" s="34"/>
      <c r="AEP187" s="34"/>
      <c r="AEQ187" s="34"/>
      <c r="AER187" s="34"/>
      <c r="AES187" s="34"/>
      <c r="AET187" s="34"/>
      <c r="AEU187" s="34"/>
      <c r="AEV187" s="34"/>
      <c r="AEW187" s="34"/>
      <c r="AEX187" s="34"/>
      <c r="AEY187" s="34"/>
      <c r="AEZ187" s="34"/>
      <c r="AFA187" s="34"/>
      <c r="AFB187" s="34"/>
      <c r="AFC187" s="34"/>
      <c r="AFD187" s="34"/>
      <c r="AFE187" s="34"/>
      <c r="AFF187" s="34"/>
      <c r="AFG187" s="34"/>
      <c r="AFH187" s="34"/>
      <c r="AFI187" s="34"/>
      <c r="AFJ187" s="34"/>
      <c r="AFK187" s="34"/>
      <c r="AFL187" s="34"/>
      <c r="AFM187" s="34"/>
      <c r="AFN187" s="34"/>
      <c r="AFO187" s="34"/>
      <c r="AFP187" s="34"/>
      <c r="AFQ187" s="34"/>
      <c r="AFR187" s="34"/>
      <c r="AFS187" s="34"/>
      <c r="AFT187" s="34"/>
      <c r="AFU187" s="34"/>
      <c r="AFV187" s="34"/>
      <c r="AFW187" s="34"/>
      <c r="AFX187" s="34"/>
      <c r="AFY187" s="34"/>
      <c r="AFZ187" s="34"/>
      <c r="AGA187" s="34"/>
      <c r="AGB187" s="34"/>
      <c r="AGC187" s="34"/>
      <c r="AGD187" s="34"/>
      <c r="AGE187" s="34"/>
      <c r="AGF187" s="34"/>
      <c r="AGG187" s="34"/>
      <c r="AGH187" s="34"/>
      <c r="AGI187" s="34"/>
      <c r="AGJ187" s="34"/>
      <c r="AGK187" s="34"/>
      <c r="AGL187" s="34"/>
      <c r="AGM187" s="34"/>
      <c r="AGN187" s="34"/>
      <c r="AGO187" s="34"/>
      <c r="AGP187" s="34"/>
      <c r="AGQ187" s="34"/>
      <c r="AGR187" s="34"/>
      <c r="AGS187" s="34"/>
      <c r="AGT187" s="34"/>
      <c r="AGU187" s="34"/>
      <c r="AGV187" s="34"/>
      <c r="AGW187" s="34"/>
      <c r="AGX187" s="34"/>
      <c r="AGY187" s="34"/>
      <c r="AGZ187" s="34"/>
      <c r="AHA187" s="34"/>
      <c r="AHB187" s="34"/>
      <c r="AHC187" s="34"/>
      <c r="AHD187" s="34"/>
      <c r="AHE187" s="34"/>
      <c r="AHF187" s="34"/>
      <c r="AHG187" s="34"/>
      <c r="AHH187" s="34"/>
      <c r="AHI187" s="34"/>
      <c r="AHJ187" s="34"/>
      <c r="AHK187" s="34"/>
      <c r="AHL187" s="34"/>
      <c r="AHM187" s="34"/>
      <c r="AHN187" s="34"/>
      <c r="AHO187" s="34"/>
      <c r="AHP187" s="34"/>
      <c r="AHQ187" s="34"/>
      <c r="AHR187" s="34"/>
      <c r="AHS187" s="34"/>
      <c r="AHT187" s="34"/>
      <c r="AHU187" s="34"/>
      <c r="AHV187" s="34"/>
      <c r="AHW187" s="34"/>
      <c r="AHX187" s="34"/>
      <c r="AHY187" s="34"/>
      <c r="AHZ187" s="34"/>
      <c r="AIA187" s="34"/>
      <c r="AIB187" s="34"/>
      <c r="AIC187" s="34"/>
      <c r="AID187" s="34"/>
      <c r="AIE187" s="34"/>
      <c r="AIF187" s="34"/>
      <c r="AIG187" s="34"/>
      <c r="AIH187" s="34"/>
      <c r="AII187" s="34"/>
      <c r="AIJ187" s="34"/>
      <c r="AIK187" s="34"/>
      <c r="AIL187" s="34"/>
      <c r="AIM187" s="34"/>
      <c r="AIN187" s="34"/>
      <c r="AIO187" s="34"/>
      <c r="AIP187" s="34"/>
      <c r="AIQ187" s="34"/>
      <c r="AIR187" s="34"/>
      <c r="AIS187" s="34"/>
      <c r="AIT187" s="34"/>
      <c r="AIU187" s="34"/>
      <c r="AIV187" s="34"/>
      <c r="AIW187" s="34"/>
      <c r="AIX187" s="34"/>
      <c r="AIY187" s="34"/>
      <c r="AIZ187" s="34"/>
      <c r="AJA187" s="34"/>
      <c r="AJB187" s="34"/>
      <c r="AJC187" s="34"/>
      <c r="AJD187" s="34"/>
      <c r="AJE187" s="34"/>
      <c r="AJF187" s="34"/>
      <c r="AJG187" s="34"/>
      <c r="AJH187" s="34"/>
      <c r="AJI187" s="34"/>
      <c r="AJJ187" s="34"/>
      <c r="AJK187" s="34"/>
      <c r="AJL187" s="34"/>
      <c r="AJM187" s="34"/>
      <c r="AJN187" s="34"/>
      <c r="AJO187" s="34"/>
      <c r="AJP187" s="34"/>
      <c r="AJQ187" s="34"/>
      <c r="AJR187" s="34"/>
      <c r="AJS187" s="34"/>
      <c r="AJT187" s="34"/>
      <c r="AJU187" s="34"/>
      <c r="AJV187" s="34"/>
      <c r="AJW187" s="34"/>
      <c r="AJX187" s="34"/>
      <c r="AJY187" s="34"/>
      <c r="AJZ187" s="34"/>
      <c r="AKA187" s="34"/>
      <c r="AKB187" s="34"/>
      <c r="AKC187" s="34"/>
      <c r="AKD187" s="34"/>
      <c r="AKE187" s="34"/>
      <c r="AKF187" s="34"/>
      <c r="AKG187" s="34"/>
      <c r="AKH187" s="34"/>
      <c r="AKI187" s="34"/>
      <c r="AKJ187" s="34"/>
      <c r="AKK187" s="34"/>
      <c r="AKL187" s="34"/>
      <c r="AKM187" s="34"/>
      <c r="AKN187" s="34"/>
      <c r="AKO187" s="34"/>
      <c r="AKP187" s="34"/>
      <c r="AKQ187" s="34"/>
      <c r="AKR187" s="34"/>
      <c r="AKS187" s="34"/>
      <c r="AKT187" s="34"/>
      <c r="AKU187" s="34"/>
      <c r="AKV187" s="34"/>
      <c r="AKW187" s="34"/>
      <c r="AKX187" s="34"/>
      <c r="AKY187" s="34"/>
      <c r="AKZ187" s="34"/>
      <c r="ALA187" s="34"/>
      <c r="ALB187" s="34"/>
      <c r="ALC187" s="34"/>
      <c r="ALD187" s="34"/>
      <c r="ALE187" s="34"/>
      <c r="ALF187" s="34"/>
      <c r="ALG187" s="34"/>
      <c r="ALH187" s="34"/>
      <c r="ALI187" s="34"/>
      <c r="ALJ187" s="34"/>
      <c r="ALK187" s="34"/>
      <c r="ALL187" s="34"/>
      <c r="ALM187" s="34"/>
      <c r="ALN187" s="34"/>
      <c r="ALO187" s="34"/>
      <c r="ALP187" s="34"/>
      <c r="ALQ187" s="34"/>
      <c r="ALR187" s="34"/>
      <c r="ALS187" s="34"/>
      <c r="ALT187" s="34"/>
      <c r="ALU187" s="34"/>
      <c r="ALV187" s="34"/>
      <c r="ALW187" s="34"/>
      <c r="ALX187" s="34"/>
      <c r="ALY187" s="34"/>
      <c r="ALZ187" s="34"/>
      <c r="AMA187" s="34"/>
      <c r="AMB187" s="34"/>
      <c r="AMC187" s="34"/>
      <c r="AMD187" s="34"/>
      <c r="AME187" s="34"/>
      <c r="AMF187" s="34"/>
      <c r="AMG187" s="34"/>
      <c r="AMH187" s="34"/>
      <c r="AMI187" s="34"/>
      <c r="AMJ187" s="34"/>
      <c r="AMK187" s="34"/>
      <c r="AML187" s="34"/>
      <c r="AMM187" s="34"/>
      <c r="AMN187" s="34"/>
      <c r="AMO187" s="34"/>
      <c r="AMP187" s="34"/>
      <c r="AMQ187" s="34"/>
      <c r="AMR187" s="34"/>
      <c r="AMS187" s="34"/>
      <c r="AMT187" s="34"/>
      <c r="AMU187" s="34"/>
      <c r="AMV187" s="34"/>
      <c r="AMW187" s="34"/>
      <c r="AMX187" s="34"/>
      <c r="AMY187" s="34"/>
      <c r="AMZ187" s="34"/>
      <c r="ANA187" s="34"/>
      <c r="ANB187" s="34"/>
      <c r="ANC187" s="34"/>
      <c r="AND187" s="34"/>
      <c r="ANE187" s="34"/>
      <c r="ANF187" s="34"/>
      <c r="ANG187" s="34"/>
      <c r="ANH187" s="34"/>
      <c r="ANI187" s="34"/>
      <c r="ANJ187" s="34"/>
      <c r="ANK187" s="34"/>
      <c r="ANL187" s="34"/>
      <c r="ANM187" s="34"/>
      <c r="ANN187" s="34"/>
      <c r="ANO187" s="34"/>
      <c r="ANP187" s="34"/>
      <c r="ANQ187" s="34"/>
      <c r="ANR187" s="34"/>
      <c r="ANS187" s="34"/>
      <c r="ANT187" s="34"/>
      <c r="ANU187" s="34"/>
      <c r="ANV187" s="34"/>
      <c r="ANW187" s="34"/>
      <c r="ANX187" s="34"/>
      <c r="ANY187" s="34"/>
      <c r="ANZ187" s="34"/>
      <c r="AOA187" s="34"/>
      <c r="AOB187" s="34"/>
      <c r="AOC187" s="34"/>
      <c r="AOD187" s="34"/>
      <c r="AOE187" s="34"/>
      <c r="AOF187" s="34"/>
      <c r="AOG187" s="34"/>
      <c r="AOH187" s="34"/>
      <c r="AOI187" s="34"/>
      <c r="AOJ187" s="34"/>
      <c r="AOK187" s="34"/>
      <c r="AOL187" s="34"/>
      <c r="AOM187" s="34"/>
      <c r="AON187" s="34"/>
      <c r="AOO187" s="34"/>
      <c r="AOP187" s="34"/>
      <c r="AOQ187" s="34"/>
      <c r="AOR187" s="34"/>
      <c r="AOS187" s="34"/>
      <c r="AOT187" s="34"/>
      <c r="AOU187" s="34"/>
      <c r="AOV187" s="34"/>
      <c r="AOW187" s="34"/>
      <c r="AOX187" s="34"/>
      <c r="AOY187" s="34"/>
      <c r="AOZ187" s="34"/>
      <c r="APA187" s="34"/>
      <c r="APB187" s="34"/>
      <c r="APC187" s="34"/>
      <c r="APD187" s="34"/>
      <c r="APE187" s="34"/>
      <c r="APF187" s="34"/>
      <c r="APG187" s="34"/>
      <c r="APH187" s="34"/>
      <c r="API187" s="34"/>
      <c r="APJ187" s="34"/>
      <c r="APK187" s="34"/>
      <c r="APL187" s="34"/>
      <c r="APM187" s="34"/>
      <c r="APN187" s="34"/>
      <c r="APO187" s="34"/>
      <c r="APP187" s="34"/>
      <c r="APQ187" s="34"/>
      <c r="APR187" s="34"/>
      <c r="APS187" s="34"/>
      <c r="APT187" s="34"/>
      <c r="APU187" s="34"/>
      <c r="APV187" s="34"/>
      <c r="APW187" s="34"/>
      <c r="APX187" s="34"/>
      <c r="APY187" s="34"/>
      <c r="APZ187" s="34"/>
      <c r="AQA187" s="34"/>
      <c r="AQB187" s="34"/>
      <c r="AQC187" s="34"/>
      <c r="AQD187" s="34"/>
      <c r="AQE187" s="34"/>
      <c r="AQF187" s="34"/>
      <c r="AQG187" s="34"/>
      <c r="AQH187" s="34"/>
      <c r="AQI187" s="34"/>
      <c r="AQJ187" s="34"/>
      <c r="AQK187" s="34"/>
      <c r="AQL187" s="34"/>
      <c r="AQM187" s="34"/>
      <c r="AQN187" s="34"/>
      <c r="AQO187" s="34"/>
      <c r="AQP187" s="34"/>
      <c r="AQQ187" s="34"/>
      <c r="AQR187" s="34"/>
      <c r="AQS187" s="34"/>
      <c r="AQT187" s="34"/>
      <c r="AQU187" s="34"/>
      <c r="AQV187" s="34"/>
      <c r="AQW187" s="34"/>
      <c r="AQX187" s="34"/>
      <c r="AQY187" s="34"/>
      <c r="AQZ187" s="34"/>
      <c r="ARA187" s="34"/>
      <c r="ARB187" s="34"/>
      <c r="ARC187" s="34"/>
      <c r="ARD187" s="34"/>
      <c r="ARE187" s="34"/>
      <c r="ARF187" s="34"/>
      <c r="ARG187" s="34"/>
      <c r="ARH187" s="34"/>
      <c r="ARI187" s="34"/>
      <c r="ARJ187" s="34"/>
      <c r="ARK187" s="34"/>
      <c r="ARL187" s="34"/>
      <c r="ARM187" s="34"/>
      <c r="ARN187" s="34"/>
      <c r="ARO187" s="34"/>
      <c r="ARP187" s="34"/>
      <c r="ARQ187" s="34"/>
      <c r="ARR187" s="34"/>
      <c r="ARS187" s="34"/>
      <c r="ART187" s="34"/>
      <c r="ARU187" s="34"/>
      <c r="ARV187" s="34"/>
      <c r="ARW187" s="34"/>
      <c r="ARX187" s="34"/>
      <c r="ARY187" s="34"/>
      <c r="ARZ187" s="34"/>
      <c r="ASA187" s="34"/>
      <c r="ASB187" s="34"/>
      <c r="ASC187" s="34"/>
      <c r="ASD187" s="34"/>
      <c r="ASE187" s="34"/>
      <c r="ASF187" s="34"/>
      <c r="ASG187" s="34"/>
      <c r="ASH187" s="34"/>
      <c r="ASI187" s="34"/>
      <c r="ASJ187" s="34"/>
      <c r="ASK187" s="34"/>
      <c r="ASL187" s="34"/>
      <c r="ASM187" s="34"/>
      <c r="ASN187" s="34"/>
      <c r="ASO187" s="34"/>
      <c r="ASP187" s="34"/>
      <c r="ASQ187" s="34"/>
      <c r="ASR187" s="34"/>
      <c r="ASS187" s="34"/>
      <c r="AST187" s="34"/>
      <c r="ASU187" s="34"/>
      <c r="ASV187" s="34"/>
      <c r="ASW187" s="34"/>
      <c r="ASX187" s="34"/>
      <c r="ASY187" s="34"/>
      <c r="ASZ187" s="34"/>
      <c r="ATA187" s="34"/>
      <c r="ATB187" s="34"/>
      <c r="ATC187" s="34"/>
      <c r="ATD187" s="34"/>
      <c r="ATE187" s="34"/>
      <c r="ATF187" s="34"/>
      <c r="ATG187" s="34"/>
      <c r="ATH187" s="34"/>
      <c r="ATI187" s="34"/>
      <c r="ATJ187" s="34"/>
      <c r="ATK187" s="34"/>
      <c r="ATL187" s="34"/>
      <c r="ATM187" s="34"/>
      <c r="ATN187" s="34"/>
      <c r="ATO187" s="34"/>
      <c r="ATP187" s="34"/>
      <c r="ATQ187" s="34"/>
      <c r="ATR187" s="34"/>
      <c r="ATS187" s="34"/>
      <c r="ATT187" s="34"/>
      <c r="ATU187" s="34"/>
      <c r="ATV187" s="34"/>
      <c r="ATW187" s="34"/>
      <c r="ATX187" s="34"/>
      <c r="ATY187" s="34"/>
      <c r="ATZ187" s="34"/>
      <c r="AUA187" s="34"/>
      <c r="AUB187" s="34"/>
      <c r="AUC187" s="34"/>
      <c r="AUD187" s="34"/>
      <c r="AUE187" s="34"/>
      <c r="AUF187" s="34"/>
      <c r="AUG187" s="34"/>
      <c r="AUH187" s="34"/>
      <c r="AUI187" s="34"/>
      <c r="AUJ187" s="34"/>
      <c r="AUK187" s="34"/>
      <c r="AUL187" s="34"/>
      <c r="AUM187" s="34"/>
      <c r="AUN187" s="34"/>
      <c r="AUO187" s="34"/>
      <c r="AUP187" s="34"/>
      <c r="AUQ187" s="34"/>
      <c r="AUR187" s="34"/>
      <c r="AUS187" s="34"/>
      <c r="AUT187" s="34"/>
      <c r="AUU187" s="34"/>
      <c r="AUV187" s="34"/>
      <c r="AUW187" s="34"/>
      <c r="AUX187" s="34"/>
      <c r="AUY187" s="34"/>
      <c r="AUZ187" s="34"/>
      <c r="AVA187" s="34"/>
      <c r="AVB187" s="34"/>
      <c r="AVC187" s="34"/>
      <c r="AVD187" s="34"/>
      <c r="AVE187" s="34"/>
      <c r="AVF187" s="34"/>
      <c r="AVG187" s="34"/>
      <c r="AVH187" s="34"/>
      <c r="AVI187" s="34"/>
      <c r="AVJ187" s="34"/>
      <c r="AVK187" s="34"/>
      <c r="AVL187" s="34"/>
      <c r="AVM187" s="34"/>
      <c r="AVN187" s="34"/>
      <c r="AVO187" s="34"/>
      <c r="AVP187" s="34"/>
      <c r="AVQ187" s="34"/>
      <c r="AVR187" s="34"/>
      <c r="AVS187" s="34"/>
      <c r="AVT187" s="34"/>
      <c r="AVU187" s="34"/>
      <c r="AVV187" s="34"/>
      <c r="AVW187" s="34"/>
      <c r="AVX187" s="34"/>
      <c r="AVY187" s="34"/>
      <c r="AVZ187" s="34"/>
      <c r="AWA187" s="34"/>
      <c r="AWB187" s="34"/>
      <c r="AWC187" s="34"/>
      <c r="AWD187" s="34"/>
      <c r="AWE187" s="34"/>
      <c r="AWF187" s="34"/>
      <c r="AWG187" s="34"/>
      <c r="AWH187" s="34"/>
      <c r="AWI187" s="34"/>
      <c r="AWJ187" s="34"/>
      <c r="AWK187" s="34"/>
      <c r="AWL187" s="34"/>
      <c r="AWM187" s="34"/>
      <c r="AWN187" s="34"/>
      <c r="AWO187" s="34"/>
      <c r="AWP187" s="34"/>
      <c r="AWQ187" s="34"/>
      <c r="AWR187" s="34"/>
      <c r="AWS187" s="34"/>
      <c r="AWT187" s="34"/>
      <c r="AWU187" s="34"/>
      <c r="AWV187" s="34"/>
      <c r="AWW187" s="34"/>
      <c r="AWX187" s="34"/>
      <c r="AWY187" s="34"/>
      <c r="AWZ187" s="34"/>
      <c r="AXA187" s="34"/>
      <c r="AXB187" s="34"/>
      <c r="AXC187" s="34"/>
      <c r="AXD187" s="34"/>
      <c r="AXE187" s="34"/>
      <c r="AXF187" s="34"/>
      <c r="AXG187" s="34"/>
      <c r="AXH187" s="34"/>
      <c r="AXI187" s="34"/>
      <c r="AXJ187" s="34"/>
      <c r="AXK187" s="34"/>
      <c r="AXL187" s="34"/>
      <c r="AXM187" s="34"/>
      <c r="AXN187" s="34"/>
      <c r="AXO187" s="34"/>
      <c r="AXP187" s="34"/>
      <c r="AXQ187" s="34"/>
      <c r="AXR187" s="34"/>
      <c r="AXS187" s="34"/>
      <c r="AXT187" s="34"/>
      <c r="AXU187" s="34"/>
      <c r="AXV187" s="34"/>
      <c r="AXW187" s="34"/>
      <c r="AXX187" s="34"/>
      <c r="AXY187" s="34"/>
      <c r="AXZ187" s="34"/>
      <c r="AYA187" s="34"/>
      <c r="AYB187" s="34"/>
      <c r="AYC187" s="34"/>
      <c r="AYD187" s="34"/>
      <c r="AYE187" s="34"/>
      <c r="AYF187" s="34"/>
      <c r="AYG187" s="34"/>
      <c r="AYH187" s="34"/>
      <c r="AYI187" s="34"/>
      <c r="AYJ187" s="34"/>
      <c r="AYK187" s="34"/>
      <c r="AYL187" s="34"/>
      <c r="AYM187" s="34"/>
      <c r="AYN187" s="34"/>
      <c r="AYO187" s="34"/>
      <c r="AYP187" s="34"/>
      <c r="AYQ187" s="34"/>
      <c r="AYR187" s="34"/>
      <c r="AYS187" s="34"/>
      <c r="AYT187" s="34"/>
      <c r="AYU187" s="34"/>
      <c r="AYV187" s="34"/>
      <c r="AYW187" s="34"/>
      <c r="AYX187" s="34"/>
      <c r="AYY187" s="34"/>
      <c r="AYZ187" s="34"/>
      <c r="AZA187" s="34"/>
      <c r="AZB187" s="34"/>
      <c r="AZC187" s="34"/>
      <c r="AZD187" s="34"/>
      <c r="AZE187" s="34"/>
      <c r="AZF187" s="34"/>
      <c r="AZG187" s="34"/>
      <c r="AZH187" s="34"/>
      <c r="AZI187" s="34"/>
      <c r="AZJ187" s="34"/>
      <c r="AZK187" s="34"/>
      <c r="AZL187" s="34"/>
      <c r="AZM187" s="34"/>
      <c r="AZN187" s="34"/>
      <c r="AZO187" s="34"/>
      <c r="AZP187" s="34"/>
      <c r="AZQ187" s="34"/>
      <c r="AZR187" s="34"/>
      <c r="AZS187" s="34"/>
      <c r="AZT187" s="34"/>
      <c r="AZU187" s="34"/>
      <c r="AZV187" s="34"/>
      <c r="AZW187" s="34"/>
      <c r="AZX187" s="34"/>
      <c r="AZY187" s="34"/>
      <c r="AZZ187" s="34"/>
      <c r="BAA187" s="34"/>
      <c r="BAB187" s="34"/>
      <c r="BAC187" s="34"/>
      <c r="BAD187" s="34"/>
      <c r="BAE187" s="34"/>
      <c r="BAF187" s="34"/>
      <c r="BAG187" s="34"/>
      <c r="BAH187" s="34"/>
      <c r="BAI187" s="34"/>
      <c r="BAJ187" s="34"/>
      <c r="BAK187" s="34"/>
      <c r="BAL187" s="34"/>
      <c r="BAM187" s="34"/>
      <c r="BAN187" s="34"/>
      <c r="BAO187" s="34"/>
      <c r="BAP187" s="34"/>
      <c r="BAQ187" s="34"/>
      <c r="BAR187" s="34"/>
      <c r="BAS187" s="34"/>
      <c r="BAT187" s="34"/>
      <c r="BAU187" s="34"/>
      <c r="BAV187" s="34"/>
      <c r="BAW187" s="34"/>
      <c r="BAX187" s="34"/>
      <c r="BAY187" s="34"/>
      <c r="BAZ187" s="34"/>
      <c r="BBA187" s="34"/>
      <c r="BBB187" s="34"/>
      <c r="BBC187" s="34"/>
      <c r="BBD187" s="34"/>
      <c r="BBE187" s="34"/>
      <c r="BBF187" s="34"/>
      <c r="BBG187" s="34"/>
      <c r="BBH187" s="34"/>
      <c r="BBI187" s="34"/>
      <c r="BBJ187" s="34"/>
      <c r="BBK187" s="34"/>
      <c r="BBL187" s="34"/>
      <c r="BBM187" s="34"/>
      <c r="BBN187" s="34"/>
      <c r="BBO187" s="34"/>
      <c r="BBP187" s="34"/>
      <c r="BBQ187" s="34"/>
      <c r="BBR187" s="34"/>
      <c r="BBS187" s="34"/>
      <c r="BBT187" s="34"/>
      <c r="BBU187" s="34"/>
      <c r="BBV187" s="34"/>
      <c r="BBW187" s="34"/>
      <c r="BBX187" s="34"/>
      <c r="BBY187" s="34"/>
      <c r="BBZ187" s="34"/>
      <c r="BCA187" s="34"/>
      <c r="BCB187" s="34"/>
      <c r="BCC187" s="34"/>
      <c r="BCD187" s="34"/>
      <c r="BCE187" s="34"/>
      <c r="BCF187" s="34"/>
      <c r="BCG187" s="34"/>
      <c r="BCH187" s="34"/>
      <c r="BCI187" s="34"/>
      <c r="BCJ187" s="34"/>
      <c r="BCK187" s="34"/>
      <c r="BCL187" s="34"/>
      <c r="BCM187" s="34"/>
      <c r="BCN187" s="34"/>
      <c r="BCO187" s="34"/>
      <c r="BCP187" s="34"/>
      <c r="BCQ187" s="34"/>
      <c r="BCR187" s="34"/>
      <c r="BCS187" s="34"/>
      <c r="BCT187" s="34"/>
      <c r="BCU187" s="34"/>
      <c r="BCV187" s="34"/>
      <c r="BCW187" s="34"/>
      <c r="BCX187" s="34"/>
      <c r="BCY187" s="34"/>
      <c r="BCZ187" s="34"/>
      <c r="BDA187" s="34"/>
      <c r="BDB187" s="34"/>
      <c r="BDC187" s="34"/>
      <c r="BDD187" s="34"/>
      <c r="BDE187" s="34"/>
      <c r="BDF187" s="34"/>
      <c r="BDG187" s="34"/>
      <c r="BDH187" s="34"/>
      <c r="BDI187" s="34"/>
      <c r="BDJ187" s="34"/>
      <c r="BDK187" s="34"/>
      <c r="BDL187" s="34"/>
      <c r="BDM187" s="34"/>
      <c r="BDN187" s="34"/>
      <c r="BDO187" s="34"/>
      <c r="BDP187" s="34"/>
      <c r="BDQ187" s="34"/>
      <c r="BDR187" s="34"/>
      <c r="BDS187" s="34"/>
      <c r="BDT187" s="34"/>
      <c r="BDU187" s="34"/>
      <c r="BDV187" s="34"/>
      <c r="BDW187" s="34"/>
      <c r="BDX187" s="34"/>
      <c r="BDY187" s="34"/>
      <c r="BDZ187" s="34"/>
      <c r="BEA187" s="34"/>
      <c r="BEB187" s="34"/>
      <c r="BEC187" s="34"/>
      <c r="BED187" s="34"/>
      <c r="BEE187" s="34"/>
      <c r="BEF187" s="34"/>
      <c r="BEG187" s="34"/>
      <c r="BEH187" s="34"/>
      <c r="BEI187" s="34"/>
      <c r="BEJ187" s="34"/>
      <c r="BEK187" s="34"/>
      <c r="BEL187" s="34"/>
      <c r="BEM187" s="34"/>
      <c r="BEN187" s="34"/>
      <c r="BEO187" s="34"/>
      <c r="BEP187" s="34"/>
      <c r="BEQ187" s="34"/>
      <c r="BER187" s="34"/>
      <c r="BES187" s="34"/>
      <c r="BET187" s="34"/>
      <c r="BEU187" s="34"/>
      <c r="BEV187" s="34"/>
      <c r="BEW187" s="34"/>
      <c r="BEX187" s="34"/>
      <c r="BEY187" s="34"/>
      <c r="BEZ187" s="34"/>
      <c r="BFA187" s="34"/>
      <c r="BFB187" s="34"/>
      <c r="BFC187" s="34"/>
      <c r="BFD187" s="34"/>
      <c r="BFE187" s="34"/>
      <c r="BFF187" s="34"/>
      <c r="BFG187" s="34"/>
      <c r="BFH187" s="34"/>
      <c r="BFI187" s="34"/>
      <c r="BFJ187" s="34"/>
      <c r="BFK187" s="34"/>
      <c r="BFL187" s="34"/>
      <c r="BFM187" s="34"/>
      <c r="BFN187" s="34"/>
      <c r="BFO187" s="34"/>
      <c r="BFP187" s="34"/>
      <c r="BFQ187" s="34"/>
      <c r="BFR187" s="34"/>
      <c r="BFS187" s="34"/>
      <c r="BFT187" s="34"/>
      <c r="BFU187" s="34"/>
      <c r="BFV187" s="34"/>
      <c r="BFW187" s="34"/>
      <c r="BFX187" s="34"/>
      <c r="BFY187" s="34"/>
      <c r="BFZ187" s="34"/>
      <c r="BGA187" s="34"/>
      <c r="BGB187" s="34"/>
      <c r="BGC187" s="34"/>
      <c r="BGD187" s="34"/>
      <c r="BGE187" s="34"/>
      <c r="BGF187" s="34"/>
      <c r="BGG187" s="34"/>
      <c r="BGH187" s="34"/>
      <c r="BGI187" s="34"/>
      <c r="BGJ187" s="34"/>
      <c r="BGK187" s="34"/>
      <c r="BGL187" s="34"/>
      <c r="BGM187" s="34"/>
      <c r="BGN187" s="34"/>
      <c r="BGO187" s="34"/>
      <c r="BGP187" s="34"/>
      <c r="BGQ187" s="34"/>
      <c r="BGR187" s="34"/>
      <c r="BGS187" s="34"/>
      <c r="BGT187" s="34"/>
      <c r="BGU187" s="34"/>
      <c r="BGV187" s="34"/>
      <c r="BGW187" s="34"/>
      <c r="BGX187" s="34"/>
      <c r="BGY187" s="34"/>
      <c r="BGZ187" s="34"/>
      <c r="BHA187" s="34"/>
      <c r="BHB187" s="34"/>
      <c r="BHC187" s="34"/>
      <c r="BHD187" s="34"/>
      <c r="BHE187" s="34"/>
      <c r="BHF187" s="34"/>
      <c r="BHG187" s="34"/>
      <c r="BHH187" s="34"/>
      <c r="BHI187" s="34"/>
      <c r="BHJ187" s="34"/>
      <c r="BHK187" s="34"/>
      <c r="BHL187" s="34"/>
      <c r="BHM187" s="34"/>
      <c r="BHN187" s="34"/>
      <c r="BHO187" s="34"/>
      <c r="BHP187" s="34"/>
      <c r="BHQ187" s="34"/>
      <c r="BHR187" s="34"/>
      <c r="BHS187" s="34"/>
      <c r="BHT187" s="34"/>
      <c r="BHU187" s="34"/>
      <c r="BHV187" s="34"/>
      <c r="BHW187" s="34"/>
      <c r="BHX187" s="34"/>
      <c r="BHY187" s="34"/>
      <c r="BHZ187" s="34"/>
      <c r="BIA187" s="34"/>
      <c r="BIB187" s="34"/>
      <c r="BIC187" s="34"/>
      <c r="BID187" s="34"/>
      <c r="BIE187" s="34"/>
      <c r="BIF187" s="34"/>
      <c r="BIG187" s="34"/>
      <c r="BIH187" s="34"/>
      <c r="BII187" s="34"/>
      <c r="BIJ187" s="34"/>
      <c r="BIK187" s="34"/>
      <c r="BIL187" s="34"/>
      <c r="BIM187" s="34"/>
      <c r="BIN187" s="34"/>
      <c r="BIO187" s="34"/>
      <c r="BIP187" s="34"/>
      <c r="BIQ187" s="34"/>
      <c r="BIR187" s="34"/>
      <c r="BIS187" s="34"/>
      <c r="BIT187" s="34"/>
      <c r="BIU187" s="34"/>
      <c r="BIV187" s="34"/>
      <c r="BIW187" s="34"/>
      <c r="BIX187" s="34"/>
      <c r="BIY187" s="34"/>
      <c r="BIZ187" s="34"/>
      <c r="BJA187" s="34"/>
      <c r="BJB187" s="34"/>
      <c r="BJC187" s="34"/>
      <c r="BJD187" s="34"/>
      <c r="BJE187" s="34"/>
      <c r="BJF187" s="34"/>
      <c r="BJG187" s="34"/>
      <c r="BJH187" s="34"/>
      <c r="BJI187" s="34"/>
      <c r="BJJ187" s="34"/>
      <c r="BJK187" s="34"/>
      <c r="BJL187" s="34"/>
      <c r="BJM187" s="34"/>
      <c r="BJN187" s="34"/>
      <c r="BJO187" s="34"/>
      <c r="BJP187" s="34"/>
      <c r="BJQ187" s="34"/>
      <c r="BJR187" s="34"/>
      <c r="BJS187" s="34"/>
      <c r="BJT187" s="34"/>
      <c r="BJU187" s="34"/>
      <c r="BJV187" s="34"/>
      <c r="BJW187" s="34"/>
      <c r="BJX187" s="34"/>
      <c r="BJY187" s="34"/>
      <c r="BJZ187" s="34"/>
      <c r="BKA187" s="34"/>
      <c r="BKB187" s="34"/>
      <c r="BKC187" s="34"/>
      <c r="BKD187" s="34"/>
      <c r="BKE187" s="34"/>
      <c r="BKF187" s="34"/>
      <c r="BKG187" s="34"/>
      <c r="BKH187" s="34"/>
      <c r="BKI187" s="34"/>
      <c r="BKJ187" s="34"/>
      <c r="BKK187" s="34"/>
      <c r="BKL187" s="34"/>
      <c r="BKM187" s="34"/>
      <c r="BKN187" s="34"/>
      <c r="BKO187" s="34"/>
      <c r="BKP187" s="34"/>
      <c r="BKQ187" s="34"/>
      <c r="BKR187" s="34"/>
      <c r="BKS187" s="34"/>
      <c r="BKT187" s="34"/>
      <c r="BKU187" s="34"/>
      <c r="BKV187" s="34"/>
      <c r="BKW187" s="34"/>
      <c r="BKX187" s="34"/>
      <c r="BKY187" s="34"/>
      <c r="BKZ187" s="34"/>
      <c r="BLA187" s="34"/>
      <c r="BLB187" s="34"/>
      <c r="BLC187" s="34"/>
      <c r="BLD187" s="34"/>
      <c r="BLE187" s="34"/>
      <c r="BLF187" s="34"/>
      <c r="BLG187" s="34"/>
      <c r="BLH187" s="34"/>
      <c r="BLI187" s="34"/>
      <c r="BLJ187" s="34"/>
      <c r="BLK187" s="34"/>
      <c r="BLL187" s="34"/>
      <c r="BLM187" s="34"/>
      <c r="BLN187" s="34"/>
      <c r="BLO187" s="34"/>
      <c r="BLP187" s="34"/>
      <c r="BLQ187" s="34"/>
      <c r="BLR187" s="34"/>
      <c r="BLS187" s="34"/>
      <c r="BLT187" s="34"/>
      <c r="BLU187" s="34"/>
      <c r="BLV187" s="34"/>
      <c r="BLW187" s="34"/>
      <c r="BLX187" s="34"/>
      <c r="BLY187" s="34"/>
      <c r="BLZ187" s="34"/>
      <c r="BMA187" s="34"/>
      <c r="BMB187" s="34"/>
      <c r="BMC187" s="34"/>
      <c r="BMD187" s="34"/>
      <c r="BME187" s="34"/>
      <c r="BMF187" s="34"/>
      <c r="BMG187" s="34"/>
      <c r="BMH187" s="34"/>
      <c r="BMI187" s="34"/>
      <c r="BMJ187" s="34"/>
      <c r="BMK187" s="34"/>
      <c r="BML187" s="34"/>
      <c r="BMM187" s="34"/>
      <c r="BMN187" s="34"/>
      <c r="BMO187" s="34"/>
      <c r="BMP187" s="34"/>
      <c r="BMQ187" s="34"/>
      <c r="BMR187" s="34"/>
      <c r="BMS187" s="34"/>
      <c r="BMT187" s="34"/>
      <c r="BMU187" s="34"/>
      <c r="BMV187" s="34"/>
      <c r="BMW187" s="34"/>
      <c r="BMX187" s="34"/>
      <c r="BMY187" s="34"/>
      <c r="BMZ187" s="34"/>
      <c r="BNA187" s="34"/>
      <c r="BNB187" s="34"/>
      <c r="BNC187" s="34"/>
      <c r="BND187" s="34"/>
      <c r="BNE187" s="34"/>
      <c r="BNF187" s="34"/>
      <c r="BNG187" s="34"/>
      <c r="BNH187" s="34"/>
      <c r="BNI187" s="34"/>
      <c r="BNJ187" s="34"/>
      <c r="BNK187" s="34"/>
      <c r="BNL187" s="34"/>
      <c r="BNM187" s="34"/>
      <c r="BNN187" s="34"/>
      <c r="BNO187" s="34"/>
      <c r="BNP187" s="34"/>
      <c r="BNQ187" s="34"/>
      <c r="BNR187" s="34"/>
      <c r="BNS187" s="34"/>
      <c r="BNT187" s="34"/>
      <c r="BNU187" s="34"/>
      <c r="BNV187" s="34"/>
      <c r="BNW187" s="34"/>
      <c r="BNX187" s="34"/>
      <c r="BNY187" s="34"/>
      <c r="BNZ187" s="34"/>
      <c r="BOA187" s="34"/>
      <c r="BOB187" s="34"/>
      <c r="BOC187" s="34"/>
      <c r="BOD187" s="34"/>
      <c r="BOE187" s="34"/>
      <c r="BOF187" s="34"/>
      <c r="BOG187" s="34"/>
      <c r="BOH187" s="34"/>
      <c r="BOI187" s="34"/>
      <c r="BOJ187" s="34"/>
      <c r="BOK187" s="34"/>
      <c r="BOL187" s="34"/>
      <c r="BOM187" s="34"/>
      <c r="BON187" s="34"/>
      <c r="BOO187" s="34"/>
      <c r="BOP187" s="34"/>
      <c r="BOQ187" s="34"/>
      <c r="BOR187" s="34"/>
      <c r="BOS187" s="34"/>
      <c r="BOT187" s="34"/>
      <c r="BOU187" s="34"/>
      <c r="BOV187" s="34"/>
      <c r="BOW187" s="34"/>
      <c r="BOX187" s="34"/>
      <c r="BOY187" s="34"/>
      <c r="BOZ187" s="34"/>
      <c r="BPA187" s="34"/>
      <c r="BPB187" s="34"/>
      <c r="BPC187" s="34"/>
      <c r="BPD187" s="34"/>
      <c r="BPE187" s="34"/>
      <c r="BPF187" s="34"/>
      <c r="BPG187" s="34"/>
      <c r="BPH187" s="34"/>
      <c r="BPI187" s="34"/>
      <c r="BPJ187" s="34"/>
      <c r="BPK187" s="34"/>
      <c r="BPL187" s="34"/>
      <c r="BPM187" s="34"/>
      <c r="BPN187" s="34"/>
      <c r="BPO187" s="34"/>
      <c r="BPP187" s="34"/>
      <c r="BPQ187" s="34"/>
      <c r="BPR187" s="34"/>
      <c r="BPS187" s="34"/>
      <c r="BPT187" s="34"/>
      <c r="BPU187" s="34"/>
      <c r="BPV187" s="34"/>
      <c r="BPW187" s="34"/>
      <c r="BPX187" s="34"/>
      <c r="BPY187" s="34"/>
      <c r="BPZ187" s="34"/>
      <c r="BQA187" s="34"/>
      <c r="BQB187" s="34"/>
      <c r="BQC187" s="34"/>
      <c r="BQD187" s="34"/>
      <c r="BQE187" s="34"/>
      <c r="BQF187" s="34"/>
      <c r="BQG187" s="34"/>
      <c r="BQH187" s="34"/>
      <c r="BQI187" s="34"/>
      <c r="BQJ187" s="34"/>
      <c r="BQK187" s="34"/>
      <c r="BQL187" s="34"/>
      <c r="BQM187" s="34"/>
      <c r="BQN187" s="34"/>
      <c r="BQO187" s="34"/>
      <c r="BQP187" s="34"/>
      <c r="BQQ187" s="34"/>
      <c r="BQR187" s="34"/>
      <c r="BQS187" s="34"/>
      <c r="BQT187" s="34"/>
      <c r="BQU187" s="34"/>
      <c r="BQV187" s="34"/>
      <c r="BQW187" s="34"/>
      <c r="BQX187" s="34"/>
      <c r="BQY187" s="34"/>
      <c r="BQZ187" s="34"/>
      <c r="BRA187" s="34"/>
      <c r="BRB187" s="34"/>
      <c r="BRC187" s="34"/>
      <c r="BRD187" s="34"/>
      <c r="BRE187" s="34"/>
      <c r="BRF187" s="34"/>
      <c r="BRG187" s="34"/>
      <c r="BRH187" s="34"/>
      <c r="BRI187" s="34"/>
      <c r="BRJ187" s="34"/>
      <c r="BRK187" s="34"/>
      <c r="BRL187" s="34"/>
      <c r="BRM187" s="34"/>
      <c r="BRN187" s="34"/>
      <c r="BRO187" s="34"/>
      <c r="BRP187" s="34"/>
      <c r="BRQ187" s="34"/>
      <c r="BRR187" s="34"/>
      <c r="BRS187" s="34"/>
      <c r="BRT187" s="34"/>
      <c r="BRU187" s="34"/>
      <c r="BRV187" s="34"/>
      <c r="BRW187" s="34"/>
      <c r="BRX187" s="34"/>
      <c r="BRY187" s="34"/>
      <c r="BRZ187" s="34"/>
      <c r="BSA187" s="34"/>
      <c r="BSB187" s="34"/>
      <c r="BSC187" s="34"/>
      <c r="BSD187" s="34"/>
      <c r="BSE187" s="34"/>
      <c r="BSF187" s="34"/>
      <c r="BSG187" s="34"/>
      <c r="BSH187" s="34"/>
      <c r="BSI187" s="34"/>
      <c r="BSJ187" s="34"/>
      <c r="BSK187" s="34"/>
      <c r="BSL187" s="34"/>
      <c r="BSM187" s="34"/>
      <c r="BSN187" s="34"/>
      <c r="BSO187" s="34"/>
      <c r="BSP187" s="34"/>
      <c r="BSQ187" s="34"/>
      <c r="BSR187" s="34"/>
      <c r="BSS187" s="34"/>
      <c r="BST187" s="34"/>
      <c r="BSU187" s="34"/>
      <c r="BSV187" s="34"/>
      <c r="BSW187" s="34"/>
      <c r="BSX187" s="34"/>
      <c r="BSY187" s="34"/>
      <c r="BSZ187" s="34"/>
      <c r="BTA187" s="34"/>
      <c r="BTB187" s="34"/>
      <c r="BTC187" s="34"/>
      <c r="BTD187" s="34"/>
      <c r="BTE187" s="34"/>
      <c r="BTF187" s="34"/>
      <c r="BTG187" s="34"/>
      <c r="BTH187" s="34"/>
      <c r="BTI187" s="34"/>
      <c r="BTJ187" s="34"/>
      <c r="BTK187" s="34"/>
      <c r="BTL187" s="34"/>
      <c r="BTM187" s="34"/>
      <c r="BTN187" s="34"/>
      <c r="BTO187" s="34"/>
      <c r="BTP187" s="34"/>
      <c r="BTQ187" s="34"/>
      <c r="BTR187" s="34"/>
      <c r="BTS187" s="34"/>
      <c r="BTT187" s="34"/>
      <c r="BTU187" s="34"/>
      <c r="BTV187" s="34"/>
      <c r="BTW187" s="34"/>
      <c r="BTX187" s="34"/>
      <c r="BTY187" s="34"/>
      <c r="BTZ187" s="34"/>
      <c r="BUA187" s="34"/>
      <c r="BUB187" s="34"/>
      <c r="BUC187" s="34"/>
      <c r="BUD187" s="34"/>
      <c r="BUE187" s="34"/>
      <c r="BUF187" s="34"/>
      <c r="BUG187" s="34"/>
      <c r="BUH187" s="34"/>
      <c r="BUI187" s="34"/>
      <c r="BUJ187" s="34"/>
      <c r="BUK187" s="34"/>
      <c r="BUL187" s="34"/>
      <c r="BUM187" s="34"/>
      <c r="BUN187" s="34"/>
      <c r="BUO187" s="34"/>
      <c r="BUP187" s="34"/>
      <c r="BUQ187" s="34"/>
      <c r="BUR187" s="34"/>
      <c r="BUS187" s="34"/>
      <c r="BUT187" s="34"/>
      <c r="BUU187" s="34"/>
      <c r="BUV187" s="34"/>
      <c r="BUW187" s="34"/>
      <c r="BUX187" s="34"/>
      <c r="BUY187" s="34"/>
      <c r="BUZ187" s="34"/>
      <c r="BVA187" s="34"/>
      <c r="BVB187" s="34"/>
      <c r="BVC187" s="34"/>
      <c r="BVD187" s="34"/>
      <c r="BVE187" s="34"/>
      <c r="BVF187" s="34"/>
      <c r="BVG187" s="34"/>
      <c r="BVH187" s="34"/>
      <c r="BVI187" s="34"/>
      <c r="BVJ187" s="34"/>
      <c r="BVK187" s="34"/>
      <c r="BVL187" s="34"/>
      <c r="BVM187" s="34"/>
      <c r="BVN187" s="34"/>
      <c r="BVO187" s="34"/>
      <c r="BVP187" s="34"/>
      <c r="BVQ187" s="34"/>
      <c r="BVR187" s="34"/>
      <c r="BVS187" s="34"/>
      <c r="BVT187" s="34"/>
      <c r="BVU187" s="34"/>
      <c r="BVV187" s="34"/>
      <c r="BVW187" s="34"/>
      <c r="BVX187" s="34"/>
      <c r="BVY187" s="34"/>
      <c r="BVZ187" s="34"/>
      <c r="BWA187" s="34"/>
      <c r="BWB187" s="34"/>
      <c r="BWC187" s="34"/>
      <c r="BWD187" s="34"/>
      <c r="BWE187" s="34"/>
      <c r="BWF187" s="34"/>
      <c r="BWG187" s="34"/>
      <c r="BWH187" s="34"/>
      <c r="BWI187" s="34"/>
      <c r="BWJ187" s="34"/>
      <c r="BWK187" s="34"/>
      <c r="BWL187" s="34"/>
      <c r="BWM187" s="34"/>
      <c r="BWN187" s="34"/>
      <c r="BWO187" s="34"/>
      <c r="BWP187" s="34"/>
      <c r="BWQ187" s="34"/>
      <c r="BWR187" s="34"/>
      <c r="BWS187" s="34"/>
      <c r="BWT187" s="34"/>
      <c r="BWU187" s="34"/>
      <c r="BWV187" s="34"/>
      <c r="BWW187" s="34"/>
      <c r="BWX187" s="34"/>
      <c r="BWY187" s="34"/>
      <c r="BWZ187" s="34"/>
      <c r="BXA187" s="34"/>
      <c r="BXB187" s="34"/>
      <c r="BXC187" s="34"/>
      <c r="BXD187" s="34"/>
      <c r="BXE187" s="34"/>
      <c r="BXF187" s="34"/>
      <c r="BXG187" s="34"/>
      <c r="BXH187" s="34"/>
      <c r="BXI187" s="34"/>
      <c r="BXJ187" s="34"/>
      <c r="BXK187" s="34"/>
      <c r="BXL187" s="34"/>
      <c r="BXM187" s="34"/>
      <c r="BXN187" s="34"/>
      <c r="BXO187" s="34"/>
      <c r="BXP187" s="34"/>
      <c r="BXQ187" s="34"/>
      <c r="BXR187" s="34"/>
      <c r="BXS187" s="34"/>
      <c r="BXT187" s="34"/>
      <c r="BXU187" s="34"/>
      <c r="BXV187" s="34"/>
      <c r="BXW187" s="34"/>
      <c r="BXX187" s="34"/>
      <c r="BXY187" s="34"/>
      <c r="BXZ187" s="34"/>
      <c r="BYA187" s="34"/>
      <c r="BYB187" s="34"/>
      <c r="BYC187" s="34"/>
      <c r="BYD187" s="34"/>
      <c r="BYE187" s="34"/>
      <c r="BYF187" s="34"/>
      <c r="BYG187" s="34"/>
      <c r="BYH187" s="34"/>
      <c r="BYI187" s="34"/>
      <c r="BYJ187" s="34"/>
      <c r="BYK187" s="34"/>
      <c r="BYL187" s="34"/>
      <c r="BYM187" s="34"/>
      <c r="BYN187" s="34"/>
      <c r="BYO187" s="34"/>
      <c r="BYP187" s="34"/>
      <c r="BYQ187" s="34"/>
      <c r="BYR187" s="34"/>
      <c r="BYS187" s="34"/>
      <c r="BYT187" s="34"/>
      <c r="BYU187" s="34"/>
      <c r="BYV187" s="34"/>
      <c r="BYW187" s="34"/>
      <c r="BYX187" s="34"/>
      <c r="BYY187" s="34"/>
      <c r="BYZ187" s="34"/>
      <c r="BZA187" s="34"/>
      <c r="BZB187" s="34"/>
      <c r="BZC187" s="34"/>
      <c r="BZD187" s="34"/>
      <c r="BZE187" s="34"/>
      <c r="BZF187" s="34"/>
      <c r="BZG187" s="34"/>
      <c r="BZH187" s="34"/>
      <c r="BZI187" s="34"/>
      <c r="BZJ187" s="34"/>
      <c r="BZK187" s="34"/>
      <c r="BZL187" s="34"/>
      <c r="BZM187" s="34"/>
      <c r="BZN187" s="34"/>
      <c r="BZO187" s="34"/>
      <c r="BZP187" s="34"/>
      <c r="BZQ187" s="34"/>
      <c r="BZR187" s="34"/>
      <c r="BZS187" s="34"/>
      <c r="BZT187" s="34"/>
      <c r="BZU187" s="34"/>
      <c r="BZV187" s="34"/>
      <c r="BZW187" s="34"/>
      <c r="BZX187" s="34"/>
      <c r="BZY187" s="34"/>
      <c r="BZZ187" s="34"/>
      <c r="CAA187" s="34"/>
      <c r="CAB187" s="34"/>
      <c r="CAC187" s="34"/>
      <c r="CAD187" s="34"/>
      <c r="CAE187" s="34"/>
      <c r="CAF187" s="34"/>
      <c r="CAG187" s="34"/>
      <c r="CAH187" s="34"/>
      <c r="CAI187" s="34"/>
      <c r="CAJ187" s="34"/>
      <c r="CAK187" s="34"/>
      <c r="CAL187" s="34"/>
      <c r="CAM187" s="34"/>
      <c r="CAN187" s="34"/>
      <c r="CAO187" s="34"/>
      <c r="CAP187" s="34"/>
      <c r="CAQ187" s="34"/>
      <c r="CAR187" s="34"/>
      <c r="CAS187" s="34"/>
      <c r="CAT187" s="34"/>
      <c r="CAU187" s="34"/>
      <c r="CAV187" s="34"/>
      <c r="CAW187" s="34"/>
      <c r="CAX187" s="34"/>
      <c r="CAY187" s="34"/>
      <c r="CAZ187" s="34"/>
      <c r="CBA187" s="34"/>
      <c r="CBB187" s="34"/>
      <c r="CBC187" s="34"/>
      <c r="CBD187" s="34"/>
      <c r="CBE187" s="34"/>
      <c r="CBF187" s="34"/>
      <c r="CBG187" s="34"/>
      <c r="CBH187" s="34"/>
      <c r="CBI187" s="34"/>
      <c r="CBJ187" s="34"/>
      <c r="CBK187" s="34"/>
      <c r="CBL187" s="34"/>
      <c r="CBM187" s="34"/>
      <c r="CBN187" s="34"/>
      <c r="CBO187" s="34"/>
      <c r="CBP187" s="34"/>
      <c r="CBQ187" s="34"/>
      <c r="CBR187" s="34"/>
      <c r="CBS187" s="34"/>
      <c r="CBT187" s="34"/>
      <c r="CBU187" s="34"/>
      <c r="CBV187" s="34"/>
      <c r="CBW187" s="34"/>
      <c r="CBX187" s="34"/>
      <c r="CBY187" s="34"/>
      <c r="CBZ187" s="34"/>
      <c r="CCA187" s="34"/>
      <c r="CCB187" s="34"/>
      <c r="CCC187" s="34"/>
      <c r="CCD187" s="34"/>
      <c r="CCE187" s="34"/>
      <c r="CCF187" s="34"/>
      <c r="CCG187" s="34"/>
      <c r="CCH187" s="34"/>
      <c r="CCI187" s="34"/>
      <c r="CCJ187" s="34"/>
      <c r="CCK187" s="34"/>
      <c r="CCL187" s="34"/>
      <c r="CCM187" s="34"/>
      <c r="CCN187" s="34"/>
      <c r="CCO187" s="34"/>
      <c r="CCP187" s="34"/>
      <c r="CCQ187" s="34"/>
      <c r="CCR187" s="34"/>
      <c r="CCS187" s="34"/>
      <c r="CCT187" s="34"/>
      <c r="CCU187" s="34"/>
      <c r="CCV187" s="34"/>
      <c r="CCW187" s="34"/>
      <c r="CCX187" s="34"/>
      <c r="CCY187" s="34"/>
      <c r="CCZ187" s="34"/>
      <c r="CDA187" s="34"/>
      <c r="CDB187" s="34"/>
      <c r="CDC187" s="34"/>
      <c r="CDD187" s="34"/>
      <c r="CDE187" s="34"/>
      <c r="CDF187" s="34"/>
      <c r="CDG187" s="34"/>
      <c r="CDH187" s="34"/>
      <c r="CDI187" s="34"/>
      <c r="CDJ187" s="34"/>
      <c r="CDK187" s="34"/>
      <c r="CDL187" s="34"/>
      <c r="CDM187" s="34"/>
      <c r="CDN187" s="34"/>
      <c r="CDO187" s="34"/>
      <c r="CDP187" s="34"/>
      <c r="CDQ187" s="34"/>
      <c r="CDR187" s="34"/>
      <c r="CDS187" s="34"/>
      <c r="CDT187" s="34"/>
      <c r="CDU187" s="34"/>
      <c r="CDV187" s="34"/>
      <c r="CDW187" s="34"/>
      <c r="CDX187" s="34"/>
      <c r="CDY187" s="34"/>
      <c r="CDZ187" s="34"/>
      <c r="CEA187" s="34"/>
      <c r="CEB187" s="34"/>
      <c r="CEC187" s="34"/>
      <c r="CED187" s="34"/>
      <c r="CEE187" s="34"/>
      <c r="CEF187" s="34"/>
      <c r="CEG187" s="34"/>
      <c r="CEH187" s="34"/>
      <c r="CEI187" s="34"/>
      <c r="CEJ187" s="34"/>
      <c r="CEK187" s="34"/>
      <c r="CEL187" s="34"/>
      <c r="CEM187" s="34"/>
      <c r="CEN187" s="34"/>
      <c r="CEO187" s="34"/>
      <c r="CEP187" s="34"/>
      <c r="CEQ187" s="34"/>
      <c r="CER187" s="34"/>
      <c r="CES187" s="34"/>
      <c r="CET187" s="34"/>
      <c r="CEU187" s="34"/>
      <c r="CEV187" s="34"/>
      <c r="CEW187" s="34"/>
      <c r="CEX187" s="34"/>
      <c r="CEY187" s="34"/>
      <c r="CEZ187" s="34"/>
      <c r="CFA187" s="34"/>
      <c r="CFB187" s="34"/>
      <c r="CFC187" s="34"/>
      <c r="CFD187" s="34"/>
      <c r="CFE187" s="34"/>
      <c r="CFF187" s="34"/>
      <c r="CFG187" s="34"/>
      <c r="CFH187" s="34"/>
      <c r="CFI187" s="34"/>
      <c r="CFJ187" s="34"/>
      <c r="CFK187" s="34"/>
      <c r="CFL187" s="34"/>
      <c r="CFM187" s="34"/>
      <c r="CFN187" s="34"/>
      <c r="CFO187" s="34"/>
      <c r="CFP187" s="34"/>
      <c r="CFQ187" s="34"/>
      <c r="CFR187" s="34"/>
      <c r="CFS187" s="34"/>
      <c r="CFT187" s="34"/>
      <c r="CFU187" s="34"/>
      <c r="CFV187" s="34"/>
      <c r="CFW187" s="34"/>
      <c r="CFX187" s="34"/>
      <c r="CFY187" s="34"/>
      <c r="CFZ187" s="34"/>
      <c r="CGA187" s="34"/>
      <c r="CGB187" s="34"/>
      <c r="CGC187" s="34"/>
      <c r="CGD187" s="34"/>
      <c r="CGE187" s="34"/>
      <c r="CGF187" s="34"/>
      <c r="CGG187" s="34"/>
      <c r="CGH187" s="34"/>
      <c r="CGI187" s="34"/>
      <c r="CGJ187" s="34"/>
      <c r="CGK187" s="34"/>
      <c r="CGL187" s="34"/>
      <c r="CGM187" s="34"/>
      <c r="CGN187" s="34"/>
      <c r="CGO187" s="34"/>
      <c r="CGP187" s="34"/>
      <c r="CGQ187" s="34"/>
      <c r="CGR187" s="34"/>
      <c r="CGS187" s="34"/>
      <c r="CGT187" s="34"/>
      <c r="CGU187" s="34"/>
      <c r="CGV187" s="34"/>
      <c r="CGW187" s="34"/>
      <c r="CGX187" s="34"/>
      <c r="CGY187" s="34"/>
      <c r="CGZ187" s="34"/>
      <c r="CHA187" s="34"/>
      <c r="CHB187" s="34"/>
      <c r="CHC187" s="34"/>
      <c r="CHD187" s="34"/>
      <c r="CHE187" s="34"/>
      <c r="CHF187" s="34"/>
      <c r="CHG187" s="34"/>
      <c r="CHH187" s="34"/>
      <c r="CHI187" s="34"/>
      <c r="CHJ187" s="34"/>
      <c r="CHK187" s="34"/>
      <c r="CHL187" s="34"/>
      <c r="CHM187" s="34"/>
      <c r="CHN187" s="34"/>
      <c r="CHO187" s="34"/>
      <c r="CHP187" s="34"/>
      <c r="CHQ187" s="34"/>
      <c r="CHR187" s="34"/>
      <c r="CHS187" s="34"/>
      <c r="CHT187" s="34"/>
      <c r="CHU187" s="34"/>
      <c r="CHV187" s="34"/>
      <c r="CHW187" s="34"/>
      <c r="CHX187" s="34"/>
      <c r="CHY187" s="34"/>
      <c r="CHZ187" s="34"/>
      <c r="CIA187" s="34"/>
      <c r="CIB187" s="34"/>
      <c r="CIC187" s="34"/>
      <c r="CID187" s="34"/>
      <c r="CIE187" s="34"/>
      <c r="CIF187" s="34"/>
      <c r="CIG187" s="34"/>
      <c r="CIH187" s="34"/>
      <c r="CII187" s="34"/>
      <c r="CIJ187" s="34"/>
      <c r="CIK187" s="34"/>
      <c r="CIL187" s="34"/>
      <c r="CIM187" s="34"/>
      <c r="CIN187" s="34"/>
      <c r="CIO187" s="34"/>
      <c r="CIP187" s="34"/>
      <c r="CIQ187" s="34"/>
      <c r="CIR187" s="34"/>
      <c r="CIS187" s="34"/>
      <c r="CIT187" s="34"/>
      <c r="CIU187" s="34"/>
      <c r="CIV187" s="34"/>
      <c r="CIW187" s="34"/>
      <c r="CIX187" s="34"/>
      <c r="CIY187" s="34"/>
      <c r="CIZ187" s="34"/>
      <c r="CJA187" s="34"/>
      <c r="CJB187" s="34"/>
      <c r="CJC187" s="34"/>
      <c r="CJD187" s="34"/>
      <c r="CJE187" s="34"/>
      <c r="CJF187" s="34"/>
      <c r="CJG187" s="34"/>
      <c r="CJH187" s="34"/>
      <c r="CJI187" s="34"/>
      <c r="CJJ187" s="34"/>
      <c r="CJK187" s="34"/>
      <c r="CJL187" s="34"/>
      <c r="CJM187" s="34"/>
      <c r="CJN187" s="34"/>
      <c r="CJO187" s="34"/>
      <c r="CJP187" s="34"/>
      <c r="CJQ187" s="34"/>
      <c r="CJR187" s="34"/>
      <c r="CJS187" s="34"/>
      <c r="CJT187" s="34"/>
      <c r="CJU187" s="34"/>
      <c r="CJV187" s="34"/>
      <c r="CJW187" s="34"/>
      <c r="CJX187" s="34"/>
      <c r="CJY187" s="34"/>
      <c r="CJZ187" s="34"/>
      <c r="CKA187" s="34"/>
      <c r="CKB187" s="34"/>
      <c r="CKC187" s="34"/>
      <c r="CKD187" s="34"/>
      <c r="CKE187" s="34"/>
      <c r="CKF187" s="34"/>
      <c r="CKG187" s="34"/>
      <c r="CKH187" s="34"/>
      <c r="CKI187" s="34"/>
      <c r="CKJ187" s="34"/>
      <c r="CKK187" s="34"/>
      <c r="CKL187" s="34"/>
      <c r="CKM187" s="34"/>
      <c r="CKN187" s="34"/>
      <c r="CKO187" s="34"/>
      <c r="CKP187" s="34"/>
      <c r="CKQ187" s="34"/>
      <c r="CKR187" s="34"/>
      <c r="CKS187" s="34"/>
      <c r="CKT187" s="34"/>
      <c r="CKU187" s="34"/>
      <c r="CKV187" s="34"/>
      <c r="CKW187" s="34"/>
      <c r="CKX187" s="34"/>
      <c r="CKY187" s="34"/>
      <c r="CKZ187" s="34"/>
      <c r="CLA187" s="34"/>
      <c r="CLB187" s="34"/>
      <c r="CLC187" s="34"/>
      <c r="CLD187" s="34"/>
      <c r="CLE187" s="34"/>
      <c r="CLF187" s="34"/>
      <c r="CLG187" s="34"/>
      <c r="CLH187" s="34"/>
      <c r="CLI187" s="34"/>
      <c r="CLJ187" s="34"/>
      <c r="CLK187" s="34"/>
      <c r="CLL187" s="34"/>
      <c r="CLM187" s="34"/>
      <c r="CLN187" s="34"/>
      <c r="CLO187" s="34"/>
      <c r="CLP187" s="34"/>
      <c r="CLQ187" s="34"/>
      <c r="CLR187" s="34"/>
      <c r="CLS187" s="34"/>
      <c r="CLT187" s="34"/>
      <c r="CLU187" s="34"/>
      <c r="CLV187" s="34"/>
      <c r="CLW187" s="34"/>
      <c r="CLX187" s="34"/>
      <c r="CLY187" s="34"/>
      <c r="CLZ187" s="34"/>
      <c r="CMA187" s="34"/>
      <c r="CMB187" s="34"/>
      <c r="CMC187" s="34"/>
      <c r="CMD187" s="34"/>
      <c r="CME187" s="34"/>
      <c r="CMF187" s="34"/>
      <c r="CMG187" s="34"/>
      <c r="CMH187" s="34"/>
      <c r="CMI187" s="34"/>
      <c r="CMJ187" s="34"/>
      <c r="CMK187" s="34"/>
      <c r="CML187" s="34"/>
      <c r="CMM187" s="34"/>
      <c r="CMN187" s="34"/>
      <c r="CMO187" s="34"/>
      <c r="CMP187" s="34"/>
      <c r="CMQ187" s="34"/>
      <c r="CMR187" s="34"/>
      <c r="CMS187" s="34"/>
      <c r="CMT187" s="34"/>
      <c r="CMU187" s="34"/>
      <c r="CMV187" s="34"/>
      <c r="CMW187" s="34"/>
      <c r="CMX187" s="34"/>
      <c r="CMY187" s="34"/>
      <c r="CMZ187" s="34"/>
      <c r="CNA187" s="34"/>
      <c r="CNB187" s="34"/>
      <c r="CNC187" s="34"/>
      <c r="CND187" s="34"/>
      <c r="CNE187" s="34"/>
      <c r="CNF187" s="34"/>
      <c r="CNG187" s="34"/>
      <c r="CNH187" s="34"/>
      <c r="CNI187" s="34"/>
      <c r="CNJ187" s="34"/>
      <c r="CNK187" s="34"/>
      <c r="CNL187" s="34"/>
      <c r="CNM187" s="34"/>
      <c r="CNN187" s="34"/>
      <c r="CNO187" s="34"/>
      <c r="CNP187" s="34"/>
      <c r="CNQ187" s="34"/>
      <c r="CNR187" s="34"/>
      <c r="CNS187" s="34"/>
      <c r="CNT187" s="34"/>
      <c r="CNU187" s="34"/>
      <c r="CNV187" s="34"/>
      <c r="CNW187" s="34"/>
      <c r="CNX187" s="34"/>
      <c r="CNY187" s="34"/>
      <c r="CNZ187" s="34"/>
      <c r="COA187" s="34"/>
      <c r="COB187" s="34"/>
      <c r="COC187" s="34"/>
      <c r="COD187" s="34"/>
      <c r="COE187" s="34"/>
      <c r="COF187" s="34"/>
      <c r="COG187" s="34"/>
      <c r="COH187" s="34"/>
      <c r="COI187" s="34"/>
      <c r="COJ187" s="34"/>
      <c r="COK187" s="34"/>
      <c r="COL187" s="34"/>
      <c r="COM187" s="34"/>
      <c r="CON187" s="34"/>
      <c r="COO187" s="34"/>
      <c r="COP187" s="34"/>
      <c r="COQ187" s="34"/>
      <c r="COR187" s="34"/>
      <c r="COS187" s="34"/>
      <c r="COT187" s="34"/>
      <c r="COU187" s="34"/>
      <c r="COV187" s="34"/>
      <c r="COW187" s="34"/>
      <c r="COX187" s="34"/>
      <c r="COY187" s="34"/>
      <c r="COZ187" s="34"/>
      <c r="CPA187" s="34"/>
      <c r="CPB187" s="34"/>
      <c r="CPC187" s="34"/>
      <c r="CPD187" s="34"/>
      <c r="CPE187" s="34"/>
      <c r="CPF187" s="34"/>
      <c r="CPG187" s="34"/>
      <c r="CPH187" s="34"/>
      <c r="CPI187" s="34"/>
      <c r="CPJ187" s="34"/>
      <c r="CPK187" s="34"/>
      <c r="CPL187" s="34"/>
      <c r="CPM187" s="34"/>
      <c r="CPN187" s="34"/>
      <c r="CPO187" s="34"/>
      <c r="CPP187" s="34"/>
      <c r="CPQ187" s="34"/>
      <c r="CPR187" s="34"/>
      <c r="CPS187" s="34"/>
      <c r="CPT187" s="34"/>
      <c r="CPU187" s="34"/>
      <c r="CPV187" s="34"/>
      <c r="CPW187" s="34"/>
      <c r="CPX187" s="34"/>
      <c r="CPY187" s="34"/>
      <c r="CPZ187" s="34"/>
      <c r="CQA187" s="34"/>
      <c r="CQB187" s="34"/>
      <c r="CQC187" s="34"/>
      <c r="CQD187" s="34"/>
      <c r="CQE187" s="34"/>
      <c r="CQF187" s="34"/>
      <c r="CQG187" s="34"/>
      <c r="CQH187" s="34"/>
      <c r="CQI187" s="34"/>
      <c r="CQJ187" s="34"/>
      <c r="CQK187" s="34"/>
      <c r="CQL187" s="34"/>
      <c r="CQM187" s="34"/>
      <c r="CQN187" s="34"/>
      <c r="CQO187" s="34"/>
      <c r="CQP187" s="34"/>
      <c r="CQQ187" s="34"/>
      <c r="CQR187" s="34"/>
      <c r="CQS187" s="34"/>
      <c r="CQT187" s="34"/>
      <c r="CQU187" s="34"/>
      <c r="CQV187" s="34"/>
      <c r="CQW187" s="34"/>
      <c r="CQX187" s="34"/>
      <c r="CQY187" s="34"/>
      <c r="CQZ187" s="34"/>
      <c r="CRA187" s="34"/>
      <c r="CRB187" s="34"/>
      <c r="CRC187" s="34"/>
      <c r="CRD187" s="34"/>
      <c r="CRE187" s="34"/>
      <c r="CRF187" s="34"/>
      <c r="CRG187" s="34"/>
      <c r="CRH187" s="34"/>
      <c r="CRI187" s="34"/>
      <c r="CRJ187" s="34"/>
      <c r="CRK187" s="34"/>
      <c r="CRL187" s="34"/>
      <c r="CRM187" s="34"/>
      <c r="CRN187" s="34"/>
      <c r="CRO187" s="34"/>
      <c r="CRP187" s="34"/>
      <c r="CRQ187" s="34"/>
      <c r="CRR187" s="34"/>
      <c r="CRS187" s="34"/>
      <c r="CRT187" s="34"/>
      <c r="CRU187" s="34"/>
      <c r="CRV187" s="34"/>
      <c r="CRW187" s="34"/>
      <c r="CRX187" s="34"/>
      <c r="CRY187" s="34"/>
      <c r="CRZ187" s="34"/>
      <c r="CSA187" s="34"/>
      <c r="CSB187" s="34"/>
      <c r="CSC187" s="34"/>
      <c r="CSD187" s="34"/>
      <c r="CSE187" s="34"/>
      <c r="CSF187" s="34"/>
      <c r="CSG187" s="34"/>
      <c r="CSH187" s="34"/>
      <c r="CSI187" s="34"/>
      <c r="CSJ187" s="34"/>
      <c r="CSK187" s="34"/>
      <c r="CSL187" s="34"/>
      <c r="CSM187" s="34"/>
      <c r="CSN187" s="34"/>
      <c r="CSO187" s="34"/>
      <c r="CSP187" s="34"/>
      <c r="CSQ187" s="34"/>
      <c r="CSR187" s="34"/>
      <c r="CSS187" s="34"/>
      <c r="CST187" s="34"/>
      <c r="CSU187" s="34"/>
      <c r="CSV187" s="34"/>
      <c r="CSW187" s="34"/>
      <c r="CSX187" s="34"/>
      <c r="CSY187" s="34"/>
      <c r="CSZ187" s="34"/>
      <c r="CTA187" s="34"/>
      <c r="CTB187" s="34"/>
      <c r="CTC187" s="34"/>
      <c r="CTD187" s="34"/>
      <c r="CTE187" s="34"/>
      <c r="CTF187" s="34"/>
      <c r="CTG187" s="34"/>
      <c r="CTH187" s="34"/>
      <c r="CTI187" s="34"/>
      <c r="CTJ187" s="34"/>
      <c r="CTK187" s="34"/>
      <c r="CTL187" s="34"/>
      <c r="CTM187" s="34"/>
      <c r="CTN187" s="34"/>
      <c r="CTO187" s="34"/>
      <c r="CTP187" s="34"/>
      <c r="CTQ187" s="34"/>
      <c r="CTR187" s="34"/>
      <c r="CTS187" s="34"/>
      <c r="CTT187" s="34"/>
      <c r="CTU187" s="34"/>
      <c r="CTV187" s="34"/>
      <c r="CTW187" s="34"/>
      <c r="CTX187" s="34"/>
      <c r="CTY187" s="34"/>
      <c r="CTZ187" s="34"/>
      <c r="CUA187" s="34"/>
      <c r="CUB187" s="34"/>
      <c r="CUC187" s="34"/>
      <c r="CUD187" s="34"/>
      <c r="CUE187" s="34"/>
      <c r="CUF187" s="34"/>
      <c r="CUG187" s="34"/>
      <c r="CUH187" s="34"/>
      <c r="CUI187" s="34"/>
      <c r="CUJ187" s="34"/>
      <c r="CUK187" s="34"/>
      <c r="CUL187" s="34"/>
      <c r="CUM187" s="34"/>
      <c r="CUN187" s="34"/>
      <c r="CUO187" s="34"/>
      <c r="CUP187" s="34"/>
      <c r="CUQ187" s="34"/>
      <c r="CUR187" s="34"/>
      <c r="CUS187" s="34"/>
      <c r="CUT187" s="34"/>
      <c r="CUU187" s="34"/>
      <c r="CUV187" s="34"/>
      <c r="CUW187" s="34"/>
      <c r="CUX187" s="34"/>
      <c r="CUY187" s="34"/>
      <c r="CUZ187" s="34"/>
      <c r="CVA187" s="34"/>
      <c r="CVB187" s="34"/>
      <c r="CVC187" s="34"/>
      <c r="CVD187" s="34"/>
      <c r="CVE187" s="34"/>
      <c r="CVF187" s="34"/>
      <c r="CVG187" s="34"/>
      <c r="CVH187" s="34"/>
      <c r="CVI187" s="34"/>
      <c r="CVJ187" s="34"/>
      <c r="CVK187" s="34"/>
      <c r="CVL187" s="34"/>
      <c r="CVM187" s="34"/>
      <c r="CVN187" s="34"/>
      <c r="CVO187" s="34"/>
      <c r="CVP187" s="34"/>
      <c r="CVQ187" s="34"/>
      <c r="CVR187" s="34"/>
      <c r="CVS187" s="34"/>
      <c r="CVT187" s="34"/>
      <c r="CVU187" s="34"/>
      <c r="CVV187" s="34"/>
      <c r="CVW187" s="34"/>
      <c r="CVX187" s="34"/>
      <c r="CVY187" s="34"/>
      <c r="CVZ187" s="34"/>
      <c r="CWA187" s="34"/>
      <c r="CWB187" s="34"/>
      <c r="CWC187" s="34"/>
      <c r="CWD187" s="34"/>
      <c r="CWE187" s="34"/>
      <c r="CWF187" s="34"/>
      <c r="CWG187" s="34"/>
      <c r="CWH187" s="34"/>
      <c r="CWI187" s="34"/>
      <c r="CWJ187" s="34"/>
      <c r="CWK187" s="34"/>
      <c r="CWL187" s="34"/>
      <c r="CWM187" s="34"/>
      <c r="CWN187" s="34"/>
      <c r="CWO187" s="34"/>
      <c r="CWP187" s="34"/>
      <c r="CWQ187" s="34"/>
      <c r="CWR187" s="34"/>
      <c r="CWS187" s="34"/>
      <c r="CWT187" s="34"/>
      <c r="CWU187" s="34"/>
      <c r="CWV187" s="34"/>
      <c r="CWW187" s="34"/>
      <c r="CWX187" s="34"/>
      <c r="CWY187" s="34"/>
      <c r="CWZ187" s="34"/>
      <c r="CXA187" s="34"/>
      <c r="CXB187" s="34"/>
      <c r="CXC187" s="34"/>
      <c r="CXD187" s="34"/>
      <c r="CXE187" s="34"/>
      <c r="CXF187" s="34"/>
      <c r="CXG187" s="34"/>
      <c r="CXH187" s="34"/>
      <c r="CXI187" s="34"/>
      <c r="CXJ187" s="34"/>
      <c r="CXK187" s="34"/>
      <c r="CXL187" s="34"/>
      <c r="CXM187" s="34"/>
      <c r="CXN187" s="34"/>
      <c r="CXO187" s="34"/>
      <c r="CXP187" s="34"/>
      <c r="CXQ187" s="34"/>
      <c r="CXR187" s="34"/>
      <c r="CXS187" s="34"/>
      <c r="CXT187" s="34"/>
      <c r="CXU187" s="34"/>
      <c r="CXV187" s="34"/>
      <c r="CXW187" s="34"/>
      <c r="CXX187" s="34"/>
      <c r="CXY187" s="34"/>
      <c r="CXZ187" s="34"/>
      <c r="CYA187" s="34"/>
      <c r="CYB187" s="34"/>
      <c r="CYC187" s="34"/>
      <c r="CYD187" s="34"/>
      <c r="CYE187" s="34"/>
      <c r="CYF187" s="34"/>
      <c r="CYG187" s="34"/>
      <c r="CYH187" s="34"/>
      <c r="CYI187" s="34"/>
      <c r="CYJ187" s="34"/>
      <c r="CYK187" s="34"/>
      <c r="CYL187" s="34"/>
      <c r="CYM187" s="34"/>
      <c r="CYN187" s="34"/>
      <c r="CYO187" s="34"/>
      <c r="CYP187" s="34"/>
      <c r="CYQ187" s="34"/>
      <c r="CYR187" s="34"/>
      <c r="CYS187" s="34"/>
      <c r="CYT187" s="34"/>
      <c r="CYU187" s="34"/>
      <c r="CYV187" s="34"/>
      <c r="CYW187" s="34"/>
      <c r="CYX187" s="34"/>
      <c r="CYY187" s="34"/>
      <c r="CYZ187" s="34"/>
      <c r="CZA187" s="34"/>
      <c r="CZB187" s="34"/>
      <c r="CZC187" s="34"/>
      <c r="CZD187" s="34"/>
      <c r="CZE187" s="34"/>
      <c r="CZF187" s="34"/>
      <c r="CZG187" s="34"/>
      <c r="CZH187" s="34"/>
      <c r="CZI187" s="34"/>
      <c r="CZJ187" s="34"/>
      <c r="CZK187" s="34"/>
      <c r="CZL187" s="34"/>
      <c r="CZM187" s="34"/>
      <c r="CZN187" s="34"/>
      <c r="CZO187" s="34"/>
      <c r="CZP187" s="34"/>
      <c r="CZQ187" s="34"/>
      <c r="CZR187" s="34"/>
      <c r="CZS187" s="34"/>
      <c r="CZT187" s="34"/>
      <c r="CZU187" s="34"/>
      <c r="CZV187" s="34"/>
      <c r="CZW187" s="34"/>
      <c r="CZX187" s="34"/>
      <c r="CZY187" s="34"/>
      <c r="CZZ187" s="34"/>
      <c r="DAA187" s="34"/>
      <c r="DAB187" s="34"/>
      <c r="DAC187" s="34"/>
      <c r="DAD187" s="34"/>
      <c r="DAE187" s="34"/>
      <c r="DAF187" s="34"/>
      <c r="DAG187" s="34"/>
      <c r="DAH187" s="34"/>
      <c r="DAI187" s="34"/>
      <c r="DAJ187" s="34"/>
      <c r="DAK187" s="34"/>
      <c r="DAL187" s="34"/>
      <c r="DAM187" s="34"/>
      <c r="DAN187" s="34"/>
      <c r="DAO187" s="34"/>
      <c r="DAP187" s="34"/>
      <c r="DAQ187" s="34"/>
      <c r="DAR187" s="34"/>
      <c r="DAS187" s="34"/>
      <c r="DAT187" s="34"/>
      <c r="DAU187" s="34"/>
      <c r="DAV187" s="34"/>
      <c r="DAW187" s="34"/>
      <c r="DAX187" s="34"/>
      <c r="DAY187" s="34"/>
      <c r="DAZ187" s="34"/>
      <c r="DBA187" s="34"/>
      <c r="DBB187" s="34"/>
      <c r="DBC187" s="34"/>
      <c r="DBD187" s="34"/>
      <c r="DBE187" s="34"/>
      <c r="DBF187" s="34"/>
      <c r="DBG187" s="34"/>
      <c r="DBH187" s="34"/>
      <c r="DBI187" s="34"/>
      <c r="DBJ187" s="34"/>
      <c r="DBK187" s="34"/>
      <c r="DBL187" s="34"/>
      <c r="DBM187" s="34"/>
      <c r="DBN187" s="34"/>
      <c r="DBO187" s="34"/>
      <c r="DBP187" s="34"/>
      <c r="DBQ187" s="34"/>
      <c r="DBR187" s="34"/>
      <c r="DBS187" s="34"/>
      <c r="DBT187" s="34"/>
      <c r="DBU187" s="34"/>
      <c r="DBV187" s="34"/>
      <c r="DBW187" s="34"/>
      <c r="DBX187" s="34"/>
      <c r="DBY187" s="34"/>
      <c r="DBZ187" s="34"/>
      <c r="DCA187" s="34"/>
      <c r="DCB187" s="34"/>
      <c r="DCC187" s="34"/>
      <c r="DCD187" s="34"/>
      <c r="DCE187" s="34"/>
      <c r="DCF187" s="34"/>
      <c r="DCG187" s="34"/>
      <c r="DCH187" s="34"/>
      <c r="DCI187" s="34"/>
      <c r="DCJ187" s="34"/>
      <c r="DCK187" s="34"/>
      <c r="DCL187" s="34"/>
      <c r="DCM187" s="34"/>
      <c r="DCN187" s="34"/>
      <c r="DCO187" s="34"/>
      <c r="DCP187" s="34"/>
      <c r="DCQ187" s="34"/>
      <c r="DCR187" s="34"/>
      <c r="DCS187" s="34"/>
      <c r="DCT187" s="34"/>
      <c r="DCU187" s="34"/>
      <c r="DCV187" s="34"/>
      <c r="DCW187" s="34"/>
      <c r="DCX187" s="34"/>
      <c r="DCY187" s="34"/>
      <c r="DCZ187" s="34"/>
      <c r="DDA187" s="34"/>
      <c r="DDB187" s="34"/>
      <c r="DDC187" s="34"/>
      <c r="DDD187" s="34"/>
      <c r="DDE187" s="34"/>
      <c r="DDF187" s="34"/>
      <c r="DDG187" s="34"/>
      <c r="DDH187" s="34"/>
      <c r="DDI187" s="34"/>
      <c r="DDJ187" s="34"/>
      <c r="DDK187" s="34"/>
      <c r="DDL187" s="34"/>
      <c r="DDM187" s="34"/>
      <c r="DDN187" s="34"/>
      <c r="DDO187" s="34"/>
      <c r="DDP187" s="34"/>
      <c r="DDQ187" s="34"/>
      <c r="DDR187" s="34"/>
      <c r="DDS187" s="34"/>
      <c r="DDT187" s="34"/>
      <c r="DDU187" s="34"/>
      <c r="DDV187" s="34"/>
      <c r="DDW187" s="34"/>
      <c r="DDX187" s="34"/>
      <c r="DDY187" s="34"/>
      <c r="DDZ187" s="34"/>
      <c r="DEA187" s="34"/>
      <c r="DEB187" s="34"/>
      <c r="DEC187" s="34"/>
      <c r="DED187" s="34"/>
      <c r="DEE187" s="34"/>
      <c r="DEF187" s="34"/>
      <c r="DEG187" s="34"/>
      <c r="DEH187" s="34"/>
      <c r="DEI187" s="34"/>
      <c r="DEJ187" s="34"/>
      <c r="DEK187" s="34"/>
      <c r="DEL187" s="34"/>
      <c r="DEM187" s="34"/>
      <c r="DEN187" s="34"/>
      <c r="DEO187" s="34"/>
      <c r="DEP187" s="34"/>
      <c r="DEQ187" s="34"/>
      <c r="DER187" s="34"/>
      <c r="DES187" s="34"/>
      <c r="DET187" s="34"/>
      <c r="DEU187" s="34"/>
      <c r="DEV187" s="34"/>
      <c r="DEW187" s="34"/>
      <c r="DEX187" s="34"/>
      <c r="DEY187" s="34"/>
      <c r="DEZ187" s="34"/>
      <c r="DFA187" s="34"/>
      <c r="DFB187" s="34"/>
      <c r="DFC187" s="34"/>
      <c r="DFD187" s="34"/>
      <c r="DFE187" s="34"/>
      <c r="DFF187" s="34"/>
      <c r="DFG187" s="34"/>
      <c r="DFH187" s="34"/>
      <c r="DFI187" s="34"/>
      <c r="DFJ187" s="34"/>
      <c r="DFK187" s="34"/>
      <c r="DFL187" s="34"/>
      <c r="DFM187" s="34"/>
      <c r="DFN187" s="34"/>
      <c r="DFO187" s="34"/>
      <c r="DFP187" s="34"/>
      <c r="DFQ187" s="34"/>
      <c r="DFR187" s="34"/>
      <c r="DFS187" s="34"/>
      <c r="DFT187" s="34"/>
      <c r="DFU187" s="34"/>
      <c r="DFV187" s="34"/>
      <c r="DFW187" s="34"/>
      <c r="DFX187" s="34"/>
      <c r="DFY187" s="34"/>
      <c r="DFZ187" s="34"/>
      <c r="DGA187" s="34"/>
      <c r="DGB187" s="34"/>
      <c r="DGC187" s="34"/>
      <c r="DGD187" s="34"/>
      <c r="DGE187" s="34"/>
      <c r="DGF187" s="34"/>
      <c r="DGG187" s="34"/>
      <c r="DGH187" s="34"/>
      <c r="DGI187" s="34"/>
      <c r="DGJ187" s="34"/>
      <c r="DGK187" s="34"/>
      <c r="DGL187" s="34"/>
      <c r="DGM187" s="34"/>
      <c r="DGN187" s="34"/>
      <c r="DGO187" s="34"/>
      <c r="DGP187" s="34"/>
      <c r="DGQ187" s="34"/>
      <c r="DGR187" s="34"/>
      <c r="DGS187" s="34"/>
      <c r="DGT187" s="34"/>
      <c r="DGU187" s="34"/>
      <c r="DGV187" s="34"/>
      <c r="DGW187" s="34"/>
      <c r="DGX187" s="34"/>
      <c r="DGY187" s="34"/>
      <c r="DGZ187" s="34"/>
      <c r="DHA187" s="34"/>
      <c r="DHB187" s="34"/>
      <c r="DHC187" s="34"/>
      <c r="DHD187" s="34"/>
      <c r="DHE187" s="34"/>
      <c r="DHF187" s="34"/>
      <c r="DHG187" s="34"/>
      <c r="DHH187" s="34"/>
      <c r="DHI187" s="34"/>
      <c r="DHJ187" s="34"/>
      <c r="DHK187" s="34"/>
      <c r="DHL187" s="34"/>
      <c r="DHM187" s="34"/>
      <c r="DHN187" s="34"/>
      <c r="DHO187" s="34"/>
      <c r="DHP187" s="34"/>
      <c r="DHQ187" s="34"/>
      <c r="DHR187" s="34"/>
      <c r="DHS187" s="34"/>
      <c r="DHT187" s="34"/>
      <c r="DHU187" s="34"/>
      <c r="DHV187" s="34"/>
      <c r="DHW187" s="34"/>
      <c r="DHX187" s="34"/>
      <c r="DHY187" s="34"/>
      <c r="DHZ187" s="34"/>
      <c r="DIA187" s="34"/>
      <c r="DIB187" s="34"/>
      <c r="DIC187" s="34"/>
      <c r="DID187" s="34"/>
      <c r="DIE187" s="34"/>
      <c r="DIF187" s="34"/>
      <c r="DIG187" s="34"/>
      <c r="DIH187" s="34"/>
      <c r="DII187" s="34"/>
      <c r="DIJ187" s="34"/>
      <c r="DIK187" s="34"/>
      <c r="DIL187" s="34"/>
      <c r="DIM187" s="34"/>
      <c r="DIN187" s="34"/>
      <c r="DIO187" s="34"/>
      <c r="DIP187" s="34"/>
      <c r="DIQ187" s="34"/>
      <c r="DIR187" s="34"/>
      <c r="DIS187" s="34"/>
      <c r="DIT187" s="34"/>
      <c r="DIU187" s="34"/>
      <c r="DIV187" s="34"/>
      <c r="DIW187" s="34"/>
      <c r="DIX187" s="34"/>
      <c r="DIY187" s="34"/>
      <c r="DIZ187" s="34"/>
      <c r="DJA187" s="34"/>
      <c r="DJB187" s="34"/>
      <c r="DJC187" s="34"/>
      <c r="DJD187" s="34"/>
      <c r="DJE187" s="34"/>
      <c r="DJF187" s="34"/>
      <c r="DJG187" s="34"/>
      <c r="DJH187" s="34"/>
      <c r="DJI187" s="34"/>
      <c r="DJJ187" s="34"/>
      <c r="DJK187" s="34"/>
      <c r="DJL187" s="34"/>
      <c r="DJM187" s="34"/>
      <c r="DJN187" s="34"/>
      <c r="DJO187" s="34"/>
      <c r="DJP187" s="34"/>
      <c r="DJQ187" s="34"/>
      <c r="DJR187" s="34"/>
      <c r="DJS187" s="34"/>
      <c r="DJT187" s="34"/>
      <c r="DJU187" s="34"/>
      <c r="DJV187" s="34"/>
      <c r="DJW187" s="34"/>
      <c r="DJX187" s="34"/>
      <c r="DJY187" s="34"/>
      <c r="DJZ187" s="34"/>
      <c r="DKA187" s="34"/>
      <c r="DKB187" s="34"/>
      <c r="DKC187" s="34"/>
      <c r="DKD187" s="34"/>
      <c r="DKE187" s="34"/>
      <c r="DKF187" s="34"/>
      <c r="DKG187" s="34"/>
      <c r="DKH187" s="34"/>
      <c r="DKI187" s="34"/>
      <c r="DKJ187" s="34"/>
      <c r="DKK187" s="34"/>
      <c r="DKL187" s="34"/>
      <c r="DKM187" s="34"/>
      <c r="DKN187" s="34"/>
      <c r="DKO187" s="34"/>
      <c r="DKP187" s="34"/>
      <c r="DKQ187" s="34"/>
      <c r="DKR187" s="34"/>
      <c r="DKS187" s="34"/>
      <c r="DKT187" s="34"/>
      <c r="DKU187" s="34"/>
      <c r="DKV187" s="34"/>
      <c r="DKW187" s="34"/>
      <c r="DKX187" s="34"/>
      <c r="DKY187" s="34"/>
      <c r="DKZ187" s="34"/>
      <c r="DLA187" s="34"/>
      <c r="DLB187" s="34"/>
      <c r="DLC187" s="34"/>
      <c r="DLD187" s="34"/>
      <c r="DLE187" s="34"/>
      <c r="DLF187" s="34"/>
      <c r="DLG187" s="34"/>
      <c r="DLH187" s="34"/>
      <c r="DLI187" s="34"/>
      <c r="DLJ187" s="34"/>
      <c r="DLK187" s="34"/>
      <c r="DLL187" s="34"/>
      <c r="DLM187" s="34"/>
      <c r="DLN187" s="34"/>
      <c r="DLO187" s="34"/>
      <c r="DLP187" s="34"/>
      <c r="DLQ187" s="34"/>
      <c r="DLR187" s="34"/>
      <c r="DLS187" s="34"/>
      <c r="DLT187" s="34"/>
      <c r="DLU187" s="34"/>
      <c r="DLV187" s="34"/>
      <c r="DLW187" s="34"/>
      <c r="DLX187" s="34"/>
      <c r="DLY187" s="34"/>
      <c r="DLZ187" s="34"/>
      <c r="DMA187" s="34"/>
      <c r="DMB187" s="34"/>
      <c r="DMC187" s="34"/>
      <c r="DMD187" s="34"/>
      <c r="DME187" s="34"/>
      <c r="DMF187" s="34"/>
      <c r="DMG187" s="34"/>
      <c r="DMH187" s="34"/>
      <c r="DMI187" s="34"/>
      <c r="DMJ187" s="34"/>
      <c r="DMK187" s="34"/>
      <c r="DML187" s="34"/>
      <c r="DMM187" s="34"/>
      <c r="DMN187" s="34"/>
      <c r="DMO187" s="34"/>
      <c r="DMP187" s="34"/>
      <c r="DMQ187" s="34"/>
      <c r="DMR187" s="34"/>
      <c r="DMS187" s="34"/>
      <c r="DMT187" s="34"/>
      <c r="DMU187" s="34"/>
      <c r="DMV187" s="34"/>
      <c r="DMW187" s="34"/>
      <c r="DMX187" s="34"/>
      <c r="DMY187" s="34"/>
      <c r="DMZ187" s="34"/>
      <c r="DNA187" s="34"/>
      <c r="DNB187" s="34"/>
      <c r="DNC187" s="34"/>
      <c r="DND187" s="34"/>
      <c r="DNE187" s="34"/>
      <c r="DNF187" s="34"/>
      <c r="DNG187" s="34"/>
      <c r="DNH187" s="34"/>
      <c r="DNI187" s="34"/>
      <c r="DNJ187" s="34"/>
      <c r="DNK187" s="34"/>
      <c r="DNL187" s="34"/>
      <c r="DNM187" s="34"/>
      <c r="DNN187" s="34"/>
      <c r="DNO187" s="34"/>
      <c r="DNP187" s="34"/>
      <c r="DNQ187" s="34"/>
      <c r="DNR187" s="34"/>
      <c r="DNS187" s="34"/>
      <c r="DNT187" s="34"/>
      <c r="DNU187" s="34"/>
      <c r="DNV187" s="34"/>
      <c r="DNW187" s="34"/>
      <c r="DNX187" s="34"/>
      <c r="DNY187" s="34"/>
      <c r="DNZ187" s="34"/>
      <c r="DOA187" s="34"/>
      <c r="DOB187" s="34"/>
      <c r="DOC187" s="34"/>
      <c r="DOD187" s="34"/>
      <c r="DOE187" s="34"/>
      <c r="DOF187" s="34"/>
      <c r="DOG187" s="34"/>
      <c r="DOH187" s="34"/>
      <c r="DOI187" s="34"/>
      <c r="DOJ187" s="34"/>
      <c r="DOK187" s="34"/>
      <c r="DOL187" s="34"/>
      <c r="DOM187" s="34"/>
      <c r="DON187" s="34"/>
      <c r="DOO187" s="34"/>
      <c r="DOP187" s="34"/>
      <c r="DOQ187" s="34"/>
      <c r="DOR187" s="34"/>
      <c r="DOS187" s="34"/>
      <c r="DOT187" s="34"/>
      <c r="DOU187" s="34"/>
      <c r="DOV187" s="34"/>
      <c r="DOW187" s="34"/>
      <c r="DOX187" s="34"/>
      <c r="DOY187" s="34"/>
      <c r="DOZ187" s="34"/>
      <c r="DPA187" s="34"/>
      <c r="DPB187" s="34"/>
      <c r="DPC187" s="34"/>
      <c r="DPD187" s="34"/>
      <c r="DPE187" s="34"/>
      <c r="DPF187" s="34"/>
      <c r="DPG187" s="34"/>
      <c r="DPH187" s="34"/>
      <c r="DPI187" s="34"/>
      <c r="DPJ187" s="34"/>
      <c r="DPK187" s="34"/>
      <c r="DPL187" s="34"/>
      <c r="DPM187" s="34"/>
      <c r="DPN187" s="34"/>
      <c r="DPO187" s="34"/>
      <c r="DPP187" s="34"/>
      <c r="DPQ187" s="34"/>
      <c r="DPR187" s="34"/>
      <c r="DPS187" s="34"/>
      <c r="DPT187" s="34"/>
      <c r="DPU187" s="34"/>
      <c r="DPV187" s="34"/>
      <c r="DPW187" s="34"/>
      <c r="DPX187" s="34"/>
      <c r="DPY187" s="34"/>
      <c r="DPZ187" s="34"/>
      <c r="DQA187" s="34"/>
      <c r="DQB187" s="34"/>
      <c r="DQC187" s="34"/>
      <c r="DQD187" s="34"/>
      <c r="DQE187" s="34"/>
      <c r="DQF187" s="34"/>
      <c r="DQG187" s="34"/>
      <c r="DQH187" s="34"/>
      <c r="DQI187" s="34"/>
      <c r="DQJ187" s="34"/>
      <c r="DQK187" s="34"/>
      <c r="DQL187" s="34"/>
      <c r="DQM187" s="34"/>
      <c r="DQN187" s="34"/>
      <c r="DQO187" s="34"/>
      <c r="DQP187" s="34"/>
      <c r="DQQ187" s="34"/>
      <c r="DQR187" s="34"/>
      <c r="DQS187" s="34"/>
      <c r="DQT187" s="34"/>
      <c r="DQU187" s="34"/>
      <c r="DQV187" s="34"/>
      <c r="DQW187" s="34"/>
      <c r="DQX187" s="34"/>
      <c r="DQY187" s="34"/>
      <c r="DQZ187" s="34"/>
      <c r="DRA187" s="34"/>
      <c r="DRB187" s="34"/>
      <c r="DRC187" s="34"/>
      <c r="DRD187" s="34"/>
      <c r="DRE187" s="34"/>
      <c r="DRF187" s="34"/>
      <c r="DRG187" s="34"/>
      <c r="DRH187" s="34"/>
      <c r="DRI187" s="34"/>
      <c r="DRJ187" s="34"/>
      <c r="DRK187" s="34"/>
      <c r="DRL187" s="34"/>
      <c r="DRM187" s="34"/>
      <c r="DRN187" s="34"/>
      <c r="DRO187" s="34"/>
      <c r="DRP187" s="34"/>
      <c r="DRQ187" s="34"/>
      <c r="DRR187" s="34"/>
      <c r="DRS187" s="34"/>
      <c r="DRT187" s="34"/>
      <c r="DRU187" s="34"/>
      <c r="DRV187" s="34"/>
      <c r="DRW187" s="34"/>
      <c r="DRX187" s="34"/>
      <c r="DRY187" s="34"/>
      <c r="DRZ187" s="34"/>
      <c r="DSA187" s="34"/>
      <c r="DSB187" s="34"/>
      <c r="DSC187" s="34"/>
      <c r="DSD187" s="34"/>
      <c r="DSE187" s="34"/>
      <c r="DSF187" s="34"/>
      <c r="DSG187" s="34"/>
      <c r="DSH187" s="34"/>
      <c r="DSI187" s="34"/>
      <c r="DSJ187" s="34"/>
      <c r="DSK187" s="34"/>
      <c r="DSL187" s="34"/>
      <c r="DSM187" s="34"/>
      <c r="DSN187" s="34"/>
      <c r="DSO187" s="34"/>
      <c r="DSP187" s="34"/>
      <c r="DSQ187" s="34"/>
      <c r="DSR187" s="34"/>
      <c r="DSS187" s="34"/>
      <c r="DST187" s="34"/>
      <c r="DSU187" s="34"/>
      <c r="DSV187" s="34"/>
      <c r="DSW187" s="34"/>
      <c r="DSX187" s="34"/>
      <c r="DSY187" s="34"/>
      <c r="DSZ187" s="34"/>
      <c r="DTA187" s="34"/>
      <c r="DTB187" s="34"/>
      <c r="DTC187" s="34"/>
      <c r="DTD187" s="34"/>
      <c r="DTE187" s="34"/>
      <c r="DTF187" s="34"/>
      <c r="DTG187" s="34"/>
      <c r="DTH187" s="34"/>
      <c r="DTI187" s="34"/>
      <c r="DTJ187" s="34"/>
      <c r="DTK187" s="34"/>
      <c r="DTL187" s="34"/>
      <c r="DTM187" s="34"/>
      <c r="DTN187" s="34"/>
      <c r="DTO187" s="34"/>
      <c r="DTP187" s="34"/>
      <c r="DTQ187" s="34"/>
      <c r="DTR187" s="34"/>
      <c r="DTS187" s="34"/>
      <c r="DTT187" s="34"/>
      <c r="DTU187" s="34"/>
      <c r="DTV187" s="34"/>
      <c r="DTW187" s="34"/>
      <c r="DTX187" s="34"/>
      <c r="DTY187" s="34"/>
      <c r="DTZ187" s="34"/>
      <c r="DUA187" s="34"/>
      <c r="DUB187" s="34"/>
      <c r="DUC187" s="34"/>
      <c r="DUD187" s="34"/>
      <c r="DUE187" s="34"/>
      <c r="DUF187" s="34"/>
      <c r="DUG187" s="34"/>
      <c r="DUH187" s="34"/>
      <c r="DUI187" s="34"/>
      <c r="DUJ187" s="34"/>
      <c r="DUK187" s="34"/>
      <c r="DUL187" s="34"/>
      <c r="DUM187" s="34"/>
      <c r="DUN187" s="34"/>
      <c r="DUO187" s="34"/>
      <c r="DUP187" s="34"/>
      <c r="DUQ187" s="34"/>
      <c r="DUR187" s="34"/>
      <c r="DUS187" s="34"/>
      <c r="DUT187" s="34"/>
      <c r="DUU187" s="34"/>
      <c r="DUV187" s="34"/>
      <c r="DUW187" s="34"/>
      <c r="DUX187" s="34"/>
      <c r="DUY187" s="34"/>
      <c r="DUZ187" s="34"/>
      <c r="DVA187" s="34"/>
      <c r="DVB187" s="34"/>
      <c r="DVC187" s="34"/>
      <c r="DVD187" s="34"/>
      <c r="DVE187" s="34"/>
      <c r="DVF187" s="34"/>
      <c r="DVG187" s="34"/>
      <c r="DVH187" s="34"/>
      <c r="DVI187" s="34"/>
      <c r="DVJ187" s="34"/>
      <c r="DVK187" s="34"/>
      <c r="DVL187" s="34"/>
      <c r="DVM187" s="34"/>
      <c r="DVN187" s="34"/>
      <c r="DVO187" s="34"/>
      <c r="DVP187" s="34"/>
      <c r="DVQ187" s="34"/>
      <c r="DVR187" s="34"/>
      <c r="DVS187" s="34"/>
      <c r="DVT187" s="34"/>
      <c r="DVU187" s="34"/>
      <c r="DVV187" s="34"/>
      <c r="DVW187" s="34"/>
      <c r="DVX187" s="34"/>
      <c r="DVY187" s="34"/>
      <c r="DVZ187" s="34"/>
      <c r="DWA187" s="34"/>
      <c r="DWB187" s="34"/>
      <c r="DWC187" s="34"/>
      <c r="DWD187" s="34"/>
      <c r="DWE187" s="34"/>
      <c r="DWF187" s="34"/>
      <c r="DWG187" s="34"/>
      <c r="DWH187" s="34"/>
      <c r="DWI187" s="34"/>
      <c r="DWJ187" s="34"/>
      <c r="DWK187" s="34"/>
      <c r="DWL187" s="34"/>
      <c r="DWM187" s="34"/>
      <c r="DWN187" s="34"/>
      <c r="DWO187" s="34"/>
      <c r="DWP187" s="34"/>
      <c r="DWQ187" s="34"/>
      <c r="DWR187" s="34"/>
      <c r="DWS187" s="34"/>
      <c r="DWT187" s="34"/>
      <c r="DWU187" s="34"/>
      <c r="DWV187" s="34"/>
      <c r="DWW187" s="34"/>
      <c r="DWX187" s="34"/>
      <c r="DWY187" s="34"/>
      <c r="DWZ187" s="34"/>
      <c r="DXA187" s="34"/>
      <c r="DXB187" s="34"/>
      <c r="DXC187" s="34"/>
      <c r="DXD187" s="34"/>
      <c r="DXE187" s="34"/>
      <c r="DXF187" s="34"/>
      <c r="DXG187" s="34"/>
      <c r="DXH187" s="34"/>
      <c r="DXI187" s="34"/>
      <c r="DXJ187" s="34"/>
      <c r="DXK187" s="34"/>
      <c r="DXL187" s="34"/>
      <c r="DXM187" s="34"/>
      <c r="DXN187" s="34"/>
      <c r="DXO187" s="34"/>
      <c r="DXP187" s="34"/>
      <c r="DXQ187" s="34"/>
      <c r="DXR187" s="34"/>
      <c r="DXS187" s="34"/>
      <c r="DXT187" s="34"/>
      <c r="DXU187" s="34"/>
      <c r="DXV187" s="34"/>
      <c r="DXW187" s="34"/>
      <c r="DXX187" s="34"/>
      <c r="DXY187" s="34"/>
      <c r="DXZ187" s="34"/>
      <c r="DYA187" s="34"/>
      <c r="DYB187" s="34"/>
      <c r="DYC187" s="34"/>
      <c r="DYD187" s="34"/>
      <c r="DYE187" s="34"/>
      <c r="DYF187" s="34"/>
      <c r="DYG187" s="34"/>
      <c r="DYH187" s="34"/>
      <c r="DYI187" s="34"/>
      <c r="DYJ187" s="34"/>
      <c r="DYK187" s="34"/>
      <c r="DYL187" s="34"/>
      <c r="DYM187" s="34"/>
      <c r="DYN187" s="34"/>
      <c r="DYO187" s="34"/>
      <c r="DYP187" s="34"/>
      <c r="DYQ187" s="34"/>
      <c r="DYR187" s="34"/>
      <c r="DYS187" s="34"/>
      <c r="DYT187" s="34"/>
      <c r="DYU187" s="34"/>
      <c r="DYV187" s="34"/>
      <c r="DYW187" s="34"/>
      <c r="DYX187" s="34"/>
      <c r="DYY187" s="34"/>
      <c r="DYZ187" s="34"/>
      <c r="DZA187" s="34"/>
      <c r="DZB187" s="34"/>
      <c r="DZC187" s="34"/>
      <c r="DZD187" s="34"/>
      <c r="DZE187" s="34"/>
      <c r="DZF187" s="34"/>
      <c r="DZG187" s="34"/>
      <c r="DZH187" s="34"/>
      <c r="DZI187" s="34"/>
      <c r="DZJ187" s="34"/>
      <c r="DZK187" s="34"/>
      <c r="DZL187" s="34"/>
      <c r="DZM187" s="34"/>
      <c r="DZN187" s="34"/>
      <c r="DZO187" s="34"/>
      <c r="DZP187" s="34"/>
      <c r="DZQ187" s="34"/>
      <c r="DZR187" s="34"/>
      <c r="DZS187" s="34"/>
      <c r="DZT187" s="34"/>
      <c r="DZU187" s="34"/>
      <c r="DZV187" s="34"/>
      <c r="DZW187" s="34"/>
      <c r="DZX187" s="34"/>
      <c r="DZY187" s="34"/>
      <c r="DZZ187" s="34"/>
      <c r="EAA187" s="34"/>
      <c r="EAB187" s="34"/>
      <c r="EAC187" s="34"/>
      <c r="EAD187" s="34"/>
      <c r="EAE187" s="34"/>
      <c r="EAF187" s="34"/>
      <c r="EAG187" s="34"/>
      <c r="EAH187" s="34"/>
      <c r="EAI187" s="34"/>
      <c r="EAJ187" s="34"/>
      <c r="EAK187" s="34"/>
      <c r="EAL187" s="34"/>
      <c r="EAM187" s="34"/>
      <c r="EAN187" s="34"/>
      <c r="EAO187" s="34"/>
      <c r="EAP187" s="34"/>
      <c r="EAQ187" s="34"/>
      <c r="EAR187" s="34"/>
      <c r="EAS187" s="34"/>
      <c r="EAT187" s="34"/>
      <c r="EAU187" s="34"/>
      <c r="EAV187" s="34"/>
      <c r="EAW187" s="34"/>
      <c r="EAX187" s="34"/>
      <c r="EAY187" s="34"/>
      <c r="EAZ187" s="34"/>
      <c r="EBA187" s="34"/>
      <c r="EBB187" s="34"/>
      <c r="EBC187" s="34"/>
      <c r="EBD187" s="34"/>
      <c r="EBE187" s="34"/>
      <c r="EBF187" s="34"/>
      <c r="EBG187" s="34"/>
      <c r="EBH187" s="34"/>
      <c r="EBI187" s="34"/>
      <c r="EBJ187" s="34"/>
      <c r="EBK187" s="34"/>
      <c r="EBL187" s="34"/>
      <c r="EBM187" s="34"/>
      <c r="EBN187" s="34"/>
      <c r="EBO187" s="34"/>
      <c r="EBP187" s="34"/>
      <c r="EBQ187" s="34"/>
      <c r="EBR187" s="34"/>
      <c r="EBS187" s="34"/>
      <c r="EBT187" s="34"/>
      <c r="EBU187" s="34"/>
      <c r="EBV187" s="34"/>
      <c r="EBW187" s="34"/>
      <c r="EBX187" s="34"/>
      <c r="EBY187" s="34"/>
      <c r="EBZ187" s="34"/>
      <c r="ECA187" s="34"/>
      <c r="ECB187" s="34"/>
      <c r="ECC187" s="34"/>
      <c r="ECD187" s="34"/>
      <c r="ECE187" s="34"/>
      <c r="ECF187" s="34"/>
      <c r="ECG187" s="34"/>
      <c r="ECH187" s="34"/>
      <c r="ECI187" s="34"/>
      <c r="ECJ187" s="34"/>
      <c r="ECK187" s="34"/>
      <c r="ECL187" s="34"/>
      <c r="ECM187" s="34"/>
      <c r="ECN187" s="34"/>
      <c r="ECO187" s="34"/>
      <c r="ECP187" s="34"/>
      <c r="ECQ187" s="34"/>
      <c r="ECR187" s="34"/>
      <c r="ECS187" s="34"/>
      <c r="ECT187" s="34"/>
      <c r="ECU187" s="34"/>
      <c r="ECV187" s="34"/>
      <c r="ECW187" s="34"/>
      <c r="ECX187" s="34"/>
      <c r="ECY187" s="34"/>
      <c r="ECZ187" s="34"/>
      <c r="EDA187" s="34"/>
      <c r="EDB187" s="34"/>
      <c r="EDC187" s="34"/>
      <c r="EDD187" s="34"/>
      <c r="EDE187" s="34"/>
      <c r="EDF187" s="34"/>
      <c r="EDG187" s="34"/>
      <c r="EDH187" s="34"/>
      <c r="EDI187" s="34"/>
      <c r="EDJ187" s="34"/>
      <c r="EDK187" s="34"/>
      <c r="EDL187" s="34"/>
      <c r="EDM187" s="34"/>
      <c r="EDN187" s="34"/>
      <c r="EDO187" s="34"/>
      <c r="EDP187" s="34"/>
      <c r="EDQ187" s="34"/>
      <c r="EDR187" s="34"/>
      <c r="EDS187" s="34"/>
      <c r="EDT187" s="34"/>
      <c r="EDU187" s="34"/>
      <c r="EDV187" s="34"/>
      <c r="EDW187" s="34"/>
      <c r="EDX187" s="34"/>
      <c r="EDY187" s="34"/>
      <c r="EDZ187" s="34"/>
      <c r="EEA187" s="34"/>
      <c r="EEB187" s="34"/>
      <c r="EEC187" s="34"/>
      <c r="EED187" s="34"/>
      <c r="EEE187" s="34"/>
      <c r="EEF187" s="34"/>
      <c r="EEG187" s="34"/>
      <c r="EEH187" s="34"/>
      <c r="EEI187" s="34"/>
      <c r="EEJ187" s="34"/>
      <c r="EEK187" s="34"/>
      <c r="EEL187" s="34"/>
      <c r="EEM187" s="34"/>
      <c r="EEN187" s="34"/>
      <c r="EEO187" s="34"/>
      <c r="EEP187" s="34"/>
      <c r="EEQ187" s="34"/>
      <c r="EER187" s="34"/>
      <c r="EES187" s="34"/>
      <c r="EET187" s="34"/>
      <c r="EEU187" s="34"/>
      <c r="EEV187" s="34"/>
      <c r="EEW187" s="34"/>
      <c r="EEX187" s="34"/>
      <c r="EEY187" s="34"/>
      <c r="EEZ187" s="34"/>
      <c r="EFA187" s="34"/>
      <c r="EFB187" s="34"/>
      <c r="EFC187" s="34"/>
      <c r="EFD187" s="34"/>
      <c r="EFE187" s="34"/>
      <c r="EFF187" s="34"/>
      <c r="EFG187" s="34"/>
      <c r="EFH187" s="34"/>
      <c r="EFI187" s="34"/>
      <c r="EFJ187" s="34"/>
      <c r="EFK187" s="34"/>
      <c r="EFL187" s="34"/>
      <c r="EFM187" s="34"/>
      <c r="EFN187" s="34"/>
      <c r="EFO187" s="34"/>
      <c r="EFP187" s="34"/>
      <c r="EFQ187" s="34"/>
      <c r="EFR187" s="34"/>
      <c r="EFS187" s="34"/>
      <c r="EFT187" s="34"/>
      <c r="EFU187" s="34"/>
      <c r="EFV187" s="34"/>
      <c r="EFW187" s="34"/>
      <c r="EFX187" s="34"/>
      <c r="EFY187" s="34"/>
      <c r="EFZ187" s="34"/>
      <c r="EGA187" s="34"/>
      <c r="EGB187" s="34"/>
      <c r="EGC187" s="34"/>
      <c r="EGD187" s="34"/>
      <c r="EGE187" s="34"/>
      <c r="EGF187" s="34"/>
      <c r="EGG187" s="34"/>
      <c r="EGH187" s="34"/>
      <c r="EGI187" s="34"/>
      <c r="EGJ187" s="34"/>
      <c r="EGK187" s="34"/>
      <c r="EGL187" s="34"/>
      <c r="EGM187" s="34"/>
      <c r="EGN187" s="34"/>
      <c r="EGO187" s="34"/>
      <c r="EGP187" s="34"/>
      <c r="EGQ187" s="34"/>
      <c r="EGR187" s="34"/>
      <c r="EGS187" s="34"/>
      <c r="EGT187" s="34"/>
      <c r="EGU187" s="34"/>
      <c r="EGV187" s="34"/>
      <c r="EGW187" s="34"/>
      <c r="EGX187" s="34"/>
      <c r="EGY187" s="34"/>
      <c r="EGZ187" s="34"/>
      <c r="EHA187" s="34"/>
      <c r="EHB187" s="34"/>
      <c r="EHC187" s="34"/>
      <c r="EHD187" s="34"/>
      <c r="EHE187" s="34"/>
      <c r="EHF187" s="34"/>
      <c r="EHG187" s="34"/>
      <c r="EHH187" s="34"/>
      <c r="EHI187" s="34"/>
      <c r="EHJ187" s="34"/>
      <c r="EHK187" s="34"/>
      <c r="EHL187" s="34"/>
      <c r="EHM187" s="34"/>
      <c r="EHN187" s="34"/>
      <c r="EHO187" s="34"/>
      <c r="EHP187" s="34"/>
      <c r="EHQ187" s="34"/>
      <c r="EHR187" s="34"/>
      <c r="EHS187" s="34"/>
      <c r="EHT187" s="34"/>
      <c r="EHU187" s="34"/>
      <c r="EHV187" s="34"/>
      <c r="EHW187" s="34"/>
      <c r="EHX187" s="34"/>
      <c r="EHY187" s="34"/>
      <c r="EHZ187" s="34"/>
      <c r="EIA187" s="34"/>
      <c r="EIB187" s="34"/>
      <c r="EIC187" s="34"/>
      <c r="EID187" s="34"/>
      <c r="EIE187" s="34"/>
      <c r="EIF187" s="34"/>
      <c r="EIG187" s="34"/>
      <c r="EIH187" s="34"/>
      <c r="EII187" s="34"/>
      <c r="EIJ187" s="34"/>
      <c r="EIK187" s="34"/>
      <c r="EIL187" s="34"/>
      <c r="EIM187" s="34"/>
      <c r="EIN187" s="34"/>
      <c r="EIO187" s="34"/>
      <c r="EIP187" s="34"/>
      <c r="EIQ187" s="34"/>
      <c r="EIR187" s="34"/>
      <c r="EIS187" s="34"/>
      <c r="EIT187" s="34"/>
      <c r="EIU187" s="34"/>
      <c r="EIV187" s="34"/>
      <c r="EIW187" s="34"/>
      <c r="EIX187" s="34"/>
      <c r="EIY187" s="34"/>
      <c r="EIZ187" s="34"/>
      <c r="EJA187" s="34"/>
      <c r="EJB187" s="34"/>
      <c r="EJC187" s="34"/>
      <c r="EJD187" s="34"/>
      <c r="EJE187" s="34"/>
      <c r="EJF187" s="34"/>
      <c r="EJG187" s="34"/>
      <c r="EJH187" s="34"/>
      <c r="EJI187" s="34"/>
      <c r="EJJ187" s="34"/>
      <c r="EJK187" s="34"/>
      <c r="EJL187" s="34"/>
      <c r="EJM187" s="34"/>
      <c r="EJN187" s="34"/>
      <c r="EJO187" s="34"/>
      <c r="EJP187" s="34"/>
      <c r="EJQ187" s="34"/>
      <c r="EJR187" s="34"/>
      <c r="EJS187" s="34"/>
      <c r="EJT187" s="34"/>
      <c r="EJU187" s="34"/>
      <c r="EJV187" s="34"/>
      <c r="EJW187" s="34"/>
      <c r="EJX187" s="34"/>
      <c r="EJY187" s="34"/>
      <c r="EJZ187" s="34"/>
      <c r="EKA187" s="34"/>
      <c r="EKB187" s="34"/>
      <c r="EKC187" s="34"/>
      <c r="EKD187" s="34"/>
      <c r="EKE187" s="34"/>
      <c r="EKF187" s="34"/>
      <c r="EKG187" s="34"/>
      <c r="EKH187" s="34"/>
      <c r="EKI187" s="34"/>
      <c r="EKJ187" s="34"/>
      <c r="EKK187" s="34"/>
      <c r="EKL187" s="34"/>
      <c r="EKM187" s="34"/>
      <c r="EKN187" s="34"/>
      <c r="EKO187" s="34"/>
      <c r="EKP187" s="34"/>
      <c r="EKQ187" s="34"/>
      <c r="EKR187" s="34"/>
      <c r="EKS187" s="34"/>
      <c r="EKT187" s="34"/>
      <c r="EKU187" s="34"/>
      <c r="EKV187" s="34"/>
      <c r="EKW187" s="34"/>
      <c r="EKX187" s="34"/>
      <c r="EKY187" s="34"/>
      <c r="EKZ187" s="34"/>
      <c r="ELA187" s="34"/>
      <c r="ELB187" s="34"/>
      <c r="ELC187" s="34"/>
      <c r="ELD187" s="34"/>
      <c r="ELE187" s="34"/>
      <c r="ELF187" s="34"/>
      <c r="ELG187" s="34"/>
      <c r="ELH187" s="34"/>
      <c r="ELI187" s="34"/>
      <c r="ELJ187" s="34"/>
      <c r="ELK187" s="34"/>
      <c r="ELL187" s="34"/>
      <c r="ELM187" s="34"/>
      <c r="ELN187" s="34"/>
      <c r="ELO187" s="34"/>
      <c r="ELP187" s="34"/>
      <c r="ELQ187" s="34"/>
      <c r="ELR187" s="34"/>
      <c r="ELS187" s="34"/>
      <c r="ELT187" s="34"/>
      <c r="ELU187" s="34"/>
      <c r="ELV187" s="34"/>
      <c r="ELW187" s="34"/>
      <c r="ELX187" s="34"/>
      <c r="ELY187" s="34"/>
      <c r="ELZ187" s="34"/>
      <c r="EMA187" s="34"/>
      <c r="EMB187" s="34"/>
      <c r="EMC187" s="34"/>
      <c r="EMD187" s="34"/>
      <c r="EME187" s="34"/>
      <c r="EMF187" s="34"/>
      <c r="EMG187" s="34"/>
      <c r="EMH187" s="34"/>
      <c r="EMI187" s="34"/>
      <c r="EMJ187" s="34"/>
      <c r="EMK187" s="34"/>
      <c r="EML187" s="34"/>
      <c r="EMM187" s="34"/>
      <c r="EMN187" s="34"/>
      <c r="EMO187" s="34"/>
      <c r="EMP187" s="34"/>
      <c r="EMQ187" s="34"/>
      <c r="EMR187" s="34"/>
      <c r="EMS187" s="34"/>
      <c r="EMT187" s="34"/>
      <c r="EMU187" s="34"/>
      <c r="EMV187" s="34"/>
      <c r="EMW187" s="34"/>
      <c r="EMX187" s="34"/>
      <c r="EMY187" s="34"/>
      <c r="EMZ187" s="34"/>
      <c r="ENA187" s="34"/>
      <c r="ENB187" s="34"/>
      <c r="ENC187" s="34"/>
      <c r="END187" s="34"/>
      <c r="ENE187" s="34"/>
      <c r="ENF187" s="34"/>
      <c r="ENG187" s="34"/>
      <c r="ENH187" s="34"/>
      <c r="ENI187" s="34"/>
      <c r="ENJ187" s="34"/>
      <c r="ENK187" s="34"/>
      <c r="ENL187" s="34"/>
      <c r="ENM187" s="34"/>
      <c r="ENN187" s="34"/>
      <c r="ENO187" s="34"/>
      <c r="ENP187" s="34"/>
      <c r="ENQ187" s="34"/>
      <c r="ENR187" s="34"/>
      <c r="ENS187" s="34"/>
      <c r="ENT187" s="34"/>
      <c r="ENU187" s="34"/>
      <c r="ENV187" s="34"/>
      <c r="ENW187" s="34"/>
      <c r="ENX187" s="34"/>
      <c r="ENY187" s="34"/>
      <c r="ENZ187" s="34"/>
      <c r="EOA187" s="34"/>
      <c r="EOB187" s="34"/>
      <c r="EOC187" s="34"/>
      <c r="EOD187" s="34"/>
      <c r="EOE187" s="34"/>
      <c r="EOF187" s="34"/>
      <c r="EOG187" s="34"/>
      <c r="EOH187" s="34"/>
      <c r="EOI187" s="34"/>
      <c r="EOJ187" s="34"/>
      <c r="EOK187" s="34"/>
      <c r="EOL187" s="34"/>
      <c r="EOM187" s="34"/>
      <c r="EON187" s="34"/>
      <c r="EOO187" s="34"/>
      <c r="EOP187" s="34"/>
      <c r="EOQ187" s="34"/>
      <c r="EOR187" s="34"/>
      <c r="EOS187" s="34"/>
      <c r="EOT187" s="34"/>
      <c r="EOU187" s="34"/>
      <c r="EOV187" s="34"/>
      <c r="EOW187" s="34"/>
      <c r="EOX187" s="34"/>
      <c r="EOY187" s="34"/>
      <c r="EOZ187" s="34"/>
      <c r="EPA187" s="34"/>
      <c r="EPB187" s="34"/>
      <c r="EPC187" s="34"/>
      <c r="EPD187" s="34"/>
      <c r="EPE187" s="34"/>
      <c r="EPF187" s="34"/>
      <c r="EPG187" s="34"/>
      <c r="EPH187" s="34"/>
      <c r="EPI187" s="34"/>
      <c r="EPJ187" s="34"/>
      <c r="EPK187" s="34"/>
      <c r="EPL187" s="34"/>
      <c r="EPM187" s="34"/>
      <c r="EPN187" s="34"/>
      <c r="EPO187" s="34"/>
      <c r="EPP187" s="34"/>
      <c r="EPQ187" s="34"/>
      <c r="EPR187" s="34"/>
      <c r="EPS187" s="34"/>
      <c r="EPT187" s="34"/>
      <c r="EPU187" s="34"/>
      <c r="EPV187" s="34"/>
      <c r="EPW187" s="34"/>
      <c r="EPX187" s="34"/>
      <c r="EPY187" s="34"/>
      <c r="EPZ187" s="34"/>
      <c r="EQA187" s="34"/>
      <c r="EQB187" s="34"/>
      <c r="EQC187" s="34"/>
      <c r="EQD187" s="34"/>
      <c r="EQE187" s="34"/>
      <c r="EQF187" s="34"/>
      <c r="EQG187" s="34"/>
      <c r="EQH187" s="34"/>
      <c r="EQI187" s="34"/>
      <c r="EQJ187" s="34"/>
      <c r="EQK187" s="34"/>
      <c r="EQL187" s="34"/>
      <c r="EQM187" s="34"/>
      <c r="EQN187" s="34"/>
      <c r="EQO187" s="34"/>
      <c r="EQP187" s="34"/>
      <c r="EQQ187" s="34"/>
      <c r="EQR187" s="34"/>
      <c r="EQS187" s="34"/>
      <c r="EQT187" s="34"/>
      <c r="EQU187" s="34"/>
      <c r="EQV187" s="34"/>
      <c r="EQW187" s="34"/>
      <c r="EQX187" s="34"/>
      <c r="EQY187" s="34"/>
      <c r="EQZ187" s="34"/>
      <c r="ERA187" s="34"/>
      <c r="ERB187" s="34"/>
      <c r="ERC187" s="34"/>
      <c r="ERD187" s="34"/>
      <c r="ERE187" s="34"/>
      <c r="ERF187" s="34"/>
      <c r="ERG187" s="34"/>
      <c r="ERH187" s="34"/>
      <c r="ERI187" s="34"/>
      <c r="ERJ187" s="34"/>
      <c r="ERK187" s="34"/>
      <c r="ERL187" s="34"/>
      <c r="ERM187" s="34"/>
      <c r="ERN187" s="34"/>
      <c r="ERO187" s="34"/>
      <c r="ERP187" s="34"/>
      <c r="ERQ187" s="34"/>
      <c r="ERR187" s="34"/>
      <c r="ERS187" s="34"/>
      <c r="ERT187" s="34"/>
      <c r="ERU187" s="34"/>
      <c r="ERV187" s="34"/>
      <c r="ERW187" s="34"/>
      <c r="ERX187" s="34"/>
      <c r="ERY187" s="34"/>
      <c r="ERZ187" s="34"/>
      <c r="ESA187" s="34"/>
      <c r="ESB187" s="34"/>
      <c r="ESC187" s="34"/>
      <c r="ESD187" s="34"/>
      <c r="ESE187" s="34"/>
      <c r="ESF187" s="34"/>
      <c r="ESG187" s="34"/>
      <c r="ESH187" s="34"/>
      <c r="ESI187" s="34"/>
      <c r="ESJ187" s="34"/>
      <c r="ESK187" s="34"/>
      <c r="ESL187" s="34"/>
      <c r="ESM187" s="34"/>
      <c r="ESN187" s="34"/>
      <c r="ESO187" s="34"/>
      <c r="ESP187" s="34"/>
      <c r="ESQ187" s="34"/>
      <c r="ESR187" s="34"/>
      <c r="ESS187" s="34"/>
      <c r="EST187" s="34"/>
      <c r="ESU187" s="34"/>
      <c r="ESV187" s="34"/>
      <c r="ESW187" s="34"/>
      <c r="ESX187" s="34"/>
      <c r="ESY187" s="34"/>
      <c r="ESZ187" s="34"/>
      <c r="ETA187" s="34"/>
      <c r="ETB187" s="34"/>
      <c r="ETC187" s="34"/>
      <c r="ETD187" s="34"/>
      <c r="ETE187" s="34"/>
      <c r="ETF187" s="34"/>
      <c r="ETG187" s="34"/>
      <c r="ETH187" s="34"/>
      <c r="ETI187" s="34"/>
      <c r="ETJ187" s="34"/>
      <c r="ETK187" s="34"/>
      <c r="ETL187" s="34"/>
      <c r="ETM187" s="34"/>
      <c r="ETN187" s="34"/>
      <c r="ETO187" s="34"/>
      <c r="ETP187" s="34"/>
      <c r="ETQ187" s="34"/>
      <c r="ETR187" s="34"/>
      <c r="ETS187" s="34"/>
      <c r="ETT187" s="34"/>
      <c r="ETU187" s="34"/>
      <c r="ETV187" s="34"/>
      <c r="ETW187" s="34"/>
      <c r="ETX187" s="34"/>
      <c r="ETY187" s="34"/>
      <c r="ETZ187" s="34"/>
      <c r="EUA187" s="34"/>
      <c r="EUB187" s="34"/>
      <c r="EUC187" s="34"/>
      <c r="EUD187" s="34"/>
      <c r="EUE187" s="34"/>
      <c r="EUF187" s="34"/>
      <c r="EUG187" s="34"/>
      <c r="EUH187" s="34"/>
      <c r="EUI187" s="34"/>
      <c r="EUJ187" s="34"/>
      <c r="EUK187" s="34"/>
      <c r="EUL187" s="34"/>
      <c r="EUM187" s="34"/>
      <c r="EUN187" s="34"/>
      <c r="EUO187" s="34"/>
      <c r="EUP187" s="34"/>
      <c r="EUQ187" s="34"/>
      <c r="EUR187" s="34"/>
      <c r="EUS187" s="34"/>
      <c r="EUT187" s="34"/>
      <c r="EUU187" s="34"/>
      <c r="EUV187" s="34"/>
      <c r="EUW187" s="34"/>
      <c r="EUX187" s="34"/>
      <c r="EUY187" s="34"/>
      <c r="EUZ187" s="34"/>
      <c r="EVA187" s="34"/>
      <c r="EVB187" s="34"/>
      <c r="EVC187" s="34"/>
      <c r="EVD187" s="34"/>
      <c r="EVE187" s="34"/>
      <c r="EVF187" s="34"/>
      <c r="EVG187" s="34"/>
      <c r="EVH187" s="34"/>
      <c r="EVI187" s="34"/>
      <c r="EVJ187" s="34"/>
      <c r="EVK187" s="34"/>
      <c r="EVL187" s="34"/>
      <c r="EVM187" s="34"/>
      <c r="EVN187" s="34"/>
      <c r="EVO187" s="34"/>
      <c r="EVP187" s="34"/>
      <c r="EVQ187" s="34"/>
      <c r="EVR187" s="34"/>
      <c r="EVS187" s="34"/>
      <c r="EVT187" s="34"/>
      <c r="EVU187" s="34"/>
      <c r="EVV187" s="34"/>
      <c r="EVW187" s="34"/>
      <c r="EVX187" s="34"/>
      <c r="EVY187" s="34"/>
      <c r="EVZ187" s="34"/>
      <c r="EWA187" s="34"/>
      <c r="EWB187" s="34"/>
      <c r="EWC187" s="34"/>
      <c r="EWD187" s="34"/>
      <c r="EWE187" s="34"/>
      <c r="EWF187" s="34"/>
      <c r="EWG187" s="34"/>
      <c r="EWH187" s="34"/>
      <c r="EWI187" s="34"/>
      <c r="EWJ187" s="34"/>
      <c r="EWK187" s="34"/>
      <c r="EWL187" s="34"/>
      <c r="EWM187" s="34"/>
      <c r="EWN187" s="34"/>
      <c r="EWO187" s="34"/>
      <c r="EWP187" s="34"/>
      <c r="EWQ187" s="34"/>
      <c r="EWR187" s="34"/>
      <c r="EWS187" s="34"/>
      <c r="EWT187" s="34"/>
      <c r="EWU187" s="34"/>
      <c r="EWV187" s="34"/>
      <c r="EWW187" s="34"/>
      <c r="EWX187" s="34"/>
      <c r="EWY187" s="34"/>
      <c r="EWZ187" s="34"/>
      <c r="EXA187" s="34"/>
      <c r="EXB187" s="34"/>
      <c r="EXC187" s="34"/>
      <c r="EXD187" s="34"/>
      <c r="EXE187" s="34"/>
      <c r="EXF187" s="34"/>
      <c r="EXG187" s="34"/>
      <c r="EXH187" s="34"/>
      <c r="EXI187" s="34"/>
      <c r="EXJ187" s="34"/>
      <c r="EXK187" s="34"/>
      <c r="EXL187" s="34"/>
      <c r="EXM187" s="34"/>
      <c r="EXN187" s="34"/>
      <c r="EXO187" s="34"/>
      <c r="EXP187" s="34"/>
      <c r="EXQ187" s="34"/>
      <c r="EXR187" s="34"/>
      <c r="EXS187" s="34"/>
      <c r="EXT187" s="34"/>
      <c r="EXU187" s="34"/>
      <c r="EXV187" s="34"/>
      <c r="EXW187" s="34"/>
      <c r="EXX187" s="34"/>
      <c r="EXY187" s="34"/>
      <c r="EXZ187" s="34"/>
      <c r="EYA187" s="34"/>
      <c r="EYB187" s="34"/>
      <c r="EYC187" s="34"/>
      <c r="EYD187" s="34"/>
      <c r="EYE187" s="34"/>
      <c r="EYF187" s="34"/>
      <c r="EYG187" s="34"/>
      <c r="EYH187" s="34"/>
      <c r="EYI187" s="34"/>
      <c r="EYJ187" s="34"/>
      <c r="EYK187" s="34"/>
      <c r="EYL187" s="34"/>
      <c r="EYM187" s="34"/>
      <c r="EYN187" s="34"/>
      <c r="EYO187" s="34"/>
      <c r="EYP187" s="34"/>
      <c r="EYQ187" s="34"/>
      <c r="EYR187" s="34"/>
      <c r="EYS187" s="34"/>
      <c r="EYT187" s="34"/>
      <c r="EYU187" s="34"/>
      <c r="EYV187" s="34"/>
      <c r="EYW187" s="34"/>
      <c r="EYX187" s="34"/>
      <c r="EYY187" s="34"/>
      <c r="EYZ187" s="34"/>
      <c r="EZA187" s="34"/>
      <c r="EZB187" s="34"/>
      <c r="EZC187" s="34"/>
      <c r="EZD187" s="34"/>
      <c r="EZE187" s="34"/>
      <c r="EZF187" s="34"/>
      <c r="EZG187" s="34"/>
      <c r="EZH187" s="34"/>
      <c r="EZI187" s="34"/>
      <c r="EZJ187" s="34"/>
      <c r="EZK187" s="34"/>
      <c r="EZL187" s="34"/>
      <c r="EZM187" s="34"/>
      <c r="EZN187" s="34"/>
      <c r="EZO187" s="34"/>
      <c r="EZP187" s="34"/>
      <c r="EZQ187" s="34"/>
      <c r="EZR187" s="34"/>
      <c r="EZS187" s="34"/>
      <c r="EZT187" s="34"/>
      <c r="EZU187" s="34"/>
      <c r="EZV187" s="34"/>
      <c r="EZW187" s="34"/>
      <c r="EZX187" s="34"/>
      <c r="EZY187" s="34"/>
      <c r="EZZ187" s="34"/>
      <c r="FAA187" s="34"/>
      <c r="FAB187" s="34"/>
      <c r="FAC187" s="34"/>
      <c r="FAD187" s="34"/>
      <c r="FAE187" s="34"/>
      <c r="FAF187" s="34"/>
      <c r="FAG187" s="34"/>
      <c r="FAH187" s="34"/>
      <c r="FAI187" s="34"/>
      <c r="FAJ187" s="34"/>
      <c r="FAK187" s="34"/>
      <c r="FAL187" s="34"/>
      <c r="FAM187" s="34"/>
      <c r="FAN187" s="34"/>
      <c r="FAO187" s="34"/>
      <c r="FAP187" s="34"/>
      <c r="FAQ187" s="34"/>
      <c r="FAR187" s="34"/>
      <c r="FAS187" s="34"/>
      <c r="FAT187" s="34"/>
      <c r="FAU187" s="34"/>
      <c r="FAV187" s="34"/>
      <c r="FAW187" s="34"/>
      <c r="FAX187" s="34"/>
      <c r="FAY187" s="34"/>
      <c r="FAZ187" s="34"/>
      <c r="FBA187" s="34"/>
      <c r="FBB187" s="34"/>
      <c r="FBC187" s="34"/>
      <c r="FBD187" s="34"/>
      <c r="FBE187" s="34"/>
      <c r="FBF187" s="34"/>
      <c r="FBG187" s="34"/>
      <c r="FBH187" s="34"/>
      <c r="FBI187" s="34"/>
      <c r="FBJ187" s="34"/>
      <c r="FBK187" s="34"/>
      <c r="FBL187" s="34"/>
      <c r="FBM187" s="34"/>
      <c r="FBN187" s="34"/>
      <c r="FBO187" s="34"/>
      <c r="FBP187" s="34"/>
      <c r="FBQ187" s="34"/>
      <c r="FBR187" s="34"/>
      <c r="FBS187" s="34"/>
      <c r="FBT187" s="34"/>
      <c r="FBU187" s="34"/>
      <c r="FBV187" s="34"/>
      <c r="FBW187" s="34"/>
      <c r="FBX187" s="34"/>
      <c r="FBY187" s="34"/>
      <c r="FBZ187" s="34"/>
      <c r="FCA187" s="34"/>
      <c r="FCB187" s="34"/>
      <c r="FCC187" s="34"/>
      <c r="FCD187" s="34"/>
      <c r="FCE187" s="34"/>
      <c r="FCF187" s="34"/>
      <c r="FCG187" s="34"/>
      <c r="FCH187" s="34"/>
      <c r="FCI187" s="34"/>
      <c r="FCJ187" s="34"/>
      <c r="FCK187" s="34"/>
      <c r="FCL187" s="34"/>
      <c r="FCM187" s="34"/>
      <c r="FCN187" s="34"/>
      <c r="FCO187" s="34"/>
      <c r="FCP187" s="34"/>
      <c r="FCQ187" s="34"/>
      <c r="FCR187" s="34"/>
      <c r="FCS187" s="34"/>
      <c r="FCT187" s="34"/>
      <c r="FCU187" s="34"/>
      <c r="FCV187" s="34"/>
      <c r="FCW187" s="34"/>
      <c r="FCX187" s="34"/>
      <c r="FCY187" s="34"/>
      <c r="FCZ187" s="34"/>
      <c r="FDA187" s="34"/>
      <c r="FDB187" s="34"/>
      <c r="FDC187" s="34"/>
      <c r="FDD187" s="34"/>
      <c r="FDE187" s="34"/>
      <c r="FDF187" s="34"/>
      <c r="FDG187" s="34"/>
      <c r="FDH187" s="34"/>
      <c r="FDI187" s="34"/>
      <c r="FDJ187" s="34"/>
      <c r="FDK187" s="34"/>
      <c r="FDL187" s="34"/>
      <c r="FDM187" s="34"/>
      <c r="FDN187" s="34"/>
      <c r="FDO187" s="34"/>
      <c r="FDP187" s="34"/>
      <c r="FDQ187" s="34"/>
      <c r="FDR187" s="34"/>
      <c r="FDS187" s="34"/>
      <c r="FDT187" s="34"/>
      <c r="FDU187" s="34"/>
      <c r="FDV187" s="34"/>
      <c r="FDW187" s="34"/>
      <c r="FDX187" s="34"/>
      <c r="FDY187" s="34"/>
      <c r="FDZ187" s="34"/>
      <c r="FEA187" s="34"/>
      <c r="FEB187" s="34"/>
      <c r="FEC187" s="34"/>
      <c r="FED187" s="34"/>
      <c r="FEE187" s="34"/>
      <c r="FEF187" s="34"/>
      <c r="FEG187" s="34"/>
      <c r="FEH187" s="34"/>
      <c r="FEI187" s="34"/>
      <c r="FEJ187" s="34"/>
      <c r="FEK187" s="34"/>
      <c r="FEL187" s="34"/>
      <c r="FEM187" s="34"/>
      <c r="FEN187" s="34"/>
      <c r="FEO187" s="34"/>
      <c r="FEP187" s="34"/>
      <c r="FEQ187" s="34"/>
      <c r="FER187" s="34"/>
      <c r="FES187" s="34"/>
      <c r="FET187" s="34"/>
      <c r="FEU187" s="34"/>
      <c r="FEV187" s="34"/>
      <c r="FEW187" s="34"/>
      <c r="FEX187" s="34"/>
      <c r="FEY187" s="34"/>
      <c r="FEZ187" s="34"/>
      <c r="FFA187" s="34"/>
      <c r="FFB187" s="34"/>
      <c r="FFC187" s="34"/>
      <c r="FFD187" s="34"/>
      <c r="FFE187" s="34"/>
      <c r="FFF187" s="34"/>
      <c r="FFG187" s="34"/>
      <c r="FFH187" s="34"/>
      <c r="FFI187" s="34"/>
      <c r="FFJ187" s="34"/>
      <c r="FFK187" s="34"/>
      <c r="FFL187" s="34"/>
      <c r="FFM187" s="34"/>
      <c r="FFN187" s="34"/>
      <c r="FFO187" s="34"/>
      <c r="FFP187" s="34"/>
      <c r="FFQ187" s="34"/>
      <c r="FFR187" s="34"/>
      <c r="FFS187" s="34"/>
      <c r="FFT187" s="34"/>
      <c r="FFU187" s="34"/>
      <c r="FFV187" s="34"/>
      <c r="FFW187" s="34"/>
      <c r="FFX187" s="34"/>
      <c r="FFY187" s="34"/>
      <c r="FFZ187" s="34"/>
      <c r="FGA187" s="34"/>
      <c r="FGB187" s="34"/>
      <c r="FGC187" s="34"/>
      <c r="FGD187" s="34"/>
      <c r="FGE187" s="34"/>
      <c r="FGF187" s="34"/>
      <c r="FGG187" s="34"/>
      <c r="FGH187" s="34"/>
      <c r="FGI187" s="34"/>
      <c r="FGJ187" s="34"/>
      <c r="FGK187" s="34"/>
      <c r="FGL187" s="34"/>
      <c r="FGM187" s="34"/>
      <c r="FGN187" s="34"/>
      <c r="FGO187" s="34"/>
      <c r="FGP187" s="34"/>
      <c r="FGQ187" s="34"/>
      <c r="FGR187" s="34"/>
      <c r="FGS187" s="34"/>
      <c r="FGT187" s="34"/>
      <c r="FGU187" s="34"/>
      <c r="FGV187" s="34"/>
      <c r="FGW187" s="34"/>
      <c r="FGX187" s="34"/>
      <c r="FGY187" s="34"/>
      <c r="FGZ187" s="34"/>
      <c r="FHA187" s="34"/>
      <c r="FHB187" s="34"/>
      <c r="FHC187" s="34"/>
      <c r="FHD187" s="34"/>
      <c r="FHE187" s="34"/>
      <c r="FHF187" s="34"/>
      <c r="FHG187" s="34"/>
      <c r="FHH187" s="34"/>
      <c r="FHI187" s="34"/>
      <c r="FHJ187" s="34"/>
      <c r="FHK187" s="34"/>
      <c r="FHL187" s="34"/>
      <c r="FHM187" s="34"/>
      <c r="FHN187" s="34"/>
      <c r="FHO187" s="34"/>
      <c r="FHP187" s="34"/>
      <c r="FHQ187" s="34"/>
      <c r="FHR187" s="34"/>
      <c r="FHS187" s="34"/>
      <c r="FHT187" s="34"/>
      <c r="FHU187" s="34"/>
      <c r="FHV187" s="34"/>
      <c r="FHW187" s="34"/>
      <c r="FHX187" s="34"/>
      <c r="FHY187" s="34"/>
      <c r="FHZ187" s="34"/>
      <c r="FIA187" s="34"/>
      <c r="FIB187" s="34"/>
      <c r="FIC187" s="34"/>
      <c r="FID187" s="34"/>
      <c r="FIE187" s="34"/>
      <c r="FIF187" s="34"/>
      <c r="FIG187" s="34"/>
      <c r="FIH187" s="34"/>
      <c r="FII187" s="34"/>
      <c r="FIJ187" s="34"/>
      <c r="FIK187" s="34"/>
      <c r="FIL187" s="34"/>
      <c r="FIM187" s="34"/>
      <c r="FIN187" s="34"/>
      <c r="FIO187" s="34"/>
      <c r="FIP187" s="34"/>
      <c r="FIQ187" s="34"/>
      <c r="FIR187" s="34"/>
      <c r="FIS187" s="34"/>
      <c r="FIT187" s="34"/>
      <c r="FIU187" s="34"/>
      <c r="FIV187" s="34"/>
      <c r="FIW187" s="34"/>
      <c r="FIX187" s="34"/>
      <c r="FIY187" s="34"/>
      <c r="FIZ187" s="34"/>
      <c r="FJA187" s="34"/>
      <c r="FJB187" s="34"/>
      <c r="FJC187" s="34"/>
      <c r="FJD187" s="34"/>
      <c r="FJE187" s="34"/>
      <c r="FJF187" s="34"/>
      <c r="FJG187" s="34"/>
      <c r="FJH187" s="34"/>
      <c r="FJI187" s="34"/>
      <c r="FJJ187" s="34"/>
      <c r="FJK187" s="34"/>
      <c r="FJL187" s="34"/>
      <c r="FJM187" s="34"/>
      <c r="FJN187" s="34"/>
      <c r="FJO187" s="34"/>
      <c r="FJP187" s="34"/>
      <c r="FJQ187" s="34"/>
      <c r="FJR187" s="34"/>
      <c r="FJS187" s="34"/>
      <c r="FJT187" s="34"/>
      <c r="FJU187" s="34"/>
      <c r="FJV187" s="34"/>
      <c r="FJW187" s="34"/>
      <c r="FJX187" s="34"/>
      <c r="FJY187" s="34"/>
      <c r="FJZ187" s="34"/>
      <c r="FKA187" s="34"/>
      <c r="FKB187" s="34"/>
      <c r="FKC187" s="34"/>
      <c r="FKD187" s="34"/>
      <c r="FKE187" s="34"/>
      <c r="FKF187" s="34"/>
      <c r="FKG187" s="34"/>
      <c r="FKH187" s="34"/>
      <c r="FKI187" s="34"/>
      <c r="FKJ187" s="34"/>
      <c r="FKK187" s="34"/>
      <c r="FKL187" s="34"/>
      <c r="FKM187" s="34"/>
      <c r="FKN187" s="34"/>
      <c r="FKO187" s="34"/>
      <c r="FKP187" s="34"/>
      <c r="FKQ187" s="34"/>
      <c r="FKR187" s="34"/>
      <c r="FKS187" s="34"/>
      <c r="FKT187" s="34"/>
      <c r="FKU187" s="34"/>
      <c r="FKV187" s="34"/>
      <c r="FKW187" s="34"/>
      <c r="FKX187" s="34"/>
      <c r="FKY187" s="34"/>
      <c r="FKZ187" s="34"/>
      <c r="FLA187" s="34"/>
      <c r="FLB187" s="34"/>
      <c r="FLC187" s="34"/>
      <c r="FLD187" s="34"/>
      <c r="FLE187" s="34"/>
      <c r="FLF187" s="34"/>
      <c r="FLG187" s="34"/>
      <c r="FLH187" s="34"/>
      <c r="FLI187" s="34"/>
      <c r="FLJ187" s="34"/>
      <c r="FLK187" s="34"/>
      <c r="FLL187" s="34"/>
      <c r="FLM187" s="34"/>
      <c r="FLN187" s="34"/>
      <c r="FLO187" s="34"/>
      <c r="FLP187" s="34"/>
      <c r="FLQ187" s="34"/>
      <c r="FLR187" s="34"/>
      <c r="FLS187" s="34"/>
      <c r="FLT187" s="34"/>
      <c r="FLU187" s="34"/>
      <c r="FLV187" s="34"/>
      <c r="FLW187" s="34"/>
      <c r="FLX187" s="34"/>
      <c r="FLY187" s="34"/>
      <c r="FLZ187" s="34"/>
      <c r="FMA187" s="34"/>
      <c r="FMB187" s="34"/>
      <c r="FMC187" s="34"/>
      <c r="FMD187" s="34"/>
      <c r="FME187" s="34"/>
      <c r="FMF187" s="34"/>
      <c r="FMG187" s="34"/>
      <c r="FMH187" s="34"/>
      <c r="FMI187" s="34"/>
      <c r="FMJ187" s="34"/>
      <c r="FMK187" s="34"/>
      <c r="FML187" s="34"/>
      <c r="FMM187" s="34"/>
      <c r="FMN187" s="34"/>
      <c r="FMO187" s="34"/>
      <c r="FMP187" s="34"/>
      <c r="FMQ187" s="34"/>
      <c r="FMR187" s="34"/>
      <c r="FMS187" s="34"/>
      <c r="FMT187" s="34"/>
      <c r="FMU187" s="34"/>
      <c r="FMV187" s="34"/>
      <c r="FMW187" s="34"/>
      <c r="FMX187" s="34"/>
      <c r="FMY187" s="34"/>
      <c r="FMZ187" s="34"/>
      <c r="FNA187" s="34"/>
      <c r="FNB187" s="34"/>
      <c r="FNC187" s="34"/>
      <c r="FND187" s="34"/>
      <c r="FNE187" s="34"/>
      <c r="FNF187" s="34"/>
      <c r="FNG187" s="34"/>
      <c r="FNH187" s="34"/>
      <c r="FNI187" s="34"/>
      <c r="FNJ187" s="34"/>
      <c r="FNK187" s="34"/>
      <c r="FNL187" s="34"/>
      <c r="FNM187" s="34"/>
      <c r="FNN187" s="34"/>
      <c r="FNO187" s="34"/>
      <c r="FNP187" s="34"/>
      <c r="FNQ187" s="34"/>
      <c r="FNR187" s="34"/>
      <c r="FNS187" s="34"/>
      <c r="FNT187" s="34"/>
      <c r="FNU187" s="34"/>
      <c r="FNV187" s="34"/>
      <c r="FNW187" s="34"/>
      <c r="FNX187" s="34"/>
      <c r="FNY187" s="34"/>
      <c r="FNZ187" s="34"/>
      <c r="FOA187" s="34"/>
      <c r="FOB187" s="34"/>
      <c r="FOC187" s="34"/>
      <c r="FOD187" s="34"/>
      <c r="FOE187" s="34"/>
      <c r="FOF187" s="34"/>
      <c r="FOG187" s="34"/>
      <c r="FOH187" s="34"/>
      <c r="FOI187" s="34"/>
      <c r="FOJ187" s="34"/>
      <c r="FOK187" s="34"/>
      <c r="FOL187" s="34"/>
      <c r="FOM187" s="34"/>
      <c r="FON187" s="34"/>
      <c r="FOO187" s="34"/>
      <c r="FOP187" s="34"/>
      <c r="FOQ187" s="34"/>
      <c r="FOR187" s="34"/>
      <c r="FOS187" s="34"/>
      <c r="FOT187" s="34"/>
      <c r="FOU187" s="34"/>
      <c r="FOV187" s="34"/>
      <c r="FOW187" s="34"/>
      <c r="FOX187" s="34"/>
      <c r="FOY187" s="34"/>
      <c r="FOZ187" s="34"/>
      <c r="FPA187" s="34"/>
      <c r="FPB187" s="34"/>
      <c r="FPC187" s="34"/>
      <c r="FPD187" s="34"/>
      <c r="FPE187" s="34"/>
      <c r="FPF187" s="34"/>
      <c r="FPG187" s="34"/>
      <c r="FPH187" s="34"/>
      <c r="FPI187" s="34"/>
      <c r="FPJ187" s="34"/>
      <c r="FPK187" s="34"/>
      <c r="FPL187" s="34"/>
      <c r="FPM187" s="34"/>
      <c r="FPN187" s="34"/>
      <c r="FPO187" s="34"/>
      <c r="FPP187" s="34"/>
      <c r="FPQ187" s="34"/>
      <c r="FPR187" s="34"/>
      <c r="FPS187" s="34"/>
      <c r="FPT187" s="34"/>
      <c r="FPU187" s="34"/>
      <c r="FPV187" s="34"/>
      <c r="FPW187" s="34"/>
      <c r="FPX187" s="34"/>
      <c r="FPY187" s="34"/>
      <c r="FPZ187" s="34"/>
      <c r="FQA187" s="34"/>
      <c r="FQB187" s="34"/>
      <c r="FQC187" s="34"/>
      <c r="FQD187" s="34"/>
      <c r="FQE187" s="34"/>
      <c r="FQF187" s="34"/>
      <c r="FQG187" s="34"/>
      <c r="FQH187" s="34"/>
      <c r="FQI187" s="34"/>
      <c r="FQJ187" s="34"/>
      <c r="FQK187" s="34"/>
      <c r="FQL187" s="34"/>
      <c r="FQM187" s="34"/>
      <c r="FQN187" s="34"/>
      <c r="FQO187" s="34"/>
      <c r="FQP187" s="34"/>
      <c r="FQQ187" s="34"/>
      <c r="FQR187" s="34"/>
      <c r="FQS187" s="34"/>
      <c r="FQT187" s="34"/>
      <c r="FQU187" s="34"/>
      <c r="FQV187" s="34"/>
      <c r="FQW187" s="34"/>
      <c r="FQX187" s="34"/>
      <c r="FQY187" s="34"/>
      <c r="FQZ187" s="34"/>
      <c r="FRA187" s="34"/>
      <c r="FRB187" s="34"/>
      <c r="FRC187" s="34"/>
      <c r="FRD187" s="34"/>
      <c r="FRE187" s="34"/>
      <c r="FRF187" s="34"/>
      <c r="FRG187" s="34"/>
      <c r="FRH187" s="34"/>
      <c r="FRI187" s="34"/>
      <c r="FRJ187" s="34"/>
      <c r="FRK187" s="34"/>
      <c r="FRL187" s="34"/>
      <c r="FRM187" s="34"/>
      <c r="FRN187" s="34"/>
      <c r="FRO187" s="34"/>
      <c r="FRP187" s="34"/>
      <c r="FRQ187" s="34"/>
      <c r="FRR187" s="34"/>
      <c r="FRS187" s="34"/>
      <c r="FRT187" s="34"/>
      <c r="FRU187" s="34"/>
      <c r="FRV187" s="34"/>
      <c r="FRW187" s="34"/>
      <c r="FRX187" s="34"/>
      <c r="FRY187" s="34"/>
      <c r="FRZ187" s="34"/>
      <c r="FSA187" s="34"/>
      <c r="FSB187" s="34"/>
      <c r="FSC187" s="34"/>
      <c r="FSD187" s="34"/>
      <c r="FSE187" s="34"/>
      <c r="FSF187" s="34"/>
      <c r="FSG187" s="34"/>
      <c r="FSH187" s="34"/>
      <c r="FSI187" s="34"/>
      <c r="FSJ187" s="34"/>
      <c r="FSK187" s="34"/>
      <c r="FSL187" s="34"/>
      <c r="FSM187" s="34"/>
      <c r="FSN187" s="34"/>
      <c r="FSO187" s="34"/>
      <c r="FSP187" s="34"/>
      <c r="FSQ187" s="34"/>
      <c r="FSR187" s="34"/>
      <c r="FSS187" s="34"/>
      <c r="FST187" s="34"/>
      <c r="FSU187" s="34"/>
      <c r="FSV187" s="34"/>
      <c r="FSW187" s="34"/>
      <c r="FSX187" s="34"/>
      <c r="FSY187" s="34"/>
      <c r="FSZ187" s="34"/>
      <c r="FTA187" s="34"/>
      <c r="FTB187" s="34"/>
      <c r="FTC187" s="34"/>
      <c r="FTD187" s="34"/>
      <c r="FTE187" s="34"/>
      <c r="FTF187" s="34"/>
      <c r="FTG187" s="34"/>
      <c r="FTH187" s="34"/>
      <c r="FTI187" s="34"/>
      <c r="FTJ187" s="34"/>
      <c r="FTK187" s="34"/>
      <c r="FTL187" s="34"/>
      <c r="FTM187" s="34"/>
      <c r="FTN187" s="34"/>
      <c r="FTO187" s="34"/>
      <c r="FTP187" s="34"/>
      <c r="FTQ187" s="34"/>
      <c r="FTR187" s="34"/>
      <c r="FTS187" s="34"/>
      <c r="FTT187" s="34"/>
      <c r="FTU187" s="34"/>
      <c r="FTV187" s="34"/>
      <c r="FTW187" s="34"/>
      <c r="FTX187" s="34"/>
      <c r="FTY187" s="34"/>
      <c r="FTZ187" s="34"/>
      <c r="FUA187" s="34"/>
      <c r="FUB187" s="34"/>
      <c r="FUC187" s="34"/>
      <c r="FUD187" s="34"/>
      <c r="FUE187" s="34"/>
      <c r="FUF187" s="34"/>
      <c r="FUG187" s="34"/>
      <c r="FUH187" s="34"/>
      <c r="FUI187" s="34"/>
      <c r="FUJ187" s="34"/>
      <c r="FUK187" s="34"/>
      <c r="FUL187" s="34"/>
      <c r="FUM187" s="34"/>
      <c r="FUN187" s="34"/>
      <c r="FUO187" s="34"/>
      <c r="FUP187" s="34"/>
      <c r="FUQ187" s="34"/>
      <c r="FUR187" s="34"/>
      <c r="FUS187" s="34"/>
      <c r="FUT187" s="34"/>
      <c r="FUU187" s="34"/>
      <c r="FUV187" s="34"/>
      <c r="FUW187" s="34"/>
      <c r="FUX187" s="34"/>
      <c r="FUY187" s="34"/>
      <c r="FUZ187" s="34"/>
      <c r="FVA187" s="34"/>
      <c r="FVB187" s="34"/>
      <c r="FVC187" s="34"/>
      <c r="FVD187" s="34"/>
      <c r="FVE187" s="34"/>
      <c r="FVF187" s="34"/>
      <c r="FVG187" s="34"/>
      <c r="FVH187" s="34"/>
      <c r="FVI187" s="34"/>
      <c r="FVJ187" s="34"/>
      <c r="FVK187" s="34"/>
      <c r="FVL187" s="34"/>
      <c r="FVM187" s="34"/>
      <c r="FVN187" s="34"/>
      <c r="FVO187" s="34"/>
      <c r="FVP187" s="34"/>
      <c r="FVQ187" s="34"/>
      <c r="FVR187" s="34"/>
      <c r="FVS187" s="34"/>
      <c r="FVT187" s="34"/>
      <c r="FVU187" s="34"/>
      <c r="FVV187" s="34"/>
      <c r="FVW187" s="34"/>
      <c r="FVX187" s="34"/>
      <c r="FVY187" s="34"/>
      <c r="FVZ187" s="34"/>
      <c r="FWA187" s="34"/>
      <c r="FWB187" s="34"/>
      <c r="FWC187" s="34"/>
      <c r="FWD187" s="34"/>
      <c r="FWE187" s="34"/>
      <c r="FWF187" s="34"/>
      <c r="FWG187" s="34"/>
      <c r="FWH187" s="34"/>
      <c r="FWI187" s="34"/>
      <c r="FWJ187" s="34"/>
      <c r="FWK187" s="34"/>
      <c r="FWL187" s="34"/>
      <c r="FWM187" s="34"/>
      <c r="FWN187" s="34"/>
      <c r="FWO187" s="34"/>
      <c r="FWP187" s="34"/>
      <c r="FWQ187" s="34"/>
      <c r="FWR187" s="34"/>
      <c r="FWS187" s="34"/>
      <c r="FWT187" s="34"/>
      <c r="FWU187" s="34"/>
      <c r="FWV187" s="34"/>
      <c r="FWW187" s="34"/>
      <c r="FWX187" s="34"/>
      <c r="FWY187" s="34"/>
      <c r="FWZ187" s="34"/>
      <c r="FXA187" s="34"/>
      <c r="FXB187" s="34"/>
      <c r="FXC187" s="34"/>
      <c r="FXD187" s="34"/>
      <c r="FXE187" s="34"/>
      <c r="FXF187" s="34"/>
      <c r="FXG187" s="34"/>
      <c r="FXH187" s="34"/>
      <c r="FXI187" s="34"/>
      <c r="FXJ187" s="34"/>
      <c r="FXK187" s="34"/>
      <c r="FXL187" s="34"/>
      <c r="FXM187" s="34"/>
      <c r="FXN187" s="34"/>
      <c r="FXO187" s="34"/>
      <c r="FXP187" s="34"/>
      <c r="FXQ187" s="34"/>
      <c r="FXR187" s="34"/>
      <c r="FXS187" s="34"/>
      <c r="FXT187" s="34"/>
      <c r="FXU187" s="34"/>
      <c r="FXV187" s="34"/>
      <c r="FXW187" s="34"/>
      <c r="FXX187" s="34"/>
      <c r="FXY187" s="34"/>
      <c r="FXZ187" s="34"/>
      <c r="FYA187" s="34"/>
      <c r="FYB187" s="34"/>
      <c r="FYC187" s="34"/>
      <c r="FYD187" s="34"/>
      <c r="FYE187" s="34"/>
      <c r="FYF187" s="34"/>
      <c r="FYG187" s="34"/>
      <c r="FYH187" s="34"/>
      <c r="FYI187" s="34"/>
      <c r="FYJ187" s="34"/>
      <c r="FYK187" s="34"/>
      <c r="FYL187" s="34"/>
      <c r="FYM187" s="34"/>
      <c r="FYN187" s="34"/>
      <c r="FYO187" s="34"/>
      <c r="FYP187" s="34"/>
      <c r="FYQ187" s="34"/>
      <c r="FYR187" s="34"/>
      <c r="FYS187" s="34"/>
      <c r="FYT187" s="34"/>
      <c r="FYU187" s="34"/>
      <c r="FYV187" s="34"/>
      <c r="FYW187" s="34"/>
      <c r="FYX187" s="34"/>
      <c r="FYY187" s="34"/>
      <c r="FYZ187" s="34"/>
      <c r="FZA187" s="34"/>
      <c r="FZB187" s="34"/>
      <c r="FZC187" s="34"/>
      <c r="FZD187" s="34"/>
      <c r="FZE187" s="34"/>
      <c r="FZF187" s="34"/>
      <c r="FZG187" s="34"/>
      <c r="FZH187" s="34"/>
      <c r="FZI187" s="34"/>
      <c r="FZJ187" s="34"/>
      <c r="FZK187" s="34"/>
      <c r="FZL187" s="34"/>
      <c r="FZM187" s="34"/>
      <c r="FZN187" s="34"/>
      <c r="FZO187" s="34"/>
      <c r="FZP187" s="34"/>
      <c r="FZQ187" s="34"/>
      <c r="FZR187" s="34"/>
      <c r="FZS187" s="34"/>
      <c r="FZT187" s="34"/>
      <c r="FZU187" s="34"/>
      <c r="FZV187" s="34"/>
      <c r="FZW187" s="34"/>
      <c r="FZX187" s="34"/>
      <c r="FZY187" s="34"/>
      <c r="FZZ187" s="34"/>
      <c r="GAA187" s="34"/>
      <c r="GAB187" s="34"/>
      <c r="GAC187" s="34"/>
      <c r="GAD187" s="34"/>
      <c r="GAE187" s="34"/>
      <c r="GAF187" s="34"/>
      <c r="GAG187" s="34"/>
      <c r="GAH187" s="34"/>
      <c r="GAI187" s="34"/>
      <c r="GAJ187" s="34"/>
      <c r="GAK187" s="34"/>
      <c r="GAL187" s="34"/>
      <c r="GAM187" s="34"/>
      <c r="GAN187" s="34"/>
      <c r="GAO187" s="34"/>
      <c r="GAP187" s="34"/>
      <c r="GAQ187" s="34"/>
      <c r="GAR187" s="34"/>
      <c r="GAS187" s="34"/>
      <c r="GAT187" s="34"/>
      <c r="GAU187" s="34"/>
      <c r="GAV187" s="34"/>
      <c r="GAW187" s="34"/>
      <c r="GAX187" s="34"/>
      <c r="GAY187" s="34"/>
      <c r="GAZ187" s="34"/>
      <c r="GBA187" s="34"/>
      <c r="GBB187" s="34"/>
      <c r="GBC187" s="34"/>
      <c r="GBD187" s="34"/>
      <c r="GBE187" s="34"/>
      <c r="GBF187" s="34"/>
      <c r="GBG187" s="34"/>
      <c r="GBH187" s="34"/>
      <c r="GBI187" s="34"/>
      <c r="GBJ187" s="34"/>
      <c r="GBK187" s="34"/>
      <c r="GBL187" s="34"/>
      <c r="GBM187" s="34"/>
      <c r="GBN187" s="34"/>
      <c r="GBO187" s="34"/>
      <c r="GBP187" s="34"/>
      <c r="GBQ187" s="34"/>
      <c r="GBR187" s="34"/>
      <c r="GBS187" s="34"/>
      <c r="GBT187" s="34"/>
      <c r="GBU187" s="34"/>
      <c r="GBV187" s="34"/>
      <c r="GBW187" s="34"/>
      <c r="GBX187" s="34"/>
      <c r="GBY187" s="34"/>
      <c r="GBZ187" s="34"/>
      <c r="GCA187" s="34"/>
      <c r="GCB187" s="34"/>
      <c r="GCC187" s="34"/>
      <c r="GCD187" s="34"/>
      <c r="GCE187" s="34"/>
      <c r="GCF187" s="34"/>
      <c r="GCG187" s="34"/>
      <c r="GCH187" s="34"/>
      <c r="GCI187" s="34"/>
      <c r="GCJ187" s="34"/>
      <c r="GCK187" s="34"/>
      <c r="GCL187" s="34"/>
      <c r="GCM187" s="34"/>
      <c r="GCN187" s="34"/>
      <c r="GCO187" s="34"/>
      <c r="GCP187" s="34"/>
      <c r="GCQ187" s="34"/>
      <c r="GCR187" s="34"/>
      <c r="GCS187" s="34"/>
      <c r="GCT187" s="34"/>
      <c r="GCU187" s="34"/>
      <c r="GCV187" s="34"/>
      <c r="GCW187" s="34"/>
      <c r="GCX187" s="34"/>
      <c r="GCY187" s="34"/>
      <c r="GCZ187" s="34"/>
      <c r="GDA187" s="34"/>
      <c r="GDB187" s="34"/>
      <c r="GDC187" s="34"/>
      <c r="GDD187" s="34"/>
      <c r="GDE187" s="34"/>
      <c r="GDF187" s="34"/>
      <c r="GDG187" s="34"/>
      <c r="GDH187" s="34"/>
      <c r="GDI187" s="34"/>
      <c r="GDJ187" s="34"/>
      <c r="GDK187" s="34"/>
      <c r="GDL187" s="34"/>
      <c r="GDM187" s="34"/>
      <c r="GDN187" s="34"/>
      <c r="GDO187" s="34"/>
      <c r="GDP187" s="34"/>
      <c r="GDQ187" s="34"/>
      <c r="GDR187" s="34"/>
      <c r="GDS187" s="34"/>
      <c r="GDT187" s="34"/>
      <c r="GDU187" s="34"/>
      <c r="GDV187" s="34"/>
      <c r="GDW187" s="34"/>
      <c r="GDX187" s="34"/>
      <c r="GDY187" s="34"/>
      <c r="GDZ187" s="34"/>
      <c r="GEA187" s="34"/>
      <c r="GEB187" s="34"/>
      <c r="GEC187" s="34"/>
      <c r="GED187" s="34"/>
      <c r="GEE187" s="34"/>
      <c r="GEF187" s="34"/>
      <c r="GEG187" s="34"/>
      <c r="GEH187" s="34"/>
      <c r="GEI187" s="34"/>
      <c r="GEJ187" s="34"/>
      <c r="GEK187" s="34"/>
      <c r="GEL187" s="34"/>
      <c r="GEM187" s="34"/>
      <c r="GEN187" s="34"/>
      <c r="GEO187" s="34"/>
      <c r="GEP187" s="34"/>
      <c r="GEQ187" s="34"/>
      <c r="GER187" s="34"/>
      <c r="GES187" s="34"/>
      <c r="GET187" s="34"/>
      <c r="GEU187" s="34"/>
      <c r="GEV187" s="34"/>
      <c r="GEW187" s="34"/>
      <c r="GEX187" s="34"/>
      <c r="GEY187" s="34"/>
      <c r="GEZ187" s="34"/>
      <c r="GFA187" s="34"/>
      <c r="GFB187" s="34"/>
      <c r="GFC187" s="34"/>
      <c r="GFD187" s="34"/>
      <c r="GFE187" s="34"/>
      <c r="GFF187" s="34"/>
      <c r="GFG187" s="34"/>
      <c r="GFH187" s="34"/>
      <c r="GFI187" s="34"/>
      <c r="GFJ187" s="34"/>
      <c r="GFK187" s="34"/>
      <c r="GFL187" s="34"/>
      <c r="GFM187" s="34"/>
      <c r="GFN187" s="34"/>
      <c r="GFO187" s="34"/>
      <c r="GFP187" s="34"/>
      <c r="GFQ187" s="34"/>
      <c r="GFR187" s="34"/>
      <c r="GFS187" s="34"/>
      <c r="GFT187" s="34"/>
      <c r="GFU187" s="34"/>
      <c r="GFV187" s="34"/>
      <c r="GFW187" s="34"/>
      <c r="GFX187" s="34"/>
      <c r="GFY187" s="34"/>
      <c r="GFZ187" s="34"/>
      <c r="GGA187" s="34"/>
      <c r="GGB187" s="34"/>
      <c r="GGC187" s="34"/>
      <c r="GGD187" s="34"/>
      <c r="GGE187" s="34"/>
      <c r="GGF187" s="34"/>
      <c r="GGG187" s="34"/>
      <c r="GGH187" s="34"/>
      <c r="GGI187" s="34"/>
      <c r="GGJ187" s="34"/>
      <c r="GGK187" s="34"/>
      <c r="GGL187" s="34"/>
      <c r="GGM187" s="34"/>
      <c r="GGN187" s="34"/>
      <c r="GGO187" s="34"/>
      <c r="GGP187" s="34"/>
      <c r="GGQ187" s="34"/>
      <c r="GGR187" s="34"/>
      <c r="GGS187" s="34"/>
      <c r="GGT187" s="34"/>
      <c r="GGU187" s="34"/>
      <c r="GGV187" s="34"/>
      <c r="GGW187" s="34"/>
      <c r="GGX187" s="34"/>
      <c r="GGY187" s="34"/>
      <c r="GGZ187" s="34"/>
      <c r="GHA187" s="34"/>
      <c r="GHB187" s="34"/>
      <c r="GHC187" s="34"/>
      <c r="GHD187" s="34"/>
      <c r="GHE187" s="34"/>
      <c r="GHF187" s="34"/>
      <c r="GHG187" s="34"/>
      <c r="GHH187" s="34"/>
      <c r="GHI187" s="34"/>
      <c r="GHJ187" s="34"/>
      <c r="GHK187" s="34"/>
      <c r="GHL187" s="34"/>
      <c r="GHM187" s="34"/>
      <c r="GHN187" s="34"/>
      <c r="GHO187" s="34"/>
      <c r="GHP187" s="34"/>
      <c r="GHQ187" s="34"/>
      <c r="GHR187" s="34"/>
      <c r="GHS187" s="34"/>
      <c r="GHT187" s="34"/>
      <c r="GHU187" s="34"/>
      <c r="GHV187" s="34"/>
      <c r="GHW187" s="34"/>
      <c r="GHX187" s="34"/>
      <c r="GHY187" s="34"/>
      <c r="GHZ187" s="34"/>
      <c r="GIA187" s="34"/>
      <c r="GIB187" s="34"/>
      <c r="GIC187" s="34"/>
      <c r="GID187" s="34"/>
      <c r="GIE187" s="34"/>
      <c r="GIF187" s="34"/>
      <c r="GIG187" s="34"/>
      <c r="GIH187" s="34"/>
      <c r="GII187" s="34"/>
      <c r="GIJ187" s="34"/>
      <c r="GIK187" s="34"/>
      <c r="GIL187" s="34"/>
      <c r="GIM187" s="34"/>
      <c r="GIN187" s="34"/>
      <c r="GIO187" s="34"/>
      <c r="GIP187" s="34"/>
      <c r="GIQ187" s="34"/>
      <c r="GIR187" s="34"/>
      <c r="GIS187" s="34"/>
      <c r="GIT187" s="34"/>
      <c r="GIU187" s="34"/>
      <c r="GIV187" s="34"/>
      <c r="GIW187" s="34"/>
      <c r="GIX187" s="34"/>
      <c r="GIY187" s="34"/>
      <c r="GIZ187" s="34"/>
      <c r="GJA187" s="34"/>
      <c r="GJB187" s="34"/>
      <c r="GJC187" s="34"/>
      <c r="GJD187" s="34"/>
      <c r="GJE187" s="34"/>
      <c r="GJF187" s="34"/>
      <c r="GJG187" s="34"/>
      <c r="GJH187" s="34"/>
      <c r="GJI187" s="34"/>
      <c r="GJJ187" s="34"/>
      <c r="GJK187" s="34"/>
      <c r="GJL187" s="34"/>
      <c r="GJM187" s="34"/>
      <c r="GJN187" s="34"/>
      <c r="GJO187" s="34"/>
      <c r="GJP187" s="34"/>
      <c r="GJQ187" s="34"/>
      <c r="GJR187" s="34"/>
      <c r="GJS187" s="34"/>
      <c r="GJT187" s="34"/>
      <c r="GJU187" s="34"/>
      <c r="GJV187" s="34"/>
      <c r="GJW187" s="34"/>
      <c r="GJX187" s="34"/>
      <c r="GJY187" s="34"/>
      <c r="GJZ187" s="34"/>
      <c r="GKA187" s="34"/>
      <c r="GKB187" s="34"/>
      <c r="GKC187" s="34"/>
      <c r="GKD187" s="34"/>
      <c r="GKE187" s="34"/>
      <c r="GKF187" s="34"/>
      <c r="GKG187" s="34"/>
      <c r="GKH187" s="34"/>
      <c r="GKI187" s="34"/>
      <c r="GKJ187" s="34"/>
      <c r="GKK187" s="34"/>
      <c r="GKL187" s="34"/>
      <c r="GKM187" s="34"/>
      <c r="GKN187" s="34"/>
      <c r="GKO187" s="34"/>
      <c r="GKP187" s="34"/>
      <c r="GKQ187" s="34"/>
      <c r="GKR187" s="34"/>
      <c r="GKS187" s="34"/>
      <c r="GKT187" s="34"/>
      <c r="GKU187" s="34"/>
      <c r="GKV187" s="34"/>
      <c r="GKW187" s="34"/>
      <c r="GKX187" s="34"/>
      <c r="GKY187" s="34"/>
      <c r="GKZ187" s="34"/>
      <c r="GLA187" s="34"/>
      <c r="GLB187" s="34"/>
      <c r="GLC187" s="34"/>
      <c r="GLD187" s="34"/>
      <c r="GLE187" s="34"/>
      <c r="GLF187" s="34"/>
      <c r="GLG187" s="34"/>
      <c r="GLH187" s="34"/>
      <c r="GLI187" s="34"/>
      <c r="GLJ187" s="34"/>
      <c r="GLK187" s="34"/>
      <c r="GLL187" s="34"/>
      <c r="GLM187" s="34"/>
      <c r="GLN187" s="34"/>
      <c r="GLO187" s="34"/>
      <c r="GLP187" s="34"/>
      <c r="GLQ187" s="34"/>
      <c r="GLR187" s="34"/>
      <c r="GLS187" s="34"/>
      <c r="GLT187" s="34"/>
      <c r="GLU187" s="34"/>
      <c r="GLV187" s="34"/>
      <c r="GLW187" s="34"/>
      <c r="GLX187" s="34"/>
      <c r="GLY187" s="34"/>
      <c r="GLZ187" s="34"/>
      <c r="GMA187" s="34"/>
      <c r="GMB187" s="34"/>
      <c r="GMC187" s="34"/>
      <c r="GMD187" s="34"/>
      <c r="GME187" s="34"/>
      <c r="GMF187" s="34"/>
      <c r="GMG187" s="34"/>
      <c r="GMH187" s="34"/>
      <c r="GMI187" s="34"/>
      <c r="GMJ187" s="34"/>
      <c r="GMK187" s="34"/>
      <c r="GML187" s="34"/>
      <c r="GMM187" s="34"/>
      <c r="GMN187" s="34"/>
      <c r="GMO187" s="34"/>
      <c r="GMP187" s="34"/>
      <c r="GMQ187" s="34"/>
      <c r="GMR187" s="34"/>
      <c r="GMS187" s="34"/>
      <c r="GMT187" s="34"/>
      <c r="GMU187" s="34"/>
      <c r="GMV187" s="34"/>
      <c r="GMW187" s="34"/>
      <c r="GMX187" s="34"/>
      <c r="GMY187" s="34"/>
      <c r="GMZ187" s="34"/>
      <c r="GNA187" s="34"/>
      <c r="GNB187" s="34"/>
      <c r="GNC187" s="34"/>
      <c r="GND187" s="34"/>
      <c r="GNE187" s="34"/>
      <c r="GNF187" s="34"/>
      <c r="GNG187" s="34"/>
      <c r="GNH187" s="34"/>
      <c r="GNI187" s="34"/>
      <c r="GNJ187" s="34"/>
      <c r="GNK187" s="34"/>
      <c r="GNL187" s="34"/>
      <c r="GNM187" s="34"/>
      <c r="GNN187" s="34"/>
      <c r="GNO187" s="34"/>
      <c r="GNP187" s="34"/>
      <c r="GNQ187" s="34"/>
      <c r="GNR187" s="34"/>
      <c r="GNS187" s="34"/>
      <c r="GNT187" s="34"/>
      <c r="GNU187" s="34"/>
      <c r="GNV187" s="34"/>
      <c r="GNW187" s="34"/>
      <c r="GNX187" s="34"/>
      <c r="GNY187" s="34"/>
      <c r="GNZ187" s="34"/>
      <c r="GOA187" s="34"/>
      <c r="GOB187" s="34"/>
      <c r="GOC187" s="34"/>
      <c r="GOD187" s="34"/>
      <c r="GOE187" s="34"/>
      <c r="GOF187" s="34"/>
      <c r="GOG187" s="34"/>
      <c r="GOH187" s="34"/>
      <c r="GOI187" s="34"/>
      <c r="GOJ187" s="34"/>
      <c r="GOK187" s="34"/>
      <c r="GOL187" s="34"/>
      <c r="GOM187" s="34"/>
      <c r="GON187" s="34"/>
      <c r="GOO187" s="34"/>
      <c r="GOP187" s="34"/>
      <c r="GOQ187" s="34"/>
      <c r="GOR187" s="34"/>
      <c r="GOS187" s="34"/>
      <c r="GOT187" s="34"/>
      <c r="GOU187" s="34"/>
      <c r="GOV187" s="34"/>
      <c r="GOW187" s="34"/>
      <c r="GOX187" s="34"/>
      <c r="GOY187" s="34"/>
      <c r="GOZ187" s="34"/>
      <c r="GPA187" s="34"/>
      <c r="GPB187" s="34"/>
      <c r="GPC187" s="34"/>
      <c r="GPD187" s="34"/>
      <c r="GPE187" s="34"/>
      <c r="GPF187" s="34"/>
      <c r="GPG187" s="34"/>
      <c r="GPH187" s="34"/>
      <c r="GPI187" s="34"/>
      <c r="GPJ187" s="34"/>
      <c r="GPK187" s="34"/>
      <c r="GPL187" s="34"/>
      <c r="GPM187" s="34"/>
      <c r="GPN187" s="34"/>
      <c r="GPO187" s="34"/>
      <c r="GPP187" s="34"/>
      <c r="GPQ187" s="34"/>
      <c r="GPR187" s="34"/>
      <c r="GPS187" s="34"/>
      <c r="GPT187" s="34"/>
      <c r="GPU187" s="34"/>
      <c r="GPV187" s="34"/>
      <c r="GPW187" s="34"/>
      <c r="GPX187" s="34"/>
      <c r="GPY187" s="34"/>
      <c r="GPZ187" s="34"/>
      <c r="GQA187" s="34"/>
      <c r="GQB187" s="34"/>
      <c r="GQC187" s="34"/>
      <c r="GQD187" s="34"/>
      <c r="GQE187" s="34"/>
      <c r="GQF187" s="34"/>
      <c r="GQG187" s="34"/>
      <c r="GQH187" s="34"/>
      <c r="GQI187" s="34"/>
      <c r="GQJ187" s="34"/>
      <c r="GQK187" s="34"/>
      <c r="GQL187" s="34"/>
      <c r="GQM187" s="34"/>
      <c r="GQN187" s="34"/>
      <c r="GQO187" s="34"/>
      <c r="GQP187" s="34"/>
      <c r="GQQ187" s="34"/>
      <c r="GQR187" s="34"/>
      <c r="GQS187" s="34"/>
      <c r="GQT187" s="34"/>
      <c r="GQU187" s="34"/>
      <c r="GQV187" s="34"/>
      <c r="GQW187" s="34"/>
      <c r="GQX187" s="34"/>
      <c r="GQY187" s="34"/>
      <c r="GQZ187" s="34"/>
      <c r="GRA187" s="34"/>
      <c r="GRB187" s="34"/>
      <c r="GRC187" s="34"/>
      <c r="GRD187" s="34"/>
      <c r="GRE187" s="34"/>
      <c r="GRF187" s="34"/>
      <c r="GRG187" s="34"/>
      <c r="GRH187" s="34"/>
      <c r="GRI187" s="34"/>
      <c r="GRJ187" s="34"/>
      <c r="GRK187" s="34"/>
      <c r="GRL187" s="34"/>
      <c r="GRM187" s="34"/>
      <c r="GRN187" s="34"/>
      <c r="GRO187" s="34"/>
      <c r="GRP187" s="34"/>
      <c r="GRQ187" s="34"/>
      <c r="GRR187" s="34"/>
      <c r="GRS187" s="34"/>
      <c r="GRT187" s="34"/>
      <c r="GRU187" s="34"/>
      <c r="GRV187" s="34"/>
      <c r="GRW187" s="34"/>
      <c r="GRX187" s="34"/>
      <c r="GRY187" s="34"/>
      <c r="GRZ187" s="34"/>
      <c r="GSA187" s="34"/>
      <c r="GSB187" s="34"/>
      <c r="GSC187" s="34"/>
      <c r="GSD187" s="34"/>
      <c r="GSE187" s="34"/>
      <c r="GSF187" s="34"/>
      <c r="GSG187" s="34"/>
      <c r="GSH187" s="34"/>
      <c r="GSI187" s="34"/>
      <c r="GSJ187" s="34"/>
      <c r="GSK187" s="34"/>
      <c r="GSL187" s="34"/>
      <c r="GSM187" s="34"/>
      <c r="GSN187" s="34"/>
      <c r="GSO187" s="34"/>
      <c r="GSP187" s="34"/>
      <c r="GSQ187" s="34"/>
      <c r="GSR187" s="34"/>
      <c r="GSS187" s="34"/>
      <c r="GST187" s="34"/>
      <c r="GSU187" s="34"/>
      <c r="GSV187" s="34"/>
      <c r="GSW187" s="34"/>
      <c r="GSX187" s="34"/>
      <c r="GSY187" s="34"/>
      <c r="GSZ187" s="34"/>
      <c r="GTA187" s="34"/>
      <c r="GTB187" s="34"/>
      <c r="GTC187" s="34"/>
      <c r="GTD187" s="34"/>
      <c r="GTE187" s="34"/>
      <c r="GTF187" s="34"/>
      <c r="GTG187" s="34"/>
      <c r="GTH187" s="34"/>
      <c r="GTI187" s="34"/>
      <c r="GTJ187" s="34"/>
      <c r="GTK187" s="34"/>
      <c r="GTL187" s="34"/>
      <c r="GTM187" s="34"/>
      <c r="GTN187" s="34"/>
      <c r="GTO187" s="34"/>
      <c r="GTP187" s="34"/>
      <c r="GTQ187" s="34"/>
      <c r="GTR187" s="34"/>
      <c r="GTS187" s="34"/>
      <c r="GTT187" s="34"/>
      <c r="GTU187" s="34"/>
      <c r="GTV187" s="34"/>
      <c r="GTW187" s="34"/>
      <c r="GTX187" s="34"/>
      <c r="GTY187" s="34"/>
      <c r="GTZ187" s="34"/>
      <c r="GUA187" s="34"/>
      <c r="GUB187" s="34"/>
      <c r="GUC187" s="34"/>
      <c r="GUD187" s="34"/>
      <c r="GUE187" s="34"/>
      <c r="GUF187" s="34"/>
      <c r="GUG187" s="34"/>
      <c r="GUH187" s="34"/>
      <c r="GUI187" s="34"/>
      <c r="GUJ187" s="34"/>
      <c r="GUK187" s="34"/>
      <c r="GUL187" s="34"/>
      <c r="GUM187" s="34"/>
      <c r="GUN187" s="34"/>
      <c r="GUO187" s="34"/>
      <c r="GUP187" s="34"/>
      <c r="GUQ187" s="34"/>
      <c r="GUR187" s="34"/>
      <c r="GUS187" s="34"/>
      <c r="GUT187" s="34"/>
      <c r="GUU187" s="34"/>
      <c r="GUV187" s="34"/>
      <c r="GUW187" s="34"/>
      <c r="GUX187" s="34"/>
      <c r="GUY187" s="34"/>
      <c r="GUZ187" s="34"/>
      <c r="GVA187" s="34"/>
      <c r="GVB187" s="34"/>
      <c r="GVC187" s="34"/>
      <c r="GVD187" s="34"/>
      <c r="GVE187" s="34"/>
      <c r="GVF187" s="34"/>
      <c r="GVG187" s="34"/>
      <c r="GVH187" s="34"/>
      <c r="GVI187" s="34"/>
      <c r="GVJ187" s="34"/>
      <c r="GVK187" s="34"/>
      <c r="GVL187" s="34"/>
      <c r="GVM187" s="34"/>
      <c r="GVN187" s="34"/>
      <c r="GVO187" s="34"/>
      <c r="GVP187" s="34"/>
      <c r="GVQ187" s="34"/>
      <c r="GVR187" s="34"/>
      <c r="GVS187" s="34"/>
      <c r="GVT187" s="34"/>
      <c r="GVU187" s="34"/>
      <c r="GVV187" s="34"/>
      <c r="GVW187" s="34"/>
      <c r="GVX187" s="34"/>
      <c r="GVY187" s="34"/>
      <c r="GVZ187" s="34"/>
      <c r="GWA187" s="34"/>
      <c r="GWB187" s="34"/>
      <c r="GWC187" s="34"/>
      <c r="GWD187" s="34"/>
      <c r="GWE187" s="34"/>
      <c r="GWF187" s="34"/>
      <c r="GWG187" s="34"/>
      <c r="GWH187" s="34"/>
      <c r="GWI187" s="34"/>
      <c r="GWJ187" s="34"/>
      <c r="GWK187" s="34"/>
      <c r="GWL187" s="34"/>
      <c r="GWM187" s="34"/>
      <c r="GWN187" s="34"/>
      <c r="GWO187" s="34"/>
      <c r="GWP187" s="34"/>
      <c r="GWQ187" s="34"/>
      <c r="GWR187" s="34"/>
      <c r="GWS187" s="34"/>
      <c r="GWT187" s="34"/>
      <c r="GWU187" s="34"/>
      <c r="GWV187" s="34"/>
      <c r="GWW187" s="34"/>
      <c r="GWX187" s="34"/>
      <c r="GWY187" s="34"/>
      <c r="GWZ187" s="34"/>
      <c r="GXA187" s="34"/>
      <c r="GXB187" s="34"/>
      <c r="GXC187" s="34"/>
      <c r="GXD187" s="34"/>
      <c r="GXE187" s="34"/>
      <c r="GXF187" s="34"/>
      <c r="GXG187" s="34"/>
      <c r="GXH187" s="34"/>
      <c r="GXI187" s="34"/>
      <c r="GXJ187" s="34"/>
      <c r="GXK187" s="34"/>
      <c r="GXL187" s="34"/>
      <c r="GXM187" s="34"/>
      <c r="GXN187" s="34"/>
      <c r="GXO187" s="34"/>
      <c r="GXP187" s="34"/>
      <c r="GXQ187" s="34"/>
      <c r="GXR187" s="34"/>
      <c r="GXS187" s="34"/>
      <c r="GXT187" s="34"/>
      <c r="GXU187" s="34"/>
      <c r="GXV187" s="34"/>
      <c r="GXW187" s="34"/>
      <c r="GXX187" s="34"/>
      <c r="GXY187" s="34"/>
      <c r="GXZ187" s="34"/>
      <c r="GYA187" s="34"/>
      <c r="GYB187" s="34"/>
      <c r="GYC187" s="34"/>
      <c r="GYD187" s="34"/>
      <c r="GYE187" s="34"/>
      <c r="GYF187" s="34"/>
      <c r="GYG187" s="34"/>
      <c r="GYH187" s="34"/>
      <c r="GYI187" s="34"/>
      <c r="GYJ187" s="34"/>
      <c r="GYK187" s="34"/>
      <c r="GYL187" s="34"/>
      <c r="GYM187" s="34"/>
      <c r="GYN187" s="34"/>
      <c r="GYO187" s="34"/>
      <c r="GYP187" s="34"/>
      <c r="GYQ187" s="34"/>
      <c r="GYR187" s="34"/>
      <c r="GYS187" s="34"/>
      <c r="GYT187" s="34"/>
      <c r="GYU187" s="34"/>
      <c r="GYV187" s="34"/>
      <c r="GYW187" s="34"/>
      <c r="GYX187" s="34"/>
      <c r="GYY187" s="34"/>
      <c r="GYZ187" s="34"/>
      <c r="GZA187" s="34"/>
      <c r="GZB187" s="34"/>
      <c r="GZC187" s="34"/>
      <c r="GZD187" s="34"/>
      <c r="GZE187" s="34"/>
      <c r="GZF187" s="34"/>
      <c r="GZG187" s="34"/>
      <c r="GZH187" s="34"/>
      <c r="GZI187" s="34"/>
      <c r="GZJ187" s="34"/>
      <c r="GZK187" s="34"/>
      <c r="GZL187" s="34"/>
      <c r="GZM187" s="34"/>
      <c r="GZN187" s="34"/>
      <c r="GZO187" s="34"/>
      <c r="GZP187" s="34"/>
      <c r="GZQ187" s="34"/>
      <c r="GZR187" s="34"/>
      <c r="GZS187" s="34"/>
      <c r="GZT187" s="34"/>
      <c r="GZU187" s="34"/>
      <c r="GZV187" s="34"/>
      <c r="GZW187" s="34"/>
      <c r="GZX187" s="34"/>
      <c r="GZY187" s="34"/>
      <c r="GZZ187" s="34"/>
      <c r="HAA187" s="34"/>
      <c r="HAB187" s="34"/>
      <c r="HAC187" s="34"/>
      <c r="HAD187" s="34"/>
      <c r="HAE187" s="34"/>
      <c r="HAF187" s="34"/>
      <c r="HAG187" s="34"/>
      <c r="HAH187" s="34"/>
      <c r="HAI187" s="34"/>
      <c r="HAJ187" s="34"/>
      <c r="HAK187" s="34"/>
      <c r="HAL187" s="34"/>
      <c r="HAM187" s="34"/>
      <c r="HAN187" s="34"/>
      <c r="HAO187" s="34"/>
      <c r="HAP187" s="34"/>
      <c r="HAQ187" s="34"/>
      <c r="HAR187" s="34"/>
      <c r="HAS187" s="34"/>
      <c r="HAT187" s="34"/>
      <c r="HAU187" s="34"/>
      <c r="HAV187" s="34"/>
      <c r="HAW187" s="34"/>
      <c r="HAX187" s="34"/>
      <c r="HAY187" s="34"/>
      <c r="HAZ187" s="34"/>
      <c r="HBA187" s="34"/>
      <c r="HBB187" s="34"/>
      <c r="HBC187" s="34"/>
      <c r="HBD187" s="34"/>
      <c r="HBE187" s="34"/>
      <c r="HBF187" s="34"/>
      <c r="HBG187" s="34"/>
      <c r="HBH187" s="34"/>
      <c r="HBI187" s="34"/>
      <c r="HBJ187" s="34"/>
      <c r="HBK187" s="34"/>
      <c r="HBL187" s="34"/>
      <c r="HBM187" s="34"/>
      <c r="HBN187" s="34"/>
      <c r="HBO187" s="34"/>
      <c r="HBP187" s="34"/>
      <c r="HBQ187" s="34"/>
      <c r="HBR187" s="34"/>
      <c r="HBS187" s="34"/>
      <c r="HBT187" s="34"/>
      <c r="HBU187" s="34"/>
      <c r="HBV187" s="34"/>
      <c r="HBW187" s="34"/>
      <c r="HBX187" s="34"/>
      <c r="HBY187" s="34"/>
      <c r="HBZ187" s="34"/>
      <c r="HCA187" s="34"/>
      <c r="HCB187" s="34"/>
      <c r="HCC187" s="34"/>
      <c r="HCD187" s="34"/>
      <c r="HCE187" s="34"/>
      <c r="HCF187" s="34"/>
      <c r="HCG187" s="34"/>
      <c r="HCH187" s="34"/>
      <c r="HCI187" s="34"/>
      <c r="HCJ187" s="34"/>
      <c r="HCK187" s="34"/>
      <c r="HCL187" s="34"/>
      <c r="HCM187" s="34"/>
      <c r="HCN187" s="34"/>
      <c r="HCO187" s="34"/>
      <c r="HCP187" s="34"/>
      <c r="HCQ187" s="34"/>
      <c r="HCR187" s="34"/>
      <c r="HCS187" s="34"/>
      <c r="HCT187" s="34"/>
      <c r="HCU187" s="34"/>
      <c r="HCV187" s="34"/>
      <c r="HCW187" s="34"/>
      <c r="HCX187" s="34"/>
      <c r="HCY187" s="34"/>
      <c r="HCZ187" s="34"/>
      <c r="HDA187" s="34"/>
      <c r="HDB187" s="34"/>
      <c r="HDC187" s="34"/>
      <c r="HDD187" s="34"/>
      <c r="HDE187" s="34"/>
      <c r="HDF187" s="34"/>
      <c r="HDG187" s="34"/>
      <c r="HDH187" s="34"/>
      <c r="HDI187" s="34"/>
      <c r="HDJ187" s="34"/>
      <c r="HDK187" s="34"/>
      <c r="HDL187" s="34"/>
      <c r="HDM187" s="34"/>
      <c r="HDN187" s="34"/>
      <c r="HDO187" s="34"/>
      <c r="HDP187" s="34"/>
      <c r="HDQ187" s="34"/>
      <c r="HDR187" s="34"/>
      <c r="HDS187" s="34"/>
      <c r="HDT187" s="34"/>
      <c r="HDU187" s="34"/>
      <c r="HDV187" s="34"/>
      <c r="HDW187" s="34"/>
      <c r="HDX187" s="34"/>
      <c r="HDY187" s="34"/>
      <c r="HDZ187" s="34"/>
      <c r="HEA187" s="34"/>
      <c r="HEB187" s="34"/>
      <c r="HEC187" s="34"/>
      <c r="HED187" s="34"/>
      <c r="HEE187" s="34"/>
      <c r="HEF187" s="34"/>
      <c r="HEG187" s="34"/>
      <c r="HEH187" s="34"/>
      <c r="HEI187" s="34"/>
      <c r="HEJ187" s="34"/>
      <c r="HEK187" s="34"/>
      <c r="HEL187" s="34"/>
      <c r="HEM187" s="34"/>
      <c r="HEN187" s="34"/>
      <c r="HEO187" s="34"/>
      <c r="HEP187" s="34"/>
      <c r="HEQ187" s="34"/>
      <c r="HER187" s="34"/>
      <c r="HES187" s="34"/>
      <c r="HET187" s="34"/>
      <c r="HEU187" s="34"/>
      <c r="HEV187" s="34"/>
      <c r="HEW187" s="34"/>
      <c r="HEX187" s="34"/>
      <c r="HEY187" s="34"/>
      <c r="HEZ187" s="34"/>
      <c r="HFA187" s="34"/>
      <c r="HFB187" s="34"/>
      <c r="HFC187" s="34"/>
      <c r="HFD187" s="34"/>
      <c r="HFE187" s="34"/>
      <c r="HFF187" s="34"/>
      <c r="HFG187" s="34"/>
      <c r="HFH187" s="34"/>
      <c r="HFI187" s="34"/>
      <c r="HFJ187" s="34"/>
      <c r="HFK187" s="34"/>
      <c r="HFL187" s="34"/>
      <c r="HFM187" s="34"/>
      <c r="HFN187" s="34"/>
      <c r="HFO187" s="34"/>
      <c r="HFP187" s="34"/>
      <c r="HFQ187" s="34"/>
      <c r="HFR187" s="34"/>
      <c r="HFS187" s="34"/>
      <c r="HFT187" s="34"/>
      <c r="HFU187" s="34"/>
      <c r="HFV187" s="34"/>
      <c r="HFW187" s="34"/>
      <c r="HFX187" s="34"/>
      <c r="HFY187" s="34"/>
      <c r="HFZ187" s="34"/>
      <c r="HGA187" s="34"/>
      <c r="HGB187" s="34"/>
      <c r="HGC187" s="34"/>
      <c r="HGD187" s="34"/>
      <c r="HGE187" s="34"/>
      <c r="HGF187" s="34"/>
      <c r="HGG187" s="34"/>
      <c r="HGH187" s="34"/>
      <c r="HGI187" s="34"/>
      <c r="HGJ187" s="34"/>
      <c r="HGK187" s="34"/>
      <c r="HGL187" s="34"/>
      <c r="HGM187" s="34"/>
      <c r="HGN187" s="34"/>
      <c r="HGO187" s="34"/>
      <c r="HGP187" s="34"/>
      <c r="HGQ187" s="34"/>
      <c r="HGR187" s="34"/>
      <c r="HGS187" s="34"/>
      <c r="HGT187" s="34"/>
      <c r="HGU187" s="34"/>
      <c r="HGV187" s="34"/>
      <c r="HGW187" s="34"/>
      <c r="HGX187" s="34"/>
      <c r="HGY187" s="34"/>
      <c r="HGZ187" s="34"/>
      <c r="HHA187" s="34"/>
      <c r="HHB187" s="34"/>
      <c r="HHC187" s="34"/>
      <c r="HHD187" s="34"/>
      <c r="HHE187" s="34"/>
      <c r="HHF187" s="34"/>
      <c r="HHG187" s="34"/>
      <c r="HHH187" s="34"/>
      <c r="HHI187" s="34"/>
      <c r="HHJ187" s="34"/>
      <c r="HHK187" s="34"/>
      <c r="HHL187" s="34"/>
      <c r="HHM187" s="34"/>
      <c r="HHN187" s="34"/>
      <c r="HHO187" s="34"/>
      <c r="HHP187" s="34"/>
      <c r="HHQ187" s="34"/>
      <c r="HHR187" s="34"/>
      <c r="HHS187" s="34"/>
      <c r="HHT187" s="34"/>
      <c r="HHU187" s="34"/>
      <c r="HHV187" s="34"/>
      <c r="HHW187" s="34"/>
      <c r="HHX187" s="34"/>
      <c r="HHY187" s="34"/>
      <c r="HHZ187" s="34"/>
      <c r="HIA187" s="34"/>
      <c r="HIB187" s="34"/>
      <c r="HIC187" s="34"/>
      <c r="HID187" s="34"/>
      <c r="HIE187" s="34"/>
      <c r="HIF187" s="34"/>
      <c r="HIG187" s="34"/>
      <c r="HIH187" s="34"/>
      <c r="HII187" s="34"/>
      <c r="HIJ187" s="34"/>
      <c r="HIK187" s="34"/>
      <c r="HIL187" s="34"/>
      <c r="HIM187" s="34"/>
      <c r="HIN187" s="34"/>
      <c r="HIO187" s="34"/>
      <c r="HIP187" s="34"/>
      <c r="HIQ187" s="34"/>
      <c r="HIR187" s="34"/>
      <c r="HIS187" s="34"/>
      <c r="HIT187" s="34"/>
      <c r="HIU187" s="34"/>
      <c r="HIV187" s="34"/>
      <c r="HIW187" s="34"/>
      <c r="HIX187" s="34"/>
      <c r="HIY187" s="34"/>
      <c r="HIZ187" s="34"/>
      <c r="HJA187" s="34"/>
      <c r="HJB187" s="34"/>
      <c r="HJC187" s="34"/>
      <c r="HJD187" s="34"/>
      <c r="HJE187" s="34"/>
      <c r="HJF187" s="34"/>
      <c r="HJG187" s="34"/>
      <c r="HJH187" s="34"/>
      <c r="HJI187" s="34"/>
      <c r="HJJ187" s="34"/>
      <c r="HJK187" s="34"/>
      <c r="HJL187" s="34"/>
      <c r="HJM187" s="34"/>
      <c r="HJN187" s="34"/>
      <c r="HJO187" s="34"/>
      <c r="HJP187" s="34"/>
      <c r="HJQ187" s="34"/>
      <c r="HJR187" s="34"/>
      <c r="HJS187" s="34"/>
      <c r="HJT187" s="34"/>
      <c r="HJU187" s="34"/>
      <c r="HJV187" s="34"/>
      <c r="HJW187" s="34"/>
      <c r="HJX187" s="34"/>
      <c r="HJY187" s="34"/>
      <c r="HJZ187" s="34"/>
      <c r="HKA187" s="34"/>
      <c r="HKB187" s="34"/>
      <c r="HKC187" s="34"/>
      <c r="HKD187" s="34"/>
      <c r="HKE187" s="34"/>
      <c r="HKF187" s="34"/>
      <c r="HKG187" s="34"/>
      <c r="HKH187" s="34"/>
      <c r="HKI187" s="34"/>
      <c r="HKJ187" s="34"/>
      <c r="HKK187" s="34"/>
      <c r="HKL187" s="34"/>
      <c r="HKM187" s="34"/>
      <c r="HKN187" s="34"/>
      <c r="HKO187" s="34"/>
      <c r="HKP187" s="34"/>
      <c r="HKQ187" s="34"/>
      <c r="HKR187" s="34"/>
      <c r="HKS187" s="34"/>
      <c r="HKT187" s="34"/>
      <c r="HKU187" s="34"/>
      <c r="HKV187" s="34"/>
      <c r="HKW187" s="34"/>
      <c r="HKX187" s="34"/>
      <c r="HKY187" s="34"/>
      <c r="HKZ187" s="34"/>
      <c r="HLA187" s="34"/>
      <c r="HLB187" s="34"/>
      <c r="HLC187" s="34"/>
      <c r="HLD187" s="34"/>
      <c r="HLE187" s="34"/>
      <c r="HLF187" s="34"/>
      <c r="HLG187" s="34"/>
      <c r="HLH187" s="34"/>
      <c r="HLI187" s="34"/>
      <c r="HLJ187" s="34"/>
      <c r="HLK187" s="34"/>
      <c r="HLL187" s="34"/>
      <c r="HLM187" s="34"/>
      <c r="HLN187" s="34"/>
      <c r="HLO187" s="34"/>
      <c r="HLP187" s="34"/>
      <c r="HLQ187" s="34"/>
      <c r="HLR187" s="34"/>
      <c r="HLS187" s="34"/>
      <c r="HLT187" s="34"/>
      <c r="HLU187" s="34"/>
      <c r="HLV187" s="34"/>
      <c r="HLW187" s="34"/>
      <c r="HLX187" s="34"/>
      <c r="HLY187" s="34"/>
      <c r="HLZ187" s="34"/>
      <c r="HMA187" s="34"/>
      <c r="HMB187" s="34"/>
      <c r="HMC187" s="34"/>
      <c r="HMD187" s="34"/>
      <c r="HME187" s="34"/>
      <c r="HMF187" s="34"/>
      <c r="HMG187" s="34"/>
      <c r="HMH187" s="34"/>
      <c r="HMI187" s="34"/>
      <c r="HMJ187" s="34"/>
      <c r="HMK187" s="34"/>
      <c r="HML187" s="34"/>
      <c r="HMM187" s="34"/>
      <c r="HMN187" s="34"/>
      <c r="HMO187" s="34"/>
      <c r="HMP187" s="34"/>
      <c r="HMQ187" s="34"/>
      <c r="HMR187" s="34"/>
      <c r="HMS187" s="34"/>
      <c r="HMT187" s="34"/>
      <c r="HMU187" s="34"/>
      <c r="HMV187" s="34"/>
      <c r="HMW187" s="34"/>
      <c r="HMX187" s="34"/>
      <c r="HMY187" s="34"/>
      <c r="HMZ187" s="34"/>
      <c r="HNA187" s="34"/>
      <c r="HNB187" s="34"/>
      <c r="HNC187" s="34"/>
      <c r="HND187" s="34"/>
      <c r="HNE187" s="34"/>
      <c r="HNF187" s="34"/>
      <c r="HNG187" s="34"/>
      <c r="HNH187" s="34"/>
      <c r="HNI187" s="34"/>
      <c r="HNJ187" s="34"/>
      <c r="HNK187" s="34"/>
      <c r="HNL187" s="34"/>
      <c r="HNM187" s="34"/>
      <c r="HNN187" s="34"/>
      <c r="HNO187" s="34"/>
      <c r="HNP187" s="34"/>
      <c r="HNQ187" s="34"/>
      <c r="HNR187" s="34"/>
      <c r="HNS187" s="34"/>
      <c r="HNT187" s="34"/>
      <c r="HNU187" s="34"/>
      <c r="HNV187" s="34"/>
      <c r="HNW187" s="34"/>
      <c r="HNX187" s="34"/>
      <c r="HNY187" s="34"/>
      <c r="HNZ187" s="34"/>
      <c r="HOA187" s="34"/>
      <c r="HOB187" s="34"/>
      <c r="HOC187" s="34"/>
      <c r="HOD187" s="34"/>
      <c r="HOE187" s="34"/>
      <c r="HOF187" s="34"/>
      <c r="HOG187" s="34"/>
      <c r="HOH187" s="34"/>
      <c r="HOI187" s="34"/>
      <c r="HOJ187" s="34"/>
      <c r="HOK187" s="34"/>
      <c r="HOL187" s="34"/>
      <c r="HOM187" s="34"/>
      <c r="HON187" s="34"/>
      <c r="HOO187" s="34"/>
      <c r="HOP187" s="34"/>
      <c r="HOQ187" s="34"/>
      <c r="HOR187" s="34"/>
      <c r="HOS187" s="34"/>
      <c r="HOT187" s="34"/>
      <c r="HOU187" s="34"/>
      <c r="HOV187" s="34"/>
      <c r="HOW187" s="34"/>
      <c r="HOX187" s="34"/>
      <c r="HOY187" s="34"/>
      <c r="HOZ187" s="34"/>
      <c r="HPA187" s="34"/>
      <c r="HPB187" s="34"/>
      <c r="HPC187" s="34"/>
      <c r="HPD187" s="34"/>
      <c r="HPE187" s="34"/>
      <c r="HPF187" s="34"/>
      <c r="HPG187" s="34"/>
      <c r="HPH187" s="34"/>
      <c r="HPI187" s="34"/>
      <c r="HPJ187" s="34"/>
      <c r="HPK187" s="34"/>
      <c r="HPL187" s="34"/>
      <c r="HPM187" s="34"/>
      <c r="HPN187" s="34"/>
      <c r="HPO187" s="34"/>
      <c r="HPP187" s="34"/>
      <c r="HPQ187" s="34"/>
      <c r="HPR187" s="34"/>
      <c r="HPS187" s="34"/>
      <c r="HPT187" s="34"/>
      <c r="HPU187" s="34"/>
      <c r="HPV187" s="34"/>
      <c r="HPW187" s="34"/>
      <c r="HPX187" s="34"/>
      <c r="HPY187" s="34"/>
      <c r="HPZ187" s="34"/>
      <c r="HQA187" s="34"/>
      <c r="HQB187" s="34"/>
      <c r="HQC187" s="34"/>
      <c r="HQD187" s="34"/>
      <c r="HQE187" s="34"/>
      <c r="HQF187" s="34"/>
      <c r="HQG187" s="34"/>
      <c r="HQH187" s="34"/>
      <c r="HQI187" s="34"/>
      <c r="HQJ187" s="34"/>
      <c r="HQK187" s="34"/>
      <c r="HQL187" s="34"/>
      <c r="HQM187" s="34"/>
      <c r="HQN187" s="34"/>
      <c r="HQO187" s="34"/>
      <c r="HQP187" s="34"/>
      <c r="HQQ187" s="34"/>
      <c r="HQR187" s="34"/>
      <c r="HQS187" s="34"/>
      <c r="HQT187" s="34"/>
      <c r="HQU187" s="34"/>
      <c r="HQV187" s="34"/>
      <c r="HQW187" s="34"/>
      <c r="HQX187" s="34"/>
      <c r="HQY187" s="34"/>
      <c r="HQZ187" s="34"/>
      <c r="HRA187" s="34"/>
      <c r="HRB187" s="34"/>
      <c r="HRC187" s="34"/>
      <c r="HRD187" s="34"/>
      <c r="HRE187" s="34"/>
      <c r="HRF187" s="34"/>
      <c r="HRG187" s="34"/>
      <c r="HRH187" s="34"/>
      <c r="HRI187" s="34"/>
      <c r="HRJ187" s="34"/>
      <c r="HRK187" s="34"/>
      <c r="HRL187" s="34"/>
      <c r="HRM187" s="34"/>
      <c r="HRN187" s="34"/>
      <c r="HRO187" s="34"/>
      <c r="HRP187" s="34"/>
      <c r="HRQ187" s="34"/>
      <c r="HRR187" s="34"/>
      <c r="HRS187" s="34"/>
      <c r="HRT187" s="34"/>
      <c r="HRU187" s="34"/>
      <c r="HRV187" s="34"/>
      <c r="HRW187" s="34"/>
      <c r="HRX187" s="34"/>
      <c r="HRY187" s="34"/>
      <c r="HRZ187" s="34"/>
      <c r="HSA187" s="34"/>
      <c r="HSB187" s="34"/>
      <c r="HSC187" s="34"/>
      <c r="HSD187" s="34"/>
      <c r="HSE187" s="34"/>
      <c r="HSF187" s="34"/>
      <c r="HSG187" s="34"/>
      <c r="HSH187" s="34"/>
      <c r="HSI187" s="34"/>
      <c r="HSJ187" s="34"/>
      <c r="HSK187" s="34"/>
      <c r="HSL187" s="34"/>
      <c r="HSM187" s="34"/>
      <c r="HSN187" s="34"/>
      <c r="HSO187" s="34"/>
      <c r="HSP187" s="34"/>
      <c r="HSQ187" s="34"/>
      <c r="HSR187" s="34"/>
      <c r="HSS187" s="34"/>
      <c r="HST187" s="34"/>
      <c r="HSU187" s="34"/>
      <c r="HSV187" s="34"/>
      <c r="HSW187" s="34"/>
      <c r="HSX187" s="34"/>
      <c r="HSY187" s="34"/>
      <c r="HSZ187" s="34"/>
      <c r="HTA187" s="34"/>
      <c r="HTB187" s="34"/>
      <c r="HTC187" s="34"/>
      <c r="HTD187" s="34"/>
      <c r="HTE187" s="34"/>
      <c r="HTF187" s="34"/>
      <c r="HTG187" s="34"/>
      <c r="HTH187" s="34"/>
      <c r="HTI187" s="34"/>
      <c r="HTJ187" s="34"/>
      <c r="HTK187" s="34"/>
      <c r="HTL187" s="34"/>
      <c r="HTM187" s="34"/>
      <c r="HTN187" s="34"/>
      <c r="HTO187" s="34"/>
      <c r="HTP187" s="34"/>
      <c r="HTQ187" s="34"/>
      <c r="HTR187" s="34"/>
      <c r="HTS187" s="34"/>
      <c r="HTT187" s="34"/>
      <c r="HTU187" s="34"/>
      <c r="HTV187" s="34"/>
      <c r="HTW187" s="34"/>
      <c r="HTX187" s="34"/>
      <c r="HTY187" s="34"/>
      <c r="HTZ187" s="34"/>
      <c r="HUA187" s="34"/>
      <c r="HUB187" s="34"/>
      <c r="HUC187" s="34"/>
      <c r="HUD187" s="34"/>
      <c r="HUE187" s="34"/>
      <c r="HUF187" s="34"/>
      <c r="HUG187" s="34"/>
      <c r="HUH187" s="34"/>
      <c r="HUI187" s="34"/>
      <c r="HUJ187" s="34"/>
      <c r="HUK187" s="34"/>
      <c r="HUL187" s="34"/>
      <c r="HUM187" s="34"/>
      <c r="HUN187" s="34"/>
      <c r="HUO187" s="34"/>
      <c r="HUP187" s="34"/>
      <c r="HUQ187" s="34"/>
      <c r="HUR187" s="34"/>
      <c r="HUS187" s="34"/>
      <c r="HUT187" s="34"/>
      <c r="HUU187" s="34"/>
      <c r="HUV187" s="34"/>
      <c r="HUW187" s="34"/>
      <c r="HUX187" s="34"/>
      <c r="HUY187" s="34"/>
      <c r="HUZ187" s="34"/>
      <c r="HVA187" s="34"/>
      <c r="HVB187" s="34"/>
      <c r="HVC187" s="34"/>
      <c r="HVD187" s="34"/>
      <c r="HVE187" s="34"/>
      <c r="HVF187" s="34"/>
      <c r="HVG187" s="34"/>
      <c r="HVH187" s="34"/>
      <c r="HVI187" s="34"/>
      <c r="HVJ187" s="34"/>
      <c r="HVK187" s="34"/>
      <c r="HVL187" s="34"/>
      <c r="HVM187" s="34"/>
      <c r="HVN187" s="34"/>
      <c r="HVO187" s="34"/>
      <c r="HVP187" s="34"/>
      <c r="HVQ187" s="34"/>
      <c r="HVR187" s="34"/>
      <c r="HVS187" s="34"/>
      <c r="HVT187" s="34"/>
      <c r="HVU187" s="34"/>
      <c r="HVV187" s="34"/>
      <c r="HVW187" s="34"/>
      <c r="HVX187" s="34"/>
      <c r="HVY187" s="34"/>
      <c r="HVZ187" s="34"/>
      <c r="HWA187" s="34"/>
      <c r="HWB187" s="34"/>
      <c r="HWC187" s="34"/>
      <c r="HWD187" s="34"/>
      <c r="HWE187" s="34"/>
      <c r="HWF187" s="34"/>
      <c r="HWG187" s="34"/>
      <c r="HWH187" s="34"/>
      <c r="HWI187" s="34"/>
      <c r="HWJ187" s="34"/>
      <c r="HWK187" s="34"/>
      <c r="HWL187" s="34"/>
      <c r="HWM187" s="34"/>
      <c r="HWN187" s="34"/>
      <c r="HWO187" s="34"/>
      <c r="HWP187" s="34"/>
      <c r="HWQ187" s="34"/>
      <c r="HWR187" s="34"/>
      <c r="HWS187" s="34"/>
      <c r="HWT187" s="34"/>
      <c r="HWU187" s="34"/>
      <c r="HWV187" s="34"/>
      <c r="HWW187" s="34"/>
      <c r="HWX187" s="34"/>
      <c r="HWY187" s="34"/>
      <c r="HWZ187" s="34"/>
      <c r="HXA187" s="34"/>
      <c r="HXB187" s="34"/>
      <c r="HXC187" s="34"/>
      <c r="HXD187" s="34"/>
      <c r="HXE187" s="34"/>
      <c r="HXF187" s="34"/>
      <c r="HXG187" s="34"/>
      <c r="HXH187" s="34"/>
      <c r="HXI187" s="34"/>
      <c r="HXJ187" s="34"/>
      <c r="HXK187" s="34"/>
      <c r="HXL187" s="34"/>
      <c r="HXM187" s="34"/>
      <c r="HXN187" s="34"/>
      <c r="HXO187" s="34"/>
      <c r="HXP187" s="34"/>
      <c r="HXQ187" s="34"/>
      <c r="HXR187" s="34"/>
      <c r="HXS187" s="34"/>
      <c r="HXT187" s="34"/>
      <c r="HXU187" s="34"/>
      <c r="HXV187" s="34"/>
      <c r="HXW187" s="34"/>
      <c r="HXX187" s="34"/>
      <c r="HXY187" s="34"/>
      <c r="HXZ187" s="34"/>
      <c r="HYA187" s="34"/>
      <c r="HYB187" s="34"/>
      <c r="HYC187" s="34"/>
      <c r="HYD187" s="34"/>
      <c r="HYE187" s="34"/>
      <c r="HYF187" s="34"/>
      <c r="HYG187" s="34"/>
      <c r="HYH187" s="34"/>
      <c r="HYI187" s="34"/>
      <c r="HYJ187" s="34"/>
      <c r="HYK187" s="34"/>
      <c r="HYL187" s="34"/>
      <c r="HYM187" s="34"/>
      <c r="HYN187" s="34"/>
      <c r="HYO187" s="34"/>
      <c r="HYP187" s="34"/>
      <c r="HYQ187" s="34"/>
      <c r="HYR187" s="34"/>
      <c r="HYS187" s="34"/>
      <c r="HYT187" s="34"/>
      <c r="HYU187" s="34"/>
      <c r="HYV187" s="34"/>
      <c r="HYW187" s="34"/>
      <c r="HYX187" s="34"/>
      <c r="HYY187" s="34"/>
      <c r="HYZ187" s="34"/>
      <c r="HZA187" s="34"/>
      <c r="HZB187" s="34"/>
      <c r="HZC187" s="34"/>
      <c r="HZD187" s="34"/>
      <c r="HZE187" s="34"/>
      <c r="HZF187" s="34"/>
      <c r="HZG187" s="34"/>
      <c r="HZH187" s="34"/>
      <c r="HZI187" s="34"/>
      <c r="HZJ187" s="34"/>
      <c r="HZK187" s="34"/>
      <c r="HZL187" s="34"/>
      <c r="HZM187" s="34"/>
      <c r="HZN187" s="34"/>
      <c r="HZO187" s="34"/>
      <c r="HZP187" s="34"/>
      <c r="HZQ187" s="34"/>
      <c r="HZR187" s="34"/>
      <c r="HZS187" s="34"/>
      <c r="HZT187" s="34"/>
      <c r="HZU187" s="34"/>
      <c r="HZV187" s="34"/>
      <c r="HZW187" s="34"/>
      <c r="HZX187" s="34"/>
      <c r="HZY187" s="34"/>
      <c r="HZZ187" s="34"/>
      <c r="IAA187" s="34"/>
      <c r="IAB187" s="34"/>
      <c r="IAC187" s="34"/>
      <c r="IAD187" s="34"/>
      <c r="IAE187" s="34"/>
      <c r="IAF187" s="34"/>
      <c r="IAG187" s="34"/>
      <c r="IAH187" s="34"/>
      <c r="IAI187" s="34"/>
      <c r="IAJ187" s="34"/>
      <c r="IAK187" s="34"/>
      <c r="IAL187" s="34"/>
      <c r="IAM187" s="34"/>
      <c r="IAN187" s="34"/>
      <c r="IAO187" s="34"/>
      <c r="IAP187" s="34"/>
      <c r="IAQ187" s="34"/>
      <c r="IAR187" s="34"/>
      <c r="IAS187" s="34"/>
      <c r="IAT187" s="34"/>
      <c r="IAU187" s="34"/>
      <c r="IAV187" s="34"/>
      <c r="IAW187" s="34"/>
      <c r="IAX187" s="34"/>
      <c r="IAY187" s="34"/>
      <c r="IAZ187" s="34"/>
      <c r="IBA187" s="34"/>
      <c r="IBB187" s="34"/>
      <c r="IBC187" s="34"/>
      <c r="IBD187" s="34"/>
      <c r="IBE187" s="34"/>
      <c r="IBF187" s="34"/>
      <c r="IBG187" s="34"/>
      <c r="IBH187" s="34"/>
      <c r="IBI187" s="34"/>
      <c r="IBJ187" s="34"/>
      <c r="IBK187" s="34"/>
      <c r="IBL187" s="34"/>
      <c r="IBM187" s="34"/>
      <c r="IBN187" s="34"/>
      <c r="IBO187" s="34"/>
      <c r="IBP187" s="34"/>
      <c r="IBQ187" s="34"/>
      <c r="IBR187" s="34"/>
      <c r="IBS187" s="34"/>
      <c r="IBT187" s="34"/>
      <c r="IBU187" s="34"/>
      <c r="IBV187" s="34"/>
      <c r="IBW187" s="34"/>
      <c r="IBX187" s="34"/>
      <c r="IBY187" s="34"/>
      <c r="IBZ187" s="34"/>
      <c r="ICA187" s="34"/>
      <c r="ICB187" s="34"/>
      <c r="ICC187" s="34"/>
      <c r="ICD187" s="34"/>
      <c r="ICE187" s="34"/>
      <c r="ICF187" s="34"/>
      <c r="ICG187" s="34"/>
      <c r="ICH187" s="34"/>
      <c r="ICI187" s="34"/>
      <c r="ICJ187" s="34"/>
      <c r="ICK187" s="34"/>
      <c r="ICL187" s="34"/>
      <c r="ICM187" s="34"/>
      <c r="ICN187" s="34"/>
      <c r="ICO187" s="34"/>
      <c r="ICP187" s="34"/>
      <c r="ICQ187" s="34"/>
      <c r="ICR187" s="34"/>
      <c r="ICS187" s="34"/>
      <c r="ICT187" s="34"/>
      <c r="ICU187" s="34"/>
      <c r="ICV187" s="34"/>
      <c r="ICW187" s="34"/>
      <c r="ICX187" s="34"/>
      <c r="ICY187" s="34"/>
      <c r="ICZ187" s="34"/>
      <c r="IDA187" s="34"/>
      <c r="IDB187" s="34"/>
      <c r="IDC187" s="34"/>
      <c r="IDD187" s="34"/>
      <c r="IDE187" s="34"/>
      <c r="IDF187" s="34"/>
      <c r="IDG187" s="34"/>
      <c r="IDH187" s="34"/>
      <c r="IDI187" s="34"/>
      <c r="IDJ187" s="34"/>
      <c r="IDK187" s="34"/>
      <c r="IDL187" s="34"/>
      <c r="IDM187" s="34"/>
      <c r="IDN187" s="34"/>
      <c r="IDO187" s="34"/>
      <c r="IDP187" s="34"/>
      <c r="IDQ187" s="34"/>
      <c r="IDR187" s="34"/>
      <c r="IDS187" s="34"/>
      <c r="IDT187" s="34"/>
      <c r="IDU187" s="34"/>
      <c r="IDV187" s="34"/>
      <c r="IDW187" s="34"/>
      <c r="IDX187" s="34"/>
      <c r="IDY187" s="34"/>
      <c r="IDZ187" s="34"/>
      <c r="IEA187" s="34"/>
      <c r="IEB187" s="34"/>
      <c r="IEC187" s="34"/>
      <c r="IED187" s="34"/>
      <c r="IEE187" s="34"/>
      <c r="IEF187" s="34"/>
      <c r="IEG187" s="34"/>
      <c r="IEH187" s="34"/>
      <c r="IEI187" s="34"/>
      <c r="IEJ187" s="34"/>
      <c r="IEK187" s="34"/>
      <c r="IEL187" s="34"/>
      <c r="IEM187" s="34"/>
      <c r="IEN187" s="34"/>
      <c r="IEO187" s="34"/>
      <c r="IEP187" s="34"/>
      <c r="IEQ187" s="34"/>
      <c r="IER187" s="34"/>
      <c r="IES187" s="34"/>
      <c r="IET187" s="34"/>
      <c r="IEU187" s="34"/>
      <c r="IEV187" s="34"/>
      <c r="IEW187" s="34"/>
      <c r="IEX187" s="34"/>
      <c r="IEY187" s="34"/>
      <c r="IEZ187" s="34"/>
      <c r="IFA187" s="34"/>
      <c r="IFB187" s="34"/>
      <c r="IFC187" s="34"/>
      <c r="IFD187" s="34"/>
      <c r="IFE187" s="34"/>
      <c r="IFF187" s="34"/>
      <c r="IFG187" s="34"/>
      <c r="IFH187" s="34"/>
      <c r="IFI187" s="34"/>
      <c r="IFJ187" s="34"/>
      <c r="IFK187" s="34"/>
      <c r="IFL187" s="34"/>
      <c r="IFM187" s="34"/>
      <c r="IFN187" s="34"/>
      <c r="IFO187" s="34"/>
      <c r="IFP187" s="34"/>
      <c r="IFQ187" s="34"/>
      <c r="IFR187" s="34"/>
      <c r="IFS187" s="34"/>
      <c r="IFT187" s="34"/>
      <c r="IFU187" s="34"/>
      <c r="IFV187" s="34"/>
      <c r="IFW187" s="34"/>
      <c r="IFX187" s="34"/>
      <c r="IFY187" s="34"/>
      <c r="IFZ187" s="34"/>
      <c r="IGA187" s="34"/>
      <c r="IGB187" s="34"/>
      <c r="IGC187" s="34"/>
      <c r="IGD187" s="34"/>
      <c r="IGE187" s="34"/>
      <c r="IGF187" s="34"/>
      <c r="IGG187" s="34"/>
      <c r="IGH187" s="34"/>
      <c r="IGI187" s="34"/>
      <c r="IGJ187" s="34"/>
      <c r="IGK187" s="34"/>
      <c r="IGL187" s="34"/>
      <c r="IGM187" s="34"/>
      <c r="IGN187" s="34"/>
      <c r="IGO187" s="34"/>
      <c r="IGP187" s="34"/>
      <c r="IGQ187" s="34"/>
      <c r="IGR187" s="34"/>
      <c r="IGS187" s="34"/>
      <c r="IGT187" s="34"/>
      <c r="IGU187" s="34"/>
      <c r="IGV187" s="34"/>
      <c r="IGW187" s="34"/>
      <c r="IGX187" s="34"/>
      <c r="IGY187" s="34"/>
      <c r="IGZ187" s="34"/>
      <c r="IHA187" s="34"/>
      <c r="IHB187" s="34"/>
      <c r="IHC187" s="34"/>
      <c r="IHD187" s="34"/>
      <c r="IHE187" s="34"/>
      <c r="IHF187" s="34"/>
      <c r="IHG187" s="34"/>
      <c r="IHH187" s="34"/>
      <c r="IHI187" s="34"/>
      <c r="IHJ187" s="34"/>
      <c r="IHK187" s="34"/>
      <c r="IHL187" s="34"/>
      <c r="IHM187" s="34"/>
      <c r="IHN187" s="34"/>
      <c r="IHO187" s="34"/>
      <c r="IHP187" s="34"/>
      <c r="IHQ187" s="34"/>
      <c r="IHR187" s="34"/>
      <c r="IHS187" s="34"/>
      <c r="IHT187" s="34"/>
      <c r="IHU187" s="34"/>
      <c r="IHV187" s="34"/>
      <c r="IHW187" s="34"/>
      <c r="IHX187" s="34"/>
      <c r="IHY187" s="34"/>
      <c r="IHZ187" s="34"/>
      <c r="IIA187" s="34"/>
      <c r="IIB187" s="34"/>
      <c r="IIC187" s="34"/>
      <c r="IID187" s="34"/>
      <c r="IIE187" s="34"/>
      <c r="IIF187" s="34"/>
      <c r="IIG187" s="34"/>
      <c r="IIH187" s="34"/>
      <c r="III187" s="34"/>
      <c r="IIJ187" s="34"/>
      <c r="IIK187" s="34"/>
      <c r="IIL187" s="34"/>
      <c r="IIM187" s="34"/>
      <c r="IIN187" s="34"/>
      <c r="IIO187" s="34"/>
      <c r="IIP187" s="34"/>
      <c r="IIQ187" s="34"/>
      <c r="IIR187" s="34"/>
      <c r="IIS187" s="34"/>
      <c r="IIT187" s="34"/>
      <c r="IIU187" s="34"/>
      <c r="IIV187" s="34"/>
      <c r="IIW187" s="34"/>
      <c r="IIX187" s="34"/>
      <c r="IIY187" s="34"/>
      <c r="IIZ187" s="34"/>
      <c r="IJA187" s="34"/>
      <c r="IJB187" s="34"/>
      <c r="IJC187" s="34"/>
      <c r="IJD187" s="34"/>
      <c r="IJE187" s="34"/>
      <c r="IJF187" s="34"/>
      <c r="IJG187" s="34"/>
      <c r="IJH187" s="34"/>
      <c r="IJI187" s="34"/>
      <c r="IJJ187" s="34"/>
      <c r="IJK187" s="34"/>
      <c r="IJL187" s="34"/>
      <c r="IJM187" s="34"/>
      <c r="IJN187" s="34"/>
      <c r="IJO187" s="34"/>
      <c r="IJP187" s="34"/>
      <c r="IJQ187" s="34"/>
      <c r="IJR187" s="34"/>
      <c r="IJS187" s="34"/>
      <c r="IJT187" s="34"/>
      <c r="IJU187" s="34"/>
      <c r="IJV187" s="34"/>
      <c r="IJW187" s="34"/>
      <c r="IJX187" s="34"/>
      <c r="IJY187" s="34"/>
      <c r="IJZ187" s="34"/>
      <c r="IKA187" s="34"/>
      <c r="IKB187" s="34"/>
      <c r="IKC187" s="34"/>
      <c r="IKD187" s="34"/>
      <c r="IKE187" s="34"/>
      <c r="IKF187" s="34"/>
      <c r="IKG187" s="34"/>
      <c r="IKH187" s="34"/>
      <c r="IKI187" s="34"/>
      <c r="IKJ187" s="34"/>
      <c r="IKK187" s="34"/>
      <c r="IKL187" s="34"/>
      <c r="IKM187" s="34"/>
      <c r="IKN187" s="34"/>
      <c r="IKO187" s="34"/>
      <c r="IKP187" s="34"/>
      <c r="IKQ187" s="34"/>
      <c r="IKR187" s="34"/>
      <c r="IKS187" s="34"/>
      <c r="IKT187" s="34"/>
      <c r="IKU187" s="34"/>
      <c r="IKV187" s="34"/>
      <c r="IKW187" s="34"/>
      <c r="IKX187" s="34"/>
      <c r="IKY187" s="34"/>
      <c r="IKZ187" s="34"/>
      <c r="ILA187" s="34"/>
      <c r="ILB187" s="34"/>
      <c r="ILC187" s="34"/>
      <c r="ILD187" s="34"/>
      <c r="ILE187" s="34"/>
      <c r="ILF187" s="34"/>
      <c r="ILG187" s="34"/>
      <c r="ILH187" s="34"/>
      <c r="ILI187" s="34"/>
      <c r="ILJ187" s="34"/>
      <c r="ILK187" s="34"/>
      <c r="ILL187" s="34"/>
      <c r="ILM187" s="34"/>
      <c r="ILN187" s="34"/>
      <c r="ILO187" s="34"/>
      <c r="ILP187" s="34"/>
      <c r="ILQ187" s="34"/>
      <c r="ILR187" s="34"/>
      <c r="ILS187" s="34"/>
      <c r="ILT187" s="34"/>
      <c r="ILU187" s="34"/>
      <c r="ILV187" s="34"/>
      <c r="ILW187" s="34"/>
      <c r="ILX187" s="34"/>
      <c r="ILY187" s="34"/>
      <c r="ILZ187" s="34"/>
      <c r="IMA187" s="34"/>
      <c r="IMB187" s="34"/>
      <c r="IMC187" s="34"/>
      <c r="IMD187" s="34"/>
      <c r="IME187" s="34"/>
      <c r="IMF187" s="34"/>
      <c r="IMG187" s="34"/>
      <c r="IMH187" s="34"/>
      <c r="IMI187" s="34"/>
      <c r="IMJ187" s="34"/>
      <c r="IMK187" s="34"/>
      <c r="IML187" s="34"/>
      <c r="IMM187" s="34"/>
      <c r="IMN187" s="34"/>
      <c r="IMO187" s="34"/>
      <c r="IMP187" s="34"/>
      <c r="IMQ187" s="34"/>
      <c r="IMR187" s="34"/>
      <c r="IMS187" s="34"/>
      <c r="IMT187" s="34"/>
      <c r="IMU187" s="34"/>
      <c r="IMV187" s="34"/>
      <c r="IMW187" s="34"/>
      <c r="IMX187" s="34"/>
      <c r="IMY187" s="34"/>
      <c r="IMZ187" s="34"/>
      <c r="INA187" s="34"/>
      <c r="INB187" s="34"/>
      <c r="INC187" s="34"/>
      <c r="IND187" s="34"/>
      <c r="INE187" s="34"/>
      <c r="INF187" s="34"/>
      <c r="ING187" s="34"/>
      <c r="INH187" s="34"/>
      <c r="INI187" s="34"/>
      <c r="INJ187" s="34"/>
      <c r="INK187" s="34"/>
      <c r="INL187" s="34"/>
      <c r="INM187" s="34"/>
      <c r="INN187" s="34"/>
      <c r="INO187" s="34"/>
      <c r="INP187" s="34"/>
      <c r="INQ187" s="34"/>
      <c r="INR187" s="34"/>
      <c r="INS187" s="34"/>
      <c r="INT187" s="34"/>
      <c r="INU187" s="34"/>
      <c r="INV187" s="34"/>
      <c r="INW187" s="34"/>
      <c r="INX187" s="34"/>
      <c r="INY187" s="34"/>
      <c r="INZ187" s="34"/>
      <c r="IOA187" s="34"/>
      <c r="IOB187" s="34"/>
      <c r="IOC187" s="34"/>
      <c r="IOD187" s="34"/>
      <c r="IOE187" s="34"/>
      <c r="IOF187" s="34"/>
      <c r="IOG187" s="34"/>
      <c r="IOH187" s="34"/>
      <c r="IOI187" s="34"/>
      <c r="IOJ187" s="34"/>
      <c r="IOK187" s="34"/>
      <c r="IOL187" s="34"/>
      <c r="IOM187" s="34"/>
      <c r="ION187" s="34"/>
      <c r="IOO187" s="34"/>
      <c r="IOP187" s="34"/>
      <c r="IOQ187" s="34"/>
      <c r="IOR187" s="34"/>
      <c r="IOS187" s="34"/>
      <c r="IOT187" s="34"/>
      <c r="IOU187" s="34"/>
      <c r="IOV187" s="34"/>
      <c r="IOW187" s="34"/>
      <c r="IOX187" s="34"/>
      <c r="IOY187" s="34"/>
      <c r="IOZ187" s="34"/>
      <c r="IPA187" s="34"/>
      <c r="IPB187" s="34"/>
      <c r="IPC187" s="34"/>
      <c r="IPD187" s="34"/>
      <c r="IPE187" s="34"/>
      <c r="IPF187" s="34"/>
      <c r="IPG187" s="34"/>
      <c r="IPH187" s="34"/>
      <c r="IPI187" s="34"/>
      <c r="IPJ187" s="34"/>
      <c r="IPK187" s="34"/>
      <c r="IPL187" s="34"/>
      <c r="IPM187" s="34"/>
      <c r="IPN187" s="34"/>
      <c r="IPO187" s="34"/>
      <c r="IPP187" s="34"/>
      <c r="IPQ187" s="34"/>
      <c r="IPR187" s="34"/>
      <c r="IPS187" s="34"/>
      <c r="IPT187" s="34"/>
      <c r="IPU187" s="34"/>
      <c r="IPV187" s="34"/>
      <c r="IPW187" s="34"/>
      <c r="IPX187" s="34"/>
      <c r="IPY187" s="34"/>
      <c r="IPZ187" s="34"/>
      <c r="IQA187" s="34"/>
      <c r="IQB187" s="34"/>
      <c r="IQC187" s="34"/>
      <c r="IQD187" s="34"/>
      <c r="IQE187" s="34"/>
      <c r="IQF187" s="34"/>
      <c r="IQG187" s="34"/>
      <c r="IQH187" s="34"/>
      <c r="IQI187" s="34"/>
      <c r="IQJ187" s="34"/>
      <c r="IQK187" s="34"/>
      <c r="IQL187" s="34"/>
      <c r="IQM187" s="34"/>
      <c r="IQN187" s="34"/>
      <c r="IQO187" s="34"/>
      <c r="IQP187" s="34"/>
      <c r="IQQ187" s="34"/>
      <c r="IQR187" s="34"/>
      <c r="IQS187" s="34"/>
      <c r="IQT187" s="34"/>
      <c r="IQU187" s="34"/>
      <c r="IQV187" s="34"/>
      <c r="IQW187" s="34"/>
      <c r="IQX187" s="34"/>
      <c r="IQY187" s="34"/>
      <c r="IQZ187" s="34"/>
      <c r="IRA187" s="34"/>
      <c r="IRB187" s="34"/>
      <c r="IRC187" s="34"/>
      <c r="IRD187" s="34"/>
      <c r="IRE187" s="34"/>
      <c r="IRF187" s="34"/>
      <c r="IRG187" s="34"/>
      <c r="IRH187" s="34"/>
      <c r="IRI187" s="34"/>
      <c r="IRJ187" s="34"/>
      <c r="IRK187" s="34"/>
      <c r="IRL187" s="34"/>
      <c r="IRM187" s="34"/>
      <c r="IRN187" s="34"/>
      <c r="IRO187" s="34"/>
      <c r="IRP187" s="34"/>
      <c r="IRQ187" s="34"/>
      <c r="IRR187" s="34"/>
      <c r="IRS187" s="34"/>
      <c r="IRT187" s="34"/>
      <c r="IRU187" s="34"/>
      <c r="IRV187" s="34"/>
      <c r="IRW187" s="34"/>
      <c r="IRX187" s="34"/>
      <c r="IRY187" s="34"/>
      <c r="IRZ187" s="34"/>
      <c r="ISA187" s="34"/>
      <c r="ISB187" s="34"/>
      <c r="ISC187" s="34"/>
      <c r="ISD187" s="34"/>
      <c r="ISE187" s="34"/>
      <c r="ISF187" s="34"/>
      <c r="ISG187" s="34"/>
      <c r="ISH187" s="34"/>
      <c r="ISI187" s="34"/>
      <c r="ISJ187" s="34"/>
      <c r="ISK187" s="34"/>
      <c r="ISL187" s="34"/>
      <c r="ISM187" s="34"/>
      <c r="ISN187" s="34"/>
      <c r="ISO187" s="34"/>
      <c r="ISP187" s="34"/>
      <c r="ISQ187" s="34"/>
      <c r="ISR187" s="34"/>
      <c r="ISS187" s="34"/>
      <c r="IST187" s="34"/>
      <c r="ISU187" s="34"/>
      <c r="ISV187" s="34"/>
      <c r="ISW187" s="34"/>
      <c r="ISX187" s="34"/>
      <c r="ISY187" s="34"/>
      <c r="ISZ187" s="34"/>
      <c r="ITA187" s="34"/>
      <c r="ITB187" s="34"/>
      <c r="ITC187" s="34"/>
      <c r="ITD187" s="34"/>
      <c r="ITE187" s="34"/>
      <c r="ITF187" s="34"/>
      <c r="ITG187" s="34"/>
      <c r="ITH187" s="34"/>
      <c r="ITI187" s="34"/>
      <c r="ITJ187" s="34"/>
      <c r="ITK187" s="34"/>
      <c r="ITL187" s="34"/>
      <c r="ITM187" s="34"/>
      <c r="ITN187" s="34"/>
      <c r="ITO187" s="34"/>
      <c r="ITP187" s="34"/>
      <c r="ITQ187" s="34"/>
      <c r="ITR187" s="34"/>
      <c r="ITS187" s="34"/>
      <c r="ITT187" s="34"/>
      <c r="ITU187" s="34"/>
      <c r="ITV187" s="34"/>
      <c r="ITW187" s="34"/>
      <c r="ITX187" s="34"/>
      <c r="ITY187" s="34"/>
      <c r="ITZ187" s="34"/>
      <c r="IUA187" s="34"/>
      <c r="IUB187" s="34"/>
      <c r="IUC187" s="34"/>
      <c r="IUD187" s="34"/>
      <c r="IUE187" s="34"/>
      <c r="IUF187" s="34"/>
      <c r="IUG187" s="34"/>
      <c r="IUH187" s="34"/>
      <c r="IUI187" s="34"/>
      <c r="IUJ187" s="34"/>
      <c r="IUK187" s="34"/>
      <c r="IUL187" s="34"/>
      <c r="IUM187" s="34"/>
      <c r="IUN187" s="34"/>
      <c r="IUO187" s="34"/>
      <c r="IUP187" s="34"/>
      <c r="IUQ187" s="34"/>
      <c r="IUR187" s="34"/>
      <c r="IUS187" s="34"/>
      <c r="IUT187" s="34"/>
      <c r="IUU187" s="34"/>
      <c r="IUV187" s="34"/>
      <c r="IUW187" s="34"/>
      <c r="IUX187" s="34"/>
      <c r="IUY187" s="34"/>
      <c r="IUZ187" s="34"/>
      <c r="IVA187" s="34"/>
      <c r="IVB187" s="34"/>
      <c r="IVC187" s="34"/>
      <c r="IVD187" s="34"/>
      <c r="IVE187" s="34"/>
      <c r="IVF187" s="34"/>
      <c r="IVG187" s="34"/>
      <c r="IVH187" s="34"/>
      <c r="IVI187" s="34"/>
      <c r="IVJ187" s="34"/>
      <c r="IVK187" s="34"/>
      <c r="IVL187" s="34"/>
      <c r="IVM187" s="34"/>
      <c r="IVN187" s="34"/>
      <c r="IVO187" s="34"/>
      <c r="IVP187" s="34"/>
      <c r="IVQ187" s="34"/>
      <c r="IVR187" s="34"/>
      <c r="IVS187" s="34"/>
      <c r="IVT187" s="34"/>
      <c r="IVU187" s="34"/>
      <c r="IVV187" s="34"/>
      <c r="IVW187" s="34"/>
      <c r="IVX187" s="34"/>
      <c r="IVY187" s="34"/>
      <c r="IVZ187" s="34"/>
      <c r="IWA187" s="34"/>
      <c r="IWB187" s="34"/>
      <c r="IWC187" s="34"/>
      <c r="IWD187" s="34"/>
      <c r="IWE187" s="34"/>
      <c r="IWF187" s="34"/>
      <c r="IWG187" s="34"/>
      <c r="IWH187" s="34"/>
      <c r="IWI187" s="34"/>
      <c r="IWJ187" s="34"/>
      <c r="IWK187" s="34"/>
      <c r="IWL187" s="34"/>
      <c r="IWM187" s="34"/>
      <c r="IWN187" s="34"/>
      <c r="IWO187" s="34"/>
      <c r="IWP187" s="34"/>
      <c r="IWQ187" s="34"/>
      <c r="IWR187" s="34"/>
      <c r="IWS187" s="34"/>
      <c r="IWT187" s="34"/>
      <c r="IWU187" s="34"/>
      <c r="IWV187" s="34"/>
      <c r="IWW187" s="34"/>
      <c r="IWX187" s="34"/>
      <c r="IWY187" s="34"/>
      <c r="IWZ187" s="34"/>
      <c r="IXA187" s="34"/>
      <c r="IXB187" s="34"/>
      <c r="IXC187" s="34"/>
      <c r="IXD187" s="34"/>
      <c r="IXE187" s="34"/>
      <c r="IXF187" s="34"/>
      <c r="IXG187" s="34"/>
      <c r="IXH187" s="34"/>
      <c r="IXI187" s="34"/>
      <c r="IXJ187" s="34"/>
      <c r="IXK187" s="34"/>
      <c r="IXL187" s="34"/>
      <c r="IXM187" s="34"/>
      <c r="IXN187" s="34"/>
      <c r="IXO187" s="34"/>
      <c r="IXP187" s="34"/>
      <c r="IXQ187" s="34"/>
      <c r="IXR187" s="34"/>
      <c r="IXS187" s="34"/>
      <c r="IXT187" s="34"/>
      <c r="IXU187" s="34"/>
      <c r="IXV187" s="34"/>
      <c r="IXW187" s="34"/>
      <c r="IXX187" s="34"/>
      <c r="IXY187" s="34"/>
      <c r="IXZ187" s="34"/>
      <c r="IYA187" s="34"/>
      <c r="IYB187" s="34"/>
      <c r="IYC187" s="34"/>
      <c r="IYD187" s="34"/>
      <c r="IYE187" s="34"/>
      <c r="IYF187" s="34"/>
      <c r="IYG187" s="34"/>
      <c r="IYH187" s="34"/>
      <c r="IYI187" s="34"/>
      <c r="IYJ187" s="34"/>
      <c r="IYK187" s="34"/>
      <c r="IYL187" s="34"/>
      <c r="IYM187" s="34"/>
      <c r="IYN187" s="34"/>
      <c r="IYO187" s="34"/>
      <c r="IYP187" s="34"/>
      <c r="IYQ187" s="34"/>
      <c r="IYR187" s="34"/>
      <c r="IYS187" s="34"/>
      <c r="IYT187" s="34"/>
      <c r="IYU187" s="34"/>
      <c r="IYV187" s="34"/>
      <c r="IYW187" s="34"/>
      <c r="IYX187" s="34"/>
      <c r="IYY187" s="34"/>
      <c r="IYZ187" s="34"/>
      <c r="IZA187" s="34"/>
      <c r="IZB187" s="34"/>
      <c r="IZC187" s="34"/>
      <c r="IZD187" s="34"/>
      <c r="IZE187" s="34"/>
      <c r="IZF187" s="34"/>
      <c r="IZG187" s="34"/>
      <c r="IZH187" s="34"/>
      <c r="IZI187" s="34"/>
      <c r="IZJ187" s="34"/>
      <c r="IZK187" s="34"/>
      <c r="IZL187" s="34"/>
      <c r="IZM187" s="34"/>
      <c r="IZN187" s="34"/>
      <c r="IZO187" s="34"/>
      <c r="IZP187" s="34"/>
      <c r="IZQ187" s="34"/>
      <c r="IZR187" s="34"/>
      <c r="IZS187" s="34"/>
      <c r="IZT187" s="34"/>
      <c r="IZU187" s="34"/>
      <c r="IZV187" s="34"/>
      <c r="IZW187" s="34"/>
      <c r="IZX187" s="34"/>
      <c r="IZY187" s="34"/>
      <c r="IZZ187" s="34"/>
      <c r="JAA187" s="34"/>
      <c r="JAB187" s="34"/>
      <c r="JAC187" s="34"/>
      <c r="JAD187" s="34"/>
      <c r="JAE187" s="34"/>
      <c r="JAF187" s="34"/>
      <c r="JAG187" s="34"/>
      <c r="JAH187" s="34"/>
      <c r="JAI187" s="34"/>
      <c r="JAJ187" s="34"/>
      <c r="JAK187" s="34"/>
      <c r="JAL187" s="34"/>
      <c r="JAM187" s="34"/>
      <c r="JAN187" s="34"/>
      <c r="JAO187" s="34"/>
      <c r="JAP187" s="34"/>
      <c r="JAQ187" s="34"/>
      <c r="JAR187" s="34"/>
      <c r="JAS187" s="34"/>
      <c r="JAT187" s="34"/>
      <c r="JAU187" s="34"/>
      <c r="JAV187" s="34"/>
      <c r="JAW187" s="34"/>
      <c r="JAX187" s="34"/>
      <c r="JAY187" s="34"/>
      <c r="JAZ187" s="34"/>
      <c r="JBA187" s="34"/>
      <c r="JBB187" s="34"/>
      <c r="JBC187" s="34"/>
      <c r="JBD187" s="34"/>
      <c r="JBE187" s="34"/>
      <c r="JBF187" s="34"/>
      <c r="JBG187" s="34"/>
      <c r="JBH187" s="34"/>
      <c r="JBI187" s="34"/>
      <c r="JBJ187" s="34"/>
      <c r="JBK187" s="34"/>
      <c r="JBL187" s="34"/>
      <c r="JBM187" s="34"/>
      <c r="JBN187" s="34"/>
      <c r="JBO187" s="34"/>
      <c r="JBP187" s="34"/>
      <c r="JBQ187" s="34"/>
      <c r="JBR187" s="34"/>
      <c r="JBS187" s="34"/>
      <c r="JBT187" s="34"/>
      <c r="JBU187" s="34"/>
      <c r="JBV187" s="34"/>
      <c r="JBW187" s="34"/>
      <c r="JBX187" s="34"/>
      <c r="JBY187" s="34"/>
      <c r="JBZ187" s="34"/>
      <c r="JCA187" s="34"/>
      <c r="JCB187" s="34"/>
      <c r="JCC187" s="34"/>
      <c r="JCD187" s="34"/>
      <c r="JCE187" s="34"/>
      <c r="JCF187" s="34"/>
      <c r="JCG187" s="34"/>
      <c r="JCH187" s="34"/>
      <c r="JCI187" s="34"/>
      <c r="JCJ187" s="34"/>
      <c r="JCK187" s="34"/>
      <c r="JCL187" s="34"/>
      <c r="JCM187" s="34"/>
      <c r="JCN187" s="34"/>
      <c r="JCO187" s="34"/>
      <c r="JCP187" s="34"/>
      <c r="JCQ187" s="34"/>
      <c r="JCR187" s="34"/>
      <c r="JCS187" s="34"/>
      <c r="JCT187" s="34"/>
      <c r="JCU187" s="34"/>
      <c r="JCV187" s="34"/>
      <c r="JCW187" s="34"/>
      <c r="JCX187" s="34"/>
      <c r="JCY187" s="34"/>
      <c r="JCZ187" s="34"/>
      <c r="JDA187" s="34"/>
      <c r="JDB187" s="34"/>
      <c r="JDC187" s="34"/>
      <c r="JDD187" s="34"/>
      <c r="JDE187" s="34"/>
      <c r="JDF187" s="34"/>
      <c r="JDG187" s="34"/>
      <c r="JDH187" s="34"/>
      <c r="JDI187" s="34"/>
      <c r="JDJ187" s="34"/>
      <c r="JDK187" s="34"/>
      <c r="JDL187" s="34"/>
      <c r="JDM187" s="34"/>
      <c r="JDN187" s="34"/>
      <c r="JDO187" s="34"/>
      <c r="JDP187" s="34"/>
      <c r="JDQ187" s="34"/>
      <c r="JDR187" s="34"/>
      <c r="JDS187" s="34"/>
      <c r="JDT187" s="34"/>
      <c r="JDU187" s="34"/>
      <c r="JDV187" s="34"/>
      <c r="JDW187" s="34"/>
      <c r="JDX187" s="34"/>
      <c r="JDY187" s="34"/>
      <c r="JDZ187" s="34"/>
      <c r="JEA187" s="34"/>
      <c r="JEB187" s="34"/>
      <c r="JEC187" s="34"/>
      <c r="JED187" s="34"/>
      <c r="JEE187" s="34"/>
      <c r="JEF187" s="34"/>
      <c r="JEG187" s="34"/>
      <c r="JEH187" s="34"/>
      <c r="JEI187" s="34"/>
      <c r="JEJ187" s="34"/>
      <c r="JEK187" s="34"/>
      <c r="JEL187" s="34"/>
      <c r="JEM187" s="34"/>
      <c r="JEN187" s="34"/>
      <c r="JEO187" s="34"/>
      <c r="JEP187" s="34"/>
      <c r="JEQ187" s="34"/>
      <c r="JER187" s="34"/>
      <c r="JES187" s="34"/>
      <c r="JET187" s="34"/>
      <c r="JEU187" s="34"/>
      <c r="JEV187" s="34"/>
      <c r="JEW187" s="34"/>
      <c r="JEX187" s="34"/>
      <c r="JEY187" s="34"/>
      <c r="JEZ187" s="34"/>
      <c r="JFA187" s="34"/>
      <c r="JFB187" s="34"/>
      <c r="JFC187" s="34"/>
      <c r="JFD187" s="34"/>
      <c r="JFE187" s="34"/>
      <c r="JFF187" s="34"/>
      <c r="JFG187" s="34"/>
      <c r="JFH187" s="34"/>
      <c r="JFI187" s="34"/>
      <c r="JFJ187" s="34"/>
      <c r="JFK187" s="34"/>
      <c r="JFL187" s="34"/>
      <c r="JFM187" s="34"/>
      <c r="JFN187" s="34"/>
      <c r="JFO187" s="34"/>
      <c r="JFP187" s="34"/>
      <c r="JFQ187" s="34"/>
      <c r="JFR187" s="34"/>
      <c r="JFS187" s="34"/>
      <c r="JFT187" s="34"/>
      <c r="JFU187" s="34"/>
      <c r="JFV187" s="34"/>
      <c r="JFW187" s="34"/>
      <c r="JFX187" s="34"/>
      <c r="JFY187" s="34"/>
      <c r="JFZ187" s="34"/>
      <c r="JGA187" s="34"/>
      <c r="JGB187" s="34"/>
      <c r="JGC187" s="34"/>
      <c r="JGD187" s="34"/>
      <c r="JGE187" s="34"/>
      <c r="JGF187" s="34"/>
      <c r="JGG187" s="34"/>
      <c r="JGH187" s="34"/>
      <c r="JGI187" s="34"/>
      <c r="JGJ187" s="34"/>
      <c r="JGK187" s="34"/>
      <c r="JGL187" s="34"/>
      <c r="JGM187" s="34"/>
      <c r="JGN187" s="34"/>
      <c r="JGO187" s="34"/>
      <c r="JGP187" s="34"/>
      <c r="JGQ187" s="34"/>
      <c r="JGR187" s="34"/>
      <c r="JGS187" s="34"/>
      <c r="JGT187" s="34"/>
      <c r="JGU187" s="34"/>
      <c r="JGV187" s="34"/>
      <c r="JGW187" s="34"/>
      <c r="JGX187" s="34"/>
      <c r="JGY187" s="34"/>
      <c r="JGZ187" s="34"/>
      <c r="JHA187" s="34"/>
      <c r="JHB187" s="34"/>
      <c r="JHC187" s="34"/>
      <c r="JHD187" s="34"/>
      <c r="JHE187" s="34"/>
      <c r="JHF187" s="34"/>
      <c r="JHG187" s="34"/>
      <c r="JHH187" s="34"/>
      <c r="JHI187" s="34"/>
      <c r="JHJ187" s="34"/>
      <c r="JHK187" s="34"/>
      <c r="JHL187" s="34"/>
      <c r="JHM187" s="34"/>
      <c r="JHN187" s="34"/>
      <c r="JHO187" s="34"/>
      <c r="JHP187" s="34"/>
      <c r="JHQ187" s="34"/>
      <c r="JHR187" s="34"/>
      <c r="JHS187" s="34"/>
      <c r="JHT187" s="34"/>
      <c r="JHU187" s="34"/>
      <c r="JHV187" s="34"/>
      <c r="JHW187" s="34"/>
      <c r="JHX187" s="34"/>
      <c r="JHY187" s="34"/>
      <c r="JHZ187" s="34"/>
      <c r="JIA187" s="34"/>
      <c r="JIB187" s="34"/>
      <c r="JIC187" s="34"/>
      <c r="JID187" s="34"/>
      <c r="JIE187" s="34"/>
      <c r="JIF187" s="34"/>
      <c r="JIG187" s="34"/>
      <c r="JIH187" s="34"/>
      <c r="JII187" s="34"/>
      <c r="JIJ187" s="34"/>
      <c r="JIK187" s="34"/>
      <c r="JIL187" s="34"/>
      <c r="JIM187" s="34"/>
      <c r="JIN187" s="34"/>
      <c r="JIO187" s="34"/>
      <c r="JIP187" s="34"/>
      <c r="JIQ187" s="34"/>
      <c r="JIR187" s="34"/>
      <c r="JIS187" s="34"/>
      <c r="JIT187" s="34"/>
      <c r="JIU187" s="34"/>
      <c r="JIV187" s="34"/>
      <c r="JIW187" s="34"/>
      <c r="JIX187" s="34"/>
      <c r="JIY187" s="34"/>
      <c r="JIZ187" s="34"/>
      <c r="JJA187" s="34"/>
      <c r="JJB187" s="34"/>
      <c r="JJC187" s="34"/>
      <c r="JJD187" s="34"/>
      <c r="JJE187" s="34"/>
      <c r="JJF187" s="34"/>
      <c r="JJG187" s="34"/>
      <c r="JJH187" s="34"/>
      <c r="JJI187" s="34"/>
      <c r="JJJ187" s="34"/>
      <c r="JJK187" s="34"/>
      <c r="JJL187" s="34"/>
      <c r="JJM187" s="34"/>
      <c r="JJN187" s="34"/>
      <c r="JJO187" s="34"/>
      <c r="JJP187" s="34"/>
      <c r="JJQ187" s="34"/>
      <c r="JJR187" s="34"/>
      <c r="JJS187" s="34"/>
      <c r="JJT187" s="34"/>
      <c r="JJU187" s="34"/>
      <c r="JJV187" s="34"/>
      <c r="JJW187" s="34"/>
      <c r="JJX187" s="34"/>
      <c r="JJY187" s="34"/>
      <c r="JJZ187" s="34"/>
      <c r="JKA187" s="34"/>
      <c r="JKB187" s="34"/>
      <c r="JKC187" s="34"/>
      <c r="JKD187" s="34"/>
      <c r="JKE187" s="34"/>
      <c r="JKF187" s="34"/>
      <c r="JKG187" s="34"/>
      <c r="JKH187" s="34"/>
      <c r="JKI187" s="34"/>
      <c r="JKJ187" s="34"/>
      <c r="JKK187" s="34"/>
      <c r="JKL187" s="34"/>
      <c r="JKM187" s="34"/>
      <c r="JKN187" s="34"/>
      <c r="JKO187" s="34"/>
      <c r="JKP187" s="34"/>
      <c r="JKQ187" s="34"/>
      <c r="JKR187" s="34"/>
      <c r="JKS187" s="34"/>
      <c r="JKT187" s="34"/>
      <c r="JKU187" s="34"/>
      <c r="JKV187" s="34"/>
      <c r="JKW187" s="34"/>
      <c r="JKX187" s="34"/>
      <c r="JKY187" s="34"/>
      <c r="JKZ187" s="34"/>
      <c r="JLA187" s="34"/>
      <c r="JLB187" s="34"/>
      <c r="JLC187" s="34"/>
      <c r="JLD187" s="34"/>
      <c r="JLE187" s="34"/>
      <c r="JLF187" s="34"/>
      <c r="JLG187" s="34"/>
      <c r="JLH187" s="34"/>
      <c r="JLI187" s="34"/>
      <c r="JLJ187" s="34"/>
      <c r="JLK187" s="34"/>
      <c r="JLL187" s="34"/>
      <c r="JLM187" s="34"/>
      <c r="JLN187" s="34"/>
      <c r="JLO187" s="34"/>
      <c r="JLP187" s="34"/>
      <c r="JLQ187" s="34"/>
      <c r="JLR187" s="34"/>
      <c r="JLS187" s="34"/>
      <c r="JLT187" s="34"/>
      <c r="JLU187" s="34"/>
      <c r="JLV187" s="34"/>
      <c r="JLW187" s="34"/>
      <c r="JLX187" s="34"/>
      <c r="JLY187" s="34"/>
      <c r="JLZ187" s="34"/>
      <c r="JMA187" s="34"/>
      <c r="JMB187" s="34"/>
      <c r="JMC187" s="34"/>
      <c r="JMD187" s="34"/>
      <c r="JME187" s="34"/>
      <c r="JMF187" s="34"/>
      <c r="JMG187" s="34"/>
      <c r="JMH187" s="34"/>
      <c r="JMI187" s="34"/>
      <c r="JMJ187" s="34"/>
      <c r="JMK187" s="34"/>
      <c r="JML187" s="34"/>
      <c r="JMM187" s="34"/>
      <c r="JMN187" s="34"/>
      <c r="JMO187" s="34"/>
      <c r="JMP187" s="34"/>
      <c r="JMQ187" s="34"/>
      <c r="JMR187" s="34"/>
      <c r="JMS187" s="34"/>
      <c r="JMT187" s="34"/>
      <c r="JMU187" s="34"/>
      <c r="JMV187" s="34"/>
      <c r="JMW187" s="34"/>
      <c r="JMX187" s="34"/>
      <c r="JMY187" s="34"/>
      <c r="JMZ187" s="34"/>
      <c r="JNA187" s="34"/>
      <c r="JNB187" s="34"/>
      <c r="JNC187" s="34"/>
      <c r="JND187" s="34"/>
      <c r="JNE187" s="34"/>
      <c r="JNF187" s="34"/>
      <c r="JNG187" s="34"/>
      <c r="JNH187" s="34"/>
      <c r="JNI187" s="34"/>
      <c r="JNJ187" s="34"/>
      <c r="JNK187" s="34"/>
      <c r="JNL187" s="34"/>
      <c r="JNM187" s="34"/>
      <c r="JNN187" s="34"/>
      <c r="JNO187" s="34"/>
      <c r="JNP187" s="34"/>
      <c r="JNQ187" s="34"/>
      <c r="JNR187" s="34"/>
      <c r="JNS187" s="34"/>
      <c r="JNT187" s="34"/>
      <c r="JNU187" s="34"/>
      <c r="JNV187" s="34"/>
      <c r="JNW187" s="34"/>
      <c r="JNX187" s="34"/>
      <c r="JNY187" s="34"/>
      <c r="JNZ187" s="34"/>
      <c r="JOA187" s="34"/>
      <c r="JOB187" s="34"/>
      <c r="JOC187" s="34"/>
      <c r="JOD187" s="34"/>
      <c r="JOE187" s="34"/>
      <c r="JOF187" s="34"/>
      <c r="JOG187" s="34"/>
      <c r="JOH187" s="34"/>
      <c r="JOI187" s="34"/>
      <c r="JOJ187" s="34"/>
      <c r="JOK187" s="34"/>
      <c r="JOL187" s="34"/>
      <c r="JOM187" s="34"/>
      <c r="JON187" s="34"/>
      <c r="JOO187" s="34"/>
      <c r="JOP187" s="34"/>
      <c r="JOQ187" s="34"/>
      <c r="JOR187" s="34"/>
      <c r="JOS187" s="34"/>
      <c r="JOT187" s="34"/>
      <c r="JOU187" s="34"/>
      <c r="JOV187" s="34"/>
      <c r="JOW187" s="34"/>
      <c r="JOX187" s="34"/>
      <c r="JOY187" s="34"/>
      <c r="JOZ187" s="34"/>
      <c r="JPA187" s="34"/>
      <c r="JPB187" s="34"/>
      <c r="JPC187" s="34"/>
      <c r="JPD187" s="34"/>
      <c r="JPE187" s="34"/>
      <c r="JPF187" s="34"/>
      <c r="JPG187" s="34"/>
      <c r="JPH187" s="34"/>
      <c r="JPI187" s="34"/>
      <c r="JPJ187" s="34"/>
      <c r="JPK187" s="34"/>
      <c r="JPL187" s="34"/>
      <c r="JPM187" s="34"/>
      <c r="JPN187" s="34"/>
      <c r="JPO187" s="34"/>
      <c r="JPP187" s="34"/>
      <c r="JPQ187" s="34"/>
      <c r="JPR187" s="34"/>
      <c r="JPS187" s="34"/>
      <c r="JPT187" s="34"/>
      <c r="JPU187" s="34"/>
      <c r="JPV187" s="34"/>
      <c r="JPW187" s="34"/>
      <c r="JPX187" s="34"/>
      <c r="JPY187" s="34"/>
      <c r="JPZ187" s="34"/>
      <c r="JQA187" s="34"/>
      <c r="JQB187" s="34"/>
      <c r="JQC187" s="34"/>
      <c r="JQD187" s="34"/>
      <c r="JQE187" s="34"/>
      <c r="JQF187" s="34"/>
      <c r="JQG187" s="34"/>
      <c r="JQH187" s="34"/>
      <c r="JQI187" s="34"/>
      <c r="JQJ187" s="34"/>
      <c r="JQK187" s="34"/>
      <c r="JQL187" s="34"/>
      <c r="JQM187" s="34"/>
      <c r="JQN187" s="34"/>
      <c r="JQO187" s="34"/>
      <c r="JQP187" s="34"/>
      <c r="JQQ187" s="34"/>
      <c r="JQR187" s="34"/>
      <c r="JQS187" s="34"/>
      <c r="JQT187" s="34"/>
      <c r="JQU187" s="34"/>
      <c r="JQV187" s="34"/>
      <c r="JQW187" s="34"/>
      <c r="JQX187" s="34"/>
      <c r="JQY187" s="34"/>
      <c r="JQZ187" s="34"/>
      <c r="JRA187" s="34"/>
      <c r="JRB187" s="34"/>
      <c r="JRC187" s="34"/>
      <c r="JRD187" s="34"/>
      <c r="JRE187" s="34"/>
      <c r="JRF187" s="34"/>
      <c r="JRG187" s="34"/>
      <c r="JRH187" s="34"/>
      <c r="JRI187" s="34"/>
      <c r="JRJ187" s="34"/>
      <c r="JRK187" s="34"/>
      <c r="JRL187" s="34"/>
      <c r="JRM187" s="34"/>
      <c r="JRN187" s="34"/>
      <c r="JRO187" s="34"/>
      <c r="JRP187" s="34"/>
      <c r="JRQ187" s="34"/>
      <c r="JRR187" s="34"/>
      <c r="JRS187" s="34"/>
      <c r="JRT187" s="34"/>
      <c r="JRU187" s="34"/>
      <c r="JRV187" s="34"/>
      <c r="JRW187" s="34"/>
      <c r="JRX187" s="34"/>
      <c r="JRY187" s="34"/>
      <c r="JRZ187" s="34"/>
      <c r="JSA187" s="34"/>
      <c r="JSB187" s="34"/>
      <c r="JSC187" s="34"/>
      <c r="JSD187" s="34"/>
      <c r="JSE187" s="34"/>
      <c r="JSF187" s="34"/>
      <c r="JSG187" s="34"/>
      <c r="JSH187" s="34"/>
      <c r="JSI187" s="34"/>
      <c r="JSJ187" s="34"/>
      <c r="JSK187" s="34"/>
      <c r="JSL187" s="34"/>
      <c r="JSM187" s="34"/>
      <c r="JSN187" s="34"/>
      <c r="JSO187" s="34"/>
      <c r="JSP187" s="34"/>
      <c r="JSQ187" s="34"/>
      <c r="JSR187" s="34"/>
      <c r="JSS187" s="34"/>
      <c r="JST187" s="34"/>
      <c r="JSU187" s="34"/>
      <c r="JSV187" s="34"/>
      <c r="JSW187" s="34"/>
      <c r="JSX187" s="34"/>
      <c r="JSY187" s="34"/>
      <c r="JSZ187" s="34"/>
      <c r="JTA187" s="34"/>
      <c r="JTB187" s="34"/>
      <c r="JTC187" s="34"/>
      <c r="JTD187" s="34"/>
      <c r="JTE187" s="34"/>
      <c r="JTF187" s="34"/>
      <c r="JTG187" s="34"/>
      <c r="JTH187" s="34"/>
      <c r="JTI187" s="34"/>
      <c r="JTJ187" s="34"/>
      <c r="JTK187" s="34"/>
      <c r="JTL187" s="34"/>
      <c r="JTM187" s="34"/>
      <c r="JTN187" s="34"/>
      <c r="JTO187" s="34"/>
      <c r="JTP187" s="34"/>
      <c r="JTQ187" s="34"/>
      <c r="JTR187" s="34"/>
      <c r="JTS187" s="34"/>
      <c r="JTT187" s="34"/>
      <c r="JTU187" s="34"/>
      <c r="JTV187" s="34"/>
      <c r="JTW187" s="34"/>
      <c r="JTX187" s="34"/>
      <c r="JTY187" s="34"/>
      <c r="JTZ187" s="34"/>
      <c r="JUA187" s="34"/>
      <c r="JUB187" s="34"/>
      <c r="JUC187" s="34"/>
      <c r="JUD187" s="34"/>
      <c r="JUE187" s="34"/>
      <c r="JUF187" s="34"/>
      <c r="JUG187" s="34"/>
      <c r="JUH187" s="34"/>
      <c r="JUI187" s="34"/>
      <c r="JUJ187" s="34"/>
      <c r="JUK187" s="34"/>
      <c r="JUL187" s="34"/>
      <c r="JUM187" s="34"/>
      <c r="JUN187" s="34"/>
      <c r="JUO187" s="34"/>
      <c r="JUP187" s="34"/>
      <c r="JUQ187" s="34"/>
      <c r="JUR187" s="34"/>
      <c r="JUS187" s="34"/>
      <c r="JUT187" s="34"/>
      <c r="JUU187" s="34"/>
      <c r="JUV187" s="34"/>
      <c r="JUW187" s="34"/>
      <c r="JUX187" s="34"/>
      <c r="JUY187" s="34"/>
      <c r="JUZ187" s="34"/>
      <c r="JVA187" s="34"/>
      <c r="JVB187" s="34"/>
      <c r="JVC187" s="34"/>
      <c r="JVD187" s="34"/>
      <c r="JVE187" s="34"/>
      <c r="JVF187" s="34"/>
      <c r="JVG187" s="34"/>
      <c r="JVH187" s="34"/>
      <c r="JVI187" s="34"/>
      <c r="JVJ187" s="34"/>
      <c r="JVK187" s="34"/>
      <c r="JVL187" s="34"/>
      <c r="JVM187" s="34"/>
      <c r="JVN187" s="34"/>
      <c r="JVO187" s="34"/>
      <c r="JVP187" s="34"/>
      <c r="JVQ187" s="34"/>
      <c r="JVR187" s="34"/>
      <c r="JVS187" s="34"/>
      <c r="JVT187" s="34"/>
      <c r="JVU187" s="34"/>
      <c r="JVV187" s="34"/>
      <c r="JVW187" s="34"/>
      <c r="JVX187" s="34"/>
      <c r="JVY187" s="34"/>
      <c r="JVZ187" s="34"/>
      <c r="JWA187" s="34"/>
      <c r="JWB187" s="34"/>
      <c r="JWC187" s="34"/>
      <c r="JWD187" s="34"/>
      <c r="JWE187" s="34"/>
      <c r="JWF187" s="34"/>
      <c r="JWG187" s="34"/>
      <c r="JWH187" s="34"/>
      <c r="JWI187" s="34"/>
      <c r="JWJ187" s="34"/>
      <c r="JWK187" s="34"/>
      <c r="JWL187" s="34"/>
      <c r="JWM187" s="34"/>
      <c r="JWN187" s="34"/>
      <c r="JWO187" s="34"/>
      <c r="JWP187" s="34"/>
      <c r="JWQ187" s="34"/>
      <c r="JWR187" s="34"/>
      <c r="JWS187" s="34"/>
      <c r="JWT187" s="34"/>
      <c r="JWU187" s="34"/>
      <c r="JWV187" s="34"/>
      <c r="JWW187" s="34"/>
      <c r="JWX187" s="34"/>
      <c r="JWY187" s="34"/>
      <c r="JWZ187" s="34"/>
      <c r="JXA187" s="34"/>
      <c r="JXB187" s="34"/>
      <c r="JXC187" s="34"/>
      <c r="JXD187" s="34"/>
      <c r="JXE187" s="34"/>
      <c r="JXF187" s="34"/>
      <c r="JXG187" s="34"/>
      <c r="JXH187" s="34"/>
      <c r="JXI187" s="34"/>
      <c r="JXJ187" s="34"/>
      <c r="JXK187" s="34"/>
      <c r="JXL187" s="34"/>
      <c r="JXM187" s="34"/>
      <c r="JXN187" s="34"/>
      <c r="JXO187" s="34"/>
      <c r="JXP187" s="34"/>
      <c r="JXQ187" s="34"/>
      <c r="JXR187" s="34"/>
      <c r="JXS187" s="34"/>
      <c r="JXT187" s="34"/>
      <c r="JXU187" s="34"/>
      <c r="JXV187" s="34"/>
      <c r="JXW187" s="34"/>
      <c r="JXX187" s="34"/>
      <c r="JXY187" s="34"/>
      <c r="JXZ187" s="34"/>
      <c r="JYA187" s="34"/>
      <c r="JYB187" s="34"/>
      <c r="JYC187" s="34"/>
      <c r="JYD187" s="34"/>
      <c r="JYE187" s="34"/>
      <c r="JYF187" s="34"/>
      <c r="JYG187" s="34"/>
      <c r="JYH187" s="34"/>
      <c r="JYI187" s="34"/>
      <c r="JYJ187" s="34"/>
      <c r="JYK187" s="34"/>
      <c r="JYL187" s="34"/>
      <c r="JYM187" s="34"/>
      <c r="JYN187" s="34"/>
      <c r="JYO187" s="34"/>
      <c r="JYP187" s="34"/>
      <c r="JYQ187" s="34"/>
      <c r="JYR187" s="34"/>
      <c r="JYS187" s="34"/>
      <c r="JYT187" s="34"/>
      <c r="JYU187" s="34"/>
      <c r="JYV187" s="34"/>
      <c r="JYW187" s="34"/>
      <c r="JYX187" s="34"/>
      <c r="JYY187" s="34"/>
      <c r="JYZ187" s="34"/>
      <c r="JZA187" s="34"/>
      <c r="JZB187" s="34"/>
      <c r="JZC187" s="34"/>
      <c r="JZD187" s="34"/>
      <c r="JZE187" s="34"/>
      <c r="JZF187" s="34"/>
      <c r="JZG187" s="34"/>
      <c r="JZH187" s="34"/>
      <c r="JZI187" s="34"/>
      <c r="JZJ187" s="34"/>
      <c r="JZK187" s="34"/>
      <c r="JZL187" s="34"/>
      <c r="JZM187" s="34"/>
      <c r="JZN187" s="34"/>
      <c r="JZO187" s="34"/>
      <c r="JZP187" s="34"/>
      <c r="JZQ187" s="34"/>
      <c r="JZR187" s="34"/>
      <c r="JZS187" s="34"/>
      <c r="JZT187" s="34"/>
      <c r="JZU187" s="34"/>
      <c r="JZV187" s="34"/>
      <c r="JZW187" s="34"/>
      <c r="JZX187" s="34"/>
      <c r="JZY187" s="34"/>
      <c r="JZZ187" s="34"/>
      <c r="KAA187" s="34"/>
      <c r="KAB187" s="34"/>
      <c r="KAC187" s="34"/>
      <c r="KAD187" s="34"/>
      <c r="KAE187" s="34"/>
      <c r="KAF187" s="34"/>
      <c r="KAG187" s="34"/>
      <c r="KAH187" s="34"/>
      <c r="KAI187" s="34"/>
      <c r="KAJ187" s="34"/>
      <c r="KAK187" s="34"/>
      <c r="KAL187" s="34"/>
      <c r="KAM187" s="34"/>
      <c r="KAN187" s="34"/>
      <c r="KAO187" s="34"/>
      <c r="KAP187" s="34"/>
      <c r="KAQ187" s="34"/>
      <c r="KAR187" s="34"/>
      <c r="KAS187" s="34"/>
      <c r="KAT187" s="34"/>
      <c r="KAU187" s="34"/>
      <c r="KAV187" s="34"/>
      <c r="KAW187" s="34"/>
      <c r="KAX187" s="34"/>
      <c r="KAY187" s="34"/>
      <c r="KAZ187" s="34"/>
      <c r="KBA187" s="34"/>
      <c r="KBB187" s="34"/>
      <c r="KBC187" s="34"/>
      <c r="KBD187" s="34"/>
      <c r="KBE187" s="34"/>
      <c r="KBF187" s="34"/>
      <c r="KBG187" s="34"/>
      <c r="KBH187" s="34"/>
      <c r="KBI187" s="34"/>
      <c r="KBJ187" s="34"/>
      <c r="KBK187" s="34"/>
      <c r="KBL187" s="34"/>
      <c r="KBM187" s="34"/>
      <c r="KBN187" s="34"/>
      <c r="KBO187" s="34"/>
      <c r="KBP187" s="34"/>
      <c r="KBQ187" s="34"/>
      <c r="KBR187" s="34"/>
      <c r="KBS187" s="34"/>
      <c r="KBT187" s="34"/>
      <c r="KBU187" s="34"/>
      <c r="KBV187" s="34"/>
      <c r="KBW187" s="34"/>
      <c r="KBX187" s="34"/>
      <c r="KBY187" s="34"/>
      <c r="KBZ187" s="34"/>
      <c r="KCA187" s="34"/>
      <c r="KCB187" s="34"/>
      <c r="KCC187" s="34"/>
      <c r="KCD187" s="34"/>
      <c r="KCE187" s="34"/>
      <c r="KCF187" s="34"/>
      <c r="KCG187" s="34"/>
      <c r="KCH187" s="34"/>
      <c r="KCI187" s="34"/>
      <c r="KCJ187" s="34"/>
      <c r="KCK187" s="34"/>
      <c r="KCL187" s="34"/>
      <c r="KCM187" s="34"/>
      <c r="KCN187" s="34"/>
      <c r="KCO187" s="34"/>
      <c r="KCP187" s="34"/>
      <c r="KCQ187" s="34"/>
      <c r="KCR187" s="34"/>
      <c r="KCS187" s="34"/>
      <c r="KCT187" s="34"/>
      <c r="KCU187" s="34"/>
      <c r="KCV187" s="34"/>
      <c r="KCW187" s="34"/>
      <c r="KCX187" s="34"/>
      <c r="KCY187" s="34"/>
      <c r="KCZ187" s="34"/>
      <c r="KDA187" s="34"/>
      <c r="KDB187" s="34"/>
      <c r="KDC187" s="34"/>
      <c r="KDD187" s="34"/>
      <c r="KDE187" s="34"/>
      <c r="KDF187" s="34"/>
      <c r="KDG187" s="34"/>
      <c r="KDH187" s="34"/>
      <c r="KDI187" s="34"/>
      <c r="KDJ187" s="34"/>
      <c r="KDK187" s="34"/>
      <c r="KDL187" s="34"/>
      <c r="KDM187" s="34"/>
      <c r="KDN187" s="34"/>
      <c r="KDO187" s="34"/>
      <c r="KDP187" s="34"/>
      <c r="KDQ187" s="34"/>
      <c r="KDR187" s="34"/>
      <c r="KDS187" s="34"/>
      <c r="KDT187" s="34"/>
      <c r="KDU187" s="34"/>
      <c r="KDV187" s="34"/>
      <c r="KDW187" s="34"/>
      <c r="KDX187" s="34"/>
      <c r="KDY187" s="34"/>
      <c r="KDZ187" s="34"/>
      <c r="KEA187" s="34"/>
      <c r="KEB187" s="34"/>
      <c r="KEC187" s="34"/>
      <c r="KED187" s="34"/>
      <c r="KEE187" s="34"/>
      <c r="KEF187" s="34"/>
      <c r="KEG187" s="34"/>
      <c r="KEH187" s="34"/>
      <c r="KEI187" s="34"/>
      <c r="KEJ187" s="34"/>
      <c r="KEK187" s="34"/>
      <c r="KEL187" s="34"/>
      <c r="KEM187" s="34"/>
      <c r="KEN187" s="34"/>
      <c r="KEO187" s="34"/>
      <c r="KEP187" s="34"/>
      <c r="KEQ187" s="34"/>
      <c r="KER187" s="34"/>
      <c r="KES187" s="34"/>
      <c r="KET187" s="34"/>
      <c r="KEU187" s="34"/>
      <c r="KEV187" s="34"/>
      <c r="KEW187" s="34"/>
      <c r="KEX187" s="34"/>
      <c r="KEY187" s="34"/>
      <c r="KEZ187" s="34"/>
      <c r="KFA187" s="34"/>
      <c r="KFB187" s="34"/>
      <c r="KFC187" s="34"/>
      <c r="KFD187" s="34"/>
      <c r="KFE187" s="34"/>
      <c r="KFF187" s="34"/>
      <c r="KFG187" s="34"/>
      <c r="KFH187" s="34"/>
      <c r="KFI187" s="34"/>
      <c r="KFJ187" s="34"/>
      <c r="KFK187" s="34"/>
      <c r="KFL187" s="34"/>
      <c r="KFM187" s="34"/>
      <c r="KFN187" s="34"/>
      <c r="KFO187" s="34"/>
      <c r="KFP187" s="34"/>
      <c r="KFQ187" s="34"/>
      <c r="KFR187" s="34"/>
      <c r="KFS187" s="34"/>
      <c r="KFT187" s="34"/>
      <c r="KFU187" s="34"/>
      <c r="KFV187" s="34"/>
      <c r="KFW187" s="34"/>
      <c r="KFX187" s="34"/>
      <c r="KFY187" s="34"/>
      <c r="KFZ187" s="34"/>
      <c r="KGA187" s="34"/>
      <c r="KGB187" s="34"/>
      <c r="KGC187" s="34"/>
      <c r="KGD187" s="34"/>
      <c r="KGE187" s="34"/>
      <c r="KGF187" s="34"/>
      <c r="KGG187" s="34"/>
      <c r="KGH187" s="34"/>
      <c r="KGI187" s="34"/>
      <c r="KGJ187" s="34"/>
      <c r="KGK187" s="34"/>
      <c r="KGL187" s="34"/>
      <c r="KGM187" s="34"/>
      <c r="KGN187" s="34"/>
      <c r="KGO187" s="34"/>
      <c r="KGP187" s="34"/>
      <c r="KGQ187" s="34"/>
      <c r="KGR187" s="34"/>
      <c r="KGS187" s="34"/>
      <c r="KGT187" s="34"/>
      <c r="KGU187" s="34"/>
      <c r="KGV187" s="34"/>
      <c r="KGW187" s="34"/>
      <c r="KGX187" s="34"/>
      <c r="KGY187" s="34"/>
      <c r="KGZ187" s="34"/>
      <c r="KHA187" s="34"/>
      <c r="KHB187" s="34"/>
      <c r="KHC187" s="34"/>
      <c r="KHD187" s="34"/>
      <c r="KHE187" s="34"/>
      <c r="KHF187" s="34"/>
      <c r="KHG187" s="34"/>
      <c r="KHH187" s="34"/>
      <c r="KHI187" s="34"/>
      <c r="KHJ187" s="34"/>
      <c r="KHK187" s="34"/>
      <c r="KHL187" s="34"/>
      <c r="KHM187" s="34"/>
      <c r="KHN187" s="34"/>
      <c r="KHO187" s="34"/>
      <c r="KHP187" s="34"/>
      <c r="KHQ187" s="34"/>
      <c r="KHR187" s="34"/>
      <c r="KHS187" s="34"/>
      <c r="KHT187" s="34"/>
      <c r="KHU187" s="34"/>
      <c r="KHV187" s="34"/>
      <c r="KHW187" s="34"/>
      <c r="KHX187" s="34"/>
      <c r="KHY187" s="34"/>
      <c r="KHZ187" s="34"/>
      <c r="KIA187" s="34"/>
      <c r="KIB187" s="34"/>
      <c r="KIC187" s="34"/>
      <c r="KID187" s="34"/>
      <c r="KIE187" s="34"/>
      <c r="KIF187" s="34"/>
      <c r="KIG187" s="34"/>
      <c r="KIH187" s="34"/>
      <c r="KII187" s="34"/>
      <c r="KIJ187" s="34"/>
      <c r="KIK187" s="34"/>
      <c r="KIL187" s="34"/>
      <c r="KIM187" s="34"/>
      <c r="KIN187" s="34"/>
      <c r="KIO187" s="34"/>
      <c r="KIP187" s="34"/>
      <c r="KIQ187" s="34"/>
      <c r="KIR187" s="34"/>
      <c r="KIS187" s="34"/>
      <c r="KIT187" s="34"/>
      <c r="KIU187" s="34"/>
      <c r="KIV187" s="34"/>
      <c r="KIW187" s="34"/>
      <c r="KIX187" s="34"/>
      <c r="KIY187" s="34"/>
      <c r="KIZ187" s="34"/>
      <c r="KJA187" s="34"/>
      <c r="KJB187" s="34"/>
      <c r="KJC187" s="34"/>
      <c r="KJD187" s="34"/>
      <c r="KJE187" s="34"/>
      <c r="KJF187" s="34"/>
      <c r="KJG187" s="34"/>
      <c r="KJH187" s="34"/>
      <c r="KJI187" s="34"/>
      <c r="KJJ187" s="34"/>
      <c r="KJK187" s="34"/>
      <c r="KJL187" s="34"/>
      <c r="KJM187" s="34"/>
      <c r="KJN187" s="34"/>
      <c r="KJO187" s="34"/>
      <c r="KJP187" s="34"/>
      <c r="KJQ187" s="34"/>
      <c r="KJR187" s="34"/>
      <c r="KJS187" s="34"/>
      <c r="KJT187" s="34"/>
      <c r="KJU187" s="34"/>
      <c r="KJV187" s="34"/>
      <c r="KJW187" s="34"/>
      <c r="KJX187" s="34"/>
      <c r="KJY187" s="34"/>
      <c r="KJZ187" s="34"/>
      <c r="KKA187" s="34"/>
      <c r="KKB187" s="34"/>
      <c r="KKC187" s="34"/>
      <c r="KKD187" s="34"/>
      <c r="KKE187" s="34"/>
      <c r="KKF187" s="34"/>
      <c r="KKG187" s="34"/>
      <c r="KKH187" s="34"/>
      <c r="KKI187" s="34"/>
      <c r="KKJ187" s="34"/>
      <c r="KKK187" s="34"/>
      <c r="KKL187" s="34"/>
      <c r="KKM187" s="34"/>
      <c r="KKN187" s="34"/>
      <c r="KKO187" s="34"/>
      <c r="KKP187" s="34"/>
      <c r="KKQ187" s="34"/>
      <c r="KKR187" s="34"/>
      <c r="KKS187" s="34"/>
      <c r="KKT187" s="34"/>
      <c r="KKU187" s="34"/>
      <c r="KKV187" s="34"/>
      <c r="KKW187" s="34"/>
      <c r="KKX187" s="34"/>
      <c r="KKY187" s="34"/>
      <c r="KKZ187" s="34"/>
      <c r="KLA187" s="34"/>
      <c r="KLB187" s="34"/>
      <c r="KLC187" s="34"/>
      <c r="KLD187" s="34"/>
      <c r="KLE187" s="34"/>
      <c r="KLF187" s="34"/>
      <c r="KLG187" s="34"/>
      <c r="KLH187" s="34"/>
      <c r="KLI187" s="34"/>
      <c r="KLJ187" s="34"/>
      <c r="KLK187" s="34"/>
      <c r="KLL187" s="34"/>
      <c r="KLM187" s="34"/>
      <c r="KLN187" s="34"/>
      <c r="KLO187" s="34"/>
      <c r="KLP187" s="34"/>
      <c r="KLQ187" s="34"/>
      <c r="KLR187" s="34"/>
      <c r="KLS187" s="34"/>
      <c r="KLT187" s="34"/>
      <c r="KLU187" s="34"/>
      <c r="KLV187" s="34"/>
      <c r="KLW187" s="34"/>
      <c r="KLX187" s="34"/>
      <c r="KLY187" s="34"/>
      <c r="KLZ187" s="34"/>
      <c r="KMA187" s="34"/>
      <c r="KMB187" s="34"/>
      <c r="KMC187" s="34"/>
      <c r="KMD187" s="34"/>
      <c r="KME187" s="34"/>
      <c r="KMF187" s="34"/>
      <c r="KMG187" s="34"/>
      <c r="KMH187" s="34"/>
      <c r="KMI187" s="34"/>
      <c r="KMJ187" s="34"/>
      <c r="KMK187" s="34"/>
      <c r="KML187" s="34"/>
      <c r="KMM187" s="34"/>
      <c r="KMN187" s="34"/>
      <c r="KMO187" s="34"/>
      <c r="KMP187" s="34"/>
      <c r="KMQ187" s="34"/>
      <c r="KMR187" s="34"/>
      <c r="KMS187" s="34"/>
      <c r="KMT187" s="34"/>
      <c r="KMU187" s="34"/>
      <c r="KMV187" s="34"/>
      <c r="KMW187" s="34"/>
      <c r="KMX187" s="34"/>
      <c r="KMY187" s="34"/>
      <c r="KMZ187" s="34"/>
      <c r="KNA187" s="34"/>
      <c r="KNB187" s="34"/>
      <c r="KNC187" s="34"/>
      <c r="KND187" s="34"/>
      <c r="KNE187" s="34"/>
      <c r="KNF187" s="34"/>
      <c r="KNG187" s="34"/>
      <c r="KNH187" s="34"/>
      <c r="KNI187" s="34"/>
      <c r="KNJ187" s="34"/>
      <c r="KNK187" s="34"/>
      <c r="KNL187" s="34"/>
      <c r="KNM187" s="34"/>
      <c r="KNN187" s="34"/>
      <c r="KNO187" s="34"/>
      <c r="KNP187" s="34"/>
      <c r="KNQ187" s="34"/>
      <c r="KNR187" s="34"/>
      <c r="KNS187" s="34"/>
      <c r="KNT187" s="34"/>
      <c r="KNU187" s="34"/>
      <c r="KNV187" s="34"/>
      <c r="KNW187" s="34"/>
      <c r="KNX187" s="34"/>
      <c r="KNY187" s="34"/>
      <c r="KNZ187" s="34"/>
      <c r="KOA187" s="34"/>
      <c r="KOB187" s="34"/>
      <c r="KOC187" s="34"/>
      <c r="KOD187" s="34"/>
      <c r="KOE187" s="34"/>
      <c r="KOF187" s="34"/>
      <c r="KOG187" s="34"/>
      <c r="KOH187" s="34"/>
      <c r="KOI187" s="34"/>
      <c r="KOJ187" s="34"/>
      <c r="KOK187" s="34"/>
      <c r="KOL187" s="34"/>
      <c r="KOM187" s="34"/>
      <c r="KON187" s="34"/>
      <c r="KOO187" s="34"/>
      <c r="KOP187" s="34"/>
      <c r="KOQ187" s="34"/>
      <c r="KOR187" s="34"/>
      <c r="KOS187" s="34"/>
      <c r="KOT187" s="34"/>
      <c r="KOU187" s="34"/>
      <c r="KOV187" s="34"/>
      <c r="KOW187" s="34"/>
      <c r="KOX187" s="34"/>
      <c r="KOY187" s="34"/>
      <c r="KOZ187" s="34"/>
      <c r="KPA187" s="34"/>
      <c r="KPB187" s="34"/>
      <c r="KPC187" s="34"/>
      <c r="KPD187" s="34"/>
      <c r="KPE187" s="34"/>
      <c r="KPF187" s="34"/>
      <c r="KPG187" s="34"/>
      <c r="KPH187" s="34"/>
      <c r="KPI187" s="34"/>
      <c r="KPJ187" s="34"/>
      <c r="KPK187" s="34"/>
      <c r="KPL187" s="34"/>
      <c r="KPM187" s="34"/>
      <c r="KPN187" s="34"/>
      <c r="KPO187" s="34"/>
      <c r="KPP187" s="34"/>
      <c r="KPQ187" s="34"/>
      <c r="KPR187" s="34"/>
      <c r="KPS187" s="34"/>
      <c r="KPT187" s="34"/>
      <c r="KPU187" s="34"/>
      <c r="KPV187" s="34"/>
      <c r="KPW187" s="34"/>
      <c r="KPX187" s="34"/>
      <c r="KPY187" s="34"/>
      <c r="KPZ187" s="34"/>
      <c r="KQA187" s="34"/>
      <c r="KQB187" s="34"/>
      <c r="KQC187" s="34"/>
      <c r="KQD187" s="34"/>
      <c r="KQE187" s="34"/>
      <c r="KQF187" s="34"/>
      <c r="KQG187" s="34"/>
      <c r="KQH187" s="34"/>
      <c r="KQI187" s="34"/>
      <c r="KQJ187" s="34"/>
      <c r="KQK187" s="34"/>
      <c r="KQL187" s="34"/>
      <c r="KQM187" s="34"/>
      <c r="KQN187" s="34"/>
      <c r="KQO187" s="34"/>
      <c r="KQP187" s="34"/>
      <c r="KQQ187" s="34"/>
      <c r="KQR187" s="34"/>
      <c r="KQS187" s="34"/>
      <c r="KQT187" s="34"/>
      <c r="KQU187" s="34"/>
      <c r="KQV187" s="34"/>
      <c r="KQW187" s="34"/>
      <c r="KQX187" s="34"/>
      <c r="KQY187" s="34"/>
      <c r="KQZ187" s="34"/>
      <c r="KRA187" s="34"/>
      <c r="KRB187" s="34"/>
      <c r="KRC187" s="34"/>
      <c r="KRD187" s="34"/>
      <c r="KRE187" s="34"/>
      <c r="KRF187" s="34"/>
      <c r="KRG187" s="34"/>
      <c r="KRH187" s="34"/>
      <c r="KRI187" s="34"/>
      <c r="KRJ187" s="34"/>
      <c r="KRK187" s="34"/>
      <c r="KRL187" s="34"/>
      <c r="KRM187" s="34"/>
      <c r="KRN187" s="34"/>
      <c r="KRO187" s="34"/>
      <c r="KRP187" s="34"/>
      <c r="KRQ187" s="34"/>
      <c r="KRR187" s="34"/>
      <c r="KRS187" s="34"/>
      <c r="KRT187" s="34"/>
      <c r="KRU187" s="34"/>
      <c r="KRV187" s="34"/>
      <c r="KRW187" s="34"/>
      <c r="KRX187" s="34"/>
      <c r="KRY187" s="34"/>
      <c r="KRZ187" s="34"/>
      <c r="KSA187" s="34"/>
      <c r="KSB187" s="34"/>
      <c r="KSC187" s="34"/>
      <c r="KSD187" s="34"/>
      <c r="KSE187" s="34"/>
      <c r="KSF187" s="34"/>
      <c r="KSG187" s="34"/>
      <c r="KSH187" s="34"/>
      <c r="KSI187" s="34"/>
      <c r="KSJ187" s="34"/>
      <c r="KSK187" s="34"/>
      <c r="KSL187" s="34"/>
      <c r="KSM187" s="34"/>
      <c r="KSN187" s="34"/>
      <c r="KSO187" s="34"/>
      <c r="KSP187" s="34"/>
      <c r="KSQ187" s="34"/>
      <c r="KSR187" s="34"/>
      <c r="KSS187" s="34"/>
      <c r="KST187" s="34"/>
      <c r="KSU187" s="34"/>
      <c r="KSV187" s="34"/>
      <c r="KSW187" s="34"/>
      <c r="KSX187" s="34"/>
      <c r="KSY187" s="34"/>
      <c r="KSZ187" s="34"/>
      <c r="KTA187" s="34"/>
      <c r="KTB187" s="34"/>
      <c r="KTC187" s="34"/>
      <c r="KTD187" s="34"/>
      <c r="KTE187" s="34"/>
      <c r="KTF187" s="34"/>
      <c r="KTG187" s="34"/>
      <c r="KTH187" s="34"/>
      <c r="KTI187" s="34"/>
      <c r="KTJ187" s="34"/>
      <c r="KTK187" s="34"/>
      <c r="KTL187" s="34"/>
      <c r="KTM187" s="34"/>
      <c r="KTN187" s="34"/>
      <c r="KTO187" s="34"/>
      <c r="KTP187" s="34"/>
      <c r="KTQ187" s="34"/>
      <c r="KTR187" s="34"/>
      <c r="KTS187" s="34"/>
      <c r="KTT187" s="34"/>
      <c r="KTU187" s="34"/>
      <c r="KTV187" s="34"/>
      <c r="KTW187" s="34"/>
      <c r="KTX187" s="34"/>
      <c r="KTY187" s="34"/>
      <c r="KTZ187" s="34"/>
      <c r="KUA187" s="34"/>
      <c r="KUB187" s="34"/>
      <c r="KUC187" s="34"/>
      <c r="KUD187" s="34"/>
      <c r="KUE187" s="34"/>
      <c r="KUF187" s="34"/>
      <c r="KUG187" s="34"/>
      <c r="KUH187" s="34"/>
      <c r="KUI187" s="34"/>
      <c r="KUJ187" s="34"/>
      <c r="KUK187" s="34"/>
      <c r="KUL187" s="34"/>
      <c r="KUM187" s="34"/>
      <c r="KUN187" s="34"/>
      <c r="KUO187" s="34"/>
      <c r="KUP187" s="34"/>
      <c r="KUQ187" s="34"/>
      <c r="KUR187" s="34"/>
      <c r="KUS187" s="34"/>
      <c r="KUT187" s="34"/>
      <c r="KUU187" s="34"/>
      <c r="KUV187" s="34"/>
      <c r="KUW187" s="34"/>
      <c r="KUX187" s="34"/>
      <c r="KUY187" s="34"/>
      <c r="KUZ187" s="34"/>
      <c r="KVA187" s="34"/>
      <c r="KVB187" s="34"/>
      <c r="KVC187" s="34"/>
      <c r="KVD187" s="34"/>
      <c r="KVE187" s="34"/>
      <c r="KVF187" s="34"/>
      <c r="KVG187" s="34"/>
      <c r="KVH187" s="34"/>
      <c r="KVI187" s="34"/>
      <c r="KVJ187" s="34"/>
      <c r="KVK187" s="34"/>
      <c r="KVL187" s="34"/>
      <c r="KVM187" s="34"/>
      <c r="KVN187" s="34"/>
      <c r="KVO187" s="34"/>
      <c r="KVP187" s="34"/>
      <c r="KVQ187" s="34"/>
      <c r="KVR187" s="34"/>
      <c r="KVS187" s="34"/>
      <c r="KVT187" s="34"/>
      <c r="KVU187" s="34"/>
      <c r="KVV187" s="34"/>
      <c r="KVW187" s="34"/>
      <c r="KVX187" s="34"/>
      <c r="KVY187" s="34"/>
      <c r="KVZ187" s="34"/>
      <c r="KWA187" s="34"/>
      <c r="KWB187" s="34"/>
      <c r="KWC187" s="34"/>
      <c r="KWD187" s="34"/>
      <c r="KWE187" s="34"/>
      <c r="KWF187" s="34"/>
      <c r="KWG187" s="34"/>
      <c r="KWH187" s="34"/>
      <c r="KWI187" s="34"/>
      <c r="KWJ187" s="34"/>
      <c r="KWK187" s="34"/>
      <c r="KWL187" s="34"/>
      <c r="KWM187" s="34"/>
      <c r="KWN187" s="34"/>
      <c r="KWO187" s="34"/>
      <c r="KWP187" s="34"/>
      <c r="KWQ187" s="34"/>
      <c r="KWR187" s="34"/>
      <c r="KWS187" s="34"/>
      <c r="KWT187" s="34"/>
      <c r="KWU187" s="34"/>
      <c r="KWV187" s="34"/>
      <c r="KWW187" s="34"/>
      <c r="KWX187" s="34"/>
      <c r="KWY187" s="34"/>
      <c r="KWZ187" s="34"/>
      <c r="KXA187" s="34"/>
      <c r="KXB187" s="34"/>
      <c r="KXC187" s="34"/>
      <c r="KXD187" s="34"/>
      <c r="KXE187" s="34"/>
      <c r="KXF187" s="34"/>
      <c r="KXG187" s="34"/>
      <c r="KXH187" s="34"/>
      <c r="KXI187" s="34"/>
      <c r="KXJ187" s="34"/>
      <c r="KXK187" s="34"/>
      <c r="KXL187" s="34"/>
      <c r="KXM187" s="34"/>
      <c r="KXN187" s="34"/>
      <c r="KXO187" s="34"/>
      <c r="KXP187" s="34"/>
      <c r="KXQ187" s="34"/>
      <c r="KXR187" s="34"/>
      <c r="KXS187" s="34"/>
      <c r="KXT187" s="34"/>
      <c r="KXU187" s="34"/>
      <c r="KXV187" s="34"/>
      <c r="KXW187" s="34"/>
      <c r="KXX187" s="34"/>
      <c r="KXY187" s="34"/>
      <c r="KXZ187" s="34"/>
      <c r="KYA187" s="34"/>
      <c r="KYB187" s="34"/>
      <c r="KYC187" s="34"/>
      <c r="KYD187" s="34"/>
      <c r="KYE187" s="34"/>
      <c r="KYF187" s="34"/>
      <c r="KYG187" s="34"/>
      <c r="KYH187" s="34"/>
      <c r="KYI187" s="34"/>
      <c r="KYJ187" s="34"/>
      <c r="KYK187" s="34"/>
      <c r="KYL187" s="34"/>
      <c r="KYM187" s="34"/>
      <c r="KYN187" s="34"/>
      <c r="KYO187" s="34"/>
      <c r="KYP187" s="34"/>
      <c r="KYQ187" s="34"/>
      <c r="KYR187" s="34"/>
      <c r="KYS187" s="34"/>
      <c r="KYT187" s="34"/>
      <c r="KYU187" s="34"/>
      <c r="KYV187" s="34"/>
      <c r="KYW187" s="34"/>
      <c r="KYX187" s="34"/>
      <c r="KYY187" s="34"/>
      <c r="KYZ187" s="34"/>
      <c r="KZA187" s="34"/>
      <c r="KZB187" s="34"/>
      <c r="KZC187" s="34"/>
      <c r="KZD187" s="34"/>
      <c r="KZE187" s="34"/>
      <c r="KZF187" s="34"/>
      <c r="KZG187" s="34"/>
      <c r="KZH187" s="34"/>
      <c r="KZI187" s="34"/>
      <c r="KZJ187" s="34"/>
      <c r="KZK187" s="34"/>
      <c r="KZL187" s="34"/>
      <c r="KZM187" s="34"/>
      <c r="KZN187" s="34"/>
      <c r="KZO187" s="34"/>
      <c r="KZP187" s="34"/>
      <c r="KZQ187" s="34"/>
      <c r="KZR187" s="34"/>
      <c r="KZS187" s="34"/>
      <c r="KZT187" s="34"/>
      <c r="KZU187" s="34"/>
      <c r="KZV187" s="34"/>
      <c r="KZW187" s="34"/>
      <c r="KZX187" s="34"/>
      <c r="KZY187" s="34"/>
      <c r="KZZ187" s="34"/>
      <c r="LAA187" s="34"/>
      <c r="LAB187" s="34"/>
      <c r="LAC187" s="34"/>
      <c r="LAD187" s="34"/>
      <c r="LAE187" s="34"/>
      <c r="LAF187" s="34"/>
      <c r="LAG187" s="34"/>
      <c r="LAH187" s="34"/>
      <c r="LAI187" s="34"/>
      <c r="LAJ187" s="34"/>
      <c r="LAK187" s="34"/>
      <c r="LAL187" s="34"/>
      <c r="LAM187" s="34"/>
      <c r="LAN187" s="34"/>
      <c r="LAO187" s="34"/>
      <c r="LAP187" s="34"/>
      <c r="LAQ187" s="34"/>
      <c r="LAR187" s="34"/>
      <c r="LAS187" s="34"/>
      <c r="LAT187" s="34"/>
      <c r="LAU187" s="34"/>
      <c r="LAV187" s="34"/>
      <c r="LAW187" s="34"/>
      <c r="LAX187" s="34"/>
      <c r="LAY187" s="34"/>
      <c r="LAZ187" s="34"/>
      <c r="LBA187" s="34"/>
      <c r="LBB187" s="34"/>
      <c r="LBC187" s="34"/>
      <c r="LBD187" s="34"/>
      <c r="LBE187" s="34"/>
      <c r="LBF187" s="34"/>
      <c r="LBG187" s="34"/>
      <c r="LBH187" s="34"/>
      <c r="LBI187" s="34"/>
      <c r="LBJ187" s="34"/>
      <c r="LBK187" s="34"/>
      <c r="LBL187" s="34"/>
      <c r="LBM187" s="34"/>
      <c r="LBN187" s="34"/>
      <c r="LBO187" s="34"/>
      <c r="LBP187" s="34"/>
      <c r="LBQ187" s="34"/>
      <c r="LBR187" s="34"/>
      <c r="LBS187" s="34"/>
      <c r="LBT187" s="34"/>
      <c r="LBU187" s="34"/>
      <c r="LBV187" s="34"/>
      <c r="LBW187" s="34"/>
      <c r="LBX187" s="34"/>
      <c r="LBY187" s="34"/>
      <c r="LBZ187" s="34"/>
      <c r="LCA187" s="34"/>
      <c r="LCB187" s="34"/>
      <c r="LCC187" s="34"/>
      <c r="LCD187" s="34"/>
      <c r="LCE187" s="34"/>
      <c r="LCF187" s="34"/>
      <c r="LCG187" s="34"/>
      <c r="LCH187" s="34"/>
      <c r="LCI187" s="34"/>
      <c r="LCJ187" s="34"/>
      <c r="LCK187" s="34"/>
      <c r="LCL187" s="34"/>
      <c r="LCM187" s="34"/>
      <c r="LCN187" s="34"/>
      <c r="LCO187" s="34"/>
      <c r="LCP187" s="34"/>
      <c r="LCQ187" s="34"/>
      <c r="LCR187" s="34"/>
      <c r="LCS187" s="34"/>
      <c r="LCT187" s="34"/>
      <c r="LCU187" s="34"/>
      <c r="LCV187" s="34"/>
      <c r="LCW187" s="34"/>
      <c r="LCX187" s="34"/>
      <c r="LCY187" s="34"/>
      <c r="LCZ187" s="34"/>
      <c r="LDA187" s="34"/>
      <c r="LDB187" s="34"/>
      <c r="LDC187" s="34"/>
      <c r="LDD187" s="34"/>
      <c r="LDE187" s="34"/>
      <c r="LDF187" s="34"/>
      <c r="LDG187" s="34"/>
      <c r="LDH187" s="34"/>
      <c r="LDI187" s="34"/>
      <c r="LDJ187" s="34"/>
      <c r="LDK187" s="34"/>
      <c r="LDL187" s="34"/>
      <c r="LDM187" s="34"/>
      <c r="LDN187" s="34"/>
      <c r="LDO187" s="34"/>
      <c r="LDP187" s="34"/>
      <c r="LDQ187" s="34"/>
      <c r="LDR187" s="34"/>
      <c r="LDS187" s="34"/>
      <c r="LDT187" s="34"/>
      <c r="LDU187" s="34"/>
      <c r="LDV187" s="34"/>
      <c r="LDW187" s="34"/>
      <c r="LDX187" s="34"/>
      <c r="LDY187" s="34"/>
      <c r="LDZ187" s="34"/>
      <c r="LEA187" s="34"/>
      <c r="LEB187" s="34"/>
      <c r="LEC187" s="34"/>
      <c r="LED187" s="34"/>
      <c r="LEE187" s="34"/>
      <c r="LEF187" s="34"/>
      <c r="LEG187" s="34"/>
      <c r="LEH187" s="34"/>
      <c r="LEI187" s="34"/>
      <c r="LEJ187" s="34"/>
      <c r="LEK187" s="34"/>
      <c r="LEL187" s="34"/>
      <c r="LEM187" s="34"/>
      <c r="LEN187" s="34"/>
      <c r="LEO187" s="34"/>
      <c r="LEP187" s="34"/>
      <c r="LEQ187" s="34"/>
      <c r="LER187" s="34"/>
      <c r="LES187" s="34"/>
      <c r="LET187" s="34"/>
      <c r="LEU187" s="34"/>
      <c r="LEV187" s="34"/>
      <c r="LEW187" s="34"/>
      <c r="LEX187" s="34"/>
      <c r="LEY187" s="34"/>
      <c r="LEZ187" s="34"/>
      <c r="LFA187" s="34"/>
      <c r="LFB187" s="34"/>
      <c r="LFC187" s="34"/>
      <c r="LFD187" s="34"/>
      <c r="LFE187" s="34"/>
      <c r="LFF187" s="34"/>
      <c r="LFG187" s="34"/>
      <c r="LFH187" s="34"/>
      <c r="LFI187" s="34"/>
      <c r="LFJ187" s="34"/>
      <c r="LFK187" s="34"/>
      <c r="LFL187" s="34"/>
      <c r="LFM187" s="34"/>
      <c r="LFN187" s="34"/>
      <c r="LFO187" s="34"/>
      <c r="LFP187" s="34"/>
      <c r="LFQ187" s="34"/>
      <c r="LFR187" s="34"/>
      <c r="LFS187" s="34"/>
      <c r="LFT187" s="34"/>
      <c r="LFU187" s="34"/>
      <c r="LFV187" s="34"/>
      <c r="LFW187" s="34"/>
      <c r="LFX187" s="34"/>
      <c r="LFY187" s="34"/>
      <c r="LFZ187" s="34"/>
      <c r="LGA187" s="34"/>
      <c r="LGB187" s="34"/>
      <c r="LGC187" s="34"/>
      <c r="LGD187" s="34"/>
      <c r="LGE187" s="34"/>
      <c r="LGF187" s="34"/>
      <c r="LGG187" s="34"/>
      <c r="LGH187" s="34"/>
      <c r="LGI187" s="34"/>
      <c r="LGJ187" s="34"/>
      <c r="LGK187" s="34"/>
      <c r="LGL187" s="34"/>
      <c r="LGM187" s="34"/>
      <c r="LGN187" s="34"/>
      <c r="LGO187" s="34"/>
      <c r="LGP187" s="34"/>
      <c r="LGQ187" s="34"/>
      <c r="LGR187" s="34"/>
      <c r="LGS187" s="34"/>
      <c r="LGT187" s="34"/>
      <c r="LGU187" s="34"/>
      <c r="LGV187" s="34"/>
      <c r="LGW187" s="34"/>
      <c r="LGX187" s="34"/>
      <c r="LGY187" s="34"/>
      <c r="LGZ187" s="34"/>
      <c r="LHA187" s="34"/>
      <c r="LHB187" s="34"/>
      <c r="LHC187" s="34"/>
      <c r="LHD187" s="34"/>
      <c r="LHE187" s="34"/>
      <c r="LHF187" s="34"/>
      <c r="LHG187" s="34"/>
      <c r="LHH187" s="34"/>
      <c r="LHI187" s="34"/>
      <c r="LHJ187" s="34"/>
      <c r="LHK187" s="34"/>
      <c r="LHL187" s="34"/>
      <c r="LHM187" s="34"/>
      <c r="LHN187" s="34"/>
      <c r="LHO187" s="34"/>
      <c r="LHP187" s="34"/>
      <c r="LHQ187" s="34"/>
      <c r="LHR187" s="34"/>
      <c r="LHS187" s="34"/>
      <c r="LHT187" s="34"/>
      <c r="LHU187" s="34"/>
      <c r="LHV187" s="34"/>
      <c r="LHW187" s="34"/>
      <c r="LHX187" s="34"/>
      <c r="LHY187" s="34"/>
      <c r="LHZ187" s="34"/>
      <c r="LIA187" s="34"/>
      <c r="LIB187" s="34"/>
      <c r="LIC187" s="34"/>
      <c r="LID187" s="34"/>
      <c r="LIE187" s="34"/>
      <c r="LIF187" s="34"/>
      <c r="LIG187" s="34"/>
      <c r="LIH187" s="34"/>
      <c r="LII187" s="34"/>
      <c r="LIJ187" s="34"/>
      <c r="LIK187" s="34"/>
      <c r="LIL187" s="34"/>
      <c r="LIM187" s="34"/>
      <c r="LIN187" s="34"/>
      <c r="LIO187" s="34"/>
      <c r="LIP187" s="34"/>
      <c r="LIQ187" s="34"/>
      <c r="LIR187" s="34"/>
      <c r="LIS187" s="34"/>
      <c r="LIT187" s="34"/>
      <c r="LIU187" s="34"/>
      <c r="LIV187" s="34"/>
      <c r="LIW187" s="34"/>
      <c r="LIX187" s="34"/>
      <c r="LIY187" s="34"/>
      <c r="LIZ187" s="34"/>
      <c r="LJA187" s="34"/>
      <c r="LJB187" s="34"/>
      <c r="LJC187" s="34"/>
      <c r="LJD187" s="34"/>
      <c r="LJE187" s="34"/>
      <c r="LJF187" s="34"/>
      <c r="LJG187" s="34"/>
      <c r="LJH187" s="34"/>
      <c r="LJI187" s="34"/>
      <c r="LJJ187" s="34"/>
      <c r="LJK187" s="34"/>
      <c r="LJL187" s="34"/>
      <c r="LJM187" s="34"/>
      <c r="LJN187" s="34"/>
      <c r="LJO187" s="34"/>
      <c r="LJP187" s="34"/>
      <c r="LJQ187" s="34"/>
      <c r="LJR187" s="34"/>
      <c r="LJS187" s="34"/>
      <c r="LJT187" s="34"/>
      <c r="LJU187" s="34"/>
      <c r="LJV187" s="34"/>
      <c r="LJW187" s="34"/>
      <c r="LJX187" s="34"/>
      <c r="LJY187" s="34"/>
      <c r="LJZ187" s="34"/>
      <c r="LKA187" s="34"/>
      <c r="LKB187" s="34"/>
      <c r="LKC187" s="34"/>
      <c r="LKD187" s="34"/>
      <c r="LKE187" s="34"/>
      <c r="LKF187" s="34"/>
      <c r="LKG187" s="34"/>
      <c r="LKH187" s="34"/>
      <c r="LKI187" s="34"/>
      <c r="LKJ187" s="34"/>
      <c r="LKK187" s="34"/>
      <c r="LKL187" s="34"/>
      <c r="LKM187" s="34"/>
      <c r="LKN187" s="34"/>
      <c r="LKO187" s="34"/>
      <c r="LKP187" s="34"/>
      <c r="LKQ187" s="34"/>
      <c r="LKR187" s="34"/>
      <c r="LKS187" s="34"/>
      <c r="LKT187" s="34"/>
      <c r="LKU187" s="34"/>
      <c r="LKV187" s="34"/>
      <c r="LKW187" s="34"/>
      <c r="LKX187" s="34"/>
      <c r="LKY187" s="34"/>
      <c r="LKZ187" s="34"/>
      <c r="LLA187" s="34"/>
      <c r="LLB187" s="34"/>
      <c r="LLC187" s="34"/>
      <c r="LLD187" s="34"/>
      <c r="LLE187" s="34"/>
      <c r="LLF187" s="34"/>
      <c r="LLG187" s="34"/>
      <c r="LLH187" s="34"/>
      <c r="LLI187" s="34"/>
      <c r="LLJ187" s="34"/>
      <c r="LLK187" s="34"/>
      <c r="LLL187" s="34"/>
      <c r="LLM187" s="34"/>
      <c r="LLN187" s="34"/>
      <c r="LLO187" s="34"/>
      <c r="LLP187" s="34"/>
      <c r="LLQ187" s="34"/>
      <c r="LLR187" s="34"/>
      <c r="LLS187" s="34"/>
      <c r="LLT187" s="34"/>
      <c r="LLU187" s="34"/>
      <c r="LLV187" s="34"/>
      <c r="LLW187" s="34"/>
      <c r="LLX187" s="34"/>
      <c r="LLY187" s="34"/>
      <c r="LLZ187" s="34"/>
      <c r="LMA187" s="34"/>
      <c r="LMB187" s="34"/>
      <c r="LMC187" s="34"/>
      <c r="LMD187" s="34"/>
      <c r="LME187" s="34"/>
      <c r="LMF187" s="34"/>
      <c r="LMG187" s="34"/>
      <c r="LMH187" s="34"/>
      <c r="LMI187" s="34"/>
      <c r="LMJ187" s="34"/>
      <c r="LMK187" s="34"/>
      <c r="LML187" s="34"/>
      <c r="LMM187" s="34"/>
      <c r="LMN187" s="34"/>
      <c r="LMO187" s="34"/>
      <c r="LMP187" s="34"/>
      <c r="LMQ187" s="34"/>
      <c r="LMR187" s="34"/>
      <c r="LMS187" s="34"/>
      <c r="LMT187" s="34"/>
      <c r="LMU187" s="34"/>
      <c r="LMV187" s="34"/>
      <c r="LMW187" s="34"/>
      <c r="LMX187" s="34"/>
      <c r="LMY187" s="34"/>
      <c r="LMZ187" s="34"/>
      <c r="LNA187" s="34"/>
      <c r="LNB187" s="34"/>
      <c r="LNC187" s="34"/>
      <c r="LND187" s="34"/>
      <c r="LNE187" s="34"/>
      <c r="LNF187" s="34"/>
      <c r="LNG187" s="34"/>
      <c r="LNH187" s="34"/>
      <c r="LNI187" s="34"/>
      <c r="LNJ187" s="34"/>
      <c r="LNK187" s="34"/>
      <c r="LNL187" s="34"/>
      <c r="LNM187" s="34"/>
      <c r="LNN187" s="34"/>
      <c r="LNO187" s="34"/>
      <c r="LNP187" s="34"/>
      <c r="LNQ187" s="34"/>
      <c r="LNR187" s="34"/>
      <c r="LNS187" s="34"/>
      <c r="LNT187" s="34"/>
      <c r="LNU187" s="34"/>
      <c r="LNV187" s="34"/>
      <c r="LNW187" s="34"/>
      <c r="LNX187" s="34"/>
      <c r="LNY187" s="34"/>
      <c r="LNZ187" s="34"/>
      <c r="LOA187" s="34"/>
      <c r="LOB187" s="34"/>
      <c r="LOC187" s="34"/>
      <c r="LOD187" s="34"/>
      <c r="LOE187" s="34"/>
      <c r="LOF187" s="34"/>
      <c r="LOG187" s="34"/>
      <c r="LOH187" s="34"/>
      <c r="LOI187" s="34"/>
      <c r="LOJ187" s="34"/>
      <c r="LOK187" s="34"/>
      <c r="LOL187" s="34"/>
      <c r="LOM187" s="34"/>
      <c r="LON187" s="34"/>
      <c r="LOO187" s="34"/>
      <c r="LOP187" s="34"/>
      <c r="LOQ187" s="34"/>
      <c r="LOR187" s="34"/>
      <c r="LOS187" s="34"/>
      <c r="LOT187" s="34"/>
      <c r="LOU187" s="34"/>
      <c r="LOV187" s="34"/>
      <c r="LOW187" s="34"/>
      <c r="LOX187" s="34"/>
      <c r="LOY187" s="34"/>
      <c r="LOZ187" s="34"/>
      <c r="LPA187" s="34"/>
      <c r="LPB187" s="34"/>
      <c r="LPC187" s="34"/>
      <c r="LPD187" s="34"/>
      <c r="LPE187" s="34"/>
      <c r="LPF187" s="34"/>
      <c r="LPG187" s="34"/>
      <c r="LPH187" s="34"/>
      <c r="LPI187" s="34"/>
      <c r="LPJ187" s="34"/>
      <c r="LPK187" s="34"/>
      <c r="LPL187" s="34"/>
      <c r="LPM187" s="34"/>
      <c r="LPN187" s="34"/>
      <c r="LPO187" s="34"/>
      <c r="LPP187" s="34"/>
      <c r="LPQ187" s="34"/>
      <c r="LPR187" s="34"/>
      <c r="LPS187" s="34"/>
      <c r="LPT187" s="34"/>
      <c r="LPU187" s="34"/>
      <c r="LPV187" s="34"/>
      <c r="LPW187" s="34"/>
      <c r="LPX187" s="34"/>
      <c r="LPY187" s="34"/>
      <c r="LPZ187" s="34"/>
      <c r="LQA187" s="34"/>
      <c r="LQB187" s="34"/>
      <c r="LQC187" s="34"/>
      <c r="LQD187" s="34"/>
      <c r="LQE187" s="34"/>
      <c r="LQF187" s="34"/>
      <c r="LQG187" s="34"/>
      <c r="LQH187" s="34"/>
      <c r="LQI187" s="34"/>
      <c r="LQJ187" s="34"/>
      <c r="LQK187" s="34"/>
      <c r="LQL187" s="34"/>
      <c r="LQM187" s="34"/>
      <c r="LQN187" s="34"/>
      <c r="LQO187" s="34"/>
      <c r="LQP187" s="34"/>
      <c r="LQQ187" s="34"/>
      <c r="LQR187" s="34"/>
      <c r="LQS187" s="34"/>
      <c r="LQT187" s="34"/>
      <c r="LQU187" s="34"/>
      <c r="LQV187" s="34"/>
      <c r="LQW187" s="34"/>
      <c r="LQX187" s="34"/>
      <c r="LQY187" s="34"/>
      <c r="LQZ187" s="34"/>
      <c r="LRA187" s="34"/>
      <c r="LRB187" s="34"/>
      <c r="LRC187" s="34"/>
      <c r="LRD187" s="34"/>
      <c r="LRE187" s="34"/>
      <c r="LRF187" s="34"/>
      <c r="LRG187" s="34"/>
      <c r="LRH187" s="34"/>
      <c r="LRI187" s="34"/>
      <c r="LRJ187" s="34"/>
      <c r="LRK187" s="34"/>
      <c r="LRL187" s="34"/>
      <c r="LRM187" s="34"/>
      <c r="LRN187" s="34"/>
      <c r="LRO187" s="34"/>
      <c r="LRP187" s="34"/>
      <c r="LRQ187" s="34"/>
      <c r="LRR187" s="34"/>
      <c r="LRS187" s="34"/>
      <c r="LRT187" s="34"/>
      <c r="LRU187" s="34"/>
      <c r="LRV187" s="34"/>
      <c r="LRW187" s="34"/>
      <c r="LRX187" s="34"/>
      <c r="LRY187" s="34"/>
      <c r="LRZ187" s="34"/>
      <c r="LSA187" s="34"/>
      <c r="LSB187" s="34"/>
      <c r="LSC187" s="34"/>
      <c r="LSD187" s="34"/>
      <c r="LSE187" s="34"/>
      <c r="LSF187" s="34"/>
      <c r="LSG187" s="34"/>
      <c r="LSH187" s="34"/>
      <c r="LSI187" s="34"/>
      <c r="LSJ187" s="34"/>
      <c r="LSK187" s="34"/>
      <c r="LSL187" s="34"/>
      <c r="LSM187" s="34"/>
      <c r="LSN187" s="34"/>
      <c r="LSO187" s="34"/>
      <c r="LSP187" s="34"/>
      <c r="LSQ187" s="34"/>
      <c r="LSR187" s="34"/>
      <c r="LSS187" s="34"/>
      <c r="LST187" s="34"/>
      <c r="LSU187" s="34"/>
      <c r="LSV187" s="34"/>
      <c r="LSW187" s="34"/>
      <c r="LSX187" s="34"/>
      <c r="LSY187" s="34"/>
      <c r="LSZ187" s="34"/>
      <c r="LTA187" s="34"/>
      <c r="LTB187" s="34"/>
      <c r="LTC187" s="34"/>
      <c r="LTD187" s="34"/>
      <c r="LTE187" s="34"/>
      <c r="LTF187" s="34"/>
      <c r="LTG187" s="34"/>
      <c r="LTH187" s="34"/>
      <c r="LTI187" s="34"/>
      <c r="LTJ187" s="34"/>
      <c r="LTK187" s="34"/>
      <c r="LTL187" s="34"/>
      <c r="LTM187" s="34"/>
      <c r="LTN187" s="34"/>
      <c r="LTO187" s="34"/>
      <c r="LTP187" s="34"/>
      <c r="LTQ187" s="34"/>
      <c r="LTR187" s="34"/>
      <c r="LTS187" s="34"/>
      <c r="LTT187" s="34"/>
      <c r="LTU187" s="34"/>
      <c r="LTV187" s="34"/>
      <c r="LTW187" s="34"/>
      <c r="LTX187" s="34"/>
      <c r="LTY187" s="34"/>
      <c r="LTZ187" s="34"/>
      <c r="LUA187" s="34"/>
      <c r="LUB187" s="34"/>
      <c r="LUC187" s="34"/>
      <c r="LUD187" s="34"/>
      <c r="LUE187" s="34"/>
      <c r="LUF187" s="34"/>
      <c r="LUG187" s="34"/>
      <c r="LUH187" s="34"/>
      <c r="LUI187" s="34"/>
      <c r="LUJ187" s="34"/>
      <c r="LUK187" s="34"/>
      <c r="LUL187" s="34"/>
      <c r="LUM187" s="34"/>
      <c r="LUN187" s="34"/>
      <c r="LUO187" s="34"/>
      <c r="LUP187" s="34"/>
      <c r="LUQ187" s="34"/>
      <c r="LUR187" s="34"/>
      <c r="LUS187" s="34"/>
      <c r="LUT187" s="34"/>
      <c r="LUU187" s="34"/>
      <c r="LUV187" s="34"/>
      <c r="LUW187" s="34"/>
      <c r="LUX187" s="34"/>
      <c r="LUY187" s="34"/>
      <c r="LUZ187" s="34"/>
      <c r="LVA187" s="34"/>
      <c r="LVB187" s="34"/>
      <c r="LVC187" s="34"/>
      <c r="LVD187" s="34"/>
      <c r="LVE187" s="34"/>
      <c r="LVF187" s="34"/>
      <c r="LVG187" s="34"/>
      <c r="LVH187" s="34"/>
      <c r="LVI187" s="34"/>
      <c r="LVJ187" s="34"/>
      <c r="LVK187" s="34"/>
      <c r="LVL187" s="34"/>
      <c r="LVM187" s="34"/>
      <c r="LVN187" s="34"/>
      <c r="LVO187" s="34"/>
      <c r="LVP187" s="34"/>
      <c r="LVQ187" s="34"/>
      <c r="LVR187" s="34"/>
      <c r="LVS187" s="34"/>
      <c r="LVT187" s="34"/>
      <c r="LVU187" s="34"/>
      <c r="LVV187" s="34"/>
      <c r="LVW187" s="34"/>
      <c r="LVX187" s="34"/>
      <c r="LVY187" s="34"/>
      <c r="LVZ187" s="34"/>
      <c r="LWA187" s="34"/>
      <c r="LWB187" s="34"/>
      <c r="LWC187" s="34"/>
      <c r="LWD187" s="34"/>
      <c r="LWE187" s="34"/>
      <c r="LWF187" s="34"/>
      <c r="LWG187" s="34"/>
      <c r="LWH187" s="34"/>
      <c r="LWI187" s="34"/>
      <c r="LWJ187" s="34"/>
      <c r="LWK187" s="34"/>
      <c r="LWL187" s="34"/>
      <c r="LWM187" s="34"/>
      <c r="LWN187" s="34"/>
      <c r="LWO187" s="34"/>
      <c r="LWP187" s="34"/>
      <c r="LWQ187" s="34"/>
      <c r="LWR187" s="34"/>
      <c r="LWS187" s="34"/>
      <c r="LWT187" s="34"/>
      <c r="LWU187" s="34"/>
      <c r="LWV187" s="34"/>
      <c r="LWW187" s="34"/>
      <c r="LWX187" s="34"/>
      <c r="LWY187" s="34"/>
      <c r="LWZ187" s="34"/>
      <c r="LXA187" s="34"/>
      <c r="LXB187" s="34"/>
      <c r="LXC187" s="34"/>
      <c r="LXD187" s="34"/>
      <c r="LXE187" s="34"/>
      <c r="LXF187" s="34"/>
      <c r="LXG187" s="34"/>
      <c r="LXH187" s="34"/>
      <c r="LXI187" s="34"/>
      <c r="LXJ187" s="34"/>
      <c r="LXK187" s="34"/>
      <c r="LXL187" s="34"/>
      <c r="LXM187" s="34"/>
      <c r="LXN187" s="34"/>
      <c r="LXO187" s="34"/>
      <c r="LXP187" s="34"/>
      <c r="LXQ187" s="34"/>
      <c r="LXR187" s="34"/>
      <c r="LXS187" s="34"/>
      <c r="LXT187" s="34"/>
      <c r="LXU187" s="34"/>
      <c r="LXV187" s="34"/>
      <c r="LXW187" s="34"/>
      <c r="LXX187" s="34"/>
      <c r="LXY187" s="34"/>
      <c r="LXZ187" s="34"/>
      <c r="LYA187" s="34"/>
      <c r="LYB187" s="34"/>
      <c r="LYC187" s="34"/>
      <c r="LYD187" s="34"/>
      <c r="LYE187" s="34"/>
      <c r="LYF187" s="34"/>
      <c r="LYG187" s="34"/>
      <c r="LYH187" s="34"/>
      <c r="LYI187" s="34"/>
      <c r="LYJ187" s="34"/>
      <c r="LYK187" s="34"/>
      <c r="LYL187" s="34"/>
      <c r="LYM187" s="34"/>
      <c r="LYN187" s="34"/>
      <c r="LYO187" s="34"/>
      <c r="LYP187" s="34"/>
      <c r="LYQ187" s="34"/>
      <c r="LYR187" s="34"/>
      <c r="LYS187" s="34"/>
      <c r="LYT187" s="34"/>
      <c r="LYU187" s="34"/>
      <c r="LYV187" s="34"/>
      <c r="LYW187" s="34"/>
      <c r="LYX187" s="34"/>
      <c r="LYY187" s="34"/>
      <c r="LYZ187" s="34"/>
      <c r="LZA187" s="34"/>
      <c r="LZB187" s="34"/>
      <c r="LZC187" s="34"/>
      <c r="LZD187" s="34"/>
      <c r="LZE187" s="34"/>
      <c r="LZF187" s="34"/>
      <c r="LZG187" s="34"/>
      <c r="LZH187" s="34"/>
      <c r="LZI187" s="34"/>
      <c r="LZJ187" s="34"/>
      <c r="LZK187" s="34"/>
      <c r="LZL187" s="34"/>
      <c r="LZM187" s="34"/>
      <c r="LZN187" s="34"/>
      <c r="LZO187" s="34"/>
      <c r="LZP187" s="34"/>
      <c r="LZQ187" s="34"/>
      <c r="LZR187" s="34"/>
      <c r="LZS187" s="34"/>
      <c r="LZT187" s="34"/>
      <c r="LZU187" s="34"/>
      <c r="LZV187" s="34"/>
      <c r="LZW187" s="34"/>
      <c r="LZX187" s="34"/>
      <c r="LZY187" s="34"/>
      <c r="LZZ187" s="34"/>
      <c r="MAA187" s="34"/>
      <c r="MAB187" s="34"/>
      <c r="MAC187" s="34"/>
      <c r="MAD187" s="34"/>
      <c r="MAE187" s="34"/>
      <c r="MAF187" s="34"/>
      <c r="MAG187" s="34"/>
      <c r="MAH187" s="34"/>
      <c r="MAI187" s="34"/>
      <c r="MAJ187" s="34"/>
      <c r="MAK187" s="34"/>
      <c r="MAL187" s="34"/>
      <c r="MAM187" s="34"/>
      <c r="MAN187" s="34"/>
      <c r="MAO187" s="34"/>
      <c r="MAP187" s="34"/>
      <c r="MAQ187" s="34"/>
      <c r="MAR187" s="34"/>
      <c r="MAS187" s="34"/>
      <c r="MAT187" s="34"/>
      <c r="MAU187" s="34"/>
      <c r="MAV187" s="34"/>
      <c r="MAW187" s="34"/>
      <c r="MAX187" s="34"/>
      <c r="MAY187" s="34"/>
      <c r="MAZ187" s="34"/>
      <c r="MBA187" s="34"/>
      <c r="MBB187" s="34"/>
      <c r="MBC187" s="34"/>
      <c r="MBD187" s="34"/>
      <c r="MBE187" s="34"/>
      <c r="MBF187" s="34"/>
      <c r="MBG187" s="34"/>
      <c r="MBH187" s="34"/>
      <c r="MBI187" s="34"/>
      <c r="MBJ187" s="34"/>
      <c r="MBK187" s="34"/>
      <c r="MBL187" s="34"/>
      <c r="MBM187" s="34"/>
      <c r="MBN187" s="34"/>
      <c r="MBO187" s="34"/>
      <c r="MBP187" s="34"/>
      <c r="MBQ187" s="34"/>
      <c r="MBR187" s="34"/>
      <c r="MBS187" s="34"/>
      <c r="MBT187" s="34"/>
      <c r="MBU187" s="34"/>
      <c r="MBV187" s="34"/>
      <c r="MBW187" s="34"/>
      <c r="MBX187" s="34"/>
      <c r="MBY187" s="34"/>
      <c r="MBZ187" s="34"/>
      <c r="MCA187" s="34"/>
      <c r="MCB187" s="34"/>
      <c r="MCC187" s="34"/>
      <c r="MCD187" s="34"/>
      <c r="MCE187" s="34"/>
      <c r="MCF187" s="34"/>
      <c r="MCG187" s="34"/>
      <c r="MCH187" s="34"/>
      <c r="MCI187" s="34"/>
      <c r="MCJ187" s="34"/>
      <c r="MCK187" s="34"/>
      <c r="MCL187" s="34"/>
      <c r="MCM187" s="34"/>
      <c r="MCN187" s="34"/>
      <c r="MCO187" s="34"/>
      <c r="MCP187" s="34"/>
      <c r="MCQ187" s="34"/>
      <c r="MCR187" s="34"/>
      <c r="MCS187" s="34"/>
      <c r="MCT187" s="34"/>
      <c r="MCU187" s="34"/>
      <c r="MCV187" s="34"/>
      <c r="MCW187" s="34"/>
      <c r="MCX187" s="34"/>
      <c r="MCY187" s="34"/>
      <c r="MCZ187" s="34"/>
      <c r="MDA187" s="34"/>
      <c r="MDB187" s="34"/>
      <c r="MDC187" s="34"/>
      <c r="MDD187" s="34"/>
      <c r="MDE187" s="34"/>
      <c r="MDF187" s="34"/>
      <c r="MDG187" s="34"/>
      <c r="MDH187" s="34"/>
      <c r="MDI187" s="34"/>
      <c r="MDJ187" s="34"/>
      <c r="MDK187" s="34"/>
      <c r="MDL187" s="34"/>
      <c r="MDM187" s="34"/>
      <c r="MDN187" s="34"/>
      <c r="MDO187" s="34"/>
      <c r="MDP187" s="34"/>
      <c r="MDQ187" s="34"/>
      <c r="MDR187" s="34"/>
      <c r="MDS187" s="34"/>
      <c r="MDT187" s="34"/>
      <c r="MDU187" s="34"/>
      <c r="MDV187" s="34"/>
      <c r="MDW187" s="34"/>
      <c r="MDX187" s="34"/>
      <c r="MDY187" s="34"/>
      <c r="MDZ187" s="34"/>
      <c r="MEA187" s="34"/>
      <c r="MEB187" s="34"/>
      <c r="MEC187" s="34"/>
      <c r="MED187" s="34"/>
      <c r="MEE187" s="34"/>
      <c r="MEF187" s="34"/>
      <c r="MEG187" s="34"/>
      <c r="MEH187" s="34"/>
      <c r="MEI187" s="34"/>
      <c r="MEJ187" s="34"/>
      <c r="MEK187" s="34"/>
      <c r="MEL187" s="34"/>
      <c r="MEM187" s="34"/>
      <c r="MEN187" s="34"/>
      <c r="MEO187" s="34"/>
      <c r="MEP187" s="34"/>
      <c r="MEQ187" s="34"/>
      <c r="MER187" s="34"/>
      <c r="MES187" s="34"/>
      <c r="MET187" s="34"/>
      <c r="MEU187" s="34"/>
      <c r="MEV187" s="34"/>
      <c r="MEW187" s="34"/>
      <c r="MEX187" s="34"/>
      <c r="MEY187" s="34"/>
      <c r="MEZ187" s="34"/>
      <c r="MFA187" s="34"/>
      <c r="MFB187" s="34"/>
      <c r="MFC187" s="34"/>
      <c r="MFD187" s="34"/>
      <c r="MFE187" s="34"/>
      <c r="MFF187" s="34"/>
      <c r="MFG187" s="34"/>
      <c r="MFH187" s="34"/>
      <c r="MFI187" s="34"/>
      <c r="MFJ187" s="34"/>
      <c r="MFK187" s="34"/>
      <c r="MFL187" s="34"/>
      <c r="MFM187" s="34"/>
      <c r="MFN187" s="34"/>
      <c r="MFO187" s="34"/>
      <c r="MFP187" s="34"/>
      <c r="MFQ187" s="34"/>
      <c r="MFR187" s="34"/>
      <c r="MFS187" s="34"/>
      <c r="MFT187" s="34"/>
      <c r="MFU187" s="34"/>
      <c r="MFV187" s="34"/>
      <c r="MFW187" s="34"/>
      <c r="MFX187" s="34"/>
      <c r="MFY187" s="34"/>
      <c r="MFZ187" s="34"/>
      <c r="MGA187" s="34"/>
      <c r="MGB187" s="34"/>
      <c r="MGC187" s="34"/>
      <c r="MGD187" s="34"/>
      <c r="MGE187" s="34"/>
      <c r="MGF187" s="34"/>
      <c r="MGG187" s="34"/>
      <c r="MGH187" s="34"/>
      <c r="MGI187" s="34"/>
      <c r="MGJ187" s="34"/>
      <c r="MGK187" s="34"/>
      <c r="MGL187" s="34"/>
      <c r="MGM187" s="34"/>
      <c r="MGN187" s="34"/>
      <c r="MGO187" s="34"/>
      <c r="MGP187" s="34"/>
      <c r="MGQ187" s="34"/>
      <c r="MGR187" s="34"/>
      <c r="MGS187" s="34"/>
      <c r="MGT187" s="34"/>
      <c r="MGU187" s="34"/>
      <c r="MGV187" s="34"/>
      <c r="MGW187" s="34"/>
      <c r="MGX187" s="34"/>
      <c r="MGY187" s="34"/>
      <c r="MGZ187" s="34"/>
      <c r="MHA187" s="34"/>
      <c r="MHB187" s="34"/>
      <c r="MHC187" s="34"/>
      <c r="MHD187" s="34"/>
      <c r="MHE187" s="34"/>
      <c r="MHF187" s="34"/>
      <c r="MHG187" s="34"/>
      <c r="MHH187" s="34"/>
      <c r="MHI187" s="34"/>
      <c r="MHJ187" s="34"/>
      <c r="MHK187" s="34"/>
      <c r="MHL187" s="34"/>
      <c r="MHM187" s="34"/>
      <c r="MHN187" s="34"/>
      <c r="MHO187" s="34"/>
      <c r="MHP187" s="34"/>
      <c r="MHQ187" s="34"/>
      <c r="MHR187" s="34"/>
      <c r="MHS187" s="34"/>
      <c r="MHT187" s="34"/>
      <c r="MHU187" s="34"/>
      <c r="MHV187" s="34"/>
      <c r="MHW187" s="34"/>
      <c r="MHX187" s="34"/>
      <c r="MHY187" s="34"/>
      <c r="MHZ187" s="34"/>
      <c r="MIA187" s="34"/>
      <c r="MIB187" s="34"/>
      <c r="MIC187" s="34"/>
      <c r="MID187" s="34"/>
      <c r="MIE187" s="34"/>
      <c r="MIF187" s="34"/>
      <c r="MIG187" s="34"/>
      <c r="MIH187" s="34"/>
      <c r="MII187" s="34"/>
      <c r="MIJ187" s="34"/>
      <c r="MIK187" s="34"/>
      <c r="MIL187" s="34"/>
      <c r="MIM187" s="34"/>
      <c r="MIN187" s="34"/>
      <c r="MIO187" s="34"/>
      <c r="MIP187" s="34"/>
      <c r="MIQ187" s="34"/>
      <c r="MIR187" s="34"/>
      <c r="MIS187" s="34"/>
      <c r="MIT187" s="34"/>
      <c r="MIU187" s="34"/>
      <c r="MIV187" s="34"/>
      <c r="MIW187" s="34"/>
      <c r="MIX187" s="34"/>
      <c r="MIY187" s="34"/>
      <c r="MIZ187" s="34"/>
      <c r="MJA187" s="34"/>
      <c r="MJB187" s="34"/>
      <c r="MJC187" s="34"/>
      <c r="MJD187" s="34"/>
      <c r="MJE187" s="34"/>
      <c r="MJF187" s="34"/>
      <c r="MJG187" s="34"/>
      <c r="MJH187" s="34"/>
      <c r="MJI187" s="34"/>
      <c r="MJJ187" s="34"/>
      <c r="MJK187" s="34"/>
      <c r="MJL187" s="34"/>
      <c r="MJM187" s="34"/>
      <c r="MJN187" s="34"/>
      <c r="MJO187" s="34"/>
      <c r="MJP187" s="34"/>
      <c r="MJQ187" s="34"/>
      <c r="MJR187" s="34"/>
      <c r="MJS187" s="34"/>
      <c r="MJT187" s="34"/>
      <c r="MJU187" s="34"/>
      <c r="MJV187" s="34"/>
      <c r="MJW187" s="34"/>
      <c r="MJX187" s="34"/>
      <c r="MJY187" s="34"/>
      <c r="MJZ187" s="34"/>
      <c r="MKA187" s="34"/>
      <c r="MKB187" s="34"/>
      <c r="MKC187" s="34"/>
      <c r="MKD187" s="34"/>
      <c r="MKE187" s="34"/>
      <c r="MKF187" s="34"/>
      <c r="MKG187" s="34"/>
      <c r="MKH187" s="34"/>
      <c r="MKI187" s="34"/>
      <c r="MKJ187" s="34"/>
      <c r="MKK187" s="34"/>
      <c r="MKL187" s="34"/>
      <c r="MKM187" s="34"/>
      <c r="MKN187" s="34"/>
      <c r="MKO187" s="34"/>
      <c r="MKP187" s="34"/>
      <c r="MKQ187" s="34"/>
      <c r="MKR187" s="34"/>
      <c r="MKS187" s="34"/>
      <c r="MKT187" s="34"/>
      <c r="MKU187" s="34"/>
      <c r="MKV187" s="34"/>
      <c r="MKW187" s="34"/>
      <c r="MKX187" s="34"/>
      <c r="MKY187" s="34"/>
      <c r="MKZ187" s="34"/>
      <c r="MLA187" s="34"/>
      <c r="MLB187" s="34"/>
      <c r="MLC187" s="34"/>
      <c r="MLD187" s="34"/>
      <c r="MLE187" s="34"/>
      <c r="MLF187" s="34"/>
      <c r="MLG187" s="34"/>
      <c r="MLH187" s="34"/>
      <c r="MLI187" s="34"/>
      <c r="MLJ187" s="34"/>
      <c r="MLK187" s="34"/>
      <c r="MLL187" s="34"/>
      <c r="MLM187" s="34"/>
      <c r="MLN187" s="34"/>
      <c r="MLO187" s="34"/>
      <c r="MLP187" s="34"/>
      <c r="MLQ187" s="34"/>
      <c r="MLR187" s="34"/>
      <c r="MLS187" s="34"/>
      <c r="MLT187" s="34"/>
      <c r="MLU187" s="34"/>
      <c r="MLV187" s="34"/>
      <c r="MLW187" s="34"/>
      <c r="MLX187" s="34"/>
      <c r="MLY187" s="34"/>
      <c r="MLZ187" s="34"/>
      <c r="MMA187" s="34"/>
      <c r="MMB187" s="34"/>
      <c r="MMC187" s="34"/>
      <c r="MMD187" s="34"/>
      <c r="MME187" s="34"/>
      <c r="MMF187" s="34"/>
      <c r="MMG187" s="34"/>
      <c r="MMH187" s="34"/>
      <c r="MMI187" s="34"/>
      <c r="MMJ187" s="34"/>
      <c r="MMK187" s="34"/>
      <c r="MML187" s="34"/>
      <c r="MMM187" s="34"/>
      <c r="MMN187" s="34"/>
      <c r="MMO187" s="34"/>
      <c r="MMP187" s="34"/>
      <c r="MMQ187" s="34"/>
      <c r="MMR187" s="34"/>
      <c r="MMS187" s="34"/>
      <c r="MMT187" s="34"/>
      <c r="MMU187" s="34"/>
      <c r="MMV187" s="34"/>
      <c r="MMW187" s="34"/>
      <c r="MMX187" s="34"/>
      <c r="MMY187" s="34"/>
      <c r="MMZ187" s="34"/>
      <c r="MNA187" s="34"/>
      <c r="MNB187" s="34"/>
      <c r="MNC187" s="34"/>
      <c r="MND187" s="34"/>
      <c r="MNE187" s="34"/>
      <c r="MNF187" s="34"/>
      <c r="MNG187" s="34"/>
      <c r="MNH187" s="34"/>
      <c r="MNI187" s="34"/>
      <c r="MNJ187" s="34"/>
      <c r="MNK187" s="34"/>
      <c r="MNL187" s="34"/>
      <c r="MNM187" s="34"/>
      <c r="MNN187" s="34"/>
      <c r="MNO187" s="34"/>
      <c r="MNP187" s="34"/>
      <c r="MNQ187" s="34"/>
      <c r="MNR187" s="34"/>
      <c r="MNS187" s="34"/>
      <c r="MNT187" s="34"/>
      <c r="MNU187" s="34"/>
      <c r="MNV187" s="34"/>
      <c r="MNW187" s="34"/>
      <c r="MNX187" s="34"/>
      <c r="MNY187" s="34"/>
      <c r="MNZ187" s="34"/>
      <c r="MOA187" s="34"/>
      <c r="MOB187" s="34"/>
      <c r="MOC187" s="34"/>
      <c r="MOD187" s="34"/>
      <c r="MOE187" s="34"/>
      <c r="MOF187" s="34"/>
      <c r="MOG187" s="34"/>
      <c r="MOH187" s="34"/>
      <c r="MOI187" s="34"/>
      <c r="MOJ187" s="34"/>
      <c r="MOK187" s="34"/>
      <c r="MOL187" s="34"/>
      <c r="MOM187" s="34"/>
      <c r="MON187" s="34"/>
      <c r="MOO187" s="34"/>
      <c r="MOP187" s="34"/>
      <c r="MOQ187" s="34"/>
      <c r="MOR187" s="34"/>
      <c r="MOS187" s="34"/>
      <c r="MOT187" s="34"/>
      <c r="MOU187" s="34"/>
      <c r="MOV187" s="34"/>
      <c r="MOW187" s="34"/>
      <c r="MOX187" s="34"/>
      <c r="MOY187" s="34"/>
      <c r="MOZ187" s="34"/>
      <c r="MPA187" s="34"/>
      <c r="MPB187" s="34"/>
      <c r="MPC187" s="34"/>
      <c r="MPD187" s="34"/>
      <c r="MPE187" s="34"/>
      <c r="MPF187" s="34"/>
      <c r="MPG187" s="34"/>
      <c r="MPH187" s="34"/>
      <c r="MPI187" s="34"/>
      <c r="MPJ187" s="34"/>
      <c r="MPK187" s="34"/>
      <c r="MPL187" s="34"/>
      <c r="MPM187" s="34"/>
      <c r="MPN187" s="34"/>
      <c r="MPO187" s="34"/>
      <c r="MPP187" s="34"/>
      <c r="MPQ187" s="34"/>
      <c r="MPR187" s="34"/>
      <c r="MPS187" s="34"/>
      <c r="MPT187" s="34"/>
      <c r="MPU187" s="34"/>
      <c r="MPV187" s="34"/>
      <c r="MPW187" s="34"/>
      <c r="MPX187" s="34"/>
      <c r="MPY187" s="34"/>
      <c r="MPZ187" s="34"/>
      <c r="MQA187" s="34"/>
      <c r="MQB187" s="34"/>
      <c r="MQC187" s="34"/>
      <c r="MQD187" s="34"/>
      <c r="MQE187" s="34"/>
      <c r="MQF187" s="34"/>
      <c r="MQG187" s="34"/>
      <c r="MQH187" s="34"/>
      <c r="MQI187" s="34"/>
      <c r="MQJ187" s="34"/>
      <c r="MQK187" s="34"/>
      <c r="MQL187" s="34"/>
      <c r="MQM187" s="34"/>
      <c r="MQN187" s="34"/>
      <c r="MQO187" s="34"/>
      <c r="MQP187" s="34"/>
      <c r="MQQ187" s="34"/>
      <c r="MQR187" s="34"/>
      <c r="MQS187" s="34"/>
      <c r="MQT187" s="34"/>
      <c r="MQU187" s="34"/>
      <c r="MQV187" s="34"/>
      <c r="MQW187" s="34"/>
      <c r="MQX187" s="34"/>
      <c r="MQY187" s="34"/>
      <c r="MQZ187" s="34"/>
      <c r="MRA187" s="34"/>
      <c r="MRB187" s="34"/>
      <c r="MRC187" s="34"/>
      <c r="MRD187" s="34"/>
      <c r="MRE187" s="34"/>
      <c r="MRF187" s="34"/>
      <c r="MRG187" s="34"/>
      <c r="MRH187" s="34"/>
      <c r="MRI187" s="34"/>
      <c r="MRJ187" s="34"/>
      <c r="MRK187" s="34"/>
      <c r="MRL187" s="34"/>
      <c r="MRM187" s="34"/>
      <c r="MRN187" s="34"/>
      <c r="MRO187" s="34"/>
      <c r="MRP187" s="34"/>
      <c r="MRQ187" s="34"/>
      <c r="MRR187" s="34"/>
      <c r="MRS187" s="34"/>
      <c r="MRT187" s="34"/>
      <c r="MRU187" s="34"/>
      <c r="MRV187" s="34"/>
      <c r="MRW187" s="34"/>
      <c r="MRX187" s="34"/>
      <c r="MRY187" s="34"/>
      <c r="MRZ187" s="34"/>
      <c r="MSA187" s="34"/>
      <c r="MSB187" s="34"/>
      <c r="MSC187" s="34"/>
      <c r="MSD187" s="34"/>
      <c r="MSE187" s="34"/>
      <c r="MSF187" s="34"/>
      <c r="MSG187" s="34"/>
      <c r="MSH187" s="34"/>
      <c r="MSI187" s="34"/>
      <c r="MSJ187" s="34"/>
      <c r="MSK187" s="34"/>
      <c r="MSL187" s="34"/>
      <c r="MSM187" s="34"/>
      <c r="MSN187" s="34"/>
      <c r="MSO187" s="34"/>
      <c r="MSP187" s="34"/>
      <c r="MSQ187" s="34"/>
      <c r="MSR187" s="34"/>
      <c r="MSS187" s="34"/>
      <c r="MST187" s="34"/>
      <c r="MSU187" s="34"/>
      <c r="MSV187" s="34"/>
      <c r="MSW187" s="34"/>
      <c r="MSX187" s="34"/>
      <c r="MSY187" s="34"/>
      <c r="MSZ187" s="34"/>
      <c r="MTA187" s="34"/>
      <c r="MTB187" s="34"/>
      <c r="MTC187" s="34"/>
      <c r="MTD187" s="34"/>
      <c r="MTE187" s="34"/>
      <c r="MTF187" s="34"/>
      <c r="MTG187" s="34"/>
      <c r="MTH187" s="34"/>
      <c r="MTI187" s="34"/>
      <c r="MTJ187" s="34"/>
      <c r="MTK187" s="34"/>
      <c r="MTL187" s="34"/>
      <c r="MTM187" s="34"/>
      <c r="MTN187" s="34"/>
      <c r="MTO187" s="34"/>
      <c r="MTP187" s="34"/>
      <c r="MTQ187" s="34"/>
      <c r="MTR187" s="34"/>
      <c r="MTS187" s="34"/>
      <c r="MTT187" s="34"/>
      <c r="MTU187" s="34"/>
      <c r="MTV187" s="34"/>
      <c r="MTW187" s="34"/>
      <c r="MTX187" s="34"/>
      <c r="MTY187" s="34"/>
      <c r="MTZ187" s="34"/>
      <c r="MUA187" s="34"/>
      <c r="MUB187" s="34"/>
      <c r="MUC187" s="34"/>
      <c r="MUD187" s="34"/>
      <c r="MUE187" s="34"/>
      <c r="MUF187" s="34"/>
      <c r="MUG187" s="34"/>
      <c r="MUH187" s="34"/>
      <c r="MUI187" s="34"/>
      <c r="MUJ187" s="34"/>
      <c r="MUK187" s="34"/>
      <c r="MUL187" s="34"/>
      <c r="MUM187" s="34"/>
      <c r="MUN187" s="34"/>
      <c r="MUO187" s="34"/>
      <c r="MUP187" s="34"/>
      <c r="MUQ187" s="34"/>
      <c r="MUR187" s="34"/>
      <c r="MUS187" s="34"/>
      <c r="MUT187" s="34"/>
      <c r="MUU187" s="34"/>
      <c r="MUV187" s="34"/>
      <c r="MUW187" s="34"/>
      <c r="MUX187" s="34"/>
      <c r="MUY187" s="34"/>
      <c r="MUZ187" s="34"/>
      <c r="MVA187" s="34"/>
      <c r="MVB187" s="34"/>
      <c r="MVC187" s="34"/>
      <c r="MVD187" s="34"/>
      <c r="MVE187" s="34"/>
      <c r="MVF187" s="34"/>
      <c r="MVG187" s="34"/>
      <c r="MVH187" s="34"/>
      <c r="MVI187" s="34"/>
      <c r="MVJ187" s="34"/>
      <c r="MVK187" s="34"/>
      <c r="MVL187" s="34"/>
      <c r="MVM187" s="34"/>
      <c r="MVN187" s="34"/>
      <c r="MVO187" s="34"/>
      <c r="MVP187" s="34"/>
      <c r="MVQ187" s="34"/>
      <c r="MVR187" s="34"/>
      <c r="MVS187" s="34"/>
      <c r="MVT187" s="34"/>
      <c r="MVU187" s="34"/>
      <c r="MVV187" s="34"/>
      <c r="MVW187" s="34"/>
      <c r="MVX187" s="34"/>
      <c r="MVY187" s="34"/>
      <c r="MVZ187" s="34"/>
      <c r="MWA187" s="34"/>
      <c r="MWB187" s="34"/>
      <c r="MWC187" s="34"/>
      <c r="MWD187" s="34"/>
      <c r="MWE187" s="34"/>
      <c r="MWF187" s="34"/>
      <c r="MWG187" s="34"/>
      <c r="MWH187" s="34"/>
      <c r="MWI187" s="34"/>
      <c r="MWJ187" s="34"/>
      <c r="MWK187" s="34"/>
      <c r="MWL187" s="34"/>
      <c r="MWM187" s="34"/>
      <c r="MWN187" s="34"/>
      <c r="MWO187" s="34"/>
      <c r="MWP187" s="34"/>
      <c r="MWQ187" s="34"/>
      <c r="MWR187" s="34"/>
      <c r="MWS187" s="34"/>
      <c r="MWT187" s="34"/>
      <c r="MWU187" s="34"/>
      <c r="MWV187" s="34"/>
      <c r="MWW187" s="34"/>
      <c r="MWX187" s="34"/>
      <c r="MWY187" s="34"/>
      <c r="MWZ187" s="34"/>
      <c r="MXA187" s="34"/>
      <c r="MXB187" s="34"/>
      <c r="MXC187" s="34"/>
      <c r="MXD187" s="34"/>
      <c r="MXE187" s="34"/>
      <c r="MXF187" s="34"/>
      <c r="MXG187" s="34"/>
      <c r="MXH187" s="34"/>
      <c r="MXI187" s="34"/>
      <c r="MXJ187" s="34"/>
      <c r="MXK187" s="34"/>
      <c r="MXL187" s="34"/>
      <c r="MXM187" s="34"/>
      <c r="MXN187" s="34"/>
      <c r="MXO187" s="34"/>
      <c r="MXP187" s="34"/>
      <c r="MXQ187" s="34"/>
      <c r="MXR187" s="34"/>
      <c r="MXS187" s="34"/>
      <c r="MXT187" s="34"/>
      <c r="MXU187" s="34"/>
      <c r="MXV187" s="34"/>
      <c r="MXW187" s="34"/>
      <c r="MXX187" s="34"/>
      <c r="MXY187" s="34"/>
      <c r="MXZ187" s="34"/>
      <c r="MYA187" s="34"/>
      <c r="MYB187" s="34"/>
      <c r="MYC187" s="34"/>
      <c r="MYD187" s="34"/>
      <c r="MYE187" s="34"/>
      <c r="MYF187" s="34"/>
      <c r="MYG187" s="34"/>
      <c r="MYH187" s="34"/>
      <c r="MYI187" s="34"/>
      <c r="MYJ187" s="34"/>
      <c r="MYK187" s="34"/>
      <c r="MYL187" s="34"/>
      <c r="MYM187" s="34"/>
      <c r="MYN187" s="34"/>
      <c r="MYO187" s="34"/>
      <c r="MYP187" s="34"/>
      <c r="MYQ187" s="34"/>
      <c r="MYR187" s="34"/>
      <c r="MYS187" s="34"/>
      <c r="MYT187" s="34"/>
      <c r="MYU187" s="34"/>
      <c r="MYV187" s="34"/>
      <c r="MYW187" s="34"/>
      <c r="MYX187" s="34"/>
      <c r="MYY187" s="34"/>
      <c r="MYZ187" s="34"/>
      <c r="MZA187" s="34"/>
      <c r="MZB187" s="34"/>
      <c r="MZC187" s="34"/>
      <c r="MZD187" s="34"/>
      <c r="MZE187" s="34"/>
      <c r="MZF187" s="34"/>
      <c r="MZG187" s="34"/>
      <c r="MZH187" s="34"/>
      <c r="MZI187" s="34"/>
      <c r="MZJ187" s="34"/>
      <c r="MZK187" s="34"/>
      <c r="MZL187" s="34"/>
      <c r="MZM187" s="34"/>
      <c r="MZN187" s="34"/>
      <c r="MZO187" s="34"/>
      <c r="MZP187" s="34"/>
      <c r="MZQ187" s="34"/>
      <c r="MZR187" s="34"/>
      <c r="MZS187" s="34"/>
      <c r="MZT187" s="34"/>
      <c r="MZU187" s="34"/>
      <c r="MZV187" s="34"/>
      <c r="MZW187" s="34"/>
      <c r="MZX187" s="34"/>
      <c r="MZY187" s="34"/>
      <c r="MZZ187" s="34"/>
      <c r="NAA187" s="34"/>
      <c r="NAB187" s="34"/>
      <c r="NAC187" s="34"/>
      <c r="NAD187" s="34"/>
      <c r="NAE187" s="34"/>
      <c r="NAF187" s="34"/>
      <c r="NAG187" s="34"/>
      <c r="NAH187" s="34"/>
      <c r="NAI187" s="34"/>
      <c r="NAJ187" s="34"/>
      <c r="NAK187" s="34"/>
      <c r="NAL187" s="34"/>
      <c r="NAM187" s="34"/>
      <c r="NAN187" s="34"/>
      <c r="NAO187" s="34"/>
      <c r="NAP187" s="34"/>
      <c r="NAQ187" s="34"/>
      <c r="NAR187" s="34"/>
      <c r="NAS187" s="34"/>
      <c r="NAT187" s="34"/>
      <c r="NAU187" s="34"/>
      <c r="NAV187" s="34"/>
      <c r="NAW187" s="34"/>
      <c r="NAX187" s="34"/>
      <c r="NAY187" s="34"/>
      <c r="NAZ187" s="34"/>
      <c r="NBA187" s="34"/>
      <c r="NBB187" s="34"/>
      <c r="NBC187" s="34"/>
      <c r="NBD187" s="34"/>
      <c r="NBE187" s="34"/>
      <c r="NBF187" s="34"/>
      <c r="NBG187" s="34"/>
      <c r="NBH187" s="34"/>
      <c r="NBI187" s="34"/>
      <c r="NBJ187" s="34"/>
      <c r="NBK187" s="34"/>
      <c r="NBL187" s="34"/>
      <c r="NBM187" s="34"/>
      <c r="NBN187" s="34"/>
      <c r="NBO187" s="34"/>
      <c r="NBP187" s="34"/>
      <c r="NBQ187" s="34"/>
      <c r="NBR187" s="34"/>
      <c r="NBS187" s="34"/>
      <c r="NBT187" s="34"/>
      <c r="NBU187" s="34"/>
      <c r="NBV187" s="34"/>
      <c r="NBW187" s="34"/>
      <c r="NBX187" s="34"/>
      <c r="NBY187" s="34"/>
      <c r="NBZ187" s="34"/>
      <c r="NCA187" s="34"/>
      <c r="NCB187" s="34"/>
      <c r="NCC187" s="34"/>
      <c r="NCD187" s="34"/>
      <c r="NCE187" s="34"/>
      <c r="NCF187" s="34"/>
      <c r="NCG187" s="34"/>
      <c r="NCH187" s="34"/>
      <c r="NCI187" s="34"/>
      <c r="NCJ187" s="34"/>
      <c r="NCK187" s="34"/>
      <c r="NCL187" s="34"/>
      <c r="NCM187" s="34"/>
      <c r="NCN187" s="34"/>
      <c r="NCO187" s="34"/>
      <c r="NCP187" s="34"/>
      <c r="NCQ187" s="34"/>
      <c r="NCR187" s="34"/>
      <c r="NCS187" s="34"/>
      <c r="NCT187" s="34"/>
      <c r="NCU187" s="34"/>
      <c r="NCV187" s="34"/>
      <c r="NCW187" s="34"/>
      <c r="NCX187" s="34"/>
      <c r="NCY187" s="34"/>
      <c r="NCZ187" s="34"/>
      <c r="NDA187" s="34"/>
      <c r="NDB187" s="34"/>
      <c r="NDC187" s="34"/>
      <c r="NDD187" s="34"/>
      <c r="NDE187" s="34"/>
      <c r="NDF187" s="34"/>
      <c r="NDG187" s="34"/>
      <c r="NDH187" s="34"/>
      <c r="NDI187" s="34"/>
      <c r="NDJ187" s="34"/>
      <c r="NDK187" s="34"/>
      <c r="NDL187" s="34"/>
      <c r="NDM187" s="34"/>
      <c r="NDN187" s="34"/>
      <c r="NDO187" s="34"/>
      <c r="NDP187" s="34"/>
      <c r="NDQ187" s="34"/>
      <c r="NDR187" s="34"/>
      <c r="NDS187" s="34"/>
      <c r="NDT187" s="34"/>
      <c r="NDU187" s="34"/>
      <c r="NDV187" s="34"/>
      <c r="NDW187" s="34"/>
      <c r="NDX187" s="34"/>
      <c r="NDY187" s="34"/>
      <c r="NDZ187" s="34"/>
      <c r="NEA187" s="34"/>
      <c r="NEB187" s="34"/>
      <c r="NEC187" s="34"/>
      <c r="NED187" s="34"/>
      <c r="NEE187" s="34"/>
      <c r="NEF187" s="34"/>
      <c r="NEG187" s="34"/>
      <c r="NEH187" s="34"/>
      <c r="NEI187" s="34"/>
      <c r="NEJ187" s="34"/>
      <c r="NEK187" s="34"/>
      <c r="NEL187" s="34"/>
      <c r="NEM187" s="34"/>
      <c r="NEN187" s="34"/>
      <c r="NEO187" s="34"/>
      <c r="NEP187" s="34"/>
      <c r="NEQ187" s="34"/>
      <c r="NER187" s="34"/>
      <c r="NES187" s="34"/>
      <c r="NET187" s="34"/>
      <c r="NEU187" s="34"/>
      <c r="NEV187" s="34"/>
      <c r="NEW187" s="34"/>
      <c r="NEX187" s="34"/>
      <c r="NEY187" s="34"/>
      <c r="NEZ187" s="34"/>
      <c r="NFA187" s="34"/>
      <c r="NFB187" s="34"/>
      <c r="NFC187" s="34"/>
      <c r="NFD187" s="34"/>
      <c r="NFE187" s="34"/>
      <c r="NFF187" s="34"/>
      <c r="NFG187" s="34"/>
      <c r="NFH187" s="34"/>
      <c r="NFI187" s="34"/>
      <c r="NFJ187" s="34"/>
      <c r="NFK187" s="34"/>
      <c r="NFL187" s="34"/>
      <c r="NFM187" s="34"/>
      <c r="NFN187" s="34"/>
      <c r="NFO187" s="34"/>
      <c r="NFP187" s="34"/>
      <c r="NFQ187" s="34"/>
      <c r="NFR187" s="34"/>
      <c r="NFS187" s="34"/>
      <c r="NFT187" s="34"/>
      <c r="NFU187" s="34"/>
      <c r="NFV187" s="34"/>
      <c r="NFW187" s="34"/>
      <c r="NFX187" s="34"/>
      <c r="NFY187" s="34"/>
      <c r="NFZ187" s="34"/>
      <c r="NGA187" s="34"/>
      <c r="NGB187" s="34"/>
      <c r="NGC187" s="34"/>
      <c r="NGD187" s="34"/>
      <c r="NGE187" s="34"/>
      <c r="NGF187" s="34"/>
      <c r="NGG187" s="34"/>
      <c r="NGH187" s="34"/>
      <c r="NGI187" s="34"/>
      <c r="NGJ187" s="34"/>
      <c r="NGK187" s="34"/>
      <c r="NGL187" s="34"/>
      <c r="NGM187" s="34"/>
      <c r="NGN187" s="34"/>
      <c r="NGO187" s="34"/>
      <c r="NGP187" s="34"/>
      <c r="NGQ187" s="34"/>
      <c r="NGR187" s="34"/>
      <c r="NGS187" s="34"/>
      <c r="NGT187" s="34"/>
      <c r="NGU187" s="34"/>
      <c r="NGV187" s="34"/>
      <c r="NGW187" s="34"/>
      <c r="NGX187" s="34"/>
      <c r="NGY187" s="34"/>
      <c r="NGZ187" s="34"/>
      <c r="NHA187" s="34"/>
      <c r="NHB187" s="34"/>
      <c r="NHC187" s="34"/>
      <c r="NHD187" s="34"/>
      <c r="NHE187" s="34"/>
      <c r="NHF187" s="34"/>
      <c r="NHG187" s="34"/>
      <c r="NHH187" s="34"/>
      <c r="NHI187" s="34"/>
      <c r="NHJ187" s="34"/>
      <c r="NHK187" s="34"/>
      <c r="NHL187" s="34"/>
      <c r="NHM187" s="34"/>
      <c r="NHN187" s="34"/>
      <c r="NHO187" s="34"/>
      <c r="NHP187" s="34"/>
      <c r="NHQ187" s="34"/>
      <c r="NHR187" s="34"/>
      <c r="NHS187" s="34"/>
      <c r="NHT187" s="34"/>
      <c r="NHU187" s="34"/>
      <c r="NHV187" s="34"/>
      <c r="NHW187" s="34"/>
      <c r="NHX187" s="34"/>
      <c r="NHY187" s="34"/>
      <c r="NHZ187" s="34"/>
      <c r="NIA187" s="34"/>
      <c r="NIB187" s="34"/>
      <c r="NIC187" s="34"/>
      <c r="NID187" s="34"/>
      <c r="NIE187" s="34"/>
      <c r="NIF187" s="34"/>
      <c r="NIG187" s="34"/>
      <c r="NIH187" s="34"/>
      <c r="NII187" s="34"/>
      <c r="NIJ187" s="34"/>
      <c r="NIK187" s="34"/>
      <c r="NIL187" s="34"/>
      <c r="NIM187" s="34"/>
      <c r="NIN187" s="34"/>
      <c r="NIO187" s="34"/>
      <c r="NIP187" s="34"/>
      <c r="NIQ187" s="34"/>
      <c r="NIR187" s="34"/>
      <c r="NIS187" s="34"/>
      <c r="NIT187" s="34"/>
      <c r="NIU187" s="34"/>
      <c r="NIV187" s="34"/>
      <c r="NIW187" s="34"/>
      <c r="NIX187" s="34"/>
      <c r="NIY187" s="34"/>
      <c r="NIZ187" s="34"/>
      <c r="NJA187" s="34"/>
      <c r="NJB187" s="34"/>
      <c r="NJC187" s="34"/>
      <c r="NJD187" s="34"/>
      <c r="NJE187" s="34"/>
      <c r="NJF187" s="34"/>
      <c r="NJG187" s="34"/>
      <c r="NJH187" s="34"/>
      <c r="NJI187" s="34"/>
      <c r="NJJ187" s="34"/>
      <c r="NJK187" s="34"/>
      <c r="NJL187" s="34"/>
      <c r="NJM187" s="34"/>
      <c r="NJN187" s="34"/>
      <c r="NJO187" s="34"/>
      <c r="NJP187" s="34"/>
      <c r="NJQ187" s="34"/>
      <c r="NJR187" s="34"/>
      <c r="NJS187" s="34"/>
      <c r="NJT187" s="34"/>
      <c r="NJU187" s="34"/>
      <c r="NJV187" s="34"/>
      <c r="NJW187" s="34"/>
      <c r="NJX187" s="34"/>
      <c r="NJY187" s="34"/>
      <c r="NJZ187" s="34"/>
      <c r="NKA187" s="34"/>
      <c r="NKB187" s="34"/>
      <c r="NKC187" s="34"/>
      <c r="NKD187" s="34"/>
      <c r="NKE187" s="34"/>
      <c r="NKF187" s="34"/>
      <c r="NKG187" s="34"/>
      <c r="NKH187" s="34"/>
      <c r="NKI187" s="34"/>
      <c r="NKJ187" s="34"/>
      <c r="NKK187" s="34"/>
      <c r="NKL187" s="34"/>
      <c r="NKM187" s="34"/>
      <c r="NKN187" s="34"/>
      <c r="NKO187" s="34"/>
      <c r="NKP187" s="34"/>
      <c r="NKQ187" s="34"/>
      <c r="NKR187" s="34"/>
      <c r="NKS187" s="34"/>
      <c r="NKT187" s="34"/>
      <c r="NKU187" s="34"/>
      <c r="NKV187" s="34"/>
      <c r="NKW187" s="34"/>
      <c r="NKX187" s="34"/>
      <c r="NKY187" s="34"/>
      <c r="NKZ187" s="34"/>
      <c r="NLA187" s="34"/>
      <c r="NLB187" s="34"/>
      <c r="NLC187" s="34"/>
      <c r="NLD187" s="34"/>
      <c r="NLE187" s="34"/>
      <c r="NLF187" s="34"/>
      <c r="NLG187" s="34"/>
      <c r="NLH187" s="34"/>
      <c r="NLI187" s="34"/>
      <c r="NLJ187" s="34"/>
      <c r="NLK187" s="34"/>
      <c r="NLL187" s="34"/>
      <c r="NLM187" s="34"/>
      <c r="NLN187" s="34"/>
      <c r="NLO187" s="34"/>
      <c r="NLP187" s="34"/>
      <c r="NLQ187" s="34"/>
      <c r="NLR187" s="34"/>
      <c r="NLS187" s="34"/>
      <c r="NLT187" s="34"/>
      <c r="NLU187" s="34"/>
      <c r="NLV187" s="34"/>
      <c r="NLW187" s="34"/>
      <c r="NLX187" s="34"/>
      <c r="NLY187" s="34"/>
      <c r="NLZ187" s="34"/>
      <c r="NMA187" s="34"/>
      <c r="NMB187" s="34"/>
      <c r="NMC187" s="34"/>
      <c r="NMD187" s="34"/>
      <c r="NME187" s="34"/>
      <c r="NMF187" s="34"/>
      <c r="NMG187" s="34"/>
      <c r="NMH187" s="34"/>
      <c r="NMI187" s="34"/>
      <c r="NMJ187" s="34"/>
      <c r="NMK187" s="34"/>
      <c r="NML187" s="34"/>
      <c r="NMM187" s="34"/>
      <c r="NMN187" s="34"/>
      <c r="NMO187" s="34"/>
      <c r="NMP187" s="34"/>
      <c r="NMQ187" s="34"/>
      <c r="NMR187" s="34"/>
      <c r="NMS187" s="34"/>
      <c r="NMT187" s="34"/>
      <c r="NMU187" s="34"/>
      <c r="NMV187" s="34"/>
      <c r="NMW187" s="34"/>
      <c r="NMX187" s="34"/>
      <c r="NMY187" s="34"/>
      <c r="NMZ187" s="34"/>
      <c r="NNA187" s="34"/>
      <c r="NNB187" s="34"/>
      <c r="NNC187" s="34"/>
      <c r="NND187" s="34"/>
      <c r="NNE187" s="34"/>
      <c r="NNF187" s="34"/>
      <c r="NNG187" s="34"/>
      <c r="NNH187" s="34"/>
      <c r="NNI187" s="34"/>
      <c r="NNJ187" s="34"/>
      <c r="NNK187" s="34"/>
      <c r="NNL187" s="34"/>
      <c r="NNM187" s="34"/>
      <c r="NNN187" s="34"/>
      <c r="NNO187" s="34"/>
      <c r="NNP187" s="34"/>
      <c r="NNQ187" s="34"/>
      <c r="NNR187" s="34"/>
      <c r="NNS187" s="34"/>
      <c r="NNT187" s="34"/>
      <c r="NNU187" s="34"/>
      <c r="NNV187" s="34"/>
      <c r="NNW187" s="34"/>
      <c r="NNX187" s="34"/>
      <c r="NNY187" s="34"/>
      <c r="NNZ187" s="34"/>
      <c r="NOA187" s="34"/>
      <c r="NOB187" s="34"/>
      <c r="NOC187" s="34"/>
      <c r="NOD187" s="34"/>
      <c r="NOE187" s="34"/>
      <c r="NOF187" s="34"/>
      <c r="NOG187" s="34"/>
      <c r="NOH187" s="34"/>
      <c r="NOI187" s="34"/>
      <c r="NOJ187" s="34"/>
      <c r="NOK187" s="34"/>
      <c r="NOL187" s="34"/>
      <c r="NOM187" s="34"/>
      <c r="NON187" s="34"/>
      <c r="NOO187" s="34"/>
      <c r="NOP187" s="34"/>
      <c r="NOQ187" s="34"/>
      <c r="NOR187" s="34"/>
      <c r="NOS187" s="34"/>
      <c r="NOT187" s="34"/>
      <c r="NOU187" s="34"/>
      <c r="NOV187" s="34"/>
      <c r="NOW187" s="34"/>
      <c r="NOX187" s="34"/>
      <c r="NOY187" s="34"/>
      <c r="NOZ187" s="34"/>
      <c r="NPA187" s="34"/>
      <c r="NPB187" s="34"/>
      <c r="NPC187" s="34"/>
      <c r="NPD187" s="34"/>
      <c r="NPE187" s="34"/>
      <c r="NPF187" s="34"/>
      <c r="NPG187" s="34"/>
      <c r="NPH187" s="34"/>
      <c r="NPI187" s="34"/>
      <c r="NPJ187" s="34"/>
      <c r="NPK187" s="34"/>
      <c r="NPL187" s="34"/>
      <c r="NPM187" s="34"/>
      <c r="NPN187" s="34"/>
      <c r="NPO187" s="34"/>
      <c r="NPP187" s="34"/>
      <c r="NPQ187" s="34"/>
      <c r="NPR187" s="34"/>
      <c r="NPS187" s="34"/>
      <c r="NPT187" s="34"/>
      <c r="NPU187" s="34"/>
      <c r="NPV187" s="34"/>
      <c r="NPW187" s="34"/>
      <c r="NPX187" s="34"/>
      <c r="NPY187" s="34"/>
      <c r="NPZ187" s="34"/>
      <c r="NQA187" s="34"/>
      <c r="NQB187" s="34"/>
      <c r="NQC187" s="34"/>
      <c r="NQD187" s="34"/>
      <c r="NQE187" s="34"/>
      <c r="NQF187" s="34"/>
      <c r="NQG187" s="34"/>
      <c r="NQH187" s="34"/>
      <c r="NQI187" s="34"/>
      <c r="NQJ187" s="34"/>
      <c r="NQK187" s="34"/>
      <c r="NQL187" s="34"/>
      <c r="NQM187" s="34"/>
      <c r="NQN187" s="34"/>
      <c r="NQO187" s="34"/>
      <c r="NQP187" s="34"/>
      <c r="NQQ187" s="34"/>
      <c r="NQR187" s="34"/>
      <c r="NQS187" s="34"/>
      <c r="NQT187" s="34"/>
      <c r="NQU187" s="34"/>
      <c r="NQV187" s="34"/>
      <c r="NQW187" s="34"/>
      <c r="NQX187" s="34"/>
      <c r="NQY187" s="34"/>
      <c r="NQZ187" s="34"/>
      <c r="NRA187" s="34"/>
      <c r="NRB187" s="34"/>
      <c r="NRC187" s="34"/>
      <c r="NRD187" s="34"/>
      <c r="NRE187" s="34"/>
      <c r="NRF187" s="34"/>
      <c r="NRG187" s="34"/>
      <c r="NRH187" s="34"/>
      <c r="NRI187" s="34"/>
      <c r="NRJ187" s="34"/>
      <c r="NRK187" s="34"/>
      <c r="NRL187" s="34"/>
      <c r="NRM187" s="34"/>
      <c r="NRN187" s="34"/>
      <c r="NRO187" s="34"/>
      <c r="NRP187" s="34"/>
      <c r="NRQ187" s="34"/>
      <c r="NRR187" s="34"/>
      <c r="NRS187" s="34"/>
      <c r="NRT187" s="34"/>
      <c r="NRU187" s="34"/>
      <c r="NRV187" s="34"/>
      <c r="NRW187" s="34"/>
      <c r="NRX187" s="34"/>
      <c r="NRY187" s="34"/>
      <c r="NRZ187" s="34"/>
      <c r="NSA187" s="34"/>
      <c r="NSB187" s="34"/>
      <c r="NSC187" s="34"/>
      <c r="NSD187" s="34"/>
      <c r="NSE187" s="34"/>
      <c r="NSF187" s="34"/>
      <c r="NSG187" s="34"/>
      <c r="NSH187" s="34"/>
      <c r="NSI187" s="34"/>
      <c r="NSJ187" s="34"/>
      <c r="NSK187" s="34"/>
      <c r="NSL187" s="34"/>
      <c r="NSM187" s="34"/>
      <c r="NSN187" s="34"/>
      <c r="NSO187" s="34"/>
      <c r="NSP187" s="34"/>
      <c r="NSQ187" s="34"/>
      <c r="NSR187" s="34"/>
      <c r="NSS187" s="34"/>
      <c r="NST187" s="34"/>
      <c r="NSU187" s="34"/>
      <c r="NSV187" s="34"/>
      <c r="NSW187" s="34"/>
      <c r="NSX187" s="34"/>
      <c r="NSY187" s="34"/>
      <c r="NSZ187" s="34"/>
      <c r="NTA187" s="34"/>
      <c r="NTB187" s="34"/>
      <c r="NTC187" s="34"/>
      <c r="NTD187" s="34"/>
      <c r="NTE187" s="34"/>
      <c r="NTF187" s="34"/>
      <c r="NTG187" s="34"/>
      <c r="NTH187" s="34"/>
      <c r="NTI187" s="34"/>
      <c r="NTJ187" s="34"/>
      <c r="NTK187" s="34"/>
      <c r="NTL187" s="34"/>
      <c r="NTM187" s="34"/>
      <c r="NTN187" s="34"/>
      <c r="NTO187" s="34"/>
      <c r="NTP187" s="34"/>
      <c r="NTQ187" s="34"/>
      <c r="NTR187" s="34"/>
      <c r="NTS187" s="34"/>
      <c r="NTT187" s="34"/>
      <c r="NTU187" s="34"/>
      <c r="NTV187" s="34"/>
      <c r="NTW187" s="34"/>
      <c r="NTX187" s="34"/>
      <c r="NTY187" s="34"/>
    </row>
    <row r="188" spans="1:10009" hidden="1" x14ac:dyDescent="0.3">
      <c r="J188" t="s">
        <v>175</v>
      </c>
      <c r="K188">
        <v>1346</v>
      </c>
      <c r="L188">
        <v>1613</v>
      </c>
      <c r="M188">
        <v>1638</v>
      </c>
      <c r="N188">
        <v>1566</v>
      </c>
      <c r="O188">
        <v>1776</v>
      </c>
      <c r="P188">
        <v>1391</v>
      </c>
      <c r="Q188">
        <v>1044</v>
      </c>
      <c r="R188">
        <v>949</v>
      </c>
      <c r="S188">
        <v>1364</v>
      </c>
      <c r="T188">
        <v>808</v>
      </c>
    </row>
    <row r="189" spans="1:10009" hidden="1" x14ac:dyDescent="0.3">
      <c r="J189" t="str">
        <f ca="1">_xll.IMDH("STK",$N$5,$J$190:$J$197,$L$92-93,$O$5,9999,"Per=분기,sort=D,real=true,Bizday=0,Quote=종가,Pos=11,Orient=H,Cons="&amp;$P$5&amp;",Comp=순,Trai=연속,DtFmt=1,TmFmt=1,unit=true,title=분기성장성")</f>
        <v>분기성장성</v>
      </c>
    </row>
    <row r="190" spans="1:10009" hidden="1" x14ac:dyDescent="0.3">
      <c r="H190" s="37" t="s">
        <v>172</v>
      </c>
      <c r="J190" t="s">
        <v>166</v>
      </c>
      <c r="K190" s="34">
        <v>45199</v>
      </c>
      <c r="L190" s="34">
        <v>45107</v>
      </c>
      <c r="M190" s="34">
        <v>45016</v>
      </c>
      <c r="N190" s="34">
        <v>44926</v>
      </c>
      <c r="O190" s="34">
        <v>44834</v>
      </c>
      <c r="P190" s="34">
        <v>44742</v>
      </c>
      <c r="Q190" s="34">
        <v>44651</v>
      </c>
      <c r="R190" s="34">
        <v>44561</v>
      </c>
      <c r="S190" s="34">
        <v>44469</v>
      </c>
      <c r="T190" s="34">
        <v>44377</v>
      </c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  <c r="DM190" s="34"/>
      <c r="DN190" s="34"/>
      <c r="DO190" s="34"/>
      <c r="DP190" s="34"/>
      <c r="DQ190" s="34"/>
      <c r="DR190" s="34"/>
      <c r="DS190" s="34"/>
      <c r="DT190" s="34"/>
      <c r="DU190" s="34"/>
      <c r="DV190" s="34"/>
      <c r="DW190" s="34"/>
      <c r="DX190" s="34"/>
      <c r="DY190" s="34"/>
      <c r="DZ190" s="34"/>
      <c r="EA190" s="34"/>
      <c r="EB190" s="34"/>
      <c r="EC190" s="34"/>
      <c r="ED190" s="34"/>
      <c r="EE190" s="34"/>
      <c r="EF190" s="34"/>
      <c r="EG190" s="34"/>
      <c r="EH190" s="34"/>
      <c r="EI190" s="34"/>
      <c r="EJ190" s="34"/>
      <c r="EK190" s="34"/>
      <c r="EL190" s="34"/>
      <c r="EM190" s="34"/>
      <c r="EN190" s="34"/>
      <c r="EO190" s="34"/>
      <c r="EP190" s="34"/>
      <c r="EQ190" s="34"/>
      <c r="ER190" s="34"/>
      <c r="ES190" s="34"/>
      <c r="ET190" s="34"/>
      <c r="EU190" s="34"/>
      <c r="EV190" s="34"/>
      <c r="EW190" s="34"/>
      <c r="EX190" s="34"/>
      <c r="EY190" s="34"/>
      <c r="EZ190" s="34"/>
      <c r="FA190" s="34"/>
      <c r="FB190" s="34"/>
      <c r="FC190" s="34"/>
      <c r="FD190" s="34"/>
      <c r="FE190" s="34"/>
      <c r="FF190" s="34"/>
      <c r="FG190" s="34"/>
      <c r="FH190" s="34"/>
      <c r="FI190" s="34"/>
      <c r="FJ190" s="34"/>
      <c r="FK190" s="34"/>
      <c r="FL190" s="34"/>
      <c r="FM190" s="34"/>
      <c r="FN190" s="34"/>
      <c r="FO190" s="34"/>
      <c r="FP190" s="34"/>
      <c r="FQ190" s="34"/>
      <c r="FR190" s="34"/>
      <c r="FS190" s="34"/>
      <c r="FT190" s="34"/>
      <c r="FU190" s="34"/>
      <c r="FV190" s="34"/>
      <c r="FW190" s="34"/>
      <c r="FX190" s="34"/>
      <c r="FY190" s="34"/>
      <c r="FZ190" s="34"/>
      <c r="GA190" s="34"/>
      <c r="GB190" s="34"/>
      <c r="GC190" s="34"/>
      <c r="GD190" s="34"/>
      <c r="GE190" s="34"/>
      <c r="GF190" s="34"/>
      <c r="GG190" s="34"/>
      <c r="GH190" s="34"/>
      <c r="GI190" s="34"/>
      <c r="GJ190" s="34"/>
      <c r="GK190" s="34"/>
      <c r="GL190" s="34"/>
      <c r="GM190" s="34"/>
      <c r="GN190" s="34"/>
      <c r="GO190" s="34"/>
      <c r="GP190" s="34"/>
      <c r="GQ190" s="34"/>
      <c r="GR190" s="34"/>
      <c r="GS190" s="34"/>
      <c r="GT190" s="34"/>
      <c r="GU190" s="34"/>
      <c r="GV190" s="34"/>
      <c r="GW190" s="34"/>
      <c r="GX190" s="34"/>
      <c r="GY190" s="34"/>
      <c r="GZ190" s="34"/>
      <c r="HA190" s="34"/>
      <c r="HB190" s="34"/>
      <c r="HC190" s="34"/>
      <c r="HD190" s="34"/>
      <c r="HE190" s="34"/>
      <c r="HF190" s="34"/>
      <c r="HG190" s="34"/>
      <c r="HH190" s="34"/>
      <c r="HI190" s="34"/>
      <c r="HJ190" s="34"/>
      <c r="HK190" s="34"/>
      <c r="HL190" s="34"/>
      <c r="HM190" s="34"/>
      <c r="HN190" s="34"/>
      <c r="HO190" s="34"/>
      <c r="HP190" s="34"/>
      <c r="HQ190" s="34"/>
      <c r="HR190" s="34"/>
      <c r="HS190" s="34"/>
      <c r="HT190" s="34"/>
      <c r="HU190" s="34"/>
      <c r="HV190" s="34"/>
      <c r="HW190" s="34"/>
      <c r="HX190" s="34"/>
      <c r="HY190" s="34"/>
      <c r="HZ190" s="34"/>
      <c r="IA190" s="34"/>
      <c r="IB190" s="34"/>
      <c r="IC190" s="34"/>
      <c r="ID190" s="34"/>
      <c r="IE190" s="34"/>
      <c r="IF190" s="34"/>
      <c r="IG190" s="34"/>
      <c r="IH190" s="34"/>
      <c r="II190" s="34"/>
      <c r="IJ190" s="34"/>
      <c r="IK190" s="34"/>
      <c r="IL190" s="34"/>
      <c r="IM190" s="34"/>
      <c r="IN190" s="34"/>
      <c r="IO190" s="34"/>
      <c r="IP190" s="34"/>
      <c r="IQ190" s="34"/>
      <c r="IR190" s="34"/>
      <c r="IS190" s="34"/>
      <c r="IT190" s="34"/>
      <c r="IU190" s="34"/>
      <c r="IV190" s="34"/>
      <c r="IW190" s="34"/>
      <c r="IX190" s="34"/>
      <c r="IY190" s="34"/>
      <c r="IZ190" s="34"/>
      <c r="JA190" s="34"/>
      <c r="JB190" s="34"/>
      <c r="JC190" s="34"/>
      <c r="JD190" s="34"/>
      <c r="JE190" s="34"/>
      <c r="JF190" s="34"/>
      <c r="JG190" s="34"/>
      <c r="JH190" s="34"/>
      <c r="JI190" s="34"/>
      <c r="JJ190" s="34"/>
      <c r="JK190" s="34"/>
      <c r="JL190" s="34"/>
      <c r="JM190" s="34"/>
      <c r="JN190" s="34"/>
      <c r="JO190" s="34"/>
      <c r="JP190" s="34"/>
      <c r="JQ190" s="34"/>
      <c r="JR190" s="34"/>
      <c r="JS190" s="34"/>
      <c r="JT190" s="34"/>
      <c r="JU190" s="34"/>
      <c r="JV190" s="34"/>
      <c r="JW190" s="34"/>
      <c r="JX190" s="34"/>
      <c r="JY190" s="34"/>
      <c r="JZ190" s="34"/>
      <c r="KA190" s="34"/>
      <c r="KB190" s="34"/>
      <c r="KC190" s="34"/>
      <c r="KD190" s="34"/>
      <c r="KE190" s="34"/>
      <c r="KF190" s="34"/>
      <c r="KG190" s="34"/>
      <c r="KH190" s="34"/>
      <c r="KI190" s="34"/>
      <c r="KJ190" s="34"/>
      <c r="KK190" s="34"/>
      <c r="KL190" s="34"/>
      <c r="KM190" s="34"/>
      <c r="KN190" s="34"/>
      <c r="KO190" s="34"/>
      <c r="KP190" s="34"/>
      <c r="KQ190" s="34"/>
      <c r="KR190" s="34"/>
      <c r="KS190" s="34"/>
      <c r="KT190" s="34"/>
      <c r="KU190" s="34"/>
      <c r="KV190" s="34"/>
      <c r="KW190" s="34"/>
      <c r="KX190" s="34"/>
      <c r="KY190" s="34"/>
      <c r="KZ190" s="34"/>
      <c r="LA190" s="34"/>
      <c r="LB190" s="34"/>
      <c r="LC190" s="34"/>
      <c r="LD190" s="34"/>
      <c r="LE190" s="34"/>
      <c r="LF190" s="34"/>
      <c r="LG190" s="34"/>
      <c r="LH190" s="34"/>
      <c r="LI190" s="34"/>
      <c r="LJ190" s="34"/>
      <c r="LK190" s="34"/>
      <c r="LL190" s="34"/>
      <c r="LM190" s="34"/>
      <c r="LN190" s="34"/>
      <c r="LO190" s="34"/>
      <c r="LP190" s="34"/>
      <c r="LQ190" s="34"/>
      <c r="LR190" s="34"/>
      <c r="LS190" s="34"/>
      <c r="LT190" s="34"/>
      <c r="LU190" s="34"/>
      <c r="LV190" s="34"/>
      <c r="LW190" s="34"/>
      <c r="LX190" s="34"/>
      <c r="LY190" s="34"/>
      <c r="LZ190" s="34"/>
      <c r="MA190" s="34"/>
      <c r="MB190" s="34"/>
      <c r="MC190" s="34"/>
      <c r="MD190" s="34"/>
      <c r="ME190" s="34"/>
      <c r="MF190" s="34"/>
      <c r="MG190" s="34"/>
      <c r="MH190" s="34"/>
      <c r="MI190" s="34"/>
      <c r="MJ190" s="34"/>
      <c r="MK190" s="34"/>
      <c r="ML190" s="34"/>
      <c r="MM190" s="34"/>
      <c r="MN190" s="34"/>
      <c r="MO190" s="34"/>
      <c r="MP190" s="34"/>
      <c r="MQ190" s="34"/>
      <c r="MR190" s="34"/>
      <c r="MS190" s="34"/>
      <c r="MT190" s="34"/>
      <c r="MU190" s="34"/>
      <c r="MV190" s="34"/>
      <c r="MW190" s="34"/>
      <c r="MX190" s="34"/>
      <c r="MY190" s="34"/>
      <c r="MZ190" s="34"/>
      <c r="NA190" s="34"/>
      <c r="NB190" s="34"/>
      <c r="NC190" s="34"/>
      <c r="ND190" s="34"/>
      <c r="NE190" s="34"/>
      <c r="NF190" s="34"/>
      <c r="NG190" s="34"/>
      <c r="NH190" s="34"/>
      <c r="NI190" s="34"/>
      <c r="NJ190" s="34"/>
      <c r="NK190" s="34"/>
      <c r="NL190" s="34"/>
      <c r="NM190" s="34"/>
      <c r="NN190" s="34"/>
      <c r="NO190" s="34"/>
      <c r="NP190" s="34"/>
      <c r="NQ190" s="34"/>
      <c r="NR190" s="34"/>
      <c r="NS190" s="34"/>
      <c r="NT190" s="34"/>
      <c r="NU190" s="34"/>
      <c r="NV190" s="34"/>
      <c r="NW190" s="34"/>
      <c r="NX190" s="34"/>
      <c r="NY190" s="34"/>
      <c r="NZ190" s="34"/>
      <c r="OA190" s="34"/>
      <c r="OB190" s="34"/>
      <c r="OC190" s="34"/>
      <c r="OD190" s="34"/>
      <c r="OE190" s="34"/>
      <c r="OF190" s="34"/>
      <c r="OG190" s="34"/>
      <c r="OH190" s="34"/>
      <c r="OI190" s="34"/>
      <c r="OJ190" s="34"/>
      <c r="OK190" s="34"/>
      <c r="OL190" s="34"/>
      <c r="OM190" s="34"/>
      <c r="ON190" s="34"/>
      <c r="OO190" s="34"/>
      <c r="OP190" s="34"/>
      <c r="OQ190" s="34"/>
      <c r="OR190" s="34"/>
      <c r="OS190" s="34"/>
      <c r="OT190" s="34"/>
      <c r="OU190" s="34"/>
      <c r="OV190" s="34"/>
      <c r="OW190" s="34"/>
      <c r="OX190" s="34"/>
      <c r="OY190" s="34"/>
      <c r="OZ190" s="34"/>
      <c r="PA190" s="34"/>
      <c r="PB190" s="34"/>
      <c r="PC190" s="34"/>
      <c r="PD190" s="34"/>
      <c r="PE190" s="34"/>
      <c r="PF190" s="34"/>
      <c r="PG190" s="34"/>
      <c r="PH190" s="34"/>
      <c r="PI190" s="34"/>
      <c r="PJ190" s="34"/>
      <c r="PK190" s="34"/>
      <c r="PL190" s="34"/>
      <c r="PM190" s="34"/>
      <c r="PN190" s="34"/>
      <c r="PO190" s="34"/>
      <c r="PP190" s="34"/>
      <c r="PQ190" s="34"/>
      <c r="PR190" s="34"/>
      <c r="PS190" s="34"/>
      <c r="PT190" s="34"/>
      <c r="PU190" s="34"/>
      <c r="PV190" s="34"/>
      <c r="PW190" s="34"/>
      <c r="PX190" s="34"/>
      <c r="PY190" s="34"/>
      <c r="PZ190" s="34"/>
      <c r="QA190" s="34"/>
      <c r="QB190" s="34"/>
      <c r="QC190" s="34"/>
      <c r="QD190" s="34"/>
      <c r="QE190" s="34"/>
      <c r="QF190" s="34"/>
      <c r="QG190" s="34"/>
      <c r="QH190" s="34"/>
      <c r="QI190" s="34"/>
      <c r="QJ190" s="34"/>
      <c r="QK190" s="34"/>
      <c r="QL190" s="34"/>
      <c r="QM190" s="34"/>
      <c r="QN190" s="34"/>
      <c r="QO190" s="34"/>
      <c r="QP190" s="34"/>
      <c r="QQ190" s="34"/>
      <c r="QR190" s="34"/>
      <c r="QS190" s="34"/>
      <c r="QT190" s="34"/>
      <c r="QU190" s="34"/>
      <c r="QV190" s="34"/>
      <c r="QW190" s="34"/>
      <c r="QX190" s="34"/>
      <c r="QY190" s="34"/>
      <c r="QZ190" s="34"/>
      <c r="RA190" s="34"/>
      <c r="RB190" s="34"/>
      <c r="RC190" s="34"/>
      <c r="RD190" s="34"/>
      <c r="RE190" s="34"/>
      <c r="RF190" s="34"/>
      <c r="RG190" s="34"/>
      <c r="RH190" s="34"/>
      <c r="RI190" s="34"/>
      <c r="RJ190" s="34"/>
      <c r="RK190" s="34"/>
      <c r="RL190" s="34"/>
      <c r="RM190" s="34"/>
      <c r="RN190" s="34"/>
      <c r="RO190" s="34"/>
      <c r="RP190" s="34"/>
      <c r="RQ190" s="34"/>
      <c r="RR190" s="34"/>
      <c r="RS190" s="34"/>
      <c r="RT190" s="34"/>
      <c r="RU190" s="34"/>
      <c r="RV190" s="34"/>
      <c r="RW190" s="34"/>
      <c r="RX190" s="34"/>
      <c r="RY190" s="34"/>
      <c r="RZ190" s="34"/>
      <c r="SA190" s="34"/>
      <c r="SB190" s="34"/>
      <c r="SC190" s="34"/>
      <c r="SD190" s="34"/>
      <c r="SE190" s="34"/>
      <c r="SF190" s="34"/>
      <c r="SG190" s="34"/>
      <c r="SH190" s="34"/>
      <c r="SI190" s="34"/>
      <c r="SJ190" s="34"/>
      <c r="SK190" s="34"/>
      <c r="SL190" s="34"/>
      <c r="SM190" s="34"/>
      <c r="SN190" s="34"/>
      <c r="SO190" s="34"/>
      <c r="SP190" s="34"/>
      <c r="SQ190" s="34"/>
      <c r="SR190" s="34"/>
      <c r="SS190" s="34"/>
      <c r="ST190" s="34"/>
      <c r="SU190" s="34"/>
      <c r="SV190" s="34"/>
      <c r="SW190" s="34"/>
      <c r="SX190" s="34"/>
      <c r="SY190" s="34"/>
      <c r="SZ190" s="34"/>
      <c r="TA190" s="34"/>
      <c r="TB190" s="34"/>
      <c r="TC190" s="34"/>
      <c r="TD190" s="34"/>
      <c r="TE190" s="34"/>
      <c r="TF190" s="34"/>
      <c r="TG190" s="34"/>
      <c r="TH190" s="34"/>
      <c r="TI190" s="34"/>
      <c r="TJ190" s="34"/>
      <c r="TK190" s="34"/>
      <c r="TL190" s="34"/>
      <c r="TM190" s="34"/>
      <c r="TN190" s="34"/>
      <c r="TO190" s="34"/>
      <c r="TP190" s="34"/>
      <c r="TQ190" s="34"/>
      <c r="TR190" s="34"/>
      <c r="TS190" s="34"/>
      <c r="TT190" s="34"/>
      <c r="TU190" s="34"/>
      <c r="TV190" s="34"/>
      <c r="TW190" s="34"/>
      <c r="TX190" s="34"/>
      <c r="TY190" s="34"/>
      <c r="TZ190" s="34"/>
      <c r="UA190" s="34"/>
      <c r="UB190" s="34"/>
      <c r="UC190" s="34"/>
      <c r="UD190" s="34"/>
      <c r="UE190" s="34"/>
      <c r="UF190" s="34"/>
      <c r="UG190" s="34"/>
      <c r="UH190" s="34"/>
      <c r="UI190" s="34"/>
      <c r="UJ190" s="34"/>
      <c r="UK190" s="34"/>
      <c r="UL190" s="34"/>
      <c r="UM190" s="34"/>
      <c r="UN190" s="34"/>
      <c r="UO190" s="34"/>
      <c r="UP190" s="34"/>
      <c r="UQ190" s="34"/>
      <c r="UR190" s="34"/>
      <c r="US190" s="34"/>
      <c r="UT190" s="34"/>
      <c r="UU190" s="34"/>
      <c r="UV190" s="34"/>
      <c r="UW190" s="34"/>
      <c r="UX190" s="34"/>
      <c r="UY190" s="34"/>
      <c r="UZ190" s="34"/>
      <c r="VA190" s="34"/>
      <c r="VB190" s="34"/>
      <c r="VC190" s="34"/>
      <c r="VD190" s="34"/>
      <c r="VE190" s="34"/>
      <c r="VF190" s="34"/>
      <c r="VG190" s="34"/>
      <c r="VH190" s="34"/>
      <c r="VI190" s="34"/>
      <c r="VJ190" s="34"/>
      <c r="VK190" s="34"/>
      <c r="VL190" s="34"/>
      <c r="VM190" s="34"/>
      <c r="VN190" s="34"/>
      <c r="VO190" s="34"/>
      <c r="VP190" s="34"/>
      <c r="VQ190" s="34"/>
      <c r="VR190" s="34"/>
      <c r="VS190" s="34"/>
      <c r="VT190" s="34"/>
      <c r="VU190" s="34"/>
      <c r="VV190" s="34"/>
      <c r="VW190" s="34"/>
      <c r="VX190" s="34"/>
      <c r="VY190" s="34"/>
      <c r="VZ190" s="34"/>
      <c r="WA190" s="34"/>
      <c r="WB190" s="34"/>
      <c r="WC190" s="34"/>
      <c r="WD190" s="34"/>
      <c r="WE190" s="34"/>
      <c r="WF190" s="34"/>
      <c r="WG190" s="34"/>
      <c r="WH190" s="34"/>
      <c r="WI190" s="34"/>
      <c r="WJ190" s="34"/>
      <c r="WK190" s="34"/>
      <c r="WL190" s="34"/>
      <c r="WM190" s="34"/>
      <c r="WN190" s="34"/>
      <c r="WO190" s="34"/>
      <c r="WP190" s="34"/>
      <c r="WQ190" s="34"/>
      <c r="WR190" s="34"/>
      <c r="WS190" s="34"/>
      <c r="WT190" s="34"/>
      <c r="WU190" s="34"/>
      <c r="WV190" s="34"/>
      <c r="WW190" s="34"/>
      <c r="WX190" s="34"/>
      <c r="WY190" s="34"/>
      <c r="WZ190" s="34"/>
      <c r="XA190" s="34"/>
      <c r="XB190" s="34"/>
      <c r="XC190" s="34"/>
      <c r="XD190" s="34"/>
      <c r="XE190" s="34"/>
      <c r="XF190" s="34"/>
      <c r="XG190" s="34"/>
      <c r="XH190" s="34"/>
      <c r="XI190" s="34"/>
      <c r="XJ190" s="34"/>
      <c r="XK190" s="34"/>
      <c r="XL190" s="34"/>
      <c r="XM190" s="34"/>
      <c r="XN190" s="34"/>
      <c r="XO190" s="34"/>
      <c r="XP190" s="34"/>
      <c r="XQ190" s="34"/>
      <c r="XR190" s="34"/>
      <c r="XS190" s="34"/>
      <c r="XT190" s="34"/>
      <c r="XU190" s="34"/>
      <c r="XV190" s="34"/>
      <c r="XW190" s="34"/>
      <c r="XX190" s="34"/>
      <c r="XY190" s="34"/>
      <c r="XZ190" s="34"/>
      <c r="YA190" s="34"/>
      <c r="YB190" s="34"/>
      <c r="YC190" s="34"/>
      <c r="YD190" s="34"/>
      <c r="YE190" s="34"/>
      <c r="YF190" s="34"/>
      <c r="YG190" s="34"/>
      <c r="YH190" s="34"/>
      <c r="YI190" s="34"/>
      <c r="YJ190" s="34"/>
      <c r="YK190" s="34"/>
      <c r="YL190" s="34"/>
      <c r="YM190" s="34"/>
      <c r="YN190" s="34"/>
      <c r="YO190" s="34"/>
      <c r="YP190" s="34"/>
      <c r="YQ190" s="34"/>
      <c r="YR190" s="34"/>
      <c r="YS190" s="34"/>
      <c r="YT190" s="34"/>
      <c r="YU190" s="34"/>
      <c r="YV190" s="34"/>
      <c r="YW190" s="34"/>
      <c r="YX190" s="34"/>
      <c r="YY190" s="34"/>
      <c r="YZ190" s="34"/>
      <c r="ZA190" s="34"/>
      <c r="ZB190" s="34"/>
      <c r="ZC190" s="34"/>
      <c r="ZD190" s="34"/>
      <c r="ZE190" s="34"/>
      <c r="ZF190" s="34"/>
      <c r="ZG190" s="34"/>
      <c r="ZH190" s="34"/>
      <c r="ZI190" s="34"/>
      <c r="ZJ190" s="34"/>
      <c r="ZK190" s="34"/>
      <c r="ZL190" s="34"/>
      <c r="ZM190" s="34"/>
      <c r="ZN190" s="34"/>
      <c r="ZO190" s="34"/>
      <c r="ZP190" s="34"/>
      <c r="ZQ190" s="34"/>
      <c r="ZR190" s="34"/>
      <c r="ZS190" s="34"/>
      <c r="ZT190" s="34"/>
      <c r="ZU190" s="34"/>
      <c r="ZV190" s="34"/>
      <c r="ZW190" s="34"/>
      <c r="ZX190" s="34"/>
      <c r="ZY190" s="34"/>
      <c r="ZZ190" s="34"/>
      <c r="AAA190" s="34"/>
      <c r="AAB190" s="34"/>
      <c r="AAC190" s="34"/>
      <c r="AAD190" s="34"/>
      <c r="AAE190" s="34"/>
      <c r="AAF190" s="34"/>
      <c r="AAG190" s="34"/>
      <c r="AAH190" s="34"/>
      <c r="AAI190" s="34"/>
      <c r="AAJ190" s="34"/>
      <c r="AAK190" s="34"/>
      <c r="AAL190" s="34"/>
      <c r="AAM190" s="34"/>
      <c r="AAN190" s="34"/>
      <c r="AAO190" s="34"/>
      <c r="AAP190" s="34"/>
      <c r="AAQ190" s="34"/>
      <c r="AAR190" s="34"/>
      <c r="AAS190" s="34"/>
      <c r="AAT190" s="34"/>
      <c r="AAU190" s="34"/>
      <c r="AAV190" s="34"/>
      <c r="AAW190" s="34"/>
      <c r="AAX190" s="34"/>
      <c r="AAY190" s="34"/>
      <c r="AAZ190" s="34"/>
      <c r="ABA190" s="34"/>
      <c r="ABB190" s="34"/>
      <c r="ABC190" s="34"/>
      <c r="ABD190" s="34"/>
      <c r="ABE190" s="34"/>
      <c r="ABF190" s="34"/>
      <c r="ABG190" s="34"/>
      <c r="ABH190" s="34"/>
      <c r="ABI190" s="34"/>
      <c r="ABJ190" s="34"/>
      <c r="ABK190" s="34"/>
      <c r="ABL190" s="34"/>
      <c r="ABM190" s="34"/>
      <c r="ABN190" s="34"/>
      <c r="ABO190" s="34"/>
      <c r="ABP190" s="34"/>
      <c r="ABQ190" s="34"/>
      <c r="ABR190" s="34"/>
      <c r="ABS190" s="34"/>
      <c r="ABT190" s="34"/>
      <c r="ABU190" s="34"/>
      <c r="ABV190" s="34"/>
      <c r="ABW190" s="34"/>
      <c r="ABX190" s="34"/>
      <c r="ABY190" s="34"/>
      <c r="ABZ190" s="34"/>
      <c r="ACA190" s="34"/>
      <c r="ACB190" s="34"/>
      <c r="ACC190" s="34"/>
      <c r="ACD190" s="34"/>
      <c r="ACE190" s="34"/>
      <c r="ACF190" s="34"/>
      <c r="ACG190" s="34"/>
      <c r="ACH190" s="34"/>
      <c r="ACI190" s="34"/>
      <c r="ACJ190" s="34"/>
      <c r="ACK190" s="34"/>
      <c r="ACL190" s="34"/>
      <c r="ACM190" s="34"/>
      <c r="ACN190" s="34"/>
      <c r="ACO190" s="34"/>
      <c r="ACP190" s="34"/>
      <c r="ACQ190" s="34"/>
      <c r="ACR190" s="34"/>
      <c r="ACS190" s="34"/>
      <c r="ACT190" s="34"/>
      <c r="ACU190" s="34"/>
      <c r="ACV190" s="34"/>
      <c r="ACW190" s="34"/>
      <c r="ACX190" s="34"/>
      <c r="ACY190" s="34"/>
      <c r="ACZ190" s="34"/>
      <c r="ADA190" s="34"/>
      <c r="ADB190" s="34"/>
      <c r="ADC190" s="34"/>
      <c r="ADD190" s="34"/>
      <c r="ADE190" s="34"/>
      <c r="ADF190" s="34"/>
      <c r="ADG190" s="34"/>
      <c r="ADH190" s="34"/>
      <c r="ADI190" s="34"/>
      <c r="ADJ190" s="34"/>
      <c r="ADK190" s="34"/>
      <c r="ADL190" s="34"/>
      <c r="ADM190" s="34"/>
      <c r="ADN190" s="34"/>
      <c r="ADO190" s="34"/>
      <c r="ADP190" s="34"/>
      <c r="ADQ190" s="34"/>
      <c r="ADR190" s="34"/>
      <c r="ADS190" s="34"/>
      <c r="ADT190" s="34"/>
      <c r="ADU190" s="34"/>
      <c r="ADV190" s="34"/>
      <c r="ADW190" s="34"/>
      <c r="ADX190" s="34"/>
      <c r="ADY190" s="34"/>
      <c r="ADZ190" s="34"/>
      <c r="AEA190" s="34"/>
      <c r="AEB190" s="34"/>
      <c r="AEC190" s="34"/>
      <c r="AED190" s="34"/>
      <c r="AEE190" s="34"/>
      <c r="AEF190" s="34"/>
      <c r="AEG190" s="34"/>
      <c r="AEH190" s="34"/>
      <c r="AEI190" s="34"/>
      <c r="AEJ190" s="34"/>
      <c r="AEK190" s="34"/>
      <c r="AEL190" s="34"/>
      <c r="AEM190" s="34"/>
      <c r="AEN190" s="34"/>
      <c r="AEO190" s="34"/>
      <c r="AEP190" s="34"/>
      <c r="AEQ190" s="34"/>
      <c r="AER190" s="34"/>
      <c r="AES190" s="34"/>
      <c r="AET190" s="34"/>
      <c r="AEU190" s="34"/>
      <c r="AEV190" s="34"/>
      <c r="AEW190" s="34"/>
      <c r="AEX190" s="34"/>
      <c r="AEY190" s="34"/>
      <c r="AEZ190" s="34"/>
      <c r="AFA190" s="34"/>
      <c r="AFB190" s="34"/>
      <c r="AFC190" s="34"/>
      <c r="AFD190" s="34"/>
      <c r="AFE190" s="34"/>
      <c r="AFF190" s="34"/>
      <c r="AFG190" s="34"/>
      <c r="AFH190" s="34"/>
      <c r="AFI190" s="34"/>
      <c r="AFJ190" s="34"/>
      <c r="AFK190" s="34"/>
      <c r="AFL190" s="34"/>
      <c r="AFM190" s="34"/>
      <c r="AFN190" s="34"/>
      <c r="AFO190" s="34"/>
      <c r="AFP190" s="34"/>
      <c r="AFQ190" s="34"/>
      <c r="AFR190" s="34"/>
      <c r="AFS190" s="34"/>
      <c r="AFT190" s="34"/>
      <c r="AFU190" s="34"/>
      <c r="AFV190" s="34"/>
      <c r="AFW190" s="34"/>
      <c r="AFX190" s="34"/>
      <c r="AFY190" s="34"/>
      <c r="AFZ190" s="34"/>
      <c r="AGA190" s="34"/>
      <c r="AGB190" s="34"/>
      <c r="AGC190" s="34"/>
      <c r="AGD190" s="34"/>
      <c r="AGE190" s="34"/>
      <c r="AGF190" s="34"/>
      <c r="AGG190" s="34"/>
      <c r="AGH190" s="34"/>
      <c r="AGI190" s="34"/>
      <c r="AGJ190" s="34"/>
      <c r="AGK190" s="34"/>
      <c r="AGL190" s="34"/>
      <c r="AGM190" s="34"/>
      <c r="AGN190" s="34"/>
      <c r="AGO190" s="34"/>
      <c r="AGP190" s="34"/>
      <c r="AGQ190" s="34"/>
      <c r="AGR190" s="34"/>
      <c r="AGS190" s="34"/>
      <c r="AGT190" s="34"/>
      <c r="AGU190" s="34"/>
      <c r="AGV190" s="34"/>
      <c r="AGW190" s="34"/>
      <c r="AGX190" s="34"/>
      <c r="AGY190" s="34"/>
      <c r="AGZ190" s="34"/>
      <c r="AHA190" s="34"/>
      <c r="AHB190" s="34"/>
      <c r="AHC190" s="34"/>
      <c r="AHD190" s="34"/>
      <c r="AHE190" s="34"/>
      <c r="AHF190" s="34"/>
      <c r="AHG190" s="34"/>
      <c r="AHH190" s="34"/>
      <c r="AHI190" s="34"/>
      <c r="AHJ190" s="34"/>
      <c r="AHK190" s="34"/>
      <c r="AHL190" s="34"/>
      <c r="AHM190" s="34"/>
      <c r="AHN190" s="34"/>
      <c r="AHO190" s="34"/>
      <c r="AHP190" s="34"/>
      <c r="AHQ190" s="34"/>
      <c r="AHR190" s="34"/>
      <c r="AHS190" s="34"/>
      <c r="AHT190" s="34"/>
      <c r="AHU190" s="34"/>
      <c r="AHV190" s="34"/>
      <c r="AHW190" s="34"/>
      <c r="AHX190" s="34"/>
      <c r="AHY190" s="34"/>
      <c r="AHZ190" s="34"/>
      <c r="AIA190" s="34"/>
      <c r="AIB190" s="34"/>
      <c r="AIC190" s="34"/>
      <c r="AID190" s="34"/>
      <c r="AIE190" s="34"/>
      <c r="AIF190" s="34"/>
      <c r="AIG190" s="34"/>
      <c r="AIH190" s="34"/>
      <c r="AII190" s="34"/>
      <c r="AIJ190" s="34"/>
      <c r="AIK190" s="34"/>
      <c r="AIL190" s="34"/>
      <c r="AIM190" s="34"/>
      <c r="AIN190" s="34"/>
      <c r="AIO190" s="34"/>
      <c r="AIP190" s="34"/>
      <c r="AIQ190" s="34"/>
      <c r="AIR190" s="34"/>
      <c r="AIS190" s="34"/>
      <c r="AIT190" s="34"/>
      <c r="AIU190" s="34"/>
      <c r="AIV190" s="34"/>
      <c r="AIW190" s="34"/>
      <c r="AIX190" s="34"/>
      <c r="AIY190" s="34"/>
      <c r="AIZ190" s="34"/>
      <c r="AJA190" s="34"/>
      <c r="AJB190" s="34"/>
      <c r="AJC190" s="34"/>
      <c r="AJD190" s="34"/>
      <c r="AJE190" s="34"/>
      <c r="AJF190" s="34"/>
      <c r="AJG190" s="34"/>
      <c r="AJH190" s="34"/>
      <c r="AJI190" s="34"/>
      <c r="AJJ190" s="34"/>
      <c r="AJK190" s="34"/>
      <c r="AJL190" s="34"/>
      <c r="AJM190" s="34"/>
      <c r="AJN190" s="34"/>
      <c r="AJO190" s="34"/>
      <c r="AJP190" s="34"/>
      <c r="AJQ190" s="34"/>
      <c r="AJR190" s="34"/>
      <c r="AJS190" s="34"/>
      <c r="AJT190" s="34"/>
      <c r="AJU190" s="34"/>
      <c r="AJV190" s="34"/>
      <c r="AJW190" s="34"/>
      <c r="AJX190" s="34"/>
      <c r="AJY190" s="34"/>
      <c r="AJZ190" s="34"/>
      <c r="AKA190" s="34"/>
      <c r="AKB190" s="34"/>
      <c r="AKC190" s="34"/>
      <c r="AKD190" s="34"/>
      <c r="AKE190" s="34"/>
      <c r="AKF190" s="34"/>
      <c r="AKG190" s="34"/>
      <c r="AKH190" s="34"/>
      <c r="AKI190" s="34"/>
      <c r="AKJ190" s="34"/>
      <c r="AKK190" s="34"/>
      <c r="AKL190" s="34"/>
      <c r="AKM190" s="34"/>
      <c r="AKN190" s="34"/>
      <c r="AKO190" s="34"/>
      <c r="AKP190" s="34"/>
      <c r="AKQ190" s="34"/>
      <c r="AKR190" s="34"/>
      <c r="AKS190" s="34"/>
      <c r="AKT190" s="34"/>
      <c r="AKU190" s="34"/>
      <c r="AKV190" s="34"/>
      <c r="AKW190" s="34"/>
      <c r="AKX190" s="34"/>
      <c r="AKY190" s="34"/>
      <c r="AKZ190" s="34"/>
      <c r="ALA190" s="34"/>
      <c r="ALB190" s="34"/>
      <c r="ALC190" s="34"/>
      <c r="ALD190" s="34"/>
      <c r="ALE190" s="34"/>
      <c r="ALF190" s="34"/>
      <c r="ALG190" s="34"/>
      <c r="ALH190" s="34"/>
      <c r="ALI190" s="34"/>
      <c r="ALJ190" s="34"/>
      <c r="ALK190" s="34"/>
      <c r="ALL190" s="34"/>
      <c r="ALM190" s="34"/>
      <c r="ALN190" s="34"/>
      <c r="ALO190" s="34"/>
      <c r="ALP190" s="34"/>
      <c r="ALQ190" s="34"/>
      <c r="ALR190" s="34"/>
      <c r="ALS190" s="34"/>
      <c r="ALT190" s="34"/>
      <c r="ALU190" s="34"/>
      <c r="ALV190" s="34"/>
      <c r="ALW190" s="34"/>
      <c r="ALX190" s="34"/>
      <c r="ALY190" s="34"/>
      <c r="ALZ190" s="34"/>
      <c r="AMA190" s="34"/>
      <c r="AMB190" s="34"/>
      <c r="AMC190" s="34"/>
      <c r="AMD190" s="34"/>
      <c r="AME190" s="34"/>
      <c r="AMF190" s="34"/>
      <c r="AMG190" s="34"/>
      <c r="AMH190" s="34"/>
      <c r="AMI190" s="34"/>
      <c r="AMJ190" s="34"/>
      <c r="AMK190" s="34"/>
      <c r="AML190" s="34"/>
      <c r="AMM190" s="34"/>
      <c r="AMN190" s="34"/>
      <c r="AMO190" s="34"/>
      <c r="AMP190" s="34"/>
      <c r="AMQ190" s="34"/>
      <c r="AMR190" s="34"/>
      <c r="AMS190" s="34"/>
      <c r="AMT190" s="34"/>
      <c r="AMU190" s="34"/>
      <c r="AMV190" s="34"/>
      <c r="AMW190" s="34"/>
      <c r="AMX190" s="34"/>
      <c r="AMY190" s="34"/>
      <c r="AMZ190" s="34"/>
      <c r="ANA190" s="34"/>
      <c r="ANB190" s="34"/>
      <c r="ANC190" s="34"/>
      <c r="AND190" s="34"/>
      <c r="ANE190" s="34"/>
      <c r="ANF190" s="34"/>
      <c r="ANG190" s="34"/>
      <c r="ANH190" s="34"/>
      <c r="ANI190" s="34"/>
      <c r="ANJ190" s="34"/>
      <c r="ANK190" s="34"/>
      <c r="ANL190" s="34"/>
      <c r="ANM190" s="34"/>
      <c r="ANN190" s="34"/>
      <c r="ANO190" s="34"/>
      <c r="ANP190" s="34"/>
      <c r="ANQ190" s="34"/>
      <c r="ANR190" s="34"/>
      <c r="ANS190" s="34"/>
      <c r="ANT190" s="34"/>
      <c r="ANU190" s="34"/>
      <c r="ANV190" s="34"/>
      <c r="ANW190" s="34"/>
      <c r="ANX190" s="34"/>
      <c r="ANY190" s="34"/>
      <c r="ANZ190" s="34"/>
      <c r="AOA190" s="34"/>
      <c r="AOB190" s="34"/>
      <c r="AOC190" s="34"/>
      <c r="AOD190" s="34"/>
      <c r="AOE190" s="34"/>
      <c r="AOF190" s="34"/>
      <c r="AOG190" s="34"/>
      <c r="AOH190" s="34"/>
      <c r="AOI190" s="34"/>
      <c r="AOJ190" s="34"/>
      <c r="AOK190" s="34"/>
      <c r="AOL190" s="34"/>
      <c r="AOM190" s="34"/>
      <c r="AON190" s="34"/>
      <c r="AOO190" s="34"/>
      <c r="AOP190" s="34"/>
      <c r="AOQ190" s="34"/>
      <c r="AOR190" s="34"/>
      <c r="AOS190" s="34"/>
      <c r="AOT190" s="34"/>
      <c r="AOU190" s="34"/>
      <c r="AOV190" s="34"/>
      <c r="AOW190" s="34"/>
      <c r="AOX190" s="34"/>
      <c r="AOY190" s="34"/>
      <c r="AOZ190" s="34"/>
      <c r="APA190" s="34"/>
      <c r="APB190" s="34"/>
      <c r="APC190" s="34"/>
      <c r="APD190" s="34"/>
      <c r="APE190" s="34"/>
      <c r="APF190" s="34"/>
      <c r="APG190" s="34"/>
      <c r="APH190" s="34"/>
      <c r="API190" s="34"/>
      <c r="APJ190" s="34"/>
      <c r="APK190" s="34"/>
      <c r="APL190" s="34"/>
      <c r="APM190" s="34"/>
      <c r="APN190" s="34"/>
      <c r="APO190" s="34"/>
      <c r="APP190" s="34"/>
      <c r="APQ190" s="34"/>
      <c r="APR190" s="34"/>
      <c r="APS190" s="34"/>
      <c r="APT190" s="34"/>
      <c r="APU190" s="34"/>
      <c r="APV190" s="34"/>
      <c r="APW190" s="34"/>
      <c r="APX190" s="34"/>
      <c r="APY190" s="34"/>
      <c r="APZ190" s="34"/>
      <c r="AQA190" s="34"/>
      <c r="AQB190" s="34"/>
      <c r="AQC190" s="34"/>
      <c r="AQD190" s="34"/>
      <c r="AQE190" s="34"/>
      <c r="AQF190" s="34"/>
      <c r="AQG190" s="34"/>
      <c r="AQH190" s="34"/>
      <c r="AQI190" s="34"/>
      <c r="AQJ190" s="34"/>
      <c r="AQK190" s="34"/>
      <c r="AQL190" s="34"/>
      <c r="AQM190" s="34"/>
      <c r="AQN190" s="34"/>
      <c r="AQO190" s="34"/>
      <c r="AQP190" s="34"/>
      <c r="AQQ190" s="34"/>
      <c r="AQR190" s="34"/>
      <c r="AQS190" s="34"/>
      <c r="AQT190" s="34"/>
      <c r="AQU190" s="34"/>
      <c r="AQV190" s="34"/>
      <c r="AQW190" s="34"/>
      <c r="AQX190" s="34"/>
      <c r="AQY190" s="34"/>
      <c r="AQZ190" s="34"/>
      <c r="ARA190" s="34"/>
      <c r="ARB190" s="34"/>
      <c r="ARC190" s="34"/>
      <c r="ARD190" s="34"/>
      <c r="ARE190" s="34"/>
      <c r="ARF190" s="34"/>
      <c r="ARG190" s="34"/>
      <c r="ARH190" s="34"/>
      <c r="ARI190" s="34"/>
      <c r="ARJ190" s="34"/>
      <c r="ARK190" s="34"/>
      <c r="ARL190" s="34"/>
      <c r="ARM190" s="34"/>
      <c r="ARN190" s="34"/>
      <c r="ARO190" s="34"/>
      <c r="ARP190" s="34"/>
      <c r="ARQ190" s="34"/>
      <c r="ARR190" s="34"/>
      <c r="ARS190" s="34"/>
      <c r="ART190" s="34"/>
      <c r="ARU190" s="34"/>
      <c r="ARV190" s="34"/>
      <c r="ARW190" s="34"/>
      <c r="ARX190" s="34"/>
      <c r="ARY190" s="34"/>
      <c r="ARZ190" s="34"/>
      <c r="ASA190" s="34"/>
      <c r="ASB190" s="34"/>
      <c r="ASC190" s="34"/>
      <c r="ASD190" s="34"/>
      <c r="ASE190" s="34"/>
      <c r="ASF190" s="34"/>
      <c r="ASG190" s="34"/>
      <c r="ASH190" s="34"/>
      <c r="ASI190" s="34"/>
      <c r="ASJ190" s="34"/>
      <c r="ASK190" s="34"/>
      <c r="ASL190" s="34"/>
      <c r="ASM190" s="34"/>
      <c r="ASN190" s="34"/>
      <c r="ASO190" s="34"/>
      <c r="ASP190" s="34"/>
      <c r="ASQ190" s="34"/>
      <c r="ASR190" s="34"/>
      <c r="ASS190" s="34"/>
      <c r="AST190" s="34"/>
      <c r="ASU190" s="34"/>
      <c r="ASV190" s="34"/>
      <c r="ASW190" s="34"/>
      <c r="ASX190" s="34"/>
      <c r="ASY190" s="34"/>
      <c r="ASZ190" s="34"/>
      <c r="ATA190" s="34"/>
      <c r="ATB190" s="34"/>
      <c r="ATC190" s="34"/>
      <c r="ATD190" s="34"/>
      <c r="ATE190" s="34"/>
      <c r="ATF190" s="34"/>
      <c r="ATG190" s="34"/>
      <c r="ATH190" s="34"/>
      <c r="ATI190" s="34"/>
      <c r="ATJ190" s="34"/>
      <c r="ATK190" s="34"/>
      <c r="ATL190" s="34"/>
      <c r="ATM190" s="34"/>
      <c r="ATN190" s="34"/>
      <c r="ATO190" s="34"/>
      <c r="ATP190" s="34"/>
      <c r="ATQ190" s="34"/>
      <c r="ATR190" s="34"/>
      <c r="ATS190" s="34"/>
      <c r="ATT190" s="34"/>
      <c r="ATU190" s="34"/>
      <c r="ATV190" s="34"/>
      <c r="ATW190" s="34"/>
      <c r="ATX190" s="34"/>
      <c r="ATY190" s="34"/>
      <c r="ATZ190" s="34"/>
      <c r="AUA190" s="34"/>
      <c r="AUB190" s="34"/>
      <c r="AUC190" s="34"/>
      <c r="AUD190" s="34"/>
      <c r="AUE190" s="34"/>
      <c r="AUF190" s="34"/>
      <c r="AUG190" s="34"/>
      <c r="AUH190" s="34"/>
      <c r="AUI190" s="34"/>
      <c r="AUJ190" s="34"/>
      <c r="AUK190" s="34"/>
      <c r="AUL190" s="34"/>
      <c r="AUM190" s="34"/>
      <c r="AUN190" s="34"/>
      <c r="AUO190" s="34"/>
      <c r="AUP190" s="34"/>
      <c r="AUQ190" s="34"/>
      <c r="AUR190" s="34"/>
      <c r="AUS190" s="34"/>
      <c r="AUT190" s="34"/>
      <c r="AUU190" s="34"/>
      <c r="AUV190" s="34"/>
      <c r="AUW190" s="34"/>
      <c r="AUX190" s="34"/>
      <c r="AUY190" s="34"/>
      <c r="AUZ190" s="34"/>
      <c r="AVA190" s="34"/>
      <c r="AVB190" s="34"/>
      <c r="AVC190" s="34"/>
      <c r="AVD190" s="34"/>
      <c r="AVE190" s="34"/>
      <c r="AVF190" s="34"/>
      <c r="AVG190" s="34"/>
      <c r="AVH190" s="34"/>
      <c r="AVI190" s="34"/>
      <c r="AVJ190" s="34"/>
      <c r="AVK190" s="34"/>
      <c r="AVL190" s="34"/>
      <c r="AVM190" s="34"/>
      <c r="AVN190" s="34"/>
      <c r="AVO190" s="34"/>
      <c r="AVP190" s="34"/>
      <c r="AVQ190" s="34"/>
      <c r="AVR190" s="34"/>
      <c r="AVS190" s="34"/>
      <c r="AVT190" s="34"/>
      <c r="AVU190" s="34"/>
      <c r="AVV190" s="34"/>
      <c r="AVW190" s="34"/>
      <c r="AVX190" s="34"/>
      <c r="AVY190" s="34"/>
      <c r="AVZ190" s="34"/>
      <c r="AWA190" s="34"/>
      <c r="AWB190" s="34"/>
      <c r="AWC190" s="34"/>
      <c r="AWD190" s="34"/>
      <c r="AWE190" s="34"/>
      <c r="AWF190" s="34"/>
      <c r="AWG190" s="34"/>
      <c r="AWH190" s="34"/>
      <c r="AWI190" s="34"/>
      <c r="AWJ190" s="34"/>
      <c r="AWK190" s="34"/>
      <c r="AWL190" s="34"/>
      <c r="AWM190" s="34"/>
      <c r="AWN190" s="34"/>
      <c r="AWO190" s="34"/>
      <c r="AWP190" s="34"/>
      <c r="AWQ190" s="34"/>
      <c r="AWR190" s="34"/>
      <c r="AWS190" s="34"/>
      <c r="AWT190" s="34"/>
      <c r="AWU190" s="34"/>
      <c r="AWV190" s="34"/>
      <c r="AWW190" s="34"/>
      <c r="AWX190" s="34"/>
      <c r="AWY190" s="34"/>
      <c r="AWZ190" s="34"/>
      <c r="AXA190" s="34"/>
      <c r="AXB190" s="34"/>
      <c r="AXC190" s="34"/>
      <c r="AXD190" s="34"/>
      <c r="AXE190" s="34"/>
      <c r="AXF190" s="34"/>
      <c r="AXG190" s="34"/>
      <c r="AXH190" s="34"/>
      <c r="AXI190" s="34"/>
      <c r="AXJ190" s="34"/>
      <c r="AXK190" s="34"/>
      <c r="AXL190" s="34"/>
      <c r="AXM190" s="34"/>
      <c r="AXN190" s="34"/>
      <c r="AXO190" s="34"/>
      <c r="AXP190" s="34"/>
      <c r="AXQ190" s="34"/>
      <c r="AXR190" s="34"/>
      <c r="AXS190" s="34"/>
      <c r="AXT190" s="34"/>
      <c r="AXU190" s="34"/>
      <c r="AXV190" s="34"/>
      <c r="AXW190" s="34"/>
      <c r="AXX190" s="34"/>
      <c r="AXY190" s="34"/>
      <c r="AXZ190" s="34"/>
      <c r="AYA190" s="34"/>
      <c r="AYB190" s="34"/>
      <c r="AYC190" s="34"/>
      <c r="AYD190" s="34"/>
      <c r="AYE190" s="34"/>
      <c r="AYF190" s="34"/>
      <c r="AYG190" s="34"/>
      <c r="AYH190" s="34"/>
      <c r="AYI190" s="34"/>
      <c r="AYJ190" s="34"/>
      <c r="AYK190" s="34"/>
      <c r="AYL190" s="34"/>
      <c r="AYM190" s="34"/>
      <c r="AYN190" s="34"/>
      <c r="AYO190" s="34"/>
      <c r="AYP190" s="34"/>
      <c r="AYQ190" s="34"/>
      <c r="AYR190" s="34"/>
      <c r="AYS190" s="34"/>
      <c r="AYT190" s="34"/>
      <c r="AYU190" s="34"/>
      <c r="AYV190" s="34"/>
      <c r="AYW190" s="34"/>
      <c r="AYX190" s="34"/>
      <c r="AYY190" s="34"/>
      <c r="AYZ190" s="34"/>
      <c r="AZA190" s="34"/>
      <c r="AZB190" s="34"/>
      <c r="AZC190" s="34"/>
      <c r="AZD190" s="34"/>
      <c r="AZE190" s="34"/>
      <c r="AZF190" s="34"/>
      <c r="AZG190" s="34"/>
      <c r="AZH190" s="34"/>
      <c r="AZI190" s="34"/>
      <c r="AZJ190" s="34"/>
      <c r="AZK190" s="34"/>
      <c r="AZL190" s="34"/>
      <c r="AZM190" s="34"/>
      <c r="AZN190" s="34"/>
      <c r="AZO190" s="34"/>
      <c r="AZP190" s="34"/>
      <c r="AZQ190" s="34"/>
      <c r="AZR190" s="34"/>
      <c r="AZS190" s="34"/>
      <c r="AZT190" s="34"/>
      <c r="AZU190" s="34"/>
      <c r="AZV190" s="34"/>
      <c r="AZW190" s="34"/>
      <c r="AZX190" s="34"/>
      <c r="AZY190" s="34"/>
      <c r="AZZ190" s="34"/>
      <c r="BAA190" s="34"/>
      <c r="BAB190" s="34"/>
      <c r="BAC190" s="34"/>
      <c r="BAD190" s="34"/>
      <c r="BAE190" s="34"/>
      <c r="BAF190" s="34"/>
      <c r="BAG190" s="34"/>
      <c r="BAH190" s="34"/>
      <c r="BAI190" s="34"/>
      <c r="BAJ190" s="34"/>
      <c r="BAK190" s="34"/>
      <c r="BAL190" s="34"/>
      <c r="BAM190" s="34"/>
      <c r="BAN190" s="34"/>
      <c r="BAO190" s="34"/>
      <c r="BAP190" s="34"/>
      <c r="BAQ190" s="34"/>
      <c r="BAR190" s="34"/>
      <c r="BAS190" s="34"/>
      <c r="BAT190" s="34"/>
      <c r="BAU190" s="34"/>
      <c r="BAV190" s="34"/>
      <c r="BAW190" s="34"/>
      <c r="BAX190" s="34"/>
      <c r="BAY190" s="34"/>
      <c r="BAZ190" s="34"/>
      <c r="BBA190" s="34"/>
      <c r="BBB190" s="34"/>
      <c r="BBC190" s="34"/>
      <c r="BBD190" s="34"/>
      <c r="BBE190" s="34"/>
      <c r="BBF190" s="34"/>
      <c r="BBG190" s="34"/>
      <c r="BBH190" s="34"/>
      <c r="BBI190" s="34"/>
      <c r="BBJ190" s="34"/>
      <c r="BBK190" s="34"/>
      <c r="BBL190" s="34"/>
      <c r="BBM190" s="34"/>
      <c r="BBN190" s="34"/>
      <c r="BBO190" s="34"/>
      <c r="BBP190" s="34"/>
      <c r="BBQ190" s="34"/>
      <c r="BBR190" s="34"/>
      <c r="BBS190" s="34"/>
      <c r="BBT190" s="34"/>
      <c r="BBU190" s="34"/>
      <c r="BBV190" s="34"/>
      <c r="BBW190" s="34"/>
      <c r="BBX190" s="34"/>
      <c r="BBY190" s="34"/>
      <c r="BBZ190" s="34"/>
      <c r="BCA190" s="34"/>
      <c r="BCB190" s="34"/>
      <c r="BCC190" s="34"/>
      <c r="BCD190" s="34"/>
      <c r="BCE190" s="34"/>
      <c r="BCF190" s="34"/>
      <c r="BCG190" s="34"/>
      <c r="BCH190" s="34"/>
      <c r="BCI190" s="34"/>
      <c r="BCJ190" s="34"/>
      <c r="BCK190" s="34"/>
      <c r="BCL190" s="34"/>
      <c r="BCM190" s="34"/>
      <c r="BCN190" s="34"/>
      <c r="BCO190" s="34"/>
      <c r="BCP190" s="34"/>
      <c r="BCQ190" s="34"/>
      <c r="BCR190" s="34"/>
      <c r="BCS190" s="34"/>
      <c r="BCT190" s="34"/>
      <c r="BCU190" s="34"/>
      <c r="BCV190" s="34"/>
      <c r="BCW190" s="34"/>
      <c r="BCX190" s="34"/>
      <c r="BCY190" s="34"/>
      <c r="BCZ190" s="34"/>
      <c r="BDA190" s="34"/>
      <c r="BDB190" s="34"/>
      <c r="BDC190" s="34"/>
      <c r="BDD190" s="34"/>
      <c r="BDE190" s="34"/>
      <c r="BDF190" s="34"/>
      <c r="BDG190" s="34"/>
      <c r="BDH190" s="34"/>
      <c r="BDI190" s="34"/>
      <c r="BDJ190" s="34"/>
      <c r="BDK190" s="34"/>
      <c r="BDL190" s="34"/>
      <c r="BDM190" s="34"/>
      <c r="BDN190" s="34"/>
      <c r="BDO190" s="34"/>
      <c r="BDP190" s="34"/>
      <c r="BDQ190" s="34"/>
      <c r="BDR190" s="34"/>
      <c r="BDS190" s="34"/>
      <c r="BDT190" s="34"/>
      <c r="BDU190" s="34"/>
      <c r="BDV190" s="34"/>
      <c r="BDW190" s="34"/>
      <c r="BDX190" s="34"/>
      <c r="BDY190" s="34"/>
      <c r="BDZ190" s="34"/>
      <c r="BEA190" s="34"/>
      <c r="BEB190" s="34"/>
      <c r="BEC190" s="34"/>
      <c r="BED190" s="34"/>
      <c r="BEE190" s="34"/>
      <c r="BEF190" s="34"/>
      <c r="BEG190" s="34"/>
      <c r="BEH190" s="34"/>
      <c r="BEI190" s="34"/>
      <c r="BEJ190" s="34"/>
      <c r="BEK190" s="34"/>
      <c r="BEL190" s="34"/>
      <c r="BEM190" s="34"/>
      <c r="BEN190" s="34"/>
      <c r="BEO190" s="34"/>
      <c r="BEP190" s="34"/>
      <c r="BEQ190" s="34"/>
      <c r="BER190" s="34"/>
      <c r="BES190" s="34"/>
      <c r="BET190" s="34"/>
      <c r="BEU190" s="34"/>
      <c r="BEV190" s="34"/>
      <c r="BEW190" s="34"/>
      <c r="BEX190" s="34"/>
      <c r="BEY190" s="34"/>
      <c r="BEZ190" s="34"/>
      <c r="BFA190" s="34"/>
      <c r="BFB190" s="34"/>
      <c r="BFC190" s="34"/>
      <c r="BFD190" s="34"/>
      <c r="BFE190" s="34"/>
      <c r="BFF190" s="34"/>
      <c r="BFG190" s="34"/>
      <c r="BFH190" s="34"/>
      <c r="BFI190" s="34"/>
      <c r="BFJ190" s="34"/>
      <c r="BFK190" s="34"/>
      <c r="BFL190" s="34"/>
      <c r="BFM190" s="34"/>
      <c r="BFN190" s="34"/>
      <c r="BFO190" s="34"/>
      <c r="BFP190" s="34"/>
      <c r="BFQ190" s="34"/>
      <c r="BFR190" s="34"/>
      <c r="BFS190" s="34"/>
      <c r="BFT190" s="34"/>
      <c r="BFU190" s="34"/>
      <c r="BFV190" s="34"/>
      <c r="BFW190" s="34"/>
      <c r="BFX190" s="34"/>
      <c r="BFY190" s="34"/>
      <c r="BFZ190" s="34"/>
      <c r="BGA190" s="34"/>
      <c r="BGB190" s="34"/>
      <c r="BGC190" s="34"/>
      <c r="BGD190" s="34"/>
      <c r="BGE190" s="34"/>
      <c r="BGF190" s="34"/>
      <c r="BGG190" s="34"/>
      <c r="BGH190" s="34"/>
      <c r="BGI190" s="34"/>
      <c r="BGJ190" s="34"/>
      <c r="BGK190" s="34"/>
      <c r="BGL190" s="34"/>
      <c r="BGM190" s="34"/>
      <c r="BGN190" s="34"/>
      <c r="BGO190" s="34"/>
      <c r="BGP190" s="34"/>
      <c r="BGQ190" s="34"/>
      <c r="BGR190" s="34"/>
      <c r="BGS190" s="34"/>
      <c r="BGT190" s="34"/>
      <c r="BGU190" s="34"/>
      <c r="BGV190" s="34"/>
      <c r="BGW190" s="34"/>
      <c r="BGX190" s="34"/>
      <c r="BGY190" s="34"/>
      <c r="BGZ190" s="34"/>
      <c r="BHA190" s="34"/>
      <c r="BHB190" s="34"/>
      <c r="BHC190" s="34"/>
      <c r="BHD190" s="34"/>
      <c r="BHE190" s="34"/>
      <c r="BHF190" s="34"/>
      <c r="BHG190" s="34"/>
      <c r="BHH190" s="34"/>
      <c r="BHI190" s="34"/>
      <c r="BHJ190" s="34"/>
      <c r="BHK190" s="34"/>
      <c r="BHL190" s="34"/>
      <c r="BHM190" s="34"/>
      <c r="BHN190" s="34"/>
      <c r="BHO190" s="34"/>
      <c r="BHP190" s="34"/>
      <c r="BHQ190" s="34"/>
      <c r="BHR190" s="34"/>
      <c r="BHS190" s="34"/>
      <c r="BHT190" s="34"/>
      <c r="BHU190" s="34"/>
      <c r="BHV190" s="34"/>
      <c r="BHW190" s="34"/>
      <c r="BHX190" s="34"/>
      <c r="BHY190" s="34"/>
      <c r="BHZ190" s="34"/>
      <c r="BIA190" s="34"/>
      <c r="BIB190" s="34"/>
      <c r="BIC190" s="34"/>
      <c r="BID190" s="34"/>
      <c r="BIE190" s="34"/>
      <c r="BIF190" s="34"/>
      <c r="BIG190" s="34"/>
      <c r="BIH190" s="34"/>
      <c r="BII190" s="34"/>
      <c r="BIJ190" s="34"/>
      <c r="BIK190" s="34"/>
      <c r="BIL190" s="34"/>
      <c r="BIM190" s="34"/>
      <c r="BIN190" s="34"/>
      <c r="BIO190" s="34"/>
      <c r="BIP190" s="34"/>
      <c r="BIQ190" s="34"/>
      <c r="BIR190" s="34"/>
      <c r="BIS190" s="34"/>
      <c r="BIT190" s="34"/>
      <c r="BIU190" s="34"/>
      <c r="BIV190" s="34"/>
      <c r="BIW190" s="34"/>
      <c r="BIX190" s="34"/>
      <c r="BIY190" s="34"/>
      <c r="BIZ190" s="34"/>
      <c r="BJA190" s="34"/>
      <c r="BJB190" s="34"/>
      <c r="BJC190" s="34"/>
      <c r="BJD190" s="34"/>
      <c r="BJE190" s="34"/>
      <c r="BJF190" s="34"/>
      <c r="BJG190" s="34"/>
      <c r="BJH190" s="34"/>
      <c r="BJI190" s="34"/>
      <c r="BJJ190" s="34"/>
      <c r="BJK190" s="34"/>
      <c r="BJL190" s="34"/>
      <c r="BJM190" s="34"/>
      <c r="BJN190" s="34"/>
      <c r="BJO190" s="34"/>
      <c r="BJP190" s="34"/>
      <c r="BJQ190" s="34"/>
      <c r="BJR190" s="34"/>
      <c r="BJS190" s="34"/>
      <c r="BJT190" s="34"/>
      <c r="BJU190" s="34"/>
      <c r="BJV190" s="34"/>
      <c r="BJW190" s="34"/>
      <c r="BJX190" s="34"/>
      <c r="BJY190" s="34"/>
      <c r="BJZ190" s="34"/>
      <c r="BKA190" s="34"/>
      <c r="BKB190" s="34"/>
      <c r="BKC190" s="34"/>
      <c r="BKD190" s="34"/>
      <c r="BKE190" s="34"/>
      <c r="BKF190" s="34"/>
      <c r="BKG190" s="34"/>
      <c r="BKH190" s="34"/>
      <c r="BKI190" s="34"/>
      <c r="BKJ190" s="34"/>
      <c r="BKK190" s="34"/>
      <c r="BKL190" s="34"/>
      <c r="BKM190" s="34"/>
      <c r="BKN190" s="34"/>
      <c r="BKO190" s="34"/>
      <c r="BKP190" s="34"/>
      <c r="BKQ190" s="34"/>
      <c r="BKR190" s="34"/>
      <c r="BKS190" s="34"/>
      <c r="BKT190" s="34"/>
      <c r="BKU190" s="34"/>
      <c r="BKV190" s="34"/>
      <c r="BKW190" s="34"/>
      <c r="BKX190" s="34"/>
      <c r="BKY190" s="34"/>
      <c r="BKZ190" s="34"/>
      <c r="BLA190" s="34"/>
      <c r="BLB190" s="34"/>
      <c r="BLC190" s="34"/>
      <c r="BLD190" s="34"/>
      <c r="BLE190" s="34"/>
      <c r="BLF190" s="34"/>
      <c r="BLG190" s="34"/>
      <c r="BLH190" s="34"/>
      <c r="BLI190" s="34"/>
      <c r="BLJ190" s="34"/>
      <c r="BLK190" s="34"/>
      <c r="BLL190" s="34"/>
      <c r="BLM190" s="34"/>
      <c r="BLN190" s="34"/>
      <c r="BLO190" s="34"/>
      <c r="BLP190" s="34"/>
      <c r="BLQ190" s="34"/>
      <c r="BLR190" s="34"/>
      <c r="BLS190" s="34"/>
      <c r="BLT190" s="34"/>
      <c r="BLU190" s="34"/>
      <c r="BLV190" s="34"/>
      <c r="BLW190" s="34"/>
      <c r="BLX190" s="34"/>
      <c r="BLY190" s="34"/>
      <c r="BLZ190" s="34"/>
      <c r="BMA190" s="34"/>
      <c r="BMB190" s="34"/>
      <c r="BMC190" s="34"/>
      <c r="BMD190" s="34"/>
      <c r="BME190" s="34"/>
      <c r="BMF190" s="34"/>
      <c r="BMG190" s="34"/>
      <c r="BMH190" s="34"/>
      <c r="BMI190" s="34"/>
      <c r="BMJ190" s="34"/>
      <c r="BMK190" s="34"/>
      <c r="BML190" s="34"/>
      <c r="BMM190" s="34"/>
      <c r="BMN190" s="34"/>
      <c r="BMO190" s="34"/>
      <c r="BMP190" s="34"/>
      <c r="BMQ190" s="34"/>
      <c r="BMR190" s="34"/>
      <c r="BMS190" s="34"/>
      <c r="BMT190" s="34"/>
      <c r="BMU190" s="34"/>
      <c r="BMV190" s="34"/>
      <c r="BMW190" s="34"/>
      <c r="BMX190" s="34"/>
      <c r="BMY190" s="34"/>
      <c r="BMZ190" s="34"/>
      <c r="BNA190" s="34"/>
      <c r="BNB190" s="34"/>
      <c r="BNC190" s="34"/>
      <c r="BND190" s="34"/>
      <c r="BNE190" s="34"/>
      <c r="BNF190" s="34"/>
      <c r="BNG190" s="34"/>
      <c r="BNH190" s="34"/>
      <c r="BNI190" s="34"/>
      <c r="BNJ190" s="34"/>
      <c r="BNK190" s="34"/>
      <c r="BNL190" s="34"/>
      <c r="BNM190" s="34"/>
      <c r="BNN190" s="34"/>
      <c r="BNO190" s="34"/>
      <c r="BNP190" s="34"/>
      <c r="BNQ190" s="34"/>
      <c r="BNR190" s="34"/>
      <c r="BNS190" s="34"/>
      <c r="BNT190" s="34"/>
      <c r="BNU190" s="34"/>
      <c r="BNV190" s="34"/>
      <c r="BNW190" s="34"/>
      <c r="BNX190" s="34"/>
      <c r="BNY190" s="34"/>
      <c r="BNZ190" s="34"/>
      <c r="BOA190" s="34"/>
      <c r="BOB190" s="34"/>
      <c r="BOC190" s="34"/>
      <c r="BOD190" s="34"/>
      <c r="BOE190" s="34"/>
      <c r="BOF190" s="34"/>
      <c r="BOG190" s="34"/>
      <c r="BOH190" s="34"/>
      <c r="BOI190" s="34"/>
      <c r="BOJ190" s="34"/>
      <c r="BOK190" s="34"/>
      <c r="BOL190" s="34"/>
      <c r="BOM190" s="34"/>
      <c r="BON190" s="34"/>
      <c r="BOO190" s="34"/>
      <c r="BOP190" s="34"/>
      <c r="BOQ190" s="34"/>
      <c r="BOR190" s="34"/>
      <c r="BOS190" s="34"/>
      <c r="BOT190" s="34"/>
      <c r="BOU190" s="34"/>
      <c r="BOV190" s="34"/>
      <c r="BOW190" s="34"/>
      <c r="BOX190" s="34"/>
      <c r="BOY190" s="34"/>
      <c r="BOZ190" s="34"/>
      <c r="BPA190" s="34"/>
      <c r="BPB190" s="34"/>
      <c r="BPC190" s="34"/>
      <c r="BPD190" s="34"/>
      <c r="BPE190" s="34"/>
      <c r="BPF190" s="34"/>
      <c r="BPG190" s="34"/>
      <c r="BPH190" s="34"/>
      <c r="BPI190" s="34"/>
      <c r="BPJ190" s="34"/>
      <c r="BPK190" s="34"/>
      <c r="BPL190" s="34"/>
      <c r="BPM190" s="34"/>
      <c r="BPN190" s="34"/>
      <c r="BPO190" s="34"/>
      <c r="BPP190" s="34"/>
      <c r="BPQ190" s="34"/>
      <c r="BPR190" s="34"/>
      <c r="BPS190" s="34"/>
      <c r="BPT190" s="34"/>
      <c r="BPU190" s="34"/>
      <c r="BPV190" s="34"/>
      <c r="BPW190" s="34"/>
      <c r="BPX190" s="34"/>
      <c r="BPY190" s="34"/>
      <c r="BPZ190" s="34"/>
      <c r="BQA190" s="34"/>
      <c r="BQB190" s="34"/>
      <c r="BQC190" s="34"/>
      <c r="BQD190" s="34"/>
      <c r="BQE190" s="34"/>
      <c r="BQF190" s="34"/>
      <c r="BQG190" s="34"/>
      <c r="BQH190" s="34"/>
      <c r="BQI190" s="34"/>
      <c r="BQJ190" s="34"/>
      <c r="BQK190" s="34"/>
      <c r="BQL190" s="34"/>
      <c r="BQM190" s="34"/>
      <c r="BQN190" s="34"/>
      <c r="BQO190" s="34"/>
      <c r="BQP190" s="34"/>
      <c r="BQQ190" s="34"/>
      <c r="BQR190" s="34"/>
      <c r="BQS190" s="34"/>
      <c r="BQT190" s="34"/>
      <c r="BQU190" s="34"/>
      <c r="BQV190" s="34"/>
      <c r="BQW190" s="34"/>
      <c r="BQX190" s="34"/>
      <c r="BQY190" s="34"/>
      <c r="BQZ190" s="34"/>
      <c r="BRA190" s="34"/>
      <c r="BRB190" s="34"/>
      <c r="BRC190" s="34"/>
      <c r="BRD190" s="34"/>
      <c r="BRE190" s="34"/>
      <c r="BRF190" s="34"/>
      <c r="BRG190" s="34"/>
      <c r="BRH190" s="34"/>
      <c r="BRI190" s="34"/>
      <c r="BRJ190" s="34"/>
      <c r="BRK190" s="34"/>
      <c r="BRL190" s="34"/>
      <c r="BRM190" s="34"/>
      <c r="BRN190" s="34"/>
      <c r="BRO190" s="34"/>
      <c r="BRP190" s="34"/>
      <c r="BRQ190" s="34"/>
      <c r="BRR190" s="34"/>
      <c r="BRS190" s="34"/>
      <c r="BRT190" s="34"/>
      <c r="BRU190" s="34"/>
      <c r="BRV190" s="34"/>
      <c r="BRW190" s="34"/>
      <c r="BRX190" s="34"/>
      <c r="BRY190" s="34"/>
      <c r="BRZ190" s="34"/>
      <c r="BSA190" s="34"/>
      <c r="BSB190" s="34"/>
      <c r="BSC190" s="34"/>
      <c r="BSD190" s="34"/>
      <c r="BSE190" s="34"/>
      <c r="BSF190" s="34"/>
      <c r="BSG190" s="34"/>
      <c r="BSH190" s="34"/>
      <c r="BSI190" s="34"/>
      <c r="BSJ190" s="34"/>
      <c r="BSK190" s="34"/>
      <c r="BSL190" s="34"/>
      <c r="BSM190" s="34"/>
      <c r="BSN190" s="34"/>
      <c r="BSO190" s="34"/>
      <c r="BSP190" s="34"/>
      <c r="BSQ190" s="34"/>
      <c r="BSR190" s="34"/>
      <c r="BSS190" s="34"/>
      <c r="BST190" s="34"/>
      <c r="BSU190" s="34"/>
      <c r="BSV190" s="34"/>
      <c r="BSW190" s="34"/>
      <c r="BSX190" s="34"/>
      <c r="BSY190" s="34"/>
      <c r="BSZ190" s="34"/>
      <c r="BTA190" s="34"/>
      <c r="BTB190" s="34"/>
      <c r="BTC190" s="34"/>
      <c r="BTD190" s="34"/>
      <c r="BTE190" s="34"/>
      <c r="BTF190" s="34"/>
      <c r="BTG190" s="34"/>
      <c r="BTH190" s="34"/>
      <c r="BTI190" s="34"/>
      <c r="BTJ190" s="34"/>
      <c r="BTK190" s="34"/>
      <c r="BTL190" s="34"/>
      <c r="BTM190" s="34"/>
      <c r="BTN190" s="34"/>
      <c r="BTO190" s="34"/>
      <c r="BTP190" s="34"/>
      <c r="BTQ190" s="34"/>
      <c r="BTR190" s="34"/>
      <c r="BTS190" s="34"/>
      <c r="BTT190" s="34"/>
      <c r="BTU190" s="34"/>
      <c r="BTV190" s="34"/>
      <c r="BTW190" s="34"/>
      <c r="BTX190" s="34"/>
      <c r="BTY190" s="34"/>
      <c r="BTZ190" s="34"/>
      <c r="BUA190" s="34"/>
      <c r="BUB190" s="34"/>
      <c r="BUC190" s="34"/>
      <c r="BUD190" s="34"/>
      <c r="BUE190" s="34"/>
      <c r="BUF190" s="34"/>
      <c r="BUG190" s="34"/>
      <c r="BUH190" s="34"/>
      <c r="BUI190" s="34"/>
      <c r="BUJ190" s="34"/>
      <c r="BUK190" s="34"/>
      <c r="BUL190" s="34"/>
      <c r="BUM190" s="34"/>
      <c r="BUN190" s="34"/>
      <c r="BUO190" s="34"/>
      <c r="BUP190" s="34"/>
      <c r="BUQ190" s="34"/>
      <c r="BUR190" s="34"/>
      <c r="BUS190" s="34"/>
      <c r="BUT190" s="34"/>
      <c r="BUU190" s="34"/>
      <c r="BUV190" s="34"/>
      <c r="BUW190" s="34"/>
      <c r="BUX190" s="34"/>
      <c r="BUY190" s="34"/>
      <c r="BUZ190" s="34"/>
      <c r="BVA190" s="34"/>
      <c r="BVB190" s="34"/>
      <c r="BVC190" s="34"/>
      <c r="BVD190" s="34"/>
      <c r="BVE190" s="34"/>
      <c r="BVF190" s="34"/>
      <c r="BVG190" s="34"/>
      <c r="BVH190" s="34"/>
      <c r="BVI190" s="34"/>
      <c r="BVJ190" s="34"/>
      <c r="BVK190" s="34"/>
      <c r="BVL190" s="34"/>
      <c r="BVM190" s="34"/>
      <c r="BVN190" s="34"/>
      <c r="BVO190" s="34"/>
      <c r="BVP190" s="34"/>
      <c r="BVQ190" s="34"/>
      <c r="BVR190" s="34"/>
      <c r="BVS190" s="34"/>
      <c r="BVT190" s="34"/>
      <c r="BVU190" s="34"/>
      <c r="BVV190" s="34"/>
      <c r="BVW190" s="34"/>
      <c r="BVX190" s="34"/>
      <c r="BVY190" s="34"/>
      <c r="BVZ190" s="34"/>
      <c r="BWA190" s="34"/>
      <c r="BWB190" s="34"/>
      <c r="BWC190" s="34"/>
      <c r="BWD190" s="34"/>
      <c r="BWE190" s="34"/>
      <c r="BWF190" s="34"/>
      <c r="BWG190" s="34"/>
      <c r="BWH190" s="34"/>
      <c r="BWI190" s="34"/>
      <c r="BWJ190" s="34"/>
      <c r="BWK190" s="34"/>
      <c r="BWL190" s="34"/>
      <c r="BWM190" s="34"/>
      <c r="BWN190" s="34"/>
      <c r="BWO190" s="34"/>
      <c r="BWP190" s="34"/>
      <c r="BWQ190" s="34"/>
      <c r="BWR190" s="34"/>
      <c r="BWS190" s="34"/>
      <c r="BWT190" s="34"/>
      <c r="BWU190" s="34"/>
      <c r="BWV190" s="34"/>
      <c r="BWW190" s="34"/>
      <c r="BWX190" s="34"/>
      <c r="BWY190" s="34"/>
      <c r="BWZ190" s="34"/>
      <c r="BXA190" s="34"/>
      <c r="BXB190" s="34"/>
      <c r="BXC190" s="34"/>
      <c r="BXD190" s="34"/>
      <c r="BXE190" s="34"/>
      <c r="BXF190" s="34"/>
      <c r="BXG190" s="34"/>
      <c r="BXH190" s="34"/>
      <c r="BXI190" s="34"/>
      <c r="BXJ190" s="34"/>
      <c r="BXK190" s="34"/>
      <c r="BXL190" s="34"/>
      <c r="BXM190" s="34"/>
      <c r="BXN190" s="34"/>
      <c r="BXO190" s="34"/>
      <c r="BXP190" s="34"/>
      <c r="BXQ190" s="34"/>
      <c r="BXR190" s="34"/>
      <c r="BXS190" s="34"/>
      <c r="BXT190" s="34"/>
      <c r="BXU190" s="34"/>
      <c r="BXV190" s="34"/>
      <c r="BXW190" s="34"/>
      <c r="BXX190" s="34"/>
      <c r="BXY190" s="34"/>
      <c r="BXZ190" s="34"/>
      <c r="BYA190" s="34"/>
      <c r="BYB190" s="34"/>
      <c r="BYC190" s="34"/>
      <c r="BYD190" s="34"/>
      <c r="BYE190" s="34"/>
      <c r="BYF190" s="34"/>
      <c r="BYG190" s="34"/>
      <c r="BYH190" s="34"/>
      <c r="BYI190" s="34"/>
      <c r="BYJ190" s="34"/>
      <c r="BYK190" s="34"/>
      <c r="BYL190" s="34"/>
      <c r="BYM190" s="34"/>
      <c r="BYN190" s="34"/>
      <c r="BYO190" s="34"/>
      <c r="BYP190" s="34"/>
      <c r="BYQ190" s="34"/>
      <c r="BYR190" s="34"/>
      <c r="BYS190" s="34"/>
      <c r="BYT190" s="34"/>
      <c r="BYU190" s="34"/>
      <c r="BYV190" s="34"/>
      <c r="BYW190" s="34"/>
      <c r="BYX190" s="34"/>
      <c r="BYY190" s="34"/>
      <c r="BYZ190" s="34"/>
      <c r="BZA190" s="34"/>
      <c r="BZB190" s="34"/>
      <c r="BZC190" s="34"/>
      <c r="BZD190" s="34"/>
      <c r="BZE190" s="34"/>
      <c r="BZF190" s="34"/>
      <c r="BZG190" s="34"/>
      <c r="BZH190" s="34"/>
      <c r="BZI190" s="34"/>
      <c r="BZJ190" s="34"/>
      <c r="BZK190" s="34"/>
      <c r="BZL190" s="34"/>
      <c r="BZM190" s="34"/>
      <c r="BZN190" s="34"/>
      <c r="BZO190" s="34"/>
      <c r="BZP190" s="34"/>
      <c r="BZQ190" s="34"/>
      <c r="BZR190" s="34"/>
      <c r="BZS190" s="34"/>
      <c r="BZT190" s="34"/>
      <c r="BZU190" s="34"/>
      <c r="BZV190" s="34"/>
      <c r="BZW190" s="34"/>
      <c r="BZX190" s="34"/>
      <c r="BZY190" s="34"/>
      <c r="BZZ190" s="34"/>
      <c r="CAA190" s="34"/>
      <c r="CAB190" s="34"/>
      <c r="CAC190" s="34"/>
      <c r="CAD190" s="34"/>
      <c r="CAE190" s="34"/>
      <c r="CAF190" s="34"/>
      <c r="CAG190" s="34"/>
      <c r="CAH190" s="34"/>
      <c r="CAI190" s="34"/>
      <c r="CAJ190" s="34"/>
      <c r="CAK190" s="34"/>
      <c r="CAL190" s="34"/>
      <c r="CAM190" s="34"/>
      <c r="CAN190" s="34"/>
      <c r="CAO190" s="34"/>
      <c r="CAP190" s="34"/>
      <c r="CAQ190" s="34"/>
      <c r="CAR190" s="34"/>
      <c r="CAS190" s="34"/>
      <c r="CAT190" s="34"/>
      <c r="CAU190" s="34"/>
      <c r="CAV190" s="34"/>
      <c r="CAW190" s="34"/>
      <c r="CAX190" s="34"/>
      <c r="CAY190" s="34"/>
      <c r="CAZ190" s="34"/>
      <c r="CBA190" s="34"/>
      <c r="CBB190" s="34"/>
      <c r="CBC190" s="34"/>
      <c r="CBD190" s="34"/>
      <c r="CBE190" s="34"/>
      <c r="CBF190" s="34"/>
      <c r="CBG190" s="34"/>
      <c r="CBH190" s="34"/>
      <c r="CBI190" s="34"/>
      <c r="CBJ190" s="34"/>
      <c r="CBK190" s="34"/>
      <c r="CBL190" s="34"/>
      <c r="CBM190" s="34"/>
      <c r="CBN190" s="34"/>
      <c r="CBO190" s="34"/>
      <c r="CBP190" s="34"/>
      <c r="CBQ190" s="34"/>
      <c r="CBR190" s="34"/>
      <c r="CBS190" s="34"/>
      <c r="CBT190" s="34"/>
      <c r="CBU190" s="34"/>
      <c r="CBV190" s="34"/>
      <c r="CBW190" s="34"/>
      <c r="CBX190" s="34"/>
      <c r="CBY190" s="34"/>
      <c r="CBZ190" s="34"/>
      <c r="CCA190" s="34"/>
      <c r="CCB190" s="34"/>
      <c r="CCC190" s="34"/>
      <c r="CCD190" s="34"/>
      <c r="CCE190" s="34"/>
      <c r="CCF190" s="34"/>
      <c r="CCG190" s="34"/>
      <c r="CCH190" s="34"/>
      <c r="CCI190" s="34"/>
      <c r="CCJ190" s="34"/>
      <c r="CCK190" s="34"/>
      <c r="CCL190" s="34"/>
      <c r="CCM190" s="34"/>
      <c r="CCN190" s="34"/>
      <c r="CCO190" s="34"/>
      <c r="CCP190" s="34"/>
      <c r="CCQ190" s="34"/>
      <c r="CCR190" s="34"/>
      <c r="CCS190" s="34"/>
      <c r="CCT190" s="34"/>
      <c r="CCU190" s="34"/>
      <c r="CCV190" s="34"/>
      <c r="CCW190" s="34"/>
      <c r="CCX190" s="34"/>
      <c r="CCY190" s="34"/>
      <c r="CCZ190" s="34"/>
      <c r="CDA190" s="34"/>
      <c r="CDB190" s="34"/>
      <c r="CDC190" s="34"/>
      <c r="CDD190" s="34"/>
      <c r="CDE190" s="34"/>
      <c r="CDF190" s="34"/>
      <c r="CDG190" s="34"/>
      <c r="CDH190" s="34"/>
      <c r="CDI190" s="34"/>
      <c r="CDJ190" s="34"/>
      <c r="CDK190" s="34"/>
      <c r="CDL190" s="34"/>
      <c r="CDM190" s="34"/>
      <c r="CDN190" s="34"/>
      <c r="CDO190" s="34"/>
      <c r="CDP190" s="34"/>
      <c r="CDQ190" s="34"/>
      <c r="CDR190" s="34"/>
      <c r="CDS190" s="34"/>
      <c r="CDT190" s="34"/>
      <c r="CDU190" s="34"/>
      <c r="CDV190" s="34"/>
      <c r="CDW190" s="34"/>
      <c r="CDX190" s="34"/>
      <c r="CDY190" s="34"/>
      <c r="CDZ190" s="34"/>
      <c r="CEA190" s="34"/>
      <c r="CEB190" s="34"/>
      <c r="CEC190" s="34"/>
      <c r="CED190" s="34"/>
      <c r="CEE190" s="34"/>
      <c r="CEF190" s="34"/>
      <c r="CEG190" s="34"/>
      <c r="CEH190" s="34"/>
      <c r="CEI190" s="34"/>
      <c r="CEJ190" s="34"/>
      <c r="CEK190" s="34"/>
      <c r="CEL190" s="34"/>
      <c r="CEM190" s="34"/>
      <c r="CEN190" s="34"/>
      <c r="CEO190" s="34"/>
      <c r="CEP190" s="34"/>
      <c r="CEQ190" s="34"/>
      <c r="CER190" s="34"/>
      <c r="CES190" s="34"/>
      <c r="CET190" s="34"/>
      <c r="CEU190" s="34"/>
      <c r="CEV190" s="34"/>
      <c r="CEW190" s="34"/>
      <c r="CEX190" s="34"/>
      <c r="CEY190" s="34"/>
      <c r="CEZ190" s="34"/>
      <c r="CFA190" s="34"/>
      <c r="CFB190" s="34"/>
      <c r="CFC190" s="34"/>
      <c r="CFD190" s="34"/>
      <c r="CFE190" s="34"/>
      <c r="CFF190" s="34"/>
      <c r="CFG190" s="34"/>
      <c r="CFH190" s="34"/>
      <c r="CFI190" s="34"/>
      <c r="CFJ190" s="34"/>
      <c r="CFK190" s="34"/>
      <c r="CFL190" s="34"/>
      <c r="CFM190" s="34"/>
      <c r="CFN190" s="34"/>
      <c r="CFO190" s="34"/>
      <c r="CFP190" s="34"/>
      <c r="CFQ190" s="34"/>
      <c r="CFR190" s="34"/>
      <c r="CFS190" s="34"/>
      <c r="CFT190" s="34"/>
      <c r="CFU190" s="34"/>
      <c r="CFV190" s="34"/>
      <c r="CFW190" s="34"/>
      <c r="CFX190" s="34"/>
      <c r="CFY190" s="34"/>
      <c r="CFZ190" s="34"/>
      <c r="CGA190" s="34"/>
      <c r="CGB190" s="34"/>
      <c r="CGC190" s="34"/>
      <c r="CGD190" s="34"/>
      <c r="CGE190" s="34"/>
      <c r="CGF190" s="34"/>
      <c r="CGG190" s="34"/>
      <c r="CGH190" s="34"/>
      <c r="CGI190" s="34"/>
      <c r="CGJ190" s="34"/>
      <c r="CGK190" s="34"/>
      <c r="CGL190" s="34"/>
      <c r="CGM190" s="34"/>
      <c r="CGN190" s="34"/>
      <c r="CGO190" s="34"/>
      <c r="CGP190" s="34"/>
      <c r="CGQ190" s="34"/>
      <c r="CGR190" s="34"/>
      <c r="CGS190" s="34"/>
      <c r="CGT190" s="34"/>
      <c r="CGU190" s="34"/>
      <c r="CGV190" s="34"/>
      <c r="CGW190" s="34"/>
      <c r="CGX190" s="34"/>
      <c r="CGY190" s="34"/>
      <c r="CGZ190" s="34"/>
      <c r="CHA190" s="34"/>
      <c r="CHB190" s="34"/>
      <c r="CHC190" s="34"/>
      <c r="CHD190" s="34"/>
      <c r="CHE190" s="34"/>
      <c r="CHF190" s="34"/>
      <c r="CHG190" s="34"/>
      <c r="CHH190" s="34"/>
      <c r="CHI190" s="34"/>
      <c r="CHJ190" s="34"/>
      <c r="CHK190" s="34"/>
      <c r="CHL190" s="34"/>
      <c r="CHM190" s="34"/>
      <c r="CHN190" s="34"/>
      <c r="CHO190" s="34"/>
      <c r="CHP190" s="34"/>
      <c r="CHQ190" s="34"/>
      <c r="CHR190" s="34"/>
      <c r="CHS190" s="34"/>
      <c r="CHT190" s="34"/>
      <c r="CHU190" s="34"/>
      <c r="CHV190" s="34"/>
      <c r="CHW190" s="34"/>
      <c r="CHX190" s="34"/>
      <c r="CHY190" s="34"/>
      <c r="CHZ190" s="34"/>
      <c r="CIA190" s="34"/>
      <c r="CIB190" s="34"/>
      <c r="CIC190" s="34"/>
      <c r="CID190" s="34"/>
      <c r="CIE190" s="34"/>
      <c r="CIF190" s="34"/>
      <c r="CIG190" s="34"/>
      <c r="CIH190" s="34"/>
      <c r="CII190" s="34"/>
      <c r="CIJ190" s="34"/>
      <c r="CIK190" s="34"/>
      <c r="CIL190" s="34"/>
      <c r="CIM190" s="34"/>
      <c r="CIN190" s="34"/>
      <c r="CIO190" s="34"/>
      <c r="CIP190" s="34"/>
      <c r="CIQ190" s="34"/>
      <c r="CIR190" s="34"/>
      <c r="CIS190" s="34"/>
      <c r="CIT190" s="34"/>
      <c r="CIU190" s="34"/>
      <c r="CIV190" s="34"/>
      <c r="CIW190" s="34"/>
      <c r="CIX190" s="34"/>
      <c r="CIY190" s="34"/>
      <c r="CIZ190" s="34"/>
      <c r="CJA190" s="34"/>
      <c r="CJB190" s="34"/>
      <c r="CJC190" s="34"/>
      <c r="CJD190" s="34"/>
      <c r="CJE190" s="34"/>
      <c r="CJF190" s="34"/>
      <c r="CJG190" s="34"/>
      <c r="CJH190" s="34"/>
      <c r="CJI190" s="34"/>
      <c r="CJJ190" s="34"/>
      <c r="CJK190" s="34"/>
      <c r="CJL190" s="34"/>
      <c r="CJM190" s="34"/>
      <c r="CJN190" s="34"/>
      <c r="CJO190" s="34"/>
      <c r="CJP190" s="34"/>
      <c r="CJQ190" s="34"/>
      <c r="CJR190" s="34"/>
      <c r="CJS190" s="34"/>
      <c r="CJT190" s="34"/>
      <c r="CJU190" s="34"/>
      <c r="CJV190" s="34"/>
      <c r="CJW190" s="34"/>
      <c r="CJX190" s="34"/>
      <c r="CJY190" s="34"/>
      <c r="CJZ190" s="34"/>
      <c r="CKA190" s="34"/>
      <c r="CKB190" s="34"/>
      <c r="CKC190" s="34"/>
      <c r="CKD190" s="34"/>
      <c r="CKE190" s="34"/>
      <c r="CKF190" s="34"/>
      <c r="CKG190" s="34"/>
      <c r="CKH190" s="34"/>
      <c r="CKI190" s="34"/>
      <c r="CKJ190" s="34"/>
      <c r="CKK190" s="34"/>
      <c r="CKL190" s="34"/>
      <c r="CKM190" s="34"/>
      <c r="CKN190" s="34"/>
      <c r="CKO190" s="34"/>
      <c r="CKP190" s="34"/>
      <c r="CKQ190" s="34"/>
      <c r="CKR190" s="34"/>
      <c r="CKS190" s="34"/>
      <c r="CKT190" s="34"/>
      <c r="CKU190" s="34"/>
      <c r="CKV190" s="34"/>
      <c r="CKW190" s="34"/>
      <c r="CKX190" s="34"/>
      <c r="CKY190" s="34"/>
      <c r="CKZ190" s="34"/>
      <c r="CLA190" s="34"/>
      <c r="CLB190" s="34"/>
      <c r="CLC190" s="34"/>
      <c r="CLD190" s="34"/>
      <c r="CLE190" s="34"/>
      <c r="CLF190" s="34"/>
      <c r="CLG190" s="34"/>
      <c r="CLH190" s="34"/>
      <c r="CLI190" s="34"/>
      <c r="CLJ190" s="34"/>
      <c r="CLK190" s="34"/>
      <c r="CLL190" s="34"/>
      <c r="CLM190" s="34"/>
      <c r="CLN190" s="34"/>
      <c r="CLO190" s="34"/>
      <c r="CLP190" s="34"/>
      <c r="CLQ190" s="34"/>
      <c r="CLR190" s="34"/>
      <c r="CLS190" s="34"/>
      <c r="CLT190" s="34"/>
      <c r="CLU190" s="34"/>
      <c r="CLV190" s="34"/>
      <c r="CLW190" s="34"/>
      <c r="CLX190" s="34"/>
      <c r="CLY190" s="34"/>
      <c r="CLZ190" s="34"/>
      <c r="CMA190" s="34"/>
      <c r="CMB190" s="34"/>
      <c r="CMC190" s="34"/>
      <c r="CMD190" s="34"/>
      <c r="CME190" s="34"/>
      <c r="CMF190" s="34"/>
      <c r="CMG190" s="34"/>
      <c r="CMH190" s="34"/>
      <c r="CMI190" s="34"/>
      <c r="CMJ190" s="34"/>
      <c r="CMK190" s="34"/>
      <c r="CML190" s="34"/>
      <c r="CMM190" s="34"/>
      <c r="CMN190" s="34"/>
      <c r="CMO190" s="34"/>
      <c r="CMP190" s="34"/>
      <c r="CMQ190" s="34"/>
      <c r="CMR190" s="34"/>
      <c r="CMS190" s="34"/>
      <c r="CMT190" s="34"/>
      <c r="CMU190" s="34"/>
      <c r="CMV190" s="34"/>
      <c r="CMW190" s="34"/>
      <c r="CMX190" s="34"/>
      <c r="CMY190" s="34"/>
      <c r="CMZ190" s="34"/>
      <c r="CNA190" s="34"/>
      <c r="CNB190" s="34"/>
      <c r="CNC190" s="34"/>
      <c r="CND190" s="34"/>
      <c r="CNE190" s="34"/>
      <c r="CNF190" s="34"/>
      <c r="CNG190" s="34"/>
      <c r="CNH190" s="34"/>
      <c r="CNI190" s="34"/>
      <c r="CNJ190" s="34"/>
      <c r="CNK190" s="34"/>
      <c r="CNL190" s="34"/>
      <c r="CNM190" s="34"/>
      <c r="CNN190" s="34"/>
      <c r="CNO190" s="34"/>
      <c r="CNP190" s="34"/>
      <c r="CNQ190" s="34"/>
      <c r="CNR190" s="34"/>
      <c r="CNS190" s="34"/>
      <c r="CNT190" s="34"/>
      <c r="CNU190" s="34"/>
      <c r="CNV190" s="34"/>
      <c r="CNW190" s="34"/>
      <c r="CNX190" s="34"/>
      <c r="CNY190" s="34"/>
      <c r="CNZ190" s="34"/>
      <c r="COA190" s="34"/>
      <c r="COB190" s="34"/>
      <c r="COC190" s="34"/>
      <c r="COD190" s="34"/>
      <c r="COE190" s="34"/>
      <c r="COF190" s="34"/>
      <c r="COG190" s="34"/>
      <c r="COH190" s="34"/>
      <c r="COI190" s="34"/>
      <c r="COJ190" s="34"/>
      <c r="COK190" s="34"/>
      <c r="COL190" s="34"/>
      <c r="COM190" s="34"/>
      <c r="CON190" s="34"/>
      <c r="COO190" s="34"/>
      <c r="COP190" s="34"/>
      <c r="COQ190" s="34"/>
      <c r="COR190" s="34"/>
      <c r="COS190" s="34"/>
      <c r="COT190" s="34"/>
      <c r="COU190" s="34"/>
      <c r="COV190" s="34"/>
      <c r="COW190" s="34"/>
      <c r="COX190" s="34"/>
      <c r="COY190" s="34"/>
      <c r="COZ190" s="34"/>
      <c r="CPA190" s="34"/>
      <c r="CPB190" s="34"/>
      <c r="CPC190" s="34"/>
      <c r="CPD190" s="34"/>
      <c r="CPE190" s="34"/>
      <c r="CPF190" s="34"/>
      <c r="CPG190" s="34"/>
      <c r="CPH190" s="34"/>
      <c r="CPI190" s="34"/>
      <c r="CPJ190" s="34"/>
      <c r="CPK190" s="34"/>
      <c r="CPL190" s="34"/>
      <c r="CPM190" s="34"/>
      <c r="CPN190" s="34"/>
      <c r="CPO190" s="34"/>
      <c r="CPP190" s="34"/>
      <c r="CPQ190" s="34"/>
      <c r="CPR190" s="34"/>
      <c r="CPS190" s="34"/>
      <c r="CPT190" s="34"/>
      <c r="CPU190" s="34"/>
      <c r="CPV190" s="34"/>
      <c r="CPW190" s="34"/>
      <c r="CPX190" s="34"/>
      <c r="CPY190" s="34"/>
      <c r="CPZ190" s="34"/>
      <c r="CQA190" s="34"/>
      <c r="CQB190" s="34"/>
      <c r="CQC190" s="34"/>
      <c r="CQD190" s="34"/>
      <c r="CQE190" s="34"/>
      <c r="CQF190" s="34"/>
      <c r="CQG190" s="34"/>
      <c r="CQH190" s="34"/>
      <c r="CQI190" s="34"/>
      <c r="CQJ190" s="34"/>
      <c r="CQK190" s="34"/>
      <c r="CQL190" s="34"/>
      <c r="CQM190" s="34"/>
      <c r="CQN190" s="34"/>
      <c r="CQO190" s="34"/>
      <c r="CQP190" s="34"/>
      <c r="CQQ190" s="34"/>
      <c r="CQR190" s="34"/>
      <c r="CQS190" s="34"/>
      <c r="CQT190" s="34"/>
      <c r="CQU190" s="34"/>
      <c r="CQV190" s="34"/>
      <c r="CQW190" s="34"/>
      <c r="CQX190" s="34"/>
      <c r="CQY190" s="34"/>
      <c r="CQZ190" s="34"/>
      <c r="CRA190" s="34"/>
      <c r="CRB190" s="34"/>
      <c r="CRC190" s="34"/>
      <c r="CRD190" s="34"/>
      <c r="CRE190" s="34"/>
      <c r="CRF190" s="34"/>
      <c r="CRG190" s="34"/>
      <c r="CRH190" s="34"/>
      <c r="CRI190" s="34"/>
      <c r="CRJ190" s="34"/>
      <c r="CRK190" s="34"/>
      <c r="CRL190" s="34"/>
      <c r="CRM190" s="34"/>
      <c r="CRN190" s="34"/>
      <c r="CRO190" s="34"/>
      <c r="CRP190" s="34"/>
      <c r="CRQ190" s="34"/>
      <c r="CRR190" s="34"/>
      <c r="CRS190" s="34"/>
      <c r="CRT190" s="34"/>
      <c r="CRU190" s="34"/>
      <c r="CRV190" s="34"/>
      <c r="CRW190" s="34"/>
      <c r="CRX190" s="34"/>
      <c r="CRY190" s="34"/>
      <c r="CRZ190" s="34"/>
      <c r="CSA190" s="34"/>
      <c r="CSB190" s="34"/>
      <c r="CSC190" s="34"/>
      <c r="CSD190" s="34"/>
      <c r="CSE190" s="34"/>
      <c r="CSF190" s="34"/>
      <c r="CSG190" s="34"/>
      <c r="CSH190" s="34"/>
      <c r="CSI190" s="34"/>
      <c r="CSJ190" s="34"/>
      <c r="CSK190" s="34"/>
      <c r="CSL190" s="34"/>
      <c r="CSM190" s="34"/>
      <c r="CSN190" s="34"/>
      <c r="CSO190" s="34"/>
      <c r="CSP190" s="34"/>
      <c r="CSQ190" s="34"/>
      <c r="CSR190" s="34"/>
      <c r="CSS190" s="34"/>
      <c r="CST190" s="34"/>
      <c r="CSU190" s="34"/>
      <c r="CSV190" s="34"/>
      <c r="CSW190" s="34"/>
      <c r="CSX190" s="34"/>
      <c r="CSY190" s="34"/>
      <c r="CSZ190" s="34"/>
      <c r="CTA190" s="34"/>
      <c r="CTB190" s="34"/>
      <c r="CTC190" s="34"/>
      <c r="CTD190" s="34"/>
      <c r="CTE190" s="34"/>
      <c r="CTF190" s="34"/>
      <c r="CTG190" s="34"/>
      <c r="CTH190" s="34"/>
      <c r="CTI190" s="34"/>
      <c r="CTJ190" s="34"/>
      <c r="CTK190" s="34"/>
      <c r="CTL190" s="34"/>
      <c r="CTM190" s="34"/>
      <c r="CTN190" s="34"/>
      <c r="CTO190" s="34"/>
      <c r="CTP190" s="34"/>
      <c r="CTQ190" s="34"/>
      <c r="CTR190" s="34"/>
      <c r="CTS190" s="34"/>
      <c r="CTT190" s="34"/>
      <c r="CTU190" s="34"/>
      <c r="CTV190" s="34"/>
      <c r="CTW190" s="34"/>
      <c r="CTX190" s="34"/>
      <c r="CTY190" s="34"/>
      <c r="CTZ190" s="34"/>
      <c r="CUA190" s="34"/>
      <c r="CUB190" s="34"/>
      <c r="CUC190" s="34"/>
      <c r="CUD190" s="34"/>
      <c r="CUE190" s="34"/>
      <c r="CUF190" s="34"/>
      <c r="CUG190" s="34"/>
      <c r="CUH190" s="34"/>
      <c r="CUI190" s="34"/>
      <c r="CUJ190" s="34"/>
      <c r="CUK190" s="34"/>
      <c r="CUL190" s="34"/>
      <c r="CUM190" s="34"/>
      <c r="CUN190" s="34"/>
      <c r="CUO190" s="34"/>
      <c r="CUP190" s="34"/>
      <c r="CUQ190" s="34"/>
      <c r="CUR190" s="34"/>
      <c r="CUS190" s="34"/>
      <c r="CUT190" s="34"/>
      <c r="CUU190" s="34"/>
      <c r="CUV190" s="34"/>
      <c r="CUW190" s="34"/>
      <c r="CUX190" s="34"/>
      <c r="CUY190" s="34"/>
      <c r="CUZ190" s="34"/>
      <c r="CVA190" s="34"/>
      <c r="CVB190" s="34"/>
      <c r="CVC190" s="34"/>
      <c r="CVD190" s="34"/>
      <c r="CVE190" s="34"/>
      <c r="CVF190" s="34"/>
      <c r="CVG190" s="34"/>
      <c r="CVH190" s="34"/>
      <c r="CVI190" s="34"/>
      <c r="CVJ190" s="34"/>
      <c r="CVK190" s="34"/>
      <c r="CVL190" s="34"/>
      <c r="CVM190" s="34"/>
      <c r="CVN190" s="34"/>
      <c r="CVO190" s="34"/>
      <c r="CVP190" s="34"/>
      <c r="CVQ190" s="34"/>
      <c r="CVR190" s="34"/>
      <c r="CVS190" s="34"/>
      <c r="CVT190" s="34"/>
      <c r="CVU190" s="34"/>
      <c r="CVV190" s="34"/>
      <c r="CVW190" s="34"/>
      <c r="CVX190" s="34"/>
      <c r="CVY190" s="34"/>
      <c r="CVZ190" s="34"/>
      <c r="CWA190" s="34"/>
      <c r="CWB190" s="34"/>
      <c r="CWC190" s="34"/>
      <c r="CWD190" s="34"/>
      <c r="CWE190" s="34"/>
      <c r="CWF190" s="34"/>
      <c r="CWG190" s="34"/>
      <c r="CWH190" s="34"/>
      <c r="CWI190" s="34"/>
      <c r="CWJ190" s="34"/>
      <c r="CWK190" s="34"/>
      <c r="CWL190" s="34"/>
      <c r="CWM190" s="34"/>
      <c r="CWN190" s="34"/>
      <c r="CWO190" s="34"/>
      <c r="CWP190" s="34"/>
      <c r="CWQ190" s="34"/>
      <c r="CWR190" s="34"/>
      <c r="CWS190" s="34"/>
      <c r="CWT190" s="34"/>
      <c r="CWU190" s="34"/>
      <c r="CWV190" s="34"/>
      <c r="CWW190" s="34"/>
      <c r="CWX190" s="34"/>
      <c r="CWY190" s="34"/>
      <c r="CWZ190" s="34"/>
      <c r="CXA190" s="34"/>
      <c r="CXB190" s="34"/>
      <c r="CXC190" s="34"/>
      <c r="CXD190" s="34"/>
      <c r="CXE190" s="34"/>
      <c r="CXF190" s="34"/>
      <c r="CXG190" s="34"/>
      <c r="CXH190" s="34"/>
      <c r="CXI190" s="34"/>
      <c r="CXJ190" s="34"/>
      <c r="CXK190" s="34"/>
      <c r="CXL190" s="34"/>
      <c r="CXM190" s="34"/>
      <c r="CXN190" s="34"/>
      <c r="CXO190" s="34"/>
      <c r="CXP190" s="34"/>
      <c r="CXQ190" s="34"/>
      <c r="CXR190" s="34"/>
      <c r="CXS190" s="34"/>
      <c r="CXT190" s="34"/>
      <c r="CXU190" s="34"/>
      <c r="CXV190" s="34"/>
      <c r="CXW190" s="34"/>
      <c r="CXX190" s="34"/>
      <c r="CXY190" s="34"/>
      <c r="CXZ190" s="34"/>
      <c r="CYA190" s="34"/>
      <c r="CYB190" s="34"/>
      <c r="CYC190" s="34"/>
      <c r="CYD190" s="34"/>
      <c r="CYE190" s="34"/>
      <c r="CYF190" s="34"/>
      <c r="CYG190" s="34"/>
      <c r="CYH190" s="34"/>
      <c r="CYI190" s="34"/>
      <c r="CYJ190" s="34"/>
      <c r="CYK190" s="34"/>
      <c r="CYL190" s="34"/>
      <c r="CYM190" s="34"/>
      <c r="CYN190" s="34"/>
      <c r="CYO190" s="34"/>
      <c r="CYP190" s="34"/>
      <c r="CYQ190" s="34"/>
      <c r="CYR190" s="34"/>
      <c r="CYS190" s="34"/>
      <c r="CYT190" s="34"/>
      <c r="CYU190" s="34"/>
      <c r="CYV190" s="34"/>
      <c r="CYW190" s="34"/>
      <c r="CYX190" s="34"/>
      <c r="CYY190" s="34"/>
      <c r="CYZ190" s="34"/>
      <c r="CZA190" s="34"/>
      <c r="CZB190" s="34"/>
      <c r="CZC190" s="34"/>
      <c r="CZD190" s="34"/>
      <c r="CZE190" s="34"/>
      <c r="CZF190" s="34"/>
      <c r="CZG190" s="34"/>
      <c r="CZH190" s="34"/>
      <c r="CZI190" s="34"/>
      <c r="CZJ190" s="34"/>
      <c r="CZK190" s="34"/>
      <c r="CZL190" s="34"/>
      <c r="CZM190" s="34"/>
      <c r="CZN190" s="34"/>
      <c r="CZO190" s="34"/>
      <c r="CZP190" s="34"/>
      <c r="CZQ190" s="34"/>
      <c r="CZR190" s="34"/>
      <c r="CZS190" s="34"/>
      <c r="CZT190" s="34"/>
      <c r="CZU190" s="34"/>
      <c r="CZV190" s="34"/>
      <c r="CZW190" s="34"/>
      <c r="CZX190" s="34"/>
      <c r="CZY190" s="34"/>
      <c r="CZZ190" s="34"/>
      <c r="DAA190" s="34"/>
      <c r="DAB190" s="34"/>
      <c r="DAC190" s="34"/>
      <c r="DAD190" s="34"/>
      <c r="DAE190" s="34"/>
      <c r="DAF190" s="34"/>
      <c r="DAG190" s="34"/>
      <c r="DAH190" s="34"/>
      <c r="DAI190" s="34"/>
      <c r="DAJ190" s="34"/>
      <c r="DAK190" s="34"/>
      <c r="DAL190" s="34"/>
      <c r="DAM190" s="34"/>
      <c r="DAN190" s="34"/>
      <c r="DAO190" s="34"/>
      <c r="DAP190" s="34"/>
      <c r="DAQ190" s="34"/>
      <c r="DAR190" s="34"/>
      <c r="DAS190" s="34"/>
      <c r="DAT190" s="34"/>
      <c r="DAU190" s="34"/>
      <c r="DAV190" s="34"/>
      <c r="DAW190" s="34"/>
      <c r="DAX190" s="34"/>
      <c r="DAY190" s="34"/>
      <c r="DAZ190" s="34"/>
      <c r="DBA190" s="34"/>
      <c r="DBB190" s="34"/>
      <c r="DBC190" s="34"/>
      <c r="DBD190" s="34"/>
      <c r="DBE190" s="34"/>
      <c r="DBF190" s="34"/>
      <c r="DBG190" s="34"/>
      <c r="DBH190" s="34"/>
      <c r="DBI190" s="34"/>
      <c r="DBJ190" s="34"/>
      <c r="DBK190" s="34"/>
      <c r="DBL190" s="34"/>
      <c r="DBM190" s="34"/>
      <c r="DBN190" s="34"/>
      <c r="DBO190" s="34"/>
      <c r="DBP190" s="34"/>
      <c r="DBQ190" s="34"/>
      <c r="DBR190" s="34"/>
      <c r="DBS190" s="34"/>
      <c r="DBT190" s="34"/>
      <c r="DBU190" s="34"/>
      <c r="DBV190" s="34"/>
      <c r="DBW190" s="34"/>
      <c r="DBX190" s="34"/>
      <c r="DBY190" s="34"/>
      <c r="DBZ190" s="34"/>
      <c r="DCA190" s="34"/>
      <c r="DCB190" s="34"/>
      <c r="DCC190" s="34"/>
      <c r="DCD190" s="34"/>
      <c r="DCE190" s="34"/>
      <c r="DCF190" s="34"/>
      <c r="DCG190" s="34"/>
      <c r="DCH190" s="34"/>
      <c r="DCI190" s="34"/>
      <c r="DCJ190" s="34"/>
      <c r="DCK190" s="34"/>
      <c r="DCL190" s="34"/>
      <c r="DCM190" s="34"/>
      <c r="DCN190" s="34"/>
      <c r="DCO190" s="34"/>
      <c r="DCP190" s="34"/>
      <c r="DCQ190" s="34"/>
      <c r="DCR190" s="34"/>
      <c r="DCS190" s="34"/>
      <c r="DCT190" s="34"/>
      <c r="DCU190" s="34"/>
      <c r="DCV190" s="34"/>
      <c r="DCW190" s="34"/>
      <c r="DCX190" s="34"/>
      <c r="DCY190" s="34"/>
      <c r="DCZ190" s="34"/>
      <c r="DDA190" s="34"/>
      <c r="DDB190" s="34"/>
      <c r="DDC190" s="34"/>
      <c r="DDD190" s="34"/>
      <c r="DDE190" s="34"/>
      <c r="DDF190" s="34"/>
      <c r="DDG190" s="34"/>
      <c r="DDH190" s="34"/>
      <c r="DDI190" s="34"/>
      <c r="DDJ190" s="34"/>
      <c r="DDK190" s="34"/>
      <c r="DDL190" s="34"/>
      <c r="DDM190" s="34"/>
      <c r="DDN190" s="34"/>
      <c r="DDO190" s="34"/>
      <c r="DDP190" s="34"/>
      <c r="DDQ190" s="34"/>
      <c r="DDR190" s="34"/>
      <c r="DDS190" s="34"/>
      <c r="DDT190" s="34"/>
      <c r="DDU190" s="34"/>
      <c r="DDV190" s="34"/>
      <c r="DDW190" s="34"/>
      <c r="DDX190" s="34"/>
      <c r="DDY190" s="34"/>
      <c r="DDZ190" s="34"/>
      <c r="DEA190" s="34"/>
      <c r="DEB190" s="34"/>
      <c r="DEC190" s="34"/>
      <c r="DED190" s="34"/>
      <c r="DEE190" s="34"/>
      <c r="DEF190" s="34"/>
      <c r="DEG190" s="34"/>
      <c r="DEH190" s="34"/>
      <c r="DEI190" s="34"/>
      <c r="DEJ190" s="34"/>
      <c r="DEK190" s="34"/>
      <c r="DEL190" s="34"/>
      <c r="DEM190" s="34"/>
      <c r="DEN190" s="34"/>
      <c r="DEO190" s="34"/>
      <c r="DEP190" s="34"/>
      <c r="DEQ190" s="34"/>
      <c r="DER190" s="34"/>
      <c r="DES190" s="34"/>
      <c r="DET190" s="34"/>
      <c r="DEU190" s="34"/>
      <c r="DEV190" s="34"/>
      <c r="DEW190" s="34"/>
      <c r="DEX190" s="34"/>
      <c r="DEY190" s="34"/>
      <c r="DEZ190" s="34"/>
      <c r="DFA190" s="34"/>
      <c r="DFB190" s="34"/>
      <c r="DFC190" s="34"/>
      <c r="DFD190" s="34"/>
      <c r="DFE190" s="34"/>
      <c r="DFF190" s="34"/>
      <c r="DFG190" s="34"/>
      <c r="DFH190" s="34"/>
      <c r="DFI190" s="34"/>
      <c r="DFJ190" s="34"/>
      <c r="DFK190" s="34"/>
      <c r="DFL190" s="34"/>
      <c r="DFM190" s="34"/>
      <c r="DFN190" s="34"/>
      <c r="DFO190" s="34"/>
      <c r="DFP190" s="34"/>
      <c r="DFQ190" s="34"/>
      <c r="DFR190" s="34"/>
      <c r="DFS190" s="34"/>
      <c r="DFT190" s="34"/>
      <c r="DFU190" s="34"/>
      <c r="DFV190" s="34"/>
      <c r="DFW190" s="34"/>
      <c r="DFX190" s="34"/>
      <c r="DFY190" s="34"/>
      <c r="DFZ190" s="34"/>
      <c r="DGA190" s="34"/>
      <c r="DGB190" s="34"/>
      <c r="DGC190" s="34"/>
      <c r="DGD190" s="34"/>
      <c r="DGE190" s="34"/>
      <c r="DGF190" s="34"/>
      <c r="DGG190" s="34"/>
      <c r="DGH190" s="34"/>
      <c r="DGI190" s="34"/>
      <c r="DGJ190" s="34"/>
      <c r="DGK190" s="34"/>
      <c r="DGL190" s="34"/>
      <c r="DGM190" s="34"/>
      <c r="DGN190" s="34"/>
      <c r="DGO190" s="34"/>
      <c r="DGP190" s="34"/>
      <c r="DGQ190" s="34"/>
      <c r="DGR190" s="34"/>
      <c r="DGS190" s="34"/>
      <c r="DGT190" s="34"/>
      <c r="DGU190" s="34"/>
      <c r="DGV190" s="34"/>
      <c r="DGW190" s="34"/>
      <c r="DGX190" s="34"/>
      <c r="DGY190" s="34"/>
      <c r="DGZ190" s="34"/>
      <c r="DHA190" s="34"/>
      <c r="DHB190" s="34"/>
      <c r="DHC190" s="34"/>
      <c r="DHD190" s="34"/>
      <c r="DHE190" s="34"/>
      <c r="DHF190" s="34"/>
      <c r="DHG190" s="34"/>
      <c r="DHH190" s="34"/>
      <c r="DHI190" s="34"/>
      <c r="DHJ190" s="34"/>
      <c r="DHK190" s="34"/>
      <c r="DHL190" s="34"/>
      <c r="DHM190" s="34"/>
      <c r="DHN190" s="34"/>
      <c r="DHO190" s="34"/>
      <c r="DHP190" s="34"/>
      <c r="DHQ190" s="34"/>
      <c r="DHR190" s="34"/>
      <c r="DHS190" s="34"/>
      <c r="DHT190" s="34"/>
      <c r="DHU190" s="34"/>
      <c r="DHV190" s="34"/>
      <c r="DHW190" s="34"/>
      <c r="DHX190" s="34"/>
      <c r="DHY190" s="34"/>
      <c r="DHZ190" s="34"/>
      <c r="DIA190" s="34"/>
      <c r="DIB190" s="34"/>
      <c r="DIC190" s="34"/>
      <c r="DID190" s="34"/>
      <c r="DIE190" s="34"/>
      <c r="DIF190" s="34"/>
      <c r="DIG190" s="34"/>
      <c r="DIH190" s="34"/>
      <c r="DII190" s="34"/>
      <c r="DIJ190" s="34"/>
      <c r="DIK190" s="34"/>
      <c r="DIL190" s="34"/>
      <c r="DIM190" s="34"/>
      <c r="DIN190" s="34"/>
      <c r="DIO190" s="34"/>
      <c r="DIP190" s="34"/>
      <c r="DIQ190" s="34"/>
      <c r="DIR190" s="34"/>
      <c r="DIS190" s="34"/>
      <c r="DIT190" s="34"/>
      <c r="DIU190" s="34"/>
      <c r="DIV190" s="34"/>
      <c r="DIW190" s="34"/>
      <c r="DIX190" s="34"/>
      <c r="DIY190" s="34"/>
      <c r="DIZ190" s="34"/>
      <c r="DJA190" s="34"/>
      <c r="DJB190" s="34"/>
      <c r="DJC190" s="34"/>
      <c r="DJD190" s="34"/>
      <c r="DJE190" s="34"/>
      <c r="DJF190" s="34"/>
      <c r="DJG190" s="34"/>
      <c r="DJH190" s="34"/>
      <c r="DJI190" s="34"/>
      <c r="DJJ190" s="34"/>
      <c r="DJK190" s="34"/>
      <c r="DJL190" s="34"/>
      <c r="DJM190" s="34"/>
      <c r="DJN190" s="34"/>
      <c r="DJO190" s="34"/>
      <c r="DJP190" s="34"/>
      <c r="DJQ190" s="34"/>
      <c r="DJR190" s="34"/>
      <c r="DJS190" s="34"/>
      <c r="DJT190" s="34"/>
      <c r="DJU190" s="34"/>
      <c r="DJV190" s="34"/>
      <c r="DJW190" s="34"/>
      <c r="DJX190" s="34"/>
      <c r="DJY190" s="34"/>
      <c r="DJZ190" s="34"/>
      <c r="DKA190" s="34"/>
      <c r="DKB190" s="34"/>
      <c r="DKC190" s="34"/>
      <c r="DKD190" s="34"/>
      <c r="DKE190" s="34"/>
      <c r="DKF190" s="34"/>
      <c r="DKG190" s="34"/>
      <c r="DKH190" s="34"/>
      <c r="DKI190" s="34"/>
      <c r="DKJ190" s="34"/>
      <c r="DKK190" s="34"/>
      <c r="DKL190" s="34"/>
      <c r="DKM190" s="34"/>
      <c r="DKN190" s="34"/>
      <c r="DKO190" s="34"/>
      <c r="DKP190" s="34"/>
      <c r="DKQ190" s="34"/>
      <c r="DKR190" s="34"/>
      <c r="DKS190" s="34"/>
      <c r="DKT190" s="34"/>
      <c r="DKU190" s="34"/>
      <c r="DKV190" s="34"/>
      <c r="DKW190" s="34"/>
      <c r="DKX190" s="34"/>
      <c r="DKY190" s="34"/>
      <c r="DKZ190" s="34"/>
      <c r="DLA190" s="34"/>
      <c r="DLB190" s="34"/>
      <c r="DLC190" s="34"/>
      <c r="DLD190" s="34"/>
      <c r="DLE190" s="34"/>
      <c r="DLF190" s="34"/>
      <c r="DLG190" s="34"/>
      <c r="DLH190" s="34"/>
      <c r="DLI190" s="34"/>
      <c r="DLJ190" s="34"/>
      <c r="DLK190" s="34"/>
      <c r="DLL190" s="34"/>
      <c r="DLM190" s="34"/>
      <c r="DLN190" s="34"/>
      <c r="DLO190" s="34"/>
      <c r="DLP190" s="34"/>
      <c r="DLQ190" s="34"/>
      <c r="DLR190" s="34"/>
      <c r="DLS190" s="34"/>
      <c r="DLT190" s="34"/>
      <c r="DLU190" s="34"/>
      <c r="DLV190" s="34"/>
      <c r="DLW190" s="34"/>
      <c r="DLX190" s="34"/>
      <c r="DLY190" s="34"/>
      <c r="DLZ190" s="34"/>
      <c r="DMA190" s="34"/>
      <c r="DMB190" s="34"/>
      <c r="DMC190" s="34"/>
      <c r="DMD190" s="34"/>
      <c r="DME190" s="34"/>
      <c r="DMF190" s="34"/>
      <c r="DMG190" s="34"/>
      <c r="DMH190" s="34"/>
      <c r="DMI190" s="34"/>
      <c r="DMJ190" s="34"/>
      <c r="DMK190" s="34"/>
      <c r="DML190" s="34"/>
      <c r="DMM190" s="34"/>
      <c r="DMN190" s="34"/>
      <c r="DMO190" s="34"/>
      <c r="DMP190" s="34"/>
      <c r="DMQ190" s="34"/>
      <c r="DMR190" s="34"/>
      <c r="DMS190" s="34"/>
      <c r="DMT190" s="34"/>
      <c r="DMU190" s="34"/>
      <c r="DMV190" s="34"/>
      <c r="DMW190" s="34"/>
      <c r="DMX190" s="34"/>
      <c r="DMY190" s="34"/>
      <c r="DMZ190" s="34"/>
      <c r="DNA190" s="34"/>
      <c r="DNB190" s="34"/>
      <c r="DNC190" s="34"/>
      <c r="DND190" s="34"/>
      <c r="DNE190" s="34"/>
      <c r="DNF190" s="34"/>
      <c r="DNG190" s="34"/>
      <c r="DNH190" s="34"/>
      <c r="DNI190" s="34"/>
      <c r="DNJ190" s="34"/>
      <c r="DNK190" s="34"/>
      <c r="DNL190" s="34"/>
      <c r="DNM190" s="34"/>
      <c r="DNN190" s="34"/>
      <c r="DNO190" s="34"/>
      <c r="DNP190" s="34"/>
      <c r="DNQ190" s="34"/>
      <c r="DNR190" s="34"/>
      <c r="DNS190" s="34"/>
      <c r="DNT190" s="34"/>
      <c r="DNU190" s="34"/>
      <c r="DNV190" s="34"/>
      <c r="DNW190" s="34"/>
      <c r="DNX190" s="34"/>
      <c r="DNY190" s="34"/>
      <c r="DNZ190" s="34"/>
      <c r="DOA190" s="34"/>
      <c r="DOB190" s="34"/>
      <c r="DOC190" s="34"/>
      <c r="DOD190" s="34"/>
      <c r="DOE190" s="34"/>
      <c r="DOF190" s="34"/>
      <c r="DOG190" s="34"/>
      <c r="DOH190" s="34"/>
      <c r="DOI190" s="34"/>
      <c r="DOJ190" s="34"/>
      <c r="DOK190" s="34"/>
      <c r="DOL190" s="34"/>
      <c r="DOM190" s="34"/>
      <c r="DON190" s="34"/>
      <c r="DOO190" s="34"/>
      <c r="DOP190" s="34"/>
      <c r="DOQ190" s="34"/>
      <c r="DOR190" s="34"/>
      <c r="DOS190" s="34"/>
      <c r="DOT190" s="34"/>
      <c r="DOU190" s="34"/>
      <c r="DOV190" s="34"/>
      <c r="DOW190" s="34"/>
      <c r="DOX190" s="34"/>
      <c r="DOY190" s="34"/>
      <c r="DOZ190" s="34"/>
      <c r="DPA190" s="34"/>
      <c r="DPB190" s="34"/>
      <c r="DPC190" s="34"/>
      <c r="DPD190" s="34"/>
      <c r="DPE190" s="34"/>
      <c r="DPF190" s="34"/>
      <c r="DPG190" s="34"/>
      <c r="DPH190" s="34"/>
      <c r="DPI190" s="34"/>
      <c r="DPJ190" s="34"/>
      <c r="DPK190" s="34"/>
      <c r="DPL190" s="34"/>
      <c r="DPM190" s="34"/>
      <c r="DPN190" s="34"/>
      <c r="DPO190" s="34"/>
      <c r="DPP190" s="34"/>
      <c r="DPQ190" s="34"/>
      <c r="DPR190" s="34"/>
      <c r="DPS190" s="34"/>
      <c r="DPT190" s="34"/>
      <c r="DPU190" s="34"/>
      <c r="DPV190" s="34"/>
      <c r="DPW190" s="34"/>
      <c r="DPX190" s="34"/>
      <c r="DPY190" s="34"/>
      <c r="DPZ190" s="34"/>
      <c r="DQA190" s="34"/>
      <c r="DQB190" s="34"/>
      <c r="DQC190" s="34"/>
      <c r="DQD190" s="34"/>
      <c r="DQE190" s="34"/>
      <c r="DQF190" s="34"/>
      <c r="DQG190" s="34"/>
      <c r="DQH190" s="34"/>
      <c r="DQI190" s="34"/>
      <c r="DQJ190" s="34"/>
      <c r="DQK190" s="34"/>
      <c r="DQL190" s="34"/>
      <c r="DQM190" s="34"/>
      <c r="DQN190" s="34"/>
      <c r="DQO190" s="34"/>
      <c r="DQP190" s="34"/>
      <c r="DQQ190" s="34"/>
      <c r="DQR190" s="34"/>
      <c r="DQS190" s="34"/>
      <c r="DQT190" s="34"/>
      <c r="DQU190" s="34"/>
      <c r="DQV190" s="34"/>
      <c r="DQW190" s="34"/>
      <c r="DQX190" s="34"/>
      <c r="DQY190" s="34"/>
      <c r="DQZ190" s="34"/>
      <c r="DRA190" s="34"/>
      <c r="DRB190" s="34"/>
      <c r="DRC190" s="34"/>
      <c r="DRD190" s="34"/>
      <c r="DRE190" s="34"/>
      <c r="DRF190" s="34"/>
      <c r="DRG190" s="34"/>
      <c r="DRH190" s="34"/>
      <c r="DRI190" s="34"/>
      <c r="DRJ190" s="34"/>
      <c r="DRK190" s="34"/>
      <c r="DRL190" s="34"/>
      <c r="DRM190" s="34"/>
      <c r="DRN190" s="34"/>
      <c r="DRO190" s="34"/>
      <c r="DRP190" s="34"/>
      <c r="DRQ190" s="34"/>
      <c r="DRR190" s="34"/>
      <c r="DRS190" s="34"/>
      <c r="DRT190" s="34"/>
      <c r="DRU190" s="34"/>
      <c r="DRV190" s="34"/>
      <c r="DRW190" s="34"/>
      <c r="DRX190" s="34"/>
      <c r="DRY190" s="34"/>
      <c r="DRZ190" s="34"/>
      <c r="DSA190" s="34"/>
      <c r="DSB190" s="34"/>
      <c r="DSC190" s="34"/>
      <c r="DSD190" s="34"/>
      <c r="DSE190" s="34"/>
      <c r="DSF190" s="34"/>
      <c r="DSG190" s="34"/>
      <c r="DSH190" s="34"/>
      <c r="DSI190" s="34"/>
      <c r="DSJ190" s="34"/>
      <c r="DSK190" s="34"/>
      <c r="DSL190" s="34"/>
      <c r="DSM190" s="34"/>
      <c r="DSN190" s="34"/>
      <c r="DSO190" s="34"/>
      <c r="DSP190" s="34"/>
      <c r="DSQ190" s="34"/>
      <c r="DSR190" s="34"/>
      <c r="DSS190" s="34"/>
      <c r="DST190" s="34"/>
      <c r="DSU190" s="34"/>
      <c r="DSV190" s="34"/>
      <c r="DSW190" s="34"/>
      <c r="DSX190" s="34"/>
      <c r="DSY190" s="34"/>
      <c r="DSZ190" s="34"/>
      <c r="DTA190" s="34"/>
      <c r="DTB190" s="34"/>
      <c r="DTC190" s="34"/>
      <c r="DTD190" s="34"/>
      <c r="DTE190" s="34"/>
      <c r="DTF190" s="34"/>
      <c r="DTG190" s="34"/>
      <c r="DTH190" s="34"/>
      <c r="DTI190" s="34"/>
      <c r="DTJ190" s="34"/>
      <c r="DTK190" s="34"/>
      <c r="DTL190" s="34"/>
      <c r="DTM190" s="34"/>
      <c r="DTN190" s="34"/>
      <c r="DTO190" s="34"/>
      <c r="DTP190" s="34"/>
      <c r="DTQ190" s="34"/>
      <c r="DTR190" s="34"/>
      <c r="DTS190" s="34"/>
      <c r="DTT190" s="34"/>
      <c r="DTU190" s="34"/>
      <c r="DTV190" s="34"/>
      <c r="DTW190" s="34"/>
      <c r="DTX190" s="34"/>
      <c r="DTY190" s="34"/>
      <c r="DTZ190" s="34"/>
      <c r="DUA190" s="34"/>
      <c r="DUB190" s="34"/>
      <c r="DUC190" s="34"/>
      <c r="DUD190" s="34"/>
      <c r="DUE190" s="34"/>
      <c r="DUF190" s="34"/>
      <c r="DUG190" s="34"/>
      <c r="DUH190" s="34"/>
      <c r="DUI190" s="34"/>
      <c r="DUJ190" s="34"/>
      <c r="DUK190" s="34"/>
      <c r="DUL190" s="34"/>
      <c r="DUM190" s="34"/>
      <c r="DUN190" s="34"/>
      <c r="DUO190" s="34"/>
      <c r="DUP190" s="34"/>
      <c r="DUQ190" s="34"/>
      <c r="DUR190" s="34"/>
      <c r="DUS190" s="34"/>
      <c r="DUT190" s="34"/>
      <c r="DUU190" s="34"/>
      <c r="DUV190" s="34"/>
      <c r="DUW190" s="34"/>
      <c r="DUX190" s="34"/>
      <c r="DUY190" s="34"/>
      <c r="DUZ190" s="34"/>
      <c r="DVA190" s="34"/>
      <c r="DVB190" s="34"/>
      <c r="DVC190" s="34"/>
      <c r="DVD190" s="34"/>
      <c r="DVE190" s="34"/>
      <c r="DVF190" s="34"/>
      <c r="DVG190" s="34"/>
      <c r="DVH190" s="34"/>
      <c r="DVI190" s="34"/>
      <c r="DVJ190" s="34"/>
      <c r="DVK190" s="34"/>
      <c r="DVL190" s="34"/>
      <c r="DVM190" s="34"/>
      <c r="DVN190" s="34"/>
      <c r="DVO190" s="34"/>
      <c r="DVP190" s="34"/>
      <c r="DVQ190" s="34"/>
      <c r="DVR190" s="34"/>
      <c r="DVS190" s="34"/>
      <c r="DVT190" s="34"/>
      <c r="DVU190" s="34"/>
      <c r="DVV190" s="34"/>
      <c r="DVW190" s="34"/>
      <c r="DVX190" s="34"/>
      <c r="DVY190" s="34"/>
      <c r="DVZ190" s="34"/>
      <c r="DWA190" s="34"/>
      <c r="DWB190" s="34"/>
      <c r="DWC190" s="34"/>
      <c r="DWD190" s="34"/>
      <c r="DWE190" s="34"/>
      <c r="DWF190" s="34"/>
      <c r="DWG190" s="34"/>
      <c r="DWH190" s="34"/>
      <c r="DWI190" s="34"/>
      <c r="DWJ190" s="34"/>
      <c r="DWK190" s="34"/>
      <c r="DWL190" s="34"/>
      <c r="DWM190" s="34"/>
      <c r="DWN190" s="34"/>
      <c r="DWO190" s="34"/>
      <c r="DWP190" s="34"/>
      <c r="DWQ190" s="34"/>
      <c r="DWR190" s="34"/>
      <c r="DWS190" s="34"/>
      <c r="DWT190" s="34"/>
      <c r="DWU190" s="34"/>
      <c r="DWV190" s="34"/>
      <c r="DWW190" s="34"/>
      <c r="DWX190" s="34"/>
      <c r="DWY190" s="34"/>
      <c r="DWZ190" s="34"/>
      <c r="DXA190" s="34"/>
      <c r="DXB190" s="34"/>
      <c r="DXC190" s="34"/>
      <c r="DXD190" s="34"/>
      <c r="DXE190" s="34"/>
      <c r="DXF190" s="34"/>
      <c r="DXG190" s="34"/>
      <c r="DXH190" s="34"/>
      <c r="DXI190" s="34"/>
      <c r="DXJ190" s="34"/>
      <c r="DXK190" s="34"/>
      <c r="DXL190" s="34"/>
      <c r="DXM190" s="34"/>
      <c r="DXN190" s="34"/>
      <c r="DXO190" s="34"/>
      <c r="DXP190" s="34"/>
      <c r="DXQ190" s="34"/>
      <c r="DXR190" s="34"/>
      <c r="DXS190" s="34"/>
      <c r="DXT190" s="34"/>
      <c r="DXU190" s="34"/>
      <c r="DXV190" s="34"/>
      <c r="DXW190" s="34"/>
      <c r="DXX190" s="34"/>
      <c r="DXY190" s="34"/>
      <c r="DXZ190" s="34"/>
      <c r="DYA190" s="34"/>
      <c r="DYB190" s="34"/>
      <c r="DYC190" s="34"/>
      <c r="DYD190" s="34"/>
      <c r="DYE190" s="34"/>
      <c r="DYF190" s="34"/>
      <c r="DYG190" s="34"/>
      <c r="DYH190" s="34"/>
      <c r="DYI190" s="34"/>
      <c r="DYJ190" s="34"/>
      <c r="DYK190" s="34"/>
      <c r="DYL190" s="34"/>
      <c r="DYM190" s="34"/>
      <c r="DYN190" s="34"/>
      <c r="DYO190" s="34"/>
      <c r="DYP190" s="34"/>
      <c r="DYQ190" s="34"/>
      <c r="DYR190" s="34"/>
      <c r="DYS190" s="34"/>
      <c r="DYT190" s="34"/>
      <c r="DYU190" s="34"/>
      <c r="DYV190" s="34"/>
      <c r="DYW190" s="34"/>
      <c r="DYX190" s="34"/>
      <c r="DYY190" s="34"/>
      <c r="DYZ190" s="34"/>
      <c r="DZA190" s="34"/>
      <c r="DZB190" s="34"/>
      <c r="DZC190" s="34"/>
      <c r="DZD190" s="34"/>
      <c r="DZE190" s="34"/>
      <c r="DZF190" s="34"/>
      <c r="DZG190" s="34"/>
      <c r="DZH190" s="34"/>
      <c r="DZI190" s="34"/>
      <c r="DZJ190" s="34"/>
      <c r="DZK190" s="34"/>
      <c r="DZL190" s="34"/>
      <c r="DZM190" s="34"/>
      <c r="DZN190" s="34"/>
      <c r="DZO190" s="34"/>
      <c r="DZP190" s="34"/>
      <c r="DZQ190" s="34"/>
      <c r="DZR190" s="34"/>
      <c r="DZS190" s="34"/>
      <c r="DZT190" s="34"/>
      <c r="DZU190" s="34"/>
      <c r="DZV190" s="34"/>
      <c r="DZW190" s="34"/>
      <c r="DZX190" s="34"/>
      <c r="DZY190" s="34"/>
      <c r="DZZ190" s="34"/>
      <c r="EAA190" s="34"/>
      <c r="EAB190" s="34"/>
      <c r="EAC190" s="34"/>
      <c r="EAD190" s="34"/>
      <c r="EAE190" s="34"/>
      <c r="EAF190" s="34"/>
      <c r="EAG190" s="34"/>
      <c r="EAH190" s="34"/>
      <c r="EAI190" s="34"/>
      <c r="EAJ190" s="34"/>
      <c r="EAK190" s="34"/>
      <c r="EAL190" s="34"/>
      <c r="EAM190" s="34"/>
      <c r="EAN190" s="34"/>
      <c r="EAO190" s="34"/>
      <c r="EAP190" s="34"/>
      <c r="EAQ190" s="34"/>
      <c r="EAR190" s="34"/>
      <c r="EAS190" s="34"/>
      <c r="EAT190" s="34"/>
      <c r="EAU190" s="34"/>
      <c r="EAV190" s="34"/>
      <c r="EAW190" s="34"/>
      <c r="EAX190" s="34"/>
      <c r="EAY190" s="34"/>
      <c r="EAZ190" s="34"/>
      <c r="EBA190" s="34"/>
      <c r="EBB190" s="34"/>
      <c r="EBC190" s="34"/>
      <c r="EBD190" s="34"/>
      <c r="EBE190" s="34"/>
      <c r="EBF190" s="34"/>
      <c r="EBG190" s="34"/>
      <c r="EBH190" s="34"/>
      <c r="EBI190" s="34"/>
      <c r="EBJ190" s="34"/>
      <c r="EBK190" s="34"/>
      <c r="EBL190" s="34"/>
      <c r="EBM190" s="34"/>
      <c r="EBN190" s="34"/>
      <c r="EBO190" s="34"/>
      <c r="EBP190" s="34"/>
      <c r="EBQ190" s="34"/>
      <c r="EBR190" s="34"/>
      <c r="EBS190" s="34"/>
      <c r="EBT190" s="34"/>
      <c r="EBU190" s="34"/>
      <c r="EBV190" s="34"/>
      <c r="EBW190" s="34"/>
      <c r="EBX190" s="34"/>
      <c r="EBY190" s="34"/>
      <c r="EBZ190" s="34"/>
      <c r="ECA190" s="34"/>
      <c r="ECB190" s="34"/>
      <c r="ECC190" s="34"/>
      <c r="ECD190" s="34"/>
      <c r="ECE190" s="34"/>
      <c r="ECF190" s="34"/>
      <c r="ECG190" s="34"/>
      <c r="ECH190" s="34"/>
      <c r="ECI190" s="34"/>
      <c r="ECJ190" s="34"/>
      <c r="ECK190" s="34"/>
      <c r="ECL190" s="34"/>
      <c r="ECM190" s="34"/>
      <c r="ECN190" s="34"/>
      <c r="ECO190" s="34"/>
      <c r="ECP190" s="34"/>
      <c r="ECQ190" s="34"/>
      <c r="ECR190" s="34"/>
      <c r="ECS190" s="34"/>
      <c r="ECT190" s="34"/>
      <c r="ECU190" s="34"/>
      <c r="ECV190" s="34"/>
      <c r="ECW190" s="34"/>
      <c r="ECX190" s="34"/>
      <c r="ECY190" s="34"/>
      <c r="ECZ190" s="34"/>
      <c r="EDA190" s="34"/>
      <c r="EDB190" s="34"/>
      <c r="EDC190" s="34"/>
      <c r="EDD190" s="34"/>
      <c r="EDE190" s="34"/>
      <c r="EDF190" s="34"/>
      <c r="EDG190" s="34"/>
      <c r="EDH190" s="34"/>
      <c r="EDI190" s="34"/>
      <c r="EDJ190" s="34"/>
      <c r="EDK190" s="34"/>
      <c r="EDL190" s="34"/>
      <c r="EDM190" s="34"/>
      <c r="EDN190" s="34"/>
      <c r="EDO190" s="34"/>
      <c r="EDP190" s="34"/>
      <c r="EDQ190" s="34"/>
      <c r="EDR190" s="34"/>
      <c r="EDS190" s="34"/>
      <c r="EDT190" s="34"/>
      <c r="EDU190" s="34"/>
      <c r="EDV190" s="34"/>
      <c r="EDW190" s="34"/>
      <c r="EDX190" s="34"/>
      <c r="EDY190" s="34"/>
      <c r="EDZ190" s="34"/>
      <c r="EEA190" s="34"/>
      <c r="EEB190" s="34"/>
      <c r="EEC190" s="34"/>
      <c r="EED190" s="34"/>
      <c r="EEE190" s="34"/>
      <c r="EEF190" s="34"/>
      <c r="EEG190" s="34"/>
      <c r="EEH190" s="34"/>
      <c r="EEI190" s="34"/>
      <c r="EEJ190" s="34"/>
      <c r="EEK190" s="34"/>
      <c r="EEL190" s="34"/>
      <c r="EEM190" s="34"/>
      <c r="EEN190" s="34"/>
      <c r="EEO190" s="34"/>
      <c r="EEP190" s="34"/>
      <c r="EEQ190" s="34"/>
      <c r="EER190" s="34"/>
      <c r="EES190" s="34"/>
      <c r="EET190" s="34"/>
      <c r="EEU190" s="34"/>
      <c r="EEV190" s="34"/>
      <c r="EEW190" s="34"/>
      <c r="EEX190" s="34"/>
      <c r="EEY190" s="34"/>
      <c r="EEZ190" s="34"/>
      <c r="EFA190" s="34"/>
      <c r="EFB190" s="34"/>
      <c r="EFC190" s="34"/>
      <c r="EFD190" s="34"/>
      <c r="EFE190" s="34"/>
      <c r="EFF190" s="34"/>
      <c r="EFG190" s="34"/>
      <c r="EFH190" s="34"/>
      <c r="EFI190" s="34"/>
      <c r="EFJ190" s="34"/>
      <c r="EFK190" s="34"/>
      <c r="EFL190" s="34"/>
      <c r="EFM190" s="34"/>
      <c r="EFN190" s="34"/>
      <c r="EFO190" s="34"/>
      <c r="EFP190" s="34"/>
      <c r="EFQ190" s="34"/>
      <c r="EFR190" s="34"/>
      <c r="EFS190" s="34"/>
      <c r="EFT190" s="34"/>
      <c r="EFU190" s="34"/>
      <c r="EFV190" s="34"/>
      <c r="EFW190" s="34"/>
      <c r="EFX190" s="34"/>
      <c r="EFY190" s="34"/>
      <c r="EFZ190" s="34"/>
      <c r="EGA190" s="34"/>
      <c r="EGB190" s="34"/>
      <c r="EGC190" s="34"/>
      <c r="EGD190" s="34"/>
      <c r="EGE190" s="34"/>
      <c r="EGF190" s="34"/>
      <c r="EGG190" s="34"/>
      <c r="EGH190" s="34"/>
      <c r="EGI190" s="34"/>
      <c r="EGJ190" s="34"/>
      <c r="EGK190" s="34"/>
      <c r="EGL190" s="34"/>
      <c r="EGM190" s="34"/>
      <c r="EGN190" s="34"/>
      <c r="EGO190" s="34"/>
      <c r="EGP190" s="34"/>
      <c r="EGQ190" s="34"/>
      <c r="EGR190" s="34"/>
      <c r="EGS190" s="34"/>
      <c r="EGT190" s="34"/>
      <c r="EGU190" s="34"/>
      <c r="EGV190" s="34"/>
      <c r="EGW190" s="34"/>
      <c r="EGX190" s="34"/>
      <c r="EGY190" s="34"/>
      <c r="EGZ190" s="34"/>
      <c r="EHA190" s="34"/>
      <c r="EHB190" s="34"/>
      <c r="EHC190" s="34"/>
      <c r="EHD190" s="34"/>
      <c r="EHE190" s="34"/>
      <c r="EHF190" s="34"/>
      <c r="EHG190" s="34"/>
      <c r="EHH190" s="34"/>
      <c r="EHI190" s="34"/>
      <c r="EHJ190" s="34"/>
      <c r="EHK190" s="34"/>
      <c r="EHL190" s="34"/>
      <c r="EHM190" s="34"/>
      <c r="EHN190" s="34"/>
      <c r="EHO190" s="34"/>
      <c r="EHP190" s="34"/>
      <c r="EHQ190" s="34"/>
      <c r="EHR190" s="34"/>
      <c r="EHS190" s="34"/>
      <c r="EHT190" s="34"/>
      <c r="EHU190" s="34"/>
      <c r="EHV190" s="34"/>
      <c r="EHW190" s="34"/>
      <c r="EHX190" s="34"/>
      <c r="EHY190" s="34"/>
      <c r="EHZ190" s="34"/>
      <c r="EIA190" s="34"/>
      <c r="EIB190" s="34"/>
      <c r="EIC190" s="34"/>
      <c r="EID190" s="34"/>
      <c r="EIE190" s="34"/>
      <c r="EIF190" s="34"/>
      <c r="EIG190" s="34"/>
      <c r="EIH190" s="34"/>
      <c r="EII190" s="34"/>
      <c r="EIJ190" s="34"/>
      <c r="EIK190" s="34"/>
      <c r="EIL190" s="34"/>
      <c r="EIM190" s="34"/>
      <c r="EIN190" s="34"/>
      <c r="EIO190" s="34"/>
      <c r="EIP190" s="34"/>
      <c r="EIQ190" s="34"/>
      <c r="EIR190" s="34"/>
      <c r="EIS190" s="34"/>
      <c r="EIT190" s="34"/>
      <c r="EIU190" s="34"/>
      <c r="EIV190" s="34"/>
      <c r="EIW190" s="34"/>
      <c r="EIX190" s="34"/>
      <c r="EIY190" s="34"/>
      <c r="EIZ190" s="34"/>
      <c r="EJA190" s="34"/>
      <c r="EJB190" s="34"/>
      <c r="EJC190" s="34"/>
      <c r="EJD190" s="34"/>
      <c r="EJE190" s="34"/>
      <c r="EJF190" s="34"/>
      <c r="EJG190" s="34"/>
      <c r="EJH190" s="34"/>
      <c r="EJI190" s="34"/>
      <c r="EJJ190" s="34"/>
      <c r="EJK190" s="34"/>
      <c r="EJL190" s="34"/>
      <c r="EJM190" s="34"/>
      <c r="EJN190" s="34"/>
      <c r="EJO190" s="34"/>
      <c r="EJP190" s="34"/>
      <c r="EJQ190" s="34"/>
      <c r="EJR190" s="34"/>
      <c r="EJS190" s="34"/>
      <c r="EJT190" s="34"/>
      <c r="EJU190" s="34"/>
      <c r="EJV190" s="34"/>
      <c r="EJW190" s="34"/>
      <c r="EJX190" s="34"/>
      <c r="EJY190" s="34"/>
      <c r="EJZ190" s="34"/>
      <c r="EKA190" s="34"/>
      <c r="EKB190" s="34"/>
      <c r="EKC190" s="34"/>
      <c r="EKD190" s="34"/>
      <c r="EKE190" s="34"/>
      <c r="EKF190" s="34"/>
      <c r="EKG190" s="34"/>
      <c r="EKH190" s="34"/>
      <c r="EKI190" s="34"/>
      <c r="EKJ190" s="34"/>
      <c r="EKK190" s="34"/>
      <c r="EKL190" s="34"/>
      <c r="EKM190" s="34"/>
      <c r="EKN190" s="34"/>
      <c r="EKO190" s="34"/>
      <c r="EKP190" s="34"/>
      <c r="EKQ190" s="34"/>
      <c r="EKR190" s="34"/>
      <c r="EKS190" s="34"/>
      <c r="EKT190" s="34"/>
      <c r="EKU190" s="34"/>
      <c r="EKV190" s="34"/>
      <c r="EKW190" s="34"/>
      <c r="EKX190" s="34"/>
      <c r="EKY190" s="34"/>
      <c r="EKZ190" s="34"/>
      <c r="ELA190" s="34"/>
      <c r="ELB190" s="34"/>
      <c r="ELC190" s="34"/>
      <c r="ELD190" s="34"/>
      <c r="ELE190" s="34"/>
      <c r="ELF190" s="34"/>
      <c r="ELG190" s="34"/>
      <c r="ELH190" s="34"/>
      <c r="ELI190" s="34"/>
      <c r="ELJ190" s="34"/>
      <c r="ELK190" s="34"/>
      <c r="ELL190" s="34"/>
      <c r="ELM190" s="34"/>
      <c r="ELN190" s="34"/>
      <c r="ELO190" s="34"/>
      <c r="ELP190" s="34"/>
      <c r="ELQ190" s="34"/>
      <c r="ELR190" s="34"/>
      <c r="ELS190" s="34"/>
      <c r="ELT190" s="34"/>
      <c r="ELU190" s="34"/>
      <c r="ELV190" s="34"/>
      <c r="ELW190" s="34"/>
      <c r="ELX190" s="34"/>
      <c r="ELY190" s="34"/>
      <c r="ELZ190" s="34"/>
      <c r="EMA190" s="34"/>
      <c r="EMB190" s="34"/>
      <c r="EMC190" s="34"/>
      <c r="EMD190" s="34"/>
      <c r="EME190" s="34"/>
      <c r="EMF190" s="34"/>
      <c r="EMG190" s="34"/>
      <c r="EMH190" s="34"/>
      <c r="EMI190" s="34"/>
      <c r="EMJ190" s="34"/>
      <c r="EMK190" s="34"/>
      <c r="EML190" s="34"/>
      <c r="EMM190" s="34"/>
      <c r="EMN190" s="34"/>
      <c r="EMO190" s="34"/>
      <c r="EMP190" s="34"/>
      <c r="EMQ190" s="34"/>
      <c r="EMR190" s="34"/>
      <c r="EMS190" s="34"/>
      <c r="EMT190" s="34"/>
      <c r="EMU190" s="34"/>
      <c r="EMV190" s="34"/>
      <c r="EMW190" s="34"/>
      <c r="EMX190" s="34"/>
      <c r="EMY190" s="34"/>
      <c r="EMZ190" s="34"/>
      <c r="ENA190" s="34"/>
      <c r="ENB190" s="34"/>
      <c r="ENC190" s="34"/>
      <c r="END190" s="34"/>
      <c r="ENE190" s="34"/>
      <c r="ENF190" s="34"/>
      <c r="ENG190" s="34"/>
      <c r="ENH190" s="34"/>
      <c r="ENI190" s="34"/>
      <c r="ENJ190" s="34"/>
      <c r="ENK190" s="34"/>
      <c r="ENL190" s="34"/>
      <c r="ENM190" s="34"/>
      <c r="ENN190" s="34"/>
      <c r="ENO190" s="34"/>
      <c r="ENP190" s="34"/>
      <c r="ENQ190" s="34"/>
      <c r="ENR190" s="34"/>
      <c r="ENS190" s="34"/>
      <c r="ENT190" s="34"/>
      <c r="ENU190" s="34"/>
      <c r="ENV190" s="34"/>
      <c r="ENW190" s="34"/>
      <c r="ENX190" s="34"/>
      <c r="ENY190" s="34"/>
      <c r="ENZ190" s="34"/>
      <c r="EOA190" s="34"/>
      <c r="EOB190" s="34"/>
      <c r="EOC190" s="34"/>
      <c r="EOD190" s="34"/>
      <c r="EOE190" s="34"/>
      <c r="EOF190" s="34"/>
      <c r="EOG190" s="34"/>
      <c r="EOH190" s="34"/>
      <c r="EOI190" s="34"/>
      <c r="EOJ190" s="34"/>
      <c r="EOK190" s="34"/>
      <c r="EOL190" s="34"/>
      <c r="EOM190" s="34"/>
      <c r="EON190" s="34"/>
      <c r="EOO190" s="34"/>
      <c r="EOP190" s="34"/>
      <c r="EOQ190" s="34"/>
      <c r="EOR190" s="34"/>
      <c r="EOS190" s="34"/>
      <c r="EOT190" s="34"/>
      <c r="EOU190" s="34"/>
      <c r="EOV190" s="34"/>
      <c r="EOW190" s="34"/>
      <c r="EOX190" s="34"/>
      <c r="EOY190" s="34"/>
      <c r="EOZ190" s="34"/>
      <c r="EPA190" s="34"/>
      <c r="EPB190" s="34"/>
      <c r="EPC190" s="34"/>
      <c r="EPD190" s="34"/>
      <c r="EPE190" s="34"/>
      <c r="EPF190" s="34"/>
      <c r="EPG190" s="34"/>
      <c r="EPH190" s="34"/>
      <c r="EPI190" s="34"/>
      <c r="EPJ190" s="34"/>
      <c r="EPK190" s="34"/>
      <c r="EPL190" s="34"/>
      <c r="EPM190" s="34"/>
      <c r="EPN190" s="34"/>
      <c r="EPO190" s="34"/>
      <c r="EPP190" s="34"/>
      <c r="EPQ190" s="34"/>
      <c r="EPR190" s="34"/>
      <c r="EPS190" s="34"/>
      <c r="EPT190" s="34"/>
      <c r="EPU190" s="34"/>
      <c r="EPV190" s="34"/>
      <c r="EPW190" s="34"/>
      <c r="EPX190" s="34"/>
      <c r="EPY190" s="34"/>
      <c r="EPZ190" s="34"/>
      <c r="EQA190" s="34"/>
      <c r="EQB190" s="34"/>
      <c r="EQC190" s="34"/>
      <c r="EQD190" s="34"/>
      <c r="EQE190" s="34"/>
      <c r="EQF190" s="34"/>
      <c r="EQG190" s="34"/>
      <c r="EQH190" s="34"/>
      <c r="EQI190" s="34"/>
      <c r="EQJ190" s="34"/>
      <c r="EQK190" s="34"/>
      <c r="EQL190" s="34"/>
      <c r="EQM190" s="34"/>
      <c r="EQN190" s="34"/>
      <c r="EQO190" s="34"/>
      <c r="EQP190" s="34"/>
      <c r="EQQ190" s="34"/>
      <c r="EQR190" s="34"/>
      <c r="EQS190" s="34"/>
      <c r="EQT190" s="34"/>
      <c r="EQU190" s="34"/>
      <c r="EQV190" s="34"/>
      <c r="EQW190" s="34"/>
      <c r="EQX190" s="34"/>
      <c r="EQY190" s="34"/>
      <c r="EQZ190" s="34"/>
      <c r="ERA190" s="34"/>
      <c r="ERB190" s="34"/>
      <c r="ERC190" s="34"/>
      <c r="ERD190" s="34"/>
      <c r="ERE190" s="34"/>
      <c r="ERF190" s="34"/>
      <c r="ERG190" s="34"/>
      <c r="ERH190" s="34"/>
      <c r="ERI190" s="34"/>
      <c r="ERJ190" s="34"/>
      <c r="ERK190" s="34"/>
      <c r="ERL190" s="34"/>
      <c r="ERM190" s="34"/>
      <c r="ERN190" s="34"/>
      <c r="ERO190" s="34"/>
      <c r="ERP190" s="34"/>
      <c r="ERQ190" s="34"/>
      <c r="ERR190" s="34"/>
      <c r="ERS190" s="34"/>
      <c r="ERT190" s="34"/>
      <c r="ERU190" s="34"/>
      <c r="ERV190" s="34"/>
      <c r="ERW190" s="34"/>
      <c r="ERX190" s="34"/>
      <c r="ERY190" s="34"/>
      <c r="ERZ190" s="34"/>
      <c r="ESA190" s="34"/>
      <c r="ESB190" s="34"/>
      <c r="ESC190" s="34"/>
      <c r="ESD190" s="34"/>
      <c r="ESE190" s="34"/>
      <c r="ESF190" s="34"/>
      <c r="ESG190" s="34"/>
      <c r="ESH190" s="34"/>
      <c r="ESI190" s="34"/>
      <c r="ESJ190" s="34"/>
      <c r="ESK190" s="34"/>
      <c r="ESL190" s="34"/>
      <c r="ESM190" s="34"/>
      <c r="ESN190" s="34"/>
      <c r="ESO190" s="34"/>
      <c r="ESP190" s="34"/>
      <c r="ESQ190" s="34"/>
      <c r="ESR190" s="34"/>
      <c r="ESS190" s="34"/>
      <c r="EST190" s="34"/>
      <c r="ESU190" s="34"/>
      <c r="ESV190" s="34"/>
      <c r="ESW190" s="34"/>
      <c r="ESX190" s="34"/>
      <c r="ESY190" s="34"/>
      <c r="ESZ190" s="34"/>
      <c r="ETA190" s="34"/>
      <c r="ETB190" s="34"/>
      <c r="ETC190" s="34"/>
      <c r="ETD190" s="34"/>
      <c r="ETE190" s="34"/>
      <c r="ETF190" s="34"/>
      <c r="ETG190" s="34"/>
      <c r="ETH190" s="34"/>
      <c r="ETI190" s="34"/>
      <c r="ETJ190" s="34"/>
      <c r="ETK190" s="34"/>
      <c r="ETL190" s="34"/>
      <c r="ETM190" s="34"/>
      <c r="ETN190" s="34"/>
      <c r="ETO190" s="34"/>
      <c r="ETP190" s="34"/>
      <c r="ETQ190" s="34"/>
      <c r="ETR190" s="34"/>
      <c r="ETS190" s="34"/>
      <c r="ETT190" s="34"/>
      <c r="ETU190" s="34"/>
      <c r="ETV190" s="34"/>
      <c r="ETW190" s="34"/>
      <c r="ETX190" s="34"/>
      <c r="ETY190" s="34"/>
      <c r="ETZ190" s="34"/>
      <c r="EUA190" s="34"/>
      <c r="EUB190" s="34"/>
      <c r="EUC190" s="34"/>
      <c r="EUD190" s="34"/>
      <c r="EUE190" s="34"/>
      <c r="EUF190" s="34"/>
      <c r="EUG190" s="34"/>
      <c r="EUH190" s="34"/>
      <c r="EUI190" s="34"/>
      <c r="EUJ190" s="34"/>
      <c r="EUK190" s="34"/>
      <c r="EUL190" s="34"/>
      <c r="EUM190" s="34"/>
      <c r="EUN190" s="34"/>
      <c r="EUO190" s="34"/>
      <c r="EUP190" s="34"/>
      <c r="EUQ190" s="34"/>
      <c r="EUR190" s="34"/>
      <c r="EUS190" s="34"/>
      <c r="EUT190" s="34"/>
      <c r="EUU190" s="34"/>
      <c r="EUV190" s="34"/>
      <c r="EUW190" s="34"/>
      <c r="EUX190" s="34"/>
      <c r="EUY190" s="34"/>
      <c r="EUZ190" s="34"/>
      <c r="EVA190" s="34"/>
      <c r="EVB190" s="34"/>
      <c r="EVC190" s="34"/>
      <c r="EVD190" s="34"/>
      <c r="EVE190" s="34"/>
      <c r="EVF190" s="34"/>
      <c r="EVG190" s="34"/>
      <c r="EVH190" s="34"/>
      <c r="EVI190" s="34"/>
      <c r="EVJ190" s="34"/>
      <c r="EVK190" s="34"/>
      <c r="EVL190" s="34"/>
      <c r="EVM190" s="34"/>
      <c r="EVN190" s="34"/>
      <c r="EVO190" s="34"/>
      <c r="EVP190" s="34"/>
      <c r="EVQ190" s="34"/>
      <c r="EVR190" s="34"/>
      <c r="EVS190" s="34"/>
      <c r="EVT190" s="34"/>
      <c r="EVU190" s="34"/>
      <c r="EVV190" s="34"/>
      <c r="EVW190" s="34"/>
      <c r="EVX190" s="34"/>
      <c r="EVY190" s="34"/>
      <c r="EVZ190" s="34"/>
      <c r="EWA190" s="34"/>
      <c r="EWB190" s="34"/>
      <c r="EWC190" s="34"/>
      <c r="EWD190" s="34"/>
      <c r="EWE190" s="34"/>
      <c r="EWF190" s="34"/>
      <c r="EWG190" s="34"/>
      <c r="EWH190" s="34"/>
      <c r="EWI190" s="34"/>
      <c r="EWJ190" s="34"/>
      <c r="EWK190" s="34"/>
      <c r="EWL190" s="34"/>
      <c r="EWM190" s="34"/>
      <c r="EWN190" s="34"/>
      <c r="EWO190" s="34"/>
      <c r="EWP190" s="34"/>
      <c r="EWQ190" s="34"/>
      <c r="EWR190" s="34"/>
      <c r="EWS190" s="34"/>
      <c r="EWT190" s="34"/>
      <c r="EWU190" s="34"/>
      <c r="EWV190" s="34"/>
      <c r="EWW190" s="34"/>
      <c r="EWX190" s="34"/>
      <c r="EWY190" s="34"/>
      <c r="EWZ190" s="34"/>
      <c r="EXA190" s="34"/>
      <c r="EXB190" s="34"/>
      <c r="EXC190" s="34"/>
      <c r="EXD190" s="34"/>
      <c r="EXE190" s="34"/>
      <c r="EXF190" s="34"/>
      <c r="EXG190" s="34"/>
      <c r="EXH190" s="34"/>
      <c r="EXI190" s="34"/>
      <c r="EXJ190" s="34"/>
      <c r="EXK190" s="34"/>
      <c r="EXL190" s="34"/>
      <c r="EXM190" s="34"/>
      <c r="EXN190" s="34"/>
      <c r="EXO190" s="34"/>
      <c r="EXP190" s="34"/>
      <c r="EXQ190" s="34"/>
      <c r="EXR190" s="34"/>
      <c r="EXS190" s="34"/>
      <c r="EXT190" s="34"/>
      <c r="EXU190" s="34"/>
      <c r="EXV190" s="34"/>
      <c r="EXW190" s="34"/>
      <c r="EXX190" s="34"/>
      <c r="EXY190" s="34"/>
      <c r="EXZ190" s="34"/>
      <c r="EYA190" s="34"/>
      <c r="EYB190" s="34"/>
      <c r="EYC190" s="34"/>
      <c r="EYD190" s="34"/>
      <c r="EYE190" s="34"/>
      <c r="EYF190" s="34"/>
      <c r="EYG190" s="34"/>
      <c r="EYH190" s="34"/>
      <c r="EYI190" s="34"/>
      <c r="EYJ190" s="34"/>
      <c r="EYK190" s="34"/>
      <c r="EYL190" s="34"/>
      <c r="EYM190" s="34"/>
      <c r="EYN190" s="34"/>
      <c r="EYO190" s="34"/>
      <c r="EYP190" s="34"/>
      <c r="EYQ190" s="34"/>
      <c r="EYR190" s="34"/>
      <c r="EYS190" s="34"/>
      <c r="EYT190" s="34"/>
      <c r="EYU190" s="34"/>
      <c r="EYV190" s="34"/>
      <c r="EYW190" s="34"/>
      <c r="EYX190" s="34"/>
      <c r="EYY190" s="34"/>
      <c r="EYZ190" s="34"/>
      <c r="EZA190" s="34"/>
      <c r="EZB190" s="34"/>
      <c r="EZC190" s="34"/>
      <c r="EZD190" s="34"/>
      <c r="EZE190" s="34"/>
      <c r="EZF190" s="34"/>
      <c r="EZG190" s="34"/>
      <c r="EZH190" s="34"/>
      <c r="EZI190" s="34"/>
      <c r="EZJ190" s="34"/>
      <c r="EZK190" s="34"/>
      <c r="EZL190" s="34"/>
      <c r="EZM190" s="34"/>
      <c r="EZN190" s="34"/>
      <c r="EZO190" s="34"/>
      <c r="EZP190" s="34"/>
      <c r="EZQ190" s="34"/>
      <c r="EZR190" s="34"/>
      <c r="EZS190" s="34"/>
      <c r="EZT190" s="34"/>
      <c r="EZU190" s="34"/>
      <c r="EZV190" s="34"/>
      <c r="EZW190" s="34"/>
      <c r="EZX190" s="34"/>
      <c r="EZY190" s="34"/>
      <c r="EZZ190" s="34"/>
      <c r="FAA190" s="34"/>
      <c r="FAB190" s="34"/>
      <c r="FAC190" s="34"/>
      <c r="FAD190" s="34"/>
      <c r="FAE190" s="34"/>
      <c r="FAF190" s="34"/>
      <c r="FAG190" s="34"/>
      <c r="FAH190" s="34"/>
      <c r="FAI190" s="34"/>
      <c r="FAJ190" s="34"/>
      <c r="FAK190" s="34"/>
      <c r="FAL190" s="34"/>
      <c r="FAM190" s="34"/>
      <c r="FAN190" s="34"/>
      <c r="FAO190" s="34"/>
      <c r="FAP190" s="34"/>
      <c r="FAQ190" s="34"/>
      <c r="FAR190" s="34"/>
      <c r="FAS190" s="34"/>
      <c r="FAT190" s="34"/>
      <c r="FAU190" s="34"/>
      <c r="FAV190" s="34"/>
      <c r="FAW190" s="34"/>
      <c r="FAX190" s="34"/>
      <c r="FAY190" s="34"/>
      <c r="FAZ190" s="34"/>
      <c r="FBA190" s="34"/>
      <c r="FBB190" s="34"/>
      <c r="FBC190" s="34"/>
      <c r="FBD190" s="34"/>
      <c r="FBE190" s="34"/>
      <c r="FBF190" s="34"/>
      <c r="FBG190" s="34"/>
      <c r="FBH190" s="34"/>
      <c r="FBI190" s="34"/>
      <c r="FBJ190" s="34"/>
      <c r="FBK190" s="34"/>
      <c r="FBL190" s="34"/>
      <c r="FBM190" s="34"/>
      <c r="FBN190" s="34"/>
      <c r="FBO190" s="34"/>
      <c r="FBP190" s="34"/>
      <c r="FBQ190" s="34"/>
      <c r="FBR190" s="34"/>
      <c r="FBS190" s="34"/>
      <c r="FBT190" s="34"/>
      <c r="FBU190" s="34"/>
      <c r="FBV190" s="34"/>
      <c r="FBW190" s="34"/>
      <c r="FBX190" s="34"/>
      <c r="FBY190" s="34"/>
      <c r="FBZ190" s="34"/>
      <c r="FCA190" s="34"/>
      <c r="FCB190" s="34"/>
      <c r="FCC190" s="34"/>
      <c r="FCD190" s="34"/>
      <c r="FCE190" s="34"/>
      <c r="FCF190" s="34"/>
      <c r="FCG190" s="34"/>
      <c r="FCH190" s="34"/>
      <c r="FCI190" s="34"/>
      <c r="FCJ190" s="34"/>
      <c r="FCK190" s="34"/>
      <c r="FCL190" s="34"/>
      <c r="FCM190" s="34"/>
      <c r="FCN190" s="34"/>
      <c r="FCO190" s="34"/>
      <c r="FCP190" s="34"/>
      <c r="FCQ190" s="34"/>
      <c r="FCR190" s="34"/>
      <c r="FCS190" s="34"/>
      <c r="FCT190" s="34"/>
      <c r="FCU190" s="34"/>
      <c r="FCV190" s="34"/>
      <c r="FCW190" s="34"/>
      <c r="FCX190" s="34"/>
      <c r="FCY190" s="34"/>
      <c r="FCZ190" s="34"/>
      <c r="FDA190" s="34"/>
      <c r="FDB190" s="34"/>
      <c r="FDC190" s="34"/>
      <c r="FDD190" s="34"/>
      <c r="FDE190" s="34"/>
      <c r="FDF190" s="34"/>
      <c r="FDG190" s="34"/>
      <c r="FDH190" s="34"/>
      <c r="FDI190" s="34"/>
      <c r="FDJ190" s="34"/>
      <c r="FDK190" s="34"/>
      <c r="FDL190" s="34"/>
      <c r="FDM190" s="34"/>
      <c r="FDN190" s="34"/>
      <c r="FDO190" s="34"/>
      <c r="FDP190" s="34"/>
      <c r="FDQ190" s="34"/>
      <c r="FDR190" s="34"/>
      <c r="FDS190" s="34"/>
      <c r="FDT190" s="34"/>
      <c r="FDU190" s="34"/>
      <c r="FDV190" s="34"/>
      <c r="FDW190" s="34"/>
      <c r="FDX190" s="34"/>
      <c r="FDY190" s="34"/>
      <c r="FDZ190" s="34"/>
      <c r="FEA190" s="34"/>
      <c r="FEB190" s="34"/>
      <c r="FEC190" s="34"/>
      <c r="FED190" s="34"/>
      <c r="FEE190" s="34"/>
      <c r="FEF190" s="34"/>
      <c r="FEG190" s="34"/>
      <c r="FEH190" s="34"/>
      <c r="FEI190" s="34"/>
      <c r="FEJ190" s="34"/>
      <c r="FEK190" s="34"/>
      <c r="FEL190" s="34"/>
      <c r="FEM190" s="34"/>
      <c r="FEN190" s="34"/>
      <c r="FEO190" s="34"/>
      <c r="FEP190" s="34"/>
      <c r="FEQ190" s="34"/>
      <c r="FER190" s="34"/>
      <c r="FES190" s="34"/>
      <c r="FET190" s="34"/>
      <c r="FEU190" s="34"/>
      <c r="FEV190" s="34"/>
      <c r="FEW190" s="34"/>
      <c r="FEX190" s="34"/>
      <c r="FEY190" s="34"/>
      <c r="FEZ190" s="34"/>
      <c r="FFA190" s="34"/>
      <c r="FFB190" s="34"/>
      <c r="FFC190" s="34"/>
      <c r="FFD190" s="34"/>
      <c r="FFE190" s="34"/>
      <c r="FFF190" s="34"/>
      <c r="FFG190" s="34"/>
      <c r="FFH190" s="34"/>
      <c r="FFI190" s="34"/>
      <c r="FFJ190" s="34"/>
      <c r="FFK190" s="34"/>
      <c r="FFL190" s="34"/>
      <c r="FFM190" s="34"/>
      <c r="FFN190" s="34"/>
      <c r="FFO190" s="34"/>
      <c r="FFP190" s="34"/>
      <c r="FFQ190" s="34"/>
      <c r="FFR190" s="34"/>
      <c r="FFS190" s="34"/>
      <c r="FFT190" s="34"/>
      <c r="FFU190" s="34"/>
      <c r="FFV190" s="34"/>
      <c r="FFW190" s="34"/>
      <c r="FFX190" s="34"/>
      <c r="FFY190" s="34"/>
      <c r="FFZ190" s="34"/>
      <c r="FGA190" s="34"/>
      <c r="FGB190" s="34"/>
      <c r="FGC190" s="34"/>
      <c r="FGD190" s="34"/>
      <c r="FGE190" s="34"/>
      <c r="FGF190" s="34"/>
      <c r="FGG190" s="34"/>
      <c r="FGH190" s="34"/>
      <c r="FGI190" s="34"/>
      <c r="FGJ190" s="34"/>
      <c r="FGK190" s="34"/>
      <c r="FGL190" s="34"/>
      <c r="FGM190" s="34"/>
      <c r="FGN190" s="34"/>
      <c r="FGO190" s="34"/>
      <c r="FGP190" s="34"/>
      <c r="FGQ190" s="34"/>
      <c r="FGR190" s="34"/>
      <c r="FGS190" s="34"/>
      <c r="FGT190" s="34"/>
      <c r="FGU190" s="34"/>
      <c r="FGV190" s="34"/>
      <c r="FGW190" s="34"/>
      <c r="FGX190" s="34"/>
      <c r="FGY190" s="34"/>
      <c r="FGZ190" s="34"/>
      <c r="FHA190" s="34"/>
      <c r="FHB190" s="34"/>
      <c r="FHC190" s="34"/>
      <c r="FHD190" s="34"/>
      <c r="FHE190" s="34"/>
      <c r="FHF190" s="34"/>
      <c r="FHG190" s="34"/>
      <c r="FHH190" s="34"/>
      <c r="FHI190" s="34"/>
      <c r="FHJ190" s="34"/>
      <c r="FHK190" s="34"/>
      <c r="FHL190" s="34"/>
      <c r="FHM190" s="34"/>
      <c r="FHN190" s="34"/>
      <c r="FHO190" s="34"/>
      <c r="FHP190" s="34"/>
      <c r="FHQ190" s="34"/>
      <c r="FHR190" s="34"/>
      <c r="FHS190" s="34"/>
      <c r="FHT190" s="34"/>
      <c r="FHU190" s="34"/>
      <c r="FHV190" s="34"/>
      <c r="FHW190" s="34"/>
      <c r="FHX190" s="34"/>
      <c r="FHY190" s="34"/>
      <c r="FHZ190" s="34"/>
      <c r="FIA190" s="34"/>
      <c r="FIB190" s="34"/>
      <c r="FIC190" s="34"/>
      <c r="FID190" s="34"/>
      <c r="FIE190" s="34"/>
      <c r="FIF190" s="34"/>
      <c r="FIG190" s="34"/>
      <c r="FIH190" s="34"/>
      <c r="FII190" s="34"/>
      <c r="FIJ190" s="34"/>
      <c r="FIK190" s="34"/>
      <c r="FIL190" s="34"/>
      <c r="FIM190" s="34"/>
      <c r="FIN190" s="34"/>
      <c r="FIO190" s="34"/>
      <c r="FIP190" s="34"/>
      <c r="FIQ190" s="34"/>
      <c r="FIR190" s="34"/>
      <c r="FIS190" s="34"/>
      <c r="FIT190" s="34"/>
      <c r="FIU190" s="34"/>
      <c r="FIV190" s="34"/>
      <c r="FIW190" s="34"/>
      <c r="FIX190" s="34"/>
      <c r="FIY190" s="34"/>
      <c r="FIZ190" s="34"/>
      <c r="FJA190" s="34"/>
      <c r="FJB190" s="34"/>
      <c r="FJC190" s="34"/>
      <c r="FJD190" s="34"/>
      <c r="FJE190" s="34"/>
      <c r="FJF190" s="34"/>
      <c r="FJG190" s="34"/>
      <c r="FJH190" s="34"/>
      <c r="FJI190" s="34"/>
      <c r="FJJ190" s="34"/>
      <c r="FJK190" s="34"/>
      <c r="FJL190" s="34"/>
      <c r="FJM190" s="34"/>
      <c r="FJN190" s="34"/>
      <c r="FJO190" s="34"/>
      <c r="FJP190" s="34"/>
      <c r="FJQ190" s="34"/>
      <c r="FJR190" s="34"/>
      <c r="FJS190" s="34"/>
      <c r="FJT190" s="34"/>
      <c r="FJU190" s="34"/>
      <c r="FJV190" s="34"/>
      <c r="FJW190" s="34"/>
      <c r="FJX190" s="34"/>
      <c r="FJY190" s="34"/>
      <c r="FJZ190" s="34"/>
      <c r="FKA190" s="34"/>
      <c r="FKB190" s="34"/>
      <c r="FKC190" s="34"/>
      <c r="FKD190" s="34"/>
      <c r="FKE190" s="34"/>
      <c r="FKF190" s="34"/>
      <c r="FKG190" s="34"/>
      <c r="FKH190" s="34"/>
      <c r="FKI190" s="34"/>
      <c r="FKJ190" s="34"/>
      <c r="FKK190" s="34"/>
      <c r="FKL190" s="34"/>
      <c r="FKM190" s="34"/>
      <c r="FKN190" s="34"/>
      <c r="FKO190" s="34"/>
      <c r="FKP190" s="34"/>
      <c r="FKQ190" s="34"/>
      <c r="FKR190" s="34"/>
      <c r="FKS190" s="34"/>
      <c r="FKT190" s="34"/>
      <c r="FKU190" s="34"/>
      <c r="FKV190" s="34"/>
      <c r="FKW190" s="34"/>
      <c r="FKX190" s="34"/>
      <c r="FKY190" s="34"/>
      <c r="FKZ190" s="34"/>
      <c r="FLA190" s="34"/>
      <c r="FLB190" s="34"/>
      <c r="FLC190" s="34"/>
      <c r="FLD190" s="34"/>
      <c r="FLE190" s="34"/>
      <c r="FLF190" s="34"/>
      <c r="FLG190" s="34"/>
      <c r="FLH190" s="34"/>
      <c r="FLI190" s="34"/>
      <c r="FLJ190" s="34"/>
      <c r="FLK190" s="34"/>
      <c r="FLL190" s="34"/>
      <c r="FLM190" s="34"/>
      <c r="FLN190" s="34"/>
      <c r="FLO190" s="34"/>
      <c r="FLP190" s="34"/>
      <c r="FLQ190" s="34"/>
      <c r="FLR190" s="34"/>
      <c r="FLS190" s="34"/>
      <c r="FLT190" s="34"/>
      <c r="FLU190" s="34"/>
      <c r="FLV190" s="34"/>
      <c r="FLW190" s="34"/>
      <c r="FLX190" s="34"/>
      <c r="FLY190" s="34"/>
      <c r="FLZ190" s="34"/>
      <c r="FMA190" s="34"/>
      <c r="FMB190" s="34"/>
      <c r="FMC190" s="34"/>
      <c r="FMD190" s="34"/>
      <c r="FME190" s="34"/>
      <c r="FMF190" s="34"/>
      <c r="FMG190" s="34"/>
      <c r="FMH190" s="34"/>
      <c r="FMI190" s="34"/>
      <c r="FMJ190" s="34"/>
      <c r="FMK190" s="34"/>
      <c r="FML190" s="34"/>
      <c r="FMM190" s="34"/>
      <c r="FMN190" s="34"/>
      <c r="FMO190" s="34"/>
      <c r="FMP190" s="34"/>
      <c r="FMQ190" s="34"/>
      <c r="FMR190" s="34"/>
      <c r="FMS190" s="34"/>
      <c r="FMT190" s="34"/>
      <c r="FMU190" s="34"/>
      <c r="FMV190" s="34"/>
      <c r="FMW190" s="34"/>
      <c r="FMX190" s="34"/>
      <c r="FMY190" s="34"/>
      <c r="FMZ190" s="34"/>
      <c r="FNA190" s="34"/>
      <c r="FNB190" s="34"/>
      <c r="FNC190" s="34"/>
      <c r="FND190" s="34"/>
      <c r="FNE190" s="34"/>
      <c r="FNF190" s="34"/>
      <c r="FNG190" s="34"/>
      <c r="FNH190" s="34"/>
      <c r="FNI190" s="34"/>
      <c r="FNJ190" s="34"/>
      <c r="FNK190" s="34"/>
      <c r="FNL190" s="34"/>
      <c r="FNM190" s="34"/>
      <c r="FNN190" s="34"/>
      <c r="FNO190" s="34"/>
      <c r="FNP190" s="34"/>
      <c r="FNQ190" s="34"/>
      <c r="FNR190" s="34"/>
      <c r="FNS190" s="34"/>
      <c r="FNT190" s="34"/>
      <c r="FNU190" s="34"/>
      <c r="FNV190" s="34"/>
      <c r="FNW190" s="34"/>
      <c r="FNX190" s="34"/>
      <c r="FNY190" s="34"/>
      <c r="FNZ190" s="34"/>
      <c r="FOA190" s="34"/>
      <c r="FOB190" s="34"/>
      <c r="FOC190" s="34"/>
      <c r="FOD190" s="34"/>
      <c r="FOE190" s="34"/>
      <c r="FOF190" s="34"/>
      <c r="FOG190" s="34"/>
      <c r="FOH190" s="34"/>
      <c r="FOI190" s="34"/>
      <c r="FOJ190" s="34"/>
      <c r="FOK190" s="34"/>
      <c r="FOL190" s="34"/>
      <c r="FOM190" s="34"/>
      <c r="FON190" s="34"/>
      <c r="FOO190" s="34"/>
      <c r="FOP190" s="34"/>
      <c r="FOQ190" s="34"/>
      <c r="FOR190" s="34"/>
      <c r="FOS190" s="34"/>
      <c r="FOT190" s="34"/>
      <c r="FOU190" s="34"/>
      <c r="FOV190" s="34"/>
      <c r="FOW190" s="34"/>
      <c r="FOX190" s="34"/>
      <c r="FOY190" s="34"/>
      <c r="FOZ190" s="34"/>
      <c r="FPA190" s="34"/>
      <c r="FPB190" s="34"/>
      <c r="FPC190" s="34"/>
      <c r="FPD190" s="34"/>
      <c r="FPE190" s="34"/>
      <c r="FPF190" s="34"/>
      <c r="FPG190" s="34"/>
      <c r="FPH190" s="34"/>
      <c r="FPI190" s="34"/>
      <c r="FPJ190" s="34"/>
      <c r="FPK190" s="34"/>
      <c r="FPL190" s="34"/>
      <c r="FPM190" s="34"/>
      <c r="FPN190" s="34"/>
      <c r="FPO190" s="34"/>
      <c r="FPP190" s="34"/>
      <c r="FPQ190" s="34"/>
      <c r="FPR190" s="34"/>
      <c r="FPS190" s="34"/>
      <c r="FPT190" s="34"/>
      <c r="FPU190" s="34"/>
      <c r="FPV190" s="34"/>
      <c r="FPW190" s="34"/>
      <c r="FPX190" s="34"/>
      <c r="FPY190" s="34"/>
      <c r="FPZ190" s="34"/>
      <c r="FQA190" s="34"/>
      <c r="FQB190" s="34"/>
      <c r="FQC190" s="34"/>
      <c r="FQD190" s="34"/>
      <c r="FQE190" s="34"/>
      <c r="FQF190" s="34"/>
      <c r="FQG190" s="34"/>
      <c r="FQH190" s="34"/>
      <c r="FQI190" s="34"/>
      <c r="FQJ190" s="34"/>
      <c r="FQK190" s="34"/>
      <c r="FQL190" s="34"/>
      <c r="FQM190" s="34"/>
      <c r="FQN190" s="34"/>
      <c r="FQO190" s="34"/>
      <c r="FQP190" s="34"/>
      <c r="FQQ190" s="34"/>
      <c r="FQR190" s="34"/>
      <c r="FQS190" s="34"/>
      <c r="FQT190" s="34"/>
      <c r="FQU190" s="34"/>
      <c r="FQV190" s="34"/>
      <c r="FQW190" s="34"/>
      <c r="FQX190" s="34"/>
      <c r="FQY190" s="34"/>
      <c r="FQZ190" s="34"/>
      <c r="FRA190" s="34"/>
      <c r="FRB190" s="34"/>
      <c r="FRC190" s="34"/>
      <c r="FRD190" s="34"/>
      <c r="FRE190" s="34"/>
      <c r="FRF190" s="34"/>
      <c r="FRG190" s="34"/>
      <c r="FRH190" s="34"/>
      <c r="FRI190" s="34"/>
      <c r="FRJ190" s="34"/>
      <c r="FRK190" s="34"/>
      <c r="FRL190" s="34"/>
      <c r="FRM190" s="34"/>
      <c r="FRN190" s="34"/>
      <c r="FRO190" s="34"/>
      <c r="FRP190" s="34"/>
      <c r="FRQ190" s="34"/>
      <c r="FRR190" s="34"/>
      <c r="FRS190" s="34"/>
      <c r="FRT190" s="34"/>
      <c r="FRU190" s="34"/>
      <c r="FRV190" s="34"/>
      <c r="FRW190" s="34"/>
      <c r="FRX190" s="34"/>
      <c r="FRY190" s="34"/>
      <c r="FRZ190" s="34"/>
      <c r="FSA190" s="34"/>
      <c r="FSB190" s="34"/>
      <c r="FSC190" s="34"/>
      <c r="FSD190" s="34"/>
      <c r="FSE190" s="34"/>
      <c r="FSF190" s="34"/>
      <c r="FSG190" s="34"/>
      <c r="FSH190" s="34"/>
      <c r="FSI190" s="34"/>
      <c r="FSJ190" s="34"/>
      <c r="FSK190" s="34"/>
      <c r="FSL190" s="34"/>
      <c r="FSM190" s="34"/>
      <c r="FSN190" s="34"/>
      <c r="FSO190" s="34"/>
      <c r="FSP190" s="34"/>
      <c r="FSQ190" s="34"/>
      <c r="FSR190" s="34"/>
      <c r="FSS190" s="34"/>
      <c r="FST190" s="34"/>
      <c r="FSU190" s="34"/>
      <c r="FSV190" s="34"/>
      <c r="FSW190" s="34"/>
      <c r="FSX190" s="34"/>
      <c r="FSY190" s="34"/>
      <c r="FSZ190" s="34"/>
      <c r="FTA190" s="34"/>
      <c r="FTB190" s="34"/>
      <c r="FTC190" s="34"/>
      <c r="FTD190" s="34"/>
      <c r="FTE190" s="34"/>
      <c r="FTF190" s="34"/>
      <c r="FTG190" s="34"/>
      <c r="FTH190" s="34"/>
      <c r="FTI190" s="34"/>
      <c r="FTJ190" s="34"/>
      <c r="FTK190" s="34"/>
      <c r="FTL190" s="34"/>
      <c r="FTM190" s="34"/>
      <c r="FTN190" s="34"/>
      <c r="FTO190" s="34"/>
      <c r="FTP190" s="34"/>
      <c r="FTQ190" s="34"/>
      <c r="FTR190" s="34"/>
      <c r="FTS190" s="34"/>
      <c r="FTT190" s="34"/>
      <c r="FTU190" s="34"/>
      <c r="FTV190" s="34"/>
      <c r="FTW190" s="34"/>
      <c r="FTX190" s="34"/>
      <c r="FTY190" s="34"/>
      <c r="FTZ190" s="34"/>
      <c r="FUA190" s="34"/>
      <c r="FUB190" s="34"/>
      <c r="FUC190" s="34"/>
      <c r="FUD190" s="34"/>
      <c r="FUE190" s="34"/>
      <c r="FUF190" s="34"/>
      <c r="FUG190" s="34"/>
      <c r="FUH190" s="34"/>
      <c r="FUI190" s="34"/>
      <c r="FUJ190" s="34"/>
      <c r="FUK190" s="34"/>
      <c r="FUL190" s="34"/>
      <c r="FUM190" s="34"/>
      <c r="FUN190" s="34"/>
      <c r="FUO190" s="34"/>
      <c r="FUP190" s="34"/>
      <c r="FUQ190" s="34"/>
      <c r="FUR190" s="34"/>
      <c r="FUS190" s="34"/>
      <c r="FUT190" s="34"/>
      <c r="FUU190" s="34"/>
      <c r="FUV190" s="34"/>
      <c r="FUW190" s="34"/>
      <c r="FUX190" s="34"/>
      <c r="FUY190" s="34"/>
      <c r="FUZ190" s="34"/>
      <c r="FVA190" s="34"/>
      <c r="FVB190" s="34"/>
      <c r="FVC190" s="34"/>
      <c r="FVD190" s="34"/>
      <c r="FVE190" s="34"/>
      <c r="FVF190" s="34"/>
      <c r="FVG190" s="34"/>
      <c r="FVH190" s="34"/>
      <c r="FVI190" s="34"/>
      <c r="FVJ190" s="34"/>
      <c r="FVK190" s="34"/>
      <c r="FVL190" s="34"/>
      <c r="FVM190" s="34"/>
      <c r="FVN190" s="34"/>
      <c r="FVO190" s="34"/>
      <c r="FVP190" s="34"/>
      <c r="FVQ190" s="34"/>
      <c r="FVR190" s="34"/>
      <c r="FVS190" s="34"/>
      <c r="FVT190" s="34"/>
      <c r="FVU190" s="34"/>
      <c r="FVV190" s="34"/>
      <c r="FVW190" s="34"/>
      <c r="FVX190" s="34"/>
      <c r="FVY190" s="34"/>
      <c r="FVZ190" s="34"/>
      <c r="FWA190" s="34"/>
      <c r="FWB190" s="34"/>
      <c r="FWC190" s="34"/>
      <c r="FWD190" s="34"/>
      <c r="FWE190" s="34"/>
      <c r="FWF190" s="34"/>
      <c r="FWG190" s="34"/>
      <c r="FWH190" s="34"/>
      <c r="FWI190" s="34"/>
      <c r="FWJ190" s="34"/>
      <c r="FWK190" s="34"/>
      <c r="FWL190" s="34"/>
      <c r="FWM190" s="34"/>
      <c r="FWN190" s="34"/>
      <c r="FWO190" s="34"/>
      <c r="FWP190" s="34"/>
      <c r="FWQ190" s="34"/>
      <c r="FWR190" s="34"/>
      <c r="FWS190" s="34"/>
      <c r="FWT190" s="34"/>
      <c r="FWU190" s="34"/>
      <c r="FWV190" s="34"/>
      <c r="FWW190" s="34"/>
      <c r="FWX190" s="34"/>
      <c r="FWY190" s="34"/>
      <c r="FWZ190" s="34"/>
      <c r="FXA190" s="34"/>
      <c r="FXB190" s="34"/>
      <c r="FXC190" s="34"/>
      <c r="FXD190" s="34"/>
      <c r="FXE190" s="34"/>
      <c r="FXF190" s="34"/>
      <c r="FXG190" s="34"/>
      <c r="FXH190" s="34"/>
      <c r="FXI190" s="34"/>
      <c r="FXJ190" s="34"/>
      <c r="FXK190" s="34"/>
      <c r="FXL190" s="34"/>
      <c r="FXM190" s="34"/>
      <c r="FXN190" s="34"/>
      <c r="FXO190" s="34"/>
      <c r="FXP190" s="34"/>
      <c r="FXQ190" s="34"/>
      <c r="FXR190" s="34"/>
      <c r="FXS190" s="34"/>
      <c r="FXT190" s="34"/>
      <c r="FXU190" s="34"/>
      <c r="FXV190" s="34"/>
      <c r="FXW190" s="34"/>
      <c r="FXX190" s="34"/>
      <c r="FXY190" s="34"/>
      <c r="FXZ190" s="34"/>
      <c r="FYA190" s="34"/>
      <c r="FYB190" s="34"/>
      <c r="FYC190" s="34"/>
      <c r="FYD190" s="34"/>
      <c r="FYE190" s="34"/>
      <c r="FYF190" s="34"/>
      <c r="FYG190" s="34"/>
      <c r="FYH190" s="34"/>
      <c r="FYI190" s="34"/>
      <c r="FYJ190" s="34"/>
      <c r="FYK190" s="34"/>
      <c r="FYL190" s="34"/>
      <c r="FYM190" s="34"/>
      <c r="FYN190" s="34"/>
      <c r="FYO190" s="34"/>
      <c r="FYP190" s="34"/>
      <c r="FYQ190" s="34"/>
      <c r="FYR190" s="34"/>
      <c r="FYS190" s="34"/>
      <c r="FYT190" s="34"/>
      <c r="FYU190" s="34"/>
      <c r="FYV190" s="34"/>
      <c r="FYW190" s="34"/>
      <c r="FYX190" s="34"/>
      <c r="FYY190" s="34"/>
      <c r="FYZ190" s="34"/>
      <c r="FZA190" s="34"/>
      <c r="FZB190" s="34"/>
      <c r="FZC190" s="34"/>
      <c r="FZD190" s="34"/>
      <c r="FZE190" s="34"/>
      <c r="FZF190" s="34"/>
      <c r="FZG190" s="34"/>
      <c r="FZH190" s="34"/>
      <c r="FZI190" s="34"/>
      <c r="FZJ190" s="34"/>
      <c r="FZK190" s="34"/>
      <c r="FZL190" s="34"/>
      <c r="FZM190" s="34"/>
      <c r="FZN190" s="34"/>
      <c r="FZO190" s="34"/>
      <c r="FZP190" s="34"/>
      <c r="FZQ190" s="34"/>
      <c r="FZR190" s="34"/>
      <c r="FZS190" s="34"/>
      <c r="FZT190" s="34"/>
      <c r="FZU190" s="34"/>
      <c r="FZV190" s="34"/>
      <c r="FZW190" s="34"/>
      <c r="FZX190" s="34"/>
      <c r="FZY190" s="34"/>
      <c r="FZZ190" s="34"/>
      <c r="GAA190" s="34"/>
      <c r="GAB190" s="34"/>
      <c r="GAC190" s="34"/>
      <c r="GAD190" s="34"/>
      <c r="GAE190" s="34"/>
      <c r="GAF190" s="34"/>
      <c r="GAG190" s="34"/>
      <c r="GAH190" s="34"/>
      <c r="GAI190" s="34"/>
      <c r="GAJ190" s="34"/>
      <c r="GAK190" s="34"/>
      <c r="GAL190" s="34"/>
      <c r="GAM190" s="34"/>
      <c r="GAN190" s="34"/>
      <c r="GAO190" s="34"/>
      <c r="GAP190" s="34"/>
      <c r="GAQ190" s="34"/>
      <c r="GAR190" s="34"/>
      <c r="GAS190" s="34"/>
      <c r="GAT190" s="34"/>
      <c r="GAU190" s="34"/>
      <c r="GAV190" s="34"/>
      <c r="GAW190" s="34"/>
      <c r="GAX190" s="34"/>
      <c r="GAY190" s="34"/>
      <c r="GAZ190" s="34"/>
      <c r="GBA190" s="34"/>
      <c r="GBB190" s="34"/>
      <c r="GBC190" s="34"/>
      <c r="GBD190" s="34"/>
      <c r="GBE190" s="34"/>
      <c r="GBF190" s="34"/>
      <c r="GBG190" s="34"/>
      <c r="GBH190" s="34"/>
      <c r="GBI190" s="34"/>
      <c r="GBJ190" s="34"/>
      <c r="GBK190" s="34"/>
      <c r="GBL190" s="34"/>
      <c r="GBM190" s="34"/>
      <c r="GBN190" s="34"/>
      <c r="GBO190" s="34"/>
      <c r="GBP190" s="34"/>
      <c r="GBQ190" s="34"/>
      <c r="GBR190" s="34"/>
      <c r="GBS190" s="34"/>
      <c r="GBT190" s="34"/>
      <c r="GBU190" s="34"/>
      <c r="GBV190" s="34"/>
      <c r="GBW190" s="34"/>
      <c r="GBX190" s="34"/>
      <c r="GBY190" s="34"/>
      <c r="GBZ190" s="34"/>
      <c r="GCA190" s="34"/>
      <c r="GCB190" s="34"/>
      <c r="GCC190" s="34"/>
      <c r="GCD190" s="34"/>
      <c r="GCE190" s="34"/>
      <c r="GCF190" s="34"/>
      <c r="GCG190" s="34"/>
      <c r="GCH190" s="34"/>
      <c r="GCI190" s="34"/>
      <c r="GCJ190" s="34"/>
      <c r="GCK190" s="34"/>
      <c r="GCL190" s="34"/>
      <c r="GCM190" s="34"/>
      <c r="GCN190" s="34"/>
      <c r="GCO190" s="34"/>
      <c r="GCP190" s="34"/>
      <c r="GCQ190" s="34"/>
      <c r="GCR190" s="34"/>
      <c r="GCS190" s="34"/>
      <c r="GCT190" s="34"/>
      <c r="GCU190" s="34"/>
      <c r="GCV190" s="34"/>
      <c r="GCW190" s="34"/>
      <c r="GCX190" s="34"/>
      <c r="GCY190" s="34"/>
      <c r="GCZ190" s="34"/>
      <c r="GDA190" s="34"/>
      <c r="GDB190" s="34"/>
      <c r="GDC190" s="34"/>
      <c r="GDD190" s="34"/>
      <c r="GDE190" s="34"/>
      <c r="GDF190" s="34"/>
      <c r="GDG190" s="34"/>
      <c r="GDH190" s="34"/>
      <c r="GDI190" s="34"/>
      <c r="GDJ190" s="34"/>
      <c r="GDK190" s="34"/>
      <c r="GDL190" s="34"/>
      <c r="GDM190" s="34"/>
      <c r="GDN190" s="34"/>
      <c r="GDO190" s="34"/>
      <c r="GDP190" s="34"/>
      <c r="GDQ190" s="34"/>
      <c r="GDR190" s="34"/>
      <c r="GDS190" s="34"/>
      <c r="GDT190" s="34"/>
      <c r="GDU190" s="34"/>
      <c r="GDV190" s="34"/>
      <c r="GDW190" s="34"/>
      <c r="GDX190" s="34"/>
      <c r="GDY190" s="34"/>
      <c r="GDZ190" s="34"/>
      <c r="GEA190" s="34"/>
      <c r="GEB190" s="34"/>
      <c r="GEC190" s="34"/>
      <c r="GED190" s="34"/>
      <c r="GEE190" s="34"/>
      <c r="GEF190" s="34"/>
      <c r="GEG190" s="34"/>
      <c r="GEH190" s="34"/>
      <c r="GEI190" s="34"/>
      <c r="GEJ190" s="34"/>
      <c r="GEK190" s="34"/>
      <c r="GEL190" s="34"/>
      <c r="GEM190" s="34"/>
      <c r="GEN190" s="34"/>
      <c r="GEO190" s="34"/>
      <c r="GEP190" s="34"/>
      <c r="GEQ190" s="34"/>
      <c r="GER190" s="34"/>
      <c r="GES190" s="34"/>
      <c r="GET190" s="34"/>
      <c r="GEU190" s="34"/>
      <c r="GEV190" s="34"/>
      <c r="GEW190" s="34"/>
      <c r="GEX190" s="34"/>
      <c r="GEY190" s="34"/>
      <c r="GEZ190" s="34"/>
      <c r="GFA190" s="34"/>
      <c r="GFB190" s="34"/>
      <c r="GFC190" s="34"/>
      <c r="GFD190" s="34"/>
      <c r="GFE190" s="34"/>
      <c r="GFF190" s="34"/>
      <c r="GFG190" s="34"/>
      <c r="GFH190" s="34"/>
      <c r="GFI190" s="34"/>
      <c r="GFJ190" s="34"/>
      <c r="GFK190" s="34"/>
      <c r="GFL190" s="34"/>
      <c r="GFM190" s="34"/>
      <c r="GFN190" s="34"/>
      <c r="GFO190" s="34"/>
      <c r="GFP190" s="34"/>
      <c r="GFQ190" s="34"/>
      <c r="GFR190" s="34"/>
      <c r="GFS190" s="34"/>
      <c r="GFT190" s="34"/>
      <c r="GFU190" s="34"/>
      <c r="GFV190" s="34"/>
      <c r="GFW190" s="34"/>
      <c r="GFX190" s="34"/>
      <c r="GFY190" s="34"/>
      <c r="GFZ190" s="34"/>
      <c r="GGA190" s="34"/>
      <c r="GGB190" s="34"/>
      <c r="GGC190" s="34"/>
      <c r="GGD190" s="34"/>
      <c r="GGE190" s="34"/>
      <c r="GGF190" s="34"/>
      <c r="GGG190" s="34"/>
      <c r="GGH190" s="34"/>
      <c r="GGI190" s="34"/>
      <c r="GGJ190" s="34"/>
      <c r="GGK190" s="34"/>
      <c r="GGL190" s="34"/>
      <c r="GGM190" s="34"/>
      <c r="GGN190" s="34"/>
      <c r="GGO190" s="34"/>
      <c r="GGP190" s="34"/>
      <c r="GGQ190" s="34"/>
      <c r="GGR190" s="34"/>
      <c r="GGS190" s="34"/>
      <c r="GGT190" s="34"/>
      <c r="GGU190" s="34"/>
      <c r="GGV190" s="34"/>
      <c r="GGW190" s="34"/>
      <c r="GGX190" s="34"/>
      <c r="GGY190" s="34"/>
      <c r="GGZ190" s="34"/>
      <c r="GHA190" s="34"/>
      <c r="GHB190" s="34"/>
      <c r="GHC190" s="34"/>
      <c r="GHD190" s="34"/>
      <c r="GHE190" s="34"/>
      <c r="GHF190" s="34"/>
      <c r="GHG190" s="34"/>
      <c r="GHH190" s="34"/>
      <c r="GHI190" s="34"/>
      <c r="GHJ190" s="34"/>
      <c r="GHK190" s="34"/>
      <c r="GHL190" s="34"/>
      <c r="GHM190" s="34"/>
      <c r="GHN190" s="34"/>
      <c r="GHO190" s="34"/>
      <c r="GHP190" s="34"/>
      <c r="GHQ190" s="34"/>
      <c r="GHR190" s="34"/>
      <c r="GHS190" s="34"/>
      <c r="GHT190" s="34"/>
      <c r="GHU190" s="34"/>
      <c r="GHV190" s="34"/>
      <c r="GHW190" s="34"/>
      <c r="GHX190" s="34"/>
      <c r="GHY190" s="34"/>
      <c r="GHZ190" s="34"/>
      <c r="GIA190" s="34"/>
      <c r="GIB190" s="34"/>
      <c r="GIC190" s="34"/>
      <c r="GID190" s="34"/>
      <c r="GIE190" s="34"/>
      <c r="GIF190" s="34"/>
      <c r="GIG190" s="34"/>
      <c r="GIH190" s="34"/>
      <c r="GII190" s="34"/>
      <c r="GIJ190" s="34"/>
      <c r="GIK190" s="34"/>
      <c r="GIL190" s="34"/>
      <c r="GIM190" s="34"/>
      <c r="GIN190" s="34"/>
      <c r="GIO190" s="34"/>
      <c r="GIP190" s="34"/>
      <c r="GIQ190" s="34"/>
      <c r="GIR190" s="34"/>
      <c r="GIS190" s="34"/>
      <c r="GIT190" s="34"/>
      <c r="GIU190" s="34"/>
      <c r="GIV190" s="34"/>
      <c r="GIW190" s="34"/>
      <c r="GIX190" s="34"/>
      <c r="GIY190" s="34"/>
      <c r="GIZ190" s="34"/>
      <c r="GJA190" s="34"/>
      <c r="GJB190" s="34"/>
      <c r="GJC190" s="34"/>
      <c r="GJD190" s="34"/>
      <c r="GJE190" s="34"/>
      <c r="GJF190" s="34"/>
      <c r="GJG190" s="34"/>
      <c r="GJH190" s="34"/>
      <c r="GJI190" s="34"/>
      <c r="GJJ190" s="34"/>
      <c r="GJK190" s="34"/>
      <c r="GJL190" s="34"/>
      <c r="GJM190" s="34"/>
      <c r="GJN190" s="34"/>
      <c r="GJO190" s="34"/>
      <c r="GJP190" s="34"/>
      <c r="GJQ190" s="34"/>
      <c r="GJR190" s="34"/>
      <c r="GJS190" s="34"/>
      <c r="GJT190" s="34"/>
      <c r="GJU190" s="34"/>
      <c r="GJV190" s="34"/>
      <c r="GJW190" s="34"/>
      <c r="GJX190" s="34"/>
      <c r="GJY190" s="34"/>
      <c r="GJZ190" s="34"/>
      <c r="GKA190" s="34"/>
      <c r="GKB190" s="34"/>
      <c r="GKC190" s="34"/>
      <c r="GKD190" s="34"/>
      <c r="GKE190" s="34"/>
      <c r="GKF190" s="34"/>
      <c r="GKG190" s="34"/>
      <c r="GKH190" s="34"/>
      <c r="GKI190" s="34"/>
      <c r="GKJ190" s="34"/>
      <c r="GKK190" s="34"/>
      <c r="GKL190" s="34"/>
      <c r="GKM190" s="34"/>
      <c r="GKN190" s="34"/>
      <c r="GKO190" s="34"/>
      <c r="GKP190" s="34"/>
      <c r="GKQ190" s="34"/>
      <c r="GKR190" s="34"/>
      <c r="GKS190" s="34"/>
      <c r="GKT190" s="34"/>
      <c r="GKU190" s="34"/>
      <c r="GKV190" s="34"/>
      <c r="GKW190" s="34"/>
      <c r="GKX190" s="34"/>
      <c r="GKY190" s="34"/>
      <c r="GKZ190" s="34"/>
      <c r="GLA190" s="34"/>
      <c r="GLB190" s="34"/>
      <c r="GLC190" s="34"/>
      <c r="GLD190" s="34"/>
      <c r="GLE190" s="34"/>
      <c r="GLF190" s="34"/>
      <c r="GLG190" s="34"/>
      <c r="GLH190" s="34"/>
      <c r="GLI190" s="34"/>
      <c r="GLJ190" s="34"/>
      <c r="GLK190" s="34"/>
      <c r="GLL190" s="34"/>
      <c r="GLM190" s="34"/>
      <c r="GLN190" s="34"/>
      <c r="GLO190" s="34"/>
      <c r="GLP190" s="34"/>
      <c r="GLQ190" s="34"/>
      <c r="GLR190" s="34"/>
      <c r="GLS190" s="34"/>
      <c r="GLT190" s="34"/>
      <c r="GLU190" s="34"/>
      <c r="GLV190" s="34"/>
      <c r="GLW190" s="34"/>
      <c r="GLX190" s="34"/>
      <c r="GLY190" s="34"/>
      <c r="GLZ190" s="34"/>
      <c r="GMA190" s="34"/>
      <c r="GMB190" s="34"/>
      <c r="GMC190" s="34"/>
      <c r="GMD190" s="34"/>
      <c r="GME190" s="34"/>
      <c r="GMF190" s="34"/>
      <c r="GMG190" s="34"/>
      <c r="GMH190" s="34"/>
      <c r="GMI190" s="34"/>
      <c r="GMJ190" s="34"/>
      <c r="GMK190" s="34"/>
      <c r="GML190" s="34"/>
      <c r="GMM190" s="34"/>
      <c r="GMN190" s="34"/>
      <c r="GMO190" s="34"/>
      <c r="GMP190" s="34"/>
      <c r="GMQ190" s="34"/>
      <c r="GMR190" s="34"/>
      <c r="GMS190" s="34"/>
      <c r="GMT190" s="34"/>
      <c r="GMU190" s="34"/>
      <c r="GMV190" s="34"/>
      <c r="GMW190" s="34"/>
      <c r="GMX190" s="34"/>
      <c r="GMY190" s="34"/>
      <c r="GMZ190" s="34"/>
      <c r="GNA190" s="34"/>
      <c r="GNB190" s="34"/>
      <c r="GNC190" s="34"/>
      <c r="GND190" s="34"/>
      <c r="GNE190" s="34"/>
      <c r="GNF190" s="34"/>
      <c r="GNG190" s="34"/>
      <c r="GNH190" s="34"/>
      <c r="GNI190" s="34"/>
      <c r="GNJ190" s="34"/>
      <c r="GNK190" s="34"/>
      <c r="GNL190" s="34"/>
      <c r="GNM190" s="34"/>
      <c r="GNN190" s="34"/>
      <c r="GNO190" s="34"/>
      <c r="GNP190" s="34"/>
      <c r="GNQ190" s="34"/>
      <c r="GNR190" s="34"/>
      <c r="GNS190" s="34"/>
      <c r="GNT190" s="34"/>
      <c r="GNU190" s="34"/>
      <c r="GNV190" s="34"/>
      <c r="GNW190" s="34"/>
      <c r="GNX190" s="34"/>
      <c r="GNY190" s="34"/>
      <c r="GNZ190" s="34"/>
      <c r="GOA190" s="34"/>
      <c r="GOB190" s="34"/>
      <c r="GOC190" s="34"/>
      <c r="GOD190" s="34"/>
      <c r="GOE190" s="34"/>
      <c r="GOF190" s="34"/>
      <c r="GOG190" s="34"/>
      <c r="GOH190" s="34"/>
      <c r="GOI190" s="34"/>
      <c r="GOJ190" s="34"/>
      <c r="GOK190" s="34"/>
      <c r="GOL190" s="34"/>
      <c r="GOM190" s="34"/>
      <c r="GON190" s="34"/>
      <c r="GOO190" s="34"/>
      <c r="GOP190" s="34"/>
      <c r="GOQ190" s="34"/>
      <c r="GOR190" s="34"/>
      <c r="GOS190" s="34"/>
      <c r="GOT190" s="34"/>
      <c r="GOU190" s="34"/>
      <c r="GOV190" s="34"/>
      <c r="GOW190" s="34"/>
      <c r="GOX190" s="34"/>
      <c r="GOY190" s="34"/>
      <c r="GOZ190" s="34"/>
      <c r="GPA190" s="34"/>
      <c r="GPB190" s="34"/>
      <c r="GPC190" s="34"/>
      <c r="GPD190" s="34"/>
      <c r="GPE190" s="34"/>
      <c r="GPF190" s="34"/>
      <c r="GPG190" s="34"/>
      <c r="GPH190" s="34"/>
      <c r="GPI190" s="34"/>
      <c r="GPJ190" s="34"/>
      <c r="GPK190" s="34"/>
      <c r="GPL190" s="34"/>
      <c r="GPM190" s="34"/>
      <c r="GPN190" s="34"/>
      <c r="GPO190" s="34"/>
      <c r="GPP190" s="34"/>
      <c r="GPQ190" s="34"/>
      <c r="GPR190" s="34"/>
      <c r="GPS190" s="34"/>
      <c r="GPT190" s="34"/>
      <c r="GPU190" s="34"/>
      <c r="GPV190" s="34"/>
      <c r="GPW190" s="34"/>
      <c r="GPX190" s="34"/>
      <c r="GPY190" s="34"/>
      <c r="GPZ190" s="34"/>
      <c r="GQA190" s="34"/>
      <c r="GQB190" s="34"/>
      <c r="GQC190" s="34"/>
      <c r="GQD190" s="34"/>
      <c r="GQE190" s="34"/>
      <c r="GQF190" s="34"/>
      <c r="GQG190" s="34"/>
      <c r="GQH190" s="34"/>
      <c r="GQI190" s="34"/>
      <c r="GQJ190" s="34"/>
      <c r="GQK190" s="34"/>
      <c r="GQL190" s="34"/>
      <c r="GQM190" s="34"/>
      <c r="GQN190" s="34"/>
      <c r="GQO190" s="34"/>
      <c r="GQP190" s="34"/>
      <c r="GQQ190" s="34"/>
      <c r="GQR190" s="34"/>
      <c r="GQS190" s="34"/>
      <c r="GQT190" s="34"/>
      <c r="GQU190" s="34"/>
      <c r="GQV190" s="34"/>
      <c r="GQW190" s="34"/>
      <c r="GQX190" s="34"/>
      <c r="GQY190" s="34"/>
      <c r="GQZ190" s="34"/>
      <c r="GRA190" s="34"/>
      <c r="GRB190" s="34"/>
      <c r="GRC190" s="34"/>
      <c r="GRD190" s="34"/>
      <c r="GRE190" s="34"/>
      <c r="GRF190" s="34"/>
      <c r="GRG190" s="34"/>
      <c r="GRH190" s="34"/>
      <c r="GRI190" s="34"/>
      <c r="GRJ190" s="34"/>
      <c r="GRK190" s="34"/>
      <c r="GRL190" s="34"/>
      <c r="GRM190" s="34"/>
      <c r="GRN190" s="34"/>
      <c r="GRO190" s="34"/>
      <c r="GRP190" s="34"/>
      <c r="GRQ190" s="34"/>
      <c r="GRR190" s="34"/>
      <c r="GRS190" s="34"/>
      <c r="GRT190" s="34"/>
      <c r="GRU190" s="34"/>
      <c r="GRV190" s="34"/>
      <c r="GRW190" s="34"/>
      <c r="GRX190" s="34"/>
      <c r="GRY190" s="34"/>
      <c r="GRZ190" s="34"/>
      <c r="GSA190" s="34"/>
      <c r="GSB190" s="34"/>
      <c r="GSC190" s="34"/>
      <c r="GSD190" s="34"/>
      <c r="GSE190" s="34"/>
      <c r="GSF190" s="34"/>
      <c r="GSG190" s="34"/>
      <c r="GSH190" s="34"/>
      <c r="GSI190" s="34"/>
      <c r="GSJ190" s="34"/>
      <c r="GSK190" s="34"/>
      <c r="GSL190" s="34"/>
      <c r="GSM190" s="34"/>
      <c r="GSN190" s="34"/>
      <c r="GSO190" s="34"/>
      <c r="GSP190" s="34"/>
      <c r="GSQ190" s="34"/>
      <c r="GSR190" s="34"/>
      <c r="GSS190" s="34"/>
      <c r="GST190" s="34"/>
      <c r="GSU190" s="34"/>
      <c r="GSV190" s="34"/>
      <c r="GSW190" s="34"/>
      <c r="GSX190" s="34"/>
      <c r="GSY190" s="34"/>
      <c r="GSZ190" s="34"/>
      <c r="GTA190" s="34"/>
      <c r="GTB190" s="34"/>
      <c r="GTC190" s="34"/>
      <c r="GTD190" s="34"/>
      <c r="GTE190" s="34"/>
      <c r="GTF190" s="34"/>
      <c r="GTG190" s="34"/>
      <c r="GTH190" s="34"/>
      <c r="GTI190" s="34"/>
      <c r="GTJ190" s="34"/>
      <c r="GTK190" s="34"/>
      <c r="GTL190" s="34"/>
      <c r="GTM190" s="34"/>
      <c r="GTN190" s="34"/>
      <c r="GTO190" s="34"/>
      <c r="GTP190" s="34"/>
      <c r="GTQ190" s="34"/>
      <c r="GTR190" s="34"/>
      <c r="GTS190" s="34"/>
      <c r="GTT190" s="34"/>
      <c r="GTU190" s="34"/>
      <c r="GTV190" s="34"/>
      <c r="GTW190" s="34"/>
      <c r="GTX190" s="34"/>
      <c r="GTY190" s="34"/>
      <c r="GTZ190" s="34"/>
      <c r="GUA190" s="34"/>
      <c r="GUB190" s="34"/>
      <c r="GUC190" s="34"/>
      <c r="GUD190" s="34"/>
      <c r="GUE190" s="34"/>
      <c r="GUF190" s="34"/>
      <c r="GUG190" s="34"/>
      <c r="GUH190" s="34"/>
      <c r="GUI190" s="34"/>
      <c r="GUJ190" s="34"/>
      <c r="GUK190" s="34"/>
      <c r="GUL190" s="34"/>
      <c r="GUM190" s="34"/>
      <c r="GUN190" s="34"/>
      <c r="GUO190" s="34"/>
      <c r="GUP190" s="34"/>
      <c r="GUQ190" s="34"/>
      <c r="GUR190" s="34"/>
      <c r="GUS190" s="34"/>
      <c r="GUT190" s="34"/>
      <c r="GUU190" s="34"/>
      <c r="GUV190" s="34"/>
      <c r="GUW190" s="34"/>
      <c r="GUX190" s="34"/>
      <c r="GUY190" s="34"/>
      <c r="GUZ190" s="34"/>
      <c r="GVA190" s="34"/>
      <c r="GVB190" s="34"/>
      <c r="GVC190" s="34"/>
      <c r="GVD190" s="34"/>
      <c r="GVE190" s="34"/>
      <c r="GVF190" s="34"/>
      <c r="GVG190" s="34"/>
      <c r="GVH190" s="34"/>
      <c r="GVI190" s="34"/>
      <c r="GVJ190" s="34"/>
      <c r="GVK190" s="34"/>
      <c r="GVL190" s="34"/>
      <c r="GVM190" s="34"/>
      <c r="GVN190" s="34"/>
      <c r="GVO190" s="34"/>
      <c r="GVP190" s="34"/>
      <c r="GVQ190" s="34"/>
      <c r="GVR190" s="34"/>
      <c r="GVS190" s="34"/>
      <c r="GVT190" s="34"/>
      <c r="GVU190" s="34"/>
      <c r="GVV190" s="34"/>
      <c r="GVW190" s="34"/>
      <c r="GVX190" s="34"/>
      <c r="GVY190" s="34"/>
      <c r="GVZ190" s="34"/>
      <c r="GWA190" s="34"/>
      <c r="GWB190" s="34"/>
      <c r="GWC190" s="34"/>
      <c r="GWD190" s="34"/>
      <c r="GWE190" s="34"/>
      <c r="GWF190" s="34"/>
      <c r="GWG190" s="34"/>
      <c r="GWH190" s="34"/>
      <c r="GWI190" s="34"/>
      <c r="GWJ190" s="34"/>
      <c r="GWK190" s="34"/>
      <c r="GWL190" s="34"/>
      <c r="GWM190" s="34"/>
      <c r="GWN190" s="34"/>
      <c r="GWO190" s="34"/>
      <c r="GWP190" s="34"/>
      <c r="GWQ190" s="34"/>
      <c r="GWR190" s="34"/>
      <c r="GWS190" s="34"/>
      <c r="GWT190" s="34"/>
      <c r="GWU190" s="34"/>
      <c r="GWV190" s="34"/>
      <c r="GWW190" s="34"/>
      <c r="GWX190" s="34"/>
      <c r="GWY190" s="34"/>
      <c r="GWZ190" s="34"/>
      <c r="GXA190" s="34"/>
      <c r="GXB190" s="34"/>
      <c r="GXC190" s="34"/>
      <c r="GXD190" s="34"/>
      <c r="GXE190" s="34"/>
      <c r="GXF190" s="34"/>
      <c r="GXG190" s="34"/>
      <c r="GXH190" s="34"/>
      <c r="GXI190" s="34"/>
      <c r="GXJ190" s="34"/>
      <c r="GXK190" s="34"/>
      <c r="GXL190" s="34"/>
      <c r="GXM190" s="34"/>
      <c r="GXN190" s="34"/>
      <c r="GXO190" s="34"/>
      <c r="GXP190" s="34"/>
      <c r="GXQ190" s="34"/>
      <c r="GXR190" s="34"/>
      <c r="GXS190" s="34"/>
      <c r="GXT190" s="34"/>
      <c r="GXU190" s="34"/>
      <c r="GXV190" s="34"/>
      <c r="GXW190" s="34"/>
      <c r="GXX190" s="34"/>
      <c r="GXY190" s="34"/>
      <c r="GXZ190" s="34"/>
      <c r="GYA190" s="34"/>
      <c r="GYB190" s="34"/>
      <c r="GYC190" s="34"/>
      <c r="GYD190" s="34"/>
      <c r="GYE190" s="34"/>
      <c r="GYF190" s="34"/>
      <c r="GYG190" s="34"/>
      <c r="GYH190" s="34"/>
      <c r="GYI190" s="34"/>
      <c r="GYJ190" s="34"/>
      <c r="GYK190" s="34"/>
      <c r="GYL190" s="34"/>
      <c r="GYM190" s="34"/>
      <c r="GYN190" s="34"/>
      <c r="GYO190" s="34"/>
      <c r="GYP190" s="34"/>
      <c r="GYQ190" s="34"/>
      <c r="GYR190" s="34"/>
      <c r="GYS190" s="34"/>
      <c r="GYT190" s="34"/>
      <c r="GYU190" s="34"/>
      <c r="GYV190" s="34"/>
      <c r="GYW190" s="34"/>
      <c r="GYX190" s="34"/>
      <c r="GYY190" s="34"/>
      <c r="GYZ190" s="34"/>
      <c r="GZA190" s="34"/>
      <c r="GZB190" s="34"/>
      <c r="GZC190" s="34"/>
      <c r="GZD190" s="34"/>
      <c r="GZE190" s="34"/>
      <c r="GZF190" s="34"/>
      <c r="GZG190" s="34"/>
      <c r="GZH190" s="34"/>
      <c r="GZI190" s="34"/>
      <c r="GZJ190" s="34"/>
      <c r="GZK190" s="34"/>
      <c r="GZL190" s="34"/>
      <c r="GZM190" s="34"/>
      <c r="GZN190" s="34"/>
      <c r="GZO190" s="34"/>
      <c r="GZP190" s="34"/>
      <c r="GZQ190" s="34"/>
      <c r="GZR190" s="34"/>
      <c r="GZS190" s="34"/>
      <c r="GZT190" s="34"/>
      <c r="GZU190" s="34"/>
      <c r="GZV190" s="34"/>
      <c r="GZW190" s="34"/>
      <c r="GZX190" s="34"/>
      <c r="GZY190" s="34"/>
      <c r="GZZ190" s="34"/>
      <c r="HAA190" s="34"/>
      <c r="HAB190" s="34"/>
      <c r="HAC190" s="34"/>
      <c r="HAD190" s="34"/>
      <c r="HAE190" s="34"/>
      <c r="HAF190" s="34"/>
      <c r="HAG190" s="34"/>
      <c r="HAH190" s="34"/>
      <c r="HAI190" s="34"/>
      <c r="HAJ190" s="34"/>
      <c r="HAK190" s="34"/>
      <c r="HAL190" s="34"/>
      <c r="HAM190" s="34"/>
      <c r="HAN190" s="34"/>
      <c r="HAO190" s="34"/>
      <c r="HAP190" s="34"/>
      <c r="HAQ190" s="34"/>
      <c r="HAR190" s="34"/>
      <c r="HAS190" s="34"/>
      <c r="HAT190" s="34"/>
      <c r="HAU190" s="34"/>
      <c r="HAV190" s="34"/>
      <c r="HAW190" s="34"/>
      <c r="HAX190" s="34"/>
      <c r="HAY190" s="34"/>
      <c r="HAZ190" s="34"/>
      <c r="HBA190" s="34"/>
      <c r="HBB190" s="34"/>
      <c r="HBC190" s="34"/>
      <c r="HBD190" s="34"/>
      <c r="HBE190" s="34"/>
      <c r="HBF190" s="34"/>
      <c r="HBG190" s="34"/>
      <c r="HBH190" s="34"/>
      <c r="HBI190" s="34"/>
      <c r="HBJ190" s="34"/>
      <c r="HBK190" s="34"/>
      <c r="HBL190" s="34"/>
      <c r="HBM190" s="34"/>
      <c r="HBN190" s="34"/>
      <c r="HBO190" s="34"/>
      <c r="HBP190" s="34"/>
      <c r="HBQ190" s="34"/>
      <c r="HBR190" s="34"/>
      <c r="HBS190" s="34"/>
      <c r="HBT190" s="34"/>
      <c r="HBU190" s="34"/>
      <c r="HBV190" s="34"/>
      <c r="HBW190" s="34"/>
      <c r="HBX190" s="34"/>
      <c r="HBY190" s="34"/>
      <c r="HBZ190" s="34"/>
      <c r="HCA190" s="34"/>
      <c r="HCB190" s="34"/>
      <c r="HCC190" s="34"/>
      <c r="HCD190" s="34"/>
      <c r="HCE190" s="34"/>
      <c r="HCF190" s="34"/>
      <c r="HCG190" s="34"/>
      <c r="HCH190" s="34"/>
      <c r="HCI190" s="34"/>
      <c r="HCJ190" s="34"/>
      <c r="HCK190" s="34"/>
      <c r="HCL190" s="34"/>
      <c r="HCM190" s="34"/>
      <c r="HCN190" s="34"/>
      <c r="HCO190" s="34"/>
      <c r="HCP190" s="34"/>
      <c r="HCQ190" s="34"/>
      <c r="HCR190" s="34"/>
      <c r="HCS190" s="34"/>
      <c r="HCT190" s="34"/>
      <c r="HCU190" s="34"/>
      <c r="HCV190" s="34"/>
      <c r="HCW190" s="34"/>
      <c r="HCX190" s="34"/>
      <c r="HCY190" s="34"/>
      <c r="HCZ190" s="34"/>
      <c r="HDA190" s="34"/>
      <c r="HDB190" s="34"/>
      <c r="HDC190" s="34"/>
      <c r="HDD190" s="34"/>
      <c r="HDE190" s="34"/>
      <c r="HDF190" s="34"/>
      <c r="HDG190" s="34"/>
      <c r="HDH190" s="34"/>
      <c r="HDI190" s="34"/>
      <c r="HDJ190" s="34"/>
      <c r="HDK190" s="34"/>
      <c r="HDL190" s="34"/>
      <c r="HDM190" s="34"/>
      <c r="HDN190" s="34"/>
      <c r="HDO190" s="34"/>
      <c r="HDP190" s="34"/>
      <c r="HDQ190" s="34"/>
      <c r="HDR190" s="34"/>
      <c r="HDS190" s="34"/>
      <c r="HDT190" s="34"/>
      <c r="HDU190" s="34"/>
      <c r="HDV190" s="34"/>
      <c r="HDW190" s="34"/>
      <c r="HDX190" s="34"/>
      <c r="HDY190" s="34"/>
      <c r="HDZ190" s="34"/>
      <c r="HEA190" s="34"/>
      <c r="HEB190" s="34"/>
      <c r="HEC190" s="34"/>
      <c r="HED190" s="34"/>
      <c r="HEE190" s="34"/>
      <c r="HEF190" s="34"/>
      <c r="HEG190" s="34"/>
      <c r="HEH190" s="34"/>
      <c r="HEI190" s="34"/>
      <c r="HEJ190" s="34"/>
      <c r="HEK190" s="34"/>
      <c r="HEL190" s="34"/>
      <c r="HEM190" s="34"/>
      <c r="HEN190" s="34"/>
      <c r="HEO190" s="34"/>
      <c r="HEP190" s="34"/>
      <c r="HEQ190" s="34"/>
      <c r="HER190" s="34"/>
      <c r="HES190" s="34"/>
      <c r="HET190" s="34"/>
      <c r="HEU190" s="34"/>
      <c r="HEV190" s="34"/>
      <c r="HEW190" s="34"/>
      <c r="HEX190" s="34"/>
      <c r="HEY190" s="34"/>
      <c r="HEZ190" s="34"/>
      <c r="HFA190" s="34"/>
      <c r="HFB190" s="34"/>
      <c r="HFC190" s="34"/>
      <c r="HFD190" s="34"/>
      <c r="HFE190" s="34"/>
      <c r="HFF190" s="34"/>
      <c r="HFG190" s="34"/>
      <c r="HFH190" s="34"/>
      <c r="HFI190" s="34"/>
      <c r="HFJ190" s="34"/>
      <c r="HFK190" s="34"/>
      <c r="HFL190" s="34"/>
      <c r="HFM190" s="34"/>
      <c r="HFN190" s="34"/>
      <c r="HFO190" s="34"/>
      <c r="HFP190" s="34"/>
      <c r="HFQ190" s="34"/>
      <c r="HFR190" s="34"/>
      <c r="HFS190" s="34"/>
      <c r="HFT190" s="34"/>
      <c r="HFU190" s="34"/>
      <c r="HFV190" s="34"/>
      <c r="HFW190" s="34"/>
      <c r="HFX190" s="34"/>
      <c r="HFY190" s="34"/>
      <c r="HFZ190" s="34"/>
      <c r="HGA190" s="34"/>
      <c r="HGB190" s="34"/>
      <c r="HGC190" s="34"/>
      <c r="HGD190" s="34"/>
      <c r="HGE190" s="34"/>
      <c r="HGF190" s="34"/>
      <c r="HGG190" s="34"/>
      <c r="HGH190" s="34"/>
      <c r="HGI190" s="34"/>
      <c r="HGJ190" s="34"/>
      <c r="HGK190" s="34"/>
      <c r="HGL190" s="34"/>
      <c r="HGM190" s="34"/>
      <c r="HGN190" s="34"/>
      <c r="HGO190" s="34"/>
      <c r="HGP190" s="34"/>
      <c r="HGQ190" s="34"/>
      <c r="HGR190" s="34"/>
      <c r="HGS190" s="34"/>
      <c r="HGT190" s="34"/>
      <c r="HGU190" s="34"/>
      <c r="HGV190" s="34"/>
      <c r="HGW190" s="34"/>
      <c r="HGX190" s="34"/>
      <c r="HGY190" s="34"/>
      <c r="HGZ190" s="34"/>
      <c r="HHA190" s="34"/>
      <c r="HHB190" s="34"/>
      <c r="HHC190" s="34"/>
      <c r="HHD190" s="34"/>
      <c r="HHE190" s="34"/>
      <c r="HHF190" s="34"/>
      <c r="HHG190" s="34"/>
      <c r="HHH190" s="34"/>
      <c r="HHI190" s="34"/>
      <c r="HHJ190" s="34"/>
      <c r="HHK190" s="34"/>
      <c r="HHL190" s="34"/>
      <c r="HHM190" s="34"/>
      <c r="HHN190" s="34"/>
      <c r="HHO190" s="34"/>
      <c r="HHP190" s="34"/>
      <c r="HHQ190" s="34"/>
      <c r="HHR190" s="34"/>
      <c r="HHS190" s="34"/>
      <c r="HHT190" s="34"/>
      <c r="HHU190" s="34"/>
      <c r="HHV190" s="34"/>
      <c r="HHW190" s="34"/>
      <c r="HHX190" s="34"/>
      <c r="HHY190" s="34"/>
      <c r="HHZ190" s="34"/>
      <c r="HIA190" s="34"/>
      <c r="HIB190" s="34"/>
      <c r="HIC190" s="34"/>
      <c r="HID190" s="34"/>
      <c r="HIE190" s="34"/>
      <c r="HIF190" s="34"/>
      <c r="HIG190" s="34"/>
      <c r="HIH190" s="34"/>
      <c r="HII190" s="34"/>
      <c r="HIJ190" s="34"/>
      <c r="HIK190" s="34"/>
      <c r="HIL190" s="34"/>
      <c r="HIM190" s="34"/>
      <c r="HIN190" s="34"/>
      <c r="HIO190" s="34"/>
      <c r="HIP190" s="34"/>
      <c r="HIQ190" s="34"/>
      <c r="HIR190" s="34"/>
      <c r="HIS190" s="34"/>
      <c r="HIT190" s="34"/>
      <c r="HIU190" s="34"/>
      <c r="HIV190" s="34"/>
      <c r="HIW190" s="34"/>
      <c r="HIX190" s="34"/>
      <c r="HIY190" s="34"/>
      <c r="HIZ190" s="34"/>
      <c r="HJA190" s="34"/>
      <c r="HJB190" s="34"/>
      <c r="HJC190" s="34"/>
      <c r="HJD190" s="34"/>
      <c r="HJE190" s="34"/>
      <c r="HJF190" s="34"/>
      <c r="HJG190" s="34"/>
      <c r="HJH190" s="34"/>
      <c r="HJI190" s="34"/>
      <c r="HJJ190" s="34"/>
      <c r="HJK190" s="34"/>
      <c r="HJL190" s="34"/>
      <c r="HJM190" s="34"/>
      <c r="HJN190" s="34"/>
      <c r="HJO190" s="34"/>
      <c r="HJP190" s="34"/>
      <c r="HJQ190" s="34"/>
      <c r="HJR190" s="34"/>
      <c r="HJS190" s="34"/>
      <c r="HJT190" s="34"/>
      <c r="HJU190" s="34"/>
      <c r="HJV190" s="34"/>
      <c r="HJW190" s="34"/>
      <c r="HJX190" s="34"/>
      <c r="HJY190" s="34"/>
      <c r="HJZ190" s="34"/>
      <c r="HKA190" s="34"/>
      <c r="HKB190" s="34"/>
      <c r="HKC190" s="34"/>
      <c r="HKD190" s="34"/>
      <c r="HKE190" s="34"/>
      <c r="HKF190" s="34"/>
      <c r="HKG190" s="34"/>
      <c r="HKH190" s="34"/>
      <c r="HKI190" s="34"/>
      <c r="HKJ190" s="34"/>
      <c r="HKK190" s="34"/>
      <c r="HKL190" s="34"/>
      <c r="HKM190" s="34"/>
      <c r="HKN190" s="34"/>
      <c r="HKO190" s="34"/>
      <c r="HKP190" s="34"/>
      <c r="HKQ190" s="34"/>
      <c r="HKR190" s="34"/>
      <c r="HKS190" s="34"/>
      <c r="HKT190" s="34"/>
      <c r="HKU190" s="34"/>
      <c r="HKV190" s="34"/>
      <c r="HKW190" s="34"/>
      <c r="HKX190" s="34"/>
      <c r="HKY190" s="34"/>
      <c r="HKZ190" s="34"/>
      <c r="HLA190" s="34"/>
      <c r="HLB190" s="34"/>
      <c r="HLC190" s="34"/>
      <c r="HLD190" s="34"/>
      <c r="HLE190" s="34"/>
      <c r="HLF190" s="34"/>
      <c r="HLG190" s="34"/>
      <c r="HLH190" s="34"/>
      <c r="HLI190" s="34"/>
      <c r="HLJ190" s="34"/>
      <c r="HLK190" s="34"/>
      <c r="HLL190" s="34"/>
      <c r="HLM190" s="34"/>
      <c r="HLN190" s="34"/>
      <c r="HLO190" s="34"/>
      <c r="HLP190" s="34"/>
      <c r="HLQ190" s="34"/>
      <c r="HLR190" s="34"/>
      <c r="HLS190" s="34"/>
      <c r="HLT190" s="34"/>
      <c r="HLU190" s="34"/>
      <c r="HLV190" s="34"/>
      <c r="HLW190" s="34"/>
      <c r="HLX190" s="34"/>
      <c r="HLY190" s="34"/>
      <c r="HLZ190" s="34"/>
      <c r="HMA190" s="34"/>
      <c r="HMB190" s="34"/>
      <c r="HMC190" s="34"/>
      <c r="HMD190" s="34"/>
      <c r="HME190" s="34"/>
      <c r="HMF190" s="34"/>
      <c r="HMG190" s="34"/>
      <c r="HMH190" s="34"/>
      <c r="HMI190" s="34"/>
      <c r="HMJ190" s="34"/>
      <c r="HMK190" s="34"/>
      <c r="HML190" s="34"/>
      <c r="HMM190" s="34"/>
      <c r="HMN190" s="34"/>
      <c r="HMO190" s="34"/>
      <c r="HMP190" s="34"/>
      <c r="HMQ190" s="34"/>
      <c r="HMR190" s="34"/>
      <c r="HMS190" s="34"/>
      <c r="HMT190" s="34"/>
      <c r="HMU190" s="34"/>
      <c r="HMV190" s="34"/>
      <c r="HMW190" s="34"/>
      <c r="HMX190" s="34"/>
      <c r="HMY190" s="34"/>
      <c r="HMZ190" s="34"/>
      <c r="HNA190" s="34"/>
      <c r="HNB190" s="34"/>
      <c r="HNC190" s="34"/>
      <c r="HND190" s="34"/>
      <c r="HNE190" s="34"/>
      <c r="HNF190" s="34"/>
      <c r="HNG190" s="34"/>
      <c r="HNH190" s="34"/>
      <c r="HNI190" s="34"/>
      <c r="HNJ190" s="34"/>
      <c r="HNK190" s="34"/>
      <c r="HNL190" s="34"/>
      <c r="HNM190" s="34"/>
      <c r="HNN190" s="34"/>
      <c r="HNO190" s="34"/>
      <c r="HNP190" s="34"/>
      <c r="HNQ190" s="34"/>
      <c r="HNR190" s="34"/>
      <c r="HNS190" s="34"/>
      <c r="HNT190" s="34"/>
      <c r="HNU190" s="34"/>
      <c r="HNV190" s="34"/>
      <c r="HNW190" s="34"/>
      <c r="HNX190" s="34"/>
      <c r="HNY190" s="34"/>
      <c r="HNZ190" s="34"/>
      <c r="HOA190" s="34"/>
      <c r="HOB190" s="34"/>
      <c r="HOC190" s="34"/>
      <c r="HOD190" s="34"/>
      <c r="HOE190" s="34"/>
      <c r="HOF190" s="34"/>
      <c r="HOG190" s="34"/>
      <c r="HOH190" s="34"/>
      <c r="HOI190" s="34"/>
      <c r="HOJ190" s="34"/>
      <c r="HOK190" s="34"/>
      <c r="HOL190" s="34"/>
      <c r="HOM190" s="34"/>
      <c r="HON190" s="34"/>
      <c r="HOO190" s="34"/>
      <c r="HOP190" s="34"/>
      <c r="HOQ190" s="34"/>
      <c r="HOR190" s="34"/>
      <c r="HOS190" s="34"/>
      <c r="HOT190" s="34"/>
      <c r="HOU190" s="34"/>
      <c r="HOV190" s="34"/>
      <c r="HOW190" s="34"/>
      <c r="HOX190" s="34"/>
      <c r="HOY190" s="34"/>
      <c r="HOZ190" s="34"/>
      <c r="HPA190" s="34"/>
      <c r="HPB190" s="34"/>
      <c r="HPC190" s="34"/>
      <c r="HPD190" s="34"/>
      <c r="HPE190" s="34"/>
      <c r="HPF190" s="34"/>
      <c r="HPG190" s="34"/>
      <c r="HPH190" s="34"/>
      <c r="HPI190" s="34"/>
      <c r="HPJ190" s="34"/>
      <c r="HPK190" s="34"/>
      <c r="HPL190" s="34"/>
      <c r="HPM190" s="34"/>
      <c r="HPN190" s="34"/>
      <c r="HPO190" s="34"/>
      <c r="HPP190" s="34"/>
      <c r="HPQ190" s="34"/>
      <c r="HPR190" s="34"/>
      <c r="HPS190" s="34"/>
      <c r="HPT190" s="34"/>
      <c r="HPU190" s="34"/>
      <c r="HPV190" s="34"/>
      <c r="HPW190" s="34"/>
      <c r="HPX190" s="34"/>
      <c r="HPY190" s="34"/>
      <c r="HPZ190" s="34"/>
      <c r="HQA190" s="34"/>
      <c r="HQB190" s="34"/>
      <c r="HQC190" s="34"/>
      <c r="HQD190" s="34"/>
      <c r="HQE190" s="34"/>
      <c r="HQF190" s="34"/>
      <c r="HQG190" s="34"/>
      <c r="HQH190" s="34"/>
      <c r="HQI190" s="34"/>
      <c r="HQJ190" s="34"/>
      <c r="HQK190" s="34"/>
      <c r="HQL190" s="34"/>
      <c r="HQM190" s="34"/>
      <c r="HQN190" s="34"/>
      <c r="HQO190" s="34"/>
      <c r="HQP190" s="34"/>
      <c r="HQQ190" s="34"/>
      <c r="HQR190" s="34"/>
      <c r="HQS190" s="34"/>
      <c r="HQT190" s="34"/>
      <c r="HQU190" s="34"/>
      <c r="HQV190" s="34"/>
      <c r="HQW190" s="34"/>
      <c r="HQX190" s="34"/>
      <c r="HQY190" s="34"/>
      <c r="HQZ190" s="34"/>
      <c r="HRA190" s="34"/>
      <c r="HRB190" s="34"/>
      <c r="HRC190" s="34"/>
      <c r="HRD190" s="34"/>
      <c r="HRE190" s="34"/>
      <c r="HRF190" s="34"/>
      <c r="HRG190" s="34"/>
      <c r="HRH190" s="34"/>
      <c r="HRI190" s="34"/>
      <c r="HRJ190" s="34"/>
      <c r="HRK190" s="34"/>
      <c r="HRL190" s="34"/>
      <c r="HRM190" s="34"/>
      <c r="HRN190" s="34"/>
      <c r="HRO190" s="34"/>
      <c r="HRP190" s="34"/>
      <c r="HRQ190" s="34"/>
      <c r="HRR190" s="34"/>
      <c r="HRS190" s="34"/>
      <c r="HRT190" s="34"/>
      <c r="HRU190" s="34"/>
      <c r="HRV190" s="34"/>
      <c r="HRW190" s="34"/>
      <c r="HRX190" s="34"/>
      <c r="HRY190" s="34"/>
      <c r="HRZ190" s="34"/>
      <c r="HSA190" s="34"/>
      <c r="HSB190" s="34"/>
      <c r="HSC190" s="34"/>
      <c r="HSD190" s="34"/>
      <c r="HSE190" s="34"/>
      <c r="HSF190" s="34"/>
      <c r="HSG190" s="34"/>
      <c r="HSH190" s="34"/>
      <c r="HSI190" s="34"/>
      <c r="HSJ190" s="34"/>
      <c r="HSK190" s="34"/>
      <c r="HSL190" s="34"/>
      <c r="HSM190" s="34"/>
      <c r="HSN190" s="34"/>
      <c r="HSO190" s="34"/>
      <c r="HSP190" s="34"/>
      <c r="HSQ190" s="34"/>
      <c r="HSR190" s="34"/>
      <c r="HSS190" s="34"/>
      <c r="HST190" s="34"/>
      <c r="HSU190" s="34"/>
      <c r="HSV190" s="34"/>
      <c r="HSW190" s="34"/>
      <c r="HSX190" s="34"/>
      <c r="HSY190" s="34"/>
      <c r="HSZ190" s="34"/>
      <c r="HTA190" s="34"/>
      <c r="HTB190" s="34"/>
      <c r="HTC190" s="34"/>
      <c r="HTD190" s="34"/>
      <c r="HTE190" s="34"/>
      <c r="HTF190" s="34"/>
      <c r="HTG190" s="34"/>
      <c r="HTH190" s="34"/>
      <c r="HTI190" s="34"/>
      <c r="HTJ190" s="34"/>
      <c r="HTK190" s="34"/>
      <c r="HTL190" s="34"/>
      <c r="HTM190" s="34"/>
      <c r="HTN190" s="34"/>
      <c r="HTO190" s="34"/>
      <c r="HTP190" s="34"/>
      <c r="HTQ190" s="34"/>
      <c r="HTR190" s="34"/>
      <c r="HTS190" s="34"/>
      <c r="HTT190" s="34"/>
      <c r="HTU190" s="34"/>
      <c r="HTV190" s="34"/>
      <c r="HTW190" s="34"/>
      <c r="HTX190" s="34"/>
      <c r="HTY190" s="34"/>
      <c r="HTZ190" s="34"/>
      <c r="HUA190" s="34"/>
      <c r="HUB190" s="34"/>
      <c r="HUC190" s="34"/>
      <c r="HUD190" s="34"/>
      <c r="HUE190" s="34"/>
      <c r="HUF190" s="34"/>
      <c r="HUG190" s="34"/>
      <c r="HUH190" s="34"/>
      <c r="HUI190" s="34"/>
      <c r="HUJ190" s="34"/>
      <c r="HUK190" s="34"/>
      <c r="HUL190" s="34"/>
      <c r="HUM190" s="34"/>
      <c r="HUN190" s="34"/>
      <c r="HUO190" s="34"/>
      <c r="HUP190" s="34"/>
      <c r="HUQ190" s="34"/>
      <c r="HUR190" s="34"/>
      <c r="HUS190" s="34"/>
      <c r="HUT190" s="34"/>
      <c r="HUU190" s="34"/>
      <c r="HUV190" s="34"/>
      <c r="HUW190" s="34"/>
      <c r="HUX190" s="34"/>
      <c r="HUY190" s="34"/>
      <c r="HUZ190" s="34"/>
      <c r="HVA190" s="34"/>
      <c r="HVB190" s="34"/>
      <c r="HVC190" s="34"/>
      <c r="HVD190" s="34"/>
      <c r="HVE190" s="34"/>
      <c r="HVF190" s="34"/>
      <c r="HVG190" s="34"/>
      <c r="HVH190" s="34"/>
      <c r="HVI190" s="34"/>
      <c r="HVJ190" s="34"/>
      <c r="HVK190" s="34"/>
      <c r="HVL190" s="34"/>
      <c r="HVM190" s="34"/>
      <c r="HVN190" s="34"/>
      <c r="HVO190" s="34"/>
      <c r="HVP190" s="34"/>
      <c r="HVQ190" s="34"/>
      <c r="HVR190" s="34"/>
      <c r="HVS190" s="34"/>
      <c r="HVT190" s="34"/>
      <c r="HVU190" s="34"/>
      <c r="HVV190" s="34"/>
      <c r="HVW190" s="34"/>
      <c r="HVX190" s="34"/>
      <c r="HVY190" s="34"/>
      <c r="HVZ190" s="34"/>
      <c r="HWA190" s="34"/>
      <c r="HWB190" s="34"/>
      <c r="HWC190" s="34"/>
      <c r="HWD190" s="34"/>
      <c r="HWE190" s="34"/>
      <c r="HWF190" s="34"/>
      <c r="HWG190" s="34"/>
      <c r="HWH190" s="34"/>
      <c r="HWI190" s="34"/>
      <c r="HWJ190" s="34"/>
      <c r="HWK190" s="34"/>
      <c r="HWL190" s="34"/>
      <c r="HWM190" s="34"/>
      <c r="HWN190" s="34"/>
      <c r="HWO190" s="34"/>
      <c r="HWP190" s="34"/>
      <c r="HWQ190" s="34"/>
      <c r="HWR190" s="34"/>
      <c r="HWS190" s="34"/>
      <c r="HWT190" s="34"/>
      <c r="HWU190" s="34"/>
      <c r="HWV190" s="34"/>
      <c r="HWW190" s="34"/>
      <c r="HWX190" s="34"/>
      <c r="HWY190" s="34"/>
      <c r="HWZ190" s="34"/>
      <c r="HXA190" s="34"/>
      <c r="HXB190" s="34"/>
      <c r="HXC190" s="34"/>
      <c r="HXD190" s="34"/>
      <c r="HXE190" s="34"/>
      <c r="HXF190" s="34"/>
      <c r="HXG190" s="34"/>
      <c r="HXH190" s="34"/>
      <c r="HXI190" s="34"/>
      <c r="HXJ190" s="34"/>
      <c r="HXK190" s="34"/>
      <c r="HXL190" s="34"/>
      <c r="HXM190" s="34"/>
      <c r="HXN190" s="34"/>
      <c r="HXO190" s="34"/>
      <c r="HXP190" s="34"/>
      <c r="HXQ190" s="34"/>
      <c r="HXR190" s="34"/>
      <c r="HXS190" s="34"/>
      <c r="HXT190" s="34"/>
      <c r="HXU190" s="34"/>
      <c r="HXV190" s="34"/>
      <c r="HXW190" s="34"/>
      <c r="HXX190" s="34"/>
      <c r="HXY190" s="34"/>
      <c r="HXZ190" s="34"/>
      <c r="HYA190" s="34"/>
      <c r="HYB190" s="34"/>
      <c r="HYC190" s="34"/>
      <c r="HYD190" s="34"/>
      <c r="HYE190" s="34"/>
      <c r="HYF190" s="34"/>
      <c r="HYG190" s="34"/>
      <c r="HYH190" s="34"/>
      <c r="HYI190" s="34"/>
      <c r="HYJ190" s="34"/>
      <c r="HYK190" s="34"/>
      <c r="HYL190" s="34"/>
      <c r="HYM190" s="34"/>
      <c r="HYN190" s="34"/>
      <c r="HYO190" s="34"/>
      <c r="HYP190" s="34"/>
      <c r="HYQ190" s="34"/>
      <c r="HYR190" s="34"/>
      <c r="HYS190" s="34"/>
      <c r="HYT190" s="34"/>
      <c r="HYU190" s="34"/>
      <c r="HYV190" s="34"/>
      <c r="HYW190" s="34"/>
      <c r="HYX190" s="34"/>
      <c r="HYY190" s="34"/>
      <c r="HYZ190" s="34"/>
      <c r="HZA190" s="34"/>
      <c r="HZB190" s="34"/>
      <c r="HZC190" s="34"/>
      <c r="HZD190" s="34"/>
      <c r="HZE190" s="34"/>
      <c r="HZF190" s="34"/>
      <c r="HZG190" s="34"/>
      <c r="HZH190" s="34"/>
      <c r="HZI190" s="34"/>
      <c r="HZJ190" s="34"/>
      <c r="HZK190" s="34"/>
      <c r="HZL190" s="34"/>
      <c r="HZM190" s="34"/>
      <c r="HZN190" s="34"/>
      <c r="HZO190" s="34"/>
      <c r="HZP190" s="34"/>
      <c r="HZQ190" s="34"/>
      <c r="HZR190" s="34"/>
      <c r="HZS190" s="34"/>
      <c r="HZT190" s="34"/>
      <c r="HZU190" s="34"/>
      <c r="HZV190" s="34"/>
      <c r="HZW190" s="34"/>
      <c r="HZX190" s="34"/>
      <c r="HZY190" s="34"/>
      <c r="HZZ190" s="34"/>
      <c r="IAA190" s="34"/>
      <c r="IAB190" s="34"/>
      <c r="IAC190" s="34"/>
      <c r="IAD190" s="34"/>
      <c r="IAE190" s="34"/>
      <c r="IAF190" s="34"/>
      <c r="IAG190" s="34"/>
      <c r="IAH190" s="34"/>
      <c r="IAI190" s="34"/>
      <c r="IAJ190" s="34"/>
      <c r="IAK190" s="34"/>
      <c r="IAL190" s="34"/>
      <c r="IAM190" s="34"/>
      <c r="IAN190" s="34"/>
      <c r="IAO190" s="34"/>
      <c r="IAP190" s="34"/>
      <c r="IAQ190" s="34"/>
      <c r="IAR190" s="34"/>
      <c r="IAS190" s="34"/>
      <c r="IAT190" s="34"/>
      <c r="IAU190" s="34"/>
      <c r="IAV190" s="34"/>
      <c r="IAW190" s="34"/>
      <c r="IAX190" s="34"/>
      <c r="IAY190" s="34"/>
      <c r="IAZ190" s="34"/>
      <c r="IBA190" s="34"/>
      <c r="IBB190" s="34"/>
      <c r="IBC190" s="34"/>
      <c r="IBD190" s="34"/>
      <c r="IBE190" s="34"/>
      <c r="IBF190" s="34"/>
      <c r="IBG190" s="34"/>
      <c r="IBH190" s="34"/>
      <c r="IBI190" s="34"/>
      <c r="IBJ190" s="34"/>
      <c r="IBK190" s="34"/>
      <c r="IBL190" s="34"/>
      <c r="IBM190" s="34"/>
      <c r="IBN190" s="34"/>
      <c r="IBO190" s="34"/>
      <c r="IBP190" s="34"/>
      <c r="IBQ190" s="34"/>
      <c r="IBR190" s="34"/>
      <c r="IBS190" s="34"/>
      <c r="IBT190" s="34"/>
      <c r="IBU190" s="34"/>
      <c r="IBV190" s="34"/>
      <c r="IBW190" s="34"/>
      <c r="IBX190" s="34"/>
      <c r="IBY190" s="34"/>
      <c r="IBZ190" s="34"/>
      <c r="ICA190" s="34"/>
      <c r="ICB190" s="34"/>
      <c r="ICC190" s="34"/>
      <c r="ICD190" s="34"/>
      <c r="ICE190" s="34"/>
      <c r="ICF190" s="34"/>
      <c r="ICG190" s="34"/>
      <c r="ICH190" s="34"/>
      <c r="ICI190" s="34"/>
      <c r="ICJ190" s="34"/>
      <c r="ICK190" s="34"/>
      <c r="ICL190" s="34"/>
      <c r="ICM190" s="34"/>
      <c r="ICN190" s="34"/>
      <c r="ICO190" s="34"/>
      <c r="ICP190" s="34"/>
      <c r="ICQ190" s="34"/>
      <c r="ICR190" s="34"/>
      <c r="ICS190" s="34"/>
      <c r="ICT190" s="34"/>
      <c r="ICU190" s="34"/>
      <c r="ICV190" s="34"/>
      <c r="ICW190" s="34"/>
      <c r="ICX190" s="34"/>
      <c r="ICY190" s="34"/>
      <c r="ICZ190" s="34"/>
      <c r="IDA190" s="34"/>
      <c r="IDB190" s="34"/>
      <c r="IDC190" s="34"/>
      <c r="IDD190" s="34"/>
      <c r="IDE190" s="34"/>
      <c r="IDF190" s="34"/>
      <c r="IDG190" s="34"/>
      <c r="IDH190" s="34"/>
      <c r="IDI190" s="34"/>
      <c r="IDJ190" s="34"/>
      <c r="IDK190" s="34"/>
      <c r="IDL190" s="34"/>
      <c r="IDM190" s="34"/>
      <c r="IDN190" s="34"/>
      <c r="IDO190" s="34"/>
      <c r="IDP190" s="34"/>
      <c r="IDQ190" s="34"/>
      <c r="IDR190" s="34"/>
      <c r="IDS190" s="34"/>
      <c r="IDT190" s="34"/>
      <c r="IDU190" s="34"/>
      <c r="IDV190" s="34"/>
      <c r="IDW190" s="34"/>
      <c r="IDX190" s="34"/>
      <c r="IDY190" s="34"/>
      <c r="IDZ190" s="34"/>
      <c r="IEA190" s="34"/>
      <c r="IEB190" s="34"/>
      <c r="IEC190" s="34"/>
      <c r="IED190" s="34"/>
      <c r="IEE190" s="34"/>
      <c r="IEF190" s="34"/>
      <c r="IEG190" s="34"/>
      <c r="IEH190" s="34"/>
      <c r="IEI190" s="34"/>
      <c r="IEJ190" s="34"/>
      <c r="IEK190" s="34"/>
      <c r="IEL190" s="34"/>
      <c r="IEM190" s="34"/>
      <c r="IEN190" s="34"/>
      <c r="IEO190" s="34"/>
      <c r="IEP190" s="34"/>
      <c r="IEQ190" s="34"/>
      <c r="IER190" s="34"/>
      <c r="IES190" s="34"/>
      <c r="IET190" s="34"/>
      <c r="IEU190" s="34"/>
      <c r="IEV190" s="34"/>
      <c r="IEW190" s="34"/>
      <c r="IEX190" s="34"/>
      <c r="IEY190" s="34"/>
      <c r="IEZ190" s="34"/>
      <c r="IFA190" s="34"/>
      <c r="IFB190" s="34"/>
      <c r="IFC190" s="34"/>
      <c r="IFD190" s="34"/>
      <c r="IFE190" s="34"/>
      <c r="IFF190" s="34"/>
      <c r="IFG190" s="34"/>
      <c r="IFH190" s="34"/>
      <c r="IFI190" s="34"/>
      <c r="IFJ190" s="34"/>
      <c r="IFK190" s="34"/>
      <c r="IFL190" s="34"/>
      <c r="IFM190" s="34"/>
      <c r="IFN190" s="34"/>
      <c r="IFO190" s="34"/>
      <c r="IFP190" s="34"/>
      <c r="IFQ190" s="34"/>
      <c r="IFR190" s="34"/>
      <c r="IFS190" s="34"/>
      <c r="IFT190" s="34"/>
      <c r="IFU190" s="34"/>
      <c r="IFV190" s="34"/>
      <c r="IFW190" s="34"/>
      <c r="IFX190" s="34"/>
      <c r="IFY190" s="34"/>
      <c r="IFZ190" s="34"/>
      <c r="IGA190" s="34"/>
      <c r="IGB190" s="34"/>
      <c r="IGC190" s="34"/>
      <c r="IGD190" s="34"/>
      <c r="IGE190" s="34"/>
      <c r="IGF190" s="34"/>
      <c r="IGG190" s="34"/>
      <c r="IGH190" s="34"/>
      <c r="IGI190" s="34"/>
      <c r="IGJ190" s="34"/>
      <c r="IGK190" s="34"/>
      <c r="IGL190" s="34"/>
      <c r="IGM190" s="34"/>
      <c r="IGN190" s="34"/>
      <c r="IGO190" s="34"/>
      <c r="IGP190" s="34"/>
      <c r="IGQ190" s="34"/>
      <c r="IGR190" s="34"/>
      <c r="IGS190" s="34"/>
      <c r="IGT190" s="34"/>
      <c r="IGU190" s="34"/>
      <c r="IGV190" s="34"/>
      <c r="IGW190" s="34"/>
      <c r="IGX190" s="34"/>
      <c r="IGY190" s="34"/>
      <c r="IGZ190" s="34"/>
      <c r="IHA190" s="34"/>
      <c r="IHB190" s="34"/>
      <c r="IHC190" s="34"/>
      <c r="IHD190" s="34"/>
      <c r="IHE190" s="34"/>
      <c r="IHF190" s="34"/>
      <c r="IHG190" s="34"/>
      <c r="IHH190" s="34"/>
      <c r="IHI190" s="34"/>
      <c r="IHJ190" s="34"/>
      <c r="IHK190" s="34"/>
      <c r="IHL190" s="34"/>
      <c r="IHM190" s="34"/>
      <c r="IHN190" s="34"/>
      <c r="IHO190" s="34"/>
      <c r="IHP190" s="34"/>
      <c r="IHQ190" s="34"/>
      <c r="IHR190" s="34"/>
      <c r="IHS190" s="34"/>
      <c r="IHT190" s="34"/>
      <c r="IHU190" s="34"/>
      <c r="IHV190" s="34"/>
      <c r="IHW190" s="34"/>
      <c r="IHX190" s="34"/>
      <c r="IHY190" s="34"/>
      <c r="IHZ190" s="34"/>
      <c r="IIA190" s="34"/>
      <c r="IIB190" s="34"/>
      <c r="IIC190" s="34"/>
      <c r="IID190" s="34"/>
      <c r="IIE190" s="34"/>
      <c r="IIF190" s="34"/>
      <c r="IIG190" s="34"/>
      <c r="IIH190" s="34"/>
      <c r="III190" s="34"/>
      <c r="IIJ190" s="34"/>
      <c r="IIK190" s="34"/>
      <c r="IIL190" s="34"/>
      <c r="IIM190" s="34"/>
      <c r="IIN190" s="34"/>
      <c r="IIO190" s="34"/>
      <c r="IIP190" s="34"/>
      <c r="IIQ190" s="34"/>
      <c r="IIR190" s="34"/>
      <c r="IIS190" s="34"/>
      <c r="IIT190" s="34"/>
      <c r="IIU190" s="34"/>
      <c r="IIV190" s="34"/>
      <c r="IIW190" s="34"/>
      <c r="IIX190" s="34"/>
      <c r="IIY190" s="34"/>
      <c r="IIZ190" s="34"/>
      <c r="IJA190" s="34"/>
      <c r="IJB190" s="34"/>
      <c r="IJC190" s="34"/>
      <c r="IJD190" s="34"/>
      <c r="IJE190" s="34"/>
      <c r="IJF190" s="34"/>
      <c r="IJG190" s="34"/>
      <c r="IJH190" s="34"/>
      <c r="IJI190" s="34"/>
      <c r="IJJ190" s="34"/>
      <c r="IJK190" s="34"/>
      <c r="IJL190" s="34"/>
      <c r="IJM190" s="34"/>
      <c r="IJN190" s="34"/>
      <c r="IJO190" s="34"/>
      <c r="IJP190" s="34"/>
      <c r="IJQ190" s="34"/>
      <c r="IJR190" s="34"/>
      <c r="IJS190" s="34"/>
      <c r="IJT190" s="34"/>
      <c r="IJU190" s="34"/>
      <c r="IJV190" s="34"/>
      <c r="IJW190" s="34"/>
      <c r="IJX190" s="34"/>
      <c r="IJY190" s="34"/>
      <c r="IJZ190" s="34"/>
      <c r="IKA190" s="34"/>
      <c r="IKB190" s="34"/>
      <c r="IKC190" s="34"/>
      <c r="IKD190" s="34"/>
      <c r="IKE190" s="34"/>
      <c r="IKF190" s="34"/>
      <c r="IKG190" s="34"/>
      <c r="IKH190" s="34"/>
      <c r="IKI190" s="34"/>
      <c r="IKJ190" s="34"/>
      <c r="IKK190" s="34"/>
      <c r="IKL190" s="34"/>
      <c r="IKM190" s="34"/>
      <c r="IKN190" s="34"/>
      <c r="IKO190" s="34"/>
      <c r="IKP190" s="34"/>
      <c r="IKQ190" s="34"/>
      <c r="IKR190" s="34"/>
      <c r="IKS190" s="34"/>
      <c r="IKT190" s="34"/>
      <c r="IKU190" s="34"/>
      <c r="IKV190" s="34"/>
      <c r="IKW190" s="34"/>
      <c r="IKX190" s="34"/>
      <c r="IKY190" s="34"/>
      <c r="IKZ190" s="34"/>
      <c r="ILA190" s="34"/>
      <c r="ILB190" s="34"/>
      <c r="ILC190" s="34"/>
      <c r="ILD190" s="34"/>
      <c r="ILE190" s="34"/>
      <c r="ILF190" s="34"/>
      <c r="ILG190" s="34"/>
      <c r="ILH190" s="34"/>
      <c r="ILI190" s="34"/>
      <c r="ILJ190" s="34"/>
      <c r="ILK190" s="34"/>
      <c r="ILL190" s="34"/>
      <c r="ILM190" s="34"/>
      <c r="ILN190" s="34"/>
      <c r="ILO190" s="34"/>
      <c r="ILP190" s="34"/>
      <c r="ILQ190" s="34"/>
      <c r="ILR190" s="34"/>
      <c r="ILS190" s="34"/>
      <c r="ILT190" s="34"/>
      <c r="ILU190" s="34"/>
      <c r="ILV190" s="34"/>
      <c r="ILW190" s="34"/>
      <c r="ILX190" s="34"/>
      <c r="ILY190" s="34"/>
      <c r="ILZ190" s="34"/>
      <c r="IMA190" s="34"/>
      <c r="IMB190" s="34"/>
      <c r="IMC190" s="34"/>
      <c r="IMD190" s="34"/>
      <c r="IME190" s="34"/>
      <c r="IMF190" s="34"/>
      <c r="IMG190" s="34"/>
      <c r="IMH190" s="34"/>
      <c r="IMI190" s="34"/>
      <c r="IMJ190" s="34"/>
      <c r="IMK190" s="34"/>
      <c r="IML190" s="34"/>
      <c r="IMM190" s="34"/>
      <c r="IMN190" s="34"/>
      <c r="IMO190" s="34"/>
      <c r="IMP190" s="34"/>
      <c r="IMQ190" s="34"/>
      <c r="IMR190" s="34"/>
      <c r="IMS190" s="34"/>
      <c r="IMT190" s="34"/>
      <c r="IMU190" s="34"/>
      <c r="IMV190" s="34"/>
      <c r="IMW190" s="34"/>
      <c r="IMX190" s="34"/>
      <c r="IMY190" s="34"/>
      <c r="IMZ190" s="34"/>
      <c r="INA190" s="34"/>
      <c r="INB190" s="34"/>
      <c r="INC190" s="34"/>
      <c r="IND190" s="34"/>
      <c r="INE190" s="34"/>
      <c r="INF190" s="34"/>
      <c r="ING190" s="34"/>
      <c r="INH190" s="34"/>
      <c r="INI190" s="34"/>
      <c r="INJ190" s="34"/>
      <c r="INK190" s="34"/>
      <c r="INL190" s="34"/>
      <c r="INM190" s="34"/>
      <c r="INN190" s="34"/>
      <c r="INO190" s="34"/>
      <c r="INP190" s="34"/>
      <c r="INQ190" s="34"/>
      <c r="INR190" s="34"/>
      <c r="INS190" s="34"/>
      <c r="INT190" s="34"/>
      <c r="INU190" s="34"/>
      <c r="INV190" s="34"/>
      <c r="INW190" s="34"/>
      <c r="INX190" s="34"/>
      <c r="INY190" s="34"/>
      <c r="INZ190" s="34"/>
      <c r="IOA190" s="34"/>
      <c r="IOB190" s="34"/>
      <c r="IOC190" s="34"/>
      <c r="IOD190" s="34"/>
      <c r="IOE190" s="34"/>
      <c r="IOF190" s="34"/>
      <c r="IOG190" s="34"/>
      <c r="IOH190" s="34"/>
      <c r="IOI190" s="34"/>
      <c r="IOJ190" s="34"/>
      <c r="IOK190" s="34"/>
      <c r="IOL190" s="34"/>
      <c r="IOM190" s="34"/>
      <c r="ION190" s="34"/>
      <c r="IOO190" s="34"/>
      <c r="IOP190" s="34"/>
      <c r="IOQ190" s="34"/>
      <c r="IOR190" s="34"/>
      <c r="IOS190" s="34"/>
      <c r="IOT190" s="34"/>
      <c r="IOU190" s="34"/>
      <c r="IOV190" s="34"/>
      <c r="IOW190" s="34"/>
      <c r="IOX190" s="34"/>
      <c r="IOY190" s="34"/>
      <c r="IOZ190" s="34"/>
      <c r="IPA190" s="34"/>
      <c r="IPB190" s="34"/>
      <c r="IPC190" s="34"/>
      <c r="IPD190" s="34"/>
      <c r="IPE190" s="34"/>
      <c r="IPF190" s="34"/>
      <c r="IPG190" s="34"/>
      <c r="IPH190" s="34"/>
      <c r="IPI190" s="34"/>
      <c r="IPJ190" s="34"/>
      <c r="IPK190" s="34"/>
      <c r="IPL190" s="34"/>
      <c r="IPM190" s="34"/>
      <c r="IPN190" s="34"/>
      <c r="IPO190" s="34"/>
      <c r="IPP190" s="34"/>
      <c r="IPQ190" s="34"/>
      <c r="IPR190" s="34"/>
      <c r="IPS190" s="34"/>
      <c r="IPT190" s="34"/>
      <c r="IPU190" s="34"/>
      <c r="IPV190" s="34"/>
      <c r="IPW190" s="34"/>
      <c r="IPX190" s="34"/>
      <c r="IPY190" s="34"/>
      <c r="IPZ190" s="34"/>
      <c r="IQA190" s="34"/>
      <c r="IQB190" s="34"/>
      <c r="IQC190" s="34"/>
      <c r="IQD190" s="34"/>
      <c r="IQE190" s="34"/>
      <c r="IQF190" s="34"/>
      <c r="IQG190" s="34"/>
      <c r="IQH190" s="34"/>
      <c r="IQI190" s="34"/>
      <c r="IQJ190" s="34"/>
      <c r="IQK190" s="34"/>
      <c r="IQL190" s="34"/>
      <c r="IQM190" s="34"/>
      <c r="IQN190" s="34"/>
      <c r="IQO190" s="34"/>
      <c r="IQP190" s="34"/>
      <c r="IQQ190" s="34"/>
      <c r="IQR190" s="34"/>
      <c r="IQS190" s="34"/>
      <c r="IQT190" s="34"/>
      <c r="IQU190" s="34"/>
      <c r="IQV190" s="34"/>
      <c r="IQW190" s="34"/>
      <c r="IQX190" s="34"/>
      <c r="IQY190" s="34"/>
      <c r="IQZ190" s="34"/>
      <c r="IRA190" s="34"/>
      <c r="IRB190" s="34"/>
      <c r="IRC190" s="34"/>
      <c r="IRD190" s="34"/>
      <c r="IRE190" s="34"/>
      <c r="IRF190" s="34"/>
      <c r="IRG190" s="34"/>
      <c r="IRH190" s="34"/>
      <c r="IRI190" s="34"/>
      <c r="IRJ190" s="34"/>
      <c r="IRK190" s="34"/>
      <c r="IRL190" s="34"/>
      <c r="IRM190" s="34"/>
      <c r="IRN190" s="34"/>
      <c r="IRO190" s="34"/>
      <c r="IRP190" s="34"/>
      <c r="IRQ190" s="34"/>
      <c r="IRR190" s="34"/>
      <c r="IRS190" s="34"/>
      <c r="IRT190" s="34"/>
      <c r="IRU190" s="34"/>
      <c r="IRV190" s="34"/>
      <c r="IRW190" s="34"/>
      <c r="IRX190" s="34"/>
      <c r="IRY190" s="34"/>
      <c r="IRZ190" s="34"/>
      <c r="ISA190" s="34"/>
      <c r="ISB190" s="34"/>
      <c r="ISC190" s="34"/>
      <c r="ISD190" s="34"/>
      <c r="ISE190" s="34"/>
      <c r="ISF190" s="34"/>
      <c r="ISG190" s="34"/>
      <c r="ISH190" s="34"/>
      <c r="ISI190" s="34"/>
      <c r="ISJ190" s="34"/>
      <c r="ISK190" s="34"/>
      <c r="ISL190" s="34"/>
      <c r="ISM190" s="34"/>
      <c r="ISN190" s="34"/>
      <c r="ISO190" s="34"/>
      <c r="ISP190" s="34"/>
      <c r="ISQ190" s="34"/>
      <c r="ISR190" s="34"/>
      <c r="ISS190" s="34"/>
      <c r="IST190" s="34"/>
      <c r="ISU190" s="34"/>
      <c r="ISV190" s="34"/>
      <c r="ISW190" s="34"/>
      <c r="ISX190" s="34"/>
      <c r="ISY190" s="34"/>
      <c r="ISZ190" s="34"/>
      <c r="ITA190" s="34"/>
      <c r="ITB190" s="34"/>
      <c r="ITC190" s="34"/>
      <c r="ITD190" s="34"/>
      <c r="ITE190" s="34"/>
      <c r="ITF190" s="34"/>
      <c r="ITG190" s="34"/>
      <c r="ITH190" s="34"/>
      <c r="ITI190" s="34"/>
      <c r="ITJ190" s="34"/>
      <c r="ITK190" s="34"/>
      <c r="ITL190" s="34"/>
      <c r="ITM190" s="34"/>
      <c r="ITN190" s="34"/>
      <c r="ITO190" s="34"/>
      <c r="ITP190" s="34"/>
      <c r="ITQ190" s="34"/>
      <c r="ITR190" s="34"/>
      <c r="ITS190" s="34"/>
      <c r="ITT190" s="34"/>
      <c r="ITU190" s="34"/>
      <c r="ITV190" s="34"/>
      <c r="ITW190" s="34"/>
      <c r="ITX190" s="34"/>
      <c r="ITY190" s="34"/>
      <c r="ITZ190" s="34"/>
      <c r="IUA190" s="34"/>
      <c r="IUB190" s="34"/>
      <c r="IUC190" s="34"/>
      <c r="IUD190" s="34"/>
      <c r="IUE190" s="34"/>
      <c r="IUF190" s="34"/>
      <c r="IUG190" s="34"/>
      <c r="IUH190" s="34"/>
      <c r="IUI190" s="34"/>
      <c r="IUJ190" s="34"/>
      <c r="IUK190" s="34"/>
      <c r="IUL190" s="34"/>
      <c r="IUM190" s="34"/>
      <c r="IUN190" s="34"/>
      <c r="IUO190" s="34"/>
      <c r="IUP190" s="34"/>
      <c r="IUQ190" s="34"/>
      <c r="IUR190" s="34"/>
      <c r="IUS190" s="34"/>
      <c r="IUT190" s="34"/>
      <c r="IUU190" s="34"/>
      <c r="IUV190" s="34"/>
      <c r="IUW190" s="34"/>
      <c r="IUX190" s="34"/>
      <c r="IUY190" s="34"/>
      <c r="IUZ190" s="34"/>
      <c r="IVA190" s="34"/>
      <c r="IVB190" s="34"/>
      <c r="IVC190" s="34"/>
      <c r="IVD190" s="34"/>
      <c r="IVE190" s="34"/>
      <c r="IVF190" s="34"/>
      <c r="IVG190" s="34"/>
      <c r="IVH190" s="34"/>
      <c r="IVI190" s="34"/>
      <c r="IVJ190" s="34"/>
      <c r="IVK190" s="34"/>
      <c r="IVL190" s="34"/>
      <c r="IVM190" s="34"/>
      <c r="IVN190" s="34"/>
      <c r="IVO190" s="34"/>
      <c r="IVP190" s="34"/>
      <c r="IVQ190" s="34"/>
      <c r="IVR190" s="34"/>
      <c r="IVS190" s="34"/>
      <c r="IVT190" s="34"/>
      <c r="IVU190" s="34"/>
      <c r="IVV190" s="34"/>
      <c r="IVW190" s="34"/>
      <c r="IVX190" s="34"/>
      <c r="IVY190" s="34"/>
      <c r="IVZ190" s="34"/>
      <c r="IWA190" s="34"/>
      <c r="IWB190" s="34"/>
      <c r="IWC190" s="34"/>
      <c r="IWD190" s="34"/>
      <c r="IWE190" s="34"/>
      <c r="IWF190" s="34"/>
      <c r="IWG190" s="34"/>
      <c r="IWH190" s="34"/>
      <c r="IWI190" s="34"/>
      <c r="IWJ190" s="34"/>
      <c r="IWK190" s="34"/>
      <c r="IWL190" s="34"/>
      <c r="IWM190" s="34"/>
      <c r="IWN190" s="34"/>
      <c r="IWO190" s="34"/>
      <c r="IWP190" s="34"/>
      <c r="IWQ190" s="34"/>
      <c r="IWR190" s="34"/>
      <c r="IWS190" s="34"/>
      <c r="IWT190" s="34"/>
      <c r="IWU190" s="34"/>
      <c r="IWV190" s="34"/>
      <c r="IWW190" s="34"/>
      <c r="IWX190" s="34"/>
      <c r="IWY190" s="34"/>
      <c r="IWZ190" s="34"/>
      <c r="IXA190" s="34"/>
      <c r="IXB190" s="34"/>
      <c r="IXC190" s="34"/>
      <c r="IXD190" s="34"/>
      <c r="IXE190" s="34"/>
      <c r="IXF190" s="34"/>
      <c r="IXG190" s="34"/>
      <c r="IXH190" s="34"/>
      <c r="IXI190" s="34"/>
      <c r="IXJ190" s="34"/>
      <c r="IXK190" s="34"/>
      <c r="IXL190" s="34"/>
      <c r="IXM190" s="34"/>
      <c r="IXN190" s="34"/>
      <c r="IXO190" s="34"/>
      <c r="IXP190" s="34"/>
      <c r="IXQ190" s="34"/>
      <c r="IXR190" s="34"/>
      <c r="IXS190" s="34"/>
      <c r="IXT190" s="34"/>
      <c r="IXU190" s="34"/>
      <c r="IXV190" s="34"/>
      <c r="IXW190" s="34"/>
      <c r="IXX190" s="34"/>
      <c r="IXY190" s="34"/>
      <c r="IXZ190" s="34"/>
      <c r="IYA190" s="34"/>
      <c r="IYB190" s="34"/>
      <c r="IYC190" s="34"/>
      <c r="IYD190" s="34"/>
      <c r="IYE190" s="34"/>
      <c r="IYF190" s="34"/>
      <c r="IYG190" s="34"/>
      <c r="IYH190" s="34"/>
      <c r="IYI190" s="34"/>
      <c r="IYJ190" s="34"/>
      <c r="IYK190" s="34"/>
      <c r="IYL190" s="34"/>
      <c r="IYM190" s="34"/>
      <c r="IYN190" s="34"/>
      <c r="IYO190" s="34"/>
      <c r="IYP190" s="34"/>
      <c r="IYQ190" s="34"/>
      <c r="IYR190" s="34"/>
      <c r="IYS190" s="34"/>
      <c r="IYT190" s="34"/>
      <c r="IYU190" s="34"/>
      <c r="IYV190" s="34"/>
      <c r="IYW190" s="34"/>
      <c r="IYX190" s="34"/>
      <c r="IYY190" s="34"/>
      <c r="IYZ190" s="34"/>
      <c r="IZA190" s="34"/>
      <c r="IZB190" s="34"/>
      <c r="IZC190" s="34"/>
      <c r="IZD190" s="34"/>
      <c r="IZE190" s="34"/>
      <c r="IZF190" s="34"/>
      <c r="IZG190" s="34"/>
      <c r="IZH190" s="34"/>
      <c r="IZI190" s="34"/>
      <c r="IZJ190" s="34"/>
      <c r="IZK190" s="34"/>
      <c r="IZL190" s="34"/>
      <c r="IZM190" s="34"/>
      <c r="IZN190" s="34"/>
      <c r="IZO190" s="34"/>
      <c r="IZP190" s="34"/>
      <c r="IZQ190" s="34"/>
      <c r="IZR190" s="34"/>
      <c r="IZS190" s="34"/>
      <c r="IZT190" s="34"/>
      <c r="IZU190" s="34"/>
      <c r="IZV190" s="34"/>
      <c r="IZW190" s="34"/>
      <c r="IZX190" s="34"/>
      <c r="IZY190" s="34"/>
      <c r="IZZ190" s="34"/>
      <c r="JAA190" s="34"/>
      <c r="JAB190" s="34"/>
      <c r="JAC190" s="34"/>
      <c r="JAD190" s="34"/>
      <c r="JAE190" s="34"/>
      <c r="JAF190" s="34"/>
      <c r="JAG190" s="34"/>
      <c r="JAH190" s="34"/>
      <c r="JAI190" s="34"/>
      <c r="JAJ190" s="34"/>
      <c r="JAK190" s="34"/>
      <c r="JAL190" s="34"/>
      <c r="JAM190" s="34"/>
      <c r="JAN190" s="34"/>
      <c r="JAO190" s="34"/>
      <c r="JAP190" s="34"/>
      <c r="JAQ190" s="34"/>
      <c r="JAR190" s="34"/>
      <c r="JAS190" s="34"/>
      <c r="JAT190" s="34"/>
      <c r="JAU190" s="34"/>
      <c r="JAV190" s="34"/>
      <c r="JAW190" s="34"/>
      <c r="JAX190" s="34"/>
      <c r="JAY190" s="34"/>
      <c r="JAZ190" s="34"/>
      <c r="JBA190" s="34"/>
      <c r="JBB190" s="34"/>
      <c r="JBC190" s="34"/>
      <c r="JBD190" s="34"/>
      <c r="JBE190" s="34"/>
      <c r="JBF190" s="34"/>
      <c r="JBG190" s="34"/>
      <c r="JBH190" s="34"/>
      <c r="JBI190" s="34"/>
      <c r="JBJ190" s="34"/>
      <c r="JBK190" s="34"/>
      <c r="JBL190" s="34"/>
      <c r="JBM190" s="34"/>
      <c r="JBN190" s="34"/>
      <c r="JBO190" s="34"/>
      <c r="JBP190" s="34"/>
      <c r="JBQ190" s="34"/>
      <c r="JBR190" s="34"/>
      <c r="JBS190" s="34"/>
      <c r="JBT190" s="34"/>
      <c r="JBU190" s="34"/>
      <c r="JBV190" s="34"/>
      <c r="JBW190" s="34"/>
      <c r="JBX190" s="34"/>
      <c r="JBY190" s="34"/>
      <c r="JBZ190" s="34"/>
      <c r="JCA190" s="34"/>
      <c r="JCB190" s="34"/>
      <c r="JCC190" s="34"/>
      <c r="JCD190" s="34"/>
      <c r="JCE190" s="34"/>
      <c r="JCF190" s="34"/>
      <c r="JCG190" s="34"/>
      <c r="JCH190" s="34"/>
      <c r="JCI190" s="34"/>
      <c r="JCJ190" s="34"/>
      <c r="JCK190" s="34"/>
      <c r="JCL190" s="34"/>
      <c r="JCM190" s="34"/>
      <c r="JCN190" s="34"/>
      <c r="JCO190" s="34"/>
      <c r="JCP190" s="34"/>
      <c r="JCQ190" s="34"/>
      <c r="JCR190" s="34"/>
      <c r="JCS190" s="34"/>
      <c r="JCT190" s="34"/>
      <c r="JCU190" s="34"/>
      <c r="JCV190" s="34"/>
      <c r="JCW190" s="34"/>
      <c r="JCX190" s="34"/>
      <c r="JCY190" s="34"/>
      <c r="JCZ190" s="34"/>
      <c r="JDA190" s="34"/>
      <c r="JDB190" s="34"/>
      <c r="JDC190" s="34"/>
      <c r="JDD190" s="34"/>
      <c r="JDE190" s="34"/>
      <c r="JDF190" s="34"/>
      <c r="JDG190" s="34"/>
      <c r="JDH190" s="34"/>
      <c r="JDI190" s="34"/>
      <c r="JDJ190" s="34"/>
      <c r="JDK190" s="34"/>
      <c r="JDL190" s="34"/>
      <c r="JDM190" s="34"/>
      <c r="JDN190" s="34"/>
      <c r="JDO190" s="34"/>
      <c r="JDP190" s="34"/>
      <c r="JDQ190" s="34"/>
      <c r="JDR190" s="34"/>
      <c r="JDS190" s="34"/>
      <c r="JDT190" s="34"/>
      <c r="JDU190" s="34"/>
      <c r="JDV190" s="34"/>
      <c r="JDW190" s="34"/>
      <c r="JDX190" s="34"/>
      <c r="JDY190" s="34"/>
      <c r="JDZ190" s="34"/>
      <c r="JEA190" s="34"/>
      <c r="JEB190" s="34"/>
      <c r="JEC190" s="34"/>
      <c r="JED190" s="34"/>
      <c r="JEE190" s="34"/>
      <c r="JEF190" s="34"/>
      <c r="JEG190" s="34"/>
      <c r="JEH190" s="34"/>
      <c r="JEI190" s="34"/>
      <c r="JEJ190" s="34"/>
      <c r="JEK190" s="34"/>
      <c r="JEL190" s="34"/>
      <c r="JEM190" s="34"/>
      <c r="JEN190" s="34"/>
      <c r="JEO190" s="34"/>
      <c r="JEP190" s="34"/>
      <c r="JEQ190" s="34"/>
      <c r="JER190" s="34"/>
      <c r="JES190" s="34"/>
      <c r="JET190" s="34"/>
      <c r="JEU190" s="34"/>
      <c r="JEV190" s="34"/>
      <c r="JEW190" s="34"/>
      <c r="JEX190" s="34"/>
      <c r="JEY190" s="34"/>
      <c r="JEZ190" s="34"/>
      <c r="JFA190" s="34"/>
      <c r="JFB190" s="34"/>
      <c r="JFC190" s="34"/>
      <c r="JFD190" s="34"/>
      <c r="JFE190" s="34"/>
      <c r="JFF190" s="34"/>
      <c r="JFG190" s="34"/>
      <c r="JFH190" s="34"/>
      <c r="JFI190" s="34"/>
      <c r="JFJ190" s="34"/>
      <c r="JFK190" s="34"/>
      <c r="JFL190" s="34"/>
      <c r="JFM190" s="34"/>
      <c r="JFN190" s="34"/>
      <c r="JFO190" s="34"/>
      <c r="JFP190" s="34"/>
      <c r="JFQ190" s="34"/>
      <c r="JFR190" s="34"/>
      <c r="JFS190" s="34"/>
      <c r="JFT190" s="34"/>
      <c r="JFU190" s="34"/>
      <c r="JFV190" s="34"/>
      <c r="JFW190" s="34"/>
      <c r="JFX190" s="34"/>
      <c r="JFY190" s="34"/>
      <c r="JFZ190" s="34"/>
      <c r="JGA190" s="34"/>
      <c r="JGB190" s="34"/>
      <c r="JGC190" s="34"/>
      <c r="JGD190" s="34"/>
      <c r="JGE190" s="34"/>
      <c r="JGF190" s="34"/>
      <c r="JGG190" s="34"/>
      <c r="JGH190" s="34"/>
      <c r="JGI190" s="34"/>
      <c r="JGJ190" s="34"/>
      <c r="JGK190" s="34"/>
      <c r="JGL190" s="34"/>
      <c r="JGM190" s="34"/>
      <c r="JGN190" s="34"/>
      <c r="JGO190" s="34"/>
      <c r="JGP190" s="34"/>
      <c r="JGQ190" s="34"/>
      <c r="JGR190" s="34"/>
      <c r="JGS190" s="34"/>
      <c r="JGT190" s="34"/>
      <c r="JGU190" s="34"/>
      <c r="JGV190" s="34"/>
      <c r="JGW190" s="34"/>
      <c r="JGX190" s="34"/>
      <c r="JGY190" s="34"/>
      <c r="JGZ190" s="34"/>
      <c r="JHA190" s="34"/>
      <c r="JHB190" s="34"/>
      <c r="JHC190" s="34"/>
      <c r="JHD190" s="34"/>
      <c r="JHE190" s="34"/>
      <c r="JHF190" s="34"/>
      <c r="JHG190" s="34"/>
      <c r="JHH190" s="34"/>
      <c r="JHI190" s="34"/>
      <c r="JHJ190" s="34"/>
      <c r="JHK190" s="34"/>
      <c r="JHL190" s="34"/>
      <c r="JHM190" s="34"/>
      <c r="JHN190" s="34"/>
      <c r="JHO190" s="34"/>
      <c r="JHP190" s="34"/>
      <c r="JHQ190" s="34"/>
      <c r="JHR190" s="34"/>
      <c r="JHS190" s="34"/>
      <c r="JHT190" s="34"/>
      <c r="JHU190" s="34"/>
      <c r="JHV190" s="34"/>
      <c r="JHW190" s="34"/>
      <c r="JHX190" s="34"/>
      <c r="JHY190" s="34"/>
      <c r="JHZ190" s="34"/>
      <c r="JIA190" s="34"/>
      <c r="JIB190" s="34"/>
      <c r="JIC190" s="34"/>
      <c r="JID190" s="34"/>
      <c r="JIE190" s="34"/>
      <c r="JIF190" s="34"/>
      <c r="JIG190" s="34"/>
      <c r="JIH190" s="34"/>
      <c r="JII190" s="34"/>
      <c r="JIJ190" s="34"/>
      <c r="JIK190" s="34"/>
      <c r="JIL190" s="34"/>
      <c r="JIM190" s="34"/>
      <c r="JIN190" s="34"/>
      <c r="JIO190" s="34"/>
      <c r="JIP190" s="34"/>
      <c r="JIQ190" s="34"/>
      <c r="JIR190" s="34"/>
      <c r="JIS190" s="34"/>
      <c r="JIT190" s="34"/>
      <c r="JIU190" s="34"/>
      <c r="JIV190" s="34"/>
      <c r="JIW190" s="34"/>
      <c r="JIX190" s="34"/>
      <c r="JIY190" s="34"/>
      <c r="JIZ190" s="34"/>
      <c r="JJA190" s="34"/>
      <c r="JJB190" s="34"/>
      <c r="JJC190" s="34"/>
      <c r="JJD190" s="34"/>
      <c r="JJE190" s="34"/>
      <c r="JJF190" s="34"/>
      <c r="JJG190" s="34"/>
      <c r="JJH190" s="34"/>
      <c r="JJI190" s="34"/>
      <c r="JJJ190" s="34"/>
      <c r="JJK190" s="34"/>
      <c r="JJL190" s="34"/>
      <c r="JJM190" s="34"/>
      <c r="JJN190" s="34"/>
      <c r="JJO190" s="34"/>
      <c r="JJP190" s="34"/>
      <c r="JJQ190" s="34"/>
      <c r="JJR190" s="34"/>
      <c r="JJS190" s="34"/>
      <c r="JJT190" s="34"/>
      <c r="JJU190" s="34"/>
      <c r="JJV190" s="34"/>
      <c r="JJW190" s="34"/>
      <c r="JJX190" s="34"/>
      <c r="JJY190" s="34"/>
      <c r="JJZ190" s="34"/>
      <c r="JKA190" s="34"/>
      <c r="JKB190" s="34"/>
      <c r="JKC190" s="34"/>
      <c r="JKD190" s="34"/>
      <c r="JKE190" s="34"/>
      <c r="JKF190" s="34"/>
      <c r="JKG190" s="34"/>
      <c r="JKH190" s="34"/>
      <c r="JKI190" s="34"/>
      <c r="JKJ190" s="34"/>
      <c r="JKK190" s="34"/>
      <c r="JKL190" s="34"/>
      <c r="JKM190" s="34"/>
      <c r="JKN190" s="34"/>
      <c r="JKO190" s="34"/>
      <c r="JKP190" s="34"/>
      <c r="JKQ190" s="34"/>
      <c r="JKR190" s="34"/>
      <c r="JKS190" s="34"/>
      <c r="JKT190" s="34"/>
      <c r="JKU190" s="34"/>
      <c r="JKV190" s="34"/>
      <c r="JKW190" s="34"/>
      <c r="JKX190" s="34"/>
      <c r="JKY190" s="34"/>
      <c r="JKZ190" s="34"/>
      <c r="JLA190" s="34"/>
      <c r="JLB190" s="34"/>
      <c r="JLC190" s="34"/>
      <c r="JLD190" s="34"/>
      <c r="JLE190" s="34"/>
      <c r="JLF190" s="34"/>
      <c r="JLG190" s="34"/>
      <c r="JLH190" s="34"/>
      <c r="JLI190" s="34"/>
      <c r="JLJ190" s="34"/>
      <c r="JLK190" s="34"/>
      <c r="JLL190" s="34"/>
      <c r="JLM190" s="34"/>
      <c r="JLN190" s="34"/>
      <c r="JLO190" s="34"/>
      <c r="JLP190" s="34"/>
      <c r="JLQ190" s="34"/>
      <c r="JLR190" s="34"/>
      <c r="JLS190" s="34"/>
      <c r="JLT190" s="34"/>
      <c r="JLU190" s="34"/>
      <c r="JLV190" s="34"/>
      <c r="JLW190" s="34"/>
      <c r="JLX190" s="34"/>
      <c r="JLY190" s="34"/>
      <c r="JLZ190" s="34"/>
      <c r="JMA190" s="34"/>
      <c r="JMB190" s="34"/>
      <c r="JMC190" s="34"/>
      <c r="JMD190" s="34"/>
      <c r="JME190" s="34"/>
      <c r="JMF190" s="34"/>
      <c r="JMG190" s="34"/>
      <c r="JMH190" s="34"/>
      <c r="JMI190" s="34"/>
      <c r="JMJ190" s="34"/>
      <c r="JMK190" s="34"/>
      <c r="JML190" s="34"/>
      <c r="JMM190" s="34"/>
      <c r="JMN190" s="34"/>
      <c r="JMO190" s="34"/>
      <c r="JMP190" s="34"/>
      <c r="JMQ190" s="34"/>
      <c r="JMR190" s="34"/>
      <c r="JMS190" s="34"/>
      <c r="JMT190" s="34"/>
      <c r="JMU190" s="34"/>
      <c r="JMV190" s="34"/>
      <c r="JMW190" s="34"/>
      <c r="JMX190" s="34"/>
      <c r="JMY190" s="34"/>
      <c r="JMZ190" s="34"/>
      <c r="JNA190" s="34"/>
      <c r="JNB190" s="34"/>
      <c r="JNC190" s="34"/>
      <c r="JND190" s="34"/>
      <c r="JNE190" s="34"/>
      <c r="JNF190" s="34"/>
      <c r="JNG190" s="34"/>
      <c r="JNH190" s="34"/>
      <c r="JNI190" s="34"/>
      <c r="JNJ190" s="34"/>
      <c r="JNK190" s="34"/>
      <c r="JNL190" s="34"/>
      <c r="JNM190" s="34"/>
      <c r="JNN190" s="34"/>
      <c r="JNO190" s="34"/>
      <c r="JNP190" s="34"/>
      <c r="JNQ190" s="34"/>
      <c r="JNR190" s="34"/>
      <c r="JNS190" s="34"/>
      <c r="JNT190" s="34"/>
      <c r="JNU190" s="34"/>
      <c r="JNV190" s="34"/>
      <c r="JNW190" s="34"/>
      <c r="JNX190" s="34"/>
      <c r="JNY190" s="34"/>
      <c r="JNZ190" s="34"/>
      <c r="JOA190" s="34"/>
      <c r="JOB190" s="34"/>
      <c r="JOC190" s="34"/>
      <c r="JOD190" s="34"/>
      <c r="JOE190" s="34"/>
      <c r="JOF190" s="34"/>
      <c r="JOG190" s="34"/>
      <c r="JOH190" s="34"/>
      <c r="JOI190" s="34"/>
      <c r="JOJ190" s="34"/>
      <c r="JOK190" s="34"/>
      <c r="JOL190" s="34"/>
      <c r="JOM190" s="34"/>
      <c r="JON190" s="34"/>
      <c r="JOO190" s="34"/>
      <c r="JOP190" s="34"/>
      <c r="JOQ190" s="34"/>
      <c r="JOR190" s="34"/>
      <c r="JOS190" s="34"/>
      <c r="JOT190" s="34"/>
      <c r="JOU190" s="34"/>
      <c r="JOV190" s="34"/>
      <c r="JOW190" s="34"/>
      <c r="JOX190" s="34"/>
      <c r="JOY190" s="34"/>
      <c r="JOZ190" s="34"/>
      <c r="JPA190" s="34"/>
      <c r="JPB190" s="34"/>
      <c r="JPC190" s="34"/>
      <c r="JPD190" s="34"/>
      <c r="JPE190" s="34"/>
      <c r="JPF190" s="34"/>
      <c r="JPG190" s="34"/>
      <c r="JPH190" s="34"/>
      <c r="JPI190" s="34"/>
      <c r="JPJ190" s="34"/>
      <c r="JPK190" s="34"/>
      <c r="JPL190" s="34"/>
      <c r="JPM190" s="34"/>
      <c r="JPN190" s="34"/>
      <c r="JPO190" s="34"/>
      <c r="JPP190" s="34"/>
      <c r="JPQ190" s="34"/>
      <c r="JPR190" s="34"/>
      <c r="JPS190" s="34"/>
      <c r="JPT190" s="34"/>
      <c r="JPU190" s="34"/>
      <c r="JPV190" s="34"/>
      <c r="JPW190" s="34"/>
      <c r="JPX190" s="34"/>
      <c r="JPY190" s="34"/>
      <c r="JPZ190" s="34"/>
      <c r="JQA190" s="34"/>
      <c r="JQB190" s="34"/>
      <c r="JQC190" s="34"/>
      <c r="JQD190" s="34"/>
      <c r="JQE190" s="34"/>
      <c r="JQF190" s="34"/>
      <c r="JQG190" s="34"/>
      <c r="JQH190" s="34"/>
      <c r="JQI190" s="34"/>
      <c r="JQJ190" s="34"/>
      <c r="JQK190" s="34"/>
      <c r="JQL190" s="34"/>
      <c r="JQM190" s="34"/>
      <c r="JQN190" s="34"/>
      <c r="JQO190" s="34"/>
      <c r="JQP190" s="34"/>
      <c r="JQQ190" s="34"/>
      <c r="JQR190" s="34"/>
      <c r="JQS190" s="34"/>
      <c r="JQT190" s="34"/>
      <c r="JQU190" s="34"/>
      <c r="JQV190" s="34"/>
      <c r="JQW190" s="34"/>
      <c r="JQX190" s="34"/>
      <c r="JQY190" s="34"/>
      <c r="JQZ190" s="34"/>
      <c r="JRA190" s="34"/>
      <c r="JRB190" s="34"/>
      <c r="JRC190" s="34"/>
      <c r="JRD190" s="34"/>
      <c r="JRE190" s="34"/>
      <c r="JRF190" s="34"/>
      <c r="JRG190" s="34"/>
      <c r="JRH190" s="34"/>
      <c r="JRI190" s="34"/>
      <c r="JRJ190" s="34"/>
      <c r="JRK190" s="34"/>
      <c r="JRL190" s="34"/>
      <c r="JRM190" s="34"/>
      <c r="JRN190" s="34"/>
      <c r="JRO190" s="34"/>
      <c r="JRP190" s="34"/>
      <c r="JRQ190" s="34"/>
      <c r="JRR190" s="34"/>
      <c r="JRS190" s="34"/>
      <c r="JRT190" s="34"/>
      <c r="JRU190" s="34"/>
      <c r="JRV190" s="34"/>
      <c r="JRW190" s="34"/>
      <c r="JRX190" s="34"/>
      <c r="JRY190" s="34"/>
      <c r="JRZ190" s="34"/>
      <c r="JSA190" s="34"/>
      <c r="JSB190" s="34"/>
      <c r="JSC190" s="34"/>
      <c r="JSD190" s="34"/>
      <c r="JSE190" s="34"/>
      <c r="JSF190" s="34"/>
      <c r="JSG190" s="34"/>
      <c r="JSH190" s="34"/>
      <c r="JSI190" s="34"/>
      <c r="JSJ190" s="34"/>
      <c r="JSK190" s="34"/>
      <c r="JSL190" s="34"/>
      <c r="JSM190" s="34"/>
      <c r="JSN190" s="34"/>
      <c r="JSO190" s="34"/>
      <c r="JSP190" s="34"/>
      <c r="JSQ190" s="34"/>
      <c r="JSR190" s="34"/>
      <c r="JSS190" s="34"/>
      <c r="JST190" s="34"/>
      <c r="JSU190" s="34"/>
      <c r="JSV190" s="34"/>
      <c r="JSW190" s="34"/>
      <c r="JSX190" s="34"/>
      <c r="JSY190" s="34"/>
      <c r="JSZ190" s="34"/>
      <c r="JTA190" s="34"/>
      <c r="JTB190" s="34"/>
      <c r="JTC190" s="34"/>
      <c r="JTD190" s="34"/>
      <c r="JTE190" s="34"/>
      <c r="JTF190" s="34"/>
      <c r="JTG190" s="34"/>
      <c r="JTH190" s="34"/>
      <c r="JTI190" s="34"/>
      <c r="JTJ190" s="34"/>
      <c r="JTK190" s="34"/>
      <c r="JTL190" s="34"/>
      <c r="JTM190" s="34"/>
      <c r="JTN190" s="34"/>
      <c r="JTO190" s="34"/>
      <c r="JTP190" s="34"/>
      <c r="JTQ190" s="34"/>
      <c r="JTR190" s="34"/>
      <c r="JTS190" s="34"/>
      <c r="JTT190" s="34"/>
      <c r="JTU190" s="34"/>
      <c r="JTV190" s="34"/>
      <c r="JTW190" s="34"/>
      <c r="JTX190" s="34"/>
      <c r="JTY190" s="34"/>
      <c r="JTZ190" s="34"/>
      <c r="JUA190" s="34"/>
      <c r="JUB190" s="34"/>
      <c r="JUC190" s="34"/>
      <c r="JUD190" s="34"/>
      <c r="JUE190" s="34"/>
      <c r="JUF190" s="34"/>
      <c r="JUG190" s="34"/>
      <c r="JUH190" s="34"/>
      <c r="JUI190" s="34"/>
      <c r="JUJ190" s="34"/>
      <c r="JUK190" s="34"/>
      <c r="JUL190" s="34"/>
      <c r="JUM190" s="34"/>
      <c r="JUN190" s="34"/>
      <c r="JUO190" s="34"/>
      <c r="JUP190" s="34"/>
      <c r="JUQ190" s="34"/>
      <c r="JUR190" s="34"/>
      <c r="JUS190" s="34"/>
      <c r="JUT190" s="34"/>
      <c r="JUU190" s="34"/>
      <c r="JUV190" s="34"/>
      <c r="JUW190" s="34"/>
      <c r="JUX190" s="34"/>
      <c r="JUY190" s="34"/>
      <c r="JUZ190" s="34"/>
      <c r="JVA190" s="34"/>
      <c r="JVB190" s="34"/>
      <c r="JVC190" s="34"/>
      <c r="JVD190" s="34"/>
      <c r="JVE190" s="34"/>
      <c r="JVF190" s="34"/>
      <c r="JVG190" s="34"/>
      <c r="JVH190" s="34"/>
      <c r="JVI190" s="34"/>
      <c r="JVJ190" s="34"/>
      <c r="JVK190" s="34"/>
      <c r="JVL190" s="34"/>
      <c r="JVM190" s="34"/>
      <c r="JVN190" s="34"/>
      <c r="JVO190" s="34"/>
      <c r="JVP190" s="34"/>
      <c r="JVQ190" s="34"/>
      <c r="JVR190" s="34"/>
      <c r="JVS190" s="34"/>
      <c r="JVT190" s="34"/>
      <c r="JVU190" s="34"/>
      <c r="JVV190" s="34"/>
      <c r="JVW190" s="34"/>
      <c r="JVX190" s="34"/>
      <c r="JVY190" s="34"/>
      <c r="JVZ190" s="34"/>
      <c r="JWA190" s="34"/>
      <c r="JWB190" s="34"/>
      <c r="JWC190" s="34"/>
      <c r="JWD190" s="34"/>
      <c r="JWE190" s="34"/>
      <c r="JWF190" s="34"/>
      <c r="JWG190" s="34"/>
      <c r="JWH190" s="34"/>
      <c r="JWI190" s="34"/>
      <c r="JWJ190" s="34"/>
      <c r="JWK190" s="34"/>
      <c r="JWL190" s="34"/>
      <c r="JWM190" s="34"/>
      <c r="JWN190" s="34"/>
      <c r="JWO190" s="34"/>
      <c r="JWP190" s="34"/>
      <c r="JWQ190" s="34"/>
      <c r="JWR190" s="34"/>
      <c r="JWS190" s="34"/>
      <c r="JWT190" s="34"/>
      <c r="JWU190" s="34"/>
      <c r="JWV190" s="34"/>
      <c r="JWW190" s="34"/>
      <c r="JWX190" s="34"/>
      <c r="JWY190" s="34"/>
      <c r="JWZ190" s="34"/>
      <c r="JXA190" s="34"/>
      <c r="JXB190" s="34"/>
      <c r="JXC190" s="34"/>
      <c r="JXD190" s="34"/>
      <c r="JXE190" s="34"/>
      <c r="JXF190" s="34"/>
      <c r="JXG190" s="34"/>
      <c r="JXH190" s="34"/>
      <c r="JXI190" s="34"/>
      <c r="JXJ190" s="34"/>
      <c r="JXK190" s="34"/>
      <c r="JXL190" s="34"/>
      <c r="JXM190" s="34"/>
      <c r="JXN190" s="34"/>
      <c r="JXO190" s="34"/>
      <c r="JXP190" s="34"/>
      <c r="JXQ190" s="34"/>
      <c r="JXR190" s="34"/>
      <c r="JXS190" s="34"/>
      <c r="JXT190" s="34"/>
      <c r="JXU190" s="34"/>
      <c r="JXV190" s="34"/>
      <c r="JXW190" s="34"/>
      <c r="JXX190" s="34"/>
      <c r="JXY190" s="34"/>
      <c r="JXZ190" s="34"/>
      <c r="JYA190" s="34"/>
      <c r="JYB190" s="34"/>
      <c r="JYC190" s="34"/>
      <c r="JYD190" s="34"/>
      <c r="JYE190" s="34"/>
      <c r="JYF190" s="34"/>
      <c r="JYG190" s="34"/>
      <c r="JYH190" s="34"/>
      <c r="JYI190" s="34"/>
      <c r="JYJ190" s="34"/>
      <c r="JYK190" s="34"/>
      <c r="JYL190" s="34"/>
      <c r="JYM190" s="34"/>
      <c r="JYN190" s="34"/>
      <c r="JYO190" s="34"/>
      <c r="JYP190" s="34"/>
      <c r="JYQ190" s="34"/>
      <c r="JYR190" s="34"/>
      <c r="JYS190" s="34"/>
      <c r="JYT190" s="34"/>
      <c r="JYU190" s="34"/>
      <c r="JYV190" s="34"/>
      <c r="JYW190" s="34"/>
      <c r="JYX190" s="34"/>
      <c r="JYY190" s="34"/>
      <c r="JYZ190" s="34"/>
      <c r="JZA190" s="34"/>
      <c r="JZB190" s="34"/>
      <c r="JZC190" s="34"/>
      <c r="JZD190" s="34"/>
      <c r="JZE190" s="34"/>
      <c r="JZF190" s="34"/>
      <c r="JZG190" s="34"/>
      <c r="JZH190" s="34"/>
      <c r="JZI190" s="34"/>
      <c r="JZJ190" s="34"/>
      <c r="JZK190" s="34"/>
      <c r="JZL190" s="34"/>
      <c r="JZM190" s="34"/>
      <c r="JZN190" s="34"/>
      <c r="JZO190" s="34"/>
      <c r="JZP190" s="34"/>
      <c r="JZQ190" s="34"/>
      <c r="JZR190" s="34"/>
      <c r="JZS190" s="34"/>
      <c r="JZT190" s="34"/>
      <c r="JZU190" s="34"/>
      <c r="JZV190" s="34"/>
      <c r="JZW190" s="34"/>
      <c r="JZX190" s="34"/>
      <c r="JZY190" s="34"/>
      <c r="JZZ190" s="34"/>
      <c r="KAA190" s="34"/>
      <c r="KAB190" s="34"/>
      <c r="KAC190" s="34"/>
      <c r="KAD190" s="34"/>
      <c r="KAE190" s="34"/>
      <c r="KAF190" s="34"/>
      <c r="KAG190" s="34"/>
      <c r="KAH190" s="34"/>
      <c r="KAI190" s="34"/>
      <c r="KAJ190" s="34"/>
      <c r="KAK190" s="34"/>
      <c r="KAL190" s="34"/>
      <c r="KAM190" s="34"/>
      <c r="KAN190" s="34"/>
      <c r="KAO190" s="34"/>
      <c r="KAP190" s="34"/>
      <c r="KAQ190" s="34"/>
      <c r="KAR190" s="34"/>
      <c r="KAS190" s="34"/>
      <c r="KAT190" s="34"/>
      <c r="KAU190" s="34"/>
      <c r="KAV190" s="34"/>
      <c r="KAW190" s="34"/>
      <c r="KAX190" s="34"/>
      <c r="KAY190" s="34"/>
      <c r="KAZ190" s="34"/>
      <c r="KBA190" s="34"/>
      <c r="KBB190" s="34"/>
      <c r="KBC190" s="34"/>
      <c r="KBD190" s="34"/>
      <c r="KBE190" s="34"/>
      <c r="KBF190" s="34"/>
      <c r="KBG190" s="34"/>
      <c r="KBH190" s="34"/>
      <c r="KBI190" s="34"/>
      <c r="KBJ190" s="34"/>
      <c r="KBK190" s="34"/>
      <c r="KBL190" s="34"/>
      <c r="KBM190" s="34"/>
      <c r="KBN190" s="34"/>
      <c r="KBO190" s="34"/>
      <c r="KBP190" s="34"/>
      <c r="KBQ190" s="34"/>
      <c r="KBR190" s="34"/>
      <c r="KBS190" s="34"/>
      <c r="KBT190" s="34"/>
      <c r="KBU190" s="34"/>
      <c r="KBV190" s="34"/>
      <c r="KBW190" s="34"/>
      <c r="KBX190" s="34"/>
      <c r="KBY190" s="34"/>
      <c r="KBZ190" s="34"/>
      <c r="KCA190" s="34"/>
      <c r="KCB190" s="34"/>
      <c r="KCC190" s="34"/>
      <c r="KCD190" s="34"/>
      <c r="KCE190" s="34"/>
      <c r="KCF190" s="34"/>
      <c r="KCG190" s="34"/>
      <c r="KCH190" s="34"/>
      <c r="KCI190" s="34"/>
      <c r="KCJ190" s="34"/>
      <c r="KCK190" s="34"/>
      <c r="KCL190" s="34"/>
      <c r="KCM190" s="34"/>
      <c r="KCN190" s="34"/>
      <c r="KCO190" s="34"/>
      <c r="KCP190" s="34"/>
      <c r="KCQ190" s="34"/>
      <c r="KCR190" s="34"/>
      <c r="KCS190" s="34"/>
      <c r="KCT190" s="34"/>
      <c r="KCU190" s="34"/>
      <c r="KCV190" s="34"/>
      <c r="KCW190" s="34"/>
      <c r="KCX190" s="34"/>
      <c r="KCY190" s="34"/>
      <c r="KCZ190" s="34"/>
      <c r="KDA190" s="34"/>
      <c r="KDB190" s="34"/>
      <c r="KDC190" s="34"/>
      <c r="KDD190" s="34"/>
      <c r="KDE190" s="34"/>
      <c r="KDF190" s="34"/>
      <c r="KDG190" s="34"/>
      <c r="KDH190" s="34"/>
      <c r="KDI190" s="34"/>
      <c r="KDJ190" s="34"/>
      <c r="KDK190" s="34"/>
      <c r="KDL190" s="34"/>
      <c r="KDM190" s="34"/>
      <c r="KDN190" s="34"/>
      <c r="KDO190" s="34"/>
      <c r="KDP190" s="34"/>
      <c r="KDQ190" s="34"/>
      <c r="KDR190" s="34"/>
      <c r="KDS190" s="34"/>
      <c r="KDT190" s="34"/>
      <c r="KDU190" s="34"/>
      <c r="KDV190" s="34"/>
      <c r="KDW190" s="34"/>
      <c r="KDX190" s="34"/>
      <c r="KDY190" s="34"/>
      <c r="KDZ190" s="34"/>
      <c r="KEA190" s="34"/>
      <c r="KEB190" s="34"/>
      <c r="KEC190" s="34"/>
      <c r="KED190" s="34"/>
      <c r="KEE190" s="34"/>
      <c r="KEF190" s="34"/>
      <c r="KEG190" s="34"/>
      <c r="KEH190" s="34"/>
      <c r="KEI190" s="34"/>
      <c r="KEJ190" s="34"/>
      <c r="KEK190" s="34"/>
      <c r="KEL190" s="34"/>
      <c r="KEM190" s="34"/>
      <c r="KEN190" s="34"/>
      <c r="KEO190" s="34"/>
      <c r="KEP190" s="34"/>
      <c r="KEQ190" s="34"/>
      <c r="KER190" s="34"/>
      <c r="KES190" s="34"/>
      <c r="KET190" s="34"/>
      <c r="KEU190" s="34"/>
      <c r="KEV190" s="34"/>
      <c r="KEW190" s="34"/>
      <c r="KEX190" s="34"/>
      <c r="KEY190" s="34"/>
      <c r="KEZ190" s="34"/>
      <c r="KFA190" s="34"/>
      <c r="KFB190" s="34"/>
      <c r="KFC190" s="34"/>
      <c r="KFD190" s="34"/>
      <c r="KFE190" s="34"/>
      <c r="KFF190" s="34"/>
      <c r="KFG190" s="34"/>
      <c r="KFH190" s="34"/>
      <c r="KFI190" s="34"/>
      <c r="KFJ190" s="34"/>
      <c r="KFK190" s="34"/>
      <c r="KFL190" s="34"/>
      <c r="KFM190" s="34"/>
      <c r="KFN190" s="34"/>
      <c r="KFO190" s="34"/>
      <c r="KFP190" s="34"/>
      <c r="KFQ190" s="34"/>
      <c r="KFR190" s="34"/>
      <c r="KFS190" s="34"/>
      <c r="KFT190" s="34"/>
      <c r="KFU190" s="34"/>
      <c r="KFV190" s="34"/>
      <c r="KFW190" s="34"/>
      <c r="KFX190" s="34"/>
      <c r="KFY190" s="34"/>
      <c r="KFZ190" s="34"/>
      <c r="KGA190" s="34"/>
      <c r="KGB190" s="34"/>
      <c r="KGC190" s="34"/>
      <c r="KGD190" s="34"/>
      <c r="KGE190" s="34"/>
      <c r="KGF190" s="34"/>
      <c r="KGG190" s="34"/>
      <c r="KGH190" s="34"/>
      <c r="KGI190" s="34"/>
      <c r="KGJ190" s="34"/>
      <c r="KGK190" s="34"/>
      <c r="KGL190" s="34"/>
      <c r="KGM190" s="34"/>
      <c r="KGN190" s="34"/>
      <c r="KGO190" s="34"/>
      <c r="KGP190" s="34"/>
      <c r="KGQ190" s="34"/>
      <c r="KGR190" s="34"/>
      <c r="KGS190" s="34"/>
      <c r="KGT190" s="34"/>
      <c r="KGU190" s="34"/>
      <c r="KGV190" s="34"/>
      <c r="KGW190" s="34"/>
      <c r="KGX190" s="34"/>
      <c r="KGY190" s="34"/>
      <c r="KGZ190" s="34"/>
      <c r="KHA190" s="34"/>
      <c r="KHB190" s="34"/>
      <c r="KHC190" s="34"/>
      <c r="KHD190" s="34"/>
      <c r="KHE190" s="34"/>
      <c r="KHF190" s="34"/>
      <c r="KHG190" s="34"/>
      <c r="KHH190" s="34"/>
      <c r="KHI190" s="34"/>
      <c r="KHJ190" s="34"/>
      <c r="KHK190" s="34"/>
      <c r="KHL190" s="34"/>
      <c r="KHM190" s="34"/>
      <c r="KHN190" s="34"/>
      <c r="KHO190" s="34"/>
      <c r="KHP190" s="34"/>
      <c r="KHQ190" s="34"/>
      <c r="KHR190" s="34"/>
      <c r="KHS190" s="34"/>
      <c r="KHT190" s="34"/>
      <c r="KHU190" s="34"/>
      <c r="KHV190" s="34"/>
      <c r="KHW190" s="34"/>
      <c r="KHX190" s="34"/>
      <c r="KHY190" s="34"/>
      <c r="KHZ190" s="34"/>
      <c r="KIA190" s="34"/>
      <c r="KIB190" s="34"/>
      <c r="KIC190" s="34"/>
      <c r="KID190" s="34"/>
      <c r="KIE190" s="34"/>
      <c r="KIF190" s="34"/>
      <c r="KIG190" s="34"/>
      <c r="KIH190" s="34"/>
      <c r="KII190" s="34"/>
      <c r="KIJ190" s="34"/>
      <c r="KIK190" s="34"/>
      <c r="KIL190" s="34"/>
      <c r="KIM190" s="34"/>
      <c r="KIN190" s="34"/>
      <c r="KIO190" s="34"/>
      <c r="KIP190" s="34"/>
      <c r="KIQ190" s="34"/>
      <c r="KIR190" s="34"/>
      <c r="KIS190" s="34"/>
      <c r="KIT190" s="34"/>
      <c r="KIU190" s="34"/>
      <c r="KIV190" s="34"/>
      <c r="KIW190" s="34"/>
      <c r="KIX190" s="34"/>
      <c r="KIY190" s="34"/>
      <c r="KIZ190" s="34"/>
      <c r="KJA190" s="34"/>
      <c r="KJB190" s="34"/>
      <c r="KJC190" s="34"/>
      <c r="KJD190" s="34"/>
      <c r="KJE190" s="34"/>
      <c r="KJF190" s="34"/>
      <c r="KJG190" s="34"/>
      <c r="KJH190" s="34"/>
      <c r="KJI190" s="34"/>
      <c r="KJJ190" s="34"/>
      <c r="KJK190" s="34"/>
      <c r="KJL190" s="34"/>
      <c r="KJM190" s="34"/>
      <c r="KJN190" s="34"/>
      <c r="KJO190" s="34"/>
      <c r="KJP190" s="34"/>
      <c r="KJQ190" s="34"/>
      <c r="KJR190" s="34"/>
      <c r="KJS190" s="34"/>
      <c r="KJT190" s="34"/>
      <c r="KJU190" s="34"/>
      <c r="KJV190" s="34"/>
      <c r="KJW190" s="34"/>
      <c r="KJX190" s="34"/>
      <c r="KJY190" s="34"/>
      <c r="KJZ190" s="34"/>
      <c r="KKA190" s="34"/>
      <c r="KKB190" s="34"/>
      <c r="KKC190" s="34"/>
      <c r="KKD190" s="34"/>
      <c r="KKE190" s="34"/>
      <c r="KKF190" s="34"/>
      <c r="KKG190" s="34"/>
      <c r="KKH190" s="34"/>
      <c r="KKI190" s="34"/>
      <c r="KKJ190" s="34"/>
      <c r="KKK190" s="34"/>
      <c r="KKL190" s="34"/>
      <c r="KKM190" s="34"/>
      <c r="KKN190" s="34"/>
      <c r="KKO190" s="34"/>
      <c r="KKP190" s="34"/>
      <c r="KKQ190" s="34"/>
      <c r="KKR190" s="34"/>
      <c r="KKS190" s="34"/>
      <c r="KKT190" s="34"/>
      <c r="KKU190" s="34"/>
      <c r="KKV190" s="34"/>
      <c r="KKW190" s="34"/>
      <c r="KKX190" s="34"/>
      <c r="KKY190" s="34"/>
      <c r="KKZ190" s="34"/>
      <c r="KLA190" s="34"/>
      <c r="KLB190" s="34"/>
      <c r="KLC190" s="34"/>
      <c r="KLD190" s="34"/>
      <c r="KLE190" s="34"/>
      <c r="KLF190" s="34"/>
      <c r="KLG190" s="34"/>
      <c r="KLH190" s="34"/>
      <c r="KLI190" s="34"/>
      <c r="KLJ190" s="34"/>
      <c r="KLK190" s="34"/>
      <c r="KLL190" s="34"/>
      <c r="KLM190" s="34"/>
      <c r="KLN190" s="34"/>
      <c r="KLO190" s="34"/>
      <c r="KLP190" s="34"/>
      <c r="KLQ190" s="34"/>
      <c r="KLR190" s="34"/>
      <c r="KLS190" s="34"/>
      <c r="KLT190" s="34"/>
      <c r="KLU190" s="34"/>
      <c r="KLV190" s="34"/>
      <c r="KLW190" s="34"/>
      <c r="KLX190" s="34"/>
      <c r="KLY190" s="34"/>
      <c r="KLZ190" s="34"/>
      <c r="KMA190" s="34"/>
      <c r="KMB190" s="34"/>
      <c r="KMC190" s="34"/>
      <c r="KMD190" s="34"/>
      <c r="KME190" s="34"/>
      <c r="KMF190" s="34"/>
      <c r="KMG190" s="34"/>
      <c r="KMH190" s="34"/>
      <c r="KMI190" s="34"/>
      <c r="KMJ190" s="34"/>
      <c r="KMK190" s="34"/>
      <c r="KML190" s="34"/>
      <c r="KMM190" s="34"/>
      <c r="KMN190" s="34"/>
      <c r="KMO190" s="34"/>
      <c r="KMP190" s="34"/>
      <c r="KMQ190" s="34"/>
      <c r="KMR190" s="34"/>
      <c r="KMS190" s="34"/>
      <c r="KMT190" s="34"/>
      <c r="KMU190" s="34"/>
      <c r="KMV190" s="34"/>
      <c r="KMW190" s="34"/>
      <c r="KMX190" s="34"/>
      <c r="KMY190" s="34"/>
      <c r="KMZ190" s="34"/>
      <c r="KNA190" s="34"/>
      <c r="KNB190" s="34"/>
      <c r="KNC190" s="34"/>
      <c r="KND190" s="34"/>
      <c r="KNE190" s="34"/>
      <c r="KNF190" s="34"/>
      <c r="KNG190" s="34"/>
      <c r="KNH190" s="34"/>
      <c r="KNI190" s="34"/>
      <c r="KNJ190" s="34"/>
      <c r="KNK190" s="34"/>
      <c r="KNL190" s="34"/>
      <c r="KNM190" s="34"/>
      <c r="KNN190" s="34"/>
      <c r="KNO190" s="34"/>
      <c r="KNP190" s="34"/>
      <c r="KNQ190" s="34"/>
      <c r="KNR190" s="34"/>
      <c r="KNS190" s="34"/>
      <c r="KNT190" s="34"/>
      <c r="KNU190" s="34"/>
      <c r="KNV190" s="34"/>
      <c r="KNW190" s="34"/>
      <c r="KNX190" s="34"/>
      <c r="KNY190" s="34"/>
      <c r="KNZ190" s="34"/>
      <c r="KOA190" s="34"/>
      <c r="KOB190" s="34"/>
      <c r="KOC190" s="34"/>
      <c r="KOD190" s="34"/>
      <c r="KOE190" s="34"/>
      <c r="KOF190" s="34"/>
      <c r="KOG190" s="34"/>
      <c r="KOH190" s="34"/>
      <c r="KOI190" s="34"/>
      <c r="KOJ190" s="34"/>
      <c r="KOK190" s="34"/>
      <c r="KOL190" s="34"/>
      <c r="KOM190" s="34"/>
      <c r="KON190" s="34"/>
      <c r="KOO190" s="34"/>
      <c r="KOP190" s="34"/>
      <c r="KOQ190" s="34"/>
      <c r="KOR190" s="34"/>
      <c r="KOS190" s="34"/>
      <c r="KOT190" s="34"/>
      <c r="KOU190" s="34"/>
      <c r="KOV190" s="34"/>
      <c r="KOW190" s="34"/>
      <c r="KOX190" s="34"/>
      <c r="KOY190" s="34"/>
      <c r="KOZ190" s="34"/>
      <c r="KPA190" s="34"/>
      <c r="KPB190" s="34"/>
      <c r="KPC190" s="34"/>
      <c r="KPD190" s="34"/>
      <c r="KPE190" s="34"/>
      <c r="KPF190" s="34"/>
      <c r="KPG190" s="34"/>
      <c r="KPH190" s="34"/>
      <c r="KPI190" s="34"/>
      <c r="KPJ190" s="34"/>
      <c r="KPK190" s="34"/>
      <c r="KPL190" s="34"/>
      <c r="KPM190" s="34"/>
      <c r="KPN190" s="34"/>
      <c r="KPO190" s="34"/>
      <c r="KPP190" s="34"/>
      <c r="KPQ190" s="34"/>
      <c r="KPR190" s="34"/>
      <c r="KPS190" s="34"/>
      <c r="KPT190" s="34"/>
      <c r="KPU190" s="34"/>
      <c r="KPV190" s="34"/>
      <c r="KPW190" s="34"/>
      <c r="KPX190" s="34"/>
      <c r="KPY190" s="34"/>
      <c r="KPZ190" s="34"/>
      <c r="KQA190" s="34"/>
      <c r="KQB190" s="34"/>
      <c r="KQC190" s="34"/>
      <c r="KQD190" s="34"/>
      <c r="KQE190" s="34"/>
      <c r="KQF190" s="34"/>
      <c r="KQG190" s="34"/>
      <c r="KQH190" s="34"/>
      <c r="KQI190" s="34"/>
      <c r="KQJ190" s="34"/>
      <c r="KQK190" s="34"/>
      <c r="KQL190" s="34"/>
      <c r="KQM190" s="34"/>
      <c r="KQN190" s="34"/>
      <c r="KQO190" s="34"/>
      <c r="KQP190" s="34"/>
      <c r="KQQ190" s="34"/>
      <c r="KQR190" s="34"/>
      <c r="KQS190" s="34"/>
      <c r="KQT190" s="34"/>
      <c r="KQU190" s="34"/>
      <c r="KQV190" s="34"/>
      <c r="KQW190" s="34"/>
      <c r="KQX190" s="34"/>
      <c r="KQY190" s="34"/>
      <c r="KQZ190" s="34"/>
      <c r="KRA190" s="34"/>
      <c r="KRB190" s="34"/>
      <c r="KRC190" s="34"/>
      <c r="KRD190" s="34"/>
      <c r="KRE190" s="34"/>
      <c r="KRF190" s="34"/>
      <c r="KRG190" s="34"/>
      <c r="KRH190" s="34"/>
      <c r="KRI190" s="34"/>
      <c r="KRJ190" s="34"/>
      <c r="KRK190" s="34"/>
      <c r="KRL190" s="34"/>
      <c r="KRM190" s="34"/>
      <c r="KRN190" s="34"/>
      <c r="KRO190" s="34"/>
      <c r="KRP190" s="34"/>
      <c r="KRQ190" s="34"/>
      <c r="KRR190" s="34"/>
      <c r="KRS190" s="34"/>
      <c r="KRT190" s="34"/>
      <c r="KRU190" s="34"/>
      <c r="KRV190" s="34"/>
      <c r="KRW190" s="34"/>
      <c r="KRX190" s="34"/>
      <c r="KRY190" s="34"/>
      <c r="KRZ190" s="34"/>
      <c r="KSA190" s="34"/>
      <c r="KSB190" s="34"/>
      <c r="KSC190" s="34"/>
      <c r="KSD190" s="34"/>
      <c r="KSE190" s="34"/>
      <c r="KSF190" s="34"/>
      <c r="KSG190" s="34"/>
      <c r="KSH190" s="34"/>
      <c r="KSI190" s="34"/>
      <c r="KSJ190" s="34"/>
      <c r="KSK190" s="34"/>
      <c r="KSL190" s="34"/>
      <c r="KSM190" s="34"/>
      <c r="KSN190" s="34"/>
      <c r="KSO190" s="34"/>
      <c r="KSP190" s="34"/>
      <c r="KSQ190" s="34"/>
      <c r="KSR190" s="34"/>
      <c r="KSS190" s="34"/>
      <c r="KST190" s="34"/>
      <c r="KSU190" s="34"/>
      <c r="KSV190" s="34"/>
      <c r="KSW190" s="34"/>
      <c r="KSX190" s="34"/>
      <c r="KSY190" s="34"/>
      <c r="KSZ190" s="34"/>
      <c r="KTA190" s="34"/>
      <c r="KTB190" s="34"/>
      <c r="KTC190" s="34"/>
      <c r="KTD190" s="34"/>
      <c r="KTE190" s="34"/>
      <c r="KTF190" s="34"/>
      <c r="KTG190" s="34"/>
      <c r="KTH190" s="34"/>
      <c r="KTI190" s="34"/>
      <c r="KTJ190" s="34"/>
      <c r="KTK190" s="34"/>
      <c r="KTL190" s="34"/>
      <c r="KTM190" s="34"/>
      <c r="KTN190" s="34"/>
      <c r="KTO190" s="34"/>
      <c r="KTP190" s="34"/>
      <c r="KTQ190" s="34"/>
      <c r="KTR190" s="34"/>
      <c r="KTS190" s="34"/>
      <c r="KTT190" s="34"/>
      <c r="KTU190" s="34"/>
      <c r="KTV190" s="34"/>
      <c r="KTW190" s="34"/>
      <c r="KTX190" s="34"/>
      <c r="KTY190" s="34"/>
      <c r="KTZ190" s="34"/>
      <c r="KUA190" s="34"/>
      <c r="KUB190" s="34"/>
      <c r="KUC190" s="34"/>
      <c r="KUD190" s="34"/>
      <c r="KUE190" s="34"/>
      <c r="KUF190" s="34"/>
      <c r="KUG190" s="34"/>
      <c r="KUH190" s="34"/>
      <c r="KUI190" s="34"/>
      <c r="KUJ190" s="34"/>
      <c r="KUK190" s="34"/>
      <c r="KUL190" s="34"/>
      <c r="KUM190" s="34"/>
      <c r="KUN190" s="34"/>
      <c r="KUO190" s="34"/>
      <c r="KUP190" s="34"/>
      <c r="KUQ190" s="34"/>
      <c r="KUR190" s="34"/>
      <c r="KUS190" s="34"/>
      <c r="KUT190" s="34"/>
      <c r="KUU190" s="34"/>
      <c r="KUV190" s="34"/>
      <c r="KUW190" s="34"/>
      <c r="KUX190" s="34"/>
      <c r="KUY190" s="34"/>
      <c r="KUZ190" s="34"/>
      <c r="KVA190" s="34"/>
      <c r="KVB190" s="34"/>
      <c r="KVC190" s="34"/>
      <c r="KVD190" s="34"/>
      <c r="KVE190" s="34"/>
      <c r="KVF190" s="34"/>
      <c r="KVG190" s="34"/>
      <c r="KVH190" s="34"/>
      <c r="KVI190" s="34"/>
      <c r="KVJ190" s="34"/>
      <c r="KVK190" s="34"/>
      <c r="KVL190" s="34"/>
      <c r="KVM190" s="34"/>
      <c r="KVN190" s="34"/>
      <c r="KVO190" s="34"/>
      <c r="KVP190" s="34"/>
      <c r="KVQ190" s="34"/>
      <c r="KVR190" s="34"/>
      <c r="KVS190" s="34"/>
      <c r="KVT190" s="34"/>
      <c r="KVU190" s="34"/>
      <c r="KVV190" s="34"/>
      <c r="KVW190" s="34"/>
      <c r="KVX190" s="34"/>
      <c r="KVY190" s="34"/>
      <c r="KVZ190" s="34"/>
      <c r="KWA190" s="34"/>
      <c r="KWB190" s="34"/>
      <c r="KWC190" s="34"/>
      <c r="KWD190" s="34"/>
      <c r="KWE190" s="34"/>
      <c r="KWF190" s="34"/>
      <c r="KWG190" s="34"/>
      <c r="KWH190" s="34"/>
      <c r="KWI190" s="34"/>
      <c r="KWJ190" s="34"/>
      <c r="KWK190" s="34"/>
      <c r="KWL190" s="34"/>
      <c r="KWM190" s="34"/>
      <c r="KWN190" s="34"/>
      <c r="KWO190" s="34"/>
      <c r="KWP190" s="34"/>
      <c r="KWQ190" s="34"/>
      <c r="KWR190" s="34"/>
      <c r="KWS190" s="34"/>
      <c r="KWT190" s="34"/>
      <c r="KWU190" s="34"/>
      <c r="KWV190" s="34"/>
      <c r="KWW190" s="34"/>
      <c r="KWX190" s="34"/>
      <c r="KWY190" s="34"/>
      <c r="KWZ190" s="34"/>
      <c r="KXA190" s="34"/>
      <c r="KXB190" s="34"/>
      <c r="KXC190" s="34"/>
      <c r="KXD190" s="34"/>
      <c r="KXE190" s="34"/>
      <c r="KXF190" s="34"/>
      <c r="KXG190" s="34"/>
      <c r="KXH190" s="34"/>
      <c r="KXI190" s="34"/>
      <c r="KXJ190" s="34"/>
      <c r="KXK190" s="34"/>
      <c r="KXL190" s="34"/>
      <c r="KXM190" s="34"/>
      <c r="KXN190" s="34"/>
      <c r="KXO190" s="34"/>
      <c r="KXP190" s="34"/>
      <c r="KXQ190" s="34"/>
      <c r="KXR190" s="34"/>
      <c r="KXS190" s="34"/>
      <c r="KXT190" s="34"/>
      <c r="KXU190" s="34"/>
      <c r="KXV190" s="34"/>
      <c r="KXW190" s="34"/>
      <c r="KXX190" s="34"/>
      <c r="KXY190" s="34"/>
      <c r="KXZ190" s="34"/>
      <c r="KYA190" s="34"/>
      <c r="KYB190" s="34"/>
      <c r="KYC190" s="34"/>
      <c r="KYD190" s="34"/>
      <c r="KYE190" s="34"/>
      <c r="KYF190" s="34"/>
      <c r="KYG190" s="34"/>
      <c r="KYH190" s="34"/>
      <c r="KYI190" s="34"/>
      <c r="KYJ190" s="34"/>
      <c r="KYK190" s="34"/>
      <c r="KYL190" s="34"/>
      <c r="KYM190" s="34"/>
      <c r="KYN190" s="34"/>
      <c r="KYO190" s="34"/>
      <c r="KYP190" s="34"/>
      <c r="KYQ190" s="34"/>
      <c r="KYR190" s="34"/>
      <c r="KYS190" s="34"/>
      <c r="KYT190" s="34"/>
      <c r="KYU190" s="34"/>
      <c r="KYV190" s="34"/>
      <c r="KYW190" s="34"/>
      <c r="KYX190" s="34"/>
      <c r="KYY190" s="34"/>
      <c r="KYZ190" s="34"/>
      <c r="KZA190" s="34"/>
      <c r="KZB190" s="34"/>
      <c r="KZC190" s="34"/>
      <c r="KZD190" s="34"/>
      <c r="KZE190" s="34"/>
      <c r="KZF190" s="34"/>
      <c r="KZG190" s="34"/>
      <c r="KZH190" s="34"/>
      <c r="KZI190" s="34"/>
      <c r="KZJ190" s="34"/>
      <c r="KZK190" s="34"/>
      <c r="KZL190" s="34"/>
      <c r="KZM190" s="34"/>
      <c r="KZN190" s="34"/>
      <c r="KZO190" s="34"/>
      <c r="KZP190" s="34"/>
      <c r="KZQ190" s="34"/>
      <c r="KZR190" s="34"/>
      <c r="KZS190" s="34"/>
      <c r="KZT190" s="34"/>
      <c r="KZU190" s="34"/>
      <c r="KZV190" s="34"/>
      <c r="KZW190" s="34"/>
      <c r="KZX190" s="34"/>
      <c r="KZY190" s="34"/>
      <c r="KZZ190" s="34"/>
      <c r="LAA190" s="34"/>
      <c r="LAB190" s="34"/>
      <c r="LAC190" s="34"/>
      <c r="LAD190" s="34"/>
      <c r="LAE190" s="34"/>
      <c r="LAF190" s="34"/>
      <c r="LAG190" s="34"/>
      <c r="LAH190" s="34"/>
      <c r="LAI190" s="34"/>
      <c r="LAJ190" s="34"/>
      <c r="LAK190" s="34"/>
      <c r="LAL190" s="34"/>
      <c r="LAM190" s="34"/>
      <c r="LAN190" s="34"/>
      <c r="LAO190" s="34"/>
      <c r="LAP190" s="34"/>
      <c r="LAQ190" s="34"/>
      <c r="LAR190" s="34"/>
      <c r="LAS190" s="34"/>
      <c r="LAT190" s="34"/>
      <c r="LAU190" s="34"/>
      <c r="LAV190" s="34"/>
      <c r="LAW190" s="34"/>
      <c r="LAX190" s="34"/>
      <c r="LAY190" s="34"/>
      <c r="LAZ190" s="34"/>
      <c r="LBA190" s="34"/>
      <c r="LBB190" s="34"/>
      <c r="LBC190" s="34"/>
      <c r="LBD190" s="34"/>
      <c r="LBE190" s="34"/>
      <c r="LBF190" s="34"/>
      <c r="LBG190" s="34"/>
      <c r="LBH190" s="34"/>
      <c r="LBI190" s="34"/>
      <c r="LBJ190" s="34"/>
      <c r="LBK190" s="34"/>
      <c r="LBL190" s="34"/>
      <c r="LBM190" s="34"/>
      <c r="LBN190" s="34"/>
      <c r="LBO190" s="34"/>
      <c r="LBP190" s="34"/>
      <c r="LBQ190" s="34"/>
      <c r="LBR190" s="34"/>
      <c r="LBS190" s="34"/>
      <c r="LBT190" s="34"/>
      <c r="LBU190" s="34"/>
      <c r="LBV190" s="34"/>
      <c r="LBW190" s="34"/>
      <c r="LBX190" s="34"/>
      <c r="LBY190" s="34"/>
      <c r="LBZ190" s="34"/>
      <c r="LCA190" s="34"/>
      <c r="LCB190" s="34"/>
      <c r="LCC190" s="34"/>
      <c r="LCD190" s="34"/>
      <c r="LCE190" s="34"/>
      <c r="LCF190" s="34"/>
      <c r="LCG190" s="34"/>
      <c r="LCH190" s="34"/>
      <c r="LCI190" s="34"/>
      <c r="LCJ190" s="34"/>
      <c r="LCK190" s="34"/>
      <c r="LCL190" s="34"/>
      <c r="LCM190" s="34"/>
      <c r="LCN190" s="34"/>
      <c r="LCO190" s="34"/>
      <c r="LCP190" s="34"/>
      <c r="LCQ190" s="34"/>
      <c r="LCR190" s="34"/>
      <c r="LCS190" s="34"/>
      <c r="LCT190" s="34"/>
      <c r="LCU190" s="34"/>
      <c r="LCV190" s="34"/>
      <c r="LCW190" s="34"/>
      <c r="LCX190" s="34"/>
      <c r="LCY190" s="34"/>
      <c r="LCZ190" s="34"/>
      <c r="LDA190" s="34"/>
      <c r="LDB190" s="34"/>
      <c r="LDC190" s="34"/>
      <c r="LDD190" s="34"/>
      <c r="LDE190" s="34"/>
      <c r="LDF190" s="34"/>
      <c r="LDG190" s="34"/>
      <c r="LDH190" s="34"/>
      <c r="LDI190" s="34"/>
      <c r="LDJ190" s="34"/>
      <c r="LDK190" s="34"/>
      <c r="LDL190" s="34"/>
      <c r="LDM190" s="34"/>
      <c r="LDN190" s="34"/>
      <c r="LDO190" s="34"/>
      <c r="LDP190" s="34"/>
      <c r="LDQ190" s="34"/>
      <c r="LDR190" s="34"/>
      <c r="LDS190" s="34"/>
      <c r="LDT190" s="34"/>
      <c r="LDU190" s="34"/>
      <c r="LDV190" s="34"/>
      <c r="LDW190" s="34"/>
      <c r="LDX190" s="34"/>
      <c r="LDY190" s="34"/>
      <c r="LDZ190" s="34"/>
      <c r="LEA190" s="34"/>
      <c r="LEB190" s="34"/>
      <c r="LEC190" s="34"/>
      <c r="LED190" s="34"/>
      <c r="LEE190" s="34"/>
      <c r="LEF190" s="34"/>
      <c r="LEG190" s="34"/>
      <c r="LEH190" s="34"/>
      <c r="LEI190" s="34"/>
      <c r="LEJ190" s="34"/>
      <c r="LEK190" s="34"/>
      <c r="LEL190" s="34"/>
      <c r="LEM190" s="34"/>
      <c r="LEN190" s="34"/>
      <c r="LEO190" s="34"/>
      <c r="LEP190" s="34"/>
      <c r="LEQ190" s="34"/>
      <c r="LER190" s="34"/>
      <c r="LES190" s="34"/>
      <c r="LET190" s="34"/>
      <c r="LEU190" s="34"/>
      <c r="LEV190" s="34"/>
      <c r="LEW190" s="34"/>
      <c r="LEX190" s="34"/>
      <c r="LEY190" s="34"/>
      <c r="LEZ190" s="34"/>
      <c r="LFA190" s="34"/>
      <c r="LFB190" s="34"/>
      <c r="LFC190" s="34"/>
      <c r="LFD190" s="34"/>
      <c r="LFE190" s="34"/>
      <c r="LFF190" s="34"/>
      <c r="LFG190" s="34"/>
      <c r="LFH190" s="34"/>
      <c r="LFI190" s="34"/>
      <c r="LFJ190" s="34"/>
      <c r="LFK190" s="34"/>
      <c r="LFL190" s="34"/>
      <c r="LFM190" s="34"/>
      <c r="LFN190" s="34"/>
      <c r="LFO190" s="34"/>
      <c r="LFP190" s="34"/>
      <c r="LFQ190" s="34"/>
      <c r="LFR190" s="34"/>
      <c r="LFS190" s="34"/>
      <c r="LFT190" s="34"/>
      <c r="LFU190" s="34"/>
      <c r="LFV190" s="34"/>
      <c r="LFW190" s="34"/>
      <c r="LFX190" s="34"/>
      <c r="LFY190" s="34"/>
      <c r="LFZ190" s="34"/>
      <c r="LGA190" s="34"/>
      <c r="LGB190" s="34"/>
      <c r="LGC190" s="34"/>
      <c r="LGD190" s="34"/>
      <c r="LGE190" s="34"/>
      <c r="LGF190" s="34"/>
      <c r="LGG190" s="34"/>
      <c r="LGH190" s="34"/>
      <c r="LGI190" s="34"/>
      <c r="LGJ190" s="34"/>
      <c r="LGK190" s="34"/>
      <c r="LGL190" s="34"/>
      <c r="LGM190" s="34"/>
      <c r="LGN190" s="34"/>
      <c r="LGO190" s="34"/>
      <c r="LGP190" s="34"/>
      <c r="LGQ190" s="34"/>
      <c r="LGR190" s="34"/>
      <c r="LGS190" s="34"/>
      <c r="LGT190" s="34"/>
      <c r="LGU190" s="34"/>
      <c r="LGV190" s="34"/>
      <c r="LGW190" s="34"/>
      <c r="LGX190" s="34"/>
      <c r="LGY190" s="34"/>
      <c r="LGZ190" s="34"/>
      <c r="LHA190" s="34"/>
      <c r="LHB190" s="34"/>
      <c r="LHC190" s="34"/>
      <c r="LHD190" s="34"/>
      <c r="LHE190" s="34"/>
      <c r="LHF190" s="34"/>
      <c r="LHG190" s="34"/>
      <c r="LHH190" s="34"/>
      <c r="LHI190" s="34"/>
      <c r="LHJ190" s="34"/>
      <c r="LHK190" s="34"/>
      <c r="LHL190" s="34"/>
      <c r="LHM190" s="34"/>
      <c r="LHN190" s="34"/>
      <c r="LHO190" s="34"/>
      <c r="LHP190" s="34"/>
      <c r="LHQ190" s="34"/>
      <c r="LHR190" s="34"/>
      <c r="LHS190" s="34"/>
      <c r="LHT190" s="34"/>
      <c r="LHU190" s="34"/>
      <c r="LHV190" s="34"/>
      <c r="LHW190" s="34"/>
      <c r="LHX190" s="34"/>
      <c r="LHY190" s="34"/>
      <c r="LHZ190" s="34"/>
      <c r="LIA190" s="34"/>
      <c r="LIB190" s="34"/>
      <c r="LIC190" s="34"/>
      <c r="LID190" s="34"/>
      <c r="LIE190" s="34"/>
      <c r="LIF190" s="34"/>
      <c r="LIG190" s="34"/>
      <c r="LIH190" s="34"/>
      <c r="LII190" s="34"/>
      <c r="LIJ190" s="34"/>
      <c r="LIK190" s="34"/>
      <c r="LIL190" s="34"/>
      <c r="LIM190" s="34"/>
      <c r="LIN190" s="34"/>
      <c r="LIO190" s="34"/>
      <c r="LIP190" s="34"/>
      <c r="LIQ190" s="34"/>
      <c r="LIR190" s="34"/>
      <c r="LIS190" s="34"/>
      <c r="LIT190" s="34"/>
      <c r="LIU190" s="34"/>
      <c r="LIV190" s="34"/>
      <c r="LIW190" s="34"/>
      <c r="LIX190" s="34"/>
      <c r="LIY190" s="34"/>
      <c r="LIZ190" s="34"/>
      <c r="LJA190" s="34"/>
      <c r="LJB190" s="34"/>
      <c r="LJC190" s="34"/>
      <c r="LJD190" s="34"/>
      <c r="LJE190" s="34"/>
      <c r="LJF190" s="34"/>
      <c r="LJG190" s="34"/>
      <c r="LJH190" s="34"/>
      <c r="LJI190" s="34"/>
      <c r="LJJ190" s="34"/>
      <c r="LJK190" s="34"/>
      <c r="LJL190" s="34"/>
      <c r="LJM190" s="34"/>
      <c r="LJN190" s="34"/>
      <c r="LJO190" s="34"/>
      <c r="LJP190" s="34"/>
      <c r="LJQ190" s="34"/>
      <c r="LJR190" s="34"/>
      <c r="LJS190" s="34"/>
      <c r="LJT190" s="34"/>
      <c r="LJU190" s="34"/>
      <c r="LJV190" s="34"/>
      <c r="LJW190" s="34"/>
      <c r="LJX190" s="34"/>
      <c r="LJY190" s="34"/>
      <c r="LJZ190" s="34"/>
      <c r="LKA190" s="34"/>
      <c r="LKB190" s="34"/>
      <c r="LKC190" s="34"/>
      <c r="LKD190" s="34"/>
      <c r="LKE190" s="34"/>
      <c r="LKF190" s="34"/>
      <c r="LKG190" s="34"/>
      <c r="LKH190" s="34"/>
      <c r="LKI190" s="34"/>
      <c r="LKJ190" s="34"/>
      <c r="LKK190" s="34"/>
      <c r="LKL190" s="34"/>
      <c r="LKM190" s="34"/>
      <c r="LKN190" s="34"/>
      <c r="LKO190" s="34"/>
      <c r="LKP190" s="34"/>
      <c r="LKQ190" s="34"/>
      <c r="LKR190" s="34"/>
      <c r="LKS190" s="34"/>
      <c r="LKT190" s="34"/>
      <c r="LKU190" s="34"/>
      <c r="LKV190" s="34"/>
      <c r="LKW190" s="34"/>
      <c r="LKX190" s="34"/>
      <c r="LKY190" s="34"/>
      <c r="LKZ190" s="34"/>
      <c r="LLA190" s="34"/>
      <c r="LLB190" s="34"/>
      <c r="LLC190" s="34"/>
      <c r="LLD190" s="34"/>
      <c r="LLE190" s="34"/>
      <c r="LLF190" s="34"/>
      <c r="LLG190" s="34"/>
      <c r="LLH190" s="34"/>
      <c r="LLI190" s="34"/>
      <c r="LLJ190" s="34"/>
      <c r="LLK190" s="34"/>
      <c r="LLL190" s="34"/>
      <c r="LLM190" s="34"/>
      <c r="LLN190" s="34"/>
      <c r="LLO190" s="34"/>
      <c r="LLP190" s="34"/>
      <c r="LLQ190" s="34"/>
      <c r="LLR190" s="34"/>
      <c r="LLS190" s="34"/>
      <c r="LLT190" s="34"/>
      <c r="LLU190" s="34"/>
      <c r="LLV190" s="34"/>
      <c r="LLW190" s="34"/>
      <c r="LLX190" s="34"/>
      <c r="LLY190" s="34"/>
      <c r="LLZ190" s="34"/>
      <c r="LMA190" s="34"/>
      <c r="LMB190" s="34"/>
      <c r="LMC190" s="34"/>
      <c r="LMD190" s="34"/>
      <c r="LME190" s="34"/>
      <c r="LMF190" s="34"/>
      <c r="LMG190" s="34"/>
      <c r="LMH190" s="34"/>
      <c r="LMI190" s="34"/>
      <c r="LMJ190" s="34"/>
      <c r="LMK190" s="34"/>
      <c r="LML190" s="34"/>
      <c r="LMM190" s="34"/>
      <c r="LMN190" s="34"/>
      <c r="LMO190" s="34"/>
      <c r="LMP190" s="34"/>
      <c r="LMQ190" s="34"/>
      <c r="LMR190" s="34"/>
      <c r="LMS190" s="34"/>
      <c r="LMT190" s="34"/>
      <c r="LMU190" s="34"/>
      <c r="LMV190" s="34"/>
      <c r="LMW190" s="34"/>
      <c r="LMX190" s="34"/>
      <c r="LMY190" s="34"/>
      <c r="LMZ190" s="34"/>
      <c r="LNA190" s="34"/>
      <c r="LNB190" s="34"/>
      <c r="LNC190" s="34"/>
      <c r="LND190" s="34"/>
      <c r="LNE190" s="34"/>
      <c r="LNF190" s="34"/>
      <c r="LNG190" s="34"/>
      <c r="LNH190" s="34"/>
      <c r="LNI190" s="34"/>
      <c r="LNJ190" s="34"/>
      <c r="LNK190" s="34"/>
      <c r="LNL190" s="34"/>
      <c r="LNM190" s="34"/>
      <c r="LNN190" s="34"/>
      <c r="LNO190" s="34"/>
      <c r="LNP190" s="34"/>
      <c r="LNQ190" s="34"/>
      <c r="LNR190" s="34"/>
      <c r="LNS190" s="34"/>
      <c r="LNT190" s="34"/>
      <c r="LNU190" s="34"/>
      <c r="LNV190" s="34"/>
      <c r="LNW190" s="34"/>
      <c r="LNX190" s="34"/>
      <c r="LNY190" s="34"/>
      <c r="LNZ190" s="34"/>
      <c r="LOA190" s="34"/>
      <c r="LOB190" s="34"/>
      <c r="LOC190" s="34"/>
      <c r="LOD190" s="34"/>
      <c r="LOE190" s="34"/>
      <c r="LOF190" s="34"/>
      <c r="LOG190" s="34"/>
      <c r="LOH190" s="34"/>
      <c r="LOI190" s="34"/>
      <c r="LOJ190" s="34"/>
      <c r="LOK190" s="34"/>
      <c r="LOL190" s="34"/>
      <c r="LOM190" s="34"/>
      <c r="LON190" s="34"/>
      <c r="LOO190" s="34"/>
      <c r="LOP190" s="34"/>
      <c r="LOQ190" s="34"/>
      <c r="LOR190" s="34"/>
      <c r="LOS190" s="34"/>
      <c r="LOT190" s="34"/>
      <c r="LOU190" s="34"/>
      <c r="LOV190" s="34"/>
      <c r="LOW190" s="34"/>
      <c r="LOX190" s="34"/>
      <c r="LOY190" s="34"/>
      <c r="LOZ190" s="34"/>
      <c r="LPA190" s="34"/>
      <c r="LPB190" s="34"/>
      <c r="LPC190" s="34"/>
      <c r="LPD190" s="34"/>
      <c r="LPE190" s="34"/>
      <c r="LPF190" s="34"/>
      <c r="LPG190" s="34"/>
      <c r="LPH190" s="34"/>
      <c r="LPI190" s="34"/>
      <c r="LPJ190" s="34"/>
      <c r="LPK190" s="34"/>
      <c r="LPL190" s="34"/>
      <c r="LPM190" s="34"/>
      <c r="LPN190" s="34"/>
      <c r="LPO190" s="34"/>
      <c r="LPP190" s="34"/>
      <c r="LPQ190" s="34"/>
      <c r="LPR190" s="34"/>
      <c r="LPS190" s="34"/>
      <c r="LPT190" s="34"/>
      <c r="LPU190" s="34"/>
      <c r="LPV190" s="34"/>
      <c r="LPW190" s="34"/>
      <c r="LPX190" s="34"/>
      <c r="LPY190" s="34"/>
      <c r="LPZ190" s="34"/>
      <c r="LQA190" s="34"/>
      <c r="LQB190" s="34"/>
      <c r="LQC190" s="34"/>
      <c r="LQD190" s="34"/>
      <c r="LQE190" s="34"/>
      <c r="LQF190" s="34"/>
      <c r="LQG190" s="34"/>
      <c r="LQH190" s="34"/>
      <c r="LQI190" s="34"/>
      <c r="LQJ190" s="34"/>
      <c r="LQK190" s="34"/>
      <c r="LQL190" s="34"/>
      <c r="LQM190" s="34"/>
      <c r="LQN190" s="34"/>
      <c r="LQO190" s="34"/>
      <c r="LQP190" s="34"/>
      <c r="LQQ190" s="34"/>
      <c r="LQR190" s="34"/>
      <c r="LQS190" s="34"/>
      <c r="LQT190" s="34"/>
      <c r="LQU190" s="34"/>
      <c r="LQV190" s="34"/>
      <c r="LQW190" s="34"/>
      <c r="LQX190" s="34"/>
      <c r="LQY190" s="34"/>
      <c r="LQZ190" s="34"/>
      <c r="LRA190" s="34"/>
      <c r="LRB190" s="34"/>
      <c r="LRC190" s="34"/>
      <c r="LRD190" s="34"/>
      <c r="LRE190" s="34"/>
      <c r="LRF190" s="34"/>
      <c r="LRG190" s="34"/>
      <c r="LRH190" s="34"/>
      <c r="LRI190" s="34"/>
      <c r="LRJ190" s="34"/>
      <c r="LRK190" s="34"/>
      <c r="LRL190" s="34"/>
      <c r="LRM190" s="34"/>
      <c r="LRN190" s="34"/>
      <c r="LRO190" s="34"/>
      <c r="LRP190" s="34"/>
      <c r="LRQ190" s="34"/>
      <c r="LRR190" s="34"/>
      <c r="LRS190" s="34"/>
      <c r="LRT190" s="34"/>
      <c r="LRU190" s="34"/>
      <c r="LRV190" s="34"/>
      <c r="LRW190" s="34"/>
      <c r="LRX190" s="34"/>
      <c r="LRY190" s="34"/>
      <c r="LRZ190" s="34"/>
      <c r="LSA190" s="34"/>
      <c r="LSB190" s="34"/>
      <c r="LSC190" s="34"/>
      <c r="LSD190" s="34"/>
      <c r="LSE190" s="34"/>
      <c r="LSF190" s="34"/>
      <c r="LSG190" s="34"/>
      <c r="LSH190" s="34"/>
      <c r="LSI190" s="34"/>
      <c r="LSJ190" s="34"/>
      <c r="LSK190" s="34"/>
      <c r="LSL190" s="34"/>
      <c r="LSM190" s="34"/>
      <c r="LSN190" s="34"/>
      <c r="LSO190" s="34"/>
      <c r="LSP190" s="34"/>
      <c r="LSQ190" s="34"/>
      <c r="LSR190" s="34"/>
      <c r="LSS190" s="34"/>
      <c r="LST190" s="34"/>
      <c r="LSU190" s="34"/>
      <c r="LSV190" s="34"/>
      <c r="LSW190" s="34"/>
      <c r="LSX190" s="34"/>
      <c r="LSY190" s="34"/>
      <c r="LSZ190" s="34"/>
      <c r="LTA190" s="34"/>
      <c r="LTB190" s="34"/>
      <c r="LTC190" s="34"/>
      <c r="LTD190" s="34"/>
      <c r="LTE190" s="34"/>
      <c r="LTF190" s="34"/>
      <c r="LTG190" s="34"/>
      <c r="LTH190" s="34"/>
      <c r="LTI190" s="34"/>
      <c r="LTJ190" s="34"/>
      <c r="LTK190" s="34"/>
      <c r="LTL190" s="34"/>
      <c r="LTM190" s="34"/>
      <c r="LTN190" s="34"/>
      <c r="LTO190" s="34"/>
      <c r="LTP190" s="34"/>
      <c r="LTQ190" s="34"/>
      <c r="LTR190" s="34"/>
      <c r="LTS190" s="34"/>
      <c r="LTT190" s="34"/>
      <c r="LTU190" s="34"/>
      <c r="LTV190" s="34"/>
      <c r="LTW190" s="34"/>
      <c r="LTX190" s="34"/>
      <c r="LTY190" s="34"/>
      <c r="LTZ190" s="34"/>
      <c r="LUA190" s="34"/>
      <c r="LUB190" s="34"/>
      <c r="LUC190" s="34"/>
      <c r="LUD190" s="34"/>
      <c r="LUE190" s="34"/>
      <c r="LUF190" s="34"/>
      <c r="LUG190" s="34"/>
      <c r="LUH190" s="34"/>
      <c r="LUI190" s="34"/>
      <c r="LUJ190" s="34"/>
      <c r="LUK190" s="34"/>
      <c r="LUL190" s="34"/>
      <c r="LUM190" s="34"/>
      <c r="LUN190" s="34"/>
      <c r="LUO190" s="34"/>
      <c r="LUP190" s="34"/>
      <c r="LUQ190" s="34"/>
      <c r="LUR190" s="34"/>
      <c r="LUS190" s="34"/>
      <c r="LUT190" s="34"/>
      <c r="LUU190" s="34"/>
      <c r="LUV190" s="34"/>
      <c r="LUW190" s="34"/>
      <c r="LUX190" s="34"/>
      <c r="LUY190" s="34"/>
      <c r="LUZ190" s="34"/>
      <c r="LVA190" s="34"/>
      <c r="LVB190" s="34"/>
      <c r="LVC190" s="34"/>
      <c r="LVD190" s="34"/>
      <c r="LVE190" s="34"/>
      <c r="LVF190" s="34"/>
      <c r="LVG190" s="34"/>
      <c r="LVH190" s="34"/>
      <c r="LVI190" s="34"/>
      <c r="LVJ190" s="34"/>
      <c r="LVK190" s="34"/>
      <c r="LVL190" s="34"/>
      <c r="LVM190" s="34"/>
      <c r="LVN190" s="34"/>
      <c r="LVO190" s="34"/>
      <c r="LVP190" s="34"/>
      <c r="LVQ190" s="34"/>
      <c r="LVR190" s="34"/>
      <c r="LVS190" s="34"/>
      <c r="LVT190" s="34"/>
      <c r="LVU190" s="34"/>
      <c r="LVV190" s="34"/>
      <c r="LVW190" s="34"/>
      <c r="LVX190" s="34"/>
      <c r="LVY190" s="34"/>
      <c r="LVZ190" s="34"/>
      <c r="LWA190" s="34"/>
      <c r="LWB190" s="34"/>
      <c r="LWC190" s="34"/>
      <c r="LWD190" s="34"/>
      <c r="LWE190" s="34"/>
      <c r="LWF190" s="34"/>
      <c r="LWG190" s="34"/>
      <c r="LWH190" s="34"/>
      <c r="LWI190" s="34"/>
      <c r="LWJ190" s="34"/>
      <c r="LWK190" s="34"/>
      <c r="LWL190" s="34"/>
      <c r="LWM190" s="34"/>
      <c r="LWN190" s="34"/>
      <c r="LWO190" s="34"/>
      <c r="LWP190" s="34"/>
      <c r="LWQ190" s="34"/>
      <c r="LWR190" s="34"/>
      <c r="LWS190" s="34"/>
      <c r="LWT190" s="34"/>
      <c r="LWU190" s="34"/>
      <c r="LWV190" s="34"/>
      <c r="LWW190" s="34"/>
      <c r="LWX190" s="34"/>
      <c r="LWY190" s="34"/>
      <c r="LWZ190" s="34"/>
      <c r="LXA190" s="34"/>
      <c r="LXB190" s="34"/>
      <c r="LXC190" s="34"/>
      <c r="LXD190" s="34"/>
      <c r="LXE190" s="34"/>
      <c r="LXF190" s="34"/>
      <c r="LXG190" s="34"/>
      <c r="LXH190" s="34"/>
      <c r="LXI190" s="34"/>
      <c r="LXJ190" s="34"/>
      <c r="LXK190" s="34"/>
      <c r="LXL190" s="34"/>
      <c r="LXM190" s="34"/>
      <c r="LXN190" s="34"/>
      <c r="LXO190" s="34"/>
      <c r="LXP190" s="34"/>
      <c r="LXQ190" s="34"/>
      <c r="LXR190" s="34"/>
      <c r="LXS190" s="34"/>
      <c r="LXT190" s="34"/>
      <c r="LXU190" s="34"/>
      <c r="LXV190" s="34"/>
      <c r="LXW190" s="34"/>
      <c r="LXX190" s="34"/>
      <c r="LXY190" s="34"/>
      <c r="LXZ190" s="34"/>
      <c r="LYA190" s="34"/>
      <c r="LYB190" s="34"/>
      <c r="LYC190" s="34"/>
      <c r="LYD190" s="34"/>
      <c r="LYE190" s="34"/>
      <c r="LYF190" s="34"/>
      <c r="LYG190" s="34"/>
      <c r="LYH190" s="34"/>
      <c r="LYI190" s="34"/>
      <c r="LYJ190" s="34"/>
      <c r="LYK190" s="34"/>
      <c r="LYL190" s="34"/>
      <c r="LYM190" s="34"/>
      <c r="LYN190" s="34"/>
      <c r="LYO190" s="34"/>
      <c r="LYP190" s="34"/>
      <c r="LYQ190" s="34"/>
      <c r="LYR190" s="34"/>
      <c r="LYS190" s="34"/>
      <c r="LYT190" s="34"/>
      <c r="LYU190" s="34"/>
      <c r="LYV190" s="34"/>
      <c r="LYW190" s="34"/>
      <c r="LYX190" s="34"/>
      <c r="LYY190" s="34"/>
      <c r="LYZ190" s="34"/>
      <c r="LZA190" s="34"/>
      <c r="LZB190" s="34"/>
      <c r="LZC190" s="34"/>
      <c r="LZD190" s="34"/>
      <c r="LZE190" s="34"/>
      <c r="LZF190" s="34"/>
      <c r="LZG190" s="34"/>
      <c r="LZH190" s="34"/>
      <c r="LZI190" s="34"/>
      <c r="LZJ190" s="34"/>
      <c r="LZK190" s="34"/>
      <c r="LZL190" s="34"/>
      <c r="LZM190" s="34"/>
      <c r="LZN190" s="34"/>
      <c r="LZO190" s="34"/>
      <c r="LZP190" s="34"/>
      <c r="LZQ190" s="34"/>
      <c r="LZR190" s="34"/>
      <c r="LZS190" s="34"/>
      <c r="LZT190" s="34"/>
      <c r="LZU190" s="34"/>
      <c r="LZV190" s="34"/>
      <c r="LZW190" s="34"/>
      <c r="LZX190" s="34"/>
      <c r="LZY190" s="34"/>
      <c r="LZZ190" s="34"/>
      <c r="MAA190" s="34"/>
      <c r="MAB190" s="34"/>
      <c r="MAC190" s="34"/>
      <c r="MAD190" s="34"/>
      <c r="MAE190" s="34"/>
      <c r="MAF190" s="34"/>
      <c r="MAG190" s="34"/>
      <c r="MAH190" s="34"/>
      <c r="MAI190" s="34"/>
      <c r="MAJ190" s="34"/>
      <c r="MAK190" s="34"/>
      <c r="MAL190" s="34"/>
      <c r="MAM190" s="34"/>
      <c r="MAN190" s="34"/>
      <c r="MAO190" s="34"/>
      <c r="MAP190" s="34"/>
      <c r="MAQ190" s="34"/>
      <c r="MAR190" s="34"/>
      <c r="MAS190" s="34"/>
      <c r="MAT190" s="34"/>
      <c r="MAU190" s="34"/>
      <c r="MAV190" s="34"/>
      <c r="MAW190" s="34"/>
      <c r="MAX190" s="34"/>
      <c r="MAY190" s="34"/>
      <c r="MAZ190" s="34"/>
      <c r="MBA190" s="34"/>
      <c r="MBB190" s="34"/>
      <c r="MBC190" s="34"/>
      <c r="MBD190" s="34"/>
      <c r="MBE190" s="34"/>
      <c r="MBF190" s="34"/>
      <c r="MBG190" s="34"/>
      <c r="MBH190" s="34"/>
      <c r="MBI190" s="34"/>
      <c r="MBJ190" s="34"/>
      <c r="MBK190" s="34"/>
      <c r="MBL190" s="34"/>
      <c r="MBM190" s="34"/>
      <c r="MBN190" s="34"/>
      <c r="MBO190" s="34"/>
      <c r="MBP190" s="34"/>
      <c r="MBQ190" s="34"/>
      <c r="MBR190" s="34"/>
      <c r="MBS190" s="34"/>
      <c r="MBT190" s="34"/>
      <c r="MBU190" s="34"/>
      <c r="MBV190" s="34"/>
      <c r="MBW190" s="34"/>
      <c r="MBX190" s="34"/>
      <c r="MBY190" s="34"/>
      <c r="MBZ190" s="34"/>
      <c r="MCA190" s="34"/>
      <c r="MCB190" s="34"/>
      <c r="MCC190" s="34"/>
      <c r="MCD190" s="34"/>
      <c r="MCE190" s="34"/>
      <c r="MCF190" s="34"/>
      <c r="MCG190" s="34"/>
      <c r="MCH190" s="34"/>
      <c r="MCI190" s="34"/>
      <c r="MCJ190" s="34"/>
      <c r="MCK190" s="34"/>
      <c r="MCL190" s="34"/>
      <c r="MCM190" s="34"/>
      <c r="MCN190" s="34"/>
      <c r="MCO190" s="34"/>
      <c r="MCP190" s="34"/>
      <c r="MCQ190" s="34"/>
      <c r="MCR190" s="34"/>
      <c r="MCS190" s="34"/>
      <c r="MCT190" s="34"/>
      <c r="MCU190" s="34"/>
      <c r="MCV190" s="34"/>
      <c r="MCW190" s="34"/>
      <c r="MCX190" s="34"/>
      <c r="MCY190" s="34"/>
      <c r="MCZ190" s="34"/>
      <c r="MDA190" s="34"/>
      <c r="MDB190" s="34"/>
      <c r="MDC190" s="34"/>
      <c r="MDD190" s="34"/>
      <c r="MDE190" s="34"/>
      <c r="MDF190" s="34"/>
      <c r="MDG190" s="34"/>
      <c r="MDH190" s="34"/>
      <c r="MDI190" s="34"/>
      <c r="MDJ190" s="34"/>
      <c r="MDK190" s="34"/>
      <c r="MDL190" s="34"/>
      <c r="MDM190" s="34"/>
      <c r="MDN190" s="34"/>
      <c r="MDO190" s="34"/>
      <c r="MDP190" s="34"/>
      <c r="MDQ190" s="34"/>
      <c r="MDR190" s="34"/>
      <c r="MDS190" s="34"/>
      <c r="MDT190" s="34"/>
      <c r="MDU190" s="34"/>
      <c r="MDV190" s="34"/>
      <c r="MDW190" s="34"/>
      <c r="MDX190" s="34"/>
      <c r="MDY190" s="34"/>
      <c r="MDZ190" s="34"/>
      <c r="MEA190" s="34"/>
      <c r="MEB190" s="34"/>
      <c r="MEC190" s="34"/>
      <c r="MED190" s="34"/>
      <c r="MEE190" s="34"/>
      <c r="MEF190" s="34"/>
      <c r="MEG190" s="34"/>
      <c r="MEH190" s="34"/>
      <c r="MEI190" s="34"/>
      <c r="MEJ190" s="34"/>
      <c r="MEK190" s="34"/>
      <c r="MEL190" s="34"/>
      <c r="MEM190" s="34"/>
      <c r="MEN190" s="34"/>
      <c r="MEO190" s="34"/>
      <c r="MEP190" s="34"/>
      <c r="MEQ190" s="34"/>
      <c r="MER190" s="34"/>
      <c r="MES190" s="34"/>
      <c r="MET190" s="34"/>
      <c r="MEU190" s="34"/>
      <c r="MEV190" s="34"/>
      <c r="MEW190" s="34"/>
      <c r="MEX190" s="34"/>
      <c r="MEY190" s="34"/>
      <c r="MEZ190" s="34"/>
      <c r="MFA190" s="34"/>
      <c r="MFB190" s="34"/>
      <c r="MFC190" s="34"/>
      <c r="MFD190" s="34"/>
      <c r="MFE190" s="34"/>
      <c r="MFF190" s="34"/>
      <c r="MFG190" s="34"/>
      <c r="MFH190" s="34"/>
      <c r="MFI190" s="34"/>
      <c r="MFJ190" s="34"/>
      <c r="MFK190" s="34"/>
      <c r="MFL190" s="34"/>
      <c r="MFM190" s="34"/>
      <c r="MFN190" s="34"/>
      <c r="MFO190" s="34"/>
      <c r="MFP190" s="34"/>
      <c r="MFQ190" s="34"/>
      <c r="MFR190" s="34"/>
      <c r="MFS190" s="34"/>
      <c r="MFT190" s="34"/>
      <c r="MFU190" s="34"/>
      <c r="MFV190" s="34"/>
      <c r="MFW190" s="34"/>
      <c r="MFX190" s="34"/>
      <c r="MFY190" s="34"/>
      <c r="MFZ190" s="34"/>
      <c r="MGA190" s="34"/>
      <c r="MGB190" s="34"/>
      <c r="MGC190" s="34"/>
      <c r="MGD190" s="34"/>
      <c r="MGE190" s="34"/>
      <c r="MGF190" s="34"/>
      <c r="MGG190" s="34"/>
      <c r="MGH190" s="34"/>
      <c r="MGI190" s="34"/>
      <c r="MGJ190" s="34"/>
      <c r="MGK190" s="34"/>
      <c r="MGL190" s="34"/>
      <c r="MGM190" s="34"/>
      <c r="MGN190" s="34"/>
      <c r="MGO190" s="34"/>
      <c r="MGP190" s="34"/>
      <c r="MGQ190" s="34"/>
      <c r="MGR190" s="34"/>
      <c r="MGS190" s="34"/>
      <c r="MGT190" s="34"/>
      <c r="MGU190" s="34"/>
      <c r="MGV190" s="34"/>
      <c r="MGW190" s="34"/>
      <c r="MGX190" s="34"/>
      <c r="MGY190" s="34"/>
      <c r="MGZ190" s="34"/>
      <c r="MHA190" s="34"/>
      <c r="MHB190" s="34"/>
      <c r="MHC190" s="34"/>
      <c r="MHD190" s="34"/>
      <c r="MHE190" s="34"/>
      <c r="MHF190" s="34"/>
      <c r="MHG190" s="34"/>
      <c r="MHH190" s="34"/>
      <c r="MHI190" s="34"/>
      <c r="MHJ190" s="34"/>
      <c r="MHK190" s="34"/>
      <c r="MHL190" s="34"/>
      <c r="MHM190" s="34"/>
      <c r="MHN190" s="34"/>
      <c r="MHO190" s="34"/>
      <c r="MHP190" s="34"/>
      <c r="MHQ190" s="34"/>
      <c r="MHR190" s="34"/>
      <c r="MHS190" s="34"/>
      <c r="MHT190" s="34"/>
      <c r="MHU190" s="34"/>
      <c r="MHV190" s="34"/>
      <c r="MHW190" s="34"/>
      <c r="MHX190" s="34"/>
      <c r="MHY190" s="34"/>
      <c r="MHZ190" s="34"/>
      <c r="MIA190" s="34"/>
      <c r="MIB190" s="34"/>
      <c r="MIC190" s="34"/>
      <c r="MID190" s="34"/>
      <c r="MIE190" s="34"/>
      <c r="MIF190" s="34"/>
      <c r="MIG190" s="34"/>
      <c r="MIH190" s="34"/>
      <c r="MII190" s="34"/>
      <c r="MIJ190" s="34"/>
      <c r="MIK190" s="34"/>
      <c r="MIL190" s="34"/>
      <c r="MIM190" s="34"/>
      <c r="MIN190" s="34"/>
      <c r="MIO190" s="34"/>
      <c r="MIP190" s="34"/>
      <c r="MIQ190" s="34"/>
      <c r="MIR190" s="34"/>
      <c r="MIS190" s="34"/>
      <c r="MIT190" s="34"/>
      <c r="MIU190" s="34"/>
      <c r="MIV190" s="34"/>
      <c r="MIW190" s="34"/>
      <c r="MIX190" s="34"/>
      <c r="MIY190" s="34"/>
      <c r="MIZ190" s="34"/>
      <c r="MJA190" s="34"/>
      <c r="MJB190" s="34"/>
      <c r="MJC190" s="34"/>
      <c r="MJD190" s="34"/>
      <c r="MJE190" s="34"/>
      <c r="MJF190" s="34"/>
      <c r="MJG190" s="34"/>
      <c r="MJH190" s="34"/>
      <c r="MJI190" s="34"/>
      <c r="MJJ190" s="34"/>
      <c r="MJK190" s="34"/>
      <c r="MJL190" s="34"/>
      <c r="MJM190" s="34"/>
      <c r="MJN190" s="34"/>
      <c r="MJO190" s="34"/>
      <c r="MJP190" s="34"/>
      <c r="MJQ190" s="34"/>
      <c r="MJR190" s="34"/>
      <c r="MJS190" s="34"/>
      <c r="MJT190" s="34"/>
      <c r="MJU190" s="34"/>
      <c r="MJV190" s="34"/>
      <c r="MJW190" s="34"/>
      <c r="MJX190" s="34"/>
      <c r="MJY190" s="34"/>
      <c r="MJZ190" s="34"/>
      <c r="MKA190" s="34"/>
      <c r="MKB190" s="34"/>
      <c r="MKC190" s="34"/>
      <c r="MKD190" s="34"/>
      <c r="MKE190" s="34"/>
      <c r="MKF190" s="34"/>
      <c r="MKG190" s="34"/>
      <c r="MKH190" s="34"/>
      <c r="MKI190" s="34"/>
      <c r="MKJ190" s="34"/>
      <c r="MKK190" s="34"/>
      <c r="MKL190" s="34"/>
      <c r="MKM190" s="34"/>
      <c r="MKN190" s="34"/>
      <c r="MKO190" s="34"/>
      <c r="MKP190" s="34"/>
      <c r="MKQ190" s="34"/>
      <c r="MKR190" s="34"/>
      <c r="MKS190" s="34"/>
      <c r="MKT190" s="34"/>
      <c r="MKU190" s="34"/>
      <c r="MKV190" s="34"/>
      <c r="MKW190" s="34"/>
      <c r="MKX190" s="34"/>
      <c r="MKY190" s="34"/>
      <c r="MKZ190" s="34"/>
      <c r="MLA190" s="34"/>
      <c r="MLB190" s="34"/>
      <c r="MLC190" s="34"/>
      <c r="MLD190" s="34"/>
      <c r="MLE190" s="34"/>
      <c r="MLF190" s="34"/>
      <c r="MLG190" s="34"/>
      <c r="MLH190" s="34"/>
      <c r="MLI190" s="34"/>
      <c r="MLJ190" s="34"/>
      <c r="MLK190" s="34"/>
      <c r="MLL190" s="34"/>
      <c r="MLM190" s="34"/>
      <c r="MLN190" s="34"/>
      <c r="MLO190" s="34"/>
      <c r="MLP190" s="34"/>
      <c r="MLQ190" s="34"/>
      <c r="MLR190" s="34"/>
      <c r="MLS190" s="34"/>
      <c r="MLT190" s="34"/>
      <c r="MLU190" s="34"/>
      <c r="MLV190" s="34"/>
      <c r="MLW190" s="34"/>
      <c r="MLX190" s="34"/>
      <c r="MLY190" s="34"/>
      <c r="MLZ190" s="34"/>
      <c r="MMA190" s="34"/>
      <c r="MMB190" s="34"/>
      <c r="MMC190" s="34"/>
      <c r="MMD190" s="34"/>
      <c r="MME190" s="34"/>
      <c r="MMF190" s="34"/>
      <c r="MMG190" s="34"/>
      <c r="MMH190" s="34"/>
      <c r="MMI190" s="34"/>
      <c r="MMJ190" s="34"/>
      <c r="MMK190" s="34"/>
      <c r="MML190" s="34"/>
      <c r="MMM190" s="34"/>
      <c r="MMN190" s="34"/>
      <c r="MMO190" s="34"/>
      <c r="MMP190" s="34"/>
      <c r="MMQ190" s="34"/>
      <c r="MMR190" s="34"/>
      <c r="MMS190" s="34"/>
      <c r="MMT190" s="34"/>
      <c r="MMU190" s="34"/>
      <c r="MMV190" s="34"/>
      <c r="MMW190" s="34"/>
      <c r="MMX190" s="34"/>
      <c r="MMY190" s="34"/>
      <c r="MMZ190" s="34"/>
      <c r="MNA190" s="34"/>
      <c r="MNB190" s="34"/>
      <c r="MNC190" s="34"/>
      <c r="MND190" s="34"/>
      <c r="MNE190" s="34"/>
      <c r="MNF190" s="34"/>
      <c r="MNG190" s="34"/>
      <c r="MNH190" s="34"/>
      <c r="MNI190" s="34"/>
      <c r="MNJ190" s="34"/>
      <c r="MNK190" s="34"/>
      <c r="MNL190" s="34"/>
      <c r="MNM190" s="34"/>
      <c r="MNN190" s="34"/>
      <c r="MNO190" s="34"/>
      <c r="MNP190" s="34"/>
      <c r="MNQ190" s="34"/>
      <c r="MNR190" s="34"/>
      <c r="MNS190" s="34"/>
      <c r="MNT190" s="34"/>
      <c r="MNU190" s="34"/>
      <c r="MNV190" s="34"/>
      <c r="MNW190" s="34"/>
      <c r="MNX190" s="34"/>
      <c r="MNY190" s="34"/>
      <c r="MNZ190" s="34"/>
      <c r="MOA190" s="34"/>
      <c r="MOB190" s="34"/>
      <c r="MOC190" s="34"/>
      <c r="MOD190" s="34"/>
      <c r="MOE190" s="34"/>
      <c r="MOF190" s="34"/>
      <c r="MOG190" s="34"/>
      <c r="MOH190" s="34"/>
      <c r="MOI190" s="34"/>
      <c r="MOJ190" s="34"/>
      <c r="MOK190" s="34"/>
      <c r="MOL190" s="34"/>
      <c r="MOM190" s="34"/>
      <c r="MON190" s="34"/>
      <c r="MOO190" s="34"/>
      <c r="MOP190" s="34"/>
      <c r="MOQ190" s="34"/>
      <c r="MOR190" s="34"/>
      <c r="MOS190" s="34"/>
      <c r="MOT190" s="34"/>
      <c r="MOU190" s="34"/>
      <c r="MOV190" s="34"/>
      <c r="MOW190" s="34"/>
      <c r="MOX190" s="34"/>
      <c r="MOY190" s="34"/>
      <c r="MOZ190" s="34"/>
      <c r="MPA190" s="34"/>
      <c r="MPB190" s="34"/>
      <c r="MPC190" s="34"/>
      <c r="MPD190" s="34"/>
      <c r="MPE190" s="34"/>
      <c r="MPF190" s="34"/>
      <c r="MPG190" s="34"/>
      <c r="MPH190" s="34"/>
      <c r="MPI190" s="34"/>
      <c r="MPJ190" s="34"/>
      <c r="MPK190" s="34"/>
      <c r="MPL190" s="34"/>
      <c r="MPM190" s="34"/>
      <c r="MPN190" s="34"/>
      <c r="MPO190" s="34"/>
      <c r="MPP190" s="34"/>
      <c r="MPQ190" s="34"/>
      <c r="MPR190" s="34"/>
      <c r="MPS190" s="34"/>
      <c r="MPT190" s="34"/>
      <c r="MPU190" s="34"/>
      <c r="MPV190" s="34"/>
      <c r="MPW190" s="34"/>
      <c r="MPX190" s="34"/>
      <c r="MPY190" s="34"/>
      <c r="MPZ190" s="34"/>
      <c r="MQA190" s="34"/>
      <c r="MQB190" s="34"/>
      <c r="MQC190" s="34"/>
      <c r="MQD190" s="34"/>
      <c r="MQE190" s="34"/>
      <c r="MQF190" s="34"/>
      <c r="MQG190" s="34"/>
      <c r="MQH190" s="34"/>
      <c r="MQI190" s="34"/>
      <c r="MQJ190" s="34"/>
      <c r="MQK190" s="34"/>
      <c r="MQL190" s="34"/>
      <c r="MQM190" s="34"/>
      <c r="MQN190" s="34"/>
      <c r="MQO190" s="34"/>
      <c r="MQP190" s="34"/>
      <c r="MQQ190" s="34"/>
      <c r="MQR190" s="34"/>
      <c r="MQS190" s="34"/>
      <c r="MQT190" s="34"/>
      <c r="MQU190" s="34"/>
      <c r="MQV190" s="34"/>
      <c r="MQW190" s="34"/>
      <c r="MQX190" s="34"/>
      <c r="MQY190" s="34"/>
      <c r="MQZ190" s="34"/>
      <c r="MRA190" s="34"/>
      <c r="MRB190" s="34"/>
      <c r="MRC190" s="34"/>
      <c r="MRD190" s="34"/>
      <c r="MRE190" s="34"/>
      <c r="MRF190" s="34"/>
      <c r="MRG190" s="34"/>
      <c r="MRH190" s="34"/>
      <c r="MRI190" s="34"/>
      <c r="MRJ190" s="34"/>
      <c r="MRK190" s="34"/>
      <c r="MRL190" s="34"/>
      <c r="MRM190" s="34"/>
      <c r="MRN190" s="34"/>
      <c r="MRO190" s="34"/>
      <c r="MRP190" s="34"/>
      <c r="MRQ190" s="34"/>
      <c r="MRR190" s="34"/>
      <c r="MRS190" s="34"/>
      <c r="MRT190" s="34"/>
      <c r="MRU190" s="34"/>
      <c r="MRV190" s="34"/>
      <c r="MRW190" s="34"/>
      <c r="MRX190" s="34"/>
      <c r="MRY190" s="34"/>
      <c r="MRZ190" s="34"/>
      <c r="MSA190" s="34"/>
      <c r="MSB190" s="34"/>
      <c r="MSC190" s="34"/>
      <c r="MSD190" s="34"/>
      <c r="MSE190" s="34"/>
      <c r="MSF190" s="34"/>
      <c r="MSG190" s="34"/>
      <c r="MSH190" s="34"/>
      <c r="MSI190" s="34"/>
      <c r="MSJ190" s="34"/>
      <c r="MSK190" s="34"/>
      <c r="MSL190" s="34"/>
      <c r="MSM190" s="34"/>
      <c r="MSN190" s="34"/>
      <c r="MSO190" s="34"/>
      <c r="MSP190" s="34"/>
      <c r="MSQ190" s="34"/>
      <c r="MSR190" s="34"/>
      <c r="MSS190" s="34"/>
      <c r="MST190" s="34"/>
      <c r="MSU190" s="34"/>
      <c r="MSV190" s="34"/>
      <c r="MSW190" s="34"/>
      <c r="MSX190" s="34"/>
      <c r="MSY190" s="34"/>
      <c r="MSZ190" s="34"/>
      <c r="MTA190" s="34"/>
      <c r="MTB190" s="34"/>
      <c r="MTC190" s="34"/>
      <c r="MTD190" s="34"/>
      <c r="MTE190" s="34"/>
      <c r="MTF190" s="34"/>
      <c r="MTG190" s="34"/>
      <c r="MTH190" s="34"/>
      <c r="MTI190" s="34"/>
      <c r="MTJ190" s="34"/>
      <c r="MTK190" s="34"/>
      <c r="MTL190" s="34"/>
      <c r="MTM190" s="34"/>
      <c r="MTN190" s="34"/>
      <c r="MTO190" s="34"/>
      <c r="MTP190" s="34"/>
      <c r="MTQ190" s="34"/>
      <c r="MTR190" s="34"/>
      <c r="MTS190" s="34"/>
      <c r="MTT190" s="34"/>
      <c r="MTU190" s="34"/>
      <c r="MTV190" s="34"/>
      <c r="MTW190" s="34"/>
      <c r="MTX190" s="34"/>
      <c r="MTY190" s="34"/>
      <c r="MTZ190" s="34"/>
      <c r="MUA190" s="34"/>
      <c r="MUB190" s="34"/>
      <c r="MUC190" s="34"/>
      <c r="MUD190" s="34"/>
      <c r="MUE190" s="34"/>
      <c r="MUF190" s="34"/>
      <c r="MUG190" s="34"/>
      <c r="MUH190" s="34"/>
      <c r="MUI190" s="34"/>
      <c r="MUJ190" s="34"/>
      <c r="MUK190" s="34"/>
      <c r="MUL190" s="34"/>
      <c r="MUM190" s="34"/>
      <c r="MUN190" s="34"/>
      <c r="MUO190" s="34"/>
      <c r="MUP190" s="34"/>
      <c r="MUQ190" s="34"/>
      <c r="MUR190" s="34"/>
      <c r="MUS190" s="34"/>
      <c r="MUT190" s="34"/>
      <c r="MUU190" s="34"/>
      <c r="MUV190" s="34"/>
      <c r="MUW190" s="34"/>
      <c r="MUX190" s="34"/>
      <c r="MUY190" s="34"/>
      <c r="MUZ190" s="34"/>
      <c r="MVA190" s="34"/>
      <c r="MVB190" s="34"/>
      <c r="MVC190" s="34"/>
      <c r="MVD190" s="34"/>
      <c r="MVE190" s="34"/>
      <c r="MVF190" s="34"/>
      <c r="MVG190" s="34"/>
      <c r="MVH190" s="34"/>
      <c r="MVI190" s="34"/>
      <c r="MVJ190" s="34"/>
      <c r="MVK190" s="34"/>
      <c r="MVL190" s="34"/>
      <c r="MVM190" s="34"/>
      <c r="MVN190" s="34"/>
      <c r="MVO190" s="34"/>
      <c r="MVP190" s="34"/>
      <c r="MVQ190" s="34"/>
      <c r="MVR190" s="34"/>
      <c r="MVS190" s="34"/>
      <c r="MVT190" s="34"/>
      <c r="MVU190" s="34"/>
      <c r="MVV190" s="34"/>
      <c r="MVW190" s="34"/>
      <c r="MVX190" s="34"/>
      <c r="MVY190" s="34"/>
      <c r="MVZ190" s="34"/>
      <c r="MWA190" s="34"/>
      <c r="MWB190" s="34"/>
      <c r="MWC190" s="34"/>
      <c r="MWD190" s="34"/>
      <c r="MWE190" s="34"/>
      <c r="MWF190" s="34"/>
      <c r="MWG190" s="34"/>
      <c r="MWH190" s="34"/>
      <c r="MWI190" s="34"/>
      <c r="MWJ190" s="34"/>
      <c r="MWK190" s="34"/>
      <c r="MWL190" s="34"/>
      <c r="MWM190" s="34"/>
      <c r="MWN190" s="34"/>
      <c r="MWO190" s="34"/>
      <c r="MWP190" s="34"/>
      <c r="MWQ190" s="34"/>
      <c r="MWR190" s="34"/>
      <c r="MWS190" s="34"/>
      <c r="MWT190" s="34"/>
      <c r="MWU190" s="34"/>
      <c r="MWV190" s="34"/>
      <c r="MWW190" s="34"/>
      <c r="MWX190" s="34"/>
      <c r="MWY190" s="34"/>
      <c r="MWZ190" s="34"/>
      <c r="MXA190" s="34"/>
      <c r="MXB190" s="34"/>
      <c r="MXC190" s="34"/>
      <c r="MXD190" s="34"/>
      <c r="MXE190" s="34"/>
      <c r="MXF190" s="34"/>
      <c r="MXG190" s="34"/>
      <c r="MXH190" s="34"/>
      <c r="MXI190" s="34"/>
      <c r="MXJ190" s="34"/>
      <c r="MXK190" s="34"/>
      <c r="MXL190" s="34"/>
      <c r="MXM190" s="34"/>
      <c r="MXN190" s="34"/>
      <c r="MXO190" s="34"/>
      <c r="MXP190" s="34"/>
      <c r="MXQ190" s="34"/>
      <c r="MXR190" s="34"/>
      <c r="MXS190" s="34"/>
      <c r="MXT190" s="34"/>
      <c r="MXU190" s="34"/>
      <c r="MXV190" s="34"/>
      <c r="MXW190" s="34"/>
      <c r="MXX190" s="34"/>
      <c r="MXY190" s="34"/>
      <c r="MXZ190" s="34"/>
      <c r="MYA190" s="34"/>
      <c r="MYB190" s="34"/>
      <c r="MYC190" s="34"/>
      <c r="MYD190" s="34"/>
      <c r="MYE190" s="34"/>
      <c r="MYF190" s="34"/>
      <c r="MYG190" s="34"/>
      <c r="MYH190" s="34"/>
      <c r="MYI190" s="34"/>
      <c r="MYJ190" s="34"/>
      <c r="MYK190" s="34"/>
      <c r="MYL190" s="34"/>
      <c r="MYM190" s="34"/>
      <c r="MYN190" s="34"/>
      <c r="MYO190" s="34"/>
      <c r="MYP190" s="34"/>
      <c r="MYQ190" s="34"/>
      <c r="MYR190" s="34"/>
      <c r="MYS190" s="34"/>
      <c r="MYT190" s="34"/>
      <c r="MYU190" s="34"/>
      <c r="MYV190" s="34"/>
      <c r="MYW190" s="34"/>
      <c r="MYX190" s="34"/>
      <c r="MYY190" s="34"/>
      <c r="MYZ190" s="34"/>
      <c r="MZA190" s="34"/>
      <c r="MZB190" s="34"/>
      <c r="MZC190" s="34"/>
      <c r="MZD190" s="34"/>
      <c r="MZE190" s="34"/>
      <c r="MZF190" s="34"/>
      <c r="MZG190" s="34"/>
      <c r="MZH190" s="34"/>
      <c r="MZI190" s="34"/>
      <c r="MZJ190" s="34"/>
      <c r="MZK190" s="34"/>
      <c r="MZL190" s="34"/>
      <c r="MZM190" s="34"/>
      <c r="MZN190" s="34"/>
      <c r="MZO190" s="34"/>
      <c r="MZP190" s="34"/>
      <c r="MZQ190" s="34"/>
      <c r="MZR190" s="34"/>
      <c r="MZS190" s="34"/>
      <c r="MZT190" s="34"/>
      <c r="MZU190" s="34"/>
      <c r="MZV190" s="34"/>
      <c r="MZW190" s="34"/>
      <c r="MZX190" s="34"/>
      <c r="MZY190" s="34"/>
      <c r="MZZ190" s="34"/>
      <c r="NAA190" s="34"/>
      <c r="NAB190" s="34"/>
      <c r="NAC190" s="34"/>
      <c r="NAD190" s="34"/>
      <c r="NAE190" s="34"/>
      <c r="NAF190" s="34"/>
      <c r="NAG190" s="34"/>
      <c r="NAH190" s="34"/>
      <c r="NAI190" s="34"/>
      <c r="NAJ190" s="34"/>
      <c r="NAK190" s="34"/>
      <c r="NAL190" s="34"/>
      <c r="NAM190" s="34"/>
      <c r="NAN190" s="34"/>
      <c r="NAO190" s="34"/>
      <c r="NAP190" s="34"/>
      <c r="NAQ190" s="34"/>
      <c r="NAR190" s="34"/>
      <c r="NAS190" s="34"/>
      <c r="NAT190" s="34"/>
      <c r="NAU190" s="34"/>
      <c r="NAV190" s="34"/>
      <c r="NAW190" s="34"/>
      <c r="NAX190" s="34"/>
      <c r="NAY190" s="34"/>
      <c r="NAZ190" s="34"/>
      <c r="NBA190" s="34"/>
      <c r="NBB190" s="34"/>
      <c r="NBC190" s="34"/>
      <c r="NBD190" s="34"/>
      <c r="NBE190" s="34"/>
      <c r="NBF190" s="34"/>
      <c r="NBG190" s="34"/>
      <c r="NBH190" s="34"/>
      <c r="NBI190" s="34"/>
      <c r="NBJ190" s="34"/>
      <c r="NBK190" s="34"/>
      <c r="NBL190" s="34"/>
      <c r="NBM190" s="34"/>
      <c r="NBN190" s="34"/>
      <c r="NBO190" s="34"/>
      <c r="NBP190" s="34"/>
      <c r="NBQ190" s="34"/>
      <c r="NBR190" s="34"/>
      <c r="NBS190" s="34"/>
      <c r="NBT190" s="34"/>
      <c r="NBU190" s="34"/>
      <c r="NBV190" s="34"/>
      <c r="NBW190" s="34"/>
      <c r="NBX190" s="34"/>
      <c r="NBY190" s="34"/>
      <c r="NBZ190" s="34"/>
      <c r="NCA190" s="34"/>
      <c r="NCB190" s="34"/>
      <c r="NCC190" s="34"/>
      <c r="NCD190" s="34"/>
      <c r="NCE190" s="34"/>
      <c r="NCF190" s="34"/>
      <c r="NCG190" s="34"/>
      <c r="NCH190" s="34"/>
      <c r="NCI190" s="34"/>
      <c r="NCJ190" s="34"/>
      <c r="NCK190" s="34"/>
      <c r="NCL190" s="34"/>
      <c r="NCM190" s="34"/>
      <c r="NCN190" s="34"/>
      <c r="NCO190" s="34"/>
      <c r="NCP190" s="34"/>
      <c r="NCQ190" s="34"/>
      <c r="NCR190" s="34"/>
      <c r="NCS190" s="34"/>
      <c r="NCT190" s="34"/>
      <c r="NCU190" s="34"/>
      <c r="NCV190" s="34"/>
      <c r="NCW190" s="34"/>
      <c r="NCX190" s="34"/>
      <c r="NCY190" s="34"/>
      <c r="NCZ190" s="34"/>
      <c r="NDA190" s="34"/>
      <c r="NDB190" s="34"/>
      <c r="NDC190" s="34"/>
      <c r="NDD190" s="34"/>
      <c r="NDE190" s="34"/>
      <c r="NDF190" s="34"/>
      <c r="NDG190" s="34"/>
      <c r="NDH190" s="34"/>
      <c r="NDI190" s="34"/>
      <c r="NDJ190" s="34"/>
      <c r="NDK190" s="34"/>
      <c r="NDL190" s="34"/>
      <c r="NDM190" s="34"/>
      <c r="NDN190" s="34"/>
      <c r="NDO190" s="34"/>
      <c r="NDP190" s="34"/>
      <c r="NDQ190" s="34"/>
      <c r="NDR190" s="34"/>
      <c r="NDS190" s="34"/>
      <c r="NDT190" s="34"/>
      <c r="NDU190" s="34"/>
      <c r="NDV190" s="34"/>
      <c r="NDW190" s="34"/>
      <c r="NDX190" s="34"/>
      <c r="NDY190" s="34"/>
      <c r="NDZ190" s="34"/>
      <c r="NEA190" s="34"/>
      <c r="NEB190" s="34"/>
      <c r="NEC190" s="34"/>
      <c r="NED190" s="34"/>
      <c r="NEE190" s="34"/>
      <c r="NEF190" s="34"/>
      <c r="NEG190" s="34"/>
      <c r="NEH190" s="34"/>
      <c r="NEI190" s="34"/>
      <c r="NEJ190" s="34"/>
      <c r="NEK190" s="34"/>
      <c r="NEL190" s="34"/>
      <c r="NEM190" s="34"/>
      <c r="NEN190" s="34"/>
      <c r="NEO190" s="34"/>
      <c r="NEP190" s="34"/>
      <c r="NEQ190" s="34"/>
      <c r="NER190" s="34"/>
      <c r="NES190" s="34"/>
      <c r="NET190" s="34"/>
      <c r="NEU190" s="34"/>
      <c r="NEV190" s="34"/>
      <c r="NEW190" s="34"/>
      <c r="NEX190" s="34"/>
      <c r="NEY190" s="34"/>
      <c r="NEZ190" s="34"/>
      <c r="NFA190" s="34"/>
      <c r="NFB190" s="34"/>
      <c r="NFC190" s="34"/>
      <c r="NFD190" s="34"/>
      <c r="NFE190" s="34"/>
      <c r="NFF190" s="34"/>
      <c r="NFG190" s="34"/>
      <c r="NFH190" s="34"/>
      <c r="NFI190" s="34"/>
      <c r="NFJ190" s="34"/>
      <c r="NFK190" s="34"/>
      <c r="NFL190" s="34"/>
      <c r="NFM190" s="34"/>
      <c r="NFN190" s="34"/>
      <c r="NFO190" s="34"/>
      <c r="NFP190" s="34"/>
      <c r="NFQ190" s="34"/>
      <c r="NFR190" s="34"/>
      <c r="NFS190" s="34"/>
      <c r="NFT190" s="34"/>
      <c r="NFU190" s="34"/>
      <c r="NFV190" s="34"/>
      <c r="NFW190" s="34"/>
      <c r="NFX190" s="34"/>
      <c r="NFY190" s="34"/>
      <c r="NFZ190" s="34"/>
      <c r="NGA190" s="34"/>
      <c r="NGB190" s="34"/>
      <c r="NGC190" s="34"/>
      <c r="NGD190" s="34"/>
      <c r="NGE190" s="34"/>
      <c r="NGF190" s="34"/>
      <c r="NGG190" s="34"/>
      <c r="NGH190" s="34"/>
      <c r="NGI190" s="34"/>
      <c r="NGJ190" s="34"/>
      <c r="NGK190" s="34"/>
      <c r="NGL190" s="34"/>
      <c r="NGM190" s="34"/>
      <c r="NGN190" s="34"/>
      <c r="NGO190" s="34"/>
      <c r="NGP190" s="34"/>
      <c r="NGQ190" s="34"/>
      <c r="NGR190" s="34"/>
      <c r="NGS190" s="34"/>
      <c r="NGT190" s="34"/>
      <c r="NGU190" s="34"/>
      <c r="NGV190" s="34"/>
      <c r="NGW190" s="34"/>
      <c r="NGX190" s="34"/>
      <c r="NGY190" s="34"/>
      <c r="NGZ190" s="34"/>
      <c r="NHA190" s="34"/>
      <c r="NHB190" s="34"/>
      <c r="NHC190" s="34"/>
      <c r="NHD190" s="34"/>
      <c r="NHE190" s="34"/>
      <c r="NHF190" s="34"/>
      <c r="NHG190" s="34"/>
      <c r="NHH190" s="34"/>
      <c r="NHI190" s="34"/>
      <c r="NHJ190" s="34"/>
      <c r="NHK190" s="34"/>
      <c r="NHL190" s="34"/>
      <c r="NHM190" s="34"/>
      <c r="NHN190" s="34"/>
      <c r="NHO190" s="34"/>
      <c r="NHP190" s="34"/>
      <c r="NHQ190" s="34"/>
      <c r="NHR190" s="34"/>
      <c r="NHS190" s="34"/>
      <c r="NHT190" s="34"/>
      <c r="NHU190" s="34"/>
      <c r="NHV190" s="34"/>
      <c r="NHW190" s="34"/>
      <c r="NHX190" s="34"/>
      <c r="NHY190" s="34"/>
      <c r="NHZ190" s="34"/>
      <c r="NIA190" s="34"/>
      <c r="NIB190" s="34"/>
      <c r="NIC190" s="34"/>
      <c r="NID190" s="34"/>
      <c r="NIE190" s="34"/>
      <c r="NIF190" s="34"/>
      <c r="NIG190" s="34"/>
      <c r="NIH190" s="34"/>
      <c r="NII190" s="34"/>
      <c r="NIJ190" s="34"/>
      <c r="NIK190" s="34"/>
      <c r="NIL190" s="34"/>
      <c r="NIM190" s="34"/>
      <c r="NIN190" s="34"/>
      <c r="NIO190" s="34"/>
      <c r="NIP190" s="34"/>
      <c r="NIQ190" s="34"/>
      <c r="NIR190" s="34"/>
      <c r="NIS190" s="34"/>
      <c r="NIT190" s="34"/>
      <c r="NIU190" s="34"/>
      <c r="NIV190" s="34"/>
      <c r="NIW190" s="34"/>
      <c r="NIX190" s="34"/>
      <c r="NIY190" s="34"/>
      <c r="NIZ190" s="34"/>
      <c r="NJA190" s="34"/>
      <c r="NJB190" s="34"/>
      <c r="NJC190" s="34"/>
      <c r="NJD190" s="34"/>
      <c r="NJE190" s="34"/>
      <c r="NJF190" s="34"/>
      <c r="NJG190" s="34"/>
      <c r="NJH190" s="34"/>
      <c r="NJI190" s="34"/>
      <c r="NJJ190" s="34"/>
      <c r="NJK190" s="34"/>
      <c r="NJL190" s="34"/>
      <c r="NJM190" s="34"/>
      <c r="NJN190" s="34"/>
      <c r="NJO190" s="34"/>
      <c r="NJP190" s="34"/>
      <c r="NJQ190" s="34"/>
      <c r="NJR190" s="34"/>
      <c r="NJS190" s="34"/>
      <c r="NJT190" s="34"/>
      <c r="NJU190" s="34"/>
      <c r="NJV190" s="34"/>
      <c r="NJW190" s="34"/>
      <c r="NJX190" s="34"/>
      <c r="NJY190" s="34"/>
      <c r="NJZ190" s="34"/>
      <c r="NKA190" s="34"/>
      <c r="NKB190" s="34"/>
      <c r="NKC190" s="34"/>
      <c r="NKD190" s="34"/>
      <c r="NKE190" s="34"/>
      <c r="NKF190" s="34"/>
      <c r="NKG190" s="34"/>
      <c r="NKH190" s="34"/>
      <c r="NKI190" s="34"/>
      <c r="NKJ190" s="34"/>
      <c r="NKK190" s="34"/>
      <c r="NKL190" s="34"/>
      <c r="NKM190" s="34"/>
      <c r="NKN190" s="34"/>
      <c r="NKO190" s="34"/>
      <c r="NKP190" s="34"/>
      <c r="NKQ190" s="34"/>
      <c r="NKR190" s="34"/>
      <c r="NKS190" s="34"/>
      <c r="NKT190" s="34"/>
      <c r="NKU190" s="34"/>
      <c r="NKV190" s="34"/>
      <c r="NKW190" s="34"/>
      <c r="NKX190" s="34"/>
      <c r="NKY190" s="34"/>
      <c r="NKZ190" s="34"/>
      <c r="NLA190" s="34"/>
      <c r="NLB190" s="34"/>
      <c r="NLC190" s="34"/>
      <c r="NLD190" s="34"/>
      <c r="NLE190" s="34"/>
      <c r="NLF190" s="34"/>
      <c r="NLG190" s="34"/>
      <c r="NLH190" s="34"/>
      <c r="NLI190" s="34"/>
      <c r="NLJ190" s="34"/>
      <c r="NLK190" s="34"/>
      <c r="NLL190" s="34"/>
      <c r="NLM190" s="34"/>
      <c r="NLN190" s="34"/>
      <c r="NLO190" s="34"/>
      <c r="NLP190" s="34"/>
      <c r="NLQ190" s="34"/>
      <c r="NLR190" s="34"/>
      <c r="NLS190" s="34"/>
      <c r="NLT190" s="34"/>
      <c r="NLU190" s="34"/>
      <c r="NLV190" s="34"/>
      <c r="NLW190" s="34"/>
      <c r="NLX190" s="34"/>
      <c r="NLY190" s="34"/>
      <c r="NLZ190" s="34"/>
      <c r="NMA190" s="34"/>
      <c r="NMB190" s="34"/>
      <c r="NMC190" s="34"/>
      <c r="NMD190" s="34"/>
      <c r="NME190" s="34"/>
      <c r="NMF190" s="34"/>
      <c r="NMG190" s="34"/>
      <c r="NMH190" s="34"/>
      <c r="NMI190" s="34"/>
      <c r="NMJ190" s="34"/>
      <c r="NMK190" s="34"/>
      <c r="NML190" s="34"/>
      <c r="NMM190" s="34"/>
      <c r="NMN190" s="34"/>
      <c r="NMO190" s="34"/>
      <c r="NMP190" s="34"/>
      <c r="NMQ190" s="34"/>
      <c r="NMR190" s="34"/>
      <c r="NMS190" s="34"/>
      <c r="NMT190" s="34"/>
      <c r="NMU190" s="34"/>
      <c r="NMV190" s="34"/>
      <c r="NMW190" s="34"/>
      <c r="NMX190" s="34"/>
      <c r="NMY190" s="34"/>
      <c r="NMZ190" s="34"/>
      <c r="NNA190" s="34"/>
      <c r="NNB190" s="34"/>
      <c r="NNC190" s="34"/>
      <c r="NND190" s="34"/>
      <c r="NNE190" s="34"/>
      <c r="NNF190" s="34"/>
      <c r="NNG190" s="34"/>
      <c r="NNH190" s="34"/>
      <c r="NNI190" s="34"/>
      <c r="NNJ190" s="34"/>
      <c r="NNK190" s="34"/>
      <c r="NNL190" s="34"/>
      <c r="NNM190" s="34"/>
      <c r="NNN190" s="34"/>
      <c r="NNO190" s="34"/>
      <c r="NNP190" s="34"/>
      <c r="NNQ190" s="34"/>
      <c r="NNR190" s="34"/>
      <c r="NNS190" s="34"/>
      <c r="NNT190" s="34"/>
      <c r="NNU190" s="34"/>
      <c r="NNV190" s="34"/>
      <c r="NNW190" s="34"/>
      <c r="NNX190" s="34"/>
      <c r="NNY190" s="34"/>
      <c r="NNZ190" s="34"/>
      <c r="NOA190" s="34"/>
      <c r="NOB190" s="34"/>
      <c r="NOC190" s="34"/>
      <c r="NOD190" s="34"/>
      <c r="NOE190" s="34"/>
      <c r="NOF190" s="34"/>
      <c r="NOG190" s="34"/>
      <c r="NOH190" s="34"/>
      <c r="NOI190" s="34"/>
      <c r="NOJ190" s="34"/>
      <c r="NOK190" s="34"/>
      <c r="NOL190" s="34"/>
      <c r="NOM190" s="34"/>
      <c r="NON190" s="34"/>
      <c r="NOO190" s="34"/>
      <c r="NOP190" s="34"/>
      <c r="NOQ190" s="34"/>
      <c r="NOR190" s="34"/>
      <c r="NOS190" s="34"/>
      <c r="NOT190" s="34"/>
      <c r="NOU190" s="34"/>
      <c r="NOV190" s="34"/>
      <c r="NOW190" s="34"/>
      <c r="NOX190" s="34"/>
      <c r="NOY190" s="34"/>
      <c r="NOZ190" s="34"/>
      <c r="NPA190" s="34"/>
      <c r="NPB190" s="34"/>
      <c r="NPC190" s="34"/>
      <c r="NPD190" s="34"/>
      <c r="NPE190" s="34"/>
      <c r="NPF190" s="34"/>
      <c r="NPG190" s="34"/>
      <c r="NPH190" s="34"/>
      <c r="NPI190" s="34"/>
      <c r="NPJ190" s="34"/>
      <c r="NPK190" s="34"/>
      <c r="NPL190" s="34"/>
      <c r="NPM190" s="34"/>
      <c r="NPN190" s="34"/>
      <c r="NPO190" s="34"/>
      <c r="NPP190" s="34"/>
      <c r="NPQ190" s="34"/>
      <c r="NPR190" s="34"/>
      <c r="NPS190" s="34"/>
      <c r="NPT190" s="34"/>
      <c r="NPU190" s="34"/>
      <c r="NPV190" s="34"/>
      <c r="NPW190" s="34"/>
      <c r="NPX190" s="34"/>
      <c r="NPY190" s="34"/>
      <c r="NPZ190" s="34"/>
      <c r="NQA190" s="34"/>
      <c r="NQB190" s="34"/>
      <c r="NQC190" s="34"/>
      <c r="NQD190" s="34"/>
      <c r="NQE190" s="34"/>
      <c r="NQF190" s="34"/>
      <c r="NQG190" s="34"/>
      <c r="NQH190" s="34"/>
      <c r="NQI190" s="34"/>
      <c r="NQJ190" s="34"/>
      <c r="NQK190" s="34"/>
      <c r="NQL190" s="34"/>
      <c r="NQM190" s="34"/>
      <c r="NQN190" s="34"/>
      <c r="NQO190" s="34"/>
      <c r="NQP190" s="34"/>
      <c r="NQQ190" s="34"/>
      <c r="NQR190" s="34"/>
      <c r="NQS190" s="34"/>
      <c r="NQT190" s="34"/>
      <c r="NQU190" s="34"/>
      <c r="NQV190" s="34"/>
      <c r="NQW190" s="34"/>
      <c r="NQX190" s="34"/>
      <c r="NQY190" s="34"/>
      <c r="NQZ190" s="34"/>
      <c r="NRA190" s="34"/>
      <c r="NRB190" s="34"/>
      <c r="NRC190" s="34"/>
      <c r="NRD190" s="34"/>
      <c r="NRE190" s="34"/>
      <c r="NRF190" s="34"/>
      <c r="NRG190" s="34"/>
      <c r="NRH190" s="34"/>
      <c r="NRI190" s="34"/>
      <c r="NRJ190" s="34"/>
      <c r="NRK190" s="34"/>
      <c r="NRL190" s="34"/>
      <c r="NRM190" s="34"/>
      <c r="NRN190" s="34"/>
      <c r="NRO190" s="34"/>
      <c r="NRP190" s="34"/>
      <c r="NRQ190" s="34"/>
      <c r="NRR190" s="34"/>
      <c r="NRS190" s="34"/>
      <c r="NRT190" s="34"/>
      <c r="NRU190" s="34"/>
      <c r="NRV190" s="34"/>
      <c r="NRW190" s="34"/>
      <c r="NRX190" s="34"/>
      <c r="NRY190" s="34"/>
      <c r="NRZ190" s="34"/>
      <c r="NSA190" s="34"/>
      <c r="NSB190" s="34"/>
      <c r="NSC190" s="34"/>
      <c r="NSD190" s="34"/>
      <c r="NSE190" s="34"/>
      <c r="NSF190" s="34"/>
      <c r="NSG190" s="34"/>
      <c r="NSH190" s="34"/>
      <c r="NSI190" s="34"/>
      <c r="NSJ190" s="34"/>
      <c r="NSK190" s="34"/>
      <c r="NSL190" s="34"/>
      <c r="NSM190" s="34"/>
      <c r="NSN190" s="34"/>
      <c r="NSO190" s="34"/>
      <c r="NSP190" s="34"/>
      <c r="NSQ190" s="34"/>
      <c r="NSR190" s="34"/>
      <c r="NSS190" s="34"/>
      <c r="NST190" s="34"/>
      <c r="NSU190" s="34"/>
      <c r="NSV190" s="34"/>
      <c r="NSW190" s="34"/>
      <c r="NSX190" s="34"/>
      <c r="NSY190" s="34"/>
      <c r="NSZ190" s="34"/>
      <c r="NTA190" s="34"/>
      <c r="NTB190" s="34"/>
      <c r="NTC190" s="34"/>
      <c r="NTD190" s="34"/>
      <c r="NTE190" s="34"/>
      <c r="NTF190" s="34"/>
      <c r="NTG190" s="34"/>
      <c r="NTH190" s="34"/>
      <c r="NTI190" s="34"/>
      <c r="NTJ190" s="34"/>
      <c r="NTK190" s="34"/>
      <c r="NTL190" s="34"/>
      <c r="NTM190" s="34"/>
      <c r="NTN190" s="34"/>
      <c r="NTO190" s="34"/>
      <c r="NTP190" s="34"/>
      <c r="NTQ190" s="34"/>
      <c r="NTR190" s="34"/>
      <c r="NTS190" s="34"/>
      <c r="NTT190" s="34"/>
      <c r="NTU190" s="34"/>
      <c r="NTV190" s="34"/>
      <c r="NTW190" s="34"/>
      <c r="NTX190" s="34"/>
      <c r="NTY190" s="34"/>
    </row>
    <row r="191" spans="1:10009" hidden="1" x14ac:dyDescent="0.3">
      <c r="H191" s="37"/>
      <c r="J191" t="s">
        <v>6</v>
      </c>
      <c r="K191">
        <v>67404652000</v>
      </c>
      <c r="L191">
        <v>60005533000</v>
      </c>
      <c r="M191">
        <v>63745371000</v>
      </c>
      <c r="N191">
        <v>70464575000</v>
      </c>
      <c r="O191">
        <v>76781680000</v>
      </c>
      <c r="P191">
        <v>77203607000</v>
      </c>
      <c r="Q191">
        <v>77781498000</v>
      </c>
      <c r="R191">
        <v>76565524000</v>
      </c>
      <c r="S191">
        <v>73979187000</v>
      </c>
      <c r="T191">
        <v>63671585000</v>
      </c>
    </row>
    <row r="192" spans="1:10009" hidden="1" x14ac:dyDescent="0.3">
      <c r="H192" s="37"/>
      <c r="J192" t="s">
        <v>46</v>
      </c>
      <c r="K192">
        <v>2433534000</v>
      </c>
      <c r="L192">
        <v>668547000</v>
      </c>
      <c r="M192">
        <v>640178000</v>
      </c>
      <c r="N192">
        <v>4306131000</v>
      </c>
      <c r="O192">
        <v>10852045000</v>
      </c>
      <c r="P192">
        <v>14097045000</v>
      </c>
      <c r="Q192">
        <v>14121409000</v>
      </c>
      <c r="R192">
        <v>13866712000</v>
      </c>
      <c r="S192">
        <v>15817531000</v>
      </c>
      <c r="T192">
        <v>12566745000</v>
      </c>
    </row>
    <row r="193" spans="1:45" hidden="1" x14ac:dyDescent="0.3">
      <c r="H193" s="37"/>
      <c r="J193" t="s">
        <v>119</v>
      </c>
      <c r="K193">
        <v>5844171000</v>
      </c>
      <c r="L193">
        <v>1723571000</v>
      </c>
      <c r="M193">
        <v>1574600000</v>
      </c>
      <c r="N193">
        <v>23841446000</v>
      </c>
      <c r="O193">
        <v>9389198000</v>
      </c>
      <c r="P193">
        <v>11098805000</v>
      </c>
      <c r="Q193">
        <v>11324628000</v>
      </c>
      <c r="R193">
        <v>10837948000</v>
      </c>
      <c r="S193">
        <v>12293331000</v>
      </c>
      <c r="T193">
        <v>9634486000</v>
      </c>
    </row>
    <row r="194" spans="1:45" hidden="1" x14ac:dyDescent="0.3">
      <c r="J194" t="s">
        <v>175</v>
      </c>
      <c r="K194">
        <v>810</v>
      </c>
      <c r="L194">
        <v>228</v>
      </c>
      <c r="M194">
        <v>206</v>
      </c>
      <c r="N194">
        <v>3460</v>
      </c>
      <c r="O194">
        <v>1346</v>
      </c>
      <c r="P194">
        <v>1613</v>
      </c>
      <c r="Q194">
        <v>1638</v>
      </c>
      <c r="R194">
        <v>1566</v>
      </c>
      <c r="S194">
        <v>1776</v>
      </c>
      <c r="T194">
        <v>1391</v>
      </c>
    </row>
    <row r="195" spans="1:45" hidden="1" x14ac:dyDescent="0.3">
      <c r="H195" s="37" t="s">
        <v>170</v>
      </c>
      <c r="J195" t="s">
        <v>34</v>
      </c>
      <c r="K195">
        <v>-12.21</v>
      </c>
      <c r="L195">
        <v>-22.28</v>
      </c>
      <c r="M195">
        <v>-18.05</v>
      </c>
      <c r="N195">
        <v>-7.97</v>
      </c>
      <c r="O195">
        <v>3.79</v>
      </c>
      <c r="P195">
        <v>21.25</v>
      </c>
      <c r="Q195">
        <v>18.95</v>
      </c>
      <c r="R195">
        <v>24.39</v>
      </c>
      <c r="S195">
        <v>10.48</v>
      </c>
      <c r="T195">
        <v>20.21</v>
      </c>
    </row>
    <row r="196" spans="1:45" hidden="1" x14ac:dyDescent="0.3">
      <c r="H196" s="37"/>
      <c r="J196" t="s">
        <v>44</v>
      </c>
      <c r="K196" t="s">
        <v>264</v>
      </c>
      <c r="L196" t="s">
        <v>265</v>
      </c>
      <c r="M196" t="s">
        <v>266</v>
      </c>
      <c r="N196" t="s">
        <v>267</v>
      </c>
      <c r="O196" t="s">
        <v>268</v>
      </c>
      <c r="P196" t="s">
        <v>269</v>
      </c>
      <c r="Q196" t="s">
        <v>270</v>
      </c>
      <c r="R196" t="s">
        <v>271</v>
      </c>
      <c r="S196" t="s">
        <v>272</v>
      </c>
      <c r="T196" t="s">
        <v>273</v>
      </c>
    </row>
    <row r="197" spans="1:45" hidden="1" x14ac:dyDescent="0.3">
      <c r="H197" s="37"/>
      <c r="J197" t="s">
        <v>49</v>
      </c>
      <c r="K197" t="s">
        <v>274</v>
      </c>
      <c r="L197" t="s">
        <v>275</v>
      </c>
      <c r="M197" t="s">
        <v>276</v>
      </c>
      <c r="N197" t="s">
        <v>277</v>
      </c>
      <c r="O197" t="s">
        <v>278</v>
      </c>
      <c r="P197" t="s">
        <v>279</v>
      </c>
      <c r="Q197" t="s">
        <v>280</v>
      </c>
      <c r="R197" t="s">
        <v>281</v>
      </c>
      <c r="S197" t="s">
        <v>282</v>
      </c>
      <c r="T197" t="s">
        <v>283</v>
      </c>
    </row>
    <row r="198" spans="1:45" hidden="1" x14ac:dyDescent="0.3">
      <c r="J198" t="s">
        <v>177</v>
      </c>
      <c r="K198">
        <f>IF(K194="",NA(),(K194-K188)/K188*100)</f>
        <v>-39.821693907875186</v>
      </c>
      <c r="L198">
        <f t="shared" ref="L198:S198" si="1">(L194-L188)/L188*100</f>
        <v>-85.864848109113453</v>
      </c>
      <c r="M198">
        <f t="shared" si="1"/>
        <v>-87.423687423687426</v>
      </c>
      <c r="N198">
        <f t="shared" si="1"/>
        <v>120.94508301404854</v>
      </c>
      <c r="O198">
        <f t="shared" si="1"/>
        <v>-24.211711711711711</v>
      </c>
      <c r="P198">
        <f t="shared" si="1"/>
        <v>15.959741193386053</v>
      </c>
      <c r="Q198">
        <f t="shared" si="1"/>
        <v>56.896551724137936</v>
      </c>
      <c r="R198">
        <f t="shared" si="1"/>
        <v>65.015806111696534</v>
      </c>
      <c r="S198">
        <f t="shared" si="1"/>
        <v>30.205278592375368</v>
      </c>
    </row>
    <row r="199" spans="1:45" hidden="1" x14ac:dyDescent="0.3">
      <c r="H199" s="37" t="s">
        <v>171</v>
      </c>
      <c r="J199" t="s">
        <v>167</v>
      </c>
      <c r="K199">
        <f>IF(K191="",NA(),(K191-L191)/L191*100)</f>
        <v>12.330727901375361</v>
      </c>
      <c r="L199">
        <f t="shared" ref="L199:S199" si="2">(L191-M191)/M191*100</f>
        <v>-5.866838550520006</v>
      </c>
      <c r="M199">
        <f t="shared" si="2"/>
        <v>-9.5355772741125602</v>
      </c>
      <c r="N199">
        <f t="shared" si="2"/>
        <v>-8.227359703512608</v>
      </c>
      <c r="O199">
        <f t="shared" si="2"/>
        <v>-0.54651203019568761</v>
      </c>
      <c r="P199">
        <f t="shared" si="2"/>
        <v>-0.74296717710425164</v>
      </c>
      <c r="Q199">
        <f t="shared" si="2"/>
        <v>1.5881482114587238</v>
      </c>
      <c r="R199">
        <f t="shared" si="2"/>
        <v>3.4960332829826859</v>
      </c>
      <c r="S199">
        <f t="shared" si="2"/>
        <v>16.188700187061468</v>
      </c>
    </row>
    <row r="200" spans="1:45" hidden="1" x14ac:dyDescent="0.3">
      <c r="H200" s="37"/>
      <c r="J200" t="s">
        <v>168</v>
      </c>
      <c r="K200">
        <f>IF(K192="",NA(),(K192-L192)/L192*100)</f>
        <v>264.00342833039412</v>
      </c>
      <c r="L200">
        <f t="shared" ref="L200:S200" si="3">(L192-M192)/M192*100</f>
        <v>4.4314237602666759</v>
      </c>
      <c r="M200">
        <f t="shared" si="3"/>
        <v>-85.133336630957118</v>
      </c>
      <c r="N200">
        <f t="shared" si="3"/>
        <v>-60.319635607850877</v>
      </c>
      <c r="O200">
        <f t="shared" si="3"/>
        <v>-23.01900859364498</v>
      </c>
      <c r="P200">
        <f t="shared" si="3"/>
        <v>-0.172532358491989</v>
      </c>
      <c r="Q200">
        <f t="shared" si="3"/>
        <v>1.836751206774901</v>
      </c>
      <c r="R200">
        <f t="shared" si="3"/>
        <v>-12.333271229245575</v>
      </c>
      <c r="S200">
        <f t="shared" si="3"/>
        <v>25.868162360261149</v>
      </c>
    </row>
    <row r="201" spans="1:45" hidden="1" x14ac:dyDescent="0.3">
      <c r="H201" s="37"/>
      <c r="J201" t="s">
        <v>169</v>
      </c>
      <c r="K201">
        <f>IF(K193="",NA(),(K193-L193)/L193*100)</f>
        <v>239.07341211937307</v>
      </c>
      <c r="L201">
        <f t="shared" ref="L201:S201" si="4">(L193-M193)/M193*100</f>
        <v>9.4608789533849862</v>
      </c>
      <c r="M201">
        <f t="shared" si="4"/>
        <v>-93.395534817812646</v>
      </c>
      <c r="N201">
        <f t="shared" si="4"/>
        <v>153.92420098074405</v>
      </c>
      <c r="O201">
        <f t="shared" si="4"/>
        <v>-15.403523172089248</v>
      </c>
      <c r="P201">
        <f t="shared" si="4"/>
        <v>-1.9940875762100088</v>
      </c>
      <c r="Q201">
        <f t="shared" si="4"/>
        <v>4.4905179467552347</v>
      </c>
      <c r="R201">
        <f t="shared" si="4"/>
        <v>-11.838801054002369</v>
      </c>
      <c r="S201">
        <f t="shared" si="4"/>
        <v>27.597165017417641</v>
      </c>
    </row>
    <row r="202" spans="1:45" hidden="1" x14ac:dyDescent="0.3">
      <c r="J202" t="s">
        <v>176</v>
      </c>
      <c r="K202">
        <f>IF(K194="",NA(),(K194-L194)/L194*100)</f>
        <v>255.26315789473685</v>
      </c>
      <c r="L202">
        <f t="shared" ref="L202:S202" si="5">(L194-M194)/M194*100</f>
        <v>10.679611650485436</v>
      </c>
      <c r="M202">
        <f t="shared" si="5"/>
        <v>-94.046242774566466</v>
      </c>
      <c r="N202">
        <f t="shared" si="5"/>
        <v>157.05794947994056</v>
      </c>
      <c r="O202">
        <f t="shared" si="5"/>
        <v>-16.553006819590824</v>
      </c>
      <c r="P202">
        <f t="shared" si="5"/>
        <v>-1.5262515262515262</v>
      </c>
      <c r="Q202">
        <f t="shared" si="5"/>
        <v>4.5977011494252871</v>
      </c>
      <c r="R202">
        <f t="shared" si="5"/>
        <v>-11.824324324324325</v>
      </c>
      <c r="S202">
        <f t="shared" si="5"/>
        <v>27.677929547088425</v>
      </c>
    </row>
    <row r="203" spans="1:45" hidden="1" x14ac:dyDescent="0.3"/>
    <row r="204" spans="1:45" x14ac:dyDescent="0.3"/>
    <row r="205" spans="1:45" s="30" customFormat="1" x14ac:dyDescent="0.3">
      <c r="A205"/>
      <c r="B205"/>
      <c r="C205"/>
      <c r="D205"/>
      <c r="E205"/>
      <c r="F205"/>
      <c r="G205">
        <v>1</v>
      </c>
      <c r="H205"/>
      <c r="I205" s="14"/>
      <c r="J205" s="31" t="str">
        <f>IF(G205=2, "분기 성장성(%, QoQ)", "분기 성장성(%, YoY)")</f>
        <v>분기 성장성(%, YoY)</v>
      </c>
      <c r="K205" s="8" t="str">
        <f>IF(K190="","",YEAR(K190)&amp;"/"&amp;MONTH(K190)/3&amp;"Q")</f>
        <v>2023/3Q</v>
      </c>
      <c r="L205" s="8" t="str">
        <f t="shared" ref="L205:R205" si="6">IF(L190="","",YEAR(L190)&amp;"/"&amp;MONTH(L190)/3&amp;"Q")</f>
        <v>2023/2Q</v>
      </c>
      <c r="M205" s="8" t="str">
        <f t="shared" si="6"/>
        <v>2023/1Q</v>
      </c>
      <c r="N205" s="8" t="str">
        <f t="shared" si="6"/>
        <v>2022/4Q</v>
      </c>
      <c r="O205" s="8" t="str">
        <f t="shared" si="6"/>
        <v>2022/3Q</v>
      </c>
      <c r="P205" s="8" t="str">
        <f t="shared" si="6"/>
        <v>2022/2Q</v>
      </c>
      <c r="Q205" s="8" t="str">
        <f t="shared" si="6"/>
        <v>2022/1Q</v>
      </c>
      <c r="R205" s="8" t="str">
        <f t="shared" si="6"/>
        <v>2021/4Q</v>
      </c>
      <c r="S205" s="8" t="str">
        <f>IF(S190="","",YEAR(S190)&amp;"/"&amp;MONTH(S190)/3&amp;"Q")</f>
        <v>2021/3Q</v>
      </c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</row>
    <row r="206" spans="1:45" s="30" customFormat="1" x14ac:dyDescent="0.3">
      <c r="A206"/>
      <c r="B206"/>
      <c r="C206"/>
      <c r="D206"/>
      <c r="E206"/>
      <c r="F206"/>
      <c r="G206"/>
      <c r="H206"/>
      <c r="I206" s="14"/>
      <c r="J206" s="10" t="s">
        <v>34</v>
      </c>
      <c r="K206" s="12">
        <f>IF($G$205=2,IF(K199="",NA(),VALUE(K199)),IF(K195="",NA(),VALUE(K195)))</f>
        <v>-12.21</v>
      </c>
      <c r="L206" s="12">
        <f t="shared" ref="L206:S206" si="7">IF($G$205=2,IF(L199="","",VALUE(L199)),IF(L195="","",VALUE(L195)))</f>
        <v>-22.28</v>
      </c>
      <c r="M206" s="12">
        <f t="shared" si="7"/>
        <v>-18.05</v>
      </c>
      <c r="N206" s="12">
        <f t="shared" si="7"/>
        <v>-7.97</v>
      </c>
      <c r="O206" s="12">
        <f t="shared" si="7"/>
        <v>3.79</v>
      </c>
      <c r="P206" s="12">
        <f t="shared" si="7"/>
        <v>21.25</v>
      </c>
      <c r="Q206" s="12">
        <f t="shared" si="7"/>
        <v>18.95</v>
      </c>
      <c r="R206" s="12">
        <f t="shared" si="7"/>
        <v>24.39</v>
      </c>
      <c r="S206" s="12">
        <f t="shared" si="7"/>
        <v>10.48</v>
      </c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</row>
    <row r="207" spans="1:45" s="30" customFormat="1" x14ac:dyDescent="0.3">
      <c r="A207"/>
      <c r="B207"/>
      <c r="C207"/>
      <c r="D207"/>
      <c r="E207"/>
      <c r="F207"/>
      <c r="G207"/>
      <c r="H207"/>
      <c r="I207" s="14"/>
      <c r="J207" s="10" t="s">
        <v>44</v>
      </c>
      <c r="K207" s="12">
        <f t="shared" ref="K207:K208" si="8">IF($G$205=2,IF(K200="",NA(),VALUE(K200)),IF(K196="",NA(),VALUE(K196)))</f>
        <v>-77.58</v>
      </c>
      <c r="L207" s="12">
        <f t="shared" ref="L207:S209" si="9">IF($G$205=2,IF(L200="","",VALUE(L200)),IF(L196="","",VALUE(L196)))</f>
        <v>-95.26</v>
      </c>
      <c r="M207" s="12">
        <f t="shared" si="9"/>
        <v>-95.47</v>
      </c>
      <c r="N207" s="12">
        <f t="shared" si="9"/>
        <v>-68.95</v>
      </c>
      <c r="O207" s="12">
        <f t="shared" si="9"/>
        <v>-31.39</v>
      </c>
      <c r="P207" s="12">
        <f t="shared" si="9"/>
        <v>12.18</v>
      </c>
      <c r="Q207" s="12">
        <f t="shared" si="9"/>
        <v>50.5</v>
      </c>
      <c r="R207" s="12">
        <f t="shared" si="9"/>
        <v>53.27</v>
      </c>
      <c r="S207" s="12">
        <f t="shared" si="9"/>
        <v>28.04</v>
      </c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</row>
    <row r="208" spans="1:45" s="30" customFormat="1" x14ac:dyDescent="0.3">
      <c r="A208"/>
      <c r="B208"/>
      <c r="C208"/>
      <c r="D208"/>
      <c r="E208"/>
      <c r="F208"/>
      <c r="G208"/>
      <c r="H208"/>
      <c r="I208" s="14"/>
      <c r="J208" s="10" t="s">
        <v>49</v>
      </c>
      <c r="K208" s="12">
        <f t="shared" si="8"/>
        <v>-37.76</v>
      </c>
      <c r="L208" s="12">
        <f t="shared" si="9"/>
        <v>-84.47</v>
      </c>
      <c r="M208" s="12">
        <f t="shared" si="9"/>
        <v>-86.1</v>
      </c>
      <c r="N208" s="12">
        <f t="shared" si="9"/>
        <v>119.98</v>
      </c>
      <c r="O208" s="12">
        <f t="shared" si="9"/>
        <v>-23.62</v>
      </c>
      <c r="P208" s="12">
        <f t="shared" si="9"/>
        <v>15.2</v>
      </c>
      <c r="Q208" s="12">
        <f t="shared" si="9"/>
        <v>58.57</v>
      </c>
      <c r="R208" s="12">
        <f t="shared" si="9"/>
        <v>64.03</v>
      </c>
      <c r="S208" s="12">
        <f t="shared" si="9"/>
        <v>31.33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</row>
    <row r="209" spans="1:10009" s="30" customFormat="1" x14ac:dyDescent="0.3">
      <c r="A209"/>
      <c r="B209"/>
      <c r="C209"/>
      <c r="D209"/>
      <c r="E209"/>
      <c r="F209"/>
      <c r="G209"/>
      <c r="H209"/>
      <c r="I209" s="14"/>
      <c r="J209" s="10" t="s">
        <v>182</v>
      </c>
      <c r="K209" s="12">
        <f>IF($G$205=2,IF(K202="",NA(),VALUE(K202)),IF(K198="",NA(),VALUE(K198)))</f>
        <v>-39.821693907875186</v>
      </c>
      <c r="L209" s="12">
        <f t="shared" si="9"/>
        <v>-85.864848109113453</v>
      </c>
      <c r="M209" s="12">
        <f t="shared" si="9"/>
        <v>-87.423687423687426</v>
      </c>
      <c r="N209" s="12">
        <f t="shared" si="9"/>
        <v>120.94508301404854</v>
      </c>
      <c r="O209" s="12">
        <f t="shared" si="9"/>
        <v>-24.211711711711711</v>
      </c>
      <c r="P209" s="12">
        <f t="shared" si="9"/>
        <v>15.959741193386053</v>
      </c>
      <c r="Q209" s="12">
        <f t="shared" si="9"/>
        <v>56.896551724137936</v>
      </c>
      <c r="R209" s="12">
        <f t="shared" si="9"/>
        <v>65.015806111696534</v>
      </c>
      <c r="S209" s="12">
        <f t="shared" si="9"/>
        <v>30.205278592375368</v>
      </c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</row>
    <row r="210" spans="1:10009" s="30" customFormat="1" x14ac:dyDescent="0.3">
      <c r="A210"/>
      <c r="B210"/>
      <c r="C210"/>
      <c r="D210"/>
      <c r="E210"/>
      <c r="F210"/>
      <c r="G210"/>
      <c r="H210"/>
      <c r="I210" s="14"/>
      <c r="J210" s="10" t="s">
        <v>181</v>
      </c>
      <c r="K210" s="16">
        <f>IF($G$205=2,IF(K194="",NA(),VALUE(K194)),IF(K188="",NA(),VALUE(K188)))</f>
        <v>1346</v>
      </c>
      <c r="L210" s="16">
        <f t="shared" ref="L210:S210" si="10">IF($G$205=2,IF(L194="","",VALUE(L194)),IF(L188="","",VALUE(L188)))</f>
        <v>1613</v>
      </c>
      <c r="M210" s="16">
        <f t="shared" si="10"/>
        <v>1638</v>
      </c>
      <c r="N210" s="16">
        <f t="shared" si="10"/>
        <v>1566</v>
      </c>
      <c r="O210" s="16">
        <f t="shared" si="10"/>
        <v>1776</v>
      </c>
      <c r="P210" s="16">
        <f t="shared" si="10"/>
        <v>1391</v>
      </c>
      <c r="Q210" s="16">
        <f t="shared" si="10"/>
        <v>1044</v>
      </c>
      <c r="R210" s="16">
        <f t="shared" si="10"/>
        <v>949</v>
      </c>
      <c r="S210" s="16">
        <f t="shared" si="10"/>
        <v>1364</v>
      </c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</row>
    <row r="211" spans="1:10009" x14ac:dyDescent="0.3"/>
    <row r="212" spans="1:10009" x14ac:dyDescent="0.3"/>
    <row r="213" spans="1:10009" hidden="1" x14ac:dyDescent="0.3"/>
    <row r="214" spans="1:10009" hidden="1" x14ac:dyDescent="0.3">
      <c r="J214" t="str">
        <f ca="1">_xll.IMDH("STK",$N$5,$J$215:$J$219,$L$92-1460,$O$5,9999,"Per=분기,sort=D,real=true,Bizday=0,Quote=종가,Pos=11,Orient=H,Cons="&amp;$P$5&amp;",Comp=누적,Trai=4,DtFmt=1,TmFmt=1,unit=true,title=연간 성장성")</f>
        <v>연간 성장성</v>
      </c>
    </row>
    <row r="215" spans="1:10009" hidden="1" x14ac:dyDescent="0.3">
      <c r="J215" t="s">
        <v>166</v>
      </c>
      <c r="K215" s="34">
        <v>44926</v>
      </c>
      <c r="L215" s="34">
        <v>44561</v>
      </c>
      <c r="M215" s="34">
        <v>44196</v>
      </c>
      <c r="N215" s="34">
        <v>43830</v>
      </c>
      <c r="O215" s="34">
        <v>43465</v>
      </c>
      <c r="P215" s="34">
        <v>43100</v>
      </c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A215" s="34"/>
      <c r="DB215" s="34"/>
      <c r="DC215" s="34"/>
      <c r="DD215" s="34"/>
      <c r="DE215" s="34"/>
      <c r="DF215" s="34"/>
      <c r="DG215" s="34"/>
      <c r="DH215" s="34"/>
      <c r="DI215" s="34"/>
      <c r="DJ215" s="34"/>
      <c r="DK215" s="34"/>
      <c r="DL215" s="34"/>
      <c r="DM215" s="34"/>
      <c r="DN215" s="34"/>
      <c r="DO215" s="34"/>
      <c r="DP215" s="34"/>
      <c r="DQ215" s="34"/>
      <c r="DR215" s="34"/>
      <c r="DS215" s="34"/>
      <c r="DT215" s="34"/>
      <c r="DU215" s="34"/>
      <c r="DV215" s="34"/>
      <c r="DW215" s="34"/>
      <c r="DX215" s="34"/>
      <c r="DY215" s="34"/>
      <c r="DZ215" s="34"/>
      <c r="EA215" s="34"/>
      <c r="EB215" s="34"/>
      <c r="EC215" s="34"/>
      <c r="ED215" s="34"/>
      <c r="EE215" s="34"/>
      <c r="EF215" s="34"/>
      <c r="EG215" s="34"/>
      <c r="EH215" s="34"/>
      <c r="EI215" s="34"/>
      <c r="EJ215" s="34"/>
      <c r="EK215" s="34"/>
      <c r="EL215" s="34"/>
      <c r="EM215" s="34"/>
      <c r="EN215" s="34"/>
      <c r="EO215" s="34"/>
      <c r="EP215" s="34"/>
      <c r="EQ215" s="34"/>
      <c r="ER215" s="34"/>
      <c r="ES215" s="34"/>
      <c r="ET215" s="34"/>
      <c r="EU215" s="34"/>
      <c r="EV215" s="34"/>
      <c r="EW215" s="34"/>
      <c r="EX215" s="34"/>
      <c r="EY215" s="34"/>
      <c r="EZ215" s="34"/>
      <c r="FA215" s="34"/>
      <c r="FB215" s="34"/>
      <c r="FC215" s="34"/>
      <c r="FD215" s="34"/>
      <c r="FE215" s="34"/>
      <c r="FF215" s="34"/>
      <c r="FG215" s="34"/>
      <c r="FH215" s="34"/>
      <c r="FI215" s="34"/>
      <c r="FJ215" s="34"/>
      <c r="FK215" s="34"/>
      <c r="FL215" s="34"/>
      <c r="FM215" s="34"/>
      <c r="FN215" s="34"/>
      <c r="FO215" s="34"/>
      <c r="FP215" s="34"/>
      <c r="FQ215" s="34"/>
      <c r="FR215" s="34"/>
      <c r="FS215" s="34"/>
      <c r="FT215" s="34"/>
      <c r="FU215" s="34"/>
      <c r="FV215" s="34"/>
      <c r="FW215" s="34"/>
      <c r="FX215" s="34"/>
      <c r="FY215" s="34"/>
      <c r="FZ215" s="34"/>
      <c r="GA215" s="34"/>
      <c r="GB215" s="34"/>
      <c r="GC215" s="34"/>
      <c r="GD215" s="34"/>
      <c r="GE215" s="34"/>
      <c r="GF215" s="34"/>
      <c r="GG215" s="34"/>
      <c r="GH215" s="34"/>
      <c r="GI215" s="34"/>
      <c r="GJ215" s="34"/>
      <c r="GK215" s="34"/>
      <c r="GL215" s="34"/>
      <c r="GM215" s="34"/>
      <c r="GN215" s="34"/>
      <c r="GO215" s="34"/>
      <c r="GP215" s="34"/>
      <c r="GQ215" s="34"/>
      <c r="GR215" s="34"/>
      <c r="GS215" s="34"/>
      <c r="GT215" s="34"/>
      <c r="GU215" s="34"/>
      <c r="GV215" s="34"/>
      <c r="GW215" s="34"/>
      <c r="GX215" s="34"/>
      <c r="GY215" s="34"/>
      <c r="GZ215" s="34"/>
      <c r="HA215" s="34"/>
      <c r="HB215" s="34"/>
      <c r="HC215" s="34"/>
      <c r="HD215" s="34"/>
      <c r="HE215" s="34"/>
      <c r="HF215" s="34"/>
      <c r="HG215" s="34"/>
      <c r="HH215" s="34"/>
      <c r="HI215" s="34"/>
      <c r="HJ215" s="34"/>
      <c r="HK215" s="34"/>
      <c r="HL215" s="34"/>
      <c r="HM215" s="34"/>
      <c r="HN215" s="34"/>
      <c r="HO215" s="34"/>
      <c r="HP215" s="34"/>
      <c r="HQ215" s="34"/>
      <c r="HR215" s="34"/>
      <c r="HS215" s="34"/>
      <c r="HT215" s="34"/>
      <c r="HU215" s="34"/>
      <c r="HV215" s="34"/>
      <c r="HW215" s="34"/>
      <c r="HX215" s="34"/>
      <c r="HY215" s="34"/>
      <c r="HZ215" s="34"/>
      <c r="IA215" s="34"/>
      <c r="IB215" s="34"/>
      <c r="IC215" s="34"/>
      <c r="ID215" s="34"/>
      <c r="IE215" s="34"/>
      <c r="IF215" s="34"/>
      <c r="IG215" s="34"/>
      <c r="IH215" s="34"/>
      <c r="II215" s="34"/>
      <c r="IJ215" s="34"/>
      <c r="IK215" s="34"/>
      <c r="IL215" s="34"/>
      <c r="IM215" s="34"/>
      <c r="IN215" s="34"/>
      <c r="IO215" s="34"/>
      <c r="IP215" s="34"/>
      <c r="IQ215" s="34"/>
      <c r="IR215" s="34"/>
      <c r="IS215" s="34"/>
      <c r="IT215" s="34"/>
      <c r="IU215" s="34"/>
      <c r="IV215" s="34"/>
      <c r="IW215" s="34"/>
      <c r="IX215" s="34"/>
      <c r="IY215" s="34"/>
      <c r="IZ215" s="34"/>
      <c r="JA215" s="34"/>
      <c r="JB215" s="34"/>
      <c r="JC215" s="34"/>
      <c r="JD215" s="34"/>
      <c r="JE215" s="34"/>
      <c r="JF215" s="34"/>
      <c r="JG215" s="34"/>
      <c r="JH215" s="34"/>
      <c r="JI215" s="34"/>
      <c r="JJ215" s="34"/>
      <c r="JK215" s="34"/>
      <c r="JL215" s="34"/>
      <c r="JM215" s="34"/>
      <c r="JN215" s="34"/>
      <c r="JO215" s="34"/>
      <c r="JP215" s="34"/>
      <c r="JQ215" s="34"/>
      <c r="JR215" s="34"/>
      <c r="JS215" s="34"/>
      <c r="JT215" s="34"/>
      <c r="JU215" s="34"/>
      <c r="JV215" s="34"/>
      <c r="JW215" s="34"/>
      <c r="JX215" s="34"/>
      <c r="JY215" s="34"/>
      <c r="JZ215" s="34"/>
      <c r="KA215" s="34"/>
      <c r="KB215" s="34"/>
      <c r="KC215" s="34"/>
      <c r="KD215" s="34"/>
      <c r="KE215" s="34"/>
      <c r="KF215" s="34"/>
      <c r="KG215" s="34"/>
      <c r="KH215" s="34"/>
      <c r="KI215" s="34"/>
      <c r="KJ215" s="34"/>
      <c r="KK215" s="34"/>
      <c r="KL215" s="34"/>
      <c r="KM215" s="34"/>
      <c r="KN215" s="34"/>
      <c r="KO215" s="34"/>
      <c r="KP215" s="34"/>
      <c r="KQ215" s="34"/>
      <c r="KR215" s="34"/>
      <c r="KS215" s="34"/>
      <c r="KT215" s="34"/>
      <c r="KU215" s="34"/>
      <c r="KV215" s="34"/>
      <c r="KW215" s="34"/>
      <c r="KX215" s="34"/>
      <c r="KY215" s="34"/>
      <c r="KZ215" s="34"/>
      <c r="LA215" s="34"/>
      <c r="LB215" s="34"/>
      <c r="LC215" s="34"/>
      <c r="LD215" s="34"/>
      <c r="LE215" s="34"/>
      <c r="LF215" s="34"/>
      <c r="LG215" s="34"/>
      <c r="LH215" s="34"/>
      <c r="LI215" s="34"/>
      <c r="LJ215" s="34"/>
      <c r="LK215" s="34"/>
      <c r="LL215" s="34"/>
      <c r="LM215" s="34"/>
      <c r="LN215" s="34"/>
      <c r="LO215" s="34"/>
      <c r="LP215" s="34"/>
      <c r="LQ215" s="34"/>
      <c r="LR215" s="34"/>
      <c r="LS215" s="34"/>
      <c r="LT215" s="34"/>
      <c r="LU215" s="34"/>
      <c r="LV215" s="34"/>
      <c r="LW215" s="34"/>
      <c r="LX215" s="34"/>
      <c r="LY215" s="34"/>
      <c r="LZ215" s="34"/>
      <c r="MA215" s="34"/>
      <c r="MB215" s="34"/>
      <c r="MC215" s="34"/>
      <c r="MD215" s="34"/>
      <c r="ME215" s="34"/>
      <c r="MF215" s="34"/>
      <c r="MG215" s="34"/>
      <c r="MH215" s="34"/>
      <c r="MI215" s="34"/>
      <c r="MJ215" s="34"/>
      <c r="MK215" s="34"/>
      <c r="ML215" s="34"/>
      <c r="MM215" s="34"/>
      <c r="MN215" s="34"/>
      <c r="MO215" s="34"/>
      <c r="MP215" s="34"/>
      <c r="MQ215" s="34"/>
      <c r="MR215" s="34"/>
      <c r="MS215" s="34"/>
      <c r="MT215" s="34"/>
      <c r="MU215" s="34"/>
      <c r="MV215" s="34"/>
      <c r="MW215" s="34"/>
      <c r="MX215" s="34"/>
      <c r="MY215" s="34"/>
      <c r="MZ215" s="34"/>
      <c r="NA215" s="34"/>
      <c r="NB215" s="34"/>
      <c r="NC215" s="34"/>
      <c r="ND215" s="34"/>
      <c r="NE215" s="34"/>
      <c r="NF215" s="34"/>
      <c r="NG215" s="34"/>
      <c r="NH215" s="34"/>
      <c r="NI215" s="34"/>
      <c r="NJ215" s="34"/>
      <c r="NK215" s="34"/>
      <c r="NL215" s="34"/>
      <c r="NM215" s="34"/>
      <c r="NN215" s="34"/>
      <c r="NO215" s="34"/>
      <c r="NP215" s="34"/>
      <c r="NQ215" s="34"/>
      <c r="NR215" s="34"/>
      <c r="NS215" s="34"/>
      <c r="NT215" s="34"/>
      <c r="NU215" s="34"/>
      <c r="NV215" s="34"/>
      <c r="NW215" s="34"/>
      <c r="NX215" s="34"/>
      <c r="NY215" s="34"/>
      <c r="NZ215" s="34"/>
      <c r="OA215" s="34"/>
      <c r="OB215" s="34"/>
      <c r="OC215" s="34"/>
      <c r="OD215" s="34"/>
      <c r="OE215" s="34"/>
      <c r="OF215" s="34"/>
      <c r="OG215" s="34"/>
      <c r="OH215" s="34"/>
      <c r="OI215" s="34"/>
      <c r="OJ215" s="34"/>
      <c r="OK215" s="34"/>
      <c r="OL215" s="34"/>
      <c r="OM215" s="34"/>
      <c r="ON215" s="34"/>
      <c r="OO215" s="34"/>
      <c r="OP215" s="34"/>
      <c r="OQ215" s="34"/>
      <c r="OR215" s="34"/>
      <c r="OS215" s="34"/>
      <c r="OT215" s="34"/>
      <c r="OU215" s="34"/>
      <c r="OV215" s="34"/>
      <c r="OW215" s="34"/>
      <c r="OX215" s="34"/>
      <c r="OY215" s="34"/>
      <c r="OZ215" s="34"/>
      <c r="PA215" s="34"/>
      <c r="PB215" s="34"/>
      <c r="PC215" s="34"/>
      <c r="PD215" s="34"/>
      <c r="PE215" s="34"/>
      <c r="PF215" s="34"/>
      <c r="PG215" s="34"/>
      <c r="PH215" s="34"/>
      <c r="PI215" s="34"/>
      <c r="PJ215" s="34"/>
      <c r="PK215" s="34"/>
      <c r="PL215" s="34"/>
      <c r="PM215" s="34"/>
      <c r="PN215" s="34"/>
      <c r="PO215" s="34"/>
      <c r="PP215" s="34"/>
      <c r="PQ215" s="34"/>
      <c r="PR215" s="34"/>
      <c r="PS215" s="34"/>
      <c r="PT215" s="34"/>
      <c r="PU215" s="34"/>
      <c r="PV215" s="34"/>
      <c r="PW215" s="34"/>
      <c r="PX215" s="34"/>
      <c r="PY215" s="34"/>
      <c r="PZ215" s="34"/>
      <c r="QA215" s="34"/>
      <c r="QB215" s="34"/>
      <c r="QC215" s="34"/>
      <c r="QD215" s="34"/>
      <c r="QE215" s="34"/>
      <c r="QF215" s="34"/>
      <c r="QG215" s="34"/>
      <c r="QH215" s="34"/>
      <c r="QI215" s="34"/>
      <c r="QJ215" s="34"/>
      <c r="QK215" s="34"/>
      <c r="QL215" s="34"/>
      <c r="QM215" s="34"/>
      <c r="QN215" s="34"/>
      <c r="QO215" s="34"/>
      <c r="QP215" s="34"/>
      <c r="QQ215" s="34"/>
      <c r="QR215" s="34"/>
      <c r="QS215" s="34"/>
      <c r="QT215" s="34"/>
      <c r="QU215" s="34"/>
      <c r="QV215" s="34"/>
      <c r="QW215" s="34"/>
      <c r="QX215" s="34"/>
      <c r="QY215" s="34"/>
      <c r="QZ215" s="34"/>
      <c r="RA215" s="34"/>
      <c r="RB215" s="34"/>
      <c r="RC215" s="34"/>
      <c r="RD215" s="34"/>
      <c r="RE215" s="34"/>
      <c r="RF215" s="34"/>
      <c r="RG215" s="34"/>
      <c r="RH215" s="34"/>
      <c r="RI215" s="34"/>
      <c r="RJ215" s="34"/>
      <c r="RK215" s="34"/>
      <c r="RL215" s="34"/>
      <c r="RM215" s="34"/>
      <c r="RN215" s="34"/>
      <c r="RO215" s="34"/>
      <c r="RP215" s="34"/>
      <c r="RQ215" s="34"/>
      <c r="RR215" s="34"/>
      <c r="RS215" s="34"/>
      <c r="RT215" s="34"/>
      <c r="RU215" s="34"/>
      <c r="RV215" s="34"/>
      <c r="RW215" s="34"/>
      <c r="RX215" s="34"/>
      <c r="RY215" s="34"/>
      <c r="RZ215" s="34"/>
      <c r="SA215" s="34"/>
      <c r="SB215" s="34"/>
      <c r="SC215" s="34"/>
      <c r="SD215" s="34"/>
      <c r="SE215" s="34"/>
      <c r="SF215" s="34"/>
      <c r="SG215" s="34"/>
      <c r="SH215" s="34"/>
      <c r="SI215" s="34"/>
      <c r="SJ215" s="34"/>
      <c r="SK215" s="34"/>
      <c r="SL215" s="34"/>
      <c r="SM215" s="34"/>
      <c r="SN215" s="34"/>
      <c r="SO215" s="34"/>
      <c r="SP215" s="34"/>
      <c r="SQ215" s="34"/>
      <c r="SR215" s="34"/>
      <c r="SS215" s="34"/>
      <c r="ST215" s="34"/>
      <c r="SU215" s="34"/>
      <c r="SV215" s="34"/>
      <c r="SW215" s="34"/>
      <c r="SX215" s="34"/>
      <c r="SY215" s="34"/>
      <c r="SZ215" s="34"/>
      <c r="TA215" s="34"/>
      <c r="TB215" s="34"/>
      <c r="TC215" s="34"/>
      <c r="TD215" s="34"/>
      <c r="TE215" s="34"/>
      <c r="TF215" s="34"/>
      <c r="TG215" s="34"/>
      <c r="TH215" s="34"/>
      <c r="TI215" s="34"/>
      <c r="TJ215" s="34"/>
      <c r="TK215" s="34"/>
      <c r="TL215" s="34"/>
      <c r="TM215" s="34"/>
      <c r="TN215" s="34"/>
      <c r="TO215" s="34"/>
      <c r="TP215" s="34"/>
      <c r="TQ215" s="34"/>
      <c r="TR215" s="34"/>
      <c r="TS215" s="34"/>
      <c r="TT215" s="34"/>
      <c r="TU215" s="34"/>
      <c r="TV215" s="34"/>
      <c r="TW215" s="34"/>
      <c r="TX215" s="34"/>
      <c r="TY215" s="34"/>
      <c r="TZ215" s="34"/>
      <c r="UA215" s="34"/>
      <c r="UB215" s="34"/>
      <c r="UC215" s="34"/>
      <c r="UD215" s="34"/>
      <c r="UE215" s="34"/>
      <c r="UF215" s="34"/>
      <c r="UG215" s="34"/>
      <c r="UH215" s="34"/>
      <c r="UI215" s="34"/>
      <c r="UJ215" s="34"/>
      <c r="UK215" s="34"/>
      <c r="UL215" s="34"/>
      <c r="UM215" s="34"/>
      <c r="UN215" s="34"/>
      <c r="UO215" s="34"/>
      <c r="UP215" s="34"/>
      <c r="UQ215" s="34"/>
      <c r="UR215" s="34"/>
      <c r="US215" s="34"/>
      <c r="UT215" s="34"/>
      <c r="UU215" s="34"/>
      <c r="UV215" s="34"/>
      <c r="UW215" s="34"/>
      <c r="UX215" s="34"/>
      <c r="UY215" s="34"/>
      <c r="UZ215" s="34"/>
      <c r="VA215" s="34"/>
      <c r="VB215" s="34"/>
      <c r="VC215" s="34"/>
      <c r="VD215" s="34"/>
      <c r="VE215" s="34"/>
      <c r="VF215" s="34"/>
      <c r="VG215" s="34"/>
      <c r="VH215" s="34"/>
      <c r="VI215" s="34"/>
      <c r="VJ215" s="34"/>
      <c r="VK215" s="34"/>
      <c r="VL215" s="34"/>
      <c r="VM215" s="34"/>
      <c r="VN215" s="34"/>
      <c r="VO215" s="34"/>
      <c r="VP215" s="34"/>
      <c r="VQ215" s="34"/>
      <c r="VR215" s="34"/>
      <c r="VS215" s="34"/>
      <c r="VT215" s="34"/>
      <c r="VU215" s="34"/>
      <c r="VV215" s="34"/>
      <c r="VW215" s="34"/>
      <c r="VX215" s="34"/>
      <c r="VY215" s="34"/>
      <c r="VZ215" s="34"/>
      <c r="WA215" s="34"/>
      <c r="WB215" s="34"/>
      <c r="WC215" s="34"/>
      <c r="WD215" s="34"/>
      <c r="WE215" s="34"/>
      <c r="WF215" s="34"/>
      <c r="WG215" s="34"/>
      <c r="WH215" s="34"/>
      <c r="WI215" s="34"/>
      <c r="WJ215" s="34"/>
      <c r="WK215" s="34"/>
      <c r="WL215" s="34"/>
      <c r="WM215" s="34"/>
      <c r="WN215" s="34"/>
      <c r="WO215" s="34"/>
      <c r="WP215" s="34"/>
      <c r="WQ215" s="34"/>
      <c r="WR215" s="34"/>
      <c r="WS215" s="34"/>
      <c r="WT215" s="34"/>
      <c r="WU215" s="34"/>
      <c r="WV215" s="34"/>
      <c r="WW215" s="34"/>
      <c r="WX215" s="34"/>
      <c r="WY215" s="34"/>
      <c r="WZ215" s="34"/>
      <c r="XA215" s="34"/>
      <c r="XB215" s="34"/>
      <c r="XC215" s="34"/>
      <c r="XD215" s="34"/>
      <c r="XE215" s="34"/>
      <c r="XF215" s="34"/>
      <c r="XG215" s="34"/>
      <c r="XH215" s="34"/>
      <c r="XI215" s="34"/>
      <c r="XJ215" s="34"/>
      <c r="XK215" s="34"/>
      <c r="XL215" s="34"/>
      <c r="XM215" s="34"/>
      <c r="XN215" s="34"/>
      <c r="XO215" s="34"/>
      <c r="XP215" s="34"/>
      <c r="XQ215" s="34"/>
      <c r="XR215" s="34"/>
      <c r="XS215" s="34"/>
      <c r="XT215" s="34"/>
      <c r="XU215" s="34"/>
      <c r="XV215" s="34"/>
      <c r="XW215" s="34"/>
      <c r="XX215" s="34"/>
      <c r="XY215" s="34"/>
      <c r="XZ215" s="34"/>
      <c r="YA215" s="34"/>
      <c r="YB215" s="34"/>
      <c r="YC215" s="34"/>
      <c r="YD215" s="34"/>
      <c r="YE215" s="34"/>
      <c r="YF215" s="34"/>
      <c r="YG215" s="34"/>
      <c r="YH215" s="34"/>
      <c r="YI215" s="34"/>
      <c r="YJ215" s="34"/>
      <c r="YK215" s="34"/>
      <c r="YL215" s="34"/>
      <c r="YM215" s="34"/>
      <c r="YN215" s="34"/>
      <c r="YO215" s="34"/>
      <c r="YP215" s="34"/>
      <c r="YQ215" s="34"/>
      <c r="YR215" s="34"/>
      <c r="YS215" s="34"/>
      <c r="YT215" s="34"/>
      <c r="YU215" s="34"/>
      <c r="YV215" s="34"/>
      <c r="YW215" s="34"/>
      <c r="YX215" s="34"/>
      <c r="YY215" s="34"/>
      <c r="YZ215" s="34"/>
      <c r="ZA215" s="34"/>
      <c r="ZB215" s="34"/>
      <c r="ZC215" s="34"/>
      <c r="ZD215" s="34"/>
      <c r="ZE215" s="34"/>
      <c r="ZF215" s="34"/>
      <c r="ZG215" s="34"/>
      <c r="ZH215" s="34"/>
      <c r="ZI215" s="34"/>
      <c r="ZJ215" s="34"/>
      <c r="ZK215" s="34"/>
      <c r="ZL215" s="34"/>
      <c r="ZM215" s="34"/>
      <c r="ZN215" s="34"/>
      <c r="ZO215" s="34"/>
      <c r="ZP215" s="34"/>
      <c r="ZQ215" s="34"/>
      <c r="ZR215" s="34"/>
      <c r="ZS215" s="34"/>
      <c r="ZT215" s="34"/>
      <c r="ZU215" s="34"/>
      <c r="ZV215" s="34"/>
      <c r="ZW215" s="34"/>
      <c r="ZX215" s="34"/>
      <c r="ZY215" s="34"/>
      <c r="ZZ215" s="34"/>
      <c r="AAA215" s="34"/>
      <c r="AAB215" s="34"/>
      <c r="AAC215" s="34"/>
      <c r="AAD215" s="34"/>
      <c r="AAE215" s="34"/>
      <c r="AAF215" s="34"/>
      <c r="AAG215" s="34"/>
      <c r="AAH215" s="34"/>
      <c r="AAI215" s="34"/>
      <c r="AAJ215" s="34"/>
      <c r="AAK215" s="34"/>
      <c r="AAL215" s="34"/>
      <c r="AAM215" s="34"/>
      <c r="AAN215" s="34"/>
      <c r="AAO215" s="34"/>
      <c r="AAP215" s="34"/>
      <c r="AAQ215" s="34"/>
      <c r="AAR215" s="34"/>
      <c r="AAS215" s="34"/>
      <c r="AAT215" s="34"/>
      <c r="AAU215" s="34"/>
      <c r="AAV215" s="34"/>
      <c r="AAW215" s="34"/>
      <c r="AAX215" s="34"/>
      <c r="AAY215" s="34"/>
      <c r="AAZ215" s="34"/>
      <c r="ABA215" s="34"/>
      <c r="ABB215" s="34"/>
      <c r="ABC215" s="34"/>
      <c r="ABD215" s="34"/>
      <c r="ABE215" s="34"/>
      <c r="ABF215" s="34"/>
      <c r="ABG215" s="34"/>
      <c r="ABH215" s="34"/>
      <c r="ABI215" s="34"/>
      <c r="ABJ215" s="34"/>
      <c r="ABK215" s="34"/>
      <c r="ABL215" s="34"/>
      <c r="ABM215" s="34"/>
      <c r="ABN215" s="34"/>
      <c r="ABO215" s="34"/>
      <c r="ABP215" s="34"/>
      <c r="ABQ215" s="34"/>
      <c r="ABR215" s="34"/>
      <c r="ABS215" s="34"/>
      <c r="ABT215" s="34"/>
      <c r="ABU215" s="34"/>
      <c r="ABV215" s="34"/>
      <c r="ABW215" s="34"/>
      <c r="ABX215" s="34"/>
      <c r="ABY215" s="34"/>
      <c r="ABZ215" s="34"/>
      <c r="ACA215" s="34"/>
      <c r="ACB215" s="34"/>
      <c r="ACC215" s="34"/>
      <c r="ACD215" s="34"/>
      <c r="ACE215" s="34"/>
      <c r="ACF215" s="34"/>
      <c r="ACG215" s="34"/>
      <c r="ACH215" s="34"/>
      <c r="ACI215" s="34"/>
      <c r="ACJ215" s="34"/>
      <c r="ACK215" s="34"/>
      <c r="ACL215" s="34"/>
      <c r="ACM215" s="34"/>
      <c r="ACN215" s="34"/>
      <c r="ACO215" s="34"/>
      <c r="ACP215" s="34"/>
      <c r="ACQ215" s="34"/>
      <c r="ACR215" s="34"/>
      <c r="ACS215" s="34"/>
      <c r="ACT215" s="34"/>
      <c r="ACU215" s="34"/>
      <c r="ACV215" s="34"/>
      <c r="ACW215" s="34"/>
      <c r="ACX215" s="34"/>
      <c r="ACY215" s="34"/>
      <c r="ACZ215" s="34"/>
      <c r="ADA215" s="34"/>
      <c r="ADB215" s="34"/>
      <c r="ADC215" s="34"/>
      <c r="ADD215" s="34"/>
      <c r="ADE215" s="34"/>
      <c r="ADF215" s="34"/>
      <c r="ADG215" s="34"/>
      <c r="ADH215" s="34"/>
      <c r="ADI215" s="34"/>
      <c r="ADJ215" s="34"/>
      <c r="ADK215" s="34"/>
      <c r="ADL215" s="34"/>
      <c r="ADM215" s="34"/>
      <c r="ADN215" s="34"/>
      <c r="ADO215" s="34"/>
      <c r="ADP215" s="34"/>
      <c r="ADQ215" s="34"/>
      <c r="ADR215" s="34"/>
      <c r="ADS215" s="34"/>
      <c r="ADT215" s="34"/>
      <c r="ADU215" s="34"/>
      <c r="ADV215" s="34"/>
      <c r="ADW215" s="34"/>
      <c r="ADX215" s="34"/>
      <c r="ADY215" s="34"/>
      <c r="ADZ215" s="34"/>
      <c r="AEA215" s="34"/>
      <c r="AEB215" s="34"/>
      <c r="AEC215" s="34"/>
      <c r="AED215" s="34"/>
      <c r="AEE215" s="34"/>
      <c r="AEF215" s="34"/>
      <c r="AEG215" s="34"/>
      <c r="AEH215" s="34"/>
      <c r="AEI215" s="34"/>
      <c r="AEJ215" s="34"/>
      <c r="AEK215" s="34"/>
      <c r="AEL215" s="34"/>
      <c r="AEM215" s="34"/>
      <c r="AEN215" s="34"/>
      <c r="AEO215" s="34"/>
      <c r="AEP215" s="34"/>
      <c r="AEQ215" s="34"/>
      <c r="AER215" s="34"/>
      <c r="AES215" s="34"/>
      <c r="AET215" s="34"/>
      <c r="AEU215" s="34"/>
      <c r="AEV215" s="34"/>
      <c r="AEW215" s="34"/>
      <c r="AEX215" s="34"/>
      <c r="AEY215" s="34"/>
      <c r="AEZ215" s="34"/>
      <c r="AFA215" s="34"/>
      <c r="AFB215" s="34"/>
      <c r="AFC215" s="34"/>
      <c r="AFD215" s="34"/>
      <c r="AFE215" s="34"/>
      <c r="AFF215" s="34"/>
      <c r="AFG215" s="34"/>
      <c r="AFH215" s="34"/>
      <c r="AFI215" s="34"/>
      <c r="AFJ215" s="34"/>
      <c r="AFK215" s="34"/>
      <c r="AFL215" s="34"/>
      <c r="AFM215" s="34"/>
      <c r="AFN215" s="34"/>
      <c r="AFO215" s="34"/>
      <c r="AFP215" s="34"/>
      <c r="AFQ215" s="34"/>
      <c r="AFR215" s="34"/>
      <c r="AFS215" s="34"/>
      <c r="AFT215" s="34"/>
      <c r="AFU215" s="34"/>
      <c r="AFV215" s="34"/>
      <c r="AFW215" s="34"/>
      <c r="AFX215" s="34"/>
      <c r="AFY215" s="34"/>
      <c r="AFZ215" s="34"/>
      <c r="AGA215" s="34"/>
      <c r="AGB215" s="34"/>
      <c r="AGC215" s="34"/>
      <c r="AGD215" s="34"/>
      <c r="AGE215" s="34"/>
      <c r="AGF215" s="34"/>
      <c r="AGG215" s="34"/>
      <c r="AGH215" s="34"/>
      <c r="AGI215" s="34"/>
      <c r="AGJ215" s="34"/>
      <c r="AGK215" s="34"/>
      <c r="AGL215" s="34"/>
      <c r="AGM215" s="34"/>
      <c r="AGN215" s="34"/>
      <c r="AGO215" s="34"/>
      <c r="AGP215" s="34"/>
      <c r="AGQ215" s="34"/>
      <c r="AGR215" s="34"/>
      <c r="AGS215" s="34"/>
      <c r="AGT215" s="34"/>
      <c r="AGU215" s="34"/>
      <c r="AGV215" s="34"/>
      <c r="AGW215" s="34"/>
      <c r="AGX215" s="34"/>
      <c r="AGY215" s="34"/>
      <c r="AGZ215" s="34"/>
      <c r="AHA215" s="34"/>
      <c r="AHB215" s="34"/>
      <c r="AHC215" s="34"/>
      <c r="AHD215" s="34"/>
      <c r="AHE215" s="34"/>
      <c r="AHF215" s="34"/>
      <c r="AHG215" s="34"/>
      <c r="AHH215" s="34"/>
      <c r="AHI215" s="34"/>
      <c r="AHJ215" s="34"/>
      <c r="AHK215" s="34"/>
      <c r="AHL215" s="34"/>
      <c r="AHM215" s="34"/>
      <c r="AHN215" s="34"/>
      <c r="AHO215" s="34"/>
      <c r="AHP215" s="34"/>
      <c r="AHQ215" s="34"/>
      <c r="AHR215" s="34"/>
      <c r="AHS215" s="34"/>
      <c r="AHT215" s="34"/>
      <c r="AHU215" s="34"/>
      <c r="AHV215" s="34"/>
      <c r="AHW215" s="34"/>
      <c r="AHX215" s="34"/>
      <c r="AHY215" s="34"/>
      <c r="AHZ215" s="34"/>
      <c r="AIA215" s="34"/>
      <c r="AIB215" s="34"/>
      <c r="AIC215" s="34"/>
      <c r="AID215" s="34"/>
      <c r="AIE215" s="34"/>
      <c r="AIF215" s="34"/>
      <c r="AIG215" s="34"/>
      <c r="AIH215" s="34"/>
      <c r="AII215" s="34"/>
      <c r="AIJ215" s="34"/>
      <c r="AIK215" s="34"/>
      <c r="AIL215" s="34"/>
      <c r="AIM215" s="34"/>
      <c r="AIN215" s="34"/>
      <c r="AIO215" s="34"/>
      <c r="AIP215" s="34"/>
      <c r="AIQ215" s="34"/>
      <c r="AIR215" s="34"/>
      <c r="AIS215" s="34"/>
      <c r="AIT215" s="34"/>
      <c r="AIU215" s="34"/>
      <c r="AIV215" s="34"/>
      <c r="AIW215" s="34"/>
      <c r="AIX215" s="34"/>
      <c r="AIY215" s="34"/>
      <c r="AIZ215" s="34"/>
      <c r="AJA215" s="34"/>
      <c r="AJB215" s="34"/>
      <c r="AJC215" s="34"/>
      <c r="AJD215" s="34"/>
      <c r="AJE215" s="34"/>
      <c r="AJF215" s="34"/>
      <c r="AJG215" s="34"/>
      <c r="AJH215" s="34"/>
      <c r="AJI215" s="34"/>
      <c r="AJJ215" s="34"/>
      <c r="AJK215" s="34"/>
      <c r="AJL215" s="34"/>
      <c r="AJM215" s="34"/>
      <c r="AJN215" s="34"/>
      <c r="AJO215" s="34"/>
      <c r="AJP215" s="34"/>
      <c r="AJQ215" s="34"/>
      <c r="AJR215" s="34"/>
      <c r="AJS215" s="34"/>
      <c r="AJT215" s="34"/>
      <c r="AJU215" s="34"/>
      <c r="AJV215" s="34"/>
      <c r="AJW215" s="34"/>
      <c r="AJX215" s="34"/>
      <c r="AJY215" s="34"/>
      <c r="AJZ215" s="34"/>
      <c r="AKA215" s="34"/>
      <c r="AKB215" s="34"/>
      <c r="AKC215" s="34"/>
      <c r="AKD215" s="34"/>
      <c r="AKE215" s="34"/>
      <c r="AKF215" s="34"/>
      <c r="AKG215" s="34"/>
      <c r="AKH215" s="34"/>
      <c r="AKI215" s="34"/>
      <c r="AKJ215" s="34"/>
      <c r="AKK215" s="34"/>
      <c r="AKL215" s="34"/>
      <c r="AKM215" s="34"/>
      <c r="AKN215" s="34"/>
      <c r="AKO215" s="34"/>
      <c r="AKP215" s="34"/>
      <c r="AKQ215" s="34"/>
      <c r="AKR215" s="34"/>
      <c r="AKS215" s="34"/>
      <c r="AKT215" s="34"/>
      <c r="AKU215" s="34"/>
      <c r="AKV215" s="34"/>
      <c r="AKW215" s="34"/>
      <c r="AKX215" s="34"/>
      <c r="AKY215" s="34"/>
      <c r="AKZ215" s="34"/>
      <c r="ALA215" s="34"/>
      <c r="ALB215" s="34"/>
      <c r="ALC215" s="34"/>
      <c r="ALD215" s="34"/>
      <c r="ALE215" s="34"/>
      <c r="ALF215" s="34"/>
      <c r="ALG215" s="34"/>
      <c r="ALH215" s="34"/>
      <c r="ALI215" s="34"/>
      <c r="ALJ215" s="34"/>
      <c r="ALK215" s="34"/>
      <c r="ALL215" s="34"/>
      <c r="ALM215" s="34"/>
      <c r="ALN215" s="34"/>
      <c r="ALO215" s="34"/>
      <c r="ALP215" s="34"/>
      <c r="ALQ215" s="34"/>
      <c r="ALR215" s="34"/>
      <c r="ALS215" s="34"/>
      <c r="ALT215" s="34"/>
      <c r="ALU215" s="34"/>
      <c r="ALV215" s="34"/>
      <c r="ALW215" s="34"/>
      <c r="ALX215" s="34"/>
      <c r="ALY215" s="34"/>
      <c r="ALZ215" s="34"/>
      <c r="AMA215" s="34"/>
      <c r="AMB215" s="34"/>
      <c r="AMC215" s="34"/>
      <c r="AMD215" s="34"/>
      <c r="AME215" s="34"/>
      <c r="AMF215" s="34"/>
      <c r="AMG215" s="34"/>
      <c r="AMH215" s="34"/>
      <c r="AMI215" s="34"/>
      <c r="AMJ215" s="34"/>
      <c r="AMK215" s="34"/>
      <c r="AML215" s="34"/>
      <c r="AMM215" s="34"/>
      <c r="AMN215" s="34"/>
      <c r="AMO215" s="34"/>
      <c r="AMP215" s="34"/>
      <c r="AMQ215" s="34"/>
      <c r="AMR215" s="34"/>
      <c r="AMS215" s="34"/>
      <c r="AMT215" s="34"/>
      <c r="AMU215" s="34"/>
      <c r="AMV215" s="34"/>
      <c r="AMW215" s="34"/>
      <c r="AMX215" s="34"/>
      <c r="AMY215" s="34"/>
      <c r="AMZ215" s="34"/>
      <c r="ANA215" s="34"/>
      <c r="ANB215" s="34"/>
      <c r="ANC215" s="34"/>
      <c r="AND215" s="34"/>
      <c r="ANE215" s="34"/>
      <c r="ANF215" s="34"/>
      <c r="ANG215" s="34"/>
      <c r="ANH215" s="34"/>
      <c r="ANI215" s="34"/>
      <c r="ANJ215" s="34"/>
      <c r="ANK215" s="34"/>
      <c r="ANL215" s="34"/>
      <c r="ANM215" s="34"/>
      <c r="ANN215" s="34"/>
      <c r="ANO215" s="34"/>
      <c r="ANP215" s="34"/>
      <c r="ANQ215" s="34"/>
      <c r="ANR215" s="34"/>
      <c r="ANS215" s="34"/>
      <c r="ANT215" s="34"/>
      <c r="ANU215" s="34"/>
      <c r="ANV215" s="34"/>
      <c r="ANW215" s="34"/>
      <c r="ANX215" s="34"/>
      <c r="ANY215" s="34"/>
      <c r="ANZ215" s="34"/>
      <c r="AOA215" s="34"/>
      <c r="AOB215" s="34"/>
      <c r="AOC215" s="34"/>
      <c r="AOD215" s="34"/>
      <c r="AOE215" s="34"/>
      <c r="AOF215" s="34"/>
      <c r="AOG215" s="34"/>
      <c r="AOH215" s="34"/>
      <c r="AOI215" s="34"/>
      <c r="AOJ215" s="34"/>
      <c r="AOK215" s="34"/>
      <c r="AOL215" s="34"/>
      <c r="AOM215" s="34"/>
      <c r="AON215" s="34"/>
      <c r="AOO215" s="34"/>
      <c r="AOP215" s="34"/>
      <c r="AOQ215" s="34"/>
      <c r="AOR215" s="34"/>
      <c r="AOS215" s="34"/>
      <c r="AOT215" s="34"/>
      <c r="AOU215" s="34"/>
      <c r="AOV215" s="34"/>
      <c r="AOW215" s="34"/>
      <c r="AOX215" s="34"/>
      <c r="AOY215" s="34"/>
      <c r="AOZ215" s="34"/>
      <c r="APA215" s="34"/>
      <c r="APB215" s="34"/>
      <c r="APC215" s="34"/>
      <c r="APD215" s="34"/>
      <c r="APE215" s="34"/>
      <c r="APF215" s="34"/>
      <c r="APG215" s="34"/>
      <c r="APH215" s="34"/>
      <c r="API215" s="34"/>
      <c r="APJ215" s="34"/>
      <c r="APK215" s="34"/>
      <c r="APL215" s="34"/>
      <c r="APM215" s="34"/>
      <c r="APN215" s="34"/>
      <c r="APO215" s="34"/>
      <c r="APP215" s="34"/>
      <c r="APQ215" s="34"/>
      <c r="APR215" s="34"/>
      <c r="APS215" s="34"/>
      <c r="APT215" s="34"/>
      <c r="APU215" s="34"/>
      <c r="APV215" s="34"/>
      <c r="APW215" s="34"/>
      <c r="APX215" s="34"/>
      <c r="APY215" s="34"/>
      <c r="APZ215" s="34"/>
      <c r="AQA215" s="34"/>
      <c r="AQB215" s="34"/>
      <c r="AQC215" s="34"/>
      <c r="AQD215" s="34"/>
      <c r="AQE215" s="34"/>
      <c r="AQF215" s="34"/>
      <c r="AQG215" s="34"/>
      <c r="AQH215" s="34"/>
      <c r="AQI215" s="34"/>
      <c r="AQJ215" s="34"/>
      <c r="AQK215" s="34"/>
      <c r="AQL215" s="34"/>
      <c r="AQM215" s="34"/>
      <c r="AQN215" s="34"/>
      <c r="AQO215" s="34"/>
      <c r="AQP215" s="34"/>
      <c r="AQQ215" s="34"/>
      <c r="AQR215" s="34"/>
      <c r="AQS215" s="34"/>
      <c r="AQT215" s="34"/>
      <c r="AQU215" s="34"/>
      <c r="AQV215" s="34"/>
      <c r="AQW215" s="34"/>
      <c r="AQX215" s="34"/>
      <c r="AQY215" s="34"/>
      <c r="AQZ215" s="34"/>
      <c r="ARA215" s="34"/>
      <c r="ARB215" s="34"/>
      <c r="ARC215" s="34"/>
      <c r="ARD215" s="34"/>
      <c r="ARE215" s="34"/>
      <c r="ARF215" s="34"/>
      <c r="ARG215" s="34"/>
      <c r="ARH215" s="34"/>
      <c r="ARI215" s="34"/>
      <c r="ARJ215" s="34"/>
      <c r="ARK215" s="34"/>
      <c r="ARL215" s="34"/>
      <c r="ARM215" s="34"/>
      <c r="ARN215" s="34"/>
      <c r="ARO215" s="34"/>
      <c r="ARP215" s="34"/>
      <c r="ARQ215" s="34"/>
      <c r="ARR215" s="34"/>
      <c r="ARS215" s="34"/>
      <c r="ART215" s="34"/>
      <c r="ARU215" s="34"/>
      <c r="ARV215" s="34"/>
      <c r="ARW215" s="34"/>
      <c r="ARX215" s="34"/>
      <c r="ARY215" s="34"/>
      <c r="ARZ215" s="34"/>
      <c r="ASA215" s="34"/>
      <c r="ASB215" s="34"/>
      <c r="ASC215" s="34"/>
      <c r="ASD215" s="34"/>
      <c r="ASE215" s="34"/>
      <c r="ASF215" s="34"/>
      <c r="ASG215" s="34"/>
      <c r="ASH215" s="34"/>
      <c r="ASI215" s="34"/>
      <c r="ASJ215" s="34"/>
      <c r="ASK215" s="34"/>
      <c r="ASL215" s="34"/>
      <c r="ASM215" s="34"/>
      <c r="ASN215" s="34"/>
      <c r="ASO215" s="34"/>
      <c r="ASP215" s="34"/>
      <c r="ASQ215" s="34"/>
      <c r="ASR215" s="34"/>
      <c r="ASS215" s="34"/>
      <c r="AST215" s="34"/>
      <c r="ASU215" s="34"/>
      <c r="ASV215" s="34"/>
      <c r="ASW215" s="34"/>
      <c r="ASX215" s="34"/>
      <c r="ASY215" s="34"/>
      <c r="ASZ215" s="34"/>
      <c r="ATA215" s="34"/>
      <c r="ATB215" s="34"/>
      <c r="ATC215" s="34"/>
      <c r="ATD215" s="34"/>
      <c r="ATE215" s="34"/>
      <c r="ATF215" s="34"/>
      <c r="ATG215" s="34"/>
      <c r="ATH215" s="34"/>
      <c r="ATI215" s="34"/>
      <c r="ATJ215" s="34"/>
      <c r="ATK215" s="34"/>
      <c r="ATL215" s="34"/>
      <c r="ATM215" s="34"/>
      <c r="ATN215" s="34"/>
      <c r="ATO215" s="34"/>
      <c r="ATP215" s="34"/>
      <c r="ATQ215" s="34"/>
      <c r="ATR215" s="34"/>
      <c r="ATS215" s="34"/>
      <c r="ATT215" s="34"/>
      <c r="ATU215" s="34"/>
      <c r="ATV215" s="34"/>
      <c r="ATW215" s="34"/>
      <c r="ATX215" s="34"/>
      <c r="ATY215" s="34"/>
      <c r="ATZ215" s="34"/>
      <c r="AUA215" s="34"/>
      <c r="AUB215" s="34"/>
      <c r="AUC215" s="34"/>
      <c r="AUD215" s="34"/>
      <c r="AUE215" s="34"/>
      <c r="AUF215" s="34"/>
      <c r="AUG215" s="34"/>
      <c r="AUH215" s="34"/>
      <c r="AUI215" s="34"/>
      <c r="AUJ215" s="34"/>
      <c r="AUK215" s="34"/>
      <c r="AUL215" s="34"/>
      <c r="AUM215" s="34"/>
      <c r="AUN215" s="34"/>
      <c r="AUO215" s="34"/>
      <c r="AUP215" s="34"/>
      <c r="AUQ215" s="34"/>
      <c r="AUR215" s="34"/>
      <c r="AUS215" s="34"/>
      <c r="AUT215" s="34"/>
      <c r="AUU215" s="34"/>
      <c r="AUV215" s="34"/>
      <c r="AUW215" s="34"/>
      <c r="AUX215" s="34"/>
      <c r="AUY215" s="34"/>
      <c r="AUZ215" s="34"/>
      <c r="AVA215" s="34"/>
      <c r="AVB215" s="34"/>
      <c r="AVC215" s="34"/>
      <c r="AVD215" s="34"/>
      <c r="AVE215" s="34"/>
      <c r="AVF215" s="34"/>
      <c r="AVG215" s="34"/>
      <c r="AVH215" s="34"/>
      <c r="AVI215" s="34"/>
      <c r="AVJ215" s="34"/>
      <c r="AVK215" s="34"/>
      <c r="AVL215" s="34"/>
      <c r="AVM215" s="34"/>
      <c r="AVN215" s="34"/>
      <c r="AVO215" s="34"/>
      <c r="AVP215" s="34"/>
      <c r="AVQ215" s="34"/>
      <c r="AVR215" s="34"/>
      <c r="AVS215" s="34"/>
      <c r="AVT215" s="34"/>
      <c r="AVU215" s="34"/>
      <c r="AVV215" s="34"/>
      <c r="AVW215" s="34"/>
      <c r="AVX215" s="34"/>
      <c r="AVY215" s="34"/>
      <c r="AVZ215" s="34"/>
      <c r="AWA215" s="34"/>
      <c r="AWB215" s="34"/>
      <c r="AWC215" s="34"/>
      <c r="AWD215" s="34"/>
      <c r="AWE215" s="34"/>
      <c r="AWF215" s="34"/>
      <c r="AWG215" s="34"/>
      <c r="AWH215" s="34"/>
      <c r="AWI215" s="34"/>
      <c r="AWJ215" s="34"/>
      <c r="AWK215" s="34"/>
      <c r="AWL215" s="34"/>
      <c r="AWM215" s="34"/>
      <c r="AWN215" s="34"/>
      <c r="AWO215" s="34"/>
      <c r="AWP215" s="34"/>
      <c r="AWQ215" s="34"/>
      <c r="AWR215" s="34"/>
      <c r="AWS215" s="34"/>
      <c r="AWT215" s="34"/>
      <c r="AWU215" s="34"/>
      <c r="AWV215" s="34"/>
      <c r="AWW215" s="34"/>
      <c r="AWX215" s="34"/>
      <c r="AWY215" s="34"/>
      <c r="AWZ215" s="34"/>
      <c r="AXA215" s="34"/>
      <c r="AXB215" s="34"/>
      <c r="AXC215" s="34"/>
      <c r="AXD215" s="34"/>
      <c r="AXE215" s="34"/>
      <c r="AXF215" s="34"/>
      <c r="AXG215" s="34"/>
      <c r="AXH215" s="34"/>
      <c r="AXI215" s="34"/>
      <c r="AXJ215" s="34"/>
      <c r="AXK215" s="34"/>
      <c r="AXL215" s="34"/>
      <c r="AXM215" s="34"/>
      <c r="AXN215" s="34"/>
      <c r="AXO215" s="34"/>
      <c r="AXP215" s="34"/>
      <c r="AXQ215" s="34"/>
      <c r="AXR215" s="34"/>
      <c r="AXS215" s="34"/>
      <c r="AXT215" s="34"/>
      <c r="AXU215" s="34"/>
      <c r="AXV215" s="34"/>
      <c r="AXW215" s="34"/>
      <c r="AXX215" s="34"/>
      <c r="AXY215" s="34"/>
      <c r="AXZ215" s="34"/>
      <c r="AYA215" s="34"/>
      <c r="AYB215" s="34"/>
      <c r="AYC215" s="34"/>
      <c r="AYD215" s="34"/>
      <c r="AYE215" s="34"/>
      <c r="AYF215" s="34"/>
      <c r="AYG215" s="34"/>
      <c r="AYH215" s="34"/>
      <c r="AYI215" s="34"/>
      <c r="AYJ215" s="34"/>
      <c r="AYK215" s="34"/>
      <c r="AYL215" s="34"/>
      <c r="AYM215" s="34"/>
      <c r="AYN215" s="34"/>
      <c r="AYO215" s="34"/>
      <c r="AYP215" s="34"/>
      <c r="AYQ215" s="34"/>
      <c r="AYR215" s="34"/>
      <c r="AYS215" s="34"/>
      <c r="AYT215" s="34"/>
      <c r="AYU215" s="34"/>
      <c r="AYV215" s="34"/>
      <c r="AYW215" s="34"/>
      <c r="AYX215" s="34"/>
      <c r="AYY215" s="34"/>
      <c r="AYZ215" s="34"/>
      <c r="AZA215" s="34"/>
      <c r="AZB215" s="34"/>
      <c r="AZC215" s="34"/>
      <c r="AZD215" s="34"/>
      <c r="AZE215" s="34"/>
      <c r="AZF215" s="34"/>
      <c r="AZG215" s="34"/>
      <c r="AZH215" s="34"/>
      <c r="AZI215" s="34"/>
      <c r="AZJ215" s="34"/>
      <c r="AZK215" s="34"/>
      <c r="AZL215" s="34"/>
      <c r="AZM215" s="34"/>
      <c r="AZN215" s="34"/>
      <c r="AZO215" s="34"/>
      <c r="AZP215" s="34"/>
      <c r="AZQ215" s="34"/>
      <c r="AZR215" s="34"/>
      <c r="AZS215" s="34"/>
      <c r="AZT215" s="34"/>
      <c r="AZU215" s="34"/>
      <c r="AZV215" s="34"/>
      <c r="AZW215" s="34"/>
      <c r="AZX215" s="34"/>
      <c r="AZY215" s="34"/>
      <c r="AZZ215" s="34"/>
      <c r="BAA215" s="34"/>
      <c r="BAB215" s="34"/>
      <c r="BAC215" s="34"/>
      <c r="BAD215" s="34"/>
      <c r="BAE215" s="34"/>
      <c r="BAF215" s="34"/>
      <c r="BAG215" s="34"/>
      <c r="BAH215" s="34"/>
      <c r="BAI215" s="34"/>
      <c r="BAJ215" s="34"/>
      <c r="BAK215" s="34"/>
      <c r="BAL215" s="34"/>
      <c r="BAM215" s="34"/>
      <c r="BAN215" s="34"/>
      <c r="BAO215" s="34"/>
      <c r="BAP215" s="34"/>
      <c r="BAQ215" s="34"/>
      <c r="BAR215" s="34"/>
      <c r="BAS215" s="34"/>
      <c r="BAT215" s="34"/>
      <c r="BAU215" s="34"/>
      <c r="BAV215" s="34"/>
      <c r="BAW215" s="34"/>
      <c r="BAX215" s="34"/>
      <c r="BAY215" s="34"/>
      <c r="BAZ215" s="34"/>
      <c r="BBA215" s="34"/>
      <c r="BBB215" s="34"/>
      <c r="BBC215" s="34"/>
      <c r="BBD215" s="34"/>
      <c r="BBE215" s="34"/>
      <c r="BBF215" s="34"/>
      <c r="BBG215" s="34"/>
      <c r="BBH215" s="34"/>
      <c r="BBI215" s="34"/>
      <c r="BBJ215" s="34"/>
      <c r="BBK215" s="34"/>
      <c r="BBL215" s="34"/>
      <c r="BBM215" s="34"/>
      <c r="BBN215" s="34"/>
      <c r="BBO215" s="34"/>
      <c r="BBP215" s="34"/>
      <c r="BBQ215" s="34"/>
      <c r="BBR215" s="34"/>
      <c r="BBS215" s="34"/>
      <c r="BBT215" s="34"/>
      <c r="BBU215" s="34"/>
      <c r="BBV215" s="34"/>
      <c r="BBW215" s="34"/>
      <c r="BBX215" s="34"/>
      <c r="BBY215" s="34"/>
      <c r="BBZ215" s="34"/>
      <c r="BCA215" s="34"/>
      <c r="BCB215" s="34"/>
      <c r="BCC215" s="34"/>
      <c r="BCD215" s="34"/>
      <c r="BCE215" s="34"/>
      <c r="BCF215" s="34"/>
      <c r="BCG215" s="34"/>
      <c r="BCH215" s="34"/>
      <c r="BCI215" s="34"/>
      <c r="BCJ215" s="34"/>
      <c r="BCK215" s="34"/>
      <c r="BCL215" s="34"/>
      <c r="BCM215" s="34"/>
      <c r="BCN215" s="34"/>
      <c r="BCO215" s="34"/>
      <c r="BCP215" s="34"/>
      <c r="BCQ215" s="34"/>
      <c r="BCR215" s="34"/>
      <c r="BCS215" s="34"/>
      <c r="BCT215" s="34"/>
      <c r="BCU215" s="34"/>
      <c r="BCV215" s="34"/>
      <c r="BCW215" s="34"/>
      <c r="BCX215" s="34"/>
      <c r="BCY215" s="34"/>
      <c r="BCZ215" s="34"/>
      <c r="BDA215" s="34"/>
      <c r="BDB215" s="34"/>
      <c r="BDC215" s="34"/>
      <c r="BDD215" s="34"/>
      <c r="BDE215" s="34"/>
      <c r="BDF215" s="34"/>
      <c r="BDG215" s="34"/>
      <c r="BDH215" s="34"/>
      <c r="BDI215" s="34"/>
      <c r="BDJ215" s="34"/>
      <c r="BDK215" s="34"/>
      <c r="BDL215" s="34"/>
      <c r="BDM215" s="34"/>
      <c r="BDN215" s="34"/>
      <c r="BDO215" s="34"/>
      <c r="BDP215" s="34"/>
      <c r="BDQ215" s="34"/>
      <c r="BDR215" s="34"/>
      <c r="BDS215" s="34"/>
      <c r="BDT215" s="34"/>
      <c r="BDU215" s="34"/>
      <c r="BDV215" s="34"/>
      <c r="BDW215" s="34"/>
      <c r="BDX215" s="34"/>
      <c r="BDY215" s="34"/>
      <c r="BDZ215" s="34"/>
      <c r="BEA215" s="34"/>
      <c r="BEB215" s="34"/>
      <c r="BEC215" s="34"/>
      <c r="BED215" s="34"/>
      <c r="BEE215" s="34"/>
      <c r="BEF215" s="34"/>
      <c r="BEG215" s="34"/>
      <c r="BEH215" s="34"/>
      <c r="BEI215" s="34"/>
      <c r="BEJ215" s="34"/>
      <c r="BEK215" s="34"/>
      <c r="BEL215" s="34"/>
      <c r="BEM215" s="34"/>
      <c r="BEN215" s="34"/>
      <c r="BEO215" s="34"/>
      <c r="BEP215" s="34"/>
      <c r="BEQ215" s="34"/>
      <c r="BER215" s="34"/>
      <c r="BES215" s="34"/>
      <c r="BET215" s="34"/>
      <c r="BEU215" s="34"/>
      <c r="BEV215" s="34"/>
      <c r="BEW215" s="34"/>
      <c r="BEX215" s="34"/>
      <c r="BEY215" s="34"/>
      <c r="BEZ215" s="34"/>
      <c r="BFA215" s="34"/>
      <c r="BFB215" s="34"/>
      <c r="BFC215" s="34"/>
      <c r="BFD215" s="34"/>
      <c r="BFE215" s="34"/>
      <c r="BFF215" s="34"/>
      <c r="BFG215" s="34"/>
      <c r="BFH215" s="34"/>
      <c r="BFI215" s="34"/>
      <c r="BFJ215" s="34"/>
      <c r="BFK215" s="34"/>
      <c r="BFL215" s="34"/>
      <c r="BFM215" s="34"/>
      <c r="BFN215" s="34"/>
      <c r="BFO215" s="34"/>
      <c r="BFP215" s="34"/>
      <c r="BFQ215" s="34"/>
      <c r="BFR215" s="34"/>
      <c r="BFS215" s="34"/>
      <c r="BFT215" s="34"/>
      <c r="BFU215" s="34"/>
      <c r="BFV215" s="34"/>
      <c r="BFW215" s="34"/>
      <c r="BFX215" s="34"/>
      <c r="BFY215" s="34"/>
      <c r="BFZ215" s="34"/>
      <c r="BGA215" s="34"/>
      <c r="BGB215" s="34"/>
      <c r="BGC215" s="34"/>
      <c r="BGD215" s="34"/>
      <c r="BGE215" s="34"/>
      <c r="BGF215" s="34"/>
      <c r="BGG215" s="34"/>
      <c r="BGH215" s="34"/>
      <c r="BGI215" s="34"/>
      <c r="BGJ215" s="34"/>
      <c r="BGK215" s="34"/>
      <c r="BGL215" s="34"/>
      <c r="BGM215" s="34"/>
      <c r="BGN215" s="34"/>
      <c r="BGO215" s="34"/>
      <c r="BGP215" s="34"/>
      <c r="BGQ215" s="34"/>
      <c r="BGR215" s="34"/>
      <c r="BGS215" s="34"/>
      <c r="BGT215" s="34"/>
      <c r="BGU215" s="34"/>
      <c r="BGV215" s="34"/>
      <c r="BGW215" s="34"/>
      <c r="BGX215" s="34"/>
      <c r="BGY215" s="34"/>
      <c r="BGZ215" s="34"/>
      <c r="BHA215" s="34"/>
      <c r="BHB215" s="34"/>
      <c r="BHC215" s="34"/>
      <c r="BHD215" s="34"/>
      <c r="BHE215" s="34"/>
      <c r="BHF215" s="34"/>
      <c r="BHG215" s="34"/>
      <c r="BHH215" s="34"/>
      <c r="BHI215" s="34"/>
      <c r="BHJ215" s="34"/>
      <c r="BHK215" s="34"/>
      <c r="BHL215" s="34"/>
      <c r="BHM215" s="34"/>
      <c r="BHN215" s="34"/>
      <c r="BHO215" s="34"/>
      <c r="BHP215" s="34"/>
      <c r="BHQ215" s="34"/>
      <c r="BHR215" s="34"/>
      <c r="BHS215" s="34"/>
      <c r="BHT215" s="34"/>
      <c r="BHU215" s="34"/>
      <c r="BHV215" s="34"/>
      <c r="BHW215" s="34"/>
      <c r="BHX215" s="34"/>
      <c r="BHY215" s="34"/>
      <c r="BHZ215" s="34"/>
      <c r="BIA215" s="34"/>
      <c r="BIB215" s="34"/>
      <c r="BIC215" s="34"/>
      <c r="BID215" s="34"/>
      <c r="BIE215" s="34"/>
      <c r="BIF215" s="34"/>
      <c r="BIG215" s="34"/>
      <c r="BIH215" s="34"/>
      <c r="BII215" s="34"/>
      <c r="BIJ215" s="34"/>
      <c r="BIK215" s="34"/>
      <c r="BIL215" s="34"/>
      <c r="BIM215" s="34"/>
      <c r="BIN215" s="34"/>
      <c r="BIO215" s="34"/>
      <c r="BIP215" s="34"/>
      <c r="BIQ215" s="34"/>
      <c r="BIR215" s="34"/>
      <c r="BIS215" s="34"/>
      <c r="BIT215" s="34"/>
      <c r="BIU215" s="34"/>
      <c r="BIV215" s="34"/>
      <c r="BIW215" s="34"/>
      <c r="BIX215" s="34"/>
      <c r="BIY215" s="34"/>
      <c r="BIZ215" s="34"/>
      <c r="BJA215" s="34"/>
      <c r="BJB215" s="34"/>
      <c r="BJC215" s="34"/>
      <c r="BJD215" s="34"/>
      <c r="BJE215" s="34"/>
      <c r="BJF215" s="34"/>
      <c r="BJG215" s="34"/>
      <c r="BJH215" s="34"/>
      <c r="BJI215" s="34"/>
      <c r="BJJ215" s="34"/>
      <c r="BJK215" s="34"/>
      <c r="BJL215" s="34"/>
      <c r="BJM215" s="34"/>
      <c r="BJN215" s="34"/>
      <c r="BJO215" s="34"/>
      <c r="BJP215" s="34"/>
      <c r="BJQ215" s="34"/>
      <c r="BJR215" s="34"/>
      <c r="BJS215" s="34"/>
      <c r="BJT215" s="34"/>
      <c r="BJU215" s="34"/>
      <c r="BJV215" s="34"/>
      <c r="BJW215" s="34"/>
      <c r="BJX215" s="34"/>
      <c r="BJY215" s="34"/>
      <c r="BJZ215" s="34"/>
      <c r="BKA215" s="34"/>
      <c r="BKB215" s="34"/>
      <c r="BKC215" s="34"/>
      <c r="BKD215" s="34"/>
      <c r="BKE215" s="34"/>
      <c r="BKF215" s="34"/>
      <c r="BKG215" s="34"/>
      <c r="BKH215" s="34"/>
      <c r="BKI215" s="34"/>
      <c r="BKJ215" s="34"/>
      <c r="BKK215" s="34"/>
      <c r="BKL215" s="34"/>
      <c r="BKM215" s="34"/>
      <c r="BKN215" s="34"/>
      <c r="BKO215" s="34"/>
      <c r="BKP215" s="34"/>
      <c r="BKQ215" s="34"/>
      <c r="BKR215" s="34"/>
      <c r="BKS215" s="34"/>
      <c r="BKT215" s="34"/>
      <c r="BKU215" s="34"/>
      <c r="BKV215" s="34"/>
      <c r="BKW215" s="34"/>
      <c r="BKX215" s="34"/>
      <c r="BKY215" s="34"/>
      <c r="BKZ215" s="34"/>
      <c r="BLA215" s="34"/>
      <c r="BLB215" s="34"/>
      <c r="BLC215" s="34"/>
      <c r="BLD215" s="34"/>
      <c r="BLE215" s="34"/>
      <c r="BLF215" s="34"/>
      <c r="BLG215" s="34"/>
      <c r="BLH215" s="34"/>
      <c r="BLI215" s="34"/>
      <c r="BLJ215" s="34"/>
      <c r="BLK215" s="34"/>
      <c r="BLL215" s="34"/>
      <c r="BLM215" s="34"/>
      <c r="BLN215" s="34"/>
      <c r="BLO215" s="34"/>
      <c r="BLP215" s="34"/>
      <c r="BLQ215" s="34"/>
      <c r="BLR215" s="34"/>
      <c r="BLS215" s="34"/>
      <c r="BLT215" s="34"/>
      <c r="BLU215" s="34"/>
      <c r="BLV215" s="34"/>
      <c r="BLW215" s="34"/>
      <c r="BLX215" s="34"/>
      <c r="BLY215" s="34"/>
      <c r="BLZ215" s="34"/>
      <c r="BMA215" s="34"/>
      <c r="BMB215" s="34"/>
      <c r="BMC215" s="34"/>
      <c r="BMD215" s="34"/>
      <c r="BME215" s="34"/>
      <c r="BMF215" s="34"/>
      <c r="BMG215" s="34"/>
      <c r="BMH215" s="34"/>
      <c r="BMI215" s="34"/>
      <c r="BMJ215" s="34"/>
      <c r="BMK215" s="34"/>
      <c r="BML215" s="34"/>
      <c r="BMM215" s="34"/>
      <c r="BMN215" s="34"/>
      <c r="BMO215" s="34"/>
      <c r="BMP215" s="34"/>
      <c r="BMQ215" s="34"/>
      <c r="BMR215" s="34"/>
      <c r="BMS215" s="34"/>
      <c r="BMT215" s="34"/>
      <c r="BMU215" s="34"/>
      <c r="BMV215" s="34"/>
      <c r="BMW215" s="34"/>
      <c r="BMX215" s="34"/>
      <c r="BMY215" s="34"/>
      <c r="BMZ215" s="34"/>
      <c r="BNA215" s="34"/>
      <c r="BNB215" s="34"/>
      <c r="BNC215" s="34"/>
      <c r="BND215" s="34"/>
      <c r="BNE215" s="34"/>
      <c r="BNF215" s="34"/>
      <c r="BNG215" s="34"/>
      <c r="BNH215" s="34"/>
      <c r="BNI215" s="34"/>
      <c r="BNJ215" s="34"/>
      <c r="BNK215" s="34"/>
      <c r="BNL215" s="34"/>
      <c r="BNM215" s="34"/>
      <c r="BNN215" s="34"/>
      <c r="BNO215" s="34"/>
      <c r="BNP215" s="34"/>
      <c r="BNQ215" s="34"/>
      <c r="BNR215" s="34"/>
      <c r="BNS215" s="34"/>
      <c r="BNT215" s="34"/>
      <c r="BNU215" s="34"/>
      <c r="BNV215" s="34"/>
      <c r="BNW215" s="34"/>
      <c r="BNX215" s="34"/>
      <c r="BNY215" s="34"/>
      <c r="BNZ215" s="34"/>
      <c r="BOA215" s="34"/>
      <c r="BOB215" s="34"/>
      <c r="BOC215" s="34"/>
      <c r="BOD215" s="34"/>
      <c r="BOE215" s="34"/>
      <c r="BOF215" s="34"/>
      <c r="BOG215" s="34"/>
      <c r="BOH215" s="34"/>
      <c r="BOI215" s="34"/>
      <c r="BOJ215" s="34"/>
      <c r="BOK215" s="34"/>
      <c r="BOL215" s="34"/>
      <c r="BOM215" s="34"/>
      <c r="BON215" s="34"/>
      <c r="BOO215" s="34"/>
      <c r="BOP215" s="34"/>
      <c r="BOQ215" s="34"/>
      <c r="BOR215" s="34"/>
      <c r="BOS215" s="34"/>
      <c r="BOT215" s="34"/>
      <c r="BOU215" s="34"/>
      <c r="BOV215" s="34"/>
      <c r="BOW215" s="34"/>
      <c r="BOX215" s="34"/>
      <c r="BOY215" s="34"/>
      <c r="BOZ215" s="34"/>
      <c r="BPA215" s="34"/>
      <c r="BPB215" s="34"/>
      <c r="BPC215" s="34"/>
      <c r="BPD215" s="34"/>
      <c r="BPE215" s="34"/>
      <c r="BPF215" s="34"/>
      <c r="BPG215" s="34"/>
      <c r="BPH215" s="34"/>
      <c r="BPI215" s="34"/>
      <c r="BPJ215" s="34"/>
      <c r="BPK215" s="34"/>
      <c r="BPL215" s="34"/>
      <c r="BPM215" s="34"/>
      <c r="BPN215" s="34"/>
      <c r="BPO215" s="34"/>
      <c r="BPP215" s="34"/>
      <c r="BPQ215" s="34"/>
      <c r="BPR215" s="34"/>
      <c r="BPS215" s="34"/>
      <c r="BPT215" s="34"/>
      <c r="BPU215" s="34"/>
      <c r="BPV215" s="34"/>
      <c r="BPW215" s="34"/>
      <c r="BPX215" s="34"/>
      <c r="BPY215" s="34"/>
      <c r="BPZ215" s="34"/>
      <c r="BQA215" s="34"/>
      <c r="BQB215" s="34"/>
      <c r="BQC215" s="34"/>
      <c r="BQD215" s="34"/>
      <c r="BQE215" s="34"/>
      <c r="BQF215" s="34"/>
      <c r="BQG215" s="34"/>
      <c r="BQH215" s="34"/>
      <c r="BQI215" s="34"/>
      <c r="BQJ215" s="34"/>
      <c r="BQK215" s="34"/>
      <c r="BQL215" s="34"/>
      <c r="BQM215" s="34"/>
      <c r="BQN215" s="34"/>
      <c r="BQO215" s="34"/>
      <c r="BQP215" s="34"/>
      <c r="BQQ215" s="34"/>
      <c r="BQR215" s="34"/>
      <c r="BQS215" s="34"/>
      <c r="BQT215" s="34"/>
      <c r="BQU215" s="34"/>
      <c r="BQV215" s="34"/>
      <c r="BQW215" s="34"/>
      <c r="BQX215" s="34"/>
      <c r="BQY215" s="34"/>
      <c r="BQZ215" s="34"/>
      <c r="BRA215" s="34"/>
      <c r="BRB215" s="34"/>
      <c r="BRC215" s="34"/>
      <c r="BRD215" s="34"/>
      <c r="BRE215" s="34"/>
      <c r="BRF215" s="34"/>
      <c r="BRG215" s="34"/>
      <c r="BRH215" s="34"/>
      <c r="BRI215" s="34"/>
      <c r="BRJ215" s="34"/>
      <c r="BRK215" s="34"/>
      <c r="BRL215" s="34"/>
      <c r="BRM215" s="34"/>
      <c r="BRN215" s="34"/>
      <c r="BRO215" s="34"/>
      <c r="BRP215" s="34"/>
      <c r="BRQ215" s="34"/>
      <c r="BRR215" s="34"/>
      <c r="BRS215" s="34"/>
      <c r="BRT215" s="34"/>
      <c r="BRU215" s="34"/>
      <c r="BRV215" s="34"/>
      <c r="BRW215" s="34"/>
      <c r="BRX215" s="34"/>
      <c r="BRY215" s="34"/>
      <c r="BRZ215" s="34"/>
      <c r="BSA215" s="34"/>
      <c r="BSB215" s="34"/>
      <c r="BSC215" s="34"/>
      <c r="BSD215" s="34"/>
      <c r="BSE215" s="34"/>
      <c r="BSF215" s="34"/>
      <c r="BSG215" s="34"/>
      <c r="BSH215" s="34"/>
      <c r="BSI215" s="34"/>
      <c r="BSJ215" s="34"/>
      <c r="BSK215" s="34"/>
      <c r="BSL215" s="34"/>
      <c r="BSM215" s="34"/>
      <c r="BSN215" s="34"/>
      <c r="BSO215" s="34"/>
      <c r="BSP215" s="34"/>
      <c r="BSQ215" s="34"/>
      <c r="BSR215" s="34"/>
      <c r="BSS215" s="34"/>
      <c r="BST215" s="34"/>
      <c r="BSU215" s="34"/>
      <c r="BSV215" s="34"/>
      <c r="BSW215" s="34"/>
      <c r="BSX215" s="34"/>
      <c r="BSY215" s="34"/>
      <c r="BSZ215" s="34"/>
      <c r="BTA215" s="34"/>
      <c r="BTB215" s="34"/>
      <c r="BTC215" s="34"/>
      <c r="BTD215" s="34"/>
      <c r="BTE215" s="34"/>
      <c r="BTF215" s="34"/>
      <c r="BTG215" s="34"/>
      <c r="BTH215" s="34"/>
      <c r="BTI215" s="34"/>
      <c r="BTJ215" s="34"/>
      <c r="BTK215" s="34"/>
      <c r="BTL215" s="34"/>
      <c r="BTM215" s="34"/>
      <c r="BTN215" s="34"/>
      <c r="BTO215" s="34"/>
      <c r="BTP215" s="34"/>
      <c r="BTQ215" s="34"/>
      <c r="BTR215" s="34"/>
      <c r="BTS215" s="34"/>
      <c r="BTT215" s="34"/>
      <c r="BTU215" s="34"/>
      <c r="BTV215" s="34"/>
      <c r="BTW215" s="34"/>
      <c r="BTX215" s="34"/>
      <c r="BTY215" s="34"/>
      <c r="BTZ215" s="34"/>
      <c r="BUA215" s="34"/>
      <c r="BUB215" s="34"/>
      <c r="BUC215" s="34"/>
      <c r="BUD215" s="34"/>
      <c r="BUE215" s="34"/>
      <c r="BUF215" s="34"/>
      <c r="BUG215" s="34"/>
      <c r="BUH215" s="34"/>
      <c r="BUI215" s="34"/>
      <c r="BUJ215" s="34"/>
      <c r="BUK215" s="34"/>
      <c r="BUL215" s="34"/>
      <c r="BUM215" s="34"/>
      <c r="BUN215" s="34"/>
      <c r="BUO215" s="34"/>
      <c r="BUP215" s="34"/>
      <c r="BUQ215" s="34"/>
      <c r="BUR215" s="34"/>
      <c r="BUS215" s="34"/>
      <c r="BUT215" s="34"/>
      <c r="BUU215" s="34"/>
      <c r="BUV215" s="34"/>
      <c r="BUW215" s="34"/>
      <c r="BUX215" s="34"/>
      <c r="BUY215" s="34"/>
      <c r="BUZ215" s="34"/>
      <c r="BVA215" s="34"/>
      <c r="BVB215" s="34"/>
      <c r="BVC215" s="34"/>
      <c r="BVD215" s="34"/>
      <c r="BVE215" s="34"/>
      <c r="BVF215" s="34"/>
      <c r="BVG215" s="34"/>
      <c r="BVH215" s="34"/>
      <c r="BVI215" s="34"/>
      <c r="BVJ215" s="34"/>
      <c r="BVK215" s="34"/>
      <c r="BVL215" s="34"/>
      <c r="BVM215" s="34"/>
      <c r="BVN215" s="34"/>
      <c r="BVO215" s="34"/>
      <c r="BVP215" s="34"/>
      <c r="BVQ215" s="34"/>
      <c r="BVR215" s="34"/>
      <c r="BVS215" s="34"/>
      <c r="BVT215" s="34"/>
      <c r="BVU215" s="34"/>
      <c r="BVV215" s="34"/>
      <c r="BVW215" s="34"/>
      <c r="BVX215" s="34"/>
      <c r="BVY215" s="34"/>
      <c r="BVZ215" s="34"/>
      <c r="BWA215" s="34"/>
      <c r="BWB215" s="34"/>
      <c r="BWC215" s="34"/>
      <c r="BWD215" s="34"/>
      <c r="BWE215" s="34"/>
      <c r="BWF215" s="34"/>
      <c r="BWG215" s="34"/>
      <c r="BWH215" s="34"/>
      <c r="BWI215" s="34"/>
      <c r="BWJ215" s="34"/>
      <c r="BWK215" s="34"/>
      <c r="BWL215" s="34"/>
      <c r="BWM215" s="34"/>
      <c r="BWN215" s="34"/>
      <c r="BWO215" s="34"/>
      <c r="BWP215" s="34"/>
      <c r="BWQ215" s="34"/>
      <c r="BWR215" s="34"/>
      <c r="BWS215" s="34"/>
      <c r="BWT215" s="34"/>
      <c r="BWU215" s="34"/>
      <c r="BWV215" s="34"/>
      <c r="BWW215" s="34"/>
      <c r="BWX215" s="34"/>
      <c r="BWY215" s="34"/>
      <c r="BWZ215" s="34"/>
      <c r="BXA215" s="34"/>
      <c r="BXB215" s="34"/>
      <c r="BXC215" s="34"/>
      <c r="BXD215" s="34"/>
      <c r="BXE215" s="34"/>
      <c r="BXF215" s="34"/>
      <c r="BXG215" s="34"/>
      <c r="BXH215" s="34"/>
      <c r="BXI215" s="34"/>
      <c r="BXJ215" s="34"/>
      <c r="BXK215" s="34"/>
      <c r="BXL215" s="34"/>
      <c r="BXM215" s="34"/>
      <c r="BXN215" s="34"/>
      <c r="BXO215" s="34"/>
      <c r="BXP215" s="34"/>
      <c r="BXQ215" s="34"/>
      <c r="BXR215" s="34"/>
      <c r="BXS215" s="34"/>
      <c r="BXT215" s="34"/>
      <c r="BXU215" s="34"/>
      <c r="BXV215" s="34"/>
      <c r="BXW215" s="34"/>
      <c r="BXX215" s="34"/>
      <c r="BXY215" s="34"/>
      <c r="BXZ215" s="34"/>
      <c r="BYA215" s="34"/>
      <c r="BYB215" s="34"/>
      <c r="BYC215" s="34"/>
      <c r="BYD215" s="34"/>
      <c r="BYE215" s="34"/>
      <c r="BYF215" s="34"/>
      <c r="BYG215" s="34"/>
      <c r="BYH215" s="34"/>
      <c r="BYI215" s="34"/>
      <c r="BYJ215" s="34"/>
      <c r="BYK215" s="34"/>
      <c r="BYL215" s="34"/>
      <c r="BYM215" s="34"/>
      <c r="BYN215" s="34"/>
      <c r="BYO215" s="34"/>
      <c r="BYP215" s="34"/>
      <c r="BYQ215" s="34"/>
      <c r="BYR215" s="34"/>
      <c r="BYS215" s="34"/>
      <c r="BYT215" s="34"/>
      <c r="BYU215" s="34"/>
      <c r="BYV215" s="34"/>
      <c r="BYW215" s="34"/>
      <c r="BYX215" s="34"/>
      <c r="BYY215" s="34"/>
      <c r="BYZ215" s="34"/>
      <c r="BZA215" s="34"/>
      <c r="BZB215" s="34"/>
      <c r="BZC215" s="34"/>
      <c r="BZD215" s="34"/>
      <c r="BZE215" s="34"/>
      <c r="BZF215" s="34"/>
      <c r="BZG215" s="34"/>
      <c r="BZH215" s="34"/>
      <c r="BZI215" s="34"/>
      <c r="BZJ215" s="34"/>
      <c r="BZK215" s="34"/>
      <c r="BZL215" s="34"/>
      <c r="BZM215" s="34"/>
      <c r="BZN215" s="34"/>
      <c r="BZO215" s="34"/>
      <c r="BZP215" s="34"/>
      <c r="BZQ215" s="34"/>
      <c r="BZR215" s="34"/>
      <c r="BZS215" s="34"/>
      <c r="BZT215" s="34"/>
      <c r="BZU215" s="34"/>
      <c r="BZV215" s="34"/>
      <c r="BZW215" s="34"/>
      <c r="BZX215" s="34"/>
      <c r="BZY215" s="34"/>
      <c r="BZZ215" s="34"/>
      <c r="CAA215" s="34"/>
      <c r="CAB215" s="34"/>
      <c r="CAC215" s="34"/>
      <c r="CAD215" s="34"/>
      <c r="CAE215" s="34"/>
      <c r="CAF215" s="34"/>
      <c r="CAG215" s="34"/>
      <c r="CAH215" s="34"/>
      <c r="CAI215" s="34"/>
      <c r="CAJ215" s="34"/>
      <c r="CAK215" s="34"/>
      <c r="CAL215" s="34"/>
      <c r="CAM215" s="34"/>
      <c r="CAN215" s="34"/>
      <c r="CAO215" s="34"/>
      <c r="CAP215" s="34"/>
      <c r="CAQ215" s="34"/>
      <c r="CAR215" s="34"/>
      <c r="CAS215" s="34"/>
      <c r="CAT215" s="34"/>
      <c r="CAU215" s="34"/>
      <c r="CAV215" s="34"/>
      <c r="CAW215" s="34"/>
      <c r="CAX215" s="34"/>
      <c r="CAY215" s="34"/>
      <c r="CAZ215" s="34"/>
      <c r="CBA215" s="34"/>
      <c r="CBB215" s="34"/>
      <c r="CBC215" s="34"/>
      <c r="CBD215" s="34"/>
      <c r="CBE215" s="34"/>
      <c r="CBF215" s="34"/>
      <c r="CBG215" s="34"/>
      <c r="CBH215" s="34"/>
      <c r="CBI215" s="34"/>
      <c r="CBJ215" s="34"/>
      <c r="CBK215" s="34"/>
      <c r="CBL215" s="34"/>
      <c r="CBM215" s="34"/>
      <c r="CBN215" s="34"/>
      <c r="CBO215" s="34"/>
      <c r="CBP215" s="34"/>
      <c r="CBQ215" s="34"/>
      <c r="CBR215" s="34"/>
      <c r="CBS215" s="34"/>
      <c r="CBT215" s="34"/>
      <c r="CBU215" s="34"/>
      <c r="CBV215" s="34"/>
      <c r="CBW215" s="34"/>
      <c r="CBX215" s="34"/>
      <c r="CBY215" s="34"/>
      <c r="CBZ215" s="34"/>
      <c r="CCA215" s="34"/>
      <c r="CCB215" s="34"/>
      <c r="CCC215" s="34"/>
      <c r="CCD215" s="34"/>
      <c r="CCE215" s="34"/>
      <c r="CCF215" s="34"/>
      <c r="CCG215" s="34"/>
      <c r="CCH215" s="34"/>
      <c r="CCI215" s="34"/>
      <c r="CCJ215" s="34"/>
      <c r="CCK215" s="34"/>
      <c r="CCL215" s="34"/>
      <c r="CCM215" s="34"/>
      <c r="CCN215" s="34"/>
      <c r="CCO215" s="34"/>
      <c r="CCP215" s="34"/>
      <c r="CCQ215" s="34"/>
      <c r="CCR215" s="34"/>
      <c r="CCS215" s="34"/>
      <c r="CCT215" s="34"/>
      <c r="CCU215" s="34"/>
      <c r="CCV215" s="34"/>
      <c r="CCW215" s="34"/>
      <c r="CCX215" s="34"/>
      <c r="CCY215" s="34"/>
      <c r="CCZ215" s="34"/>
      <c r="CDA215" s="34"/>
      <c r="CDB215" s="34"/>
      <c r="CDC215" s="34"/>
      <c r="CDD215" s="34"/>
      <c r="CDE215" s="34"/>
      <c r="CDF215" s="34"/>
      <c r="CDG215" s="34"/>
      <c r="CDH215" s="34"/>
      <c r="CDI215" s="34"/>
      <c r="CDJ215" s="34"/>
      <c r="CDK215" s="34"/>
      <c r="CDL215" s="34"/>
      <c r="CDM215" s="34"/>
      <c r="CDN215" s="34"/>
      <c r="CDO215" s="34"/>
      <c r="CDP215" s="34"/>
      <c r="CDQ215" s="34"/>
      <c r="CDR215" s="34"/>
      <c r="CDS215" s="34"/>
      <c r="CDT215" s="34"/>
      <c r="CDU215" s="34"/>
      <c r="CDV215" s="34"/>
      <c r="CDW215" s="34"/>
      <c r="CDX215" s="34"/>
      <c r="CDY215" s="34"/>
      <c r="CDZ215" s="34"/>
      <c r="CEA215" s="34"/>
      <c r="CEB215" s="34"/>
      <c r="CEC215" s="34"/>
      <c r="CED215" s="34"/>
      <c r="CEE215" s="34"/>
      <c r="CEF215" s="34"/>
      <c r="CEG215" s="34"/>
      <c r="CEH215" s="34"/>
      <c r="CEI215" s="34"/>
      <c r="CEJ215" s="34"/>
      <c r="CEK215" s="34"/>
      <c r="CEL215" s="34"/>
      <c r="CEM215" s="34"/>
      <c r="CEN215" s="34"/>
      <c r="CEO215" s="34"/>
      <c r="CEP215" s="34"/>
      <c r="CEQ215" s="34"/>
      <c r="CER215" s="34"/>
      <c r="CES215" s="34"/>
      <c r="CET215" s="34"/>
      <c r="CEU215" s="34"/>
      <c r="CEV215" s="34"/>
      <c r="CEW215" s="34"/>
      <c r="CEX215" s="34"/>
      <c r="CEY215" s="34"/>
      <c r="CEZ215" s="34"/>
      <c r="CFA215" s="34"/>
      <c r="CFB215" s="34"/>
      <c r="CFC215" s="34"/>
      <c r="CFD215" s="34"/>
      <c r="CFE215" s="34"/>
      <c r="CFF215" s="34"/>
      <c r="CFG215" s="34"/>
      <c r="CFH215" s="34"/>
      <c r="CFI215" s="34"/>
      <c r="CFJ215" s="34"/>
      <c r="CFK215" s="34"/>
      <c r="CFL215" s="34"/>
      <c r="CFM215" s="34"/>
      <c r="CFN215" s="34"/>
      <c r="CFO215" s="34"/>
      <c r="CFP215" s="34"/>
      <c r="CFQ215" s="34"/>
      <c r="CFR215" s="34"/>
      <c r="CFS215" s="34"/>
      <c r="CFT215" s="34"/>
      <c r="CFU215" s="34"/>
      <c r="CFV215" s="34"/>
      <c r="CFW215" s="34"/>
      <c r="CFX215" s="34"/>
      <c r="CFY215" s="34"/>
      <c r="CFZ215" s="34"/>
      <c r="CGA215" s="34"/>
      <c r="CGB215" s="34"/>
      <c r="CGC215" s="34"/>
      <c r="CGD215" s="34"/>
      <c r="CGE215" s="34"/>
      <c r="CGF215" s="34"/>
      <c r="CGG215" s="34"/>
      <c r="CGH215" s="34"/>
      <c r="CGI215" s="34"/>
      <c r="CGJ215" s="34"/>
      <c r="CGK215" s="34"/>
      <c r="CGL215" s="34"/>
      <c r="CGM215" s="34"/>
      <c r="CGN215" s="34"/>
      <c r="CGO215" s="34"/>
      <c r="CGP215" s="34"/>
      <c r="CGQ215" s="34"/>
      <c r="CGR215" s="34"/>
      <c r="CGS215" s="34"/>
      <c r="CGT215" s="34"/>
      <c r="CGU215" s="34"/>
      <c r="CGV215" s="34"/>
      <c r="CGW215" s="34"/>
      <c r="CGX215" s="34"/>
      <c r="CGY215" s="34"/>
      <c r="CGZ215" s="34"/>
      <c r="CHA215" s="34"/>
      <c r="CHB215" s="34"/>
      <c r="CHC215" s="34"/>
      <c r="CHD215" s="34"/>
      <c r="CHE215" s="34"/>
      <c r="CHF215" s="34"/>
      <c r="CHG215" s="34"/>
      <c r="CHH215" s="34"/>
      <c r="CHI215" s="34"/>
      <c r="CHJ215" s="34"/>
      <c r="CHK215" s="34"/>
      <c r="CHL215" s="34"/>
      <c r="CHM215" s="34"/>
      <c r="CHN215" s="34"/>
      <c r="CHO215" s="34"/>
      <c r="CHP215" s="34"/>
      <c r="CHQ215" s="34"/>
      <c r="CHR215" s="34"/>
      <c r="CHS215" s="34"/>
      <c r="CHT215" s="34"/>
      <c r="CHU215" s="34"/>
      <c r="CHV215" s="34"/>
      <c r="CHW215" s="34"/>
      <c r="CHX215" s="34"/>
      <c r="CHY215" s="34"/>
      <c r="CHZ215" s="34"/>
      <c r="CIA215" s="34"/>
      <c r="CIB215" s="34"/>
      <c r="CIC215" s="34"/>
      <c r="CID215" s="34"/>
      <c r="CIE215" s="34"/>
      <c r="CIF215" s="34"/>
      <c r="CIG215" s="34"/>
      <c r="CIH215" s="34"/>
      <c r="CII215" s="34"/>
      <c r="CIJ215" s="34"/>
      <c r="CIK215" s="34"/>
      <c r="CIL215" s="34"/>
      <c r="CIM215" s="34"/>
      <c r="CIN215" s="34"/>
      <c r="CIO215" s="34"/>
      <c r="CIP215" s="34"/>
      <c r="CIQ215" s="34"/>
      <c r="CIR215" s="34"/>
      <c r="CIS215" s="34"/>
      <c r="CIT215" s="34"/>
      <c r="CIU215" s="34"/>
      <c r="CIV215" s="34"/>
      <c r="CIW215" s="34"/>
      <c r="CIX215" s="34"/>
      <c r="CIY215" s="34"/>
      <c r="CIZ215" s="34"/>
      <c r="CJA215" s="34"/>
      <c r="CJB215" s="34"/>
      <c r="CJC215" s="34"/>
      <c r="CJD215" s="34"/>
      <c r="CJE215" s="34"/>
      <c r="CJF215" s="34"/>
      <c r="CJG215" s="34"/>
      <c r="CJH215" s="34"/>
      <c r="CJI215" s="34"/>
      <c r="CJJ215" s="34"/>
      <c r="CJK215" s="34"/>
      <c r="CJL215" s="34"/>
      <c r="CJM215" s="34"/>
      <c r="CJN215" s="34"/>
      <c r="CJO215" s="34"/>
      <c r="CJP215" s="34"/>
      <c r="CJQ215" s="34"/>
      <c r="CJR215" s="34"/>
      <c r="CJS215" s="34"/>
      <c r="CJT215" s="34"/>
      <c r="CJU215" s="34"/>
      <c r="CJV215" s="34"/>
      <c r="CJW215" s="34"/>
      <c r="CJX215" s="34"/>
      <c r="CJY215" s="34"/>
      <c r="CJZ215" s="34"/>
      <c r="CKA215" s="34"/>
      <c r="CKB215" s="34"/>
      <c r="CKC215" s="34"/>
      <c r="CKD215" s="34"/>
      <c r="CKE215" s="34"/>
      <c r="CKF215" s="34"/>
      <c r="CKG215" s="34"/>
      <c r="CKH215" s="34"/>
      <c r="CKI215" s="34"/>
      <c r="CKJ215" s="34"/>
      <c r="CKK215" s="34"/>
      <c r="CKL215" s="34"/>
      <c r="CKM215" s="34"/>
      <c r="CKN215" s="34"/>
      <c r="CKO215" s="34"/>
      <c r="CKP215" s="34"/>
      <c r="CKQ215" s="34"/>
      <c r="CKR215" s="34"/>
      <c r="CKS215" s="34"/>
      <c r="CKT215" s="34"/>
      <c r="CKU215" s="34"/>
      <c r="CKV215" s="34"/>
      <c r="CKW215" s="34"/>
      <c r="CKX215" s="34"/>
      <c r="CKY215" s="34"/>
      <c r="CKZ215" s="34"/>
      <c r="CLA215" s="34"/>
      <c r="CLB215" s="34"/>
      <c r="CLC215" s="34"/>
      <c r="CLD215" s="34"/>
      <c r="CLE215" s="34"/>
      <c r="CLF215" s="34"/>
      <c r="CLG215" s="34"/>
      <c r="CLH215" s="34"/>
      <c r="CLI215" s="34"/>
      <c r="CLJ215" s="34"/>
      <c r="CLK215" s="34"/>
      <c r="CLL215" s="34"/>
      <c r="CLM215" s="34"/>
      <c r="CLN215" s="34"/>
      <c r="CLO215" s="34"/>
      <c r="CLP215" s="34"/>
      <c r="CLQ215" s="34"/>
      <c r="CLR215" s="34"/>
      <c r="CLS215" s="34"/>
      <c r="CLT215" s="34"/>
      <c r="CLU215" s="34"/>
      <c r="CLV215" s="34"/>
      <c r="CLW215" s="34"/>
      <c r="CLX215" s="34"/>
      <c r="CLY215" s="34"/>
      <c r="CLZ215" s="34"/>
      <c r="CMA215" s="34"/>
      <c r="CMB215" s="34"/>
      <c r="CMC215" s="34"/>
      <c r="CMD215" s="34"/>
      <c r="CME215" s="34"/>
      <c r="CMF215" s="34"/>
      <c r="CMG215" s="34"/>
      <c r="CMH215" s="34"/>
      <c r="CMI215" s="34"/>
      <c r="CMJ215" s="34"/>
      <c r="CMK215" s="34"/>
      <c r="CML215" s="34"/>
      <c r="CMM215" s="34"/>
      <c r="CMN215" s="34"/>
      <c r="CMO215" s="34"/>
      <c r="CMP215" s="34"/>
      <c r="CMQ215" s="34"/>
      <c r="CMR215" s="34"/>
      <c r="CMS215" s="34"/>
      <c r="CMT215" s="34"/>
      <c r="CMU215" s="34"/>
      <c r="CMV215" s="34"/>
      <c r="CMW215" s="34"/>
      <c r="CMX215" s="34"/>
      <c r="CMY215" s="34"/>
      <c r="CMZ215" s="34"/>
      <c r="CNA215" s="34"/>
      <c r="CNB215" s="34"/>
      <c r="CNC215" s="34"/>
      <c r="CND215" s="34"/>
      <c r="CNE215" s="34"/>
      <c r="CNF215" s="34"/>
      <c r="CNG215" s="34"/>
      <c r="CNH215" s="34"/>
      <c r="CNI215" s="34"/>
      <c r="CNJ215" s="34"/>
      <c r="CNK215" s="34"/>
      <c r="CNL215" s="34"/>
      <c r="CNM215" s="34"/>
      <c r="CNN215" s="34"/>
      <c r="CNO215" s="34"/>
      <c r="CNP215" s="34"/>
      <c r="CNQ215" s="34"/>
      <c r="CNR215" s="34"/>
      <c r="CNS215" s="34"/>
      <c r="CNT215" s="34"/>
      <c r="CNU215" s="34"/>
      <c r="CNV215" s="34"/>
      <c r="CNW215" s="34"/>
      <c r="CNX215" s="34"/>
      <c r="CNY215" s="34"/>
      <c r="CNZ215" s="34"/>
      <c r="COA215" s="34"/>
      <c r="COB215" s="34"/>
      <c r="COC215" s="34"/>
      <c r="COD215" s="34"/>
      <c r="COE215" s="34"/>
      <c r="COF215" s="34"/>
      <c r="COG215" s="34"/>
      <c r="COH215" s="34"/>
      <c r="COI215" s="34"/>
      <c r="COJ215" s="34"/>
      <c r="COK215" s="34"/>
      <c r="COL215" s="34"/>
      <c r="COM215" s="34"/>
      <c r="CON215" s="34"/>
      <c r="COO215" s="34"/>
      <c r="COP215" s="34"/>
      <c r="COQ215" s="34"/>
      <c r="COR215" s="34"/>
      <c r="COS215" s="34"/>
      <c r="COT215" s="34"/>
      <c r="COU215" s="34"/>
      <c r="COV215" s="34"/>
      <c r="COW215" s="34"/>
      <c r="COX215" s="34"/>
      <c r="COY215" s="34"/>
      <c r="COZ215" s="34"/>
      <c r="CPA215" s="34"/>
      <c r="CPB215" s="34"/>
      <c r="CPC215" s="34"/>
      <c r="CPD215" s="34"/>
      <c r="CPE215" s="34"/>
      <c r="CPF215" s="34"/>
      <c r="CPG215" s="34"/>
      <c r="CPH215" s="34"/>
      <c r="CPI215" s="34"/>
      <c r="CPJ215" s="34"/>
      <c r="CPK215" s="34"/>
      <c r="CPL215" s="34"/>
      <c r="CPM215" s="34"/>
      <c r="CPN215" s="34"/>
      <c r="CPO215" s="34"/>
      <c r="CPP215" s="34"/>
      <c r="CPQ215" s="34"/>
      <c r="CPR215" s="34"/>
      <c r="CPS215" s="34"/>
      <c r="CPT215" s="34"/>
      <c r="CPU215" s="34"/>
      <c r="CPV215" s="34"/>
      <c r="CPW215" s="34"/>
      <c r="CPX215" s="34"/>
      <c r="CPY215" s="34"/>
      <c r="CPZ215" s="34"/>
      <c r="CQA215" s="34"/>
      <c r="CQB215" s="34"/>
      <c r="CQC215" s="34"/>
      <c r="CQD215" s="34"/>
      <c r="CQE215" s="34"/>
      <c r="CQF215" s="34"/>
      <c r="CQG215" s="34"/>
      <c r="CQH215" s="34"/>
      <c r="CQI215" s="34"/>
      <c r="CQJ215" s="34"/>
      <c r="CQK215" s="34"/>
      <c r="CQL215" s="34"/>
      <c r="CQM215" s="34"/>
      <c r="CQN215" s="34"/>
      <c r="CQO215" s="34"/>
      <c r="CQP215" s="34"/>
      <c r="CQQ215" s="34"/>
      <c r="CQR215" s="34"/>
      <c r="CQS215" s="34"/>
      <c r="CQT215" s="34"/>
      <c r="CQU215" s="34"/>
      <c r="CQV215" s="34"/>
      <c r="CQW215" s="34"/>
      <c r="CQX215" s="34"/>
      <c r="CQY215" s="34"/>
      <c r="CQZ215" s="34"/>
      <c r="CRA215" s="34"/>
      <c r="CRB215" s="34"/>
      <c r="CRC215" s="34"/>
      <c r="CRD215" s="34"/>
      <c r="CRE215" s="34"/>
      <c r="CRF215" s="34"/>
      <c r="CRG215" s="34"/>
      <c r="CRH215" s="34"/>
      <c r="CRI215" s="34"/>
      <c r="CRJ215" s="34"/>
      <c r="CRK215" s="34"/>
      <c r="CRL215" s="34"/>
      <c r="CRM215" s="34"/>
      <c r="CRN215" s="34"/>
      <c r="CRO215" s="34"/>
      <c r="CRP215" s="34"/>
      <c r="CRQ215" s="34"/>
      <c r="CRR215" s="34"/>
      <c r="CRS215" s="34"/>
      <c r="CRT215" s="34"/>
      <c r="CRU215" s="34"/>
      <c r="CRV215" s="34"/>
      <c r="CRW215" s="34"/>
      <c r="CRX215" s="34"/>
      <c r="CRY215" s="34"/>
      <c r="CRZ215" s="34"/>
      <c r="CSA215" s="34"/>
      <c r="CSB215" s="34"/>
      <c r="CSC215" s="34"/>
      <c r="CSD215" s="34"/>
      <c r="CSE215" s="34"/>
      <c r="CSF215" s="34"/>
      <c r="CSG215" s="34"/>
      <c r="CSH215" s="34"/>
      <c r="CSI215" s="34"/>
      <c r="CSJ215" s="34"/>
      <c r="CSK215" s="34"/>
      <c r="CSL215" s="34"/>
      <c r="CSM215" s="34"/>
      <c r="CSN215" s="34"/>
      <c r="CSO215" s="34"/>
      <c r="CSP215" s="34"/>
      <c r="CSQ215" s="34"/>
      <c r="CSR215" s="34"/>
      <c r="CSS215" s="34"/>
      <c r="CST215" s="34"/>
      <c r="CSU215" s="34"/>
      <c r="CSV215" s="34"/>
      <c r="CSW215" s="34"/>
      <c r="CSX215" s="34"/>
      <c r="CSY215" s="34"/>
      <c r="CSZ215" s="34"/>
      <c r="CTA215" s="34"/>
      <c r="CTB215" s="34"/>
      <c r="CTC215" s="34"/>
      <c r="CTD215" s="34"/>
      <c r="CTE215" s="34"/>
      <c r="CTF215" s="34"/>
      <c r="CTG215" s="34"/>
      <c r="CTH215" s="34"/>
      <c r="CTI215" s="34"/>
      <c r="CTJ215" s="34"/>
      <c r="CTK215" s="34"/>
      <c r="CTL215" s="34"/>
      <c r="CTM215" s="34"/>
      <c r="CTN215" s="34"/>
      <c r="CTO215" s="34"/>
      <c r="CTP215" s="34"/>
      <c r="CTQ215" s="34"/>
      <c r="CTR215" s="34"/>
      <c r="CTS215" s="34"/>
      <c r="CTT215" s="34"/>
      <c r="CTU215" s="34"/>
      <c r="CTV215" s="34"/>
      <c r="CTW215" s="34"/>
      <c r="CTX215" s="34"/>
      <c r="CTY215" s="34"/>
      <c r="CTZ215" s="34"/>
      <c r="CUA215" s="34"/>
      <c r="CUB215" s="34"/>
      <c r="CUC215" s="34"/>
      <c r="CUD215" s="34"/>
      <c r="CUE215" s="34"/>
      <c r="CUF215" s="34"/>
      <c r="CUG215" s="34"/>
      <c r="CUH215" s="34"/>
      <c r="CUI215" s="34"/>
      <c r="CUJ215" s="34"/>
      <c r="CUK215" s="34"/>
      <c r="CUL215" s="34"/>
      <c r="CUM215" s="34"/>
      <c r="CUN215" s="34"/>
      <c r="CUO215" s="34"/>
      <c r="CUP215" s="34"/>
      <c r="CUQ215" s="34"/>
      <c r="CUR215" s="34"/>
      <c r="CUS215" s="34"/>
      <c r="CUT215" s="34"/>
      <c r="CUU215" s="34"/>
      <c r="CUV215" s="34"/>
      <c r="CUW215" s="34"/>
      <c r="CUX215" s="34"/>
      <c r="CUY215" s="34"/>
      <c r="CUZ215" s="34"/>
      <c r="CVA215" s="34"/>
      <c r="CVB215" s="34"/>
      <c r="CVC215" s="34"/>
      <c r="CVD215" s="34"/>
      <c r="CVE215" s="34"/>
      <c r="CVF215" s="34"/>
      <c r="CVG215" s="34"/>
      <c r="CVH215" s="34"/>
      <c r="CVI215" s="34"/>
      <c r="CVJ215" s="34"/>
      <c r="CVK215" s="34"/>
      <c r="CVL215" s="34"/>
      <c r="CVM215" s="34"/>
      <c r="CVN215" s="34"/>
      <c r="CVO215" s="34"/>
      <c r="CVP215" s="34"/>
      <c r="CVQ215" s="34"/>
      <c r="CVR215" s="34"/>
      <c r="CVS215" s="34"/>
      <c r="CVT215" s="34"/>
      <c r="CVU215" s="34"/>
      <c r="CVV215" s="34"/>
      <c r="CVW215" s="34"/>
      <c r="CVX215" s="34"/>
      <c r="CVY215" s="34"/>
      <c r="CVZ215" s="34"/>
      <c r="CWA215" s="34"/>
      <c r="CWB215" s="34"/>
      <c r="CWC215" s="34"/>
      <c r="CWD215" s="34"/>
      <c r="CWE215" s="34"/>
      <c r="CWF215" s="34"/>
      <c r="CWG215" s="34"/>
      <c r="CWH215" s="34"/>
      <c r="CWI215" s="34"/>
      <c r="CWJ215" s="34"/>
      <c r="CWK215" s="34"/>
      <c r="CWL215" s="34"/>
      <c r="CWM215" s="34"/>
      <c r="CWN215" s="34"/>
      <c r="CWO215" s="34"/>
      <c r="CWP215" s="34"/>
      <c r="CWQ215" s="34"/>
      <c r="CWR215" s="34"/>
      <c r="CWS215" s="34"/>
      <c r="CWT215" s="34"/>
      <c r="CWU215" s="34"/>
      <c r="CWV215" s="34"/>
      <c r="CWW215" s="34"/>
      <c r="CWX215" s="34"/>
      <c r="CWY215" s="34"/>
      <c r="CWZ215" s="34"/>
      <c r="CXA215" s="34"/>
      <c r="CXB215" s="34"/>
      <c r="CXC215" s="34"/>
      <c r="CXD215" s="34"/>
      <c r="CXE215" s="34"/>
      <c r="CXF215" s="34"/>
      <c r="CXG215" s="34"/>
      <c r="CXH215" s="34"/>
      <c r="CXI215" s="34"/>
      <c r="CXJ215" s="34"/>
      <c r="CXK215" s="34"/>
      <c r="CXL215" s="34"/>
      <c r="CXM215" s="34"/>
      <c r="CXN215" s="34"/>
      <c r="CXO215" s="34"/>
      <c r="CXP215" s="34"/>
      <c r="CXQ215" s="34"/>
      <c r="CXR215" s="34"/>
      <c r="CXS215" s="34"/>
      <c r="CXT215" s="34"/>
      <c r="CXU215" s="34"/>
      <c r="CXV215" s="34"/>
      <c r="CXW215" s="34"/>
      <c r="CXX215" s="34"/>
      <c r="CXY215" s="34"/>
      <c r="CXZ215" s="34"/>
      <c r="CYA215" s="34"/>
      <c r="CYB215" s="34"/>
      <c r="CYC215" s="34"/>
      <c r="CYD215" s="34"/>
      <c r="CYE215" s="34"/>
      <c r="CYF215" s="34"/>
      <c r="CYG215" s="34"/>
      <c r="CYH215" s="34"/>
      <c r="CYI215" s="34"/>
      <c r="CYJ215" s="34"/>
      <c r="CYK215" s="34"/>
      <c r="CYL215" s="34"/>
      <c r="CYM215" s="34"/>
      <c r="CYN215" s="34"/>
      <c r="CYO215" s="34"/>
      <c r="CYP215" s="34"/>
      <c r="CYQ215" s="34"/>
      <c r="CYR215" s="34"/>
      <c r="CYS215" s="34"/>
      <c r="CYT215" s="34"/>
      <c r="CYU215" s="34"/>
      <c r="CYV215" s="34"/>
      <c r="CYW215" s="34"/>
      <c r="CYX215" s="34"/>
      <c r="CYY215" s="34"/>
      <c r="CYZ215" s="34"/>
      <c r="CZA215" s="34"/>
      <c r="CZB215" s="34"/>
      <c r="CZC215" s="34"/>
      <c r="CZD215" s="34"/>
      <c r="CZE215" s="34"/>
      <c r="CZF215" s="34"/>
      <c r="CZG215" s="34"/>
      <c r="CZH215" s="34"/>
      <c r="CZI215" s="34"/>
      <c r="CZJ215" s="34"/>
      <c r="CZK215" s="34"/>
      <c r="CZL215" s="34"/>
      <c r="CZM215" s="34"/>
      <c r="CZN215" s="34"/>
      <c r="CZO215" s="34"/>
      <c r="CZP215" s="34"/>
      <c r="CZQ215" s="34"/>
      <c r="CZR215" s="34"/>
      <c r="CZS215" s="34"/>
      <c r="CZT215" s="34"/>
      <c r="CZU215" s="34"/>
      <c r="CZV215" s="34"/>
      <c r="CZW215" s="34"/>
      <c r="CZX215" s="34"/>
      <c r="CZY215" s="34"/>
      <c r="CZZ215" s="34"/>
      <c r="DAA215" s="34"/>
      <c r="DAB215" s="34"/>
      <c r="DAC215" s="34"/>
      <c r="DAD215" s="34"/>
      <c r="DAE215" s="34"/>
      <c r="DAF215" s="34"/>
      <c r="DAG215" s="34"/>
      <c r="DAH215" s="34"/>
      <c r="DAI215" s="34"/>
      <c r="DAJ215" s="34"/>
      <c r="DAK215" s="34"/>
      <c r="DAL215" s="34"/>
      <c r="DAM215" s="34"/>
      <c r="DAN215" s="34"/>
      <c r="DAO215" s="34"/>
      <c r="DAP215" s="34"/>
      <c r="DAQ215" s="34"/>
      <c r="DAR215" s="34"/>
      <c r="DAS215" s="34"/>
      <c r="DAT215" s="34"/>
      <c r="DAU215" s="34"/>
      <c r="DAV215" s="34"/>
      <c r="DAW215" s="34"/>
      <c r="DAX215" s="34"/>
      <c r="DAY215" s="34"/>
      <c r="DAZ215" s="34"/>
      <c r="DBA215" s="34"/>
      <c r="DBB215" s="34"/>
      <c r="DBC215" s="34"/>
      <c r="DBD215" s="34"/>
      <c r="DBE215" s="34"/>
      <c r="DBF215" s="34"/>
      <c r="DBG215" s="34"/>
      <c r="DBH215" s="34"/>
      <c r="DBI215" s="34"/>
      <c r="DBJ215" s="34"/>
      <c r="DBK215" s="34"/>
      <c r="DBL215" s="34"/>
      <c r="DBM215" s="34"/>
      <c r="DBN215" s="34"/>
      <c r="DBO215" s="34"/>
      <c r="DBP215" s="34"/>
      <c r="DBQ215" s="34"/>
      <c r="DBR215" s="34"/>
      <c r="DBS215" s="34"/>
      <c r="DBT215" s="34"/>
      <c r="DBU215" s="34"/>
      <c r="DBV215" s="34"/>
      <c r="DBW215" s="34"/>
      <c r="DBX215" s="34"/>
      <c r="DBY215" s="34"/>
      <c r="DBZ215" s="34"/>
      <c r="DCA215" s="34"/>
      <c r="DCB215" s="34"/>
      <c r="DCC215" s="34"/>
      <c r="DCD215" s="34"/>
      <c r="DCE215" s="34"/>
      <c r="DCF215" s="34"/>
      <c r="DCG215" s="34"/>
      <c r="DCH215" s="34"/>
      <c r="DCI215" s="34"/>
      <c r="DCJ215" s="34"/>
      <c r="DCK215" s="34"/>
      <c r="DCL215" s="34"/>
      <c r="DCM215" s="34"/>
      <c r="DCN215" s="34"/>
      <c r="DCO215" s="34"/>
      <c r="DCP215" s="34"/>
      <c r="DCQ215" s="34"/>
      <c r="DCR215" s="34"/>
      <c r="DCS215" s="34"/>
      <c r="DCT215" s="34"/>
      <c r="DCU215" s="34"/>
      <c r="DCV215" s="34"/>
      <c r="DCW215" s="34"/>
      <c r="DCX215" s="34"/>
      <c r="DCY215" s="34"/>
      <c r="DCZ215" s="34"/>
      <c r="DDA215" s="34"/>
      <c r="DDB215" s="34"/>
      <c r="DDC215" s="34"/>
      <c r="DDD215" s="34"/>
      <c r="DDE215" s="34"/>
      <c r="DDF215" s="34"/>
      <c r="DDG215" s="34"/>
      <c r="DDH215" s="34"/>
      <c r="DDI215" s="34"/>
      <c r="DDJ215" s="34"/>
      <c r="DDK215" s="34"/>
      <c r="DDL215" s="34"/>
      <c r="DDM215" s="34"/>
      <c r="DDN215" s="34"/>
      <c r="DDO215" s="34"/>
      <c r="DDP215" s="34"/>
      <c r="DDQ215" s="34"/>
      <c r="DDR215" s="34"/>
      <c r="DDS215" s="34"/>
      <c r="DDT215" s="34"/>
      <c r="DDU215" s="34"/>
      <c r="DDV215" s="34"/>
      <c r="DDW215" s="34"/>
      <c r="DDX215" s="34"/>
      <c r="DDY215" s="34"/>
      <c r="DDZ215" s="34"/>
      <c r="DEA215" s="34"/>
      <c r="DEB215" s="34"/>
      <c r="DEC215" s="34"/>
      <c r="DED215" s="34"/>
      <c r="DEE215" s="34"/>
      <c r="DEF215" s="34"/>
      <c r="DEG215" s="34"/>
      <c r="DEH215" s="34"/>
      <c r="DEI215" s="34"/>
      <c r="DEJ215" s="34"/>
      <c r="DEK215" s="34"/>
      <c r="DEL215" s="34"/>
      <c r="DEM215" s="34"/>
      <c r="DEN215" s="34"/>
      <c r="DEO215" s="34"/>
      <c r="DEP215" s="34"/>
      <c r="DEQ215" s="34"/>
      <c r="DER215" s="34"/>
      <c r="DES215" s="34"/>
      <c r="DET215" s="34"/>
      <c r="DEU215" s="34"/>
      <c r="DEV215" s="34"/>
      <c r="DEW215" s="34"/>
      <c r="DEX215" s="34"/>
      <c r="DEY215" s="34"/>
      <c r="DEZ215" s="34"/>
      <c r="DFA215" s="34"/>
      <c r="DFB215" s="34"/>
      <c r="DFC215" s="34"/>
      <c r="DFD215" s="34"/>
      <c r="DFE215" s="34"/>
      <c r="DFF215" s="34"/>
      <c r="DFG215" s="34"/>
      <c r="DFH215" s="34"/>
      <c r="DFI215" s="34"/>
      <c r="DFJ215" s="34"/>
      <c r="DFK215" s="34"/>
      <c r="DFL215" s="34"/>
      <c r="DFM215" s="34"/>
      <c r="DFN215" s="34"/>
      <c r="DFO215" s="34"/>
      <c r="DFP215" s="34"/>
      <c r="DFQ215" s="34"/>
      <c r="DFR215" s="34"/>
      <c r="DFS215" s="34"/>
      <c r="DFT215" s="34"/>
      <c r="DFU215" s="34"/>
      <c r="DFV215" s="34"/>
      <c r="DFW215" s="34"/>
      <c r="DFX215" s="34"/>
      <c r="DFY215" s="34"/>
      <c r="DFZ215" s="34"/>
      <c r="DGA215" s="34"/>
      <c r="DGB215" s="34"/>
      <c r="DGC215" s="34"/>
      <c r="DGD215" s="34"/>
      <c r="DGE215" s="34"/>
      <c r="DGF215" s="34"/>
      <c r="DGG215" s="34"/>
      <c r="DGH215" s="34"/>
      <c r="DGI215" s="34"/>
      <c r="DGJ215" s="34"/>
      <c r="DGK215" s="34"/>
      <c r="DGL215" s="34"/>
      <c r="DGM215" s="34"/>
      <c r="DGN215" s="34"/>
      <c r="DGO215" s="34"/>
      <c r="DGP215" s="34"/>
      <c r="DGQ215" s="34"/>
      <c r="DGR215" s="34"/>
      <c r="DGS215" s="34"/>
      <c r="DGT215" s="34"/>
      <c r="DGU215" s="34"/>
      <c r="DGV215" s="34"/>
      <c r="DGW215" s="34"/>
      <c r="DGX215" s="34"/>
      <c r="DGY215" s="34"/>
      <c r="DGZ215" s="34"/>
      <c r="DHA215" s="34"/>
      <c r="DHB215" s="34"/>
      <c r="DHC215" s="34"/>
      <c r="DHD215" s="34"/>
      <c r="DHE215" s="34"/>
      <c r="DHF215" s="34"/>
      <c r="DHG215" s="34"/>
      <c r="DHH215" s="34"/>
      <c r="DHI215" s="34"/>
      <c r="DHJ215" s="34"/>
      <c r="DHK215" s="34"/>
      <c r="DHL215" s="34"/>
      <c r="DHM215" s="34"/>
      <c r="DHN215" s="34"/>
      <c r="DHO215" s="34"/>
      <c r="DHP215" s="34"/>
      <c r="DHQ215" s="34"/>
      <c r="DHR215" s="34"/>
      <c r="DHS215" s="34"/>
      <c r="DHT215" s="34"/>
      <c r="DHU215" s="34"/>
      <c r="DHV215" s="34"/>
      <c r="DHW215" s="34"/>
      <c r="DHX215" s="34"/>
      <c r="DHY215" s="34"/>
      <c r="DHZ215" s="34"/>
      <c r="DIA215" s="34"/>
      <c r="DIB215" s="34"/>
      <c r="DIC215" s="34"/>
      <c r="DID215" s="34"/>
      <c r="DIE215" s="34"/>
      <c r="DIF215" s="34"/>
      <c r="DIG215" s="34"/>
      <c r="DIH215" s="34"/>
      <c r="DII215" s="34"/>
      <c r="DIJ215" s="34"/>
      <c r="DIK215" s="34"/>
      <c r="DIL215" s="34"/>
      <c r="DIM215" s="34"/>
      <c r="DIN215" s="34"/>
      <c r="DIO215" s="34"/>
      <c r="DIP215" s="34"/>
      <c r="DIQ215" s="34"/>
      <c r="DIR215" s="34"/>
      <c r="DIS215" s="34"/>
      <c r="DIT215" s="34"/>
      <c r="DIU215" s="34"/>
      <c r="DIV215" s="34"/>
      <c r="DIW215" s="34"/>
      <c r="DIX215" s="34"/>
      <c r="DIY215" s="34"/>
      <c r="DIZ215" s="34"/>
      <c r="DJA215" s="34"/>
      <c r="DJB215" s="34"/>
      <c r="DJC215" s="34"/>
      <c r="DJD215" s="34"/>
      <c r="DJE215" s="34"/>
      <c r="DJF215" s="34"/>
      <c r="DJG215" s="34"/>
      <c r="DJH215" s="34"/>
      <c r="DJI215" s="34"/>
      <c r="DJJ215" s="34"/>
      <c r="DJK215" s="34"/>
      <c r="DJL215" s="34"/>
      <c r="DJM215" s="34"/>
      <c r="DJN215" s="34"/>
      <c r="DJO215" s="34"/>
      <c r="DJP215" s="34"/>
      <c r="DJQ215" s="34"/>
      <c r="DJR215" s="34"/>
      <c r="DJS215" s="34"/>
      <c r="DJT215" s="34"/>
      <c r="DJU215" s="34"/>
      <c r="DJV215" s="34"/>
      <c r="DJW215" s="34"/>
      <c r="DJX215" s="34"/>
      <c r="DJY215" s="34"/>
      <c r="DJZ215" s="34"/>
      <c r="DKA215" s="34"/>
      <c r="DKB215" s="34"/>
      <c r="DKC215" s="34"/>
      <c r="DKD215" s="34"/>
      <c r="DKE215" s="34"/>
      <c r="DKF215" s="34"/>
      <c r="DKG215" s="34"/>
      <c r="DKH215" s="34"/>
      <c r="DKI215" s="34"/>
      <c r="DKJ215" s="34"/>
      <c r="DKK215" s="34"/>
      <c r="DKL215" s="34"/>
      <c r="DKM215" s="34"/>
      <c r="DKN215" s="34"/>
      <c r="DKO215" s="34"/>
      <c r="DKP215" s="34"/>
      <c r="DKQ215" s="34"/>
      <c r="DKR215" s="34"/>
      <c r="DKS215" s="34"/>
      <c r="DKT215" s="34"/>
      <c r="DKU215" s="34"/>
      <c r="DKV215" s="34"/>
      <c r="DKW215" s="34"/>
      <c r="DKX215" s="34"/>
      <c r="DKY215" s="34"/>
      <c r="DKZ215" s="34"/>
      <c r="DLA215" s="34"/>
      <c r="DLB215" s="34"/>
      <c r="DLC215" s="34"/>
      <c r="DLD215" s="34"/>
      <c r="DLE215" s="34"/>
      <c r="DLF215" s="34"/>
      <c r="DLG215" s="34"/>
      <c r="DLH215" s="34"/>
      <c r="DLI215" s="34"/>
      <c r="DLJ215" s="34"/>
      <c r="DLK215" s="34"/>
      <c r="DLL215" s="34"/>
      <c r="DLM215" s="34"/>
      <c r="DLN215" s="34"/>
      <c r="DLO215" s="34"/>
      <c r="DLP215" s="34"/>
      <c r="DLQ215" s="34"/>
      <c r="DLR215" s="34"/>
      <c r="DLS215" s="34"/>
      <c r="DLT215" s="34"/>
      <c r="DLU215" s="34"/>
      <c r="DLV215" s="34"/>
      <c r="DLW215" s="34"/>
      <c r="DLX215" s="34"/>
      <c r="DLY215" s="34"/>
      <c r="DLZ215" s="34"/>
      <c r="DMA215" s="34"/>
      <c r="DMB215" s="34"/>
      <c r="DMC215" s="34"/>
      <c r="DMD215" s="34"/>
      <c r="DME215" s="34"/>
      <c r="DMF215" s="34"/>
      <c r="DMG215" s="34"/>
      <c r="DMH215" s="34"/>
      <c r="DMI215" s="34"/>
      <c r="DMJ215" s="34"/>
      <c r="DMK215" s="34"/>
      <c r="DML215" s="34"/>
      <c r="DMM215" s="34"/>
      <c r="DMN215" s="34"/>
      <c r="DMO215" s="34"/>
      <c r="DMP215" s="34"/>
      <c r="DMQ215" s="34"/>
      <c r="DMR215" s="34"/>
      <c r="DMS215" s="34"/>
      <c r="DMT215" s="34"/>
      <c r="DMU215" s="34"/>
      <c r="DMV215" s="34"/>
      <c r="DMW215" s="34"/>
      <c r="DMX215" s="34"/>
      <c r="DMY215" s="34"/>
      <c r="DMZ215" s="34"/>
      <c r="DNA215" s="34"/>
      <c r="DNB215" s="34"/>
      <c r="DNC215" s="34"/>
      <c r="DND215" s="34"/>
      <c r="DNE215" s="34"/>
      <c r="DNF215" s="34"/>
      <c r="DNG215" s="34"/>
      <c r="DNH215" s="34"/>
      <c r="DNI215" s="34"/>
      <c r="DNJ215" s="34"/>
      <c r="DNK215" s="34"/>
      <c r="DNL215" s="34"/>
      <c r="DNM215" s="34"/>
      <c r="DNN215" s="34"/>
      <c r="DNO215" s="34"/>
      <c r="DNP215" s="34"/>
      <c r="DNQ215" s="34"/>
      <c r="DNR215" s="34"/>
      <c r="DNS215" s="34"/>
      <c r="DNT215" s="34"/>
      <c r="DNU215" s="34"/>
      <c r="DNV215" s="34"/>
      <c r="DNW215" s="34"/>
      <c r="DNX215" s="34"/>
      <c r="DNY215" s="34"/>
      <c r="DNZ215" s="34"/>
      <c r="DOA215" s="34"/>
      <c r="DOB215" s="34"/>
      <c r="DOC215" s="34"/>
      <c r="DOD215" s="34"/>
      <c r="DOE215" s="34"/>
      <c r="DOF215" s="34"/>
      <c r="DOG215" s="34"/>
      <c r="DOH215" s="34"/>
      <c r="DOI215" s="34"/>
      <c r="DOJ215" s="34"/>
      <c r="DOK215" s="34"/>
      <c r="DOL215" s="34"/>
      <c r="DOM215" s="34"/>
      <c r="DON215" s="34"/>
      <c r="DOO215" s="34"/>
      <c r="DOP215" s="34"/>
      <c r="DOQ215" s="34"/>
      <c r="DOR215" s="34"/>
      <c r="DOS215" s="34"/>
      <c r="DOT215" s="34"/>
      <c r="DOU215" s="34"/>
      <c r="DOV215" s="34"/>
      <c r="DOW215" s="34"/>
      <c r="DOX215" s="34"/>
      <c r="DOY215" s="34"/>
      <c r="DOZ215" s="34"/>
      <c r="DPA215" s="34"/>
      <c r="DPB215" s="34"/>
      <c r="DPC215" s="34"/>
      <c r="DPD215" s="34"/>
      <c r="DPE215" s="34"/>
      <c r="DPF215" s="34"/>
      <c r="DPG215" s="34"/>
      <c r="DPH215" s="34"/>
      <c r="DPI215" s="34"/>
      <c r="DPJ215" s="34"/>
      <c r="DPK215" s="34"/>
      <c r="DPL215" s="34"/>
      <c r="DPM215" s="34"/>
      <c r="DPN215" s="34"/>
      <c r="DPO215" s="34"/>
      <c r="DPP215" s="34"/>
      <c r="DPQ215" s="34"/>
      <c r="DPR215" s="34"/>
      <c r="DPS215" s="34"/>
      <c r="DPT215" s="34"/>
      <c r="DPU215" s="34"/>
      <c r="DPV215" s="34"/>
      <c r="DPW215" s="34"/>
      <c r="DPX215" s="34"/>
      <c r="DPY215" s="34"/>
      <c r="DPZ215" s="34"/>
      <c r="DQA215" s="34"/>
      <c r="DQB215" s="34"/>
      <c r="DQC215" s="34"/>
      <c r="DQD215" s="34"/>
      <c r="DQE215" s="34"/>
      <c r="DQF215" s="34"/>
      <c r="DQG215" s="34"/>
      <c r="DQH215" s="34"/>
      <c r="DQI215" s="34"/>
      <c r="DQJ215" s="34"/>
      <c r="DQK215" s="34"/>
      <c r="DQL215" s="34"/>
      <c r="DQM215" s="34"/>
      <c r="DQN215" s="34"/>
      <c r="DQO215" s="34"/>
      <c r="DQP215" s="34"/>
      <c r="DQQ215" s="34"/>
      <c r="DQR215" s="34"/>
      <c r="DQS215" s="34"/>
      <c r="DQT215" s="34"/>
      <c r="DQU215" s="34"/>
      <c r="DQV215" s="34"/>
      <c r="DQW215" s="34"/>
      <c r="DQX215" s="34"/>
      <c r="DQY215" s="34"/>
      <c r="DQZ215" s="34"/>
      <c r="DRA215" s="34"/>
      <c r="DRB215" s="34"/>
      <c r="DRC215" s="34"/>
      <c r="DRD215" s="34"/>
      <c r="DRE215" s="34"/>
      <c r="DRF215" s="34"/>
      <c r="DRG215" s="34"/>
      <c r="DRH215" s="34"/>
      <c r="DRI215" s="34"/>
      <c r="DRJ215" s="34"/>
      <c r="DRK215" s="34"/>
      <c r="DRL215" s="34"/>
      <c r="DRM215" s="34"/>
      <c r="DRN215" s="34"/>
      <c r="DRO215" s="34"/>
      <c r="DRP215" s="34"/>
      <c r="DRQ215" s="34"/>
      <c r="DRR215" s="34"/>
      <c r="DRS215" s="34"/>
      <c r="DRT215" s="34"/>
      <c r="DRU215" s="34"/>
      <c r="DRV215" s="34"/>
      <c r="DRW215" s="34"/>
      <c r="DRX215" s="34"/>
      <c r="DRY215" s="34"/>
      <c r="DRZ215" s="34"/>
      <c r="DSA215" s="34"/>
      <c r="DSB215" s="34"/>
      <c r="DSC215" s="34"/>
      <c r="DSD215" s="34"/>
      <c r="DSE215" s="34"/>
      <c r="DSF215" s="34"/>
      <c r="DSG215" s="34"/>
      <c r="DSH215" s="34"/>
      <c r="DSI215" s="34"/>
      <c r="DSJ215" s="34"/>
      <c r="DSK215" s="34"/>
      <c r="DSL215" s="34"/>
      <c r="DSM215" s="34"/>
      <c r="DSN215" s="34"/>
      <c r="DSO215" s="34"/>
      <c r="DSP215" s="34"/>
      <c r="DSQ215" s="34"/>
      <c r="DSR215" s="34"/>
      <c r="DSS215" s="34"/>
      <c r="DST215" s="34"/>
      <c r="DSU215" s="34"/>
      <c r="DSV215" s="34"/>
      <c r="DSW215" s="34"/>
      <c r="DSX215" s="34"/>
      <c r="DSY215" s="34"/>
      <c r="DSZ215" s="34"/>
      <c r="DTA215" s="34"/>
      <c r="DTB215" s="34"/>
      <c r="DTC215" s="34"/>
      <c r="DTD215" s="34"/>
      <c r="DTE215" s="34"/>
      <c r="DTF215" s="34"/>
      <c r="DTG215" s="34"/>
      <c r="DTH215" s="34"/>
      <c r="DTI215" s="34"/>
      <c r="DTJ215" s="34"/>
      <c r="DTK215" s="34"/>
      <c r="DTL215" s="34"/>
      <c r="DTM215" s="34"/>
      <c r="DTN215" s="34"/>
      <c r="DTO215" s="34"/>
      <c r="DTP215" s="34"/>
      <c r="DTQ215" s="34"/>
      <c r="DTR215" s="34"/>
      <c r="DTS215" s="34"/>
      <c r="DTT215" s="34"/>
      <c r="DTU215" s="34"/>
      <c r="DTV215" s="34"/>
      <c r="DTW215" s="34"/>
      <c r="DTX215" s="34"/>
      <c r="DTY215" s="34"/>
      <c r="DTZ215" s="34"/>
      <c r="DUA215" s="34"/>
      <c r="DUB215" s="34"/>
      <c r="DUC215" s="34"/>
      <c r="DUD215" s="34"/>
      <c r="DUE215" s="34"/>
      <c r="DUF215" s="34"/>
      <c r="DUG215" s="34"/>
      <c r="DUH215" s="34"/>
      <c r="DUI215" s="34"/>
      <c r="DUJ215" s="34"/>
      <c r="DUK215" s="34"/>
      <c r="DUL215" s="34"/>
      <c r="DUM215" s="34"/>
      <c r="DUN215" s="34"/>
      <c r="DUO215" s="34"/>
      <c r="DUP215" s="34"/>
      <c r="DUQ215" s="34"/>
      <c r="DUR215" s="34"/>
      <c r="DUS215" s="34"/>
      <c r="DUT215" s="34"/>
      <c r="DUU215" s="34"/>
      <c r="DUV215" s="34"/>
      <c r="DUW215" s="34"/>
      <c r="DUX215" s="34"/>
      <c r="DUY215" s="34"/>
      <c r="DUZ215" s="34"/>
      <c r="DVA215" s="34"/>
      <c r="DVB215" s="34"/>
      <c r="DVC215" s="34"/>
      <c r="DVD215" s="34"/>
      <c r="DVE215" s="34"/>
      <c r="DVF215" s="34"/>
      <c r="DVG215" s="34"/>
      <c r="DVH215" s="34"/>
      <c r="DVI215" s="34"/>
      <c r="DVJ215" s="34"/>
      <c r="DVK215" s="34"/>
      <c r="DVL215" s="34"/>
      <c r="DVM215" s="34"/>
      <c r="DVN215" s="34"/>
      <c r="DVO215" s="34"/>
      <c r="DVP215" s="34"/>
      <c r="DVQ215" s="34"/>
      <c r="DVR215" s="34"/>
      <c r="DVS215" s="34"/>
      <c r="DVT215" s="34"/>
      <c r="DVU215" s="34"/>
      <c r="DVV215" s="34"/>
      <c r="DVW215" s="34"/>
      <c r="DVX215" s="34"/>
      <c r="DVY215" s="34"/>
      <c r="DVZ215" s="34"/>
      <c r="DWA215" s="34"/>
      <c r="DWB215" s="34"/>
      <c r="DWC215" s="34"/>
      <c r="DWD215" s="34"/>
      <c r="DWE215" s="34"/>
      <c r="DWF215" s="34"/>
      <c r="DWG215" s="34"/>
      <c r="DWH215" s="34"/>
      <c r="DWI215" s="34"/>
      <c r="DWJ215" s="34"/>
      <c r="DWK215" s="34"/>
      <c r="DWL215" s="34"/>
      <c r="DWM215" s="34"/>
      <c r="DWN215" s="34"/>
      <c r="DWO215" s="34"/>
      <c r="DWP215" s="34"/>
      <c r="DWQ215" s="34"/>
      <c r="DWR215" s="34"/>
      <c r="DWS215" s="34"/>
      <c r="DWT215" s="34"/>
      <c r="DWU215" s="34"/>
      <c r="DWV215" s="34"/>
      <c r="DWW215" s="34"/>
      <c r="DWX215" s="34"/>
      <c r="DWY215" s="34"/>
      <c r="DWZ215" s="34"/>
      <c r="DXA215" s="34"/>
      <c r="DXB215" s="34"/>
      <c r="DXC215" s="34"/>
      <c r="DXD215" s="34"/>
      <c r="DXE215" s="34"/>
      <c r="DXF215" s="34"/>
      <c r="DXG215" s="34"/>
      <c r="DXH215" s="34"/>
      <c r="DXI215" s="34"/>
      <c r="DXJ215" s="34"/>
      <c r="DXK215" s="34"/>
      <c r="DXL215" s="34"/>
      <c r="DXM215" s="34"/>
      <c r="DXN215" s="34"/>
      <c r="DXO215" s="34"/>
      <c r="DXP215" s="34"/>
      <c r="DXQ215" s="34"/>
      <c r="DXR215" s="34"/>
      <c r="DXS215" s="34"/>
      <c r="DXT215" s="34"/>
      <c r="DXU215" s="34"/>
      <c r="DXV215" s="34"/>
      <c r="DXW215" s="34"/>
      <c r="DXX215" s="34"/>
      <c r="DXY215" s="34"/>
      <c r="DXZ215" s="34"/>
      <c r="DYA215" s="34"/>
      <c r="DYB215" s="34"/>
      <c r="DYC215" s="34"/>
      <c r="DYD215" s="34"/>
      <c r="DYE215" s="34"/>
      <c r="DYF215" s="34"/>
      <c r="DYG215" s="34"/>
      <c r="DYH215" s="34"/>
      <c r="DYI215" s="34"/>
      <c r="DYJ215" s="34"/>
      <c r="DYK215" s="34"/>
      <c r="DYL215" s="34"/>
      <c r="DYM215" s="34"/>
      <c r="DYN215" s="34"/>
      <c r="DYO215" s="34"/>
      <c r="DYP215" s="34"/>
      <c r="DYQ215" s="34"/>
      <c r="DYR215" s="34"/>
      <c r="DYS215" s="34"/>
      <c r="DYT215" s="34"/>
      <c r="DYU215" s="34"/>
      <c r="DYV215" s="34"/>
      <c r="DYW215" s="34"/>
      <c r="DYX215" s="34"/>
      <c r="DYY215" s="34"/>
      <c r="DYZ215" s="34"/>
      <c r="DZA215" s="34"/>
      <c r="DZB215" s="34"/>
      <c r="DZC215" s="34"/>
      <c r="DZD215" s="34"/>
      <c r="DZE215" s="34"/>
      <c r="DZF215" s="34"/>
      <c r="DZG215" s="34"/>
      <c r="DZH215" s="34"/>
      <c r="DZI215" s="34"/>
      <c r="DZJ215" s="34"/>
      <c r="DZK215" s="34"/>
      <c r="DZL215" s="34"/>
      <c r="DZM215" s="34"/>
      <c r="DZN215" s="34"/>
      <c r="DZO215" s="34"/>
      <c r="DZP215" s="34"/>
      <c r="DZQ215" s="34"/>
      <c r="DZR215" s="34"/>
      <c r="DZS215" s="34"/>
      <c r="DZT215" s="34"/>
      <c r="DZU215" s="34"/>
      <c r="DZV215" s="34"/>
      <c r="DZW215" s="34"/>
      <c r="DZX215" s="34"/>
      <c r="DZY215" s="34"/>
      <c r="DZZ215" s="34"/>
      <c r="EAA215" s="34"/>
      <c r="EAB215" s="34"/>
      <c r="EAC215" s="34"/>
      <c r="EAD215" s="34"/>
      <c r="EAE215" s="34"/>
      <c r="EAF215" s="34"/>
      <c r="EAG215" s="34"/>
      <c r="EAH215" s="34"/>
      <c r="EAI215" s="34"/>
      <c r="EAJ215" s="34"/>
      <c r="EAK215" s="34"/>
      <c r="EAL215" s="34"/>
      <c r="EAM215" s="34"/>
      <c r="EAN215" s="34"/>
      <c r="EAO215" s="34"/>
      <c r="EAP215" s="34"/>
      <c r="EAQ215" s="34"/>
      <c r="EAR215" s="34"/>
      <c r="EAS215" s="34"/>
      <c r="EAT215" s="34"/>
      <c r="EAU215" s="34"/>
      <c r="EAV215" s="34"/>
      <c r="EAW215" s="34"/>
      <c r="EAX215" s="34"/>
      <c r="EAY215" s="34"/>
      <c r="EAZ215" s="34"/>
      <c r="EBA215" s="34"/>
      <c r="EBB215" s="34"/>
      <c r="EBC215" s="34"/>
      <c r="EBD215" s="34"/>
      <c r="EBE215" s="34"/>
      <c r="EBF215" s="34"/>
      <c r="EBG215" s="34"/>
      <c r="EBH215" s="34"/>
      <c r="EBI215" s="34"/>
      <c r="EBJ215" s="34"/>
      <c r="EBK215" s="34"/>
      <c r="EBL215" s="34"/>
      <c r="EBM215" s="34"/>
      <c r="EBN215" s="34"/>
      <c r="EBO215" s="34"/>
      <c r="EBP215" s="34"/>
      <c r="EBQ215" s="34"/>
      <c r="EBR215" s="34"/>
      <c r="EBS215" s="34"/>
      <c r="EBT215" s="34"/>
      <c r="EBU215" s="34"/>
      <c r="EBV215" s="34"/>
      <c r="EBW215" s="34"/>
      <c r="EBX215" s="34"/>
      <c r="EBY215" s="34"/>
      <c r="EBZ215" s="34"/>
      <c r="ECA215" s="34"/>
      <c r="ECB215" s="34"/>
      <c r="ECC215" s="34"/>
      <c r="ECD215" s="34"/>
      <c r="ECE215" s="34"/>
      <c r="ECF215" s="34"/>
      <c r="ECG215" s="34"/>
      <c r="ECH215" s="34"/>
      <c r="ECI215" s="34"/>
      <c r="ECJ215" s="34"/>
      <c r="ECK215" s="34"/>
      <c r="ECL215" s="34"/>
      <c r="ECM215" s="34"/>
      <c r="ECN215" s="34"/>
      <c r="ECO215" s="34"/>
      <c r="ECP215" s="34"/>
      <c r="ECQ215" s="34"/>
      <c r="ECR215" s="34"/>
      <c r="ECS215" s="34"/>
      <c r="ECT215" s="34"/>
      <c r="ECU215" s="34"/>
      <c r="ECV215" s="34"/>
      <c r="ECW215" s="34"/>
      <c r="ECX215" s="34"/>
      <c r="ECY215" s="34"/>
      <c r="ECZ215" s="34"/>
      <c r="EDA215" s="34"/>
      <c r="EDB215" s="34"/>
      <c r="EDC215" s="34"/>
      <c r="EDD215" s="34"/>
      <c r="EDE215" s="34"/>
      <c r="EDF215" s="34"/>
      <c r="EDG215" s="34"/>
      <c r="EDH215" s="34"/>
      <c r="EDI215" s="34"/>
      <c r="EDJ215" s="34"/>
      <c r="EDK215" s="34"/>
      <c r="EDL215" s="34"/>
      <c r="EDM215" s="34"/>
      <c r="EDN215" s="34"/>
      <c r="EDO215" s="34"/>
      <c r="EDP215" s="34"/>
      <c r="EDQ215" s="34"/>
      <c r="EDR215" s="34"/>
      <c r="EDS215" s="34"/>
      <c r="EDT215" s="34"/>
      <c r="EDU215" s="34"/>
      <c r="EDV215" s="34"/>
      <c r="EDW215" s="34"/>
      <c r="EDX215" s="34"/>
      <c r="EDY215" s="34"/>
      <c r="EDZ215" s="34"/>
      <c r="EEA215" s="34"/>
      <c r="EEB215" s="34"/>
      <c r="EEC215" s="34"/>
      <c r="EED215" s="34"/>
      <c r="EEE215" s="34"/>
      <c r="EEF215" s="34"/>
      <c r="EEG215" s="34"/>
      <c r="EEH215" s="34"/>
      <c r="EEI215" s="34"/>
      <c r="EEJ215" s="34"/>
      <c r="EEK215" s="34"/>
      <c r="EEL215" s="34"/>
      <c r="EEM215" s="34"/>
      <c r="EEN215" s="34"/>
      <c r="EEO215" s="34"/>
      <c r="EEP215" s="34"/>
      <c r="EEQ215" s="34"/>
      <c r="EER215" s="34"/>
      <c r="EES215" s="34"/>
      <c r="EET215" s="34"/>
      <c r="EEU215" s="34"/>
      <c r="EEV215" s="34"/>
      <c r="EEW215" s="34"/>
      <c r="EEX215" s="34"/>
      <c r="EEY215" s="34"/>
      <c r="EEZ215" s="34"/>
      <c r="EFA215" s="34"/>
      <c r="EFB215" s="34"/>
      <c r="EFC215" s="34"/>
      <c r="EFD215" s="34"/>
      <c r="EFE215" s="34"/>
      <c r="EFF215" s="34"/>
      <c r="EFG215" s="34"/>
      <c r="EFH215" s="34"/>
      <c r="EFI215" s="34"/>
      <c r="EFJ215" s="34"/>
      <c r="EFK215" s="34"/>
      <c r="EFL215" s="34"/>
      <c r="EFM215" s="34"/>
      <c r="EFN215" s="34"/>
      <c r="EFO215" s="34"/>
      <c r="EFP215" s="34"/>
      <c r="EFQ215" s="34"/>
      <c r="EFR215" s="34"/>
      <c r="EFS215" s="34"/>
      <c r="EFT215" s="34"/>
      <c r="EFU215" s="34"/>
      <c r="EFV215" s="34"/>
      <c r="EFW215" s="34"/>
      <c r="EFX215" s="34"/>
      <c r="EFY215" s="34"/>
      <c r="EFZ215" s="34"/>
      <c r="EGA215" s="34"/>
      <c r="EGB215" s="34"/>
      <c r="EGC215" s="34"/>
      <c r="EGD215" s="34"/>
      <c r="EGE215" s="34"/>
      <c r="EGF215" s="34"/>
      <c r="EGG215" s="34"/>
      <c r="EGH215" s="34"/>
      <c r="EGI215" s="34"/>
      <c r="EGJ215" s="34"/>
      <c r="EGK215" s="34"/>
      <c r="EGL215" s="34"/>
      <c r="EGM215" s="34"/>
      <c r="EGN215" s="34"/>
      <c r="EGO215" s="34"/>
      <c r="EGP215" s="34"/>
      <c r="EGQ215" s="34"/>
      <c r="EGR215" s="34"/>
      <c r="EGS215" s="34"/>
      <c r="EGT215" s="34"/>
      <c r="EGU215" s="34"/>
      <c r="EGV215" s="34"/>
      <c r="EGW215" s="34"/>
      <c r="EGX215" s="34"/>
      <c r="EGY215" s="34"/>
      <c r="EGZ215" s="34"/>
      <c r="EHA215" s="34"/>
      <c r="EHB215" s="34"/>
      <c r="EHC215" s="34"/>
      <c r="EHD215" s="34"/>
      <c r="EHE215" s="34"/>
      <c r="EHF215" s="34"/>
      <c r="EHG215" s="34"/>
      <c r="EHH215" s="34"/>
      <c r="EHI215" s="34"/>
      <c r="EHJ215" s="34"/>
      <c r="EHK215" s="34"/>
      <c r="EHL215" s="34"/>
      <c r="EHM215" s="34"/>
      <c r="EHN215" s="34"/>
      <c r="EHO215" s="34"/>
      <c r="EHP215" s="34"/>
      <c r="EHQ215" s="34"/>
      <c r="EHR215" s="34"/>
      <c r="EHS215" s="34"/>
      <c r="EHT215" s="34"/>
      <c r="EHU215" s="34"/>
      <c r="EHV215" s="34"/>
      <c r="EHW215" s="34"/>
      <c r="EHX215" s="34"/>
      <c r="EHY215" s="34"/>
      <c r="EHZ215" s="34"/>
      <c r="EIA215" s="34"/>
      <c r="EIB215" s="34"/>
      <c r="EIC215" s="34"/>
      <c r="EID215" s="34"/>
      <c r="EIE215" s="34"/>
      <c r="EIF215" s="34"/>
      <c r="EIG215" s="34"/>
      <c r="EIH215" s="34"/>
      <c r="EII215" s="34"/>
      <c r="EIJ215" s="34"/>
      <c r="EIK215" s="34"/>
      <c r="EIL215" s="34"/>
      <c r="EIM215" s="34"/>
      <c r="EIN215" s="34"/>
      <c r="EIO215" s="34"/>
      <c r="EIP215" s="34"/>
      <c r="EIQ215" s="34"/>
      <c r="EIR215" s="34"/>
      <c r="EIS215" s="34"/>
      <c r="EIT215" s="34"/>
      <c r="EIU215" s="34"/>
      <c r="EIV215" s="34"/>
      <c r="EIW215" s="34"/>
      <c r="EIX215" s="34"/>
      <c r="EIY215" s="34"/>
      <c r="EIZ215" s="34"/>
      <c r="EJA215" s="34"/>
      <c r="EJB215" s="34"/>
      <c r="EJC215" s="34"/>
      <c r="EJD215" s="34"/>
      <c r="EJE215" s="34"/>
      <c r="EJF215" s="34"/>
      <c r="EJG215" s="34"/>
      <c r="EJH215" s="34"/>
      <c r="EJI215" s="34"/>
      <c r="EJJ215" s="34"/>
      <c r="EJK215" s="34"/>
      <c r="EJL215" s="34"/>
      <c r="EJM215" s="34"/>
      <c r="EJN215" s="34"/>
      <c r="EJO215" s="34"/>
      <c r="EJP215" s="34"/>
      <c r="EJQ215" s="34"/>
      <c r="EJR215" s="34"/>
      <c r="EJS215" s="34"/>
      <c r="EJT215" s="34"/>
      <c r="EJU215" s="34"/>
      <c r="EJV215" s="34"/>
      <c r="EJW215" s="34"/>
      <c r="EJX215" s="34"/>
      <c r="EJY215" s="34"/>
      <c r="EJZ215" s="34"/>
      <c r="EKA215" s="34"/>
      <c r="EKB215" s="34"/>
      <c r="EKC215" s="34"/>
      <c r="EKD215" s="34"/>
      <c r="EKE215" s="34"/>
      <c r="EKF215" s="34"/>
      <c r="EKG215" s="34"/>
      <c r="EKH215" s="34"/>
      <c r="EKI215" s="34"/>
      <c r="EKJ215" s="34"/>
      <c r="EKK215" s="34"/>
      <c r="EKL215" s="34"/>
      <c r="EKM215" s="34"/>
      <c r="EKN215" s="34"/>
      <c r="EKO215" s="34"/>
      <c r="EKP215" s="34"/>
      <c r="EKQ215" s="34"/>
      <c r="EKR215" s="34"/>
      <c r="EKS215" s="34"/>
      <c r="EKT215" s="34"/>
      <c r="EKU215" s="34"/>
      <c r="EKV215" s="34"/>
      <c r="EKW215" s="34"/>
      <c r="EKX215" s="34"/>
      <c r="EKY215" s="34"/>
      <c r="EKZ215" s="34"/>
      <c r="ELA215" s="34"/>
      <c r="ELB215" s="34"/>
      <c r="ELC215" s="34"/>
      <c r="ELD215" s="34"/>
      <c r="ELE215" s="34"/>
      <c r="ELF215" s="34"/>
      <c r="ELG215" s="34"/>
      <c r="ELH215" s="34"/>
      <c r="ELI215" s="34"/>
      <c r="ELJ215" s="34"/>
      <c r="ELK215" s="34"/>
      <c r="ELL215" s="34"/>
      <c r="ELM215" s="34"/>
      <c r="ELN215" s="34"/>
      <c r="ELO215" s="34"/>
      <c r="ELP215" s="34"/>
      <c r="ELQ215" s="34"/>
      <c r="ELR215" s="34"/>
      <c r="ELS215" s="34"/>
      <c r="ELT215" s="34"/>
      <c r="ELU215" s="34"/>
      <c r="ELV215" s="34"/>
      <c r="ELW215" s="34"/>
      <c r="ELX215" s="34"/>
      <c r="ELY215" s="34"/>
      <c r="ELZ215" s="34"/>
      <c r="EMA215" s="34"/>
      <c r="EMB215" s="34"/>
      <c r="EMC215" s="34"/>
      <c r="EMD215" s="34"/>
      <c r="EME215" s="34"/>
      <c r="EMF215" s="34"/>
      <c r="EMG215" s="34"/>
      <c r="EMH215" s="34"/>
      <c r="EMI215" s="34"/>
      <c r="EMJ215" s="34"/>
      <c r="EMK215" s="34"/>
      <c r="EML215" s="34"/>
      <c r="EMM215" s="34"/>
      <c r="EMN215" s="34"/>
      <c r="EMO215" s="34"/>
      <c r="EMP215" s="34"/>
      <c r="EMQ215" s="34"/>
      <c r="EMR215" s="34"/>
      <c r="EMS215" s="34"/>
      <c r="EMT215" s="34"/>
      <c r="EMU215" s="34"/>
      <c r="EMV215" s="34"/>
      <c r="EMW215" s="34"/>
      <c r="EMX215" s="34"/>
      <c r="EMY215" s="34"/>
      <c r="EMZ215" s="34"/>
      <c r="ENA215" s="34"/>
      <c r="ENB215" s="34"/>
      <c r="ENC215" s="34"/>
      <c r="END215" s="34"/>
      <c r="ENE215" s="34"/>
      <c r="ENF215" s="34"/>
      <c r="ENG215" s="34"/>
      <c r="ENH215" s="34"/>
      <c r="ENI215" s="34"/>
      <c r="ENJ215" s="34"/>
      <c r="ENK215" s="34"/>
      <c r="ENL215" s="34"/>
      <c r="ENM215" s="34"/>
      <c r="ENN215" s="34"/>
      <c r="ENO215" s="34"/>
      <c r="ENP215" s="34"/>
      <c r="ENQ215" s="34"/>
      <c r="ENR215" s="34"/>
      <c r="ENS215" s="34"/>
      <c r="ENT215" s="34"/>
      <c r="ENU215" s="34"/>
      <c r="ENV215" s="34"/>
      <c r="ENW215" s="34"/>
      <c r="ENX215" s="34"/>
      <c r="ENY215" s="34"/>
      <c r="ENZ215" s="34"/>
      <c r="EOA215" s="34"/>
      <c r="EOB215" s="34"/>
      <c r="EOC215" s="34"/>
      <c r="EOD215" s="34"/>
      <c r="EOE215" s="34"/>
      <c r="EOF215" s="34"/>
      <c r="EOG215" s="34"/>
      <c r="EOH215" s="34"/>
      <c r="EOI215" s="34"/>
      <c r="EOJ215" s="34"/>
      <c r="EOK215" s="34"/>
      <c r="EOL215" s="34"/>
      <c r="EOM215" s="34"/>
      <c r="EON215" s="34"/>
      <c r="EOO215" s="34"/>
      <c r="EOP215" s="34"/>
      <c r="EOQ215" s="34"/>
      <c r="EOR215" s="34"/>
      <c r="EOS215" s="34"/>
      <c r="EOT215" s="34"/>
      <c r="EOU215" s="34"/>
      <c r="EOV215" s="34"/>
      <c r="EOW215" s="34"/>
      <c r="EOX215" s="34"/>
      <c r="EOY215" s="34"/>
      <c r="EOZ215" s="34"/>
      <c r="EPA215" s="34"/>
      <c r="EPB215" s="34"/>
      <c r="EPC215" s="34"/>
      <c r="EPD215" s="34"/>
      <c r="EPE215" s="34"/>
      <c r="EPF215" s="34"/>
      <c r="EPG215" s="34"/>
      <c r="EPH215" s="34"/>
      <c r="EPI215" s="34"/>
      <c r="EPJ215" s="34"/>
      <c r="EPK215" s="34"/>
      <c r="EPL215" s="34"/>
      <c r="EPM215" s="34"/>
      <c r="EPN215" s="34"/>
      <c r="EPO215" s="34"/>
      <c r="EPP215" s="34"/>
      <c r="EPQ215" s="34"/>
      <c r="EPR215" s="34"/>
      <c r="EPS215" s="34"/>
      <c r="EPT215" s="34"/>
      <c r="EPU215" s="34"/>
      <c r="EPV215" s="34"/>
      <c r="EPW215" s="34"/>
      <c r="EPX215" s="34"/>
      <c r="EPY215" s="34"/>
      <c r="EPZ215" s="34"/>
      <c r="EQA215" s="34"/>
      <c r="EQB215" s="34"/>
      <c r="EQC215" s="34"/>
      <c r="EQD215" s="34"/>
      <c r="EQE215" s="34"/>
      <c r="EQF215" s="34"/>
      <c r="EQG215" s="34"/>
      <c r="EQH215" s="34"/>
      <c r="EQI215" s="34"/>
      <c r="EQJ215" s="34"/>
      <c r="EQK215" s="34"/>
      <c r="EQL215" s="34"/>
      <c r="EQM215" s="34"/>
      <c r="EQN215" s="34"/>
      <c r="EQO215" s="34"/>
      <c r="EQP215" s="34"/>
      <c r="EQQ215" s="34"/>
      <c r="EQR215" s="34"/>
      <c r="EQS215" s="34"/>
      <c r="EQT215" s="34"/>
      <c r="EQU215" s="34"/>
      <c r="EQV215" s="34"/>
      <c r="EQW215" s="34"/>
      <c r="EQX215" s="34"/>
      <c r="EQY215" s="34"/>
      <c r="EQZ215" s="34"/>
      <c r="ERA215" s="34"/>
      <c r="ERB215" s="34"/>
      <c r="ERC215" s="34"/>
      <c r="ERD215" s="34"/>
      <c r="ERE215" s="34"/>
      <c r="ERF215" s="34"/>
      <c r="ERG215" s="34"/>
      <c r="ERH215" s="34"/>
      <c r="ERI215" s="34"/>
      <c r="ERJ215" s="34"/>
      <c r="ERK215" s="34"/>
      <c r="ERL215" s="34"/>
      <c r="ERM215" s="34"/>
      <c r="ERN215" s="34"/>
      <c r="ERO215" s="34"/>
      <c r="ERP215" s="34"/>
      <c r="ERQ215" s="34"/>
      <c r="ERR215" s="34"/>
      <c r="ERS215" s="34"/>
      <c r="ERT215" s="34"/>
      <c r="ERU215" s="34"/>
      <c r="ERV215" s="34"/>
      <c r="ERW215" s="34"/>
      <c r="ERX215" s="34"/>
      <c r="ERY215" s="34"/>
      <c r="ERZ215" s="34"/>
      <c r="ESA215" s="34"/>
      <c r="ESB215" s="34"/>
      <c r="ESC215" s="34"/>
      <c r="ESD215" s="34"/>
      <c r="ESE215" s="34"/>
      <c r="ESF215" s="34"/>
      <c r="ESG215" s="34"/>
      <c r="ESH215" s="34"/>
      <c r="ESI215" s="34"/>
      <c r="ESJ215" s="34"/>
      <c r="ESK215" s="34"/>
      <c r="ESL215" s="34"/>
      <c r="ESM215" s="34"/>
      <c r="ESN215" s="34"/>
      <c r="ESO215" s="34"/>
      <c r="ESP215" s="34"/>
      <c r="ESQ215" s="34"/>
      <c r="ESR215" s="34"/>
      <c r="ESS215" s="34"/>
      <c r="EST215" s="34"/>
      <c r="ESU215" s="34"/>
      <c r="ESV215" s="34"/>
      <c r="ESW215" s="34"/>
      <c r="ESX215" s="34"/>
      <c r="ESY215" s="34"/>
      <c r="ESZ215" s="34"/>
      <c r="ETA215" s="34"/>
      <c r="ETB215" s="34"/>
      <c r="ETC215" s="34"/>
      <c r="ETD215" s="34"/>
      <c r="ETE215" s="34"/>
      <c r="ETF215" s="34"/>
      <c r="ETG215" s="34"/>
      <c r="ETH215" s="34"/>
      <c r="ETI215" s="34"/>
      <c r="ETJ215" s="34"/>
      <c r="ETK215" s="34"/>
      <c r="ETL215" s="34"/>
      <c r="ETM215" s="34"/>
      <c r="ETN215" s="34"/>
      <c r="ETO215" s="34"/>
      <c r="ETP215" s="34"/>
      <c r="ETQ215" s="34"/>
      <c r="ETR215" s="34"/>
      <c r="ETS215" s="34"/>
      <c r="ETT215" s="34"/>
      <c r="ETU215" s="34"/>
      <c r="ETV215" s="34"/>
      <c r="ETW215" s="34"/>
      <c r="ETX215" s="34"/>
      <c r="ETY215" s="34"/>
      <c r="ETZ215" s="34"/>
      <c r="EUA215" s="34"/>
      <c r="EUB215" s="34"/>
      <c r="EUC215" s="34"/>
      <c r="EUD215" s="34"/>
      <c r="EUE215" s="34"/>
      <c r="EUF215" s="34"/>
      <c r="EUG215" s="34"/>
      <c r="EUH215" s="34"/>
      <c r="EUI215" s="34"/>
      <c r="EUJ215" s="34"/>
      <c r="EUK215" s="34"/>
      <c r="EUL215" s="34"/>
      <c r="EUM215" s="34"/>
      <c r="EUN215" s="34"/>
      <c r="EUO215" s="34"/>
      <c r="EUP215" s="34"/>
      <c r="EUQ215" s="34"/>
      <c r="EUR215" s="34"/>
      <c r="EUS215" s="34"/>
      <c r="EUT215" s="34"/>
      <c r="EUU215" s="34"/>
      <c r="EUV215" s="34"/>
      <c r="EUW215" s="34"/>
      <c r="EUX215" s="34"/>
      <c r="EUY215" s="34"/>
      <c r="EUZ215" s="34"/>
      <c r="EVA215" s="34"/>
      <c r="EVB215" s="34"/>
      <c r="EVC215" s="34"/>
      <c r="EVD215" s="34"/>
      <c r="EVE215" s="34"/>
      <c r="EVF215" s="34"/>
      <c r="EVG215" s="34"/>
      <c r="EVH215" s="34"/>
      <c r="EVI215" s="34"/>
      <c r="EVJ215" s="34"/>
      <c r="EVK215" s="34"/>
      <c r="EVL215" s="34"/>
      <c r="EVM215" s="34"/>
      <c r="EVN215" s="34"/>
      <c r="EVO215" s="34"/>
      <c r="EVP215" s="34"/>
      <c r="EVQ215" s="34"/>
      <c r="EVR215" s="34"/>
      <c r="EVS215" s="34"/>
      <c r="EVT215" s="34"/>
      <c r="EVU215" s="34"/>
      <c r="EVV215" s="34"/>
      <c r="EVW215" s="34"/>
      <c r="EVX215" s="34"/>
      <c r="EVY215" s="34"/>
      <c r="EVZ215" s="34"/>
      <c r="EWA215" s="34"/>
      <c r="EWB215" s="34"/>
      <c r="EWC215" s="34"/>
      <c r="EWD215" s="34"/>
      <c r="EWE215" s="34"/>
      <c r="EWF215" s="34"/>
      <c r="EWG215" s="34"/>
      <c r="EWH215" s="34"/>
      <c r="EWI215" s="34"/>
      <c r="EWJ215" s="34"/>
      <c r="EWK215" s="34"/>
      <c r="EWL215" s="34"/>
      <c r="EWM215" s="34"/>
      <c r="EWN215" s="34"/>
      <c r="EWO215" s="34"/>
      <c r="EWP215" s="34"/>
      <c r="EWQ215" s="34"/>
      <c r="EWR215" s="34"/>
      <c r="EWS215" s="34"/>
      <c r="EWT215" s="34"/>
      <c r="EWU215" s="34"/>
      <c r="EWV215" s="34"/>
      <c r="EWW215" s="34"/>
      <c r="EWX215" s="34"/>
      <c r="EWY215" s="34"/>
      <c r="EWZ215" s="34"/>
      <c r="EXA215" s="34"/>
      <c r="EXB215" s="34"/>
      <c r="EXC215" s="34"/>
      <c r="EXD215" s="34"/>
      <c r="EXE215" s="34"/>
      <c r="EXF215" s="34"/>
      <c r="EXG215" s="34"/>
      <c r="EXH215" s="34"/>
      <c r="EXI215" s="34"/>
      <c r="EXJ215" s="34"/>
      <c r="EXK215" s="34"/>
      <c r="EXL215" s="34"/>
      <c r="EXM215" s="34"/>
      <c r="EXN215" s="34"/>
      <c r="EXO215" s="34"/>
      <c r="EXP215" s="34"/>
      <c r="EXQ215" s="34"/>
      <c r="EXR215" s="34"/>
      <c r="EXS215" s="34"/>
      <c r="EXT215" s="34"/>
      <c r="EXU215" s="34"/>
      <c r="EXV215" s="34"/>
      <c r="EXW215" s="34"/>
      <c r="EXX215" s="34"/>
      <c r="EXY215" s="34"/>
      <c r="EXZ215" s="34"/>
      <c r="EYA215" s="34"/>
      <c r="EYB215" s="34"/>
      <c r="EYC215" s="34"/>
      <c r="EYD215" s="34"/>
      <c r="EYE215" s="34"/>
      <c r="EYF215" s="34"/>
      <c r="EYG215" s="34"/>
      <c r="EYH215" s="34"/>
      <c r="EYI215" s="34"/>
      <c r="EYJ215" s="34"/>
      <c r="EYK215" s="34"/>
      <c r="EYL215" s="34"/>
      <c r="EYM215" s="34"/>
      <c r="EYN215" s="34"/>
      <c r="EYO215" s="34"/>
      <c r="EYP215" s="34"/>
      <c r="EYQ215" s="34"/>
      <c r="EYR215" s="34"/>
      <c r="EYS215" s="34"/>
      <c r="EYT215" s="34"/>
      <c r="EYU215" s="34"/>
      <c r="EYV215" s="34"/>
      <c r="EYW215" s="34"/>
      <c r="EYX215" s="34"/>
      <c r="EYY215" s="34"/>
      <c r="EYZ215" s="34"/>
      <c r="EZA215" s="34"/>
      <c r="EZB215" s="34"/>
      <c r="EZC215" s="34"/>
      <c r="EZD215" s="34"/>
      <c r="EZE215" s="34"/>
      <c r="EZF215" s="34"/>
      <c r="EZG215" s="34"/>
      <c r="EZH215" s="34"/>
      <c r="EZI215" s="34"/>
      <c r="EZJ215" s="34"/>
      <c r="EZK215" s="34"/>
      <c r="EZL215" s="34"/>
      <c r="EZM215" s="34"/>
      <c r="EZN215" s="34"/>
      <c r="EZO215" s="34"/>
      <c r="EZP215" s="34"/>
      <c r="EZQ215" s="34"/>
      <c r="EZR215" s="34"/>
      <c r="EZS215" s="34"/>
      <c r="EZT215" s="34"/>
      <c r="EZU215" s="34"/>
      <c r="EZV215" s="34"/>
      <c r="EZW215" s="34"/>
      <c r="EZX215" s="34"/>
      <c r="EZY215" s="34"/>
      <c r="EZZ215" s="34"/>
      <c r="FAA215" s="34"/>
      <c r="FAB215" s="34"/>
      <c r="FAC215" s="34"/>
      <c r="FAD215" s="34"/>
      <c r="FAE215" s="34"/>
      <c r="FAF215" s="34"/>
      <c r="FAG215" s="34"/>
      <c r="FAH215" s="34"/>
      <c r="FAI215" s="34"/>
      <c r="FAJ215" s="34"/>
      <c r="FAK215" s="34"/>
      <c r="FAL215" s="34"/>
      <c r="FAM215" s="34"/>
      <c r="FAN215" s="34"/>
      <c r="FAO215" s="34"/>
      <c r="FAP215" s="34"/>
      <c r="FAQ215" s="34"/>
      <c r="FAR215" s="34"/>
      <c r="FAS215" s="34"/>
      <c r="FAT215" s="34"/>
      <c r="FAU215" s="34"/>
      <c r="FAV215" s="34"/>
      <c r="FAW215" s="34"/>
      <c r="FAX215" s="34"/>
      <c r="FAY215" s="34"/>
      <c r="FAZ215" s="34"/>
      <c r="FBA215" s="34"/>
      <c r="FBB215" s="34"/>
      <c r="FBC215" s="34"/>
      <c r="FBD215" s="34"/>
      <c r="FBE215" s="34"/>
      <c r="FBF215" s="34"/>
      <c r="FBG215" s="34"/>
      <c r="FBH215" s="34"/>
      <c r="FBI215" s="34"/>
      <c r="FBJ215" s="34"/>
      <c r="FBK215" s="34"/>
      <c r="FBL215" s="34"/>
      <c r="FBM215" s="34"/>
      <c r="FBN215" s="34"/>
      <c r="FBO215" s="34"/>
      <c r="FBP215" s="34"/>
      <c r="FBQ215" s="34"/>
      <c r="FBR215" s="34"/>
      <c r="FBS215" s="34"/>
      <c r="FBT215" s="34"/>
      <c r="FBU215" s="34"/>
      <c r="FBV215" s="34"/>
      <c r="FBW215" s="34"/>
      <c r="FBX215" s="34"/>
      <c r="FBY215" s="34"/>
      <c r="FBZ215" s="34"/>
      <c r="FCA215" s="34"/>
      <c r="FCB215" s="34"/>
      <c r="FCC215" s="34"/>
      <c r="FCD215" s="34"/>
      <c r="FCE215" s="34"/>
      <c r="FCF215" s="34"/>
      <c r="FCG215" s="34"/>
      <c r="FCH215" s="34"/>
      <c r="FCI215" s="34"/>
      <c r="FCJ215" s="34"/>
      <c r="FCK215" s="34"/>
      <c r="FCL215" s="34"/>
      <c r="FCM215" s="34"/>
      <c r="FCN215" s="34"/>
      <c r="FCO215" s="34"/>
      <c r="FCP215" s="34"/>
      <c r="FCQ215" s="34"/>
      <c r="FCR215" s="34"/>
      <c r="FCS215" s="34"/>
      <c r="FCT215" s="34"/>
      <c r="FCU215" s="34"/>
      <c r="FCV215" s="34"/>
      <c r="FCW215" s="34"/>
      <c r="FCX215" s="34"/>
      <c r="FCY215" s="34"/>
      <c r="FCZ215" s="34"/>
      <c r="FDA215" s="34"/>
      <c r="FDB215" s="34"/>
      <c r="FDC215" s="34"/>
      <c r="FDD215" s="34"/>
      <c r="FDE215" s="34"/>
      <c r="FDF215" s="34"/>
      <c r="FDG215" s="34"/>
      <c r="FDH215" s="34"/>
      <c r="FDI215" s="34"/>
      <c r="FDJ215" s="34"/>
      <c r="FDK215" s="34"/>
      <c r="FDL215" s="34"/>
      <c r="FDM215" s="34"/>
      <c r="FDN215" s="34"/>
      <c r="FDO215" s="34"/>
      <c r="FDP215" s="34"/>
      <c r="FDQ215" s="34"/>
      <c r="FDR215" s="34"/>
      <c r="FDS215" s="34"/>
      <c r="FDT215" s="34"/>
      <c r="FDU215" s="34"/>
      <c r="FDV215" s="34"/>
      <c r="FDW215" s="34"/>
      <c r="FDX215" s="34"/>
      <c r="FDY215" s="34"/>
      <c r="FDZ215" s="34"/>
      <c r="FEA215" s="34"/>
      <c r="FEB215" s="34"/>
      <c r="FEC215" s="34"/>
      <c r="FED215" s="34"/>
      <c r="FEE215" s="34"/>
      <c r="FEF215" s="34"/>
      <c r="FEG215" s="34"/>
      <c r="FEH215" s="34"/>
      <c r="FEI215" s="34"/>
      <c r="FEJ215" s="34"/>
      <c r="FEK215" s="34"/>
      <c r="FEL215" s="34"/>
      <c r="FEM215" s="34"/>
      <c r="FEN215" s="34"/>
      <c r="FEO215" s="34"/>
      <c r="FEP215" s="34"/>
      <c r="FEQ215" s="34"/>
      <c r="FER215" s="34"/>
      <c r="FES215" s="34"/>
      <c r="FET215" s="34"/>
      <c r="FEU215" s="34"/>
      <c r="FEV215" s="34"/>
      <c r="FEW215" s="34"/>
      <c r="FEX215" s="34"/>
      <c r="FEY215" s="34"/>
      <c r="FEZ215" s="34"/>
      <c r="FFA215" s="34"/>
      <c r="FFB215" s="34"/>
      <c r="FFC215" s="34"/>
      <c r="FFD215" s="34"/>
      <c r="FFE215" s="34"/>
      <c r="FFF215" s="34"/>
      <c r="FFG215" s="34"/>
      <c r="FFH215" s="34"/>
      <c r="FFI215" s="34"/>
      <c r="FFJ215" s="34"/>
      <c r="FFK215" s="34"/>
      <c r="FFL215" s="34"/>
      <c r="FFM215" s="34"/>
      <c r="FFN215" s="34"/>
      <c r="FFO215" s="34"/>
      <c r="FFP215" s="34"/>
      <c r="FFQ215" s="34"/>
      <c r="FFR215" s="34"/>
      <c r="FFS215" s="34"/>
      <c r="FFT215" s="34"/>
      <c r="FFU215" s="34"/>
      <c r="FFV215" s="34"/>
      <c r="FFW215" s="34"/>
      <c r="FFX215" s="34"/>
      <c r="FFY215" s="34"/>
      <c r="FFZ215" s="34"/>
      <c r="FGA215" s="34"/>
      <c r="FGB215" s="34"/>
      <c r="FGC215" s="34"/>
      <c r="FGD215" s="34"/>
      <c r="FGE215" s="34"/>
      <c r="FGF215" s="34"/>
      <c r="FGG215" s="34"/>
      <c r="FGH215" s="34"/>
      <c r="FGI215" s="34"/>
      <c r="FGJ215" s="34"/>
      <c r="FGK215" s="34"/>
      <c r="FGL215" s="34"/>
      <c r="FGM215" s="34"/>
      <c r="FGN215" s="34"/>
      <c r="FGO215" s="34"/>
      <c r="FGP215" s="34"/>
      <c r="FGQ215" s="34"/>
      <c r="FGR215" s="34"/>
      <c r="FGS215" s="34"/>
      <c r="FGT215" s="34"/>
      <c r="FGU215" s="34"/>
      <c r="FGV215" s="34"/>
      <c r="FGW215" s="34"/>
      <c r="FGX215" s="34"/>
      <c r="FGY215" s="34"/>
      <c r="FGZ215" s="34"/>
      <c r="FHA215" s="34"/>
      <c r="FHB215" s="34"/>
      <c r="FHC215" s="34"/>
      <c r="FHD215" s="34"/>
      <c r="FHE215" s="34"/>
      <c r="FHF215" s="34"/>
      <c r="FHG215" s="34"/>
      <c r="FHH215" s="34"/>
      <c r="FHI215" s="34"/>
      <c r="FHJ215" s="34"/>
      <c r="FHK215" s="34"/>
      <c r="FHL215" s="34"/>
      <c r="FHM215" s="34"/>
      <c r="FHN215" s="34"/>
      <c r="FHO215" s="34"/>
      <c r="FHP215" s="34"/>
      <c r="FHQ215" s="34"/>
      <c r="FHR215" s="34"/>
      <c r="FHS215" s="34"/>
      <c r="FHT215" s="34"/>
      <c r="FHU215" s="34"/>
      <c r="FHV215" s="34"/>
      <c r="FHW215" s="34"/>
      <c r="FHX215" s="34"/>
      <c r="FHY215" s="34"/>
      <c r="FHZ215" s="34"/>
      <c r="FIA215" s="34"/>
      <c r="FIB215" s="34"/>
      <c r="FIC215" s="34"/>
      <c r="FID215" s="34"/>
      <c r="FIE215" s="34"/>
      <c r="FIF215" s="34"/>
      <c r="FIG215" s="34"/>
      <c r="FIH215" s="34"/>
      <c r="FII215" s="34"/>
      <c r="FIJ215" s="34"/>
      <c r="FIK215" s="34"/>
      <c r="FIL215" s="34"/>
      <c r="FIM215" s="34"/>
      <c r="FIN215" s="34"/>
      <c r="FIO215" s="34"/>
      <c r="FIP215" s="34"/>
      <c r="FIQ215" s="34"/>
      <c r="FIR215" s="34"/>
      <c r="FIS215" s="34"/>
      <c r="FIT215" s="34"/>
      <c r="FIU215" s="34"/>
      <c r="FIV215" s="34"/>
      <c r="FIW215" s="34"/>
      <c r="FIX215" s="34"/>
      <c r="FIY215" s="34"/>
      <c r="FIZ215" s="34"/>
      <c r="FJA215" s="34"/>
      <c r="FJB215" s="34"/>
      <c r="FJC215" s="34"/>
      <c r="FJD215" s="34"/>
      <c r="FJE215" s="34"/>
      <c r="FJF215" s="34"/>
      <c r="FJG215" s="34"/>
      <c r="FJH215" s="34"/>
      <c r="FJI215" s="34"/>
      <c r="FJJ215" s="34"/>
      <c r="FJK215" s="34"/>
      <c r="FJL215" s="34"/>
      <c r="FJM215" s="34"/>
      <c r="FJN215" s="34"/>
      <c r="FJO215" s="34"/>
      <c r="FJP215" s="34"/>
      <c r="FJQ215" s="34"/>
      <c r="FJR215" s="34"/>
      <c r="FJS215" s="34"/>
      <c r="FJT215" s="34"/>
      <c r="FJU215" s="34"/>
      <c r="FJV215" s="34"/>
      <c r="FJW215" s="34"/>
      <c r="FJX215" s="34"/>
      <c r="FJY215" s="34"/>
      <c r="FJZ215" s="34"/>
      <c r="FKA215" s="34"/>
      <c r="FKB215" s="34"/>
      <c r="FKC215" s="34"/>
      <c r="FKD215" s="34"/>
      <c r="FKE215" s="34"/>
      <c r="FKF215" s="34"/>
      <c r="FKG215" s="34"/>
      <c r="FKH215" s="34"/>
      <c r="FKI215" s="34"/>
      <c r="FKJ215" s="34"/>
      <c r="FKK215" s="34"/>
      <c r="FKL215" s="34"/>
      <c r="FKM215" s="34"/>
      <c r="FKN215" s="34"/>
      <c r="FKO215" s="34"/>
      <c r="FKP215" s="34"/>
      <c r="FKQ215" s="34"/>
      <c r="FKR215" s="34"/>
      <c r="FKS215" s="34"/>
      <c r="FKT215" s="34"/>
      <c r="FKU215" s="34"/>
      <c r="FKV215" s="34"/>
      <c r="FKW215" s="34"/>
      <c r="FKX215" s="34"/>
      <c r="FKY215" s="34"/>
      <c r="FKZ215" s="34"/>
      <c r="FLA215" s="34"/>
      <c r="FLB215" s="34"/>
      <c r="FLC215" s="34"/>
      <c r="FLD215" s="34"/>
      <c r="FLE215" s="34"/>
      <c r="FLF215" s="34"/>
      <c r="FLG215" s="34"/>
      <c r="FLH215" s="34"/>
      <c r="FLI215" s="34"/>
      <c r="FLJ215" s="34"/>
      <c r="FLK215" s="34"/>
      <c r="FLL215" s="34"/>
      <c r="FLM215" s="34"/>
      <c r="FLN215" s="34"/>
      <c r="FLO215" s="34"/>
      <c r="FLP215" s="34"/>
      <c r="FLQ215" s="34"/>
      <c r="FLR215" s="34"/>
      <c r="FLS215" s="34"/>
      <c r="FLT215" s="34"/>
      <c r="FLU215" s="34"/>
      <c r="FLV215" s="34"/>
      <c r="FLW215" s="34"/>
      <c r="FLX215" s="34"/>
      <c r="FLY215" s="34"/>
      <c r="FLZ215" s="34"/>
      <c r="FMA215" s="34"/>
      <c r="FMB215" s="34"/>
      <c r="FMC215" s="34"/>
      <c r="FMD215" s="34"/>
      <c r="FME215" s="34"/>
      <c r="FMF215" s="34"/>
      <c r="FMG215" s="34"/>
      <c r="FMH215" s="34"/>
      <c r="FMI215" s="34"/>
      <c r="FMJ215" s="34"/>
      <c r="FMK215" s="34"/>
      <c r="FML215" s="34"/>
      <c r="FMM215" s="34"/>
      <c r="FMN215" s="34"/>
      <c r="FMO215" s="34"/>
      <c r="FMP215" s="34"/>
      <c r="FMQ215" s="34"/>
      <c r="FMR215" s="34"/>
      <c r="FMS215" s="34"/>
      <c r="FMT215" s="34"/>
      <c r="FMU215" s="34"/>
      <c r="FMV215" s="34"/>
      <c r="FMW215" s="34"/>
      <c r="FMX215" s="34"/>
      <c r="FMY215" s="34"/>
      <c r="FMZ215" s="34"/>
      <c r="FNA215" s="34"/>
      <c r="FNB215" s="34"/>
      <c r="FNC215" s="34"/>
      <c r="FND215" s="34"/>
      <c r="FNE215" s="34"/>
      <c r="FNF215" s="34"/>
      <c r="FNG215" s="34"/>
      <c r="FNH215" s="34"/>
      <c r="FNI215" s="34"/>
      <c r="FNJ215" s="34"/>
      <c r="FNK215" s="34"/>
      <c r="FNL215" s="34"/>
      <c r="FNM215" s="34"/>
      <c r="FNN215" s="34"/>
      <c r="FNO215" s="34"/>
      <c r="FNP215" s="34"/>
      <c r="FNQ215" s="34"/>
      <c r="FNR215" s="34"/>
      <c r="FNS215" s="34"/>
      <c r="FNT215" s="34"/>
      <c r="FNU215" s="34"/>
      <c r="FNV215" s="34"/>
      <c r="FNW215" s="34"/>
      <c r="FNX215" s="34"/>
      <c r="FNY215" s="34"/>
      <c r="FNZ215" s="34"/>
      <c r="FOA215" s="34"/>
      <c r="FOB215" s="34"/>
      <c r="FOC215" s="34"/>
      <c r="FOD215" s="34"/>
      <c r="FOE215" s="34"/>
      <c r="FOF215" s="34"/>
      <c r="FOG215" s="34"/>
      <c r="FOH215" s="34"/>
      <c r="FOI215" s="34"/>
      <c r="FOJ215" s="34"/>
      <c r="FOK215" s="34"/>
      <c r="FOL215" s="34"/>
      <c r="FOM215" s="34"/>
      <c r="FON215" s="34"/>
      <c r="FOO215" s="34"/>
      <c r="FOP215" s="34"/>
      <c r="FOQ215" s="34"/>
      <c r="FOR215" s="34"/>
      <c r="FOS215" s="34"/>
      <c r="FOT215" s="34"/>
      <c r="FOU215" s="34"/>
      <c r="FOV215" s="34"/>
      <c r="FOW215" s="34"/>
      <c r="FOX215" s="34"/>
      <c r="FOY215" s="34"/>
      <c r="FOZ215" s="34"/>
      <c r="FPA215" s="34"/>
      <c r="FPB215" s="34"/>
      <c r="FPC215" s="34"/>
      <c r="FPD215" s="34"/>
      <c r="FPE215" s="34"/>
      <c r="FPF215" s="34"/>
      <c r="FPG215" s="34"/>
      <c r="FPH215" s="34"/>
      <c r="FPI215" s="34"/>
      <c r="FPJ215" s="34"/>
      <c r="FPK215" s="34"/>
      <c r="FPL215" s="34"/>
      <c r="FPM215" s="34"/>
      <c r="FPN215" s="34"/>
      <c r="FPO215" s="34"/>
      <c r="FPP215" s="34"/>
      <c r="FPQ215" s="34"/>
      <c r="FPR215" s="34"/>
      <c r="FPS215" s="34"/>
      <c r="FPT215" s="34"/>
      <c r="FPU215" s="34"/>
      <c r="FPV215" s="34"/>
      <c r="FPW215" s="34"/>
      <c r="FPX215" s="34"/>
      <c r="FPY215" s="34"/>
      <c r="FPZ215" s="34"/>
      <c r="FQA215" s="34"/>
      <c r="FQB215" s="34"/>
      <c r="FQC215" s="34"/>
      <c r="FQD215" s="34"/>
      <c r="FQE215" s="34"/>
      <c r="FQF215" s="34"/>
      <c r="FQG215" s="34"/>
      <c r="FQH215" s="34"/>
      <c r="FQI215" s="34"/>
      <c r="FQJ215" s="34"/>
      <c r="FQK215" s="34"/>
      <c r="FQL215" s="34"/>
      <c r="FQM215" s="34"/>
      <c r="FQN215" s="34"/>
      <c r="FQO215" s="34"/>
      <c r="FQP215" s="34"/>
      <c r="FQQ215" s="34"/>
      <c r="FQR215" s="34"/>
      <c r="FQS215" s="34"/>
      <c r="FQT215" s="34"/>
      <c r="FQU215" s="34"/>
      <c r="FQV215" s="34"/>
      <c r="FQW215" s="34"/>
      <c r="FQX215" s="34"/>
      <c r="FQY215" s="34"/>
      <c r="FQZ215" s="34"/>
      <c r="FRA215" s="34"/>
      <c r="FRB215" s="34"/>
      <c r="FRC215" s="34"/>
      <c r="FRD215" s="34"/>
      <c r="FRE215" s="34"/>
      <c r="FRF215" s="34"/>
      <c r="FRG215" s="34"/>
      <c r="FRH215" s="34"/>
      <c r="FRI215" s="34"/>
      <c r="FRJ215" s="34"/>
      <c r="FRK215" s="34"/>
      <c r="FRL215" s="34"/>
      <c r="FRM215" s="34"/>
      <c r="FRN215" s="34"/>
      <c r="FRO215" s="34"/>
      <c r="FRP215" s="34"/>
      <c r="FRQ215" s="34"/>
      <c r="FRR215" s="34"/>
      <c r="FRS215" s="34"/>
      <c r="FRT215" s="34"/>
      <c r="FRU215" s="34"/>
      <c r="FRV215" s="34"/>
      <c r="FRW215" s="34"/>
      <c r="FRX215" s="34"/>
      <c r="FRY215" s="34"/>
      <c r="FRZ215" s="34"/>
      <c r="FSA215" s="34"/>
      <c r="FSB215" s="34"/>
      <c r="FSC215" s="34"/>
      <c r="FSD215" s="34"/>
      <c r="FSE215" s="34"/>
      <c r="FSF215" s="34"/>
      <c r="FSG215" s="34"/>
      <c r="FSH215" s="34"/>
      <c r="FSI215" s="34"/>
      <c r="FSJ215" s="34"/>
      <c r="FSK215" s="34"/>
      <c r="FSL215" s="34"/>
      <c r="FSM215" s="34"/>
      <c r="FSN215" s="34"/>
      <c r="FSO215" s="34"/>
      <c r="FSP215" s="34"/>
      <c r="FSQ215" s="34"/>
      <c r="FSR215" s="34"/>
      <c r="FSS215" s="34"/>
      <c r="FST215" s="34"/>
      <c r="FSU215" s="34"/>
      <c r="FSV215" s="34"/>
      <c r="FSW215" s="34"/>
      <c r="FSX215" s="34"/>
      <c r="FSY215" s="34"/>
      <c r="FSZ215" s="34"/>
      <c r="FTA215" s="34"/>
      <c r="FTB215" s="34"/>
      <c r="FTC215" s="34"/>
      <c r="FTD215" s="34"/>
      <c r="FTE215" s="34"/>
      <c r="FTF215" s="34"/>
      <c r="FTG215" s="34"/>
      <c r="FTH215" s="34"/>
      <c r="FTI215" s="34"/>
      <c r="FTJ215" s="34"/>
      <c r="FTK215" s="34"/>
      <c r="FTL215" s="34"/>
      <c r="FTM215" s="34"/>
      <c r="FTN215" s="34"/>
      <c r="FTO215" s="34"/>
      <c r="FTP215" s="34"/>
      <c r="FTQ215" s="34"/>
      <c r="FTR215" s="34"/>
      <c r="FTS215" s="34"/>
      <c r="FTT215" s="34"/>
      <c r="FTU215" s="34"/>
      <c r="FTV215" s="34"/>
      <c r="FTW215" s="34"/>
      <c r="FTX215" s="34"/>
      <c r="FTY215" s="34"/>
      <c r="FTZ215" s="34"/>
      <c r="FUA215" s="34"/>
      <c r="FUB215" s="34"/>
      <c r="FUC215" s="34"/>
      <c r="FUD215" s="34"/>
      <c r="FUE215" s="34"/>
      <c r="FUF215" s="34"/>
      <c r="FUG215" s="34"/>
      <c r="FUH215" s="34"/>
      <c r="FUI215" s="34"/>
      <c r="FUJ215" s="34"/>
      <c r="FUK215" s="34"/>
      <c r="FUL215" s="34"/>
      <c r="FUM215" s="34"/>
      <c r="FUN215" s="34"/>
      <c r="FUO215" s="34"/>
      <c r="FUP215" s="34"/>
      <c r="FUQ215" s="34"/>
      <c r="FUR215" s="34"/>
      <c r="FUS215" s="34"/>
      <c r="FUT215" s="34"/>
      <c r="FUU215" s="34"/>
      <c r="FUV215" s="34"/>
      <c r="FUW215" s="34"/>
      <c r="FUX215" s="34"/>
      <c r="FUY215" s="34"/>
      <c r="FUZ215" s="34"/>
      <c r="FVA215" s="34"/>
      <c r="FVB215" s="34"/>
      <c r="FVC215" s="34"/>
      <c r="FVD215" s="34"/>
      <c r="FVE215" s="34"/>
      <c r="FVF215" s="34"/>
      <c r="FVG215" s="34"/>
      <c r="FVH215" s="34"/>
      <c r="FVI215" s="34"/>
      <c r="FVJ215" s="34"/>
      <c r="FVK215" s="34"/>
      <c r="FVL215" s="34"/>
      <c r="FVM215" s="34"/>
      <c r="FVN215" s="34"/>
      <c r="FVO215" s="34"/>
      <c r="FVP215" s="34"/>
      <c r="FVQ215" s="34"/>
      <c r="FVR215" s="34"/>
      <c r="FVS215" s="34"/>
      <c r="FVT215" s="34"/>
      <c r="FVU215" s="34"/>
      <c r="FVV215" s="34"/>
      <c r="FVW215" s="34"/>
      <c r="FVX215" s="34"/>
      <c r="FVY215" s="34"/>
      <c r="FVZ215" s="34"/>
      <c r="FWA215" s="34"/>
      <c r="FWB215" s="34"/>
      <c r="FWC215" s="34"/>
      <c r="FWD215" s="34"/>
      <c r="FWE215" s="34"/>
      <c r="FWF215" s="34"/>
      <c r="FWG215" s="34"/>
      <c r="FWH215" s="34"/>
      <c r="FWI215" s="34"/>
      <c r="FWJ215" s="34"/>
      <c r="FWK215" s="34"/>
      <c r="FWL215" s="34"/>
      <c r="FWM215" s="34"/>
      <c r="FWN215" s="34"/>
      <c r="FWO215" s="34"/>
      <c r="FWP215" s="34"/>
      <c r="FWQ215" s="34"/>
      <c r="FWR215" s="34"/>
      <c r="FWS215" s="34"/>
      <c r="FWT215" s="34"/>
      <c r="FWU215" s="34"/>
      <c r="FWV215" s="34"/>
      <c r="FWW215" s="34"/>
      <c r="FWX215" s="34"/>
      <c r="FWY215" s="34"/>
      <c r="FWZ215" s="34"/>
      <c r="FXA215" s="34"/>
      <c r="FXB215" s="34"/>
      <c r="FXC215" s="34"/>
      <c r="FXD215" s="34"/>
      <c r="FXE215" s="34"/>
      <c r="FXF215" s="34"/>
      <c r="FXG215" s="34"/>
      <c r="FXH215" s="34"/>
      <c r="FXI215" s="34"/>
      <c r="FXJ215" s="34"/>
      <c r="FXK215" s="34"/>
      <c r="FXL215" s="34"/>
      <c r="FXM215" s="34"/>
      <c r="FXN215" s="34"/>
      <c r="FXO215" s="34"/>
      <c r="FXP215" s="34"/>
      <c r="FXQ215" s="34"/>
      <c r="FXR215" s="34"/>
      <c r="FXS215" s="34"/>
      <c r="FXT215" s="34"/>
      <c r="FXU215" s="34"/>
      <c r="FXV215" s="34"/>
      <c r="FXW215" s="34"/>
      <c r="FXX215" s="34"/>
      <c r="FXY215" s="34"/>
      <c r="FXZ215" s="34"/>
      <c r="FYA215" s="34"/>
      <c r="FYB215" s="34"/>
      <c r="FYC215" s="34"/>
      <c r="FYD215" s="34"/>
      <c r="FYE215" s="34"/>
      <c r="FYF215" s="34"/>
      <c r="FYG215" s="34"/>
      <c r="FYH215" s="34"/>
      <c r="FYI215" s="34"/>
      <c r="FYJ215" s="34"/>
      <c r="FYK215" s="34"/>
      <c r="FYL215" s="34"/>
      <c r="FYM215" s="34"/>
      <c r="FYN215" s="34"/>
      <c r="FYO215" s="34"/>
      <c r="FYP215" s="34"/>
      <c r="FYQ215" s="34"/>
      <c r="FYR215" s="34"/>
      <c r="FYS215" s="34"/>
      <c r="FYT215" s="34"/>
      <c r="FYU215" s="34"/>
      <c r="FYV215" s="34"/>
      <c r="FYW215" s="34"/>
      <c r="FYX215" s="34"/>
      <c r="FYY215" s="34"/>
      <c r="FYZ215" s="34"/>
      <c r="FZA215" s="34"/>
      <c r="FZB215" s="34"/>
      <c r="FZC215" s="34"/>
      <c r="FZD215" s="34"/>
      <c r="FZE215" s="34"/>
      <c r="FZF215" s="34"/>
      <c r="FZG215" s="34"/>
      <c r="FZH215" s="34"/>
      <c r="FZI215" s="34"/>
      <c r="FZJ215" s="34"/>
      <c r="FZK215" s="34"/>
      <c r="FZL215" s="34"/>
      <c r="FZM215" s="34"/>
      <c r="FZN215" s="34"/>
      <c r="FZO215" s="34"/>
      <c r="FZP215" s="34"/>
      <c r="FZQ215" s="34"/>
      <c r="FZR215" s="34"/>
      <c r="FZS215" s="34"/>
      <c r="FZT215" s="34"/>
      <c r="FZU215" s="34"/>
      <c r="FZV215" s="34"/>
      <c r="FZW215" s="34"/>
      <c r="FZX215" s="34"/>
      <c r="FZY215" s="34"/>
      <c r="FZZ215" s="34"/>
      <c r="GAA215" s="34"/>
      <c r="GAB215" s="34"/>
      <c r="GAC215" s="34"/>
      <c r="GAD215" s="34"/>
      <c r="GAE215" s="34"/>
      <c r="GAF215" s="34"/>
      <c r="GAG215" s="34"/>
      <c r="GAH215" s="34"/>
      <c r="GAI215" s="34"/>
      <c r="GAJ215" s="34"/>
      <c r="GAK215" s="34"/>
      <c r="GAL215" s="34"/>
      <c r="GAM215" s="34"/>
      <c r="GAN215" s="34"/>
      <c r="GAO215" s="34"/>
      <c r="GAP215" s="34"/>
      <c r="GAQ215" s="34"/>
      <c r="GAR215" s="34"/>
      <c r="GAS215" s="34"/>
      <c r="GAT215" s="34"/>
      <c r="GAU215" s="34"/>
      <c r="GAV215" s="34"/>
      <c r="GAW215" s="34"/>
      <c r="GAX215" s="34"/>
      <c r="GAY215" s="34"/>
      <c r="GAZ215" s="34"/>
      <c r="GBA215" s="34"/>
      <c r="GBB215" s="34"/>
      <c r="GBC215" s="34"/>
      <c r="GBD215" s="34"/>
      <c r="GBE215" s="34"/>
      <c r="GBF215" s="34"/>
      <c r="GBG215" s="34"/>
      <c r="GBH215" s="34"/>
      <c r="GBI215" s="34"/>
      <c r="GBJ215" s="34"/>
      <c r="GBK215" s="34"/>
      <c r="GBL215" s="34"/>
      <c r="GBM215" s="34"/>
      <c r="GBN215" s="34"/>
      <c r="GBO215" s="34"/>
      <c r="GBP215" s="34"/>
      <c r="GBQ215" s="34"/>
      <c r="GBR215" s="34"/>
      <c r="GBS215" s="34"/>
      <c r="GBT215" s="34"/>
      <c r="GBU215" s="34"/>
      <c r="GBV215" s="34"/>
      <c r="GBW215" s="34"/>
      <c r="GBX215" s="34"/>
      <c r="GBY215" s="34"/>
      <c r="GBZ215" s="34"/>
      <c r="GCA215" s="34"/>
      <c r="GCB215" s="34"/>
      <c r="GCC215" s="34"/>
      <c r="GCD215" s="34"/>
      <c r="GCE215" s="34"/>
      <c r="GCF215" s="34"/>
      <c r="GCG215" s="34"/>
      <c r="GCH215" s="34"/>
      <c r="GCI215" s="34"/>
      <c r="GCJ215" s="34"/>
      <c r="GCK215" s="34"/>
      <c r="GCL215" s="34"/>
      <c r="GCM215" s="34"/>
      <c r="GCN215" s="34"/>
      <c r="GCO215" s="34"/>
      <c r="GCP215" s="34"/>
      <c r="GCQ215" s="34"/>
      <c r="GCR215" s="34"/>
      <c r="GCS215" s="34"/>
      <c r="GCT215" s="34"/>
      <c r="GCU215" s="34"/>
      <c r="GCV215" s="34"/>
      <c r="GCW215" s="34"/>
      <c r="GCX215" s="34"/>
      <c r="GCY215" s="34"/>
      <c r="GCZ215" s="34"/>
      <c r="GDA215" s="34"/>
      <c r="GDB215" s="34"/>
      <c r="GDC215" s="34"/>
      <c r="GDD215" s="34"/>
      <c r="GDE215" s="34"/>
      <c r="GDF215" s="34"/>
      <c r="GDG215" s="34"/>
      <c r="GDH215" s="34"/>
      <c r="GDI215" s="34"/>
      <c r="GDJ215" s="34"/>
      <c r="GDK215" s="34"/>
      <c r="GDL215" s="34"/>
      <c r="GDM215" s="34"/>
      <c r="GDN215" s="34"/>
      <c r="GDO215" s="34"/>
      <c r="GDP215" s="34"/>
      <c r="GDQ215" s="34"/>
      <c r="GDR215" s="34"/>
      <c r="GDS215" s="34"/>
      <c r="GDT215" s="34"/>
      <c r="GDU215" s="34"/>
      <c r="GDV215" s="34"/>
      <c r="GDW215" s="34"/>
      <c r="GDX215" s="34"/>
      <c r="GDY215" s="34"/>
      <c r="GDZ215" s="34"/>
      <c r="GEA215" s="34"/>
      <c r="GEB215" s="34"/>
      <c r="GEC215" s="34"/>
      <c r="GED215" s="34"/>
      <c r="GEE215" s="34"/>
      <c r="GEF215" s="34"/>
      <c r="GEG215" s="34"/>
      <c r="GEH215" s="34"/>
      <c r="GEI215" s="34"/>
      <c r="GEJ215" s="34"/>
      <c r="GEK215" s="34"/>
      <c r="GEL215" s="34"/>
      <c r="GEM215" s="34"/>
      <c r="GEN215" s="34"/>
      <c r="GEO215" s="34"/>
      <c r="GEP215" s="34"/>
      <c r="GEQ215" s="34"/>
      <c r="GER215" s="34"/>
      <c r="GES215" s="34"/>
      <c r="GET215" s="34"/>
      <c r="GEU215" s="34"/>
      <c r="GEV215" s="34"/>
      <c r="GEW215" s="34"/>
      <c r="GEX215" s="34"/>
      <c r="GEY215" s="34"/>
      <c r="GEZ215" s="34"/>
      <c r="GFA215" s="34"/>
      <c r="GFB215" s="34"/>
      <c r="GFC215" s="34"/>
      <c r="GFD215" s="34"/>
      <c r="GFE215" s="34"/>
      <c r="GFF215" s="34"/>
      <c r="GFG215" s="34"/>
      <c r="GFH215" s="34"/>
      <c r="GFI215" s="34"/>
      <c r="GFJ215" s="34"/>
      <c r="GFK215" s="34"/>
      <c r="GFL215" s="34"/>
      <c r="GFM215" s="34"/>
      <c r="GFN215" s="34"/>
      <c r="GFO215" s="34"/>
      <c r="GFP215" s="34"/>
      <c r="GFQ215" s="34"/>
      <c r="GFR215" s="34"/>
      <c r="GFS215" s="34"/>
      <c r="GFT215" s="34"/>
      <c r="GFU215" s="34"/>
      <c r="GFV215" s="34"/>
      <c r="GFW215" s="34"/>
      <c r="GFX215" s="34"/>
      <c r="GFY215" s="34"/>
      <c r="GFZ215" s="34"/>
      <c r="GGA215" s="34"/>
      <c r="GGB215" s="34"/>
      <c r="GGC215" s="34"/>
      <c r="GGD215" s="34"/>
      <c r="GGE215" s="34"/>
      <c r="GGF215" s="34"/>
      <c r="GGG215" s="34"/>
      <c r="GGH215" s="34"/>
      <c r="GGI215" s="34"/>
      <c r="GGJ215" s="34"/>
      <c r="GGK215" s="34"/>
      <c r="GGL215" s="34"/>
      <c r="GGM215" s="34"/>
      <c r="GGN215" s="34"/>
      <c r="GGO215" s="34"/>
      <c r="GGP215" s="34"/>
      <c r="GGQ215" s="34"/>
      <c r="GGR215" s="34"/>
      <c r="GGS215" s="34"/>
      <c r="GGT215" s="34"/>
      <c r="GGU215" s="34"/>
      <c r="GGV215" s="34"/>
      <c r="GGW215" s="34"/>
      <c r="GGX215" s="34"/>
      <c r="GGY215" s="34"/>
      <c r="GGZ215" s="34"/>
      <c r="GHA215" s="34"/>
      <c r="GHB215" s="34"/>
      <c r="GHC215" s="34"/>
      <c r="GHD215" s="34"/>
      <c r="GHE215" s="34"/>
      <c r="GHF215" s="34"/>
      <c r="GHG215" s="34"/>
      <c r="GHH215" s="34"/>
      <c r="GHI215" s="34"/>
      <c r="GHJ215" s="34"/>
      <c r="GHK215" s="34"/>
      <c r="GHL215" s="34"/>
      <c r="GHM215" s="34"/>
      <c r="GHN215" s="34"/>
      <c r="GHO215" s="34"/>
      <c r="GHP215" s="34"/>
      <c r="GHQ215" s="34"/>
      <c r="GHR215" s="34"/>
      <c r="GHS215" s="34"/>
      <c r="GHT215" s="34"/>
      <c r="GHU215" s="34"/>
      <c r="GHV215" s="34"/>
      <c r="GHW215" s="34"/>
      <c r="GHX215" s="34"/>
      <c r="GHY215" s="34"/>
      <c r="GHZ215" s="34"/>
      <c r="GIA215" s="34"/>
      <c r="GIB215" s="34"/>
      <c r="GIC215" s="34"/>
      <c r="GID215" s="34"/>
      <c r="GIE215" s="34"/>
      <c r="GIF215" s="34"/>
      <c r="GIG215" s="34"/>
      <c r="GIH215" s="34"/>
      <c r="GII215" s="34"/>
      <c r="GIJ215" s="34"/>
      <c r="GIK215" s="34"/>
      <c r="GIL215" s="34"/>
      <c r="GIM215" s="34"/>
      <c r="GIN215" s="34"/>
      <c r="GIO215" s="34"/>
      <c r="GIP215" s="34"/>
      <c r="GIQ215" s="34"/>
      <c r="GIR215" s="34"/>
      <c r="GIS215" s="34"/>
      <c r="GIT215" s="34"/>
      <c r="GIU215" s="34"/>
      <c r="GIV215" s="34"/>
      <c r="GIW215" s="34"/>
      <c r="GIX215" s="34"/>
      <c r="GIY215" s="34"/>
      <c r="GIZ215" s="34"/>
      <c r="GJA215" s="34"/>
      <c r="GJB215" s="34"/>
      <c r="GJC215" s="34"/>
      <c r="GJD215" s="34"/>
      <c r="GJE215" s="34"/>
      <c r="GJF215" s="34"/>
      <c r="GJG215" s="34"/>
      <c r="GJH215" s="34"/>
      <c r="GJI215" s="34"/>
      <c r="GJJ215" s="34"/>
      <c r="GJK215" s="34"/>
      <c r="GJL215" s="34"/>
      <c r="GJM215" s="34"/>
      <c r="GJN215" s="34"/>
      <c r="GJO215" s="34"/>
      <c r="GJP215" s="34"/>
      <c r="GJQ215" s="34"/>
      <c r="GJR215" s="34"/>
      <c r="GJS215" s="34"/>
      <c r="GJT215" s="34"/>
      <c r="GJU215" s="34"/>
      <c r="GJV215" s="34"/>
      <c r="GJW215" s="34"/>
      <c r="GJX215" s="34"/>
      <c r="GJY215" s="34"/>
      <c r="GJZ215" s="34"/>
      <c r="GKA215" s="34"/>
      <c r="GKB215" s="34"/>
      <c r="GKC215" s="34"/>
      <c r="GKD215" s="34"/>
      <c r="GKE215" s="34"/>
      <c r="GKF215" s="34"/>
      <c r="GKG215" s="34"/>
      <c r="GKH215" s="34"/>
      <c r="GKI215" s="34"/>
      <c r="GKJ215" s="34"/>
      <c r="GKK215" s="34"/>
      <c r="GKL215" s="34"/>
      <c r="GKM215" s="34"/>
      <c r="GKN215" s="34"/>
      <c r="GKO215" s="34"/>
      <c r="GKP215" s="34"/>
      <c r="GKQ215" s="34"/>
      <c r="GKR215" s="34"/>
      <c r="GKS215" s="34"/>
      <c r="GKT215" s="34"/>
      <c r="GKU215" s="34"/>
      <c r="GKV215" s="34"/>
      <c r="GKW215" s="34"/>
      <c r="GKX215" s="34"/>
      <c r="GKY215" s="34"/>
      <c r="GKZ215" s="34"/>
      <c r="GLA215" s="34"/>
      <c r="GLB215" s="34"/>
      <c r="GLC215" s="34"/>
      <c r="GLD215" s="34"/>
      <c r="GLE215" s="34"/>
      <c r="GLF215" s="34"/>
      <c r="GLG215" s="34"/>
      <c r="GLH215" s="34"/>
      <c r="GLI215" s="34"/>
      <c r="GLJ215" s="34"/>
      <c r="GLK215" s="34"/>
      <c r="GLL215" s="34"/>
      <c r="GLM215" s="34"/>
      <c r="GLN215" s="34"/>
      <c r="GLO215" s="34"/>
      <c r="GLP215" s="34"/>
      <c r="GLQ215" s="34"/>
      <c r="GLR215" s="34"/>
      <c r="GLS215" s="34"/>
      <c r="GLT215" s="34"/>
      <c r="GLU215" s="34"/>
      <c r="GLV215" s="34"/>
      <c r="GLW215" s="34"/>
      <c r="GLX215" s="34"/>
      <c r="GLY215" s="34"/>
      <c r="GLZ215" s="34"/>
      <c r="GMA215" s="34"/>
      <c r="GMB215" s="34"/>
      <c r="GMC215" s="34"/>
      <c r="GMD215" s="34"/>
      <c r="GME215" s="34"/>
      <c r="GMF215" s="34"/>
      <c r="GMG215" s="34"/>
      <c r="GMH215" s="34"/>
      <c r="GMI215" s="34"/>
      <c r="GMJ215" s="34"/>
      <c r="GMK215" s="34"/>
      <c r="GML215" s="34"/>
      <c r="GMM215" s="34"/>
      <c r="GMN215" s="34"/>
      <c r="GMO215" s="34"/>
      <c r="GMP215" s="34"/>
      <c r="GMQ215" s="34"/>
      <c r="GMR215" s="34"/>
      <c r="GMS215" s="34"/>
      <c r="GMT215" s="34"/>
      <c r="GMU215" s="34"/>
      <c r="GMV215" s="34"/>
      <c r="GMW215" s="34"/>
      <c r="GMX215" s="34"/>
      <c r="GMY215" s="34"/>
      <c r="GMZ215" s="34"/>
      <c r="GNA215" s="34"/>
      <c r="GNB215" s="34"/>
      <c r="GNC215" s="34"/>
      <c r="GND215" s="34"/>
      <c r="GNE215" s="34"/>
      <c r="GNF215" s="34"/>
      <c r="GNG215" s="34"/>
      <c r="GNH215" s="34"/>
      <c r="GNI215" s="34"/>
      <c r="GNJ215" s="34"/>
      <c r="GNK215" s="34"/>
      <c r="GNL215" s="34"/>
      <c r="GNM215" s="34"/>
      <c r="GNN215" s="34"/>
      <c r="GNO215" s="34"/>
      <c r="GNP215" s="34"/>
      <c r="GNQ215" s="34"/>
      <c r="GNR215" s="34"/>
      <c r="GNS215" s="34"/>
      <c r="GNT215" s="34"/>
      <c r="GNU215" s="34"/>
      <c r="GNV215" s="34"/>
      <c r="GNW215" s="34"/>
      <c r="GNX215" s="34"/>
      <c r="GNY215" s="34"/>
      <c r="GNZ215" s="34"/>
      <c r="GOA215" s="34"/>
      <c r="GOB215" s="34"/>
      <c r="GOC215" s="34"/>
      <c r="GOD215" s="34"/>
      <c r="GOE215" s="34"/>
      <c r="GOF215" s="34"/>
      <c r="GOG215" s="34"/>
      <c r="GOH215" s="34"/>
      <c r="GOI215" s="34"/>
      <c r="GOJ215" s="34"/>
      <c r="GOK215" s="34"/>
      <c r="GOL215" s="34"/>
      <c r="GOM215" s="34"/>
      <c r="GON215" s="34"/>
      <c r="GOO215" s="34"/>
      <c r="GOP215" s="34"/>
      <c r="GOQ215" s="34"/>
      <c r="GOR215" s="34"/>
      <c r="GOS215" s="34"/>
      <c r="GOT215" s="34"/>
      <c r="GOU215" s="34"/>
      <c r="GOV215" s="34"/>
      <c r="GOW215" s="34"/>
      <c r="GOX215" s="34"/>
      <c r="GOY215" s="34"/>
      <c r="GOZ215" s="34"/>
      <c r="GPA215" s="34"/>
      <c r="GPB215" s="34"/>
      <c r="GPC215" s="34"/>
      <c r="GPD215" s="34"/>
      <c r="GPE215" s="34"/>
      <c r="GPF215" s="34"/>
      <c r="GPG215" s="34"/>
      <c r="GPH215" s="34"/>
      <c r="GPI215" s="34"/>
      <c r="GPJ215" s="34"/>
      <c r="GPK215" s="34"/>
      <c r="GPL215" s="34"/>
      <c r="GPM215" s="34"/>
      <c r="GPN215" s="34"/>
      <c r="GPO215" s="34"/>
      <c r="GPP215" s="34"/>
      <c r="GPQ215" s="34"/>
      <c r="GPR215" s="34"/>
      <c r="GPS215" s="34"/>
      <c r="GPT215" s="34"/>
      <c r="GPU215" s="34"/>
      <c r="GPV215" s="34"/>
      <c r="GPW215" s="34"/>
      <c r="GPX215" s="34"/>
      <c r="GPY215" s="34"/>
      <c r="GPZ215" s="34"/>
      <c r="GQA215" s="34"/>
      <c r="GQB215" s="34"/>
      <c r="GQC215" s="34"/>
      <c r="GQD215" s="34"/>
      <c r="GQE215" s="34"/>
      <c r="GQF215" s="34"/>
      <c r="GQG215" s="34"/>
      <c r="GQH215" s="34"/>
      <c r="GQI215" s="34"/>
      <c r="GQJ215" s="34"/>
      <c r="GQK215" s="34"/>
      <c r="GQL215" s="34"/>
      <c r="GQM215" s="34"/>
      <c r="GQN215" s="34"/>
      <c r="GQO215" s="34"/>
      <c r="GQP215" s="34"/>
      <c r="GQQ215" s="34"/>
      <c r="GQR215" s="34"/>
      <c r="GQS215" s="34"/>
      <c r="GQT215" s="34"/>
      <c r="GQU215" s="34"/>
      <c r="GQV215" s="34"/>
      <c r="GQW215" s="34"/>
      <c r="GQX215" s="34"/>
      <c r="GQY215" s="34"/>
      <c r="GQZ215" s="34"/>
      <c r="GRA215" s="34"/>
      <c r="GRB215" s="34"/>
      <c r="GRC215" s="34"/>
      <c r="GRD215" s="34"/>
      <c r="GRE215" s="34"/>
      <c r="GRF215" s="34"/>
      <c r="GRG215" s="34"/>
      <c r="GRH215" s="34"/>
      <c r="GRI215" s="34"/>
      <c r="GRJ215" s="34"/>
      <c r="GRK215" s="34"/>
      <c r="GRL215" s="34"/>
      <c r="GRM215" s="34"/>
      <c r="GRN215" s="34"/>
      <c r="GRO215" s="34"/>
      <c r="GRP215" s="34"/>
      <c r="GRQ215" s="34"/>
      <c r="GRR215" s="34"/>
      <c r="GRS215" s="34"/>
      <c r="GRT215" s="34"/>
      <c r="GRU215" s="34"/>
      <c r="GRV215" s="34"/>
      <c r="GRW215" s="34"/>
      <c r="GRX215" s="34"/>
      <c r="GRY215" s="34"/>
      <c r="GRZ215" s="34"/>
      <c r="GSA215" s="34"/>
      <c r="GSB215" s="34"/>
      <c r="GSC215" s="34"/>
      <c r="GSD215" s="34"/>
      <c r="GSE215" s="34"/>
      <c r="GSF215" s="34"/>
      <c r="GSG215" s="34"/>
      <c r="GSH215" s="34"/>
      <c r="GSI215" s="34"/>
      <c r="GSJ215" s="34"/>
      <c r="GSK215" s="34"/>
      <c r="GSL215" s="34"/>
      <c r="GSM215" s="34"/>
      <c r="GSN215" s="34"/>
      <c r="GSO215" s="34"/>
      <c r="GSP215" s="34"/>
      <c r="GSQ215" s="34"/>
      <c r="GSR215" s="34"/>
      <c r="GSS215" s="34"/>
      <c r="GST215" s="34"/>
      <c r="GSU215" s="34"/>
      <c r="GSV215" s="34"/>
      <c r="GSW215" s="34"/>
      <c r="GSX215" s="34"/>
      <c r="GSY215" s="34"/>
      <c r="GSZ215" s="34"/>
      <c r="GTA215" s="34"/>
      <c r="GTB215" s="34"/>
      <c r="GTC215" s="34"/>
      <c r="GTD215" s="34"/>
      <c r="GTE215" s="34"/>
      <c r="GTF215" s="34"/>
      <c r="GTG215" s="34"/>
      <c r="GTH215" s="34"/>
      <c r="GTI215" s="34"/>
      <c r="GTJ215" s="34"/>
      <c r="GTK215" s="34"/>
      <c r="GTL215" s="34"/>
      <c r="GTM215" s="34"/>
      <c r="GTN215" s="34"/>
      <c r="GTO215" s="34"/>
      <c r="GTP215" s="34"/>
      <c r="GTQ215" s="34"/>
      <c r="GTR215" s="34"/>
      <c r="GTS215" s="34"/>
      <c r="GTT215" s="34"/>
      <c r="GTU215" s="34"/>
      <c r="GTV215" s="34"/>
      <c r="GTW215" s="34"/>
      <c r="GTX215" s="34"/>
      <c r="GTY215" s="34"/>
      <c r="GTZ215" s="34"/>
      <c r="GUA215" s="34"/>
      <c r="GUB215" s="34"/>
      <c r="GUC215" s="34"/>
      <c r="GUD215" s="34"/>
      <c r="GUE215" s="34"/>
      <c r="GUF215" s="34"/>
      <c r="GUG215" s="34"/>
      <c r="GUH215" s="34"/>
      <c r="GUI215" s="34"/>
      <c r="GUJ215" s="34"/>
      <c r="GUK215" s="34"/>
      <c r="GUL215" s="34"/>
      <c r="GUM215" s="34"/>
      <c r="GUN215" s="34"/>
      <c r="GUO215" s="34"/>
      <c r="GUP215" s="34"/>
      <c r="GUQ215" s="34"/>
      <c r="GUR215" s="34"/>
      <c r="GUS215" s="34"/>
      <c r="GUT215" s="34"/>
      <c r="GUU215" s="34"/>
      <c r="GUV215" s="34"/>
      <c r="GUW215" s="34"/>
      <c r="GUX215" s="34"/>
      <c r="GUY215" s="34"/>
      <c r="GUZ215" s="34"/>
      <c r="GVA215" s="34"/>
      <c r="GVB215" s="34"/>
      <c r="GVC215" s="34"/>
      <c r="GVD215" s="34"/>
      <c r="GVE215" s="34"/>
      <c r="GVF215" s="34"/>
      <c r="GVG215" s="34"/>
      <c r="GVH215" s="34"/>
      <c r="GVI215" s="34"/>
      <c r="GVJ215" s="34"/>
      <c r="GVK215" s="34"/>
      <c r="GVL215" s="34"/>
      <c r="GVM215" s="34"/>
      <c r="GVN215" s="34"/>
      <c r="GVO215" s="34"/>
      <c r="GVP215" s="34"/>
      <c r="GVQ215" s="34"/>
      <c r="GVR215" s="34"/>
      <c r="GVS215" s="34"/>
      <c r="GVT215" s="34"/>
      <c r="GVU215" s="34"/>
      <c r="GVV215" s="34"/>
      <c r="GVW215" s="34"/>
      <c r="GVX215" s="34"/>
      <c r="GVY215" s="34"/>
      <c r="GVZ215" s="34"/>
      <c r="GWA215" s="34"/>
      <c r="GWB215" s="34"/>
      <c r="GWC215" s="34"/>
      <c r="GWD215" s="34"/>
      <c r="GWE215" s="34"/>
      <c r="GWF215" s="34"/>
      <c r="GWG215" s="34"/>
      <c r="GWH215" s="34"/>
      <c r="GWI215" s="34"/>
      <c r="GWJ215" s="34"/>
      <c r="GWK215" s="34"/>
      <c r="GWL215" s="34"/>
      <c r="GWM215" s="34"/>
      <c r="GWN215" s="34"/>
      <c r="GWO215" s="34"/>
      <c r="GWP215" s="34"/>
      <c r="GWQ215" s="34"/>
      <c r="GWR215" s="34"/>
      <c r="GWS215" s="34"/>
      <c r="GWT215" s="34"/>
      <c r="GWU215" s="34"/>
      <c r="GWV215" s="34"/>
      <c r="GWW215" s="34"/>
      <c r="GWX215" s="34"/>
      <c r="GWY215" s="34"/>
      <c r="GWZ215" s="34"/>
      <c r="GXA215" s="34"/>
      <c r="GXB215" s="34"/>
      <c r="GXC215" s="34"/>
      <c r="GXD215" s="34"/>
      <c r="GXE215" s="34"/>
      <c r="GXF215" s="34"/>
      <c r="GXG215" s="34"/>
      <c r="GXH215" s="34"/>
      <c r="GXI215" s="34"/>
      <c r="GXJ215" s="34"/>
      <c r="GXK215" s="34"/>
      <c r="GXL215" s="34"/>
      <c r="GXM215" s="34"/>
      <c r="GXN215" s="34"/>
      <c r="GXO215" s="34"/>
      <c r="GXP215" s="34"/>
      <c r="GXQ215" s="34"/>
      <c r="GXR215" s="34"/>
      <c r="GXS215" s="34"/>
      <c r="GXT215" s="34"/>
      <c r="GXU215" s="34"/>
      <c r="GXV215" s="34"/>
      <c r="GXW215" s="34"/>
      <c r="GXX215" s="34"/>
      <c r="GXY215" s="34"/>
      <c r="GXZ215" s="34"/>
      <c r="GYA215" s="34"/>
      <c r="GYB215" s="34"/>
      <c r="GYC215" s="34"/>
      <c r="GYD215" s="34"/>
      <c r="GYE215" s="34"/>
      <c r="GYF215" s="34"/>
      <c r="GYG215" s="34"/>
      <c r="GYH215" s="34"/>
      <c r="GYI215" s="34"/>
      <c r="GYJ215" s="34"/>
      <c r="GYK215" s="34"/>
      <c r="GYL215" s="34"/>
      <c r="GYM215" s="34"/>
      <c r="GYN215" s="34"/>
      <c r="GYO215" s="34"/>
      <c r="GYP215" s="34"/>
      <c r="GYQ215" s="34"/>
      <c r="GYR215" s="34"/>
      <c r="GYS215" s="34"/>
      <c r="GYT215" s="34"/>
      <c r="GYU215" s="34"/>
      <c r="GYV215" s="34"/>
      <c r="GYW215" s="34"/>
      <c r="GYX215" s="34"/>
      <c r="GYY215" s="34"/>
      <c r="GYZ215" s="34"/>
      <c r="GZA215" s="34"/>
      <c r="GZB215" s="34"/>
      <c r="GZC215" s="34"/>
      <c r="GZD215" s="34"/>
      <c r="GZE215" s="34"/>
      <c r="GZF215" s="34"/>
      <c r="GZG215" s="34"/>
      <c r="GZH215" s="34"/>
      <c r="GZI215" s="34"/>
      <c r="GZJ215" s="34"/>
      <c r="GZK215" s="34"/>
      <c r="GZL215" s="34"/>
      <c r="GZM215" s="34"/>
      <c r="GZN215" s="34"/>
      <c r="GZO215" s="34"/>
      <c r="GZP215" s="34"/>
      <c r="GZQ215" s="34"/>
      <c r="GZR215" s="34"/>
      <c r="GZS215" s="34"/>
      <c r="GZT215" s="34"/>
      <c r="GZU215" s="34"/>
      <c r="GZV215" s="34"/>
      <c r="GZW215" s="34"/>
      <c r="GZX215" s="34"/>
      <c r="GZY215" s="34"/>
      <c r="GZZ215" s="34"/>
      <c r="HAA215" s="34"/>
      <c r="HAB215" s="34"/>
      <c r="HAC215" s="34"/>
      <c r="HAD215" s="34"/>
      <c r="HAE215" s="34"/>
      <c r="HAF215" s="34"/>
      <c r="HAG215" s="34"/>
      <c r="HAH215" s="34"/>
      <c r="HAI215" s="34"/>
      <c r="HAJ215" s="34"/>
      <c r="HAK215" s="34"/>
      <c r="HAL215" s="34"/>
      <c r="HAM215" s="34"/>
      <c r="HAN215" s="34"/>
      <c r="HAO215" s="34"/>
      <c r="HAP215" s="34"/>
      <c r="HAQ215" s="34"/>
      <c r="HAR215" s="34"/>
      <c r="HAS215" s="34"/>
      <c r="HAT215" s="34"/>
      <c r="HAU215" s="34"/>
      <c r="HAV215" s="34"/>
      <c r="HAW215" s="34"/>
      <c r="HAX215" s="34"/>
      <c r="HAY215" s="34"/>
      <c r="HAZ215" s="34"/>
      <c r="HBA215" s="34"/>
      <c r="HBB215" s="34"/>
      <c r="HBC215" s="34"/>
      <c r="HBD215" s="34"/>
      <c r="HBE215" s="34"/>
      <c r="HBF215" s="34"/>
      <c r="HBG215" s="34"/>
      <c r="HBH215" s="34"/>
      <c r="HBI215" s="34"/>
      <c r="HBJ215" s="34"/>
      <c r="HBK215" s="34"/>
      <c r="HBL215" s="34"/>
      <c r="HBM215" s="34"/>
      <c r="HBN215" s="34"/>
      <c r="HBO215" s="34"/>
      <c r="HBP215" s="34"/>
      <c r="HBQ215" s="34"/>
      <c r="HBR215" s="34"/>
      <c r="HBS215" s="34"/>
      <c r="HBT215" s="34"/>
      <c r="HBU215" s="34"/>
      <c r="HBV215" s="34"/>
      <c r="HBW215" s="34"/>
      <c r="HBX215" s="34"/>
      <c r="HBY215" s="34"/>
      <c r="HBZ215" s="34"/>
      <c r="HCA215" s="34"/>
      <c r="HCB215" s="34"/>
      <c r="HCC215" s="34"/>
      <c r="HCD215" s="34"/>
      <c r="HCE215" s="34"/>
      <c r="HCF215" s="34"/>
      <c r="HCG215" s="34"/>
      <c r="HCH215" s="34"/>
      <c r="HCI215" s="34"/>
      <c r="HCJ215" s="34"/>
      <c r="HCK215" s="34"/>
      <c r="HCL215" s="34"/>
      <c r="HCM215" s="34"/>
      <c r="HCN215" s="34"/>
      <c r="HCO215" s="34"/>
      <c r="HCP215" s="34"/>
      <c r="HCQ215" s="34"/>
      <c r="HCR215" s="34"/>
      <c r="HCS215" s="34"/>
      <c r="HCT215" s="34"/>
      <c r="HCU215" s="34"/>
      <c r="HCV215" s="34"/>
      <c r="HCW215" s="34"/>
      <c r="HCX215" s="34"/>
      <c r="HCY215" s="34"/>
      <c r="HCZ215" s="34"/>
      <c r="HDA215" s="34"/>
      <c r="HDB215" s="34"/>
      <c r="HDC215" s="34"/>
      <c r="HDD215" s="34"/>
      <c r="HDE215" s="34"/>
      <c r="HDF215" s="34"/>
      <c r="HDG215" s="34"/>
      <c r="HDH215" s="34"/>
      <c r="HDI215" s="34"/>
      <c r="HDJ215" s="34"/>
      <c r="HDK215" s="34"/>
      <c r="HDL215" s="34"/>
      <c r="HDM215" s="34"/>
      <c r="HDN215" s="34"/>
      <c r="HDO215" s="34"/>
      <c r="HDP215" s="34"/>
      <c r="HDQ215" s="34"/>
      <c r="HDR215" s="34"/>
      <c r="HDS215" s="34"/>
      <c r="HDT215" s="34"/>
      <c r="HDU215" s="34"/>
      <c r="HDV215" s="34"/>
      <c r="HDW215" s="34"/>
      <c r="HDX215" s="34"/>
      <c r="HDY215" s="34"/>
      <c r="HDZ215" s="34"/>
      <c r="HEA215" s="34"/>
      <c r="HEB215" s="34"/>
      <c r="HEC215" s="34"/>
      <c r="HED215" s="34"/>
      <c r="HEE215" s="34"/>
      <c r="HEF215" s="34"/>
      <c r="HEG215" s="34"/>
      <c r="HEH215" s="34"/>
      <c r="HEI215" s="34"/>
      <c r="HEJ215" s="34"/>
      <c r="HEK215" s="34"/>
      <c r="HEL215" s="34"/>
      <c r="HEM215" s="34"/>
      <c r="HEN215" s="34"/>
      <c r="HEO215" s="34"/>
      <c r="HEP215" s="34"/>
      <c r="HEQ215" s="34"/>
      <c r="HER215" s="34"/>
      <c r="HES215" s="34"/>
      <c r="HET215" s="34"/>
      <c r="HEU215" s="34"/>
      <c r="HEV215" s="34"/>
      <c r="HEW215" s="34"/>
      <c r="HEX215" s="34"/>
      <c r="HEY215" s="34"/>
      <c r="HEZ215" s="34"/>
      <c r="HFA215" s="34"/>
      <c r="HFB215" s="34"/>
      <c r="HFC215" s="34"/>
      <c r="HFD215" s="34"/>
      <c r="HFE215" s="34"/>
      <c r="HFF215" s="34"/>
      <c r="HFG215" s="34"/>
      <c r="HFH215" s="34"/>
      <c r="HFI215" s="34"/>
      <c r="HFJ215" s="34"/>
      <c r="HFK215" s="34"/>
      <c r="HFL215" s="34"/>
      <c r="HFM215" s="34"/>
      <c r="HFN215" s="34"/>
      <c r="HFO215" s="34"/>
      <c r="HFP215" s="34"/>
      <c r="HFQ215" s="34"/>
      <c r="HFR215" s="34"/>
      <c r="HFS215" s="34"/>
      <c r="HFT215" s="34"/>
      <c r="HFU215" s="34"/>
      <c r="HFV215" s="34"/>
      <c r="HFW215" s="34"/>
      <c r="HFX215" s="34"/>
      <c r="HFY215" s="34"/>
      <c r="HFZ215" s="34"/>
      <c r="HGA215" s="34"/>
      <c r="HGB215" s="34"/>
      <c r="HGC215" s="34"/>
      <c r="HGD215" s="34"/>
      <c r="HGE215" s="34"/>
      <c r="HGF215" s="34"/>
      <c r="HGG215" s="34"/>
      <c r="HGH215" s="34"/>
      <c r="HGI215" s="34"/>
      <c r="HGJ215" s="34"/>
      <c r="HGK215" s="34"/>
      <c r="HGL215" s="34"/>
      <c r="HGM215" s="34"/>
      <c r="HGN215" s="34"/>
      <c r="HGO215" s="34"/>
      <c r="HGP215" s="34"/>
      <c r="HGQ215" s="34"/>
      <c r="HGR215" s="34"/>
      <c r="HGS215" s="34"/>
      <c r="HGT215" s="34"/>
      <c r="HGU215" s="34"/>
      <c r="HGV215" s="34"/>
      <c r="HGW215" s="34"/>
      <c r="HGX215" s="34"/>
      <c r="HGY215" s="34"/>
      <c r="HGZ215" s="34"/>
      <c r="HHA215" s="34"/>
      <c r="HHB215" s="34"/>
      <c r="HHC215" s="34"/>
      <c r="HHD215" s="34"/>
      <c r="HHE215" s="34"/>
      <c r="HHF215" s="34"/>
      <c r="HHG215" s="34"/>
      <c r="HHH215" s="34"/>
      <c r="HHI215" s="34"/>
      <c r="HHJ215" s="34"/>
      <c r="HHK215" s="34"/>
      <c r="HHL215" s="34"/>
      <c r="HHM215" s="34"/>
      <c r="HHN215" s="34"/>
      <c r="HHO215" s="34"/>
      <c r="HHP215" s="34"/>
      <c r="HHQ215" s="34"/>
      <c r="HHR215" s="34"/>
      <c r="HHS215" s="34"/>
      <c r="HHT215" s="34"/>
      <c r="HHU215" s="34"/>
      <c r="HHV215" s="34"/>
      <c r="HHW215" s="34"/>
      <c r="HHX215" s="34"/>
      <c r="HHY215" s="34"/>
      <c r="HHZ215" s="34"/>
      <c r="HIA215" s="34"/>
      <c r="HIB215" s="34"/>
      <c r="HIC215" s="34"/>
      <c r="HID215" s="34"/>
      <c r="HIE215" s="34"/>
      <c r="HIF215" s="34"/>
      <c r="HIG215" s="34"/>
      <c r="HIH215" s="34"/>
      <c r="HII215" s="34"/>
      <c r="HIJ215" s="34"/>
      <c r="HIK215" s="34"/>
      <c r="HIL215" s="34"/>
      <c r="HIM215" s="34"/>
      <c r="HIN215" s="34"/>
      <c r="HIO215" s="34"/>
      <c r="HIP215" s="34"/>
      <c r="HIQ215" s="34"/>
      <c r="HIR215" s="34"/>
      <c r="HIS215" s="34"/>
      <c r="HIT215" s="34"/>
      <c r="HIU215" s="34"/>
      <c r="HIV215" s="34"/>
      <c r="HIW215" s="34"/>
      <c r="HIX215" s="34"/>
      <c r="HIY215" s="34"/>
      <c r="HIZ215" s="34"/>
      <c r="HJA215" s="34"/>
      <c r="HJB215" s="34"/>
      <c r="HJC215" s="34"/>
      <c r="HJD215" s="34"/>
      <c r="HJE215" s="34"/>
      <c r="HJF215" s="34"/>
      <c r="HJG215" s="34"/>
      <c r="HJH215" s="34"/>
      <c r="HJI215" s="34"/>
      <c r="HJJ215" s="34"/>
      <c r="HJK215" s="34"/>
      <c r="HJL215" s="34"/>
      <c r="HJM215" s="34"/>
      <c r="HJN215" s="34"/>
      <c r="HJO215" s="34"/>
      <c r="HJP215" s="34"/>
      <c r="HJQ215" s="34"/>
      <c r="HJR215" s="34"/>
      <c r="HJS215" s="34"/>
      <c r="HJT215" s="34"/>
      <c r="HJU215" s="34"/>
      <c r="HJV215" s="34"/>
      <c r="HJW215" s="34"/>
      <c r="HJX215" s="34"/>
      <c r="HJY215" s="34"/>
      <c r="HJZ215" s="34"/>
      <c r="HKA215" s="34"/>
      <c r="HKB215" s="34"/>
      <c r="HKC215" s="34"/>
      <c r="HKD215" s="34"/>
      <c r="HKE215" s="34"/>
      <c r="HKF215" s="34"/>
      <c r="HKG215" s="34"/>
      <c r="HKH215" s="34"/>
      <c r="HKI215" s="34"/>
      <c r="HKJ215" s="34"/>
      <c r="HKK215" s="34"/>
      <c r="HKL215" s="34"/>
      <c r="HKM215" s="34"/>
      <c r="HKN215" s="34"/>
      <c r="HKO215" s="34"/>
      <c r="HKP215" s="34"/>
      <c r="HKQ215" s="34"/>
      <c r="HKR215" s="34"/>
      <c r="HKS215" s="34"/>
      <c r="HKT215" s="34"/>
      <c r="HKU215" s="34"/>
      <c r="HKV215" s="34"/>
      <c r="HKW215" s="34"/>
      <c r="HKX215" s="34"/>
      <c r="HKY215" s="34"/>
      <c r="HKZ215" s="34"/>
      <c r="HLA215" s="34"/>
      <c r="HLB215" s="34"/>
      <c r="HLC215" s="34"/>
      <c r="HLD215" s="34"/>
      <c r="HLE215" s="34"/>
      <c r="HLF215" s="34"/>
      <c r="HLG215" s="34"/>
      <c r="HLH215" s="34"/>
      <c r="HLI215" s="34"/>
      <c r="HLJ215" s="34"/>
      <c r="HLK215" s="34"/>
      <c r="HLL215" s="34"/>
      <c r="HLM215" s="34"/>
      <c r="HLN215" s="34"/>
      <c r="HLO215" s="34"/>
      <c r="HLP215" s="34"/>
      <c r="HLQ215" s="34"/>
      <c r="HLR215" s="34"/>
      <c r="HLS215" s="34"/>
      <c r="HLT215" s="34"/>
      <c r="HLU215" s="34"/>
      <c r="HLV215" s="34"/>
      <c r="HLW215" s="34"/>
      <c r="HLX215" s="34"/>
      <c r="HLY215" s="34"/>
      <c r="HLZ215" s="34"/>
      <c r="HMA215" s="34"/>
      <c r="HMB215" s="34"/>
      <c r="HMC215" s="34"/>
      <c r="HMD215" s="34"/>
      <c r="HME215" s="34"/>
      <c r="HMF215" s="34"/>
      <c r="HMG215" s="34"/>
      <c r="HMH215" s="34"/>
      <c r="HMI215" s="34"/>
      <c r="HMJ215" s="34"/>
      <c r="HMK215" s="34"/>
      <c r="HML215" s="34"/>
      <c r="HMM215" s="34"/>
      <c r="HMN215" s="34"/>
      <c r="HMO215" s="34"/>
      <c r="HMP215" s="34"/>
      <c r="HMQ215" s="34"/>
      <c r="HMR215" s="34"/>
      <c r="HMS215" s="34"/>
      <c r="HMT215" s="34"/>
      <c r="HMU215" s="34"/>
      <c r="HMV215" s="34"/>
      <c r="HMW215" s="34"/>
      <c r="HMX215" s="34"/>
      <c r="HMY215" s="34"/>
      <c r="HMZ215" s="34"/>
      <c r="HNA215" s="34"/>
      <c r="HNB215" s="34"/>
      <c r="HNC215" s="34"/>
      <c r="HND215" s="34"/>
      <c r="HNE215" s="34"/>
      <c r="HNF215" s="34"/>
      <c r="HNG215" s="34"/>
      <c r="HNH215" s="34"/>
      <c r="HNI215" s="34"/>
      <c r="HNJ215" s="34"/>
      <c r="HNK215" s="34"/>
      <c r="HNL215" s="34"/>
      <c r="HNM215" s="34"/>
      <c r="HNN215" s="34"/>
      <c r="HNO215" s="34"/>
      <c r="HNP215" s="34"/>
      <c r="HNQ215" s="34"/>
      <c r="HNR215" s="34"/>
      <c r="HNS215" s="34"/>
      <c r="HNT215" s="34"/>
      <c r="HNU215" s="34"/>
      <c r="HNV215" s="34"/>
      <c r="HNW215" s="34"/>
      <c r="HNX215" s="34"/>
      <c r="HNY215" s="34"/>
      <c r="HNZ215" s="34"/>
      <c r="HOA215" s="34"/>
      <c r="HOB215" s="34"/>
      <c r="HOC215" s="34"/>
      <c r="HOD215" s="34"/>
      <c r="HOE215" s="34"/>
      <c r="HOF215" s="34"/>
      <c r="HOG215" s="34"/>
      <c r="HOH215" s="34"/>
      <c r="HOI215" s="34"/>
      <c r="HOJ215" s="34"/>
      <c r="HOK215" s="34"/>
      <c r="HOL215" s="34"/>
      <c r="HOM215" s="34"/>
      <c r="HON215" s="34"/>
      <c r="HOO215" s="34"/>
      <c r="HOP215" s="34"/>
      <c r="HOQ215" s="34"/>
      <c r="HOR215" s="34"/>
      <c r="HOS215" s="34"/>
      <c r="HOT215" s="34"/>
      <c r="HOU215" s="34"/>
      <c r="HOV215" s="34"/>
      <c r="HOW215" s="34"/>
      <c r="HOX215" s="34"/>
      <c r="HOY215" s="34"/>
      <c r="HOZ215" s="34"/>
      <c r="HPA215" s="34"/>
      <c r="HPB215" s="34"/>
      <c r="HPC215" s="34"/>
      <c r="HPD215" s="34"/>
      <c r="HPE215" s="34"/>
      <c r="HPF215" s="34"/>
      <c r="HPG215" s="34"/>
      <c r="HPH215" s="34"/>
      <c r="HPI215" s="34"/>
      <c r="HPJ215" s="34"/>
      <c r="HPK215" s="34"/>
      <c r="HPL215" s="34"/>
      <c r="HPM215" s="34"/>
      <c r="HPN215" s="34"/>
      <c r="HPO215" s="34"/>
      <c r="HPP215" s="34"/>
      <c r="HPQ215" s="34"/>
      <c r="HPR215" s="34"/>
      <c r="HPS215" s="34"/>
      <c r="HPT215" s="34"/>
      <c r="HPU215" s="34"/>
      <c r="HPV215" s="34"/>
      <c r="HPW215" s="34"/>
      <c r="HPX215" s="34"/>
      <c r="HPY215" s="34"/>
      <c r="HPZ215" s="34"/>
      <c r="HQA215" s="34"/>
      <c r="HQB215" s="34"/>
      <c r="HQC215" s="34"/>
      <c r="HQD215" s="34"/>
      <c r="HQE215" s="34"/>
      <c r="HQF215" s="34"/>
      <c r="HQG215" s="34"/>
      <c r="HQH215" s="34"/>
      <c r="HQI215" s="34"/>
      <c r="HQJ215" s="34"/>
      <c r="HQK215" s="34"/>
      <c r="HQL215" s="34"/>
      <c r="HQM215" s="34"/>
      <c r="HQN215" s="34"/>
      <c r="HQO215" s="34"/>
      <c r="HQP215" s="34"/>
      <c r="HQQ215" s="34"/>
      <c r="HQR215" s="34"/>
      <c r="HQS215" s="34"/>
      <c r="HQT215" s="34"/>
      <c r="HQU215" s="34"/>
      <c r="HQV215" s="34"/>
      <c r="HQW215" s="34"/>
      <c r="HQX215" s="34"/>
      <c r="HQY215" s="34"/>
      <c r="HQZ215" s="34"/>
      <c r="HRA215" s="34"/>
      <c r="HRB215" s="34"/>
      <c r="HRC215" s="34"/>
      <c r="HRD215" s="34"/>
      <c r="HRE215" s="34"/>
      <c r="HRF215" s="34"/>
      <c r="HRG215" s="34"/>
      <c r="HRH215" s="34"/>
      <c r="HRI215" s="34"/>
      <c r="HRJ215" s="34"/>
      <c r="HRK215" s="34"/>
      <c r="HRL215" s="34"/>
      <c r="HRM215" s="34"/>
      <c r="HRN215" s="34"/>
      <c r="HRO215" s="34"/>
      <c r="HRP215" s="34"/>
      <c r="HRQ215" s="34"/>
      <c r="HRR215" s="34"/>
      <c r="HRS215" s="34"/>
      <c r="HRT215" s="34"/>
      <c r="HRU215" s="34"/>
      <c r="HRV215" s="34"/>
      <c r="HRW215" s="34"/>
      <c r="HRX215" s="34"/>
      <c r="HRY215" s="34"/>
      <c r="HRZ215" s="34"/>
      <c r="HSA215" s="34"/>
      <c r="HSB215" s="34"/>
      <c r="HSC215" s="34"/>
      <c r="HSD215" s="34"/>
      <c r="HSE215" s="34"/>
      <c r="HSF215" s="34"/>
      <c r="HSG215" s="34"/>
      <c r="HSH215" s="34"/>
      <c r="HSI215" s="34"/>
      <c r="HSJ215" s="34"/>
      <c r="HSK215" s="34"/>
      <c r="HSL215" s="34"/>
      <c r="HSM215" s="34"/>
      <c r="HSN215" s="34"/>
      <c r="HSO215" s="34"/>
      <c r="HSP215" s="34"/>
      <c r="HSQ215" s="34"/>
      <c r="HSR215" s="34"/>
      <c r="HSS215" s="34"/>
      <c r="HST215" s="34"/>
      <c r="HSU215" s="34"/>
      <c r="HSV215" s="34"/>
      <c r="HSW215" s="34"/>
      <c r="HSX215" s="34"/>
      <c r="HSY215" s="34"/>
      <c r="HSZ215" s="34"/>
      <c r="HTA215" s="34"/>
      <c r="HTB215" s="34"/>
      <c r="HTC215" s="34"/>
      <c r="HTD215" s="34"/>
      <c r="HTE215" s="34"/>
      <c r="HTF215" s="34"/>
      <c r="HTG215" s="34"/>
      <c r="HTH215" s="34"/>
      <c r="HTI215" s="34"/>
      <c r="HTJ215" s="34"/>
      <c r="HTK215" s="34"/>
      <c r="HTL215" s="34"/>
      <c r="HTM215" s="34"/>
      <c r="HTN215" s="34"/>
      <c r="HTO215" s="34"/>
      <c r="HTP215" s="34"/>
      <c r="HTQ215" s="34"/>
      <c r="HTR215" s="34"/>
      <c r="HTS215" s="34"/>
      <c r="HTT215" s="34"/>
      <c r="HTU215" s="34"/>
      <c r="HTV215" s="34"/>
      <c r="HTW215" s="34"/>
      <c r="HTX215" s="34"/>
      <c r="HTY215" s="34"/>
      <c r="HTZ215" s="34"/>
      <c r="HUA215" s="34"/>
      <c r="HUB215" s="34"/>
      <c r="HUC215" s="34"/>
      <c r="HUD215" s="34"/>
      <c r="HUE215" s="34"/>
      <c r="HUF215" s="34"/>
      <c r="HUG215" s="34"/>
      <c r="HUH215" s="34"/>
      <c r="HUI215" s="34"/>
      <c r="HUJ215" s="34"/>
      <c r="HUK215" s="34"/>
      <c r="HUL215" s="34"/>
      <c r="HUM215" s="34"/>
      <c r="HUN215" s="34"/>
      <c r="HUO215" s="34"/>
      <c r="HUP215" s="34"/>
      <c r="HUQ215" s="34"/>
      <c r="HUR215" s="34"/>
      <c r="HUS215" s="34"/>
      <c r="HUT215" s="34"/>
      <c r="HUU215" s="34"/>
      <c r="HUV215" s="34"/>
      <c r="HUW215" s="34"/>
      <c r="HUX215" s="34"/>
      <c r="HUY215" s="34"/>
      <c r="HUZ215" s="34"/>
      <c r="HVA215" s="34"/>
      <c r="HVB215" s="34"/>
      <c r="HVC215" s="34"/>
      <c r="HVD215" s="34"/>
      <c r="HVE215" s="34"/>
      <c r="HVF215" s="34"/>
      <c r="HVG215" s="34"/>
      <c r="HVH215" s="34"/>
      <c r="HVI215" s="34"/>
      <c r="HVJ215" s="34"/>
      <c r="HVK215" s="34"/>
      <c r="HVL215" s="34"/>
      <c r="HVM215" s="34"/>
      <c r="HVN215" s="34"/>
      <c r="HVO215" s="34"/>
      <c r="HVP215" s="34"/>
      <c r="HVQ215" s="34"/>
      <c r="HVR215" s="34"/>
      <c r="HVS215" s="34"/>
      <c r="HVT215" s="34"/>
      <c r="HVU215" s="34"/>
      <c r="HVV215" s="34"/>
      <c r="HVW215" s="34"/>
      <c r="HVX215" s="34"/>
      <c r="HVY215" s="34"/>
      <c r="HVZ215" s="34"/>
      <c r="HWA215" s="34"/>
      <c r="HWB215" s="34"/>
      <c r="HWC215" s="34"/>
      <c r="HWD215" s="34"/>
      <c r="HWE215" s="34"/>
      <c r="HWF215" s="34"/>
      <c r="HWG215" s="34"/>
      <c r="HWH215" s="34"/>
      <c r="HWI215" s="34"/>
      <c r="HWJ215" s="34"/>
      <c r="HWK215" s="34"/>
      <c r="HWL215" s="34"/>
      <c r="HWM215" s="34"/>
      <c r="HWN215" s="34"/>
      <c r="HWO215" s="34"/>
      <c r="HWP215" s="34"/>
      <c r="HWQ215" s="34"/>
      <c r="HWR215" s="34"/>
      <c r="HWS215" s="34"/>
      <c r="HWT215" s="34"/>
      <c r="HWU215" s="34"/>
      <c r="HWV215" s="34"/>
      <c r="HWW215" s="34"/>
      <c r="HWX215" s="34"/>
      <c r="HWY215" s="34"/>
      <c r="HWZ215" s="34"/>
      <c r="HXA215" s="34"/>
      <c r="HXB215" s="34"/>
      <c r="HXC215" s="34"/>
      <c r="HXD215" s="34"/>
      <c r="HXE215" s="34"/>
      <c r="HXF215" s="34"/>
      <c r="HXG215" s="34"/>
      <c r="HXH215" s="34"/>
      <c r="HXI215" s="34"/>
      <c r="HXJ215" s="34"/>
      <c r="HXK215" s="34"/>
      <c r="HXL215" s="34"/>
      <c r="HXM215" s="34"/>
      <c r="HXN215" s="34"/>
      <c r="HXO215" s="34"/>
      <c r="HXP215" s="34"/>
      <c r="HXQ215" s="34"/>
      <c r="HXR215" s="34"/>
      <c r="HXS215" s="34"/>
      <c r="HXT215" s="34"/>
      <c r="HXU215" s="34"/>
      <c r="HXV215" s="34"/>
      <c r="HXW215" s="34"/>
      <c r="HXX215" s="34"/>
      <c r="HXY215" s="34"/>
      <c r="HXZ215" s="34"/>
      <c r="HYA215" s="34"/>
      <c r="HYB215" s="34"/>
      <c r="HYC215" s="34"/>
      <c r="HYD215" s="34"/>
      <c r="HYE215" s="34"/>
      <c r="HYF215" s="34"/>
      <c r="HYG215" s="34"/>
      <c r="HYH215" s="34"/>
      <c r="HYI215" s="34"/>
      <c r="HYJ215" s="34"/>
      <c r="HYK215" s="34"/>
      <c r="HYL215" s="34"/>
      <c r="HYM215" s="34"/>
      <c r="HYN215" s="34"/>
      <c r="HYO215" s="34"/>
      <c r="HYP215" s="34"/>
      <c r="HYQ215" s="34"/>
      <c r="HYR215" s="34"/>
      <c r="HYS215" s="34"/>
      <c r="HYT215" s="34"/>
      <c r="HYU215" s="34"/>
      <c r="HYV215" s="34"/>
      <c r="HYW215" s="34"/>
      <c r="HYX215" s="34"/>
      <c r="HYY215" s="34"/>
      <c r="HYZ215" s="34"/>
      <c r="HZA215" s="34"/>
      <c r="HZB215" s="34"/>
      <c r="HZC215" s="34"/>
      <c r="HZD215" s="34"/>
      <c r="HZE215" s="34"/>
      <c r="HZF215" s="34"/>
      <c r="HZG215" s="34"/>
      <c r="HZH215" s="34"/>
      <c r="HZI215" s="34"/>
      <c r="HZJ215" s="34"/>
      <c r="HZK215" s="34"/>
      <c r="HZL215" s="34"/>
      <c r="HZM215" s="34"/>
      <c r="HZN215" s="34"/>
      <c r="HZO215" s="34"/>
      <c r="HZP215" s="34"/>
      <c r="HZQ215" s="34"/>
      <c r="HZR215" s="34"/>
      <c r="HZS215" s="34"/>
      <c r="HZT215" s="34"/>
      <c r="HZU215" s="34"/>
      <c r="HZV215" s="34"/>
      <c r="HZW215" s="34"/>
      <c r="HZX215" s="34"/>
      <c r="HZY215" s="34"/>
      <c r="HZZ215" s="34"/>
      <c r="IAA215" s="34"/>
      <c r="IAB215" s="34"/>
      <c r="IAC215" s="34"/>
      <c r="IAD215" s="34"/>
      <c r="IAE215" s="34"/>
      <c r="IAF215" s="34"/>
      <c r="IAG215" s="34"/>
      <c r="IAH215" s="34"/>
      <c r="IAI215" s="34"/>
      <c r="IAJ215" s="34"/>
      <c r="IAK215" s="34"/>
      <c r="IAL215" s="34"/>
      <c r="IAM215" s="34"/>
      <c r="IAN215" s="34"/>
      <c r="IAO215" s="34"/>
      <c r="IAP215" s="34"/>
      <c r="IAQ215" s="34"/>
      <c r="IAR215" s="34"/>
      <c r="IAS215" s="34"/>
      <c r="IAT215" s="34"/>
      <c r="IAU215" s="34"/>
      <c r="IAV215" s="34"/>
      <c r="IAW215" s="34"/>
      <c r="IAX215" s="34"/>
      <c r="IAY215" s="34"/>
      <c r="IAZ215" s="34"/>
      <c r="IBA215" s="34"/>
      <c r="IBB215" s="34"/>
      <c r="IBC215" s="34"/>
      <c r="IBD215" s="34"/>
      <c r="IBE215" s="34"/>
      <c r="IBF215" s="34"/>
      <c r="IBG215" s="34"/>
      <c r="IBH215" s="34"/>
      <c r="IBI215" s="34"/>
      <c r="IBJ215" s="34"/>
      <c r="IBK215" s="34"/>
      <c r="IBL215" s="34"/>
      <c r="IBM215" s="34"/>
      <c r="IBN215" s="34"/>
      <c r="IBO215" s="34"/>
      <c r="IBP215" s="34"/>
      <c r="IBQ215" s="34"/>
      <c r="IBR215" s="34"/>
      <c r="IBS215" s="34"/>
      <c r="IBT215" s="34"/>
      <c r="IBU215" s="34"/>
      <c r="IBV215" s="34"/>
      <c r="IBW215" s="34"/>
      <c r="IBX215" s="34"/>
      <c r="IBY215" s="34"/>
      <c r="IBZ215" s="34"/>
      <c r="ICA215" s="34"/>
      <c r="ICB215" s="34"/>
      <c r="ICC215" s="34"/>
      <c r="ICD215" s="34"/>
      <c r="ICE215" s="34"/>
      <c r="ICF215" s="34"/>
      <c r="ICG215" s="34"/>
      <c r="ICH215" s="34"/>
      <c r="ICI215" s="34"/>
      <c r="ICJ215" s="34"/>
      <c r="ICK215" s="34"/>
      <c r="ICL215" s="34"/>
      <c r="ICM215" s="34"/>
      <c r="ICN215" s="34"/>
      <c r="ICO215" s="34"/>
      <c r="ICP215" s="34"/>
      <c r="ICQ215" s="34"/>
      <c r="ICR215" s="34"/>
      <c r="ICS215" s="34"/>
      <c r="ICT215" s="34"/>
      <c r="ICU215" s="34"/>
      <c r="ICV215" s="34"/>
      <c r="ICW215" s="34"/>
      <c r="ICX215" s="34"/>
      <c r="ICY215" s="34"/>
      <c r="ICZ215" s="34"/>
      <c r="IDA215" s="34"/>
      <c r="IDB215" s="34"/>
      <c r="IDC215" s="34"/>
      <c r="IDD215" s="34"/>
      <c r="IDE215" s="34"/>
      <c r="IDF215" s="34"/>
      <c r="IDG215" s="34"/>
      <c r="IDH215" s="34"/>
      <c r="IDI215" s="34"/>
      <c r="IDJ215" s="34"/>
      <c r="IDK215" s="34"/>
      <c r="IDL215" s="34"/>
      <c r="IDM215" s="34"/>
      <c r="IDN215" s="34"/>
      <c r="IDO215" s="34"/>
      <c r="IDP215" s="34"/>
      <c r="IDQ215" s="34"/>
      <c r="IDR215" s="34"/>
      <c r="IDS215" s="34"/>
      <c r="IDT215" s="34"/>
      <c r="IDU215" s="34"/>
      <c r="IDV215" s="34"/>
      <c r="IDW215" s="34"/>
      <c r="IDX215" s="34"/>
      <c r="IDY215" s="34"/>
      <c r="IDZ215" s="34"/>
      <c r="IEA215" s="34"/>
      <c r="IEB215" s="34"/>
      <c r="IEC215" s="34"/>
      <c r="IED215" s="34"/>
      <c r="IEE215" s="34"/>
      <c r="IEF215" s="34"/>
      <c r="IEG215" s="34"/>
      <c r="IEH215" s="34"/>
      <c r="IEI215" s="34"/>
      <c r="IEJ215" s="34"/>
      <c r="IEK215" s="34"/>
      <c r="IEL215" s="34"/>
      <c r="IEM215" s="34"/>
      <c r="IEN215" s="34"/>
      <c r="IEO215" s="34"/>
      <c r="IEP215" s="34"/>
      <c r="IEQ215" s="34"/>
      <c r="IER215" s="34"/>
      <c r="IES215" s="34"/>
      <c r="IET215" s="34"/>
      <c r="IEU215" s="34"/>
      <c r="IEV215" s="34"/>
      <c r="IEW215" s="34"/>
      <c r="IEX215" s="34"/>
      <c r="IEY215" s="34"/>
      <c r="IEZ215" s="34"/>
      <c r="IFA215" s="34"/>
      <c r="IFB215" s="34"/>
      <c r="IFC215" s="34"/>
      <c r="IFD215" s="34"/>
      <c r="IFE215" s="34"/>
      <c r="IFF215" s="34"/>
      <c r="IFG215" s="34"/>
      <c r="IFH215" s="34"/>
      <c r="IFI215" s="34"/>
      <c r="IFJ215" s="34"/>
      <c r="IFK215" s="34"/>
      <c r="IFL215" s="34"/>
      <c r="IFM215" s="34"/>
      <c r="IFN215" s="34"/>
      <c r="IFO215" s="34"/>
      <c r="IFP215" s="34"/>
      <c r="IFQ215" s="34"/>
      <c r="IFR215" s="34"/>
      <c r="IFS215" s="34"/>
      <c r="IFT215" s="34"/>
      <c r="IFU215" s="34"/>
      <c r="IFV215" s="34"/>
      <c r="IFW215" s="34"/>
      <c r="IFX215" s="34"/>
      <c r="IFY215" s="34"/>
      <c r="IFZ215" s="34"/>
      <c r="IGA215" s="34"/>
      <c r="IGB215" s="34"/>
      <c r="IGC215" s="34"/>
      <c r="IGD215" s="34"/>
      <c r="IGE215" s="34"/>
      <c r="IGF215" s="34"/>
      <c r="IGG215" s="34"/>
      <c r="IGH215" s="34"/>
      <c r="IGI215" s="34"/>
      <c r="IGJ215" s="34"/>
      <c r="IGK215" s="34"/>
      <c r="IGL215" s="34"/>
      <c r="IGM215" s="34"/>
      <c r="IGN215" s="34"/>
      <c r="IGO215" s="34"/>
      <c r="IGP215" s="34"/>
      <c r="IGQ215" s="34"/>
      <c r="IGR215" s="34"/>
      <c r="IGS215" s="34"/>
      <c r="IGT215" s="34"/>
      <c r="IGU215" s="34"/>
      <c r="IGV215" s="34"/>
      <c r="IGW215" s="34"/>
      <c r="IGX215" s="34"/>
      <c r="IGY215" s="34"/>
      <c r="IGZ215" s="34"/>
      <c r="IHA215" s="34"/>
      <c r="IHB215" s="34"/>
      <c r="IHC215" s="34"/>
      <c r="IHD215" s="34"/>
      <c r="IHE215" s="34"/>
      <c r="IHF215" s="34"/>
      <c r="IHG215" s="34"/>
      <c r="IHH215" s="34"/>
      <c r="IHI215" s="34"/>
      <c r="IHJ215" s="34"/>
      <c r="IHK215" s="34"/>
      <c r="IHL215" s="34"/>
      <c r="IHM215" s="34"/>
      <c r="IHN215" s="34"/>
      <c r="IHO215" s="34"/>
      <c r="IHP215" s="34"/>
      <c r="IHQ215" s="34"/>
      <c r="IHR215" s="34"/>
      <c r="IHS215" s="34"/>
      <c r="IHT215" s="34"/>
      <c r="IHU215" s="34"/>
      <c r="IHV215" s="34"/>
      <c r="IHW215" s="34"/>
      <c r="IHX215" s="34"/>
      <c r="IHY215" s="34"/>
      <c r="IHZ215" s="34"/>
      <c r="IIA215" s="34"/>
      <c r="IIB215" s="34"/>
      <c r="IIC215" s="34"/>
      <c r="IID215" s="34"/>
      <c r="IIE215" s="34"/>
      <c r="IIF215" s="34"/>
      <c r="IIG215" s="34"/>
      <c r="IIH215" s="34"/>
      <c r="III215" s="34"/>
      <c r="IIJ215" s="34"/>
      <c r="IIK215" s="34"/>
      <c r="IIL215" s="34"/>
      <c r="IIM215" s="34"/>
      <c r="IIN215" s="34"/>
      <c r="IIO215" s="34"/>
      <c r="IIP215" s="34"/>
      <c r="IIQ215" s="34"/>
      <c r="IIR215" s="34"/>
      <c r="IIS215" s="34"/>
      <c r="IIT215" s="34"/>
      <c r="IIU215" s="34"/>
      <c r="IIV215" s="34"/>
      <c r="IIW215" s="34"/>
      <c r="IIX215" s="34"/>
      <c r="IIY215" s="34"/>
      <c r="IIZ215" s="34"/>
      <c r="IJA215" s="34"/>
      <c r="IJB215" s="34"/>
      <c r="IJC215" s="34"/>
      <c r="IJD215" s="34"/>
      <c r="IJE215" s="34"/>
      <c r="IJF215" s="34"/>
      <c r="IJG215" s="34"/>
      <c r="IJH215" s="34"/>
      <c r="IJI215" s="34"/>
      <c r="IJJ215" s="34"/>
      <c r="IJK215" s="34"/>
      <c r="IJL215" s="34"/>
      <c r="IJM215" s="34"/>
      <c r="IJN215" s="34"/>
      <c r="IJO215" s="34"/>
      <c r="IJP215" s="34"/>
      <c r="IJQ215" s="34"/>
      <c r="IJR215" s="34"/>
      <c r="IJS215" s="34"/>
      <c r="IJT215" s="34"/>
      <c r="IJU215" s="34"/>
      <c r="IJV215" s="34"/>
      <c r="IJW215" s="34"/>
      <c r="IJX215" s="34"/>
      <c r="IJY215" s="34"/>
      <c r="IJZ215" s="34"/>
      <c r="IKA215" s="34"/>
      <c r="IKB215" s="34"/>
      <c r="IKC215" s="34"/>
      <c r="IKD215" s="34"/>
      <c r="IKE215" s="34"/>
      <c r="IKF215" s="34"/>
      <c r="IKG215" s="34"/>
      <c r="IKH215" s="34"/>
      <c r="IKI215" s="34"/>
      <c r="IKJ215" s="34"/>
      <c r="IKK215" s="34"/>
      <c r="IKL215" s="34"/>
      <c r="IKM215" s="34"/>
      <c r="IKN215" s="34"/>
      <c r="IKO215" s="34"/>
      <c r="IKP215" s="34"/>
      <c r="IKQ215" s="34"/>
      <c r="IKR215" s="34"/>
      <c r="IKS215" s="34"/>
      <c r="IKT215" s="34"/>
      <c r="IKU215" s="34"/>
      <c r="IKV215" s="34"/>
      <c r="IKW215" s="34"/>
      <c r="IKX215" s="34"/>
      <c r="IKY215" s="34"/>
      <c r="IKZ215" s="34"/>
      <c r="ILA215" s="34"/>
      <c r="ILB215" s="34"/>
      <c r="ILC215" s="34"/>
      <c r="ILD215" s="34"/>
      <c r="ILE215" s="34"/>
      <c r="ILF215" s="34"/>
      <c r="ILG215" s="34"/>
      <c r="ILH215" s="34"/>
      <c r="ILI215" s="34"/>
      <c r="ILJ215" s="34"/>
      <c r="ILK215" s="34"/>
      <c r="ILL215" s="34"/>
      <c r="ILM215" s="34"/>
      <c r="ILN215" s="34"/>
      <c r="ILO215" s="34"/>
      <c r="ILP215" s="34"/>
      <c r="ILQ215" s="34"/>
      <c r="ILR215" s="34"/>
      <c r="ILS215" s="34"/>
      <c r="ILT215" s="34"/>
      <c r="ILU215" s="34"/>
      <c r="ILV215" s="34"/>
      <c r="ILW215" s="34"/>
      <c r="ILX215" s="34"/>
      <c r="ILY215" s="34"/>
      <c r="ILZ215" s="34"/>
      <c r="IMA215" s="34"/>
      <c r="IMB215" s="34"/>
      <c r="IMC215" s="34"/>
      <c r="IMD215" s="34"/>
      <c r="IME215" s="34"/>
      <c r="IMF215" s="34"/>
      <c r="IMG215" s="34"/>
      <c r="IMH215" s="34"/>
      <c r="IMI215" s="34"/>
      <c r="IMJ215" s="34"/>
      <c r="IMK215" s="34"/>
      <c r="IML215" s="34"/>
      <c r="IMM215" s="34"/>
      <c r="IMN215" s="34"/>
      <c r="IMO215" s="34"/>
      <c r="IMP215" s="34"/>
      <c r="IMQ215" s="34"/>
      <c r="IMR215" s="34"/>
      <c r="IMS215" s="34"/>
      <c r="IMT215" s="34"/>
      <c r="IMU215" s="34"/>
      <c r="IMV215" s="34"/>
      <c r="IMW215" s="34"/>
      <c r="IMX215" s="34"/>
      <c r="IMY215" s="34"/>
      <c r="IMZ215" s="34"/>
      <c r="INA215" s="34"/>
      <c r="INB215" s="34"/>
      <c r="INC215" s="34"/>
      <c r="IND215" s="34"/>
      <c r="INE215" s="34"/>
      <c r="INF215" s="34"/>
      <c r="ING215" s="34"/>
      <c r="INH215" s="34"/>
      <c r="INI215" s="34"/>
      <c r="INJ215" s="34"/>
      <c r="INK215" s="34"/>
      <c r="INL215" s="34"/>
      <c r="INM215" s="34"/>
      <c r="INN215" s="34"/>
      <c r="INO215" s="34"/>
      <c r="INP215" s="34"/>
      <c r="INQ215" s="34"/>
      <c r="INR215" s="34"/>
      <c r="INS215" s="34"/>
      <c r="INT215" s="34"/>
      <c r="INU215" s="34"/>
      <c r="INV215" s="34"/>
      <c r="INW215" s="34"/>
      <c r="INX215" s="34"/>
      <c r="INY215" s="34"/>
      <c r="INZ215" s="34"/>
      <c r="IOA215" s="34"/>
      <c r="IOB215" s="34"/>
      <c r="IOC215" s="34"/>
      <c r="IOD215" s="34"/>
      <c r="IOE215" s="34"/>
      <c r="IOF215" s="34"/>
      <c r="IOG215" s="34"/>
      <c r="IOH215" s="34"/>
      <c r="IOI215" s="34"/>
      <c r="IOJ215" s="34"/>
      <c r="IOK215" s="34"/>
      <c r="IOL215" s="34"/>
      <c r="IOM215" s="34"/>
      <c r="ION215" s="34"/>
      <c r="IOO215" s="34"/>
      <c r="IOP215" s="34"/>
      <c r="IOQ215" s="34"/>
      <c r="IOR215" s="34"/>
      <c r="IOS215" s="34"/>
      <c r="IOT215" s="34"/>
      <c r="IOU215" s="34"/>
      <c r="IOV215" s="34"/>
      <c r="IOW215" s="34"/>
      <c r="IOX215" s="34"/>
      <c r="IOY215" s="34"/>
      <c r="IOZ215" s="34"/>
      <c r="IPA215" s="34"/>
      <c r="IPB215" s="34"/>
      <c r="IPC215" s="34"/>
      <c r="IPD215" s="34"/>
      <c r="IPE215" s="34"/>
      <c r="IPF215" s="34"/>
      <c r="IPG215" s="34"/>
      <c r="IPH215" s="34"/>
      <c r="IPI215" s="34"/>
      <c r="IPJ215" s="34"/>
      <c r="IPK215" s="34"/>
      <c r="IPL215" s="34"/>
      <c r="IPM215" s="34"/>
      <c r="IPN215" s="34"/>
      <c r="IPO215" s="34"/>
      <c r="IPP215" s="34"/>
      <c r="IPQ215" s="34"/>
      <c r="IPR215" s="34"/>
      <c r="IPS215" s="34"/>
      <c r="IPT215" s="34"/>
      <c r="IPU215" s="34"/>
      <c r="IPV215" s="34"/>
      <c r="IPW215" s="34"/>
      <c r="IPX215" s="34"/>
      <c r="IPY215" s="34"/>
      <c r="IPZ215" s="34"/>
      <c r="IQA215" s="34"/>
      <c r="IQB215" s="34"/>
      <c r="IQC215" s="34"/>
      <c r="IQD215" s="34"/>
      <c r="IQE215" s="34"/>
      <c r="IQF215" s="34"/>
      <c r="IQG215" s="34"/>
      <c r="IQH215" s="34"/>
      <c r="IQI215" s="34"/>
      <c r="IQJ215" s="34"/>
      <c r="IQK215" s="34"/>
      <c r="IQL215" s="34"/>
      <c r="IQM215" s="34"/>
      <c r="IQN215" s="34"/>
      <c r="IQO215" s="34"/>
      <c r="IQP215" s="34"/>
      <c r="IQQ215" s="34"/>
      <c r="IQR215" s="34"/>
      <c r="IQS215" s="34"/>
      <c r="IQT215" s="34"/>
      <c r="IQU215" s="34"/>
      <c r="IQV215" s="34"/>
      <c r="IQW215" s="34"/>
      <c r="IQX215" s="34"/>
      <c r="IQY215" s="34"/>
      <c r="IQZ215" s="34"/>
      <c r="IRA215" s="34"/>
      <c r="IRB215" s="34"/>
      <c r="IRC215" s="34"/>
      <c r="IRD215" s="34"/>
      <c r="IRE215" s="34"/>
      <c r="IRF215" s="34"/>
      <c r="IRG215" s="34"/>
      <c r="IRH215" s="34"/>
      <c r="IRI215" s="34"/>
      <c r="IRJ215" s="34"/>
      <c r="IRK215" s="34"/>
      <c r="IRL215" s="34"/>
      <c r="IRM215" s="34"/>
      <c r="IRN215" s="34"/>
      <c r="IRO215" s="34"/>
      <c r="IRP215" s="34"/>
      <c r="IRQ215" s="34"/>
      <c r="IRR215" s="34"/>
      <c r="IRS215" s="34"/>
      <c r="IRT215" s="34"/>
      <c r="IRU215" s="34"/>
      <c r="IRV215" s="34"/>
      <c r="IRW215" s="34"/>
      <c r="IRX215" s="34"/>
      <c r="IRY215" s="34"/>
      <c r="IRZ215" s="34"/>
      <c r="ISA215" s="34"/>
      <c r="ISB215" s="34"/>
      <c r="ISC215" s="34"/>
      <c r="ISD215" s="34"/>
      <c r="ISE215" s="34"/>
      <c r="ISF215" s="34"/>
      <c r="ISG215" s="34"/>
      <c r="ISH215" s="34"/>
      <c r="ISI215" s="34"/>
      <c r="ISJ215" s="34"/>
      <c r="ISK215" s="34"/>
      <c r="ISL215" s="34"/>
      <c r="ISM215" s="34"/>
      <c r="ISN215" s="34"/>
      <c r="ISO215" s="34"/>
      <c r="ISP215" s="34"/>
      <c r="ISQ215" s="34"/>
      <c r="ISR215" s="34"/>
      <c r="ISS215" s="34"/>
      <c r="IST215" s="34"/>
      <c r="ISU215" s="34"/>
      <c r="ISV215" s="34"/>
      <c r="ISW215" s="34"/>
      <c r="ISX215" s="34"/>
      <c r="ISY215" s="34"/>
      <c r="ISZ215" s="34"/>
      <c r="ITA215" s="34"/>
      <c r="ITB215" s="34"/>
      <c r="ITC215" s="34"/>
      <c r="ITD215" s="34"/>
      <c r="ITE215" s="34"/>
      <c r="ITF215" s="34"/>
      <c r="ITG215" s="34"/>
      <c r="ITH215" s="34"/>
      <c r="ITI215" s="34"/>
      <c r="ITJ215" s="34"/>
      <c r="ITK215" s="34"/>
      <c r="ITL215" s="34"/>
      <c r="ITM215" s="34"/>
      <c r="ITN215" s="34"/>
      <c r="ITO215" s="34"/>
      <c r="ITP215" s="34"/>
      <c r="ITQ215" s="34"/>
      <c r="ITR215" s="34"/>
      <c r="ITS215" s="34"/>
      <c r="ITT215" s="34"/>
      <c r="ITU215" s="34"/>
      <c r="ITV215" s="34"/>
      <c r="ITW215" s="34"/>
      <c r="ITX215" s="34"/>
      <c r="ITY215" s="34"/>
      <c r="ITZ215" s="34"/>
      <c r="IUA215" s="34"/>
      <c r="IUB215" s="34"/>
      <c r="IUC215" s="34"/>
      <c r="IUD215" s="34"/>
      <c r="IUE215" s="34"/>
      <c r="IUF215" s="34"/>
      <c r="IUG215" s="34"/>
      <c r="IUH215" s="34"/>
      <c r="IUI215" s="34"/>
      <c r="IUJ215" s="34"/>
      <c r="IUK215" s="34"/>
      <c r="IUL215" s="34"/>
      <c r="IUM215" s="34"/>
      <c r="IUN215" s="34"/>
      <c r="IUO215" s="34"/>
      <c r="IUP215" s="34"/>
      <c r="IUQ215" s="34"/>
      <c r="IUR215" s="34"/>
      <c r="IUS215" s="34"/>
      <c r="IUT215" s="34"/>
      <c r="IUU215" s="34"/>
      <c r="IUV215" s="34"/>
      <c r="IUW215" s="34"/>
      <c r="IUX215" s="34"/>
      <c r="IUY215" s="34"/>
      <c r="IUZ215" s="34"/>
      <c r="IVA215" s="34"/>
      <c r="IVB215" s="34"/>
      <c r="IVC215" s="34"/>
      <c r="IVD215" s="34"/>
      <c r="IVE215" s="34"/>
      <c r="IVF215" s="34"/>
      <c r="IVG215" s="34"/>
      <c r="IVH215" s="34"/>
      <c r="IVI215" s="34"/>
      <c r="IVJ215" s="34"/>
      <c r="IVK215" s="34"/>
      <c r="IVL215" s="34"/>
      <c r="IVM215" s="34"/>
      <c r="IVN215" s="34"/>
      <c r="IVO215" s="34"/>
      <c r="IVP215" s="34"/>
      <c r="IVQ215" s="34"/>
      <c r="IVR215" s="34"/>
      <c r="IVS215" s="34"/>
      <c r="IVT215" s="34"/>
      <c r="IVU215" s="34"/>
      <c r="IVV215" s="34"/>
      <c r="IVW215" s="34"/>
      <c r="IVX215" s="34"/>
      <c r="IVY215" s="34"/>
      <c r="IVZ215" s="34"/>
      <c r="IWA215" s="34"/>
      <c r="IWB215" s="34"/>
      <c r="IWC215" s="34"/>
      <c r="IWD215" s="34"/>
      <c r="IWE215" s="34"/>
      <c r="IWF215" s="34"/>
      <c r="IWG215" s="34"/>
      <c r="IWH215" s="34"/>
      <c r="IWI215" s="34"/>
      <c r="IWJ215" s="34"/>
      <c r="IWK215" s="34"/>
      <c r="IWL215" s="34"/>
      <c r="IWM215" s="34"/>
      <c r="IWN215" s="34"/>
      <c r="IWO215" s="34"/>
      <c r="IWP215" s="34"/>
      <c r="IWQ215" s="34"/>
      <c r="IWR215" s="34"/>
      <c r="IWS215" s="34"/>
      <c r="IWT215" s="34"/>
      <c r="IWU215" s="34"/>
      <c r="IWV215" s="34"/>
      <c r="IWW215" s="34"/>
      <c r="IWX215" s="34"/>
      <c r="IWY215" s="34"/>
      <c r="IWZ215" s="34"/>
      <c r="IXA215" s="34"/>
      <c r="IXB215" s="34"/>
      <c r="IXC215" s="34"/>
      <c r="IXD215" s="34"/>
      <c r="IXE215" s="34"/>
      <c r="IXF215" s="34"/>
      <c r="IXG215" s="34"/>
      <c r="IXH215" s="34"/>
      <c r="IXI215" s="34"/>
      <c r="IXJ215" s="34"/>
      <c r="IXK215" s="34"/>
      <c r="IXL215" s="34"/>
      <c r="IXM215" s="34"/>
      <c r="IXN215" s="34"/>
      <c r="IXO215" s="34"/>
      <c r="IXP215" s="34"/>
      <c r="IXQ215" s="34"/>
      <c r="IXR215" s="34"/>
      <c r="IXS215" s="34"/>
      <c r="IXT215" s="34"/>
      <c r="IXU215" s="34"/>
      <c r="IXV215" s="34"/>
      <c r="IXW215" s="34"/>
      <c r="IXX215" s="34"/>
      <c r="IXY215" s="34"/>
      <c r="IXZ215" s="34"/>
      <c r="IYA215" s="34"/>
      <c r="IYB215" s="34"/>
      <c r="IYC215" s="34"/>
      <c r="IYD215" s="34"/>
      <c r="IYE215" s="34"/>
      <c r="IYF215" s="34"/>
      <c r="IYG215" s="34"/>
      <c r="IYH215" s="34"/>
      <c r="IYI215" s="34"/>
      <c r="IYJ215" s="34"/>
      <c r="IYK215" s="34"/>
      <c r="IYL215" s="34"/>
      <c r="IYM215" s="34"/>
      <c r="IYN215" s="34"/>
      <c r="IYO215" s="34"/>
      <c r="IYP215" s="34"/>
      <c r="IYQ215" s="34"/>
      <c r="IYR215" s="34"/>
      <c r="IYS215" s="34"/>
      <c r="IYT215" s="34"/>
      <c r="IYU215" s="34"/>
      <c r="IYV215" s="34"/>
      <c r="IYW215" s="34"/>
      <c r="IYX215" s="34"/>
      <c r="IYY215" s="34"/>
      <c r="IYZ215" s="34"/>
      <c r="IZA215" s="34"/>
      <c r="IZB215" s="34"/>
      <c r="IZC215" s="34"/>
      <c r="IZD215" s="34"/>
      <c r="IZE215" s="34"/>
      <c r="IZF215" s="34"/>
      <c r="IZG215" s="34"/>
      <c r="IZH215" s="34"/>
      <c r="IZI215" s="34"/>
      <c r="IZJ215" s="34"/>
      <c r="IZK215" s="34"/>
      <c r="IZL215" s="34"/>
      <c r="IZM215" s="34"/>
      <c r="IZN215" s="34"/>
      <c r="IZO215" s="34"/>
      <c r="IZP215" s="34"/>
      <c r="IZQ215" s="34"/>
      <c r="IZR215" s="34"/>
      <c r="IZS215" s="34"/>
      <c r="IZT215" s="34"/>
      <c r="IZU215" s="34"/>
      <c r="IZV215" s="34"/>
      <c r="IZW215" s="34"/>
      <c r="IZX215" s="34"/>
      <c r="IZY215" s="34"/>
      <c r="IZZ215" s="34"/>
      <c r="JAA215" s="34"/>
      <c r="JAB215" s="34"/>
      <c r="JAC215" s="34"/>
      <c r="JAD215" s="34"/>
      <c r="JAE215" s="34"/>
      <c r="JAF215" s="34"/>
      <c r="JAG215" s="34"/>
      <c r="JAH215" s="34"/>
      <c r="JAI215" s="34"/>
      <c r="JAJ215" s="34"/>
      <c r="JAK215" s="34"/>
      <c r="JAL215" s="34"/>
      <c r="JAM215" s="34"/>
      <c r="JAN215" s="34"/>
      <c r="JAO215" s="34"/>
      <c r="JAP215" s="34"/>
      <c r="JAQ215" s="34"/>
      <c r="JAR215" s="34"/>
      <c r="JAS215" s="34"/>
      <c r="JAT215" s="34"/>
      <c r="JAU215" s="34"/>
      <c r="JAV215" s="34"/>
      <c r="JAW215" s="34"/>
      <c r="JAX215" s="34"/>
      <c r="JAY215" s="34"/>
      <c r="JAZ215" s="34"/>
      <c r="JBA215" s="34"/>
      <c r="JBB215" s="34"/>
      <c r="JBC215" s="34"/>
      <c r="JBD215" s="34"/>
      <c r="JBE215" s="34"/>
      <c r="JBF215" s="34"/>
      <c r="JBG215" s="34"/>
      <c r="JBH215" s="34"/>
      <c r="JBI215" s="34"/>
      <c r="JBJ215" s="34"/>
      <c r="JBK215" s="34"/>
      <c r="JBL215" s="34"/>
      <c r="JBM215" s="34"/>
      <c r="JBN215" s="34"/>
      <c r="JBO215" s="34"/>
      <c r="JBP215" s="34"/>
      <c r="JBQ215" s="34"/>
      <c r="JBR215" s="34"/>
      <c r="JBS215" s="34"/>
      <c r="JBT215" s="34"/>
      <c r="JBU215" s="34"/>
      <c r="JBV215" s="34"/>
      <c r="JBW215" s="34"/>
      <c r="JBX215" s="34"/>
      <c r="JBY215" s="34"/>
      <c r="JBZ215" s="34"/>
      <c r="JCA215" s="34"/>
      <c r="JCB215" s="34"/>
      <c r="JCC215" s="34"/>
      <c r="JCD215" s="34"/>
      <c r="JCE215" s="34"/>
      <c r="JCF215" s="34"/>
      <c r="JCG215" s="34"/>
      <c r="JCH215" s="34"/>
      <c r="JCI215" s="34"/>
      <c r="JCJ215" s="34"/>
      <c r="JCK215" s="34"/>
      <c r="JCL215" s="34"/>
      <c r="JCM215" s="34"/>
      <c r="JCN215" s="34"/>
      <c r="JCO215" s="34"/>
      <c r="JCP215" s="34"/>
      <c r="JCQ215" s="34"/>
      <c r="JCR215" s="34"/>
      <c r="JCS215" s="34"/>
      <c r="JCT215" s="34"/>
      <c r="JCU215" s="34"/>
      <c r="JCV215" s="34"/>
      <c r="JCW215" s="34"/>
      <c r="JCX215" s="34"/>
      <c r="JCY215" s="34"/>
      <c r="JCZ215" s="34"/>
      <c r="JDA215" s="34"/>
      <c r="JDB215" s="34"/>
      <c r="JDC215" s="34"/>
      <c r="JDD215" s="34"/>
      <c r="JDE215" s="34"/>
      <c r="JDF215" s="34"/>
      <c r="JDG215" s="34"/>
      <c r="JDH215" s="34"/>
      <c r="JDI215" s="34"/>
      <c r="JDJ215" s="34"/>
      <c r="JDK215" s="34"/>
      <c r="JDL215" s="34"/>
      <c r="JDM215" s="34"/>
      <c r="JDN215" s="34"/>
      <c r="JDO215" s="34"/>
      <c r="JDP215" s="34"/>
      <c r="JDQ215" s="34"/>
      <c r="JDR215" s="34"/>
      <c r="JDS215" s="34"/>
      <c r="JDT215" s="34"/>
      <c r="JDU215" s="34"/>
      <c r="JDV215" s="34"/>
      <c r="JDW215" s="34"/>
      <c r="JDX215" s="34"/>
      <c r="JDY215" s="34"/>
      <c r="JDZ215" s="34"/>
      <c r="JEA215" s="34"/>
      <c r="JEB215" s="34"/>
      <c r="JEC215" s="34"/>
      <c r="JED215" s="34"/>
      <c r="JEE215" s="34"/>
      <c r="JEF215" s="34"/>
      <c r="JEG215" s="34"/>
      <c r="JEH215" s="34"/>
      <c r="JEI215" s="34"/>
      <c r="JEJ215" s="34"/>
      <c r="JEK215" s="34"/>
      <c r="JEL215" s="34"/>
      <c r="JEM215" s="34"/>
      <c r="JEN215" s="34"/>
      <c r="JEO215" s="34"/>
      <c r="JEP215" s="34"/>
      <c r="JEQ215" s="34"/>
      <c r="JER215" s="34"/>
      <c r="JES215" s="34"/>
      <c r="JET215" s="34"/>
      <c r="JEU215" s="34"/>
      <c r="JEV215" s="34"/>
      <c r="JEW215" s="34"/>
      <c r="JEX215" s="34"/>
      <c r="JEY215" s="34"/>
      <c r="JEZ215" s="34"/>
      <c r="JFA215" s="34"/>
      <c r="JFB215" s="34"/>
      <c r="JFC215" s="34"/>
      <c r="JFD215" s="34"/>
      <c r="JFE215" s="34"/>
      <c r="JFF215" s="34"/>
      <c r="JFG215" s="34"/>
      <c r="JFH215" s="34"/>
      <c r="JFI215" s="34"/>
      <c r="JFJ215" s="34"/>
      <c r="JFK215" s="34"/>
      <c r="JFL215" s="34"/>
      <c r="JFM215" s="34"/>
      <c r="JFN215" s="34"/>
      <c r="JFO215" s="34"/>
      <c r="JFP215" s="34"/>
      <c r="JFQ215" s="34"/>
      <c r="JFR215" s="34"/>
      <c r="JFS215" s="34"/>
      <c r="JFT215" s="34"/>
      <c r="JFU215" s="34"/>
      <c r="JFV215" s="34"/>
      <c r="JFW215" s="34"/>
      <c r="JFX215" s="34"/>
      <c r="JFY215" s="34"/>
      <c r="JFZ215" s="34"/>
      <c r="JGA215" s="34"/>
      <c r="JGB215" s="34"/>
      <c r="JGC215" s="34"/>
      <c r="JGD215" s="34"/>
      <c r="JGE215" s="34"/>
      <c r="JGF215" s="34"/>
      <c r="JGG215" s="34"/>
      <c r="JGH215" s="34"/>
      <c r="JGI215" s="34"/>
      <c r="JGJ215" s="34"/>
      <c r="JGK215" s="34"/>
      <c r="JGL215" s="34"/>
      <c r="JGM215" s="34"/>
      <c r="JGN215" s="34"/>
      <c r="JGO215" s="34"/>
      <c r="JGP215" s="34"/>
      <c r="JGQ215" s="34"/>
      <c r="JGR215" s="34"/>
      <c r="JGS215" s="34"/>
      <c r="JGT215" s="34"/>
      <c r="JGU215" s="34"/>
      <c r="JGV215" s="34"/>
      <c r="JGW215" s="34"/>
      <c r="JGX215" s="34"/>
      <c r="JGY215" s="34"/>
      <c r="JGZ215" s="34"/>
      <c r="JHA215" s="34"/>
      <c r="JHB215" s="34"/>
      <c r="JHC215" s="34"/>
      <c r="JHD215" s="34"/>
      <c r="JHE215" s="34"/>
      <c r="JHF215" s="34"/>
      <c r="JHG215" s="34"/>
      <c r="JHH215" s="34"/>
      <c r="JHI215" s="34"/>
      <c r="JHJ215" s="34"/>
      <c r="JHK215" s="34"/>
      <c r="JHL215" s="34"/>
      <c r="JHM215" s="34"/>
      <c r="JHN215" s="34"/>
      <c r="JHO215" s="34"/>
      <c r="JHP215" s="34"/>
      <c r="JHQ215" s="34"/>
      <c r="JHR215" s="34"/>
      <c r="JHS215" s="34"/>
      <c r="JHT215" s="34"/>
      <c r="JHU215" s="34"/>
      <c r="JHV215" s="34"/>
      <c r="JHW215" s="34"/>
      <c r="JHX215" s="34"/>
      <c r="JHY215" s="34"/>
      <c r="JHZ215" s="34"/>
      <c r="JIA215" s="34"/>
      <c r="JIB215" s="34"/>
      <c r="JIC215" s="34"/>
      <c r="JID215" s="34"/>
      <c r="JIE215" s="34"/>
      <c r="JIF215" s="34"/>
      <c r="JIG215" s="34"/>
      <c r="JIH215" s="34"/>
      <c r="JII215" s="34"/>
      <c r="JIJ215" s="34"/>
      <c r="JIK215" s="34"/>
      <c r="JIL215" s="34"/>
      <c r="JIM215" s="34"/>
      <c r="JIN215" s="34"/>
      <c r="JIO215" s="34"/>
      <c r="JIP215" s="34"/>
      <c r="JIQ215" s="34"/>
      <c r="JIR215" s="34"/>
      <c r="JIS215" s="34"/>
      <c r="JIT215" s="34"/>
      <c r="JIU215" s="34"/>
      <c r="JIV215" s="34"/>
      <c r="JIW215" s="34"/>
      <c r="JIX215" s="34"/>
      <c r="JIY215" s="34"/>
      <c r="JIZ215" s="34"/>
      <c r="JJA215" s="34"/>
      <c r="JJB215" s="34"/>
      <c r="JJC215" s="34"/>
      <c r="JJD215" s="34"/>
      <c r="JJE215" s="34"/>
      <c r="JJF215" s="34"/>
      <c r="JJG215" s="34"/>
      <c r="JJH215" s="34"/>
      <c r="JJI215" s="34"/>
      <c r="JJJ215" s="34"/>
      <c r="JJK215" s="34"/>
      <c r="JJL215" s="34"/>
      <c r="JJM215" s="34"/>
      <c r="JJN215" s="34"/>
      <c r="JJO215" s="34"/>
      <c r="JJP215" s="34"/>
      <c r="JJQ215" s="34"/>
      <c r="JJR215" s="34"/>
      <c r="JJS215" s="34"/>
      <c r="JJT215" s="34"/>
      <c r="JJU215" s="34"/>
      <c r="JJV215" s="34"/>
      <c r="JJW215" s="34"/>
      <c r="JJX215" s="34"/>
      <c r="JJY215" s="34"/>
      <c r="JJZ215" s="34"/>
      <c r="JKA215" s="34"/>
      <c r="JKB215" s="34"/>
      <c r="JKC215" s="34"/>
      <c r="JKD215" s="34"/>
      <c r="JKE215" s="34"/>
      <c r="JKF215" s="34"/>
      <c r="JKG215" s="34"/>
      <c r="JKH215" s="34"/>
      <c r="JKI215" s="34"/>
      <c r="JKJ215" s="34"/>
      <c r="JKK215" s="34"/>
      <c r="JKL215" s="34"/>
      <c r="JKM215" s="34"/>
      <c r="JKN215" s="34"/>
      <c r="JKO215" s="34"/>
      <c r="JKP215" s="34"/>
      <c r="JKQ215" s="34"/>
      <c r="JKR215" s="34"/>
      <c r="JKS215" s="34"/>
      <c r="JKT215" s="34"/>
      <c r="JKU215" s="34"/>
      <c r="JKV215" s="34"/>
      <c r="JKW215" s="34"/>
      <c r="JKX215" s="34"/>
      <c r="JKY215" s="34"/>
      <c r="JKZ215" s="34"/>
      <c r="JLA215" s="34"/>
      <c r="JLB215" s="34"/>
      <c r="JLC215" s="34"/>
      <c r="JLD215" s="34"/>
      <c r="JLE215" s="34"/>
      <c r="JLF215" s="34"/>
      <c r="JLG215" s="34"/>
      <c r="JLH215" s="34"/>
      <c r="JLI215" s="34"/>
      <c r="JLJ215" s="34"/>
      <c r="JLK215" s="34"/>
      <c r="JLL215" s="34"/>
      <c r="JLM215" s="34"/>
      <c r="JLN215" s="34"/>
      <c r="JLO215" s="34"/>
      <c r="JLP215" s="34"/>
      <c r="JLQ215" s="34"/>
      <c r="JLR215" s="34"/>
      <c r="JLS215" s="34"/>
      <c r="JLT215" s="34"/>
      <c r="JLU215" s="34"/>
      <c r="JLV215" s="34"/>
      <c r="JLW215" s="34"/>
      <c r="JLX215" s="34"/>
      <c r="JLY215" s="34"/>
      <c r="JLZ215" s="34"/>
      <c r="JMA215" s="34"/>
      <c r="JMB215" s="34"/>
      <c r="JMC215" s="34"/>
      <c r="JMD215" s="34"/>
      <c r="JME215" s="34"/>
      <c r="JMF215" s="34"/>
      <c r="JMG215" s="34"/>
      <c r="JMH215" s="34"/>
      <c r="JMI215" s="34"/>
      <c r="JMJ215" s="34"/>
      <c r="JMK215" s="34"/>
      <c r="JML215" s="34"/>
      <c r="JMM215" s="34"/>
      <c r="JMN215" s="34"/>
      <c r="JMO215" s="34"/>
      <c r="JMP215" s="34"/>
      <c r="JMQ215" s="34"/>
      <c r="JMR215" s="34"/>
      <c r="JMS215" s="34"/>
      <c r="JMT215" s="34"/>
      <c r="JMU215" s="34"/>
      <c r="JMV215" s="34"/>
      <c r="JMW215" s="34"/>
      <c r="JMX215" s="34"/>
      <c r="JMY215" s="34"/>
      <c r="JMZ215" s="34"/>
      <c r="JNA215" s="34"/>
      <c r="JNB215" s="34"/>
      <c r="JNC215" s="34"/>
      <c r="JND215" s="34"/>
      <c r="JNE215" s="34"/>
      <c r="JNF215" s="34"/>
      <c r="JNG215" s="34"/>
      <c r="JNH215" s="34"/>
      <c r="JNI215" s="34"/>
      <c r="JNJ215" s="34"/>
      <c r="JNK215" s="34"/>
      <c r="JNL215" s="34"/>
      <c r="JNM215" s="34"/>
      <c r="JNN215" s="34"/>
      <c r="JNO215" s="34"/>
      <c r="JNP215" s="34"/>
      <c r="JNQ215" s="34"/>
      <c r="JNR215" s="34"/>
      <c r="JNS215" s="34"/>
      <c r="JNT215" s="34"/>
      <c r="JNU215" s="34"/>
      <c r="JNV215" s="34"/>
      <c r="JNW215" s="34"/>
      <c r="JNX215" s="34"/>
      <c r="JNY215" s="34"/>
      <c r="JNZ215" s="34"/>
      <c r="JOA215" s="34"/>
      <c r="JOB215" s="34"/>
      <c r="JOC215" s="34"/>
      <c r="JOD215" s="34"/>
      <c r="JOE215" s="34"/>
      <c r="JOF215" s="34"/>
      <c r="JOG215" s="34"/>
      <c r="JOH215" s="34"/>
      <c r="JOI215" s="34"/>
      <c r="JOJ215" s="34"/>
      <c r="JOK215" s="34"/>
      <c r="JOL215" s="34"/>
      <c r="JOM215" s="34"/>
      <c r="JON215" s="34"/>
      <c r="JOO215" s="34"/>
      <c r="JOP215" s="34"/>
      <c r="JOQ215" s="34"/>
      <c r="JOR215" s="34"/>
      <c r="JOS215" s="34"/>
      <c r="JOT215" s="34"/>
      <c r="JOU215" s="34"/>
      <c r="JOV215" s="34"/>
      <c r="JOW215" s="34"/>
      <c r="JOX215" s="34"/>
      <c r="JOY215" s="34"/>
      <c r="JOZ215" s="34"/>
      <c r="JPA215" s="34"/>
      <c r="JPB215" s="34"/>
      <c r="JPC215" s="34"/>
      <c r="JPD215" s="34"/>
      <c r="JPE215" s="34"/>
      <c r="JPF215" s="34"/>
      <c r="JPG215" s="34"/>
      <c r="JPH215" s="34"/>
      <c r="JPI215" s="34"/>
      <c r="JPJ215" s="34"/>
      <c r="JPK215" s="34"/>
      <c r="JPL215" s="34"/>
      <c r="JPM215" s="34"/>
      <c r="JPN215" s="34"/>
      <c r="JPO215" s="34"/>
      <c r="JPP215" s="34"/>
      <c r="JPQ215" s="34"/>
      <c r="JPR215" s="34"/>
      <c r="JPS215" s="34"/>
      <c r="JPT215" s="34"/>
      <c r="JPU215" s="34"/>
      <c r="JPV215" s="34"/>
      <c r="JPW215" s="34"/>
      <c r="JPX215" s="34"/>
      <c r="JPY215" s="34"/>
      <c r="JPZ215" s="34"/>
      <c r="JQA215" s="34"/>
      <c r="JQB215" s="34"/>
      <c r="JQC215" s="34"/>
      <c r="JQD215" s="34"/>
      <c r="JQE215" s="34"/>
      <c r="JQF215" s="34"/>
      <c r="JQG215" s="34"/>
      <c r="JQH215" s="34"/>
      <c r="JQI215" s="34"/>
      <c r="JQJ215" s="34"/>
      <c r="JQK215" s="34"/>
      <c r="JQL215" s="34"/>
      <c r="JQM215" s="34"/>
      <c r="JQN215" s="34"/>
      <c r="JQO215" s="34"/>
      <c r="JQP215" s="34"/>
      <c r="JQQ215" s="34"/>
      <c r="JQR215" s="34"/>
      <c r="JQS215" s="34"/>
      <c r="JQT215" s="34"/>
      <c r="JQU215" s="34"/>
      <c r="JQV215" s="34"/>
      <c r="JQW215" s="34"/>
      <c r="JQX215" s="34"/>
      <c r="JQY215" s="34"/>
      <c r="JQZ215" s="34"/>
      <c r="JRA215" s="34"/>
      <c r="JRB215" s="34"/>
      <c r="JRC215" s="34"/>
      <c r="JRD215" s="34"/>
      <c r="JRE215" s="34"/>
      <c r="JRF215" s="34"/>
      <c r="JRG215" s="34"/>
      <c r="JRH215" s="34"/>
      <c r="JRI215" s="34"/>
      <c r="JRJ215" s="34"/>
      <c r="JRK215" s="34"/>
      <c r="JRL215" s="34"/>
      <c r="JRM215" s="34"/>
      <c r="JRN215" s="34"/>
      <c r="JRO215" s="34"/>
      <c r="JRP215" s="34"/>
      <c r="JRQ215" s="34"/>
      <c r="JRR215" s="34"/>
      <c r="JRS215" s="34"/>
      <c r="JRT215" s="34"/>
      <c r="JRU215" s="34"/>
      <c r="JRV215" s="34"/>
      <c r="JRW215" s="34"/>
      <c r="JRX215" s="34"/>
      <c r="JRY215" s="34"/>
      <c r="JRZ215" s="34"/>
      <c r="JSA215" s="34"/>
      <c r="JSB215" s="34"/>
      <c r="JSC215" s="34"/>
      <c r="JSD215" s="34"/>
      <c r="JSE215" s="34"/>
      <c r="JSF215" s="34"/>
      <c r="JSG215" s="34"/>
      <c r="JSH215" s="34"/>
      <c r="JSI215" s="34"/>
      <c r="JSJ215" s="34"/>
      <c r="JSK215" s="34"/>
      <c r="JSL215" s="34"/>
      <c r="JSM215" s="34"/>
      <c r="JSN215" s="34"/>
      <c r="JSO215" s="34"/>
      <c r="JSP215" s="34"/>
      <c r="JSQ215" s="34"/>
      <c r="JSR215" s="34"/>
      <c r="JSS215" s="34"/>
      <c r="JST215" s="34"/>
      <c r="JSU215" s="34"/>
      <c r="JSV215" s="34"/>
      <c r="JSW215" s="34"/>
      <c r="JSX215" s="34"/>
      <c r="JSY215" s="34"/>
      <c r="JSZ215" s="34"/>
      <c r="JTA215" s="34"/>
      <c r="JTB215" s="34"/>
      <c r="JTC215" s="34"/>
      <c r="JTD215" s="34"/>
      <c r="JTE215" s="34"/>
      <c r="JTF215" s="34"/>
      <c r="JTG215" s="34"/>
      <c r="JTH215" s="34"/>
      <c r="JTI215" s="34"/>
      <c r="JTJ215" s="34"/>
      <c r="JTK215" s="34"/>
      <c r="JTL215" s="34"/>
      <c r="JTM215" s="34"/>
      <c r="JTN215" s="34"/>
      <c r="JTO215" s="34"/>
      <c r="JTP215" s="34"/>
      <c r="JTQ215" s="34"/>
      <c r="JTR215" s="34"/>
      <c r="JTS215" s="34"/>
      <c r="JTT215" s="34"/>
      <c r="JTU215" s="34"/>
      <c r="JTV215" s="34"/>
      <c r="JTW215" s="34"/>
      <c r="JTX215" s="34"/>
      <c r="JTY215" s="34"/>
      <c r="JTZ215" s="34"/>
      <c r="JUA215" s="34"/>
      <c r="JUB215" s="34"/>
      <c r="JUC215" s="34"/>
      <c r="JUD215" s="34"/>
      <c r="JUE215" s="34"/>
      <c r="JUF215" s="34"/>
      <c r="JUG215" s="34"/>
      <c r="JUH215" s="34"/>
      <c r="JUI215" s="34"/>
      <c r="JUJ215" s="34"/>
      <c r="JUK215" s="34"/>
      <c r="JUL215" s="34"/>
      <c r="JUM215" s="34"/>
      <c r="JUN215" s="34"/>
      <c r="JUO215" s="34"/>
      <c r="JUP215" s="34"/>
      <c r="JUQ215" s="34"/>
      <c r="JUR215" s="34"/>
      <c r="JUS215" s="34"/>
      <c r="JUT215" s="34"/>
      <c r="JUU215" s="34"/>
      <c r="JUV215" s="34"/>
      <c r="JUW215" s="34"/>
      <c r="JUX215" s="34"/>
      <c r="JUY215" s="34"/>
      <c r="JUZ215" s="34"/>
      <c r="JVA215" s="34"/>
      <c r="JVB215" s="34"/>
      <c r="JVC215" s="34"/>
      <c r="JVD215" s="34"/>
      <c r="JVE215" s="34"/>
      <c r="JVF215" s="34"/>
      <c r="JVG215" s="34"/>
      <c r="JVH215" s="34"/>
      <c r="JVI215" s="34"/>
      <c r="JVJ215" s="34"/>
      <c r="JVK215" s="34"/>
      <c r="JVL215" s="34"/>
      <c r="JVM215" s="34"/>
      <c r="JVN215" s="34"/>
      <c r="JVO215" s="34"/>
      <c r="JVP215" s="34"/>
      <c r="JVQ215" s="34"/>
      <c r="JVR215" s="34"/>
      <c r="JVS215" s="34"/>
      <c r="JVT215" s="34"/>
      <c r="JVU215" s="34"/>
      <c r="JVV215" s="34"/>
      <c r="JVW215" s="34"/>
      <c r="JVX215" s="34"/>
      <c r="JVY215" s="34"/>
      <c r="JVZ215" s="34"/>
      <c r="JWA215" s="34"/>
      <c r="JWB215" s="34"/>
      <c r="JWC215" s="34"/>
      <c r="JWD215" s="34"/>
      <c r="JWE215" s="34"/>
      <c r="JWF215" s="34"/>
      <c r="JWG215" s="34"/>
      <c r="JWH215" s="34"/>
      <c r="JWI215" s="34"/>
      <c r="JWJ215" s="34"/>
      <c r="JWK215" s="34"/>
      <c r="JWL215" s="34"/>
      <c r="JWM215" s="34"/>
      <c r="JWN215" s="34"/>
      <c r="JWO215" s="34"/>
      <c r="JWP215" s="34"/>
      <c r="JWQ215" s="34"/>
      <c r="JWR215" s="34"/>
      <c r="JWS215" s="34"/>
      <c r="JWT215" s="34"/>
      <c r="JWU215" s="34"/>
      <c r="JWV215" s="34"/>
      <c r="JWW215" s="34"/>
      <c r="JWX215" s="34"/>
      <c r="JWY215" s="34"/>
      <c r="JWZ215" s="34"/>
      <c r="JXA215" s="34"/>
      <c r="JXB215" s="34"/>
      <c r="JXC215" s="34"/>
      <c r="JXD215" s="34"/>
      <c r="JXE215" s="34"/>
      <c r="JXF215" s="34"/>
      <c r="JXG215" s="34"/>
      <c r="JXH215" s="34"/>
      <c r="JXI215" s="34"/>
      <c r="JXJ215" s="34"/>
      <c r="JXK215" s="34"/>
      <c r="JXL215" s="34"/>
      <c r="JXM215" s="34"/>
      <c r="JXN215" s="34"/>
      <c r="JXO215" s="34"/>
      <c r="JXP215" s="34"/>
      <c r="JXQ215" s="34"/>
      <c r="JXR215" s="34"/>
      <c r="JXS215" s="34"/>
      <c r="JXT215" s="34"/>
      <c r="JXU215" s="34"/>
      <c r="JXV215" s="34"/>
      <c r="JXW215" s="34"/>
      <c r="JXX215" s="34"/>
      <c r="JXY215" s="34"/>
      <c r="JXZ215" s="34"/>
      <c r="JYA215" s="34"/>
      <c r="JYB215" s="34"/>
      <c r="JYC215" s="34"/>
      <c r="JYD215" s="34"/>
      <c r="JYE215" s="34"/>
      <c r="JYF215" s="34"/>
      <c r="JYG215" s="34"/>
      <c r="JYH215" s="34"/>
      <c r="JYI215" s="34"/>
      <c r="JYJ215" s="34"/>
      <c r="JYK215" s="34"/>
      <c r="JYL215" s="34"/>
      <c r="JYM215" s="34"/>
      <c r="JYN215" s="34"/>
      <c r="JYO215" s="34"/>
      <c r="JYP215" s="34"/>
      <c r="JYQ215" s="34"/>
      <c r="JYR215" s="34"/>
      <c r="JYS215" s="34"/>
      <c r="JYT215" s="34"/>
      <c r="JYU215" s="34"/>
      <c r="JYV215" s="34"/>
      <c r="JYW215" s="34"/>
      <c r="JYX215" s="34"/>
      <c r="JYY215" s="34"/>
      <c r="JYZ215" s="34"/>
      <c r="JZA215" s="34"/>
      <c r="JZB215" s="34"/>
      <c r="JZC215" s="34"/>
      <c r="JZD215" s="34"/>
      <c r="JZE215" s="34"/>
      <c r="JZF215" s="34"/>
      <c r="JZG215" s="34"/>
      <c r="JZH215" s="34"/>
      <c r="JZI215" s="34"/>
      <c r="JZJ215" s="34"/>
      <c r="JZK215" s="34"/>
      <c r="JZL215" s="34"/>
      <c r="JZM215" s="34"/>
      <c r="JZN215" s="34"/>
      <c r="JZO215" s="34"/>
      <c r="JZP215" s="34"/>
      <c r="JZQ215" s="34"/>
      <c r="JZR215" s="34"/>
      <c r="JZS215" s="34"/>
      <c r="JZT215" s="34"/>
      <c r="JZU215" s="34"/>
      <c r="JZV215" s="34"/>
      <c r="JZW215" s="34"/>
      <c r="JZX215" s="34"/>
      <c r="JZY215" s="34"/>
      <c r="JZZ215" s="34"/>
      <c r="KAA215" s="34"/>
      <c r="KAB215" s="34"/>
      <c r="KAC215" s="34"/>
      <c r="KAD215" s="34"/>
      <c r="KAE215" s="34"/>
      <c r="KAF215" s="34"/>
      <c r="KAG215" s="34"/>
      <c r="KAH215" s="34"/>
      <c r="KAI215" s="34"/>
      <c r="KAJ215" s="34"/>
      <c r="KAK215" s="34"/>
      <c r="KAL215" s="34"/>
      <c r="KAM215" s="34"/>
      <c r="KAN215" s="34"/>
      <c r="KAO215" s="34"/>
      <c r="KAP215" s="34"/>
      <c r="KAQ215" s="34"/>
      <c r="KAR215" s="34"/>
      <c r="KAS215" s="34"/>
      <c r="KAT215" s="34"/>
      <c r="KAU215" s="34"/>
      <c r="KAV215" s="34"/>
      <c r="KAW215" s="34"/>
      <c r="KAX215" s="34"/>
      <c r="KAY215" s="34"/>
      <c r="KAZ215" s="34"/>
      <c r="KBA215" s="34"/>
      <c r="KBB215" s="34"/>
      <c r="KBC215" s="34"/>
      <c r="KBD215" s="34"/>
      <c r="KBE215" s="34"/>
      <c r="KBF215" s="34"/>
      <c r="KBG215" s="34"/>
      <c r="KBH215" s="34"/>
      <c r="KBI215" s="34"/>
      <c r="KBJ215" s="34"/>
      <c r="KBK215" s="34"/>
      <c r="KBL215" s="34"/>
      <c r="KBM215" s="34"/>
      <c r="KBN215" s="34"/>
      <c r="KBO215" s="34"/>
      <c r="KBP215" s="34"/>
      <c r="KBQ215" s="34"/>
      <c r="KBR215" s="34"/>
      <c r="KBS215" s="34"/>
      <c r="KBT215" s="34"/>
      <c r="KBU215" s="34"/>
      <c r="KBV215" s="34"/>
      <c r="KBW215" s="34"/>
      <c r="KBX215" s="34"/>
      <c r="KBY215" s="34"/>
      <c r="KBZ215" s="34"/>
      <c r="KCA215" s="34"/>
      <c r="KCB215" s="34"/>
      <c r="KCC215" s="34"/>
      <c r="KCD215" s="34"/>
      <c r="KCE215" s="34"/>
      <c r="KCF215" s="34"/>
      <c r="KCG215" s="34"/>
      <c r="KCH215" s="34"/>
      <c r="KCI215" s="34"/>
      <c r="KCJ215" s="34"/>
      <c r="KCK215" s="34"/>
      <c r="KCL215" s="34"/>
      <c r="KCM215" s="34"/>
      <c r="KCN215" s="34"/>
      <c r="KCO215" s="34"/>
      <c r="KCP215" s="34"/>
      <c r="KCQ215" s="34"/>
      <c r="KCR215" s="34"/>
      <c r="KCS215" s="34"/>
      <c r="KCT215" s="34"/>
      <c r="KCU215" s="34"/>
      <c r="KCV215" s="34"/>
      <c r="KCW215" s="34"/>
      <c r="KCX215" s="34"/>
      <c r="KCY215" s="34"/>
      <c r="KCZ215" s="34"/>
      <c r="KDA215" s="34"/>
      <c r="KDB215" s="34"/>
      <c r="KDC215" s="34"/>
      <c r="KDD215" s="34"/>
      <c r="KDE215" s="34"/>
      <c r="KDF215" s="34"/>
      <c r="KDG215" s="34"/>
      <c r="KDH215" s="34"/>
      <c r="KDI215" s="34"/>
      <c r="KDJ215" s="34"/>
      <c r="KDK215" s="34"/>
      <c r="KDL215" s="34"/>
      <c r="KDM215" s="34"/>
      <c r="KDN215" s="34"/>
      <c r="KDO215" s="34"/>
      <c r="KDP215" s="34"/>
      <c r="KDQ215" s="34"/>
      <c r="KDR215" s="34"/>
      <c r="KDS215" s="34"/>
      <c r="KDT215" s="34"/>
      <c r="KDU215" s="34"/>
      <c r="KDV215" s="34"/>
      <c r="KDW215" s="34"/>
      <c r="KDX215" s="34"/>
      <c r="KDY215" s="34"/>
      <c r="KDZ215" s="34"/>
      <c r="KEA215" s="34"/>
      <c r="KEB215" s="34"/>
      <c r="KEC215" s="34"/>
      <c r="KED215" s="34"/>
      <c r="KEE215" s="34"/>
      <c r="KEF215" s="34"/>
      <c r="KEG215" s="34"/>
      <c r="KEH215" s="34"/>
      <c r="KEI215" s="34"/>
      <c r="KEJ215" s="34"/>
      <c r="KEK215" s="34"/>
      <c r="KEL215" s="34"/>
      <c r="KEM215" s="34"/>
      <c r="KEN215" s="34"/>
      <c r="KEO215" s="34"/>
      <c r="KEP215" s="34"/>
      <c r="KEQ215" s="34"/>
      <c r="KER215" s="34"/>
      <c r="KES215" s="34"/>
      <c r="KET215" s="34"/>
      <c r="KEU215" s="34"/>
      <c r="KEV215" s="34"/>
      <c r="KEW215" s="34"/>
      <c r="KEX215" s="34"/>
      <c r="KEY215" s="34"/>
      <c r="KEZ215" s="34"/>
      <c r="KFA215" s="34"/>
      <c r="KFB215" s="34"/>
      <c r="KFC215" s="34"/>
      <c r="KFD215" s="34"/>
      <c r="KFE215" s="34"/>
      <c r="KFF215" s="34"/>
      <c r="KFG215" s="34"/>
      <c r="KFH215" s="34"/>
      <c r="KFI215" s="34"/>
      <c r="KFJ215" s="34"/>
      <c r="KFK215" s="34"/>
      <c r="KFL215" s="34"/>
      <c r="KFM215" s="34"/>
      <c r="KFN215" s="34"/>
      <c r="KFO215" s="34"/>
      <c r="KFP215" s="34"/>
      <c r="KFQ215" s="34"/>
      <c r="KFR215" s="34"/>
      <c r="KFS215" s="34"/>
      <c r="KFT215" s="34"/>
      <c r="KFU215" s="34"/>
      <c r="KFV215" s="34"/>
      <c r="KFW215" s="34"/>
      <c r="KFX215" s="34"/>
      <c r="KFY215" s="34"/>
      <c r="KFZ215" s="34"/>
      <c r="KGA215" s="34"/>
      <c r="KGB215" s="34"/>
      <c r="KGC215" s="34"/>
      <c r="KGD215" s="34"/>
      <c r="KGE215" s="34"/>
      <c r="KGF215" s="34"/>
      <c r="KGG215" s="34"/>
      <c r="KGH215" s="34"/>
      <c r="KGI215" s="34"/>
      <c r="KGJ215" s="34"/>
      <c r="KGK215" s="34"/>
      <c r="KGL215" s="34"/>
      <c r="KGM215" s="34"/>
      <c r="KGN215" s="34"/>
      <c r="KGO215" s="34"/>
      <c r="KGP215" s="34"/>
      <c r="KGQ215" s="34"/>
      <c r="KGR215" s="34"/>
      <c r="KGS215" s="34"/>
      <c r="KGT215" s="34"/>
      <c r="KGU215" s="34"/>
      <c r="KGV215" s="34"/>
      <c r="KGW215" s="34"/>
      <c r="KGX215" s="34"/>
      <c r="KGY215" s="34"/>
      <c r="KGZ215" s="34"/>
      <c r="KHA215" s="34"/>
      <c r="KHB215" s="34"/>
      <c r="KHC215" s="34"/>
      <c r="KHD215" s="34"/>
      <c r="KHE215" s="34"/>
      <c r="KHF215" s="34"/>
      <c r="KHG215" s="34"/>
      <c r="KHH215" s="34"/>
      <c r="KHI215" s="34"/>
      <c r="KHJ215" s="34"/>
      <c r="KHK215" s="34"/>
      <c r="KHL215" s="34"/>
      <c r="KHM215" s="34"/>
      <c r="KHN215" s="34"/>
      <c r="KHO215" s="34"/>
      <c r="KHP215" s="34"/>
      <c r="KHQ215" s="34"/>
      <c r="KHR215" s="34"/>
      <c r="KHS215" s="34"/>
      <c r="KHT215" s="34"/>
      <c r="KHU215" s="34"/>
      <c r="KHV215" s="34"/>
      <c r="KHW215" s="34"/>
      <c r="KHX215" s="34"/>
      <c r="KHY215" s="34"/>
      <c r="KHZ215" s="34"/>
      <c r="KIA215" s="34"/>
      <c r="KIB215" s="34"/>
      <c r="KIC215" s="34"/>
      <c r="KID215" s="34"/>
      <c r="KIE215" s="34"/>
      <c r="KIF215" s="34"/>
      <c r="KIG215" s="34"/>
      <c r="KIH215" s="34"/>
      <c r="KII215" s="34"/>
      <c r="KIJ215" s="34"/>
      <c r="KIK215" s="34"/>
      <c r="KIL215" s="34"/>
      <c r="KIM215" s="34"/>
      <c r="KIN215" s="34"/>
      <c r="KIO215" s="34"/>
      <c r="KIP215" s="34"/>
      <c r="KIQ215" s="34"/>
      <c r="KIR215" s="34"/>
      <c r="KIS215" s="34"/>
      <c r="KIT215" s="34"/>
      <c r="KIU215" s="34"/>
      <c r="KIV215" s="34"/>
      <c r="KIW215" s="34"/>
      <c r="KIX215" s="34"/>
      <c r="KIY215" s="34"/>
      <c r="KIZ215" s="34"/>
      <c r="KJA215" s="34"/>
      <c r="KJB215" s="34"/>
      <c r="KJC215" s="34"/>
      <c r="KJD215" s="34"/>
      <c r="KJE215" s="34"/>
      <c r="KJF215" s="34"/>
      <c r="KJG215" s="34"/>
      <c r="KJH215" s="34"/>
      <c r="KJI215" s="34"/>
      <c r="KJJ215" s="34"/>
      <c r="KJK215" s="34"/>
      <c r="KJL215" s="34"/>
      <c r="KJM215" s="34"/>
      <c r="KJN215" s="34"/>
      <c r="KJO215" s="34"/>
      <c r="KJP215" s="34"/>
      <c r="KJQ215" s="34"/>
      <c r="KJR215" s="34"/>
      <c r="KJS215" s="34"/>
      <c r="KJT215" s="34"/>
      <c r="KJU215" s="34"/>
      <c r="KJV215" s="34"/>
      <c r="KJW215" s="34"/>
      <c r="KJX215" s="34"/>
      <c r="KJY215" s="34"/>
      <c r="KJZ215" s="34"/>
      <c r="KKA215" s="34"/>
      <c r="KKB215" s="34"/>
      <c r="KKC215" s="34"/>
      <c r="KKD215" s="34"/>
      <c r="KKE215" s="34"/>
      <c r="KKF215" s="34"/>
      <c r="KKG215" s="34"/>
      <c r="KKH215" s="34"/>
      <c r="KKI215" s="34"/>
      <c r="KKJ215" s="34"/>
      <c r="KKK215" s="34"/>
      <c r="KKL215" s="34"/>
      <c r="KKM215" s="34"/>
      <c r="KKN215" s="34"/>
      <c r="KKO215" s="34"/>
      <c r="KKP215" s="34"/>
      <c r="KKQ215" s="34"/>
      <c r="KKR215" s="34"/>
      <c r="KKS215" s="34"/>
      <c r="KKT215" s="34"/>
      <c r="KKU215" s="34"/>
      <c r="KKV215" s="34"/>
      <c r="KKW215" s="34"/>
      <c r="KKX215" s="34"/>
      <c r="KKY215" s="34"/>
      <c r="KKZ215" s="34"/>
      <c r="KLA215" s="34"/>
      <c r="KLB215" s="34"/>
      <c r="KLC215" s="34"/>
      <c r="KLD215" s="34"/>
      <c r="KLE215" s="34"/>
      <c r="KLF215" s="34"/>
      <c r="KLG215" s="34"/>
      <c r="KLH215" s="34"/>
      <c r="KLI215" s="34"/>
      <c r="KLJ215" s="34"/>
      <c r="KLK215" s="34"/>
      <c r="KLL215" s="34"/>
      <c r="KLM215" s="34"/>
      <c r="KLN215" s="34"/>
      <c r="KLO215" s="34"/>
      <c r="KLP215" s="34"/>
      <c r="KLQ215" s="34"/>
      <c r="KLR215" s="34"/>
      <c r="KLS215" s="34"/>
      <c r="KLT215" s="34"/>
      <c r="KLU215" s="34"/>
      <c r="KLV215" s="34"/>
      <c r="KLW215" s="34"/>
      <c r="KLX215" s="34"/>
      <c r="KLY215" s="34"/>
      <c r="KLZ215" s="34"/>
      <c r="KMA215" s="34"/>
      <c r="KMB215" s="34"/>
      <c r="KMC215" s="34"/>
      <c r="KMD215" s="34"/>
      <c r="KME215" s="34"/>
      <c r="KMF215" s="34"/>
      <c r="KMG215" s="34"/>
      <c r="KMH215" s="34"/>
      <c r="KMI215" s="34"/>
      <c r="KMJ215" s="34"/>
      <c r="KMK215" s="34"/>
      <c r="KML215" s="34"/>
      <c r="KMM215" s="34"/>
      <c r="KMN215" s="34"/>
      <c r="KMO215" s="34"/>
      <c r="KMP215" s="34"/>
      <c r="KMQ215" s="34"/>
      <c r="KMR215" s="34"/>
      <c r="KMS215" s="34"/>
      <c r="KMT215" s="34"/>
      <c r="KMU215" s="34"/>
      <c r="KMV215" s="34"/>
      <c r="KMW215" s="34"/>
      <c r="KMX215" s="34"/>
      <c r="KMY215" s="34"/>
      <c r="KMZ215" s="34"/>
      <c r="KNA215" s="34"/>
      <c r="KNB215" s="34"/>
      <c r="KNC215" s="34"/>
      <c r="KND215" s="34"/>
      <c r="KNE215" s="34"/>
      <c r="KNF215" s="34"/>
      <c r="KNG215" s="34"/>
      <c r="KNH215" s="34"/>
      <c r="KNI215" s="34"/>
      <c r="KNJ215" s="34"/>
      <c r="KNK215" s="34"/>
      <c r="KNL215" s="34"/>
      <c r="KNM215" s="34"/>
      <c r="KNN215" s="34"/>
      <c r="KNO215" s="34"/>
      <c r="KNP215" s="34"/>
      <c r="KNQ215" s="34"/>
      <c r="KNR215" s="34"/>
      <c r="KNS215" s="34"/>
      <c r="KNT215" s="34"/>
      <c r="KNU215" s="34"/>
      <c r="KNV215" s="34"/>
      <c r="KNW215" s="34"/>
      <c r="KNX215" s="34"/>
      <c r="KNY215" s="34"/>
      <c r="KNZ215" s="34"/>
      <c r="KOA215" s="34"/>
      <c r="KOB215" s="34"/>
      <c r="KOC215" s="34"/>
      <c r="KOD215" s="34"/>
      <c r="KOE215" s="34"/>
      <c r="KOF215" s="34"/>
      <c r="KOG215" s="34"/>
      <c r="KOH215" s="34"/>
      <c r="KOI215" s="34"/>
      <c r="KOJ215" s="34"/>
      <c r="KOK215" s="34"/>
      <c r="KOL215" s="34"/>
      <c r="KOM215" s="34"/>
      <c r="KON215" s="34"/>
      <c r="KOO215" s="34"/>
      <c r="KOP215" s="34"/>
      <c r="KOQ215" s="34"/>
      <c r="KOR215" s="34"/>
      <c r="KOS215" s="34"/>
      <c r="KOT215" s="34"/>
      <c r="KOU215" s="34"/>
      <c r="KOV215" s="34"/>
      <c r="KOW215" s="34"/>
      <c r="KOX215" s="34"/>
      <c r="KOY215" s="34"/>
      <c r="KOZ215" s="34"/>
      <c r="KPA215" s="34"/>
      <c r="KPB215" s="34"/>
      <c r="KPC215" s="34"/>
      <c r="KPD215" s="34"/>
      <c r="KPE215" s="34"/>
      <c r="KPF215" s="34"/>
      <c r="KPG215" s="34"/>
      <c r="KPH215" s="34"/>
      <c r="KPI215" s="34"/>
      <c r="KPJ215" s="34"/>
      <c r="KPK215" s="34"/>
      <c r="KPL215" s="34"/>
      <c r="KPM215" s="34"/>
      <c r="KPN215" s="34"/>
      <c r="KPO215" s="34"/>
      <c r="KPP215" s="34"/>
      <c r="KPQ215" s="34"/>
      <c r="KPR215" s="34"/>
      <c r="KPS215" s="34"/>
      <c r="KPT215" s="34"/>
      <c r="KPU215" s="34"/>
      <c r="KPV215" s="34"/>
      <c r="KPW215" s="34"/>
      <c r="KPX215" s="34"/>
      <c r="KPY215" s="34"/>
      <c r="KPZ215" s="34"/>
      <c r="KQA215" s="34"/>
      <c r="KQB215" s="34"/>
      <c r="KQC215" s="34"/>
      <c r="KQD215" s="34"/>
      <c r="KQE215" s="34"/>
      <c r="KQF215" s="34"/>
      <c r="KQG215" s="34"/>
      <c r="KQH215" s="34"/>
      <c r="KQI215" s="34"/>
      <c r="KQJ215" s="34"/>
      <c r="KQK215" s="34"/>
      <c r="KQL215" s="34"/>
      <c r="KQM215" s="34"/>
      <c r="KQN215" s="34"/>
      <c r="KQO215" s="34"/>
      <c r="KQP215" s="34"/>
      <c r="KQQ215" s="34"/>
      <c r="KQR215" s="34"/>
      <c r="KQS215" s="34"/>
      <c r="KQT215" s="34"/>
      <c r="KQU215" s="34"/>
      <c r="KQV215" s="34"/>
      <c r="KQW215" s="34"/>
      <c r="KQX215" s="34"/>
      <c r="KQY215" s="34"/>
      <c r="KQZ215" s="34"/>
      <c r="KRA215" s="34"/>
      <c r="KRB215" s="34"/>
      <c r="KRC215" s="34"/>
      <c r="KRD215" s="34"/>
      <c r="KRE215" s="34"/>
      <c r="KRF215" s="34"/>
      <c r="KRG215" s="34"/>
      <c r="KRH215" s="34"/>
      <c r="KRI215" s="34"/>
      <c r="KRJ215" s="34"/>
      <c r="KRK215" s="34"/>
      <c r="KRL215" s="34"/>
      <c r="KRM215" s="34"/>
      <c r="KRN215" s="34"/>
      <c r="KRO215" s="34"/>
      <c r="KRP215" s="34"/>
      <c r="KRQ215" s="34"/>
      <c r="KRR215" s="34"/>
      <c r="KRS215" s="34"/>
      <c r="KRT215" s="34"/>
      <c r="KRU215" s="34"/>
      <c r="KRV215" s="34"/>
      <c r="KRW215" s="34"/>
      <c r="KRX215" s="34"/>
      <c r="KRY215" s="34"/>
      <c r="KRZ215" s="34"/>
      <c r="KSA215" s="34"/>
      <c r="KSB215" s="34"/>
      <c r="KSC215" s="34"/>
      <c r="KSD215" s="34"/>
      <c r="KSE215" s="34"/>
      <c r="KSF215" s="34"/>
      <c r="KSG215" s="34"/>
      <c r="KSH215" s="34"/>
      <c r="KSI215" s="34"/>
      <c r="KSJ215" s="34"/>
      <c r="KSK215" s="34"/>
      <c r="KSL215" s="34"/>
      <c r="KSM215" s="34"/>
      <c r="KSN215" s="34"/>
      <c r="KSO215" s="34"/>
      <c r="KSP215" s="34"/>
      <c r="KSQ215" s="34"/>
      <c r="KSR215" s="34"/>
      <c r="KSS215" s="34"/>
      <c r="KST215" s="34"/>
      <c r="KSU215" s="34"/>
      <c r="KSV215" s="34"/>
      <c r="KSW215" s="34"/>
      <c r="KSX215" s="34"/>
      <c r="KSY215" s="34"/>
      <c r="KSZ215" s="34"/>
      <c r="KTA215" s="34"/>
      <c r="KTB215" s="34"/>
      <c r="KTC215" s="34"/>
      <c r="KTD215" s="34"/>
      <c r="KTE215" s="34"/>
      <c r="KTF215" s="34"/>
      <c r="KTG215" s="34"/>
      <c r="KTH215" s="34"/>
      <c r="KTI215" s="34"/>
      <c r="KTJ215" s="34"/>
      <c r="KTK215" s="34"/>
      <c r="KTL215" s="34"/>
      <c r="KTM215" s="34"/>
      <c r="KTN215" s="34"/>
      <c r="KTO215" s="34"/>
      <c r="KTP215" s="34"/>
      <c r="KTQ215" s="34"/>
      <c r="KTR215" s="34"/>
      <c r="KTS215" s="34"/>
      <c r="KTT215" s="34"/>
      <c r="KTU215" s="34"/>
      <c r="KTV215" s="34"/>
      <c r="KTW215" s="34"/>
      <c r="KTX215" s="34"/>
      <c r="KTY215" s="34"/>
      <c r="KTZ215" s="34"/>
      <c r="KUA215" s="34"/>
      <c r="KUB215" s="34"/>
      <c r="KUC215" s="34"/>
      <c r="KUD215" s="34"/>
      <c r="KUE215" s="34"/>
      <c r="KUF215" s="34"/>
      <c r="KUG215" s="34"/>
      <c r="KUH215" s="34"/>
      <c r="KUI215" s="34"/>
      <c r="KUJ215" s="34"/>
      <c r="KUK215" s="34"/>
      <c r="KUL215" s="34"/>
      <c r="KUM215" s="34"/>
      <c r="KUN215" s="34"/>
      <c r="KUO215" s="34"/>
      <c r="KUP215" s="34"/>
      <c r="KUQ215" s="34"/>
      <c r="KUR215" s="34"/>
      <c r="KUS215" s="34"/>
      <c r="KUT215" s="34"/>
      <c r="KUU215" s="34"/>
      <c r="KUV215" s="34"/>
      <c r="KUW215" s="34"/>
      <c r="KUX215" s="34"/>
      <c r="KUY215" s="34"/>
      <c r="KUZ215" s="34"/>
      <c r="KVA215" s="34"/>
      <c r="KVB215" s="34"/>
      <c r="KVC215" s="34"/>
      <c r="KVD215" s="34"/>
      <c r="KVE215" s="34"/>
      <c r="KVF215" s="34"/>
      <c r="KVG215" s="34"/>
      <c r="KVH215" s="34"/>
      <c r="KVI215" s="34"/>
      <c r="KVJ215" s="34"/>
      <c r="KVK215" s="34"/>
      <c r="KVL215" s="34"/>
      <c r="KVM215" s="34"/>
      <c r="KVN215" s="34"/>
      <c r="KVO215" s="34"/>
      <c r="KVP215" s="34"/>
      <c r="KVQ215" s="34"/>
      <c r="KVR215" s="34"/>
      <c r="KVS215" s="34"/>
      <c r="KVT215" s="34"/>
      <c r="KVU215" s="34"/>
      <c r="KVV215" s="34"/>
      <c r="KVW215" s="34"/>
      <c r="KVX215" s="34"/>
      <c r="KVY215" s="34"/>
      <c r="KVZ215" s="34"/>
      <c r="KWA215" s="34"/>
      <c r="KWB215" s="34"/>
      <c r="KWC215" s="34"/>
      <c r="KWD215" s="34"/>
      <c r="KWE215" s="34"/>
      <c r="KWF215" s="34"/>
      <c r="KWG215" s="34"/>
      <c r="KWH215" s="34"/>
      <c r="KWI215" s="34"/>
      <c r="KWJ215" s="34"/>
      <c r="KWK215" s="34"/>
      <c r="KWL215" s="34"/>
      <c r="KWM215" s="34"/>
      <c r="KWN215" s="34"/>
      <c r="KWO215" s="34"/>
      <c r="KWP215" s="34"/>
      <c r="KWQ215" s="34"/>
      <c r="KWR215" s="34"/>
      <c r="KWS215" s="34"/>
      <c r="KWT215" s="34"/>
      <c r="KWU215" s="34"/>
      <c r="KWV215" s="34"/>
      <c r="KWW215" s="34"/>
      <c r="KWX215" s="34"/>
      <c r="KWY215" s="34"/>
      <c r="KWZ215" s="34"/>
      <c r="KXA215" s="34"/>
      <c r="KXB215" s="34"/>
      <c r="KXC215" s="34"/>
      <c r="KXD215" s="34"/>
      <c r="KXE215" s="34"/>
      <c r="KXF215" s="34"/>
      <c r="KXG215" s="34"/>
      <c r="KXH215" s="34"/>
      <c r="KXI215" s="34"/>
      <c r="KXJ215" s="34"/>
      <c r="KXK215" s="34"/>
      <c r="KXL215" s="34"/>
      <c r="KXM215" s="34"/>
      <c r="KXN215" s="34"/>
      <c r="KXO215" s="34"/>
      <c r="KXP215" s="34"/>
      <c r="KXQ215" s="34"/>
      <c r="KXR215" s="34"/>
      <c r="KXS215" s="34"/>
      <c r="KXT215" s="34"/>
      <c r="KXU215" s="34"/>
      <c r="KXV215" s="34"/>
      <c r="KXW215" s="34"/>
      <c r="KXX215" s="34"/>
      <c r="KXY215" s="34"/>
      <c r="KXZ215" s="34"/>
      <c r="KYA215" s="34"/>
      <c r="KYB215" s="34"/>
      <c r="KYC215" s="34"/>
      <c r="KYD215" s="34"/>
      <c r="KYE215" s="34"/>
      <c r="KYF215" s="34"/>
      <c r="KYG215" s="34"/>
      <c r="KYH215" s="34"/>
      <c r="KYI215" s="34"/>
      <c r="KYJ215" s="34"/>
      <c r="KYK215" s="34"/>
      <c r="KYL215" s="34"/>
      <c r="KYM215" s="34"/>
      <c r="KYN215" s="34"/>
      <c r="KYO215" s="34"/>
      <c r="KYP215" s="34"/>
      <c r="KYQ215" s="34"/>
      <c r="KYR215" s="34"/>
      <c r="KYS215" s="34"/>
      <c r="KYT215" s="34"/>
      <c r="KYU215" s="34"/>
      <c r="KYV215" s="34"/>
      <c r="KYW215" s="34"/>
      <c r="KYX215" s="34"/>
      <c r="KYY215" s="34"/>
      <c r="KYZ215" s="34"/>
      <c r="KZA215" s="34"/>
      <c r="KZB215" s="34"/>
      <c r="KZC215" s="34"/>
      <c r="KZD215" s="34"/>
      <c r="KZE215" s="34"/>
      <c r="KZF215" s="34"/>
      <c r="KZG215" s="34"/>
      <c r="KZH215" s="34"/>
      <c r="KZI215" s="34"/>
      <c r="KZJ215" s="34"/>
      <c r="KZK215" s="34"/>
      <c r="KZL215" s="34"/>
      <c r="KZM215" s="34"/>
      <c r="KZN215" s="34"/>
      <c r="KZO215" s="34"/>
      <c r="KZP215" s="34"/>
      <c r="KZQ215" s="34"/>
      <c r="KZR215" s="34"/>
      <c r="KZS215" s="34"/>
      <c r="KZT215" s="34"/>
      <c r="KZU215" s="34"/>
      <c r="KZV215" s="34"/>
      <c r="KZW215" s="34"/>
      <c r="KZX215" s="34"/>
      <c r="KZY215" s="34"/>
      <c r="KZZ215" s="34"/>
      <c r="LAA215" s="34"/>
      <c r="LAB215" s="34"/>
      <c r="LAC215" s="34"/>
      <c r="LAD215" s="34"/>
      <c r="LAE215" s="34"/>
      <c r="LAF215" s="34"/>
      <c r="LAG215" s="34"/>
      <c r="LAH215" s="34"/>
      <c r="LAI215" s="34"/>
      <c r="LAJ215" s="34"/>
      <c r="LAK215" s="34"/>
      <c r="LAL215" s="34"/>
      <c r="LAM215" s="34"/>
      <c r="LAN215" s="34"/>
      <c r="LAO215" s="34"/>
      <c r="LAP215" s="34"/>
      <c r="LAQ215" s="34"/>
      <c r="LAR215" s="34"/>
      <c r="LAS215" s="34"/>
      <c r="LAT215" s="34"/>
      <c r="LAU215" s="34"/>
      <c r="LAV215" s="34"/>
      <c r="LAW215" s="34"/>
      <c r="LAX215" s="34"/>
      <c r="LAY215" s="34"/>
      <c r="LAZ215" s="34"/>
      <c r="LBA215" s="34"/>
      <c r="LBB215" s="34"/>
      <c r="LBC215" s="34"/>
      <c r="LBD215" s="34"/>
      <c r="LBE215" s="34"/>
      <c r="LBF215" s="34"/>
      <c r="LBG215" s="34"/>
      <c r="LBH215" s="34"/>
      <c r="LBI215" s="34"/>
      <c r="LBJ215" s="34"/>
      <c r="LBK215" s="34"/>
      <c r="LBL215" s="34"/>
      <c r="LBM215" s="34"/>
      <c r="LBN215" s="34"/>
      <c r="LBO215" s="34"/>
      <c r="LBP215" s="34"/>
      <c r="LBQ215" s="34"/>
      <c r="LBR215" s="34"/>
      <c r="LBS215" s="34"/>
      <c r="LBT215" s="34"/>
      <c r="LBU215" s="34"/>
      <c r="LBV215" s="34"/>
      <c r="LBW215" s="34"/>
      <c r="LBX215" s="34"/>
      <c r="LBY215" s="34"/>
      <c r="LBZ215" s="34"/>
      <c r="LCA215" s="34"/>
      <c r="LCB215" s="34"/>
      <c r="LCC215" s="34"/>
      <c r="LCD215" s="34"/>
      <c r="LCE215" s="34"/>
      <c r="LCF215" s="34"/>
      <c r="LCG215" s="34"/>
      <c r="LCH215" s="34"/>
      <c r="LCI215" s="34"/>
      <c r="LCJ215" s="34"/>
      <c r="LCK215" s="34"/>
      <c r="LCL215" s="34"/>
      <c r="LCM215" s="34"/>
      <c r="LCN215" s="34"/>
      <c r="LCO215" s="34"/>
      <c r="LCP215" s="34"/>
      <c r="LCQ215" s="34"/>
      <c r="LCR215" s="34"/>
      <c r="LCS215" s="34"/>
      <c r="LCT215" s="34"/>
      <c r="LCU215" s="34"/>
      <c r="LCV215" s="34"/>
      <c r="LCW215" s="34"/>
      <c r="LCX215" s="34"/>
      <c r="LCY215" s="34"/>
      <c r="LCZ215" s="34"/>
      <c r="LDA215" s="34"/>
      <c r="LDB215" s="34"/>
      <c r="LDC215" s="34"/>
      <c r="LDD215" s="34"/>
      <c r="LDE215" s="34"/>
      <c r="LDF215" s="34"/>
      <c r="LDG215" s="34"/>
      <c r="LDH215" s="34"/>
      <c r="LDI215" s="34"/>
      <c r="LDJ215" s="34"/>
      <c r="LDK215" s="34"/>
      <c r="LDL215" s="34"/>
      <c r="LDM215" s="34"/>
      <c r="LDN215" s="34"/>
      <c r="LDO215" s="34"/>
      <c r="LDP215" s="34"/>
      <c r="LDQ215" s="34"/>
      <c r="LDR215" s="34"/>
      <c r="LDS215" s="34"/>
      <c r="LDT215" s="34"/>
      <c r="LDU215" s="34"/>
      <c r="LDV215" s="34"/>
      <c r="LDW215" s="34"/>
      <c r="LDX215" s="34"/>
      <c r="LDY215" s="34"/>
      <c r="LDZ215" s="34"/>
      <c r="LEA215" s="34"/>
      <c r="LEB215" s="34"/>
      <c r="LEC215" s="34"/>
      <c r="LED215" s="34"/>
      <c r="LEE215" s="34"/>
      <c r="LEF215" s="34"/>
      <c r="LEG215" s="34"/>
      <c r="LEH215" s="34"/>
      <c r="LEI215" s="34"/>
      <c r="LEJ215" s="34"/>
      <c r="LEK215" s="34"/>
      <c r="LEL215" s="34"/>
      <c r="LEM215" s="34"/>
      <c r="LEN215" s="34"/>
      <c r="LEO215" s="34"/>
      <c r="LEP215" s="34"/>
      <c r="LEQ215" s="34"/>
      <c r="LER215" s="34"/>
      <c r="LES215" s="34"/>
      <c r="LET215" s="34"/>
      <c r="LEU215" s="34"/>
      <c r="LEV215" s="34"/>
      <c r="LEW215" s="34"/>
      <c r="LEX215" s="34"/>
      <c r="LEY215" s="34"/>
      <c r="LEZ215" s="34"/>
      <c r="LFA215" s="34"/>
      <c r="LFB215" s="34"/>
      <c r="LFC215" s="34"/>
      <c r="LFD215" s="34"/>
      <c r="LFE215" s="34"/>
      <c r="LFF215" s="34"/>
      <c r="LFG215" s="34"/>
      <c r="LFH215" s="34"/>
      <c r="LFI215" s="34"/>
      <c r="LFJ215" s="34"/>
      <c r="LFK215" s="34"/>
      <c r="LFL215" s="34"/>
      <c r="LFM215" s="34"/>
      <c r="LFN215" s="34"/>
      <c r="LFO215" s="34"/>
      <c r="LFP215" s="34"/>
      <c r="LFQ215" s="34"/>
      <c r="LFR215" s="34"/>
      <c r="LFS215" s="34"/>
      <c r="LFT215" s="34"/>
      <c r="LFU215" s="34"/>
      <c r="LFV215" s="34"/>
      <c r="LFW215" s="34"/>
      <c r="LFX215" s="34"/>
      <c r="LFY215" s="34"/>
      <c r="LFZ215" s="34"/>
      <c r="LGA215" s="34"/>
      <c r="LGB215" s="34"/>
      <c r="LGC215" s="34"/>
      <c r="LGD215" s="34"/>
      <c r="LGE215" s="34"/>
      <c r="LGF215" s="34"/>
      <c r="LGG215" s="34"/>
      <c r="LGH215" s="34"/>
      <c r="LGI215" s="34"/>
      <c r="LGJ215" s="34"/>
      <c r="LGK215" s="34"/>
      <c r="LGL215" s="34"/>
      <c r="LGM215" s="34"/>
      <c r="LGN215" s="34"/>
      <c r="LGO215" s="34"/>
      <c r="LGP215" s="34"/>
      <c r="LGQ215" s="34"/>
      <c r="LGR215" s="34"/>
      <c r="LGS215" s="34"/>
      <c r="LGT215" s="34"/>
      <c r="LGU215" s="34"/>
      <c r="LGV215" s="34"/>
      <c r="LGW215" s="34"/>
      <c r="LGX215" s="34"/>
      <c r="LGY215" s="34"/>
      <c r="LGZ215" s="34"/>
      <c r="LHA215" s="34"/>
      <c r="LHB215" s="34"/>
      <c r="LHC215" s="34"/>
      <c r="LHD215" s="34"/>
      <c r="LHE215" s="34"/>
      <c r="LHF215" s="34"/>
      <c r="LHG215" s="34"/>
      <c r="LHH215" s="34"/>
      <c r="LHI215" s="34"/>
      <c r="LHJ215" s="34"/>
      <c r="LHK215" s="34"/>
      <c r="LHL215" s="34"/>
      <c r="LHM215" s="34"/>
      <c r="LHN215" s="34"/>
      <c r="LHO215" s="34"/>
      <c r="LHP215" s="34"/>
      <c r="LHQ215" s="34"/>
      <c r="LHR215" s="34"/>
      <c r="LHS215" s="34"/>
      <c r="LHT215" s="34"/>
      <c r="LHU215" s="34"/>
      <c r="LHV215" s="34"/>
      <c r="LHW215" s="34"/>
      <c r="LHX215" s="34"/>
      <c r="LHY215" s="34"/>
      <c r="LHZ215" s="34"/>
      <c r="LIA215" s="34"/>
      <c r="LIB215" s="34"/>
      <c r="LIC215" s="34"/>
      <c r="LID215" s="34"/>
      <c r="LIE215" s="34"/>
      <c r="LIF215" s="34"/>
      <c r="LIG215" s="34"/>
      <c r="LIH215" s="34"/>
      <c r="LII215" s="34"/>
      <c r="LIJ215" s="34"/>
      <c r="LIK215" s="34"/>
      <c r="LIL215" s="34"/>
      <c r="LIM215" s="34"/>
      <c r="LIN215" s="34"/>
      <c r="LIO215" s="34"/>
      <c r="LIP215" s="34"/>
      <c r="LIQ215" s="34"/>
      <c r="LIR215" s="34"/>
      <c r="LIS215" s="34"/>
      <c r="LIT215" s="34"/>
      <c r="LIU215" s="34"/>
      <c r="LIV215" s="34"/>
      <c r="LIW215" s="34"/>
      <c r="LIX215" s="34"/>
      <c r="LIY215" s="34"/>
      <c r="LIZ215" s="34"/>
      <c r="LJA215" s="34"/>
      <c r="LJB215" s="34"/>
      <c r="LJC215" s="34"/>
      <c r="LJD215" s="34"/>
      <c r="LJE215" s="34"/>
      <c r="LJF215" s="34"/>
      <c r="LJG215" s="34"/>
      <c r="LJH215" s="34"/>
      <c r="LJI215" s="34"/>
      <c r="LJJ215" s="34"/>
      <c r="LJK215" s="34"/>
      <c r="LJL215" s="34"/>
      <c r="LJM215" s="34"/>
      <c r="LJN215" s="34"/>
      <c r="LJO215" s="34"/>
      <c r="LJP215" s="34"/>
      <c r="LJQ215" s="34"/>
      <c r="LJR215" s="34"/>
      <c r="LJS215" s="34"/>
      <c r="LJT215" s="34"/>
      <c r="LJU215" s="34"/>
      <c r="LJV215" s="34"/>
      <c r="LJW215" s="34"/>
      <c r="LJX215" s="34"/>
      <c r="LJY215" s="34"/>
      <c r="LJZ215" s="34"/>
      <c r="LKA215" s="34"/>
      <c r="LKB215" s="34"/>
      <c r="LKC215" s="34"/>
      <c r="LKD215" s="34"/>
      <c r="LKE215" s="34"/>
      <c r="LKF215" s="34"/>
      <c r="LKG215" s="34"/>
      <c r="LKH215" s="34"/>
      <c r="LKI215" s="34"/>
      <c r="LKJ215" s="34"/>
      <c r="LKK215" s="34"/>
      <c r="LKL215" s="34"/>
      <c r="LKM215" s="34"/>
      <c r="LKN215" s="34"/>
      <c r="LKO215" s="34"/>
      <c r="LKP215" s="34"/>
      <c r="LKQ215" s="34"/>
      <c r="LKR215" s="34"/>
      <c r="LKS215" s="34"/>
      <c r="LKT215" s="34"/>
      <c r="LKU215" s="34"/>
      <c r="LKV215" s="34"/>
      <c r="LKW215" s="34"/>
      <c r="LKX215" s="34"/>
      <c r="LKY215" s="34"/>
      <c r="LKZ215" s="34"/>
      <c r="LLA215" s="34"/>
      <c r="LLB215" s="34"/>
      <c r="LLC215" s="34"/>
      <c r="LLD215" s="34"/>
      <c r="LLE215" s="34"/>
      <c r="LLF215" s="34"/>
      <c r="LLG215" s="34"/>
      <c r="LLH215" s="34"/>
      <c r="LLI215" s="34"/>
      <c r="LLJ215" s="34"/>
      <c r="LLK215" s="34"/>
      <c r="LLL215" s="34"/>
      <c r="LLM215" s="34"/>
      <c r="LLN215" s="34"/>
      <c r="LLO215" s="34"/>
      <c r="LLP215" s="34"/>
      <c r="LLQ215" s="34"/>
      <c r="LLR215" s="34"/>
      <c r="LLS215" s="34"/>
      <c r="LLT215" s="34"/>
      <c r="LLU215" s="34"/>
      <c r="LLV215" s="34"/>
      <c r="LLW215" s="34"/>
      <c r="LLX215" s="34"/>
      <c r="LLY215" s="34"/>
      <c r="LLZ215" s="34"/>
      <c r="LMA215" s="34"/>
      <c r="LMB215" s="34"/>
      <c r="LMC215" s="34"/>
      <c r="LMD215" s="34"/>
      <c r="LME215" s="34"/>
      <c r="LMF215" s="34"/>
      <c r="LMG215" s="34"/>
      <c r="LMH215" s="34"/>
      <c r="LMI215" s="34"/>
      <c r="LMJ215" s="34"/>
      <c r="LMK215" s="34"/>
      <c r="LML215" s="34"/>
      <c r="LMM215" s="34"/>
      <c r="LMN215" s="34"/>
      <c r="LMO215" s="34"/>
      <c r="LMP215" s="34"/>
      <c r="LMQ215" s="34"/>
      <c r="LMR215" s="34"/>
      <c r="LMS215" s="34"/>
      <c r="LMT215" s="34"/>
      <c r="LMU215" s="34"/>
      <c r="LMV215" s="34"/>
      <c r="LMW215" s="34"/>
      <c r="LMX215" s="34"/>
      <c r="LMY215" s="34"/>
      <c r="LMZ215" s="34"/>
      <c r="LNA215" s="34"/>
      <c r="LNB215" s="34"/>
      <c r="LNC215" s="34"/>
      <c r="LND215" s="34"/>
      <c r="LNE215" s="34"/>
      <c r="LNF215" s="34"/>
      <c r="LNG215" s="34"/>
      <c r="LNH215" s="34"/>
      <c r="LNI215" s="34"/>
      <c r="LNJ215" s="34"/>
      <c r="LNK215" s="34"/>
      <c r="LNL215" s="34"/>
      <c r="LNM215" s="34"/>
      <c r="LNN215" s="34"/>
      <c r="LNO215" s="34"/>
      <c r="LNP215" s="34"/>
      <c r="LNQ215" s="34"/>
      <c r="LNR215" s="34"/>
      <c r="LNS215" s="34"/>
      <c r="LNT215" s="34"/>
      <c r="LNU215" s="34"/>
      <c r="LNV215" s="34"/>
      <c r="LNW215" s="34"/>
      <c r="LNX215" s="34"/>
      <c r="LNY215" s="34"/>
      <c r="LNZ215" s="34"/>
      <c r="LOA215" s="34"/>
      <c r="LOB215" s="34"/>
      <c r="LOC215" s="34"/>
      <c r="LOD215" s="34"/>
      <c r="LOE215" s="34"/>
      <c r="LOF215" s="34"/>
      <c r="LOG215" s="34"/>
      <c r="LOH215" s="34"/>
      <c r="LOI215" s="34"/>
      <c r="LOJ215" s="34"/>
      <c r="LOK215" s="34"/>
      <c r="LOL215" s="34"/>
      <c r="LOM215" s="34"/>
      <c r="LON215" s="34"/>
      <c r="LOO215" s="34"/>
      <c r="LOP215" s="34"/>
      <c r="LOQ215" s="34"/>
      <c r="LOR215" s="34"/>
      <c r="LOS215" s="34"/>
      <c r="LOT215" s="34"/>
      <c r="LOU215" s="34"/>
      <c r="LOV215" s="34"/>
      <c r="LOW215" s="34"/>
      <c r="LOX215" s="34"/>
      <c r="LOY215" s="34"/>
      <c r="LOZ215" s="34"/>
      <c r="LPA215" s="34"/>
      <c r="LPB215" s="34"/>
      <c r="LPC215" s="34"/>
      <c r="LPD215" s="34"/>
      <c r="LPE215" s="34"/>
      <c r="LPF215" s="34"/>
      <c r="LPG215" s="34"/>
      <c r="LPH215" s="34"/>
      <c r="LPI215" s="34"/>
      <c r="LPJ215" s="34"/>
      <c r="LPK215" s="34"/>
      <c r="LPL215" s="34"/>
      <c r="LPM215" s="34"/>
      <c r="LPN215" s="34"/>
      <c r="LPO215" s="34"/>
      <c r="LPP215" s="34"/>
      <c r="LPQ215" s="34"/>
      <c r="LPR215" s="34"/>
      <c r="LPS215" s="34"/>
      <c r="LPT215" s="34"/>
      <c r="LPU215" s="34"/>
      <c r="LPV215" s="34"/>
      <c r="LPW215" s="34"/>
      <c r="LPX215" s="34"/>
      <c r="LPY215" s="34"/>
      <c r="LPZ215" s="34"/>
      <c r="LQA215" s="34"/>
      <c r="LQB215" s="34"/>
      <c r="LQC215" s="34"/>
      <c r="LQD215" s="34"/>
      <c r="LQE215" s="34"/>
      <c r="LQF215" s="34"/>
      <c r="LQG215" s="34"/>
      <c r="LQH215" s="34"/>
      <c r="LQI215" s="34"/>
      <c r="LQJ215" s="34"/>
      <c r="LQK215" s="34"/>
      <c r="LQL215" s="34"/>
      <c r="LQM215" s="34"/>
      <c r="LQN215" s="34"/>
      <c r="LQO215" s="34"/>
      <c r="LQP215" s="34"/>
      <c r="LQQ215" s="34"/>
      <c r="LQR215" s="34"/>
      <c r="LQS215" s="34"/>
      <c r="LQT215" s="34"/>
      <c r="LQU215" s="34"/>
      <c r="LQV215" s="34"/>
      <c r="LQW215" s="34"/>
      <c r="LQX215" s="34"/>
      <c r="LQY215" s="34"/>
      <c r="LQZ215" s="34"/>
      <c r="LRA215" s="34"/>
      <c r="LRB215" s="34"/>
      <c r="LRC215" s="34"/>
      <c r="LRD215" s="34"/>
      <c r="LRE215" s="34"/>
      <c r="LRF215" s="34"/>
      <c r="LRG215" s="34"/>
      <c r="LRH215" s="34"/>
      <c r="LRI215" s="34"/>
      <c r="LRJ215" s="34"/>
      <c r="LRK215" s="34"/>
      <c r="LRL215" s="34"/>
      <c r="LRM215" s="34"/>
      <c r="LRN215" s="34"/>
      <c r="LRO215" s="34"/>
      <c r="LRP215" s="34"/>
      <c r="LRQ215" s="34"/>
      <c r="LRR215" s="34"/>
      <c r="LRS215" s="34"/>
      <c r="LRT215" s="34"/>
      <c r="LRU215" s="34"/>
      <c r="LRV215" s="34"/>
      <c r="LRW215" s="34"/>
      <c r="LRX215" s="34"/>
      <c r="LRY215" s="34"/>
      <c r="LRZ215" s="34"/>
      <c r="LSA215" s="34"/>
      <c r="LSB215" s="34"/>
      <c r="LSC215" s="34"/>
      <c r="LSD215" s="34"/>
      <c r="LSE215" s="34"/>
      <c r="LSF215" s="34"/>
      <c r="LSG215" s="34"/>
      <c r="LSH215" s="34"/>
      <c r="LSI215" s="34"/>
      <c r="LSJ215" s="34"/>
      <c r="LSK215" s="34"/>
      <c r="LSL215" s="34"/>
      <c r="LSM215" s="34"/>
      <c r="LSN215" s="34"/>
      <c r="LSO215" s="34"/>
      <c r="LSP215" s="34"/>
      <c r="LSQ215" s="34"/>
      <c r="LSR215" s="34"/>
      <c r="LSS215" s="34"/>
      <c r="LST215" s="34"/>
      <c r="LSU215" s="34"/>
      <c r="LSV215" s="34"/>
      <c r="LSW215" s="34"/>
      <c r="LSX215" s="34"/>
      <c r="LSY215" s="34"/>
      <c r="LSZ215" s="34"/>
      <c r="LTA215" s="34"/>
      <c r="LTB215" s="34"/>
      <c r="LTC215" s="34"/>
      <c r="LTD215" s="34"/>
      <c r="LTE215" s="34"/>
      <c r="LTF215" s="34"/>
      <c r="LTG215" s="34"/>
      <c r="LTH215" s="34"/>
      <c r="LTI215" s="34"/>
      <c r="LTJ215" s="34"/>
      <c r="LTK215" s="34"/>
      <c r="LTL215" s="34"/>
      <c r="LTM215" s="34"/>
      <c r="LTN215" s="34"/>
      <c r="LTO215" s="34"/>
      <c r="LTP215" s="34"/>
      <c r="LTQ215" s="34"/>
      <c r="LTR215" s="34"/>
      <c r="LTS215" s="34"/>
      <c r="LTT215" s="34"/>
      <c r="LTU215" s="34"/>
      <c r="LTV215" s="34"/>
      <c r="LTW215" s="34"/>
      <c r="LTX215" s="34"/>
      <c r="LTY215" s="34"/>
      <c r="LTZ215" s="34"/>
      <c r="LUA215" s="34"/>
      <c r="LUB215" s="34"/>
      <c r="LUC215" s="34"/>
      <c r="LUD215" s="34"/>
      <c r="LUE215" s="34"/>
      <c r="LUF215" s="34"/>
      <c r="LUG215" s="34"/>
      <c r="LUH215" s="34"/>
      <c r="LUI215" s="34"/>
      <c r="LUJ215" s="34"/>
      <c r="LUK215" s="34"/>
      <c r="LUL215" s="34"/>
      <c r="LUM215" s="34"/>
      <c r="LUN215" s="34"/>
      <c r="LUO215" s="34"/>
      <c r="LUP215" s="34"/>
      <c r="LUQ215" s="34"/>
      <c r="LUR215" s="34"/>
      <c r="LUS215" s="34"/>
      <c r="LUT215" s="34"/>
      <c r="LUU215" s="34"/>
      <c r="LUV215" s="34"/>
      <c r="LUW215" s="34"/>
      <c r="LUX215" s="34"/>
      <c r="LUY215" s="34"/>
      <c r="LUZ215" s="34"/>
      <c r="LVA215" s="34"/>
      <c r="LVB215" s="34"/>
      <c r="LVC215" s="34"/>
      <c r="LVD215" s="34"/>
      <c r="LVE215" s="34"/>
      <c r="LVF215" s="34"/>
      <c r="LVG215" s="34"/>
      <c r="LVH215" s="34"/>
      <c r="LVI215" s="34"/>
      <c r="LVJ215" s="34"/>
      <c r="LVK215" s="34"/>
      <c r="LVL215" s="34"/>
      <c r="LVM215" s="34"/>
      <c r="LVN215" s="34"/>
      <c r="LVO215" s="34"/>
      <c r="LVP215" s="34"/>
      <c r="LVQ215" s="34"/>
      <c r="LVR215" s="34"/>
      <c r="LVS215" s="34"/>
      <c r="LVT215" s="34"/>
      <c r="LVU215" s="34"/>
      <c r="LVV215" s="34"/>
      <c r="LVW215" s="34"/>
      <c r="LVX215" s="34"/>
      <c r="LVY215" s="34"/>
      <c r="LVZ215" s="34"/>
      <c r="LWA215" s="34"/>
      <c r="LWB215" s="34"/>
      <c r="LWC215" s="34"/>
      <c r="LWD215" s="34"/>
      <c r="LWE215" s="34"/>
      <c r="LWF215" s="34"/>
      <c r="LWG215" s="34"/>
      <c r="LWH215" s="34"/>
      <c r="LWI215" s="34"/>
      <c r="LWJ215" s="34"/>
      <c r="LWK215" s="34"/>
      <c r="LWL215" s="34"/>
      <c r="LWM215" s="34"/>
      <c r="LWN215" s="34"/>
      <c r="LWO215" s="34"/>
      <c r="LWP215" s="34"/>
      <c r="LWQ215" s="34"/>
      <c r="LWR215" s="34"/>
      <c r="LWS215" s="34"/>
      <c r="LWT215" s="34"/>
      <c r="LWU215" s="34"/>
      <c r="LWV215" s="34"/>
      <c r="LWW215" s="34"/>
      <c r="LWX215" s="34"/>
      <c r="LWY215" s="34"/>
      <c r="LWZ215" s="34"/>
      <c r="LXA215" s="34"/>
      <c r="LXB215" s="34"/>
      <c r="LXC215" s="34"/>
      <c r="LXD215" s="34"/>
      <c r="LXE215" s="34"/>
      <c r="LXF215" s="34"/>
      <c r="LXG215" s="34"/>
      <c r="LXH215" s="34"/>
      <c r="LXI215" s="34"/>
      <c r="LXJ215" s="34"/>
      <c r="LXK215" s="34"/>
      <c r="LXL215" s="34"/>
      <c r="LXM215" s="34"/>
      <c r="LXN215" s="34"/>
      <c r="LXO215" s="34"/>
      <c r="LXP215" s="34"/>
      <c r="LXQ215" s="34"/>
      <c r="LXR215" s="34"/>
      <c r="LXS215" s="34"/>
      <c r="LXT215" s="34"/>
      <c r="LXU215" s="34"/>
      <c r="LXV215" s="34"/>
      <c r="LXW215" s="34"/>
      <c r="LXX215" s="34"/>
      <c r="LXY215" s="34"/>
      <c r="LXZ215" s="34"/>
      <c r="LYA215" s="34"/>
      <c r="LYB215" s="34"/>
      <c r="LYC215" s="34"/>
      <c r="LYD215" s="34"/>
      <c r="LYE215" s="34"/>
      <c r="LYF215" s="34"/>
      <c r="LYG215" s="34"/>
      <c r="LYH215" s="34"/>
      <c r="LYI215" s="34"/>
      <c r="LYJ215" s="34"/>
      <c r="LYK215" s="34"/>
      <c r="LYL215" s="34"/>
      <c r="LYM215" s="34"/>
      <c r="LYN215" s="34"/>
      <c r="LYO215" s="34"/>
      <c r="LYP215" s="34"/>
      <c r="LYQ215" s="34"/>
      <c r="LYR215" s="34"/>
      <c r="LYS215" s="34"/>
      <c r="LYT215" s="34"/>
      <c r="LYU215" s="34"/>
      <c r="LYV215" s="34"/>
      <c r="LYW215" s="34"/>
      <c r="LYX215" s="34"/>
      <c r="LYY215" s="34"/>
      <c r="LYZ215" s="34"/>
      <c r="LZA215" s="34"/>
      <c r="LZB215" s="34"/>
      <c r="LZC215" s="34"/>
      <c r="LZD215" s="34"/>
      <c r="LZE215" s="34"/>
      <c r="LZF215" s="34"/>
      <c r="LZG215" s="34"/>
      <c r="LZH215" s="34"/>
      <c r="LZI215" s="34"/>
      <c r="LZJ215" s="34"/>
      <c r="LZK215" s="34"/>
      <c r="LZL215" s="34"/>
      <c r="LZM215" s="34"/>
      <c r="LZN215" s="34"/>
      <c r="LZO215" s="34"/>
      <c r="LZP215" s="34"/>
      <c r="LZQ215" s="34"/>
      <c r="LZR215" s="34"/>
      <c r="LZS215" s="34"/>
      <c r="LZT215" s="34"/>
      <c r="LZU215" s="34"/>
      <c r="LZV215" s="34"/>
      <c r="LZW215" s="34"/>
      <c r="LZX215" s="34"/>
      <c r="LZY215" s="34"/>
      <c r="LZZ215" s="34"/>
      <c r="MAA215" s="34"/>
      <c r="MAB215" s="34"/>
      <c r="MAC215" s="34"/>
      <c r="MAD215" s="34"/>
      <c r="MAE215" s="34"/>
      <c r="MAF215" s="34"/>
      <c r="MAG215" s="34"/>
      <c r="MAH215" s="34"/>
      <c r="MAI215" s="34"/>
      <c r="MAJ215" s="34"/>
      <c r="MAK215" s="34"/>
      <c r="MAL215" s="34"/>
      <c r="MAM215" s="34"/>
      <c r="MAN215" s="34"/>
      <c r="MAO215" s="34"/>
      <c r="MAP215" s="34"/>
      <c r="MAQ215" s="34"/>
      <c r="MAR215" s="34"/>
      <c r="MAS215" s="34"/>
      <c r="MAT215" s="34"/>
      <c r="MAU215" s="34"/>
      <c r="MAV215" s="34"/>
      <c r="MAW215" s="34"/>
      <c r="MAX215" s="34"/>
      <c r="MAY215" s="34"/>
      <c r="MAZ215" s="34"/>
      <c r="MBA215" s="34"/>
      <c r="MBB215" s="34"/>
      <c r="MBC215" s="34"/>
      <c r="MBD215" s="34"/>
      <c r="MBE215" s="34"/>
      <c r="MBF215" s="34"/>
      <c r="MBG215" s="34"/>
      <c r="MBH215" s="34"/>
      <c r="MBI215" s="34"/>
      <c r="MBJ215" s="34"/>
      <c r="MBK215" s="34"/>
      <c r="MBL215" s="34"/>
      <c r="MBM215" s="34"/>
      <c r="MBN215" s="34"/>
      <c r="MBO215" s="34"/>
      <c r="MBP215" s="34"/>
      <c r="MBQ215" s="34"/>
      <c r="MBR215" s="34"/>
      <c r="MBS215" s="34"/>
      <c r="MBT215" s="34"/>
      <c r="MBU215" s="34"/>
      <c r="MBV215" s="34"/>
      <c r="MBW215" s="34"/>
      <c r="MBX215" s="34"/>
      <c r="MBY215" s="34"/>
      <c r="MBZ215" s="34"/>
      <c r="MCA215" s="34"/>
      <c r="MCB215" s="34"/>
      <c r="MCC215" s="34"/>
      <c r="MCD215" s="34"/>
      <c r="MCE215" s="34"/>
      <c r="MCF215" s="34"/>
      <c r="MCG215" s="34"/>
      <c r="MCH215" s="34"/>
      <c r="MCI215" s="34"/>
      <c r="MCJ215" s="34"/>
      <c r="MCK215" s="34"/>
      <c r="MCL215" s="34"/>
      <c r="MCM215" s="34"/>
      <c r="MCN215" s="34"/>
      <c r="MCO215" s="34"/>
      <c r="MCP215" s="34"/>
      <c r="MCQ215" s="34"/>
      <c r="MCR215" s="34"/>
      <c r="MCS215" s="34"/>
      <c r="MCT215" s="34"/>
      <c r="MCU215" s="34"/>
      <c r="MCV215" s="34"/>
      <c r="MCW215" s="34"/>
      <c r="MCX215" s="34"/>
      <c r="MCY215" s="34"/>
      <c r="MCZ215" s="34"/>
      <c r="MDA215" s="34"/>
      <c r="MDB215" s="34"/>
      <c r="MDC215" s="34"/>
      <c r="MDD215" s="34"/>
      <c r="MDE215" s="34"/>
      <c r="MDF215" s="34"/>
      <c r="MDG215" s="34"/>
      <c r="MDH215" s="34"/>
      <c r="MDI215" s="34"/>
      <c r="MDJ215" s="34"/>
      <c r="MDK215" s="34"/>
      <c r="MDL215" s="34"/>
      <c r="MDM215" s="34"/>
      <c r="MDN215" s="34"/>
      <c r="MDO215" s="34"/>
      <c r="MDP215" s="34"/>
      <c r="MDQ215" s="34"/>
      <c r="MDR215" s="34"/>
      <c r="MDS215" s="34"/>
      <c r="MDT215" s="34"/>
      <c r="MDU215" s="34"/>
      <c r="MDV215" s="34"/>
      <c r="MDW215" s="34"/>
      <c r="MDX215" s="34"/>
      <c r="MDY215" s="34"/>
      <c r="MDZ215" s="34"/>
      <c r="MEA215" s="34"/>
      <c r="MEB215" s="34"/>
      <c r="MEC215" s="34"/>
      <c r="MED215" s="34"/>
      <c r="MEE215" s="34"/>
      <c r="MEF215" s="34"/>
      <c r="MEG215" s="34"/>
      <c r="MEH215" s="34"/>
      <c r="MEI215" s="34"/>
      <c r="MEJ215" s="34"/>
      <c r="MEK215" s="34"/>
      <c r="MEL215" s="34"/>
      <c r="MEM215" s="34"/>
      <c r="MEN215" s="34"/>
      <c r="MEO215" s="34"/>
      <c r="MEP215" s="34"/>
      <c r="MEQ215" s="34"/>
      <c r="MER215" s="34"/>
      <c r="MES215" s="34"/>
      <c r="MET215" s="34"/>
      <c r="MEU215" s="34"/>
      <c r="MEV215" s="34"/>
      <c r="MEW215" s="34"/>
      <c r="MEX215" s="34"/>
      <c r="MEY215" s="34"/>
      <c r="MEZ215" s="34"/>
      <c r="MFA215" s="34"/>
      <c r="MFB215" s="34"/>
      <c r="MFC215" s="34"/>
      <c r="MFD215" s="34"/>
      <c r="MFE215" s="34"/>
      <c r="MFF215" s="34"/>
      <c r="MFG215" s="34"/>
      <c r="MFH215" s="34"/>
      <c r="MFI215" s="34"/>
      <c r="MFJ215" s="34"/>
      <c r="MFK215" s="34"/>
      <c r="MFL215" s="34"/>
      <c r="MFM215" s="34"/>
      <c r="MFN215" s="34"/>
      <c r="MFO215" s="34"/>
      <c r="MFP215" s="34"/>
      <c r="MFQ215" s="34"/>
      <c r="MFR215" s="34"/>
      <c r="MFS215" s="34"/>
      <c r="MFT215" s="34"/>
      <c r="MFU215" s="34"/>
      <c r="MFV215" s="34"/>
      <c r="MFW215" s="34"/>
      <c r="MFX215" s="34"/>
      <c r="MFY215" s="34"/>
      <c r="MFZ215" s="34"/>
      <c r="MGA215" s="34"/>
      <c r="MGB215" s="34"/>
      <c r="MGC215" s="34"/>
      <c r="MGD215" s="34"/>
      <c r="MGE215" s="34"/>
      <c r="MGF215" s="34"/>
      <c r="MGG215" s="34"/>
      <c r="MGH215" s="34"/>
      <c r="MGI215" s="34"/>
      <c r="MGJ215" s="34"/>
      <c r="MGK215" s="34"/>
      <c r="MGL215" s="34"/>
      <c r="MGM215" s="34"/>
      <c r="MGN215" s="34"/>
      <c r="MGO215" s="34"/>
      <c r="MGP215" s="34"/>
      <c r="MGQ215" s="34"/>
      <c r="MGR215" s="34"/>
      <c r="MGS215" s="34"/>
      <c r="MGT215" s="34"/>
      <c r="MGU215" s="34"/>
      <c r="MGV215" s="34"/>
      <c r="MGW215" s="34"/>
      <c r="MGX215" s="34"/>
      <c r="MGY215" s="34"/>
      <c r="MGZ215" s="34"/>
      <c r="MHA215" s="34"/>
      <c r="MHB215" s="34"/>
      <c r="MHC215" s="34"/>
      <c r="MHD215" s="34"/>
      <c r="MHE215" s="34"/>
      <c r="MHF215" s="34"/>
      <c r="MHG215" s="34"/>
      <c r="MHH215" s="34"/>
      <c r="MHI215" s="34"/>
      <c r="MHJ215" s="34"/>
      <c r="MHK215" s="34"/>
      <c r="MHL215" s="34"/>
      <c r="MHM215" s="34"/>
      <c r="MHN215" s="34"/>
      <c r="MHO215" s="34"/>
      <c r="MHP215" s="34"/>
      <c r="MHQ215" s="34"/>
      <c r="MHR215" s="34"/>
      <c r="MHS215" s="34"/>
      <c r="MHT215" s="34"/>
      <c r="MHU215" s="34"/>
      <c r="MHV215" s="34"/>
      <c r="MHW215" s="34"/>
      <c r="MHX215" s="34"/>
      <c r="MHY215" s="34"/>
      <c r="MHZ215" s="34"/>
      <c r="MIA215" s="34"/>
      <c r="MIB215" s="34"/>
      <c r="MIC215" s="34"/>
      <c r="MID215" s="34"/>
      <c r="MIE215" s="34"/>
      <c r="MIF215" s="34"/>
      <c r="MIG215" s="34"/>
      <c r="MIH215" s="34"/>
      <c r="MII215" s="34"/>
      <c r="MIJ215" s="34"/>
      <c r="MIK215" s="34"/>
      <c r="MIL215" s="34"/>
      <c r="MIM215" s="34"/>
      <c r="MIN215" s="34"/>
      <c r="MIO215" s="34"/>
      <c r="MIP215" s="34"/>
      <c r="MIQ215" s="34"/>
      <c r="MIR215" s="34"/>
      <c r="MIS215" s="34"/>
      <c r="MIT215" s="34"/>
      <c r="MIU215" s="34"/>
      <c r="MIV215" s="34"/>
      <c r="MIW215" s="34"/>
      <c r="MIX215" s="34"/>
      <c r="MIY215" s="34"/>
      <c r="MIZ215" s="34"/>
      <c r="MJA215" s="34"/>
      <c r="MJB215" s="34"/>
      <c r="MJC215" s="34"/>
      <c r="MJD215" s="34"/>
      <c r="MJE215" s="34"/>
      <c r="MJF215" s="34"/>
      <c r="MJG215" s="34"/>
      <c r="MJH215" s="34"/>
      <c r="MJI215" s="34"/>
      <c r="MJJ215" s="34"/>
      <c r="MJK215" s="34"/>
      <c r="MJL215" s="34"/>
      <c r="MJM215" s="34"/>
      <c r="MJN215" s="34"/>
      <c r="MJO215" s="34"/>
      <c r="MJP215" s="34"/>
      <c r="MJQ215" s="34"/>
      <c r="MJR215" s="34"/>
      <c r="MJS215" s="34"/>
      <c r="MJT215" s="34"/>
      <c r="MJU215" s="34"/>
      <c r="MJV215" s="34"/>
      <c r="MJW215" s="34"/>
      <c r="MJX215" s="34"/>
      <c r="MJY215" s="34"/>
      <c r="MJZ215" s="34"/>
      <c r="MKA215" s="34"/>
      <c r="MKB215" s="34"/>
      <c r="MKC215" s="34"/>
      <c r="MKD215" s="34"/>
      <c r="MKE215" s="34"/>
      <c r="MKF215" s="34"/>
      <c r="MKG215" s="34"/>
      <c r="MKH215" s="34"/>
      <c r="MKI215" s="34"/>
      <c r="MKJ215" s="34"/>
      <c r="MKK215" s="34"/>
      <c r="MKL215" s="34"/>
      <c r="MKM215" s="34"/>
      <c r="MKN215" s="34"/>
      <c r="MKO215" s="34"/>
      <c r="MKP215" s="34"/>
      <c r="MKQ215" s="34"/>
      <c r="MKR215" s="34"/>
      <c r="MKS215" s="34"/>
      <c r="MKT215" s="34"/>
      <c r="MKU215" s="34"/>
      <c r="MKV215" s="34"/>
      <c r="MKW215" s="34"/>
      <c r="MKX215" s="34"/>
      <c r="MKY215" s="34"/>
      <c r="MKZ215" s="34"/>
      <c r="MLA215" s="34"/>
      <c r="MLB215" s="34"/>
      <c r="MLC215" s="34"/>
      <c r="MLD215" s="34"/>
      <c r="MLE215" s="34"/>
      <c r="MLF215" s="34"/>
      <c r="MLG215" s="34"/>
      <c r="MLH215" s="34"/>
      <c r="MLI215" s="34"/>
      <c r="MLJ215" s="34"/>
      <c r="MLK215" s="34"/>
      <c r="MLL215" s="34"/>
      <c r="MLM215" s="34"/>
      <c r="MLN215" s="34"/>
      <c r="MLO215" s="34"/>
      <c r="MLP215" s="34"/>
      <c r="MLQ215" s="34"/>
      <c r="MLR215" s="34"/>
      <c r="MLS215" s="34"/>
      <c r="MLT215" s="34"/>
      <c r="MLU215" s="34"/>
      <c r="MLV215" s="34"/>
      <c r="MLW215" s="34"/>
      <c r="MLX215" s="34"/>
      <c r="MLY215" s="34"/>
      <c r="MLZ215" s="34"/>
      <c r="MMA215" s="34"/>
      <c r="MMB215" s="34"/>
      <c r="MMC215" s="34"/>
      <c r="MMD215" s="34"/>
      <c r="MME215" s="34"/>
      <c r="MMF215" s="34"/>
      <c r="MMG215" s="34"/>
      <c r="MMH215" s="34"/>
      <c r="MMI215" s="34"/>
      <c r="MMJ215" s="34"/>
      <c r="MMK215" s="34"/>
      <c r="MML215" s="34"/>
      <c r="MMM215" s="34"/>
      <c r="MMN215" s="34"/>
      <c r="MMO215" s="34"/>
      <c r="MMP215" s="34"/>
      <c r="MMQ215" s="34"/>
      <c r="MMR215" s="34"/>
      <c r="MMS215" s="34"/>
      <c r="MMT215" s="34"/>
      <c r="MMU215" s="34"/>
      <c r="MMV215" s="34"/>
      <c r="MMW215" s="34"/>
      <c r="MMX215" s="34"/>
      <c r="MMY215" s="34"/>
      <c r="MMZ215" s="34"/>
      <c r="MNA215" s="34"/>
      <c r="MNB215" s="34"/>
      <c r="MNC215" s="34"/>
      <c r="MND215" s="34"/>
      <c r="MNE215" s="34"/>
      <c r="MNF215" s="34"/>
      <c r="MNG215" s="34"/>
      <c r="MNH215" s="34"/>
      <c r="MNI215" s="34"/>
      <c r="MNJ215" s="34"/>
      <c r="MNK215" s="34"/>
      <c r="MNL215" s="34"/>
      <c r="MNM215" s="34"/>
      <c r="MNN215" s="34"/>
      <c r="MNO215" s="34"/>
      <c r="MNP215" s="34"/>
      <c r="MNQ215" s="34"/>
      <c r="MNR215" s="34"/>
      <c r="MNS215" s="34"/>
      <c r="MNT215" s="34"/>
      <c r="MNU215" s="34"/>
      <c r="MNV215" s="34"/>
      <c r="MNW215" s="34"/>
      <c r="MNX215" s="34"/>
      <c r="MNY215" s="34"/>
      <c r="MNZ215" s="34"/>
      <c r="MOA215" s="34"/>
      <c r="MOB215" s="34"/>
      <c r="MOC215" s="34"/>
      <c r="MOD215" s="34"/>
      <c r="MOE215" s="34"/>
      <c r="MOF215" s="34"/>
      <c r="MOG215" s="34"/>
      <c r="MOH215" s="34"/>
      <c r="MOI215" s="34"/>
      <c r="MOJ215" s="34"/>
      <c r="MOK215" s="34"/>
      <c r="MOL215" s="34"/>
      <c r="MOM215" s="34"/>
      <c r="MON215" s="34"/>
      <c r="MOO215" s="34"/>
      <c r="MOP215" s="34"/>
      <c r="MOQ215" s="34"/>
      <c r="MOR215" s="34"/>
      <c r="MOS215" s="34"/>
      <c r="MOT215" s="34"/>
      <c r="MOU215" s="34"/>
      <c r="MOV215" s="34"/>
      <c r="MOW215" s="34"/>
      <c r="MOX215" s="34"/>
      <c r="MOY215" s="34"/>
      <c r="MOZ215" s="34"/>
      <c r="MPA215" s="34"/>
      <c r="MPB215" s="34"/>
      <c r="MPC215" s="34"/>
      <c r="MPD215" s="34"/>
      <c r="MPE215" s="34"/>
      <c r="MPF215" s="34"/>
      <c r="MPG215" s="34"/>
      <c r="MPH215" s="34"/>
      <c r="MPI215" s="34"/>
      <c r="MPJ215" s="34"/>
      <c r="MPK215" s="34"/>
      <c r="MPL215" s="34"/>
      <c r="MPM215" s="34"/>
      <c r="MPN215" s="34"/>
      <c r="MPO215" s="34"/>
      <c r="MPP215" s="34"/>
      <c r="MPQ215" s="34"/>
      <c r="MPR215" s="34"/>
      <c r="MPS215" s="34"/>
      <c r="MPT215" s="34"/>
      <c r="MPU215" s="34"/>
      <c r="MPV215" s="34"/>
      <c r="MPW215" s="34"/>
      <c r="MPX215" s="34"/>
      <c r="MPY215" s="34"/>
      <c r="MPZ215" s="34"/>
      <c r="MQA215" s="34"/>
      <c r="MQB215" s="34"/>
      <c r="MQC215" s="34"/>
      <c r="MQD215" s="34"/>
      <c r="MQE215" s="34"/>
      <c r="MQF215" s="34"/>
      <c r="MQG215" s="34"/>
      <c r="MQH215" s="34"/>
      <c r="MQI215" s="34"/>
      <c r="MQJ215" s="34"/>
      <c r="MQK215" s="34"/>
      <c r="MQL215" s="34"/>
      <c r="MQM215" s="34"/>
      <c r="MQN215" s="34"/>
      <c r="MQO215" s="34"/>
      <c r="MQP215" s="34"/>
      <c r="MQQ215" s="34"/>
      <c r="MQR215" s="34"/>
      <c r="MQS215" s="34"/>
      <c r="MQT215" s="34"/>
      <c r="MQU215" s="34"/>
      <c r="MQV215" s="34"/>
      <c r="MQW215" s="34"/>
      <c r="MQX215" s="34"/>
      <c r="MQY215" s="34"/>
      <c r="MQZ215" s="34"/>
      <c r="MRA215" s="34"/>
      <c r="MRB215" s="34"/>
      <c r="MRC215" s="34"/>
      <c r="MRD215" s="34"/>
      <c r="MRE215" s="34"/>
      <c r="MRF215" s="34"/>
      <c r="MRG215" s="34"/>
      <c r="MRH215" s="34"/>
      <c r="MRI215" s="34"/>
      <c r="MRJ215" s="34"/>
      <c r="MRK215" s="34"/>
      <c r="MRL215" s="34"/>
      <c r="MRM215" s="34"/>
      <c r="MRN215" s="34"/>
      <c r="MRO215" s="34"/>
      <c r="MRP215" s="34"/>
      <c r="MRQ215" s="34"/>
      <c r="MRR215" s="34"/>
      <c r="MRS215" s="34"/>
      <c r="MRT215" s="34"/>
      <c r="MRU215" s="34"/>
      <c r="MRV215" s="34"/>
      <c r="MRW215" s="34"/>
      <c r="MRX215" s="34"/>
      <c r="MRY215" s="34"/>
      <c r="MRZ215" s="34"/>
      <c r="MSA215" s="34"/>
      <c r="MSB215" s="34"/>
      <c r="MSC215" s="34"/>
      <c r="MSD215" s="34"/>
      <c r="MSE215" s="34"/>
      <c r="MSF215" s="34"/>
      <c r="MSG215" s="34"/>
      <c r="MSH215" s="34"/>
      <c r="MSI215" s="34"/>
      <c r="MSJ215" s="34"/>
      <c r="MSK215" s="34"/>
      <c r="MSL215" s="34"/>
      <c r="MSM215" s="34"/>
      <c r="MSN215" s="34"/>
      <c r="MSO215" s="34"/>
      <c r="MSP215" s="34"/>
      <c r="MSQ215" s="34"/>
      <c r="MSR215" s="34"/>
      <c r="MSS215" s="34"/>
      <c r="MST215" s="34"/>
      <c r="MSU215" s="34"/>
      <c r="MSV215" s="34"/>
      <c r="MSW215" s="34"/>
      <c r="MSX215" s="34"/>
      <c r="MSY215" s="34"/>
      <c r="MSZ215" s="34"/>
      <c r="MTA215" s="34"/>
      <c r="MTB215" s="34"/>
      <c r="MTC215" s="34"/>
      <c r="MTD215" s="34"/>
      <c r="MTE215" s="34"/>
      <c r="MTF215" s="34"/>
      <c r="MTG215" s="34"/>
      <c r="MTH215" s="34"/>
      <c r="MTI215" s="34"/>
      <c r="MTJ215" s="34"/>
      <c r="MTK215" s="34"/>
      <c r="MTL215" s="34"/>
      <c r="MTM215" s="34"/>
      <c r="MTN215" s="34"/>
      <c r="MTO215" s="34"/>
      <c r="MTP215" s="34"/>
      <c r="MTQ215" s="34"/>
      <c r="MTR215" s="34"/>
      <c r="MTS215" s="34"/>
      <c r="MTT215" s="34"/>
      <c r="MTU215" s="34"/>
      <c r="MTV215" s="34"/>
      <c r="MTW215" s="34"/>
      <c r="MTX215" s="34"/>
      <c r="MTY215" s="34"/>
      <c r="MTZ215" s="34"/>
      <c r="MUA215" s="34"/>
      <c r="MUB215" s="34"/>
      <c r="MUC215" s="34"/>
      <c r="MUD215" s="34"/>
      <c r="MUE215" s="34"/>
      <c r="MUF215" s="34"/>
      <c r="MUG215" s="34"/>
      <c r="MUH215" s="34"/>
      <c r="MUI215" s="34"/>
      <c r="MUJ215" s="34"/>
      <c r="MUK215" s="34"/>
      <c r="MUL215" s="34"/>
      <c r="MUM215" s="34"/>
      <c r="MUN215" s="34"/>
      <c r="MUO215" s="34"/>
      <c r="MUP215" s="34"/>
      <c r="MUQ215" s="34"/>
      <c r="MUR215" s="34"/>
      <c r="MUS215" s="34"/>
      <c r="MUT215" s="34"/>
      <c r="MUU215" s="34"/>
      <c r="MUV215" s="34"/>
      <c r="MUW215" s="34"/>
      <c r="MUX215" s="34"/>
      <c r="MUY215" s="34"/>
      <c r="MUZ215" s="34"/>
      <c r="MVA215" s="34"/>
      <c r="MVB215" s="34"/>
      <c r="MVC215" s="34"/>
      <c r="MVD215" s="34"/>
      <c r="MVE215" s="34"/>
      <c r="MVF215" s="34"/>
      <c r="MVG215" s="34"/>
      <c r="MVH215" s="34"/>
      <c r="MVI215" s="34"/>
      <c r="MVJ215" s="34"/>
      <c r="MVK215" s="34"/>
      <c r="MVL215" s="34"/>
      <c r="MVM215" s="34"/>
      <c r="MVN215" s="34"/>
      <c r="MVO215" s="34"/>
      <c r="MVP215" s="34"/>
      <c r="MVQ215" s="34"/>
      <c r="MVR215" s="34"/>
      <c r="MVS215" s="34"/>
      <c r="MVT215" s="34"/>
      <c r="MVU215" s="34"/>
      <c r="MVV215" s="34"/>
      <c r="MVW215" s="34"/>
      <c r="MVX215" s="34"/>
      <c r="MVY215" s="34"/>
      <c r="MVZ215" s="34"/>
      <c r="MWA215" s="34"/>
      <c r="MWB215" s="34"/>
      <c r="MWC215" s="34"/>
      <c r="MWD215" s="34"/>
      <c r="MWE215" s="34"/>
      <c r="MWF215" s="34"/>
      <c r="MWG215" s="34"/>
      <c r="MWH215" s="34"/>
      <c r="MWI215" s="34"/>
      <c r="MWJ215" s="34"/>
      <c r="MWK215" s="34"/>
      <c r="MWL215" s="34"/>
      <c r="MWM215" s="34"/>
      <c r="MWN215" s="34"/>
      <c r="MWO215" s="34"/>
      <c r="MWP215" s="34"/>
      <c r="MWQ215" s="34"/>
      <c r="MWR215" s="34"/>
      <c r="MWS215" s="34"/>
      <c r="MWT215" s="34"/>
      <c r="MWU215" s="34"/>
      <c r="MWV215" s="34"/>
      <c r="MWW215" s="34"/>
      <c r="MWX215" s="34"/>
      <c r="MWY215" s="34"/>
      <c r="MWZ215" s="34"/>
      <c r="MXA215" s="34"/>
      <c r="MXB215" s="34"/>
      <c r="MXC215" s="34"/>
      <c r="MXD215" s="34"/>
      <c r="MXE215" s="34"/>
      <c r="MXF215" s="34"/>
      <c r="MXG215" s="34"/>
      <c r="MXH215" s="34"/>
      <c r="MXI215" s="34"/>
      <c r="MXJ215" s="34"/>
      <c r="MXK215" s="34"/>
      <c r="MXL215" s="34"/>
      <c r="MXM215" s="34"/>
      <c r="MXN215" s="34"/>
      <c r="MXO215" s="34"/>
      <c r="MXP215" s="34"/>
      <c r="MXQ215" s="34"/>
      <c r="MXR215" s="34"/>
      <c r="MXS215" s="34"/>
      <c r="MXT215" s="34"/>
      <c r="MXU215" s="34"/>
      <c r="MXV215" s="34"/>
      <c r="MXW215" s="34"/>
      <c r="MXX215" s="34"/>
      <c r="MXY215" s="34"/>
      <c r="MXZ215" s="34"/>
      <c r="MYA215" s="34"/>
      <c r="MYB215" s="34"/>
      <c r="MYC215" s="34"/>
      <c r="MYD215" s="34"/>
      <c r="MYE215" s="34"/>
      <c r="MYF215" s="34"/>
      <c r="MYG215" s="34"/>
      <c r="MYH215" s="34"/>
      <c r="MYI215" s="34"/>
      <c r="MYJ215" s="34"/>
      <c r="MYK215" s="34"/>
      <c r="MYL215" s="34"/>
      <c r="MYM215" s="34"/>
      <c r="MYN215" s="34"/>
      <c r="MYO215" s="34"/>
      <c r="MYP215" s="34"/>
      <c r="MYQ215" s="34"/>
      <c r="MYR215" s="34"/>
      <c r="MYS215" s="34"/>
      <c r="MYT215" s="34"/>
      <c r="MYU215" s="34"/>
      <c r="MYV215" s="34"/>
      <c r="MYW215" s="34"/>
      <c r="MYX215" s="34"/>
      <c r="MYY215" s="34"/>
      <c r="MYZ215" s="34"/>
      <c r="MZA215" s="34"/>
      <c r="MZB215" s="34"/>
      <c r="MZC215" s="34"/>
      <c r="MZD215" s="34"/>
      <c r="MZE215" s="34"/>
      <c r="MZF215" s="34"/>
      <c r="MZG215" s="34"/>
      <c r="MZH215" s="34"/>
      <c r="MZI215" s="34"/>
      <c r="MZJ215" s="34"/>
      <c r="MZK215" s="34"/>
      <c r="MZL215" s="34"/>
      <c r="MZM215" s="34"/>
      <c r="MZN215" s="34"/>
      <c r="MZO215" s="34"/>
      <c r="MZP215" s="34"/>
      <c r="MZQ215" s="34"/>
      <c r="MZR215" s="34"/>
      <c r="MZS215" s="34"/>
      <c r="MZT215" s="34"/>
      <c r="MZU215" s="34"/>
      <c r="MZV215" s="34"/>
      <c r="MZW215" s="34"/>
      <c r="MZX215" s="34"/>
      <c r="MZY215" s="34"/>
      <c r="MZZ215" s="34"/>
      <c r="NAA215" s="34"/>
      <c r="NAB215" s="34"/>
      <c r="NAC215" s="34"/>
      <c r="NAD215" s="34"/>
      <c r="NAE215" s="34"/>
      <c r="NAF215" s="34"/>
      <c r="NAG215" s="34"/>
      <c r="NAH215" s="34"/>
      <c r="NAI215" s="34"/>
      <c r="NAJ215" s="34"/>
      <c r="NAK215" s="34"/>
      <c r="NAL215" s="34"/>
      <c r="NAM215" s="34"/>
      <c r="NAN215" s="34"/>
      <c r="NAO215" s="34"/>
      <c r="NAP215" s="34"/>
      <c r="NAQ215" s="34"/>
      <c r="NAR215" s="34"/>
      <c r="NAS215" s="34"/>
      <c r="NAT215" s="34"/>
      <c r="NAU215" s="34"/>
      <c r="NAV215" s="34"/>
      <c r="NAW215" s="34"/>
      <c r="NAX215" s="34"/>
      <c r="NAY215" s="34"/>
      <c r="NAZ215" s="34"/>
      <c r="NBA215" s="34"/>
      <c r="NBB215" s="34"/>
      <c r="NBC215" s="34"/>
      <c r="NBD215" s="34"/>
      <c r="NBE215" s="34"/>
      <c r="NBF215" s="34"/>
      <c r="NBG215" s="34"/>
      <c r="NBH215" s="34"/>
      <c r="NBI215" s="34"/>
      <c r="NBJ215" s="34"/>
      <c r="NBK215" s="34"/>
      <c r="NBL215" s="34"/>
      <c r="NBM215" s="34"/>
      <c r="NBN215" s="34"/>
      <c r="NBO215" s="34"/>
      <c r="NBP215" s="34"/>
      <c r="NBQ215" s="34"/>
      <c r="NBR215" s="34"/>
      <c r="NBS215" s="34"/>
      <c r="NBT215" s="34"/>
      <c r="NBU215" s="34"/>
      <c r="NBV215" s="34"/>
      <c r="NBW215" s="34"/>
      <c r="NBX215" s="34"/>
      <c r="NBY215" s="34"/>
      <c r="NBZ215" s="34"/>
      <c r="NCA215" s="34"/>
      <c r="NCB215" s="34"/>
      <c r="NCC215" s="34"/>
      <c r="NCD215" s="34"/>
      <c r="NCE215" s="34"/>
      <c r="NCF215" s="34"/>
      <c r="NCG215" s="34"/>
      <c r="NCH215" s="34"/>
      <c r="NCI215" s="34"/>
      <c r="NCJ215" s="34"/>
      <c r="NCK215" s="34"/>
      <c r="NCL215" s="34"/>
      <c r="NCM215" s="34"/>
      <c r="NCN215" s="34"/>
      <c r="NCO215" s="34"/>
      <c r="NCP215" s="34"/>
      <c r="NCQ215" s="34"/>
      <c r="NCR215" s="34"/>
      <c r="NCS215" s="34"/>
      <c r="NCT215" s="34"/>
      <c r="NCU215" s="34"/>
      <c r="NCV215" s="34"/>
      <c r="NCW215" s="34"/>
      <c r="NCX215" s="34"/>
      <c r="NCY215" s="34"/>
      <c r="NCZ215" s="34"/>
      <c r="NDA215" s="34"/>
      <c r="NDB215" s="34"/>
      <c r="NDC215" s="34"/>
      <c r="NDD215" s="34"/>
      <c r="NDE215" s="34"/>
      <c r="NDF215" s="34"/>
      <c r="NDG215" s="34"/>
      <c r="NDH215" s="34"/>
      <c r="NDI215" s="34"/>
      <c r="NDJ215" s="34"/>
      <c r="NDK215" s="34"/>
      <c r="NDL215" s="34"/>
      <c r="NDM215" s="34"/>
      <c r="NDN215" s="34"/>
      <c r="NDO215" s="34"/>
      <c r="NDP215" s="34"/>
      <c r="NDQ215" s="34"/>
      <c r="NDR215" s="34"/>
      <c r="NDS215" s="34"/>
      <c r="NDT215" s="34"/>
      <c r="NDU215" s="34"/>
      <c r="NDV215" s="34"/>
      <c r="NDW215" s="34"/>
      <c r="NDX215" s="34"/>
      <c r="NDY215" s="34"/>
      <c r="NDZ215" s="34"/>
      <c r="NEA215" s="34"/>
      <c r="NEB215" s="34"/>
      <c r="NEC215" s="34"/>
      <c r="NED215" s="34"/>
      <c r="NEE215" s="34"/>
      <c r="NEF215" s="34"/>
      <c r="NEG215" s="34"/>
      <c r="NEH215" s="34"/>
      <c r="NEI215" s="34"/>
      <c r="NEJ215" s="34"/>
      <c r="NEK215" s="34"/>
      <c r="NEL215" s="34"/>
      <c r="NEM215" s="34"/>
      <c r="NEN215" s="34"/>
      <c r="NEO215" s="34"/>
      <c r="NEP215" s="34"/>
      <c r="NEQ215" s="34"/>
      <c r="NER215" s="34"/>
      <c r="NES215" s="34"/>
      <c r="NET215" s="34"/>
      <c r="NEU215" s="34"/>
      <c r="NEV215" s="34"/>
      <c r="NEW215" s="34"/>
      <c r="NEX215" s="34"/>
      <c r="NEY215" s="34"/>
      <c r="NEZ215" s="34"/>
      <c r="NFA215" s="34"/>
      <c r="NFB215" s="34"/>
      <c r="NFC215" s="34"/>
      <c r="NFD215" s="34"/>
      <c r="NFE215" s="34"/>
      <c r="NFF215" s="34"/>
      <c r="NFG215" s="34"/>
      <c r="NFH215" s="34"/>
      <c r="NFI215" s="34"/>
      <c r="NFJ215" s="34"/>
      <c r="NFK215" s="34"/>
      <c r="NFL215" s="34"/>
      <c r="NFM215" s="34"/>
      <c r="NFN215" s="34"/>
      <c r="NFO215" s="34"/>
      <c r="NFP215" s="34"/>
      <c r="NFQ215" s="34"/>
      <c r="NFR215" s="34"/>
      <c r="NFS215" s="34"/>
      <c r="NFT215" s="34"/>
      <c r="NFU215" s="34"/>
      <c r="NFV215" s="34"/>
      <c r="NFW215" s="34"/>
      <c r="NFX215" s="34"/>
      <c r="NFY215" s="34"/>
      <c r="NFZ215" s="34"/>
      <c r="NGA215" s="34"/>
      <c r="NGB215" s="34"/>
      <c r="NGC215" s="34"/>
      <c r="NGD215" s="34"/>
      <c r="NGE215" s="34"/>
      <c r="NGF215" s="34"/>
      <c r="NGG215" s="34"/>
      <c r="NGH215" s="34"/>
      <c r="NGI215" s="34"/>
      <c r="NGJ215" s="34"/>
      <c r="NGK215" s="34"/>
      <c r="NGL215" s="34"/>
      <c r="NGM215" s="34"/>
      <c r="NGN215" s="34"/>
      <c r="NGO215" s="34"/>
      <c r="NGP215" s="34"/>
      <c r="NGQ215" s="34"/>
      <c r="NGR215" s="34"/>
      <c r="NGS215" s="34"/>
      <c r="NGT215" s="34"/>
      <c r="NGU215" s="34"/>
      <c r="NGV215" s="34"/>
      <c r="NGW215" s="34"/>
      <c r="NGX215" s="34"/>
      <c r="NGY215" s="34"/>
      <c r="NGZ215" s="34"/>
      <c r="NHA215" s="34"/>
      <c r="NHB215" s="34"/>
      <c r="NHC215" s="34"/>
      <c r="NHD215" s="34"/>
      <c r="NHE215" s="34"/>
      <c r="NHF215" s="34"/>
      <c r="NHG215" s="34"/>
      <c r="NHH215" s="34"/>
      <c r="NHI215" s="34"/>
      <c r="NHJ215" s="34"/>
      <c r="NHK215" s="34"/>
      <c r="NHL215" s="34"/>
      <c r="NHM215" s="34"/>
      <c r="NHN215" s="34"/>
      <c r="NHO215" s="34"/>
      <c r="NHP215" s="34"/>
      <c r="NHQ215" s="34"/>
      <c r="NHR215" s="34"/>
      <c r="NHS215" s="34"/>
      <c r="NHT215" s="34"/>
      <c r="NHU215" s="34"/>
      <c r="NHV215" s="34"/>
      <c r="NHW215" s="34"/>
      <c r="NHX215" s="34"/>
      <c r="NHY215" s="34"/>
      <c r="NHZ215" s="34"/>
      <c r="NIA215" s="34"/>
      <c r="NIB215" s="34"/>
      <c r="NIC215" s="34"/>
      <c r="NID215" s="34"/>
      <c r="NIE215" s="34"/>
      <c r="NIF215" s="34"/>
      <c r="NIG215" s="34"/>
      <c r="NIH215" s="34"/>
      <c r="NII215" s="34"/>
      <c r="NIJ215" s="34"/>
      <c r="NIK215" s="34"/>
      <c r="NIL215" s="34"/>
      <c r="NIM215" s="34"/>
      <c r="NIN215" s="34"/>
      <c r="NIO215" s="34"/>
      <c r="NIP215" s="34"/>
      <c r="NIQ215" s="34"/>
      <c r="NIR215" s="34"/>
      <c r="NIS215" s="34"/>
      <c r="NIT215" s="34"/>
      <c r="NIU215" s="34"/>
      <c r="NIV215" s="34"/>
      <c r="NIW215" s="34"/>
      <c r="NIX215" s="34"/>
      <c r="NIY215" s="34"/>
      <c r="NIZ215" s="34"/>
      <c r="NJA215" s="34"/>
      <c r="NJB215" s="34"/>
      <c r="NJC215" s="34"/>
      <c r="NJD215" s="34"/>
      <c r="NJE215" s="34"/>
      <c r="NJF215" s="34"/>
      <c r="NJG215" s="34"/>
      <c r="NJH215" s="34"/>
      <c r="NJI215" s="34"/>
      <c r="NJJ215" s="34"/>
      <c r="NJK215" s="34"/>
      <c r="NJL215" s="34"/>
      <c r="NJM215" s="34"/>
      <c r="NJN215" s="34"/>
      <c r="NJO215" s="34"/>
      <c r="NJP215" s="34"/>
      <c r="NJQ215" s="34"/>
      <c r="NJR215" s="34"/>
      <c r="NJS215" s="34"/>
      <c r="NJT215" s="34"/>
      <c r="NJU215" s="34"/>
      <c r="NJV215" s="34"/>
      <c r="NJW215" s="34"/>
      <c r="NJX215" s="34"/>
      <c r="NJY215" s="34"/>
      <c r="NJZ215" s="34"/>
      <c r="NKA215" s="34"/>
      <c r="NKB215" s="34"/>
      <c r="NKC215" s="34"/>
      <c r="NKD215" s="34"/>
      <c r="NKE215" s="34"/>
      <c r="NKF215" s="34"/>
      <c r="NKG215" s="34"/>
      <c r="NKH215" s="34"/>
      <c r="NKI215" s="34"/>
      <c r="NKJ215" s="34"/>
      <c r="NKK215" s="34"/>
      <c r="NKL215" s="34"/>
      <c r="NKM215" s="34"/>
      <c r="NKN215" s="34"/>
      <c r="NKO215" s="34"/>
      <c r="NKP215" s="34"/>
      <c r="NKQ215" s="34"/>
      <c r="NKR215" s="34"/>
      <c r="NKS215" s="34"/>
      <c r="NKT215" s="34"/>
      <c r="NKU215" s="34"/>
      <c r="NKV215" s="34"/>
      <c r="NKW215" s="34"/>
      <c r="NKX215" s="34"/>
      <c r="NKY215" s="34"/>
      <c r="NKZ215" s="34"/>
      <c r="NLA215" s="34"/>
      <c r="NLB215" s="34"/>
      <c r="NLC215" s="34"/>
      <c r="NLD215" s="34"/>
      <c r="NLE215" s="34"/>
      <c r="NLF215" s="34"/>
      <c r="NLG215" s="34"/>
      <c r="NLH215" s="34"/>
      <c r="NLI215" s="34"/>
      <c r="NLJ215" s="34"/>
      <c r="NLK215" s="34"/>
      <c r="NLL215" s="34"/>
      <c r="NLM215" s="34"/>
      <c r="NLN215" s="34"/>
      <c r="NLO215" s="34"/>
      <c r="NLP215" s="34"/>
      <c r="NLQ215" s="34"/>
      <c r="NLR215" s="34"/>
      <c r="NLS215" s="34"/>
      <c r="NLT215" s="34"/>
      <c r="NLU215" s="34"/>
      <c r="NLV215" s="34"/>
      <c r="NLW215" s="34"/>
      <c r="NLX215" s="34"/>
      <c r="NLY215" s="34"/>
      <c r="NLZ215" s="34"/>
      <c r="NMA215" s="34"/>
      <c r="NMB215" s="34"/>
      <c r="NMC215" s="34"/>
      <c r="NMD215" s="34"/>
      <c r="NME215" s="34"/>
      <c r="NMF215" s="34"/>
      <c r="NMG215" s="34"/>
      <c r="NMH215" s="34"/>
      <c r="NMI215" s="34"/>
      <c r="NMJ215" s="34"/>
      <c r="NMK215" s="34"/>
      <c r="NML215" s="34"/>
      <c r="NMM215" s="34"/>
      <c r="NMN215" s="34"/>
      <c r="NMO215" s="34"/>
      <c r="NMP215" s="34"/>
      <c r="NMQ215" s="34"/>
      <c r="NMR215" s="34"/>
      <c r="NMS215" s="34"/>
      <c r="NMT215" s="34"/>
      <c r="NMU215" s="34"/>
      <c r="NMV215" s="34"/>
      <c r="NMW215" s="34"/>
      <c r="NMX215" s="34"/>
      <c r="NMY215" s="34"/>
      <c r="NMZ215" s="34"/>
      <c r="NNA215" s="34"/>
      <c r="NNB215" s="34"/>
      <c r="NNC215" s="34"/>
      <c r="NND215" s="34"/>
      <c r="NNE215" s="34"/>
      <c r="NNF215" s="34"/>
      <c r="NNG215" s="34"/>
      <c r="NNH215" s="34"/>
      <c r="NNI215" s="34"/>
      <c r="NNJ215" s="34"/>
      <c r="NNK215" s="34"/>
      <c r="NNL215" s="34"/>
      <c r="NNM215" s="34"/>
      <c r="NNN215" s="34"/>
      <c r="NNO215" s="34"/>
      <c r="NNP215" s="34"/>
      <c r="NNQ215" s="34"/>
      <c r="NNR215" s="34"/>
      <c r="NNS215" s="34"/>
      <c r="NNT215" s="34"/>
      <c r="NNU215" s="34"/>
      <c r="NNV215" s="34"/>
      <c r="NNW215" s="34"/>
      <c r="NNX215" s="34"/>
      <c r="NNY215" s="34"/>
      <c r="NNZ215" s="34"/>
      <c r="NOA215" s="34"/>
      <c r="NOB215" s="34"/>
      <c r="NOC215" s="34"/>
      <c r="NOD215" s="34"/>
      <c r="NOE215" s="34"/>
      <c r="NOF215" s="34"/>
      <c r="NOG215" s="34"/>
      <c r="NOH215" s="34"/>
      <c r="NOI215" s="34"/>
      <c r="NOJ215" s="34"/>
      <c r="NOK215" s="34"/>
      <c r="NOL215" s="34"/>
      <c r="NOM215" s="34"/>
      <c r="NON215" s="34"/>
      <c r="NOO215" s="34"/>
      <c r="NOP215" s="34"/>
      <c r="NOQ215" s="34"/>
      <c r="NOR215" s="34"/>
      <c r="NOS215" s="34"/>
      <c r="NOT215" s="34"/>
      <c r="NOU215" s="34"/>
      <c r="NOV215" s="34"/>
      <c r="NOW215" s="34"/>
      <c r="NOX215" s="34"/>
      <c r="NOY215" s="34"/>
      <c r="NOZ215" s="34"/>
      <c r="NPA215" s="34"/>
      <c r="NPB215" s="34"/>
      <c r="NPC215" s="34"/>
      <c r="NPD215" s="34"/>
      <c r="NPE215" s="34"/>
      <c r="NPF215" s="34"/>
      <c r="NPG215" s="34"/>
      <c r="NPH215" s="34"/>
      <c r="NPI215" s="34"/>
      <c r="NPJ215" s="34"/>
      <c r="NPK215" s="34"/>
      <c r="NPL215" s="34"/>
      <c r="NPM215" s="34"/>
      <c r="NPN215" s="34"/>
      <c r="NPO215" s="34"/>
      <c r="NPP215" s="34"/>
      <c r="NPQ215" s="34"/>
      <c r="NPR215" s="34"/>
      <c r="NPS215" s="34"/>
      <c r="NPT215" s="34"/>
      <c r="NPU215" s="34"/>
      <c r="NPV215" s="34"/>
      <c r="NPW215" s="34"/>
      <c r="NPX215" s="34"/>
      <c r="NPY215" s="34"/>
      <c r="NPZ215" s="34"/>
      <c r="NQA215" s="34"/>
      <c r="NQB215" s="34"/>
      <c r="NQC215" s="34"/>
      <c r="NQD215" s="34"/>
      <c r="NQE215" s="34"/>
      <c r="NQF215" s="34"/>
      <c r="NQG215" s="34"/>
      <c r="NQH215" s="34"/>
      <c r="NQI215" s="34"/>
      <c r="NQJ215" s="34"/>
      <c r="NQK215" s="34"/>
      <c r="NQL215" s="34"/>
      <c r="NQM215" s="34"/>
      <c r="NQN215" s="34"/>
      <c r="NQO215" s="34"/>
      <c r="NQP215" s="34"/>
      <c r="NQQ215" s="34"/>
      <c r="NQR215" s="34"/>
      <c r="NQS215" s="34"/>
      <c r="NQT215" s="34"/>
      <c r="NQU215" s="34"/>
      <c r="NQV215" s="34"/>
      <c r="NQW215" s="34"/>
      <c r="NQX215" s="34"/>
      <c r="NQY215" s="34"/>
      <c r="NQZ215" s="34"/>
      <c r="NRA215" s="34"/>
      <c r="NRB215" s="34"/>
      <c r="NRC215" s="34"/>
      <c r="NRD215" s="34"/>
      <c r="NRE215" s="34"/>
      <c r="NRF215" s="34"/>
      <c r="NRG215" s="34"/>
      <c r="NRH215" s="34"/>
      <c r="NRI215" s="34"/>
      <c r="NRJ215" s="34"/>
      <c r="NRK215" s="34"/>
      <c r="NRL215" s="34"/>
      <c r="NRM215" s="34"/>
      <c r="NRN215" s="34"/>
      <c r="NRO215" s="34"/>
      <c r="NRP215" s="34"/>
      <c r="NRQ215" s="34"/>
      <c r="NRR215" s="34"/>
      <c r="NRS215" s="34"/>
      <c r="NRT215" s="34"/>
      <c r="NRU215" s="34"/>
      <c r="NRV215" s="34"/>
      <c r="NRW215" s="34"/>
      <c r="NRX215" s="34"/>
      <c r="NRY215" s="34"/>
      <c r="NRZ215" s="34"/>
      <c r="NSA215" s="34"/>
      <c r="NSB215" s="34"/>
      <c r="NSC215" s="34"/>
      <c r="NSD215" s="34"/>
      <c r="NSE215" s="34"/>
      <c r="NSF215" s="34"/>
      <c r="NSG215" s="34"/>
      <c r="NSH215" s="34"/>
      <c r="NSI215" s="34"/>
      <c r="NSJ215" s="34"/>
      <c r="NSK215" s="34"/>
      <c r="NSL215" s="34"/>
      <c r="NSM215" s="34"/>
      <c r="NSN215" s="34"/>
      <c r="NSO215" s="34"/>
      <c r="NSP215" s="34"/>
      <c r="NSQ215" s="34"/>
      <c r="NSR215" s="34"/>
      <c r="NSS215" s="34"/>
      <c r="NST215" s="34"/>
      <c r="NSU215" s="34"/>
      <c r="NSV215" s="34"/>
      <c r="NSW215" s="34"/>
      <c r="NSX215" s="34"/>
      <c r="NSY215" s="34"/>
      <c r="NSZ215" s="34"/>
      <c r="NTA215" s="34"/>
      <c r="NTB215" s="34"/>
      <c r="NTC215" s="34"/>
      <c r="NTD215" s="34"/>
      <c r="NTE215" s="34"/>
      <c r="NTF215" s="34"/>
      <c r="NTG215" s="34"/>
      <c r="NTH215" s="34"/>
      <c r="NTI215" s="34"/>
      <c r="NTJ215" s="34"/>
      <c r="NTK215" s="34"/>
      <c r="NTL215" s="34"/>
      <c r="NTM215" s="34"/>
      <c r="NTN215" s="34"/>
      <c r="NTO215" s="34"/>
      <c r="NTP215" s="34"/>
      <c r="NTQ215" s="34"/>
      <c r="NTR215" s="34"/>
      <c r="NTS215" s="34"/>
      <c r="NTT215" s="34"/>
      <c r="NTU215" s="34"/>
      <c r="NTV215" s="34"/>
      <c r="NTW215" s="34"/>
      <c r="NTX215" s="34"/>
      <c r="NTY215" s="34"/>
    </row>
    <row r="216" spans="1:10009" hidden="1" x14ac:dyDescent="0.3">
      <c r="J216" t="s">
        <v>34</v>
      </c>
      <c r="K216">
        <v>8.09</v>
      </c>
      <c r="L216">
        <v>18.07</v>
      </c>
      <c r="M216">
        <v>2.78</v>
      </c>
      <c r="N216">
        <v>-5.48</v>
      </c>
      <c r="O216">
        <v>1.75</v>
      </c>
      <c r="P216">
        <v>18.68</v>
      </c>
    </row>
    <row r="217" spans="1:10009" hidden="1" x14ac:dyDescent="0.3">
      <c r="J217" t="s">
        <v>44</v>
      </c>
      <c r="K217" t="s">
        <v>256</v>
      </c>
      <c r="L217" t="s">
        <v>257</v>
      </c>
      <c r="M217" t="s">
        <v>258</v>
      </c>
      <c r="N217" t="s">
        <v>259</v>
      </c>
      <c r="O217" t="s">
        <v>252</v>
      </c>
      <c r="P217" t="s">
        <v>253</v>
      </c>
    </row>
    <row r="218" spans="1:10009" hidden="1" x14ac:dyDescent="0.3">
      <c r="J218" t="s">
        <v>49</v>
      </c>
      <c r="K218" t="s">
        <v>260</v>
      </c>
      <c r="L218" t="s">
        <v>261</v>
      </c>
      <c r="M218" t="s">
        <v>262</v>
      </c>
      <c r="N218" t="s">
        <v>263</v>
      </c>
      <c r="O218" t="s">
        <v>254</v>
      </c>
      <c r="P218" t="s">
        <v>255</v>
      </c>
    </row>
    <row r="219" spans="1:10009" hidden="1" x14ac:dyDescent="0.3">
      <c r="J219" t="s">
        <v>178</v>
      </c>
      <c r="K219">
        <v>8057</v>
      </c>
      <c r="L219">
        <v>5777</v>
      </c>
      <c r="M219">
        <v>3841</v>
      </c>
      <c r="N219">
        <v>3166</v>
      </c>
      <c r="O219">
        <v>6461</v>
      </c>
      <c r="P219">
        <v>5997</v>
      </c>
    </row>
    <row r="220" spans="1:10009" hidden="1" x14ac:dyDescent="0.3">
      <c r="J220" t="s">
        <v>177</v>
      </c>
      <c r="K220">
        <f>IF(K219="",NA(),(K219-L219)/L219*100)</f>
        <v>39.466851306906698</v>
      </c>
      <c r="L220">
        <f t="shared" ref="L220:O220" si="11">(L219-M219)/M219*100</f>
        <v>50.403540744597763</v>
      </c>
      <c r="M220">
        <f t="shared" si="11"/>
        <v>21.320277953253317</v>
      </c>
      <c r="N220">
        <f t="shared" si="11"/>
        <v>-50.998297477170716</v>
      </c>
      <c r="O220">
        <f t="shared" si="11"/>
        <v>7.737201934300483</v>
      </c>
    </row>
    <row r="221" spans="1:10009" hidden="1" x14ac:dyDescent="0.3"/>
    <row r="222" spans="1:10009" hidden="1" x14ac:dyDescent="0.3"/>
    <row r="223" spans="1:10009" hidden="1" x14ac:dyDescent="0.3"/>
    <row r="224" spans="1:10009" s="30" customFormat="1" x14ac:dyDescent="0.3">
      <c r="A224"/>
      <c r="B224"/>
      <c r="C224"/>
      <c r="D224"/>
      <c r="E224"/>
      <c r="F224"/>
      <c r="G224"/>
      <c r="H224"/>
      <c r="I224" s="14"/>
      <c r="J224" s="31" t="s">
        <v>173</v>
      </c>
      <c r="K224" s="11" t="str">
        <f>IF(K215="","",YEAR(K215)&amp;"/"&amp;MONTH(K215))</f>
        <v>2022/12</v>
      </c>
      <c r="L224" s="11" t="str">
        <f>IF(L215="","",YEAR(L215)&amp;"/"&amp;MONTH(L215))</f>
        <v>2021/12</v>
      </c>
      <c r="M224" s="11" t="str">
        <f>IF(M215="","",YEAR(M215)&amp;"/"&amp;MONTH(M215))</f>
        <v>2020/12</v>
      </c>
      <c r="N224" s="11" t="str">
        <f>IF(N215="","",YEAR(N215)&amp;"/"&amp;MONTH(N215))</f>
        <v>2019/12</v>
      </c>
      <c r="O224" s="11" t="str">
        <f>IF(O215="","",YEAR(O215)&amp;"/"&amp;MONTH(O215))</f>
        <v>2018/12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</row>
    <row r="225" spans="1:10009" s="30" customFormat="1" x14ac:dyDescent="0.3">
      <c r="A225"/>
      <c r="B225"/>
      <c r="C225"/>
      <c r="D225"/>
      <c r="E225"/>
      <c r="F225"/>
      <c r="G225"/>
      <c r="H225"/>
      <c r="I225" s="14"/>
      <c r="J225" s="10" t="s">
        <v>34</v>
      </c>
      <c r="K225" s="10">
        <f>IF(K216="",NA(),VALUE(K216))</f>
        <v>8.09</v>
      </c>
      <c r="L225" s="10">
        <f t="shared" ref="L225:O227" si="12">IF(L216="","",VALUE(L216))</f>
        <v>18.07</v>
      </c>
      <c r="M225" s="10">
        <f t="shared" si="12"/>
        <v>2.78</v>
      </c>
      <c r="N225" s="10">
        <f t="shared" si="12"/>
        <v>-5.48</v>
      </c>
      <c r="O225" s="10">
        <f t="shared" si="12"/>
        <v>1.75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</row>
    <row r="226" spans="1:10009" s="30" customFormat="1" x14ac:dyDescent="0.3">
      <c r="A226"/>
      <c r="B226"/>
      <c r="C226"/>
      <c r="D226"/>
      <c r="E226"/>
      <c r="F226"/>
      <c r="G226"/>
      <c r="H226"/>
      <c r="I226" s="14"/>
      <c r="J226" s="10" t="s">
        <v>44</v>
      </c>
      <c r="K226" s="10">
        <f>IF(K217="",NA(),VALUE(K217))</f>
        <v>-15.99</v>
      </c>
      <c r="L226" s="10">
        <f t="shared" si="12"/>
        <v>43.45</v>
      </c>
      <c r="M226" s="10">
        <f t="shared" si="12"/>
        <v>29.62</v>
      </c>
      <c r="N226" s="10">
        <f t="shared" si="12"/>
        <v>-52.84</v>
      </c>
      <c r="O226" s="10">
        <f t="shared" si="12"/>
        <v>9.77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</row>
    <row r="227" spans="1:10009" s="30" customFormat="1" x14ac:dyDescent="0.3">
      <c r="A227"/>
      <c r="B227"/>
      <c r="C227"/>
      <c r="D227"/>
      <c r="E227"/>
      <c r="F227"/>
      <c r="G227"/>
      <c r="H227"/>
      <c r="I227" s="14"/>
      <c r="J227" s="10" t="s">
        <v>49</v>
      </c>
      <c r="K227" s="10">
        <f>IF(K218="",NA(),VALUE(K218))</f>
        <v>39.46</v>
      </c>
      <c r="L227" s="10">
        <f t="shared" si="12"/>
        <v>51.12</v>
      </c>
      <c r="M227" s="10">
        <f t="shared" si="12"/>
        <v>21.48</v>
      </c>
      <c r="N227" s="10">
        <f t="shared" si="12"/>
        <v>-50.98</v>
      </c>
      <c r="O227" s="10">
        <f t="shared" si="12"/>
        <v>5.12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</row>
    <row r="228" spans="1:10009" s="30" customFormat="1" x14ac:dyDescent="0.3">
      <c r="A228"/>
      <c r="B228"/>
      <c r="C228"/>
      <c r="D228"/>
      <c r="E228"/>
      <c r="F228"/>
      <c r="G228"/>
      <c r="H228"/>
      <c r="I228" s="14"/>
      <c r="J228" s="10" t="s">
        <v>180</v>
      </c>
      <c r="K228" s="12">
        <f>IF(K220="",NA(),VALUE(K220))</f>
        <v>39.466851306906698</v>
      </c>
      <c r="L228" s="12">
        <f>IF(L220="","",VALUE(L220))</f>
        <v>50.403540744597763</v>
      </c>
      <c r="M228" s="12">
        <f>IF(M220="","",VALUE(M220))</f>
        <v>21.320277953253317</v>
      </c>
      <c r="N228" s="12">
        <f>IF(N220="","",VALUE(N220))</f>
        <v>-50.998297477170716</v>
      </c>
      <c r="O228" s="12">
        <f>IF(O220="","",VALUE(O220))</f>
        <v>7.737201934300483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</row>
    <row r="229" spans="1:10009" s="30" customFormat="1" x14ac:dyDescent="0.3">
      <c r="A229"/>
      <c r="B229"/>
      <c r="C229"/>
      <c r="D229"/>
      <c r="E229"/>
      <c r="F229"/>
      <c r="G229"/>
      <c r="H229"/>
      <c r="I229" s="14"/>
      <c r="J229" s="10" t="s">
        <v>179</v>
      </c>
      <c r="K229" s="16">
        <f>IF(K219="",NA(),VALUE(K219))</f>
        <v>8057</v>
      </c>
      <c r="L229" s="16">
        <f>IF(L219="","",VALUE(L219))</f>
        <v>5777</v>
      </c>
      <c r="M229" s="16">
        <f>IF(M219="","",VALUE(M219))</f>
        <v>3841</v>
      </c>
      <c r="N229" s="16">
        <f>IF(N219="","",VALUE(N219))</f>
        <v>3166</v>
      </c>
      <c r="O229" s="16">
        <f>IF(O219="","",VALUE(O219))</f>
        <v>6461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</row>
    <row r="230" spans="1:10009" s="30" customFormat="1" x14ac:dyDescent="0.3">
      <c r="A230"/>
      <c r="B230"/>
      <c r="C230"/>
      <c r="D230"/>
      <c r="E230"/>
      <c r="F230"/>
      <c r="G230"/>
      <c r="H230"/>
      <c r="I230" s="14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</row>
    <row r="231" spans="1:10009" s="30" customFormat="1" x14ac:dyDescent="0.3">
      <c r="A231"/>
      <c r="B231"/>
      <c r="C231"/>
      <c r="D231"/>
      <c r="E231"/>
      <c r="F231"/>
      <c r="G231"/>
      <c r="H231"/>
      <c r="I231" s="14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</row>
    <row r="232" spans="1:10009" s="30" customFormat="1" x14ac:dyDescent="0.3">
      <c r="A232"/>
      <c r="B232"/>
      <c r="C232"/>
      <c r="D232"/>
      <c r="E232"/>
      <c r="F232"/>
      <c r="G232"/>
      <c r="H232"/>
      <c r="I232" s="14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</row>
    <row r="233" spans="1:10009" s="30" customFormat="1" x14ac:dyDescent="0.3">
      <c r="A233"/>
      <c r="B233"/>
      <c r="C233"/>
      <c r="D233"/>
      <c r="E233"/>
      <c r="F233"/>
      <c r="G233"/>
      <c r="H233"/>
      <c r="I233" s="14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</row>
    <row r="234" spans="1:10009" s="30" customFormat="1" ht="26.25" x14ac:dyDescent="0.3">
      <c r="A234"/>
      <c r="B234"/>
      <c r="C234"/>
      <c r="D234"/>
      <c r="E234"/>
      <c r="F234"/>
      <c r="G234"/>
      <c r="H234"/>
      <c r="I234" s="14"/>
      <c r="J234" s="35" t="s">
        <v>242</v>
      </c>
      <c r="K234" s="35"/>
      <c r="L234" s="35"/>
      <c r="M234" s="35"/>
      <c r="N234" s="35"/>
      <c r="O234" s="35"/>
      <c r="P234" s="35"/>
      <c r="Q234" s="35"/>
      <c r="R234" s="35"/>
      <c r="S234" s="35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</row>
    <row r="235" spans="1:10009" hidden="1" x14ac:dyDescent="0.3"/>
    <row r="236" spans="1:10009" hidden="1" x14ac:dyDescent="0.3"/>
    <row r="237" spans="1:10009" hidden="1" x14ac:dyDescent="0.3">
      <c r="J237" t="str">
        <f ca="1">_xll.IMDH("STK",$N$5,$J$238:$J$245,$L$92-93,$O$5,9999,"Per=분기,sort=D,real=true,Bizday=0,Quote=종가,Pos=11,Orient=H,Cons="&amp;$P$5&amp;",Comp="&amp;$K$237&amp;",Trai=연속,DtFmt=1,TmFmt=1,unit=true,title=분기수익성")</f>
        <v>분기수익성</v>
      </c>
      <c r="K237" t="str">
        <f>IF(G255=1, "순", "누적")</f>
        <v>순</v>
      </c>
    </row>
    <row r="238" spans="1:10009" hidden="1" x14ac:dyDescent="0.3">
      <c r="J238" t="s">
        <v>184</v>
      </c>
      <c r="K238" s="34">
        <v>45199</v>
      </c>
      <c r="L238" s="34">
        <v>45107</v>
      </c>
      <c r="M238" s="34">
        <v>45016</v>
      </c>
      <c r="N238" s="34">
        <v>44926</v>
      </c>
      <c r="O238" s="34">
        <v>44834</v>
      </c>
      <c r="P238" s="34">
        <v>44742</v>
      </c>
      <c r="Q238" s="34">
        <v>44651</v>
      </c>
      <c r="R238" s="34">
        <v>44561</v>
      </c>
      <c r="S238" s="34">
        <v>44469</v>
      </c>
      <c r="T238" s="34">
        <v>44377</v>
      </c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O238" s="34"/>
      <c r="CP238" s="34"/>
      <c r="CQ238" s="34"/>
      <c r="CR238" s="34"/>
      <c r="CS238" s="34"/>
      <c r="CT238" s="34"/>
      <c r="CU238" s="34"/>
      <c r="CV238" s="34"/>
      <c r="CW238" s="34"/>
      <c r="CX238" s="34"/>
      <c r="CY238" s="34"/>
      <c r="CZ238" s="34"/>
      <c r="DA238" s="34"/>
      <c r="DB238" s="34"/>
      <c r="DC238" s="34"/>
      <c r="DD238" s="34"/>
      <c r="DE238" s="34"/>
      <c r="DF238" s="34"/>
      <c r="DG238" s="34"/>
      <c r="DH238" s="34"/>
      <c r="DI238" s="34"/>
      <c r="DJ238" s="34"/>
      <c r="DK238" s="34"/>
      <c r="DL238" s="34"/>
      <c r="DM238" s="34"/>
      <c r="DN238" s="34"/>
      <c r="DO238" s="34"/>
      <c r="DP238" s="34"/>
      <c r="DQ238" s="34"/>
      <c r="DR238" s="34"/>
      <c r="DS238" s="34"/>
      <c r="DT238" s="34"/>
      <c r="DU238" s="34"/>
      <c r="DV238" s="34"/>
      <c r="DW238" s="34"/>
      <c r="DX238" s="34"/>
      <c r="DY238" s="34"/>
      <c r="DZ238" s="34"/>
      <c r="EA238" s="34"/>
      <c r="EB238" s="34"/>
      <c r="EC238" s="34"/>
      <c r="ED238" s="34"/>
      <c r="EE238" s="34"/>
      <c r="EF238" s="34"/>
      <c r="EG238" s="34"/>
      <c r="EH238" s="34"/>
      <c r="EI238" s="34"/>
      <c r="EJ238" s="34"/>
      <c r="EK238" s="34"/>
      <c r="EL238" s="34"/>
      <c r="EM238" s="34"/>
      <c r="EN238" s="34"/>
      <c r="EO238" s="34"/>
      <c r="EP238" s="34"/>
      <c r="EQ238" s="34"/>
      <c r="ER238" s="34"/>
      <c r="ES238" s="34"/>
      <c r="ET238" s="34"/>
      <c r="EU238" s="34"/>
      <c r="EV238" s="34"/>
      <c r="EW238" s="34"/>
      <c r="EX238" s="34"/>
      <c r="EY238" s="34"/>
      <c r="EZ238" s="34"/>
      <c r="FA238" s="34"/>
      <c r="FB238" s="34"/>
      <c r="FC238" s="34"/>
      <c r="FD238" s="34"/>
      <c r="FE238" s="34"/>
      <c r="FF238" s="34"/>
      <c r="FG238" s="34"/>
      <c r="FH238" s="34"/>
      <c r="FI238" s="34"/>
      <c r="FJ238" s="34"/>
      <c r="FK238" s="34"/>
      <c r="FL238" s="34"/>
      <c r="FM238" s="34"/>
      <c r="FN238" s="34"/>
      <c r="FO238" s="34"/>
      <c r="FP238" s="34"/>
      <c r="FQ238" s="34"/>
      <c r="FR238" s="34"/>
      <c r="FS238" s="34"/>
      <c r="FT238" s="34"/>
      <c r="FU238" s="34"/>
      <c r="FV238" s="34"/>
      <c r="FW238" s="34"/>
      <c r="FX238" s="34"/>
      <c r="FY238" s="34"/>
      <c r="FZ238" s="34"/>
      <c r="GA238" s="34"/>
      <c r="GB238" s="34"/>
      <c r="GC238" s="34"/>
      <c r="GD238" s="34"/>
      <c r="GE238" s="34"/>
      <c r="GF238" s="34"/>
      <c r="GG238" s="34"/>
      <c r="GH238" s="34"/>
      <c r="GI238" s="34"/>
      <c r="GJ238" s="34"/>
      <c r="GK238" s="34"/>
      <c r="GL238" s="34"/>
      <c r="GM238" s="34"/>
      <c r="GN238" s="34"/>
      <c r="GO238" s="34"/>
      <c r="GP238" s="34"/>
      <c r="GQ238" s="34"/>
      <c r="GR238" s="34"/>
      <c r="GS238" s="34"/>
      <c r="GT238" s="34"/>
      <c r="GU238" s="34"/>
      <c r="GV238" s="34"/>
      <c r="GW238" s="34"/>
      <c r="GX238" s="34"/>
      <c r="GY238" s="34"/>
      <c r="GZ238" s="34"/>
      <c r="HA238" s="34"/>
      <c r="HB238" s="34"/>
      <c r="HC238" s="34"/>
      <c r="HD238" s="34"/>
      <c r="HE238" s="34"/>
      <c r="HF238" s="34"/>
      <c r="HG238" s="34"/>
      <c r="HH238" s="34"/>
      <c r="HI238" s="34"/>
      <c r="HJ238" s="34"/>
      <c r="HK238" s="34"/>
      <c r="HL238" s="34"/>
      <c r="HM238" s="34"/>
      <c r="HN238" s="34"/>
      <c r="HO238" s="34"/>
      <c r="HP238" s="34"/>
      <c r="HQ238" s="34"/>
      <c r="HR238" s="34"/>
      <c r="HS238" s="34"/>
      <c r="HT238" s="34"/>
      <c r="HU238" s="34"/>
      <c r="HV238" s="34"/>
      <c r="HW238" s="34"/>
      <c r="HX238" s="34"/>
      <c r="HY238" s="34"/>
      <c r="HZ238" s="34"/>
      <c r="IA238" s="34"/>
      <c r="IB238" s="34"/>
      <c r="IC238" s="34"/>
      <c r="ID238" s="34"/>
      <c r="IE238" s="34"/>
      <c r="IF238" s="34"/>
      <c r="IG238" s="34"/>
      <c r="IH238" s="34"/>
      <c r="II238" s="34"/>
      <c r="IJ238" s="34"/>
      <c r="IK238" s="34"/>
      <c r="IL238" s="34"/>
      <c r="IM238" s="34"/>
      <c r="IN238" s="34"/>
      <c r="IO238" s="34"/>
      <c r="IP238" s="34"/>
      <c r="IQ238" s="34"/>
      <c r="IR238" s="34"/>
      <c r="IS238" s="34"/>
      <c r="IT238" s="34"/>
      <c r="IU238" s="34"/>
      <c r="IV238" s="34"/>
      <c r="IW238" s="34"/>
      <c r="IX238" s="34"/>
      <c r="IY238" s="34"/>
      <c r="IZ238" s="34"/>
      <c r="JA238" s="34"/>
      <c r="JB238" s="34"/>
      <c r="JC238" s="34"/>
      <c r="JD238" s="34"/>
      <c r="JE238" s="34"/>
      <c r="JF238" s="34"/>
      <c r="JG238" s="34"/>
      <c r="JH238" s="34"/>
      <c r="JI238" s="34"/>
      <c r="JJ238" s="34"/>
      <c r="JK238" s="34"/>
      <c r="JL238" s="34"/>
      <c r="JM238" s="34"/>
      <c r="JN238" s="34"/>
      <c r="JO238" s="34"/>
      <c r="JP238" s="34"/>
      <c r="JQ238" s="34"/>
      <c r="JR238" s="34"/>
      <c r="JS238" s="34"/>
      <c r="JT238" s="34"/>
      <c r="JU238" s="34"/>
      <c r="JV238" s="34"/>
      <c r="JW238" s="34"/>
      <c r="JX238" s="34"/>
      <c r="JY238" s="34"/>
      <c r="JZ238" s="34"/>
      <c r="KA238" s="34"/>
      <c r="KB238" s="34"/>
      <c r="KC238" s="34"/>
      <c r="KD238" s="34"/>
      <c r="KE238" s="34"/>
      <c r="KF238" s="34"/>
      <c r="KG238" s="34"/>
      <c r="KH238" s="34"/>
      <c r="KI238" s="34"/>
      <c r="KJ238" s="34"/>
      <c r="KK238" s="34"/>
      <c r="KL238" s="34"/>
      <c r="KM238" s="34"/>
      <c r="KN238" s="34"/>
      <c r="KO238" s="34"/>
      <c r="KP238" s="34"/>
      <c r="KQ238" s="34"/>
      <c r="KR238" s="34"/>
      <c r="KS238" s="34"/>
      <c r="KT238" s="34"/>
      <c r="KU238" s="34"/>
      <c r="KV238" s="34"/>
      <c r="KW238" s="34"/>
      <c r="KX238" s="34"/>
      <c r="KY238" s="34"/>
      <c r="KZ238" s="34"/>
      <c r="LA238" s="34"/>
      <c r="LB238" s="34"/>
      <c r="LC238" s="34"/>
      <c r="LD238" s="34"/>
      <c r="LE238" s="34"/>
      <c r="LF238" s="34"/>
      <c r="LG238" s="34"/>
      <c r="LH238" s="34"/>
      <c r="LI238" s="34"/>
      <c r="LJ238" s="34"/>
      <c r="LK238" s="34"/>
      <c r="LL238" s="34"/>
      <c r="LM238" s="34"/>
      <c r="LN238" s="34"/>
      <c r="LO238" s="34"/>
      <c r="LP238" s="34"/>
      <c r="LQ238" s="34"/>
      <c r="LR238" s="34"/>
      <c r="LS238" s="34"/>
      <c r="LT238" s="34"/>
      <c r="LU238" s="34"/>
      <c r="LV238" s="34"/>
      <c r="LW238" s="34"/>
      <c r="LX238" s="34"/>
      <c r="LY238" s="34"/>
      <c r="LZ238" s="34"/>
      <c r="MA238" s="34"/>
      <c r="MB238" s="34"/>
      <c r="MC238" s="34"/>
      <c r="MD238" s="34"/>
      <c r="ME238" s="34"/>
      <c r="MF238" s="34"/>
      <c r="MG238" s="34"/>
      <c r="MH238" s="34"/>
      <c r="MI238" s="34"/>
      <c r="MJ238" s="34"/>
      <c r="MK238" s="34"/>
      <c r="ML238" s="34"/>
      <c r="MM238" s="34"/>
      <c r="MN238" s="34"/>
      <c r="MO238" s="34"/>
      <c r="MP238" s="34"/>
      <c r="MQ238" s="34"/>
      <c r="MR238" s="34"/>
      <c r="MS238" s="34"/>
      <c r="MT238" s="34"/>
      <c r="MU238" s="34"/>
      <c r="MV238" s="34"/>
      <c r="MW238" s="34"/>
      <c r="MX238" s="34"/>
      <c r="MY238" s="34"/>
      <c r="MZ238" s="34"/>
      <c r="NA238" s="34"/>
      <c r="NB238" s="34"/>
      <c r="NC238" s="34"/>
      <c r="ND238" s="34"/>
      <c r="NE238" s="34"/>
      <c r="NF238" s="34"/>
      <c r="NG238" s="34"/>
      <c r="NH238" s="34"/>
      <c r="NI238" s="34"/>
      <c r="NJ238" s="34"/>
      <c r="NK238" s="34"/>
      <c r="NL238" s="34"/>
      <c r="NM238" s="34"/>
      <c r="NN238" s="34"/>
      <c r="NO238" s="34"/>
      <c r="NP238" s="34"/>
      <c r="NQ238" s="34"/>
      <c r="NR238" s="34"/>
      <c r="NS238" s="34"/>
      <c r="NT238" s="34"/>
      <c r="NU238" s="34"/>
      <c r="NV238" s="34"/>
      <c r="NW238" s="34"/>
      <c r="NX238" s="34"/>
      <c r="NY238" s="34"/>
      <c r="NZ238" s="34"/>
      <c r="OA238" s="34"/>
      <c r="OB238" s="34"/>
      <c r="OC238" s="34"/>
      <c r="OD238" s="34"/>
      <c r="OE238" s="34"/>
      <c r="OF238" s="34"/>
      <c r="OG238" s="34"/>
      <c r="OH238" s="34"/>
      <c r="OI238" s="34"/>
      <c r="OJ238" s="34"/>
      <c r="OK238" s="34"/>
      <c r="OL238" s="34"/>
      <c r="OM238" s="34"/>
      <c r="ON238" s="34"/>
      <c r="OO238" s="34"/>
      <c r="OP238" s="34"/>
      <c r="OQ238" s="34"/>
      <c r="OR238" s="34"/>
      <c r="OS238" s="34"/>
      <c r="OT238" s="34"/>
      <c r="OU238" s="34"/>
      <c r="OV238" s="34"/>
      <c r="OW238" s="34"/>
      <c r="OX238" s="34"/>
      <c r="OY238" s="34"/>
      <c r="OZ238" s="34"/>
      <c r="PA238" s="34"/>
      <c r="PB238" s="34"/>
      <c r="PC238" s="34"/>
      <c r="PD238" s="34"/>
      <c r="PE238" s="34"/>
      <c r="PF238" s="34"/>
      <c r="PG238" s="34"/>
      <c r="PH238" s="34"/>
      <c r="PI238" s="34"/>
      <c r="PJ238" s="34"/>
      <c r="PK238" s="34"/>
      <c r="PL238" s="34"/>
      <c r="PM238" s="34"/>
      <c r="PN238" s="34"/>
      <c r="PO238" s="34"/>
      <c r="PP238" s="34"/>
      <c r="PQ238" s="34"/>
      <c r="PR238" s="34"/>
      <c r="PS238" s="34"/>
      <c r="PT238" s="34"/>
      <c r="PU238" s="34"/>
      <c r="PV238" s="34"/>
      <c r="PW238" s="34"/>
      <c r="PX238" s="34"/>
      <c r="PY238" s="34"/>
      <c r="PZ238" s="34"/>
      <c r="QA238" s="34"/>
      <c r="QB238" s="34"/>
      <c r="QC238" s="34"/>
      <c r="QD238" s="34"/>
      <c r="QE238" s="34"/>
      <c r="QF238" s="34"/>
      <c r="QG238" s="34"/>
      <c r="QH238" s="34"/>
      <c r="QI238" s="34"/>
      <c r="QJ238" s="34"/>
      <c r="QK238" s="34"/>
      <c r="QL238" s="34"/>
      <c r="QM238" s="34"/>
      <c r="QN238" s="34"/>
      <c r="QO238" s="34"/>
      <c r="QP238" s="34"/>
      <c r="QQ238" s="34"/>
      <c r="QR238" s="34"/>
      <c r="QS238" s="34"/>
      <c r="QT238" s="34"/>
      <c r="QU238" s="34"/>
      <c r="QV238" s="34"/>
      <c r="QW238" s="34"/>
      <c r="QX238" s="34"/>
      <c r="QY238" s="34"/>
      <c r="QZ238" s="34"/>
      <c r="RA238" s="34"/>
      <c r="RB238" s="34"/>
      <c r="RC238" s="34"/>
      <c r="RD238" s="34"/>
      <c r="RE238" s="34"/>
      <c r="RF238" s="34"/>
      <c r="RG238" s="34"/>
      <c r="RH238" s="34"/>
      <c r="RI238" s="34"/>
      <c r="RJ238" s="34"/>
      <c r="RK238" s="34"/>
      <c r="RL238" s="34"/>
      <c r="RM238" s="34"/>
      <c r="RN238" s="34"/>
      <c r="RO238" s="34"/>
      <c r="RP238" s="34"/>
      <c r="RQ238" s="34"/>
      <c r="RR238" s="34"/>
      <c r="RS238" s="34"/>
      <c r="RT238" s="34"/>
      <c r="RU238" s="34"/>
      <c r="RV238" s="34"/>
      <c r="RW238" s="34"/>
      <c r="RX238" s="34"/>
      <c r="RY238" s="34"/>
      <c r="RZ238" s="34"/>
      <c r="SA238" s="34"/>
      <c r="SB238" s="34"/>
      <c r="SC238" s="34"/>
      <c r="SD238" s="34"/>
      <c r="SE238" s="34"/>
      <c r="SF238" s="34"/>
      <c r="SG238" s="34"/>
      <c r="SH238" s="34"/>
      <c r="SI238" s="34"/>
      <c r="SJ238" s="34"/>
      <c r="SK238" s="34"/>
      <c r="SL238" s="34"/>
      <c r="SM238" s="34"/>
      <c r="SN238" s="34"/>
      <c r="SO238" s="34"/>
      <c r="SP238" s="34"/>
      <c r="SQ238" s="34"/>
      <c r="SR238" s="34"/>
      <c r="SS238" s="34"/>
      <c r="ST238" s="34"/>
      <c r="SU238" s="34"/>
      <c r="SV238" s="34"/>
      <c r="SW238" s="34"/>
      <c r="SX238" s="34"/>
      <c r="SY238" s="34"/>
      <c r="SZ238" s="34"/>
      <c r="TA238" s="34"/>
      <c r="TB238" s="34"/>
      <c r="TC238" s="34"/>
      <c r="TD238" s="34"/>
      <c r="TE238" s="34"/>
      <c r="TF238" s="34"/>
      <c r="TG238" s="34"/>
      <c r="TH238" s="34"/>
      <c r="TI238" s="34"/>
      <c r="TJ238" s="34"/>
      <c r="TK238" s="34"/>
      <c r="TL238" s="34"/>
      <c r="TM238" s="34"/>
      <c r="TN238" s="34"/>
      <c r="TO238" s="34"/>
      <c r="TP238" s="34"/>
      <c r="TQ238" s="34"/>
      <c r="TR238" s="34"/>
      <c r="TS238" s="34"/>
      <c r="TT238" s="34"/>
      <c r="TU238" s="34"/>
      <c r="TV238" s="34"/>
      <c r="TW238" s="34"/>
      <c r="TX238" s="34"/>
      <c r="TY238" s="34"/>
      <c r="TZ238" s="34"/>
      <c r="UA238" s="34"/>
      <c r="UB238" s="34"/>
      <c r="UC238" s="34"/>
      <c r="UD238" s="34"/>
      <c r="UE238" s="34"/>
      <c r="UF238" s="34"/>
      <c r="UG238" s="34"/>
      <c r="UH238" s="34"/>
      <c r="UI238" s="34"/>
      <c r="UJ238" s="34"/>
      <c r="UK238" s="34"/>
      <c r="UL238" s="34"/>
      <c r="UM238" s="34"/>
      <c r="UN238" s="34"/>
      <c r="UO238" s="34"/>
      <c r="UP238" s="34"/>
      <c r="UQ238" s="34"/>
      <c r="UR238" s="34"/>
      <c r="US238" s="34"/>
      <c r="UT238" s="34"/>
      <c r="UU238" s="34"/>
      <c r="UV238" s="34"/>
      <c r="UW238" s="34"/>
      <c r="UX238" s="34"/>
      <c r="UY238" s="34"/>
      <c r="UZ238" s="34"/>
      <c r="VA238" s="34"/>
      <c r="VB238" s="34"/>
      <c r="VC238" s="34"/>
      <c r="VD238" s="34"/>
      <c r="VE238" s="34"/>
      <c r="VF238" s="34"/>
      <c r="VG238" s="34"/>
      <c r="VH238" s="34"/>
      <c r="VI238" s="34"/>
      <c r="VJ238" s="34"/>
      <c r="VK238" s="34"/>
      <c r="VL238" s="34"/>
      <c r="VM238" s="34"/>
      <c r="VN238" s="34"/>
      <c r="VO238" s="34"/>
      <c r="VP238" s="34"/>
      <c r="VQ238" s="34"/>
      <c r="VR238" s="34"/>
      <c r="VS238" s="34"/>
      <c r="VT238" s="34"/>
      <c r="VU238" s="34"/>
      <c r="VV238" s="34"/>
      <c r="VW238" s="34"/>
      <c r="VX238" s="34"/>
      <c r="VY238" s="34"/>
      <c r="VZ238" s="34"/>
      <c r="WA238" s="34"/>
      <c r="WB238" s="34"/>
      <c r="WC238" s="34"/>
      <c r="WD238" s="34"/>
      <c r="WE238" s="34"/>
      <c r="WF238" s="34"/>
      <c r="WG238" s="34"/>
      <c r="WH238" s="34"/>
      <c r="WI238" s="34"/>
      <c r="WJ238" s="34"/>
      <c r="WK238" s="34"/>
      <c r="WL238" s="34"/>
      <c r="WM238" s="34"/>
      <c r="WN238" s="34"/>
      <c r="WO238" s="34"/>
      <c r="WP238" s="34"/>
      <c r="WQ238" s="34"/>
      <c r="WR238" s="34"/>
      <c r="WS238" s="34"/>
      <c r="WT238" s="34"/>
      <c r="WU238" s="34"/>
      <c r="WV238" s="34"/>
      <c r="WW238" s="34"/>
      <c r="WX238" s="34"/>
      <c r="WY238" s="34"/>
      <c r="WZ238" s="34"/>
      <c r="XA238" s="34"/>
      <c r="XB238" s="34"/>
      <c r="XC238" s="34"/>
      <c r="XD238" s="34"/>
      <c r="XE238" s="34"/>
      <c r="XF238" s="34"/>
      <c r="XG238" s="34"/>
      <c r="XH238" s="34"/>
      <c r="XI238" s="34"/>
      <c r="XJ238" s="34"/>
      <c r="XK238" s="34"/>
      <c r="XL238" s="34"/>
      <c r="XM238" s="34"/>
      <c r="XN238" s="34"/>
      <c r="XO238" s="34"/>
      <c r="XP238" s="34"/>
      <c r="XQ238" s="34"/>
      <c r="XR238" s="34"/>
      <c r="XS238" s="34"/>
      <c r="XT238" s="34"/>
      <c r="XU238" s="34"/>
      <c r="XV238" s="34"/>
      <c r="XW238" s="34"/>
      <c r="XX238" s="34"/>
      <c r="XY238" s="34"/>
      <c r="XZ238" s="34"/>
      <c r="YA238" s="34"/>
      <c r="YB238" s="34"/>
      <c r="YC238" s="34"/>
      <c r="YD238" s="34"/>
      <c r="YE238" s="34"/>
      <c r="YF238" s="34"/>
      <c r="YG238" s="34"/>
      <c r="YH238" s="34"/>
      <c r="YI238" s="34"/>
      <c r="YJ238" s="34"/>
      <c r="YK238" s="34"/>
      <c r="YL238" s="34"/>
      <c r="YM238" s="34"/>
      <c r="YN238" s="34"/>
      <c r="YO238" s="34"/>
      <c r="YP238" s="34"/>
      <c r="YQ238" s="34"/>
      <c r="YR238" s="34"/>
      <c r="YS238" s="34"/>
      <c r="YT238" s="34"/>
      <c r="YU238" s="34"/>
      <c r="YV238" s="34"/>
      <c r="YW238" s="34"/>
      <c r="YX238" s="34"/>
      <c r="YY238" s="34"/>
      <c r="YZ238" s="34"/>
      <c r="ZA238" s="34"/>
      <c r="ZB238" s="34"/>
      <c r="ZC238" s="34"/>
      <c r="ZD238" s="34"/>
      <c r="ZE238" s="34"/>
      <c r="ZF238" s="34"/>
      <c r="ZG238" s="34"/>
      <c r="ZH238" s="34"/>
      <c r="ZI238" s="34"/>
      <c r="ZJ238" s="34"/>
      <c r="ZK238" s="34"/>
      <c r="ZL238" s="34"/>
      <c r="ZM238" s="34"/>
      <c r="ZN238" s="34"/>
      <c r="ZO238" s="34"/>
      <c r="ZP238" s="34"/>
      <c r="ZQ238" s="34"/>
      <c r="ZR238" s="34"/>
      <c r="ZS238" s="34"/>
      <c r="ZT238" s="34"/>
      <c r="ZU238" s="34"/>
      <c r="ZV238" s="34"/>
      <c r="ZW238" s="34"/>
      <c r="ZX238" s="34"/>
      <c r="ZY238" s="34"/>
      <c r="ZZ238" s="34"/>
      <c r="AAA238" s="34"/>
      <c r="AAB238" s="34"/>
      <c r="AAC238" s="34"/>
      <c r="AAD238" s="34"/>
      <c r="AAE238" s="34"/>
      <c r="AAF238" s="34"/>
      <c r="AAG238" s="34"/>
      <c r="AAH238" s="34"/>
      <c r="AAI238" s="34"/>
      <c r="AAJ238" s="34"/>
      <c r="AAK238" s="34"/>
      <c r="AAL238" s="34"/>
      <c r="AAM238" s="34"/>
      <c r="AAN238" s="34"/>
      <c r="AAO238" s="34"/>
      <c r="AAP238" s="34"/>
      <c r="AAQ238" s="34"/>
      <c r="AAR238" s="34"/>
      <c r="AAS238" s="34"/>
      <c r="AAT238" s="34"/>
      <c r="AAU238" s="34"/>
      <c r="AAV238" s="34"/>
      <c r="AAW238" s="34"/>
      <c r="AAX238" s="34"/>
      <c r="AAY238" s="34"/>
      <c r="AAZ238" s="34"/>
      <c r="ABA238" s="34"/>
      <c r="ABB238" s="34"/>
      <c r="ABC238" s="34"/>
      <c r="ABD238" s="34"/>
      <c r="ABE238" s="34"/>
      <c r="ABF238" s="34"/>
      <c r="ABG238" s="34"/>
      <c r="ABH238" s="34"/>
      <c r="ABI238" s="34"/>
      <c r="ABJ238" s="34"/>
      <c r="ABK238" s="34"/>
      <c r="ABL238" s="34"/>
      <c r="ABM238" s="34"/>
      <c r="ABN238" s="34"/>
      <c r="ABO238" s="34"/>
      <c r="ABP238" s="34"/>
      <c r="ABQ238" s="34"/>
      <c r="ABR238" s="34"/>
      <c r="ABS238" s="34"/>
      <c r="ABT238" s="34"/>
      <c r="ABU238" s="34"/>
      <c r="ABV238" s="34"/>
      <c r="ABW238" s="34"/>
      <c r="ABX238" s="34"/>
      <c r="ABY238" s="34"/>
      <c r="ABZ238" s="34"/>
      <c r="ACA238" s="34"/>
      <c r="ACB238" s="34"/>
      <c r="ACC238" s="34"/>
      <c r="ACD238" s="34"/>
      <c r="ACE238" s="34"/>
      <c r="ACF238" s="34"/>
      <c r="ACG238" s="34"/>
      <c r="ACH238" s="34"/>
      <c r="ACI238" s="34"/>
      <c r="ACJ238" s="34"/>
      <c r="ACK238" s="34"/>
      <c r="ACL238" s="34"/>
      <c r="ACM238" s="34"/>
      <c r="ACN238" s="34"/>
      <c r="ACO238" s="34"/>
      <c r="ACP238" s="34"/>
      <c r="ACQ238" s="34"/>
      <c r="ACR238" s="34"/>
      <c r="ACS238" s="34"/>
      <c r="ACT238" s="34"/>
      <c r="ACU238" s="34"/>
      <c r="ACV238" s="34"/>
      <c r="ACW238" s="34"/>
      <c r="ACX238" s="34"/>
      <c r="ACY238" s="34"/>
      <c r="ACZ238" s="34"/>
      <c r="ADA238" s="34"/>
      <c r="ADB238" s="34"/>
      <c r="ADC238" s="34"/>
      <c r="ADD238" s="34"/>
      <c r="ADE238" s="34"/>
      <c r="ADF238" s="34"/>
      <c r="ADG238" s="34"/>
      <c r="ADH238" s="34"/>
      <c r="ADI238" s="34"/>
      <c r="ADJ238" s="34"/>
      <c r="ADK238" s="34"/>
      <c r="ADL238" s="34"/>
      <c r="ADM238" s="34"/>
      <c r="ADN238" s="34"/>
      <c r="ADO238" s="34"/>
      <c r="ADP238" s="34"/>
      <c r="ADQ238" s="34"/>
      <c r="ADR238" s="34"/>
      <c r="ADS238" s="34"/>
      <c r="ADT238" s="34"/>
      <c r="ADU238" s="34"/>
      <c r="ADV238" s="34"/>
      <c r="ADW238" s="34"/>
      <c r="ADX238" s="34"/>
      <c r="ADY238" s="34"/>
      <c r="ADZ238" s="34"/>
      <c r="AEA238" s="34"/>
      <c r="AEB238" s="34"/>
      <c r="AEC238" s="34"/>
      <c r="AED238" s="34"/>
      <c r="AEE238" s="34"/>
      <c r="AEF238" s="34"/>
      <c r="AEG238" s="34"/>
      <c r="AEH238" s="34"/>
      <c r="AEI238" s="34"/>
      <c r="AEJ238" s="34"/>
      <c r="AEK238" s="34"/>
      <c r="AEL238" s="34"/>
      <c r="AEM238" s="34"/>
      <c r="AEN238" s="34"/>
      <c r="AEO238" s="34"/>
      <c r="AEP238" s="34"/>
      <c r="AEQ238" s="34"/>
      <c r="AER238" s="34"/>
      <c r="AES238" s="34"/>
      <c r="AET238" s="34"/>
      <c r="AEU238" s="34"/>
      <c r="AEV238" s="34"/>
      <c r="AEW238" s="34"/>
      <c r="AEX238" s="34"/>
      <c r="AEY238" s="34"/>
      <c r="AEZ238" s="34"/>
      <c r="AFA238" s="34"/>
      <c r="AFB238" s="34"/>
      <c r="AFC238" s="34"/>
      <c r="AFD238" s="34"/>
      <c r="AFE238" s="34"/>
      <c r="AFF238" s="34"/>
      <c r="AFG238" s="34"/>
      <c r="AFH238" s="34"/>
      <c r="AFI238" s="34"/>
      <c r="AFJ238" s="34"/>
      <c r="AFK238" s="34"/>
      <c r="AFL238" s="34"/>
      <c r="AFM238" s="34"/>
      <c r="AFN238" s="34"/>
      <c r="AFO238" s="34"/>
      <c r="AFP238" s="34"/>
      <c r="AFQ238" s="34"/>
      <c r="AFR238" s="34"/>
      <c r="AFS238" s="34"/>
      <c r="AFT238" s="34"/>
      <c r="AFU238" s="34"/>
      <c r="AFV238" s="34"/>
      <c r="AFW238" s="34"/>
      <c r="AFX238" s="34"/>
      <c r="AFY238" s="34"/>
      <c r="AFZ238" s="34"/>
      <c r="AGA238" s="34"/>
      <c r="AGB238" s="34"/>
      <c r="AGC238" s="34"/>
      <c r="AGD238" s="34"/>
      <c r="AGE238" s="34"/>
      <c r="AGF238" s="34"/>
      <c r="AGG238" s="34"/>
      <c r="AGH238" s="34"/>
      <c r="AGI238" s="34"/>
      <c r="AGJ238" s="34"/>
      <c r="AGK238" s="34"/>
      <c r="AGL238" s="34"/>
      <c r="AGM238" s="34"/>
      <c r="AGN238" s="34"/>
      <c r="AGO238" s="34"/>
      <c r="AGP238" s="34"/>
      <c r="AGQ238" s="34"/>
      <c r="AGR238" s="34"/>
      <c r="AGS238" s="34"/>
      <c r="AGT238" s="34"/>
      <c r="AGU238" s="34"/>
      <c r="AGV238" s="34"/>
      <c r="AGW238" s="34"/>
      <c r="AGX238" s="34"/>
      <c r="AGY238" s="34"/>
      <c r="AGZ238" s="34"/>
      <c r="AHA238" s="34"/>
      <c r="AHB238" s="34"/>
      <c r="AHC238" s="34"/>
      <c r="AHD238" s="34"/>
      <c r="AHE238" s="34"/>
      <c r="AHF238" s="34"/>
      <c r="AHG238" s="34"/>
      <c r="AHH238" s="34"/>
      <c r="AHI238" s="34"/>
      <c r="AHJ238" s="34"/>
      <c r="AHK238" s="34"/>
      <c r="AHL238" s="34"/>
      <c r="AHM238" s="34"/>
      <c r="AHN238" s="34"/>
      <c r="AHO238" s="34"/>
      <c r="AHP238" s="34"/>
      <c r="AHQ238" s="34"/>
      <c r="AHR238" s="34"/>
      <c r="AHS238" s="34"/>
      <c r="AHT238" s="34"/>
      <c r="AHU238" s="34"/>
      <c r="AHV238" s="34"/>
      <c r="AHW238" s="34"/>
      <c r="AHX238" s="34"/>
      <c r="AHY238" s="34"/>
      <c r="AHZ238" s="34"/>
      <c r="AIA238" s="34"/>
      <c r="AIB238" s="34"/>
      <c r="AIC238" s="34"/>
      <c r="AID238" s="34"/>
      <c r="AIE238" s="34"/>
      <c r="AIF238" s="34"/>
      <c r="AIG238" s="34"/>
      <c r="AIH238" s="34"/>
      <c r="AII238" s="34"/>
      <c r="AIJ238" s="34"/>
      <c r="AIK238" s="34"/>
      <c r="AIL238" s="34"/>
      <c r="AIM238" s="34"/>
      <c r="AIN238" s="34"/>
      <c r="AIO238" s="34"/>
      <c r="AIP238" s="34"/>
      <c r="AIQ238" s="34"/>
      <c r="AIR238" s="34"/>
      <c r="AIS238" s="34"/>
      <c r="AIT238" s="34"/>
      <c r="AIU238" s="34"/>
      <c r="AIV238" s="34"/>
      <c r="AIW238" s="34"/>
      <c r="AIX238" s="34"/>
      <c r="AIY238" s="34"/>
      <c r="AIZ238" s="34"/>
      <c r="AJA238" s="34"/>
      <c r="AJB238" s="34"/>
      <c r="AJC238" s="34"/>
      <c r="AJD238" s="34"/>
      <c r="AJE238" s="34"/>
      <c r="AJF238" s="34"/>
      <c r="AJG238" s="34"/>
      <c r="AJH238" s="34"/>
      <c r="AJI238" s="34"/>
      <c r="AJJ238" s="34"/>
      <c r="AJK238" s="34"/>
      <c r="AJL238" s="34"/>
      <c r="AJM238" s="34"/>
      <c r="AJN238" s="34"/>
      <c r="AJO238" s="34"/>
      <c r="AJP238" s="34"/>
      <c r="AJQ238" s="34"/>
      <c r="AJR238" s="34"/>
      <c r="AJS238" s="34"/>
      <c r="AJT238" s="34"/>
      <c r="AJU238" s="34"/>
      <c r="AJV238" s="34"/>
      <c r="AJW238" s="34"/>
      <c r="AJX238" s="34"/>
      <c r="AJY238" s="34"/>
      <c r="AJZ238" s="34"/>
      <c r="AKA238" s="34"/>
      <c r="AKB238" s="34"/>
      <c r="AKC238" s="34"/>
      <c r="AKD238" s="34"/>
      <c r="AKE238" s="34"/>
      <c r="AKF238" s="34"/>
      <c r="AKG238" s="34"/>
      <c r="AKH238" s="34"/>
      <c r="AKI238" s="34"/>
      <c r="AKJ238" s="34"/>
      <c r="AKK238" s="34"/>
      <c r="AKL238" s="34"/>
      <c r="AKM238" s="34"/>
      <c r="AKN238" s="34"/>
      <c r="AKO238" s="34"/>
      <c r="AKP238" s="34"/>
      <c r="AKQ238" s="34"/>
      <c r="AKR238" s="34"/>
      <c r="AKS238" s="34"/>
      <c r="AKT238" s="34"/>
      <c r="AKU238" s="34"/>
      <c r="AKV238" s="34"/>
      <c r="AKW238" s="34"/>
      <c r="AKX238" s="34"/>
      <c r="AKY238" s="34"/>
      <c r="AKZ238" s="34"/>
      <c r="ALA238" s="34"/>
      <c r="ALB238" s="34"/>
      <c r="ALC238" s="34"/>
      <c r="ALD238" s="34"/>
      <c r="ALE238" s="34"/>
      <c r="ALF238" s="34"/>
      <c r="ALG238" s="34"/>
      <c r="ALH238" s="34"/>
      <c r="ALI238" s="34"/>
      <c r="ALJ238" s="34"/>
      <c r="ALK238" s="34"/>
      <c r="ALL238" s="34"/>
      <c r="ALM238" s="34"/>
      <c r="ALN238" s="34"/>
      <c r="ALO238" s="34"/>
      <c r="ALP238" s="34"/>
      <c r="ALQ238" s="34"/>
      <c r="ALR238" s="34"/>
      <c r="ALS238" s="34"/>
      <c r="ALT238" s="34"/>
      <c r="ALU238" s="34"/>
      <c r="ALV238" s="34"/>
      <c r="ALW238" s="34"/>
      <c r="ALX238" s="34"/>
      <c r="ALY238" s="34"/>
      <c r="ALZ238" s="34"/>
      <c r="AMA238" s="34"/>
      <c r="AMB238" s="34"/>
      <c r="AMC238" s="34"/>
      <c r="AMD238" s="34"/>
      <c r="AME238" s="34"/>
      <c r="AMF238" s="34"/>
      <c r="AMG238" s="34"/>
      <c r="AMH238" s="34"/>
      <c r="AMI238" s="34"/>
      <c r="AMJ238" s="34"/>
      <c r="AMK238" s="34"/>
      <c r="AML238" s="34"/>
      <c r="AMM238" s="34"/>
      <c r="AMN238" s="34"/>
      <c r="AMO238" s="34"/>
      <c r="AMP238" s="34"/>
      <c r="AMQ238" s="34"/>
      <c r="AMR238" s="34"/>
      <c r="AMS238" s="34"/>
      <c r="AMT238" s="34"/>
      <c r="AMU238" s="34"/>
      <c r="AMV238" s="34"/>
      <c r="AMW238" s="34"/>
      <c r="AMX238" s="34"/>
      <c r="AMY238" s="34"/>
      <c r="AMZ238" s="34"/>
      <c r="ANA238" s="34"/>
      <c r="ANB238" s="34"/>
      <c r="ANC238" s="34"/>
      <c r="AND238" s="34"/>
      <c r="ANE238" s="34"/>
      <c r="ANF238" s="34"/>
      <c r="ANG238" s="34"/>
      <c r="ANH238" s="34"/>
      <c r="ANI238" s="34"/>
      <c r="ANJ238" s="34"/>
      <c r="ANK238" s="34"/>
      <c r="ANL238" s="34"/>
      <c r="ANM238" s="34"/>
      <c r="ANN238" s="34"/>
      <c r="ANO238" s="34"/>
      <c r="ANP238" s="34"/>
      <c r="ANQ238" s="34"/>
      <c r="ANR238" s="34"/>
      <c r="ANS238" s="34"/>
      <c r="ANT238" s="34"/>
      <c r="ANU238" s="34"/>
      <c r="ANV238" s="34"/>
      <c r="ANW238" s="34"/>
      <c r="ANX238" s="34"/>
      <c r="ANY238" s="34"/>
      <c r="ANZ238" s="34"/>
      <c r="AOA238" s="34"/>
      <c r="AOB238" s="34"/>
      <c r="AOC238" s="34"/>
      <c r="AOD238" s="34"/>
      <c r="AOE238" s="34"/>
      <c r="AOF238" s="34"/>
      <c r="AOG238" s="34"/>
      <c r="AOH238" s="34"/>
      <c r="AOI238" s="34"/>
      <c r="AOJ238" s="34"/>
      <c r="AOK238" s="34"/>
      <c r="AOL238" s="34"/>
      <c r="AOM238" s="34"/>
      <c r="AON238" s="34"/>
      <c r="AOO238" s="34"/>
      <c r="AOP238" s="34"/>
      <c r="AOQ238" s="34"/>
      <c r="AOR238" s="34"/>
      <c r="AOS238" s="34"/>
      <c r="AOT238" s="34"/>
      <c r="AOU238" s="34"/>
      <c r="AOV238" s="34"/>
      <c r="AOW238" s="34"/>
      <c r="AOX238" s="34"/>
      <c r="AOY238" s="34"/>
      <c r="AOZ238" s="34"/>
      <c r="APA238" s="34"/>
      <c r="APB238" s="34"/>
      <c r="APC238" s="34"/>
      <c r="APD238" s="34"/>
      <c r="APE238" s="34"/>
      <c r="APF238" s="34"/>
      <c r="APG238" s="34"/>
      <c r="APH238" s="34"/>
      <c r="API238" s="34"/>
      <c r="APJ238" s="34"/>
      <c r="APK238" s="34"/>
      <c r="APL238" s="34"/>
      <c r="APM238" s="34"/>
      <c r="APN238" s="34"/>
      <c r="APO238" s="34"/>
      <c r="APP238" s="34"/>
      <c r="APQ238" s="34"/>
      <c r="APR238" s="34"/>
      <c r="APS238" s="34"/>
      <c r="APT238" s="34"/>
      <c r="APU238" s="34"/>
      <c r="APV238" s="34"/>
      <c r="APW238" s="34"/>
      <c r="APX238" s="34"/>
      <c r="APY238" s="34"/>
      <c r="APZ238" s="34"/>
      <c r="AQA238" s="34"/>
      <c r="AQB238" s="34"/>
      <c r="AQC238" s="34"/>
      <c r="AQD238" s="34"/>
      <c r="AQE238" s="34"/>
      <c r="AQF238" s="34"/>
      <c r="AQG238" s="34"/>
      <c r="AQH238" s="34"/>
      <c r="AQI238" s="34"/>
      <c r="AQJ238" s="34"/>
      <c r="AQK238" s="34"/>
      <c r="AQL238" s="34"/>
      <c r="AQM238" s="34"/>
      <c r="AQN238" s="34"/>
      <c r="AQO238" s="34"/>
      <c r="AQP238" s="34"/>
      <c r="AQQ238" s="34"/>
      <c r="AQR238" s="34"/>
      <c r="AQS238" s="34"/>
      <c r="AQT238" s="34"/>
      <c r="AQU238" s="34"/>
      <c r="AQV238" s="34"/>
      <c r="AQW238" s="34"/>
      <c r="AQX238" s="34"/>
      <c r="AQY238" s="34"/>
      <c r="AQZ238" s="34"/>
      <c r="ARA238" s="34"/>
      <c r="ARB238" s="34"/>
      <c r="ARC238" s="34"/>
      <c r="ARD238" s="34"/>
      <c r="ARE238" s="34"/>
      <c r="ARF238" s="34"/>
      <c r="ARG238" s="34"/>
      <c r="ARH238" s="34"/>
      <c r="ARI238" s="34"/>
      <c r="ARJ238" s="34"/>
      <c r="ARK238" s="34"/>
      <c r="ARL238" s="34"/>
      <c r="ARM238" s="34"/>
      <c r="ARN238" s="34"/>
      <c r="ARO238" s="34"/>
      <c r="ARP238" s="34"/>
      <c r="ARQ238" s="34"/>
      <c r="ARR238" s="34"/>
      <c r="ARS238" s="34"/>
      <c r="ART238" s="34"/>
      <c r="ARU238" s="34"/>
      <c r="ARV238" s="34"/>
      <c r="ARW238" s="34"/>
      <c r="ARX238" s="34"/>
      <c r="ARY238" s="34"/>
      <c r="ARZ238" s="34"/>
      <c r="ASA238" s="34"/>
      <c r="ASB238" s="34"/>
      <c r="ASC238" s="34"/>
      <c r="ASD238" s="34"/>
      <c r="ASE238" s="34"/>
      <c r="ASF238" s="34"/>
      <c r="ASG238" s="34"/>
      <c r="ASH238" s="34"/>
      <c r="ASI238" s="34"/>
      <c r="ASJ238" s="34"/>
      <c r="ASK238" s="34"/>
      <c r="ASL238" s="34"/>
      <c r="ASM238" s="34"/>
      <c r="ASN238" s="34"/>
      <c r="ASO238" s="34"/>
      <c r="ASP238" s="34"/>
      <c r="ASQ238" s="34"/>
      <c r="ASR238" s="34"/>
      <c r="ASS238" s="34"/>
      <c r="AST238" s="34"/>
      <c r="ASU238" s="34"/>
      <c r="ASV238" s="34"/>
      <c r="ASW238" s="34"/>
      <c r="ASX238" s="34"/>
      <c r="ASY238" s="34"/>
      <c r="ASZ238" s="34"/>
      <c r="ATA238" s="34"/>
      <c r="ATB238" s="34"/>
      <c r="ATC238" s="34"/>
      <c r="ATD238" s="34"/>
      <c r="ATE238" s="34"/>
      <c r="ATF238" s="34"/>
      <c r="ATG238" s="34"/>
      <c r="ATH238" s="34"/>
      <c r="ATI238" s="34"/>
      <c r="ATJ238" s="34"/>
      <c r="ATK238" s="34"/>
      <c r="ATL238" s="34"/>
      <c r="ATM238" s="34"/>
      <c r="ATN238" s="34"/>
      <c r="ATO238" s="34"/>
      <c r="ATP238" s="34"/>
      <c r="ATQ238" s="34"/>
      <c r="ATR238" s="34"/>
      <c r="ATS238" s="34"/>
      <c r="ATT238" s="34"/>
      <c r="ATU238" s="34"/>
      <c r="ATV238" s="34"/>
      <c r="ATW238" s="34"/>
      <c r="ATX238" s="34"/>
      <c r="ATY238" s="34"/>
      <c r="ATZ238" s="34"/>
      <c r="AUA238" s="34"/>
      <c r="AUB238" s="34"/>
      <c r="AUC238" s="34"/>
      <c r="AUD238" s="34"/>
      <c r="AUE238" s="34"/>
      <c r="AUF238" s="34"/>
      <c r="AUG238" s="34"/>
      <c r="AUH238" s="34"/>
      <c r="AUI238" s="34"/>
      <c r="AUJ238" s="34"/>
      <c r="AUK238" s="34"/>
      <c r="AUL238" s="34"/>
      <c r="AUM238" s="34"/>
      <c r="AUN238" s="34"/>
      <c r="AUO238" s="34"/>
      <c r="AUP238" s="34"/>
      <c r="AUQ238" s="34"/>
      <c r="AUR238" s="34"/>
      <c r="AUS238" s="34"/>
      <c r="AUT238" s="34"/>
      <c r="AUU238" s="34"/>
      <c r="AUV238" s="34"/>
      <c r="AUW238" s="34"/>
      <c r="AUX238" s="34"/>
      <c r="AUY238" s="34"/>
      <c r="AUZ238" s="34"/>
      <c r="AVA238" s="34"/>
      <c r="AVB238" s="34"/>
      <c r="AVC238" s="34"/>
      <c r="AVD238" s="34"/>
      <c r="AVE238" s="34"/>
      <c r="AVF238" s="34"/>
      <c r="AVG238" s="34"/>
      <c r="AVH238" s="34"/>
      <c r="AVI238" s="34"/>
      <c r="AVJ238" s="34"/>
      <c r="AVK238" s="34"/>
      <c r="AVL238" s="34"/>
      <c r="AVM238" s="34"/>
      <c r="AVN238" s="34"/>
      <c r="AVO238" s="34"/>
      <c r="AVP238" s="34"/>
      <c r="AVQ238" s="34"/>
      <c r="AVR238" s="34"/>
      <c r="AVS238" s="34"/>
      <c r="AVT238" s="34"/>
      <c r="AVU238" s="34"/>
      <c r="AVV238" s="34"/>
      <c r="AVW238" s="34"/>
      <c r="AVX238" s="34"/>
      <c r="AVY238" s="34"/>
      <c r="AVZ238" s="34"/>
      <c r="AWA238" s="34"/>
      <c r="AWB238" s="34"/>
      <c r="AWC238" s="34"/>
      <c r="AWD238" s="34"/>
      <c r="AWE238" s="34"/>
      <c r="AWF238" s="34"/>
      <c r="AWG238" s="34"/>
      <c r="AWH238" s="34"/>
      <c r="AWI238" s="34"/>
      <c r="AWJ238" s="34"/>
      <c r="AWK238" s="34"/>
      <c r="AWL238" s="34"/>
      <c r="AWM238" s="34"/>
      <c r="AWN238" s="34"/>
      <c r="AWO238" s="34"/>
      <c r="AWP238" s="34"/>
      <c r="AWQ238" s="34"/>
      <c r="AWR238" s="34"/>
      <c r="AWS238" s="34"/>
      <c r="AWT238" s="34"/>
      <c r="AWU238" s="34"/>
      <c r="AWV238" s="34"/>
      <c r="AWW238" s="34"/>
      <c r="AWX238" s="34"/>
      <c r="AWY238" s="34"/>
      <c r="AWZ238" s="34"/>
      <c r="AXA238" s="34"/>
      <c r="AXB238" s="34"/>
      <c r="AXC238" s="34"/>
      <c r="AXD238" s="34"/>
      <c r="AXE238" s="34"/>
      <c r="AXF238" s="34"/>
      <c r="AXG238" s="34"/>
      <c r="AXH238" s="34"/>
      <c r="AXI238" s="34"/>
      <c r="AXJ238" s="34"/>
      <c r="AXK238" s="34"/>
      <c r="AXL238" s="34"/>
      <c r="AXM238" s="34"/>
      <c r="AXN238" s="34"/>
      <c r="AXO238" s="34"/>
      <c r="AXP238" s="34"/>
      <c r="AXQ238" s="34"/>
      <c r="AXR238" s="34"/>
      <c r="AXS238" s="34"/>
      <c r="AXT238" s="34"/>
      <c r="AXU238" s="34"/>
      <c r="AXV238" s="34"/>
      <c r="AXW238" s="34"/>
      <c r="AXX238" s="34"/>
      <c r="AXY238" s="34"/>
      <c r="AXZ238" s="34"/>
      <c r="AYA238" s="34"/>
      <c r="AYB238" s="34"/>
      <c r="AYC238" s="34"/>
      <c r="AYD238" s="34"/>
      <c r="AYE238" s="34"/>
      <c r="AYF238" s="34"/>
      <c r="AYG238" s="34"/>
      <c r="AYH238" s="34"/>
      <c r="AYI238" s="34"/>
      <c r="AYJ238" s="34"/>
      <c r="AYK238" s="34"/>
      <c r="AYL238" s="34"/>
      <c r="AYM238" s="34"/>
      <c r="AYN238" s="34"/>
      <c r="AYO238" s="34"/>
      <c r="AYP238" s="34"/>
      <c r="AYQ238" s="34"/>
      <c r="AYR238" s="34"/>
      <c r="AYS238" s="34"/>
      <c r="AYT238" s="34"/>
      <c r="AYU238" s="34"/>
      <c r="AYV238" s="34"/>
      <c r="AYW238" s="34"/>
      <c r="AYX238" s="34"/>
      <c r="AYY238" s="34"/>
      <c r="AYZ238" s="34"/>
      <c r="AZA238" s="34"/>
      <c r="AZB238" s="34"/>
      <c r="AZC238" s="34"/>
      <c r="AZD238" s="34"/>
      <c r="AZE238" s="34"/>
      <c r="AZF238" s="34"/>
      <c r="AZG238" s="34"/>
      <c r="AZH238" s="34"/>
      <c r="AZI238" s="34"/>
      <c r="AZJ238" s="34"/>
      <c r="AZK238" s="34"/>
      <c r="AZL238" s="34"/>
      <c r="AZM238" s="34"/>
      <c r="AZN238" s="34"/>
      <c r="AZO238" s="34"/>
      <c r="AZP238" s="34"/>
      <c r="AZQ238" s="34"/>
      <c r="AZR238" s="34"/>
      <c r="AZS238" s="34"/>
      <c r="AZT238" s="34"/>
      <c r="AZU238" s="34"/>
      <c r="AZV238" s="34"/>
      <c r="AZW238" s="34"/>
      <c r="AZX238" s="34"/>
      <c r="AZY238" s="34"/>
      <c r="AZZ238" s="34"/>
      <c r="BAA238" s="34"/>
      <c r="BAB238" s="34"/>
      <c r="BAC238" s="34"/>
      <c r="BAD238" s="34"/>
      <c r="BAE238" s="34"/>
      <c r="BAF238" s="34"/>
      <c r="BAG238" s="34"/>
      <c r="BAH238" s="34"/>
      <c r="BAI238" s="34"/>
      <c r="BAJ238" s="34"/>
      <c r="BAK238" s="34"/>
      <c r="BAL238" s="34"/>
      <c r="BAM238" s="34"/>
      <c r="BAN238" s="34"/>
      <c r="BAO238" s="34"/>
      <c r="BAP238" s="34"/>
      <c r="BAQ238" s="34"/>
      <c r="BAR238" s="34"/>
      <c r="BAS238" s="34"/>
      <c r="BAT238" s="34"/>
      <c r="BAU238" s="34"/>
      <c r="BAV238" s="34"/>
      <c r="BAW238" s="34"/>
      <c r="BAX238" s="34"/>
      <c r="BAY238" s="34"/>
      <c r="BAZ238" s="34"/>
      <c r="BBA238" s="34"/>
      <c r="BBB238" s="34"/>
      <c r="BBC238" s="34"/>
      <c r="BBD238" s="34"/>
      <c r="BBE238" s="34"/>
      <c r="BBF238" s="34"/>
      <c r="BBG238" s="34"/>
      <c r="BBH238" s="34"/>
      <c r="BBI238" s="34"/>
      <c r="BBJ238" s="34"/>
      <c r="BBK238" s="34"/>
      <c r="BBL238" s="34"/>
      <c r="BBM238" s="34"/>
      <c r="BBN238" s="34"/>
      <c r="BBO238" s="34"/>
      <c r="BBP238" s="34"/>
      <c r="BBQ238" s="34"/>
      <c r="BBR238" s="34"/>
      <c r="BBS238" s="34"/>
      <c r="BBT238" s="34"/>
      <c r="BBU238" s="34"/>
      <c r="BBV238" s="34"/>
      <c r="BBW238" s="34"/>
      <c r="BBX238" s="34"/>
      <c r="BBY238" s="34"/>
      <c r="BBZ238" s="34"/>
      <c r="BCA238" s="34"/>
      <c r="BCB238" s="34"/>
      <c r="BCC238" s="34"/>
      <c r="BCD238" s="34"/>
      <c r="BCE238" s="34"/>
      <c r="BCF238" s="34"/>
      <c r="BCG238" s="34"/>
      <c r="BCH238" s="34"/>
      <c r="BCI238" s="34"/>
      <c r="BCJ238" s="34"/>
      <c r="BCK238" s="34"/>
      <c r="BCL238" s="34"/>
      <c r="BCM238" s="34"/>
      <c r="BCN238" s="34"/>
      <c r="BCO238" s="34"/>
      <c r="BCP238" s="34"/>
      <c r="BCQ238" s="34"/>
      <c r="BCR238" s="34"/>
      <c r="BCS238" s="34"/>
      <c r="BCT238" s="34"/>
      <c r="BCU238" s="34"/>
      <c r="BCV238" s="34"/>
      <c r="BCW238" s="34"/>
      <c r="BCX238" s="34"/>
      <c r="BCY238" s="34"/>
      <c r="BCZ238" s="34"/>
      <c r="BDA238" s="34"/>
      <c r="BDB238" s="34"/>
      <c r="BDC238" s="34"/>
      <c r="BDD238" s="34"/>
      <c r="BDE238" s="34"/>
      <c r="BDF238" s="34"/>
      <c r="BDG238" s="34"/>
      <c r="BDH238" s="34"/>
      <c r="BDI238" s="34"/>
      <c r="BDJ238" s="34"/>
      <c r="BDK238" s="34"/>
      <c r="BDL238" s="34"/>
      <c r="BDM238" s="34"/>
      <c r="BDN238" s="34"/>
      <c r="BDO238" s="34"/>
      <c r="BDP238" s="34"/>
      <c r="BDQ238" s="34"/>
      <c r="BDR238" s="34"/>
      <c r="BDS238" s="34"/>
      <c r="BDT238" s="34"/>
      <c r="BDU238" s="34"/>
      <c r="BDV238" s="34"/>
      <c r="BDW238" s="34"/>
      <c r="BDX238" s="34"/>
      <c r="BDY238" s="34"/>
      <c r="BDZ238" s="34"/>
      <c r="BEA238" s="34"/>
      <c r="BEB238" s="34"/>
      <c r="BEC238" s="34"/>
      <c r="BED238" s="34"/>
      <c r="BEE238" s="34"/>
      <c r="BEF238" s="34"/>
      <c r="BEG238" s="34"/>
      <c r="BEH238" s="34"/>
      <c r="BEI238" s="34"/>
      <c r="BEJ238" s="34"/>
      <c r="BEK238" s="34"/>
      <c r="BEL238" s="34"/>
      <c r="BEM238" s="34"/>
      <c r="BEN238" s="34"/>
      <c r="BEO238" s="34"/>
      <c r="BEP238" s="34"/>
      <c r="BEQ238" s="34"/>
      <c r="BER238" s="34"/>
      <c r="BES238" s="34"/>
      <c r="BET238" s="34"/>
      <c r="BEU238" s="34"/>
      <c r="BEV238" s="34"/>
      <c r="BEW238" s="34"/>
      <c r="BEX238" s="34"/>
      <c r="BEY238" s="34"/>
      <c r="BEZ238" s="34"/>
      <c r="BFA238" s="34"/>
      <c r="BFB238" s="34"/>
      <c r="BFC238" s="34"/>
      <c r="BFD238" s="34"/>
      <c r="BFE238" s="34"/>
      <c r="BFF238" s="34"/>
      <c r="BFG238" s="34"/>
      <c r="BFH238" s="34"/>
      <c r="BFI238" s="34"/>
      <c r="BFJ238" s="34"/>
      <c r="BFK238" s="34"/>
      <c r="BFL238" s="34"/>
      <c r="BFM238" s="34"/>
      <c r="BFN238" s="34"/>
      <c r="BFO238" s="34"/>
      <c r="BFP238" s="34"/>
      <c r="BFQ238" s="34"/>
      <c r="BFR238" s="34"/>
      <c r="BFS238" s="34"/>
      <c r="BFT238" s="34"/>
      <c r="BFU238" s="34"/>
      <c r="BFV238" s="34"/>
      <c r="BFW238" s="34"/>
      <c r="BFX238" s="34"/>
      <c r="BFY238" s="34"/>
      <c r="BFZ238" s="34"/>
      <c r="BGA238" s="34"/>
      <c r="BGB238" s="34"/>
      <c r="BGC238" s="34"/>
      <c r="BGD238" s="34"/>
      <c r="BGE238" s="34"/>
      <c r="BGF238" s="34"/>
      <c r="BGG238" s="34"/>
      <c r="BGH238" s="34"/>
      <c r="BGI238" s="34"/>
      <c r="BGJ238" s="34"/>
      <c r="BGK238" s="34"/>
      <c r="BGL238" s="34"/>
      <c r="BGM238" s="34"/>
      <c r="BGN238" s="34"/>
      <c r="BGO238" s="34"/>
      <c r="BGP238" s="34"/>
      <c r="BGQ238" s="34"/>
      <c r="BGR238" s="34"/>
      <c r="BGS238" s="34"/>
      <c r="BGT238" s="34"/>
      <c r="BGU238" s="34"/>
      <c r="BGV238" s="34"/>
      <c r="BGW238" s="34"/>
      <c r="BGX238" s="34"/>
      <c r="BGY238" s="34"/>
      <c r="BGZ238" s="34"/>
      <c r="BHA238" s="34"/>
      <c r="BHB238" s="34"/>
      <c r="BHC238" s="34"/>
      <c r="BHD238" s="34"/>
      <c r="BHE238" s="34"/>
      <c r="BHF238" s="34"/>
      <c r="BHG238" s="34"/>
      <c r="BHH238" s="34"/>
      <c r="BHI238" s="34"/>
      <c r="BHJ238" s="34"/>
      <c r="BHK238" s="34"/>
      <c r="BHL238" s="34"/>
      <c r="BHM238" s="34"/>
      <c r="BHN238" s="34"/>
      <c r="BHO238" s="34"/>
      <c r="BHP238" s="34"/>
      <c r="BHQ238" s="34"/>
      <c r="BHR238" s="34"/>
      <c r="BHS238" s="34"/>
      <c r="BHT238" s="34"/>
      <c r="BHU238" s="34"/>
      <c r="BHV238" s="34"/>
      <c r="BHW238" s="34"/>
      <c r="BHX238" s="34"/>
      <c r="BHY238" s="34"/>
      <c r="BHZ238" s="34"/>
      <c r="BIA238" s="34"/>
      <c r="BIB238" s="34"/>
      <c r="BIC238" s="34"/>
      <c r="BID238" s="34"/>
      <c r="BIE238" s="34"/>
      <c r="BIF238" s="34"/>
      <c r="BIG238" s="34"/>
      <c r="BIH238" s="34"/>
      <c r="BII238" s="34"/>
      <c r="BIJ238" s="34"/>
      <c r="BIK238" s="34"/>
      <c r="BIL238" s="34"/>
      <c r="BIM238" s="34"/>
      <c r="BIN238" s="34"/>
      <c r="BIO238" s="34"/>
      <c r="BIP238" s="34"/>
      <c r="BIQ238" s="34"/>
      <c r="BIR238" s="34"/>
      <c r="BIS238" s="34"/>
      <c r="BIT238" s="34"/>
      <c r="BIU238" s="34"/>
      <c r="BIV238" s="34"/>
      <c r="BIW238" s="34"/>
      <c r="BIX238" s="34"/>
      <c r="BIY238" s="34"/>
      <c r="BIZ238" s="34"/>
      <c r="BJA238" s="34"/>
      <c r="BJB238" s="34"/>
      <c r="BJC238" s="34"/>
      <c r="BJD238" s="34"/>
      <c r="BJE238" s="34"/>
      <c r="BJF238" s="34"/>
      <c r="BJG238" s="34"/>
      <c r="BJH238" s="34"/>
      <c r="BJI238" s="34"/>
      <c r="BJJ238" s="34"/>
      <c r="BJK238" s="34"/>
      <c r="BJL238" s="34"/>
      <c r="BJM238" s="34"/>
      <c r="BJN238" s="34"/>
      <c r="BJO238" s="34"/>
      <c r="BJP238" s="34"/>
      <c r="BJQ238" s="34"/>
      <c r="BJR238" s="34"/>
      <c r="BJS238" s="34"/>
      <c r="BJT238" s="34"/>
      <c r="BJU238" s="34"/>
      <c r="BJV238" s="34"/>
      <c r="BJW238" s="34"/>
      <c r="BJX238" s="34"/>
      <c r="BJY238" s="34"/>
      <c r="BJZ238" s="34"/>
      <c r="BKA238" s="34"/>
      <c r="BKB238" s="34"/>
      <c r="BKC238" s="34"/>
      <c r="BKD238" s="34"/>
      <c r="BKE238" s="34"/>
      <c r="BKF238" s="34"/>
      <c r="BKG238" s="34"/>
      <c r="BKH238" s="34"/>
      <c r="BKI238" s="34"/>
      <c r="BKJ238" s="34"/>
      <c r="BKK238" s="34"/>
      <c r="BKL238" s="34"/>
      <c r="BKM238" s="34"/>
      <c r="BKN238" s="34"/>
      <c r="BKO238" s="34"/>
      <c r="BKP238" s="34"/>
      <c r="BKQ238" s="34"/>
      <c r="BKR238" s="34"/>
      <c r="BKS238" s="34"/>
      <c r="BKT238" s="34"/>
      <c r="BKU238" s="34"/>
      <c r="BKV238" s="34"/>
      <c r="BKW238" s="34"/>
      <c r="BKX238" s="34"/>
      <c r="BKY238" s="34"/>
      <c r="BKZ238" s="34"/>
      <c r="BLA238" s="34"/>
      <c r="BLB238" s="34"/>
      <c r="BLC238" s="34"/>
      <c r="BLD238" s="34"/>
      <c r="BLE238" s="34"/>
      <c r="BLF238" s="34"/>
      <c r="BLG238" s="34"/>
      <c r="BLH238" s="34"/>
      <c r="BLI238" s="34"/>
      <c r="BLJ238" s="34"/>
      <c r="BLK238" s="34"/>
      <c r="BLL238" s="34"/>
      <c r="BLM238" s="34"/>
      <c r="BLN238" s="34"/>
      <c r="BLO238" s="34"/>
      <c r="BLP238" s="34"/>
      <c r="BLQ238" s="34"/>
      <c r="BLR238" s="34"/>
      <c r="BLS238" s="34"/>
      <c r="BLT238" s="34"/>
      <c r="BLU238" s="34"/>
      <c r="BLV238" s="34"/>
      <c r="BLW238" s="34"/>
      <c r="BLX238" s="34"/>
      <c r="BLY238" s="34"/>
      <c r="BLZ238" s="34"/>
      <c r="BMA238" s="34"/>
      <c r="BMB238" s="34"/>
      <c r="BMC238" s="34"/>
      <c r="BMD238" s="34"/>
      <c r="BME238" s="34"/>
      <c r="BMF238" s="34"/>
      <c r="BMG238" s="34"/>
      <c r="BMH238" s="34"/>
      <c r="BMI238" s="34"/>
      <c r="BMJ238" s="34"/>
      <c r="BMK238" s="34"/>
      <c r="BML238" s="34"/>
      <c r="BMM238" s="34"/>
      <c r="BMN238" s="34"/>
      <c r="BMO238" s="34"/>
      <c r="BMP238" s="34"/>
      <c r="BMQ238" s="34"/>
      <c r="BMR238" s="34"/>
      <c r="BMS238" s="34"/>
      <c r="BMT238" s="34"/>
      <c r="BMU238" s="34"/>
      <c r="BMV238" s="34"/>
      <c r="BMW238" s="34"/>
      <c r="BMX238" s="34"/>
      <c r="BMY238" s="34"/>
      <c r="BMZ238" s="34"/>
      <c r="BNA238" s="34"/>
      <c r="BNB238" s="34"/>
      <c r="BNC238" s="34"/>
      <c r="BND238" s="34"/>
      <c r="BNE238" s="34"/>
      <c r="BNF238" s="34"/>
      <c r="BNG238" s="34"/>
      <c r="BNH238" s="34"/>
      <c r="BNI238" s="34"/>
      <c r="BNJ238" s="34"/>
      <c r="BNK238" s="34"/>
      <c r="BNL238" s="34"/>
      <c r="BNM238" s="34"/>
      <c r="BNN238" s="34"/>
      <c r="BNO238" s="34"/>
      <c r="BNP238" s="34"/>
      <c r="BNQ238" s="34"/>
      <c r="BNR238" s="34"/>
      <c r="BNS238" s="34"/>
      <c r="BNT238" s="34"/>
      <c r="BNU238" s="34"/>
      <c r="BNV238" s="34"/>
      <c r="BNW238" s="34"/>
      <c r="BNX238" s="34"/>
      <c r="BNY238" s="34"/>
      <c r="BNZ238" s="34"/>
      <c r="BOA238" s="34"/>
      <c r="BOB238" s="34"/>
      <c r="BOC238" s="34"/>
      <c r="BOD238" s="34"/>
      <c r="BOE238" s="34"/>
      <c r="BOF238" s="34"/>
      <c r="BOG238" s="34"/>
      <c r="BOH238" s="34"/>
      <c r="BOI238" s="34"/>
      <c r="BOJ238" s="34"/>
      <c r="BOK238" s="34"/>
      <c r="BOL238" s="34"/>
      <c r="BOM238" s="34"/>
      <c r="BON238" s="34"/>
      <c r="BOO238" s="34"/>
      <c r="BOP238" s="34"/>
      <c r="BOQ238" s="34"/>
      <c r="BOR238" s="34"/>
      <c r="BOS238" s="34"/>
      <c r="BOT238" s="34"/>
      <c r="BOU238" s="34"/>
      <c r="BOV238" s="34"/>
      <c r="BOW238" s="34"/>
      <c r="BOX238" s="34"/>
      <c r="BOY238" s="34"/>
      <c r="BOZ238" s="34"/>
      <c r="BPA238" s="34"/>
      <c r="BPB238" s="34"/>
      <c r="BPC238" s="34"/>
      <c r="BPD238" s="34"/>
      <c r="BPE238" s="34"/>
      <c r="BPF238" s="34"/>
      <c r="BPG238" s="34"/>
      <c r="BPH238" s="34"/>
      <c r="BPI238" s="34"/>
      <c r="BPJ238" s="34"/>
      <c r="BPK238" s="34"/>
      <c r="BPL238" s="34"/>
      <c r="BPM238" s="34"/>
      <c r="BPN238" s="34"/>
      <c r="BPO238" s="34"/>
      <c r="BPP238" s="34"/>
      <c r="BPQ238" s="34"/>
      <c r="BPR238" s="34"/>
      <c r="BPS238" s="34"/>
      <c r="BPT238" s="34"/>
      <c r="BPU238" s="34"/>
      <c r="BPV238" s="34"/>
      <c r="BPW238" s="34"/>
      <c r="BPX238" s="34"/>
      <c r="BPY238" s="34"/>
      <c r="BPZ238" s="34"/>
      <c r="BQA238" s="34"/>
      <c r="BQB238" s="34"/>
      <c r="BQC238" s="34"/>
      <c r="BQD238" s="34"/>
      <c r="BQE238" s="34"/>
      <c r="BQF238" s="34"/>
      <c r="BQG238" s="34"/>
      <c r="BQH238" s="34"/>
      <c r="BQI238" s="34"/>
      <c r="BQJ238" s="34"/>
      <c r="BQK238" s="34"/>
      <c r="BQL238" s="34"/>
      <c r="BQM238" s="34"/>
      <c r="BQN238" s="34"/>
      <c r="BQO238" s="34"/>
      <c r="BQP238" s="34"/>
      <c r="BQQ238" s="34"/>
      <c r="BQR238" s="34"/>
      <c r="BQS238" s="34"/>
      <c r="BQT238" s="34"/>
      <c r="BQU238" s="34"/>
      <c r="BQV238" s="34"/>
      <c r="BQW238" s="34"/>
      <c r="BQX238" s="34"/>
      <c r="BQY238" s="34"/>
      <c r="BQZ238" s="34"/>
      <c r="BRA238" s="34"/>
      <c r="BRB238" s="34"/>
      <c r="BRC238" s="34"/>
      <c r="BRD238" s="34"/>
      <c r="BRE238" s="34"/>
      <c r="BRF238" s="34"/>
      <c r="BRG238" s="34"/>
      <c r="BRH238" s="34"/>
      <c r="BRI238" s="34"/>
      <c r="BRJ238" s="34"/>
      <c r="BRK238" s="34"/>
      <c r="BRL238" s="34"/>
      <c r="BRM238" s="34"/>
      <c r="BRN238" s="34"/>
      <c r="BRO238" s="34"/>
      <c r="BRP238" s="34"/>
      <c r="BRQ238" s="34"/>
      <c r="BRR238" s="34"/>
      <c r="BRS238" s="34"/>
      <c r="BRT238" s="34"/>
      <c r="BRU238" s="34"/>
      <c r="BRV238" s="34"/>
      <c r="BRW238" s="34"/>
      <c r="BRX238" s="34"/>
      <c r="BRY238" s="34"/>
      <c r="BRZ238" s="34"/>
      <c r="BSA238" s="34"/>
      <c r="BSB238" s="34"/>
      <c r="BSC238" s="34"/>
      <c r="BSD238" s="34"/>
      <c r="BSE238" s="34"/>
      <c r="BSF238" s="34"/>
      <c r="BSG238" s="34"/>
      <c r="BSH238" s="34"/>
      <c r="BSI238" s="34"/>
      <c r="BSJ238" s="34"/>
      <c r="BSK238" s="34"/>
      <c r="BSL238" s="34"/>
      <c r="BSM238" s="34"/>
      <c r="BSN238" s="34"/>
      <c r="BSO238" s="34"/>
      <c r="BSP238" s="34"/>
      <c r="BSQ238" s="34"/>
      <c r="BSR238" s="34"/>
      <c r="BSS238" s="34"/>
      <c r="BST238" s="34"/>
      <c r="BSU238" s="34"/>
      <c r="BSV238" s="34"/>
      <c r="BSW238" s="34"/>
      <c r="BSX238" s="34"/>
      <c r="BSY238" s="34"/>
      <c r="BSZ238" s="34"/>
      <c r="BTA238" s="34"/>
      <c r="BTB238" s="34"/>
      <c r="BTC238" s="34"/>
      <c r="BTD238" s="34"/>
      <c r="BTE238" s="34"/>
      <c r="BTF238" s="34"/>
      <c r="BTG238" s="34"/>
      <c r="BTH238" s="34"/>
      <c r="BTI238" s="34"/>
      <c r="BTJ238" s="34"/>
      <c r="BTK238" s="34"/>
      <c r="BTL238" s="34"/>
      <c r="BTM238" s="34"/>
      <c r="BTN238" s="34"/>
      <c r="BTO238" s="34"/>
      <c r="BTP238" s="34"/>
      <c r="BTQ238" s="34"/>
      <c r="BTR238" s="34"/>
      <c r="BTS238" s="34"/>
      <c r="BTT238" s="34"/>
      <c r="BTU238" s="34"/>
      <c r="BTV238" s="34"/>
      <c r="BTW238" s="34"/>
      <c r="BTX238" s="34"/>
      <c r="BTY238" s="34"/>
      <c r="BTZ238" s="34"/>
      <c r="BUA238" s="34"/>
      <c r="BUB238" s="34"/>
      <c r="BUC238" s="34"/>
      <c r="BUD238" s="34"/>
      <c r="BUE238" s="34"/>
      <c r="BUF238" s="34"/>
      <c r="BUG238" s="34"/>
      <c r="BUH238" s="34"/>
      <c r="BUI238" s="34"/>
      <c r="BUJ238" s="34"/>
      <c r="BUK238" s="34"/>
      <c r="BUL238" s="34"/>
      <c r="BUM238" s="34"/>
      <c r="BUN238" s="34"/>
      <c r="BUO238" s="34"/>
      <c r="BUP238" s="34"/>
      <c r="BUQ238" s="34"/>
      <c r="BUR238" s="34"/>
      <c r="BUS238" s="34"/>
      <c r="BUT238" s="34"/>
      <c r="BUU238" s="34"/>
      <c r="BUV238" s="34"/>
      <c r="BUW238" s="34"/>
      <c r="BUX238" s="34"/>
      <c r="BUY238" s="34"/>
      <c r="BUZ238" s="34"/>
      <c r="BVA238" s="34"/>
      <c r="BVB238" s="34"/>
      <c r="BVC238" s="34"/>
      <c r="BVD238" s="34"/>
      <c r="BVE238" s="34"/>
      <c r="BVF238" s="34"/>
      <c r="BVG238" s="34"/>
      <c r="BVH238" s="34"/>
      <c r="BVI238" s="34"/>
      <c r="BVJ238" s="34"/>
      <c r="BVK238" s="34"/>
      <c r="BVL238" s="34"/>
      <c r="BVM238" s="34"/>
      <c r="BVN238" s="34"/>
      <c r="BVO238" s="34"/>
      <c r="BVP238" s="34"/>
      <c r="BVQ238" s="34"/>
      <c r="BVR238" s="34"/>
      <c r="BVS238" s="34"/>
      <c r="BVT238" s="34"/>
      <c r="BVU238" s="34"/>
      <c r="BVV238" s="34"/>
      <c r="BVW238" s="34"/>
      <c r="BVX238" s="34"/>
      <c r="BVY238" s="34"/>
      <c r="BVZ238" s="34"/>
      <c r="BWA238" s="34"/>
      <c r="BWB238" s="34"/>
      <c r="BWC238" s="34"/>
      <c r="BWD238" s="34"/>
      <c r="BWE238" s="34"/>
      <c r="BWF238" s="34"/>
      <c r="BWG238" s="34"/>
      <c r="BWH238" s="34"/>
      <c r="BWI238" s="34"/>
      <c r="BWJ238" s="34"/>
      <c r="BWK238" s="34"/>
      <c r="BWL238" s="34"/>
      <c r="BWM238" s="34"/>
      <c r="BWN238" s="34"/>
      <c r="BWO238" s="34"/>
      <c r="BWP238" s="34"/>
      <c r="BWQ238" s="34"/>
      <c r="BWR238" s="34"/>
      <c r="BWS238" s="34"/>
      <c r="BWT238" s="34"/>
      <c r="BWU238" s="34"/>
      <c r="BWV238" s="34"/>
      <c r="BWW238" s="34"/>
      <c r="BWX238" s="34"/>
      <c r="BWY238" s="34"/>
      <c r="BWZ238" s="34"/>
      <c r="BXA238" s="34"/>
      <c r="BXB238" s="34"/>
      <c r="BXC238" s="34"/>
      <c r="BXD238" s="34"/>
      <c r="BXE238" s="34"/>
      <c r="BXF238" s="34"/>
      <c r="BXG238" s="34"/>
      <c r="BXH238" s="34"/>
      <c r="BXI238" s="34"/>
      <c r="BXJ238" s="34"/>
      <c r="BXK238" s="34"/>
      <c r="BXL238" s="34"/>
      <c r="BXM238" s="34"/>
      <c r="BXN238" s="34"/>
      <c r="BXO238" s="34"/>
      <c r="BXP238" s="34"/>
      <c r="BXQ238" s="34"/>
      <c r="BXR238" s="34"/>
      <c r="BXS238" s="34"/>
      <c r="BXT238" s="34"/>
      <c r="BXU238" s="34"/>
      <c r="BXV238" s="34"/>
      <c r="BXW238" s="34"/>
      <c r="BXX238" s="34"/>
      <c r="BXY238" s="34"/>
      <c r="BXZ238" s="34"/>
      <c r="BYA238" s="34"/>
      <c r="BYB238" s="34"/>
      <c r="BYC238" s="34"/>
      <c r="BYD238" s="34"/>
      <c r="BYE238" s="34"/>
      <c r="BYF238" s="34"/>
      <c r="BYG238" s="34"/>
      <c r="BYH238" s="34"/>
      <c r="BYI238" s="34"/>
      <c r="BYJ238" s="34"/>
      <c r="BYK238" s="34"/>
      <c r="BYL238" s="34"/>
      <c r="BYM238" s="34"/>
      <c r="BYN238" s="34"/>
      <c r="BYO238" s="34"/>
      <c r="BYP238" s="34"/>
      <c r="BYQ238" s="34"/>
      <c r="BYR238" s="34"/>
      <c r="BYS238" s="34"/>
      <c r="BYT238" s="34"/>
      <c r="BYU238" s="34"/>
      <c r="BYV238" s="34"/>
      <c r="BYW238" s="34"/>
      <c r="BYX238" s="34"/>
      <c r="BYY238" s="34"/>
      <c r="BYZ238" s="34"/>
      <c r="BZA238" s="34"/>
      <c r="BZB238" s="34"/>
      <c r="BZC238" s="34"/>
      <c r="BZD238" s="34"/>
      <c r="BZE238" s="34"/>
      <c r="BZF238" s="34"/>
      <c r="BZG238" s="34"/>
      <c r="BZH238" s="34"/>
      <c r="BZI238" s="34"/>
      <c r="BZJ238" s="34"/>
      <c r="BZK238" s="34"/>
      <c r="BZL238" s="34"/>
      <c r="BZM238" s="34"/>
      <c r="BZN238" s="34"/>
      <c r="BZO238" s="34"/>
      <c r="BZP238" s="34"/>
      <c r="BZQ238" s="34"/>
      <c r="BZR238" s="34"/>
      <c r="BZS238" s="34"/>
      <c r="BZT238" s="34"/>
      <c r="BZU238" s="34"/>
      <c r="BZV238" s="34"/>
      <c r="BZW238" s="34"/>
      <c r="BZX238" s="34"/>
      <c r="BZY238" s="34"/>
      <c r="BZZ238" s="34"/>
      <c r="CAA238" s="34"/>
      <c r="CAB238" s="34"/>
      <c r="CAC238" s="34"/>
      <c r="CAD238" s="34"/>
      <c r="CAE238" s="34"/>
      <c r="CAF238" s="34"/>
      <c r="CAG238" s="34"/>
      <c r="CAH238" s="34"/>
      <c r="CAI238" s="34"/>
      <c r="CAJ238" s="34"/>
      <c r="CAK238" s="34"/>
      <c r="CAL238" s="34"/>
      <c r="CAM238" s="34"/>
      <c r="CAN238" s="34"/>
      <c r="CAO238" s="34"/>
      <c r="CAP238" s="34"/>
      <c r="CAQ238" s="34"/>
      <c r="CAR238" s="34"/>
      <c r="CAS238" s="34"/>
      <c r="CAT238" s="34"/>
      <c r="CAU238" s="34"/>
      <c r="CAV238" s="34"/>
      <c r="CAW238" s="34"/>
      <c r="CAX238" s="34"/>
      <c r="CAY238" s="34"/>
      <c r="CAZ238" s="34"/>
      <c r="CBA238" s="34"/>
      <c r="CBB238" s="34"/>
      <c r="CBC238" s="34"/>
      <c r="CBD238" s="34"/>
      <c r="CBE238" s="34"/>
      <c r="CBF238" s="34"/>
      <c r="CBG238" s="34"/>
      <c r="CBH238" s="34"/>
      <c r="CBI238" s="34"/>
      <c r="CBJ238" s="34"/>
      <c r="CBK238" s="34"/>
      <c r="CBL238" s="34"/>
      <c r="CBM238" s="34"/>
      <c r="CBN238" s="34"/>
      <c r="CBO238" s="34"/>
      <c r="CBP238" s="34"/>
      <c r="CBQ238" s="34"/>
      <c r="CBR238" s="34"/>
      <c r="CBS238" s="34"/>
      <c r="CBT238" s="34"/>
      <c r="CBU238" s="34"/>
      <c r="CBV238" s="34"/>
      <c r="CBW238" s="34"/>
      <c r="CBX238" s="34"/>
      <c r="CBY238" s="34"/>
      <c r="CBZ238" s="34"/>
      <c r="CCA238" s="34"/>
      <c r="CCB238" s="34"/>
      <c r="CCC238" s="34"/>
      <c r="CCD238" s="34"/>
      <c r="CCE238" s="34"/>
      <c r="CCF238" s="34"/>
      <c r="CCG238" s="34"/>
      <c r="CCH238" s="34"/>
      <c r="CCI238" s="34"/>
      <c r="CCJ238" s="34"/>
      <c r="CCK238" s="34"/>
      <c r="CCL238" s="34"/>
      <c r="CCM238" s="34"/>
      <c r="CCN238" s="34"/>
      <c r="CCO238" s="34"/>
      <c r="CCP238" s="34"/>
      <c r="CCQ238" s="34"/>
      <c r="CCR238" s="34"/>
      <c r="CCS238" s="34"/>
      <c r="CCT238" s="34"/>
      <c r="CCU238" s="34"/>
      <c r="CCV238" s="34"/>
      <c r="CCW238" s="34"/>
      <c r="CCX238" s="34"/>
      <c r="CCY238" s="34"/>
      <c r="CCZ238" s="34"/>
      <c r="CDA238" s="34"/>
      <c r="CDB238" s="34"/>
      <c r="CDC238" s="34"/>
      <c r="CDD238" s="34"/>
      <c r="CDE238" s="34"/>
      <c r="CDF238" s="34"/>
      <c r="CDG238" s="34"/>
      <c r="CDH238" s="34"/>
      <c r="CDI238" s="34"/>
      <c r="CDJ238" s="34"/>
      <c r="CDK238" s="34"/>
      <c r="CDL238" s="34"/>
      <c r="CDM238" s="34"/>
      <c r="CDN238" s="34"/>
      <c r="CDO238" s="34"/>
      <c r="CDP238" s="34"/>
      <c r="CDQ238" s="34"/>
      <c r="CDR238" s="34"/>
      <c r="CDS238" s="34"/>
      <c r="CDT238" s="34"/>
      <c r="CDU238" s="34"/>
      <c r="CDV238" s="34"/>
      <c r="CDW238" s="34"/>
      <c r="CDX238" s="34"/>
      <c r="CDY238" s="34"/>
      <c r="CDZ238" s="34"/>
      <c r="CEA238" s="34"/>
      <c r="CEB238" s="34"/>
      <c r="CEC238" s="34"/>
      <c r="CED238" s="34"/>
      <c r="CEE238" s="34"/>
      <c r="CEF238" s="34"/>
      <c r="CEG238" s="34"/>
      <c r="CEH238" s="34"/>
      <c r="CEI238" s="34"/>
      <c r="CEJ238" s="34"/>
      <c r="CEK238" s="34"/>
      <c r="CEL238" s="34"/>
      <c r="CEM238" s="34"/>
      <c r="CEN238" s="34"/>
      <c r="CEO238" s="34"/>
      <c r="CEP238" s="34"/>
      <c r="CEQ238" s="34"/>
      <c r="CER238" s="34"/>
      <c r="CES238" s="34"/>
      <c r="CET238" s="34"/>
      <c r="CEU238" s="34"/>
      <c r="CEV238" s="34"/>
      <c r="CEW238" s="34"/>
      <c r="CEX238" s="34"/>
      <c r="CEY238" s="34"/>
      <c r="CEZ238" s="34"/>
      <c r="CFA238" s="34"/>
      <c r="CFB238" s="34"/>
      <c r="CFC238" s="34"/>
      <c r="CFD238" s="34"/>
      <c r="CFE238" s="34"/>
      <c r="CFF238" s="34"/>
      <c r="CFG238" s="34"/>
      <c r="CFH238" s="34"/>
      <c r="CFI238" s="34"/>
      <c r="CFJ238" s="34"/>
      <c r="CFK238" s="34"/>
      <c r="CFL238" s="34"/>
      <c r="CFM238" s="34"/>
      <c r="CFN238" s="34"/>
      <c r="CFO238" s="34"/>
      <c r="CFP238" s="34"/>
      <c r="CFQ238" s="34"/>
      <c r="CFR238" s="34"/>
      <c r="CFS238" s="34"/>
      <c r="CFT238" s="34"/>
      <c r="CFU238" s="34"/>
      <c r="CFV238" s="34"/>
      <c r="CFW238" s="34"/>
      <c r="CFX238" s="34"/>
      <c r="CFY238" s="34"/>
      <c r="CFZ238" s="34"/>
      <c r="CGA238" s="34"/>
      <c r="CGB238" s="34"/>
      <c r="CGC238" s="34"/>
      <c r="CGD238" s="34"/>
      <c r="CGE238" s="34"/>
      <c r="CGF238" s="34"/>
      <c r="CGG238" s="34"/>
      <c r="CGH238" s="34"/>
      <c r="CGI238" s="34"/>
      <c r="CGJ238" s="34"/>
      <c r="CGK238" s="34"/>
      <c r="CGL238" s="34"/>
      <c r="CGM238" s="34"/>
      <c r="CGN238" s="34"/>
      <c r="CGO238" s="34"/>
      <c r="CGP238" s="34"/>
      <c r="CGQ238" s="34"/>
      <c r="CGR238" s="34"/>
      <c r="CGS238" s="34"/>
      <c r="CGT238" s="34"/>
      <c r="CGU238" s="34"/>
      <c r="CGV238" s="34"/>
      <c r="CGW238" s="34"/>
      <c r="CGX238" s="34"/>
      <c r="CGY238" s="34"/>
      <c r="CGZ238" s="34"/>
      <c r="CHA238" s="34"/>
      <c r="CHB238" s="34"/>
      <c r="CHC238" s="34"/>
      <c r="CHD238" s="34"/>
      <c r="CHE238" s="34"/>
      <c r="CHF238" s="34"/>
      <c r="CHG238" s="34"/>
      <c r="CHH238" s="34"/>
      <c r="CHI238" s="34"/>
      <c r="CHJ238" s="34"/>
      <c r="CHK238" s="34"/>
      <c r="CHL238" s="34"/>
      <c r="CHM238" s="34"/>
      <c r="CHN238" s="34"/>
      <c r="CHO238" s="34"/>
      <c r="CHP238" s="34"/>
      <c r="CHQ238" s="34"/>
      <c r="CHR238" s="34"/>
      <c r="CHS238" s="34"/>
      <c r="CHT238" s="34"/>
      <c r="CHU238" s="34"/>
      <c r="CHV238" s="34"/>
      <c r="CHW238" s="34"/>
      <c r="CHX238" s="34"/>
      <c r="CHY238" s="34"/>
      <c r="CHZ238" s="34"/>
      <c r="CIA238" s="34"/>
      <c r="CIB238" s="34"/>
      <c r="CIC238" s="34"/>
      <c r="CID238" s="34"/>
      <c r="CIE238" s="34"/>
      <c r="CIF238" s="34"/>
      <c r="CIG238" s="34"/>
      <c r="CIH238" s="34"/>
      <c r="CII238" s="34"/>
      <c r="CIJ238" s="34"/>
      <c r="CIK238" s="34"/>
      <c r="CIL238" s="34"/>
      <c r="CIM238" s="34"/>
      <c r="CIN238" s="34"/>
      <c r="CIO238" s="34"/>
      <c r="CIP238" s="34"/>
      <c r="CIQ238" s="34"/>
      <c r="CIR238" s="34"/>
      <c r="CIS238" s="34"/>
      <c r="CIT238" s="34"/>
      <c r="CIU238" s="34"/>
      <c r="CIV238" s="34"/>
      <c r="CIW238" s="34"/>
      <c r="CIX238" s="34"/>
      <c r="CIY238" s="34"/>
      <c r="CIZ238" s="34"/>
      <c r="CJA238" s="34"/>
      <c r="CJB238" s="34"/>
      <c r="CJC238" s="34"/>
      <c r="CJD238" s="34"/>
      <c r="CJE238" s="34"/>
      <c r="CJF238" s="34"/>
      <c r="CJG238" s="34"/>
      <c r="CJH238" s="34"/>
      <c r="CJI238" s="34"/>
      <c r="CJJ238" s="34"/>
      <c r="CJK238" s="34"/>
      <c r="CJL238" s="34"/>
      <c r="CJM238" s="34"/>
      <c r="CJN238" s="34"/>
      <c r="CJO238" s="34"/>
      <c r="CJP238" s="34"/>
      <c r="CJQ238" s="34"/>
      <c r="CJR238" s="34"/>
      <c r="CJS238" s="34"/>
      <c r="CJT238" s="34"/>
      <c r="CJU238" s="34"/>
      <c r="CJV238" s="34"/>
      <c r="CJW238" s="34"/>
      <c r="CJX238" s="34"/>
      <c r="CJY238" s="34"/>
      <c r="CJZ238" s="34"/>
      <c r="CKA238" s="34"/>
      <c r="CKB238" s="34"/>
      <c r="CKC238" s="34"/>
      <c r="CKD238" s="34"/>
      <c r="CKE238" s="34"/>
      <c r="CKF238" s="34"/>
      <c r="CKG238" s="34"/>
      <c r="CKH238" s="34"/>
      <c r="CKI238" s="34"/>
      <c r="CKJ238" s="34"/>
      <c r="CKK238" s="34"/>
      <c r="CKL238" s="34"/>
      <c r="CKM238" s="34"/>
      <c r="CKN238" s="34"/>
      <c r="CKO238" s="34"/>
      <c r="CKP238" s="34"/>
      <c r="CKQ238" s="34"/>
      <c r="CKR238" s="34"/>
      <c r="CKS238" s="34"/>
      <c r="CKT238" s="34"/>
      <c r="CKU238" s="34"/>
      <c r="CKV238" s="34"/>
      <c r="CKW238" s="34"/>
      <c r="CKX238" s="34"/>
      <c r="CKY238" s="34"/>
      <c r="CKZ238" s="34"/>
      <c r="CLA238" s="34"/>
      <c r="CLB238" s="34"/>
      <c r="CLC238" s="34"/>
      <c r="CLD238" s="34"/>
      <c r="CLE238" s="34"/>
      <c r="CLF238" s="34"/>
      <c r="CLG238" s="34"/>
      <c r="CLH238" s="34"/>
      <c r="CLI238" s="34"/>
      <c r="CLJ238" s="34"/>
      <c r="CLK238" s="34"/>
      <c r="CLL238" s="34"/>
      <c r="CLM238" s="34"/>
      <c r="CLN238" s="34"/>
      <c r="CLO238" s="34"/>
      <c r="CLP238" s="34"/>
      <c r="CLQ238" s="34"/>
      <c r="CLR238" s="34"/>
      <c r="CLS238" s="34"/>
      <c r="CLT238" s="34"/>
      <c r="CLU238" s="34"/>
      <c r="CLV238" s="34"/>
      <c r="CLW238" s="34"/>
      <c r="CLX238" s="34"/>
      <c r="CLY238" s="34"/>
      <c r="CLZ238" s="34"/>
      <c r="CMA238" s="34"/>
      <c r="CMB238" s="34"/>
      <c r="CMC238" s="34"/>
      <c r="CMD238" s="34"/>
      <c r="CME238" s="34"/>
      <c r="CMF238" s="34"/>
      <c r="CMG238" s="34"/>
      <c r="CMH238" s="34"/>
      <c r="CMI238" s="34"/>
      <c r="CMJ238" s="34"/>
      <c r="CMK238" s="34"/>
      <c r="CML238" s="34"/>
      <c r="CMM238" s="34"/>
      <c r="CMN238" s="34"/>
      <c r="CMO238" s="34"/>
      <c r="CMP238" s="34"/>
      <c r="CMQ238" s="34"/>
      <c r="CMR238" s="34"/>
      <c r="CMS238" s="34"/>
      <c r="CMT238" s="34"/>
      <c r="CMU238" s="34"/>
      <c r="CMV238" s="34"/>
      <c r="CMW238" s="34"/>
      <c r="CMX238" s="34"/>
      <c r="CMY238" s="34"/>
      <c r="CMZ238" s="34"/>
      <c r="CNA238" s="34"/>
      <c r="CNB238" s="34"/>
      <c r="CNC238" s="34"/>
      <c r="CND238" s="34"/>
      <c r="CNE238" s="34"/>
      <c r="CNF238" s="34"/>
      <c r="CNG238" s="34"/>
      <c r="CNH238" s="34"/>
      <c r="CNI238" s="34"/>
      <c r="CNJ238" s="34"/>
      <c r="CNK238" s="34"/>
      <c r="CNL238" s="34"/>
      <c r="CNM238" s="34"/>
      <c r="CNN238" s="34"/>
      <c r="CNO238" s="34"/>
      <c r="CNP238" s="34"/>
      <c r="CNQ238" s="34"/>
      <c r="CNR238" s="34"/>
      <c r="CNS238" s="34"/>
      <c r="CNT238" s="34"/>
      <c r="CNU238" s="34"/>
      <c r="CNV238" s="34"/>
      <c r="CNW238" s="34"/>
      <c r="CNX238" s="34"/>
      <c r="CNY238" s="34"/>
      <c r="CNZ238" s="34"/>
      <c r="COA238" s="34"/>
      <c r="COB238" s="34"/>
      <c r="COC238" s="34"/>
      <c r="COD238" s="34"/>
      <c r="COE238" s="34"/>
      <c r="COF238" s="34"/>
      <c r="COG238" s="34"/>
      <c r="COH238" s="34"/>
      <c r="COI238" s="34"/>
      <c r="COJ238" s="34"/>
      <c r="COK238" s="34"/>
      <c r="COL238" s="34"/>
      <c r="COM238" s="34"/>
      <c r="CON238" s="34"/>
      <c r="COO238" s="34"/>
      <c r="COP238" s="34"/>
      <c r="COQ238" s="34"/>
      <c r="COR238" s="34"/>
      <c r="COS238" s="34"/>
      <c r="COT238" s="34"/>
      <c r="COU238" s="34"/>
      <c r="COV238" s="34"/>
      <c r="COW238" s="34"/>
      <c r="COX238" s="34"/>
      <c r="COY238" s="34"/>
      <c r="COZ238" s="34"/>
      <c r="CPA238" s="34"/>
      <c r="CPB238" s="34"/>
      <c r="CPC238" s="34"/>
      <c r="CPD238" s="34"/>
      <c r="CPE238" s="34"/>
      <c r="CPF238" s="34"/>
      <c r="CPG238" s="34"/>
      <c r="CPH238" s="34"/>
      <c r="CPI238" s="34"/>
      <c r="CPJ238" s="34"/>
      <c r="CPK238" s="34"/>
      <c r="CPL238" s="34"/>
      <c r="CPM238" s="34"/>
      <c r="CPN238" s="34"/>
      <c r="CPO238" s="34"/>
      <c r="CPP238" s="34"/>
      <c r="CPQ238" s="34"/>
      <c r="CPR238" s="34"/>
      <c r="CPS238" s="34"/>
      <c r="CPT238" s="34"/>
      <c r="CPU238" s="34"/>
      <c r="CPV238" s="34"/>
      <c r="CPW238" s="34"/>
      <c r="CPX238" s="34"/>
      <c r="CPY238" s="34"/>
      <c r="CPZ238" s="34"/>
      <c r="CQA238" s="34"/>
      <c r="CQB238" s="34"/>
      <c r="CQC238" s="34"/>
      <c r="CQD238" s="34"/>
      <c r="CQE238" s="34"/>
      <c r="CQF238" s="34"/>
      <c r="CQG238" s="34"/>
      <c r="CQH238" s="34"/>
      <c r="CQI238" s="34"/>
      <c r="CQJ238" s="34"/>
      <c r="CQK238" s="34"/>
      <c r="CQL238" s="34"/>
      <c r="CQM238" s="34"/>
      <c r="CQN238" s="34"/>
      <c r="CQO238" s="34"/>
      <c r="CQP238" s="34"/>
      <c r="CQQ238" s="34"/>
      <c r="CQR238" s="34"/>
      <c r="CQS238" s="34"/>
      <c r="CQT238" s="34"/>
      <c r="CQU238" s="34"/>
      <c r="CQV238" s="34"/>
      <c r="CQW238" s="34"/>
      <c r="CQX238" s="34"/>
      <c r="CQY238" s="34"/>
      <c r="CQZ238" s="34"/>
      <c r="CRA238" s="34"/>
      <c r="CRB238" s="34"/>
      <c r="CRC238" s="34"/>
      <c r="CRD238" s="34"/>
      <c r="CRE238" s="34"/>
      <c r="CRF238" s="34"/>
      <c r="CRG238" s="34"/>
      <c r="CRH238" s="34"/>
      <c r="CRI238" s="34"/>
      <c r="CRJ238" s="34"/>
      <c r="CRK238" s="34"/>
      <c r="CRL238" s="34"/>
      <c r="CRM238" s="34"/>
      <c r="CRN238" s="34"/>
      <c r="CRO238" s="34"/>
      <c r="CRP238" s="34"/>
      <c r="CRQ238" s="34"/>
      <c r="CRR238" s="34"/>
      <c r="CRS238" s="34"/>
      <c r="CRT238" s="34"/>
      <c r="CRU238" s="34"/>
      <c r="CRV238" s="34"/>
      <c r="CRW238" s="34"/>
      <c r="CRX238" s="34"/>
      <c r="CRY238" s="34"/>
      <c r="CRZ238" s="34"/>
      <c r="CSA238" s="34"/>
      <c r="CSB238" s="34"/>
      <c r="CSC238" s="34"/>
      <c r="CSD238" s="34"/>
      <c r="CSE238" s="34"/>
      <c r="CSF238" s="34"/>
      <c r="CSG238" s="34"/>
      <c r="CSH238" s="34"/>
      <c r="CSI238" s="34"/>
      <c r="CSJ238" s="34"/>
      <c r="CSK238" s="34"/>
      <c r="CSL238" s="34"/>
      <c r="CSM238" s="34"/>
      <c r="CSN238" s="34"/>
      <c r="CSO238" s="34"/>
      <c r="CSP238" s="34"/>
      <c r="CSQ238" s="34"/>
      <c r="CSR238" s="34"/>
      <c r="CSS238" s="34"/>
      <c r="CST238" s="34"/>
      <c r="CSU238" s="34"/>
      <c r="CSV238" s="34"/>
      <c r="CSW238" s="34"/>
      <c r="CSX238" s="34"/>
      <c r="CSY238" s="34"/>
      <c r="CSZ238" s="34"/>
      <c r="CTA238" s="34"/>
      <c r="CTB238" s="34"/>
      <c r="CTC238" s="34"/>
      <c r="CTD238" s="34"/>
      <c r="CTE238" s="34"/>
      <c r="CTF238" s="34"/>
      <c r="CTG238" s="34"/>
      <c r="CTH238" s="34"/>
      <c r="CTI238" s="34"/>
      <c r="CTJ238" s="34"/>
      <c r="CTK238" s="34"/>
      <c r="CTL238" s="34"/>
      <c r="CTM238" s="34"/>
      <c r="CTN238" s="34"/>
      <c r="CTO238" s="34"/>
      <c r="CTP238" s="34"/>
      <c r="CTQ238" s="34"/>
      <c r="CTR238" s="34"/>
      <c r="CTS238" s="34"/>
      <c r="CTT238" s="34"/>
      <c r="CTU238" s="34"/>
      <c r="CTV238" s="34"/>
      <c r="CTW238" s="34"/>
      <c r="CTX238" s="34"/>
      <c r="CTY238" s="34"/>
      <c r="CTZ238" s="34"/>
      <c r="CUA238" s="34"/>
      <c r="CUB238" s="34"/>
      <c r="CUC238" s="34"/>
      <c r="CUD238" s="34"/>
      <c r="CUE238" s="34"/>
      <c r="CUF238" s="34"/>
      <c r="CUG238" s="34"/>
      <c r="CUH238" s="34"/>
      <c r="CUI238" s="34"/>
      <c r="CUJ238" s="34"/>
      <c r="CUK238" s="34"/>
      <c r="CUL238" s="34"/>
      <c r="CUM238" s="34"/>
      <c r="CUN238" s="34"/>
      <c r="CUO238" s="34"/>
      <c r="CUP238" s="34"/>
      <c r="CUQ238" s="34"/>
      <c r="CUR238" s="34"/>
      <c r="CUS238" s="34"/>
      <c r="CUT238" s="34"/>
      <c r="CUU238" s="34"/>
      <c r="CUV238" s="34"/>
      <c r="CUW238" s="34"/>
      <c r="CUX238" s="34"/>
      <c r="CUY238" s="34"/>
      <c r="CUZ238" s="34"/>
      <c r="CVA238" s="34"/>
      <c r="CVB238" s="34"/>
      <c r="CVC238" s="34"/>
      <c r="CVD238" s="34"/>
      <c r="CVE238" s="34"/>
      <c r="CVF238" s="34"/>
      <c r="CVG238" s="34"/>
      <c r="CVH238" s="34"/>
      <c r="CVI238" s="34"/>
      <c r="CVJ238" s="34"/>
      <c r="CVK238" s="34"/>
      <c r="CVL238" s="34"/>
      <c r="CVM238" s="34"/>
      <c r="CVN238" s="34"/>
      <c r="CVO238" s="34"/>
      <c r="CVP238" s="34"/>
      <c r="CVQ238" s="34"/>
      <c r="CVR238" s="34"/>
      <c r="CVS238" s="34"/>
      <c r="CVT238" s="34"/>
      <c r="CVU238" s="34"/>
      <c r="CVV238" s="34"/>
      <c r="CVW238" s="34"/>
      <c r="CVX238" s="34"/>
      <c r="CVY238" s="34"/>
      <c r="CVZ238" s="34"/>
      <c r="CWA238" s="34"/>
      <c r="CWB238" s="34"/>
      <c r="CWC238" s="34"/>
      <c r="CWD238" s="34"/>
      <c r="CWE238" s="34"/>
      <c r="CWF238" s="34"/>
      <c r="CWG238" s="34"/>
      <c r="CWH238" s="34"/>
      <c r="CWI238" s="34"/>
      <c r="CWJ238" s="34"/>
      <c r="CWK238" s="34"/>
      <c r="CWL238" s="34"/>
      <c r="CWM238" s="34"/>
      <c r="CWN238" s="34"/>
      <c r="CWO238" s="34"/>
      <c r="CWP238" s="34"/>
      <c r="CWQ238" s="34"/>
      <c r="CWR238" s="34"/>
      <c r="CWS238" s="34"/>
      <c r="CWT238" s="34"/>
      <c r="CWU238" s="34"/>
      <c r="CWV238" s="34"/>
      <c r="CWW238" s="34"/>
      <c r="CWX238" s="34"/>
      <c r="CWY238" s="34"/>
      <c r="CWZ238" s="34"/>
      <c r="CXA238" s="34"/>
      <c r="CXB238" s="34"/>
      <c r="CXC238" s="34"/>
      <c r="CXD238" s="34"/>
      <c r="CXE238" s="34"/>
      <c r="CXF238" s="34"/>
      <c r="CXG238" s="34"/>
      <c r="CXH238" s="34"/>
      <c r="CXI238" s="34"/>
      <c r="CXJ238" s="34"/>
      <c r="CXK238" s="34"/>
      <c r="CXL238" s="34"/>
      <c r="CXM238" s="34"/>
      <c r="CXN238" s="34"/>
      <c r="CXO238" s="34"/>
      <c r="CXP238" s="34"/>
      <c r="CXQ238" s="34"/>
      <c r="CXR238" s="34"/>
      <c r="CXS238" s="34"/>
      <c r="CXT238" s="34"/>
      <c r="CXU238" s="34"/>
      <c r="CXV238" s="34"/>
      <c r="CXW238" s="34"/>
      <c r="CXX238" s="34"/>
      <c r="CXY238" s="34"/>
      <c r="CXZ238" s="34"/>
      <c r="CYA238" s="34"/>
      <c r="CYB238" s="34"/>
      <c r="CYC238" s="34"/>
      <c r="CYD238" s="34"/>
      <c r="CYE238" s="34"/>
      <c r="CYF238" s="34"/>
      <c r="CYG238" s="34"/>
      <c r="CYH238" s="34"/>
      <c r="CYI238" s="34"/>
      <c r="CYJ238" s="34"/>
      <c r="CYK238" s="34"/>
      <c r="CYL238" s="34"/>
      <c r="CYM238" s="34"/>
      <c r="CYN238" s="34"/>
      <c r="CYO238" s="34"/>
      <c r="CYP238" s="34"/>
      <c r="CYQ238" s="34"/>
      <c r="CYR238" s="34"/>
      <c r="CYS238" s="34"/>
      <c r="CYT238" s="34"/>
      <c r="CYU238" s="34"/>
      <c r="CYV238" s="34"/>
      <c r="CYW238" s="34"/>
      <c r="CYX238" s="34"/>
      <c r="CYY238" s="34"/>
      <c r="CYZ238" s="34"/>
      <c r="CZA238" s="34"/>
      <c r="CZB238" s="34"/>
      <c r="CZC238" s="34"/>
      <c r="CZD238" s="34"/>
      <c r="CZE238" s="34"/>
      <c r="CZF238" s="34"/>
      <c r="CZG238" s="34"/>
      <c r="CZH238" s="34"/>
      <c r="CZI238" s="34"/>
      <c r="CZJ238" s="34"/>
      <c r="CZK238" s="34"/>
      <c r="CZL238" s="34"/>
      <c r="CZM238" s="34"/>
      <c r="CZN238" s="34"/>
      <c r="CZO238" s="34"/>
      <c r="CZP238" s="34"/>
      <c r="CZQ238" s="34"/>
      <c r="CZR238" s="34"/>
      <c r="CZS238" s="34"/>
      <c r="CZT238" s="34"/>
      <c r="CZU238" s="34"/>
      <c r="CZV238" s="34"/>
      <c r="CZW238" s="34"/>
      <c r="CZX238" s="34"/>
      <c r="CZY238" s="34"/>
      <c r="CZZ238" s="34"/>
      <c r="DAA238" s="34"/>
      <c r="DAB238" s="34"/>
      <c r="DAC238" s="34"/>
      <c r="DAD238" s="34"/>
      <c r="DAE238" s="34"/>
      <c r="DAF238" s="34"/>
      <c r="DAG238" s="34"/>
      <c r="DAH238" s="34"/>
      <c r="DAI238" s="34"/>
      <c r="DAJ238" s="34"/>
      <c r="DAK238" s="34"/>
      <c r="DAL238" s="34"/>
      <c r="DAM238" s="34"/>
      <c r="DAN238" s="34"/>
      <c r="DAO238" s="34"/>
      <c r="DAP238" s="34"/>
      <c r="DAQ238" s="34"/>
      <c r="DAR238" s="34"/>
      <c r="DAS238" s="34"/>
      <c r="DAT238" s="34"/>
      <c r="DAU238" s="34"/>
      <c r="DAV238" s="34"/>
      <c r="DAW238" s="34"/>
      <c r="DAX238" s="34"/>
      <c r="DAY238" s="34"/>
      <c r="DAZ238" s="34"/>
      <c r="DBA238" s="34"/>
      <c r="DBB238" s="34"/>
      <c r="DBC238" s="34"/>
      <c r="DBD238" s="34"/>
      <c r="DBE238" s="34"/>
      <c r="DBF238" s="34"/>
      <c r="DBG238" s="34"/>
      <c r="DBH238" s="34"/>
      <c r="DBI238" s="34"/>
      <c r="DBJ238" s="34"/>
      <c r="DBK238" s="34"/>
      <c r="DBL238" s="34"/>
      <c r="DBM238" s="34"/>
      <c r="DBN238" s="34"/>
      <c r="DBO238" s="34"/>
      <c r="DBP238" s="34"/>
      <c r="DBQ238" s="34"/>
      <c r="DBR238" s="34"/>
      <c r="DBS238" s="34"/>
      <c r="DBT238" s="34"/>
      <c r="DBU238" s="34"/>
      <c r="DBV238" s="34"/>
      <c r="DBW238" s="34"/>
      <c r="DBX238" s="34"/>
      <c r="DBY238" s="34"/>
      <c r="DBZ238" s="34"/>
      <c r="DCA238" s="34"/>
      <c r="DCB238" s="34"/>
      <c r="DCC238" s="34"/>
      <c r="DCD238" s="34"/>
      <c r="DCE238" s="34"/>
      <c r="DCF238" s="34"/>
      <c r="DCG238" s="34"/>
      <c r="DCH238" s="34"/>
      <c r="DCI238" s="34"/>
      <c r="DCJ238" s="34"/>
      <c r="DCK238" s="34"/>
      <c r="DCL238" s="34"/>
      <c r="DCM238" s="34"/>
      <c r="DCN238" s="34"/>
      <c r="DCO238" s="34"/>
      <c r="DCP238" s="34"/>
      <c r="DCQ238" s="34"/>
      <c r="DCR238" s="34"/>
      <c r="DCS238" s="34"/>
      <c r="DCT238" s="34"/>
      <c r="DCU238" s="34"/>
      <c r="DCV238" s="34"/>
      <c r="DCW238" s="34"/>
      <c r="DCX238" s="34"/>
      <c r="DCY238" s="34"/>
      <c r="DCZ238" s="34"/>
      <c r="DDA238" s="34"/>
      <c r="DDB238" s="34"/>
      <c r="DDC238" s="34"/>
      <c r="DDD238" s="34"/>
      <c r="DDE238" s="34"/>
      <c r="DDF238" s="34"/>
      <c r="DDG238" s="34"/>
      <c r="DDH238" s="34"/>
      <c r="DDI238" s="34"/>
      <c r="DDJ238" s="34"/>
      <c r="DDK238" s="34"/>
      <c r="DDL238" s="34"/>
      <c r="DDM238" s="34"/>
      <c r="DDN238" s="34"/>
      <c r="DDO238" s="34"/>
      <c r="DDP238" s="34"/>
      <c r="DDQ238" s="34"/>
      <c r="DDR238" s="34"/>
      <c r="DDS238" s="34"/>
      <c r="DDT238" s="34"/>
      <c r="DDU238" s="34"/>
      <c r="DDV238" s="34"/>
      <c r="DDW238" s="34"/>
      <c r="DDX238" s="34"/>
      <c r="DDY238" s="34"/>
      <c r="DDZ238" s="34"/>
      <c r="DEA238" s="34"/>
      <c r="DEB238" s="34"/>
      <c r="DEC238" s="34"/>
      <c r="DED238" s="34"/>
      <c r="DEE238" s="34"/>
      <c r="DEF238" s="34"/>
      <c r="DEG238" s="34"/>
      <c r="DEH238" s="34"/>
      <c r="DEI238" s="34"/>
      <c r="DEJ238" s="34"/>
      <c r="DEK238" s="34"/>
      <c r="DEL238" s="34"/>
      <c r="DEM238" s="34"/>
      <c r="DEN238" s="34"/>
      <c r="DEO238" s="34"/>
      <c r="DEP238" s="34"/>
      <c r="DEQ238" s="34"/>
      <c r="DER238" s="34"/>
      <c r="DES238" s="34"/>
      <c r="DET238" s="34"/>
      <c r="DEU238" s="34"/>
      <c r="DEV238" s="34"/>
      <c r="DEW238" s="34"/>
      <c r="DEX238" s="34"/>
      <c r="DEY238" s="34"/>
      <c r="DEZ238" s="34"/>
      <c r="DFA238" s="34"/>
      <c r="DFB238" s="34"/>
      <c r="DFC238" s="34"/>
      <c r="DFD238" s="34"/>
      <c r="DFE238" s="34"/>
      <c r="DFF238" s="34"/>
      <c r="DFG238" s="34"/>
      <c r="DFH238" s="34"/>
      <c r="DFI238" s="34"/>
      <c r="DFJ238" s="34"/>
      <c r="DFK238" s="34"/>
      <c r="DFL238" s="34"/>
      <c r="DFM238" s="34"/>
      <c r="DFN238" s="34"/>
      <c r="DFO238" s="34"/>
      <c r="DFP238" s="34"/>
      <c r="DFQ238" s="34"/>
      <c r="DFR238" s="34"/>
      <c r="DFS238" s="34"/>
      <c r="DFT238" s="34"/>
      <c r="DFU238" s="34"/>
      <c r="DFV238" s="34"/>
      <c r="DFW238" s="34"/>
      <c r="DFX238" s="34"/>
      <c r="DFY238" s="34"/>
      <c r="DFZ238" s="34"/>
      <c r="DGA238" s="34"/>
      <c r="DGB238" s="34"/>
      <c r="DGC238" s="34"/>
      <c r="DGD238" s="34"/>
      <c r="DGE238" s="34"/>
      <c r="DGF238" s="34"/>
      <c r="DGG238" s="34"/>
      <c r="DGH238" s="34"/>
      <c r="DGI238" s="34"/>
      <c r="DGJ238" s="34"/>
      <c r="DGK238" s="34"/>
      <c r="DGL238" s="34"/>
      <c r="DGM238" s="34"/>
      <c r="DGN238" s="34"/>
      <c r="DGO238" s="34"/>
      <c r="DGP238" s="34"/>
      <c r="DGQ238" s="34"/>
      <c r="DGR238" s="34"/>
      <c r="DGS238" s="34"/>
      <c r="DGT238" s="34"/>
      <c r="DGU238" s="34"/>
      <c r="DGV238" s="34"/>
      <c r="DGW238" s="34"/>
      <c r="DGX238" s="34"/>
      <c r="DGY238" s="34"/>
      <c r="DGZ238" s="34"/>
      <c r="DHA238" s="34"/>
      <c r="DHB238" s="34"/>
      <c r="DHC238" s="34"/>
      <c r="DHD238" s="34"/>
      <c r="DHE238" s="34"/>
      <c r="DHF238" s="34"/>
      <c r="DHG238" s="34"/>
      <c r="DHH238" s="34"/>
      <c r="DHI238" s="34"/>
      <c r="DHJ238" s="34"/>
      <c r="DHK238" s="34"/>
      <c r="DHL238" s="34"/>
      <c r="DHM238" s="34"/>
      <c r="DHN238" s="34"/>
      <c r="DHO238" s="34"/>
      <c r="DHP238" s="34"/>
      <c r="DHQ238" s="34"/>
      <c r="DHR238" s="34"/>
      <c r="DHS238" s="34"/>
      <c r="DHT238" s="34"/>
      <c r="DHU238" s="34"/>
      <c r="DHV238" s="34"/>
      <c r="DHW238" s="34"/>
      <c r="DHX238" s="34"/>
      <c r="DHY238" s="34"/>
      <c r="DHZ238" s="34"/>
      <c r="DIA238" s="34"/>
      <c r="DIB238" s="34"/>
      <c r="DIC238" s="34"/>
      <c r="DID238" s="34"/>
      <c r="DIE238" s="34"/>
      <c r="DIF238" s="34"/>
      <c r="DIG238" s="34"/>
      <c r="DIH238" s="34"/>
      <c r="DII238" s="34"/>
      <c r="DIJ238" s="34"/>
      <c r="DIK238" s="34"/>
      <c r="DIL238" s="34"/>
      <c r="DIM238" s="34"/>
      <c r="DIN238" s="34"/>
      <c r="DIO238" s="34"/>
      <c r="DIP238" s="34"/>
      <c r="DIQ238" s="34"/>
      <c r="DIR238" s="34"/>
      <c r="DIS238" s="34"/>
      <c r="DIT238" s="34"/>
      <c r="DIU238" s="34"/>
      <c r="DIV238" s="34"/>
      <c r="DIW238" s="34"/>
      <c r="DIX238" s="34"/>
      <c r="DIY238" s="34"/>
      <c r="DIZ238" s="34"/>
      <c r="DJA238" s="34"/>
      <c r="DJB238" s="34"/>
      <c r="DJC238" s="34"/>
      <c r="DJD238" s="34"/>
      <c r="DJE238" s="34"/>
      <c r="DJF238" s="34"/>
      <c r="DJG238" s="34"/>
      <c r="DJH238" s="34"/>
      <c r="DJI238" s="34"/>
      <c r="DJJ238" s="34"/>
      <c r="DJK238" s="34"/>
      <c r="DJL238" s="34"/>
      <c r="DJM238" s="34"/>
      <c r="DJN238" s="34"/>
      <c r="DJO238" s="34"/>
      <c r="DJP238" s="34"/>
      <c r="DJQ238" s="34"/>
      <c r="DJR238" s="34"/>
      <c r="DJS238" s="34"/>
      <c r="DJT238" s="34"/>
      <c r="DJU238" s="34"/>
      <c r="DJV238" s="34"/>
      <c r="DJW238" s="34"/>
      <c r="DJX238" s="34"/>
      <c r="DJY238" s="34"/>
      <c r="DJZ238" s="34"/>
      <c r="DKA238" s="34"/>
      <c r="DKB238" s="34"/>
      <c r="DKC238" s="34"/>
      <c r="DKD238" s="34"/>
      <c r="DKE238" s="34"/>
      <c r="DKF238" s="34"/>
      <c r="DKG238" s="34"/>
      <c r="DKH238" s="34"/>
      <c r="DKI238" s="34"/>
      <c r="DKJ238" s="34"/>
      <c r="DKK238" s="34"/>
      <c r="DKL238" s="34"/>
      <c r="DKM238" s="34"/>
      <c r="DKN238" s="34"/>
      <c r="DKO238" s="34"/>
      <c r="DKP238" s="34"/>
      <c r="DKQ238" s="34"/>
      <c r="DKR238" s="34"/>
      <c r="DKS238" s="34"/>
      <c r="DKT238" s="34"/>
      <c r="DKU238" s="34"/>
      <c r="DKV238" s="34"/>
      <c r="DKW238" s="34"/>
      <c r="DKX238" s="34"/>
      <c r="DKY238" s="34"/>
      <c r="DKZ238" s="34"/>
      <c r="DLA238" s="34"/>
      <c r="DLB238" s="34"/>
      <c r="DLC238" s="34"/>
      <c r="DLD238" s="34"/>
      <c r="DLE238" s="34"/>
      <c r="DLF238" s="34"/>
      <c r="DLG238" s="34"/>
      <c r="DLH238" s="34"/>
      <c r="DLI238" s="34"/>
      <c r="DLJ238" s="34"/>
      <c r="DLK238" s="34"/>
      <c r="DLL238" s="34"/>
      <c r="DLM238" s="34"/>
      <c r="DLN238" s="34"/>
      <c r="DLO238" s="34"/>
      <c r="DLP238" s="34"/>
      <c r="DLQ238" s="34"/>
      <c r="DLR238" s="34"/>
      <c r="DLS238" s="34"/>
      <c r="DLT238" s="34"/>
      <c r="DLU238" s="34"/>
      <c r="DLV238" s="34"/>
      <c r="DLW238" s="34"/>
      <c r="DLX238" s="34"/>
      <c r="DLY238" s="34"/>
      <c r="DLZ238" s="34"/>
      <c r="DMA238" s="34"/>
      <c r="DMB238" s="34"/>
      <c r="DMC238" s="34"/>
      <c r="DMD238" s="34"/>
      <c r="DME238" s="34"/>
      <c r="DMF238" s="34"/>
      <c r="DMG238" s="34"/>
      <c r="DMH238" s="34"/>
      <c r="DMI238" s="34"/>
      <c r="DMJ238" s="34"/>
      <c r="DMK238" s="34"/>
      <c r="DML238" s="34"/>
      <c r="DMM238" s="34"/>
      <c r="DMN238" s="34"/>
      <c r="DMO238" s="34"/>
      <c r="DMP238" s="34"/>
      <c r="DMQ238" s="34"/>
      <c r="DMR238" s="34"/>
      <c r="DMS238" s="34"/>
      <c r="DMT238" s="34"/>
      <c r="DMU238" s="34"/>
      <c r="DMV238" s="34"/>
      <c r="DMW238" s="34"/>
      <c r="DMX238" s="34"/>
      <c r="DMY238" s="34"/>
      <c r="DMZ238" s="34"/>
      <c r="DNA238" s="34"/>
      <c r="DNB238" s="34"/>
      <c r="DNC238" s="34"/>
      <c r="DND238" s="34"/>
      <c r="DNE238" s="34"/>
      <c r="DNF238" s="34"/>
      <c r="DNG238" s="34"/>
      <c r="DNH238" s="34"/>
      <c r="DNI238" s="34"/>
      <c r="DNJ238" s="34"/>
      <c r="DNK238" s="34"/>
      <c r="DNL238" s="34"/>
      <c r="DNM238" s="34"/>
      <c r="DNN238" s="34"/>
      <c r="DNO238" s="34"/>
      <c r="DNP238" s="34"/>
      <c r="DNQ238" s="34"/>
      <c r="DNR238" s="34"/>
      <c r="DNS238" s="34"/>
      <c r="DNT238" s="34"/>
      <c r="DNU238" s="34"/>
      <c r="DNV238" s="34"/>
      <c r="DNW238" s="34"/>
      <c r="DNX238" s="34"/>
      <c r="DNY238" s="34"/>
      <c r="DNZ238" s="34"/>
      <c r="DOA238" s="34"/>
      <c r="DOB238" s="34"/>
      <c r="DOC238" s="34"/>
      <c r="DOD238" s="34"/>
      <c r="DOE238" s="34"/>
      <c r="DOF238" s="34"/>
      <c r="DOG238" s="34"/>
      <c r="DOH238" s="34"/>
      <c r="DOI238" s="34"/>
      <c r="DOJ238" s="34"/>
      <c r="DOK238" s="34"/>
      <c r="DOL238" s="34"/>
      <c r="DOM238" s="34"/>
      <c r="DON238" s="34"/>
      <c r="DOO238" s="34"/>
      <c r="DOP238" s="34"/>
      <c r="DOQ238" s="34"/>
      <c r="DOR238" s="34"/>
      <c r="DOS238" s="34"/>
      <c r="DOT238" s="34"/>
      <c r="DOU238" s="34"/>
      <c r="DOV238" s="34"/>
      <c r="DOW238" s="34"/>
      <c r="DOX238" s="34"/>
      <c r="DOY238" s="34"/>
      <c r="DOZ238" s="34"/>
      <c r="DPA238" s="34"/>
      <c r="DPB238" s="34"/>
      <c r="DPC238" s="34"/>
      <c r="DPD238" s="34"/>
      <c r="DPE238" s="34"/>
      <c r="DPF238" s="34"/>
      <c r="DPG238" s="34"/>
      <c r="DPH238" s="34"/>
      <c r="DPI238" s="34"/>
      <c r="DPJ238" s="34"/>
      <c r="DPK238" s="34"/>
      <c r="DPL238" s="34"/>
      <c r="DPM238" s="34"/>
      <c r="DPN238" s="34"/>
      <c r="DPO238" s="34"/>
      <c r="DPP238" s="34"/>
      <c r="DPQ238" s="34"/>
      <c r="DPR238" s="34"/>
      <c r="DPS238" s="34"/>
      <c r="DPT238" s="34"/>
      <c r="DPU238" s="34"/>
      <c r="DPV238" s="34"/>
      <c r="DPW238" s="34"/>
      <c r="DPX238" s="34"/>
      <c r="DPY238" s="34"/>
      <c r="DPZ238" s="34"/>
      <c r="DQA238" s="34"/>
      <c r="DQB238" s="34"/>
      <c r="DQC238" s="34"/>
      <c r="DQD238" s="34"/>
      <c r="DQE238" s="34"/>
      <c r="DQF238" s="34"/>
      <c r="DQG238" s="34"/>
      <c r="DQH238" s="34"/>
      <c r="DQI238" s="34"/>
      <c r="DQJ238" s="34"/>
      <c r="DQK238" s="34"/>
      <c r="DQL238" s="34"/>
      <c r="DQM238" s="34"/>
      <c r="DQN238" s="34"/>
      <c r="DQO238" s="34"/>
      <c r="DQP238" s="34"/>
      <c r="DQQ238" s="34"/>
      <c r="DQR238" s="34"/>
      <c r="DQS238" s="34"/>
      <c r="DQT238" s="34"/>
      <c r="DQU238" s="34"/>
      <c r="DQV238" s="34"/>
      <c r="DQW238" s="34"/>
      <c r="DQX238" s="34"/>
      <c r="DQY238" s="34"/>
      <c r="DQZ238" s="34"/>
      <c r="DRA238" s="34"/>
      <c r="DRB238" s="34"/>
      <c r="DRC238" s="34"/>
      <c r="DRD238" s="34"/>
      <c r="DRE238" s="34"/>
      <c r="DRF238" s="34"/>
      <c r="DRG238" s="34"/>
      <c r="DRH238" s="34"/>
      <c r="DRI238" s="34"/>
      <c r="DRJ238" s="34"/>
      <c r="DRK238" s="34"/>
      <c r="DRL238" s="34"/>
      <c r="DRM238" s="34"/>
      <c r="DRN238" s="34"/>
      <c r="DRO238" s="34"/>
      <c r="DRP238" s="34"/>
      <c r="DRQ238" s="34"/>
      <c r="DRR238" s="34"/>
      <c r="DRS238" s="34"/>
      <c r="DRT238" s="34"/>
      <c r="DRU238" s="34"/>
      <c r="DRV238" s="34"/>
      <c r="DRW238" s="34"/>
      <c r="DRX238" s="34"/>
      <c r="DRY238" s="34"/>
      <c r="DRZ238" s="34"/>
      <c r="DSA238" s="34"/>
      <c r="DSB238" s="34"/>
      <c r="DSC238" s="34"/>
      <c r="DSD238" s="34"/>
      <c r="DSE238" s="34"/>
      <c r="DSF238" s="34"/>
      <c r="DSG238" s="34"/>
      <c r="DSH238" s="34"/>
      <c r="DSI238" s="34"/>
      <c r="DSJ238" s="34"/>
      <c r="DSK238" s="34"/>
      <c r="DSL238" s="34"/>
      <c r="DSM238" s="34"/>
      <c r="DSN238" s="34"/>
      <c r="DSO238" s="34"/>
      <c r="DSP238" s="34"/>
      <c r="DSQ238" s="34"/>
      <c r="DSR238" s="34"/>
      <c r="DSS238" s="34"/>
      <c r="DST238" s="34"/>
      <c r="DSU238" s="34"/>
      <c r="DSV238" s="34"/>
      <c r="DSW238" s="34"/>
      <c r="DSX238" s="34"/>
      <c r="DSY238" s="34"/>
      <c r="DSZ238" s="34"/>
      <c r="DTA238" s="34"/>
      <c r="DTB238" s="34"/>
      <c r="DTC238" s="34"/>
      <c r="DTD238" s="34"/>
      <c r="DTE238" s="34"/>
      <c r="DTF238" s="34"/>
      <c r="DTG238" s="34"/>
      <c r="DTH238" s="34"/>
      <c r="DTI238" s="34"/>
      <c r="DTJ238" s="34"/>
      <c r="DTK238" s="34"/>
      <c r="DTL238" s="34"/>
      <c r="DTM238" s="34"/>
      <c r="DTN238" s="34"/>
      <c r="DTO238" s="34"/>
      <c r="DTP238" s="34"/>
      <c r="DTQ238" s="34"/>
      <c r="DTR238" s="34"/>
      <c r="DTS238" s="34"/>
      <c r="DTT238" s="34"/>
      <c r="DTU238" s="34"/>
      <c r="DTV238" s="34"/>
      <c r="DTW238" s="34"/>
      <c r="DTX238" s="34"/>
      <c r="DTY238" s="34"/>
      <c r="DTZ238" s="34"/>
      <c r="DUA238" s="34"/>
      <c r="DUB238" s="34"/>
      <c r="DUC238" s="34"/>
      <c r="DUD238" s="34"/>
      <c r="DUE238" s="34"/>
      <c r="DUF238" s="34"/>
      <c r="DUG238" s="34"/>
      <c r="DUH238" s="34"/>
      <c r="DUI238" s="34"/>
      <c r="DUJ238" s="34"/>
      <c r="DUK238" s="34"/>
      <c r="DUL238" s="34"/>
      <c r="DUM238" s="34"/>
      <c r="DUN238" s="34"/>
      <c r="DUO238" s="34"/>
      <c r="DUP238" s="34"/>
      <c r="DUQ238" s="34"/>
      <c r="DUR238" s="34"/>
      <c r="DUS238" s="34"/>
      <c r="DUT238" s="34"/>
      <c r="DUU238" s="34"/>
      <c r="DUV238" s="34"/>
      <c r="DUW238" s="34"/>
      <c r="DUX238" s="34"/>
      <c r="DUY238" s="34"/>
      <c r="DUZ238" s="34"/>
      <c r="DVA238" s="34"/>
      <c r="DVB238" s="34"/>
      <c r="DVC238" s="34"/>
      <c r="DVD238" s="34"/>
      <c r="DVE238" s="34"/>
      <c r="DVF238" s="34"/>
      <c r="DVG238" s="34"/>
      <c r="DVH238" s="34"/>
      <c r="DVI238" s="34"/>
      <c r="DVJ238" s="34"/>
      <c r="DVK238" s="34"/>
      <c r="DVL238" s="34"/>
      <c r="DVM238" s="34"/>
      <c r="DVN238" s="34"/>
      <c r="DVO238" s="34"/>
      <c r="DVP238" s="34"/>
      <c r="DVQ238" s="34"/>
      <c r="DVR238" s="34"/>
      <c r="DVS238" s="34"/>
      <c r="DVT238" s="34"/>
      <c r="DVU238" s="34"/>
      <c r="DVV238" s="34"/>
      <c r="DVW238" s="34"/>
      <c r="DVX238" s="34"/>
      <c r="DVY238" s="34"/>
      <c r="DVZ238" s="34"/>
      <c r="DWA238" s="34"/>
      <c r="DWB238" s="34"/>
      <c r="DWC238" s="34"/>
      <c r="DWD238" s="34"/>
      <c r="DWE238" s="34"/>
      <c r="DWF238" s="34"/>
      <c r="DWG238" s="34"/>
      <c r="DWH238" s="34"/>
      <c r="DWI238" s="34"/>
      <c r="DWJ238" s="34"/>
      <c r="DWK238" s="34"/>
      <c r="DWL238" s="34"/>
      <c r="DWM238" s="34"/>
      <c r="DWN238" s="34"/>
      <c r="DWO238" s="34"/>
      <c r="DWP238" s="34"/>
      <c r="DWQ238" s="34"/>
      <c r="DWR238" s="34"/>
      <c r="DWS238" s="34"/>
      <c r="DWT238" s="34"/>
      <c r="DWU238" s="34"/>
      <c r="DWV238" s="34"/>
      <c r="DWW238" s="34"/>
      <c r="DWX238" s="34"/>
      <c r="DWY238" s="34"/>
      <c r="DWZ238" s="34"/>
      <c r="DXA238" s="34"/>
      <c r="DXB238" s="34"/>
      <c r="DXC238" s="34"/>
      <c r="DXD238" s="34"/>
      <c r="DXE238" s="34"/>
      <c r="DXF238" s="34"/>
      <c r="DXG238" s="34"/>
      <c r="DXH238" s="34"/>
      <c r="DXI238" s="34"/>
      <c r="DXJ238" s="34"/>
      <c r="DXK238" s="34"/>
      <c r="DXL238" s="34"/>
      <c r="DXM238" s="34"/>
      <c r="DXN238" s="34"/>
      <c r="DXO238" s="34"/>
      <c r="DXP238" s="34"/>
      <c r="DXQ238" s="34"/>
      <c r="DXR238" s="34"/>
      <c r="DXS238" s="34"/>
      <c r="DXT238" s="34"/>
      <c r="DXU238" s="34"/>
      <c r="DXV238" s="34"/>
      <c r="DXW238" s="34"/>
      <c r="DXX238" s="34"/>
      <c r="DXY238" s="34"/>
      <c r="DXZ238" s="34"/>
      <c r="DYA238" s="34"/>
      <c r="DYB238" s="34"/>
      <c r="DYC238" s="34"/>
      <c r="DYD238" s="34"/>
      <c r="DYE238" s="34"/>
      <c r="DYF238" s="34"/>
      <c r="DYG238" s="34"/>
      <c r="DYH238" s="34"/>
      <c r="DYI238" s="34"/>
      <c r="DYJ238" s="34"/>
      <c r="DYK238" s="34"/>
      <c r="DYL238" s="34"/>
      <c r="DYM238" s="34"/>
      <c r="DYN238" s="34"/>
      <c r="DYO238" s="34"/>
      <c r="DYP238" s="34"/>
      <c r="DYQ238" s="34"/>
      <c r="DYR238" s="34"/>
      <c r="DYS238" s="34"/>
      <c r="DYT238" s="34"/>
      <c r="DYU238" s="34"/>
      <c r="DYV238" s="34"/>
      <c r="DYW238" s="34"/>
      <c r="DYX238" s="34"/>
      <c r="DYY238" s="34"/>
      <c r="DYZ238" s="34"/>
      <c r="DZA238" s="34"/>
      <c r="DZB238" s="34"/>
      <c r="DZC238" s="34"/>
      <c r="DZD238" s="34"/>
      <c r="DZE238" s="34"/>
      <c r="DZF238" s="34"/>
      <c r="DZG238" s="34"/>
      <c r="DZH238" s="34"/>
      <c r="DZI238" s="34"/>
      <c r="DZJ238" s="34"/>
      <c r="DZK238" s="34"/>
      <c r="DZL238" s="34"/>
      <c r="DZM238" s="34"/>
      <c r="DZN238" s="34"/>
      <c r="DZO238" s="34"/>
      <c r="DZP238" s="34"/>
      <c r="DZQ238" s="34"/>
      <c r="DZR238" s="34"/>
      <c r="DZS238" s="34"/>
      <c r="DZT238" s="34"/>
      <c r="DZU238" s="34"/>
      <c r="DZV238" s="34"/>
      <c r="DZW238" s="34"/>
      <c r="DZX238" s="34"/>
      <c r="DZY238" s="34"/>
      <c r="DZZ238" s="34"/>
      <c r="EAA238" s="34"/>
      <c r="EAB238" s="34"/>
      <c r="EAC238" s="34"/>
      <c r="EAD238" s="34"/>
      <c r="EAE238" s="34"/>
      <c r="EAF238" s="34"/>
      <c r="EAG238" s="34"/>
      <c r="EAH238" s="34"/>
      <c r="EAI238" s="34"/>
      <c r="EAJ238" s="34"/>
      <c r="EAK238" s="34"/>
      <c r="EAL238" s="34"/>
      <c r="EAM238" s="34"/>
      <c r="EAN238" s="34"/>
      <c r="EAO238" s="34"/>
      <c r="EAP238" s="34"/>
      <c r="EAQ238" s="34"/>
      <c r="EAR238" s="34"/>
      <c r="EAS238" s="34"/>
      <c r="EAT238" s="34"/>
      <c r="EAU238" s="34"/>
      <c r="EAV238" s="34"/>
      <c r="EAW238" s="34"/>
      <c r="EAX238" s="34"/>
      <c r="EAY238" s="34"/>
      <c r="EAZ238" s="34"/>
      <c r="EBA238" s="34"/>
      <c r="EBB238" s="34"/>
      <c r="EBC238" s="34"/>
      <c r="EBD238" s="34"/>
      <c r="EBE238" s="34"/>
      <c r="EBF238" s="34"/>
      <c r="EBG238" s="34"/>
      <c r="EBH238" s="34"/>
      <c r="EBI238" s="34"/>
      <c r="EBJ238" s="34"/>
      <c r="EBK238" s="34"/>
      <c r="EBL238" s="34"/>
      <c r="EBM238" s="34"/>
      <c r="EBN238" s="34"/>
      <c r="EBO238" s="34"/>
      <c r="EBP238" s="34"/>
      <c r="EBQ238" s="34"/>
      <c r="EBR238" s="34"/>
      <c r="EBS238" s="34"/>
      <c r="EBT238" s="34"/>
      <c r="EBU238" s="34"/>
      <c r="EBV238" s="34"/>
      <c r="EBW238" s="34"/>
      <c r="EBX238" s="34"/>
      <c r="EBY238" s="34"/>
      <c r="EBZ238" s="34"/>
      <c r="ECA238" s="34"/>
      <c r="ECB238" s="34"/>
      <c r="ECC238" s="34"/>
      <c r="ECD238" s="34"/>
      <c r="ECE238" s="34"/>
      <c r="ECF238" s="34"/>
      <c r="ECG238" s="34"/>
      <c r="ECH238" s="34"/>
      <c r="ECI238" s="34"/>
      <c r="ECJ238" s="34"/>
      <c r="ECK238" s="34"/>
      <c r="ECL238" s="34"/>
      <c r="ECM238" s="34"/>
      <c r="ECN238" s="34"/>
      <c r="ECO238" s="34"/>
      <c r="ECP238" s="34"/>
      <c r="ECQ238" s="34"/>
      <c r="ECR238" s="34"/>
      <c r="ECS238" s="34"/>
      <c r="ECT238" s="34"/>
      <c r="ECU238" s="34"/>
      <c r="ECV238" s="34"/>
      <c r="ECW238" s="34"/>
      <c r="ECX238" s="34"/>
      <c r="ECY238" s="34"/>
      <c r="ECZ238" s="34"/>
      <c r="EDA238" s="34"/>
      <c r="EDB238" s="34"/>
      <c r="EDC238" s="34"/>
      <c r="EDD238" s="34"/>
      <c r="EDE238" s="34"/>
      <c r="EDF238" s="34"/>
      <c r="EDG238" s="34"/>
      <c r="EDH238" s="34"/>
      <c r="EDI238" s="34"/>
      <c r="EDJ238" s="34"/>
      <c r="EDK238" s="34"/>
      <c r="EDL238" s="34"/>
      <c r="EDM238" s="34"/>
      <c r="EDN238" s="34"/>
      <c r="EDO238" s="34"/>
      <c r="EDP238" s="34"/>
      <c r="EDQ238" s="34"/>
      <c r="EDR238" s="34"/>
      <c r="EDS238" s="34"/>
      <c r="EDT238" s="34"/>
      <c r="EDU238" s="34"/>
      <c r="EDV238" s="34"/>
      <c r="EDW238" s="34"/>
      <c r="EDX238" s="34"/>
      <c r="EDY238" s="34"/>
      <c r="EDZ238" s="34"/>
      <c r="EEA238" s="34"/>
      <c r="EEB238" s="34"/>
      <c r="EEC238" s="34"/>
      <c r="EED238" s="34"/>
      <c r="EEE238" s="34"/>
      <c r="EEF238" s="34"/>
      <c r="EEG238" s="34"/>
      <c r="EEH238" s="34"/>
      <c r="EEI238" s="34"/>
      <c r="EEJ238" s="34"/>
      <c r="EEK238" s="34"/>
      <c r="EEL238" s="34"/>
      <c r="EEM238" s="34"/>
      <c r="EEN238" s="34"/>
      <c r="EEO238" s="34"/>
      <c r="EEP238" s="34"/>
      <c r="EEQ238" s="34"/>
      <c r="EER238" s="34"/>
      <c r="EES238" s="34"/>
      <c r="EET238" s="34"/>
      <c r="EEU238" s="34"/>
      <c r="EEV238" s="34"/>
      <c r="EEW238" s="34"/>
      <c r="EEX238" s="34"/>
      <c r="EEY238" s="34"/>
      <c r="EEZ238" s="34"/>
      <c r="EFA238" s="34"/>
      <c r="EFB238" s="34"/>
      <c r="EFC238" s="34"/>
      <c r="EFD238" s="34"/>
      <c r="EFE238" s="34"/>
      <c r="EFF238" s="34"/>
      <c r="EFG238" s="34"/>
      <c r="EFH238" s="34"/>
      <c r="EFI238" s="34"/>
      <c r="EFJ238" s="34"/>
      <c r="EFK238" s="34"/>
      <c r="EFL238" s="34"/>
      <c r="EFM238" s="34"/>
      <c r="EFN238" s="34"/>
      <c r="EFO238" s="34"/>
      <c r="EFP238" s="34"/>
      <c r="EFQ238" s="34"/>
      <c r="EFR238" s="34"/>
      <c r="EFS238" s="34"/>
      <c r="EFT238" s="34"/>
      <c r="EFU238" s="34"/>
      <c r="EFV238" s="34"/>
      <c r="EFW238" s="34"/>
      <c r="EFX238" s="34"/>
      <c r="EFY238" s="34"/>
      <c r="EFZ238" s="34"/>
      <c r="EGA238" s="34"/>
      <c r="EGB238" s="34"/>
      <c r="EGC238" s="34"/>
      <c r="EGD238" s="34"/>
      <c r="EGE238" s="34"/>
      <c r="EGF238" s="34"/>
      <c r="EGG238" s="34"/>
      <c r="EGH238" s="34"/>
      <c r="EGI238" s="34"/>
      <c r="EGJ238" s="34"/>
      <c r="EGK238" s="34"/>
      <c r="EGL238" s="34"/>
      <c r="EGM238" s="34"/>
      <c r="EGN238" s="34"/>
      <c r="EGO238" s="34"/>
      <c r="EGP238" s="34"/>
      <c r="EGQ238" s="34"/>
      <c r="EGR238" s="34"/>
      <c r="EGS238" s="34"/>
      <c r="EGT238" s="34"/>
      <c r="EGU238" s="34"/>
      <c r="EGV238" s="34"/>
      <c r="EGW238" s="34"/>
      <c r="EGX238" s="34"/>
      <c r="EGY238" s="34"/>
      <c r="EGZ238" s="34"/>
      <c r="EHA238" s="34"/>
      <c r="EHB238" s="34"/>
      <c r="EHC238" s="34"/>
      <c r="EHD238" s="34"/>
      <c r="EHE238" s="34"/>
      <c r="EHF238" s="34"/>
      <c r="EHG238" s="34"/>
      <c r="EHH238" s="34"/>
      <c r="EHI238" s="34"/>
      <c r="EHJ238" s="34"/>
      <c r="EHK238" s="34"/>
      <c r="EHL238" s="34"/>
      <c r="EHM238" s="34"/>
      <c r="EHN238" s="34"/>
      <c r="EHO238" s="34"/>
      <c r="EHP238" s="34"/>
      <c r="EHQ238" s="34"/>
      <c r="EHR238" s="34"/>
      <c r="EHS238" s="34"/>
      <c r="EHT238" s="34"/>
      <c r="EHU238" s="34"/>
      <c r="EHV238" s="34"/>
      <c r="EHW238" s="34"/>
      <c r="EHX238" s="34"/>
      <c r="EHY238" s="34"/>
      <c r="EHZ238" s="34"/>
      <c r="EIA238" s="34"/>
      <c r="EIB238" s="34"/>
      <c r="EIC238" s="34"/>
      <c r="EID238" s="34"/>
      <c r="EIE238" s="34"/>
      <c r="EIF238" s="34"/>
      <c r="EIG238" s="34"/>
      <c r="EIH238" s="34"/>
      <c r="EII238" s="34"/>
      <c r="EIJ238" s="34"/>
      <c r="EIK238" s="34"/>
      <c r="EIL238" s="34"/>
      <c r="EIM238" s="34"/>
      <c r="EIN238" s="34"/>
      <c r="EIO238" s="34"/>
      <c r="EIP238" s="34"/>
      <c r="EIQ238" s="34"/>
      <c r="EIR238" s="34"/>
      <c r="EIS238" s="34"/>
      <c r="EIT238" s="34"/>
      <c r="EIU238" s="34"/>
      <c r="EIV238" s="34"/>
      <c r="EIW238" s="34"/>
      <c r="EIX238" s="34"/>
      <c r="EIY238" s="34"/>
      <c r="EIZ238" s="34"/>
      <c r="EJA238" s="34"/>
      <c r="EJB238" s="34"/>
      <c r="EJC238" s="34"/>
      <c r="EJD238" s="34"/>
      <c r="EJE238" s="34"/>
      <c r="EJF238" s="34"/>
      <c r="EJG238" s="34"/>
      <c r="EJH238" s="34"/>
      <c r="EJI238" s="34"/>
      <c r="EJJ238" s="34"/>
      <c r="EJK238" s="34"/>
      <c r="EJL238" s="34"/>
      <c r="EJM238" s="34"/>
      <c r="EJN238" s="34"/>
      <c r="EJO238" s="34"/>
      <c r="EJP238" s="34"/>
      <c r="EJQ238" s="34"/>
      <c r="EJR238" s="34"/>
      <c r="EJS238" s="34"/>
      <c r="EJT238" s="34"/>
      <c r="EJU238" s="34"/>
      <c r="EJV238" s="34"/>
      <c r="EJW238" s="34"/>
      <c r="EJX238" s="34"/>
      <c r="EJY238" s="34"/>
      <c r="EJZ238" s="34"/>
      <c r="EKA238" s="34"/>
      <c r="EKB238" s="34"/>
      <c r="EKC238" s="34"/>
      <c r="EKD238" s="34"/>
      <c r="EKE238" s="34"/>
      <c r="EKF238" s="34"/>
      <c r="EKG238" s="34"/>
      <c r="EKH238" s="34"/>
      <c r="EKI238" s="34"/>
      <c r="EKJ238" s="34"/>
      <c r="EKK238" s="34"/>
      <c r="EKL238" s="34"/>
      <c r="EKM238" s="34"/>
      <c r="EKN238" s="34"/>
      <c r="EKO238" s="34"/>
      <c r="EKP238" s="34"/>
      <c r="EKQ238" s="34"/>
      <c r="EKR238" s="34"/>
      <c r="EKS238" s="34"/>
      <c r="EKT238" s="34"/>
      <c r="EKU238" s="34"/>
      <c r="EKV238" s="34"/>
      <c r="EKW238" s="34"/>
      <c r="EKX238" s="34"/>
      <c r="EKY238" s="34"/>
      <c r="EKZ238" s="34"/>
      <c r="ELA238" s="34"/>
      <c r="ELB238" s="34"/>
      <c r="ELC238" s="34"/>
      <c r="ELD238" s="34"/>
      <c r="ELE238" s="34"/>
      <c r="ELF238" s="34"/>
      <c r="ELG238" s="34"/>
      <c r="ELH238" s="34"/>
      <c r="ELI238" s="34"/>
      <c r="ELJ238" s="34"/>
      <c r="ELK238" s="34"/>
      <c r="ELL238" s="34"/>
      <c r="ELM238" s="34"/>
      <c r="ELN238" s="34"/>
      <c r="ELO238" s="34"/>
      <c r="ELP238" s="34"/>
      <c r="ELQ238" s="34"/>
      <c r="ELR238" s="34"/>
      <c r="ELS238" s="34"/>
      <c r="ELT238" s="34"/>
      <c r="ELU238" s="34"/>
      <c r="ELV238" s="34"/>
      <c r="ELW238" s="34"/>
      <c r="ELX238" s="34"/>
      <c r="ELY238" s="34"/>
      <c r="ELZ238" s="34"/>
      <c r="EMA238" s="34"/>
      <c r="EMB238" s="34"/>
      <c r="EMC238" s="34"/>
      <c r="EMD238" s="34"/>
      <c r="EME238" s="34"/>
      <c r="EMF238" s="34"/>
      <c r="EMG238" s="34"/>
      <c r="EMH238" s="34"/>
      <c r="EMI238" s="34"/>
      <c r="EMJ238" s="34"/>
      <c r="EMK238" s="34"/>
      <c r="EML238" s="34"/>
      <c r="EMM238" s="34"/>
      <c r="EMN238" s="34"/>
      <c r="EMO238" s="34"/>
      <c r="EMP238" s="34"/>
      <c r="EMQ238" s="34"/>
      <c r="EMR238" s="34"/>
      <c r="EMS238" s="34"/>
      <c r="EMT238" s="34"/>
      <c r="EMU238" s="34"/>
      <c r="EMV238" s="34"/>
      <c r="EMW238" s="34"/>
      <c r="EMX238" s="34"/>
      <c r="EMY238" s="34"/>
      <c r="EMZ238" s="34"/>
      <c r="ENA238" s="34"/>
      <c r="ENB238" s="34"/>
      <c r="ENC238" s="34"/>
      <c r="END238" s="34"/>
      <c r="ENE238" s="34"/>
      <c r="ENF238" s="34"/>
      <c r="ENG238" s="34"/>
      <c r="ENH238" s="34"/>
      <c r="ENI238" s="34"/>
      <c r="ENJ238" s="34"/>
      <c r="ENK238" s="34"/>
      <c r="ENL238" s="34"/>
      <c r="ENM238" s="34"/>
      <c r="ENN238" s="34"/>
      <c r="ENO238" s="34"/>
      <c r="ENP238" s="34"/>
      <c r="ENQ238" s="34"/>
      <c r="ENR238" s="34"/>
      <c r="ENS238" s="34"/>
      <c r="ENT238" s="34"/>
      <c r="ENU238" s="34"/>
      <c r="ENV238" s="34"/>
      <c r="ENW238" s="34"/>
      <c r="ENX238" s="34"/>
      <c r="ENY238" s="34"/>
      <c r="ENZ238" s="34"/>
      <c r="EOA238" s="34"/>
      <c r="EOB238" s="34"/>
      <c r="EOC238" s="34"/>
      <c r="EOD238" s="34"/>
      <c r="EOE238" s="34"/>
      <c r="EOF238" s="34"/>
      <c r="EOG238" s="34"/>
      <c r="EOH238" s="34"/>
      <c r="EOI238" s="34"/>
      <c r="EOJ238" s="34"/>
      <c r="EOK238" s="34"/>
      <c r="EOL238" s="34"/>
      <c r="EOM238" s="34"/>
      <c r="EON238" s="34"/>
      <c r="EOO238" s="34"/>
      <c r="EOP238" s="34"/>
      <c r="EOQ238" s="34"/>
      <c r="EOR238" s="34"/>
      <c r="EOS238" s="34"/>
      <c r="EOT238" s="34"/>
      <c r="EOU238" s="34"/>
      <c r="EOV238" s="34"/>
      <c r="EOW238" s="34"/>
      <c r="EOX238" s="34"/>
      <c r="EOY238" s="34"/>
      <c r="EOZ238" s="34"/>
      <c r="EPA238" s="34"/>
      <c r="EPB238" s="34"/>
      <c r="EPC238" s="34"/>
      <c r="EPD238" s="34"/>
      <c r="EPE238" s="34"/>
      <c r="EPF238" s="34"/>
      <c r="EPG238" s="34"/>
      <c r="EPH238" s="34"/>
      <c r="EPI238" s="34"/>
      <c r="EPJ238" s="34"/>
      <c r="EPK238" s="34"/>
      <c r="EPL238" s="34"/>
      <c r="EPM238" s="34"/>
      <c r="EPN238" s="34"/>
      <c r="EPO238" s="34"/>
      <c r="EPP238" s="34"/>
      <c r="EPQ238" s="34"/>
      <c r="EPR238" s="34"/>
      <c r="EPS238" s="34"/>
      <c r="EPT238" s="34"/>
      <c r="EPU238" s="34"/>
      <c r="EPV238" s="34"/>
      <c r="EPW238" s="34"/>
      <c r="EPX238" s="34"/>
      <c r="EPY238" s="34"/>
      <c r="EPZ238" s="34"/>
      <c r="EQA238" s="34"/>
      <c r="EQB238" s="34"/>
      <c r="EQC238" s="34"/>
      <c r="EQD238" s="34"/>
      <c r="EQE238" s="34"/>
      <c r="EQF238" s="34"/>
      <c r="EQG238" s="34"/>
      <c r="EQH238" s="34"/>
      <c r="EQI238" s="34"/>
      <c r="EQJ238" s="34"/>
      <c r="EQK238" s="34"/>
      <c r="EQL238" s="34"/>
      <c r="EQM238" s="34"/>
      <c r="EQN238" s="34"/>
      <c r="EQO238" s="34"/>
      <c r="EQP238" s="34"/>
      <c r="EQQ238" s="34"/>
      <c r="EQR238" s="34"/>
      <c r="EQS238" s="34"/>
      <c r="EQT238" s="34"/>
      <c r="EQU238" s="34"/>
      <c r="EQV238" s="34"/>
      <c r="EQW238" s="34"/>
      <c r="EQX238" s="34"/>
      <c r="EQY238" s="34"/>
      <c r="EQZ238" s="34"/>
      <c r="ERA238" s="34"/>
      <c r="ERB238" s="34"/>
      <c r="ERC238" s="34"/>
      <c r="ERD238" s="34"/>
      <c r="ERE238" s="34"/>
      <c r="ERF238" s="34"/>
      <c r="ERG238" s="34"/>
      <c r="ERH238" s="34"/>
      <c r="ERI238" s="34"/>
      <c r="ERJ238" s="34"/>
      <c r="ERK238" s="34"/>
      <c r="ERL238" s="34"/>
      <c r="ERM238" s="34"/>
      <c r="ERN238" s="34"/>
      <c r="ERO238" s="34"/>
      <c r="ERP238" s="34"/>
      <c r="ERQ238" s="34"/>
      <c r="ERR238" s="34"/>
      <c r="ERS238" s="34"/>
      <c r="ERT238" s="34"/>
      <c r="ERU238" s="34"/>
      <c r="ERV238" s="34"/>
      <c r="ERW238" s="34"/>
      <c r="ERX238" s="34"/>
      <c r="ERY238" s="34"/>
      <c r="ERZ238" s="34"/>
      <c r="ESA238" s="34"/>
      <c r="ESB238" s="34"/>
      <c r="ESC238" s="34"/>
      <c r="ESD238" s="34"/>
      <c r="ESE238" s="34"/>
      <c r="ESF238" s="34"/>
      <c r="ESG238" s="34"/>
      <c r="ESH238" s="34"/>
      <c r="ESI238" s="34"/>
      <c r="ESJ238" s="34"/>
      <c r="ESK238" s="34"/>
      <c r="ESL238" s="34"/>
      <c r="ESM238" s="34"/>
      <c r="ESN238" s="34"/>
      <c r="ESO238" s="34"/>
      <c r="ESP238" s="34"/>
      <c r="ESQ238" s="34"/>
      <c r="ESR238" s="34"/>
      <c r="ESS238" s="34"/>
      <c r="EST238" s="34"/>
      <c r="ESU238" s="34"/>
      <c r="ESV238" s="34"/>
      <c r="ESW238" s="34"/>
      <c r="ESX238" s="34"/>
      <c r="ESY238" s="34"/>
      <c r="ESZ238" s="34"/>
      <c r="ETA238" s="34"/>
      <c r="ETB238" s="34"/>
      <c r="ETC238" s="34"/>
      <c r="ETD238" s="34"/>
      <c r="ETE238" s="34"/>
      <c r="ETF238" s="34"/>
      <c r="ETG238" s="34"/>
      <c r="ETH238" s="34"/>
      <c r="ETI238" s="34"/>
      <c r="ETJ238" s="34"/>
      <c r="ETK238" s="34"/>
      <c r="ETL238" s="34"/>
      <c r="ETM238" s="34"/>
      <c r="ETN238" s="34"/>
      <c r="ETO238" s="34"/>
      <c r="ETP238" s="34"/>
      <c r="ETQ238" s="34"/>
      <c r="ETR238" s="34"/>
      <c r="ETS238" s="34"/>
      <c r="ETT238" s="34"/>
      <c r="ETU238" s="34"/>
      <c r="ETV238" s="34"/>
      <c r="ETW238" s="34"/>
      <c r="ETX238" s="34"/>
      <c r="ETY238" s="34"/>
      <c r="ETZ238" s="34"/>
      <c r="EUA238" s="34"/>
      <c r="EUB238" s="34"/>
      <c r="EUC238" s="34"/>
      <c r="EUD238" s="34"/>
      <c r="EUE238" s="34"/>
      <c r="EUF238" s="34"/>
      <c r="EUG238" s="34"/>
      <c r="EUH238" s="34"/>
      <c r="EUI238" s="34"/>
      <c r="EUJ238" s="34"/>
      <c r="EUK238" s="34"/>
      <c r="EUL238" s="34"/>
      <c r="EUM238" s="34"/>
      <c r="EUN238" s="34"/>
      <c r="EUO238" s="34"/>
      <c r="EUP238" s="34"/>
      <c r="EUQ238" s="34"/>
      <c r="EUR238" s="34"/>
      <c r="EUS238" s="34"/>
      <c r="EUT238" s="34"/>
      <c r="EUU238" s="34"/>
      <c r="EUV238" s="34"/>
      <c r="EUW238" s="34"/>
      <c r="EUX238" s="34"/>
      <c r="EUY238" s="34"/>
      <c r="EUZ238" s="34"/>
      <c r="EVA238" s="34"/>
      <c r="EVB238" s="34"/>
      <c r="EVC238" s="34"/>
      <c r="EVD238" s="34"/>
      <c r="EVE238" s="34"/>
      <c r="EVF238" s="34"/>
      <c r="EVG238" s="34"/>
      <c r="EVH238" s="34"/>
      <c r="EVI238" s="34"/>
      <c r="EVJ238" s="34"/>
      <c r="EVK238" s="34"/>
      <c r="EVL238" s="34"/>
      <c r="EVM238" s="34"/>
      <c r="EVN238" s="34"/>
      <c r="EVO238" s="34"/>
      <c r="EVP238" s="34"/>
      <c r="EVQ238" s="34"/>
      <c r="EVR238" s="34"/>
      <c r="EVS238" s="34"/>
      <c r="EVT238" s="34"/>
      <c r="EVU238" s="34"/>
      <c r="EVV238" s="34"/>
      <c r="EVW238" s="34"/>
      <c r="EVX238" s="34"/>
      <c r="EVY238" s="34"/>
      <c r="EVZ238" s="34"/>
      <c r="EWA238" s="34"/>
      <c r="EWB238" s="34"/>
      <c r="EWC238" s="34"/>
      <c r="EWD238" s="34"/>
      <c r="EWE238" s="34"/>
      <c r="EWF238" s="34"/>
      <c r="EWG238" s="34"/>
      <c r="EWH238" s="34"/>
      <c r="EWI238" s="34"/>
      <c r="EWJ238" s="34"/>
      <c r="EWK238" s="34"/>
      <c r="EWL238" s="34"/>
      <c r="EWM238" s="34"/>
      <c r="EWN238" s="34"/>
      <c r="EWO238" s="34"/>
      <c r="EWP238" s="34"/>
      <c r="EWQ238" s="34"/>
      <c r="EWR238" s="34"/>
      <c r="EWS238" s="34"/>
      <c r="EWT238" s="34"/>
      <c r="EWU238" s="34"/>
      <c r="EWV238" s="34"/>
      <c r="EWW238" s="34"/>
      <c r="EWX238" s="34"/>
      <c r="EWY238" s="34"/>
      <c r="EWZ238" s="34"/>
      <c r="EXA238" s="34"/>
      <c r="EXB238" s="34"/>
      <c r="EXC238" s="34"/>
      <c r="EXD238" s="34"/>
      <c r="EXE238" s="34"/>
      <c r="EXF238" s="34"/>
      <c r="EXG238" s="34"/>
      <c r="EXH238" s="34"/>
      <c r="EXI238" s="34"/>
      <c r="EXJ238" s="34"/>
      <c r="EXK238" s="34"/>
      <c r="EXL238" s="34"/>
      <c r="EXM238" s="34"/>
      <c r="EXN238" s="34"/>
      <c r="EXO238" s="34"/>
      <c r="EXP238" s="34"/>
      <c r="EXQ238" s="34"/>
      <c r="EXR238" s="34"/>
      <c r="EXS238" s="34"/>
      <c r="EXT238" s="34"/>
      <c r="EXU238" s="34"/>
      <c r="EXV238" s="34"/>
      <c r="EXW238" s="34"/>
      <c r="EXX238" s="34"/>
      <c r="EXY238" s="34"/>
      <c r="EXZ238" s="34"/>
      <c r="EYA238" s="34"/>
      <c r="EYB238" s="34"/>
      <c r="EYC238" s="34"/>
      <c r="EYD238" s="34"/>
      <c r="EYE238" s="34"/>
      <c r="EYF238" s="34"/>
      <c r="EYG238" s="34"/>
      <c r="EYH238" s="34"/>
      <c r="EYI238" s="34"/>
      <c r="EYJ238" s="34"/>
      <c r="EYK238" s="34"/>
      <c r="EYL238" s="34"/>
      <c r="EYM238" s="34"/>
      <c r="EYN238" s="34"/>
      <c r="EYO238" s="34"/>
      <c r="EYP238" s="34"/>
      <c r="EYQ238" s="34"/>
      <c r="EYR238" s="34"/>
      <c r="EYS238" s="34"/>
      <c r="EYT238" s="34"/>
      <c r="EYU238" s="34"/>
      <c r="EYV238" s="34"/>
      <c r="EYW238" s="34"/>
      <c r="EYX238" s="34"/>
      <c r="EYY238" s="34"/>
      <c r="EYZ238" s="34"/>
      <c r="EZA238" s="34"/>
      <c r="EZB238" s="34"/>
      <c r="EZC238" s="34"/>
      <c r="EZD238" s="34"/>
      <c r="EZE238" s="34"/>
      <c r="EZF238" s="34"/>
      <c r="EZG238" s="34"/>
      <c r="EZH238" s="34"/>
      <c r="EZI238" s="34"/>
      <c r="EZJ238" s="34"/>
      <c r="EZK238" s="34"/>
      <c r="EZL238" s="34"/>
      <c r="EZM238" s="34"/>
      <c r="EZN238" s="34"/>
      <c r="EZO238" s="34"/>
      <c r="EZP238" s="34"/>
      <c r="EZQ238" s="34"/>
      <c r="EZR238" s="34"/>
      <c r="EZS238" s="34"/>
      <c r="EZT238" s="34"/>
      <c r="EZU238" s="34"/>
      <c r="EZV238" s="34"/>
      <c r="EZW238" s="34"/>
      <c r="EZX238" s="34"/>
      <c r="EZY238" s="34"/>
      <c r="EZZ238" s="34"/>
      <c r="FAA238" s="34"/>
      <c r="FAB238" s="34"/>
      <c r="FAC238" s="34"/>
      <c r="FAD238" s="34"/>
      <c r="FAE238" s="34"/>
      <c r="FAF238" s="34"/>
      <c r="FAG238" s="34"/>
      <c r="FAH238" s="34"/>
      <c r="FAI238" s="34"/>
      <c r="FAJ238" s="34"/>
      <c r="FAK238" s="34"/>
      <c r="FAL238" s="34"/>
      <c r="FAM238" s="34"/>
      <c r="FAN238" s="34"/>
      <c r="FAO238" s="34"/>
      <c r="FAP238" s="34"/>
      <c r="FAQ238" s="34"/>
      <c r="FAR238" s="34"/>
      <c r="FAS238" s="34"/>
      <c r="FAT238" s="34"/>
      <c r="FAU238" s="34"/>
      <c r="FAV238" s="34"/>
      <c r="FAW238" s="34"/>
      <c r="FAX238" s="34"/>
      <c r="FAY238" s="34"/>
      <c r="FAZ238" s="34"/>
      <c r="FBA238" s="34"/>
      <c r="FBB238" s="34"/>
      <c r="FBC238" s="34"/>
      <c r="FBD238" s="34"/>
      <c r="FBE238" s="34"/>
      <c r="FBF238" s="34"/>
      <c r="FBG238" s="34"/>
      <c r="FBH238" s="34"/>
      <c r="FBI238" s="34"/>
      <c r="FBJ238" s="34"/>
      <c r="FBK238" s="34"/>
      <c r="FBL238" s="34"/>
      <c r="FBM238" s="34"/>
      <c r="FBN238" s="34"/>
      <c r="FBO238" s="34"/>
      <c r="FBP238" s="34"/>
      <c r="FBQ238" s="34"/>
      <c r="FBR238" s="34"/>
      <c r="FBS238" s="34"/>
      <c r="FBT238" s="34"/>
      <c r="FBU238" s="34"/>
      <c r="FBV238" s="34"/>
      <c r="FBW238" s="34"/>
      <c r="FBX238" s="34"/>
      <c r="FBY238" s="34"/>
      <c r="FBZ238" s="34"/>
      <c r="FCA238" s="34"/>
      <c r="FCB238" s="34"/>
      <c r="FCC238" s="34"/>
      <c r="FCD238" s="34"/>
      <c r="FCE238" s="34"/>
      <c r="FCF238" s="34"/>
      <c r="FCG238" s="34"/>
      <c r="FCH238" s="34"/>
      <c r="FCI238" s="34"/>
      <c r="FCJ238" s="34"/>
      <c r="FCK238" s="34"/>
      <c r="FCL238" s="34"/>
      <c r="FCM238" s="34"/>
      <c r="FCN238" s="34"/>
      <c r="FCO238" s="34"/>
      <c r="FCP238" s="34"/>
      <c r="FCQ238" s="34"/>
      <c r="FCR238" s="34"/>
      <c r="FCS238" s="34"/>
      <c r="FCT238" s="34"/>
      <c r="FCU238" s="34"/>
      <c r="FCV238" s="34"/>
      <c r="FCW238" s="34"/>
      <c r="FCX238" s="34"/>
      <c r="FCY238" s="34"/>
      <c r="FCZ238" s="34"/>
      <c r="FDA238" s="34"/>
      <c r="FDB238" s="34"/>
      <c r="FDC238" s="34"/>
      <c r="FDD238" s="34"/>
      <c r="FDE238" s="34"/>
      <c r="FDF238" s="34"/>
      <c r="FDG238" s="34"/>
      <c r="FDH238" s="34"/>
      <c r="FDI238" s="34"/>
      <c r="FDJ238" s="34"/>
      <c r="FDK238" s="34"/>
      <c r="FDL238" s="34"/>
      <c r="FDM238" s="34"/>
      <c r="FDN238" s="34"/>
      <c r="FDO238" s="34"/>
      <c r="FDP238" s="34"/>
      <c r="FDQ238" s="34"/>
      <c r="FDR238" s="34"/>
      <c r="FDS238" s="34"/>
      <c r="FDT238" s="34"/>
      <c r="FDU238" s="34"/>
      <c r="FDV238" s="34"/>
      <c r="FDW238" s="34"/>
      <c r="FDX238" s="34"/>
      <c r="FDY238" s="34"/>
      <c r="FDZ238" s="34"/>
      <c r="FEA238" s="34"/>
      <c r="FEB238" s="34"/>
      <c r="FEC238" s="34"/>
      <c r="FED238" s="34"/>
      <c r="FEE238" s="34"/>
      <c r="FEF238" s="34"/>
      <c r="FEG238" s="34"/>
      <c r="FEH238" s="34"/>
      <c r="FEI238" s="34"/>
      <c r="FEJ238" s="34"/>
      <c r="FEK238" s="34"/>
      <c r="FEL238" s="34"/>
      <c r="FEM238" s="34"/>
      <c r="FEN238" s="34"/>
      <c r="FEO238" s="34"/>
      <c r="FEP238" s="34"/>
      <c r="FEQ238" s="34"/>
      <c r="FER238" s="34"/>
      <c r="FES238" s="34"/>
      <c r="FET238" s="34"/>
      <c r="FEU238" s="34"/>
      <c r="FEV238" s="34"/>
      <c r="FEW238" s="34"/>
      <c r="FEX238" s="34"/>
      <c r="FEY238" s="34"/>
      <c r="FEZ238" s="34"/>
      <c r="FFA238" s="34"/>
      <c r="FFB238" s="34"/>
      <c r="FFC238" s="34"/>
      <c r="FFD238" s="34"/>
      <c r="FFE238" s="34"/>
      <c r="FFF238" s="34"/>
      <c r="FFG238" s="34"/>
      <c r="FFH238" s="34"/>
      <c r="FFI238" s="34"/>
      <c r="FFJ238" s="34"/>
      <c r="FFK238" s="34"/>
      <c r="FFL238" s="34"/>
      <c r="FFM238" s="34"/>
      <c r="FFN238" s="34"/>
      <c r="FFO238" s="34"/>
      <c r="FFP238" s="34"/>
      <c r="FFQ238" s="34"/>
      <c r="FFR238" s="34"/>
      <c r="FFS238" s="34"/>
      <c r="FFT238" s="34"/>
      <c r="FFU238" s="34"/>
      <c r="FFV238" s="34"/>
      <c r="FFW238" s="34"/>
      <c r="FFX238" s="34"/>
      <c r="FFY238" s="34"/>
      <c r="FFZ238" s="34"/>
      <c r="FGA238" s="34"/>
      <c r="FGB238" s="34"/>
      <c r="FGC238" s="34"/>
      <c r="FGD238" s="34"/>
      <c r="FGE238" s="34"/>
      <c r="FGF238" s="34"/>
      <c r="FGG238" s="34"/>
      <c r="FGH238" s="34"/>
      <c r="FGI238" s="34"/>
      <c r="FGJ238" s="34"/>
      <c r="FGK238" s="34"/>
      <c r="FGL238" s="34"/>
      <c r="FGM238" s="34"/>
      <c r="FGN238" s="34"/>
      <c r="FGO238" s="34"/>
      <c r="FGP238" s="34"/>
      <c r="FGQ238" s="34"/>
      <c r="FGR238" s="34"/>
      <c r="FGS238" s="34"/>
      <c r="FGT238" s="34"/>
      <c r="FGU238" s="34"/>
      <c r="FGV238" s="34"/>
      <c r="FGW238" s="34"/>
      <c r="FGX238" s="34"/>
      <c r="FGY238" s="34"/>
      <c r="FGZ238" s="34"/>
      <c r="FHA238" s="34"/>
      <c r="FHB238" s="34"/>
      <c r="FHC238" s="34"/>
      <c r="FHD238" s="34"/>
      <c r="FHE238" s="34"/>
      <c r="FHF238" s="34"/>
      <c r="FHG238" s="34"/>
      <c r="FHH238" s="34"/>
      <c r="FHI238" s="34"/>
      <c r="FHJ238" s="34"/>
      <c r="FHK238" s="34"/>
      <c r="FHL238" s="34"/>
      <c r="FHM238" s="34"/>
      <c r="FHN238" s="34"/>
      <c r="FHO238" s="34"/>
      <c r="FHP238" s="34"/>
      <c r="FHQ238" s="34"/>
      <c r="FHR238" s="34"/>
      <c r="FHS238" s="34"/>
      <c r="FHT238" s="34"/>
      <c r="FHU238" s="34"/>
      <c r="FHV238" s="34"/>
      <c r="FHW238" s="34"/>
      <c r="FHX238" s="34"/>
      <c r="FHY238" s="34"/>
      <c r="FHZ238" s="34"/>
      <c r="FIA238" s="34"/>
      <c r="FIB238" s="34"/>
      <c r="FIC238" s="34"/>
      <c r="FID238" s="34"/>
      <c r="FIE238" s="34"/>
      <c r="FIF238" s="34"/>
      <c r="FIG238" s="34"/>
      <c r="FIH238" s="34"/>
      <c r="FII238" s="34"/>
      <c r="FIJ238" s="34"/>
      <c r="FIK238" s="34"/>
      <c r="FIL238" s="34"/>
      <c r="FIM238" s="34"/>
      <c r="FIN238" s="34"/>
      <c r="FIO238" s="34"/>
      <c r="FIP238" s="34"/>
      <c r="FIQ238" s="34"/>
      <c r="FIR238" s="34"/>
      <c r="FIS238" s="34"/>
      <c r="FIT238" s="34"/>
      <c r="FIU238" s="34"/>
      <c r="FIV238" s="34"/>
      <c r="FIW238" s="34"/>
      <c r="FIX238" s="34"/>
      <c r="FIY238" s="34"/>
      <c r="FIZ238" s="34"/>
      <c r="FJA238" s="34"/>
      <c r="FJB238" s="34"/>
      <c r="FJC238" s="34"/>
      <c r="FJD238" s="34"/>
      <c r="FJE238" s="34"/>
      <c r="FJF238" s="34"/>
      <c r="FJG238" s="34"/>
      <c r="FJH238" s="34"/>
      <c r="FJI238" s="34"/>
      <c r="FJJ238" s="34"/>
      <c r="FJK238" s="34"/>
      <c r="FJL238" s="34"/>
      <c r="FJM238" s="34"/>
      <c r="FJN238" s="34"/>
      <c r="FJO238" s="34"/>
      <c r="FJP238" s="34"/>
      <c r="FJQ238" s="34"/>
      <c r="FJR238" s="34"/>
      <c r="FJS238" s="34"/>
      <c r="FJT238" s="34"/>
      <c r="FJU238" s="34"/>
      <c r="FJV238" s="34"/>
      <c r="FJW238" s="34"/>
      <c r="FJX238" s="34"/>
      <c r="FJY238" s="34"/>
      <c r="FJZ238" s="34"/>
      <c r="FKA238" s="34"/>
      <c r="FKB238" s="34"/>
      <c r="FKC238" s="34"/>
      <c r="FKD238" s="34"/>
      <c r="FKE238" s="34"/>
      <c r="FKF238" s="34"/>
      <c r="FKG238" s="34"/>
      <c r="FKH238" s="34"/>
      <c r="FKI238" s="34"/>
      <c r="FKJ238" s="34"/>
      <c r="FKK238" s="34"/>
      <c r="FKL238" s="34"/>
      <c r="FKM238" s="34"/>
      <c r="FKN238" s="34"/>
      <c r="FKO238" s="34"/>
      <c r="FKP238" s="34"/>
      <c r="FKQ238" s="34"/>
      <c r="FKR238" s="34"/>
      <c r="FKS238" s="34"/>
      <c r="FKT238" s="34"/>
      <c r="FKU238" s="34"/>
      <c r="FKV238" s="34"/>
      <c r="FKW238" s="34"/>
      <c r="FKX238" s="34"/>
      <c r="FKY238" s="34"/>
      <c r="FKZ238" s="34"/>
      <c r="FLA238" s="34"/>
      <c r="FLB238" s="34"/>
      <c r="FLC238" s="34"/>
      <c r="FLD238" s="34"/>
      <c r="FLE238" s="34"/>
      <c r="FLF238" s="34"/>
      <c r="FLG238" s="34"/>
      <c r="FLH238" s="34"/>
      <c r="FLI238" s="34"/>
      <c r="FLJ238" s="34"/>
      <c r="FLK238" s="34"/>
      <c r="FLL238" s="34"/>
      <c r="FLM238" s="34"/>
      <c r="FLN238" s="34"/>
      <c r="FLO238" s="34"/>
      <c r="FLP238" s="34"/>
      <c r="FLQ238" s="34"/>
      <c r="FLR238" s="34"/>
      <c r="FLS238" s="34"/>
      <c r="FLT238" s="34"/>
      <c r="FLU238" s="34"/>
      <c r="FLV238" s="34"/>
      <c r="FLW238" s="34"/>
      <c r="FLX238" s="34"/>
      <c r="FLY238" s="34"/>
      <c r="FLZ238" s="34"/>
      <c r="FMA238" s="34"/>
      <c r="FMB238" s="34"/>
      <c r="FMC238" s="34"/>
      <c r="FMD238" s="34"/>
      <c r="FME238" s="34"/>
      <c r="FMF238" s="34"/>
      <c r="FMG238" s="34"/>
      <c r="FMH238" s="34"/>
      <c r="FMI238" s="34"/>
      <c r="FMJ238" s="34"/>
      <c r="FMK238" s="34"/>
      <c r="FML238" s="34"/>
      <c r="FMM238" s="34"/>
      <c r="FMN238" s="34"/>
      <c r="FMO238" s="34"/>
      <c r="FMP238" s="34"/>
      <c r="FMQ238" s="34"/>
      <c r="FMR238" s="34"/>
      <c r="FMS238" s="34"/>
      <c r="FMT238" s="34"/>
      <c r="FMU238" s="34"/>
      <c r="FMV238" s="34"/>
      <c r="FMW238" s="34"/>
      <c r="FMX238" s="34"/>
      <c r="FMY238" s="34"/>
      <c r="FMZ238" s="34"/>
      <c r="FNA238" s="34"/>
      <c r="FNB238" s="34"/>
      <c r="FNC238" s="34"/>
      <c r="FND238" s="34"/>
      <c r="FNE238" s="34"/>
      <c r="FNF238" s="34"/>
      <c r="FNG238" s="34"/>
      <c r="FNH238" s="34"/>
      <c r="FNI238" s="34"/>
      <c r="FNJ238" s="34"/>
      <c r="FNK238" s="34"/>
      <c r="FNL238" s="34"/>
      <c r="FNM238" s="34"/>
      <c r="FNN238" s="34"/>
      <c r="FNO238" s="34"/>
      <c r="FNP238" s="34"/>
      <c r="FNQ238" s="34"/>
      <c r="FNR238" s="34"/>
      <c r="FNS238" s="34"/>
      <c r="FNT238" s="34"/>
      <c r="FNU238" s="34"/>
      <c r="FNV238" s="34"/>
      <c r="FNW238" s="34"/>
      <c r="FNX238" s="34"/>
      <c r="FNY238" s="34"/>
      <c r="FNZ238" s="34"/>
      <c r="FOA238" s="34"/>
      <c r="FOB238" s="34"/>
      <c r="FOC238" s="34"/>
      <c r="FOD238" s="34"/>
      <c r="FOE238" s="34"/>
      <c r="FOF238" s="34"/>
      <c r="FOG238" s="34"/>
      <c r="FOH238" s="34"/>
      <c r="FOI238" s="34"/>
      <c r="FOJ238" s="34"/>
      <c r="FOK238" s="34"/>
      <c r="FOL238" s="34"/>
      <c r="FOM238" s="34"/>
      <c r="FON238" s="34"/>
      <c r="FOO238" s="34"/>
      <c r="FOP238" s="34"/>
      <c r="FOQ238" s="34"/>
      <c r="FOR238" s="34"/>
      <c r="FOS238" s="34"/>
      <c r="FOT238" s="34"/>
      <c r="FOU238" s="34"/>
      <c r="FOV238" s="34"/>
      <c r="FOW238" s="34"/>
      <c r="FOX238" s="34"/>
      <c r="FOY238" s="34"/>
      <c r="FOZ238" s="34"/>
      <c r="FPA238" s="34"/>
      <c r="FPB238" s="34"/>
      <c r="FPC238" s="34"/>
      <c r="FPD238" s="34"/>
      <c r="FPE238" s="34"/>
      <c r="FPF238" s="34"/>
      <c r="FPG238" s="34"/>
      <c r="FPH238" s="34"/>
      <c r="FPI238" s="34"/>
      <c r="FPJ238" s="34"/>
      <c r="FPK238" s="34"/>
      <c r="FPL238" s="34"/>
      <c r="FPM238" s="34"/>
      <c r="FPN238" s="34"/>
      <c r="FPO238" s="34"/>
      <c r="FPP238" s="34"/>
      <c r="FPQ238" s="34"/>
      <c r="FPR238" s="34"/>
      <c r="FPS238" s="34"/>
      <c r="FPT238" s="34"/>
      <c r="FPU238" s="34"/>
      <c r="FPV238" s="34"/>
      <c r="FPW238" s="34"/>
      <c r="FPX238" s="34"/>
      <c r="FPY238" s="34"/>
      <c r="FPZ238" s="34"/>
      <c r="FQA238" s="34"/>
      <c r="FQB238" s="34"/>
      <c r="FQC238" s="34"/>
      <c r="FQD238" s="34"/>
      <c r="FQE238" s="34"/>
      <c r="FQF238" s="34"/>
      <c r="FQG238" s="34"/>
      <c r="FQH238" s="34"/>
      <c r="FQI238" s="34"/>
      <c r="FQJ238" s="34"/>
      <c r="FQK238" s="34"/>
      <c r="FQL238" s="34"/>
      <c r="FQM238" s="34"/>
      <c r="FQN238" s="34"/>
      <c r="FQO238" s="34"/>
      <c r="FQP238" s="34"/>
      <c r="FQQ238" s="34"/>
      <c r="FQR238" s="34"/>
      <c r="FQS238" s="34"/>
      <c r="FQT238" s="34"/>
      <c r="FQU238" s="34"/>
      <c r="FQV238" s="34"/>
      <c r="FQW238" s="34"/>
      <c r="FQX238" s="34"/>
      <c r="FQY238" s="34"/>
      <c r="FQZ238" s="34"/>
      <c r="FRA238" s="34"/>
      <c r="FRB238" s="34"/>
      <c r="FRC238" s="34"/>
      <c r="FRD238" s="34"/>
      <c r="FRE238" s="34"/>
      <c r="FRF238" s="34"/>
      <c r="FRG238" s="34"/>
      <c r="FRH238" s="34"/>
      <c r="FRI238" s="34"/>
      <c r="FRJ238" s="34"/>
      <c r="FRK238" s="34"/>
      <c r="FRL238" s="34"/>
      <c r="FRM238" s="34"/>
      <c r="FRN238" s="34"/>
      <c r="FRO238" s="34"/>
      <c r="FRP238" s="34"/>
      <c r="FRQ238" s="34"/>
      <c r="FRR238" s="34"/>
      <c r="FRS238" s="34"/>
      <c r="FRT238" s="34"/>
      <c r="FRU238" s="34"/>
      <c r="FRV238" s="34"/>
      <c r="FRW238" s="34"/>
      <c r="FRX238" s="34"/>
      <c r="FRY238" s="34"/>
      <c r="FRZ238" s="34"/>
      <c r="FSA238" s="34"/>
      <c r="FSB238" s="34"/>
      <c r="FSC238" s="34"/>
      <c r="FSD238" s="34"/>
      <c r="FSE238" s="34"/>
      <c r="FSF238" s="34"/>
      <c r="FSG238" s="34"/>
      <c r="FSH238" s="34"/>
      <c r="FSI238" s="34"/>
      <c r="FSJ238" s="34"/>
      <c r="FSK238" s="34"/>
      <c r="FSL238" s="34"/>
      <c r="FSM238" s="34"/>
      <c r="FSN238" s="34"/>
      <c r="FSO238" s="34"/>
      <c r="FSP238" s="34"/>
      <c r="FSQ238" s="34"/>
      <c r="FSR238" s="34"/>
      <c r="FSS238" s="34"/>
      <c r="FST238" s="34"/>
      <c r="FSU238" s="34"/>
      <c r="FSV238" s="34"/>
      <c r="FSW238" s="34"/>
      <c r="FSX238" s="34"/>
      <c r="FSY238" s="34"/>
      <c r="FSZ238" s="34"/>
      <c r="FTA238" s="34"/>
      <c r="FTB238" s="34"/>
      <c r="FTC238" s="34"/>
      <c r="FTD238" s="34"/>
      <c r="FTE238" s="34"/>
      <c r="FTF238" s="34"/>
      <c r="FTG238" s="34"/>
      <c r="FTH238" s="34"/>
      <c r="FTI238" s="34"/>
      <c r="FTJ238" s="34"/>
      <c r="FTK238" s="34"/>
      <c r="FTL238" s="34"/>
      <c r="FTM238" s="34"/>
      <c r="FTN238" s="34"/>
      <c r="FTO238" s="34"/>
      <c r="FTP238" s="34"/>
      <c r="FTQ238" s="34"/>
      <c r="FTR238" s="34"/>
      <c r="FTS238" s="34"/>
      <c r="FTT238" s="34"/>
      <c r="FTU238" s="34"/>
      <c r="FTV238" s="34"/>
      <c r="FTW238" s="34"/>
      <c r="FTX238" s="34"/>
      <c r="FTY238" s="34"/>
      <c r="FTZ238" s="34"/>
      <c r="FUA238" s="34"/>
      <c r="FUB238" s="34"/>
      <c r="FUC238" s="34"/>
      <c r="FUD238" s="34"/>
      <c r="FUE238" s="34"/>
      <c r="FUF238" s="34"/>
      <c r="FUG238" s="34"/>
      <c r="FUH238" s="34"/>
      <c r="FUI238" s="34"/>
      <c r="FUJ238" s="34"/>
      <c r="FUK238" s="34"/>
      <c r="FUL238" s="34"/>
      <c r="FUM238" s="34"/>
      <c r="FUN238" s="34"/>
      <c r="FUO238" s="34"/>
      <c r="FUP238" s="34"/>
      <c r="FUQ238" s="34"/>
      <c r="FUR238" s="34"/>
      <c r="FUS238" s="34"/>
      <c r="FUT238" s="34"/>
      <c r="FUU238" s="34"/>
      <c r="FUV238" s="34"/>
      <c r="FUW238" s="34"/>
      <c r="FUX238" s="34"/>
      <c r="FUY238" s="34"/>
      <c r="FUZ238" s="34"/>
      <c r="FVA238" s="34"/>
      <c r="FVB238" s="34"/>
      <c r="FVC238" s="34"/>
      <c r="FVD238" s="34"/>
      <c r="FVE238" s="34"/>
      <c r="FVF238" s="34"/>
      <c r="FVG238" s="34"/>
      <c r="FVH238" s="34"/>
      <c r="FVI238" s="34"/>
      <c r="FVJ238" s="34"/>
      <c r="FVK238" s="34"/>
      <c r="FVL238" s="34"/>
      <c r="FVM238" s="34"/>
      <c r="FVN238" s="34"/>
      <c r="FVO238" s="34"/>
      <c r="FVP238" s="34"/>
      <c r="FVQ238" s="34"/>
      <c r="FVR238" s="34"/>
      <c r="FVS238" s="34"/>
      <c r="FVT238" s="34"/>
      <c r="FVU238" s="34"/>
      <c r="FVV238" s="34"/>
      <c r="FVW238" s="34"/>
      <c r="FVX238" s="34"/>
      <c r="FVY238" s="34"/>
      <c r="FVZ238" s="34"/>
      <c r="FWA238" s="34"/>
      <c r="FWB238" s="34"/>
      <c r="FWC238" s="34"/>
      <c r="FWD238" s="34"/>
      <c r="FWE238" s="34"/>
      <c r="FWF238" s="34"/>
      <c r="FWG238" s="34"/>
      <c r="FWH238" s="34"/>
      <c r="FWI238" s="34"/>
      <c r="FWJ238" s="34"/>
      <c r="FWK238" s="34"/>
      <c r="FWL238" s="34"/>
      <c r="FWM238" s="34"/>
      <c r="FWN238" s="34"/>
      <c r="FWO238" s="34"/>
      <c r="FWP238" s="34"/>
      <c r="FWQ238" s="34"/>
      <c r="FWR238" s="34"/>
      <c r="FWS238" s="34"/>
      <c r="FWT238" s="34"/>
      <c r="FWU238" s="34"/>
      <c r="FWV238" s="34"/>
      <c r="FWW238" s="34"/>
      <c r="FWX238" s="34"/>
      <c r="FWY238" s="34"/>
      <c r="FWZ238" s="34"/>
      <c r="FXA238" s="34"/>
      <c r="FXB238" s="34"/>
      <c r="FXC238" s="34"/>
      <c r="FXD238" s="34"/>
      <c r="FXE238" s="34"/>
      <c r="FXF238" s="34"/>
      <c r="FXG238" s="34"/>
      <c r="FXH238" s="34"/>
      <c r="FXI238" s="34"/>
      <c r="FXJ238" s="34"/>
      <c r="FXK238" s="34"/>
      <c r="FXL238" s="34"/>
      <c r="FXM238" s="34"/>
      <c r="FXN238" s="34"/>
      <c r="FXO238" s="34"/>
      <c r="FXP238" s="34"/>
      <c r="FXQ238" s="34"/>
      <c r="FXR238" s="34"/>
      <c r="FXS238" s="34"/>
      <c r="FXT238" s="34"/>
      <c r="FXU238" s="34"/>
      <c r="FXV238" s="34"/>
      <c r="FXW238" s="34"/>
      <c r="FXX238" s="34"/>
      <c r="FXY238" s="34"/>
      <c r="FXZ238" s="34"/>
      <c r="FYA238" s="34"/>
      <c r="FYB238" s="34"/>
      <c r="FYC238" s="34"/>
      <c r="FYD238" s="34"/>
      <c r="FYE238" s="34"/>
      <c r="FYF238" s="34"/>
      <c r="FYG238" s="34"/>
      <c r="FYH238" s="34"/>
      <c r="FYI238" s="34"/>
      <c r="FYJ238" s="34"/>
      <c r="FYK238" s="34"/>
      <c r="FYL238" s="34"/>
      <c r="FYM238" s="34"/>
      <c r="FYN238" s="34"/>
      <c r="FYO238" s="34"/>
      <c r="FYP238" s="34"/>
      <c r="FYQ238" s="34"/>
      <c r="FYR238" s="34"/>
      <c r="FYS238" s="34"/>
      <c r="FYT238" s="34"/>
      <c r="FYU238" s="34"/>
      <c r="FYV238" s="34"/>
      <c r="FYW238" s="34"/>
      <c r="FYX238" s="34"/>
      <c r="FYY238" s="34"/>
      <c r="FYZ238" s="34"/>
      <c r="FZA238" s="34"/>
      <c r="FZB238" s="34"/>
      <c r="FZC238" s="34"/>
      <c r="FZD238" s="34"/>
      <c r="FZE238" s="34"/>
      <c r="FZF238" s="34"/>
      <c r="FZG238" s="34"/>
      <c r="FZH238" s="34"/>
      <c r="FZI238" s="34"/>
      <c r="FZJ238" s="34"/>
      <c r="FZK238" s="34"/>
      <c r="FZL238" s="34"/>
      <c r="FZM238" s="34"/>
      <c r="FZN238" s="34"/>
      <c r="FZO238" s="34"/>
      <c r="FZP238" s="34"/>
      <c r="FZQ238" s="34"/>
      <c r="FZR238" s="34"/>
      <c r="FZS238" s="34"/>
      <c r="FZT238" s="34"/>
      <c r="FZU238" s="34"/>
      <c r="FZV238" s="34"/>
      <c r="FZW238" s="34"/>
      <c r="FZX238" s="34"/>
      <c r="FZY238" s="34"/>
      <c r="FZZ238" s="34"/>
      <c r="GAA238" s="34"/>
      <c r="GAB238" s="34"/>
      <c r="GAC238" s="34"/>
      <c r="GAD238" s="34"/>
      <c r="GAE238" s="34"/>
      <c r="GAF238" s="34"/>
      <c r="GAG238" s="34"/>
      <c r="GAH238" s="34"/>
      <c r="GAI238" s="34"/>
      <c r="GAJ238" s="34"/>
      <c r="GAK238" s="34"/>
      <c r="GAL238" s="34"/>
      <c r="GAM238" s="34"/>
      <c r="GAN238" s="34"/>
      <c r="GAO238" s="34"/>
      <c r="GAP238" s="34"/>
      <c r="GAQ238" s="34"/>
      <c r="GAR238" s="34"/>
      <c r="GAS238" s="34"/>
      <c r="GAT238" s="34"/>
      <c r="GAU238" s="34"/>
      <c r="GAV238" s="34"/>
      <c r="GAW238" s="34"/>
      <c r="GAX238" s="34"/>
      <c r="GAY238" s="34"/>
      <c r="GAZ238" s="34"/>
      <c r="GBA238" s="34"/>
      <c r="GBB238" s="34"/>
      <c r="GBC238" s="34"/>
      <c r="GBD238" s="34"/>
      <c r="GBE238" s="34"/>
      <c r="GBF238" s="34"/>
      <c r="GBG238" s="34"/>
      <c r="GBH238" s="34"/>
      <c r="GBI238" s="34"/>
      <c r="GBJ238" s="34"/>
      <c r="GBK238" s="34"/>
      <c r="GBL238" s="34"/>
      <c r="GBM238" s="34"/>
      <c r="GBN238" s="34"/>
      <c r="GBO238" s="34"/>
      <c r="GBP238" s="34"/>
      <c r="GBQ238" s="34"/>
      <c r="GBR238" s="34"/>
      <c r="GBS238" s="34"/>
      <c r="GBT238" s="34"/>
      <c r="GBU238" s="34"/>
      <c r="GBV238" s="34"/>
      <c r="GBW238" s="34"/>
      <c r="GBX238" s="34"/>
      <c r="GBY238" s="34"/>
      <c r="GBZ238" s="34"/>
      <c r="GCA238" s="34"/>
      <c r="GCB238" s="34"/>
      <c r="GCC238" s="34"/>
      <c r="GCD238" s="34"/>
      <c r="GCE238" s="34"/>
      <c r="GCF238" s="34"/>
      <c r="GCG238" s="34"/>
      <c r="GCH238" s="34"/>
      <c r="GCI238" s="34"/>
      <c r="GCJ238" s="34"/>
      <c r="GCK238" s="34"/>
      <c r="GCL238" s="34"/>
      <c r="GCM238" s="34"/>
      <c r="GCN238" s="34"/>
      <c r="GCO238" s="34"/>
      <c r="GCP238" s="34"/>
      <c r="GCQ238" s="34"/>
      <c r="GCR238" s="34"/>
      <c r="GCS238" s="34"/>
      <c r="GCT238" s="34"/>
      <c r="GCU238" s="34"/>
      <c r="GCV238" s="34"/>
      <c r="GCW238" s="34"/>
      <c r="GCX238" s="34"/>
      <c r="GCY238" s="34"/>
      <c r="GCZ238" s="34"/>
      <c r="GDA238" s="34"/>
      <c r="GDB238" s="34"/>
      <c r="GDC238" s="34"/>
      <c r="GDD238" s="34"/>
      <c r="GDE238" s="34"/>
      <c r="GDF238" s="34"/>
      <c r="GDG238" s="34"/>
      <c r="GDH238" s="34"/>
      <c r="GDI238" s="34"/>
      <c r="GDJ238" s="34"/>
      <c r="GDK238" s="34"/>
      <c r="GDL238" s="34"/>
      <c r="GDM238" s="34"/>
      <c r="GDN238" s="34"/>
      <c r="GDO238" s="34"/>
      <c r="GDP238" s="34"/>
      <c r="GDQ238" s="34"/>
      <c r="GDR238" s="34"/>
      <c r="GDS238" s="34"/>
      <c r="GDT238" s="34"/>
      <c r="GDU238" s="34"/>
      <c r="GDV238" s="34"/>
      <c r="GDW238" s="34"/>
      <c r="GDX238" s="34"/>
      <c r="GDY238" s="34"/>
      <c r="GDZ238" s="34"/>
      <c r="GEA238" s="34"/>
      <c r="GEB238" s="34"/>
      <c r="GEC238" s="34"/>
      <c r="GED238" s="34"/>
      <c r="GEE238" s="34"/>
      <c r="GEF238" s="34"/>
      <c r="GEG238" s="34"/>
      <c r="GEH238" s="34"/>
      <c r="GEI238" s="34"/>
      <c r="GEJ238" s="34"/>
      <c r="GEK238" s="34"/>
      <c r="GEL238" s="34"/>
      <c r="GEM238" s="34"/>
      <c r="GEN238" s="34"/>
      <c r="GEO238" s="34"/>
      <c r="GEP238" s="34"/>
      <c r="GEQ238" s="34"/>
      <c r="GER238" s="34"/>
      <c r="GES238" s="34"/>
      <c r="GET238" s="34"/>
      <c r="GEU238" s="34"/>
      <c r="GEV238" s="34"/>
      <c r="GEW238" s="34"/>
      <c r="GEX238" s="34"/>
      <c r="GEY238" s="34"/>
      <c r="GEZ238" s="34"/>
      <c r="GFA238" s="34"/>
      <c r="GFB238" s="34"/>
      <c r="GFC238" s="34"/>
      <c r="GFD238" s="34"/>
      <c r="GFE238" s="34"/>
      <c r="GFF238" s="34"/>
      <c r="GFG238" s="34"/>
      <c r="GFH238" s="34"/>
      <c r="GFI238" s="34"/>
      <c r="GFJ238" s="34"/>
      <c r="GFK238" s="34"/>
      <c r="GFL238" s="34"/>
      <c r="GFM238" s="34"/>
      <c r="GFN238" s="34"/>
      <c r="GFO238" s="34"/>
      <c r="GFP238" s="34"/>
      <c r="GFQ238" s="34"/>
      <c r="GFR238" s="34"/>
      <c r="GFS238" s="34"/>
      <c r="GFT238" s="34"/>
      <c r="GFU238" s="34"/>
      <c r="GFV238" s="34"/>
      <c r="GFW238" s="34"/>
      <c r="GFX238" s="34"/>
      <c r="GFY238" s="34"/>
      <c r="GFZ238" s="34"/>
      <c r="GGA238" s="34"/>
      <c r="GGB238" s="34"/>
      <c r="GGC238" s="34"/>
      <c r="GGD238" s="34"/>
      <c r="GGE238" s="34"/>
      <c r="GGF238" s="34"/>
      <c r="GGG238" s="34"/>
      <c r="GGH238" s="34"/>
      <c r="GGI238" s="34"/>
      <c r="GGJ238" s="34"/>
      <c r="GGK238" s="34"/>
      <c r="GGL238" s="34"/>
      <c r="GGM238" s="34"/>
      <c r="GGN238" s="34"/>
      <c r="GGO238" s="34"/>
      <c r="GGP238" s="34"/>
      <c r="GGQ238" s="34"/>
      <c r="GGR238" s="34"/>
      <c r="GGS238" s="34"/>
      <c r="GGT238" s="34"/>
      <c r="GGU238" s="34"/>
      <c r="GGV238" s="34"/>
      <c r="GGW238" s="34"/>
      <c r="GGX238" s="34"/>
      <c r="GGY238" s="34"/>
      <c r="GGZ238" s="34"/>
      <c r="GHA238" s="34"/>
      <c r="GHB238" s="34"/>
      <c r="GHC238" s="34"/>
      <c r="GHD238" s="34"/>
      <c r="GHE238" s="34"/>
      <c r="GHF238" s="34"/>
      <c r="GHG238" s="34"/>
      <c r="GHH238" s="34"/>
      <c r="GHI238" s="34"/>
      <c r="GHJ238" s="34"/>
      <c r="GHK238" s="34"/>
      <c r="GHL238" s="34"/>
      <c r="GHM238" s="34"/>
      <c r="GHN238" s="34"/>
      <c r="GHO238" s="34"/>
      <c r="GHP238" s="34"/>
      <c r="GHQ238" s="34"/>
      <c r="GHR238" s="34"/>
      <c r="GHS238" s="34"/>
      <c r="GHT238" s="34"/>
      <c r="GHU238" s="34"/>
      <c r="GHV238" s="34"/>
      <c r="GHW238" s="34"/>
      <c r="GHX238" s="34"/>
      <c r="GHY238" s="34"/>
      <c r="GHZ238" s="34"/>
      <c r="GIA238" s="34"/>
      <c r="GIB238" s="34"/>
      <c r="GIC238" s="34"/>
      <c r="GID238" s="34"/>
      <c r="GIE238" s="34"/>
      <c r="GIF238" s="34"/>
      <c r="GIG238" s="34"/>
      <c r="GIH238" s="34"/>
      <c r="GII238" s="34"/>
      <c r="GIJ238" s="34"/>
      <c r="GIK238" s="34"/>
      <c r="GIL238" s="34"/>
      <c r="GIM238" s="34"/>
      <c r="GIN238" s="34"/>
      <c r="GIO238" s="34"/>
      <c r="GIP238" s="34"/>
      <c r="GIQ238" s="34"/>
      <c r="GIR238" s="34"/>
      <c r="GIS238" s="34"/>
      <c r="GIT238" s="34"/>
      <c r="GIU238" s="34"/>
      <c r="GIV238" s="34"/>
      <c r="GIW238" s="34"/>
      <c r="GIX238" s="34"/>
      <c r="GIY238" s="34"/>
      <c r="GIZ238" s="34"/>
      <c r="GJA238" s="34"/>
      <c r="GJB238" s="34"/>
      <c r="GJC238" s="34"/>
      <c r="GJD238" s="34"/>
      <c r="GJE238" s="34"/>
      <c r="GJF238" s="34"/>
      <c r="GJG238" s="34"/>
      <c r="GJH238" s="34"/>
      <c r="GJI238" s="34"/>
      <c r="GJJ238" s="34"/>
      <c r="GJK238" s="34"/>
      <c r="GJL238" s="34"/>
      <c r="GJM238" s="34"/>
      <c r="GJN238" s="34"/>
      <c r="GJO238" s="34"/>
      <c r="GJP238" s="34"/>
      <c r="GJQ238" s="34"/>
      <c r="GJR238" s="34"/>
      <c r="GJS238" s="34"/>
      <c r="GJT238" s="34"/>
      <c r="GJU238" s="34"/>
      <c r="GJV238" s="34"/>
      <c r="GJW238" s="34"/>
      <c r="GJX238" s="34"/>
      <c r="GJY238" s="34"/>
      <c r="GJZ238" s="34"/>
      <c r="GKA238" s="34"/>
      <c r="GKB238" s="34"/>
      <c r="GKC238" s="34"/>
      <c r="GKD238" s="34"/>
      <c r="GKE238" s="34"/>
      <c r="GKF238" s="34"/>
      <c r="GKG238" s="34"/>
      <c r="GKH238" s="34"/>
      <c r="GKI238" s="34"/>
      <c r="GKJ238" s="34"/>
      <c r="GKK238" s="34"/>
      <c r="GKL238" s="34"/>
      <c r="GKM238" s="34"/>
      <c r="GKN238" s="34"/>
      <c r="GKO238" s="34"/>
      <c r="GKP238" s="34"/>
      <c r="GKQ238" s="34"/>
      <c r="GKR238" s="34"/>
      <c r="GKS238" s="34"/>
      <c r="GKT238" s="34"/>
      <c r="GKU238" s="34"/>
      <c r="GKV238" s="34"/>
      <c r="GKW238" s="34"/>
      <c r="GKX238" s="34"/>
      <c r="GKY238" s="34"/>
      <c r="GKZ238" s="34"/>
      <c r="GLA238" s="34"/>
      <c r="GLB238" s="34"/>
      <c r="GLC238" s="34"/>
      <c r="GLD238" s="34"/>
      <c r="GLE238" s="34"/>
      <c r="GLF238" s="34"/>
      <c r="GLG238" s="34"/>
      <c r="GLH238" s="34"/>
      <c r="GLI238" s="34"/>
      <c r="GLJ238" s="34"/>
      <c r="GLK238" s="34"/>
      <c r="GLL238" s="34"/>
      <c r="GLM238" s="34"/>
      <c r="GLN238" s="34"/>
      <c r="GLO238" s="34"/>
      <c r="GLP238" s="34"/>
      <c r="GLQ238" s="34"/>
      <c r="GLR238" s="34"/>
      <c r="GLS238" s="34"/>
      <c r="GLT238" s="34"/>
      <c r="GLU238" s="34"/>
      <c r="GLV238" s="34"/>
      <c r="GLW238" s="34"/>
      <c r="GLX238" s="34"/>
      <c r="GLY238" s="34"/>
      <c r="GLZ238" s="34"/>
      <c r="GMA238" s="34"/>
      <c r="GMB238" s="34"/>
      <c r="GMC238" s="34"/>
      <c r="GMD238" s="34"/>
      <c r="GME238" s="34"/>
      <c r="GMF238" s="34"/>
      <c r="GMG238" s="34"/>
      <c r="GMH238" s="34"/>
      <c r="GMI238" s="34"/>
      <c r="GMJ238" s="34"/>
      <c r="GMK238" s="34"/>
      <c r="GML238" s="34"/>
      <c r="GMM238" s="34"/>
      <c r="GMN238" s="34"/>
      <c r="GMO238" s="34"/>
      <c r="GMP238" s="34"/>
      <c r="GMQ238" s="34"/>
      <c r="GMR238" s="34"/>
      <c r="GMS238" s="34"/>
      <c r="GMT238" s="34"/>
      <c r="GMU238" s="34"/>
      <c r="GMV238" s="34"/>
      <c r="GMW238" s="34"/>
      <c r="GMX238" s="34"/>
      <c r="GMY238" s="34"/>
      <c r="GMZ238" s="34"/>
      <c r="GNA238" s="34"/>
      <c r="GNB238" s="34"/>
      <c r="GNC238" s="34"/>
      <c r="GND238" s="34"/>
      <c r="GNE238" s="34"/>
      <c r="GNF238" s="34"/>
      <c r="GNG238" s="34"/>
      <c r="GNH238" s="34"/>
      <c r="GNI238" s="34"/>
      <c r="GNJ238" s="34"/>
      <c r="GNK238" s="34"/>
      <c r="GNL238" s="34"/>
      <c r="GNM238" s="34"/>
      <c r="GNN238" s="34"/>
      <c r="GNO238" s="34"/>
      <c r="GNP238" s="34"/>
      <c r="GNQ238" s="34"/>
      <c r="GNR238" s="34"/>
      <c r="GNS238" s="34"/>
      <c r="GNT238" s="34"/>
      <c r="GNU238" s="34"/>
      <c r="GNV238" s="34"/>
      <c r="GNW238" s="34"/>
      <c r="GNX238" s="34"/>
      <c r="GNY238" s="34"/>
      <c r="GNZ238" s="34"/>
      <c r="GOA238" s="34"/>
      <c r="GOB238" s="34"/>
      <c r="GOC238" s="34"/>
      <c r="GOD238" s="34"/>
      <c r="GOE238" s="34"/>
      <c r="GOF238" s="34"/>
      <c r="GOG238" s="34"/>
      <c r="GOH238" s="34"/>
      <c r="GOI238" s="34"/>
      <c r="GOJ238" s="34"/>
      <c r="GOK238" s="34"/>
      <c r="GOL238" s="34"/>
      <c r="GOM238" s="34"/>
      <c r="GON238" s="34"/>
      <c r="GOO238" s="34"/>
      <c r="GOP238" s="34"/>
      <c r="GOQ238" s="34"/>
      <c r="GOR238" s="34"/>
      <c r="GOS238" s="34"/>
      <c r="GOT238" s="34"/>
      <c r="GOU238" s="34"/>
      <c r="GOV238" s="34"/>
      <c r="GOW238" s="34"/>
      <c r="GOX238" s="34"/>
      <c r="GOY238" s="34"/>
      <c r="GOZ238" s="34"/>
      <c r="GPA238" s="34"/>
      <c r="GPB238" s="34"/>
      <c r="GPC238" s="34"/>
      <c r="GPD238" s="34"/>
      <c r="GPE238" s="34"/>
      <c r="GPF238" s="34"/>
      <c r="GPG238" s="34"/>
      <c r="GPH238" s="34"/>
      <c r="GPI238" s="34"/>
      <c r="GPJ238" s="34"/>
      <c r="GPK238" s="34"/>
      <c r="GPL238" s="34"/>
      <c r="GPM238" s="34"/>
      <c r="GPN238" s="34"/>
      <c r="GPO238" s="34"/>
      <c r="GPP238" s="34"/>
      <c r="GPQ238" s="34"/>
      <c r="GPR238" s="34"/>
      <c r="GPS238" s="34"/>
      <c r="GPT238" s="34"/>
      <c r="GPU238" s="34"/>
      <c r="GPV238" s="34"/>
      <c r="GPW238" s="34"/>
      <c r="GPX238" s="34"/>
      <c r="GPY238" s="34"/>
      <c r="GPZ238" s="34"/>
      <c r="GQA238" s="34"/>
      <c r="GQB238" s="34"/>
      <c r="GQC238" s="34"/>
      <c r="GQD238" s="34"/>
      <c r="GQE238" s="34"/>
      <c r="GQF238" s="34"/>
      <c r="GQG238" s="34"/>
      <c r="GQH238" s="34"/>
      <c r="GQI238" s="34"/>
      <c r="GQJ238" s="34"/>
      <c r="GQK238" s="34"/>
      <c r="GQL238" s="34"/>
      <c r="GQM238" s="34"/>
      <c r="GQN238" s="34"/>
      <c r="GQO238" s="34"/>
      <c r="GQP238" s="34"/>
      <c r="GQQ238" s="34"/>
      <c r="GQR238" s="34"/>
      <c r="GQS238" s="34"/>
      <c r="GQT238" s="34"/>
      <c r="GQU238" s="34"/>
      <c r="GQV238" s="34"/>
      <c r="GQW238" s="34"/>
      <c r="GQX238" s="34"/>
      <c r="GQY238" s="34"/>
      <c r="GQZ238" s="34"/>
      <c r="GRA238" s="34"/>
      <c r="GRB238" s="34"/>
      <c r="GRC238" s="34"/>
      <c r="GRD238" s="34"/>
      <c r="GRE238" s="34"/>
      <c r="GRF238" s="34"/>
      <c r="GRG238" s="34"/>
      <c r="GRH238" s="34"/>
      <c r="GRI238" s="34"/>
      <c r="GRJ238" s="34"/>
      <c r="GRK238" s="34"/>
      <c r="GRL238" s="34"/>
      <c r="GRM238" s="34"/>
      <c r="GRN238" s="34"/>
      <c r="GRO238" s="34"/>
      <c r="GRP238" s="34"/>
      <c r="GRQ238" s="34"/>
      <c r="GRR238" s="34"/>
      <c r="GRS238" s="34"/>
      <c r="GRT238" s="34"/>
      <c r="GRU238" s="34"/>
      <c r="GRV238" s="34"/>
      <c r="GRW238" s="34"/>
      <c r="GRX238" s="34"/>
      <c r="GRY238" s="34"/>
      <c r="GRZ238" s="34"/>
      <c r="GSA238" s="34"/>
      <c r="GSB238" s="34"/>
      <c r="GSC238" s="34"/>
      <c r="GSD238" s="34"/>
      <c r="GSE238" s="34"/>
      <c r="GSF238" s="34"/>
      <c r="GSG238" s="34"/>
      <c r="GSH238" s="34"/>
      <c r="GSI238" s="34"/>
      <c r="GSJ238" s="34"/>
      <c r="GSK238" s="34"/>
      <c r="GSL238" s="34"/>
      <c r="GSM238" s="34"/>
      <c r="GSN238" s="34"/>
      <c r="GSO238" s="34"/>
      <c r="GSP238" s="34"/>
      <c r="GSQ238" s="34"/>
      <c r="GSR238" s="34"/>
      <c r="GSS238" s="34"/>
      <c r="GST238" s="34"/>
      <c r="GSU238" s="34"/>
      <c r="GSV238" s="34"/>
      <c r="GSW238" s="34"/>
      <c r="GSX238" s="34"/>
      <c r="GSY238" s="34"/>
      <c r="GSZ238" s="34"/>
      <c r="GTA238" s="34"/>
      <c r="GTB238" s="34"/>
      <c r="GTC238" s="34"/>
      <c r="GTD238" s="34"/>
      <c r="GTE238" s="34"/>
      <c r="GTF238" s="34"/>
      <c r="GTG238" s="34"/>
      <c r="GTH238" s="34"/>
      <c r="GTI238" s="34"/>
      <c r="GTJ238" s="34"/>
      <c r="GTK238" s="34"/>
      <c r="GTL238" s="34"/>
      <c r="GTM238" s="34"/>
      <c r="GTN238" s="34"/>
      <c r="GTO238" s="34"/>
      <c r="GTP238" s="34"/>
      <c r="GTQ238" s="34"/>
      <c r="GTR238" s="34"/>
      <c r="GTS238" s="34"/>
      <c r="GTT238" s="34"/>
      <c r="GTU238" s="34"/>
      <c r="GTV238" s="34"/>
      <c r="GTW238" s="34"/>
      <c r="GTX238" s="34"/>
      <c r="GTY238" s="34"/>
      <c r="GTZ238" s="34"/>
      <c r="GUA238" s="34"/>
      <c r="GUB238" s="34"/>
      <c r="GUC238" s="34"/>
      <c r="GUD238" s="34"/>
      <c r="GUE238" s="34"/>
      <c r="GUF238" s="34"/>
      <c r="GUG238" s="34"/>
      <c r="GUH238" s="34"/>
      <c r="GUI238" s="34"/>
      <c r="GUJ238" s="34"/>
      <c r="GUK238" s="34"/>
      <c r="GUL238" s="34"/>
      <c r="GUM238" s="34"/>
      <c r="GUN238" s="34"/>
      <c r="GUO238" s="34"/>
      <c r="GUP238" s="34"/>
      <c r="GUQ238" s="34"/>
      <c r="GUR238" s="34"/>
      <c r="GUS238" s="34"/>
      <c r="GUT238" s="34"/>
      <c r="GUU238" s="34"/>
      <c r="GUV238" s="34"/>
      <c r="GUW238" s="34"/>
      <c r="GUX238" s="34"/>
      <c r="GUY238" s="34"/>
      <c r="GUZ238" s="34"/>
      <c r="GVA238" s="34"/>
      <c r="GVB238" s="34"/>
      <c r="GVC238" s="34"/>
      <c r="GVD238" s="34"/>
      <c r="GVE238" s="34"/>
      <c r="GVF238" s="34"/>
      <c r="GVG238" s="34"/>
      <c r="GVH238" s="34"/>
      <c r="GVI238" s="34"/>
      <c r="GVJ238" s="34"/>
      <c r="GVK238" s="34"/>
      <c r="GVL238" s="34"/>
      <c r="GVM238" s="34"/>
      <c r="GVN238" s="34"/>
      <c r="GVO238" s="34"/>
      <c r="GVP238" s="34"/>
      <c r="GVQ238" s="34"/>
      <c r="GVR238" s="34"/>
      <c r="GVS238" s="34"/>
      <c r="GVT238" s="34"/>
      <c r="GVU238" s="34"/>
      <c r="GVV238" s="34"/>
      <c r="GVW238" s="34"/>
      <c r="GVX238" s="34"/>
      <c r="GVY238" s="34"/>
      <c r="GVZ238" s="34"/>
      <c r="GWA238" s="34"/>
      <c r="GWB238" s="34"/>
      <c r="GWC238" s="34"/>
      <c r="GWD238" s="34"/>
      <c r="GWE238" s="34"/>
      <c r="GWF238" s="34"/>
      <c r="GWG238" s="34"/>
      <c r="GWH238" s="34"/>
      <c r="GWI238" s="34"/>
      <c r="GWJ238" s="34"/>
      <c r="GWK238" s="34"/>
      <c r="GWL238" s="34"/>
      <c r="GWM238" s="34"/>
      <c r="GWN238" s="34"/>
      <c r="GWO238" s="34"/>
      <c r="GWP238" s="34"/>
      <c r="GWQ238" s="34"/>
      <c r="GWR238" s="34"/>
      <c r="GWS238" s="34"/>
      <c r="GWT238" s="34"/>
      <c r="GWU238" s="34"/>
      <c r="GWV238" s="34"/>
      <c r="GWW238" s="34"/>
      <c r="GWX238" s="34"/>
      <c r="GWY238" s="34"/>
      <c r="GWZ238" s="34"/>
      <c r="GXA238" s="34"/>
      <c r="GXB238" s="34"/>
      <c r="GXC238" s="34"/>
      <c r="GXD238" s="34"/>
      <c r="GXE238" s="34"/>
      <c r="GXF238" s="34"/>
      <c r="GXG238" s="34"/>
      <c r="GXH238" s="34"/>
      <c r="GXI238" s="34"/>
      <c r="GXJ238" s="34"/>
      <c r="GXK238" s="34"/>
      <c r="GXL238" s="34"/>
      <c r="GXM238" s="34"/>
      <c r="GXN238" s="34"/>
      <c r="GXO238" s="34"/>
      <c r="GXP238" s="34"/>
      <c r="GXQ238" s="34"/>
      <c r="GXR238" s="34"/>
      <c r="GXS238" s="34"/>
      <c r="GXT238" s="34"/>
      <c r="GXU238" s="34"/>
      <c r="GXV238" s="34"/>
      <c r="GXW238" s="34"/>
      <c r="GXX238" s="34"/>
      <c r="GXY238" s="34"/>
      <c r="GXZ238" s="34"/>
      <c r="GYA238" s="34"/>
      <c r="GYB238" s="34"/>
      <c r="GYC238" s="34"/>
      <c r="GYD238" s="34"/>
      <c r="GYE238" s="34"/>
      <c r="GYF238" s="34"/>
      <c r="GYG238" s="34"/>
      <c r="GYH238" s="34"/>
      <c r="GYI238" s="34"/>
      <c r="GYJ238" s="34"/>
      <c r="GYK238" s="34"/>
      <c r="GYL238" s="34"/>
      <c r="GYM238" s="34"/>
      <c r="GYN238" s="34"/>
      <c r="GYO238" s="34"/>
      <c r="GYP238" s="34"/>
      <c r="GYQ238" s="34"/>
      <c r="GYR238" s="34"/>
      <c r="GYS238" s="34"/>
      <c r="GYT238" s="34"/>
      <c r="GYU238" s="34"/>
      <c r="GYV238" s="34"/>
      <c r="GYW238" s="34"/>
      <c r="GYX238" s="34"/>
      <c r="GYY238" s="34"/>
      <c r="GYZ238" s="34"/>
      <c r="GZA238" s="34"/>
      <c r="GZB238" s="34"/>
      <c r="GZC238" s="34"/>
      <c r="GZD238" s="34"/>
      <c r="GZE238" s="34"/>
      <c r="GZF238" s="34"/>
      <c r="GZG238" s="34"/>
      <c r="GZH238" s="34"/>
      <c r="GZI238" s="34"/>
      <c r="GZJ238" s="34"/>
      <c r="GZK238" s="34"/>
      <c r="GZL238" s="34"/>
      <c r="GZM238" s="34"/>
      <c r="GZN238" s="34"/>
      <c r="GZO238" s="34"/>
      <c r="GZP238" s="34"/>
      <c r="GZQ238" s="34"/>
      <c r="GZR238" s="34"/>
      <c r="GZS238" s="34"/>
      <c r="GZT238" s="34"/>
      <c r="GZU238" s="34"/>
      <c r="GZV238" s="34"/>
      <c r="GZW238" s="34"/>
      <c r="GZX238" s="34"/>
      <c r="GZY238" s="34"/>
      <c r="GZZ238" s="34"/>
      <c r="HAA238" s="34"/>
      <c r="HAB238" s="34"/>
      <c r="HAC238" s="34"/>
      <c r="HAD238" s="34"/>
      <c r="HAE238" s="34"/>
      <c r="HAF238" s="34"/>
      <c r="HAG238" s="34"/>
      <c r="HAH238" s="34"/>
      <c r="HAI238" s="34"/>
      <c r="HAJ238" s="34"/>
      <c r="HAK238" s="34"/>
      <c r="HAL238" s="34"/>
      <c r="HAM238" s="34"/>
      <c r="HAN238" s="34"/>
      <c r="HAO238" s="34"/>
      <c r="HAP238" s="34"/>
      <c r="HAQ238" s="34"/>
      <c r="HAR238" s="34"/>
      <c r="HAS238" s="34"/>
      <c r="HAT238" s="34"/>
      <c r="HAU238" s="34"/>
      <c r="HAV238" s="34"/>
      <c r="HAW238" s="34"/>
      <c r="HAX238" s="34"/>
      <c r="HAY238" s="34"/>
      <c r="HAZ238" s="34"/>
      <c r="HBA238" s="34"/>
      <c r="HBB238" s="34"/>
      <c r="HBC238" s="34"/>
      <c r="HBD238" s="34"/>
      <c r="HBE238" s="34"/>
      <c r="HBF238" s="34"/>
      <c r="HBG238" s="34"/>
      <c r="HBH238" s="34"/>
      <c r="HBI238" s="34"/>
      <c r="HBJ238" s="34"/>
      <c r="HBK238" s="34"/>
      <c r="HBL238" s="34"/>
      <c r="HBM238" s="34"/>
      <c r="HBN238" s="34"/>
      <c r="HBO238" s="34"/>
      <c r="HBP238" s="34"/>
      <c r="HBQ238" s="34"/>
      <c r="HBR238" s="34"/>
      <c r="HBS238" s="34"/>
      <c r="HBT238" s="34"/>
      <c r="HBU238" s="34"/>
      <c r="HBV238" s="34"/>
      <c r="HBW238" s="34"/>
      <c r="HBX238" s="34"/>
      <c r="HBY238" s="34"/>
      <c r="HBZ238" s="34"/>
      <c r="HCA238" s="34"/>
      <c r="HCB238" s="34"/>
      <c r="HCC238" s="34"/>
      <c r="HCD238" s="34"/>
      <c r="HCE238" s="34"/>
      <c r="HCF238" s="34"/>
      <c r="HCG238" s="34"/>
      <c r="HCH238" s="34"/>
      <c r="HCI238" s="34"/>
      <c r="HCJ238" s="34"/>
      <c r="HCK238" s="34"/>
      <c r="HCL238" s="34"/>
      <c r="HCM238" s="34"/>
      <c r="HCN238" s="34"/>
      <c r="HCO238" s="34"/>
      <c r="HCP238" s="34"/>
      <c r="HCQ238" s="34"/>
      <c r="HCR238" s="34"/>
      <c r="HCS238" s="34"/>
      <c r="HCT238" s="34"/>
      <c r="HCU238" s="34"/>
      <c r="HCV238" s="34"/>
      <c r="HCW238" s="34"/>
      <c r="HCX238" s="34"/>
      <c r="HCY238" s="34"/>
      <c r="HCZ238" s="34"/>
      <c r="HDA238" s="34"/>
      <c r="HDB238" s="34"/>
      <c r="HDC238" s="34"/>
      <c r="HDD238" s="34"/>
      <c r="HDE238" s="34"/>
      <c r="HDF238" s="34"/>
      <c r="HDG238" s="34"/>
      <c r="HDH238" s="34"/>
      <c r="HDI238" s="34"/>
      <c r="HDJ238" s="34"/>
      <c r="HDK238" s="34"/>
      <c r="HDL238" s="34"/>
      <c r="HDM238" s="34"/>
      <c r="HDN238" s="34"/>
      <c r="HDO238" s="34"/>
      <c r="HDP238" s="34"/>
      <c r="HDQ238" s="34"/>
      <c r="HDR238" s="34"/>
      <c r="HDS238" s="34"/>
      <c r="HDT238" s="34"/>
      <c r="HDU238" s="34"/>
      <c r="HDV238" s="34"/>
      <c r="HDW238" s="34"/>
      <c r="HDX238" s="34"/>
      <c r="HDY238" s="34"/>
      <c r="HDZ238" s="34"/>
      <c r="HEA238" s="34"/>
      <c r="HEB238" s="34"/>
      <c r="HEC238" s="34"/>
      <c r="HED238" s="34"/>
      <c r="HEE238" s="34"/>
      <c r="HEF238" s="34"/>
      <c r="HEG238" s="34"/>
      <c r="HEH238" s="34"/>
      <c r="HEI238" s="34"/>
      <c r="HEJ238" s="34"/>
      <c r="HEK238" s="34"/>
      <c r="HEL238" s="34"/>
      <c r="HEM238" s="34"/>
      <c r="HEN238" s="34"/>
      <c r="HEO238" s="34"/>
      <c r="HEP238" s="34"/>
      <c r="HEQ238" s="34"/>
      <c r="HER238" s="34"/>
      <c r="HES238" s="34"/>
      <c r="HET238" s="34"/>
      <c r="HEU238" s="34"/>
      <c r="HEV238" s="34"/>
      <c r="HEW238" s="34"/>
      <c r="HEX238" s="34"/>
      <c r="HEY238" s="34"/>
      <c r="HEZ238" s="34"/>
      <c r="HFA238" s="34"/>
      <c r="HFB238" s="34"/>
      <c r="HFC238" s="34"/>
      <c r="HFD238" s="34"/>
      <c r="HFE238" s="34"/>
      <c r="HFF238" s="34"/>
      <c r="HFG238" s="34"/>
      <c r="HFH238" s="34"/>
      <c r="HFI238" s="34"/>
      <c r="HFJ238" s="34"/>
      <c r="HFK238" s="34"/>
      <c r="HFL238" s="34"/>
      <c r="HFM238" s="34"/>
      <c r="HFN238" s="34"/>
      <c r="HFO238" s="34"/>
      <c r="HFP238" s="34"/>
      <c r="HFQ238" s="34"/>
      <c r="HFR238" s="34"/>
      <c r="HFS238" s="34"/>
      <c r="HFT238" s="34"/>
      <c r="HFU238" s="34"/>
      <c r="HFV238" s="34"/>
      <c r="HFW238" s="34"/>
      <c r="HFX238" s="34"/>
      <c r="HFY238" s="34"/>
      <c r="HFZ238" s="34"/>
      <c r="HGA238" s="34"/>
      <c r="HGB238" s="34"/>
      <c r="HGC238" s="34"/>
      <c r="HGD238" s="34"/>
      <c r="HGE238" s="34"/>
      <c r="HGF238" s="34"/>
      <c r="HGG238" s="34"/>
      <c r="HGH238" s="34"/>
      <c r="HGI238" s="34"/>
      <c r="HGJ238" s="34"/>
      <c r="HGK238" s="34"/>
      <c r="HGL238" s="34"/>
      <c r="HGM238" s="34"/>
      <c r="HGN238" s="34"/>
      <c r="HGO238" s="34"/>
      <c r="HGP238" s="34"/>
      <c r="HGQ238" s="34"/>
      <c r="HGR238" s="34"/>
      <c r="HGS238" s="34"/>
      <c r="HGT238" s="34"/>
      <c r="HGU238" s="34"/>
      <c r="HGV238" s="34"/>
      <c r="HGW238" s="34"/>
      <c r="HGX238" s="34"/>
      <c r="HGY238" s="34"/>
      <c r="HGZ238" s="34"/>
      <c r="HHA238" s="34"/>
      <c r="HHB238" s="34"/>
      <c r="HHC238" s="34"/>
      <c r="HHD238" s="34"/>
      <c r="HHE238" s="34"/>
      <c r="HHF238" s="34"/>
      <c r="HHG238" s="34"/>
      <c r="HHH238" s="34"/>
      <c r="HHI238" s="34"/>
      <c r="HHJ238" s="34"/>
      <c r="HHK238" s="34"/>
      <c r="HHL238" s="34"/>
      <c r="HHM238" s="34"/>
      <c r="HHN238" s="34"/>
      <c r="HHO238" s="34"/>
      <c r="HHP238" s="34"/>
      <c r="HHQ238" s="34"/>
      <c r="HHR238" s="34"/>
      <c r="HHS238" s="34"/>
      <c r="HHT238" s="34"/>
      <c r="HHU238" s="34"/>
      <c r="HHV238" s="34"/>
      <c r="HHW238" s="34"/>
      <c r="HHX238" s="34"/>
      <c r="HHY238" s="34"/>
      <c r="HHZ238" s="34"/>
      <c r="HIA238" s="34"/>
      <c r="HIB238" s="34"/>
      <c r="HIC238" s="34"/>
      <c r="HID238" s="34"/>
      <c r="HIE238" s="34"/>
      <c r="HIF238" s="34"/>
      <c r="HIG238" s="34"/>
      <c r="HIH238" s="34"/>
      <c r="HII238" s="34"/>
      <c r="HIJ238" s="34"/>
      <c r="HIK238" s="34"/>
      <c r="HIL238" s="34"/>
      <c r="HIM238" s="34"/>
      <c r="HIN238" s="34"/>
      <c r="HIO238" s="34"/>
      <c r="HIP238" s="34"/>
      <c r="HIQ238" s="34"/>
      <c r="HIR238" s="34"/>
      <c r="HIS238" s="34"/>
      <c r="HIT238" s="34"/>
      <c r="HIU238" s="34"/>
      <c r="HIV238" s="34"/>
      <c r="HIW238" s="34"/>
      <c r="HIX238" s="34"/>
      <c r="HIY238" s="34"/>
      <c r="HIZ238" s="34"/>
      <c r="HJA238" s="34"/>
      <c r="HJB238" s="34"/>
      <c r="HJC238" s="34"/>
      <c r="HJD238" s="34"/>
      <c r="HJE238" s="34"/>
      <c r="HJF238" s="34"/>
      <c r="HJG238" s="34"/>
      <c r="HJH238" s="34"/>
      <c r="HJI238" s="34"/>
      <c r="HJJ238" s="34"/>
      <c r="HJK238" s="34"/>
      <c r="HJL238" s="34"/>
      <c r="HJM238" s="34"/>
      <c r="HJN238" s="34"/>
      <c r="HJO238" s="34"/>
      <c r="HJP238" s="34"/>
      <c r="HJQ238" s="34"/>
      <c r="HJR238" s="34"/>
      <c r="HJS238" s="34"/>
      <c r="HJT238" s="34"/>
      <c r="HJU238" s="34"/>
      <c r="HJV238" s="34"/>
      <c r="HJW238" s="34"/>
      <c r="HJX238" s="34"/>
      <c r="HJY238" s="34"/>
      <c r="HJZ238" s="34"/>
      <c r="HKA238" s="34"/>
      <c r="HKB238" s="34"/>
      <c r="HKC238" s="34"/>
      <c r="HKD238" s="34"/>
      <c r="HKE238" s="34"/>
      <c r="HKF238" s="34"/>
      <c r="HKG238" s="34"/>
      <c r="HKH238" s="34"/>
      <c r="HKI238" s="34"/>
      <c r="HKJ238" s="34"/>
      <c r="HKK238" s="34"/>
      <c r="HKL238" s="34"/>
      <c r="HKM238" s="34"/>
      <c r="HKN238" s="34"/>
      <c r="HKO238" s="34"/>
      <c r="HKP238" s="34"/>
      <c r="HKQ238" s="34"/>
      <c r="HKR238" s="34"/>
      <c r="HKS238" s="34"/>
      <c r="HKT238" s="34"/>
      <c r="HKU238" s="34"/>
      <c r="HKV238" s="34"/>
      <c r="HKW238" s="34"/>
      <c r="HKX238" s="34"/>
      <c r="HKY238" s="34"/>
      <c r="HKZ238" s="34"/>
      <c r="HLA238" s="34"/>
      <c r="HLB238" s="34"/>
      <c r="HLC238" s="34"/>
      <c r="HLD238" s="34"/>
      <c r="HLE238" s="34"/>
      <c r="HLF238" s="34"/>
      <c r="HLG238" s="34"/>
      <c r="HLH238" s="34"/>
      <c r="HLI238" s="34"/>
      <c r="HLJ238" s="34"/>
      <c r="HLK238" s="34"/>
      <c r="HLL238" s="34"/>
      <c r="HLM238" s="34"/>
      <c r="HLN238" s="34"/>
      <c r="HLO238" s="34"/>
      <c r="HLP238" s="34"/>
      <c r="HLQ238" s="34"/>
      <c r="HLR238" s="34"/>
      <c r="HLS238" s="34"/>
      <c r="HLT238" s="34"/>
      <c r="HLU238" s="34"/>
      <c r="HLV238" s="34"/>
      <c r="HLW238" s="34"/>
      <c r="HLX238" s="34"/>
      <c r="HLY238" s="34"/>
      <c r="HLZ238" s="34"/>
      <c r="HMA238" s="34"/>
      <c r="HMB238" s="34"/>
      <c r="HMC238" s="34"/>
      <c r="HMD238" s="34"/>
      <c r="HME238" s="34"/>
      <c r="HMF238" s="34"/>
      <c r="HMG238" s="34"/>
      <c r="HMH238" s="34"/>
      <c r="HMI238" s="34"/>
      <c r="HMJ238" s="34"/>
      <c r="HMK238" s="34"/>
      <c r="HML238" s="34"/>
      <c r="HMM238" s="34"/>
      <c r="HMN238" s="34"/>
      <c r="HMO238" s="34"/>
      <c r="HMP238" s="34"/>
      <c r="HMQ238" s="34"/>
      <c r="HMR238" s="34"/>
      <c r="HMS238" s="34"/>
      <c r="HMT238" s="34"/>
      <c r="HMU238" s="34"/>
      <c r="HMV238" s="34"/>
      <c r="HMW238" s="34"/>
      <c r="HMX238" s="34"/>
      <c r="HMY238" s="34"/>
      <c r="HMZ238" s="34"/>
      <c r="HNA238" s="34"/>
      <c r="HNB238" s="34"/>
      <c r="HNC238" s="34"/>
      <c r="HND238" s="34"/>
      <c r="HNE238" s="34"/>
      <c r="HNF238" s="34"/>
      <c r="HNG238" s="34"/>
      <c r="HNH238" s="34"/>
      <c r="HNI238" s="34"/>
      <c r="HNJ238" s="34"/>
      <c r="HNK238" s="34"/>
      <c r="HNL238" s="34"/>
      <c r="HNM238" s="34"/>
      <c r="HNN238" s="34"/>
      <c r="HNO238" s="34"/>
      <c r="HNP238" s="34"/>
      <c r="HNQ238" s="34"/>
      <c r="HNR238" s="34"/>
      <c r="HNS238" s="34"/>
      <c r="HNT238" s="34"/>
      <c r="HNU238" s="34"/>
      <c r="HNV238" s="34"/>
      <c r="HNW238" s="34"/>
      <c r="HNX238" s="34"/>
      <c r="HNY238" s="34"/>
      <c r="HNZ238" s="34"/>
      <c r="HOA238" s="34"/>
      <c r="HOB238" s="34"/>
      <c r="HOC238" s="34"/>
      <c r="HOD238" s="34"/>
      <c r="HOE238" s="34"/>
      <c r="HOF238" s="34"/>
      <c r="HOG238" s="34"/>
      <c r="HOH238" s="34"/>
      <c r="HOI238" s="34"/>
      <c r="HOJ238" s="34"/>
      <c r="HOK238" s="34"/>
      <c r="HOL238" s="34"/>
      <c r="HOM238" s="34"/>
      <c r="HON238" s="34"/>
      <c r="HOO238" s="34"/>
      <c r="HOP238" s="34"/>
      <c r="HOQ238" s="34"/>
      <c r="HOR238" s="34"/>
      <c r="HOS238" s="34"/>
      <c r="HOT238" s="34"/>
      <c r="HOU238" s="34"/>
      <c r="HOV238" s="34"/>
      <c r="HOW238" s="34"/>
      <c r="HOX238" s="34"/>
      <c r="HOY238" s="34"/>
      <c r="HOZ238" s="34"/>
      <c r="HPA238" s="34"/>
      <c r="HPB238" s="34"/>
      <c r="HPC238" s="34"/>
      <c r="HPD238" s="34"/>
      <c r="HPE238" s="34"/>
      <c r="HPF238" s="34"/>
      <c r="HPG238" s="34"/>
      <c r="HPH238" s="34"/>
      <c r="HPI238" s="34"/>
      <c r="HPJ238" s="34"/>
      <c r="HPK238" s="34"/>
      <c r="HPL238" s="34"/>
      <c r="HPM238" s="34"/>
      <c r="HPN238" s="34"/>
      <c r="HPO238" s="34"/>
      <c r="HPP238" s="34"/>
      <c r="HPQ238" s="34"/>
      <c r="HPR238" s="34"/>
      <c r="HPS238" s="34"/>
      <c r="HPT238" s="34"/>
      <c r="HPU238" s="34"/>
      <c r="HPV238" s="34"/>
      <c r="HPW238" s="34"/>
      <c r="HPX238" s="34"/>
      <c r="HPY238" s="34"/>
      <c r="HPZ238" s="34"/>
      <c r="HQA238" s="34"/>
      <c r="HQB238" s="34"/>
      <c r="HQC238" s="34"/>
      <c r="HQD238" s="34"/>
      <c r="HQE238" s="34"/>
      <c r="HQF238" s="34"/>
      <c r="HQG238" s="34"/>
      <c r="HQH238" s="34"/>
      <c r="HQI238" s="34"/>
      <c r="HQJ238" s="34"/>
      <c r="HQK238" s="34"/>
      <c r="HQL238" s="34"/>
      <c r="HQM238" s="34"/>
      <c r="HQN238" s="34"/>
      <c r="HQO238" s="34"/>
      <c r="HQP238" s="34"/>
      <c r="HQQ238" s="34"/>
      <c r="HQR238" s="34"/>
      <c r="HQS238" s="34"/>
      <c r="HQT238" s="34"/>
      <c r="HQU238" s="34"/>
      <c r="HQV238" s="34"/>
      <c r="HQW238" s="34"/>
      <c r="HQX238" s="34"/>
      <c r="HQY238" s="34"/>
      <c r="HQZ238" s="34"/>
      <c r="HRA238" s="34"/>
      <c r="HRB238" s="34"/>
      <c r="HRC238" s="34"/>
      <c r="HRD238" s="34"/>
      <c r="HRE238" s="34"/>
      <c r="HRF238" s="34"/>
      <c r="HRG238" s="34"/>
      <c r="HRH238" s="34"/>
      <c r="HRI238" s="34"/>
      <c r="HRJ238" s="34"/>
      <c r="HRK238" s="34"/>
      <c r="HRL238" s="34"/>
      <c r="HRM238" s="34"/>
      <c r="HRN238" s="34"/>
      <c r="HRO238" s="34"/>
      <c r="HRP238" s="34"/>
      <c r="HRQ238" s="34"/>
      <c r="HRR238" s="34"/>
      <c r="HRS238" s="34"/>
      <c r="HRT238" s="34"/>
      <c r="HRU238" s="34"/>
      <c r="HRV238" s="34"/>
      <c r="HRW238" s="34"/>
      <c r="HRX238" s="34"/>
      <c r="HRY238" s="34"/>
      <c r="HRZ238" s="34"/>
      <c r="HSA238" s="34"/>
      <c r="HSB238" s="34"/>
      <c r="HSC238" s="34"/>
      <c r="HSD238" s="34"/>
      <c r="HSE238" s="34"/>
      <c r="HSF238" s="34"/>
      <c r="HSG238" s="34"/>
      <c r="HSH238" s="34"/>
      <c r="HSI238" s="34"/>
      <c r="HSJ238" s="34"/>
      <c r="HSK238" s="34"/>
      <c r="HSL238" s="34"/>
      <c r="HSM238" s="34"/>
      <c r="HSN238" s="34"/>
      <c r="HSO238" s="34"/>
      <c r="HSP238" s="34"/>
      <c r="HSQ238" s="34"/>
      <c r="HSR238" s="34"/>
      <c r="HSS238" s="34"/>
      <c r="HST238" s="34"/>
      <c r="HSU238" s="34"/>
      <c r="HSV238" s="34"/>
      <c r="HSW238" s="34"/>
      <c r="HSX238" s="34"/>
      <c r="HSY238" s="34"/>
      <c r="HSZ238" s="34"/>
      <c r="HTA238" s="34"/>
      <c r="HTB238" s="34"/>
      <c r="HTC238" s="34"/>
      <c r="HTD238" s="34"/>
      <c r="HTE238" s="34"/>
      <c r="HTF238" s="34"/>
      <c r="HTG238" s="34"/>
      <c r="HTH238" s="34"/>
      <c r="HTI238" s="34"/>
      <c r="HTJ238" s="34"/>
      <c r="HTK238" s="34"/>
      <c r="HTL238" s="34"/>
      <c r="HTM238" s="34"/>
      <c r="HTN238" s="34"/>
      <c r="HTO238" s="34"/>
      <c r="HTP238" s="34"/>
      <c r="HTQ238" s="34"/>
      <c r="HTR238" s="34"/>
      <c r="HTS238" s="34"/>
      <c r="HTT238" s="34"/>
      <c r="HTU238" s="34"/>
      <c r="HTV238" s="34"/>
      <c r="HTW238" s="34"/>
      <c r="HTX238" s="34"/>
      <c r="HTY238" s="34"/>
      <c r="HTZ238" s="34"/>
      <c r="HUA238" s="34"/>
      <c r="HUB238" s="34"/>
      <c r="HUC238" s="34"/>
      <c r="HUD238" s="34"/>
      <c r="HUE238" s="34"/>
      <c r="HUF238" s="34"/>
      <c r="HUG238" s="34"/>
      <c r="HUH238" s="34"/>
      <c r="HUI238" s="34"/>
      <c r="HUJ238" s="34"/>
      <c r="HUK238" s="34"/>
      <c r="HUL238" s="34"/>
      <c r="HUM238" s="34"/>
      <c r="HUN238" s="34"/>
      <c r="HUO238" s="34"/>
      <c r="HUP238" s="34"/>
      <c r="HUQ238" s="34"/>
      <c r="HUR238" s="34"/>
      <c r="HUS238" s="34"/>
      <c r="HUT238" s="34"/>
      <c r="HUU238" s="34"/>
      <c r="HUV238" s="34"/>
      <c r="HUW238" s="34"/>
      <c r="HUX238" s="34"/>
      <c r="HUY238" s="34"/>
      <c r="HUZ238" s="34"/>
      <c r="HVA238" s="34"/>
      <c r="HVB238" s="34"/>
      <c r="HVC238" s="34"/>
      <c r="HVD238" s="34"/>
      <c r="HVE238" s="34"/>
      <c r="HVF238" s="34"/>
      <c r="HVG238" s="34"/>
      <c r="HVH238" s="34"/>
      <c r="HVI238" s="34"/>
      <c r="HVJ238" s="34"/>
      <c r="HVK238" s="34"/>
      <c r="HVL238" s="34"/>
      <c r="HVM238" s="34"/>
      <c r="HVN238" s="34"/>
      <c r="HVO238" s="34"/>
      <c r="HVP238" s="34"/>
      <c r="HVQ238" s="34"/>
      <c r="HVR238" s="34"/>
      <c r="HVS238" s="34"/>
      <c r="HVT238" s="34"/>
      <c r="HVU238" s="34"/>
      <c r="HVV238" s="34"/>
      <c r="HVW238" s="34"/>
      <c r="HVX238" s="34"/>
      <c r="HVY238" s="34"/>
      <c r="HVZ238" s="34"/>
      <c r="HWA238" s="34"/>
      <c r="HWB238" s="34"/>
      <c r="HWC238" s="34"/>
      <c r="HWD238" s="34"/>
      <c r="HWE238" s="34"/>
      <c r="HWF238" s="34"/>
      <c r="HWG238" s="34"/>
      <c r="HWH238" s="34"/>
      <c r="HWI238" s="34"/>
      <c r="HWJ238" s="34"/>
      <c r="HWK238" s="34"/>
      <c r="HWL238" s="34"/>
      <c r="HWM238" s="34"/>
      <c r="HWN238" s="34"/>
      <c r="HWO238" s="34"/>
      <c r="HWP238" s="34"/>
      <c r="HWQ238" s="34"/>
      <c r="HWR238" s="34"/>
      <c r="HWS238" s="34"/>
      <c r="HWT238" s="34"/>
      <c r="HWU238" s="34"/>
      <c r="HWV238" s="34"/>
      <c r="HWW238" s="34"/>
      <c r="HWX238" s="34"/>
      <c r="HWY238" s="34"/>
      <c r="HWZ238" s="34"/>
      <c r="HXA238" s="34"/>
      <c r="HXB238" s="34"/>
      <c r="HXC238" s="34"/>
      <c r="HXD238" s="34"/>
      <c r="HXE238" s="34"/>
      <c r="HXF238" s="34"/>
      <c r="HXG238" s="34"/>
      <c r="HXH238" s="34"/>
      <c r="HXI238" s="34"/>
      <c r="HXJ238" s="34"/>
      <c r="HXK238" s="34"/>
      <c r="HXL238" s="34"/>
      <c r="HXM238" s="34"/>
      <c r="HXN238" s="34"/>
      <c r="HXO238" s="34"/>
      <c r="HXP238" s="34"/>
      <c r="HXQ238" s="34"/>
      <c r="HXR238" s="34"/>
      <c r="HXS238" s="34"/>
      <c r="HXT238" s="34"/>
      <c r="HXU238" s="34"/>
      <c r="HXV238" s="34"/>
      <c r="HXW238" s="34"/>
      <c r="HXX238" s="34"/>
      <c r="HXY238" s="34"/>
      <c r="HXZ238" s="34"/>
      <c r="HYA238" s="34"/>
      <c r="HYB238" s="34"/>
      <c r="HYC238" s="34"/>
      <c r="HYD238" s="34"/>
      <c r="HYE238" s="34"/>
      <c r="HYF238" s="34"/>
      <c r="HYG238" s="34"/>
      <c r="HYH238" s="34"/>
      <c r="HYI238" s="34"/>
      <c r="HYJ238" s="34"/>
      <c r="HYK238" s="34"/>
      <c r="HYL238" s="34"/>
      <c r="HYM238" s="34"/>
      <c r="HYN238" s="34"/>
      <c r="HYO238" s="34"/>
      <c r="HYP238" s="34"/>
      <c r="HYQ238" s="34"/>
      <c r="HYR238" s="34"/>
      <c r="HYS238" s="34"/>
      <c r="HYT238" s="34"/>
      <c r="HYU238" s="34"/>
      <c r="HYV238" s="34"/>
      <c r="HYW238" s="34"/>
      <c r="HYX238" s="34"/>
      <c r="HYY238" s="34"/>
      <c r="HYZ238" s="34"/>
      <c r="HZA238" s="34"/>
      <c r="HZB238" s="34"/>
      <c r="HZC238" s="34"/>
      <c r="HZD238" s="34"/>
      <c r="HZE238" s="34"/>
      <c r="HZF238" s="34"/>
      <c r="HZG238" s="34"/>
      <c r="HZH238" s="34"/>
      <c r="HZI238" s="34"/>
      <c r="HZJ238" s="34"/>
      <c r="HZK238" s="34"/>
      <c r="HZL238" s="34"/>
      <c r="HZM238" s="34"/>
      <c r="HZN238" s="34"/>
      <c r="HZO238" s="34"/>
      <c r="HZP238" s="34"/>
      <c r="HZQ238" s="34"/>
      <c r="HZR238" s="34"/>
      <c r="HZS238" s="34"/>
      <c r="HZT238" s="34"/>
      <c r="HZU238" s="34"/>
      <c r="HZV238" s="34"/>
      <c r="HZW238" s="34"/>
      <c r="HZX238" s="34"/>
      <c r="HZY238" s="34"/>
      <c r="HZZ238" s="34"/>
      <c r="IAA238" s="34"/>
      <c r="IAB238" s="34"/>
      <c r="IAC238" s="34"/>
      <c r="IAD238" s="34"/>
      <c r="IAE238" s="34"/>
      <c r="IAF238" s="34"/>
      <c r="IAG238" s="34"/>
      <c r="IAH238" s="34"/>
      <c r="IAI238" s="34"/>
      <c r="IAJ238" s="34"/>
      <c r="IAK238" s="34"/>
      <c r="IAL238" s="34"/>
      <c r="IAM238" s="34"/>
      <c r="IAN238" s="34"/>
      <c r="IAO238" s="34"/>
      <c r="IAP238" s="34"/>
      <c r="IAQ238" s="34"/>
      <c r="IAR238" s="34"/>
      <c r="IAS238" s="34"/>
      <c r="IAT238" s="34"/>
      <c r="IAU238" s="34"/>
      <c r="IAV238" s="34"/>
      <c r="IAW238" s="34"/>
      <c r="IAX238" s="34"/>
      <c r="IAY238" s="34"/>
      <c r="IAZ238" s="34"/>
      <c r="IBA238" s="34"/>
      <c r="IBB238" s="34"/>
      <c r="IBC238" s="34"/>
      <c r="IBD238" s="34"/>
      <c r="IBE238" s="34"/>
      <c r="IBF238" s="34"/>
      <c r="IBG238" s="34"/>
      <c r="IBH238" s="34"/>
      <c r="IBI238" s="34"/>
      <c r="IBJ238" s="34"/>
      <c r="IBK238" s="34"/>
      <c r="IBL238" s="34"/>
      <c r="IBM238" s="34"/>
      <c r="IBN238" s="34"/>
      <c r="IBO238" s="34"/>
      <c r="IBP238" s="34"/>
      <c r="IBQ238" s="34"/>
      <c r="IBR238" s="34"/>
      <c r="IBS238" s="34"/>
      <c r="IBT238" s="34"/>
      <c r="IBU238" s="34"/>
      <c r="IBV238" s="34"/>
      <c r="IBW238" s="34"/>
      <c r="IBX238" s="34"/>
      <c r="IBY238" s="34"/>
      <c r="IBZ238" s="34"/>
      <c r="ICA238" s="34"/>
      <c r="ICB238" s="34"/>
      <c r="ICC238" s="34"/>
      <c r="ICD238" s="34"/>
      <c r="ICE238" s="34"/>
      <c r="ICF238" s="34"/>
      <c r="ICG238" s="34"/>
      <c r="ICH238" s="34"/>
      <c r="ICI238" s="34"/>
      <c r="ICJ238" s="34"/>
      <c r="ICK238" s="34"/>
      <c r="ICL238" s="34"/>
      <c r="ICM238" s="34"/>
      <c r="ICN238" s="34"/>
      <c r="ICO238" s="34"/>
      <c r="ICP238" s="34"/>
      <c r="ICQ238" s="34"/>
      <c r="ICR238" s="34"/>
      <c r="ICS238" s="34"/>
      <c r="ICT238" s="34"/>
      <c r="ICU238" s="34"/>
      <c r="ICV238" s="34"/>
      <c r="ICW238" s="34"/>
      <c r="ICX238" s="34"/>
      <c r="ICY238" s="34"/>
      <c r="ICZ238" s="34"/>
      <c r="IDA238" s="34"/>
      <c r="IDB238" s="34"/>
      <c r="IDC238" s="34"/>
      <c r="IDD238" s="34"/>
      <c r="IDE238" s="34"/>
      <c r="IDF238" s="34"/>
      <c r="IDG238" s="34"/>
      <c r="IDH238" s="34"/>
      <c r="IDI238" s="34"/>
      <c r="IDJ238" s="34"/>
      <c r="IDK238" s="34"/>
      <c r="IDL238" s="34"/>
      <c r="IDM238" s="34"/>
      <c r="IDN238" s="34"/>
      <c r="IDO238" s="34"/>
      <c r="IDP238" s="34"/>
      <c r="IDQ238" s="34"/>
      <c r="IDR238" s="34"/>
      <c r="IDS238" s="34"/>
      <c r="IDT238" s="34"/>
      <c r="IDU238" s="34"/>
      <c r="IDV238" s="34"/>
      <c r="IDW238" s="34"/>
      <c r="IDX238" s="34"/>
      <c r="IDY238" s="34"/>
      <c r="IDZ238" s="34"/>
      <c r="IEA238" s="34"/>
      <c r="IEB238" s="34"/>
      <c r="IEC238" s="34"/>
      <c r="IED238" s="34"/>
      <c r="IEE238" s="34"/>
      <c r="IEF238" s="34"/>
      <c r="IEG238" s="34"/>
      <c r="IEH238" s="34"/>
      <c r="IEI238" s="34"/>
      <c r="IEJ238" s="34"/>
      <c r="IEK238" s="34"/>
      <c r="IEL238" s="34"/>
      <c r="IEM238" s="34"/>
      <c r="IEN238" s="34"/>
      <c r="IEO238" s="34"/>
      <c r="IEP238" s="34"/>
      <c r="IEQ238" s="34"/>
      <c r="IER238" s="34"/>
      <c r="IES238" s="34"/>
      <c r="IET238" s="34"/>
      <c r="IEU238" s="34"/>
      <c r="IEV238" s="34"/>
      <c r="IEW238" s="34"/>
      <c r="IEX238" s="34"/>
      <c r="IEY238" s="34"/>
      <c r="IEZ238" s="34"/>
      <c r="IFA238" s="34"/>
      <c r="IFB238" s="34"/>
      <c r="IFC238" s="34"/>
      <c r="IFD238" s="34"/>
      <c r="IFE238" s="34"/>
      <c r="IFF238" s="34"/>
      <c r="IFG238" s="34"/>
      <c r="IFH238" s="34"/>
      <c r="IFI238" s="34"/>
      <c r="IFJ238" s="34"/>
      <c r="IFK238" s="34"/>
      <c r="IFL238" s="34"/>
      <c r="IFM238" s="34"/>
      <c r="IFN238" s="34"/>
      <c r="IFO238" s="34"/>
      <c r="IFP238" s="34"/>
      <c r="IFQ238" s="34"/>
      <c r="IFR238" s="34"/>
      <c r="IFS238" s="34"/>
      <c r="IFT238" s="34"/>
      <c r="IFU238" s="34"/>
      <c r="IFV238" s="34"/>
      <c r="IFW238" s="34"/>
      <c r="IFX238" s="34"/>
      <c r="IFY238" s="34"/>
      <c r="IFZ238" s="34"/>
      <c r="IGA238" s="34"/>
      <c r="IGB238" s="34"/>
      <c r="IGC238" s="34"/>
      <c r="IGD238" s="34"/>
      <c r="IGE238" s="34"/>
      <c r="IGF238" s="34"/>
      <c r="IGG238" s="34"/>
      <c r="IGH238" s="34"/>
      <c r="IGI238" s="34"/>
      <c r="IGJ238" s="34"/>
      <c r="IGK238" s="34"/>
      <c r="IGL238" s="34"/>
      <c r="IGM238" s="34"/>
      <c r="IGN238" s="34"/>
      <c r="IGO238" s="34"/>
      <c r="IGP238" s="34"/>
      <c r="IGQ238" s="34"/>
      <c r="IGR238" s="34"/>
      <c r="IGS238" s="34"/>
      <c r="IGT238" s="34"/>
      <c r="IGU238" s="34"/>
      <c r="IGV238" s="34"/>
      <c r="IGW238" s="34"/>
      <c r="IGX238" s="34"/>
      <c r="IGY238" s="34"/>
      <c r="IGZ238" s="34"/>
      <c r="IHA238" s="34"/>
      <c r="IHB238" s="34"/>
      <c r="IHC238" s="34"/>
      <c r="IHD238" s="34"/>
      <c r="IHE238" s="34"/>
      <c r="IHF238" s="34"/>
      <c r="IHG238" s="34"/>
      <c r="IHH238" s="34"/>
      <c r="IHI238" s="34"/>
      <c r="IHJ238" s="34"/>
      <c r="IHK238" s="34"/>
      <c r="IHL238" s="34"/>
      <c r="IHM238" s="34"/>
      <c r="IHN238" s="34"/>
      <c r="IHO238" s="34"/>
      <c r="IHP238" s="34"/>
      <c r="IHQ238" s="34"/>
      <c r="IHR238" s="34"/>
      <c r="IHS238" s="34"/>
      <c r="IHT238" s="34"/>
      <c r="IHU238" s="34"/>
      <c r="IHV238" s="34"/>
      <c r="IHW238" s="34"/>
      <c r="IHX238" s="34"/>
      <c r="IHY238" s="34"/>
      <c r="IHZ238" s="34"/>
      <c r="IIA238" s="34"/>
      <c r="IIB238" s="34"/>
      <c r="IIC238" s="34"/>
      <c r="IID238" s="34"/>
      <c r="IIE238" s="34"/>
      <c r="IIF238" s="34"/>
      <c r="IIG238" s="34"/>
      <c r="IIH238" s="34"/>
      <c r="III238" s="34"/>
      <c r="IIJ238" s="34"/>
      <c r="IIK238" s="34"/>
      <c r="IIL238" s="34"/>
      <c r="IIM238" s="34"/>
      <c r="IIN238" s="34"/>
      <c r="IIO238" s="34"/>
      <c r="IIP238" s="34"/>
      <c r="IIQ238" s="34"/>
      <c r="IIR238" s="34"/>
      <c r="IIS238" s="34"/>
      <c r="IIT238" s="34"/>
      <c r="IIU238" s="34"/>
      <c r="IIV238" s="34"/>
      <c r="IIW238" s="34"/>
      <c r="IIX238" s="34"/>
      <c r="IIY238" s="34"/>
      <c r="IIZ238" s="34"/>
      <c r="IJA238" s="34"/>
      <c r="IJB238" s="34"/>
      <c r="IJC238" s="34"/>
      <c r="IJD238" s="34"/>
      <c r="IJE238" s="34"/>
      <c r="IJF238" s="34"/>
      <c r="IJG238" s="34"/>
      <c r="IJH238" s="34"/>
      <c r="IJI238" s="34"/>
      <c r="IJJ238" s="34"/>
      <c r="IJK238" s="34"/>
      <c r="IJL238" s="34"/>
      <c r="IJM238" s="34"/>
      <c r="IJN238" s="34"/>
      <c r="IJO238" s="34"/>
      <c r="IJP238" s="34"/>
      <c r="IJQ238" s="34"/>
      <c r="IJR238" s="34"/>
      <c r="IJS238" s="34"/>
      <c r="IJT238" s="34"/>
      <c r="IJU238" s="34"/>
      <c r="IJV238" s="34"/>
      <c r="IJW238" s="34"/>
      <c r="IJX238" s="34"/>
      <c r="IJY238" s="34"/>
      <c r="IJZ238" s="34"/>
      <c r="IKA238" s="34"/>
      <c r="IKB238" s="34"/>
      <c r="IKC238" s="34"/>
      <c r="IKD238" s="34"/>
      <c r="IKE238" s="34"/>
      <c r="IKF238" s="34"/>
      <c r="IKG238" s="34"/>
      <c r="IKH238" s="34"/>
      <c r="IKI238" s="34"/>
      <c r="IKJ238" s="34"/>
      <c r="IKK238" s="34"/>
      <c r="IKL238" s="34"/>
      <c r="IKM238" s="34"/>
      <c r="IKN238" s="34"/>
      <c r="IKO238" s="34"/>
      <c r="IKP238" s="34"/>
      <c r="IKQ238" s="34"/>
      <c r="IKR238" s="34"/>
      <c r="IKS238" s="34"/>
      <c r="IKT238" s="34"/>
      <c r="IKU238" s="34"/>
      <c r="IKV238" s="34"/>
      <c r="IKW238" s="34"/>
      <c r="IKX238" s="34"/>
      <c r="IKY238" s="34"/>
      <c r="IKZ238" s="34"/>
      <c r="ILA238" s="34"/>
      <c r="ILB238" s="34"/>
      <c r="ILC238" s="34"/>
      <c r="ILD238" s="34"/>
      <c r="ILE238" s="34"/>
      <c r="ILF238" s="34"/>
      <c r="ILG238" s="34"/>
      <c r="ILH238" s="34"/>
      <c r="ILI238" s="34"/>
      <c r="ILJ238" s="34"/>
      <c r="ILK238" s="34"/>
      <c r="ILL238" s="34"/>
      <c r="ILM238" s="34"/>
      <c r="ILN238" s="34"/>
      <c r="ILO238" s="34"/>
      <c r="ILP238" s="34"/>
      <c r="ILQ238" s="34"/>
      <c r="ILR238" s="34"/>
      <c r="ILS238" s="34"/>
      <c r="ILT238" s="34"/>
      <c r="ILU238" s="34"/>
      <c r="ILV238" s="34"/>
      <c r="ILW238" s="34"/>
      <c r="ILX238" s="34"/>
      <c r="ILY238" s="34"/>
      <c r="ILZ238" s="34"/>
      <c r="IMA238" s="34"/>
      <c r="IMB238" s="34"/>
      <c r="IMC238" s="34"/>
      <c r="IMD238" s="34"/>
      <c r="IME238" s="34"/>
      <c r="IMF238" s="34"/>
      <c r="IMG238" s="34"/>
      <c r="IMH238" s="34"/>
      <c r="IMI238" s="34"/>
      <c r="IMJ238" s="34"/>
      <c r="IMK238" s="34"/>
      <c r="IML238" s="34"/>
      <c r="IMM238" s="34"/>
      <c r="IMN238" s="34"/>
      <c r="IMO238" s="34"/>
      <c r="IMP238" s="34"/>
      <c r="IMQ238" s="34"/>
      <c r="IMR238" s="34"/>
      <c r="IMS238" s="34"/>
      <c r="IMT238" s="34"/>
      <c r="IMU238" s="34"/>
      <c r="IMV238" s="34"/>
      <c r="IMW238" s="34"/>
      <c r="IMX238" s="34"/>
      <c r="IMY238" s="34"/>
      <c r="IMZ238" s="34"/>
      <c r="INA238" s="34"/>
      <c r="INB238" s="34"/>
      <c r="INC238" s="34"/>
      <c r="IND238" s="34"/>
      <c r="INE238" s="34"/>
      <c r="INF238" s="34"/>
      <c r="ING238" s="34"/>
      <c r="INH238" s="34"/>
      <c r="INI238" s="34"/>
      <c r="INJ238" s="34"/>
      <c r="INK238" s="34"/>
      <c r="INL238" s="34"/>
      <c r="INM238" s="34"/>
      <c r="INN238" s="34"/>
      <c r="INO238" s="34"/>
      <c r="INP238" s="34"/>
      <c r="INQ238" s="34"/>
      <c r="INR238" s="34"/>
      <c r="INS238" s="34"/>
      <c r="INT238" s="34"/>
      <c r="INU238" s="34"/>
      <c r="INV238" s="34"/>
      <c r="INW238" s="34"/>
      <c r="INX238" s="34"/>
      <c r="INY238" s="34"/>
      <c r="INZ238" s="34"/>
      <c r="IOA238" s="34"/>
      <c r="IOB238" s="34"/>
      <c r="IOC238" s="34"/>
      <c r="IOD238" s="34"/>
      <c r="IOE238" s="34"/>
      <c r="IOF238" s="34"/>
      <c r="IOG238" s="34"/>
      <c r="IOH238" s="34"/>
      <c r="IOI238" s="34"/>
      <c r="IOJ238" s="34"/>
      <c r="IOK238" s="34"/>
      <c r="IOL238" s="34"/>
      <c r="IOM238" s="34"/>
      <c r="ION238" s="34"/>
      <c r="IOO238" s="34"/>
      <c r="IOP238" s="34"/>
      <c r="IOQ238" s="34"/>
      <c r="IOR238" s="34"/>
      <c r="IOS238" s="34"/>
      <c r="IOT238" s="34"/>
      <c r="IOU238" s="34"/>
      <c r="IOV238" s="34"/>
      <c r="IOW238" s="34"/>
      <c r="IOX238" s="34"/>
      <c r="IOY238" s="34"/>
      <c r="IOZ238" s="34"/>
      <c r="IPA238" s="34"/>
      <c r="IPB238" s="34"/>
      <c r="IPC238" s="34"/>
      <c r="IPD238" s="34"/>
      <c r="IPE238" s="34"/>
      <c r="IPF238" s="34"/>
      <c r="IPG238" s="34"/>
      <c r="IPH238" s="34"/>
      <c r="IPI238" s="34"/>
      <c r="IPJ238" s="34"/>
      <c r="IPK238" s="34"/>
      <c r="IPL238" s="34"/>
      <c r="IPM238" s="34"/>
      <c r="IPN238" s="34"/>
      <c r="IPO238" s="34"/>
      <c r="IPP238" s="34"/>
      <c r="IPQ238" s="34"/>
      <c r="IPR238" s="34"/>
      <c r="IPS238" s="34"/>
      <c r="IPT238" s="34"/>
      <c r="IPU238" s="34"/>
      <c r="IPV238" s="34"/>
      <c r="IPW238" s="34"/>
      <c r="IPX238" s="34"/>
      <c r="IPY238" s="34"/>
      <c r="IPZ238" s="34"/>
      <c r="IQA238" s="34"/>
      <c r="IQB238" s="34"/>
      <c r="IQC238" s="34"/>
      <c r="IQD238" s="34"/>
      <c r="IQE238" s="34"/>
      <c r="IQF238" s="34"/>
      <c r="IQG238" s="34"/>
      <c r="IQH238" s="34"/>
      <c r="IQI238" s="34"/>
      <c r="IQJ238" s="34"/>
      <c r="IQK238" s="34"/>
      <c r="IQL238" s="34"/>
      <c r="IQM238" s="34"/>
      <c r="IQN238" s="34"/>
      <c r="IQO238" s="34"/>
      <c r="IQP238" s="34"/>
      <c r="IQQ238" s="34"/>
      <c r="IQR238" s="34"/>
      <c r="IQS238" s="34"/>
      <c r="IQT238" s="34"/>
      <c r="IQU238" s="34"/>
      <c r="IQV238" s="34"/>
      <c r="IQW238" s="34"/>
      <c r="IQX238" s="34"/>
      <c r="IQY238" s="34"/>
      <c r="IQZ238" s="34"/>
      <c r="IRA238" s="34"/>
      <c r="IRB238" s="34"/>
      <c r="IRC238" s="34"/>
      <c r="IRD238" s="34"/>
      <c r="IRE238" s="34"/>
      <c r="IRF238" s="34"/>
      <c r="IRG238" s="34"/>
      <c r="IRH238" s="34"/>
      <c r="IRI238" s="34"/>
      <c r="IRJ238" s="34"/>
      <c r="IRK238" s="34"/>
      <c r="IRL238" s="34"/>
      <c r="IRM238" s="34"/>
      <c r="IRN238" s="34"/>
      <c r="IRO238" s="34"/>
      <c r="IRP238" s="34"/>
      <c r="IRQ238" s="34"/>
      <c r="IRR238" s="34"/>
      <c r="IRS238" s="34"/>
      <c r="IRT238" s="34"/>
      <c r="IRU238" s="34"/>
      <c r="IRV238" s="34"/>
      <c r="IRW238" s="34"/>
      <c r="IRX238" s="34"/>
      <c r="IRY238" s="34"/>
      <c r="IRZ238" s="34"/>
      <c r="ISA238" s="34"/>
      <c r="ISB238" s="34"/>
      <c r="ISC238" s="34"/>
      <c r="ISD238" s="34"/>
      <c r="ISE238" s="34"/>
      <c r="ISF238" s="34"/>
      <c r="ISG238" s="34"/>
      <c r="ISH238" s="34"/>
      <c r="ISI238" s="34"/>
      <c r="ISJ238" s="34"/>
      <c r="ISK238" s="34"/>
      <c r="ISL238" s="34"/>
      <c r="ISM238" s="34"/>
      <c r="ISN238" s="34"/>
      <c r="ISO238" s="34"/>
      <c r="ISP238" s="34"/>
      <c r="ISQ238" s="34"/>
      <c r="ISR238" s="34"/>
      <c r="ISS238" s="34"/>
      <c r="IST238" s="34"/>
      <c r="ISU238" s="34"/>
      <c r="ISV238" s="34"/>
      <c r="ISW238" s="34"/>
      <c r="ISX238" s="34"/>
      <c r="ISY238" s="34"/>
      <c r="ISZ238" s="34"/>
      <c r="ITA238" s="34"/>
      <c r="ITB238" s="34"/>
      <c r="ITC238" s="34"/>
      <c r="ITD238" s="34"/>
      <c r="ITE238" s="34"/>
      <c r="ITF238" s="34"/>
      <c r="ITG238" s="34"/>
      <c r="ITH238" s="34"/>
      <c r="ITI238" s="34"/>
      <c r="ITJ238" s="34"/>
      <c r="ITK238" s="34"/>
      <c r="ITL238" s="34"/>
      <c r="ITM238" s="34"/>
      <c r="ITN238" s="34"/>
      <c r="ITO238" s="34"/>
      <c r="ITP238" s="34"/>
      <c r="ITQ238" s="34"/>
      <c r="ITR238" s="34"/>
      <c r="ITS238" s="34"/>
      <c r="ITT238" s="34"/>
      <c r="ITU238" s="34"/>
      <c r="ITV238" s="34"/>
      <c r="ITW238" s="34"/>
      <c r="ITX238" s="34"/>
      <c r="ITY238" s="34"/>
      <c r="ITZ238" s="34"/>
      <c r="IUA238" s="34"/>
      <c r="IUB238" s="34"/>
      <c r="IUC238" s="34"/>
      <c r="IUD238" s="34"/>
      <c r="IUE238" s="34"/>
      <c r="IUF238" s="34"/>
      <c r="IUG238" s="34"/>
      <c r="IUH238" s="34"/>
      <c r="IUI238" s="34"/>
      <c r="IUJ238" s="34"/>
      <c r="IUK238" s="34"/>
      <c r="IUL238" s="34"/>
      <c r="IUM238" s="34"/>
      <c r="IUN238" s="34"/>
      <c r="IUO238" s="34"/>
      <c r="IUP238" s="34"/>
      <c r="IUQ238" s="34"/>
      <c r="IUR238" s="34"/>
      <c r="IUS238" s="34"/>
      <c r="IUT238" s="34"/>
      <c r="IUU238" s="34"/>
      <c r="IUV238" s="34"/>
      <c r="IUW238" s="34"/>
      <c r="IUX238" s="34"/>
      <c r="IUY238" s="34"/>
      <c r="IUZ238" s="34"/>
      <c r="IVA238" s="34"/>
      <c r="IVB238" s="34"/>
      <c r="IVC238" s="34"/>
      <c r="IVD238" s="34"/>
      <c r="IVE238" s="34"/>
      <c r="IVF238" s="34"/>
      <c r="IVG238" s="34"/>
      <c r="IVH238" s="34"/>
      <c r="IVI238" s="34"/>
      <c r="IVJ238" s="34"/>
      <c r="IVK238" s="34"/>
      <c r="IVL238" s="34"/>
      <c r="IVM238" s="34"/>
      <c r="IVN238" s="34"/>
      <c r="IVO238" s="34"/>
      <c r="IVP238" s="34"/>
      <c r="IVQ238" s="34"/>
      <c r="IVR238" s="34"/>
      <c r="IVS238" s="34"/>
      <c r="IVT238" s="34"/>
      <c r="IVU238" s="34"/>
      <c r="IVV238" s="34"/>
      <c r="IVW238" s="34"/>
      <c r="IVX238" s="34"/>
      <c r="IVY238" s="34"/>
      <c r="IVZ238" s="34"/>
      <c r="IWA238" s="34"/>
      <c r="IWB238" s="34"/>
      <c r="IWC238" s="34"/>
      <c r="IWD238" s="34"/>
      <c r="IWE238" s="34"/>
      <c r="IWF238" s="34"/>
      <c r="IWG238" s="34"/>
      <c r="IWH238" s="34"/>
      <c r="IWI238" s="34"/>
      <c r="IWJ238" s="34"/>
      <c r="IWK238" s="34"/>
      <c r="IWL238" s="34"/>
      <c r="IWM238" s="34"/>
      <c r="IWN238" s="34"/>
      <c r="IWO238" s="34"/>
      <c r="IWP238" s="34"/>
      <c r="IWQ238" s="34"/>
      <c r="IWR238" s="34"/>
      <c r="IWS238" s="34"/>
      <c r="IWT238" s="34"/>
      <c r="IWU238" s="34"/>
      <c r="IWV238" s="34"/>
      <c r="IWW238" s="34"/>
      <c r="IWX238" s="34"/>
      <c r="IWY238" s="34"/>
      <c r="IWZ238" s="34"/>
      <c r="IXA238" s="34"/>
      <c r="IXB238" s="34"/>
      <c r="IXC238" s="34"/>
      <c r="IXD238" s="34"/>
      <c r="IXE238" s="34"/>
      <c r="IXF238" s="34"/>
      <c r="IXG238" s="34"/>
      <c r="IXH238" s="34"/>
      <c r="IXI238" s="34"/>
      <c r="IXJ238" s="34"/>
      <c r="IXK238" s="34"/>
      <c r="IXL238" s="34"/>
      <c r="IXM238" s="34"/>
      <c r="IXN238" s="34"/>
      <c r="IXO238" s="34"/>
      <c r="IXP238" s="34"/>
      <c r="IXQ238" s="34"/>
      <c r="IXR238" s="34"/>
      <c r="IXS238" s="34"/>
      <c r="IXT238" s="34"/>
      <c r="IXU238" s="34"/>
      <c r="IXV238" s="34"/>
      <c r="IXW238" s="34"/>
      <c r="IXX238" s="34"/>
      <c r="IXY238" s="34"/>
      <c r="IXZ238" s="34"/>
      <c r="IYA238" s="34"/>
      <c r="IYB238" s="34"/>
      <c r="IYC238" s="34"/>
      <c r="IYD238" s="34"/>
      <c r="IYE238" s="34"/>
      <c r="IYF238" s="34"/>
      <c r="IYG238" s="34"/>
      <c r="IYH238" s="34"/>
      <c r="IYI238" s="34"/>
      <c r="IYJ238" s="34"/>
      <c r="IYK238" s="34"/>
      <c r="IYL238" s="34"/>
      <c r="IYM238" s="34"/>
      <c r="IYN238" s="34"/>
      <c r="IYO238" s="34"/>
      <c r="IYP238" s="34"/>
      <c r="IYQ238" s="34"/>
      <c r="IYR238" s="34"/>
      <c r="IYS238" s="34"/>
      <c r="IYT238" s="34"/>
      <c r="IYU238" s="34"/>
      <c r="IYV238" s="34"/>
      <c r="IYW238" s="34"/>
      <c r="IYX238" s="34"/>
      <c r="IYY238" s="34"/>
      <c r="IYZ238" s="34"/>
      <c r="IZA238" s="34"/>
      <c r="IZB238" s="34"/>
      <c r="IZC238" s="34"/>
      <c r="IZD238" s="34"/>
      <c r="IZE238" s="34"/>
      <c r="IZF238" s="34"/>
      <c r="IZG238" s="34"/>
      <c r="IZH238" s="34"/>
      <c r="IZI238" s="34"/>
      <c r="IZJ238" s="34"/>
      <c r="IZK238" s="34"/>
      <c r="IZL238" s="34"/>
      <c r="IZM238" s="34"/>
      <c r="IZN238" s="34"/>
      <c r="IZO238" s="34"/>
      <c r="IZP238" s="34"/>
      <c r="IZQ238" s="34"/>
      <c r="IZR238" s="34"/>
      <c r="IZS238" s="34"/>
      <c r="IZT238" s="34"/>
      <c r="IZU238" s="34"/>
      <c r="IZV238" s="34"/>
      <c r="IZW238" s="34"/>
      <c r="IZX238" s="34"/>
      <c r="IZY238" s="34"/>
      <c r="IZZ238" s="34"/>
      <c r="JAA238" s="34"/>
      <c r="JAB238" s="34"/>
      <c r="JAC238" s="34"/>
      <c r="JAD238" s="34"/>
      <c r="JAE238" s="34"/>
      <c r="JAF238" s="34"/>
      <c r="JAG238" s="34"/>
      <c r="JAH238" s="34"/>
      <c r="JAI238" s="34"/>
      <c r="JAJ238" s="34"/>
      <c r="JAK238" s="34"/>
      <c r="JAL238" s="34"/>
      <c r="JAM238" s="34"/>
      <c r="JAN238" s="34"/>
      <c r="JAO238" s="34"/>
      <c r="JAP238" s="34"/>
      <c r="JAQ238" s="34"/>
      <c r="JAR238" s="34"/>
      <c r="JAS238" s="34"/>
      <c r="JAT238" s="34"/>
      <c r="JAU238" s="34"/>
      <c r="JAV238" s="34"/>
      <c r="JAW238" s="34"/>
      <c r="JAX238" s="34"/>
      <c r="JAY238" s="34"/>
      <c r="JAZ238" s="34"/>
      <c r="JBA238" s="34"/>
      <c r="JBB238" s="34"/>
      <c r="JBC238" s="34"/>
      <c r="JBD238" s="34"/>
      <c r="JBE238" s="34"/>
      <c r="JBF238" s="34"/>
      <c r="JBG238" s="34"/>
      <c r="JBH238" s="34"/>
      <c r="JBI238" s="34"/>
      <c r="JBJ238" s="34"/>
      <c r="JBK238" s="34"/>
      <c r="JBL238" s="34"/>
      <c r="JBM238" s="34"/>
      <c r="JBN238" s="34"/>
      <c r="JBO238" s="34"/>
      <c r="JBP238" s="34"/>
      <c r="JBQ238" s="34"/>
      <c r="JBR238" s="34"/>
      <c r="JBS238" s="34"/>
      <c r="JBT238" s="34"/>
      <c r="JBU238" s="34"/>
      <c r="JBV238" s="34"/>
      <c r="JBW238" s="34"/>
      <c r="JBX238" s="34"/>
      <c r="JBY238" s="34"/>
      <c r="JBZ238" s="34"/>
      <c r="JCA238" s="34"/>
      <c r="JCB238" s="34"/>
      <c r="JCC238" s="34"/>
      <c r="JCD238" s="34"/>
      <c r="JCE238" s="34"/>
      <c r="JCF238" s="34"/>
      <c r="JCG238" s="34"/>
      <c r="JCH238" s="34"/>
      <c r="JCI238" s="34"/>
      <c r="JCJ238" s="34"/>
      <c r="JCK238" s="34"/>
      <c r="JCL238" s="34"/>
      <c r="JCM238" s="34"/>
      <c r="JCN238" s="34"/>
      <c r="JCO238" s="34"/>
      <c r="JCP238" s="34"/>
      <c r="JCQ238" s="34"/>
      <c r="JCR238" s="34"/>
      <c r="JCS238" s="34"/>
      <c r="JCT238" s="34"/>
      <c r="JCU238" s="34"/>
      <c r="JCV238" s="34"/>
      <c r="JCW238" s="34"/>
      <c r="JCX238" s="34"/>
      <c r="JCY238" s="34"/>
      <c r="JCZ238" s="34"/>
      <c r="JDA238" s="34"/>
      <c r="JDB238" s="34"/>
      <c r="JDC238" s="34"/>
      <c r="JDD238" s="34"/>
      <c r="JDE238" s="34"/>
      <c r="JDF238" s="34"/>
      <c r="JDG238" s="34"/>
      <c r="JDH238" s="34"/>
      <c r="JDI238" s="34"/>
      <c r="JDJ238" s="34"/>
      <c r="JDK238" s="34"/>
      <c r="JDL238" s="34"/>
      <c r="JDM238" s="34"/>
      <c r="JDN238" s="34"/>
      <c r="JDO238" s="34"/>
      <c r="JDP238" s="34"/>
      <c r="JDQ238" s="34"/>
      <c r="JDR238" s="34"/>
      <c r="JDS238" s="34"/>
      <c r="JDT238" s="34"/>
      <c r="JDU238" s="34"/>
      <c r="JDV238" s="34"/>
      <c r="JDW238" s="34"/>
      <c r="JDX238" s="34"/>
      <c r="JDY238" s="34"/>
      <c r="JDZ238" s="34"/>
      <c r="JEA238" s="34"/>
      <c r="JEB238" s="34"/>
      <c r="JEC238" s="34"/>
      <c r="JED238" s="34"/>
      <c r="JEE238" s="34"/>
      <c r="JEF238" s="34"/>
      <c r="JEG238" s="34"/>
      <c r="JEH238" s="34"/>
      <c r="JEI238" s="34"/>
      <c r="JEJ238" s="34"/>
      <c r="JEK238" s="34"/>
      <c r="JEL238" s="34"/>
      <c r="JEM238" s="34"/>
      <c r="JEN238" s="34"/>
      <c r="JEO238" s="34"/>
      <c r="JEP238" s="34"/>
      <c r="JEQ238" s="34"/>
      <c r="JER238" s="34"/>
      <c r="JES238" s="34"/>
      <c r="JET238" s="34"/>
      <c r="JEU238" s="34"/>
      <c r="JEV238" s="34"/>
      <c r="JEW238" s="34"/>
      <c r="JEX238" s="34"/>
      <c r="JEY238" s="34"/>
      <c r="JEZ238" s="34"/>
      <c r="JFA238" s="34"/>
      <c r="JFB238" s="34"/>
      <c r="JFC238" s="34"/>
      <c r="JFD238" s="34"/>
      <c r="JFE238" s="34"/>
      <c r="JFF238" s="34"/>
      <c r="JFG238" s="34"/>
      <c r="JFH238" s="34"/>
      <c r="JFI238" s="34"/>
      <c r="JFJ238" s="34"/>
      <c r="JFK238" s="34"/>
      <c r="JFL238" s="34"/>
      <c r="JFM238" s="34"/>
      <c r="JFN238" s="34"/>
      <c r="JFO238" s="34"/>
      <c r="JFP238" s="34"/>
      <c r="JFQ238" s="34"/>
      <c r="JFR238" s="34"/>
      <c r="JFS238" s="34"/>
      <c r="JFT238" s="34"/>
      <c r="JFU238" s="34"/>
      <c r="JFV238" s="34"/>
      <c r="JFW238" s="34"/>
      <c r="JFX238" s="34"/>
      <c r="JFY238" s="34"/>
      <c r="JFZ238" s="34"/>
      <c r="JGA238" s="34"/>
      <c r="JGB238" s="34"/>
      <c r="JGC238" s="34"/>
      <c r="JGD238" s="34"/>
      <c r="JGE238" s="34"/>
      <c r="JGF238" s="34"/>
      <c r="JGG238" s="34"/>
      <c r="JGH238" s="34"/>
      <c r="JGI238" s="34"/>
      <c r="JGJ238" s="34"/>
      <c r="JGK238" s="34"/>
      <c r="JGL238" s="34"/>
      <c r="JGM238" s="34"/>
      <c r="JGN238" s="34"/>
      <c r="JGO238" s="34"/>
      <c r="JGP238" s="34"/>
      <c r="JGQ238" s="34"/>
      <c r="JGR238" s="34"/>
      <c r="JGS238" s="34"/>
      <c r="JGT238" s="34"/>
      <c r="JGU238" s="34"/>
      <c r="JGV238" s="34"/>
      <c r="JGW238" s="34"/>
      <c r="JGX238" s="34"/>
      <c r="JGY238" s="34"/>
      <c r="JGZ238" s="34"/>
      <c r="JHA238" s="34"/>
      <c r="JHB238" s="34"/>
      <c r="JHC238" s="34"/>
      <c r="JHD238" s="34"/>
      <c r="JHE238" s="34"/>
      <c r="JHF238" s="34"/>
      <c r="JHG238" s="34"/>
      <c r="JHH238" s="34"/>
      <c r="JHI238" s="34"/>
      <c r="JHJ238" s="34"/>
      <c r="JHK238" s="34"/>
      <c r="JHL238" s="34"/>
      <c r="JHM238" s="34"/>
      <c r="JHN238" s="34"/>
      <c r="JHO238" s="34"/>
      <c r="JHP238" s="34"/>
      <c r="JHQ238" s="34"/>
      <c r="JHR238" s="34"/>
      <c r="JHS238" s="34"/>
      <c r="JHT238" s="34"/>
      <c r="JHU238" s="34"/>
      <c r="JHV238" s="34"/>
      <c r="JHW238" s="34"/>
      <c r="JHX238" s="34"/>
      <c r="JHY238" s="34"/>
      <c r="JHZ238" s="34"/>
      <c r="JIA238" s="34"/>
      <c r="JIB238" s="34"/>
      <c r="JIC238" s="34"/>
      <c r="JID238" s="34"/>
      <c r="JIE238" s="34"/>
      <c r="JIF238" s="34"/>
      <c r="JIG238" s="34"/>
      <c r="JIH238" s="34"/>
      <c r="JII238" s="34"/>
      <c r="JIJ238" s="34"/>
      <c r="JIK238" s="34"/>
      <c r="JIL238" s="34"/>
      <c r="JIM238" s="34"/>
      <c r="JIN238" s="34"/>
      <c r="JIO238" s="34"/>
      <c r="JIP238" s="34"/>
      <c r="JIQ238" s="34"/>
      <c r="JIR238" s="34"/>
      <c r="JIS238" s="34"/>
      <c r="JIT238" s="34"/>
      <c r="JIU238" s="34"/>
      <c r="JIV238" s="34"/>
      <c r="JIW238" s="34"/>
      <c r="JIX238" s="34"/>
      <c r="JIY238" s="34"/>
      <c r="JIZ238" s="34"/>
      <c r="JJA238" s="34"/>
      <c r="JJB238" s="34"/>
      <c r="JJC238" s="34"/>
      <c r="JJD238" s="34"/>
      <c r="JJE238" s="34"/>
      <c r="JJF238" s="34"/>
      <c r="JJG238" s="34"/>
      <c r="JJH238" s="34"/>
      <c r="JJI238" s="34"/>
      <c r="JJJ238" s="34"/>
      <c r="JJK238" s="34"/>
      <c r="JJL238" s="34"/>
      <c r="JJM238" s="34"/>
      <c r="JJN238" s="34"/>
      <c r="JJO238" s="34"/>
      <c r="JJP238" s="34"/>
      <c r="JJQ238" s="34"/>
      <c r="JJR238" s="34"/>
      <c r="JJS238" s="34"/>
      <c r="JJT238" s="34"/>
      <c r="JJU238" s="34"/>
      <c r="JJV238" s="34"/>
      <c r="JJW238" s="34"/>
      <c r="JJX238" s="34"/>
      <c r="JJY238" s="34"/>
      <c r="JJZ238" s="34"/>
      <c r="JKA238" s="34"/>
      <c r="JKB238" s="34"/>
      <c r="JKC238" s="34"/>
      <c r="JKD238" s="34"/>
      <c r="JKE238" s="34"/>
      <c r="JKF238" s="34"/>
      <c r="JKG238" s="34"/>
      <c r="JKH238" s="34"/>
      <c r="JKI238" s="34"/>
      <c r="JKJ238" s="34"/>
      <c r="JKK238" s="34"/>
      <c r="JKL238" s="34"/>
      <c r="JKM238" s="34"/>
      <c r="JKN238" s="34"/>
      <c r="JKO238" s="34"/>
      <c r="JKP238" s="34"/>
      <c r="JKQ238" s="34"/>
      <c r="JKR238" s="34"/>
      <c r="JKS238" s="34"/>
      <c r="JKT238" s="34"/>
      <c r="JKU238" s="34"/>
      <c r="JKV238" s="34"/>
      <c r="JKW238" s="34"/>
      <c r="JKX238" s="34"/>
      <c r="JKY238" s="34"/>
      <c r="JKZ238" s="34"/>
      <c r="JLA238" s="34"/>
      <c r="JLB238" s="34"/>
      <c r="JLC238" s="34"/>
      <c r="JLD238" s="34"/>
      <c r="JLE238" s="34"/>
      <c r="JLF238" s="34"/>
      <c r="JLG238" s="34"/>
      <c r="JLH238" s="34"/>
      <c r="JLI238" s="34"/>
      <c r="JLJ238" s="34"/>
      <c r="JLK238" s="34"/>
      <c r="JLL238" s="34"/>
      <c r="JLM238" s="34"/>
      <c r="JLN238" s="34"/>
      <c r="JLO238" s="34"/>
      <c r="JLP238" s="34"/>
      <c r="JLQ238" s="34"/>
      <c r="JLR238" s="34"/>
      <c r="JLS238" s="34"/>
      <c r="JLT238" s="34"/>
      <c r="JLU238" s="34"/>
      <c r="JLV238" s="34"/>
      <c r="JLW238" s="34"/>
      <c r="JLX238" s="34"/>
      <c r="JLY238" s="34"/>
      <c r="JLZ238" s="34"/>
      <c r="JMA238" s="34"/>
      <c r="JMB238" s="34"/>
      <c r="JMC238" s="34"/>
      <c r="JMD238" s="34"/>
      <c r="JME238" s="34"/>
      <c r="JMF238" s="34"/>
      <c r="JMG238" s="34"/>
      <c r="JMH238" s="34"/>
      <c r="JMI238" s="34"/>
      <c r="JMJ238" s="34"/>
      <c r="JMK238" s="34"/>
      <c r="JML238" s="34"/>
      <c r="JMM238" s="34"/>
      <c r="JMN238" s="34"/>
      <c r="JMO238" s="34"/>
      <c r="JMP238" s="34"/>
      <c r="JMQ238" s="34"/>
      <c r="JMR238" s="34"/>
      <c r="JMS238" s="34"/>
      <c r="JMT238" s="34"/>
      <c r="JMU238" s="34"/>
      <c r="JMV238" s="34"/>
      <c r="JMW238" s="34"/>
      <c r="JMX238" s="34"/>
      <c r="JMY238" s="34"/>
      <c r="JMZ238" s="34"/>
      <c r="JNA238" s="34"/>
      <c r="JNB238" s="34"/>
      <c r="JNC238" s="34"/>
      <c r="JND238" s="34"/>
      <c r="JNE238" s="34"/>
      <c r="JNF238" s="34"/>
      <c r="JNG238" s="34"/>
      <c r="JNH238" s="34"/>
      <c r="JNI238" s="34"/>
      <c r="JNJ238" s="34"/>
      <c r="JNK238" s="34"/>
      <c r="JNL238" s="34"/>
      <c r="JNM238" s="34"/>
      <c r="JNN238" s="34"/>
      <c r="JNO238" s="34"/>
      <c r="JNP238" s="34"/>
      <c r="JNQ238" s="34"/>
      <c r="JNR238" s="34"/>
      <c r="JNS238" s="34"/>
      <c r="JNT238" s="34"/>
      <c r="JNU238" s="34"/>
      <c r="JNV238" s="34"/>
      <c r="JNW238" s="34"/>
      <c r="JNX238" s="34"/>
      <c r="JNY238" s="34"/>
      <c r="JNZ238" s="34"/>
      <c r="JOA238" s="34"/>
      <c r="JOB238" s="34"/>
      <c r="JOC238" s="34"/>
      <c r="JOD238" s="34"/>
      <c r="JOE238" s="34"/>
      <c r="JOF238" s="34"/>
      <c r="JOG238" s="34"/>
      <c r="JOH238" s="34"/>
      <c r="JOI238" s="34"/>
      <c r="JOJ238" s="34"/>
      <c r="JOK238" s="34"/>
      <c r="JOL238" s="34"/>
      <c r="JOM238" s="34"/>
      <c r="JON238" s="34"/>
      <c r="JOO238" s="34"/>
      <c r="JOP238" s="34"/>
      <c r="JOQ238" s="34"/>
      <c r="JOR238" s="34"/>
      <c r="JOS238" s="34"/>
      <c r="JOT238" s="34"/>
      <c r="JOU238" s="34"/>
      <c r="JOV238" s="34"/>
      <c r="JOW238" s="34"/>
      <c r="JOX238" s="34"/>
      <c r="JOY238" s="34"/>
      <c r="JOZ238" s="34"/>
      <c r="JPA238" s="34"/>
      <c r="JPB238" s="34"/>
      <c r="JPC238" s="34"/>
      <c r="JPD238" s="34"/>
      <c r="JPE238" s="34"/>
      <c r="JPF238" s="34"/>
      <c r="JPG238" s="34"/>
      <c r="JPH238" s="34"/>
      <c r="JPI238" s="34"/>
      <c r="JPJ238" s="34"/>
      <c r="JPK238" s="34"/>
      <c r="JPL238" s="34"/>
      <c r="JPM238" s="34"/>
      <c r="JPN238" s="34"/>
      <c r="JPO238" s="34"/>
      <c r="JPP238" s="34"/>
      <c r="JPQ238" s="34"/>
      <c r="JPR238" s="34"/>
      <c r="JPS238" s="34"/>
      <c r="JPT238" s="34"/>
      <c r="JPU238" s="34"/>
      <c r="JPV238" s="34"/>
      <c r="JPW238" s="34"/>
      <c r="JPX238" s="34"/>
      <c r="JPY238" s="34"/>
      <c r="JPZ238" s="34"/>
      <c r="JQA238" s="34"/>
      <c r="JQB238" s="34"/>
      <c r="JQC238" s="34"/>
      <c r="JQD238" s="34"/>
      <c r="JQE238" s="34"/>
      <c r="JQF238" s="34"/>
      <c r="JQG238" s="34"/>
      <c r="JQH238" s="34"/>
      <c r="JQI238" s="34"/>
      <c r="JQJ238" s="34"/>
      <c r="JQK238" s="34"/>
      <c r="JQL238" s="34"/>
      <c r="JQM238" s="34"/>
      <c r="JQN238" s="34"/>
      <c r="JQO238" s="34"/>
      <c r="JQP238" s="34"/>
      <c r="JQQ238" s="34"/>
      <c r="JQR238" s="34"/>
      <c r="JQS238" s="34"/>
      <c r="JQT238" s="34"/>
      <c r="JQU238" s="34"/>
      <c r="JQV238" s="34"/>
      <c r="JQW238" s="34"/>
      <c r="JQX238" s="34"/>
      <c r="JQY238" s="34"/>
      <c r="JQZ238" s="34"/>
      <c r="JRA238" s="34"/>
      <c r="JRB238" s="34"/>
      <c r="JRC238" s="34"/>
      <c r="JRD238" s="34"/>
      <c r="JRE238" s="34"/>
      <c r="JRF238" s="34"/>
      <c r="JRG238" s="34"/>
      <c r="JRH238" s="34"/>
      <c r="JRI238" s="34"/>
      <c r="JRJ238" s="34"/>
      <c r="JRK238" s="34"/>
      <c r="JRL238" s="34"/>
      <c r="JRM238" s="34"/>
      <c r="JRN238" s="34"/>
      <c r="JRO238" s="34"/>
      <c r="JRP238" s="34"/>
      <c r="JRQ238" s="34"/>
      <c r="JRR238" s="34"/>
      <c r="JRS238" s="34"/>
      <c r="JRT238" s="34"/>
      <c r="JRU238" s="34"/>
      <c r="JRV238" s="34"/>
      <c r="JRW238" s="34"/>
      <c r="JRX238" s="34"/>
      <c r="JRY238" s="34"/>
      <c r="JRZ238" s="34"/>
      <c r="JSA238" s="34"/>
      <c r="JSB238" s="34"/>
      <c r="JSC238" s="34"/>
      <c r="JSD238" s="34"/>
      <c r="JSE238" s="34"/>
      <c r="JSF238" s="34"/>
      <c r="JSG238" s="34"/>
      <c r="JSH238" s="34"/>
      <c r="JSI238" s="34"/>
      <c r="JSJ238" s="34"/>
      <c r="JSK238" s="34"/>
      <c r="JSL238" s="34"/>
      <c r="JSM238" s="34"/>
      <c r="JSN238" s="34"/>
      <c r="JSO238" s="34"/>
      <c r="JSP238" s="34"/>
      <c r="JSQ238" s="34"/>
      <c r="JSR238" s="34"/>
      <c r="JSS238" s="34"/>
      <c r="JST238" s="34"/>
      <c r="JSU238" s="34"/>
      <c r="JSV238" s="34"/>
      <c r="JSW238" s="34"/>
      <c r="JSX238" s="34"/>
      <c r="JSY238" s="34"/>
      <c r="JSZ238" s="34"/>
      <c r="JTA238" s="34"/>
      <c r="JTB238" s="34"/>
      <c r="JTC238" s="34"/>
      <c r="JTD238" s="34"/>
      <c r="JTE238" s="34"/>
      <c r="JTF238" s="34"/>
      <c r="JTG238" s="34"/>
      <c r="JTH238" s="34"/>
      <c r="JTI238" s="34"/>
      <c r="JTJ238" s="34"/>
      <c r="JTK238" s="34"/>
      <c r="JTL238" s="34"/>
      <c r="JTM238" s="34"/>
      <c r="JTN238" s="34"/>
      <c r="JTO238" s="34"/>
      <c r="JTP238" s="34"/>
      <c r="JTQ238" s="34"/>
      <c r="JTR238" s="34"/>
      <c r="JTS238" s="34"/>
      <c r="JTT238" s="34"/>
      <c r="JTU238" s="34"/>
      <c r="JTV238" s="34"/>
      <c r="JTW238" s="34"/>
      <c r="JTX238" s="34"/>
      <c r="JTY238" s="34"/>
      <c r="JTZ238" s="34"/>
      <c r="JUA238" s="34"/>
      <c r="JUB238" s="34"/>
      <c r="JUC238" s="34"/>
      <c r="JUD238" s="34"/>
      <c r="JUE238" s="34"/>
      <c r="JUF238" s="34"/>
      <c r="JUG238" s="34"/>
      <c r="JUH238" s="34"/>
      <c r="JUI238" s="34"/>
      <c r="JUJ238" s="34"/>
      <c r="JUK238" s="34"/>
      <c r="JUL238" s="34"/>
      <c r="JUM238" s="34"/>
      <c r="JUN238" s="34"/>
      <c r="JUO238" s="34"/>
      <c r="JUP238" s="34"/>
      <c r="JUQ238" s="34"/>
      <c r="JUR238" s="34"/>
      <c r="JUS238" s="34"/>
      <c r="JUT238" s="34"/>
      <c r="JUU238" s="34"/>
      <c r="JUV238" s="34"/>
      <c r="JUW238" s="34"/>
      <c r="JUX238" s="34"/>
      <c r="JUY238" s="34"/>
      <c r="JUZ238" s="34"/>
      <c r="JVA238" s="34"/>
      <c r="JVB238" s="34"/>
      <c r="JVC238" s="34"/>
      <c r="JVD238" s="34"/>
      <c r="JVE238" s="34"/>
      <c r="JVF238" s="34"/>
      <c r="JVG238" s="34"/>
      <c r="JVH238" s="34"/>
      <c r="JVI238" s="34"/>
      <c r="JVJ238" s="34"/>
      <c r="JVK238" s="34"/>
      <c r="JVL238" s="34"/>
      <c r="JVM238" s="34"/>
      <c r="JVN238" s="34"/>
      <c r="JVO238" s="34"/>
      <c r="JVP238" s="34"/>
      <c r="JVQ238" s="34"/>
      <c r="JVR238" s="34"/>
      <c r="JVS238" s="34"/>
      <c r="JVT238" s="34"/>
      <c r="JVU238" s="34"/>
      <c r="JVV238" s="34"/>
      <c r="JVW238" s="34"/>
      <c r="JVX238" s="34"/>
      <c r="JVY238" s="34"/>
      <c r="JVZ238" s="34"/>
      <c r="JWA238" s="34"/>
      <c r="JWB238" s="34"/>
      <c r="JWC238" s="34"/>
      <c r="JWD238" s="34"/>
      <c r="JWE238" s="34"/>
      <c r="JWF238" s="34"/>
      <c r="JWG238" s="34"/>
      <c r="JWH238" s="34"/>
      <c r="JWI238" s="34"/>
      <c r="JWJ238" s="34"/>
      <c r="JWK238" s="34"/>
      <c r="JWL238" s="34"/>
      <c r="JWM238" s="34"/>
      <c r="JWN238" s="34"/>
      <c r="JWO238" s="34"/>
      <c r="JWP238" s="34"/>
      <c r="JWQ238" s="34"/>
      <c r="JWR238" s="34"/>
      <c r="JWS238" s="34"/>
      <c r="JWT238" s="34"/>
      <c r="JWU238" s="34"/>
      <c r="JWV238" s="34"/>
      <c r="JWW238" s="34"/>
      <c r="JWX238" s="34"/>
      <c r="JWY238" s="34"/>
      <c r="JWZ238" s="34"/>
      <c r="JXA238" s="34"/>
      <c r="JXB238" s="34"/>
      <c r="JXC238" s="34"/>
      <c r="JXD238" s="34"/>
      <c r="JXE238" s="34"/>
      <c r="JXF238" s="34"/>
      <c r="JXG238" s="34"/>
      <c r="JXH238" s="34"/>
      <c r="JXI238" s="34"/>
      <c r="JXJ238" s="34"/>
      <c r="JXK238" s="34"/>
      <c r="JXL238" s="34"/>
      <c r="JXM238" s="34"/>
      <c r="JXN238" s="34"/>
      <c r="JXO238" s="34"/>
      <c r="JXP238" s="34"/>
      <c r="JXQ238" s="34"/>
      <c r="JXR238" s="34"/>
      <c r="JXS238" s="34"/>
      <c r="JXT238" s="34"/>
      <c r="JXU238" s="34"/>
      <c r="JXV238" s="34"/>
      <c r="JXW238" s="34"/>
      <c r="JXX238" s="34"/>
      <c r="JXY238" s="34"/>
      <c r="JXZ238" s="34"/>
      <c r="JYA238" s="34"/>
      <c r="JYB238" s="34"/>
      <c r="JYC238" s="34"/>
      <c r="JYD238" s="34"/>
      <c r="JYE238" s="34"/>
      <c r="JYF238" s="34"/>
      <c r="JYG238" s="34"/>
      <c r="JYH238" s="34"/>
      <c r="JYI238" s="34"/>
      <c r="JYJ238" s="34"/>
      <c r="JYK238" s="34"/>
      <c r="JYL238" s="34"/>
      <c r="JYM238" s="34"/>
      <c r="JYN238" s="34"/>
      <c r="JYO238" s="34"/>
      <c r="JYP238" s="34"/>
      <c r="JYQ238" s="34"/>
      <c r="JYR238" s="34"/>
      <c r="JYS238" s="34"/>
      <c r="JYT238" s="34"/>
      <c r="JYU238" s="34"/>
      <c r="JYV238" s="34"/>
      <c r="JYW238" s="34"/>
      <c r="JYX238" s="34"/>
      <c r="JYY238" s="34"/>
      <c r="JYZ238" s="34"/>
      <c r="JZA238" s="34"/>
      <c r="JZB238" s="34"/>
      <c r="JZC238" s="34"/>
      <c r="JZD238" s="34"/>
      <c r="JZE238" s="34"/>
      <c r="JZF238" s="34"/>
      <c r="JZG238" s="34"/>
      <c r="JZH238" s="34"/>
      <c r="JZI238" s="34"/>
      <c r="JZJ238" s="34"/>
      <c r="JZK238" s="34"/>
      <c r="JZL238" s="34"/>
      <c r="JZM238" s="34"/>
      <c r="JZN238" s="34"/>
      <c r="JZO238" s="34"/>
      <c r="JZP238" s="34"/>
      <c r="JZQ238" s="34"/>
      <c r="JZR238" s="34"/>
      <c r="JZS238" s="34"/>
      <c r="JZT238" s="34"/>
      <c r="JZU238" s="34"/>
      <c r="JZV238" s="34"/>
      <c r="JZW238" s="34"/>
      <c r="JZX238" s="34"/>
      <c r="JZY238" s="34"/>
      <c r="JZZ238" s="34"/>
      <c r="KAA238" s="34"/>
      <c r="KAB238" s="34"/>
      <c r="KAC238" s="34"/>
      <c r="KAD238" s="34"/>
      <c r="KAE238" s="34"/>
      <c r="KAF238" s="34"/>
      <c r="KAG238" s="34"/>
      <c r="KAH238" s="34"/>
      <c r="KAI238" s="34"/>
      <c r="KAJ238" s="34"/>
      <c r="KAK238" s="34"/>
      <c r="KAL238" s="34"/>
      <c r="KAM238" s="34"/>
      <c r="KAN238" s="34"/>
      <c r="KAO238" s="34"/>
      <c r="KAP238" s="34"/>
      <c r="KAQ238" s="34"/>
      <c r="KAR238" s="34"/>
      <c r="KAS238" s="34"/>
      <c r="KAT238" s="34"/>
      <c r="KAU238" s="34"/>
      <c r="KAV238" s="34"/>
      <c r="KAW238" s="34"/>
      <c r="KAX238" s="34"/>
      <c r="KAY238" s="34"/>
      <c r="KAZ238" s="34"/>
      <c r="KBA238" s="34"/>
      <c r="KBB238" s="34"/>
      <c r="KBC238" s="34"/>
      <c r="KBD238" s="34"/>
      <c r="KBE238" s="34"/>
      <c r="KBF238" s="34"/>
      <c r="KBG238" s="34"/>
      <c r="KBH238" s="34"/>
      <c r="KBI238" s="34"/>
      <c r="KBJ238" s="34"/>
      <c r="KBK238" s="34"/>
      <c r="KBL238" s="34"/>
      <c r="KBM238" s="34"/>
      <c r="KBN238" s="34"/>
      <c r="KBO238" s="34"/>
      <c r="KBP238" s="34"/>
      <c r="KBQ238" s="34"/>
      <c r="KBR238" s="34"/>
      <c r="KBS238" s="34"/>
      <c r="KBT238" s="34"/>
      <c r="KBU238" s="34"/>
      <c r="KBV238" s="34"/>
      <c r="KBW238" s="34"/>
      <c r="KBX238" s="34"/>
      <c r="KBY238" s="34"/>
      <c r="KBZ238" s="34"/>
      <c r="KCA238" s="34"/>
      <c r="KCB238" s="34"/>
      <c r="KCC238" s="34"/>
      <c r="KCD238" s="34"/>
      <c r="KCE238" s="34"/>
      <c r="KCF238" s="34"/>
      <c r="KCG238" s="34"/>
      <c r="KCH238" s="34"/>
      <c r="KCI238" s="34"/>
      <c r="KCJ238" s="34"/>
      <c r="KCK238" s="34"/>
      <c r="KCL238" s="34"/>
      <c r="KCM238" s="34"/>
      <c r="KCN238" s="34"/>
      <c r="KCO238" s="34"/>
      <c r="KCP238" s="34"/>
      <c r="KCQ238" s="34"/>
      <c r="KCR238" s="34"/>
      <c r="KCS238" s="34"/>
      <c r="KCT238" s="34"/>
      <c r="KCU238" s="34"/>
      <c r="KCV238" s="34"/>
      <c r="KCW238" s="34"/>
      <c r="KCX238" s="34"/>
      <c r="KCY238" s="34"/>
      <c r="KCZ238" s="34"/>
      <c r="KDA238" s="34"/>
      <c r="KDB238" s="34"/>
      <c r="KDC238" s="34"/>
      <c r="KDD238" s="34"/>
      <c r="KDE238" s="34"/>
      <c r="KDF238" s="34"/>
      <c r="KDG238" s="34"/>
      <c r="KDH238" s="34"/>
      <c r="KDI238" s="34"/>
      <c r="KDJ238" s="34"/>
      <c r="KDK238" s="34"/>
      <c r="KDL238" s="34"/>
      <c r="KDM238" s="34"/>
      <c r="KDN238" s="34"/>
      <c r="KDO238" s="34"/>
      <c r="KDP238" s="34"/>
      <c r="KDQ238" s="34"/>
      <c r="KDR238" s="34"/>
      <c r="KDS238" s="34"/>
      <c r="KDT238" s="34"/>
      <c r="KDU238" s="34"/>
      <c r="KDV238" s="34"/>
      <c r="KDW238" s="34"/>
      <c r="KDX238" s="34"/>
      <c r="KDY238" s="34"/>
      <c r="KDZ238" s="34"/>
      <c r="KEA238" s="34"/>
      <c r="KEB238" s="34"/>
      <c r="KEC238" s="34"/>
      <c r="KED238" s="34"/>
      <c r="KEE238" s="34"/>
      <c r="KEF238" s="34"/>
      <c r="KEG238" s="34"/>
      <c r="KEH238" s="34"/>
      <c r="KEI238" s="34"/>
      <c r="KEJ238" s="34"/>
      <c r="KEK238" s="34"/>
      <c r="KEL238" s="34"/>
      <c r="KEM238" s="34"/>
      <c r="KEN238" s="34"/>
      <c r="KEO238" s="34"/>
      <c r="KEP238" s="34"/>
      <c r="KEQ238" s="34"/>
      <c r="KER238" s="34"/>
      <c r="KES238" s="34"/>
      <c r="KET238" s="34"/>
      <c r="KEU238" s="34"/>
      <c r="KEV238" s="34"/>
      <c r="KEW238" s="34"/>
      <c r="KEX238" s="34"/>
      <c r="KEY238" s="34"/>
      <c r="KEZ238" s="34"/>
      <c r="KFA238" s="34"/>
      <c r="KFB238" s="34"/>
      <c r="KFC238" s="34"/>
      <c r="KFD238" s="34"/>
      <c r="KFE238" s="34"/>
      <c r="KFF238" s="34"/>
      <c r="KFG238" s="34"/>
      <c r="KFH238" s="34"/>
      <c r="KFI238" s="34"/>
      <c r="KFJ238" s="34"/>
      <c r="KFK238" s="34"/>
      <c r="KFL238" s="34"/>
      <c r="KFM238" s="34"/>
      <c r="KFN238" s="34"/>
      <c r="KFO238" s="34"/>
      <c r="KFP238" s="34"/>
      <c r="KFQ238" s="34"/>
      <c r="KFR238" s="34"/>
      <c r="KFS238" s="34"/>
      <c r="KFT238" s="34"/>
      <c r="KFU238" s="34"/>
      <c r="KFV238" s="34"/>
      <c r="KFW238" s="34"/>
      <c r="KFX238" s="34"/>
      <c r="KFY238" s="34"/>
      <c r="KFZ238" s="34"/>
      <c r="KGA238" s="34"/>
      <c r="KGB238" s="34"/>
      <c r="KGC238" s="34"/>
      <c r="KGD238" s="34"/>
      <c r="KGE238" s="34"/>
      <c r="KGF238" s="34"/>
      <c r="KGG238" s="34"/>
      <c r="KGH238" s="34"/>
      <c r="KGI238" s="34"/>
      <c r="KGJ238" s="34"/>
      <c r="KGK238" s="34"/>
      <c r="KGL238" s="34"/>
      <c r="KGM238" s="34"/>
      <c r="KGN238" s="34"/>
      <c r="KGO238" s="34"/>
      <c r="KGP238" s="34"/>
      <c r="KGQ238" s="34"/>
      <c r="KGR238" s="34"/>
      <c r="KGS238" s="34"/>
      <c r="KGT238" s="34"/>
      <c r="KGU238" s="34"/>
      <c r="KGV238" s="34"/>
      <c r="KGW238" s="34"/>
      <c r="KGX238" s="34"/>
      <c r="KGY238" s="34"/>
      <c r="KGZ238" s="34"/>
      <c r="KHA238" s="34"/>
      <c r="KHB238" s="34"/>
      <c r="KHC238" s="34"/>
      <c r="KHD238" s="34"/>
      <c r="KHE238" s="34"/>
      <c r="KHF238" s="34"/>
      <c r="KHG238" s="34"/>
      <c r="KHH238" s="34"/>
      <c r="KHI238" s="34"/>
      <c r="KHJ238" s="34"/>
      <c r="KHK238" s="34"/>
      <c r="KHL238" s="34"/>
      <c r="KHM238" s="34"/>
      <c r="KHN238" s="34"/>
      <c r="KHO238" s="34"/>
      <c r="KHP238" s="34"/>
      <c r="KHQ238" s="34"/>
      <c r="KHR238" s="34"/>
      <c r="KHS238" s="34"/>
      <c r="KHT238" s="34"/>
      <c r="KHU238" s="34"/>
      <c r="KHV238" s="34"/>
      <c r="KHW238" s="34"/>
      <c r="KHX238" s="34"/>
      <c r="KHY238" s="34"/>
      <c r="KHZ238" s="34"/>
      <c r="KIA238" s="34"/>
      <c r="KIB238" s="34"/>
      <c r="KIC238" s="34"/>
      <c r="KID238" s="34"/>
      <c r="KIE238" s="34"/>
      <c r="KIF238" s="34"/>
      <c r="KIG238" s="34"/>
      <c r="KIH238" s="34"/>
      <c r="KII238" s="34"/>
      <c r="KIJ238" s="34"/>
      <c r="KIK238" s="34"/>
      <c r="KIL238" s="34"/>
      <c r="KIM238" s="34"/>
      <c r="KIN238" s="34"/>
      <c r="KIO238" s="34"/>
      <c r="KIP238" s="34"/>
      <c r="KIQ238" s="34"/>
      <c r="KIR238" s="34"/>
      <c r="KIS238" s="34"/>
      <c r="KIT238" s="34"/>
      <c r="KIU238" s="34"/>
      <c r="KIV238" s="34"/>
      <c r="KIW238" s="34"/>
      <c r="KIX238" s="34"/>
      <c r="KIY238" s="34"/>
      <c r="KIZ238" s="34"/>
      <c r="KJA238" s="34"/>
      <c r="KJB238" s="34"/>
      <c r="KJC238" s="34"/>
      <c r="KJD238" s="34"/>
      <c r="KJE238" s="34"/>
      <c r="KJF238" s="34"/>
      <c r="KJG238" s="34"/>
      <c r="KJH238" s="34"/>
      <c r="KJI238" s="34"/>
      <c r="KJJ238" s="34"/>
      <c r="KJK238" s="34"/>
      <c r="KJL238" s="34"/>
      <c r="KJM238" s="34"/>
      <c r="KJN238" s="34"/>
      <c r="KJO238" s="34"/>
      <c r="KJP238" s="34"/>
      <c r="KJQ238" s="34"/>
      <c r="KJR238" s="34"/>
      <c r="KJS238" s="34"/>
      <c r="KJT238" s="34"/>
      <c r="KJU238" s="34"/>
      <c r="KJV238" s="34"/>
      <c r="KJW238" s="34"/>
      <c r="KJX238" s="34"/>
      <c r="KJY238" s="34"/>
      <c r="KJZ238" s="34"/>
      <c r="KKA238" s="34"/>
      <c r="KKB238" s="34"/>
      <c r="KKC238" s="34"/>
      <c r="KKD238" s="34"/>
      <c r="KKE238" s="34"/>
      <c r="KKF238" s="34"/>
      <c r="KKG238" s="34"/>
      <c r="KKH238" s="34"/>
      <c r="KKI238" s="34"/>
      <c r="KKJ238" s="34"/>
      <c r="KKK238" s="34"/>
      <c r="KKL238" s="34"/>
      <c r="KKM238" s="34"/>
      <c r="KKN238" s="34"/>
      <c r="KKO238" s="34"/>
      <c r="KKP238" s="34"/>
      <c r="KKQ238" s="34"/>
      <c r="KKR238" s="34"/>
      <c r="KKS238" s="34"/>
      <c r="KKT238" s="34"/>
      <c r="KKU238" s="34"/>
      <c r="KKV238" s="34"/>
      <c r="KKW238" s="34"/>
      <c r="KKX238" s="34"/>
      <c r="KKY238" s="34"/>
      <c r="KKZ238" s="34"/>
      <c r="KLA238" s="34"/>
      <c r="KLB238" s="34"/>
      <c r="KLC238" s="34"/>
      <c r="KLD238" s="34"/>
      <c r="KLE238" s="34"/>
      <c r="KLF238" s="34"/>
      <c r="KLG238" s="34"/>
      <c r="KLH238" s="34"/>
      <c r="KLI238" s="34"/>
      <c r="KLJ238" s="34"/>
      <c r="KLK238" s="34"/>
      <c r="KLL238" s="34"/>
      <c r="KLM238" s="34"/>
      <c r="KLN238" s="34"/>
      <c r="KLO238" s="34"/>
      <c r="KLP238" s="34"/>
      <c r="KLQ238" s="34"/>
      <c r="KLR238" s="34"/>
      <c r="KLS238" s="34"/>
      <c r="KLT238" s="34"/>
      <c r="KLU238" s="34"/>
      <c r="KLV238" s="34"/>
      <c r="KLW238" s="34"/>
      <c r="KLX238" s="34"/>
      <c r="KLY238" s="34"/>
      <c r="KLZ238" s="34"/>
      <c r="KMA238" s="34"/>
      <c r="KMB238" s="34"/>
      <c r="KMC238" s="34"/>
      <c r="KMD238" s="34"/>
      <c r="KME238" s="34"/>
      <c r="KMF238" s="34"/>
      <c r="KMG238" s="34"/>
      <c r="KMH238" s="34"/>
      <c r="KMI238" s="34"/>
      <c r="KMJ238" s="34"/>
      <c r="KMK238" s="34"/>
      <c r="KML238" s="34"/>
      <c r="KMM238" s="34"/>
      <c r="KMN238" s="34"/>
      <c r="KMO238" s="34"/>
      <c r="KMP238" s="34"/>
      <c r="KMQ238" s="34"/>
      <c r="KMR238" s="34"/>
      <c r="KMS238" s="34"/>
      <c r="KMT238" s="34"/>
      <c r="KMU238" s="34"/>
      <c r="KMV238" s="34"/>
      <c r="KMW238" s="34"/>
      <c r="KMX238" s="34"/>
      <c r="KMY238" s="34"/>
      <c r="KMZ238" s="34"/>
      <c r="KNA238" s="34"/>
      <c r="KNB238" s="34"/>
      <c r="KNC238" s="34"/>
      <c r="KND238" s="34"/>
      <c r="KNE238" s="34"/>
      <c r="KNF238" s="34"/>
      <c r="KNG238" s="34"/>
      <c r="KNH238" s="34"/>
      <c r="KNI238" s="34"/>
      <c r="KNJ238" s="34"/>
      <c r="KNK238" s="34"/>
      <c r="KNL238" s="34"/>
      <c r="KNM238" s="34"/>
      <c r="KNN238" s="34"/>
      <c r="KNO238" s="34"/>
      <c r="KNP238" s="34"/>
      <c r="KNQ238" s="34"/>
      <c r="KNR238" s="34"/>
      <c r="KNS238" s="34"/>
      <c r="KNT238" s="34"/>
      <c r="KNU238" s="34"/>
      <c r="KNV238" s="34"/>
      <c r="KNW238" s="34"/>
      <c r="KNX238" s="34"/>
      <c r="KNY238" s="34"/>
      <c r="KNZ238" s="34"/>
      <c r="KOA238" s="34"/>
      <c r="KOB238" s="34"/>
      <c r="KOC238" s="34"/>
      <c r="KOD238" s="34"/>
      <c r="KOE238" s="34"/>
      <c r="KOF238" s="34"/>
      <c r="KOG238" s="34"/>
      <c r="KOH238" s="34"/>
      <c r="KOI238" s="34"/>
      <c r="KOJ238" s="34"/>
      <c r="KOK238" s="34"/>
      <c r="KOL238" s="34"/>
      <c r="KOM238" s="34"/>
      <c r="KON238" s="34"/>
      <c r="KOO238" s="34"/>
      <c r="KOP238" s="34"/>
      <c r="KOQ238" s="34"/>
      <c r="KOR238" s="34"/>
      <c r="KOS238" s="34"/>
      <c r="KOT238" s="34"/>
      <c r="KOU238" s="34"/>
      <c r="KOV238" s="34"/>
      <c r="KOW238" s="34"/>
      <c r="KOX238" s="34"/>
      <c r="KOY238" s="34"/>
      <c r="KOZ238" s="34"/>
      <c r="KPA238" s="34"/>
      <c r="KPB238" s="34"/>
      <c r="KPC238" s="34"/>
      <c r="KPD238" s="34"/>
      <c r="KPE238" s="34"/>
      <c r="KPF238" s="34"/>
      <c r="KPG238" s="34"/>
      <c r="KPH238" s="34"/>
      <c r="KPI238" s="34"/>
      <c r="KPJ238" s="34"/>
      <c r="KPK238" s="34"/>
      <c r="KPL238" s="34"/>
      <c r="KPM238" s="34"/>
      <c r="KPN238" s="34"/>
      <c r="KPO238" s="34"/>
      <c r="KPP238" s="34"/>
      <c r="KPQ238" s="34"/>
      <c r="KPR238" s="34"/>
      <c r="KPS238" s="34"/>
      <c r="KPT238" s="34"/>
      <c r="KPU238" s="34"/>
      <c r="KPV238" s="34"/>
      <c r="KPW238" s="34"/>
      <c r="KPX238" s="34"/>
      <c r="KPY238" s="34"/>
      <c r="KPZ238" s="34"/>
      <c r="KQA238" s="34"/>
      <c r="KQB238" s="34"/>
      <c r="KQC238" s="34"/>
      <c r="KQD238" s="34"/>
      <c r="KQE238" s="34"/>
      <c r="KQF238" s="34"/>
      <c r="KQG238" s="34"/>
      <c r="KQH238" s="34"/>
      <c r="KQI238" s="34"/>
      <c r="KQJ238" s="34"/>
      <c r="KQK238" s="34"/>
      <c r="KQL238" s="34"/>
      <c r="KQM238" s="34"/>
      <c r="KQN238" s="34"/>
      <c r="KQO238" s="34"/>
      <c r="KQP238" s="34"/>
      <c r="KQQ238" s="34"/>
      <c r="KQR238" s="34"/>
      <c r="KQS238" s="34"/>
      <c r="KQT238" s="34"/>
      <c r="KQU238" s="34"/>
      <c r="KQV238" s="34"/>
      <c r="KQW238" s="34"/>
      <c r="KQX238" s="34"/>
      <c r="KQY238" s="34"/>
      <c r="KQZ238" s="34"/>
      <c r="KRA238" s="34"/>
      <c r="KRB238" s="34"/>
      <c r="KRC238" s="34"/>
      <c r="KRD238" s="34"/>
      <c r="KRE238" s="34"/>
      <c r="KRF238" s="34"/>
      <c r="KRG238" s="34"/>
      <c r="KRH238" s="34"/>
      <c r="KRI238" s="34"/>
      <c r="KRJ238" s="34"/>
      <c r="KRK238" s="34"/>
      <c r="KRL238" s="34"/>
      <c r="KRM238" s="34"/>
      <c r="KRN238" s="34"/>
      <c r="KRO238" s="34"/>
      <c r="KRP238" s="34"/>
      <c r="KRQ238" s="34"/>
      <c r="KRR238" s="34"/>
      <c r="KRS238" s="34"/>
      <c r="KRT238" s="34"/>
      <c r="KRU238" s="34"/>
      <c r="KRV238" s="34"/>
      <c r="KRW238" s="34"/>
      <c r="KRX238" s="34"/>
      <c r="KRY238" s="34"/>
      <c r="KRZ238" s="34"/>
      <c r="KSA238" s="34"/>
      <c r="KSB238" s="34"/>
      <c r="KSC238" s="34"/>
      <c r="KSD238" s="34"/>
      <c r="KSE238" s="34"/>
      <c r="KSF238" s="34"/>
      <c r="KSG238" s="34"/>
      <c r="KSH238" s="34"/>
      <c r="KSI238" s="34"/>
      <c r="KSJ238" s="34"/>
      <c r="KSK238" s="34"/>
      <c r="KSL238" s="34"/>
      <c r="KSM238" s="34"/>
      <c r="KSN238" s="34"/>
      <c r="KSO238" s="34"/>
      <c r="KSP238" s="34"/>
      <c r="KSQ238" s="34"/>
      <c r="KSR238" s="34"/>
      <c r="KSS238" s="34"/>
      <c r="KST238" s="34"/>
      <c r="KSU238" s="34"/>
      <c r="KSV238" s="34"/>
      <c r="KSW238" s="34"/>
      <c r="KSX238" s="34"/>
      <c r="KSY238" s="34"/>
      <c r="KSZ238" s="34"/>
      <c r="KTA238" s="34"/>
      <c r="KTB238" s="34"/>
      <c r="KTC238" s="34"/>
      <c r="KTD238" s="34"/>
      <c r="KTE238" s="34"/>
      <c r="KTF238" s="34"/>
      <c r="KTG238" s="34"/>
      <c r="KTH238" s="34"/>
      <c r="KTI238" s="34"/>
      <c r="KTJ238" s="34"/>
      <c r="KTK238" s="34"/>
      <c r="KTL238" s="34"/>
      <c r="KTM238" s="34"/>
      <c r="KTN238" s="34"/>
      <c r="KTO238" s="34"/>
      <c r="KTP238" s="34"/>
      <c r="KTQ238" s="34"/>
      <c r="KTR238" s="34"/>
      <c r="KTS238" s="34"/>
      <c r="KTT238" s="34"/>
      <c r="KTU238" s="34"/>
      <c r="KTV238" s="34"/>
      <c r="KTW238" s="34"/>
      <c r="KTX238" s="34"/>
      <c r="KTY238" s="34"/>
      <c r="KTZ238" s="34"/>
      <c r="KUA238" s="34"/>
      <c r="KUB238" s="34"/>
      <c r="KUC238" s="34"/>
      <c r="KUD238" s="34"/>
      <c r="KUE238" s="34"/>
      <c r="KUF238" s="34"/>
      <c r="KUG238" s="34"/>
      <c r="KUH238" s="34"/>
      <c r="KUI238" s="34"/>
      <c r="KUJ238" s="34"/>
      <c r="KUK238" s="34"/>
      <c r="KUL238" s="34"/>
      <c r="KUM238" s="34"/>
      <c r="KUN238" s="34"/>
      <c r="KUO238" s="34"/>
      <c r="KUP238" s="34"/>
      <c r="KUQ238" s="34"/>
      <c r="KUR238" s="34"/>
      <c r="KUS238" s="34"/>
      <c r="KUT238" s="34"/>
      <c r="KUU238" s="34"/>
      <c r="KUV238" s="34"/>
      <c r="KUW238" s="34"/>
      <c r="KUX238" s="34"/>
      <c r="KUY238" s="34"/>
      <c r="KUZ238" s="34"/>
      <c r="KVA238" s="34"/>
      <c r="KVB238" s="34"/>
      <c r="KVC238" s="34"/>
      <c r="KVD238" s="34"/>
      <c r="KVE238" s="34"/>
      <c r="KVF238" s="34"/>
      <c r="KVG238" s="34"/>
      <c r="KVH238" s="34"/>
      <c r="KVI238" s="34"/>
      <c r="KVJ238" s="34"/>
      <c r="KVK238" s="34"/>
      <c r="KVL238" s="34"/>
      <c r="KVM238" s="34"/>
      <c r="KVN238" s="34"/>
      <c r="KVO238" s="34"/>
      <c r="KVP238" s="34"/>
      <c r="KVQ238" s="34"/>
      <c r="KVR238" s="34"/>
      <c r="KVS238" s="34"/>
      <c r="KVT238" s="34"/>
      <c r="KVU238" s="34"/>
      <c r="KVV238" s="34"/>
      <c r="KVW238" s="34"/>
      <c r="KVX238" s="34"/>
      <c r="KVY238" s="34"/>
      <c r="KVZ238" s="34"/>
      <c r="KWA238" s="34"/>
      <c r="KWB238" s="34"/>
      <c r="KWC238" s="34"/>
      <c r="KWD238" s="34"/>
      <c r="KWE238" s="34"/>
      <c r="KWF238" s="34"/>
      <c r="KWG238" s="34"/>
      <c r="KWH238" s="34"/>
      <c r="KWI238" s="34"/>
      <c r="KWJ238" s="34"/>
      <c r="KWK238" s="34"/>
      <c r="KWL238" s="34"/>
      <c r="KWM238" s="34"/>
      <c r="KWN238" s="34"/>
      <c r="KWO238" s="34"/>
      <c r="KWP238" s="34"/>
      <c r="KWQ238" s="34"/>
      <c r="KWR238" s="34"/>
      <c r="KWS238" s="34"/>
      <c r="KWT238" s="34"/>
      <c r="KWU238" s="34"/>
      <c r="KWV238" s="34"/>
      <c r="KWW238" s="34"/>
      <c r="KWX238" s="34"/>
      <c r="KWY238" s="34"/>
      <c r="KWZ238" s="34"/>
      <c r="KXA238" s="34"/>
      <c r="KXB238" s="34"/>
      <c r="KXC238" s="34"/>
      <c r="KXD238" s="34"/>
      <c r="KXE238" s="34"/>
      <c r="KXF238" s="34"/>
      <c r="KXG238" s="34"/>
      <c r="KXH238" s="34"/>
      <c r="KXI238" s="34"/>
      <c r="KXJ238" s="34"/>
      <c r="KXK238" s="34"/>
      <c r="KXL238" s="34"/>
      <c r="KXM238" s="34"/>
      <c r="KXN238" s="34"/>
      <c r="KXO238" s="34"/>
      <c r="KXP238" s="34"/>
      <c r="KXQ238" s="34"/>
      <c r="KXR238" s="34"/>
      <c r="KXS238" s="34"/>
      <c r="KXT238" s="34"/>
      <c r="KXU238" s="34"/>
      <c r="KXV238" s="34"/>
      <c r="KXW238" s="34"/>
      <c r="KXX238" s="34"/>
      <c r="KXY238" s="34"/>
      <c r="KXZ238" s="34"/>
      <c r="KYA238" s="34"/>
      <c r="KYB238" s="34"/>
      <c r="KYC238" s="34"/>
      <c r="KYD238" s="34"/>
      <c r="KYE238" s="34"/>
      <c r="KYF238" s="34"/>
      <c r="KYG238" s="34"/>
      <c r="KYH238" s="34"/>
      <c r="KYI238" s="34"/>
      <c r="KYJ238" s="34"/>
      <c r="KYK238" s="34"/>
      <c r="KYL238" s="34"/>
      <c r="KYM238" s="34"/>
      <c r="KYN238" s="34"/>
      <c r="KYO238" s="34"/>
      <c r="KYP238" s="34"/>
      <c r="KYQ238" s="34"/>
      <c r="KYR238" s="34"/>
      <c r="KYS238" s="34"/>
      <c r="KYT238" s="34"/>
      <c r="KYU238" s="34"/>
      <c r="KYV238" s="34"/>
      <c r="KYW238" s="34"/>
      <c r="KYX238" s="34"/>
      <c r="KYY238" s="34"/>
      <c r="KYZ238" s="34"/>
      <c r="KZA238" s="34"/>
      <c r="KZB238" s="34"/>
      <c r="KZC238" s="34"/>
      <c r="KZD238" s="34"/>
      <c r="KZE238" s="34"/>
      <c r="KZF238" s="34"/>
      <c r="KZG238" s="34"/>
      <c r="KZH238" s="34"/>
      <c r="KZI238" s="34"/>
      <c r="KZJ238" s="34"/>
      <c r="KZK238" s="34"/>
      <c r="KZL238" s="34"/>
      <c r="KZM238" s="34"/>
      <c r="KZN238" s="34"/>
      <c r="KZO238" s="34"/>
      <c r="KZP238" s="34"/>
      <c r="KZQ238" s="34"/>
      <c r="KZR238" s="34"/>
      <c r="KZS238" s="34"/>
      <c r="KZT238" s="34"/>
      <c r="KZU238" s="34"/>
      <c r="KZV238" s="34"/>
      <c r="KZW238" s="34"/>
      <c r="KZX238" s="34"/>
      <c r="KZY238" s="34"/>
      <c r="KZZ238" s="34"/>
      <c r="LAA238" s="34"/>
      <c r="LAB238" s="34"/>
      <c r="LAC238" s="34"/>
      <c r="LAD238" s="34"/>
      <c r="LAE238" s="34"/>
      <c r="LAF238" s="34"/>
      <c r="LAG238" s="34"/>
      <c r="LAH238" s="34"/>
      <c r="LAI238" s="34"/>
      <c r="LAJ238" s="34"/>
      <c r="LAK238" s="34"/>
      <c r="LAL238" s="34"/>
      <c r="LAM238" s="34"/>
      <c r="LAN238" s="34"/>
      <c r="LAO238" s="34"/>
      <c r="LAP238" s="34"/>
      <c r="LAQ238" s="34"/>
      <c r="LAR238" s="34"/>
      <c r="LAS238" s="34"/>
      <c r="LAT238" s="34"/>
      <c r="LAU238" s="34"/>
      <c r="LAV238" s="34"/>
      <c r="LAW238" s="34"/>
      <c r="LAX238" s="34"/>
      <c r="LAY238" s="34"/>
      <c r="LAZ238" s="34"/>
      <c r="LBA238" s="34"/>
      <c r="LBB238" s="34"/>
      <c r="LBC238" s="34"/>
      <c r="LBD238" s="34"/>
      <c r="LBE238" s="34"/>
      <c r="LBF238" s="34"/>
      <c r="LBG238" s="34"/>
      <c r="LBH238" s="34"/>
      <c r="LBI238" s="34"/>
      <c r="LBJ238" s="34"/>
      <c r="LBK238" s="34"/>
      <c r="LBL238" s="34"/>
      <c r="LBM238" s="34"/>
      <c r="LBN238" s="34"/>
      <c r="LBO238" s="34"/>
      <c r="LBP238" s="34"/>
      <c r="LBQ238" s="34"/>
      <c r="LBR238" s="34"/>
      <c r="LBS238" s="34"/>
      <c r="LBT238" s="34"/>
      <c r="LBU238" s="34"/>
      <c r="LBV238" s="34"/>
      <c r="LBW238" s="34"/>
      <c r="LBX238" s="34"/>
      <c r="LBY238" s="34"/>
      <c r="LBZ238" s="34"/>
      <c r="LCA238" s="34"/>
      <c r="LCB238" s="34"/>
      <c r="LCC238" s="34"/>
      <c r="LCD238" s="34"/>
      <c r="LCE238" s="34"/>
      <c r="LCF238" s="34"/>
      <c r="LCG238" s="34"/>
      <c r="LCH238" s="34"/>
      <c r="LCI238" s="34"/>
      <c r="LCJ238" s="34"/>
      <c r="LCK238" s="34"/>
      <c r="LCL238" s="34"/>
      <c r="LCM238" s="34"/>
      <c r="LCN238" s="34"/>
      <c r="LCO238" s="34"/>
      <c r="LCP238" s="34"/>
      <c r="LCQ238" s="34"/>
      <c r="LCR238" s="34"/>
      <c r="LCS238" s="34"/>
      <c r="LCT238" s="34"/>
      <c r="LCU238" s="34"/>
      <c r="LCV238" s="34"/>
      <c r="LCW238" s="34"/>
      <c r="LCX238" s="34"/>
      <c r="LCY238" s="34"/>
      <c r="LCZ238" s="34"/>
      <c r="LDA238" s="34"/>
      <c r="LDB238" s="34"/>
      <c r="LDC238" s="34"/>
      <c r="LDD238" s="34"/>
      <c r="LDE238" s="34"/>
      <c r="LDF238" s="34"/>
      <c r="LDG238" s="34"/>
      <c r="LDH238" s="34"/>
      <c r="LDI238" s="34"/>
      <c r="LDJ238" s="34"/>
      <c r="LDK238" s="34"/>
      <c r="LDL238" s="34"/>
      <c r="LDM238" s="34"/>
      <c r="LDN238" s="34"/>
      <c r="LDO238" s="34"/>
      <c r="LDP238" s="34"/>
      <c r="LDQ238" s="34"/>
      <c r="LDR238" s="34"/>
      <c r="LDS238" s="34"/>
      <c r="LDT238" s="34"/>
      <c r="LDU238" s="34"/>
      <c r="LDV238" s="34"/>
      <c r="LDW238" s="34"/>
      <c r="LDX238" s="34"/>
      <c r="LDY238" s="34"/>
      <c r="LDZ238" s="34"/>
      <c r="LEA238" s="34"/>
      <c r="LEB238" s="34"/>
      <c r="LEC238" s="34"/>
      <c r="LED238" s="34"/>
      <c r="LEE238" s="34"/>
      <c r="LEF238" s="34"/>
      <c r="LEG238" s="34"/>
      <c r="LEH238" s="34"/>
      <c r="LEI238" s="34"/>
      <c r="LEJ238" s="34"/>
      <c r="LEK238" s="34"/>
      <c r="LEL238" s="34"/>
      <c r="LEM238" s="34"/>
      <c r="LEN238" s="34"/>
      <c r="LEO238" s="34"/>
      <c r="LEP238" s="34"/>
      <c r="LEQ238" s="34"/>
      <c r="LER238" s="34"/>
      <c r="LES238" s="34"/>
      <c r="LET238" s="34"/>
      <c r="LEU238" s="34"/>
      <c r="LEV238" s="34"/>
      <c r="LEW238" s="34"/>
      <c r="LEX238" s="34"/>
      <c r="LEY238" s="34"/>
      <c r="LEZ238" s="34"/>
      <c r="LFA238" s="34"/>
      <c r="LFB238" s="34"/>
      <c r="LFC238" s="34"/>
      <c r="LFD238" s="34"/>
      <c r="LFE238" s="34"/>
      <c r="LFF238" s="34"/>
      <c r="LFG238" s="34"/>
      <c r="LFH238" s="34"/>
      <c r="LFI238" s="34"/>
      <c r="LFJ238" s="34"/>
      <c r="LFK238" s="34"/>
      <c r="LFL238" s="34"/>
      <c r="LFM238" s="34"/>
      <c r="LFN238" s="34"/>
      <c r="LFO238" s="34"/>
      <c r="LFP238" s="34"/>
      <c r="LFQ238" s="34"/>
      <c r="LFR238" s="34"/>
      <c r="LFS238" s="34"/>
      <c r="LFT238" s="34"/>
      <c r="LFU238" s="34"/>
      <c r="LFV238" s="34"/>
      <c r="LFW238" s="34"/>
      <c r="LFX238" s="34"/>
      <c r="LFY238" s="34"/>
      <c r="LFZ238" s="34"/>
      <c r="LGA238" s="34"/>
      <c r="LGB238" s="34"/>
      <c r="LGC238" s="34"/>
      <c r="LGD238" s="34"/>
      <c r="LGE238" s="34"/>
      <c r="LGF238" s="34"/>
      <c r="LGG238" s="34"/>
      <c r="LGH238" s="34"/>
      <c r="LGI238" s="34"/>
      <c r="LGJ238" s="34"/>
      <c r="LGK238" s="34"/>
      <c r="LGL238" s="34"/>
      <c r="LGM238" s="34"/>
      <c r="LGN238" s="34"/>
      <c r="LGO238" s="34"/>
      <c r="LGP238" s="34"/>
      <c r="LGQ238" s="34"/>
      <c r="LGR238" s="34"/>
      <c r="LGS238" s="34"/>
      <c r="LGT238" s="34"/>
      <c r="LGU238" s="34"/>
      <c r="LGV238" s="34"/>
      <c r="LGW238" s="34"/>
      <c r="LGX238" s="34"/>
      <c r="LGY238" s="34"/>
      <c r="LGZ238" s="34"/>
      <c r="LHA238" s="34"/>
      <c r="LHB238" s="34"/>
      <c r="LHC238" s="34"/>
      <c r="LHD238" s="34"/>
      <c r="LHE238" s="34"/>
      <c r="LHF238" s="34"/>
      <c r="LHG238" s="34"/>
      <c r="LHH238" s="34"/>
      <c r="LHI238" s="34"/>
      <c r="LHJ238" s="34"/>
      <c r="LHK238" s="34"/>
      <c r="LHL238" s="34"/>
      <c r="LHM238" s="34"/>
      <c r="LHN238" s="34"/>
      <c r="LHO238" s="34"/>
      <c r="LHP238" s="34"/>
      <c r="LHQ238" s="34"/>
      <c r="LHR238" s="34"/>
      <c r="LHS238" s="34"/>
      <c r="LHT238" s="34"/>
      <c r="LHU238" s="34"/>
      <c r="LHV238" s="34"/>
      <c r="LHW238" s="34"/>
      <c r="LHX238" s="34"/>
      <c r="LHY238" s="34"/>
      <c r="LHZ238" s="34"/>
      <c r="LIA238" s="34"/>
      <c r="LIB238" s="34"/>
      <c r="LIC238" s="34"/>
      <c r="LID238" s="34"/>
      <c r="LIE238" s="34"/>
      <c r="LIF238" s="34"/>
      <c r="LIG238" s="34"/>
      <c r="LIH238" s="34"/>
      <c r="LII238" s="34"/>
      <c r="LIJ238" s="34"/>
      <c r="LIK238" s="34"/>
      <c r="LIL238" s="34"/>
      <c r="LIM238" s="34"/>
      <c r="LIN238" s="34"/>
      <c r="LIO238" s="34"/>
      <c r="LIP238" s="34"/>
      <c r="LIQ238" s="34"/>
      <c r="LIR238" s="34"/>
      <c r="LIS238" s="34"/>
      <c r="LIT238" s="34"/>
      <c r="LIU238" s="34"/>
      <c r="LIV238" s="34"/>
      <c r="LIW238" s="34"/>
      <c r="LIX238" s="34"/>
      <c r="LIY238" s="34"/>
      <c r="LIZ238" s="34"/>
      <c r="LJA238" s="34"/>
      <c r="LJB238" s="34"/>
      <c r="LJC238" s="34"/>
      <c r="LJD238" s="34"/>
      <c r="LJE238" s="34"/>
      <c r="LJF238" s="34"/>
      <c r="LJG238" s="34"/>
      <c r="LJH238" s="34"/>
      <c r="LJI238" s="34"/>
      <c r="LJJ238" s="34"/>
      <c r="LJK238" s="34"/>
      <c r="LJL238" s="34"/>
      <c r="LJM238" s="34"/>
      <c r="LJN238" s="34"/>
      <c r="LJO238" s="34"/>
      <c r="LJP238" s="34"/>
      <c r="LJQ238" s="34"/>
      <c r="LJR238" s="34"/>
      <c r="LJS238" s="34"/>
      <c r="LJT238" s="34"/>
      <c r="LJU238" s="34"/>
      <c r="LJV238" s="34"/>
      <c r="LJW238" s="34"/>
      <c r="LJX238" s="34"/>
      <c r="LJY238" s="34"/>
      <c r="LJZ238" s="34"/>
      <c r="LKA238" s="34"/>
      <c r="LKB238" s="34"/>
      <c r="LKC238" s="34"/>
      <c r="LKD238" s="34"/>
      <c r="LKE238" s="34"/>
      <c r="LKF238" s="34"/>
      <c r="LKG238" s="34"/>
      <c r="LKH238" s="34"/>
      <c r="LKI238" s="34"/>
      <c r="LKJ238" s="34"/>
      <c r="LKK238" s="34"/>
      <c r="LKL238" s="34"/>
      <c r="LKM238" s="34"/>
      <c r="LKN238" s="34"/>
      <c r="LKO238" s="34"/>
      <c r="LKP238" s="34"/>
      <c r="LKQ238" s="34"/>
      <c r="LKR238" s="34"/>
      <c r="LKS238" s="34"/>
      <c r="LKT238" s="34"/>
      <c r="LKU238" s="34"/>
      <c r="LKV238" s="34"/>
      <c r="LKW238" s="34"/>
      <c r="LKX238" s="34"/>
      <c r="LKY238" s="34"/>
      <c r="LKZ238" s="34"/>
      <c r="LLA238" s="34"/>
      <c r="LLB238" s="34"/>
      <c r="LLC238" s="34"/>
      <c r="LLD238" s="34"/>
      <c r="LLE238" s="34"/>
      <c r="LLF238" s="34"/>
      <c r="LLG238" s="34"/>
      <c r="LLH238" s="34"/>
      <c r="LLI238" s="34"/>
      <c r="LLJ238" s="34"/>
      <c r="LLK238" s="34"/>
      <c r="LLL238" s="34"/>
      <c r="LLM238" s="34"/>
      <c r="LLN238" s="34"/>
      <c r="LLO238" s="34"/>
      <c r="LLP238" s="34"/>
      <c r="LLQ238" s="34"/>
      <c r="LLR238" s="34"/>
      <c r="LLS238" s="34"/>
      <c r="LLT238" s="34"/>
      <c r="LLU238" s="34"/>
      <c r="LLV238" s="34"/>
      <c r="LLW238" s="34"/>
      <c r="LLX238" s="34"/>
      <c r="LLY238" s="34"/>
      <c r="LLZ238" s="34"/>
      <c r="LMA238" s="34"/>
      <c r="LMB238" s="34"/>
      <c r="LMC238" s="34"/>
      <c r="LMD238" s="34"/>
      <c r="LME238" s="34"/>
      <c r="LMF238" s="34"/>
      <c r="LMG238" s="34"/>
      <c r="LMH238" s="34"/>
      <c r="LMI238" s="34"/>
      <c r="LMJ238" s="34"/>
      <c r="LMK238" s="34"/>
      <c r="LML238" s="34"/>
      <c r="LMM238" s="34"/>
      <c r="LMN238" s="34"/>
      <c r="LMO238" s="34"/>
      <c r="LMP238" s="34"/>
      <c r="LMQ238" s="34"/>
      <c r="LMR238" s="34"/>
      <c r="LMS238" s="34"/>
      <c r="LMT238" s="34"/>
      <c r="LMU238" s="34"/>
      <c r="LMV238" s="34"/>
      <c r="LMW238" s="34"/>
      <c r="LMX238" s="34"/>
      <c r="LMY238" s="34"/>
      <c r="LMZ238" s="34"/>
      <c r="LNA238" s="34"/>
      <c r="LNB238" s="34"/>
      <c r="LNC238" s="34"/>
      <c r="LND238" s="34"/>
      <c r="LNE238" s="34"/>
      <c r="LNF238" s="34"/>
      <c r="LNG238" s="34"/>
      <c r="LNH238" s="34"/>
      <c r="LNI238" s="34"/>
      <c r="LNJ238" s="34"/>
      <c r="LNK238" s="34"/>
      <c r="LNL238" s="34"/>
      <c r="LNM238" s="34"/>
      <c r="LNN238" s="34"/>
      <c r="LNO238" s="34"/>
      <c r="LNP238" s="34"/>
      <c r="LNQ238" s="34"/>
      <c r="LNR238" s="34"/>
      <c r="LNS238" s="34"/>
      <c r="LNT238" s="34"/>
      <c r="LNU238" s="34"/>
      <c r="LNV238" s="34"/>
      <c r="LNW238" s="34"/>
      <c r="LNX238" s="34"/>
      <c r="LNY238" s="34"/>
      <c r="LNZ238" s="34"/>
      <c r="LOA238" s="34"/>
      <c r="LOB238" s="34"/>
      <c r="LOC238" s="34"/>
      <c r="LOD238" s="34"/>
      <c r="LOE238" s="34"/>
      <c r="LOF238" s="34"/>
      <c r="LOG238" s="34"/>
      <c r="LOH238" s="34"/>
      <c r="LOI238" s="34"/>
      <c r="LOJ238" s="34"/>
      <c r="LOK238" s="34"/>
      <c r="LOL238" s="34"/>
      <c r="LOM238" s="34"/>
      <c r="LON238" s="34"/>
      <c r="LOO238" s="34"/>
      <c r="LOP238" s="34"/>
      <c r="LOQ238" s="34"/>
      <c r="LOR238" s="34"/>
      <c r="LOS238" s="34"/>
      <c r="LOT238" s="34"/>
      <c r="LOU238" s="34"/>
      <c r="LOV238" s="34"/>
      <c r="LOW238" s="34"/>
      <c r="LOX238" s="34"/>
      <c r="LOY238" s="34"/>
      <c r="LOZ238" s="34"/>
      <c r="LPA238" s="34"/>
      <c r="LPB238" s="34"/>
      <c r="LPC238" s="34"/>
      <c r="LPD238" s="34"/>
      <c r="LPE238" s="34"/>
      <c r="LPF238" s="34"/>
      <c r="LPG238" s="34"/>
      <c r="LPH238" s="34"/>
      <c r="LPI238" s="34"/>
      <c r="LPJ238" s="34"/>
      <c r="LPK238" s="34"/>
      <c r="LPL238" s="34"/>
      <c r="LPM238" s="34"/>
      <c r="LPN238" s="34"/>
      <c r="LPO238" s="34"/>
      <c r="LPP238" s="34"/>
      <c r="LPQ238" s="34"/>
      <c r="LPR238" s="34"/>
      <c r="LPS238" s="34"/>
      <c r="LPT238" s="34"/>
      <c r="LPU238" s="34"/>
      <c r="LPV238" s="34"/>
      <c r="LPW238" s="34"/>
      <c r="LPX238" s="34"/>
      <c r="LPY238" s="34"/>
      <c r="LPZ238" s="34"/>
      <c r="LQA238" s="34"/>
      <c r="LQB238" s="34"/>
      <c r="LQC238" s="34"/>
      <c r="LQD238" s="34"/>
      <c r="LQE238" s="34"/>
      <c r="LQF238" s="34"/>
      <c r="LQG238" s="34"/>
      <c r="LQH238" s="34"/>
      <c r="LQI238" s="34"/>
      <c r="LQJ238" s="34"/>
      <c r="LQK238" s="34"/>
      <c r="LQL238" s="34"/>
      <c r="LQM238" s="34"/>
      <c r="LQN238" s="34"/>
      <c r="LQO238" s="34"/>
      <c r="LQP238" s="34"/>
      <c r="LQQ238" s="34"/>
      <c r="LQR238" s="34"/>
      <c r="LQS238" s="34"/>
      <c r="LQT238" s="34"/>
      <c r="LQU238" s="34"/>
      <c r="LQV238" s="34"/>
      <c r="LQW238" s="34"/>
      <c r="LQX238" s="34"/>
      <c r="LQY238" s="34"/>
      <c r="LQZ238" s="34"/>
      <c r="LRA238" s="34"/>
      <c r="LRB238" s="34"/>
      <c r="LRC238" s="34"/>
      <c r="LRD238" s="34"/>
      <c r="LRE238" s="34"/>
      <c r="LRF238" s="34"/>
      <c r="LRG238" s="34"/>
      <c r="LRH238" s="34"/>
      <c r="LRI238" s="34"/>
      <c r="LRJ238" s="34"/>
      <c r="LRK238" s="34"/>
      <c r="LRL238" s="34"/>
      <c r="LRM238" s="34"/>
      <c r="LRN238" s="34"/>
      <c r="LRO238" s="34"/>
      <c r="LRP238" s="34"/>
      <c r="LRQ238" s="34"/>
      <c r="LRR238" s="34"/>
      <c r="LRS238" s="34"/>
      <c r="LRT238" s="34"/>
      <c r="LRU238" s="34"/>
      <c r="LRV238" s="34"/>
      <c r="LRW238" s="34"/>
      <c r="LRX238" s="34"/>
      <c r="LRY238" s="34"/>
      <c r="LRZ238" s="34"/>
      <c r="LSA238" s="34"/>
      <c r="LSB238" s="34"/>
      <c r="LSC238" s="34"/>
      <c r="LSD238" s="34"/>
      <c r="LSE238" s="34"/>
      <c r="LSF238" s="34"/>
      <c r="LSG238" s="34"/>
      <c r="LSH238" s="34"/>
      <c r="LSI238" s="34"/>
      <c r="LSJ238" s="34"/>
      <c r="LSK238" s="34"/>
      <c r="LSL238" s="34"/>
      <c r="LSM238" s="34"/>
      <c r="LSN238" s="34"/>
      <c r="LSO238" s="34"/>
      <c r="LSP238" s="34"/>
      <c r="LSQ238" s="34"/>
      <c r="LSR238" s="34"/>
      <c r="LSS238" s="34"/>
      <c r="LST238" s="34"/>
      <c r="LSU238" s="34"/>
      <c r="LSV238" s="34"/>
      <c r="LSW238" s="34"/>
      <c r="LSX238" s="34"/>
      <c r="LSY238" s="34"/>
      <c r="LSZ238" s="34"/>
      <c r="LTA238" s="34"/>
      <c r="LTB238" s="34"/>
      <c r="LTC238" s="34"/>
      <c r="LTD238" s="34"/>
      <c r="LTE238" s="34"/>
      <c r="LTF238" s="34"/>
      <c r="LTG238" s="34"/>
      <c r="LTH238" s="34"/>
      <c r="LTI238" s="34"/>
      <c r="LTJ238" s="34"/>
      <c r="LTK238" s="34"/>
      <c r="LTL238" s="34"/>
      <c r="LTM238" s="34"/>
      <c r="LTN238" s="34"/>
      <c r="LTO238" s="34"/>
      <c r="LTP238" s="34"/>
      <c r="LTQ238" s="34"/>
      <c r="LTR238" s="34"/>
      <c r="LTS238" s="34"/>
      <c r="LTT238" s="34"/>
      <c r="LTU238" s="34"/>
      <c r="LTV238" s="34"/>
      <c r="LTW238" s="34"/>
      <c r="LTX238" s="34"/>
      <c r="LTY238" s="34"/>
      <c r="LTZ238" s="34"/>
      <c r="LUA238" s="34"/>
      <c r="LUB238" s="34"/>
      <c r="LUC238" s="34"/>
      <c r="LUD238" s="34"/>
      <c r="LUE238" s="34"/>
      <c r="LUF238" s="34"/>
      <c r="LUG238" s="34"/>
      <c r="LUH238" s="34"/>
      <c r="LUI238" s="34"/>
      <c r="LUJ238" s="34"/>
      <c r="LUK238" s="34"/>
      <c r="LUL238" s="34"/>
      <c r="LUM238" s="34"/>
      <c r="LUN238" s="34"/>
      <c r="LUO238" s="34"/>
      <c r="LUP238" s="34"/>
      <c r="LUQ238" s="34"/>
      <c r="LUR238" s="34"/>
      <c r="LUS238" s="34"/>
      <c r="LUT238" s="34"/>
      <c r="LUU238" s="34"/>
      <c r="LUV238" s="34"/>
      <c r="LUW238" s="34"/>
      <c r="LUX238" s="34"/>
      <c r="LUY238" s="34"/>
      <c r="LUZ238" s="34"/>
      <c r="LVA238" s="34"/>
      <c r="LVB238" s="34"/>
      <c r="LVC238" s="34"/>
      <c r="LVD238" s="34"/>
      <c r="LVE238" s="34"/>
      <c r="LVF238" s="34"/>
      <c r="LVG238" s="34"/>
      <c r="LVH238" s="34"/>
      <c r="LVI238" s="34"/>
      <c r="LVJ238" s="34"/>
      <c r="LVK238" s="34"/>
      <c r="LVL238" s="34"/>
      <c r="LVM238" s="34"/>
      <c r="LVN238" s="34"/>
      <c r="LVO238" s="34"/>
      <c r="LVP238" s="34"/>
      <c r="LVQ238" s="34"/>
      <c r="LVR238" s="34"/>
      <c r="LVS238" s="34"/>
      <c r="LVT238" s="34"/>
      <c r="LVU238" s="34"/>
      <c r="LVV238" s="34"/>
      <c r="LVW238" s="34"/>
      <c r="LVX238" s="34"/>
      <c r="LVY238" s="34"/>
      <c r="LVZ238" s="34"/>
      <c r="LWA238" s="34"/>
      <c r="LWB238" s="34"/>
      <c r="LWC238" s="34"/>
      <c r="LWD238" s="34"/>
      <c r="LWE238" s="34"/>
      <c r="LWF238" s="34"/>
      <c r="LWG238" s="34"/>
      <c r="LWH238" s="34"/>
      <c r="LWI238" s="34"/>
      <c r="LWJ238" s="34"/>
      <c r="LWK238" s="34"/>
      <c r="LWL238" s="34"/>
      <c r="LWM238" s="34"/>
      <c r="LWN238" s="34"/>
      <c r="LWO238" s="34"/>
      <c r="LWP238" s="34"/>
      <c r="LWQ238" s="34"/>
      <c r="LWR238" s="34"/>
      <c r="LWS238" s="34"/>
      <c r="LWT238" s="34"/>
      <c r="LWU238" s="34"/>
      <c r="LWV238" s="34"/>
      <c r="LWW238" s="34"/>
      <c r="LWX238" s="34"/>
      <c r="LWY238" s="34"/>
      <c r="LWZ238" s="34"/>
      <c r="LXA238" s="34"/>
      <c r="LXB238" s="34"/>
      <c r="LXC238" s="34"/>
      <c r="LXD238" s="34"/>
      <c r="LXE238" s="34"/>
      <c r="LXF238" s="34"/>
      <c r="LXG238" s="34"/>
      <c r="LXH238" s="34"/>
      <c r="LXI238" s="34"/>
      <c r="LXJ238" s="34"/>
      <c r="LXK238" s="34"/>
      <c r="LXL238" s="34"/>
      <c r="LXM238" s="34"/>
      <c r="LXN238" s="34"/>
      <c r="LXO238" s="34"/>
      <c r="LXP238" s="34"/>
      <c r="LXQ238" s="34"/>
      <c r="LXR238" s="34"/>
      <c r="LXS238" s="34"/>
      <c r="LXT238" s="34"/>
      <c r="LXU238" s="34"/>
      <c r="LXV238" s="34"/>
      <c r="LXW238" s="34"/>
      <c r="LXX238" s="34"/>
      <c r="LXY238" s="34"/>
      <c r="LXZ238" s="34"/>
      <c r="LYA238" s="34"/>
      <c r="LYB238" s="34"/>
      <c r="LYC238" s="34"/>
      <c r="LYD238" s="34"/>
      <c r="LYE238" s="34"/>
      <c r="LYF238" s="34"/>
      <c r="LYG238" s="34"/>
      <c r="LYH238" s="34"/>
      <c r="LYI238" s="34"/>
      <c r="LYJ238" s="34"/>
      <c r="LYK238" s="34"/>
      <c r="LYL238" s="34"/>
      <c r="LYM238" s="34"/>
      <c r="LYN238" s="34"/>
      <c r="LYO238" s="34"/>
      <c r="LYP238" s="34"/>
      <c r="LYQ238" s="34"/>
      <c r="LYR238" s="34"/>
      <c r="LYS238" s="34"/>
      <c r="LYT238" s="34"/>
      <c r="LYU238" s="34"/>
      <c r="LYV238" s="34"/>
      <c r="LYW238" s="34"/>
      <c r="LYX238" s="34"/>
      <c r="LYY238" s="34"/>
      <c r="LYZ238" s="34"/>
      <c r="LZA238" s="34"/>
      <c r="LZB238" s="34"/>
      <c r="LZC238" s="34"/>
      <c r="LZD238" s="34"/>
      <c r="LZE238" s="34"/>
      <c r="LZF238" s="34"/>
      <c r="LZG238" s="34"/>
      <c r="LZH238" s="34"/>
      <c r="LZI238" s="34"/>
      <c r="LZJ238" s="34"/>
      <c r="LZK238" s="34"/>
      <c r="LZL238" s="34"/>
      <c r="LZM238" s="34"/>
      <c r="LZN238" s="34"/>
      <c r="LZO238" s="34"/>
      <c r="LZP238" s="34"/>
      <c r="LZQ238" s="34"/>
      <c r="LZR238" s="34"/>
      <c r="LZS238" s="34"/>
      <c r="LZT238" s="34"/>
      <c r="LZU238" s="34"/>
      <c r="LZV238" s="34"/>
      <c r="LZW238" s="34"/>
      <c r="LZX238" s="34"/>
      <c r="LZY238" s="34"/>
      <c r="LZZ238" s="34"/>
      <c r="MAA238" s="34"/>
      <c r="MAB238" s="34"/>
      <c r="MAC238" s="34"/>
      <c r="MAD238" s="34"/>
      <c r="MAE238" s="34"/>
      <c r="MAF238" s="34"/>
      <c r="MAG238" s="34"/>
      <c r="MAH238" s="34"/>
      <c r="MAI238" s="34"/>
      <c r="MAJ238" s="34"/>
      <c r="MAK238" s="34"/>
      <c r="MAL238" s="34"/>
      <c r="MAM238" s="34"/>
      <c r="MAN238" s="34"/>
      <c r="MAO238" s="34"/>
      <c r="MAP238" s="34"/>
      <c r="MAQ238" s="34"/>
      <c r="MAR238" s="34"/>
      <c r="MAS238" s="34"/>
      <c r="MAT238" s="34"/>
      <c r="MAU238" s="34"/>
      <c r="MAV238" s="34"/>
      <c r="MAW238" s="34"/>
      <c r="MAX238" s="34"/>
      <c r="MAY238" s="34"/>
      <c r="MAZ238" s="34"/>
      <c r="MBA238" s="34"/>
      <c r="MBB238" s="34"/>
      <c r="MBC238" s="34"/>
      <c r="MBD238" s="34"/>
      <c r="MBE238" s="34"/>
      <c r="MBF238" s="34"/>
      <c r="MBG238" s="34"/>
      <c r="MBH238" s="34"/>
      <c r="MBI238" s="34"/>
      <c r="MBJ238" s="34"/>
      <c r="MBK238" s="34"/>
      <c r="MBL238" s="34"/>
      <c r="MBM238" s="34"/>
      <c r="MBN238" s="34"/>
      <c r="MBO238" s="34"/>
      <c r="MBP238" s="34"/>
      <c r="MBQ238" s="34"/>
      <c r="MBR238" s="34"/>
      <c r="MBS238" s="34"/>
      <c r="MBT238" s="34"/>
      <c r="MBU238" s="34"/>
      <c r="MBV238" s="34"/>
      <c r="MBW238" s="34"/>
      <c r="MBX238" s="34"/>
      <c r="MBY238" s="34"/>
      <c r="MBZ238" s="34"/>
      <c r="MCA238" s="34"/>
      <c r="MCB238" s="34"/>
      <c r="MCC238" s="34"/>
      <c r="MCD238" s="34"/>
      <c r="MCE238" s="34"/>
      <c r="MCF238" s="34"/>
      <c r="MCG238" s="34"/>
      <c r="MCH238" s="34"/>
      <c r="MCI238" s="34"/>
      <c r="MCJ238" s="34"/>
      <c r="MCK238" s="34"/>
      <c r="MCL238" s="34"/>
      <c r="MCM238" s="34"/>
      <c r="MCN238" s="34"/>
      <c r="MCO238" s="34"/>
      <c r="MCP238" s="34"/>
      <c r="MCQ238" s="34"/>
      <c r="MCR238" s="34"/>
      <c r="MCS238" s="34"/>
      <c r="MCT238" s="34"/>
      <c r="MCU238" s="34"/>
      <c r="MCV238" s="34"/>
      <c r="MCW238" s="34"/>
      <c r="MCX238" s="34"/>
      <c r="MCY238" s="34"/>
      <c r="MCZ238" s="34"/>
      <c r="MDA238" s="34"/>
      <c r="MDB238" s="34"/>
      <c r="MDC238" s="34"/>
      <c r="MDD238" s="34"/>
      <c r="MDE238" s="34"/>
      <c r="MDF238" s="34"/>
      <c r="MDG238" s="34"/>
      <c r="MDH238" s="34"/>
      <c r="MDI238" s="34"/>
      <c r="MDJ238" s="34"/>
      <c r="MDK238" s="34"/>
      <c r="MDL238" s="34"/>
      <c r="MDM238" s="34"/>
      <c r="MDN238" s="34"/>
      <c r="MDO238" s="34"/>
      <c r="MDP238" s="34"/>
      <c r="MDQ238" s="34"/>
      <c r="MDR238" s="34"/>
      <c r="MDS238" s="34"/>
      <c r="MDT238" s="34"/>
      <c r="MDU238" s="34"/>
      <c r="MDV238" s="34"/>
      <c r="MDW238" s="34"/>
      <c r="MDX238" s="34"/>
      <c r="MDY238" s="34"/>
      <c r="MDZ238" s="34"/>
      <c r="MEA238" s="34"/>
      <c r="MEB238" s="34"/>
      <c r="MEC238" s="34"/>
      <c r="MED238" s="34"/>
      <c r="MEE238" s="34"/>
      <c r="MEF238" s="34"/>
      <c r="MEG238" s="34"/>
      <c r="MEH238" s="34"/>
      <c r="MEI238" s="34"/>
      <c r="MEJ238" s="34"/>
      <c r="MEK238" s="34"/>
      <c r="MEL238" s="34"/>
      <c r="MEM238" s="34"/>
      <c r="MEN238" s="34"/>
      <c r="MEO238" s="34"/>
      <c r="MEP238" s="34"/>
      <c r="MEQ238" s="34"/>
      <c r="MER238" s="34"/>
      <c r="MES238" s="34"/>
      <c r="MET238" s="34"/>
      <c r="MEU238" s="34"/>
      <c r="MEV238" s="34"/>
      <c r="MEW238" s="34"/>
      <c r="MEX238" s="34"/>
      <c r="MEY238" s="34"/>
      <c r="MEZ238" s="34"/>
      <c r="MFA238" s="34"/>
      <c r="MFB238" s="34"/>
      <c r="MFC238" s="34"/>
      <c r="MFD238" s="34"/>
      <c r="MFE238" s="34"/>
      <c r="MFF238" s="34"/>
      <c r="MFG238" s="34"/>
      <c r="MFH238" s="34"/>
      <c r="MFI238" s="34"/>
      <c r="MFJ238" s="34"/>
      <c r="MFK238" s="34"/>
      <c r="MFL238" s="34"/>
      <c r="MFM238" s="34"/>
      <c r="MFN238" s="34"/>
      <c r="MFO238" s="34"/>
      <c r="MFP238" s="34"/>
      <c r="MFQ238" s="34"/>
      <c r="MFR238" s="34"/>
      <c r="MFS238" s="34"/>
      <c r="MFT238" s="34"/>
      <c r="MFU238" s="34"/>
      <c r="MFV238" s="34"/>
      <c r="MFW238" s="34"/>
      <c r="MFX238" s="34"/>
      <c r="MFY238" s="34"/>
      <c r="MFZ238" s="34"/>
      <c r="MGA238" s="34"/>
      <c r="MGB238" s="34"/>
      <c r="MGC238" s="34"/>
      <c r="MGD238" s="34"/>
      <c r="MGE238" s="34"/>
      <c r="MGF238" s="34"/>
      <c r="MGG238" s="34"/>
      <c r="MGH238" s="34"/>
      <c r="MGI238" s="34"/>
      <c r="MGJ238" s="34"/>
      <c r="MGK238" s="34"/>
      <c r="MGL238" s="34"/>
      <c r="MGM238" s="34"/>
      <c r="MGN238" s="34"/>
      <c r="MGO238" s="34"/>
      <c r="MGP238" s="34"/>
      <c r="MGQ238" s="34"/>
      <c r="MGR238" s="34"/>
      <c r="MGS238" s="34"/>
      <c r="MGT238" s="34"/>
      <c r="MGU238" s="34"/>
      <c r="MGV238" s="34"/>
      <c r="MGW238" s="34"/>
      <c r="MGX238" s="34"/>
      <c r="MGY238" s="34"/>
      <c r="MGZ238" s="34"/>
      <c r="MHA238" s="34"/>
      <c r="MHB238" s="34"/>
      <c r="MHC238" s="34"/>
      <c r="MHD238" s="34"/>
      <c r="MHE238" s="34"/>
      <c r="MHF238" s="34"/>
      <c r="MHG238" s="34"/>
      <c r="MHH238" s="34"/>
      <c r="MHI238" s="34"/>
      <c r="MHJ238" s="34"/>
      <c r="MHK238" s="34"/>
      <c r="MHL238" s="34"/>
      <c r="MHM238" s="34"/>
      <c r="MHN238" s="34"/>
      <c r="MHO238" s="34"/>
      <c r="MHP238" s="34"/>
      <c r="MHQ238" s="34"/>
      <c r="MHR238" s="34"/>
      <c r="MHS238" s="34"/>
      <c r="MHT238" s="34"/>
      <c r="MHU238" s="34"/>
      <c r="MHV238" s="34"/>
      <c r="MHW238" s="34"/>
      <c r="MHX238" s="34"/>
      <c r="MHY238" s="34"/>
      <c r="MHZ238" s="34"/>
      <c r="MIA238" s="34"/>
      <c r="MIB238" s="34"/>
      <c r="MIC238" s="34"/>
      <c r="MID238" s="34"/>
      <c r="MIE238" s="34"/>
      <c r="MIF238" s="34"/>
      <c r="MIG238" s="34"/>
      <c r="MIH238" s="34"/>
      <c r="MII238" s="34"/>
      <c r="MIJ238" s="34"/>
      <c r="MIK238" s="34"/>
      <c r="MIL238" s="34"/>
      <c r="MIM238" s="34"/>
      <c r="MIN238" s="34"/>
      <c r="MIO238" s="34"/>
      <c r="MIP238" s="34"/>
      <c r="MIQ238" s="34"/>
      <c r="MIR238" s="34"/>
      <c r="MIS238" s="34"/>
      <c r="MIT238" s="34"/>
      <c r="MIU238" s="34"/>
      <c r="MIV238" s="34"/>
      <c r="MIW238" s="34"/>
      <c r="MIX238" s="34"/>
      <c r="MIY238" s="34"/>
      <c r="MIZ238" s="34"/>
      <c r="MJA238" s="34"/>
      <c r="MJB238" s="34"/>
      <c r="MJC238" s="34"/>
      <c r="MJD238" s="34"/>
      <c r="MJE238" s="34"/>
      <c r="MJF238" s="34"/>
      <c r="MJG238" s="34"/>
      <c r="MJH238" s="34"/>
      <c r="MJI238" s="34"/>
      <c r="MJJ238" s="34"/>
      <c r="MJK238" s="34"/>
      <c r="MJL238" s="34"/>
      <c r="MJM238" s="34"/>
      <c r="MJN238" s="34"/>
      <c r="MJO238" s="34"/>
      <c r="MJP238" s="34"/>
      <c r="MJQ238" s="34"/>
      <c r="MJR238" s="34"/>
      <c r="MJS238" s="34"/>
      <c r="MJT238" s="34"/>
      <c r="MJU238" s="34"/>
      <c r="MJV238" s="34"/>
      <c r="MJW238" s="34"/>
      <c r="MJX238" s="34"/>
      <c r="MJY238" s="34"/>
      <c r="MJZ238" s="34"/>
      <c r="MKA238" s="34"/>
      <c r="MKB238" s="34"/>
      <c r="MKC238" s="34"/>
      <c r="MKD238" s="34"/>
      <c r="MKE238" s="34"/>
      <c r="MKF238" s="34"/>
      <c r="MKG238" s="34"/>
      <c r="MKH238" s="34"/>
      <c r="MKI238" s="34"/>
      <c r="MKJ238" s="34"/>
      <c r="MKK238" s="34"/>
      <c r="MKL238" s="34"/>
      <c r="MKM238" s="34"/>
      <c r="MKN238" s="34"/>
      <c r="MKO238" s="34"/>
      <c r="MKP238" s="34"/>
      <c r="MKQ238" s="34"/>
      <c r="MKR238" s="34"/>
      <c r="MKS238" s="34"/>
      <c r="MKT238" s="34"/>
      <c r="MKU238" s="34"/>
      <c r="MKV238" s="34"/>
      <c r="MKW238" s="34"/>
      <c r="MKX238" s="34"/>
      <c r="MKY238" s="34"/>
      <c r="MKZ238" s="34"/>
      <c r="MLA238" s="34"/>
      <c r="MLB238" s="34"/>
      <c r="MLC238" s="34"/>
      <c r="MLD238" s="34"/>
      <c r="MLE238" s="34"/>
      <c r="MLF238" s="34"/>
      <c r="MLG238" s="34"/>
      <c r="MLH238" s="34"/>
      <c r="MLI238" s="34"/>
      <c r="MLJ238" s="34"/>
      <c r="MLK238" s="34"/>
      <c r="MLL238" s="34"/>
      <c r="MLM238" s="34"/>
      <c r="MLN238" s="34"/>
      <c r="MLO238" s="34"/>
      <c r="MLP238" s="34"/>
      <c r="MLQ238" s="34"/>
      <c r="MLR238" s="34"/>
      <c r="MLS238" s="34"/>
      <c r="MLT238" s="34"/>
      <c r="MLU238" s="34"/>
      <c r="MLV238" s="34"/>
      <c r="MLW238" s="34"/>
      <c r="MLX238" s="34"/>
      <c r="MLY238" s="34"/>
      <c r="MLZ238" s="34"/>
      <c r="MMA238" s="34"/>
      <c r="MMB238" s="34"/>
      <c r="MMC238" s="34"/>
      <c r="MMD238" s="34"/>
      <c r="MME238" s="34"/>
      <c r="MMF238" s="34"/>
      <c r="MMG238" s="34"/>
      <c r="MMH238" s="34"/>
      <c r="MMI238" s="34"/>
      <c r="MMJ238" s="34"/>
      <c r="MMK238" s="34"/>
      <c r="MML238" s="34"/>
      <c r="MMM238" s="34"/>
      <c r="MMN238" s="34"/>
      <c r="MMO238" s="34"/>
      <c r="MMP238" s="34"/>
      <c r="MMQ238" s="34"/>
      <c r="MMR238" s="34"/>
      <c r="MMS238" s="34"/>
      <c r="MMT238" s="34"/>
      <c r="MMU238" s="34"/>
      <c r="MMV238" s="34"/>
      <c r="MMW238" s="34"/>
      <c r="MMX238" s="34"/>
      <c r="MMY238" s="34"/>
      <c r="MMZ238" s="34"/>
      <c r="MNA238" s="34"/>
      <c r="MNB238" s="34"/>
      <c r="MNC238" s="34"/>
      <c r="MND238" s="34"/>
      <c r="MNE238" s="34"/>
      <c r="MNF238" s="34"/>
      <c r="MNG238" s="34"/>
      <c r="MNH238" s="34"/>
      <c r="MNI238" s="34"/>
      <c r="MNJ238" s="34"/>
      <c r="MNK238" s="34"/>
      <c r="MNL238" s="34"/>
      <c r="MNM238" s="34"/>
      <c r="MNN238" s="34"/>
      <c r="MNO238" s="34"/>
      <c r="MNP238" s="34"/>
      <c r="MNQ238" s="34"/>
      <c r="MNR238" s="34"/>
      <c r="MNS238" s="34"/>
      <c r="MNT238" s="34"/>
      <c r="MNU238" s="34"/>
      <c r="MNV238" s="34"/>
      <c r="MNW238" s="34"/>
      <c r="MNX238" s="34"/>
      <c r="MNY238" s="34"/>
      <c r="MNZ238" s="34"/>
      <c r="MOA238" s="34"/>
      <c r="MOB238" s="34"/>
      <c r="MOC238" s="34"/>
      <c r="MOD238" s="34"/>
      <c r="MOE238" s="34"/>
      <c r="MOF238" s="34"/>
      <c r="MOG238" s="34"/>
      <c r="MOH238" s="34"/>
      <c r="MOI238" s="34"/>
      <c r="MOJ238" s="34"/>
      <c r="MOK238" s="34"/>
      <c r="MOL238" s="34"/>
      <c r="MOM238" s="34"/>
      <c r="MON238" s="34"/>
      <c r="MOO238" s="34"/>
      <c r="MOP238" s="34"/>
      <c r="MOQ238" s="34"/>
      <c r="MOR238" s="34"/>
      <c r="MOS238" s="34"/>
      <c r="MOT238" s="34"/>
      <c r="MOU238" s="34"/>
      <c r="MOV238" s="34"/>
      <c r="MOW238" s="34"/>
      <c r="MOX238" s="34"/>
      <c r="MOY238" s="34"/>
      <c r="MOZ238" s="34"/>
      <c r="MPA238" s="34"/>
      <c r="MPB238" s="34"/>
      <c r="MPC238" s="34"/>
      <c r="MPD238" s="34"/>
      <c r="MPE238" s="34"/>
      <c r="MPF238" s="34"/>
      <c r="MPG238" s="34"/>
      <c r="MPH238" s="34"/>
      <c r="MPI238" s="34"/>
      <c r="MPJ238" s="34"/>
      <c r="MPK238" s="34"/>
      <c r="MPL238" s="34"/>
      <c r="MPM238" s="34"/>
      <c r="MPN238" s="34"/>
      <c r="MPO238" s="34"/>
      <c r="MPP238" s="34"/>
      <c r="MPQ238" s="34"/>
      <c r="MPR238" s="34"/>
      <c r="MPS238" s="34"/>
      <c r="MPT238" s="34"/>
      <c r="MPU238" s="34"/>
      <c r="MPV238" s="34"/>
      <c r="MPW238" s="34"/>
      <c r="MPX238" s="34"/>
      <c r="MPY238" s="34"/>
      <c r="MPZ238" s="34"/>
      <c r="MQA238" s="34"/>
      <c r="MQB238" s="34"/>
      <c r="MQC238" s="34"/>
      <c r="MQD238" s="34"/>
      <c r="MQE238" s="34"/>
      <c r="MQF238" s="34"/>
      <c r="MQG238" s="34"/>
      <c r="MQH238" s="34"/>
      <c r="MQI238" s="34"/>
      <c r="MQJ238" s="34"/>
      <c r="MQK238" s="34"/>
      <c r="MQL238" s="34"/>
      <c r="MQM238" s="34"/>
      <c r="MQN238" s="34"/>
      <c r="MQO238" s="34"/>
      <c r="MQP238" s="34"/>
      <c r="MQQ238" s="34"/>
      <c r="MQR238" s="34"/>
      <c r="MQS238" s="34"/>
      <c r="MQT238" s="34"/>
      <c r="MQU238" s="34"/>
      <c r="MQV238" s="34"/>
      <c r="MQW238" s="34"/>
      <c r="MQX238" s="34"/>
      <c r="MQY238" s="34"/>
      <c r="MQZ238" s="34"/>
      <c r="MRA238" s="34"/>
      <c r="MRB238" s="34"/>
      <c r="MRC238" s="34"/>
      <c r="MRD238" s="34"/>
      <c r="MRE238" s="34"/>
      <c r="MRF238" s="34"/>
      <c r="MRG238" s="34"/>
      <c r="MRH238" s="34"/>
      <c r="MRI238" s="34"/>
      <c r="MRJ238" s="34"/>
      <c r="MRK238" s="34"/>
      <c r="MRL238" s="34"/>
      <c r="MRM238" s="34"/>
      <c r="MRN238" s="34"/>
      <c r="MRO238" s="34"/>
      <c r="MRP238" s="34"/>
      <c r="MRQ238" s="34"/>
      <c r="MRR238" s="34"/>
      <c r="MRS238" s="34"/>
      <c r="MRT238" s="34"/>
      <c r="MRU238" s="34"/>
      <c r="MRV238" s="34"/>
      <c r="MRW238" s="34"/>
      <c r="MRX238" s="34"/>
      <c r="MRY238" s="34"/>
      <c r="MRZ238" s="34"/>
      <c r="MSA238" s="34"/>
      <c r="MSB238" s="34"/>
      <c r="MSC238" s="34"/>
      <c r="MSD238" s="34"/>
      <c r="MSE238" s="34"/>
      <c r="MSF238" s="34"/>
      <c r="MSG238" s="34"/>
      <c r="MSH238" s="34"/>
      <c r="MSI238" s="34"/>
      <c r="MSJ238" s="34"/>
      <c r="MSK238" s="34"/>
      <c r="MSL238" s="34"/>
      <c r="MSM238" s="34"/>
      <c r="MSN238" s="34"/>
      <c r="MSO238" s="34"/>
      <c r="MSP238" s="34"/>
      <c r="MSQ238" s="34"/>
      <c r="MSR238" s="34"/>
      <c r="MSS238" s="34"/>
      <c r="MST238" s="34"/>
      <c r="MSU238" s="34"/>
      <c r="MSV238" s="34"/>
      <c r="MSW238" s="34"/>
      <c r="MSX238" s="34"/>
      <c r="MSY238" s="34"/>
      <c r="MSZ238" s="34"/>
      <c r="MTA238" s="34"/>
      <c r="MTB238" s="34"/>
      <c r="MTC238" s="34"/>
      <c r="MTD238" s="34"/>
      <c r="MTE238" s="34"/>
      <c r="MTF238" s="34"/>
      <c r="MTG238" s="34"/>
      <c r="MTH238" s="34"/>
      <c r="MTI238" s="34"/>
      <c r="MTJ238" s="34"/>
      <c r="MTK238" s="34"/>
      <c r="MTL238" s="34"/>
      <c r="MTM238" s="34"/>
      <c r="MTN238" s="34"/>
      <c r="MTO238" s="34"/>
      <c r="MTP238" s="34"/>
      <c r="MTQ238" s="34"/>
      <c r="MTR238" s="34"/>
      <c r="MTS238" s="34"/>
      <c r="MTT238" s="34"/>
      <c r="MTU238" s="34"/>
      <c r="MTV238" s="34"/>
      <c r="MTW238" s="34"/>
      <c r="MTX238" s="34"/>
      <c r="MTY238" s="34"/>
      <c r="MTZ238" s="34"/>
      <c r="MUA238" s="34"/>
      <c r="MUB238" s="34"/>
      <c r="MUC238" s="34"/>
      <c r="MUD238" s="34"/>
      <c r="MUE238" s="34"/>
      <c r="MUF238" s="34"/>
      <c r="MUG238" s="34"/>
      <c r="MUH238" s="34"/>
      <c r="MUI238" s="34"/>
      <c r="MUJ238" s="34"/>
      <c r="MUK238" s="34"/>
      <c r="MUL238" s="34"/>
      <c r="MUM238" s="34"/>
      <c r="MUN238" s="34"/>
      <c r="MUO238" s="34"/>
      <c r="MUP238" s="34"/>
      <c r="MUQ238" s="34"/>
      <c r="MUR238" s="34"/>
      <c r="MUS238" s="34"/>
      <c r="MUT238" s="34"/>
      <c r="MUU238" s="34"/>
      <c r="MUV238" s="34"/>
      <c r="MUW238" s="34"/>
      <c r="MUX238" s="34"/>
      <c r="MUY238" s="34"/>
      <c r="MUZ238" s="34"/>
      <c r="MVA238" s="34"/>
      <c r="MVB238" s="34"/>
      <c r="MVC238" s="34"/>
      <c r="MVD238" s="34"/>
      <c r="MVE238" s="34"/>
      <c r="MVF238" s="34"/>
      <c r="MVG238" s="34"/>
      <c r="MVH238" s="34"/>
      <c r="MVI238" s="34"/>
      <c r="MVJ238" s="34"/>
      <c r="MVK238" s="34"/>
      <c r="MVL238" s="34"/>
      <c r="MVM238" s="34"/>
      <c r="MVN238" s="34"/>
      <c r="MVO238" s="34"/>
      <c r="MVP238" s="34"/>
      <c r="MVQ238" s="34"/>
      <c r="MVR238" s="34"/>
      <c r="MVS238" s="34"/>
      <c r="MVT238" s="34"/>
      <c r="MVU238" s="34"/>
      <c r="MVV238" s="34"/>
      <c r="MVW238" s="34"/>
      <c r="MVX238" s="34"/>
      <c r="MVY238" s="34"/>
      <c r="MVZ238" s="34"/>
      <c r="MWA238" s="34"/>
      <c r="MWB238" s="34"/>
      <c r="MWC238" s="34"/>
      <c r="MWD238" s="34"/>
      <c r="MWE238" s="34"/>
      <c r="MWF238" s="34"/>
      <c r="MWG238" s="34"/>
      <c r="MWH238" s="34"/>
      <c r="MWI238" s="34"/>
      <c r="MWJ238" s="34"/>
      <c r="MWK238" s="34"/>
      <c r="MWL238" s="34"/>
      <c r="MWM238" s="34"/>
      <c r="MWN238" s="34"/>
      <c r="MWO238" s="34"/>
      <c r="MWP238" s="34"/>
      <c r="MWQ238" s="34"/>
      <c r="MWR238" s="34"/>
      <c r="MWS238" s="34"/>
      <c r="MWT238" s="34"/>
      <c r="MWU238" s="34"/>
      <c r="MWV238" s="34"/>
      <c r="MWW238" s="34"/>
      <c r="MWX238" s="34"/>
      <c r="MWY238" s="34"/>
      <c r="MWZ238" s="34"/>
      <c r="MXA238" s="34"/>
      <c r="MXB238" s="34"/>
      <c r="MXC238" s="34"/>
      <c r="MXD238" s="34"/>
      <c r="MXE238" s="34"/>
      <c r="MXF238" s="34"/>
      <c r="MXG238" s="34"/>
      <c r="MXH238" s="34"/>
      <c r="MXI238" s="34"/>
      <c r="MXJ238" s="34"/>
      <c r="MXK238" s="34"/>
      <c r="MXL238" s="34"/>
      <c r="MXM238" s="34"/>
      <c r="MXN238" s="34"/>
      <c r="MXO238" s="34"/>
      <c r="MXP238" s="34"/>
      <c r="MXQ238" s="34"/>
      <c r="MXR238" s="34"/>
      <c r="MXS238" s="34"/>
      <c r="MXT238" s="34"/>
      <c r="MXU238" s="34"/>
      <c r="MXV238" s="34"/>
      <c r="MXW238" s="34"/>
      <c r="MXX238" s="34"/>
      <c r="MXY238" s="34"/>
      <c r="MXZ238" s="34"/>
      <c r="MYA238" s="34"/>
      <c r="MYB238" s="34"/>
      <c r="MYC238" s="34"/>
      <c r="MYD238" s="34"/>
      <c r="MYE238" s="34"/>
      <c r="MYF238" s="34"/>
      <c r="MYG238" s="34"/>
      <c r="MYH238" s="34"/>
      <c r="MYI238" s="34"/>
      <c r="MYJ238" s="34"/>
      <c r="MYK238" s="34"/>
      <c r="MYL238" s="34"/>
      <c r="MYM238" s="34"/>
      <c r="MYN238" s="34"/>
      <c r="MYO238" s="34"/>
      <c r="MYP238" s="34"/>
      <c r="MYQ238" s="34"/>
      <c r="MYR238" s="34"/>
      <c r="MYS238" s="34"/>
      <c r="MYT238" s="34"/>
      <c r="MYU238" s="34"/>
      <c r="MYV238" s="34"/>
      <c r="MYW238" s="34"/>
      <c r="MYX238" s="34"/>
      <c r="MYY238" s="34"/>
      <c r="MYZ238" s="34"/>
      <c r="MZA238" s="34"/>
      <c r="MZB238" s="34"/>
      <c r="MZC238" s="34"/>
      <c r="MZD238" s="34"/>
      <c r="MZE238" s="34"/>
      <c r="MZF238" s="34"/>
      <c r="MZG238" s="34"/>
      <c r="MZH238" s="34"/>
      <c r="MZI238" s="34"/>
      <c r="MZJ238" s="34"/>
      <c r="MZK238" s="34"/>
      <c r="MZL238" s="34"/>
      <c r="MZM238" s="34"/>
      <c r="MZN238" s="34"/>
      <c r="MZO238" s="34"/>
      <c r="MZP238" s="34"/>
      <c r="MZQ238" s="34"/>
      <c r="MZR238" s="34"/>
      <c r="MZS238" s="34"/>
      <c r="MZT238" s="34"/>
      <c r="MZU238" s="34"/>
      <c r="MZV238" s="34"/>
      <c r="MZW238" s="34"/>
      <c r="MZX238" s="34"/>
      <c r="MZY238" s="34"/>
      <c r="MZZ238" s="34"/>
      <c r="NAA238" s="34"/>
      <c r="NAB238" s="34"/>
      <c r="NAC238" s="34"/>
      <c r="NAD238" s="34"/>
      <c r="NAE238" s="34"/>
      <c r="NAF238" s="34"/>
      <c r="NAG238" s="34"/>
      <c r="NAH238" s="34"/>
      <c r="NAI238" s="34"/>
      <c r="NAJ238" s="34"/>
      <c r="NAK238" s="34"/>
      <c r="NAL238" s="34"/>
      <c r="NAM238" s="34"/>
      <c r="NAN238" s="34"/>
      <c r="NAO238" s="34"/>
      <c r="NAP238" s="34"/>
      <c r="NAQ238" s="34"/>
      <c r="NAR238" s="34"/>
      <c r="NAS238" s="34"/>
      <c r="NAT238" s="34"/>
      <c r="NAU238" s="34"/>
      <c r="NAV238" s="34"/>
      <c r="NAW238" s="34"/>
      <c r="NAX238" s="34"/>
      <c r="NAY238" s="34"/>
      <c r="NAZ238" s="34"/>
      <c r="NBA238" s="34"/>
      <c r="NBB238" s="34"/>
      <c r="NBC238" s="34"/>
      <c r="NBD238" s="34"/>
      <c r="NBE238" s="34"/>
      <c r="NBF238" s="34"/>
      <c r="NBG238" s="34"/>
      <c r="NBH238" s="34"/>
      <c r="NBI238" s="34"/>
      <c r="NBJ238" s="34"/>
      <c r="NBK238" s="34"/>
      <c r="NBL238" s="34"/>
      <c r="NBM238" s="34"/>
      <c r="NBN238" s="34"/>
      <c r="NBO238" s="34"/>
      <c r="NBP238" s="34"/>
      <c r="NBQ238" s="34"/>
      <c r="NBR238" s="34"/>
      <c r="NBS238" s="34"/>
      <c r="NBT238" s="34"/>
      <c r="NBU238" s="34"/>
      <c r="NBV238" s="34"/>
      <c r="NBW238" s="34"/>
      <c r="NBX238" s="34"/>
      <c r="NBY238" s="34"/>
      <c r="NBZ238" s="34"/>
      <c r="NCA238" s="34"/>
      <c r="NCB238" s="34"/>
      <c r="NCC238" s="34"/>
      <c r="NCD238" s="34"/>
      <c r="NCE238" s="34"/>
      <c r="NCF238" s="34"/>
      <c r="NCG238" s="34"/>
      <c r="NCH238" s="34"/>
      <c r="NCI238" s="34"/>
      <c r="NCJ238" s="34"/>
      <c r="NCK238" s="34"/>
      <c r="NCL238" s="34"/>
      <c r="NCM238" s="34"/>
      <c r="NCN238" s="34"/>
      <c r="NCO238" s="34"/>
      <c r="NCP238" s="34"/>
      <c r="NCQ238" s="34"/>
      <c r="NCR238" s="34"/>
      <c r="NCS238" s="34"/>
      <c r="NCT238" s="34"/>
      <c r="NCU238" s="34"/>
      <c r="NCV238" s="34"/>
      <c r="NCW238" s="34"/>
      <c r="NCX238" s="34"/>
      <c r="NCY238" s="34"/>
      <c r="NCZ238" s="34"/>
      <c r="NDA238" s="34"/>
      <c r="NDB238" s="34"/>
      <c r="NDC238" s="34"/>
      <c r="NDD238" s="34"/>
      <c r="NDE238" s="34"/>
      <c r="NDF238" s="34"/>
      <c r="NDG238" s="34"/>
      <c r="NDH238" s="34"/>
      <c r="NDI238" s="34"/>
      <c r="NDJ238" s="34"/>
      <c r="NDK238" s="34"/>
      <c r="NDL238" s="34"/>
      <c r="NDM238" s="34"/>
      <c r="NDN238" s="34"/>
      <c r="NDO238" s="34"/>
      <c r="NDP238" s="34"/>
      <c r="NDQ238" s="34"/>
      <c r="NDR238" s="34"/>
      <c r="NDS238" s="34"/>
      <c r="NDT238" s="34"/>
      <c r="NDU238" s="34"/>
      <c r="NDV238" s="34"/>
      <c r="NDW238" s="34"/>
      <c r="NDX238" s="34"/>
      <c r="NDY238" s="34"/>
      <c r="NDZ238" s="34"/>
      <c r="NEA238" s="34"/>
      <c r="NEB238" s="34"/>
      <c r="NEC238" s="34"/>
      <c r="NED238" s="34"/>
      <c r="NEE238" s="34"/>
      <c r="NEF238" s="34"/>
      <c r="NEG238" s="34"/>
      <c r="NEH238" s="34"/>
      <c r="NEI238" s="34"/>
      <c r="NEJ238" s="34"/>
      <c r="NEK238" s="34"/>
      <c r="NEL238" s="34"/>
      <c r="NEM238" s="34"/>
      <c r="NEN238" s="34"/>
      <c r="NEO238" s="34"/>
      <c r="NEP238" s="34"/>
      <c r="NEQ238" s="34"/>
      <c r="NER238" s="34"/>
      <c r="NES238" s="34"/>
      <c r="NET238" s="34"/>
      <c r="NEU238" s="34"/>
      <c r="NEV238" s="34"/>
      <c r="NEW238" s="34"/>
      <c r="NEX238" s="34"/>
      <c r="NEY238" s="34"/>
      <c r="NEZ238" s="34"/>
      <c r="NFA238" s="34"/>
      <c r="NFB238" s="34"/>
      <c r="NFC238" s="34"/>
      <c r="NFD238" s="34"/>
      <c r="NFE238" s="34"/>
      <c r="NFF238" s="34"/>
      <c r="NFG238" s="34"/>
      <c r="NFH238" s="34"/>
      <c r="NFI238" s="34"/>
      <c r="NFJ238" s="34"/>
      <c r="NFK238" s="34"/>
      <c r="NFL238" s="34"/>
      <c r="NFM238" s="34"/>
      <c r="NFN238" s="34"/>
      <c r="NFO238" s="34"/>
      <c r="NFP238" s="34"/>
      <c r="NFQ238" s="34"/>
      <c r="NFR238" s="34"/>
      <c r="NFS238" s="34"/>
      <c r="NFT238" s="34"/>
      <c r="NFU238" s="34"/>
      <c r="NFV238" s="34"/>
      <c r="NFW238" s="34"/>
      <c r="NFX238" s="34"/>
      <c r="NFY238" s="34"/>
      <c r="NFZ238" s="34"/>
      <c r="NGA238" s="34"/>
      <c r="NGB238" s="34"/>
      <c r="NGC238" s="34"/>
      <c r="NGD238" s="34"/>
      <c r="NGE238" s="34"/>
      <c r="NGF238" s="34"/>
      <c r="NGG238" s="34"/>
      <c r="NGH238" s="34"/>
      <c r="NGI238" s="34"/>
      <c r="NGJ238" s="34"/>
      <c r="NGK238" s="34"/>
      <c r="NGL238" s="34"/>
      <c r="NGM238" s="34"/>
      <c r="NGN238" s="34"/>
      <c r="NGO238" s="34"/>
      <c r="NGP238" s="34"/>
      <c r="NGQ238" s="34"/>
      <c r="NGR238" s="34"/>
      <c r="NGS238" s="34"/>
      <c r="NGT238" s="34"/>
      <c r="NGU238" s="34"/>
      <c r="NGV238" s="34"/>
      <c r="NGW238" s="34"/>
      <c r="NGX238" s="34"/>
      <c r="NGY238" s="34"/>
      <c r="NGZ238" s="34"/>
      <c r="NHA238" s="34"/>
      <c r="NHB238" s="34"/>
      <c r="NHC238" s="34"/>
      <c r="NHD238" s="34"/>
      <c r="NHE238" s="34"/>
      <c r="NHF238" s="34"/>
      <c r="NHG238" s="34"/>
      <c r="NHH238" s="34"/>
      <c r="NHI238" s="34"/>
      <c r="NHJ238" s="34"/>
      <c r="NHK238" s="34"/>
      <c r="NHL238" s="34"/>
      <c r="NHM238" s="34"/>
      <c r="NHN238" s="34"/>
      <c r="NHO238" s="34"/>
      <c r="NHP238" s="34"/>
      <c r="NHQ238" s="34"/>
      <c r="NHR238" s="34"/>
      <c r="NHS238" s="34"/>
      <c r="NHT238" s="34"/>
      <c r="NHU238" s="34"/>
      <c r="NHV238" s="34"/>
      <c r="NHW238" s="34"/>
      <c r="NHX238" s="34"/>
      <c r="NHY238" s="34"/>
      <c r="NHZ238" s="34"/>
      <c r="NIA238" s="34"/>
      <c r="NIB238" s="34"/>
      <c r="NIC238" s="34"/>
      <c r="NID238" s="34"/>
      <c r="NIE238" s="34"/>
      <c r="NIF238" s="34"/>
      <c r="NIG238" s="34"/>
      <c r="NIH238" s="34"/>
      <c r="NII238" s="34"/>
      <c r="NIJ238" s="34"/>
      <c r="NIK238" s="34"/>
      <c r="NIL238" s="34"/>
      <c r="NIM238" s="34"/>
      <c r="NIN238" s="34"/>
      <c r="NIO238" s="34"/>
      <c r="NIP238" s="34"/>
      <c r="NIQ238" s="34"/>
      <c r="NIR238" s="34"/>
      <c r="NIS238" s="34"/>
      <c r="NIT238" s="34"/>
      <c r="NIU238" s="34"/>
      <c r="NIV238" s="34"/>
      <c r="NIW238" s="34"/>
      <c r="NIX238" s="34"/>
      <c r="NIY238" s="34"/>
      <c r="NIZ238" s="34"/>
      <c r="NJA238" s="34"/>
      <c r="NJB238" s="34"/>
      <c r="NJC238" s="34"/>
      <c r="NJD238" s="34"/>
      <c r="NJE238" s="34"/>
      <c r="NJF238" s="34"/>
      <c r="NJG238" s="34"/>
      <c r="NJH238" s="34"/>
      <c r="NJI238" s="34"/>
      <c r="NJJ238" s="34"/>
      <c r="NJK238" s="34"/>
      <c r="NJL238" s="34"/>
      <c r="NJM238" s="34"/>
      <c r="NJN238" s="34"/>
      <c r="NJO238" s="34"/>
      <c r="NJP238" s="34"/>
      <c r="NJQ238" s="34"/>
      <c r="NJR238" s="34"/>
      <c r="NJS238" s="34"/>
      <c r="NJT238" s="34"/>
      <c r="NJU238" s="34"/>
      <c r="NJV238" s="34"/>
      <c r="NJW238" s="34"/>
      <c r="NJX238" s="34"/>
      <c r="NJY238" s="34"/>
      <c r="NJZ238" s="34"/>
      <c r="NKA238" s="34"/>
      <c r="NKB238" s="34"/>
      <c r="NKC238" s="34"/>
      <c r="NKD238" s="34"/>
      <c r="NKE238" s="34"/>
      <c r="NKF238" s="34"/>
      <c r="NKG238" s="34"/>
      <c r="NKH238" s="34"/>
      <c r="NKI238" s="34"/>
      <c r="NKJ238" s="34"/>
      <c r="NKK238" s="34"/>
      <c r="NKL238" s="34"/>
      <c r="NKM238" s="34"/>
      <c r="NKN238" s="34"/>
      <c r="NKO238" s="34"/>
      <c r="NKP238" s="34"/>
      <c r="NKQ238" s="34"/>
      <c r="NKR238" s="34"/>
      <c r="NKS238" s="34"/>
      <c r="NKT238" s="34"/>
      <c r="NKU238" s="34"/>
      <c r="NKV238" s="34"/>
      <c r="NKW238" s="34"/>
      <c r="NKX238" s="34"/>
      <c r="NKY238" s="34"/>
      <c r="NKZ238" s="34"/>
      <c r="NLA238" s="34"/>
      <c r="NLB238" s="34"/>
      <c r="NLC238" s="34"/>
      <c r="NLD238" s="34"/>
      <c r="NLE238" s="34"/>
      <c r="NLF238" s="34"/>
      <c r="NLG238" s="34"/>
      <c r="NLH238" s="34"/>
      <c r="NLI238" s="34"/>
      <c r="NLJ238" s="34"/>
      <c r="NLK238" s="34"/>
      <c r="NLL238" s="34"/>
      <c r="NLM238" s="34"/>
      <c r="NLN238" s="34"/>
      <c r="NLO238" s="34"/>
      <c r="NLP238" s="34"/>
      <c r="NLQ238" s="34"/>
      <c r="NLR238" s="34"/>
      <c r="NLS238" s="34"/>
      <c r="NLT238" s="34"/>
      <c r="NLU238" s="34"/>
      <c r="NLV238" s="34"/>
      <c r="NLW238" s="34"/>
      <c r="NLX238" s="34"/>
      <c r="NLY238" s="34"/>
      <c r="NLZ238" s="34"/>
      <c r="NMA238" s="34"/>
      <c r="NMB238" s="34"/>
      <c r="NMC238" s="34"/>
      <c r="NMD238" s="34"/>
      <c r="NME238" s="34"/>
      <c r="NMF238" s="34"/>
      <c r="NMG238" s="34"/>
      <c r="NMH238" s="34"/>
      <c r="NMI238" s="34"/>
      <c r="NMJ238" s="34"/>
      <c r="NMK238" s="34"/>
      <c r="NML238" s="34"/>
      <c r="NMM238" s="34"/>
      <c r="NMN238" s="34"/>
      <c r="NMO238" s="34"/>
      <c r="NMP238" s="34"/>
      <c r="NMQ238" s="34"/>
      <c r="NMR238" s="34"/>
      <c r="NMS238" s="34"/>
      <c r="NMT238" s="34"/>
      <c r="NMU238" s="34"/>
      <c r="NMV238" s="34"/>
      <c r="NMW238" s="34"/>
      <c r="NMX238" s="34"/>
      <c r="NMY238" s="34"/>
      <c r="NMZ238" s="34"/>
      <c r="NNA238" s="34"/>
      <c r="NNB238" s="34"/>
      <c r="NNC238" s="34"/>
      <c r="NND238" s="34"/>
      <c r="NNE238" s="34"/>
      <c r="NNF238" s="34"/>
      <c r="NNG238" s="34"/>
      <c r="NNH238" s="34"/>
      <c r="NNI238" s="34"/>
      <c r="NNJ238" s="34"/>
      <c r="NNK238" s="34"/>
      <c r="NNL238" s="34"/>
      <c r="NNM238" s="34"/>
      <c r="NNN238" s="34"/>
      <c r="NNO238" s="34"/>
      <c r="NNP238" s="34"/>
      <c r="NNQ238" s="34"/>
      <c r="NNR238" s="34"/>
      <c r="NNS238" s="34"/>
      <c r="NNT238" s="34"/>
      <c r="NNU238" s="34"/>
      <c r="NNV238" s="34"/>
      <c r="NNW238" s="34"/>
      <c r="NNX238" s="34"/>
      <c r="NNY238" s="34"/>
      <c r="NNZ238" s="34"/>
      <c r="NOA238" s="34"/>
      <c r="NOB238" s="34"/>
      <c r="NOC238" s="34"/>
      <c r="NOD238" s="34"/>
      <c r="NOE238" s="34"/>
      <c r="NOF238" s="34"/>
      <c r="NOG238" s="34"/>
      <c r="NOH238" s="34"/>
      <c r="NOI238" s="34"/>
      <c r="NOJ238" s="34"/>
      <c r="NOK238" s="34"/>
      <c r="NOL238" s="34"/>
      <c r="NOM238" s="34"/>
      <c r="NON238" s="34"/>
      <c r="NOO238" s="34"/>
      <c r="NOP238" s="34"/>
      <c r="NOQ238" s="34"/>
      <c r="NOR238" s="34"/>
      <c r="NOS238" s="34"/>
      <c r="NOT238" s="34"/>
      <c r="NOU238" s="34"/>
      <c r="NOV238" s="34"/>
      <c r="NOW238" s="34"/>
      <c r="NOX238" s="34"/>
      <c r="NOY238" s="34"/>
      <c r="NOZ238" s="34"/>
      <c r="NPA238" s="34"/>
      <c r="NPB238" s="34"/>
      <c r="NPC238" s="34"/>
      <c r="NPD238" s="34"/>
      <c r="NPE238" s="34"/>
      <c r="NPF238" s="34"/>
      <c r="NPG238" s="34"/>
      <c r="NPH238" s="34"/>
      <c r="NPI238" s="34"/>
      <c r="NPJ238" s="34"/>
      <c r="NPK238" s="34"/>
      <c r="NPL238" s="34"/>
      <c r="NPM238" s="34"/>
      <c r="NPN238" s="34"/>
      <c r="NPO238" s="34"/>
      <c r="NPP238" s="34"/>
      <c r="NPQ238" s="34"/>
      <c r="NPR238" s="34"/>
      <c r="NPS238" s="34"/>
      <c r="NPT238" s="34"/>
      <c r="NPU238" s="34"/>
      <c r="NPV238" s="34"/>
      <c r="NPW238" s="34"/>
      <c r="NPX238" s="34"/>
      <c r="NPY238" s="34"/>
      <c r="NPZ238" s="34"/>
      <c r="NQA238" s="34"/>
      <c r="NQB238" s="34"/>
      <c r="NQC238" s="34"/>
      <c r="NQD238" s="34"/>
      <c r="NQE238" s="34"/>
      <c r="NQF238" s="34"/>
      <c r="NQG238" s="34"/>
      <c r="NQH238" s="34"/>
      <c r="NQI238" s="34"/>
      <c r="NQJ238" s="34"/>
      <c r="NQK238" s="34"/>
      <c r="NQL238" s="34"/>
      <c r="NQM238" s="34"/>
      <c r="NQN238" s="34"/>
      <c r="NQO238" s="34"/>
      <c r="NQP238" s="34"/>
      <c r="NQQ238" s="34"/>
      <c r="NQR238" s="34"/>
      <c r="NQS238" s="34"/>
      <c r="NQT238" s="34"/>
      <c r="NQU238" s="34"/>
      <c r="NQV238" s="34"/>
      <c r="NQW238" s="34"/>
      <c r="NQX238" s="34"/>
      <c r="NQY238" s="34"/>
      <c r="NQZ238" s="34"/>
      <c r="NRA238" s="34"/>
      <c r="NRB238" s="34"/>
      <c r="NRC238" s="34"/>
      <c r="NRD238" s="34"/>
      <c r="NRE238" s="34"/>
      <c r="NRF238" s="34"/>
      <c r="NRG238" s="34"/>
      <c r="NRH238" s="34"/>
      <c r="NRI238" s="34"/>
      <c r="NRJ238" s="34"/>
      <c r="NRK238" s="34"/>
      <c r="NRL238" s="34"/>
      <c r="NRM238" s="34"/>
      <c r="NRN238" s="34"/>
      <c r="NRO238" s="34"/>
      <c r="NRP238" s="34"/>
      <c r="NRQ238" s="34"/>
      <c r="NRR238" s="34"/>
      <c r="NRS238" s="34"/>
      <c r="NRT238" s="34"/>
      <c r="NRU238" s="34"/>
      <c r="NRV238" s="34"/>
      <c r="NRW238" s="34"/>
      <c r="NRX238" s="34"/>
      <c r="NRY238" s="34"/>
      <c r="NRZ238" s="34"/>
      <c r="NSA238" s="34"/>
      <c r="NSB238" s="34"/>
      <c r="NSC238" s="34"/>
      <c r="NSD238" s="34"/>
      <c r="NSE238" s="34"/>
      <c r="NSF238" s="34"/>
      <c r="NSG238" s="34"/>
      <c r="NSH238" s="34"/>
      <c r="NSI238" s="34"/>
      <c r="NSJ238" s="34"/>
      <c r="NSK238" s="34"/>
      <c r="NSL238" s="34"/>
      <c r="NSM238" s="34"/>
      <c r="NSN238" s="34"/>
      <c r="NSO238" s="34"/>
      <c r="NSP238" s="34"/>
      <c r="NSQ238" s="34"/>
      <c r="NSR238" s="34"/>
      <c r="NSS238" s="34"/>
      <c r="NST238" s="34"/>
      <c r="NSU238" s="34"/>
      <c r="NSV238" s="34"/>
      <c r="NSW238" s="34"/>
      <c r="NSX238" s="34"/>
      <c r="NSY238" s="34"/>
      <c r="NSZ238" s="34"/>
      <c r="NTA238" s="34"/>
      <c r="NTB238" s="34"/>
      <c r="NTC238" s="34"/>
      <c r="NTD238" s="34"/>
      <c r="NTE238" s="34"/>
      <c r="NTF238" s="34"/>
      <c r="NTG238" s="34"/>
      <c r="NTH238" s="34"/>
      <c r="NTI238" s="34"/>
      <c r="NTJ238" s="34"/>
      <c r="NTK238" s="34"/>
      <c r="NTL238" s="34"/>
      <c r="NTM238" s="34"/>
      <c r="NTN238" s="34"/>
      <c r="NTO238" s="34"/>
      <c r="NTP238" s="34"/>
      <c r="NTQ238" s="34"/>
      <c r="NTR238" s="34"/>
      <c r="NTS238" s="34"/>
      <c r="NTT238" s="34"/>
      <c r="NTU238" s="34"/>
      <c r="NTV238" s="34"/>
      <c r="NTW238" s="34"/>
      <c r="NTX238" s="34"/>
      <c r="NTY238" s="34"/>
    </row>
    <row r="239" spans="1:10009" hidden="1" x14ac:dyDescent="0.3">
      <c r="J239" t="s">
        <v>46</v>
      </c>
      <c r="K239">
        <v>2433534000</v>
      </c>
      <c r="L239">
        <v>668547000</v>
      </c>
      <c r="M239">
        <v>640178000</v>
      </c>
      <c r="N239">
        <v>4306131000</v>
      </c>
      <c r="O239">
        <v>10852045000</v>
      </c>
      <c r="P239">
        <v>14097045000</v>
      </c>
      <c r="Q239">
        <v>14121409000</v>
      </c>
      <c r="R239">
        <v>13866712000</v>
      </c>
      <c r="S239">
        <v>15817531000</v>
      </c>
      <c r="T239">
        <v>12566745000</v>
      </c>
    </row>
    <row r="240" spans="1:10009" hidden="1" x14ac:dyDescent="0.3">
      <c r="J240" t="s">
        <v>22</v>
      </c>
      <c r="K240">
        <v>8900426000</v>
      </c>
      <c r="L240">
        <v>8767744000</v>
      </c>
      <c r="M240">
        <v>8800895000</v>
      </c>
      <c r="N240">
        <v>8843137000</v>
      </c>
      <c r="O240">
        <v>9031116000</v>
      </c>
      <c r="P240">
        <v>9068814000</v>
      </c>
      <c r="Q240">
        <v>9009031000</v>
      </c>
      <c r="R240">
        <v>8864570000</v>
      </c>
      <c r="S240">
        <v>8059814000</v>
      </c>
      <c r="T240">
        <v>7213089000</v>
      </c>
    </row>
    <row r="241" spans="1:45" hidden="1" x14ac:dyDescent="0.3">
      <c r="J241" t="s">
        <v>27</v>
      </c>
      <c r="K241">
        <v>786661000</v>
      </c>
      <c r="L241">
        <v>790853000</v>
      </c>
      <c r="M241">
        <v>785598000</v>
      </c>
      <c r="N241">
        <v>805921000</v>
      </c>
      <c r="O241">
        <v>806611000</v>
      </c>
      <c r="P241">
        <v>772552000</v>
      </c>
      <c r="Q241">
        <v>770477000</v>
      </c>
      <c r="R241">
        <v>737262000</v>
      </c>
      <c r="S241">
        <v>753035000</v>
      </c>
      <c r="T241">
        <v>776313000</v>
      </c>
    </row>
    <row r="242" spans="1:45" hidden="1" x14ac:dyDescent="0.3">
      <c r="J242" t="s">
        <v>6</v>
      </c>
      <c r="K242">
        <v>67404652000</v>
      </c>
      <c r="L242">
        <v>60005533000</v>
      </c>
      <c r="M242">
        <v>63745371000</v>
      </c>
      <c r="N242">
        <v>70464575000</v>
      </c>
      <c r="O242">
        <v>76781680000</v>
      </c>
      <c r="P242">
        <v>77203607000</v>
      </c>
      <c r="Q242">
        <v>77781498000</v>
      </c>
      <c r="R242">
        <v>76565524000</v>
      </c>
      <c r="S242">
        <v>73979187000</v>
      </c>
      <c r="T242">
        <v>63671585000</v>
      </c>
    </row>
    <row r="243" spans="1:45" hidden="1" x14ac:dyDescent="0.3">
      <c r="J243" t="s">
        <v>183</v>
      </c>
      <c r="K243">
        <v>3.61</v>
      </c>
      <c r="L243">
        <v>1.1100000000000001</v>
      </c>
      <c r="M243">
        <v>1</v>
      </c>
      <c r="N243">
        <v>6.11</v>
      </c>
      <c r="O243">
        <v>14.13</v>
      </c>
      <c r="P243">
        <v>18.260000000000002</v>
      </c>
      <c r="Q243">
        <v>18.16</v>
      </c>
      <c r="R243">
        <v>18.11</v>
      </c>
      <c r="S243">
        <v>21.38</v>
      </c>
      <c r="T243">
        <v>19.739999999999998</v>
      </c>
    </row>
    <row r="244" spans="1:45" hidden="1" x14ac:dyDescent="0.3">
      <c r="J244" t="s">
        <v>119</v>
      </c>
      <c r="K244">
        <v>5844171000</v>
      </c>
      <c r="L244">
        <v>1723571000</v>
      </c>
      <c r="M244">
        <v>1574600000</v>
      </c>
      <c r="N244">
        <v>23841446000</v>
      </c>
      <c r="O244">
        <v>9389198000</v>
      </c>
      <c r="P244">
        <v>11098805000</v>
      </c>
      <c r="Q244">
        <v>11324628000</v>
      </c>
      <c r="R244">
        <v>10837948000</v>
      </c>
      <c r="S244">
        <v>12293331000</v>
      </c>
      <c r="T244">
        <v>9634486000</v>
      </c>
    </row>
    <row r="245" spans="1:45" hidden="1" x14ac:dyDescent="0.3">
      <c r="J245" t="s">
        <v>191</v>
      </c>
      <c r="K245">
        <v>20785926000</v>
      </c>
      <c r="L245">
        <v>18358343000</v>
      </c>
      <c r="M245">
        <v>17738278000</v>
      </c>
      <c r="N245">
        <v>21836847000</v>
      </c>
      <c r="O245">
        <v>28709443000</v>
      </c>
      <c r="P245">
        <v>30933859000</v>
      </c>
      <c r="Q245">
        <v>30709441000</v>
      </c>
      <c r="R245">
        <v>31618969000</v>
      </c>
      <c r="S245">
        <v>31080316000</v>
      </c>
      <c r="T245">
        <v>26605654000</v>
      </c>
    </row>
    <row r="246" spans="1:45" hidden="1" x14ac:dyDescent="0.3">
      <c r="J246" t="s">
        <v>188</v>
      </c>
      <c r="K246">
        <f>K244/K242*100</f>
        <v>8.6702784252932563</v>
      </c>
      <c r="L246">
        <f t="shared" ref="L246:T246" si="13">L244/L242*100</f>
        <v>2.8723534544722735</v>
      </c>
      <c r="M246">
        <f t="shared" si="13"/>
        <v>2.4701401455487644</v>
      </c>
      <c r="N246">
        <f t="shared" si="13"/>
        <v>33.834655215049544</v>
      </c>
      <c r="O246">
        <f t="shared" si="13"/>
        <v>12.228435220484887</v>
      </c>
      <c r="P246">
        <f t="shared" si="13"/>
        <v>14.376018726689804</v>
      </c>
      <c r="Q246">
        <f t="shared" si="13"/>
        <v>14.559539596421761</v>
      </c>
      <c r="R246">
        <f t="shared" si="13"/>
        <v>14.155128096556879</v>
      </c>
      <c r="S246">
        <f t="shared" si="13"/>
        <v>16.617283182633518</v>
      </c>
      <c r="T246">
        <f t="shared" si="13"/>
        <v>15.131531592938984</v>
      </c>
    </row>
    <row r="247" spans="1:45" hidden="1" x14ac:dyDescent="0.3">
      <c r="J247" t="s">
        <v>192</v>
      </c>
      <c r="K247">
        <f>K245/K242*100</f>
        <v>30.837524389266193</v>
      </c>
      <c r="L247">
        <f t="shared" ref="L247:T247" si="14">L245/L242*100</f>
        <v>30.594417018177307</v>
      </c>
      <c r="M247">
        <f t="shared" si="14"/>
        <v>27.8267703548231</v>
      </c>
      <c r="N247">
        <f t="shared" si="14"/>
        <v>30.989822900372278</v>
      </c>
      <c r="O247">
        <f t="shared" si="14"/>
        <v>37.391006552604736</v>
      </c>
      <c r="P247">
        <f t="shared" si="14"/>
        <v>40.067893459951939</v>
      </c>
      <c r="Q247">
        <f t="shared" si="14"/>
        <v>39.481678534913279</v>
      </c>
      <c r="R247">
        <f t="shared" si="14"/>
        <v>41.296614126222138</v>
      </c>
      <c r="S247">
        <f t="shared" si="14"/>
        <v>42.012243254308814</v>
      </c>
      <c r="T247">
        <f t="shared" si="14"/>
        <v>41.785757335866542</v>
      </c>
    </row>
    <row r="248" spans="1:45" hidden="1" x14ac:dyDescent="0.3">
      <c r="J248" t="s">
        <v>187</v>
      </c>
      <c r="K248">
        <f t="shared" ref="K248:T248" si="15">K249/K242*100</f>
        <v>17.981876087721659</v>
      </c>
      <c r="L248">
        <f t="shared" si="15"/>
        <v>17.04366828972255</v>
      </c>
      <c r="M248">
        <f t="shared" si="15"/>
        <v>16.043001773415043</v>
      </c>
      <c r="N248">
        <f t="shared" si="15"/>
        <v>19.804545759340776</v>
      </c>
      <c r="O248">
        <f t="shared" si="15"/>
        <v>26.946235091495787</v>
      </c>
      <c r="P248">
        <f t="shared" si="15"/>
        <v>31.006855677092908</v>
      </c>
      <c r="Q248">
        <f t="shared" si="15"/>
        <v>30.728280651010348</v>
      </c>
      <c r="R248">
        <f t="shared" si="15"/>
        <v>30.651581513371472</v>
      </c>
      <c r="S248">
        <f t="shared" si="15"/>
        <v>33.293661364513241</v>
      </c>
      <c r="T248">
        <f t="shared" si="15"/>
        <v>32.284647853512674</v>
      </c>
    </row>
    <row r="249" spans="1:45" hidden="1" x14ac:dyDescent="0.3">
      <c r="J249" t="s">
        <v>186</v>
      </c>
      <c r="K249">
        <f t="shared" ref="K249:T249" si="16">SUM(K239:K241)</f>
        <v>12120621000</v>
      </c>
      <c r="L249">
        <f t="shared" si="16"/>
        <v>10227144000</v>
      </c>
      <c r="M249">
        <f t="shared" si="16"/>
        <v>10226671000</v>
      </c>
      <c r="N249">
        <f t="shared" si="16"/>
        <v>13955189000</v>
      </c>
      <c r="O249">
        <f t="shared" si="16"/>
        <v>20689772000</v>
      </c>
      <c r="P249">
        <f t="shared" si="16"/>
        <v>23938411000</v>
      </c>
      <c r="Q249">
        <f t="shared" si="16"/>
        <v>23900917000</v>
      </c>
      <c r="R249">
        <f t="shared" si="16"/>
        <v>23468544000</v>
      </c>
      <c r="S249">
        <f t="shared" si="16"/>
        <v>24630380000</v>
      </c>
      <c r="T249">
        <f t="shared" si="16"/>
        <v>20556147000</v>
      </c>
    </row>
    <row r="250" spans="1:45" hidden="1" x14ac:dyDescent="0.3"/>
    <row r="251" spans="1:45" hidden="1" x14ac:dyDescent="0.3"/>
    <row r="252" spans="1:45" hidden="1" x14ac:dyDescent="0.3"/>
    <row r="253" spans="1:45" hidden="1" x14ac:dyDescent="0.3"/>
    <row r="254" spans="1:45" x14ac:dyDescent="0.3"/>
    <row r="255" spans="1:45" s="30" customFormat="1" x14ac:dyDescent="0.3">
      <c r="A255"/>
      <c r="B255"/>
      <c r="C255"/>
      <c r="D255"/>
      <c r="E255"/>
      <c r="F255"/>
      <c r="G255">
        <v>1</v>
      </c>
      <c r="H255"/>
      <c r="I255" s="14"/>
      <c r="J255" s="27" t="str">
        <f>IF(G255=1, "분기 수익성(순, %)", "분기 수익성(누적, %)")</f>
        <v>분기 수익성(순, %)</v>
      </c>
      <c r="K255" s="8" t="str">
        <f>IF(K238="","",YEAR(K238)&amp;"/"&amp;MONTH(K238)/3&amp;"Q")</f>
        <v>2023/3Q</v>
      </c>
      <c r="L255" s="8" t="str">
        <f t="shared" ref="L255:S255" si="17">IF(L238="","",YEAR(L238)&amp;"/"&amp;MONTH(L238)/3&amp;"Q")</f>
        <v>2023/2Q</v>
      </c>
      <c r="M255" s="8" t="str">
        <f t="shared" si="17"/>
        <v>2023/1Q</v>
      </c>
      <c r="N255" s="8" t="str">
        <f t="shared" si="17"/>
        <v>2022/4Q</v>
      </c>
      <c r="O255" s="8" t="str">
        <f t="shared" si="17"/>
        <v>2022/3Q</v>
      </c>
      <c r="P255" s="8" t="str">
        <f t="shared" si="17"/>
        <v>2022/2Q</v>
      </c>
      <c r="Q255" s="8" t="str">
        <f t="shared" si="17"/>
        <v>2022/1Q</v>
      </c>
      <c r="R255" s="8" t="str">
        <f t="shared" si="17"/>
        <v>2021/4Q</v>
      </c>
      <c r="S255" s="8" t="str">
        <f t="shared" si="17"/>
        <v>2021/3Q</v>
      </c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</row>
    <row r="256" spans="1:45" s="30" customFormat="1" x14ac:dyDescent="0.3">
      <c r="A256"/>
      <c r="B256"/>
      <c r="C256"/>
      <c r="D256"/>
      <c r="E256"/>
      <c r="F256"/>
      <c r="G256"/>
      <c r="H256"/>
      <c r="I256" s="14"/>
      <c r="J256" s="10" t="s">
        <v>190</v>
      </c>
      <c r="K256" s="12">
        <f>IF(K247="",NA(),K247)</f>
        <v>30.837524389266193</v>
      </c>
      <c r="L256" s="12">
        <f t="shared" ref="L256:S256" si="18">IF(L247="","",L247)</f>
        <v>30.594417018177307</v>
      </c>
      <c r="M256" s="12">
        <f t="shared" si="18"/>
        <v>27.8267703548231</v>
      </c>
      <c r="N256" s="12">
        <f t="shared" si="18"/>
        <v>30.989822900372278</v>
      </c>
      <c r="O256" s="12">
        <f t="shared" si="18"/>
        <v>37.391006552604736</v>
      </c>
      <c r="P256" s="12">
        <f t="shared" si="18"/>
        <v>40.067893459951939</v>
      </c>
      <c r="Q256" s="12">
        <f t="shared" si="18"/>
        <v>39.481678534913279</v>
      </c>
      <c r="R256" s="12">
        <f t="shared" si="18"/>
        <v>41.296614126222138</v>
      </c>
      <c r="S256" s="12">
        <f t="shared" si="18"/>
        <v>42.012243254308814</v>
      </c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</row>
    <row r="257" spans="1:10009" s="30" customFormat="1" x14ac:dyDescent="0.3">
      <c r="A257"/>
      <c r="B257"/>
      <c r="C257"/>
      <c r="D257"/>
      <c r="E257"/>
      <c r="F257"/>
      <c r="G257"/>
      <c r="H257"/>
      <c r="I257" s="14"/>
      <c r="J257" s="10" t="s">
        <v>183</v>
      </c>
      <c r="K257" s="12">
        <f>IF(K243="",NA(),K243)</f>
        <v>3.61</v>
      </c>
      <c r="L257" s="12">
        <f t="shared" ref="L257:S257" si="19">IF(L243="","",L243)</f>
        <v>1.1100000000000001</v>
      </c>
      <c r="M257" s="12">
        <f t="shared" si="19"/>
        <v>1</v>
      </c>
      <c r="N257" s="12">
        <f t="shared" si="19"/>
        <v>6.11</v>
      </c>
      <c r="O257" s="12">
        <f t="shared" si="19"/>
        <v>14.13</v>
      </c>
      <c r="P257" s="12">
        <f t="shared" si="19"/>
        <v>18.260000000000002</v>
      </c>
      <c r="Q257" s="12">
        <f t="shared" si="19"/>
        <v>18.16</v>
      </c>
      <c r="R257" s="12">
        <f t="shared" si="19"/>
        <v>18.11</v>
      </c>
      <c r="S257" s="12">
        <f t="shared" si="19"/>
        <v>21.38</v>
      </c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</row>
    <row r="258" spans="1:10009" s="30" customFormat="1" x14ac:dyDescent="0.3">
      <c r="A258"/>
      <c r="B258"/>
      <c r="C258"/>
      <c r="D258"/>
      <c r="E258"/>
      <c r="F258"/>
      <c r="G258"/>
      <c r="H258"/>
      <c r="I258" s="14"/>
      <c r="J258" s="10" t="s">
        <v>189</v>
      </c>
      <c r="K258" s="12">
        <f>IF(K246="",NA(),K246)</f>
        <v>8.6702784252932563</v>
      </c>
      <c r="L258" s="12">
        <f t="shared" ref="L258:S258" si="20">IF(L246="","",L246)</f>
        <v>2.8723534544722735</v>
      </c>
      <c r="M258" s="12">
        <f t="shared" si="20"/>
        <v>2.4701401455487644</v>
      </c>
      <c r="N258" s="12">
        <f t="shared" si="20"/>
        <v>33.834655215049544</v>
      </c>
      <c r="O258" s="12">
        <f t="shared" si="20"/>
        <v>12.228435220484887</v>
      </c>
      <c r="P258" s="12">
        <f t="shared" si="20"/>
        <v>14.376018726689804</v>
      </c>
      <c r="Q258" s="12">
        <f t="shared" si="20"/>
        <v>14.559539596421761</v>
      </c>
      <c r="R258" s="12">
        <f t="shared" si="20"/>
        <v>14.155128096556879</v>
      </c>
      <c r="S258" s="12">
        <f t="shared" si="20"/>
        <v>16.617283182633518</v>
      </c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</row>
    <row r="259" spans="1:10009" s="30" customFormat="1" x14ac:dyDescent="0.3">
      <c r="A259"/>
      <c r="B259"/>
      <c r="C259"/>
      <c r="D259"/>
      <c r="E259"/>
      <c r="F259"/>
      <c r="G259"/>
      <c r="H259"/>
      <c r="I259" s="14"/>
      <c r="J259" s="10" t="s">
        <v>187</v>
      </c>
      <c r="K259" s="12">
        <f>IF(K248="",NA(),K248)</f>
        <v>17.981876087721659</v>
      </c>
      <c r="L259" s="12">
        <f t="shared" ref="L259:S259" si="21">IF(L248="","",L248)</f>
        <v>17.04366828972255</v>
      </c>
      <c r="M259" s="12">
        <f t="shared" si="21"/>
        <v>16.043001773415043</v>
      </c>
      <c r="N259" s="12">
        <f t="shared" si="21"/>
        <v>19.804545759340776</v>
      </c>
      <c r="O259" s="12">
        <f t="shared" si="21"/>
        <v>26.946235091495787</v>
      </c>
      <c r="P259" s="12">
        <f t="shared" si="21"/>
        <v>31.006855677092908</v>
      </c>
      <c r="Q259" s="12">
        <f t="shared" si="21"/>
        <v>30.728280651010348</v>
      </c>
      <c r="R259" s="12">
        <f t="shared" si="21"/>
        <v>30.651581513371472</v>
      </c>
      <c r="S259" s="12">
        <f t="shared" si="21"/>
        <v>33.293661364513241</v>
      </c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</row>
    <row r="260" spans="1:10009" s="30" customFormat="1" x14ac:dyDescent="0.3">
      <c r="A260"/>
      <c r="B260"/>
      <c r="C260"/>
      <c r="D260"/>
      <c r="E260"/>
      <c r="F260"/>
      <c r="G260"/>
      <c r="H260"/>
      <c r="I260" s="14"/>
      <c r="J260" s="10" t="s">
        <v>193</v>
      </c>
      <c r="K260" s="16">
        <f>IF(K249="",NA(),K249)</f>
        <v>12120621000</v>
      </c>
      <c r="L260" s="16">
        <f t="shared" ref="L260:S260" si="22">IF(L249="","",L249)</f>
        <v>10227144000</v>
      </c>
      <c r="M260" s="16">
        <f t="shared" si="22"/>
        <v>10226671000</v>
      </c>
      <c r="N260" s="16">
        <f t="shared" si="22"/>
        <v>13955189000</v>
      </c>
      <c r="O260" s="16">
        <f t="shared" si="22"/>
        <v>20689772000</v>
      </c>
      <c r="P260" s="16">
        <f t="shared" si="22"/>
        <v>23938411000</v>
      </c>
      <c r="Q260" s="16">
        <f t="shared" si="22"/>
        <v>23900917000</v>
      </c>
      <c r="R260" s="16">
        <f t="shared" si="22"/>
        <v>23468544000</v>
      </c>
      <c r="S260" s="16">
        <f t="shared" si="22"/>
        <v>24630380000</v>
      </c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</row>
    <row r="261" spans="1:10009" x14ac:dyDescent="0.3"/>
    <row r="262" spans="1:10009" hidden="1" x14ac:dyDescent="0.3"/>
    <row r="263" spans="1:10009" hidden="1" x14ac:dyDescent="0.3"/>
    <row r="264" spans="1:10009" hidden="1" x14ac:dyDescent="0.3">
      <c r="J264" t="str">
        <f ca="1">_xll.IMDH("STK",$N$5,$J$265:$J$273,$L$92-1460,$O$5,9999,"Per=분기,sort=D,real=true,Bizday=0,Quote=종가,Pos=11,Orient=H,Cons="&amp;$P$5&amp;",Comp=누적,Trai=4,DtFmt=1,TmFmt=1,unit=true,title=연간 수익성")</f>
        <v>연간 수익성</v>
      </c>
    </row>
    <row r="265" spans="1:10009" hidden="1" x14ac:dyDescent="0.3">
      <c r="J265" t="s">
        <v>184</v>
      </c>
      <c r="K265" s="34">
        <v>44926</v>
      </c>
      <c r="L265" s="34">
        <v>44561</v>
      </c>
      <c r="M265" s="34">
        <v>44196</v>
      </c>
      <c r="N265" s="34">
        <v>43830</v>
      </c>
      <c r="O265" s="34">
        <v>43465</v>
      </c>
      <c r="P265" s="34">
        <v>43100</v>
      </c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O265" s="34"/>
      <c r="CP265" s="34"/>
      <c r="CQ265" s="34"/>
      <c r="CR265" s="34"/>
      <c r="CS265" s="34"/>
      <c r="CT265" s="34"/>
      <c r="CU265" s="34"/>
      <c r="CV265" s="34"/>
      <c r="CW265" s="34"/>
      <c r="CX265" s="34"/>
      <c r="CY265" s="34"/>
      <c r="CZ265" s="34"/>
      <c r="DA265" s="34"/>
      <c r="DB265" s="34"/>
      <c r="DC265" s="34"/>
      <c r="DD265" s="34"/>
      <c r="DE265" s="34"/>
      <c r="DF265" s="34"/>
      <c r="DG265" s="34"/>
      <c r="DH265" s="34"/>
      <c r="DI265" s="34"/>
      <c r="DJ265" s="34"/>
      <c r="DK265" s="34"/>
      <c r="DL265" s="34"/>
      <c r="DM265" s="34"/>
      <c r="DN265" s="34"/>
      <c r="DO265" s="34"/>
      <c r="DP265" s="34"/>
      <c r="DQ265" s="34"/>
      <c r="DR265" s="34"/>
      <c r="DS265" s="34"/>
      <c r="DT265" s="34"/>
      <c r="DU265" s="34"/>
      <c r="DV265" s="34"/>
      <c r="DW265" s="34"/>
      <c r="DX265" s="34"/>
      <c r="DY265" s="34"/>
      <c r="DZ265" s="34"/>
      <c r="EA265" s="34"/>
      <c r="EB265" s="34"/>
      <c r="EC265" s="34"/>
      <c r="ED265" s="34"/>
      <c r="EE265" s="34"/>
      <c r="EF265" s="34"/>
      <c r="EG265" s="34"/>
      <c r="EH265" s="34"/>
      <c r="EI265" s="34"/>
      <c r="EJ265" s="34"/>
      <c r="EK265" s="34"/>
      <c r="EL265" s="34"/>
      <c r="EM265" s="34"/>
      <c r="EN265" s="34"/>
      <c r="EO265" s="34"/>
      <c r="EP265" s="34"/>
      <c r="EQ265" s="34"/>
      <c r="ER265" s="34"/>
      <c r="ES265" s="34"/>
      <c r="ET265" s="34"/>
      <c r="EU265" s="34"/>
      <c r="EV265" s="34"/>
      <c r="EW265" s="34"/>
      <c r="EX265" s="34"/>
      <c r="EY265" s="34"/>
      <c r="EZ265" s="34"/>
      <c r="FA265" s="34"/>
      <c r="FB265" s="34"/>
      <c r="FC265" s="34"/>
      <c r="FD265" s="34"/>
      <c r="FE265" s="34"/>
      <c r="FF265" s="34"/>
      <c r="FG265" s="34"/>
      <c r="FH265" s="34"/>
      <c r="FI265" s="34"/>
      <c r="FJ265" s="34"/>
      <c r="FK265" s="34"/>
      <c r="FL265" s="34"/>
      <c r="FM265" s="34"/>
      <c r="FN265" s="34"/>
      <c r="FO265" s="34"/>
      <c r="FP265" s="34"/>
      <c r="FQ265" s="34"/>
      <c r="FR265" s="34"/>
      <c r="FS265" s="34"/>
      <c r="FT265" s="34"/>
      <c r="FU265" s="34"/>
      <c r="FV265" s="34"/>
      <c r="FW265" s="34"/>
      <c r="FX265" s="34"/>
      <c r="FY265" s="34"/>
      <c r="FZ265" s="34"/>
      <c r="GA265" s="34"/>
      <c r="GB265" s="34"/>
      <c r="GC265" s="34"/>
      <c r="GD265" s="34"/>
      <c r="GE265" s="34"/>
      <c r="GF265" s="34"/>
      <c r="GG265" s="34"/>
      <c r="GH265" s="34"/>
      <c r="GI265" s="34"/>
      <c r="GJ265" s="34"/>
      <c r="GK265" s="34"/>
      <c r="GL265" s="34"/>
      <c r="GM265" s="34"/>
      <c r="GN265" s="34"/>
      <c r="GO265" s="34"/>
      <c r="GP265" s="34"/>
      <c r="GQ265" s="34"/>
      <c r="GR265" s="34"/>
      <c r="GS265" s="34"/>
      <c r="GT265" s="34"/>
      <c r="GU265" s="34"/>
      <c r="GV265" s="34"/>
      <c r="GW265" s="34"/>
      <c r="GX265" s="34"/>
      <c r="GY265" s="34"/>
      <c r="GZ265" s="34"/>
      <c r="HA265" s="34"/>
      <c r="HB265" s="34"/>
      <c r="HC265" s="34"/>
      <c r="HD265" s="34"/>
      <c r="HE265" s="34"/>
      <c r="HF265" s="34"/>
      <c r="HG265" s="34"/>
      <c r="HH265" s="34"/>
      <c r="HI265" s="34"/>
      <c r="HJ265" s="34"/>
      <c r="HK265" s="34"/>
      <c r="HL265" s="34"/>
      <c r="HM265" s="34"/>
      <c r="HN265" s="34"/>
      <c r="HO265" s="34"/>
      <c r="HP265" s="34"/>
      <c r="HQ265" s="34"/>
      <c r="HR265" s="34"/>
      <c r="HS265" s="34"/>
      <c r="HT265" s="34"/>
      <c r="HU265" s="34"/>
      <c r="HV265" s="34"/>
      <c r="HW265" s="34"/>
      <c r="HX265" s="34"/>
      <c r="HY265" s="34"/>
      <c r="HZ265" s="34"/>
      <c r="IA265" s="34"/>
      <c r="IB265" s="34"/>
      <c r="IC265" s="34"/>
      <c r="ID265" s="34"/>
      <c r="IE265" s="34"/>
      <c r="IF265" s="34"/>
      <c r="IG265" s="34"/>
      <c r="IH265" s="34"/>
      <c r="II265" s="34"/>
      <c r="IJ265" s="34"/>
      <c r="IK265" s="34"/>
      <c r="IL265" s="34"/>
      <c r="IM265" s="34"/>
      <c r="IN265" s="34"/>
      <c r="IO265" s="34"/>
      <c r="IP265" s="34"/>
      <c r="IQ265" s="34"/>
      <c r="IR265" s="34"/>
      <c r="IS265" s="34"/>
      <c r="IT265" s="34"/>
      <c r="IU265" s="34"/>
      <c r="IV265" s="34"/>
      <c r="IW265" s="34"/>
      <c r="IX265" s="34"/>
      <c r="IY265" s="34"/>
      <c r="IZ265" s="34"/>
      <c r="JA265" s="34"/>
      <c r="JB265" s="34"/>
      <c r="JC265" s="34"/>
      <c r="JD265" s="34"/>
      <c r="JE265" s="34"/>
      <c r="JF265" s="34"/>
      <c r="JG265" s="34"/>
      <c r="JH265" s="34"/>
      <c r="JI265" s="34"/>
      <c r="JJ265" s="34"/>
      <c r="JK265" s="34"/>
      <c r="JL265" s="34"/>
      <c r="JM265" s="34"/>
      <c r="JN265" s="34"/>
      <c r="JO265" s="34"/>
      <c r="JP265" s="34"/>
      <c r="JQ265" s="34"/>
      <c r="JR265" s="34"/>
      <c r="JS265" s="34"/>
      <c r="JT265" s="34"/>
      <c r="JU265" s="34"/>
      <c r="JV265" s="34"/>
      <c r="JW265" s="34"/>
      <c r="JX265" s="34"/>
      <c r="JY265" s="34"/>
      <c r="JZ265" s="34"/>
      <c r="KA265" s="34"/>
      <c r="KB265" s="34"/>
      <c r="KC265" s="34"/>
      <c r="KD265" s="34"/>
      <c r="KE265" s="34"/>
      <c r="KF265" s="34"/>
      <c r="KG265" s="34"/>
      <c r="KH265" s="34"/>
      <c r="KI265" s="34"/>
      <c r="KJ265" s="34"/>
      <c r="KK265" s="34"/>
      <c r="KL265" s="34"/>
      <c r="KM265" s="34"/>
      <c r="KN265" s="34"/>
      <c r="KO265" s="34"/>
      <c r="KP265" s="34"/>
      <c r="KQ265" s="34"/>
      <c r="KR265" s="34"/>
      <c r="KS265" s="34"/>
      <c r="KT265" s="34"/>
      <c r="KU265" s="34"/>
      <c r="KV265" s="34"/>
      <c r="KW265" s="34"/>
      <c r="KX265" s="34"/>
      <c r="KY265" s="34"/>
      <c r="KZ265" s="34"/>
      <c r="LA265" s="34"/>
      <c r="LB265" s="34"/>
      <c r="LC265" s="34"/>
      <c r="LD265" s="34"/>
      <c r="LE265" s="34"/>
      <c r="LF265" s="34"/>
      <c r="LG265" s="34"/>
      <c r="LH265" s="34"/>
      <c r="LI265" s="34"/>
      <c r="LJ265" s="34"/>
      <c r="LK265" s="34"/>
      <c r="LL265" s="34"/>
      <c r="LM265" s="34"/>
      <c r="LN265" s="34"/>
      <c r="LO265" s="34"/>
      <c r="LP265" s="34"/>
      <c r="LQ265" s="34"/>
      <c r="LR265" s="34"/>
      <c r="LS265" s="34"/>
      <c r="LT265" s="34"/>
      <c r="LU265" s="34"/>
      <c r="LV265" s="34"/>
      <c r="LW265" s="34"/>
      <c r="LX265" s="34"/>
      <c r="LY265" s="34"/>
      <c r="LZ265" s="34"/>
      <c r="MA265" s="34"/>
      <c r="MB265" s="34"/>
      <c r="MC265" s="34"/>
      <c r="MD265" s="34"/>
      <c r="ME265" s="34"/>
      <c r="MF265" s="34"/>
      <c r="MG265" s="34"/>
      <c r="MH265" s="34"/>
      <c r="MI265" s="34"/>
      <c r="MJ265" s="34"/>
      <c r="MK265" s="34"/>
      <c r="ML265" s="34"/>
      <c r="MM265" s="34"/>
      <c r="MN265" s="34"/>
      <c r="MO265" s="34"/>
      <c r="MP265" s="34"/>
      <c r="MQ265" s="34"/>
      <c r="MR265" s="34"/>
      <c r="MS265" s="34"/>
      <c r="MT265" s="34"/>
      <c r="MU265" s="34"/>
      <c r="MV265" s="34"/>
      <c r="MW265" s="34"/>
      <c r="MX265" s="34"/>
      <c r="MY265" s="34"/>
      <c r="MZ265" s="34"/>
      <c r="NA265" s="34"/>
      <c r="NB265" s="34"/>
      <c r="NC265" s="34"/>
      <c r="ND265" s="34"/>
      <c r="NE265" s="34"/>
      <c r="NF265" s="34"/>
      <c r="NG265" s="34"/>
      <c r="NH265" s="34"/>
      <c r="NI265" s="34"/>
      <c r="NJ265" s="34"/>
      <c r="NK265" s="34"/>
      <c r="NL265" s="34"/>
      <c r="NM265" s="34"/>
      <c r="NN265" s="34"/>
      <c r="NO265" s="34"/>
      <c r="NP265" s="34"/>
      <c r="NQ265" s="34"/>
      <c r="NR265" s="34"/>
      <c r="NS265" s="34"/>
      <c r="NT265" s="34"/>
      <c r="NU265" s="34"/>
      <c r="NV265" s="34"/>
      <c r="NW265" s="34"/>
      <c r="NX265" s="34"/>
      <c r="NY265" s="34"/>
      <c r="NZ265" s="34"/>
      <c r="OA265" s="34"/>
      <c r="OB265" s="34"/>
      <c r="OC265" s="34"/>
      <c r="OD265" s="34"/>
      <c r="OE265" s="34"/>
      <c r="OF265" s="34"/>
      <c r="OG265" s="34"/>
      <c r="OH265" s="34"/>
      <c r="OI265" s="34"/>
      <c r="OJ265" s="34"/>
      <c r="OK265" s="34"/>
      <c r="OL265" s="34"/>
      <c r="OM265" s="34"/>
      <c r="ON265" s="34"/>
      <c r="OO265" s="34"/>
      <c r="OP265" s="34"/>
      <c r="OQ265" s="34"/>
      <c r="OR265" s="34"/>
      <c r="OS265" s="34"/>
      <c r="OT265" s="34"/>
      <c r="OU265" s="34"/>
      <c r="OV265" s="34"/>
      <c r="OW265" s="34"/>
      <c r="OX265" s="34"/>
      <c r="OY265" s="34"/>
      <c r="OZ265" s="34"/>
      <c r="PA265" s="34"/>
      <c r="PB265" s="34"/>
      <c r="PC265" s="34"/>
      <c r="PD265" s="34"/>
      <c r="PE265" s="34"/>
      <c r="PF265" s="34"/>
      <c r="PG265" s="34"/>
      <c r="PH265" s="34"/>
      <c r="PI265" s="34"/>
      <c r="PJ265" s="34"/>
      <c r="PK265" s="34"/>
      <c r="PL265" s="34"/>
      <c r="PM265" s="34"/>
      <c r="PN265" s="34"/>
      <c r="PO265" s="34"/>
      <c r="PP265" s="34"/>
      <c r="PQ265" s="34"/>
      <c r="PR265" s="34"/>
      <c r="PS265" s="34"/>
      <c r="PT265" s="34"/>
      <c r="PU265" s="34"/>
      <c r="PV265" s="34"/>
      <c r="PW265" s="34"/>
      <c r="PX265" s="34"/>
      <c r="PY265" s="34"/>
      <c r="PZ265" s="34"/>
      <c r="QA265" s="34"/>
      <c r="QB265" s="34"/>
      <c r="QC265" s="34"/>
      <c r="QD265" s="34"/>
      <c r="QE265" s="34"/>
      <c r="QF265" s="34"/>
      <c r="QG265" s="34"/>
      <c r="QH265" s="34"/>
      <c r="QI265" s="34"/>
      <c r="QJ265" s="34"/>
      <c r="QK265" s="34"/>
      <c r="QL265" s="34"/>
      <c r="QM265" s="34"/>
      <c r="QN265" s="34"/>
      <c r="QO265" s="34"/>
      <c r="QP265" s="34"/>
      <c r="QQ265" s="34"/>
      <c r="QR265" s="34"/>
      <c r="QS265" s="34"/>
      <c r="QT265" s="34"/>
      <c r="QU265" s="34"/>
      <c r="QV265" s="34"/>
      <c r="QW265" s="34"/>
      <c r="QX265" s="34"/>
      <c r="QY265" s="34"/>
      <c r="QZ265" s="34"/>
      <c r="RA265" s="34"/>
      <c r="RB265" s="34"/>
      <c r="RC265" s="34"/>
      <c r="RD265" s="34"/>
      <c r="RE265" s="34"/>
      <c r="RF265" s="34"/>
      <c r="RG265" s="34"/>
      <c r="RH265" s="34"/>
      <c r="RI265" s="34"/>
      <c r="RJ265" s="34"/>
      <c r="RK265" s="34"/>
      <c r="RL265" s="34"/>
      <c r="RM265" s="34"/>
      <c r="RN265" s="34"/>
      <c r="RO265" s="34"/>
      <c r="RP265" s="34"/>
      <c r="RQ265" s="34"/>
      <c r="RR265" s="34"/>
      <c r="RS265" s="34"/>
      <c r="RT265" s="34"/>
      <c r="RU265" s="34"/>
      <c r="RV265" s="34"/>
      <c r="RW265" s="34"/>
      <c r="RX265" s="34"/>
      <c r="RY265" s="34"/>
      <c r="RZ265" s="34"/>
      <c r="SA265" s="34"/>
      <c r="SB265" s="34"/>
      <c r="SC265" s="34"/>
      <c r="SD265" s="34"/>
      <c r="SE265" s="34"/>
      <c r="SF265" s="34"/>
      <c r="SG265" s="34"/>
      <c r="SH265" s="34"/>
      <c r="SI265" s="34"/>
      <c r="SJ265" s="34"/>
      <c r="SK265" s="34"/>
      <c r="SL265" s="34"/>
      <c r="SM265" s="34"/>
      <c r="SN265" s="34"/>
      <c r="SO265" s="34"/>
      <c r="SP265" s="34"/>
      <c r="SQ265" s="34"/>
      <c r="SR265" s="34"/>
      <c r="SS265" s="34"/>
      <c r="ST265" s="34"/>
      <c r="SU265" s="34"/>
      <c r="SV265" s="34"/>
      <c r="SW265" s="34"/>
      <c r="SX265" s="34"/>
      <c r="SY265" s="34"/>
      <c r="SZ265" s="34"/>
      <c r="TA265" s="34"/>
      <c r="TB265" s="34"/>
      <c r="TC265" s="34"/>
      <c r="TD265" s="34"/>
      <c r="TE265" s="34"/>
      <c r="TF265" s="34"/>
      <c r="TG265" s="34"/>
      <c r="TH265" s="34"/>
      <c r="TI265" s="34"/>
      <c r="TJ265" s="34"/>
      <c r="TK265" s="34"/>
      <c r="TL265" s="34"/>
      <c r="TM265" s="34"/>
      <c r="TN265" s="34"/>
      <c r="TO265" s="34"/>
      <c r="TP265" s="34"/>
      <c r="TQ265" s="34"/>
      <c r="TR265" s="34"/>
      <c r="TS265" s="34"/>
      <c r="TT265" s="34"/>
      <c r="TU265" s="34"/>
      <c r="TV265" s="34"/>
      <c r="TW265" s="34"/>
      <c r="TX265" s="34"/>
      <c r="TY265" s="34"/>
      <c r="TZ265" s="34"/>
      <c r="UA265" s="34"/>
      <c r="UB265" s="34"/>
      <c r="UC265" s="34"/>
      <c r="UD265" s="34"/>
      <c r="UE265" s="34"/>
      <c r="UF265" s="34"/>
      <c r="UG265" s="34"/>
      <c r="UH265" s="34"/>
      <c r="UI265" s="34"/>
      <c r="UJ265" s="34"/>
      <c r="UK265" s="34"/>
      <c r="UL265" s="34"/>
      <c r="UM265" s="34"/>
      <c r="UN265" s="34"/>
      <c r="UO265" s="34"/>
      <c r="UP265" s="34"/>
      <c r="UQ265" s="34"/>
      <c r="UR265" s="34"/>
      <c r="US265" s="34"/>
      <c r="UT265" s="34"/>
      <c r="UU265" s="34"/>
      <c r="UV265" s="34"/>
      <c r="UW265" s="34"/>
      <c r="UX265" s="34"/>
      <c r="UY265" s="34"/>
      <c r="UZ265" s="34"/>
      <c r="VA265" s="34"/>
      <c r="VB265" s="34"/>
      <c r="VC265" s="34"/>
      <c r="VD265" s="34"/>
      <c r="VE265" s="34"/>
      <c r="VF265" s="34"/>
      <c r="VG265" s="34"/>
      <c r="VH265" s="34"/>
      <c r="VI265" s="34"/>
      <c r="VJ265" s="34"/>
      <c r="VK265" s="34"/>
      <c r="VL265" s="34"/>
      <c r="VM265" s="34"/>
      <c r="VN265" s="34"/>
      <c r="VO265" s="34"/>
      <c r="VP265" s="34"/>
      <c r="VQ265" s="34"/>
      <c r="VR265" s="34"/>
      <c r="VS265" s="34"/>
      <c r="VT265" s="34"/>
      <c r="VU265" s="34"/>
      <c r="VV265" s="34"/>
      <c r="VW265" s="34"/>
      <c r="VX265" s="34"/>
      <c r="VY265" s="34"/>
      <c r="VZ265" s="34"/>
      <c r="WA265" s="34"/>
      <c r="WB265" s="34"/>
      <c r="WC265" s="34"/>
      <c r="WD265" s="34"/>
      <c r="WE265" s="34"/>
      <c r="WF265" s="34"/>
      <c r="WG265" s="34"/>
      <c r="WH265" s="34"/>
      <c r="WI265" s="34"/>
      <c r="WJ265" s="34"/>
      <c r="WK265" s="34"/>
      <c r="WL265" s="34"/>
      <c r="WM265" s="34"/>
      <c r="WN265" s="34"/>
      <c r="WO265" s="34"/>
      <c r="WP265" s="34"/>
      <c r="WQ265" s="34"/>
      <c r="WR265" s="34"/>
      <c r="WS265" s="34"/>
      <c r="WT265" s="34"/>
      <c r="WU265" s="34"/>
      <c r="WV265" s="34"/>
      <c r="WW265" s="34"/>
      <c r="WX265" s="34"/>
      <c r="WY265" s="34"/>
      <c r="WZ265" s="34"/>
      <c r="XA265" s="34"/>
      <c r="XB265" s="34"/>
      <c r="XC265" s="34"/>
      <c r="XD265" s="34"/>
      <c r="XE265" s="34"/>
      <c r="XF265" s="34"/>
      <c r="XG265" s="34"/>
      <c r="XH265" s="34"/>
      <c r="XI265" s="34"/>
      <c r="XJ265" s="34"/>
      <c r="XK265" s="34"/>
      <c r="XL265" s="34"/>
      <c r="XM265" s="34"/>
      <c r="XN265" s="34"/>
      <c r="XO265" s="34"/>
      <c r="XP265" s="34"/>
      <c r="XQ265" s="34"/>
      <c r="XR265" s="34"/>
      <c r="XS265" s="34"/>
      <c r="XT265" s="34"/>
      <c r="XU265" s="34"/>
      <c r="XV265" s="34"/>
      <c r="XW265" s="34"/>
      <c r="XX265" s="34"/>
      <c r="XY265" s="34"/>
      <c r="XZ265" s="34"/>
      <c r="YA265" s="34"/>
      <c r="YB265" s="34"/>
      <c r="YC265" s="34"/>
      <c r="YD265" s="34"/>
      <c r="YE265" s="34"/>
      <c r="YF265" s="34"/>
      <c r="YG265" s="34"/>
      <c r="YH265" s="34"/>
      <c r="YI265" s="34"/>
      <c r="YJ265" s="34"/>
      <c r="YK265" s="34"/>
      <c r="YL265" s="34"/>
      <c r="YM265" s="34"/>
      <c r="YN265" s="34"/>
      <c r="YO265" s="34"/>
      <c r="YP265" s="34"/>
      <c r="YQ265" s="34"/>
      <c r="YR265" s="34"/>
      <c r="YS265" s="34"/>
      <c r="YT265" s="34"/>
      <c r="YU265" s="34"/>
      <c r="YV265" s="34"/>
      <c r="YW265" s="34"/>
      <c r="YX265" s="34"/>
      <c r="YY265" s="34"/>
      <c r="YZ265" s="34"/>
      <c r="ZA265" s="34"/>
      <c r="ZB265" s="34"/>
      <c r="ZC265" s="34"/>
      <c r="ZD265" s="34"/>
      <c r="ZE265" s="34"/>
      <c r="ZF265" s="34"/>
      <c r="ZG265" s="34"/>
      <c r="ZH265" s="34"/>
      <c r="ZI265" s="34"/>
      <c r="ZJ265" s="34"/>
      <c r="ZK265" s="34"/>
      <c r="ZL265" s="34"/>
      <c r="ZM265" s="34"/>
      <c r="ZN265" s="34"/>
      <c r="ZO265" s="34"/>
      <c r="ZP265" s="34"/>
      <c r="ZQ265" s="34"/>
      <c r="ZR265" s="34"/>
      <c r="ZS265" s="34"/>
      <c r="ZT265" s="34"/>
      <c r="ZU265" s="34"/>
      <c r="ZV265" s="34"/>
      <c r="ZW265" s="34"/>
      <c r="ZX265" s="34"/>
      <c r="ZY265" s="34"/>
      <c r="ZZ265" s="34"/>
      <c r="AAA265" s="34"/>
      <c r="AAB265" s="34"/>
      <c r="AAC265" s="34"/>
      <c r="AAD265" s="34"/>
      <c r="AAE265" s="34"/>
      <c r="AAF265" s="34"/>
      <c r="AAG265" s="34"/>
      <c r="AAH265" s="34"/>
      <c r="AAI265" s="34"/>
      <c r="AAJ265" s="34"/>
      <c r="AAK265" s="34"/>
      <c r="AAL265" s="34"/>
      <c r="AAM265" s="34"/>
      <c r="AAN265" s="34"/>
      <c r="AAO265" s="34"/>
      <c r="AAP265" s="34"/>
      <c r="AAQ265" s="34"/>
      <c r="AAR265" s="34"/>
      <c r="AAS265" s="34"/>
      <c r="AAT265" s="34"/>
      <c r="AAU265" s="34"/>
      <c r="AAV265" s="34"/>
      <c r="AAW265" s="34"/>
      <c r="AAX265" s="34"/>
      <c r="AAY265" s="34"/>
      <c r="AAZ265" s="34"/>
      <c r="ABA265" s="34"/>
      <c r="ABB265" s="34"/>
      <c r="ABC265" s="34"/>
      <c r="ABD265" s="34"/>
      <c r="ABE265" s="34"/>
      <c r="ABF265" s="34"/>
      <c r="ABG265" s="34"/>
      <c r="ABH265" s="34"/>
      <c r="ABI265" s="34"/>
      <c r="ABJ265" s="34"/>
      <c r="ABK265" s="34"/>
      <c r="ABL265" s="34"/>
      <c r="ABM265" s="34"/>
      <c r="ABN265" s="34"/>
      <c r="ABO265" s="34"/>
      <c r="ABP265" s="34"/>
      <c r="ABQ265" s="34"/>
      <c r="ABR265" s="34"/>
      <c r="ABS265" s="34"/>
      <c r="ABT265" s="34"/>
      <c r="ABU265" s="34"/>
      <c r="ABV265" s="34"/>
      <c r="ABW265" s="34"/>
      <c r="ABX265" s="34"/>
      <c r="ABY265" s="34"/>
      <c r="ABZ265" s="34"/>
      <c r="ACA265" s="34"/>
      <c r="ACB265" s="34"/>
      <c r="ACC265" s="34"/>
      <c r="ACD265" s="34"/>
      <c r="ACE265" s="34"/>
      <c r="ACF265" s="34"/>
      <c r="ACG265" s="34"/>
      <c r="ACH265" s="34"/>
      <c r="ACI265" s="34"/>
      <c r="ACJ265" s="34"/>
      <c r="ACK265" s="34"/>
      <c r="ACL265" s="34"/>
      <c r="ACM265" s="34"/>
      <c r="ACN265" s="34"/>
      <c r="ACO265" s="34"/>
      <c r="ACP265" s="34"/>
      <c r="ACQ265" s="34"/>
      <c r="ACR265" s="34"/>
      <c r="ACS265" s="34"/>
      <c r="ACT265" s="34"/>
      <c r="ACU265" s="34"/>
      <c r="ACV265" s="34"/>
      <c r="ACW265" s="34"/>
      <c r="ACX265" s="34"/>
      <c r="ACY265" s="34"/>
      <c r="ACZ265" s="34"/>
      <c r="ADA265" s="34"/>
      <c r="ADB265" s="34"/>
      <c r="ADC265" s="34"/>
      <c r="ADD265" s="34"/>
      <c r="ADE265" s="34"/>
      <c r="ADF265" s="34"/>
      <c r="ADG265" s="34"/>
      <c r="ADH265" s="34"/>
      <c r="ADI265" s="34"/>
      <c r="ADJ265" s="34"/>
      <c r="ADK265" s="34"/>
      <c r="ADL265" s="34"/>
      <c r="ADM265" s="34"/>
      <c r="ADN265" s="34"/>
      <c r="ADO265" s="34"/>
      <c r="ADP265" s="34"/>
      <c r="ADQ265" s="34"/>
      <c r="ADR265" s="34"/>
      <c r="ADS265" s="34"/>
      <c r="ADT265" s="34"/>
      <c r="ADU265" s="34"/>
      <c r="ADV265" s="34"/>
      <c r="ADW265" s="34"/>
      <c r="ADX265" s="34"/>
      <c r="ADY265" s="34"/>
      <c r="ADZ265" s="34"/>
      <c r="AEA265" s="34"/>
      <c r="AEB265" s="34"/>
      <c r="AEC265" s="34"/>
      <c r="AED265" s="34"/>
      <c r="AEE265" s="34"/>
      <c r="AEF265" s="34"/>
      <c r="AEG265" s="34"/>
      <c r="AEH265" s="34"/>
      <c r="AEI265" s="34"/>
      <c r="AEJ265" s="34"/>
      <c r="AEK265" s="34"/>
      <c r="AEL265" s="34"/>
      <c r="AEM265" s="34"/>
      <c r="AEN265" s="34"/>
      <c r="AEO265" s="34"/>
      <c r="AEP265" s="34"/>
      <c r="AEQ265" s="34"/>
      <c r="AER265" s="34"/>
      <c r="AES265" s="34"/>
      <c r="AET265" s="34"/>
      <c r="AEU265" s="34"/>
      <c r="AEV265" s="34"/>
      <c r="AEW265" s="34"/>
      <c r="AEX265" s="34"/>
      <c r="AEY265" s="34"/>
      <c r="AEZ265" s="34"/>
      <c r="AFA265" s="34"/>
      <c r="AFB265" s="34"/>
      <c r="AFC265" s="34"/>
      <c r="AFD265" s="34"/>
      <c r="AFE265" s="34"/>
      <c r="AFF265" s="34"/>
      <c r="AFG265" s="34"/>
      <c r="AFH265" s="34"/>
      <c r="AFI265" s="34"/>
      <c r="AFJ265" s="34"/>
      <c r="AFK265" s="34"/>
      <c r="AFL265" s="34"/>
      <c r="AFM265" s="34"/>
      <c r="AFN265" s="34"/>
      <c r="AFO265" s="34"/>
      <c r="AFP265" s="34"/>
      <c r="AFQ265" s="34"/>
      <c r="AFR265" s="34"/>
      <c r="AFS265" s="34"/>
      <c r="AFT265" s="34"/>
      <c r="AFU265" s="34"/>
      <c r="AFV265" s="34"/>
      <c r="AFW265" s="34"/>
      <c r="AFX265" s="34"/>
      <c r="AFY265" s="34"/>
      <c r="AFZ265" s="34"/>
      <c r="AGA265" s="34"/>
      <c r="AGB265" s="34"/>
      <c r="AGC265" s="34"/>
      <c r="AGD265" s="34"/>
      <c r="AGE265" s="34"/>
      <c r="AGF265" s="34"/>
      <c r="AGG265" s="34"/>
      <c r="AGH265" s="34"/>
      <c r="AGI265" s="34"/>
      <c r="AGJ265" s="34"/>
      <c r="AGK265" s="34"/>
      <c r="AGL265" s="34"/>
      <c r="AGM265" s="34"/>
      <c r="AGN265" s="34"/>
      <c r="AGO265" s="34"/>
      <c r="AGP265" s="34"/>
      <c r="AGQ265" s="34"/>
      <c r="AGR265" s="34"/>
      <c r="AGS265" s="34"/>
      <c r="AGT265" s="34"/>
      <c r="AGU265" s="34"/>
      <c r="AGV265" s="34"/>
      <c r="AGW265" s="34"/>
      <c r="AGX265" s="34"/>
      <c r="AGY265" s="34"/>
      <c r="AGZ265" s="34"/>
      <c r="AHA265" s="34"/>
      <c r="AHB265" s="34"/>
      <c r="AHC265" s="34"/>
      <c r="AHD265" s="34"/>
      <c r="AHE265" s="34"/>
      <c r="AHF265" s="34"/>
      <c r="AHG265" s="34"/>
      <c r="AHH265" s="34"/>
      <c r="AHI265" s="34"/>
      <c r="AHJ265" s="34"/>
      <c r="AHK265" s="34"/>
      <c r="AHL265" s="34"/>
      <c r="AHM265" s="34"/>
      <c r="AHN265" s="34"/>
      <c r="AHO265" s="34"/>
      <c r="AHP265" s="34"/>
      <c r="AHQ265" s="34"/>
      <c r="AHR265" s="34"/>
      <c r="AHS265" s="34"/>
      <c r="AHT265" s="34"/>
      <c r="AHU265" s="34"/>
      <c r="AHV265" s="34"/>
      <c r="AHW265" s="34"/>
      <c r="AHX265" s="34"/>
      <c r="AHY265" s="34"/>
      <c r="AHZ265" s="34"/>
      <c r="AIA265" s="34"/>
      <c r="AIB265" s="34"/>
      <c r="AIC265" s="34"/>
      <c r="AID265" s="34"/>
      <c r="AIE265" s="34"/>
      <c r="AIF265" s="34"/>
      <c r="AIG265" s="34"/>
      <c r="AIH265" s="34"/>
      <c r="AII265" s="34"/>
      <c r="AIJ265" s="34"/>
      <c r="AIK265" s="34"/>
      <c r="AIL265" s="34"/>
      <c r="AIM265" s="34"/>
      <c r="AIN265" s="34"/>
      <c r="AIO265" s="34"/>
      <c r="AIP265" s="34"/>
      <c r="AIQ265" s="34"/>
      <c r="AIR265" s="34"/>
      <c r="AIS265" s="34"/>
      <c r="AIT265" s="34"/>
      <c r="AIU265" s="34"/>
      <c r="AIV265" s="34"/>
      <c r="AIW265" s="34"/>
      <c r="AIX265" s="34"/>
      <c r="AIY265" s="34"/>
      <c r="AIZ265" s="34"/>
      <c r="AJA265" s="34"/>
      <c r="AJB265" s="34"/>
      <c r="AJC265" s="34"/>
      <c r="AJD265" s="34"/>
      <c r="AJE265" s="34"/>
      <c r="AJF265" s="34"/>
      <c r="AJG265" s="34"/>
      <c r="AJH265" s="34"/>
      <c r="AJI265" s="34"/>
      <c r="AJJ265" s="34"/>
      <c r="AJK265" s="34"/>
      <c r="AJL265" s="34"/>
      <c r="AJM265" s="34"/>
      <c r="AJN265" s="34"/>
      <c r="AJO265" s="34"/>
      <c r="AJP265" s="34"/>
      <c r="AJQ265" s="34"/>
      <c r="AJR265" s="34"/>
      <c r="AJS265" s="34"/>
      <c r="AJT265" s="34"/>
      <c r="AJU265" s="34"/>
      <c r="AJV265" s="34"/>
      <c r="AJW265" s="34"/>
      <c r="AJX265" s="34"/>
      <c r="AJY265" s="34"/>
      <c r="AJZ265" s="34"/>
      <c r="AKA265" s="34"/>
      <c r="AKB265" s="34"/>
      <c r="AKC265" s="34"/>
      <c r="AKD265" s="34"/>
      <c r="AKE265" s="34"/>
      <c r="AKF265" s="34"/>
      <c r="AKG265" s="34"/>
      <c r="AKH265" s="34"/>
      <c r="AKI265" s="34"/>
      <c r="AKJ265" s="34"/>
      <c r="AKK265" s="34"/>
      <c r="AKL265" s="34"/>
      <c r="AKM265" s="34"/>
      <c r="AKN265" s="34"/>
      <c r="AKO265" s="34"/>
      <c r="AKP265" s="34"/>
      <c r="AKQ265" s="34"/>
      <c r="AKR265" s="34"/>
      <c r="AKS265" s="34"/>
      <c r="AKT265" s="34"/>
      <c r="AKU265" s="34"/>
      <c r="AKV265" s="34"/>
      <c r="AKW265" s="34"/>
      <c r="AKX265" s="34"/>
      <c r="AKY265" s="34"/>
      <c r="AKZ265" s="34"/>
      <c r="ALA265" s="34"/>
      <c r="ALB265" s="34"/>
      <c r="ALC265" s="34"/>
      <c r="ALD265" s="34"/>
      <c r="ALE265" s="34"/>
      <c r="ALF265" s="34"/>
      <c r="ALG265" s="34"/>
      <c r="ALH265" s="34"/>
      <c r="ALI265" s="34"/>
      <c r="ALJ265" s="34"/>
      <c r="ALK265" s="34"/>
      <c r="ALL265" s="34"/>
      <c r="ALM265" s="34"/>
      <c r="ALN265" s="34"/>
      <c r="ALO265" s="34"/>
      <c r="ALP265" s="34"/>
      <c r="ALQ265" s="34"/>
      <c r="ALR265" s="34"/>
      <c r="ALS265" s="34"/>
      <c r="ALT265" s="34"/>
      <c r="ALU265" s="34"/>
      <c r="ALV265" s="34"/>
      <c r="ALW265" s="34"/>
      <c r="ALX265" s="34"/>
      <c r="ALY265" s="34"/>
      <c r="ALZ265" s="34"/>
      <c r="AMA265" s="34"/>
      <c r="AMB265" s="34"/>
      <c r="AMC265" s="34"/>
      <c r="AMD265" s="34"/>
      <c r="AME265" s="34"/>
      <c r="AMF265" s="34"/>
      <c r="AMG265" s="34"/>
      <c r="AMH265" s="34"/>
      <c r="AMI265" s="34"/>
      <c r="AMJ265" s="34"/>
      <c r="AMK265" s="34"/>
      <c r="AML265" s="34"/>
      <c r="AMM265" s="34"/>
      <c r="AMN265" s="34"/>
      <c r="AMO265" s="34"/>
      <c r="AMP265" s="34"/>
      <c r="AMQ265" s="34"/>
      <c r="AMR265" s="34"/>
      <c r="AMS265" s="34"/>
      <c r="AMT265" s="34"/>
      <c r="AMU265" s="34"/>
      <c r="AMV265" s="34"/>
      <c r="AMW265" s="34"/>
      <c r="AMX265" s="34"/>
      <c r="AMY265" s="34"/>
      <c r="AMZ265" s="34"/>
      <c r="ANA265" s="34"/>
      <c r="ANB265" s="34"/>
      <c r="ANC265" s="34"/>
      <c r="AND265" s="34"/>
      <c r="ANE265" s="34"/>
      <c r="ANF265" s="34"/>
      <c r="ANG265" s="34"/>
      <c r="ANH265" s="34"/>
      <c r="ANI265" s="34"/>
      <c r="ANJ265" s="34"/>
      <c r="ANK265" s="34"/>
      <c r="ANL265" s="34"/>
      <c r="ANM265" s="34"/>
      <c r="ANN265" s="34"/>
      <c r="ANO265" s="34"/>
      <c r="ANP265" s="34"/>
      <c r="ANQ265" s="34"/>
      <c r="ANR265" s="34"/>
      <c r="ANS265" s="34"/>
      <c r="ANT265" s="34"/>
      <c r="ANU265" s="34"/>
      <c r="ANV265" s="34"/>
      <c r="ANW265" s="34"/>
      <c r="ANX265" s="34"/>
      <c r="ANY265" s="34"/>
      <c r="ANZ265" s="34"/>
      <c r="AOA265" s="34"/>
      <c r="AOB265" s="34"/>
      <c r="AOC265" s="34"/>
      <c r="AOD265" s="34"/>
      <c r="AOE265" s="34"/>
      <c r="AOF265" s="34"/>
      <c r="AOG265" s="34"/>
      <c r="AOH265" s="34"/>
      <c r="AOI265" s="34"/>
      <c r="AOJ265" s="34"/>
      <c r="AOK265" s="34"/>
      <c r="AOL265" s="34"/>
      <c r="AOM265" s="34"/>
      <c r="AON265" s="34"/>
      <c r="AOO265" s="34"/>
      <c r="AOP265" s="34"/>
      <c r="AOQ265" s="34"/>
      <c r="AOR265" s="34"/>
      <c r="AOS265" s="34"/>
      <c r="AOT265" s="34"/>
      <c r="AOU265" s="34"/>
      <c r="AOV265" s="34"/>
      <c r="AOW265" s="34"/>
      <c r="AOX265" s="34"/>
      <c r="AOY265" s="34"/>
      <c r="AOZ265" s="34"/>
      <c r="APA265" s="34"/>
      <c r="APB265" s="34"/>
      <c r="APC265" s="34"/>
      <c r="APD265" s="34"/>
      <c r="APE265" s="34"/>
      <c r="APF265" s="34"/>
      <c r="APG265" s="34"/>
      <c r="APH265" s="34"/>
      <c r="API265" s="34"/>
      <c r="APJ265" s="34"/>
      <c r="APK265" s="34"/>
      <c r="APL265" s="34"/>
      <c r="APM265" s="34"/>
      <c r="APN265" s="34"/>
      <c r="APO265" s="34"/>
      <c r="APP265" s="34"/>
      <c r="APQ265" s="34"/>
      <c r="APR265" s="34"/>
      <c r="APS265" s="34"/>
      <c r="APT265" s="34"/>
      <c r="APU265" s="34"/>
      <c r="APV265" s="34"/>
      <c r="APW265" s="34"/>
      <c r="APX265" s="34"/>
      <c r="APY265" s="34"/>
      <c r="APZ265" s="34"/>
      <c r="AQA265" s="34"/>
      <c r="AQB265" s="34"/>
      <c r="AQC265" s="34"/>
      <c r="AQD265" s="34"/>
      <c r="AQE265" s="34"/>
      <c r="AQF265" s="34"/>
      <c r="AQG265" s="34"/>
      <c r="AQH265" s="34"/>
      <c r="AQI265" s="34"/>
      <c r="AQJ265" s="34"/>
      <c r="AQK265" s="34"/>
      <c r="AQL265" s="34"/>
      <c r="AQM265" s="34"/>
      <c r="AQN265" s="34"/>
      <c r="AQO265" s="34"/>
      <c r="AQP265" s="34"/>
      <c r="AQQ265" s="34"/>
      <c r="AQR265" s="34"/>
      <c r="AQS265" s="34"/>
      <c r="AQT265" s="34"/>
      <c r="AQU265" s="34"/>
      <c r="AQV265" s="34"/>
      <c r="AQW265" s="34"/>
      <c r="AQX265" s="34"/>
      <c r="AQY265" s="34"/>
      <c r="AQZ265" s="34"/>
      <c r="ARA265" s="34"/>
      <c r="ARB265" s="34"/>
      <c r="ARC265" s="34"/>
      <c r="ARD265" s="34"/>
      <c r="ARE265" s="34"/>
      <c r="ARF265" s="34"/>
      <c r="ARG265" s="34"/>
      <c r="ARH265" s="34"/>
      <c r="ARI265" s="34"/>
      <c r="ARJ265" s="34"/>
      <c r="ARK265" s="34"/>
      <c r="ARL265" s="34"/>
      <c r="ARM265" s="34"/>
      <c r="ARN265" s="34"/>
      <c r="ARO265" s="34"/>
      <c r="ARP265" s="34"/>
      <c r="ARQ265" s="34"/>
      <c r="ARR265" s="34"/>
      <c r="ARS265" s="34"/>
      <c r="ART265" s="34"/>
      <c r="ARU265" s="34"/>
      <c r="ARV265" s="34"/>
      <c r="ARW265" s="34"/>
      <c r="ARX265" s="34"/>
      <c r="ARY265" s="34"/>
      <c r="ARZ265" s="34"/>
      <c r="ASA265" s="34"/>
      <c r="ASB265" s="34"/>
      <c r="ASC265" s="34"/>
      <c r="ASD265" s="34"/>
      <c r="ASE265" s="34"/>
      <c r="ASF265" s="34"/>
      <c r="ASG265" s="34"/>
      <c r="ASH265" s="34"/>
      <c r="ASI265" s="34"/>
      <c r="ASJ265" s="34"/>
      <c r="ASK265" s="34"/>
      <c r="ASL265" s="34"/>
      <c r="ASM265" s="34"/>
      <c r="ASN265" s="34"/>
      <c r="ASO265" s="34"/>
      <c r="ASP265" s="34"/>
      <c r="ASQ265" s="34"/>
      <c r="ASR265" s="34"/>
      <c r="ASS265" s="34"/>
      <c r="AST265" s="34"/>
      <c r="ASU265" s="34"/>
      <c r="ASV265" s="34"/>
      <c r="ASW265" s="34"/>
      <c r="ASX265" s="34"/>
      <c r="ASY265" s="34"/>
      <c r="ASZ265" s="34"/>
      <c r="ATA265" s="34"/>
      <c r="ATB265" s="34"/>
      <c r="ATC265" s="34"/>
      <c r="ATD265" s="34"/>
      <c r="ATE265" s="34"/>
      <c r="ATF265" s="34"/>
      <c r="ATG265" s="34"/>
      <c r="ATH265" s="34"/>
      <c r="ATI265" s="34"/>
      <c r="ATJ265" s="34"/>
      <c r="ATK265" s="34"/>
      <c r="ATL265" s="34"/>
      <c r="ATM265" s="34"/>
      <c r="ATN265" s="34"/>
      <c r="ATO265" s="34"/>
      <c r="ATP265" s="34"/>
      <c r="ATQ265" s="34"/>
      <c r="ATR265" s="34"/>
      <c r="ATS265" s="34"/>
      <c r="ATT265" s="34"/>
      <c r="ATU265" s="34"/>
      <c r="ATV265" s="34"/>
      <c r="ATW265" s="34"/>
      <c r="ATX265" s="34"/>
      <c r="ATY265" s="34"/>
      <c r="ATZ265" s="34"/>
      <c r="AUA265" s="34"/>
      <c r="AUB265" s="34"/>
      <c r="AUC265" s="34"/>
      <c r="AUD265" s="34"/>
      <c r="AUE265" s="34"/>
      <c r="AUF265" s="34"/>
      <c r="AUG265" s="34"/>
      <c r="AUH265" s="34"/>
      <c r="AUI265" s="34"/>
      <c r="AUJ265" s="34"/>
      <c r="AUK265" s="34"/>
      <c r="AUL265" s="34"/>
      <c r="AUM265" s="34"/>
      <c r="AUN265" s="34"/>
      <c r="AUO265" s="34"/>
      <c r="AUP265" s="34"/>
      <c r="AUQ265" s="34"/>
      <c r="AUR265" s="34"/>
      <c r="AUS265" s="34"/>
      <c r="AUT265" s="34"/>
      <c r="AUU265" s="34"/>
      <c r="AUV265" s="34"/>
      <c r="AUW265" s="34"/>
      <c r="AUX265" s="34"/>
      <c r="AUY265" s="34"/>
      <c r="AUZ265" s="34"/>
      <c r="AVA265" s="34"/>
      <c r="AVB265" s="34"/>
      <c r="AVC265" s="34"/>
      <c r="AVD265" s="34"/>
      <c r="AVE265" s="34"/>
      <c r="AVF265" s="34"/>
      <c r="AVG265" s="34"/>
      <c r="AVH265" s="34"/>
      <c r="AVI265" s="34"/>
      <c r="AVJ265" s="34"/>
      <c r="AVK265" s="34"/>
      <c r="AVL265" s="34"/>
      <c r="AVM265" s="34"/>
      <c r="AVN265" s="34"/>
      <c r="AVO265" s="34"/>
      <c r="AVP265" s="34"/>
      <c r="AVQ265" s="34"/>
      <c r="AVR265" s="34"/>
      <c r="AVS265" s="34"/>
      <c r="AVT265" s="34"/>
      <c r="AVU265" s="34"/>
      <c r="AVV265" s="34"/>
      <c r="AVW265" s="34"/>
      <c r="AVX265" s="34"/>
      <c r="AVY265" s="34"/>
      <c r="AVZ265" s="34"/>
      <c r="AWA265" s="34"/>
      <c r="AWB265" s="34"/>
      <c r="AWC265" s="34"/>
      <c r="AWD265" s="34"/>
      <c r="AWE265" s="34"/>
      <c r="AWF265" s="34"/>
      <c r="AWG265" s="34"/>
      <c r="AWH265" s="34"/>
      <c r="AWI265" s="34"/>
      <c r="AWJ265" s="34"/>
      <c r="AWK265" s="34"/>
      <c r="AWL265" s="34"/>
      <c r="AWM265" s="34"/>
      <c r="AWN265" s="34"/>
      <c r="AWO265" s="34"/>
      <c r="AWP265" s="34"/>
      <c r="AWQ265" s="34"/>
      <c r="AWR265" s="34"/>
      <c r="AWS265" s="34"/>
      <c r="AWT265" s="34"/>
      <c r="AWU265" s="34"/>
      <c r="AWV265" s="34"/>
      <c r="AWW265" s="34"/>
      <c r="AWX265" s="34"/>
      <c r="AWY265" s="34"/>
      <c r="AWZ265" s="34"/>
      <c r="AXA265" s="34"/>
      <c r="AXB265" s="34"/>
      <c r="AXC265" s="34"/>
      <c r="AXD265" s="34"/>
      <c r="AXE265" s="34"/>
      <c r="AXF265" s="34"/>
      <c r="AXG265" s="34"/>
      <c r="AXH265" s="34"/>
      <c r="AXI265" s="34"/>
      <c r="AXJ265" s="34"/>
      <c r="AXK265" s="34"/>
      <c r="AXL265" s="34"/>
      <c r="AXM265" s="34"/>
      <c r="AXN265" s="34"/>
      <c r="AXO265" s="34"/>
      <c r="AXP265" s="34"/>
      <c r="AXQ265" s="34"/>
      <c r="AXR265" s="34"/>
      <c r="AXS265" s="34"/>
      <c r="AXT265" s="34"/>
      <c r="AXU265" s="34"/>
      <c r="AXV265" s="34"/>
      <c r="AXW265" s="34"/>
      <c r="AXX265" s="34"/>
      <c r="AXY265" s="34"/>
      <c r="AXZ265" s="34"/>
      <c r="AYA265" s="34"/>
      <c r="AYB265" s="34"/>
      <c r="AYC265" s="34"/>
      <c r="AYD265" s="34"/>
      <c r="AYE265" s="34"/>
      <c r="AYF265" s="34"/>
      <c r="AYG265" s="34"/>
      <c r="AYH265" s="34"/>
      <c r="AYI265" s="34"/>
      <c r="AYJ265" s="34"/>
      <c r="AYK265" s="34"/>
      <c r="AYL265" s="34"/>
      <c r="AYM265" s="34"/>
      <c r="AYN265" s="34"/>
      <c r="AYO265" s="34"/>
      <c r="AYP265" s="34"/>
      <c r="AYQ265" s="34"/>
      <c r="AYR265" s="34"/>
      <c r="AYS265" s="34"/>
      <c r="AYT265" s="34"/>
      <c r="AYU265" s="34"/>
      <c r="AYV265" s="34"/>
      <c r="AYW265" s="34"/>
      <c r="AYX265" s="34"/>
      <c r="AYY265" s="34"/>
      <c r="AYZ265" s="34"/>
      <c r="AZA265" s="34"/>
      <c r="AZB265" s="34"/>
      <c r="AZC265" s="34"/>
      <c r="AZD265" s="34"/>
      <c r="AZE265" s="34"/>
      <c r="AZF265" s="34"/>
      <c r="AZG265" s="34"/>
      <c r="AZH265" s="34"/>
      <c r="AZI265" s="34"/>
      <c r="AZJ265" s="34"/>
      <c r="AZK265" s="34"/>
      <c r="AZL265" s="34"/>
      <c r="AZM265" s="34"/>
      <c r="AZN265" s="34"/>
      <c r="AZO265" s="34"/>
      <c r="AZP265" s="34"/>
      <c r="AZQ265" s="34"/>
      <c r="AZR265" s="34"/>
      <c r="AZS265" s="34"/>
      <c r="AZT265" s="34"/>
      <c r="AZU265" s="34"/>
      <c r="AZV265" s="34"/>
      <c r="AZW265" s="34"/>
      <c r="AZX265" s="34"/>
      <c r="AZY265" s="34"/>
      <c r="AZZ265" s="34"/>
      <c r="BAA265" s="34"/>
      <c r="BAB265" s="34"/>
      <c r="BAC265" s="34"/>
      <c r="BAD265" s="34"/>
      <c r="BAE265" s="34"/>
      <c r="BAF265" s="34"/>
      <c r="BAG265" s="34"/>
      <c r="BAH265" s="34"/>
      <c r="BAI265" s="34"/>
      <c r="BAJ265" s="34"/>
      <c r="BAK265" s="34"/>
      <c r="BAL265" s="34"/>
      <c r="BAM265" s="34"/>
      <c r="BAN265" s="34"/>
      <c r="BAO265" s="34"/>
      <c r="BAP265" s="34"/>
      <c r="BAQ265" s="34"/>
      <c r="BAR265" s="34"/>
      <c r="BAS265" s="34"/>
      <c r="BAT265" s="34"/>
      <c r="BAU265" s="34"/>
      <c r="BAV265" s="34"/>
      <c r="BAW265" s="34"/>
      <c r="BAX265" s="34"/>
      <c r="BAY265" s="34"/>
      <c r="BAZ265" s="34"/>
      <c r="BBA265" s="34"/>
      <c r="BBB265" s="34"/>
      <c r="BBC265" s="34"/>
      <c r="BBD265" s="34"/>
      <c r="BBE265" s="34"/>
      <c r="BBF265" s="34"/>
      <c r="BBG265" s="34"/>
      <c r="BBH265" s="34"/>
      <c r="BBI265" s="34"/>
      <c r="BBJ265" s="34"/>
      <c r="BBK265" s="34"/>
      <c r="BBL265" s="34"/>
      <c r="BBM265" s="34"/>
      <c r="BBN265" s="34"/>
      <c r="BBO265" s="34"/>
      <c r="BBP265" s="34"/>
      <c r="BBQ265" s="34"/>
      <c r="BBR265" s="34"/>
      <c r="BBS265" s="34"/>
      <c r="BBT265" s="34"/>
      <c r="BBU265" s="34"/>
      <c r="BBV265" s="34"/>
      <c r="BBW265" s="34"/>
      <c r="BBX265" s="34"/>
      <c r="BBY265" s="34"/>
      <c r="BBZ265" s="34"/>
      <c r="BCA265" s="34"/>
      <c r="BCB265" s="34"/>
      <c r="BCC265" s="34"/>
      <c r="BCD265" s="34"/>
      <c r="BCE265" s="34"/>
      <c r="BCF265" s="34"/>
      <c r="BCG265" s="34"/>
      <c r="BCH265" s="34"/>
      <c r="BCI265" s="34"/>
      <c r="BCJ265" s="34"/>
      <c r="BCK265" s="34"/>
      <c r="BCL265" s="34"/>
      <c r="BCM265" s="34"/>
      <c r="BCN265" s="34"/>
      <c r="BCO265" s="34"/>
      <c r="BCP265" s="34"/>
      <c r="BCQ265" s="34"/>
      <c r="BCR265" s="34"/>
      <c r="BCS265" s="34"/>
      <c r="BCT265" s="34"/>
      <c r="BCU265" s="34"/>
      <c r="BCV265" s="34"/>
      <c r="BCW265" s="34"/>
      <c r="BCX265" s="34"/>
      <c r="BCY265" s="34"/>
      <c r="BCZ265" s="34"/>
      <c r="BDA265" s="34"/>
      <c r="BDB265" s="34"/>
      <c r="BDC265" s="34"/>
      <c r="BDD265" s="34"/>
      <c r="BDE265" s="34"/>
      <c r="BDF265" s="34"/>
      <c r="BDG265" s="34"/>
      <c r="BDH265" s="34"/>
      <c r="BDI265" s="34"/>
      <c r="BDJ265" s="34"/>
      <c r="BDK265" s="34"/>
      <c r="BDL265" s="34"/>
      <c r="BDM265" s="34"/>
      <c r="BDN265" s="34"/>
      <c r="BDO265" s="34"/>
      <c r="BDP265" s="34"/>
      <c r="BDQ265" s="34"/>
      <c r="BDR265" s="34"/>
      <c r="BDS265" s="34"/>
      <c r="BDT265" s="34"/>
      <c r="BDU265" s="34"/>
      <c r="BDV265" s="34"/>
      <c r="BDW265" s="34"/>
      <c r="BDX265" s="34"/>
      <c r="BDY265" s="34"/>
      <c r="BDZ265" s="34"/>
      <c r="BEA265" s="34"/>
      <c r="BEB265" s="34"/>
      <c r="BEC265" s="34"/>
      <c r="BED265" s="34"/>
      <c r="BEE265" s="34"/>
      <c r="BEF265" s="34"/>
      <c r="BEG265" s="34"/>
      <c r="BEH265" s="34"/>
      <c r="BEI265" s="34"/>
      <c r="BEJ265" s="34"/>
      <c r="BEK265" s="34"/>
      <c r="BEL265" s="34"/>
      <c r="BEM265" s="34"/>
      <c r="BEN265" s="34"/>
      <c r="BEO265" s="34"/>
      <c r="BEP265" s="34"/>
      <c r="BEQ265" s="34"/>
      <c r="BER265" s="34"/>
      <c r="BES265" s="34"/>
      <c r="BET265" s="34"/>
      <c r="BEU265" s="34"/>
      <c r="BEV265" s="34"/>
      <c r="BEW265" s="34"/>
      <c r="BEX265" s="34"/>
      <c r="BEY265" s="34"/>
      <c r="BEZ265" s="34"/>
      <c r="BFA265" s="34"/>
      <c r="BFB265" s="34"/>
      <c r="BFC265" s="34"/>
      <c r="BFD265" s="34"/>
      <c r="BFE265" s="34"/>
      <c r="BFF265" s="34"/>
      <c r="BFG265" s="34"/>
      <c r="BFH265" s="34"/>
      <c r="BFI265" s="34"/>
      <c r="BFJ265" s="34"/>
      <c r="BFK265" s="34"/>
      <c r="BFL265" s="34"/>
      <c r="BFM265" s="34"/>
      <c r="BFN265" s="34"/>
      <c r="BFO265" s="34"/>
      <c r="BFP265" s="34"/>
      <c r="BFQ265" s="34"/>
      <c r="BFR265" s="34"/>
      <c r="BFS265" s="34"/>
      <c r="BFT265" s="34"/>
      <c r="BFU265" s="34"/>
      <c r="BFV265" s="34"/>
      <c r="BFW265" s="34"/>
      <c r="BFX265" s="34"/>
      <c r="BFY265" s="34"/>
      <c r="BFZ265" s="34"/>
      <c r="BGA265" s="34"/>
      <c r="BGB265" s="34"/>
      <c r="BGC265" s="34"/>
      <c r="BGD265" s="34"/>
      <c r="BGE265" s="34"/>
      <c r="BGF265" s="34"/>
      <c r="BGG265" s="34"/>
      <c r="BGH265" s="34"/>
      <c r="BGI265" s="34"/>
      <c r="BGJ265" s="34"/>
      <c r="BGK265" s="34"/>
      <c r="BGL265" s="34"/>
      <c r="BGM265" s="34"/>
      <c r="BGN265" s="34"/>
      <c r="BGO265" s="34"/>
      <c r="BGP265" s="34"/>
      <c r="BGQ265" s="34"/>
      <c r="BGR265" s="34"/>
      <c r="BGS265" s="34"/>
      <c r="BGT265" s="34"/>
      <c r="BGU265" s="34"/>
      <c r="BGV265" s="34"/>
      <c r="BGW265" s="34"/>
      <c r="BGX265" s="34"/>
      <c r="BGY265" s="34"/>
      <c r="BGZ265" s="34"/>
      <c r="BHA265" s="34"/>
      <c r="BHB265" s="34"/>
      <c r="BHC265" s="34"/>
      <c r="BHD265" s="34"/>
      <c r="BHE265" s="34"/>
      <c r="BHF265" s="34"/>
      <c r="BHG265" s="34"/>
      <c r="BHH265" s="34"/>
      <c r="BHI265" s="34"/>
      <c r="BHJ265" s="34"/>
      <c r="BHK265" s="34"/>
      <c r="BHL265" s="34"/>
      <c r="BHM265" s="34"/>
      <c r="BHN265" s="34"/>
      <c r="BHO265" s="34"/>
      <c r="BHP265" s="34"/>
      <c r="BHQ265" s="34"/>
      <c r="BHR265" s="34"/>
      <c r="BHS265" s="34"/>
      <c r="BHT265" s="34"/>
      <c r="BHU265" s="34"/>
      <c r="BHV265" s="34"/>
      <c r="BHW265" s="34"/>
      <c r="BHX265" s="34"/>
      <c r="BHY265" s="34"/>
      <c r="BHZ265" s="34"/>
      <c r="BIA265" s="34"/>
      <c r="BIB265" s="34"/>
      <c r="BIC265" s="34"/>
      <c r="BID265" s="34"/>
      <c r="BIE265" s="34"/>
      <c r="BIF265" s="34"/>
      <c r="BIG265" s="34"/>
      <c r="BIH265" s="34"/>
      <c r="BII265" s="34"/>
      <c r="BIJ265" s="34"/>
      <c r="BIK265" s="34"/>
      <c r="BIL265" s="34"/>
      <c r="BIM265" s="34"/>
      <c r="BIN265" s="34"/>
      <c r="BIO265" s="34"/>
      <c r="BIP265" s="34"/>
      <c r="BIQ265" s="34"/>
      <c r="BIR265" s="34"/>
      <c r="BIS265" s="34"/>
      <c r="BIT265" s="34"/>
      <c r="BIU265" s="34"/>
      <c r="BIV265" s="34"/>
      <c r="BIW265" s="34"/>
      <c r="BIX265" s="34"/>
      <c r="BIY265" s="34"/>
      <c r="BIZ265" s="34"/>
      <c r="BJA265" s="34"/>
      <c r="BJB265" s="34"/>
      <c r="BJC265" s="34"/>
      <c r="BJD265" s="34"/>
      <c r="BJE265" s="34"/>
      <c r="BJF265" s="34"/>
      <c r="BJG265" s="34"/>
      <c r="BJH265" s="34"/>
      <c r="BJI265" s="34"/>
      <c r="BJJ265" s="34"/>
      <c r="BJK265" s="34"/>
      <c r="BJL265" s="34"/>
      <c r="BJM265" s="34"/>
      <c r="BJN265" s="34"/>
      <c r="BJO265" s="34"/>
      <c r="BJP265" s="34"/>
      <c r="BJQ265" s="34"/>
      <c r="BJR265" s="34"/>
      <c r="BJS265" s="34"/>
      <c r="BJT265" s="34"/>
      <c r="BJU265" s="34"/>
      <c r="BJV265" s="34"/>
      <c r="BJW265" s="34"/>
      <c r="BJX265" s="34"/>
      <c r="BJY265" s="34"/>
      <c r="BJZ265" s="34"/>
      <c r="BKA265" s="34"/>
      <c r="BKB265" s="34"/>
      <c r="BKC265" s="34"/>
      <c r="BKD265" s="34"/>
      <c r="BKE265" s="34"/>
      <c r="BKF265" s="34"/>
      <c r="BKG265" s="34"/>
      <c r="BKH265" s="34"/>
      <c r="BKI265" s="34"/>
      <c r="BKJ265" s="34"/>
      <c r="BKK265" s="34"/>
      <c r="BKL265" s="34"/>
      <c r="BKM265" s="34"/>
      <c r="BKN265" s="34"/>
      <c r="BKO265" s="34"/>
      <c r="BKP265" s="34"/>
      <c r="BKQ265" s="34"/>
      <c r="BKR265" s="34"/>
      <c r="BKS265" s="34"/>
      <c r="BKT265" s="34"/>
      <c r="BKU265" s="34"/>
      <c r="BKV265" s="34"/>
      <c r="BKW265" s="34"/>
      <c r="BKX265" s="34"/>
      <c r="BKY265" s="34"/>
      <c r="BKZ265" s="34"/>
      <c r="BLA265" s="34"/>
      <c r="BLB265" s="34"/>
      <c r="BLC265" s="34"/>
      <c r="BLD265" s="34"/>
      <c r="BLE265" s="34"/>
      <c r="BLF265" s="34"/>
      <c r="BLG265" s="34"/>
      <c r="BLH265" s="34"/>
      <c r="BLI265" s="34"/>
      <c r="BLJ265" s="34"/>
      <c r="BLK265" s="34"/>
      <c r="BLL265" s="34"/>
      <c r="BLM265" s="34"/>
      <c r="BLN265" s="34"/>
      <c r="BLO265" s="34"/>
      <c r="BLP265" s="34"/>
      <c r="BLQ265" s="34"/>
      <c r="BLR265" s="34"/>
      <c r="BLS265" s="34"/>
      <c r="BLT265" s="34"/>
      <c r="BLU265" s="34"/>
      <c r="BLV265" s="34"/>
      <c r="BLW265" s="34"/>
      <c r="BLX265" s="34"/>
      <c r="BLY265" s="34"/>
      <c r="BLZ265" s="34"/>
      <c r="BMA265" s="34"/>
      <c r="BMB265" s="34"/>
      <c r="BMC265" s="34"/>
      <c r="BMD265" s="34"/>
      <c r="BME265" s="34"/>
      <c r="BMF265" s="34"/>
      <c r="BMG265" s="34"/>
      <c r="BMH265" s="34"/>
      <c r="BMI265" s="34"/>
      <c r="BMJ265" s="34"/>
      <c r="BMK265" s="34"/>
      <c r="BML265" s="34"/>
      <c r="BMM265" s="34"/>
      <c r="BMN265" s="34"/>
      <c r="BMO265" s="34"/>
      <c r="BMP265" s="34"/>
      <c r="BMQ265" s="34"/>
      <c r="BMR265" s="34"/>
      <c r="BMS265" s="34"/>
      <c r="BMT265" s="34"/>
      <c r="BMU265" s="34"/>
      <c r="BMV265" s="34"/>
      <c r="BMW265" s="34"/>
      <c r="BMX265" s="34"/>
      <c r="BMY265" s="34"/>
      <c r="BMZ265" s="34"/>
      <c r="BNA265" s="34"/>
      <c r="BNB265" s="34"/>
      <c r="BNC265" s="34"/>
      <c r="BND265" s="34"/>
      <c r="BNE265" s="34"/>
      <c r="BNF265" s="34"/>
      <c r="BNG265" s="34"/>
      <c r="BNH265" s="34"/>
      <c r="BNI265" s="34"/>
      <c r="BNJ265" s="34"/>
      <c r="BNK265" s="34"/>
      <c r="BNL265" s="34"/>
      <c r="BNM265" s="34"/>
      <c r="BNN265" s="34"/>
      <c r="BNO265" s="34"/>
      <c r="BNP265" s="34"/>
      <c r="BNQ265" s="34"/>
      <c r="BNR265" s="34"/>
      <c r="BNS265" s="34"/>
      <c r="BNT265" s="34"/>
      <c r="BNU265" s="34"/>
      <c r="BNV265" s="34"/>
      <c r="BNW265" s="34"/>
      <c r="BNX265" s="34"/>
      <c r="BNY265" s="34"/>
      <c r="BNZ265" s="34"/>
      <c r="BOA265" s="34"/>
      <c r="BOB265" s="34"/>
      <c r="BOC265" s="34"/>
      <c r="BOD265" s="34"/>
      <c r="BOE265" s="34"/>
      <c r="BOF265" s="34"/>
      <c r="BOG265" s="34"/>
      <c r="BOH265" s="34"/>
      <c r="BOI265" s="34"/>
      <c r="BOJ265" s="34"/>
      <c r="BOK265" s="34"/>
      <c r="BOL265" s="34"/>
      <c r="BOM265" s="34"/>
      <c r="BON265" s="34"/>
      <c r="BOO265" s="34"/>
      <c r="BOP265" s="34"/>
      <c r="BOQ265" s="34"/>
      <c r="BOR265" s="34"/>
      <c r="BOS265" s="34"/>
      <c r="BOT265" s="34"/>
      <c r="BOU265" s="34"/>
      <c r="BOV265" s="34"/>
      <c r="BOW265" s="34"/>
      <c r="BOX265" s="34"/>
      <c r="BOY265" s="34"/>
      <c r="BOZ265" s="34"/>
      <c r="BPA265" s="34"/>
      <c r="BPB265" s="34"/>
      <c r="BPC265" s="34"/>
      <c r="BPD265" s="34"/>
      <c r="BPE265" s="34"/>
      <c r="BPF265" s="34"/>
      <c r="BPG265" s="34"/>
      <c r="BPH265" s="34"/>
      <c r="BPI265" s="34"/>
      <c r="BPJ265" s="34"/>
      <c r="BPK265" s="34"/>
      <c r="BPL265" s="34"/>
      <c r="BPM265" s="34"/>
      <c r="BPN265" s="34"/>
      <c r="BPO265" s="34"/>
      <c r="BPP265" s="34"/>
      <c r="BPQ265" s="34"/>
      <c r="BPR265" s="34"/>
      <c r="BPS265" s="34"/>
      <c r="BPT265" s="34"/>
      <c r="BPU265" s="34"/>
      <c r="BPV265" s="34"/>
      <c r="BPW265" s="34"/>
      <c r="BPX265" s="34"/>
      <c r="BPY265" s="34"/>
      <c r="BPZ265" s="34"/>
      <c r="BQA265" s="34"/>
      <c r="BQB265" s="34"/>
      <c r="BQC265" s="34"/>
      <c r="BQD265" s="34"/>
      <c r="BQE265" s="34"/>
      <c r="BQF265" s="34"/>
      <c r="BQG265" s="34"/>
      <c r="BQH265" s="34"/>
      <c r="BQI265" s="34"/>
      <c r="BQJ265" s="34"/>
      <c r="BQK265" s="34"/>
      <c r="BQL265" s="34"/>
      <c r="BQM265" s="34"/>
      <c r="BQN265" s="34"/>
      <c r="BQO265" s="34"/>
      <c r="BQP265" s="34"/>
      <c r="BQQ265" s="34"/>
      <c r="BQR265" s="34"/>
      <c r="BQS265" s="34"/>
      <c r="BQT265" s="34"/>
      <c r="BQU265" s="34"/>
      <c r="BQV265" s="34"/>
      <c r="BQW265" s="34"/>
      <c r="BQX265" s="34"/>
      <c r="BQY265" s="34"/>
      <c r="BQZ265" s="34"/>
      <c r="BRA265" s="34"/>
      <c r="BRB265" s="34"/>
      <c r="BRC265" s="34"/>
      <c r="BRD265" s="34"/>
      <c r="BRE265" s="34"/>
      <c r="BRF265" s="34"/>
      <c r="BRG265" s="34"/>
      <c r="BRH265" s="34"/>
      <c r="BRI265" s="34"/>
      <c r="BRJ265" s="34"/>
      <c r="BRK265" s="34"/>
      <c r="BRL265" s="34"/>
      <c r="BRM265" s="34"/>
      <c r="BRN265" s="34"/>
      <c r="BRO265" s="34"/>
      <c r="BRP265" s="34"/>
      <c r="BRQ265" s="34"/>
      <c r="BRR265" s="34"/>
      <c r="BRS265" s="34"/>
      <c r="BRT265" s="34"/>
      <c r="BRU265" s="34"/>
      <c r="BRV265" s="34"/>
      <c r="BRW265" s="34"/>
      <c r="BRX265" s="34"/>
      <c r="BRY265" s="34"/>
      <c r="BRZ265" s="34"/>
      <c r="BSA265" s="34"/>
      <c r="BSB265" s="34"/>
      <c r="BSC265" s="34"/>
      <c r="BSD265" s="34"/>
      <c r="BSE265" s="34"/>
      <c r="BSF265" s="34"/>
      <c r="BSG265" s="34"/>
      <c r="BSH265" s="34"/>
      <c r="BSI265" s="34"/>
      <c r="BSJ265" s="34"/>
      <c r="BSK265" s="34"/>
      <c r="BSL265" s="34"/>
      <c r="BSM265" s="34"/>
      <c r="BSN265" s="34"/>
      <c r="BSO265" s="34"/>
      <c r="BSP265" s="34"/>
      <c r="BSQ265" s="34"/>
      <c r="BSR265" s="34"/>
      <c r="BSS265" s="34"/>
      <c r="BST265" s="34"/>
      <c r="BSU265" s="34"/>
      <c r="BSV265" s="34"/>
      <c r="BSW265" s="34"/>
      <c r="BSX265" s="34"/>
      <c r="BSY265" s="34"/>
      <c r="BSZ265" s="34"/>
      <c r="BTA265" s="34"/>
      <c r="BTB265" s="34"/>
      <c r="BTC265" s="34"/>
      <c r="BTD265" s="34"/>
      <c r="BTE265" s="34"/>
      <c r="BTF265" s="34"/>
      <c r="BTG265" s="34"/>
      <c r="BTH265" s="34"/>
      <c r="BTI265" s="34"/>
      <c r="BTJ265" s="34"/>
      <c r="BTK265" s="34"/>
      <c r="BTL265" s="34"/>
      <c r="BTM265" s="34"/>
      <c r="BTN265" s="34"/>
      <c r="BTO265" s="34"/>
      <c r="BTP265" s="34"/>
      <c r="BTQ265" s="34"/>
      <c r="BTR265" s="34"/>
      <c r="BTS265" s="34"/>
      <c r="BTT265" s="34"/>
      <c r="BTU265" s="34"/>
      <c r="BTV265" s="34"/>
      <c r="BTW265" s="34"/>
      <c r="BTX265" s="34"/>
      <c r="BTY265" s="34"/>
      <c r="BTZ265" s="34"/>
      <c r="BUA265" s="34"/>
      <c r="BUB265" s="34"/>
      <c r="BUC265" s="34"/>
      <c r="BUD265" s="34"/>
      <c r="BUE265" s="34"/>
      <c r="BUF265" s="34"/>
      <c r="BUG265" s="34"/>
      <c r="BUH265" s="34"/>
      <c r="BUI265" s="34"/>
      <c r="BUJ265" s="34"/>
      <c r="BUK265" s="34"/>
      <c r="BUL265" s="34"/>
      <c r="BUM265" s="34"/>
      <c r="BUN265" s="34"/>
      <c r="BUO265" s="34"/>
      <c r="BUP265" s="34"/>
      <c r="BUQ265" s="34"/>
      <c r="BUR265" s="34"/>
      <c r="BUS265" s="34"/>
      <c r="BUT265" s="34"/>
      <c r="BUU265" s="34"/>
      <c r="BUV265" s="34"/>
      <c r="BUW265" s="34"/>
      <c r="BUX265" s="34"/>
      <c r="BUY265" s="34"/>
      <c r="BUZ265" s="34"/>
      <c r="BVA265" s="34"/>
      <c r="BVB265" s="34"/>
      <c r="BVC265" s="34"/>
      <c r="BVD265" s="34"/>
      <c r="BVE265" s="34"/>
      <c r="BVF265" s="34"/>
      <c r="BVG265" s="34"/>
      <c r="BVH265" s="34"/>
      <c r="BVI265" s="34"/>
      <c r="BVJ265" s="34"/>
      <c r="BVK265" s="34"/>
      <c r="BVL265" s="34"/>
      <c r="BVM265" s="34"/>
      <c r="BVN265" s="34"/>
      <c r="BVO265" s="34"/>
      <c r="BVP265" s="34"/>
      <c r="BVQ265" s="34"/>
      <c r="BVR265" s="34"/>
      <c r="BVS265" s="34"/>
      <c r="BVT265" s="34"/>
      <c r="BVU265" s="34"/>
      <c r="BVV265" s="34"/>
      <c r="BVW265" s="34"/>
      <c r="BVX265" s="34"/>
      <c r="BVY265" s="34"/>
      <c r="BVZ265" s="34"/>
      <c r="BWA265" s="34"/>
      <c r="BWB265" s="34"/>
      <c r="BWC265" s="34"/>
      <c r="BWD265" s="34"/>
      <c r="BWE265" s="34"/>
      <c r="BWF265" s="34"/>
      <c r="BWG265" s="34"/>
      <c r="BWH265" s="34"/>
      <c r="BWI265" s="34"/>
      <c r="BWJ265" s="34"/>
      <c r="BWK265" s="34"/>
      <c r="BWL265" s="34"/>
      <c r="BWM265" s="34"/>
      <c r="BWN265" s="34"/>
      <c r="BWO265" s="34"/>
      <c r="BWP265" s="34"/>
      <c r="BWQ265" s="34"/>
      <c r="BWR265" s="34"/>
      <c r="BWS265" s="34"/>
      <c r="BWT265" s="34"/>
      <c r="BWU265" s="34"/>
      <c r="BWV265" s="34"/>
      <c r="BWW265" s="34"/>
      <c r="BWX265" s="34"/>
      <c r="BWY265" s="34"/>
      <c r="BWZ265" s="34"/>
      <c r="BXA265" s="34"/>
      <c r="BXB265" s="34"/>
      <c r="BXC265" s="34"/>
      <c r="BXD265" s="34"/>
      <c r="BXE265" s="34"/>
      <c r="BXF265" s="34"/>
      <c r="BXG265" s="34"/>
      <c r="BXH265" s="34"/>
      <c r="BXI265" s="34"/>
      <c r="BXJ265" s="34"/>
      <c r="BXK265" s="34"/>
      <c r="BXL265" s="34"/>
      <c r="BXM265" s="34"/>
      <c r="BXN265" s="34"/>
      <c r="BXO265" s="34"/>
      <c r="BXP265" s="34"/>
      <c r="BXQ265" s="34"/>
      <c r="BXR265" s="34"/>
      <c r="BXS265" s="34"/>
      <c r="BXT265" s="34"/>
      <c r="BXU265" s="34"/>
      <c r="BXV265" s="34"/>
      <c r="BXW265" s="34"/>
      <c r="BXX265" s="34"/>
      <c r="BXY265" s="34"/>
      <c r="BXZ265" s="34"/>
      <c r="BYA265" s="34"/>
      <c r="BYB265" s="34"/>
      <c r="BYC265" s="34"/>
      <c r="BYD265" s="34"/>
      <c r="BYE265" s="34"/>
      <c r="BYF265" s="34"/>
      <c r="BYG265" s="34"/>
      <c r="BYH265" s="34"/>
      <c r="BYI265" s="34"/>
      <c r="BYJ265" s="34"/>
      <c r="BYK265" s="34"/>
      <c r="BYL265" s="34"/>
      <c r="BYM265" s="34"/>
      <c r="BYN265" s="34"/>
      <c r="BYO265" s="34"/>
      <c r="BYP265" s="34"/>
      <c r="BYQ265" s="34"/>
      <c r="BYR265" s="34"/>
      <c r="BYS265" s="34"/>
      <c r="BYT265" s="34"/>
      <c r="BYU265" s="34"/>
      <c r="BYV265" s="34"/>
      <c r="BYW265" s="34"/>
      <c r="BYX265" s="34"/>
      <c r="BYY265" s="34"/>
      <c r="BYZ265" s="34"/>
      <c r="BZA265" s="34"/>
      <c r="BZB265" s="34"/>
      <c r="BZC265" s="34"/>
      <c r="BZD265" s="34"/>
      <c r="BZE265" s="34"/>
      <c r="BZF265" s="34"/>
      <c r="BZG265" s="34"/>
      <c r="BZH265" s="34"/>
      <c r="BZI265" s="34"/>
      <c r="BZJ265" s="34"/>
      <c r="BZK265" s="34"/>
      <c r="BZL265" s="34"/>
      <c r="BZM265" s="34"/>
      <c r="BZN265" s="34"/>
      <c r="BZO265" s="34"/>
      <c r="BZP265" s="34"/>
      <c r="BZQ265" s="34"/>
      <c r="BZR265" s="34"/>
      <c r="BZS265" s="34"/>
      <c r="BZT265" s="34"/>
      <c r="BZU265" s="34"/>
      <c r="BZV265" s="34"/>
      <c r="BZW265" s="34"/>
      <c r="BZX265" s="34"/>
      <c r="BZY265" s="34"/>
      <c r="BZZ265" s="34"/>
      <c r="CAA265" s="34"/>
      <c r="CAB265" s="34"/>
      <c r="CAC265" s="34"/>
      <c r="CAD265" s="34"/>
      <c r="CAE265" s="34"/>
      <c r="CAF265" s="34"/>
      <c r="CAG265" s="34"/>
      <c r="CAH265" s="34"/>
      <c r="CAI265" s="34"/>
      <c r="CAJ265" s="34"/>
      <c r="CAK265" s="34"/>
      <c r="CAL265" s="34"/>
      <c r="CAM265" s="34"/>
      <c r="CAN265" s="34"/>
      <c r="CAO265" s="34"/>
      <c r="CAP265" s="34"/>
      <c r="CAQ265" s="34"/>
      <c r="CAR265" s="34"/>
      <c r="CAS265" s="34"/>
      <c r="CAT265" s="34"/>
      <c r="CAU265" s="34"/>
      <c r="CAV265" s="34"/>
      <c r="CAW265" s="34"/>
      <c r="CAX265" s="34"/>
      <c r="CAY265" s="34"/>
      <c r="CAZ265" s="34"/>
      <c r="CBA265" s="34"/>
      <c r="CBB265" s="34"/>
      <c r="CBC265" s="34"/>
      <c r="CBD265" s="34"/>
      <c r="CBE265" s="34"/>
      <c r="CBF265" s="34"/>
      <c r="CBG265" s="34"/>
      <c r="CBH265" s="34"/>
      <c r="CBI265" s="34"/>
      <c r="CBJ265" s="34"/>
      <c r="CBK265" s="34"/>
      <c r="CBL265" s="34"/>
      <c r="CBM265" s="34"/>
      <c r="CBN265" s="34"/>
      <c r="CBO265" s="34"/>
      <c r="CBP265" s="34"/>
      <c r="CBQ265" s="34"/>
      <c r="CBR265" s="34"/>
      <c r="CBS265" s="34"/>
      <c r="CBT265" s="34"/>
      <c r="CBU265" s="34"/>
      <c r="CBV265" s="34"/>
      <c r="CBW265" s="34"/>
      <c r="CBX265" s="34"/>
      <c r="CBY265" s="34"/>
      <c r="CBZ265" s="34"/>
      <c r="CCA265" s="34"/>
      <c r="CCB265" s="34"/>
      <c r="CCC265" s="34"/>
      <c r="CCD265" s="34"/>
      <c r="CCE265" s="34"/>
      <c r="CCF265" s="34"/>
      <c r="CCG265" s="34"/>
      <c r="CCH265" s="34"/>
      <c r="CCI265" s="34"/>
      <c r="CCJ265" s="34"/>
      <c r="CCK265" s="34"/>
      <c r="CCL265" s="34"/>
      <c r="CCM265" s="34"/>
      <c r="CCN265" s="34"/>
      <c r="CCO265" s="34"/>
      <c r="CCP265" s="34"/>
      <c r="CCQ265" s="34"/>
      <c r="CCR265" s="34"/>
      <c r="CCS265" s="34"/>
      <c r="CCT265" s="34"/>
      <c r="CCU265" s="34"/>
      <c r="CCV265" s="34"/>
      <c r="CCW265" s="34"/>
      <c r="CCX265" s="34"/>
      <c r="CCY265" s="34"/>
      <c r="CCZ265" s="34"/>
      <c r="CDA265" s="34"/>
      <c r="CDB265" s="34"/>
      <c r="CDC265" s="34"/>
      <c r="CDD265" s="34"/>
      <c r="CDE265" s="34"/>
      <c r="CDF265" s="34"/>
      <c r="CDG265" s="34"/>
      <c r="CDH265" s="34"/>
      <c r="CDI265" s="34"/>
      <c r="CDJ265" s="34"/>
      <c r="CDK265" s="34"/>
      <c r="CDL265" s="34"/>
      <c r="CDM265" s="34"/>
      <c r="CDN265" s="34"/>
      <c r="CDO265" s="34"/>
      <c r="CDP265" s="34"/>
      <c r="CDQ265" s="34"/>
      <c r="CDR265" s="34"/>
      <c r="CDS265" s="34"/>
      <c r="CDT265" s="34"/>
      <c r="CDU265" s="34"/>
      <c r="CDV265" s="34"/>
      <c r="CDW265" s="34"/>
      <c r="CDX265" s="34"/>
      <c r="CDY265" s="34"/>
      <c r="CDZ265" s="34"/>
      <c r="CEA265" s="34"/>
      <c r="CEB265" s="34"/>
      <c r="CEC265" s="34"/>
      <c r="CED265" s="34"/>
      <c r="CEE265" s="34"/>
      <c r="CEF265" s="34"/>
      <c r="CEG265" s="34"/>
      <c r="CEH265" s="34"/>
      <c r="CEI265" s="34"/>
      <c r="CEJ265" s="34"/>
      <c r="CEK265" s="34"/>
      <c r="CEL265" s="34"/>
      <c r="CEM265" s="34"/>
      <c r="CEN265" s="34"/>
      <c r="CEO265" s="34"/>
      <c r="CEP265" s="34"/>
      <c r="CEQ265" s="34"/>
      <c r="CER265" s="34"/>
      <c r="CES265" s="34"/>
      <c r="CET265" s="34"/>
      <c r="CEU265" s="34"/>
      <c r="CEV265" s="34"/>
      <c r="CEW265" s="34"/>
      <c r="CEX265" s="34"/>
      <c r="CEY265" s="34"/>
      <c r="CEZ265" s="34"/>
      <c r="CFA265" s="34"/>
      <c r="CFB265" s="34"/>
      <c r="CFC265" s="34"/>
      <c r="CFD265" s="34"/>
      <c r="CFE265" s="34"/>
      <c r="CFF265" s="34"/>
      <c r="CFG265" s="34"/>
      <c r="CFH265" s="34"/>
      <c r="CFI265" s="34"/>
      <c r="CFJ265" s="34"/>
      <c r="CFK265" s="34"/>
      <c r="CFL265" s="34"/>
      <c r="CFM265" s="34"/>
      <c r="CFN265" s="34"/>
      <c r="CFO265" s="34"/>
      <c r="CFP265" s="34"/>
      <c r="CFQ265" s="34"/>
      <c r="CFR265" s="34"/>
      <c r="CFS265" s="34"/>
      <c r="CFT265" s="34"/>
      <c r="CFU265" s="34"/>
      <c r="CFV265" s="34"/>
      <c r="CFW265" s="34"/>
      <c r="CFX265" s="34"/>
      <c r="CFY265" s="34"/>
      <c r="CFZ265" s="34"/>
      <c r="CGA265" s="34"/>
      <c r="CGB265" s="34"/>
      <c r="CGC265" s="34"/>
      <c r="CGD265" s="34"/>
      <c r="CGE265" s="34"/>
      <c r="CGF265" s="34"/>
      <c r="CGG265" s="34"/>
      <c r="CGH265" s="34"/>
      <c r="CGI265" s="34"/>
      <c r="CGJ265" s="34"/>
      <c r="CGK265" s="34"/>
      <c r="CGL265" s="34"/>
      <c r="CGM265" s="34"/>
      <c r="CGN265" s="34"/>
      <c r="CGO265" s="34"/>
      <c r="CGP265" s="34"/>
      <c r="CGQ265" s="34"/>
      <c r="CGR265" s="34"/>
      <c r="CGS265" s="34"/>
      <c r="CGT265" s="34"/>
      <c r="CGU265" s="34"/>
      <c r="CGV265" s="34"/>
      <c r="CGW265" s="34"/>
      <c r="CGX265" s="34"/>
      <c r="CGY265" s="34"/>
      <c r="CGZ265" s="34"/>
      <c r="CHA265" s="34"/>
      <c r="CHB265" s="34"/>
      <c r="CHC265" s="34"/>
      <c r="CHD265" s="34"/>
      <c r="CHE265" s="34"/>
      <c r="CHF265" s="34"/>
      <c r="CHG265" s="34"/>
      <c r="CHH265" s="34"/>
      <c r="CHI265" s="34"/>
      <c r="CHJ265" s="34"/>
      <c r="CHK265" s="34"/>
      <c r="CHL265" s="34"/>
      <c r="CHM265" s="34"/>
      <c r="CHN265" s="34"/>
      <c r="CHO265" s="34"/>
      <c r="CHP265" s="34"/>
      <c r="CHQ265" s="34"/>
      <c r="CHR265" s="34"/>
      <c r="CHS265" s="34"/>
      <c r="CHT265" s="34"/>
      <c r="CHU265" s="34"/>
      <c r="CHV265" s="34"/>
      <c r="CHW265" s="34"/>
      <c r="CHX265" s="34"/>
      <c r="CHY265" s="34"/>
      <c r="CHZ265" s="34"/>
      <c r="CIA265" s="34"/>
      <c r="CIB265" s="34"/>
      <c r="CIC265" s="34"/>
      <c r="CID265" s="34"/>
      <c r="CIE265" s="34"/>
      <c r="CIF265" s="34"/>
      <c r="CIG265" s="34"/>
      <c r="CIH265" s="34"/>
      <c r="CII265" s="34"/>
      <c r="CIJ265" s="34"/>
      <c r="CIK265" s="34"/>
      <c r="CIL265" s="34"/>
      <c r="CIM265" s="34"/>
      <c r="CIN265" s="34"/>
      <c r="CIO265" s="34"/>
      <c r="CIP265" s="34"/>
      <c r="CIQ265" s="34"/>
      <c r="CIR265" s="34"/>
      <c r="CIS265" s="34"/>
      <c r="CIT265" s="34"/>
      <c r="CIU265" s="34"/>
      <c r="CIV265" s="34"/>
      <c r="CIW265" s="34"/>
      <c r="CIX265" s="34"/>
      <c r="CIY265" s="34"/>
      <c r="CIZ265" s="34"/>
      <c r="CJA265" s="34"/>
      <c r="CJB265" s="34"/>
      <c r="CJC265" s="34"/>
      <c r="CJD265" s="34"/>
      <c r="CJE265" s="34"/>
      <c r="CJF265" s="34"/>
      <c r="CJG265" s="34"/>
      <c r="CJH265" s="34"/>
      <c r="CJI265" s="34"/>
      <c r="CJJ265" s="34"/>
      <c r="CJK265" s="34"/>
      <c r="CJL265" s="34"/>
      <c r="CJM265" s="34"/>
      <c r="CJN265" s="34"/>
      <c r="CJO265" s="34"/>
      <c r="CJP265" s="34"/>
      <c r="CJQ265" s="34"/>
      <c r="CJR265" s="34"/>
      <c r="CJS265" s="34"/>
      <c r="CJT265" s="34"/>
      <c r="CJU265" s="34"/>
      <c r="CJV265" s="34"/>
      <c r="CJW265" s="34"/>
      <c r="CJX265" s="34"/>
      <c r="CJY265" s="34"/>
      <c r="CJZ265" s="34"/>
      <c r="CKA265" s="34"/>
      <c r="CKB265" s="34"/>
      <c r="CKC265" s="34"/>
      <c r="CKD265" s="34"/>
      <c r="CKE265" s="34"/>
      <c r="CKF265" s="34"/>
      <c r="CKG265" s="34"/>
      <c r="CKH265" s="34"/>
      <c r="CKI265" s="34"/>
      <c r="CKJ265" s="34"/>
      <c r="CKK265" s="34"/>
      <c r="CKL265" s="34"/>
      <c r="CKM265" s="34"/>
      <c r="CKN265" s="34"/>
      <c r="CKO265" s="34"/>
      <c r="CKP265" s="34"/>
      <c r="CKQ265" s="34"/>
      <c r="CKR265" s="34"/>
      <c r="CKS265" s="34"/>
      <c r="CKT265" s="34"/>
      <c r="CKU265" s="34"/>
      <c r="CKV265" s="34"/>
      <c r="CKW265" s="34"/>
      <c r="CKX265" s="34"/>
      <c r="CKY265" s="34"/>
      <c r="CKZ265" s="34"/>
      <c r="CLA265" s="34"/>
      <c r="CLB265" s="34"/>
      <c r="CLC265" s="34"/>
      <c r="CLD265" s="34"/>
      <c r="CLE265" s="34"/>
      <c r="CLF265" s="34"/>
      <c r="CLG265" s="34"/>
      <c r="CLH265" s="34"/>
      <c r="CLI265" s="34"/>
      <c r="CLJ265" s="34"/>
      <c r="CLK265" s="34"/>
      <c r="CLL265" s="34"/>
      <c r="CLM265" s="34"/>
      <c r="CLN265" s="34"/>
      <c r="CLO265" s="34"/>
      <c r="CLP265" s="34"/>
      <c r="CLQ265" s="34"/>
      <c r="CLR265" s="34"/>
      <c r="CLS265" s="34"/>
      <c r="CLT265" s="34"/>
      <c r="CLU265" s="34"/>
      <c r="CLV265" s="34"/>
      <c r="CLW265" s="34"/>
      <c r="CLX265" s="34"/>
      <c r="CLY265" s="34"/>
      <c r="CLZ265" s="34"/>
      <c r="CMA265" s="34"/>
      <c r="CMB265" s="34"/>
      <c r="CMC265" s="34"/>
      <c r="CMD265" s="34"/>
      <c r="CME265" s="34"/>
      <c r="CMF265" s="34"/>
      <c r="CMG265" s="34"/>
      <c r="CMH265" s="34"/>
      <c r="CMI265" s="34"/>
      <c r="CMJ265" s="34"/>
      <c r="CMK265" s="34"/>
      <c r="CML265" s="34"/>
      <c r="CMM265" s="34"/>
      <c r="CMN265" s="34"/>
      <c r="CMO265" s="34"/>
      <c r="CMP265" s="34"/>
      <c r="CMQ265" s="34"/>
      <c r="CMR265" s="34"/>
      <c r="CMS265" s="34"/>
      <c r="CMT265" s="34"/>
      <c r="CMU265" s="34"/>
      <c r="CMV265" s="34"/>
      <c r="CMW265" s="34"/>
      <c r="CMX265" s="34"/>
      <c r="CMY265" s="34"/>
      <c r="CMZ265" s="34"/>
      <c r="CNA265" s="34"/>
      <c r="CNB265" s="34"/>
      <c r="CNC265" s="34"/>
      <c r="CND265" s="34"/>
      <c r="CNE265" s="34"/>
      <c r="CNF265" s="34"/>
      <c r="CNG265" s="34"/>
      <c r="CNH265" s="34"/>
      <c r="CNI265" s="34"/>
      <c r="CNJ265" s="34"/>
      <c r="CNK265" s="34"/>
      <c r="CNL265" s="34"/>
      <c r="CNM265" s="34"/>
      <c r="CNN265" s="34"/>
      <c r="CNO265" s="34"/>
      <c r="CNP265" s="34"/>
      <c r="CNQ265" s="34"/>
      <c r="CNR265" s="34"/>
      <c r="CNS265" s="34"/>
      <c r="CNT265" s="34"/>
      <c r="CNU265" s="34"/>
      <c r="CNV265" s="34"/>
      <c r="CNW265" s="34"/>
      <c r="CNX265" s="34"/>
      <c r="CNY265" s="34"/>
      <c r="CNZ265" s="34"/>
      <c r="COA265" s="34"/>
      <c r="COB265" s="34"/>
      <c r="COC265" s="34"/>
      <c r="COD265" s="34"/>
      <c r="COE265" s="34"/>
      <c r="COF265" s="34"/>
      <c r="COG265" s="34"/>
      <c r="COH265" s="34"/>
      <c r="COI265" s="34"/>
      <c r="COJ265" s="34"/>
      <c r="COK265" s="34"/>
      <c r="COL265" s="34"/>
      <c r="COM265" s="34"/>
      <c r="CON265" s="34"/>
      <c r="COO265" s="34"/>
      <c r="COP265" s="34"/>
      <c r="COQ265" s="34"/>
      <c r="COR265" s="34"/>
      <c r="COS265" s="34"/>
      <c r="COT265" s="34"/>
      <c r="COU265" s="34"/>
      <c r="COV265" s="34"/>
      <c r="COW265" s="34"/>
      <c r="COX265" s="34"/>
      <c r="COY265" s="34"/>
      <c r="COZ265" s="34"/>
      <c r="CPA265" s="34"/>
      <c r="CPB265" s="34"/>
      <c r="CPC265" s="34"/>
      <c r="CPD265" s="34"/>
      <c r="CPE265" s="34"/>
      <c r="CPF265" s="34"/>
      <c r="CPG265" s="34"/>
      <c r="CPH265" s="34"/>
      <c r="CPI265" s="34"/>
      <c r="CPJ265" s="34"/>
      <c r="CPK265" s="34"/>
      <c r="CPL265" s="34"/>
      <c r="CPM265" s="34"/>
      <c r="CPN265" s="34"/>
      <c r="CPO265" s="34"/>
      <c r="CPP265" s="34"/>
      <c r="CPQ265" s="34"/>
      <c r="CPR265" s="34"/>
      <c r="CPS265" s="34"/>
      <c r="CPT265" s="34"/>
      <c r="CPU265" s="34"/>
      <c r="CPV265" s="34"/>
      <c r="CPW265" s="34"/>
      <c r="CPX265" s="34"/>
      <c r="CPY265" s="34"/>
      <c r="CPZ265" s="34"/>
      <c r="CQA265" s="34"/>
      <c r="CQB265" s="34"/>
      <c r="CQC265" s="34"/>
      <c r="CQD265" s="34"/>
      <c r="CQE265" s="34"/>
      <c r="CQF265" s="34"/>
      <c r="CQG265" s="34"/>
      <c r="CQH265" s="34"/>
      <c r="CQI265" s="34"/>
      <c r="CQJ265" s="34"/>
      <c r="CQK265" s="34"/>
      <c r="CQL265" s="34"/>
      <c r="CQM265" s="34"/>
      <c r="CQN265" s="34"/>
      <c r="CQO265" s="34"/>
      <c r="CQP265" s="34"/>
      <c r="CQQ265" s="34"/>
      <c r="CQR265" s="34"/>
      <c r="CQS265" s="34"/>
      <c r="CQT265" s="34"/>
      <c r="CQU265" s="34"/>
      <c r="CQV265" s="34"/>
      <c r="CQW265" s="34"/>
      <c r="CQX265" s="34"/>
      <c r="CQY265" s="34"/>
      <c r="CQZ265" s="34"/>
      <c r="CRA265" s="34"/>
      <c r="CRB265" s="34"/>
      <c r="CRC265" s="34"/>
      <c r="CRD265" s="34"/>
      <c r="CRE265" s="34"/>
      <c r="CRF265" s="34"/>
      <c r="CRG265" s="34"/>
      <c r="CRH265" s="34"/>
      <c r="CRI265" s="34"/>
      <c r="CRJ265" s="34"/>
      <c r="CRK265" s="34"/>
      <c r="CRL265" s="34"/>
      <c r="CRM265" s="34"/>
      <c r="CRN265" s="34"/>
      <c r="CRO265" s="34"/>
      <c r="CRP265" s="34"/>
      <c r="CRQ265" s="34"/>
      <c r="CRR265" s="34"/>
      <c r="CRS265" s="34"/>
      <c r="CRT265" s="34"/>
      <c r="CRU265" s="34"/>
      <c r="CRV265" s="34"/>
      <c r="CRW265" s="34"/>
      <c r="CRX265" s="34"/>
      <c r="CRY265" s="34"/>
      <c r="CRZ265" s="34"/>
      <c r="CSA265" s="34"/>
      <c r="CSB265" s="34"/>
      <c r="CSC265" s="34"/>
      <c r="CSD265" s="34"/>
      <c r="CSE265" s="34"/>
      <c r="CSF265" s="34"/>
      <c r="CSG265" s="34"/>
      <c r="CSH265" s="34"/>
      <c r="CSI265" s="34"/>
      <c r="CSJ265" s="34"/>
      <c r="CSK265" s="34"/>
      <c r="CSL265" s="34"/>
      <c r="CSM265" s="34"/>
      <c r="CSN265" s="34"/>
      <c r="CSO265" s="34"/>
      <c r="CSP265" s="34"/>
      <c r="CSQ265" s="34"/>
      <c r="CSR265" s="34"/>
      <c r="CSS265" s="34"/>
      <c r="CST265" s="34"/>
      <c r="CSU265" s="34"/>
      <c r="CSV265" s="34"/>
      <c r="CSW265" s="34"/>
      <c r="CSX265" s="34"/>
      <c r="CSY265" s="34"/>
      <c r="CSZ265" s="34"/>
      <c r="CTA265" s="34"/>
      <c r="CTB265" s="34"/>
      <c r="CTC265" s="34"/>
      <c r="CTD265" s="34"/>
      <c r="CTE265" s="34"/>
      <c r="CTF265" s="34"/>
      <c r="CTG265" s="34"/>
      <c r="CTH265" s="34"/>
      <c r="CTI265" s="34"/>
      <c r="CTJ265" s="34"/>
      <c r="CTK265" s="34"/>
      <c r="CTL265" s="34"/>
      <c r="CTM265" s="34"/>
      <c r="CTN265" s="34"/>
      <c r="CTO265" s="34"/>
      <c r="CTP265" s="34"/>
      <c r="CTQ265" s="34"/>
      <c r="CTR265" s="34"/>
      <c r="CTS265" s="34"/>
      <c r="CTT265" s="34"/>
      <c r="CTU265" s="34"/>
      <c r="CTV265" s="34"/>
      <c r="CTW265" s="34"/>
      <c r="CTX265" s="34"/>
      <c r="CTY265" s="34"/>
      <c r="CTZ265" s="34"/>
      <c r="CUA265" s="34"/>
      <c r="CUB265" s="34"/>
      <c r="CUC265" s="34"/>
      <c r="CUD265" s="34"/>
      <c r="CUE265" s="34"/>
      <c r="CUF265" s="34"/>
      <c r="CUG265" s="34"/>
      <c r="CUH265" s="34"/>
      <c r="CUI265" s="34"/>
      <c r="CUJ265" s="34"/>
      <c r="CUK265" s="34"/>
      <c r="CUL265" s="34"/>
      <c r="CUM265" s="34"/>
      <c r="CUN265" s="34"/>
      <c r="CUO265" s="34"/>
      <c r="CUP265" s="34"/>
      <c r="CUQ265" s="34"/>
      <c r="CUR265" s="34"/>
      <c r="CUS265" s="34"/>
      <c r="CUT265" s="34"/>
      <c r="CUU265" s="34"/>
      <c r="CUV265" s="34"/>
      <c r="CUW265" s="34"/>
      <c r="CUX265" s="34"/>
      <c r="CUY265" s="34"/>
      <c r="CUZ265" s="34"/>
      <c r="CVA265" s="34"/>
      <c r="CVB265" s="34"/>
      <c r="CVC265" s="34"/>
      <c r="CVD265" s="34"/>
      <c r="CVE265" s="34"/>
      <c r="CVF265" s="34"/>
      <c r="CVG265" s="34"/>
      <c r="CVH265" s="34"/>
      <c r="CVI265" s="34"/>
      <c r="CVJ265" s="34"/>
      <c r="CVK265" s="34"/>
      <c r="CVL265" s="34"/>
      <c r="CVM265" s="34"/>
      <c r="CVN265" s="34"/>
      <c r="CVO265" s="34"/>
      <c r="CVP265" s="34"/>
      <c r="CVQ265" s="34"/>
      <c r="CVR265" s="34"/>
      <c r="CVS265" s="34"/>
      <c r="CVT265" s="34"/>
      <c r="CVU265" s="34"/>
      <c r="CVV265" s="34"/>
      <c r="CVW265" s="34"/>
      <c r="CVX265" s="34"/>
      <c r="CVY265" s="34"/>
      <c r="CVZ265" s="34"/>
      <c r="CWA265" s="34"/>
      <c r="CWB265" s="34"/>
      <c r="CWC265" s="34"/>
      <c r="CWD265" s="34"/>
      <c r="CWE265" s="34"/>
      <c r="CWF265" s="34"/>
      <c r="CWG265" s="34"/>
      <c r="CWH265" s="34"/>
      <c r="CWI265" s="34"/>
      <c r="CWJ265" s="34"/>
      <c r="CWK265" s="34"/>
      <c r="CWL265" s="34"/>
      <c r="CWM265" s="34"/>
      <c r="CWN265" s="34"/>
      <c r="CWO265" s="34"/>
      <c r="CWP265" s="34"/>
      <c r="CWQ265" s="34"/>
      <c r="CWR265" s="34"/>
      <c r="CWS265" s="34"/>
      <c r="CWT265" s="34"/>
      <c r="CWU265" s="34"/>
      <c r="CWV265" s="34"/>
      <c r="CWW265" s="34"/>
      <c r="CWX265" s="34"/>
      <c r="CWY265" s="34"/>
      <c r="CWZ265" s="34"/>
      <c r="CXA265" s="34"/>
      <c r="CXB265" s="34"/>
      <c r="CXC265" s="34"/>
      <c r="CXD265" s="34"/>
      <c r="CXE265" s="34"/>
      <c r="CXF265" s="34"/>
      <c r="CXG265" s="34"/>
      <c r="CXH265" s="34"/>
      <c r="CXI265" s="34"/>
      <c r="CXJ265" s="34"/>
      <c r="CXK265" s="34"/>
      <c r="CXL265" s="34"/>
      <c r="CXM265" s="34"/>
      <c r="CXN265" s="34"/>
      <c r="CXO265" s="34"/>
      <c r="CXP265" s="34"/>
      <c r="CXQ265" s="34"/>
      <c r="CXR265" s="34"/>
      <c r="CXS265" s="34"/>
      <c r="CXT265" s="34"/>
      <c r="CXU265" s="34"/>
      <c r="CXV265" s="34"/>
      <c r="CXW265" s="34"/>
      <c r="CXX265" s="34"/>
      <c r="CXY265" s="34"/>
      <c r="CXZ265" s="34"/>
      <c r="CYA265" s="34"/>
      <c r="CYB265" s="34"/>
      <c r="CYC265" s="34"/>
      <c r="CYD265" s="34"/>
      <c r="CYE265" s="34"/>
      <c r="CYF265" s="34"/>
      <c r="CYG265" s="34"/>
      <c r="CYH265" s="34"/>
      <c r="CYI265" s="34"/>
      <c r="CYJ265" s="34"/>
      <c r="CYK265" s="34"/>
      <c r="CYL265" s="34"/>
      <c r="CYM265" s="34"/>
      <c r="CYN265" s="34"/>
      <c r="CYO265" s="34"/>
      <c r="CYP265" s="34"/>
      <c r="CYQ265" s="34"/>
      <c r="CYR265" s="34"/>
      <c r="CYS265" s="34"/>
      <c r="CYT265" s="34"/>
      <c r="CYU265" s="34"/>
      <c r="CYV265" s="34"/>
      <c r="CYW265" s="34"/>
      <c r="CYX265" s="34"/>
      <c r="CYY265" s="34"/>
      <c r="CYZ265" s="34"/>
      <c r="CZA265" s="34"/>
      <c r="CZB265" s="34"/>
      <c r="CZC265" s="34"/>
      <c r="CZD265" s="34"/>
      <c r="CZE265" s="34"/>
      <c r="CZF265" s="34"/>
      <c r="CZG265" s="34"/>
      <c r="CZH265" s="34"/>
      <c r="CZI265" s="34"/>
      <c r="CZJ265" s="34"/>
      <c r="CZK265" s="34"/>
      <c r="CZL265" s="34"/>
      <c r="CZM265" s="34"/>
      <c r="CZN265" s="34"/>
      <c r="CZO265" s="34"/>
      <c r="CZP265" s="34"/>
      <c r="CZQ265" s="34"/>
      <c r="CZR265" s="34"/>
      <c r="CZS265" s="34"/>
      <c r="CZT265" s="34"/>
      <c r="CZU265" s="34"/>
      <c r="CZV265" s="34"/>
      <c r="CZW265" s="34"/>
      <c r="CZX265" s="34"/>
      <c r="CZY265" s="34"/>
      <c r="CZZ265" s="34"/>
      <c r="DAA265" s="34"/>
      <c r="DAB265" s="34"/>
      <c r="DAC265" s="34"/>
      <c r="DAD265" s="34"/>
      <c r="DAE265" s="34"/>
      <c r="DAF265" s="34"/>
      <c r="DAG265" s="34"/>
      <c r="DAH265" s="34"/>
      <c r="DAI265" s="34"/>
      <c r="DAJ265" s="34"/>
      <c r="DAK265" s="34"/>
      <c r="DAL265" s="34"/>
      <c r="DAM265" s="34"/>
      <c r="DAN265" s="34"/>
      <c r="DAO265" s="34"/>
      <c r="DAP265" s="34"/>
      <c r="DAQ265" s="34"/>
      <c r="DAR265" s="34"/>
      <c r="DAS265" s="34"/>
      <c r="DAT265" s="34"/>
      <c r="DAU265" s="34"/>
      <c r="DAV265" s="34"/>
      <c r="DAW265" s="34"/>
      <c r="DAX265" s="34"/>
      <c r="DAY265" s="34"/>
      <c r="DAZ265" s="34"/>
      <c r="DBA265" s="34"/>
      <c r="DBB265" s="34"/>
      <c r="DBC265" s="34"/>
      <c r="DBD265" s="34"/>
      <c r="DBE265" s="34"/>
      <c r="DBF265" s="34"/>
      <c r="DBG265" s="34"/>
      <c r="DBH265" s="34"/>
      <c r="DBI265" s="34"/>
      <c r="DBJ265" s="34"/>
      <c r="DBK265" s="34"/>
      <c r="DBL265" s="34"/>
      <c r="DBM265" s="34"/>
      <c r="DBN265" s="34"/>
      <c r="DBO265" s="34"/>
      <c r="DBP265" s="34"/>
      <c r="DBQ265" s="34"/>
      <c r="DBR265" s="34"/>
      <c r="DBS265" s="34"/>
      <c r="DBT265" s="34"/>
      <c r="DBU265" s="34"/>
      <c r="DBV265" s="34"/>
      <c r="DBW265" s="34"/>
      <c r="DBX265" s="34"/>
      <c r="DBY265" s="34"/>
      <c r="DBZ265" s="34"/>
      <c r="DCA265" s="34"/>
      <c r="DCB265" s="34"/>
      <c r="DCC265" s="34"/>
      <c r="DCD265" s="34"/>
      <c r="DCE265" s="34"/>
      <c r="DCF265" s="34"/>
      <c r="DCG265" s="34"/>
      <c r="DCH265" s="34"/>
      <c r="DCI265" s="34"/>
      <c r="DCJ265" s="34"/>
      <c r="DCK265" s="34"/>
      <c r="DCL265" s="34"/>
      <c r="DCM265" s="34"/>
      <c r="DCN265" s="34"/>
      <c r="DCO265" s="34"/>
      <c r="DCP265" s="34"/>
      <c r="DCQ265" s="34"/>
      <c r="DCR265" s="34"/>
      <c r="DCS265" s="34"/>
      <c r="DCT265" s="34"/>
      <c r="DCU265" s="34"/>
      <c r="DCV265" s="34"/>
      <c r="DCW265" s="34"/>
      <c r="DCX265" s="34"/>
      <c r="DCY265" s="34"/>
      <c r="DCZ265" s="34"/>
      <c r="DDA265" s="34"/>
      <c r="DDB265" s="34"/>
      <c r="DDC265" s="34"/>
      <c r="DDD265" s="34"/>
      <c r="DDE265" s="34"/>
      <c r="DDF265" s="34"/>
      <c r="DDG265" s="34"/>
      <c r="DDH265" s="34"/>
      <c r="DDI265" s="34"/>
      <c r="DDJ265" s="34"/>
      <c r="DDK265" s="34"/>
      <c r="DDL265" s="34"/>
      <c r="DDM265" s="34"/>
      <c r="DDN265" s="34"/>
      <c r="DDO265" s="34"/>
      <c r="DDP265" s="34"/>
      <c r="DDQ265" s="34"/>
      <c r="DDR265" s="34"/>
      <c r="DDS265" s="34"/>
      <c r="DDT265" s="34"/>
      <c r="DDU265" s="34"/>
      <c r="DDV265" s="34"/>
      <c r="DDW265" s="34"/>
      <c r="DDX265" s="34"/>
      <c r="DDY265" s="34"/>
      <c r="DDZ265" s="34"/>
      <c r="DEA265" s="34"/>
      <c r="DEB265" s="34"/>
      <c r="DEC265" s="34"/>
      <c r="DED265" s="34"/>
      <c r="DEE265" s="34"/>
      <c r="DEF265" s="34"/>
      <c r="DEG265" s="34"/>
      <c r="DEH265" s="34"/>
      <c r="DEI265" s="34"/>
      <c r="DEJ265" s="34"/>
      <c r="DEK265" s="34"/>
      <c r="DEL265" s="34"/>
      <c r="DEM265" s="34"/>
      <c r="DEN265" s="34"/>
      <c r="DEO265" s="34"/>
      <c r="DEP265" s="34"/>
      <c r="DEQ265" s="34"/>
      <c r="DER265" s="34"/>
      <c r="DES265" s="34"/>
      <c r="DET265" s="34"/>
      <c r="DEU265" s="34"/>
      <c r="DEV265" s="34"/>
      <c r="DEW265" s="34"/>
      <c r="DEX265" s="34"/>
      <c r="DEY265" s="34"/>
      <c r="DEZ265" s="34"/>
      <c r="DFA265" s="34"/>
      <c r="DFB265" s="34"/>
      <c r="DFC265" s="34"/>
      <c r="DFD265" s="34"/>
      <c r="DFE265" s="34"/>
      <c r="DFF265" s="34"/>
      <c r="DFG265" s="34"/>
      <c r="DFH265" s="34"/>
      <c r="DFI265" s="34"/>
      <c r="DFJ265" s="34"/>
      <c r="DFK265" s="34"/>
      <c r="DFL265" s="34"/>
      <c r="DFM265" s="34"/>
      <c r="DFN265" s="34"/>
      <c r="DFO265" s="34"/>
      <c r="DFP265" s="34"/>
      <c r="DFQ265" s="34"/>
      <c r="DFR265" s="34"/>
      <c r="DFS265" s="34"/>
      <c r="DFT265" s="34"/>
      <c r="DFU265" s="34"/>
      <c r="DFV265" s="34"/>
      <c r="DFW265" s="34"/>
      <c r="DFX265" s="34"/>
      <c r="DFY265" s="34"/>
      <c r="DFZ265" s="34"/>
      <c r="DGA265" s="34"/>
      <c r="DGB265" s="34"/>
      <c r="DGC265" s="34"/>
      <c r="DGD265" s="34"/>
      <c r="DGE265" s="34"/>
      <c r="DGF265" s="34"/>
      <c r="DGG265" s="34"/>
      <c r="DGH265" s="34"/>
      <c r="DGI265" s="34"/>
      <c r="DGJ265" s="34"/>
      <c r="DGK265" s="34"/>
      <c r="DGL265" s="34"/>
      <c r="DGM265" s="34"/>
      <c r="DGN265" s="34"/>
      <c r="DGO265" s="34"/>
      <c r="DGP265" s="34"/>
      <c r="DGQ265" s="34"/>
      <c r="DGR265" s="34"/>
      <c r="DGS265" s="34"/>
      <c r="DGT265" s="34"/>
      <c r="DGU265" s="34"/>
      <c r="DGV265" s="34"/>
      <c r="DGW265" s="34"/>
      <c r="DGX265" s="34"/>
      <c r="DGY265" s="34"/>
      <c r="DGZ265" s="34"/>
      <c r="DHA265" s="34"/>
      <c r="DHB265" s="34"/>
      <c r="DHC265" s="34"/>
      <c r="DHD265" s="34"/>
      <c r="DHE265" s="34"/>
      <c r="DHF265" s="34"/>
      <c r="DHG265" s="34"/>
      <c r="DHH265" s="34"/>
      <c r="DHI265" s="34"/>
      <c r="DHJ265" s="34"/>
      <c r="DHK265" s="34"/>
      <c r="DHL265" s="34"/>
      <c r="DHM265" s="34"/>
      <c r="DHN265" s="34"/>
      <c r="DHO265" s="34"/>
      <c r="DHP265" s="34"/>
      <c r="DHQ265" s="34"/>
      <c r="DHR265" s="34"/>
      <c r="DHS265" s="34"/>
      <c r="DHT265" s="34"/>
      <c r="DHU265" s="34"/>
      <c r="DHV265" s="34"/>
      <c r="DHW265" s="34"/>
      <c r="DHX265" s="34"/>
      <c r="DHY265" s="34"/>
      <c r="DHZ265" s="34"/>
      <c r="DIA265" s="34"/>
      <c r="DIB265" s="34"/>
      <c r="DIC265" s="34"/>
      <c r="DID265" s="34"/>
      <c r="DIE265" s="34"/>
      <c r="DIF265" s="34"/>
      <c r="DIG265" s="34"/>
      <c r="DIH265" s="34"/>
      <c r="DII265" s="34"/>
      <c r="DIJ265" s="34"/>
      <c r="DIK265" s="34"/>
      <c r="DIL265" s="34"/>
      <c r="DIM265" s="34"/>
      <c r="DIN265" s="34"/>
      <c r="DIO265" s="34"/>
      <c r="DIP265" s="34"/>
      <c r="DIQ265" s="34"/>
      <c r="DIR265" s="34"/>
      <c r="DIS265" s="34"/>
      <c r="DIT265" s="34"/>
      <c r="DIU265" s="34"/>
      <c r="DIV265" s="34"/>
      <c r="DIW265" s="34"/>
      <c r="DIX265" s="34"/>
      <c r="DIY265" s="34"/>
      <c r="DIZ265" s="34"/>
      <c r="DJA265" s="34"/>
      <c r="DJB265" s="34"/>
      <c r="DJC265" s="34"/>
      <c r="DJD265" s="34"/>
      <c r="DJE265" s="34"/>
      <c r="DJF265" s="34"/>
      <c r="DJG265" s="34"/>
      <c r="DJH265" s="34"/>
      <c r="DJI265" s="34"/>
      <c r="DJJ265" s="34"/>
      <c r="DJK265" s="34"/>
      <c r="DJL265" s="34"/>
      <c r="DJM265" s="34"/>
      <c r="DJN265" s="34"/>
      <c r="DJO265" s="34"/>
      <c r="DJP265" s="34"/>
      <c r="DJQ265" s="34"/>
      <c r="DJR265" s="34"/>
      <c r="DJS265" s="34"/>
      <c r="DJT265" s="34"/>
      <c r="DJU265" s="34"/>
      <c r="DJV265" s="34"/>
      <c r="DJW265" s="34"/>
      <c r="DJX265" s="34"/>
      <c r="DJY265" s="34"/>
      <c r="DJZ265" s="34"/>
      <c r="DKA265" s="34"/>
      <c r="DKB265" s="34"/>
      <c r="DKC265" s="34"/>
      <c r="DKD265" s="34"/>
      <c r="DKE265" s="34"/>
      <c r="DKF265" s="34"/>
      <c r="DKG265" s="34"/>
      <c r="DKH265" s="34"/>
      <c r="DKI265" s="34"/>
      <c r="DKJ265" s="34"/>
      <c r="DKK265" s="34"/>
      <c r="DKL265" s="34"/>
      <c r="DKM265" s="34"/>
      <c r="DKN265" s="34"/>
      <c r="DKO265" s="34"/>
      <c r="DKP265" s="34"/>
      <c r="DKQ265" s="34"/>
      <c r="DKR265" s="34"/>
      <c r="DKS265" s="34"/>
      <c r="DKT265" s="34"/>
      <c r="DKU265" s="34"/>
      <c r="DKV265" s="34"/>
      <c r="DKW265" s="34"/>
      <c r="DKX265" s="34"/>
      <c r="DKY265" s="34"/>
      <c r="DKZ265" s="34"/>
      <c r="DLA265" s="34"/>
      <c r="DLB265" s="34"/>
      <c r="DLC265" s="34"/>
      <c r="DLD265" s="34"/>
      <c r="DLE265" s="34"/>
      <c r="DLF265" s="34"/>
      <c r="DLG265" s="34"/>
      <c r="DLH265" s="34"/>
      <c r="DLI265" s="34"/>
      <c r="DLJ265" s="34"/>
      <c r="DLK265" s="34"/>
      <c r="DLL265" s="34"/>
      <c r="DLM265" s="34"/>
      <c r="DLN265" s="34"/>
      <c r="DLO265" s="34"/>
      <c r="DLP265" s="34"/>
      <c r="DLQ265" s="34"/>
      <c r="DLR265" s="34"/>
      <c r="DLS265" s="34"/>
      <c r="DLT265" s="34"/>
      <c r="DLU265" s="34"/>
      <c r="DLV265" s="34"/>
      <c r="DLW265" s="34"/>
      <c r="DLX265" s="34"/>
      <c r="DLY265" s="34"/>
      <c r="DLZ265" s="34"/>
      <c r="DMA265" s="34"/>
      <c r="DMB265" s="34"/>
      <c r="DMC265" s="34"/>
      <c r="DMD265" s="34"/>
      <c r="DME265" s="34"/>
      <c r="DMF265" s="34"/>
      <c r="DMG265" s="34"/>
      <c r="DMH265" s="34"/>
      <c r="DMI265" s="34"/>
      <c r="DMJ265" s="34"/>
      <c r="DMK265" s="34"/>
      <c r="DML265" s="34"/>
      <c r="DMM265" s="34"/>
      <c r="DMN265" s="34"/>
      <c r="DMO265" s="34"/>
      <c r="DMP265" s="34"/>
      <c r="DMQ265" s="34"/>
      <c r="DMR265" s="34"/>
      <c r="DMS265" s="34"/>
      <c r="DMT265" s="34"/>
      <c r="DMU265" s="34"/>
      <c r="DMV265" s="34"/>
      <c r="DMW265" s="34"/>
      <c r="DMX265" s="34"/>
      <c r="DMY265" s="34"/>
      <c r="DMZ265" s="34"/>
      <c r="DNA265" s="34"/>
      <c r="DNB265" s="34"/>
      <c r="DNC265" s="34"/>
      <c r="DND265" s="34"/>
      <c r="DNE265" s="34"/>
      <c r="DNF265" s="34"/>
      <c r="DNG265" s="34"/>
      <c r="DNH265" s="34"/>
      <c r="DNI265" s="34"/>
      <c r="DNJ265" s="34"/>
      <c r="DNK265" s="34"/>
      <c r="DNL265" s="34"/>
      <c r="DNM265" s="34"/>
      <c r="DNN265" s="34"/>
      <c r="DNO265" s="34"/>
      <c r="DNP265" s="34"/>
      <c r="DNQ265" s="34"/>
      <c r="DNR265" s="34"/>
      <c r="DNS265" s="34"/>
      <c r="DNT265" s="34"/>
      <c r="DNU265" s="34"/>
      <c r="DNV265" s="34"/>
      <c r="DNW265" s="34"/>
      <c r="DNX265" s="34"/>
      <c r="DNY265" s="34"/>
      <c r="DNZ265" s="34"/>
      <c r="DOA265" s="34"/>
      <c r="DOB265" s="34"/>
      <c r="DOC265" s="34"/>
      <c r="DOD265" s="34"/>
      <c r="DOE265" s="34"/>
      <c r="DOF265" s="34"/>
      <c r="DOG265" s="34"/>
      <c r="DOH265" s="34"/>
      <c r="DOI265" s="34"/>
      <c r="DOJ265" s="34"/>
      <c r="DOK265" s="34"/>
      <c r="DOL265" s="34"/>
      <c r="DOM265" s="34"/>
      <c r="DON265" s="34"/>
      <c r="DOO265" s="34"/>
      <c r="DOP265" s="34"/>
      <c r="DOQ265" s="34"/>
      <c r="DOR265" s="34"/>
      <c r="DOS265" s="34"/>
      <c r="DOT265" s="34"/>
      <c r="DOU265" s="34"/>
      <c r="DOV265" s="34"/>
      <c r="DOW265" s="34"/>
      <c r="DOX265" s="34"/>
      <c r="DOY265" s="34"/>
      <c r="DOZ265" s="34"/>
      <c r="DPA265" s="34"/>
      <c r="DPB265" s="34"/>
      <c r="DPC265" s="34"/>
      <c r="DPD265" s="34"/>
      <c r="DPE265" s="34"/>
      <c r="DPF265" s="34"/>
      <c r="DPG265" s="34"/>
      <c r="DPH265" s="34"/>
      <c r="DPI265" s="34"/>
      <c r="DPJ265" s="34"/>
      <c r="DPK265" s="34"/>
      <c r="DPL265" s="34"/>
      <c r="DPM265" s="34"/>
      <c r="DPN265" s="34"/>
      <c r="DPO265" s="34"/>
      <c r="DPP265" s="34"/>
      <c r="DPQ265" s="34"/>
      <c r="DPR265" s="34"/>
      <c r="DPS265" s="34"/>
      <c r="DPT265" s="34"/>
      <c r="DPU265" s="34"/>
      <c r="DPV265" s="34"/>
      <c r="DPW265" s="34"/>
      <c r="DPX265" s="34"/>
      <c r="DPY265" s="34"/>
      <c r="DPZ265" s="34"/>
      <c r="DQA265" s="34"/>
      <c r="DQB265" s="34"/>
      <c r="DQC265" s="34"/>
      <c r="DQD265" s="34"/>
      <c r="DQE265" s="34"/>
      <c r="DQF265" s="34"/>
      <c r="DQG265" s="34"/>
      <c r="DQH265" s="34"/>
      <c r="DQI265" s="34"/>
      <c r="DQJ265" s="34"/>
      <c r="DQK265" s="34"/>
      <c r="DQL265" s="34"/>
      <c r="DQM265" s="34"/>
      <c r="DQN265" s="34"/>
      <c r="DQO265" s="34"/>
      <c r="DQP265" s="34"/>
      <c r="DQQ265" s="34"/>
      <c r="DQR265" s="34"/>
      <c r="DQS265" s="34"/>
      <c r="DQT265" s="34"/>
      <c r="DQU265" s="34"/>
      <c r="DQV265" s="34"/>
      <c r="DQW265" s="34"/>
      <c r="DQX265" s="34"/>
      <c r="DQY265" s="34"/>
      <c r="DQZ265" s="34"/>
      <c r="DRA265" s="34"/>
      <c r="DRB265" s="34"/>
      <c r="DRC265" s="34"/>
      <c r="DRD265" s="34"/>
      <c r="DRE265" s="34"/>
      <c r="DRF265" s="34"/>
      <c r="DRG265" s="34"/>
      <c r="DRH265" s="34"/>
      <c r="DRI265" s="34"/>
      <c r="DRJ265" s="34"/>
      <c r="DRK265" s="34"/>
      <c r="DRL265" s="34"/>
      <c r="DRM265" s="34"/>
      <c r="DRN265" s="34"/>
      <c r="DRO265" s="34"/>
      <c r="DRP265" s="34"/>
      <c r="DRQ265" s="34"/>
      <c r="DRR265" s="34"/>
      <c r="DRS265" s="34"/>
      <c r="DRT265" s="34"/>
      <c r="DRU265" s="34"/>
      <c r="DRV265" s="34"/>
      <c r="DRW265" s="34"/>
      <c r="DRX265" s="34"/>
      <c r="DRY265" s="34"/>
      <c r="DRZ265" s="34"/>
      <c r="DSA265" s="34"/>
      <c r="DSB265" s="34"/>
      <c r="DSC265" s="34"/>
      <c r="DSD265" s="34"/>
      <c r="DSE265" s="34"/>
      <c r="DSF265" s="34"/>
      <c r="DSG265" s="34"/>
      <c r="DSH265" s="34"/>
      <c r="DSI265" s="34"/>
      <c r="DSJ265" s="34"/>
      <c r="DSK265" s="34"/>
      <c r="DSL265" s="34"/>
      <c r="DSM265" s="34"/>
      <c r="DSN265" s="34"/>
      <c r="DSO265" s="34"/>
      <c r="DSP265" s="34"/>
      <c r="DSQ265" s="34"/>
      <c r="DSR265" s="34"/>
      <c r="DSS265" s="34"/>
      <c r="DST265" s="34"/>
      <c r="DSU265" s="34"/>
      <c r="DSV265" s="34"/>
      <c r="DSW265" s="34"/>
      <c r="DSX265" s="34"/>
      <c r="DSY265" s="34"/>
      <c r="DSZ265" s="34"/>
      <c r="DTA265" s="34"/>
      <c r="DTB265" s="34"/>
      <c r="DTC265" s="34"/>
      <c r="DTD265" s="34"/>
      <c r="DTE265" s="34"/>
      <c r="DTF265" s="34"/>
      <c r="DTG265" s="34"/>
      <c r="DTH265" s="34"/>
      <c r="DTI265" s="34"/>
      <c r="DTJ265" s="34"/>
      <c r="DTK265" s="34"/>
      <c r="DTL265" s="34"/>
      <c r="DTM265" s="34"/>
      <c r="DTN265" s="34"/>
      <c r="DTO265" s="34"/>
      <c r="DTP265" s="34"/>
      <c r="DTQ265" s="34"/>
      <c r="DTR265" s="34"/>
      <c r="DTS265" s="34"/>
      <c r="DTT265" s="34"/>
      <c r="DTU265" s="34"/>
      <c r="DTV265" s="34"/>
      <c r="DTW265" s="34"/>
      <c r="DTX265" s="34"/>
      <c r="DTY265" s="34"/>
      <c r="DTZ265" s="34"/>
      <c r="DUA265" s="34"/>
      <c r="DUB265" s="34"/>
      <c r="DUC265" s="34"/>
      <c r="DUD265" s="34"/>
      <c r="DUE265" s="34"/>
      <c r="DUF265" s="34"/>
      <c r="DUG265" s="34"/>
      <c r="DUH265" s="34"/>
      <c r="DUI265" s="34"/>
      <c r="DUJ265" s="34"/>
      <c r="DUK265" s="34"/>
      <c r="DUL265" s="34"/>
      <c r="DUM265" s="34"/>
      <c r="DUN265" s="34"/>
      <c r="DUO265" s="34"/>
      <c r="DUP265" s="34"/>
      <c r="DUQ265" s="34"/>
      <c r="DUR265" s="34"/>
      <c r="DUS265" s="34"/>
      <c r="DUT265" s="34"/>
      <c r="DUU265" s="34"/>
      <c r="DUV265" s="34"/>
      <c r="DUW265" s="34"/>
      <c r="DUX265" s="34"/>
      <c r="DUY265" s="34"/>
      <c r="DUZ265" s="34"/>
      <c r="DVA265" s="34"/>
      <c r="DVB265" s="34"/>
      <c r="DVC265" s="34"/>
      <c r="DVD265" s="34"/>
      <c r="DVE265" s="34"/>
      <c r="DVF265" s="34"/>
      <c r="DVG265" s="34"/>
      <c r="DVH265" s="34"/>
      <c r="DVI265" s="34"/>
      <c r="DVJ265" s="34"/>
      <c r="DVK265" s="34"/>
      <c r="DVL265" s="34"/>
      <c r="DVM265" s="34"/>
      <c r="DVN265" s="34"/>
      <c r="DVO265" s="34"/>
      <c r="DVP265" s="34"/>
      <c r="DVQ265" s="34"/>
      <c r="DVR265" s="34"/>
      <c r="DVS265" s="34"/>
      <c r="DVT265" s="34"/>
      <c r="DVU265" s="34"/>
      <c r="DVV265" s="34"/>
      <c r="DVW265" s="34"/>
      <c r="DVX265" s="34"/>
      <c r="DVY265" s="34"/>
      <c r="DVZ265" s="34"/>
      <c r="DWA265" s="34"/>
      <c r="DWB265" s="34"/>
      <c r="DWC265" s="34"/>
      <c r="DWD265" s="34"/>
      <c r="DWE265" s="34"/>
      <c r="DWF265" s="34"/>
      <c r="DWG265" s="34"/>
      <c r="DWH265" s="34"/>
      <c r="DWI265" s="34"/>
      <c r="DWJ265" s="34"/>
      <c r="DWK265" s="34"/>
      <c r="DWL265" s="34"/>
      <c r="DWM265" s="34"/>
      <c r="DWN265" s="34"/>
      <c r="DWO265" s="34"/>
      <c r="DWP265" s="34"/>
      <c r="DWQ265" s="34"/>
      <c r="DWR265" s="34"/>
      <c r="DWS265" s="34"/>
      <c r="DWT265" s="34"/>
      <c r="DWU265" s="34"/>
      <c r="DWV265" s="34"/>
      <c r="DWW265" s="34"/>
      <c r="DWX265" s="34"/>
      <c r="DWY265" s="34"/>
      <c r="DWZ265" s="34"/>
      <c r="DXA265" s="34"/>
      <c r="DXB265" s="34"/>
      <c r="DXC265" s="34"/>
      <c r="DXD265" s="34"/>
      <c r="DXE265" s="34"/>
      <c r="DXF265" s="34"/>
      <c r="DXG265" s="34"/>
      <c r="DXH265" s="34"/>
      <c r="DXI265" s="34"/>
      <c r="DXJ265" s="34"/>
      <c r="DXK265" s="34"/>
      <c r="DXL265" s="34"/>
      <c r="DXM265" s="34"/>
      <c r="DXN265" s="34"/>
      <c r="DXO265" s="34"/>
      <c r="DXP265" s="34"/>
      <c r="DXQ265" s="34"/>
      <c r="DXR265" s="34"/>
      <c r="DXS265" s="34"/>
      <c r="DXT265" s="34"/>
      <c r="DXU265" s="34"/>
      <c r="DXV265" s="34"/>
      <c r="DXW265" s="34"/>
      <c r="DXX265" s="34"/>
      <c r="DXY265" s="34"/>
      <c r="DXZ265" s="34"/>
      <c r="DYA265" s="34"/>
      <c r="DYB265" s="34"/>
      <c r="DYC265" s="34"/>
      <c r="DYD265" s="34"/>
      <c r="DYE265" s="34"/>
      <c r="DYF265" s="34"/>
      <c r="DYG265" s="34"/>
      <c r="DYH265" s="34"/>
      <c r="DYI265" s="34"/>
      <c r="DYJ265" s="34"/>
      <c r="DYK265" s="34"/>
      <c r="DYL265" s="34"/>
      <c r="DYM265" s="34"/>
      <c r="DYN265" s="34"/>
      <c r="DYO265" s="34"/>
      <c r="DYP265" s="34"/>
      <c r="DYQ265" s="34"/>
      <c r="DYR265" s="34"/>
      <c r="DYS265" s="34"/>
      <c r="DYT265" s="34"/>
      <c r="DYU265" s="34"/>
      <c r="DYV265" s="34"/>
      <c r="DYW265" s="34"/>
      <c r="DYX265" s="34"/>
      <c r="DYY265" s="34"/>
      <c r="DYZ265" s="34"/>
      <c r="DZA265" s="34"/>
      <c r="DZB265" s="34"/>
      <c r="DZC265" s="34"/>
      <c r="DZD265" s="34"/>
      <c r="DZE265" s="34"/>
      <c r="DZF265" s="34"/>
      <c r="DZG265" s="34"/>
      <c r="DZH265" s="34"/>
      <c r="DZI265" s="34"/>
      <c r="DZJ265" s="34"/>
      <c r="DZK265" s="34"/>
      <c r="DZL265" s="34"/>
      <c r="DZM265" s="34"/>
      <c r="DZN265" s="34"/>
      <c r="DZO265" s="34"/>
      <c r="DZP265" s="34"/>
      <c r="DZQ265" s="34"/>
      <c r="DZR265" s="34"/>
      <c r="DZS265" s="34"/>
      <c r="DZT265" s="34"/>
      <c r="DZU265" s="34"/>
      <c r="DZV265" s="34"/>
      <c r="DZW265" s="34"/>
      <c r="DZX265" s="34"/>
      <c r="DZY265" s="34"/>
      <c r="DZZ265" s="34"/>
      <c r="EAA265" s="34"/>
      <c r="EAB265" s="34"/>
      <c r="EAC265" s="34"/>
      <c r="EAD265" s="34"/>
      <c r="EAE265" s="34"/>
      <c r="EAF265" s="34"/>
      <c r="EAG265" s="34"/>
      <c r="EAH265" s="34"/>
      <c r="EAI265" s="34"/>
      <c r="EAJ265" s="34"/>
      <c r="EAK265" s="34"/>
      <c r="EAL265" s="34"/>
      <c r="EAM265" s="34"/>
      <c r="EAN265" s="34"/>
      <c r="EAO265" s="34"/>
      <c r="EAP265" s="34"/>
      <c r="EAQ265" s="34"/>
      <c r="EAR265" s="34"/>
      <c r="EAS265" s="34"/>
      <c r="EAT265" s="34"/>
      <c r="EAU265" s="34"/>
      <c r="EAV265" s="34"/>
      <c r="EAW265" s="34"/>
      <c r="EAX265" s="34"/>
      <c r="EAY265" s="34"/>
      <c r="EAZ265" s="34"/>
      <c r="EBA265" s="34"/>
      <c r="EBB265" s="34"/>
      <c r="EBC265" s="34"/>
      <c r="EBD265" s="34"/>
      <c r="EBE265" s="34"/>
      <c r="EBF265" s="34"/>
      <c r="EBG265" s="34"/>
      <c r="EBH265" s="34"/>
      <c r="EBI265" s="34"/>
      <c r="EBJ265" s="34"/>
      <c r="EBK265" s="34"/>
      <c r="EBL265" s="34"/>
      <c r="EBM265" s="34"/>
      <c r="EBN265" s="34"/>
      <c r="EBO265" s="34"/>
      <c r="EBP265" s="34"/>
      <c r="EBQ265" s="34"/>
      <c r="EBR265" s="34"/>
      <c r="EBS265" s="34"/>
      <c r="EBT265" s="34"/>
      <c r="EBU265" s="34"/>
      <c r="EBV265" s="34"/>
      <c r="EBW265" s="34"/>
      <c r="EBX265" s="34"/>
      <c r="EBY265" s="34"/>
      <c r="EBZ265" s="34"/>
      <c r="ECA265" s="34"/>
      <c r="ECB265" s="34"/>
      <c r="ECC265" s="34"/>
      <c r="ECD265" s="34"/>
      <c r="ECE265" s="34"/>
      <c r="ECF265" s="34"/>
      <c r="ECG265" s="34"/>
      <c r="ECH265" s="34"/>
      <c r="ECI265" s="34"/>
      <c r="ECJ265" s="34"/>
      <c r="ECK265" s="34"/>
      <c r="ECL265" s="34"/>
      <c r="ECM265" s="34"/>
      <c r="ECN265" s="34"/>
      <c r="ECO265" s="34"/>
      <c r="ECP265" s="34"/>
      <c r="ECQ265" s="34"/>
      <c r="ECR265" s="34"/>
      <c r="ECS265" s="34"/>
      <c r="ECT265" s="34"/>
      <c r="ECU265" s="34"/>
      <c r="ECV265" s="34"/>
      <c r="ECW265" s="34"/>
      <c r="ECX265" s="34"/>
      <c r="ECY265" s="34"/>
      <c r="ECZ265" s="34"/>
      <c r="EDA265" s="34"/>
      <c r="EDB265" s="34"/>
      <c r="EDC265" s="34"/>
      <c r="EDD265" s="34"/>
      <c r="EDE265" s="34"/>
      <c r="EDF265" s="34"/>
      <c r="EDG265" s="34"/>
      <c r="EDH265" s="34"/>
      <c r="EDI265" s="34"/>
      <c r="EDJ265" s="34"/>
      <c r="EDK265" s="34"/>
      <c r="EDL265" s="34"/>
      <c r="EDM265" s="34"/>
      <c r="EDN265" s="34"/>
      <c r="EDO265" s="34"/>
      <c r="EDP265" s="34"/>
      <c r="EDQ265" s="34"/>
      <c r="EDR265" s="34"/>
      <c r="EDS265" s="34"/>
      <c r="EDT265" s="34"/>
      <c r="EDU265" s="34"/>
      <c r="EDV265" s="34"/>
      <c r="EDW265" s="34"/>
      <c r="EDX265" s="34"/>
      <c r="EDY265" s="34"/>
      <c r="EDZ265" s="34"/>
      <c r="EEA265" s="34"/>
      <c r="EEB265" s="34"/>
      <c r="EEC265" s="34"/>
      <c r="EED265" s="34"/>
      <c r="EEE265" s="34"/>
      <c r="EEF265" s="34"/>
      <c r="EEG265" s="34"/>
      <c r="EEH265" s="34"/>
      <c r="EEI265" s="34"/>
      <c r="EEJ265" s="34"/>
      <c r="EEK265" s="34"/>
      <c r="EEL265" s="34"/>
      <c r="EEM265" s="34"/>
      <c r="EEN265" s="34"/>
      <c r="EEO265" s="34"/>
      <c r="EEP265" s="34"/>
      <c r="EEQ265" s="34"/>
      <c r="EER265" s="34"/>
      <c r="EES265" s="34"/>
      <c r="EET265" s="34"/>
      <c r="EEU265" s="34"/>
      <c r="EEV265" s="34"/>
      <c r="EEW265" s="34"/>
      <c r="EEX265" s="34"/>
      <c r="EEY265" s="34"/>
      <c r="EEZ265" s="34"/>
      <c r="EFA265" s="34"/>
      <c r="EFB265" s="34"/>
      <c r="EFC265" s="34"/>
      <c r="EFD265" s="34"/>
      <c r="EFE265" s="34"/>
      <c r="EFF265" s="34"/>
      <c r="EFG265" s="34"/>
      <c r="EFH265" s="34"/>
      <c r="EFI265" s="34"/>
      <c r="EFJ265" s="34"/>
      <c r="EFK265" s="34"/>
      <c r="EFL265" s="34"/>
      <c r="EFM265" s="34"/>
      <c r="EFN265" s="34"/>
      <c r="EFO265" s="34"/>
      <c r="EFP265" s="34"/>
      <c r="EFQ265" s="34"/>
      <c r="EFR265" s="34"/>
      <c r="EFS265" s="34"/>
      <c r="EFT265" s="34"/>
      <c r="EFU265" s="34"/>
      <c r="EFV265" s="34"/>
      <c r="EFW265" s="34"/>
      <c r="EFX265" s="34"/>
      <c r="EFY265" s="34"/>
      <c r="EFZ265" s="34"/>
      <c r="EGA265" s="34"/>
      <c r="EGB265" s="34"/>
      <c r="EGC265" s="34"/>
      <c r="EGD265" s="34"/>
      <c r="EGE265" s="34"/>
      <c r="EGF265" s="34"/>
      <c r="EGG265" s="34"/>
      <c r="EGH265" s="34"/>
      <c r="EGI265" s="34"/>
      <c r="EGJ265" s="34"/>
      <c r="EGK265" s="34"/>
      <c r="EGL265" s="34"/>
      <c r="EGM265" s="34"/>
      <c r="EGN265" s="34"/>
      <c r="EGO265" s="34"/>
      <c r="EGP265" s="34"/>
      <c r="EGQ265" s="34"/>
      <c r="EGR265" s="34"/>
      <c r="EGS265" s="34"/>
      <c r="EGT265" s="34"/>
      <c r="EGU265" s="34"/>
      <c r="EGV265" s="34"/>
      <c r="EGW265" s="34"/>
      <c r="EGX265" s="34"/>
      <c r="EGY265" s="34"/>
      <c r="EGZ265" s="34"/>
      <c r="EHA265" s="34"/>
      <c r="EHB265" s="34"/>
      <c r="EHC265" s="34"/>
      <c r="EHD265" s="34"/>
      <c r="EHE265" s="34"/>
      <c r="EHF265" s="34"/>
      <c r="EHG265" s="34"/>
      <c r="EHH265" s="34"/>
      <c r="EHI265" s="34"/>
      <c r="EHJ265" s="34"/>
      <c r="EHK265" s="34"/>
      <c r="EHL265" s="34"/>
      <c r="EHM265" s="34"/>
      <c r="EHN265" s="34"/>
      <c r="EHO265" s="34"/>
      <c r="EHP265" s="34"/>
      <c r="EHQ265" s="34"/>
      <c r="EHR265" s="34"/>
      <c r="EHS265" s="34"/>
      <c r="EHT265" s="34"/>
      <c r="EHU265" s="34"/>
      <c r="EHV265" s="34"/>
      <c r="EHW265" s="34"/>
      <c r="EHX265" s="34"/>
      <c r="EHY265" s="34"/>
      <c r="EHZ265" s="34"/>
      <c r="EIA265" s="34"/>
      <c r="EIB265" s="34"/>
      <c r="EIC265" s="34"/>
      <c r="EID265" s="34"/>
      <c r="EIE265" s="34"/>
      <c r="EIF265" s="34"/>
      <c r="EIG265" s="34"/>
      <c r="EIH265" s="34"/>
      <c r="EII265" s="34"/>
      <c r="EIJ265" s="34"/>
      <c r="EIK265" s="34"/>
      <c r="EIL265" s="34"/>
      <c r="EIM265" s="34"/>
      <c r="EIN265" s="34"/>
      <c r="EIO265" s="34"/>
      <c r="EIP265" s="34"/>
      <c r="EIQ265" s="34"/>
      <c r="EIR265" s="34"/>
      <c r="EIS265" s="34"/>
      <c r="EIT265" s="34"/>
      <c r="EIU265" s="34"/>
      <c r="EIV265" s="34"/>
      <c r="EIW265" s="34"/>
      <c r="EIX265" s="34"/>
      <c r="EIY265" s="34"/>
      <c r="EIZ265" s="34"/>
      <c r="EJA265" s="34"/>
      <c r="EJB265" s="34"/>
      <c r="EJC265" s="34"/>
      <c r="EJD265" s="34"/>
      <c r="EJE265" s="34"/>
      <c r="EJF265" s="34"/>
      <c r="EJG265" s="34"/>
      <c r="EJH265" s="34"/>
      <c r="EJI265" s="34"/>
      <c r="EJJ265" s="34"/>
      <c r="EJK265" s="34"/>
      <c r="EJL265" s="34"/>
      <c r="EJM265" s="34"/>
      <c r="EJN265" s="34"/>
      <c r="EJO265" s="34"/>
      <c r="EJP265" s="34"/>
      <c r="EJQ265" s="34"/>
      <c r="EJR265" s="34"/>
      <c r="EJS265" s="34"/>
      <c r="EJT265" s="34"/>
      <c r="EJU265" s="34"/>
      <c r="EJV265" s="34"/>
      <c r="EJW265" s="34"/>
      <c r="EJX265" s="34"/>
      <c r="EJY265" s="34"/>
      <c r="EJZ265" s="34"/>
      <c r="EKA265" s="34"/>
      <c r="EKB265" s="34"/>
      <c r="EKC265" s="34"/>
      <c r="EKD265" s="34"/>
      <c r="EKE265" s="34"/>
      <c r="EKF265" s="34"/>
      <c r="EKG265" s="34"/>
      <c r="EKH265" s="34"/>
      <c r="EKI265" s="34"/>
      <c r="EKJ265" s="34"/>
      <c r="EKK265" s="34"/>
      <c r="EKL265" s="34"/>
      <c r="EKM265" s="34"/>
      <c r="EKN265" s="34"/>
      <c r="EKO265" s="34"/>
      <c r="EKP265" s="34"/>
      <c r="EKQ265" s="34"/>
      <c r="EKR265" s="34"/>
      <c r="EKS265" s="34"/>
      <c r="EKT265" s="34"/>
      <c r="EKU265" s="34"/>
      <c r="EKV265" s="34"/>
      <c r="EKW265" s="34"/>
      <c r="EKX265" s="34"/>
      <c r="EKY265" s="34"/>
      <c r="EKZ265" s="34"/>
      <c r="ELA265" s="34"/>
      <c r="ELB265" s="34"/>
      <c r="ELC265" s="34"/>
      <c r="ELD265" s="34"/>
      <c r="ELE265" s="34"/>
      <c r="ELF265" s="34"/>
      <c r="ELG265" s="34"/>
      <c r="ELH265" s="34"/>
      <c r="ELI265" s="34"/>
      <c r="ELJ265" s="34"/>
      <c r="ELK265" s="34"/>
      <c r="ELL265" s="34"/>
      <c r="ELM265" s="34"/>
      <c r="ELN265" s="34"/>
      <c r="ELO265" s="34"/>
      <c r="ELP265" s="34"/>
      <c r="ELQ265" s="34"/>
      <c r="ELR265" s="34"/>
      <c r="ELS265" s="34"/>
      <c r="ELT265" s="34"/>
      <c r="ELU265" s="34"/>
      <c r="ELV265" s="34"/>
      <c r="ELW265" s="34"/>
      <c r="ELX265" s="34"/>
      <c r="ELY265" s="34"/>
      <c r="ELZ265" s="34"/>
      <c r="EMA265" s="34"/>
      <c r="EMB265" s="34"/>
      <c r="EMC265" s="34"/>
      <c r="EMD265" s="34"/>
      <c r="EME265" s="34"/>
      <c r="EMF265" s="34"/>
      <c r="EMG265" s="34"/>
      <c r="EMH265" s="34"/>
      <c r="EMI265" s="34"/>
      <c r="EMJ265" s="34"/>
      <c r="EMK265" s="34"/>
      <c r="EML265" s="34"/>
      <c r="EMM265" s="34"/>
      <c r="EMN265" s="34"/>
      <c r="EMO265" s="34"/>
      <c r="EMP265" s="34"/>
      <c r="EMQ265" s="34"/>
      <c r="EMR265" s="34"/>
      <c r="EMS265" s="34"/>
      <c r="EMT265" s="34"/>
      <c r="EMU265" s="34"/>
      <c r="EMV265" s="34"/>
      <c r="EMW265" s="34"/>
      <c r="EMX265" s="34"/>
      <c r="EMY265" s="34"/>
      <c r="EMZ265" s="34"/>
      <c r="ENA265" s="34"/>
      <c r="ENB265" s="34"/>
      <c r="ENC265" s="34"/>
      <c r="END265" s="34"/>
      <c r="ENE265" s="34"/>
      <c r="ENF265" s="34"/>
      <c r="ENG265" s="34"/>
      <c r="ENH265" s="34"/>
      <c r="ENI265" s="34"/>
      <c r="ENJ265" s="34"/>
      <c r="ENK265" s="34"/>
      <c r="ENL265" s="34"/>
      <c r="ENM265" s="34"/>
      <c r="ENN265" s="34"/>
      <c r="ENO265" s="34"/>
      <c r="ENP265" s="34"/>
      <c r="ENQ265" s="34"/>
      <c r="ENR265" s="34"/>
      <c r="ENS265" s="34"/>
      <c r="ENT265" s="34"/>
      <c r="ENU265" s="34"/>
      <c r="ENV265" s="34"/>
      <c r="ENW265" s="34"/>
      <c r="ENX265" s="34"/>
      <c r="ENY265" s="34"/>
      <c r="ENZ265" s="34"/>
      <c r="EOA265" s="34"/>
      <c r="EOB265" s="34"/>
      <c r="EOC265" s="34"/>
      <c r="EOD265" s="34"/>
      <c r="EOE265" s="34"/>
      <c r="EOF265" s="34"/>
      <c r="EOG265" s="34"/>
      <c r="EOH265" s="34"/>
      <c r="EOI265" s="34"/>
      <c r="EOJ265" s="34"/>
      <c r="EOK265" s="34"/>
      <c r="EOL265" s="34"/>
      <c r="EOM265" s="34"/>
      <c r="EON265" s="34"/>
      <c r="EOO265" s="34"/>
      <c r="EOP265" s="34"/>
      <c r="EOQ265" s="34"/>
      <c r="EOR265" s="34"/>
      <c r="EOS265" s="34"/>
      <c r="EOT265" s="34"/>
      <c r="EOU265" s="34"/>
      <c r="EOV265" s="34"/>
      <c r="EOW265" s="34"/>
      <c r="EOX265" s="34"/>
      <c r="EOY265" s="34"/>
      <c r="EOZ265" s="34"/>
      <c r="EPA265" s="34"/>
      <c r="EPB265" s="34"/>
      <c r="EPC265" s="34"/>
      <c r="EPD265" s="34"/>
      <c r="EPE265" s="34"/>
      <c r="EPF265" s="34"/>
      <c r="EPG265" s="34"/>
      <c r="EPH265" s="34"/>
      <c r="EPI265" s="34"/>
      <c r="EPJ265" s="34"/>
      <c r="EPK265" s="34"/>
      <c r="EPL265" s="34"/>
      <c r="EPM265" s="34"/>
      <c r="EPN265" s="34"/>
      <c r="EPO265" s="34"/>
      <c r="EPP265" s="34"/>
      <c r="EPQ265" s="34"/>
      <c r="EPR265" s="34"/>
      <c r="EPS265" s="34"/>
      <c r="EPT265" s="34"/>
      <c r="EPU265" s="34"/>
      <c r="EPV265" s="34"/>
      <c r="EPW265" s="34"/>
      <c r="EPX265" s="34"/>
      <c r="EPY265" s="34"/>
      <c r="EPZ265" s="34"/>
      <c r="EQA265" s="34"/>
      <c r="EQB265" s="34"/>
      <c r="EQC265" s="34"/>
      <c r="EQD265" s="34"/>
      <c r="EQE265" s="34"/>
      <c r="EQF265" s="34"/>
      <c r="EQG265" s="34"/>
      <c r="EQH265" s="34"/>
      <c r="EQI265" s="34"/>
      <c r="EQJ265" s="34"/>
      <c r="EQK265" s="34"/>
      <c r="EQL265" s="34"/>
      <c r="EQM265" s="34"/>
      <c r="EQN265" s="34"/>
      <c r="EQO265" s="34"/>
      <c r="EQP265" s="34"/>
      <c r="EQQ265" s="34"/>
      <c r="EQR265" s="34"/>
      <c r="EQS265" s="34"/>
      <c r="EQT265" s="34"/>
      <c r="EQU265" s="34"/>
      <c r="EQV265" s="34"/>
      <c r="EQW265" s="34"/>
      <c r="EQX265" s="34"/>
      <c r="EQY265" s="34"/>
      <c r="EQZ265" s="34"/>
      <c r="ERA265" s="34"/>
      <c r="ERB265" s="34"/>
      <c r="ERC265" s="34"/>
      <c r="ERD265" s="34"/>
      <c r="ERE265" s="34"/>
      <c r="ERF265" s="34"/>
      <c r="ERG265" s="34"/>
      <c r="ERH265" s="34"/>
      <c r="ERI265" s="34"/>
      <c r="ERJ265" s="34"/>
      <c r="ERK265" s="34"/>
      <c r="ERL265" s="34"/>
      <c r="ERM265" s="34"/>
      <c r="ERN265" s="34"/>
      <c r="ERO265" s="34"/>
      <c r="ERP265" s="34"/>
      <c r="ERQ265" s="34"/>
      <c r="ERR265" s="34"/>
      <c r="ERS265" s="34"/>
      <c r="ERT265" s="34"/>
      <c r="ERU265" s="34"/>
      <c r="ERV265" s="34"/>
      <c r="ERW265" s="34"/>
      <c r="ERX265" s="34"/>
      <c r="ERY265" s="34"/>
      <c r="ERZ265" s="34"/>
      <c r="ESA265" s="34"/>
      <c r="ESB265" s="34"/>
      <c r="ESC265" s="34"/>
      <c r="ESD265" s="34"/>
      <c r="ESE265" s="34"/>
      <c r="ESF265" s="34"/>
      <c r="ESG265" s="34"/>
      <c r="ESH265" s="34"/>
      <c r="ESI265" s="34"/>
      <c r="ESJ265" s="34"/>
      <c r="ESK265" s="34"/>
      <c r="ESL265" s="34"/>
      <c r="ESM265" s="34"/>
      <c r="ESN265" s="34"/>
      <c r="ESO265" s="34"/>
      <c r="ESP265" s="34"/>
      <c r="ESQ265" s="34"/>
      <c r="ESR265" s="34"/>
      <c r="ESS265" s="34"/>
      <c r="EST265" s="34"/>
      <c r="ESU265" s="34"/>
      <c r="ESV265" s="34"/>
      <c r="ESW265" s="34"/>
      <c r="ESX265" s="34"/>
      <c r="ESY265" s="34"/>
      <c r="ESZ265" s="34"/>
      <c r="ETA265" s="34"/>
      <c r="ETB265" s="34"/>
      <c r="ETC265" s="34"/>
      <c r="ETD265" s="34"/>
      <c r="ETE265" s="34"/>
      <c r="ETF265" s="34"/>
      <c r="ETG265" s="34"/>
      <c r="ETH265" s="34"/>
      <c r="ETI265" s="34"/>
      <c r="ETJ265" s="34"/>
      <c r="ETK265" s="34"/>
      <c r="ETL265" s="34"/>
      <c r="ETM265" s="34"/>
      <c r="ETN265" s="34"/>
      <c r="ETO265" s="34"/>
      <c r="ETP265" s="34"/>
      <c r="ETQ265" s="34"/>
      <c r="ETR265" s="34"/>
      <c r="ETS265" s="34"/>
      <c r="ETT265" s="34"/>
      <c r="ETU265" s="34"/>
      <c r="ETV265" s="34"/>
      <c r="ETW265" s="34"/>
      <c r="ETX265" s="34"/>
      <c r="ETY265" s="34"/>
      <c r="ETZ265" s="34"/>
      <c r="EUA265" s="34"/>
      <c r="EUB265" s="34"/>
      <c r="EUC265" s="34"/>
      <c r="EUD265" s="34"/>
      <c r="EUE265" s="34"/>
      <c r="EUF265" s="34"/>
      <c r="EUG265" s="34"/>
      <c r="EUH265" s="34"/>
      <c r="EUI265" s="34"/>
      <c r="EUJ265" s="34"/>
      <c r="EUK265" s="34"/>
      <c r="EUL265" s="34"/>
      <c r="EUM265" s="34"/>
      <c r="EUN265" s="34"/>
      <c r="EUO265" s="34"/>
      <c r="EUP265" s="34"/>
      <c r="EUQ265" s="34"/>
      <c r="EUR265" s="34"/>
      <c r="EUS265" s="34"/>
      <c r="EUT265" s="34"/>
      <c r="EUU265" s="34"/>
      <c r="EUV265" s="34"/>
      <c r="EUW265" s="34"/>
      <c r="EUX265" s="34"/>
      <c r="EUY265" s="34"/>
      <c r="EUZ265" s="34"/>
      <c r="EVA265" s="34"/>
      <c r="EVB265" s="34"/>
      <c r="EVC265" s="34"/>
      <c r="EVD265" s="34"/>
      <c r="EVE265" s="34"/>
      <c r="EVF265" s="34"/>
      <c r="EVG265" s="34"/>
      <c r="EVH265" s="34"/>
      <c r="EVI265" s="34"/>
      <c r="EVJ265" s="34"/>
      <c r="EVK265" s="34"/>
      <c r="EVL265" s="34"/>
      <c r="EVM265" s="34"/>
      <c r="EVN265" s="34"/>
      <c r="EVO265" s="34"/>
      <c r="EVP265" s="34"/>
      <c r="EVQ265" s="34"/>
      <c r="EVR265" s="34"/>
      <c r="EVS265" s="34"/>
      <c r="EVT265" s="34"/>
      <c r="EVU265" s="34"/>
      <c r="EVV265" s="34"/>
      <c r="EVW265" s="34"/>
      <c r="EVX265" s="34"/>
      <c r="EVY265" s="34"/>
      <c r="EVZ265" s="34"/>
      <c r="EWA265" s="34"/>
      <c r="EWB265" s="34"/>
      <c r="EWC265" s="34"/>
      <c r="EWD265" s="34"/>
      <c r="EWE265" s="34"/>
      <c r="EWF265" s="34"/>
      <c r="EWG265" s="34"/>
      <c r="EWH265" s="34"/>
      <c r="EWI265" s="34"/>
      <c r="EWJ265" s="34"/>
      <c r="EWK265" s="34"/>
      <c r="EWL265" s="34"/>
      <c r="EWM265" s="34"/>
      <c r="EWN265" s="34"/>
      <c r="EWO265" s="34"/>
      <c r="EWP265" s="34"/>
      <c r="EWQ265" s="34"/>
      <c r="EWR265" s="34"/>
      <c r="EWS265" s="34"/>
      <c r="EWT265" s="34"/>
      <c r="EWU265" s="34"/>
      <c r="EWV265" s="34"/>
      <c r="EWW265" s="34"/>
      <c r="EWX265" s="34"/>
      <c r="EWY265" s="34"/>
      <c r="EWZ265" s="34"/>
      <c r="EXA265" s="34"/>
      <c r="EXB265" s="34"/>
      <c r="EXC265" s="34"/>
      <c r="EXD265" s="34"/>
      <c r="EXE265" s="34"/>
      <c r="EXF265" s="34"/>
      <c r="EXG265" s="34"/>
      <c r="EXH265" s="34"/>
      <c r="EXI265" s="34"/>
      <c r="EXJ265" s="34"/>
      <c r="EXK265" s="34"/>
      <c r="EXL265" s="34"/>
      <c r="EXM265" s="34"/>
      <c r="EXN265" s="34"/>
      <c r="EXO265" s="34"/>
      <c r="EXP265" s="34"/>
      <c r="EXQ265" s="34"/>
      <c r="EXR265" s="34"/>
      <c r="EXS265" s="34"/>
      <c r="EXT265" s="34"/>
      <c r="EXU265" s="34"/>
      <c r="EXV265" s="34"/>
      <c r="EXW265" s="34"/>
      <c r="EXX265" s="34"/>
      <c r="EXY265" s="34"/>
      <c r="EXZ265" s="34"/>
      <c r="EYA265" s="34"/>
      <c r="EYB265" s="34"/>
      <c r="EYC265" s="34"/>
      <c r="EYD265" s="34"/>
      <c r="EYE265" s="34"/>
      <c r="EYF265" s="34"/>
      <c r="EYG265" s="34"/>
      <c r="EYH265" s="34"/>
      <c r="EYI265" s="34"/>
      <c r="EYJ265" s="34"/>
      <c r="EYK265" s="34"/>
      <c r="EYL265" s="34"/>
      <c r="EYM265" s="34"/>
      <c r="EYN265" s="34"/>
      <c r="EYO265" s="34"/>
      <c r="EYP265" s="34"/>
      <c r="EYQ265" s="34"/>
      <c r="EYR265" s="34"/>
      <c r="EYS265" s="34"/>
      <c r="EYT265" s="34"/>
      <c r="EYU265" s="34"/>
      <c r="EYV265" s="34"/>
      <c r="EYW265" s="34"/>
      <c r="EYX265" s="34"/>
      <c r="EYY265" s="34"/>
      <c r="EYZ265" s="34"/>
      <c r="EZA265" s="34"/>
      <c r="EZB265" s="34"/>
      <c r="EZC265" s="34"/>
      <c r="EZD265" s="34"/>
      <c r="EZE265" s="34"/>
      <c r="EZF265" s="34"/>
      <c r="EZG265" s="34"/>
      <c r="EZH265" s="34"/>
      <c r="EZI265" s="34"/>
      <c r="EZJ265" s="34"/>
      <c r="EZK265" s="34"/>
      <c r="EZL265" s="34"/>
      <c r="EZM265" s="34"/>
      <c r="EZN265" s="34"/>
      <c r="EZO265" s="34"/>
      <c r="EZP265" s="34"/>
      <c r="EZQ265" s="34"/>
      <c r="EZR265" s="34"/>
      <c r="EZS265" s="34"/>
      <c r="EZT265" s="34"/>
      <c r="EZU265" s="34"/>
      <c r="EZV265" s="34"/>
      <c r="EZW265" s="34"/>
      <c r="EZX265" s="34"/>
      <c r="EZY265" s="34"/>
      <c r="EZZ265" s="34"/>
      <c r="FAA265" s="34"/>
      <c r="FAB265" s="34"/>
      <c r="FAC265" s="34"/>
      <c r="FAD265" s="34"/>
      <c r="FAE265" s="34"/>
      <c r="FAF265" s="34"/>
      <c r="FAG265" s="34"/>
      <c r="FAH265" s="34"/>
      <c r="FAI265" s="34"/>
      <c r="FAJ265" s="34"/>
      <c r="FAK265" s="34"/>
      <c r="FAL265" s="34"/>
      <c r="FAM265" s="34"/>
      <c r="FAN265" s="34"/>
      <c r="FAO265" s="34"/>
      <c r="FAP265" s="34"/>
      <c r="FAQ265" s="34"/>
      <c r="FAR265" s="34"/>
      <c r="FAS265" s="34"/>
      <c r="FAT265" s="34"/>
      <c r="FAU265" s="34"/>
      <c r="FAV265" s="34"/>
      <c r="FAW265" s="34"/>
      <c r="FAX265" s="34"/>
      <c r="FAY265" s="34"/>
      <c r="FAZ265" s="34"/>
      <c r="FBA265" s="34"/>
      <c r="FBB265" s="34"/>
      <c r="FBC265" s="34"/>
      <c r="FBD265" s="34"/>
      <c r="FBE265" s="34"/>
      <c r="FBF265" s="34"/>
      <c r="FBG265" s="34"/>
      <c r="FBH265" s="34"/>
      <c r="FBI265" s="34"/>
      <c r="FBJ265" s="34"/>
      <c r="FBK265" s="34"/>
      <c r="FBL265" s="34"/>
      <c r="FBM265" s="34"/>
      <c r="FBN265" s="34"/>
      <c r="FBO265" s="34"/>
      <c r="FBP265" s="34"/>
      <c r="FBQ265" s="34"/>
      <c r="FBR265" s="34"/>
      <c r="FBS265" s="34"/>
      <c r="FBT265" s="34"/>
      <c r="FBU265" s="34"/>
      <c r="FBV265" s="34"/>
      <c r="FBW265" s="34"/>
      <c r="FBX265" s="34"/>
      <c r="FBY265" s="34"/>
      <c r="FBZ265" s="34"/>
      <c r="FCA265" s="34"/>
      <c r="FCB265" s="34"/>
      <c r="FCC265" s="34"/>
      <c r="FCD265" s="34"/>
      <c r="FCE265" s="34"/>
      <c r="FCF265" s="34"/>
      <c r="FCG265" s="34"/>
      <c r="FCH265" s="34"/>
      <c r="FCI265" s="34"/>
      <c r="FCJ265" s="34"/>
      <c r="FCK265" s="34"/>
      <c r="FCL265" s="34"/>
      <c r="FCM265" s="34"/>
      <c r="FCN265" s="34"/>
      <c r="FCO265" s="34"/>
      <c r="FCP265" s="34"/>
      <c r="FCQ265" s="34"/>
      <c r="FCR265" s="34"/>
      <c r="FCS265" s="34"/>
      <c r="FCT265" s="34"/>
      <c r="FCU265" s="34"/>
      <c r="FCV265" s="34"/>
      <c r="FCW265" s="34"/>
      <c r="FCX265" s="34"/>
      <c r="FCY265" s="34"/>
      <c r="FCZ265" s="34"/>
      <c r="FDA265" s="34"/>
      <c r="FDB265" s="34"/>
      <c r="FDC265" s="34"/>
      <c r="FDD265" s="34"/>
      <c r="FDE265" s="34"/>
      <c r="FDF265" s="34"/>
      <c r="FDG265" s="34"/>
      <c r="FDH265" s="34"/>
      <c r="FDI265" s="34"/>
      <c r="FDJ265" s="34"/>
      <c r="FDK265" s="34"/>
      <c r="FDL265" s="34"/>
      <c r="FDM265" s="34"/>
      <c r="FDN265" s="34"/>
      <c r="FDO265" s="34"/>
      <c r="FDP265" s="34"/>
      <c r="FDQ265" s="34"/>
      <c r="FDR265" s="34"/>
      <c r="FDS265" s="34"/>
      <c r="FDT265" s="34"/>
      <c r="FDU265" s="34"/>
      <c r="FDV265" s="34"/>
      <c r="FDW265" s="34"/>
      <c r="FDX265" s="34"/>
      <c r="FDY265" s="34"/>
      <c r="FDZ265" s="34"/>
      <c r="FEA265" s="34"/>
      <c r="FEB265" s="34"/>
      <c r="FEC265" s="34"/>
      <c r="FED265" s="34"/>
      <c r="FEE265" s="34"/>
      <c r="FEF265" s="34"/>
      <c r="FEG265" s="34"/>
      <c r="FEH265" s="34"/>
      <c r="FEI265" s="34"/>
      <c r="FEJ265" s="34"/>
      <c r="FEK265" s="34"/>
      <c r="FEL265" s="34"/>
      <c r="FEM265" s="34"/>
      <c r="FEN265" s="34"/>
      <c r="FEO265" s="34"/>
      <c r="FEP265" s="34"/>
      <c r="FEQ265" s="34"/>
      <c r="FER265" s="34"/>
      <c r="FES265" s="34"/>
      <c r="FET265" s="34"/>
      <c r="FEU265" s="34"/>
      <c r="FEV265" s="34"/>
      <c r="FEW265" s="34"/>
      <c r="FEX265" s="34"/>
      <c r="FEY265" s="34"/>
      <c r="FEZ265" s="34"/>
      <c r="FFA265" s="34"/>
      <c r="FFB265" s="34"/>
      <c r="FFC265" s="34"/>
      <c r="FFD265" s="34"/>
      <c r="FFE265" s="34"/>
      <c r="FFF265" s="34"/>
      <c r="FFG265" s="34"/>
      <c r="FFH265" s="34"/>
      <c r="FFI265" s="34"/>
      <c r="FFJ265" s="34"/>
      <c r="FFK265" s="34"/>
      <c r="FFL265" s="34"/>
      <c r="FFM265" s="34"/>
      <c r="FFN265" s="34"/>
      <c r="FFO265" s="34"/>
      <c r="FFP265" s="34"/>
      <c r="FFQ265" s="34"/>
      <c r="FFR265" s="34"/>
      <c r="FFS265" s="34"/>
      <c r="FFT265" s="34"/>
      <c r="FFU265" s="34"/>
      <c r="FFV265" s="34"/>
      <c r="FFW265" s="34"/>
      <c r="FFX265" s="34"/>
      <c r="FFY265" s="34"/>
      <c r="FFZ265" s="34"/>
      <c r="FGA265" s="34"/>
      <c r="FGB265" s="34"/>
      <c r="FGC265" s="34"/>
      <c r="FGD265" s="34"/>
      <c r="FGE265" s="34"/>
      <c r="FGF265" s="34"/>
      <c r="FGG265" s="34"/>
      <c r="FGH265" s="34"/>
      <c r="FGI265" s="34"/>
      <c r="FGJ265" s="34"/>
      <c r="FGK265" s="34"/>
      <c r="FGL265" s="34"/>
      <c r="FGM265" s="34"/>
      <c r="FGN265" s="34"/>
      <c r="FGO265" s="34"/>
      <c r="FGP265" s="34"/>
      <c r="FGQ265" s="34"/>
      <c r="FGR265" s="34"/>
      <c r="FGS265" s="34"/>
      <c r="FGT265" s="34"/>
      <c r="FGU265" s="34"/>
      <c r="FGV265" s="34"/>
      <c r="FGW265" s="34"/>
      <c r="FGX265" s="34"/>
      <c r="FGY265" s="34"/>
      <c r="FGZ265" s="34"/>
      <c r="FHA265" s="34"/>
      <c r="FHB265" s="34"/>
      <c r="FHC265" s="34"/>
      <c r="FHD265" s="34"/>
      <c r="FHE265" s="34"/>
      <c r="FHF265" s="34"/>
      <c r="FHG265" s="34"/>
      <c r="FHH265" s="34"/>
      <c r="FHI265" s="34"/>
      <c r="FHJ265" s="34"/>
      <c r="FHK265" s="34"/>
      <c r="FHL265" s="34"/>
      <c r="FHM265" s="34"/>
      <c r="FHN265" s="34"/>
      <c r="FHO265" s="34"/>
      <c r="FHP265" s="34"/>
      <c r="FHQ265" s="34"/>
      <c r="FHR265" s="34"/>
      <c r="FHS265" s="34"/>
      <c r="FHT265" s="34"/>
      <c r="FHU265" s="34"/>
      <c r="FHV265" s="34"/>
      <c r="FHW265" s="34"/>
      <c r="FHX265" s="34"/>
      <c r="FHY265" s="34"/>
      <c r="FHZ265" s="34"/>
      <c r="FIA265" s="34"/>
      <c r="FIB265" s="34"/>
      <c r="FIC265" s="34"/>
      <c r="FID265" s="34"/>
      <c r="FIE265" s="34"/>
      <c r="FIF265" s="34"/>
      <c r="FIG265" s="34"/>
      <c r="FIH265" s="34"/>
      <c r="FII265" s="34"/>
      <c r="FIJ265" s="34"/>
      <c r="FIK265" s="34"/>
      <c r="FIL265" s="34"/>
      <c r="FIM265" s="34"/>
      <c r="FIN265" s="34"/>
      <c r="FIO265" s="34"/>
      <c r="FIP265" s="34"/>
      <c r="FIQ265" s="34"/>
      <c r="FIR265" s="34"/>
      <c r="FIS265" s="34"/>
      <c r="FIT265" s="34"/>
      <c r="FIU265" s="34"/>
      <c r="FIV265" s="34"/>
      <c r="FIW265" s="34"/>
      <c r="FIX265" s="34"/>
      <c r="FIY265" s="34"/>
      <c r="FIZ265" s="34"/>
      <c r="FJA265" s="34"/>
      <c r="FJB265" s="34"/>
      <c r="FJC265" s="34"/>
      <c r="FJD265" s="34"/>
      <c r="FJE265" s="34"/>
      <c r="FJF265" s="34"/>
      <c r="FJG265" s="34"/>
      <c r="FJH265" s="34"/>
      <c r="FJI265" s="34"/>
      <c r="FJJ265" s="34"/>
      <c r="FJK265" s="34"/>
      <c r="FJL265" s="34"/>
      <c r="FJM265" s="34"/>
      <c r="FJN265" s="34"/>
      <c r="FJO265" s="34"/>
      <c r="FJP265" s="34"/>
      <c r="FJQ265" s="34"/>
      <c r="FJR265" s="34"/>
      <c r="FJS265" s="34"/>
      <c r="FJT265" s="34"/>
      <c r="FJU265" s="34"/>
      <c r="FJV265" s="34"/>
      <c r="FJW265" s="34"/>
      <c r="FJX265" s="34"/>
      <c r="FJY265" s="34"/>
      <c r="FJZ265" s="34"/>
      <c r="FKA265" s="34"/>
      <c r="FKB265" s="34"/>
      <c r="FKC265" s="34"/>
      <c r="FKD265" s="34"/>
      <c r="FKE265" s="34"/>
      <c r="FKF265" s="34"/>
      <c r="FKG265" s="34"/>
      <c r="FKH265" s="34"/>
      <c r="FKI265" s="34"/>
      <c r="FKJ265" s="34"/>
      <c r="FKK265" s="34"/>
      <c r="FKL265" s="34"/>
      <c r="FKM265" s="34"/>
      <c r="FKN265" s="34"/>
      <c r="FKO265" s="34"/>
      <c r="FKP265" s="34"/>
      <c r="FKQ265" s="34"/>
      <c r="FKR265" s="34"/>
      <c r="FKS265" s="34"/>
      <c r="FKT265" s="34"/>
      <c r="FKU265" s="34"/>
      <c r="FKV265" s="34"/>
      <c r="FKW265" s="34"/>
      <c r="FKX265" s="34"/>
      <c r="FKY265" s="34"/>
      <c r="FKZ265" s="34"/>
      <c r="FLA265" s="34"/>
      <c r="FLB265" s="34"/>
      <c r="FLC265" s="34"/>
      <c r="FLD265" s="34"/>
      <c r="FLE265" s="34"/>
      <c r="FLF265" s="34"/>
      <c r="FLG265" s="34"/>
      <c r="FLH265" s="34"/>
      <c r="FLI265" s="34"/>
      <c r="FLJ265" s="34"/>
      <c r="FLK265" s="34"/>
      <c r="FLL265" s="34"/>
      <c r="FLM265" s="34"/>
      <c r="FLN265" s="34"/>
      <c r="FLO265" s="34"/>
      <c r="FLP265" s="34"/>
      <c r="FLQ265" s="34"/>
      <c r="FLR265" s="34"/>
      <c r="FLS265" s="34"/>
      <c r="FLT265" s="34"/>
      <c r="FLU265" s="34"/>
      <c r="FLV265" s="34"/>
      <c r="FLW265" s="34"/>
      <c r="FLX265" s="34"/>
      <c r="FLY265" s="34"/>
      <c r="FLZ265" s="34"/>
      <c r="FMA265" s="34"/>
      <c r="FMB265" s="34"/>
      <c r="FMC265" s="34"/>
      <c r="FMD265" s="34"/>
      <c r="FME265" s="34"/>
      <c r="FMF265" s="34"/>
      <c r="FMG265" s="34"/>
      <c r="FMH265" s="34"/>
      <c r="FMI265" s="34"/>
      <c r="FMJ265" s="34"/>
      <c r="FMK265" s="34"/>
      <c r="FML265" s="34"/>
      <c r="FMM265" s="34"/>
      <c r="FMN265" s="34"/>
      <c r="FMO265" s="34"/>
      <c r="FMP265" s="34"/>
      <c r="FMQ265" s="34"/>
      <c r="FMR265" s="34"/>
      <c r="FMS265" s="34"/>
      <c r="FMT265" s="34"/>
      <c r="FMU265" s="34"/>
      <c r="FMV265" s="34"/>
      <c r="FMW265" s="34"/>
      <c r="FMX265" s="34"/>
      <c r="FMY265" s="34"/>
      <c r="FMZ265" s="34"/>
      <c r="FNA265" s="34"/>
      <c r="FNB265" s="34"/>
      <c r="FNC265" s="34"/>
      <c r="FND265" s="34"/>
      <c r="FNE265" s="34"/>
      <c r="FNF265" s="34"/>
      <c r="FNG265" s="34"/>
      <c r="FNH265" s="34"/>
      <c r="FNI265" s="34"/>
      <c r="FNJ265" s="34"/>
      <c r="FNK265" s="34"/>
      <c r="FNL265" s="34"/>
      <c r="FNM265" s="34"/>
      <c r="FNN265" s="34"/>
      <c r="FNO265" s="34"/>
      <c r="FNP265" s="34"/>
      <c r="FNQ265" s="34"/>
      <c r="FNR265" s="34"/>
      <c r="FNS265" s="34"/>
      <c r="FNT265" s="34"/>
      <c r="FNU265" s="34"/>
      <c r="FNV265" s="34"/>
      <c r="FNW265" s="34"/>
      <c r="FNX265" s="34"/>
      <c r="FNY265" s="34"/>
      <c r="FNZ265" s="34"/>
      <c r="FOA265" s="34"/>
      <c r="FOB265" s="34"/>
      <c r="FOC265" s="34"/>
      <c r="FOD265" s="34"/>
      <c r="FOE265" s="34"/>
      <c r="FOF265" s="34"/>
      <c r="FOG265" s="34"/>
      <c r="FOH265" s="34"/>
      <c r="FOI265" s="34"/>
      <c r="FOJ265" s="34"/>
      <c r="FOK265" s="34"/>
      <c r="FOL265" s="34"/>
      <c r="FOM265" s="34"/>
      <c r="FON265" s="34"/>
      <c r="FOO265" s="34"/>
      <c r="FOP265" s="34"/>
      <c r="FOQ265" s="34"/>
      <c r="FOR265" s="34"/>
      <c r="FOS265" s="34"/>
      <c r="FOT265" s="34"/>
      <c r="FOU265" s="34"/>
      <c r="FOV265" s="34"/>
      <c r="FOW265" s="34"/>
      <c r="FOX265" s="34"/>
      <c r="FOY265" s="34"/>
      <c r="FOZ265" s="34"/>
      <c r="FPA265" s="34"/>
      <c r="FPB265" s="34"/>
      <c r="FPC265" s="34"/>
      <c r="FPD265" s="34"/>
      <c r="FPE265" s="34"/>
      <c r="FPF265" s="34"/>
      <c r="FPG265" s="34"/>
      <c r="FPH265" s="34"/>
      <c r="FPI265" s="34"/>
      <c r="FPJ265" s="34"/>
      <c r="FPK265" s="34"/>
      <c r="FPL265" s="34"/>
      <c r="FPM265" s="34"/>
      <c r="FPN265" s="34"/>
      <c r="FPO265" s="34"/>
      <c r="FPP265" s="34"/>
      <c r="FPQ265" s="34"/>
      <c r="FPR265" s="34"/>
      <c r="FPS265" s="34"/>
      <c r="FPT265" s="34"/>
      <c r="FPU265" s="34"/>
      <c r="FPV265" s="34"/>
      <c r="FPW265" s="34"/>
      <c r="FPX265" s="34"/>
      <c r="FPY265" s="34"/>
      <c r="FPZ265" s="34"/>
      <c r="FQA265" s="34"/>
      <c r="FQB265" s="34"/>
      <c r="FQC265" s="34"/>
      <c r="FQD265" s="34"/>
      <c r="FQE265" s="34"/>
      <c r="FQF265" s="34"/>
      <c r="FQG265" s="34"/>
      <c r="FQH265" s="34"/>
      <c r="FQI265" s="34"/>
      <c r="FQJ265" s="34"/>
      <c r="FQK265" s="34"/>
      <c r="FQL265" s="34"/>
      <c r="FQM265" s="34"/>
      <c r="FQN265" s="34"/>
      <c r="FQO265" s="34"/>
      <c r="FQP265" s="34"/>
      <c r="FQQ265" s="34"/>
      <c r="FQR265" s="34"/>
      <c r="FQS265" s="34"/>
      <c r="FQT265" s="34"/>
      <c r="FQU265" s="34"/>
      <c r="FQV265" s="34"/>
      <c r="FQW265" s="34"/>
      <c r="FQX265" s="34"/>
      <c r="FQY265" s="34"/>
      <c r="FQZ265" s="34"/>
      <c r="FRA265" s="34"/>
      <c r="FRB265" s="34"/>
      <c r="FRC265" s="34"/>
      <c r="FRD265" s="34"/>
      <c r="FRE265" s="34"/>
      <c r="FRF265" s="34"/>
      <c r="FRG265" s="34"/>
      <c r="FRH265" s="34"/>
      <c r="FRI265" s="34"/>
      <c r="FRJ265" s="34"/>
      <c r="FRK265" s="34"/>
      <c r="FRL265" s="34"/>
      <c r="FRM265" s="34"/>
      <c r="FRN265" s="34"/>
      <c r="FRO265" s="34"/>
      <c r="FRP265" s="34"/>
      <c r="FRQ265" s="34"/>
      <c r="FRR265" s="34"/>
      <c r="FRS265" s="34"/>
      <c r="FRT265" s="34"/>
      <c r="FRU265" s="34"/>
      <c r="FRV265" s="34"/>
      <c r="FRW265" s="34"/>
      <c r="FRX265" s="34"/>
      <c r="FRY265" s="34"/>
      <c r="FRZ265" s="34"/>
      <c r="FSA265" s="34"/>
      <c r="FSB265" s="34"/>
      <c r="FSC265" s="34"/>
      <c r="FSD265" s="34"/>
      <c r="FSE265" s="34"/>
      <c r="FSF265" s="34"/>
      <c r="FSG265" s="34"/>
      <c r="FSH265" s="34"/>
      <c r="FSI265" s="34"/>
      <c r="FSJ265" s="34"/>
      <c r="FSK265" s="34"/>
      <c r="FSL265" s="34"/>
      <c r="FSM265" s="34"/>
      <c r="FSN265" s="34"/>
      <c r="FSO265" s="34"/>
      <c r="FSP265" s="34"/>
      <c r="FSQ265" s="34"/>
      <c r="FSR265" s="34"/>
      <c r="FSS265" s="34"/>
      <c r="FST265" s="34"/>
      <c r="FSU265" s="34"/>
      <c r="FSV265" s="34"/>
      <c r="FSW265" s="34"/>
      <c r="FSX265" s="34"/>
      <c r="FSY265" s="34"/>
      <c r="FSZ265" s="34"/>
      <c r="FTA265" s="34"/>
      <c r="FTB265" s="34"/>
      <c r="FTC265" s="34"/>
      <c r="FTD265" s="34"/>
      <c r="FTE265" s="34"/>
      <c r="FTF265" s="34"/>
      <c r="FTG265" s="34"/>
      <c r="FTH265" s="34"/>
      <c r="FTI265" s="34"/>
      <c r="FTJ265" s="34"/>
      <c r="FTK265" s="34"/>
      <c r="FTL265" s="34"/>
      <c r="FTM265" s="34"/>
      <c r="FTN265" s="34"/>
      <c r="FTO265" s="34"/>
      <c r="FTP265" s="34"/>
      <c r="FTQ265" s="34"/>
      <c r="FTR265" s="34"/>
      <c r="FTS265" s="34"/>
      <c r="FTT265" s="34"/>
      <c r="FTU265" s="34"/>
      <c r="FTV265" s="34"/>
      <c r="FTW265" s="34"/>
      <c r="FTX265" s="34"/>
      <c r="FTY265" s="34"/>
      <c r="FTZ265" s="34"/>
      <c r="FUA265" s="34"/>
      <c r="FUB265" s="34"/>
      <c r="FUC265" s="34"/>
      <c r="FUD265" s="34"/>
      <c r="FUE265" s="34"/>
      <c r="FUF265" s="34"/>
      <c r="FUG265" s="34"/>
      <c r="FUH265" s="34"/>
      <c r="FUI265" s="34"/>
      <c r="FUJ265" s="34"/>
      <c r="FUK265" s="34"/>
      <c r="FUL265" s="34"/>
      <c r="FUM265" s="34"/>
      <c r="FUN265" s="34"/>
      <c r="FUO265" s="34"/>
      <c r="FUP265" s="34"/>
      <c r="FUQ265" s="34"/>
      <c r="FUR265" s="34"/>
      <c r="FUS265" s="34"/>
      <c r="FUT265" s="34"/>
      <c r="FUU265" s="34"/>
      <c r="FUV265" s="34"/>
      <c r="FUW265" s="34"/>
      <c r="FUX265" s="34"/>
      <c r="FUY265" s="34"/>
      <c r="FUZ265" s="34"/>
      <c r="FVA265" s="34"/>
      <c r="FVB265" s="34"/>
      <c r="FVC265" s="34"/>
      <c r="FVD265" s="34"/>
      <c r="FVE265" s="34"/>
      <c r="FVF265" s="34"/>
      <c r="FVG265" s="34"/>
      <c r="FVH265" s="34"/>
      <c r="FVI265" s="34"/>
      <c r="FVJ265" s="34"/>
      <c r="FVK265" s="34"/>
      <c r="FVL265" s="34"/>
      <c r="FVM265" s="34"/>
      <c r="FVN265" s="34"/>
      <c r="FVO265" s="34"/>
      <c r="FVP265" s="34"/>
      <c r="FVQ265" s="34"/>
      <c r="FVR265" s="34"/>
      <c r="FVS265" s="34"/>
      <c r="FVT265" s="34"/>
      <c r="FVU265" s="34"/>
      <c r="FVV265" s="34"/>
      <c r="FVW265" s="34"/>
      <c r="FVX265" s="34"/>
      <c r="FVY265" s="34"/>
      <c r="FVZ265" s="34"/>
      <c r="FWA265" s="34"/>
      <c r="FWB265" s="34"/>
      <c r="FWC265" s="34"/>
      <c r="FWD265" s="34"/>
      <c r="FWE265" s="34"/>
      <c r="FWF265" s="34"/>
      <c r="FWG265" s="34"/>
      <c r="FWH265" s="34"/>
      <c r="FWI265" s="34"/>
      <c r="FWJ265" s="34"/>
      <c r="FWK265" s="34"/>
      <c r="FWL265" s="34"/>
      <c r="FWM265" s="34"/>
      <c r="FWN265" s="34"/>
      <c r="FWO265" s="34"/>
      <c r="FWP265" s="34"/>
      <c r="FWQ265" s="34"/>
      <c r="FWR265" s="34"/>
      <c r="FWS265" s="34"/>
      <c r="FWT265" s="34"/>
      <c r="FWU265" s="34"/>
      <c r="FWV265" s="34"/>
      <c r="FWW265" s="34"/>
      <c r="FWX265" s="34"/>
      <c r="FWY265" s="34"/>
      <c r="FWZ265" s="34"/>
      <c r="FXA265" s="34"/>
      <c r="FXB265" s="34"/>
      <c r="FXC265" s="34"/>
      <c r="FXD265" s="34"/>
      <c r="FXE265" s="34"/>
      <c r="FXF265" s="34"/>
      <c r="FXG265" s="34"/>
      <c r="FXH265" s="34"/>
      <c r="FXI265" s="34"/>
      <c r="FXJ265" s="34"/>
      <c r="FXK265" s="34"/>
      <c r="FXL265" s="34"/>
      <c r="FXM265" s="34"/>
      <c r="FXN265" s="34"/>
      <c r="FXO265" s="34"/>
      <c r="FXP265" s="34"/>
      <c r="FXQ265" s="34"/>
      <c r="FXR265" s="34"/>
      <c r="FXS265" s="34"/>
      <c r="FXT265" s="34"/>
      <c r="FXU265" s="34"/>
      <c r="FXV265" s="34"/>
      <c r="FXW265" s="34"/>
      <c r="FXX265" s="34"/>
      <c r="FXY265" s="34"/>
      <c r="FXZ265" s="34"/>
      <c r="FYA265" s="34"/>
      <c r="FYB265" s="34"/>
      <c r="FYC265" s="34"/>
      <c r="FYD265" s="34"/>
      <c r="FYE265" s="34"/>
      <c r="FYF265" s="34"/>
      <c r="FYG265" s="34"/>
      <c r="FYH265" s="34"/>
      <c r="FYI265" s="34"/>
      <c r="FYJ265" s="34"/>
      <c r="FYK265" s="34"/>
      <c r="FYL265" s="34"/>
      <c r="FYM265" s="34"/>
      <c r="FYN265" s="34"/>
      <c r="FYO265" s="34"/>
      <c r="FYP265" s="34"/>
      <c r="FYQ265" s="34"/>
      <c r="FYR265" s="34"/>
      <c r="FYS265" s="34"/>
      <c r="FYT265" s="34"/>
      <c r="FYU265" s="34"/>
      <c r="FYV265" s="34"/>
      <c r="FYW265" s="34"/>
      <c r="FYX265" s="34"/>
      <c r="FYY265" s="34"/>
      <c r="FYZ265" s="34"/>
      <c r="FZA265" s="34"/>
      <c r="FZB265" s="34"/>
      <c r="FZC265" s="34"/>
      <c r="FZD265" s="34"/>
      <c r="FZE265" s="34"/>
      <c r="FZF265" s="34"/>
      <c r="FZG265" s="34"/>
      <c r="FZH265" s="34"/>
      <c r="FZI265" s="34"/>
      <c r="FZJ265" s="34"/>
      <c r="FZK265" s="34"/>
      <c r="FZL265" s="34"/>
      <c r="FZM265" s="34"/>
      <c r="FZN265" s="34"/>
      <c r="FZO265" s="34"/>
      <c r="FZP265" s="34"/>
      <c r="FZQ265" s="34"/>
      <c r="FZR265" s="34"/>
      <c r="FZS265" s="34"/>
      <c r="FZT265" s="34"/>
      <c r="FZU265" s="34"/>
      <c r="FZV265" s="34"/>
      <c r="FZW265" s="34"/>
      <c r="FZX265" s="34"/>
      <c r="FZY265" s="34"/>
      <c r="FZZ265" s="34"/>
      <c r="GAA265" s="34"/>
      <c r="GAB265" s="34"/>
      <c r="GAC265" s="34"/>
      <c r="GAD265" s="34"/>
      <c r="GAE265" s="34"/>
      <c r="GAF265" s="34"/>
      <c r="GAG265" s="34"/>
      <c r="GAH265" s="34"/>
      <c r="GAI265" s="34"/>
      <c r="GAJ265" s="34"/>
      <c r="GAK265" s="34"/>
      <c r="GAL265" s="34"/>
      <c r="GAM265" s="34"/>
      <c r="GAN265" s="34"/>
      <c r="GAO265" s="34"/>
      <c r="GAP265" s="34"/>
      <c r="GAQ265" s="34"/>
      <c r="GAR265" s="34"/>
      <c r="GAS265" s="34"/>
      <c r="GAT265" s="34"/>
      <c r="GAU265" s="34"/>
      <c r="GAV265" s="34"/>
      <c r="GAW265" s="34"/>
      <c r="GAX265" s="34"/>
      <c r="GAY265" s="34"/>
      <c r="GAZ265" s="34"/>
      <c r="GBA265" s="34"/>
      <c r="GBB265" s="34"/>
      <c r="GBC265" s="34"/>
      <c r="GBD265" s="34"/>
      <c r="GBE265" s="34"/>
      <c r="GBF265" s="34"/>
      <c r="GBG265" s="34"/>
      <c r="GBH265" s="34"/>
      <c r="GBI265" s="34"/>
      <c r="GBJ265" s="34"/>
      <c r="GBK265" s="34"/>
      <c r="GBL265" s="34"/>
      <c r="GBM265" s="34"/>
      <c r="GBN265" s="34"/>
      <c r="GBO265" s="34"/>
      <c r="GBP265" s="34"/>
      <c r="GBQ265" s="34"/>
      <c r="GBR265" s="34"/>
      <c r="GBS265" s="34"/>
      <c r="GBT265" s="34"/>
      <c r="GBU265" s="34"/>
      <c r="GBV265" s="34"/>
      <c r="GBW265" s="34"/>
      <c r="GBX265" s="34"/>
      <c r="GBY265" s="34"/>
      <c r="GBZ265" s="34"/>
      <c r="GCA265" s="34"/>
      <c r="GCB265" s="34"/>
      <c r="GCC265" s="34"/>
      <c r="GCD265" s="34"/>
      <c r="GCE265" s="34"/>
      <c r="GCF265" s="34"/>
      <c r="GCG265" s="34"/>
      <c r="GCH265" s="34"/>
      <c r="GCI265" s="34"/>
      <c r="GCJ265" s="34"/>
      <c r="GCK265" s="34"/>
      <c r="GCL265" s="34"/>
      <c r="GCM265" s="34"/>
      <c r="GCN265" s="34"/>
      <c r="GCO265" s="34"/>
      <c r="GCP265" s="34"/>
      <c r="GCQ265" s="34"/>
      <c r="GCR265" s="34"/>
      <c r="GCS265" s="34"/>
      <c r="GCT265" s="34"/>
      <c r="GCU265" s="34"/>
      <c r="GCV265" s="34"/>
      <c r="GCW265" s="34"/>
      <c r="GCX265" s="34"/>
      <c r="GCY265" s="34"/>
      <c r="GCZ265" s="34"/>
      <c r="GDA265" s="34"/>
      <c r="GDB265" s="34"/>
      <c r="GDC265" s="34"/>
      <c r="GDD265" s="34"/>
      <c r="GDE265" s="34"/>
      <c r="GDF265" s="34"/>
      <c r="GDG265" s="34"/>
      <c r="GDH265" s="34"/>
      <c r="GDI265" s="34"/>
      <c r="GDJ265" s="34"/>
      <c r="GDK265" s="34"/>
      <c r="GDL265" s="34"/>
      <c r="GDM265" s="34"/>
      <c r="GDN265" s="34"/>
      <c r="GDO265" s="34"/>
      <c r="GDP265" s="34"/>
      <c r="GDQ265" s="34"/>
      <c r="GDR265" s="34"/>
      <c r="GDS265" s="34"/>
      <c r="GDT265" s="34"/>
      <c r="GDU265" s="34"/>
      <c r="GDV265" s="34"/>
      <c r="GDW265" s="34"/>
      <c r="GDX265" s="34"/>
      <c r="GDY265" s="34"/>
      <c r="GDZ265" s="34"/>
      <c r="GEA265" s="34"/>
      <c r="GEB265" s="34"/>
      <c r="GEC265" s="34"/>
      <c r="GED265" s="34"/>
      <c r="GEE265" s="34"/>
      <c r="GEF265" s="34"/>
      <c r="GEG265" s="34"/>
      <c r="GEH265" s="34"/>
      <c r="GEI265" s="34"/>
      <c r="GEJ265" s="34"/>
      <c r="GEK265" s="34"/>
      <c r="GEL265" s="34"/>
      <c r="GEM265" s="34"/>
      <c r="GEN265" s="34"/>
      <c r="GEO265" s="34"/>
      <c r="GEP265" s="34"/>
      <c r="GEQ265" s="34"/>
      <c r="GER265" s="34"/>
      <c r="GES265" s="34"/>
      <c r="GET265" s="34"/>
      <c r="GEU265" s="34"/>
      <c r="GEV265" s="34"/>
      <c r="GEW265" s="34"/>
      <c r="GEX265" s="34"/>
      <c r="GEY265" s="34"/>
      <c r="GEZ265" s="34"/>
      <c r="GFA265" s="34"/>
      <c r="GFB265" s="34"/>
      <c r="GFC265" s="34"/>
      <c r="GFD265" s="34"/>
      <c r="GFE265" s="34"/>
      <c r="GFF265" s="34"/>
      <c r="GFG265" s="34"/>
      <c r="GFH265" s="34"/>
      <c r="GFI265" s="34"/>
      <c r="GFJ265" s="34"/>
      <c r="GFK265" s="34"/>
      <c r="GFL265" s="34"/>
      <c r="GFM265" s="34"/>
      <c r="GFN265" s="34"/>
      <c r="GFO265" s="34"/>
      <c r="GFP265" s="34"/>
      <c r="GFQ265" s="34"/>
      <c r="GFR265" s="34"/>
      <c r="GFS265" s="34"/>
      <c r="GFT265" s="34"/>
      <c r="GFU265" s="34"/>
      <c r="GFV265" s="34"/>
      <c r="GFW265" s="34"/>
      <c r="GFX265" s="34"/>
      <c r="GFY265" s="34"/>
      <c r="GFZ265" s="34"/>
      <c r="GGA265" s="34"/>
      <c r="GGB265" s="34"/>
      <c r="GGC265" s="34"/>
      <c r="GGD265" s="34"/>
      <c r="GGE265" s="34"/>
      <c r="GGF265" s="34"/>
      <c r="GGG265" s="34"/>
      <c r="GGH265" s="34"/>
      <c r="GGI265" s="34"/>
      <c r="GGJ265" s="34"/>
      <c r="GGK265" s="34"/>
      <c r="GGL265" s="34"/>
      <c r="GGM265" s="34"/>
      <c r="GGN265" s="34"/>
      <c r="GGO265" s="34"/>
      <c r="GGP265" s="34"/>
      <c r="GGQ265" s="34"/>
      <c r="GGR265" s="34"/>
      <c r="GGS265" s="34"/>
      <c r="GGT265" s="34"/>
      <c r="GGU265" s="34"/>
      <c r="GGV265" s="34"/>
      <c r="GGW265" s="34"/>
      <c r="GGX265" s="34"/>
      <c r="GGY265" s="34"/>
      <c r="GGZ265" s="34"/>
      <c r="GHA265" s="34"/>
      <c r="GHB265" s="34"/>
      <c r="GHC265" s="34"/>
      <c r="GHD265" s="34"/>
      <c r="GHE265" s="34"/>
      <c r="GHF265" s="34"/>
      <c r="GHG265" s="34"/>
      <c r="GHH265" s="34"/>
      <c r="GHI265" s="34"/>
      <c r="GHJ265" s="34"/>
      <c r="GHK265" s="34"/>
      <c r="GHL265" s="34"/>
      <c r="GHM265" s="34"/>
      <c r="GHN265" s="34"/>
      <c r="GHO265" s="34"/>
      <c r="GHP265" s="34"/>
      <c r="GHQ265" s="34"/>
      <c r="GHR265" s="34"/>
      <c r="GHS265" s="34"/>
      <c r="GHT265" s="34"/>
      <c r="GHU265" s="34"/>
      <c r="GHV265" s="34"/>
      <c r="GHW265" s="34"/>
      <c r="GHX265" s="34"/>
      <c r="GHY265" s="34"/>
      <c r="GHZ265" s="34"/>
      <c r="GIA265" s="34"/>
      <c r="GIB265" s="34"/>
      <c r="GIC265" s="34"/>
      <c r="GID265" s="34"/>
      <c r="GIE265" s="34"/>
      <c r="GIF265" s="34"/>
      <c r="GIG265" s="34"/>
      <c r="GIH265" s="34"/>
      <c r="GII265" s="34"/>
      <c r="GIJ265" s="34"/>
      <c r="GIK265" s="34"/>
      <c r="GIL265" s="34"/>
      <c r="GIM265" s="34"/>
      <c r="GIN265" s="34"/>
      <c r="GIO265" s="34"/>
      <c r="GIP265" s="34"/>
      <c r="GIQ265" s="34"/>
      <c r="GIR265" s="34"/>
      <c r="GIS265" s="34"/>
      <c r="GIT265" s="34"/>
      <c r="GIU265" s="34"/>
      <c r="GIV265" s="34"/>
      <c r="GIW265" s="34"/>
      <c r="GIX265" s="34"/>
      <c r="GIY265" s="34"/>
      <c r="GIZ265" s="34"/>
      <c r="GJA265" s="34"/>
      <c r="GJB265" s="34"/>
      <c r="GJC265" s="34"/>
      <c r="GJD265" s="34"/>
      <c r="GJE265" s="34"/>
      <c r="GJF265" s="34"/>
      <c r="GJG265" s="34"/>
      <c r="GJH265" s="34"/>
      <c r="GJI265" s="34"/>
      <c r="GJJ265" s="34"/>
      <c r="GJK265" s="34"/>
      <c r="GJL265" s="34"/>
      <c r="GJM265" s="34"/>
      <c r="GJN265" s="34"/>
      <c r="GJO265" s="34"/>
      <c r="GJP265" s="34"/>
      <c r="GJQ265" s="34"/>
      <c r="GJR265" s="34"/>
      <c r="GJS265" s="34"/>
      <c r="GJT265" s="34"/>
      <c r="GJU265" s="34"/>
      <c r="GJV265" s="34"/>
      <c r="GJW265" s="34"/>
      <c r="GJX265" s="34"/>
      <c r="GJY265" s="34"/>
      <c r="GJZ265" s="34"/>
      <c r="GKA265" s="34"/>
      <c r="GKB265" s="34"/>
      <c r="GKC265" s="34"/>
      <c r="GKD265" s="34"/>
      <c r="GKE265" s="34"/>
      <c r="GKF265" s="34"/>
      <c r="GKG265" s="34"/>
      <c r="GKH265" s="34"/>
      <c r="GKI265" s="34"/>
      <c r="GKJ265" s="34"/>
      <c r="GKK265" s="34"/>
      <c r="GKL265" s="34"/>
      <c r="GKM265" s="34"/>
      <c r="GKN265" s="34"/>
      <c r="GKO265" s="34"/>
      <c r="GKP265" s="34"/>
      <c r="GKQ265" s="34"/>
      <c r="GKR265" s="34"/>
      <c r="GKS265" s="34"/>
      <c r="GKT265" s="34"/>
      <c r="GKU265" s="34"/>
      <c r="GKV265" s="34"/>
      <c r="GKW265" s="34"/>
      <c r="GKX265" s="34"/>
      <c r="GKY265" s="34"/>
      <c r="GKZ265" s="34"/>
      <c r="GLA265" s="34"/>
      <c r="GLB265" s="34"/>
      <c r="GLC265" s="34"/>
      <c r="GLD265" s="34"/>
      <c r="GLE265" s="34"/>
      <c r="GLF265" s="34"/>
      <c r="GLG265" s="34"/>
      <c r="GLH265" s="34"/>
      <c r="GLI265" s="34"/>
      <c r="GLJ265" s="34"/>
      <c r="GLK265" s="34"/>
      <c r="GLL265" s="34"/>
      <c r="GLM265" s="34"/>
      <c r="GLN265" s="34"/>
      <c r="GLO265" s="34"/>
      <c r="GLP265" s="34"/>
      <c r="GLQ265" s="34"/>
      <c r="GLR265" s="34"/>
      <c r="GLS265" s="34"/>
      <c r="GLT265" s="34"/>
      <c r="GLU265" s="34"/>
      <c r="GLV265" s="34"/>
      <c r="GLW265" s="34"/>
      <c r="GLX265" s="34"/>
      <c r="GLY265" s="34"/>
      <c r="GLZ265" s="34"/>
      <c r="GMA265" s="34"/>
      <c r="GMB265" s="34"/>
      <c r="GMC265" s="34"/>
      <c r="GMD265" s="34"/>
      <c r="GME265" s="34"/>
      <c r="GMF265" s="34"/>
      <c r="GMG265" s="34"/>
      <c r="GMH265" s="34"/>
      <c r="GMI265" s="34"/>
      <c r="GMJ265" s="34"/>
      <c r="GMK265" s="34"/>
      <c r="GML265" s="34"/>
      <c r="GMM265" s="34"/>
      <c r="GMN265" s="34"/>
      <c r="GMO265" s="34"/>
      <c r="GMP265" s="34"/>
      <c r="GMQ265" s="34"/>
      <c r="GMR265" s="34"/>
      <c r="GMS265" s="34"/>
      <c r="GMT265" s="34"/>
      <c r="GMU265" s="34"/>
      <c r="GMV265" s="34"/>
      <c r="GMW265" s="34"/>
      <c r="GMX265" s="34"/>
      <c r="GMY265" s="34"/>
      <c r="GMZ265" s="34"/>
      <c r="GNA265" s="34"/>
      <c r="GNB265" s="34"/>
      <c r="GNC265" s="34"/>
      <c r="GND265" s="34"/>
      <c r="GNE265" s="34"/>
      <c r="GNF265" s="34"/>
      <c r="GNG265" s="34"/>
      <c r="GNH265" s="34"/>
      <c r="GNI265" s="34"/>
      <c r="GNJ265" s="34"/>
      <c r="GNK265" s="34"/>
      <c r="GNL265" s="34"/>
      <c r="GNM265" s="34"/>
      <c r="GNN265" s="34"/>
      <c r="GNO265" s="34"/>
      <c r="GNP265" s="34"/>
      <c r="GNQ265" s="34"/>
      <c r="GNR265" s="34"/>
      <c r="GNS265" s="34"/>
      <c r="GNT265" s="34"/>
      <c r="GNU265" s="34"/>
      <c r="GNV265" s="34"/>
      <c r="GNW265" s="34"/>
      <c r="GNX265" s="34"/>
      <c r="GNY265" s="34"/>
      <c r="GNZ265" s="34"/>
      <c r="GOA265" s="34"/>
      <c r="GOB265" s="34"/>
      <c r="GOC265" s="34"/>
      <c r="GOD265" s="34"/>
      <c r="GOE265" s="34"/>
      <c r="GOF265" s="34"/>
      <c r="GOG265" s="34"/>
      <c r="GOH265" s="34"/>
      <c r="GOI265" s="34"/>
      <c r="GOJ265" s="34"/>
      <c r="GOK265" s="34"/>
      <c r="GOL265" s="34"/>
      <c r="GOM265" s="34"/>
      <c r="GON265" s="34"/>
      <c r="GOO265" s="34"/>
      <c r="GOP265" s="34"/>
      <c r="GOQ265" s="34"/>
      <c r="GOR265" s="34"/>
      <c r="GOS265" s="34"/>
      <c r="GOT265" s="34"/>
      <c r="GOU265" s="34"/>
      <c r="GOV265" s="34"/>
      <c r="GOW265" s="34"/>
      <c r="GOX265" s="34"/>
      <c r="GOY265" s="34"/>
      <c r="GOZ265" s="34"/>
      <c r="GPA265" s="34"/>
      <c r="GPB265" s="34"/>
      <c r="GPC265" s="34"/>
      <c r="GPD265" s="34"/>
      <c r="GPE265" s="34"/>
      <c r="GPF265" s="34"/>
      <c r="GPG265" s="34"/>
      <c r="GPH265" s="34"/>
      <c r="GPI265" s="34"/>
      <c r="GPJ265" s="34"/>
      <c r="GPK265" s="34"/>
      <c r="GPL265" s="34"/>
      <c r="GPM265" s="34"/>
      <c r="GPN265" s="34"/>
      <c r="GPO265" s="34"/>
      <c r="GPP265" s="34"/>
      <c r="GPQ265" s="34"/>
      <c r="GPR265" s="34"/>
      <c r="GPS265" s="34"/>
      <c r="GPT265" s="34"/>
      <c r="GPU265" s="34"/>
      <c r="GPV265" s="34"/>
      <c r="GPW265" s="34"/>
      <c r="GPX265" s="34"/>
      <c r="GPY265" s="34"/>
      <c r="GPZ265" s="34"/>
      <c r="GQA265" s="34"/>
      <c r="GQB265" s="34"/>
      <c r="GQC265" s="34"/>
      <c r="GQD265" s="34"/>
      <c r="GQE265" s="34"/>
      <c r="GQF265" s="34"/>
      <c r="GQG265" s="34"/>
      <c r="GQH265" s="34"/>
      <c r="GQI265" s="34"/>
      <c r="GQJ265" s="34"/>
      <c r="GQK265" s="34"/>
      <c r="GQL265" s="34"/>
      <c r="GQM265" s="34"/>
      <c r="GQN265" s="34"/>
      <c r="GQO265" s="34"/>
      <c r="GQP265" s="34"/>
      <c r="GQQ265" s="34"/>
      <c r="GQR265" s="34"/>
      <c r="GQS265" s="34"/>
      <c r="GQT265" s="34"/>
      <c r="GQU265" s="34"/>
      <c r="GQV265" s="34"/>
      <c r="GQW265" s="34"/>
      <c r="GQX265" s="34"/>
      <c r="GQY265" s="34"/>
      <c r="GQZ265" s="34"/>
      <c r="GRA265" s="34"/>
      <c r="GRB265" s="34"/>
      <c r="GRC265" s="34"/>
      <c r="GRD265" s="34"/>
      <c r="GRE265" s="34"/>
      <c r="GRF265" s="34"/>
      <c r="GRG265" s="34"/>
      <c r="GRH265" s="34"/>
      <c r="GRI265" s="34"/>
      <c r="GRJ265" s="34"/>
      <c r="GRK265" s="34"/>
      <c r="GRL265" s="34"/>
      <c r="GRM265" s="34"/>
      <c r="GRN265" s="34"/>
      <c r="GRO265" s="34"/>
      <c r="GRP265" s="34"/>
      <c r="GRQ265" s="34"/>
      <c r="GRR265" s="34"/>
      <c r="GRS265" s="34"/>
      <c r="GRT265" s="34"/>
      <c r="GRU265" s="34"/>
      <c r="GRV265" s="34"/>
      <c r="GRW265" s="34"/>
      <c r="GRX265" s="34"/>
      <c r="GRY265" s="34"/>
      <c r="GRZ265" s="34"/>
      <c r="GSA265" s="34"/>
      <c r="GSB265" s="34"/>
      <c r="GSC265" s="34"/>
      <c r="GSD265" s="34"/>
      <c r="GSE265" s="34"/>
      <c r="GSF265" s="34"/>
      <c r="GSG265" s="34"/>
      <c r="GSH265" s="34"/>
      <c r="GSI265" s="34"/>
      <c r="GSJ265" s="34"/>
      <c r="GSK265" s="34"/>
      <c r="GSL265" s="34"/>
      <c r="GSM265" s="34"/>
      <c r="GSN265" s="34"/>
      <c r="GSO265" s="34"/>
      <c r="GSP265" s="34"/>
      <c r="GSQ265" s="34"/>
      <c r="GSR265" s="34"/>
      <c r="GSS265" s="34"/>
      <c r="GST265" s="34"/>
      <c r="GSU265" s="34"/>
      <c r="GSV265" s="34"/>
      <c r="GSW265" s="34"/>
      <c r="GSX265" s="34"/>
      <c r="GSY265" s="34"/>
      <c r="GSZ265" s="34"/>
      <c r="GTA265" s="34"/>
      <c r="GTB265" s="34"/>
      <c r="GTC265" s="34"/>
      <c r="GTD265" s="34"/>
      <c r="GTE265" s="34"/>
      <c r="GTF265" s="34"/>
      <c r="GTG265" s="34"/>
      <c r="GTH265" s="34"/>
      <c r="GTI265" s="34"/>
      <c r="GTJ265" s="34"/>
      <c r="GTK265" s="34"/>
      <c r="GTL265" s="34"/>
      <c r="GTM265" s="34"/>
      <c r="GTN265" s="34"/>
      <c r="GTO265" s="34"/>
      <c r="GTP265" s="34"/>
      <c r="GTQ265" s="34"/>
      <c r="GTR265" s="34"/>
      <c r="GTS265" s="34"/>
      <c r="GTT265" s="34"/>
      <c r="GTU265" s="34"/>
      <c r="GTV265" s="34"/>
      <c r="GTW265" s="34"/>
      <c r="GTX265" s="34"/>
      <c r="GTY265" s="34"/>
      <c r="GTZ265" s="34"/>
      <c r="GUA265" s="34"/>
      <c r="GUB265" s="34"/>
      <c r="GUC265" s="34"/>
      <c r="GUD265" s="34"/>
      <c r="GUE265" s="34"/>
      <c r="GUF265" s="34"/>
      <c r="GUG265" s="34"/>
      <c r="GUH265" s="34"/>
      <c r="GUI265" s="34"/>
      <c r="GUJ265" s="34"/>
      <c r="GUK265" s="34"/>
      <c r="GUL265" s="34"/>
      <c r="GUM265" s="34"/>
      <c r="GUN265" s="34"/>
      <c r="GUO265" s="34"/>
      <c r="GUP265" s="34"/>
      <c r="GUQ265" s="34"/>
      <c r="GUR265" s="34"/>
      <c r="GUS265" s="34"/>
      <c r="GUT265" s="34"/>
      <c r="GUU265" s="34"/>
      <c r="GUV265" s="34"/>
      <c r="GUW265" s="34"/>
      <c r="GUX265" s="34"/>
      <c r="GUY265" s="34"/>
      <c r="GUZ265" s="34"/>
      <c r="GVA265" s="34"/>
      <c r="GVB265" s="34"/>
      <c r="GVC265" s="34"/>
      <c r="GVD265" s="34"/>
      <c r="GVE265" s="34"/>
      <c r="GVF265" s="34"/>
      <c r="GVG265" s="34"/>
      <c r="GVH265" s="34"/>
      <c r="GVI265" s="34"/>
      <c r="GVJ265" s="34"/>
      <c r="GVK265" s="34"/>
      <c r="GVL265" s="34"/>
      <c r="GVM265" s="34"/>
      <c r="GVN265" s="34"/>
      <c r="GVO265" s="34"/>
      <c r="GVP265" s="34"/>
      <c r="GVQ265" s="34"/>
      <c r="GVR265" s="34"/>
      <c r="GVS265" s="34"/>
      <c r="GVT265" s="34"/>
      <c r="GVU265" s="34"/>
      <c r="GVV265" s="34"/>
      <c r="GVW265" s="34"/>
      <c r="GVX265" s="34"/>
      <c r="GVY265" s="34"/>
      <c r="GVZ265" s="34"/>
      <c r="GWA265" s="34"/>
      <c r="GWB265" s="34"/>
      <c r="GWC265" s="34"/>
      <c r="GWD265" s="34"/>
      <c r="GWE265" s="34"/>
      <c r="GWF265" s="34"/>
      <c r="GWG265" s="34"/>
      <c r="GWH265" s="34"/>
      <c r="GWI265" s="34"/>
      <c r="GWJ265" s="34"/>
      <c r="GWK265" s="34"/>
      <c r="GWL265" s="34"/>
      <c r="GWM265" s="34"/>
      <c r="GWN265" s="34"/>
      <c r="GWO265" s="34"/>
      <c r="GWP265" s="34"/>
      <c r="GWQ265" s="34"/>
      <c r="GWR265" s="34"/>
      <c r="GWS265" s="34"/>
      <c r="GWT265" s="34"/>
      <c r="GWU265" s="34"/>
      <c r="GWV265" s="34"/>
      <c r="GWW265" s="34"/>
      <c r="GWX265" s="34"/>
      <c r="GWY265" s="34"/>
      <c r="GWZ265" s="34"/>
      <c r="GXA265" s="34"/>
      <c r="GXB265" s="34"/>
      <c r="GXC265" s="34"/>
      <c r="GXD265" s="34"/>
      <c r="GXE265" s="34"/>
      <c r="GXF265" s="34"/>
      <c r="GXG265" s="34"/>
      <c r="GXH265" s="34"/>
      <c r="GXI265" s="34"/>
      <c r="GXJ265" s="34"/>
      <c r="GXK265" s="34"/>
      <c r="GXL265" s="34"/>
      <c r="GXM265" s="34"/>
      <c r="GXN265" s="34"/>
      <c r="GXO265" s="34"/>
      <c r="GXP265" s="34"/>
      <c r="GXQ265" s="34"/>
      <c r="GXR265" s="34"/>
      <c r="GXS265" s="34"/>
      <c r="GXT265" s="34"/>
      <c r="GXU265" s="34"/>
      <c r="GXV265" s="34"/>
      <c r="GXW265" s="34"/>
      <c r="GXX265" s="34"/>
      <c r="GXY265" s="34"/>
      <c r="GXZ265" s="34"/>
      <c r="GYA265" s="34"/>
      <c r="GYB265" s="34"/>
      <c r="GYC265" s="34"/>
      <c r="GYD265" s="34"/>
      <c r="GYE265" s="34"/>
      <c r="GYF265" s="34"/>
      <c r="GYG265" s="34"/>
      <c r="GYH265" s="34"/>
      <c r="GYI265" s="34"/>
      <c r="GYJ265" s="34"/>
      <c r="GYK265" s="34"/>
      <c r="GYL265" s="34"/>
      <c r="GYM265" s="34"/>
      <c r="GYN265" s="34"/>
      <c r="GYO265" s="34"/>
      <c r="GYP265" s="34"/>
      <c r="GYQ265" s="34"/>
      <c r="GYR265" s="34"/>
      <c r="GYS265" s="34"/>
      <c r="GYT265" s="34"/>
      <c r="GYU265" s="34"/>
      <c r="GYV265" s="34"/>
      <c r="GYW265" s="34"/>
      <c r="GYX265" s="34"/>
      <c r="GYY265" s="34"/>
      <c r="GYZ265" s="34"/>
      <c r="GZA265" s="34"/>
      <c r="GZB265" s="34"/>
      <c r="GZC265" s="34"/>
      <c r="GZD265" s="34"/>
      <c r="GZE265" s="34"/>
      <c r="GZF265" s="34"/>
      <c r="GZG265" s="34"/>
      <c r="GZH265" s="34"/>
      <c r="GZI265" s="34"/>
      <c r="GZJ265" s="34"/>
      <c r="GZK265" s="34"/>
      <c r="GZL265" s="34"/>
      <c r="GZM265" s="34"/>
      <c r="GZN265" s="34"/>
      <c r="GZO265" s="34"/>
      <c r="GZP265" s="34"/>
      <c r="GZQ265" s="34"/>
      <c r="GZR265" s="34"/>
      <c r="GZS265" s="34"/>
      <c r="GZT265" s="34"/>
      <c r="GZU265" s="34"/>
      <c r="GZV265" s="34"/>
      <c r="GZW265" s="34"/>
      <c r="GZX265" s="34"/>
      <c r="GZY265" s="34"/>
      <c r="GZZ265" s="34"/>
      <c r="HAA265" s="34"/>
      <c r="HAB265" s="34"/>
      <c r="HAC265" s="34"/>
      <c r="HAD265" s="34"/>
      <c r="HAE265" s="34"/>
      <c r="HAF265" s="34"/>
      <c r="HAG265" s="34"/>
      <c r="HAH265" s="34"/>
      <c r="HAI265" s="34"/>
      <c r="HAJ265" s="34"/>
      <c r="HAK265" s="34"/>
      <c r="HAL265" s="34"/>
      <c r="HAM265" s="34"/>
      <c r="HAN265" s="34"/>
      <c r="HAO265" s="34"/>
      <c r="HAP265" s="34"/>
      <c r="HAQ265" s="34"/>
      <c r="HAR265" s="34"/>
      <c r="HAS265" s="34"/>
      <c r="HAT265" s="34"/>
      <c r="HAU265" s="34"/>
      <c r="HAV265" s="34"/>
      <c r="HAW265" s="34"/>
      <c r="HAX265" s="34"/>
      <c r="HAY265" s="34"/>
      <c r="HAZ265" s="34"/>
      <c r="HBA265" s="34"/>
      <c r="HBB265" s="34"/>
      <c r="HBC265" s="34"/>
      <c r="HBD265" s="34"/>
      <c r="HBE265" s="34"/>
      <c r="HBF265" s="34"/>
      <c r="HBG265" s="34"/>
      <c r="HBH265" s="34"/>
      <c r="HBI265" s="34"/>
      <c r="HBJ265" s="34"/>
      <c r="HBK265" s="34"/>
      <c r="HBL265" s="34"/>
      <c r="HBM265" s="34"/>
      <c r="HBN265" s="34"/>
      <c r="HBO265" s="34"/>
      <c r="HBP265" s="34"/>
      <c r="HBQ265" s="34"/>
      <c r="HBR265" s="34"/>
      <c r="HBS265" s="34"/>
      <c r="HBT265" s="34"/>
      <c r="HBU265" s="34"/>
      <c r="HBV265" s="34"/>
      <c r="HBW265" s="34"/>
      <c r="HBX265" s="34"/>
      <c r="HBY265" s="34"/>
      <c r="HBZ265" s="34"/>
      <c r="HCA265" s="34"/>
      <c r="HCB265" s="34"/>
      <c r="HCC265" s="34"/>
      <c r="HCD265" s="34"/>
      <c r="HCE265" s="34"/>
      <c r="HCF265" s="34"/>
      <c r="HCG265" s="34"/>
      <c r="HCH265" s="34"/>
      <c r="HCI265" s="34"/>
      <c r="HCJ265" s="34"/>
      <c r="HCK265" s="34"/>
      <c r="HCL265" s="34"/>
      <c r="HCM265" s="34"/>
      <c r="HCN265" s="34"/>
      <c r="HCO265" s="34"/>
      <c r="HCP265" s="34"/>
      <c r="HCQ265" s="34"/>
      <c r="HCR265" s="34"/>
      <c r="HCS265" s="34"/>
      <c r="HCT265" s="34"/>
      <c r="HCU265" s="34"/>
      <c r="HCV265" s="34"/>
      <c r="HCW265" s="34"/>
      <c r="HCX265" s="34"/>
      <c r="HCY265" s="34"/>
      <c r="HCZ265" s="34"/>
      <c r="HDA265" s="34"/>
      <c r="HDB265" s="34"/>
      <c r="HDC265" s="34"/>
      <c r="HDD265" s="34"/>
      <c r="HDE265" s="34"/>
      <c r="HDF265" s="34"/>
      <c r="HDG265" s="34"/>
      <c r="HDH265" s="34"/>
      <c r="HDI265" s="34"/>
      <c r="HDJ265" s="34"/>
      <c r="HDK265" s="34"/>
      <c r="HDL265" s="34"/>
      <c r="HDM265" s="34"/>
      <c r="HDN265" s="34"/>
      <c r="HDO265" s="34"/>
      <c r="HDP265" s="34"/>
      <c r="HDQ265" s="34"/>
      <c r="HDR265" s="34"/>
      <c r="HDS265" s="34"/>
      <c r="HDT265" s="34"/>
      <c r="HDU265" s="34"/>
      <c r="HDV265" s="34"/>
      <c r="HDW265" s="34"/>
      <c r="HDX265" s="34"/>
      <c r="HDY265" s="34"/>
      <c r="HDZ265" s="34"/>
      <c r="HEA265" s="34"/>
      <c r="HEB265" s="34"/>
      <c r="HEC265" s="34"/>
      <c r="HED265" s="34"/>
      <c r="HEE265" s="34"/>
      <c r="HEF265" s="34"/>
      <c r="HEG265" s="34"/>
      <c r="HEH265" s="34"/>
      <c r="HEI265" s="34"/>
      <c r="HEJ265" s="34"/>
      <c r="HEK265" s="34"/>
      <c r="HEL265" s="34"/>
      <c r="HEM265" s="34"/>
      <c r="HEN265" s="34"/>
      <c r="HEO265" s="34"/>
      <c r="HEP265" s="34"/>
      <c r="HEQ265" s="34"/>
      <c r="HER265" s="34"/>
      <c r="HES265" s="34"/>
      <c r="HET265" s="34"/>
      <c r="HEU265" s="34"/>
      <c r="HEV265" s="34"/>
      <c r="HEW265" s="34"/>
      <c r="HEX265" s="34"/>
      <c r="HEY265" s="34"/>
      <c r="HEZ265" s="34"/>
      <c r="HFA265" s="34"/>
      <c r="HFB265" s="34"/>
      <c r="HFC265" s="34"/>
      <c r="HFD265" s="34"/>
      <c r="HFE265" s="34"/>
      <c r="HFF265" s="34"/>
      <c r="HFG265" s="34"/>
      <c r="HFH265" s="34"/>
      <c r="HFI265" s="34"/>
      <c r="HFJ265" s="34"/>
      <c r="HFK265" s="34"/>
      <c r="HFL265" s="34"/>
      <c r="HFM265" s="34"/>
      <c r="HFN265" s="34"/>
      <c r="HFO265" s="34"/>
      <c r="HFP265" s="34"/>
      <c r="HFQ265" s="34"/>
      <c r="HFR265" s="34"/>
      <c r="HFS265" s="34"/>
      <c r="HFT265" s="34"/>
      <c r="HFU265" s="34"/>
      <c r="HFV265" s="34"/>
      <c r="HFW265" s="34"/>
      <c r="HFX265" s="34"/>
      <c r="HFY265" s="34"/>
      <c r="HFZ265" s="34"/>
      <c r="HGA265" s="34"/>
      <c r="HGB265" s="34"/>
      <c r="HGC265" s="34"/>
      <c r="HGD265" s="34"/>
      <c r="HGE265" s="34"/>
      <c r="HGF265" s="34"/>
      <c r="HGG265" s="34"/>
      <c r="HGH265" s="34"/>
      <c r="HGI265" s="34"/>
      <c r="HGJ265" s="34"/>
      <c r="HGK265" s="34"/>
      <c r="HGL265" s="34"/>
      <c r="HGM265" s="34"/>
      <c r="HGN265" s="34"/>
      <c r="HGO265" s="34"/>
      <c r="HGP265" s="34"/>
      <c r="HGQ265" s="34"/>
      <c r="HGR265" s="34"/>
      <c r="HGS265" s="34"/>
      <c r="HGT265" s="34"/>
      <c r="HGU265" s="34"/>
      <c r="HGV265" s="34"/>
      <c r="HGW265" s="34"/>
      <c r="HGX265" s="34"/>
      <c r="HGY265" s="34"/>
      <c r="HGZ265" s="34"/>
      <c r="HHA265" s="34"/>
      <c r="HHB265" s="34"/>
      <c r="HHC265" s="34"/>
      <c r="HHD265" s="34"/>
      <c r="HHE265" s="34"/>
      <c r="HHF265" s="34"/>
      <c r="HHG265" s="34"/>
      <c r="HHH265" s="34"/>
      <c r="HHI265" s="34"/>
      <c r="HHJ265" s="34"/>
      <c r="HHK265" s="34"/>
      <c r="HHL265" s="34"/>
      <c r="HHM265" s="34"/>
      <c r="HHN265" s="34"/>
      <c r="HHO265" s="34"/>
      <c r="HHP265" s="34"/>
      <c r="HHQ265" s="34"/>
      <c r="HHR265" s="34"/>
      <c r="HHS265" s="34"/>
      <c r="HHT265" s="34"/>
      <c r="HHU265" s="34"/>
      <c r="HHV265" s="34"/>
      <c r="HHW265" s="34"/>
      <c r="HHX265" s="34"/>
      <c r="HHY265" s="34"/>
      <c r="HHZ265" s="34"/>
      <c r="HIA265" s="34"/>
      <c r="HIB265" s="34"/>
      <c r="HIC265" s="34"/>
      <c r="HID265" s="34"/>
      <c r="HIE265" s="34"/>
      <c r="HIF265" s="34"/>
      <c r="HIG265" s="34"/>
      <c r="HIH265" s="34"/>
      <c r="HII265" s="34"/>
      <c r="HIJ265" s="34"/>
      <c r="HIK265" s="34"/>
      <c r="HIL265" s="34"/>
      <c r="HIM265" s="34"/>
      <c r="HIN265" s="34"/>
      <c r="HIO265" s="34"/>
      <c r="HIP265" s="34"/>
      <c r="HIQ265" s="34"/>
      <c r="HIR265" s="34"/>
      <c r="HIS265" s="34"/>
      <c r="HIT265" s="34"/>
      <c r="HIU265" s="34"/>
      <c r="HIV265" s="34"/>
      <c r="HIW265" s="34"/>
      <c r="HIX265" s="34"/>
      <c r="HIY265" s="34"/>
      <c r="HIZ265" s="34"/>
      <c r="HJA265" s="34"/>
      <c r="HJB265" s="34"/>
      <c r="HJC265" s="34"/>
      <c r="HJD265" s="34"/>
      <c r="HJE265" s="34"/>
      <c r="HJF265" s="34"/>
      <c r="HJG265" s="34"/>
      <c r="HJH265" s="34"/>
      <c r="HJI265" s="34"/>
      <c r="HJJ265" s="34"/>
      <c r="HJK265" s="34"/>
      <c r="HJL265" s="34"/>
      <c r="HJM265" s="34"/>
      <c r="HJN265" s="34"/>
      <c r="HJO265" s="34"/>
      <c r="HJP265" s="34"/>
      <c r="HJQ265" s="34"/>
      <c r="HJR265" s="34"/>
      <c r="HJS265" s="34"/>
      <c r="HJT265" s="34"/>
      <c r="HJU265" s="34"/>
      <c r="HJV265" s="34"/>
      <c r="HJW265" s="34"/>
      <c r="HJX265" s="34"/>
      <c r="HJY265" s="34"/>
      <c r="HJZ265" s="34"/>
      <c r="HKA265" s="34"/>
      <c r="HKB265" s="34"/>
      <c r="HKC265" s="34"/>
      <c r="HKD265" s="34"/>
      <c r="HKE265" s="34"/>
      <c r="HKF265" s="34"/>
      <c r="HKG265" s="34"/>
      <c r="HKH265" s="34"/>
      <c r="HKI265" s="34"/>
      <c r="HKJ265" s="34"/>
      <c r="HKK265" s="34"/>
      <c r="HKL265" s="34"/>
      <c r="HKM265" s="34"/>
      <c r="HKN265" s="34"/>
      <c r="HKO265" s="34"/>
      <c r="HKP265" s="34"/>
      <c r="HKQ265" s="34"/>
      <c r="HKR265" s="34"/>
      <c r="HKS265" s="34"/>
      <c r="HKT265" s="34"/>
      <c r="HKU265" s="34"/>
      <c r="HKV265" s="34"/>
      <c r="HKW265" s="34"/>
      <c r="HKX265" s="34"/>
      <c r="HKY265" s="34"/>
      <c r="HKZ265" s="34"/>
      <c r="HLA265" s="34"/>
      <c r="HLB265" s="34"/>
      <c r="HLC265" s="34"/>
      <c r="HLD265" s="34"/>
      <c r="HLE265" s="34"/>
      <c r="HLF265" s="34"/>
      <c r="HLG265" s="34"/>
      <c r="HLH265" s="34"/>
      <c r="HLI265" s="34"/>
      <c r="HLJ265" s="34"/>
      <c r="HLK265" s="34"/>
      <c r="HLL265" s="34"/>
      <c r="HLM265" s="34"/>
      <c r="HLN265" s="34"/>
      <c r="HLO265" s="34"/>
      <c r="HLP265" s="34"/>
      <c r="HLQ265" s="34"/>
      <c r="HLR265" s="34"/>
      <c r="HLS265" s="34"/>
      <c r="HLT265" s="34"/>
      <c r="HLU265" s="34"/>
      <c r="HLV265" s="34"/>
      <c r="HLW265" s="34"/>
      <c r="HLX265" s="34"/>
      <c r="HLY265" s="34"/>
      <c r="HLZ265" s="34"/>
      <c r="HMA265" s="34"/>
      <c r="HMB265" s="34"/>
      <c r="HMC265" s="34"/>
      <c r="HMD265" s="34"/>
      <c r="HME265" s="34"/>
      <c r="HMF265" s="34"/>
      <c r="HMG265" s="34"/>
      <c r="HMH265" s="34"/>
      <c r="HMI265" s="34"/>
      <c r="HMJ265" s="34"/>
      <c r="HMK265" s="34"/>
      <c r="HML265" s="34"/>
      <c r="HMM265" s="34"/>
      <c r="HMN265" s="34"/>
      <c r="HMO265" s="34"/>
      <c r="HMP265" s="34"/>
      <c r="HMQ265" s="34"/>
      <c r="HMR265" s="34"/>
      <c r="HMS265" s="34"/>
      <c r="HMT265" s="34"/>
      <c r="HMU265" s="34"/>
      <c r="HMV265" s="34"/>
      <c r="HMW265" s="34"/>
      <c r="HMX265" s="34"/>
      <c r="HMY265" s="34"/>
      <c r="HMZ265" s="34"/>
      <c r="HNA265" s="34"/>
      <c r="HNB265" s="34"/>
      <c r="HNC265" s="34"/>
      <c r="HND265" s="34"/>
      <c r="HNE265" s="34"/>
      <c r="HNF265" s="34"/>
      <c r="HNG265" s="34"/>
      <c r="HNH265" s="34"/>
      <c r="HNI265" s="34"/>
      <c r="HNJ265" s="34"/>
      <c r="HNK265" s="34"/>
      <c r="HNL265" s="34"/>
      <c r="HNM265" s="34"/>
      <c r="HNN265" s="34"/>
      <c r="HNO265" s="34"/>
      <c r="HNP265" s="34"/>
      <c r="HNQ265" s="34"/>
      <c r="HNR265" s="34"/>
      <c r="HNS265" s="34"/>
      <c r="HNT265" s="34"/>
      <c r="HNU265" s="34"/>
      <c r="HNV265" s="34"/>
      <c r="HNW265" s="34"/>
      <c r="HNX265" s="34"/>
      <c r="HNY265" s="34"/>
      <c r="HNZ265" s="34"/>
      <c r="HOA265" s="34"/>
      <c r="HOB265" s="34"/>
      <c r="HOC265" s="34"/>
      <c r="HOD265" s="34"/>
      <c r="HOE265" s="34"/>
      <c r="HOF265" s="34"/>
      <c r="HOG265" s="34"/>
      <c r="HOH265" s="34"/>
      <c r="HOI265" s="34"/>
      <c r="HOJ265" s="34"/>
      <c r="HOK265" s="34"/>
      <c r="HOL265" s="34"/>
      <c r="HOM265" s="34"/>
      <c r="HON265" s="34"/>
      <c r="HOO265" s="34"/>
      <c r="HOP265" s="34"/>
      <c r="HOQ265" s="34"/>
      <c r="HOR265" s="34"/>
      <c r="HOS265" s="34"/>
      <c r="HOT265" s="34"/>
      <c r="HOU265" s="34"/>
      <c r="HOV265" s="34"/>
      <c r="HOW265" s="34"/>
      <c r="HOX265" s="34"/>
      <c r="HOY265" s="34"/>
      <c r="HOZ265" s="34"/>
      <c r="HPA265" s="34"/>
      <c r="HPB265" s="34"/>
      <c r="HPC265" s="34"/>
      <c r="HPD265" s="34"/>
      <c r="HPE265" s="34"/>
      <c r="HPF265" s="34"/>
      <c r="HPG265" s="34"/>
      <c r="HPH265" s="34"/>
      <c r="HPI265" s="34"/>
      <c r="HPJ265" s="34"/>
      <c r="HPK265" s="34"/>
      <c r="HPL265" s="34"/>
      <c r="HPM265" s="34"/>
      <c r="HPN265" s="34"/>
      <c r="HPO265" s="34"/>
      <c r="HPP265" s="34"/>
      <c r="HPQ265" s="34"/>
      <c r="HPR265" s="34"/>
      <c r="HPS265" s="34"/>
      <c r="HPT265" s="34"/>
      <c r="HPU265" s="34"/>
      <c r="HPV265" s="34"/>
      <c r="HPW265" s="34"/>
      <c r="HPX265" s="34"/>
      <c r="HPY265" s="34"/>
      <c r="HPZ265" s="34"/>
      <c r="HQA265" s="34"/>
      <c r="HQB265" s="34"/>
      <c r="HQC265" s="34"/>
      <c r="HQD265" s="34"/>
      <c r="HQE265" s="34"/>
      <c r="HQF265" s="34"/>
      <c r="HQG265" s="34"/>
      <c r="HQH265" s="34"/>
      <c r="HQI265" s="34"/>
      <c r="HQJ265" s="34"/>
      <c r="HQK265" s="34"/>
      <c r="HQL265" s="34"/>
      <c r="HQM265" s="34"/>
      <c r="HQN265" s="34"/>
      <c r="HQO265" s="34"/>
      <c r="HQP265" s="34"/>
      <c r="HQQ265" s="34"/>
      <c r="HQR265" s="34"/>
      <c r="HQS265" s="34"/>
      <c r="HQT265" s="34"/>
      <c r="HQU265" s="34"/>
      <c r="HQV265" s="34"/>
      <c r="HQW265" s="34"/>
      <c r="HQX265" s="34"/>
      <c r="HQY265" s="34"/>
      <c r="HQZ265" s="34"/>
      <c r="HRA265" s="34"/>
      <c r="HRB265" s="34"/>
      <c r="HRC265" s="34"/>
      <c r="HRD265" s="34"/>
      <c r="HRE265" s="34"/>
      <c r="HRF265" s="34"/>
      <c r="HRG265" s="34"/>
      <c r="HRH265" s="34"/>
      <c r="HRI265" s="34"/>
      <c r="HRJ265" s="34"/>
      <c r="HRK265" s="34"/>
      <c r="HRL265" s="34"/>
      <c r="HRM265" s="34"/>
      <c r="HRN265" s="34"/>
      <c r="HRO265" s="34"/>
      <c r="HRP265" s="34"/>
      <c r="HRQ265" s="34"/>
      <c r="HRR265" s="34"/>
      <c r="HRS265" s="34"/>
      <c r="HRT265" s="34"/>
      <c r="HRU265" s="34"/>
      <c r="HRV265" s="34"/>
      <c r="HRW265" s="34"/>
      <c r="HRX265" s="34"/>
      <c r="HRY265" s="34"/>
      <c r="HRZ265" s="34"/>
      <c r="HSA265" s="34"/>
      <c r="HSB265" s="34"/>
      <c r="HSC265" s="34"/>
      <c r="HSD265" s="34"/>
      <c r="HSE265" s="34"/>
      <c r="HSF265" s="34"/>
      <c r="HSG265" s="34"/>
      <c r="HSH265" s="34"/>
      <c r="HSI265" s="34"/>
      <c r="HSJ265" s="34"/>
      <c r="HSK265" s="34"/>
      <c r="HSL265" s="34"/>
      <c r="HSM265" s="34"/>
      <c r="HSN265" s="34"/>
      <c r="HSO265" s="34"/>
      <c r="HSP265" s="34"/>
      <c r="HSQ265" s="34"/>
      <c r="HSR265" s="34"/>
      <c r="HSS265" s="34"/>
      <c r="HST265" s="34"/>
      <c r="HSU265" s="34"/>
      <c r="HSV265" s="34"/>
      <c r="HSW265" s="34"/>
      <c r="HSX265" s="34"/>
      <c r="HSY265" s="34"/>
      <c r="HSZ265" s="34"/>
      <c r="HTA265" s="34"/>
      <c r="HTB265" s="34"/>
      <c r="HTC265" s="34"/>
      <c r="HTD265" s="34"/>
      <c r="HTE265" s="34"/>
      <c r="HTF265" s="34"/>
      <c r="HTG265" s="34"/>
      <c r="HTH265" s="34"/>
      <c r="HTI265" s="34"/>
      <c r="HTJ265" s="34"/>
      <c r="HTK265" s="34"/>
      <c r="HTL265" s="34"/>
      <c r="HTM265" s="34"/>
      <c r="HTN265" s="34"/>
      <c r="HTO265" s="34"/>
      <c r="HTP265" s="34"/>
      <c r="HTQ265" s="34"/>
      <c r="HTR265" s="34"/>
      <c r="HTS265" s="34"/>
      <c r="HTT265" s="34"/>
      <c r="HTU265" s="34"/>
      <c r="HTV265" s="34"/>
      <c r="HTW265" s="34"/>
      <c r="HTX265" s="34"/>
      <c r="HTY265" s="34"/>
      <c r="HTZ265" s="34"/>
      <c r="HUA265" s="34"/>
      <c r="HUB265" s="34"/>
      <c r="HUC265" s="34"/>
      <c r="HUD265" s="34"/>
      <c r="HUE265" s="34"/>
      <c r="HUF265" s="34"/>
      <c r="HUG265" s="34"/>
      <c r="HUH265" s="34"/>
      <c r="HUI265" s="34"/>
      <c r="HUJ265" s="34"/>
      <c r="HUK265" s="34"/>
      <c r="HUL265" s="34"/>
      <c r="HUM265" s="34"/>
      <c r="HUN265" s="34"/>
      <c r="HUO265" s="34"/>
      <c r="HUP265" s="34"/>
      <c r="HUQ265" s="34"/>
      <c r="HUR265" s="34"/>
      <c r="HUS265" s="34"/>
      <c r="HUT265" s="34"/>
      <c r="HUU265" s="34"/>
      <c r="HUV265" s="34"/>
      <c r="HUW265" s="34"/>
      <c r="HUX265" s="34"/>
      <c r="HUY265" s="34"/>
      <c r="HUZ265" s="34"/>
      <c r="HVA265" s="34"/>
      <c r="HVB265" s="34"/>
      <c r="HVC265" s="34"/>
      <c r="HVD265" s="34"/>
      <c r="HVE265" s="34"/>
      <c r="HVF265" s="34"/>
      <c r="HVG265" s="34"/>
      <c r="HVH265" s="34"/>
      <c r="HVI265" s="34"/>
      <c r="HVJ265" s="34"/>
      <c r="HVK265" s="34"/>
      <c r="HVL265" s="34"/>
      <c r="HVM265" s="34"/>
      <c r="HVN265" s="34"/>
      <c r="HVO265" s="34"/>
      <c r="HVP265" s="34"/>
      <c r="HVQ265" s="34"/>
      <c r="HVR265" s="34"/>
      <c r="HVS265" s="34"/>
      <c r="HVT265" s="34"/>
      <c r="HVU265" s="34"/>
      <c r="HVV265" s="34"/>
      <c r="HVW265" s="34"/>
      <c r="HVX265" s="34"/>
      <c r="HVY265" s="34"/>
      <c r="HVZ265" s="34"/>
      <c r="HWA265" s="34"/>
      <c r="HWB265" s="34"/>
      <c r="HWC265" s="34"/>
      <c r="HWD265" s="34"/>
      <c r="HWE265" s="34"/>
      <c r="HWF265" s="34"/>
      <c r="HWG265" s="34"/>
      <c r="HWH265" s="34"/>
      <c r="HWI265" s="34"/>
      <c r="HWJ265" s="34"/>
      <c r="HWK265" s="34"/>
      <c r="HWL265" s="34"/>
      <c r="HWM265" s="34"/>
      <c r="HWN265" s="34"/>
      <c r="HWO265" s="34"/>
      <c r="HWP265" s="34"/>
      <c r="HWQ265" s="34"/>
      <c r="HWR265" s="34"/>
      <c r="HWS265" s="34"/>
      <c r="HWT265" s="34"/>
      <c r="HWU265" s="34"/>
      <c r="HWV265" s="34"/>
      <c r="HWW265" s="34"/>
      <c r="HWX265" s="34"/>
      <c r="HWY265" s="34"/>
      <c r="HWZ265" s="34"/>
      <c r="HXA265" s="34"/>
      <c r="HXB265" s="34"/>
      <c r="HXC265" s="34"/>
      <c r="HXD265" s="34"/>
      <c r="HXE265" s="34"/>
      <c r="HXF265" s="34"/>
      <c r="HXG265" s="34"/>
      <c r="HXH265" s="34"/>
      <c r="HXI265" s="34"/>
      <c r="HXJ265" s="34"/>
      <c r="HXK265" s="34"/>
      <c r="HXL265" s="34"/>
      <c r="HXM265" s="34"/>
      <c r="HXN265" s="34"/>
      <c r="HXO265" s="34"/>
      <c r="HXP265" s="34"/>
      <c r="HXQ265" s="34"/>
      <c r="HXR265" s="34"/>
      <c r="HXS265" s="34"/>
      <c r="HXT265" s="34"/>
      <c r="HXU265" s="34"/>
      <c r="HXV265" s="34"/>
      <c r="HXW265" s="34"/>
      <c r="HXX265" s="34"/>
      <c r="HXY265" s="34"/>
      <c r="HXZ265" s="34"/>
      <c r="HYA265" s="34"/>
      <c r="HYB265" s="34"/>
      <c r="HYC265" s="34"/>
      <c r="HYD265" s="34"/>
      <c r="HYE265" s="34"/>
      <c r="HYF265" s="34"/>
      <c r="HYG265" s="34"/>
      <c r="HYH265" s="34"/>
      <c r="HYI265" s="34"/>
      <c r="HYJ265" s="34"/>
      <c r="HYK265" s="34"/>
      <c r="HYL265" s="34"/>
      <c r="HYM265" s="34"/>
      <c r="HYN265" s="34"/>
      <c r="HYO265" s="34"/>
      <c r="HYP265" s="34"/>
      <c r="HYQ265" s="34"/>
      <c r="HYR265" s="34"/>
      <c r="HYS265" s="34"/>
      <c r="HYT265" s="34"/>
      <c r="HYU265" s="34"/>
      <c r="HYV265" s="34"/>
      <c r="HYW265" s="34"/>
      <c r="HYX265" s="34"/>
      <c r="HYY265" s="34"/>
      <c r="HYZ265" s="34"/>
      <c r="HZA265" s="34"/>
      <c r="HZB265" s="34"/>
      <c r="HZC265" s="34"/>
      <c r="HZD265" s="34"/>
      <c r="HZE265" s="34"/>
      <c r="HZF265" s="34"/>
      <c r="HZG265" s="34"/>
      <c r="HZH265" s="34"/>
      <c r="HZI265" s="34"/>
      <c r="HZJ265" s="34"/>
      <c r="HZK265" s="34"/>
      <c r="HZL265" s="34"/>
      <c r="HZM265" s="34"/>
      <c r="HZN265" s="34"/>
      <c r="HZO265" s="34"/>
      <c r="HZP265" s="34"/>
      <c r="HZQ265" s="34"/>
      <c r="HZR265" s="34"/>
      <c r="HZS265" s="34"/>
      <c r="HZT265" s="34"/>
      <c r="HZU265" s="34"/>
      <c r="HZV265" s="34"/>
      <c r="HZW265" s="34"/>
      <c r="HZX265" s="34"/>
      <c r="HZY265" s="34"/>
      <c r="HZZ265" s="34"/>
      <c r="IAA265" s="34"/>
      <c r="IAB265" s="34"/>
      <c r="IAC265" s="34"/>
      <c r="IAD265" s="34"/>
      <c r="IAE265" s="34"/>
      <c r="IAF265" s="34"/>
      <c r="IAG265" s="34"/>
      <c r="IAH265" s="34"/>
      <c r="IAI265" s="34"/>
      <c r="IAJ265" s="34"/>
      <c r="IAK265" s="34"/>
      <c r="IAL265" s="34"/>
      <c r="IAM265" s="34"/>
      <c r="IAN265" s="34"/>
      <c r="IAO265" s="34"/>
      <c r="IAP265" s="34"/>
      <c r="IAQ265" s="34"/>
      <c r="IAR265" s="34"/>
      <c r="IAS265" s="34"/>
      <c r="IAT265" s="34"/>
      <c r="IAU265" s="34"/>
      <c r="IAV265" s="34"/>
      <c r="IAW265" s="34"/>
      <c r="IAX265" s="34"/>
      <c r="IAY265" s="34"/>
      <c r="IAZ265" s="34"/>
      <c r="IBA265" s="34"/>
      <c r="IBB265" s="34"/>
      <c r="IBC265" s="34"/>
      <c r="IBD265" s="34"/>
      <c r="IBE265" s="34"/>
      <c r="IBF265" s="34"/>
      <c r="IBG265" s="34"/>
      <c r="IBH265" s="34"/>
      <c r="IBI265" s="34"/>
      <c r="IBJ265" s="34"/>
      <c r="IBK265" s="34"/>
      <c r="IBL265" s="34"/>
      <c r="IBM265" s="34"/>
      <c r="IBN265" s="34"/>
      <c r="IBO265" s="34"/>
      <c r="IBP265" s="34"/>
      <c r="IBQ265" s="34"/>
      <c r="IBR265" s="34"/>
      <c r="IBS265" s="34"/>
      <c r="IBT265" s="34"/>
      <c r="IBU265" s="34"/>
      <c r="IBV265" s="34"/>
      <c r="IBW265" s="34"/>
      <c r="IBX265" s="34"/>
      <c r="IBY265" s="34"/>
      <c r="IBZ265" s="34"/>
      <c r="ICA265" s="34"/>
      <c r="ICB265" s="34"/>
      <c r="ICC265" s="34"/>
      <c r="ICD265" s="34"/>
      <c r="ICE265" s="34"/>
      <c r="ICF265" s="34"/>
      <c r="ICG265" s="34"/>
      <c r="ICH265" s="34"/>
      <c r="ICI265" s="34"/>
      <c r="ICJ265" s="34"/>
      <c r="ICK265" s="34"/>
      <c r="ICL265" s="34"/>
      <c r="ICM265" s="34"/>
      <c r="ICN265" s="34"/>
      <c r="ICO265" s="34"/>
      <c r="ICP265" s="34"/>
      <c r="ICQ265" s="34"/>
      <c r="ICR265" s="34"/>
      <c r="ICS265" s="34"/>
      <c r="ICT265" s="34"/>
      <c r="ICU265" s="34"/>
      <c r="ICV265" s="34"/>
      <c r="ICW265" s="34"/>
      <c r="ICX265" s="34"/>
      <c r="ICY265" s="34"/>
      <c r="ICZ265" s="34"/>
      <c r="IDA265" s="34"/>
      <c r="IDB265" s="34"/>
      <c r="IDC265" s="34"/>
      <c r="IDD265" s="34"/>
      <c r="IDE265" s="34"/>
      <c r="IDF265" s="34"/>
      <c r="IDG265" s="34"/>
      <c r="IDH265" s="34"/>
      <c r="IDI265" s="34"/>
      <c r="IDJ265" s="34"/>
      <c r="IDK265" s="34"/>
      <c r="IDL265" s="34"/>
      <c r="IDM265" s="34"/>
      <c r="IDN265" s="34"/>
      <c r="IDO265" s="34"/>
      <c r="IDP265" s="34"/>
      <c r="IDQ265" s="34"/>
      <c r="IDR265" s="34"/>
      <c r="IDS265" s="34"/>
      <c r="IDT265" s="34"/>
      <c r="IDU265" s="34"/>
      <c r="IDV265" s="34"/>
      <c r="IDW265" s="34"/>
      <c r="IDX265" s="34"/>
      <c r="IDY265" s="34"/>
      <c r="IDZ265" s="34"/>
      <c r="IEA265" s="34"/>
      <c r="IEB265" s="34"/>
      <c r="IEC265" s="34"/>
      <c r="IED265" s="34"/>
      <c r="IEE265" s="34"/>
      <c r="IEF265" s="34"/>
      <c r="IEG265" s="34"/>
      <c r="IEH265" s="34"/>
      <c r="IEI265" s="34"/>
      <c r="IEJ265" s="34"/>
      <c r="IEK265" s="34"/>
      <c r="IEL265" s="34"/>
      <c r="IEM265" s="34"/>
      <c r="IEN265" s="34"/>
      <c r="IEO265" s="34"/>
      <c r="IEP265" s="34"/>
      <c r="IEQ265" s="34"/>
      <c r="IER265" s="34"/>
      <c r="IES265" s="34"/>
      <c r="IET265" s="34"/>
      <c r="IEU265" s="34"/>
      <c r="IEV265" s="34"/>
      <c r="IEW265" s="34"/>
      <c r="IEX265" s="34"/>
      <c r="IEY265" s="34"/>
      <c r="IEZ265" s="34"/>
      <c r="IFA265" s="34"/>
      <c r="IFB265" s="34"/>
      <c r="IFC265" s="34"/>
      <c r="IFD265" s="34"/>
      <c r="IFE265" s="34"/>
      <c r="IFF265" s="34"/>
      <c r="IFG265" s="34"/>
      <c r="IFH265" s="34"/>
      <c r="IFI265" s="34"/>
      <c r="IFJ265" s="34"/>
      <c r="IFK265" s="34"/>
      <c r="IFL265" s="34"/>
      <c r="IFM265" s="34"/>
      <c r="IFN265" s="34"/>
      <c r="IFO265" s="34"/>
      <c r="IFP265" s="34"/>
      <c r="IFQ265" s="34"/>
      <c r="IFR265" s="34"/>
      <c r="IFS265" s="34"/>
      <c r="IFT265" s="34"/>
      <c r="IFU265" s="34"/>
      <c r="IFV265" s="34"/>
      <c r="IFW265" s="34"/>
      <c r="IFX265" s="34"/>
      <c r="IFY265" s="34"/>
      <c r="IFZ265" s="34"/>
      <c r="IGA265" s="34"/>
      <c r="IGB265" s="34"/>
      <c r="IGC265" s="34"/>
      <c r="IGD265" s="34"/>
      <c r="IGE265" s="34"/>
      <c r="IGF265" s="34"/>
      <c r="IGG265" s="34"/>
      <c r="IGH265" s="34"/>
      <c r="IGI265" s="34"/>
      <c r="IGJ265" s="34"/>
      <c r="IGK265" s="34"/>
      <c r="IGL265" s="34"/>
      <c r="IGM265" s="34"/>
      <c r="IGN265" s="34"/>
      <c r="IGO265" s="34"/>
      <c r="IGP265" s="34"/>
      <c r="IGQ265" s="34"/>
      <c r="IGR265" s="34"/>
      <c r="IGS265" s="34"/>
      <c r="IGT265" s="34"/>
      <c r="IGU265" s="34"/>
      <c r="IGV265" s="34"/>
      <c r="IGW265" s="34"/>
      <c r="IGX265" s="34"/>
      <c r="IGY265" s="34"/>
      <c r="IGZ265" s="34"/>
      <c r="IHA265" s="34"/>
      <c r="IHB265" s="34"/>
      <c r="IHC265" s="34"/>
      <c r="IHD265" s="34"/>
      <c r="IHE265" s="34"/>
      <c r="IHF265" s="34"/>
      <c r="IHG265" s="34"/>
      <c r="IHH265" s="34"/>
      <c r="IHI265" s="34"/>
      <c r="IHJ265" s="34"/>
      <c r="IHK265" s="34"/>
      <c r="IHL265" s="34"/>
      <c r="IHM265" s="34"/>
      <c r="IHN265" s="34"/>
      <c r="IHO265" s="34"/>
      <c r="IHP265" s="34"/>
      <c r="IHQ265" s="34"/>
      <c r="IHR265" s="34"/>
      <c r="IHS265" s="34"/>
      <c r="IHT265" s="34"/>
      <c r="IHU265" s="34"/>
      <c r="IHV265" s="34"/>
      <c r="IHW265" s="34"/>
      <c r="IHX265" s="34"/>
      <c r="IHY265" s="34"/>
      <c r="IHZ265" s="34"/>
      <c r="IIA265" s="34"/>
      <c r="IIB265" s="34"/>
      <c r="IIC265" s="34"/>
      <c r="IID265" s="34"/>
      <c r="IIE265" s="34"/>
      <c r="IIF265" s="34"/>
      <c r="IIG265" s="34"/>
      <c r="IIH265" s="34"/>
      <c r="III265" s="34"/>
      <c r="IIJ265" s="34"/>
      <c r="IIK265" s="34"/>
      <c r="IIL265" s="34"/>
      <c r="IIM265" s="34"/>
      <c r="IIN265" s="34"/>
      <c r="IIO265" s="34"/>
      <c r="IIP265" s="34"/>
      <c r="IIQ265" s="34"/>
      <c r="IIR265" s="34"/>
      <c r="IIS265" s="34"/>
      <c r="IIT265" s="34"/>
      <c r="IIU265" s="34"/>
      <c r="IIV265" s="34"/>
      <c r="IIW265" s="34"/>
      <c r="IIX265" s="34"/>
      <c r="IIY265" s="34"/>
      <c r="IIZ265" s="34"/>
      <c r="IJA265" s="34"/>
      <c r="IJB265" s="34"/>
      <c r="IJC265" s="34"/>
      <c r="IJD265" s="34"/>
      <c r="IJE265" s="34"/>
      <c r="IJF265" s="34"/>
      <c r="IJG265" s="34"/>
      <c r="IJH265" s="34"/>
      <c r="IJI265" s="34"/>
      <c r="IJJ265" s="34"/>
      <c r="IJK265" s="34"/>
      <c r="IJL265" s="34"/>
      <c r="IJM265" s="34"/>
      <c r="IJN265" s="34"/>
      <c r="IJO265" s="34"/>
      <c r="IJP265" s="34"/>
      <c r="IJQ265" s="34"/>
      <c r="IJR265" s="34"/>
      <c r="IJS265" s="34"/>
      <c r="IJT265" s="34"/>
      <c r="IJU265" s="34"/>
      <c r="IJV265" s="34"/>
      <c r="IJW265" s="34"/>
      <c r="IJX265" s="34"/>
      <c r="IJY265" s="34"/>
      <c r="IJZ265" s="34"/>
      <c r="IKA265" s="34"/>
      <c r="IKB265" s="34"/>
      <c r="IKC265" s="34"/>
      <c r="IKD265" s="34"/>
      <c r="IKE265" s="34"/>
      <c r="IKF265" s="34"/>
      <c r="IKG265" s="34"/>
      <c r="IKH265" s="34"/>
      <c r="IKI265" s="34"/>
      <c r="IKJ265" s="34"/>
      <c r="IKK265" s="34"/>
      <c r="IKL265" s="34"/>
      <c r="IKM265" s="34"/>
      <c r="IKN265" s="34"/>
      <c r="IKO265" s="34"/>
      <c r="IKP265" s="34"/>
      <c r="IKQ265" s="34"/>
      <c r="IKR265" s="34"/>
      <c r="IKS265" s="34"/>
      <c r="IKT265" s="34"/>
      <c r="IKU265" s="34"/>
      <c r="IKV265" s="34"/>
      <c r="IKW265" s="34"/>
      <c r="IKX265" s="34"/>
      <c r="IKY265" s="34"/>
      <c r="IKZ265" s="34"/>
      <c r="ILA265" s="34"/>
      <c r="ILB265" s="34"/>
      <c r="ILC265" s="34"/>
      <c r="ILD265" s="34"/>
      <c r="ILE265" s="34"/>
      <c r="ILF265" s="34"/>
      <c r="ILG265" s="34"/>
      <c r="ILH265" s="34"/>
      <c r="ILI265" s="34"/>
      <c r="ILJ265" s="34"/>
      <c r="ILK265" s="34"/>
      <c r="ILL265" s="34"/>
      <c r="ILM265" s="34"/>
      <c r="ILN265" s="34"/>
      <c r="ILO265" s="34"/>
      <c r="ILP265" s="34"/>
      <c r="ILQ265" s="34"/>
      <c r="ILR265" s="34"/>
      <c r="ILS265" s="34"/>
      <c r="ILT265" s="34"/>
      <c r="ILU265" s="34"/>
      <c r="ILV265" s="34"/>
      <c r="ILW265" s="34"/>
      <c r="ILX265" s="34"/>
      <c r="ILY265" s="34"/>
      <c r="ILZ265" s="34"/>
      <c r="IMA265" s="34"/>
      <c r="IMB265" s="34"/>
      <c r="IMC265" s="34"/>
      <c r="IMD265" s="34"/>
      <c r="IME265" s="34"/>
      <c r="IMF265" s="34"/>
      <c r="IMG265" s="34"/>
      <c r="IMH265" s="34"/>
      <c r="IMI265" s="34"/>
      <c r="IMJ265" s="34"/>
      <c r="IMK265" s="34"/>
      <c r="IML265" s="34"/>
      <c r="IMM265" s="34"/>
      <c r="IMN265" s="34"/>
      <c r="IMO265" s="34"/>
      <c r="IMP265" s="34"/>
      <c r="IMQ265" s="34"/>
      <c r="IMR265" s="34"/>
      <c r="IMS265" s="34"/>
      <c r="IMT265" s="34"/>
      <c r="IMU265" s="34"/>
      <c r="IMV265" s="34"/>
      <c r="IMW265" s="34"/>
      <c r="IMX265" s="34"/>
      <c r="IMY265" s="34"/>
      <c r="IMZ265" s="34"/>
      <c r="INA265" s="34"/>
      <c r="INB265" s="34"/>
      <c r="INC265" s="34"/>
      <c r="IND265" s="34"/>
      <c r="INE265" s="34"/>
      <c r="INF265" s="34"/>
      <c r="ING265" s="34"/>
      <c r="INH265" s="34"/>
      <c r="INI265" s="34"/>
      <c r="INJ265" s="34"/>
      <c r="INK265" s="34"/>
      <c r="INL265" s="34"/>
      <c r="INM265" s="34"/>
      <c r="INN265" s="34"/>
      <c r="INO265" s="34"/>
      <c r="INP265" s="34"/>
      <c r="INQ265" s="34"/>
      <c r="INR265" s="34"/>
      <c r="INS265" s="34"/>
      <c r="INT265" s="34"/>
      <c r="INU265" s="34"/>
      <c r="INV265" s="34"/>
      <c r="INW265" s="34"/>
      <c r="INX265" s="34"/>
      <c r="INY265" s="34"/>
      <c r="INZ265" s="34"/>
      <c r="IOA265" s="34"/>
      <c r="IOB265" s="34"/>
      <c r="IOC265" s="34"/>
      <c r="IOD265" s="34"/>
      <c r="IOE265" s="34"/>
      <c r="IOF265" s="34"/>
      <c r="IOG265" s="34"/>
      <c r="IOH265" s="34"/>
      <c r="IOI265" s="34"/>
      <c r="IOJ265" s="34"/>
      <c r="IOK265" s="34"/>
      <c r="IOL265" s="34"/>
      <c r="IOM265" s="34"/>
      <c r="ION265" s="34"/>
      <c r="IOO265" s="34"/>
      <c r="IOP265" s="34"/>
      <c r="IOQ265" s="34"/>
      <c r="IOR265" s="34"/>
      <c r="IOS265" s="34"/>
      <c r="IOT265" s="34"/>
      <c r="IOU265" s="34"/>
      <c r="IOV265" s="34"/>
      <c r="IOW265" s="34"/>
      <c r="IOX265" s="34"/>
      <c r="IOY265" s="34"/>
      <c r="IOZ265" s="34"/>
      <c r="IPA265" s="34"/>
      <c r="IPB265" s="34"/>
      <c r="IPC265" s="34"/>
      <c r="IPD265" s="34"/>
      <c r="IPE265" s="34"/>
      <c r="IPF265" s="34"/>
      <c r="IPG265" s="34"/>
      <c r="IPH265" s="34"/>
      <c r="IPI265" s="34"/>
      <c r="IPJ265" s="34"/>
      <c r="IPK265" s="34"/>
      <c r="IPL265" s="34"/>
      <c r="IPM265" s="34"/>
      <c r="IPN265" s="34"/>
      <c r="IPO265" s="34"/>
      <c r="IPP265" s="34"/>
      <c r="IPQ265" s="34"/>
      <c r="IPR265" s="34"/>
      <c r="IPS265" s="34"/>
      <c r="IPT265" s="34"/>
      <c r="IPU265" s="34"/>
      <c r="IPV265" s="34"/>
      <c r="IPW265" s="34"/>
      <c r="IPX265" s="34"/>
      <c r="IPY265" s="34"/>
      <c r="IPZ265" s="34"/>
      <c r="IQA265" s="34"/>
      <c r="IQB265" s="34"/>
      <c r="IQC265" s="34"/>
      <c r="IQD265" s="34"/>
      <c r="IQE265" s="34"/>
      <c r="IQF265" s="34"/>
      <c r="IQG265" s="34"/>
      <c r="IQH265" s="34"/>
      <c r="IQI265" s="34"/>
      <c r="IQJ265" s="34"/>
      <c r="IQK265" s="34"/>
      <c r="IQL265" s="34"/>
      <c r="IQM265" s="34"/>
      <c r="IQN265" s="34"/>
      <c r="IQO265" s="34"/>
      <c r="IQP265" s="34"/>
      <c r="IQQ265" s="34"/>
      <c r="IQR265" s="34"/>
      <c r="IQS265" s="34"/>
      <c r="IQT265" s="34"/>
      <c r="IQU265" s="34"/>
      <c r="IQV265" s="34"/>
      <c r="IQW265" s="34"/>
      <c r="IQX265" s="34"/>
      <c r="IQY265" s="34"/>
      <c r="IQZ265" s="34"/>
      <c r="IRA265" s="34"/>
      <c r="IRB265" s="34"/>
      <c r="IRC265" s="34"/>
      <c r="IRD265" s="34"/>
      <c r="IRE265" s="34"/>
      <c r="IRF265" s="34"/>
      <c r="IRG265" s="34"/>
      <c r="IRH265" s="34"/>
      <c r="IRI265" s="34"/>
      <c r="IRJ265" s="34"/>
      <c r="IRK265" s="34"/>
      <c r="IRL265" s="34"/>
      <c r="IRM265" s="34"/>
      <c r="IRN265" s="34"/>
      <c r="IRO265" s="34"/>
      <c r="IRP265" s="34"/>
      <c r="IRQ265" s="34"/>
      <c r="IRR265" s="34"/>
      <c r="IRS265" s="34"/>
      <c r="IRT265" s="34"/>
      <c r="IRU265" s="34"/>
      <c r="IRV265" s="34"/>
      <c r="IRW265" s="34"/>
      <c r="IRX265" s="34"/>
      <c r="IRY265" s="34"/>
      <c r="IRZ265" s="34"/>
      <c r="ISA265" s="34"/>
      <c r="ISB265" s="34"/>
      <c r="ISC265" s="34"/>
      <c r="ISD265" s="34"/>
      <c r="ISE265" s="34"/>
      <c r="ISF265" s="34"/>
      <c r="ISG265" s="34"/>
      <c r="ISH265" s="34"/>
      <c r="ISI265" s="34"/>
      <c r="ISJ265" s="34"/>
      <c r="ISK265" s="34"/>
      <c r="ISL265" s="34"/>
      <c r="ISM265" s="34"/>
      <c r="ISN265" s="34"/>
      <c r="ISO265" s="34"/>
      <c r="ISP265" s="34"/>
      <c r="ISQ265" s="34"/>
      <c r="ISR265" s="34"/>
      <c r="ISS265" s="34"/>
      <c r="IST265" s="34"/>
      <c r="ISU265" s="34"/>
      <c r="ISV265" s="34"/>
      <c r="ISW265" s="34"/>
      <c r="ISX265" s="34"/>
      <c r="ISY265" s="34"/>
      <c r="ISZ265" s="34"/>
      <c r="ITA265" s="34"/>
      <c r="ITB265" s="34"/>
      <c r="ITC265" s="34"/>
      <c r="ITD265" s="34"/>
      <c r="ITE265" s="34"/>
      <c r="ITF265" s="34"/>
      <c r="ITG265" s="34"/>
      <c r="ITH265" s="34"/>
      <c r="ITI265" s="34"/>
      <c r="ITJ265" s="34"/>
      <c r="ITK265" s="34"/>
      <c r="ITL265" s="34"/>
      <c r="ITM265" s="34"/>
      <c r="ITN265" s="34"/>
      <c r="ITO265" s="34"/>
      <c r="ITP265" s="34"/>
      <c r="ITQ265" s="34"/>
      <c r="ITR265" s="34"/>
      <c r="ITS265" s="34"/>
      <c r="ITT265" s="34"/>
      <c r="ITU265" s="34"/>
      <c r="ITV265" s="34"/>
      <c r="ITW265" s="34"/>
      <c r="ITX265" s="34"/>
      <c r="ITY265" s="34"/>
      <c r="ITZ265" s="34"/>
      <c r="IUA265" s="34"/>
      <c r="IUB265" s="34"/>
      <c r="IUC265" s="34"/>
      <c r="IUD265" s="34"/>
      <c r="IUE265" s="34"/>
      <c r="IUF265" s="34"/>
      <c r="IUG265" s="34"/>
      <c r="IUH265" s="34"/>
      <c r="IUI265" s="34"/>
      <c r="IUJ265" s="34"/>
      <c r="IUK265" s="34"/>
      <c r="IUL265" s="34"/>
      <c r="IUM265" s="34"/>
      <c r="IUN265" s="34"/>
      <c r="IUO265" s="34"/>
      <c r="IUP265" s="34"/>
      <c r="IUQ265" s="34"/>
      <c r="IUR265" s="34"/>
      <c r="IUS265" s="34"/>
      <c r="IUT265" s="34"/>
      <c r="IUU265" s="34"/>
      <c r="IUV265" s="34"/>
      <c r="IUW265" s="34"/>
      <c r="IUX265" s="34"/>
      <c r="IUY265" s="34"/>
      <c r="IUZ265" s="34"/>
      <c r="IVA265" s="34"/>
      <c r="IVB265" s="34"/>
      <c r="IVC265" s="34"/>
      <c r="IVD265" s="34"/>
      <c r="IVE265" s="34"/>
      <c r="IVF265" s="34"/>
      <c r="IVG265" s="34"/>
      <c r="IVH265" s="34"/>
      <c r="IVI265" s="34"/>
      <c r="IVJ265" s="34"/>
      <c r="IVK265" s="34"/>
      <c r="IVL265" s="34"/>
      <c r="IVM265" s="34"/>
      <c r="IVN265" s="34"/>
      <c r="IVO265" s="34"/>
      <c r="IVP265" s="34"/>
      <c r="IVQ265" s="34"/>
      <c r="IVR265" s="34"/>
      <c r="IVS265" s="34"/>
      <c r="IVT265" s="34"/>
      <c r="IVU265" s="34"/>
      <c r="IVV265" s="34"/>
      <c r="IVW265" s="34"/>
      <c r="IVX265" s="34"/>
      <c r="IVY265" s="34"/>
      <c r="IVZ265" s="34"/>
      <c r="IWA265" s="34"/>
      <c r="IWB265" s="34"/>
      <c r="IWC265" s="34"/>
      <c r="IWD265" s="34"/>
      <c r="IWE265" s="34"/>
      <c r="IWF265" s="34"/>
      <c r="IWG265" s="34"/>
      <c r="IWH265" s="34"/>
      <c r="IWI265" s="34"/>
      <c r="IWJ265" s="34"/>
      <c r="IWK265" s="34"/>
      <c r="IWL265" s="34"/>
      <c r="IWM265" s="34"/>
      <c r="IWN265" s="34"/>
      <c r="IWO265" s="34"/>
      <c r="IWP265" s="34"/>
      <c r="IWQ265" s="34"/>
      <c r="IWR265" s="34"/>
      <c r="IWS265" s="34"/>
      <c r="IWT265" s="34"/>
      <c r="IWU265" s="34"/>
      <c r="IWV265" s="34"/>
      <c r="IWW265" s="34"/>
      <c r="IWX265" s="34"/>
      <c r="IWY265" s="34"/>
      <c r="IWZ265" s="34"/>
      <c r="IXA265" s="34"/>
      <c r="IXB265" s="34"/>
      <c r="IXC265" s="34"/>
      <c r="IXD265" s="34"/>
      <c r="IXE265" s="34"/>
      <c r="IXF265" s="34"/>
      <c r="IXG265" s="34"/>
      <c r="IXH265" s="34"/>
      <c r="IXI265" s="34"/>
      <c r="IXJ265" s="34"/>
      <c r="IXK265" s="34"/>
      <c r="IXL265" s="34"/>
      <c r="IXM265" s="34"/>
      <c r="IXN265" s="34"/>
      <c r="IXO265" s="34"/>
      <c r="IXP265" s="34"/>
      <c r="IXQ265" s="34"/>
      <c r="IXR265" s="34"/>
      <c r="IXS265" s="34"/>
      <c r="IXT265" s="34"/>
      <c r="IXU265" s="34"/>
      <c r="IXV265" s="34"/>
      <c r="IXW265" s="34"/>
      <c r="IXX265" s="34"/>
      <c r="IXY265" s="34"/>
      <c r="IXZ265" s="34"/>
      <c r="IYA265" s="34"/>
      <c r="IYB265" s="34"/>
      <c r="IYC265" s="34"/>
      <c r="IYD265" s="34"/>
      <c r="IYE265" s="34"/>
      <c r="IYF265" s="34"/>
      <c r="IYG265" s="34"/>
      <c r="IYH265" s="34"/>
      <c r="IYI265" s="34"/>
      <c r="IYJ265" s="34"/>
      <c r="IYK265" s="34"/>
      <c r="IYL265" s="34"/>
      <c r="IYM265" s="34"/>
      <c r="IYN265" s="34"/>
      <c r="IYO265" s="34"/>
      <c r="IYP265" s="34"/>
      <c r="IYQ265" s="34"/>
      <c r="IYR265" s="34"/>
      <c r="IYS265" s="34"/>
      <c r="IYT265" s="34"/>
      <c r="IYU265" s="34"/>
      <c r="IYV265" s="34"/>
      <c r="IYW265" s="34"/>
      <c r="IYX265" s="34"/>
      <c r="IYY265" s="34"/>
      <c r="IYZ265" s="34"/>
      <c r="IZA265" s="34"/>
      <c r="IZB265" s="34"/>
      <c r="IZC265" s="34"/>
      <c r="IZD265" s="34"/>
      <c r="IZE265" s="34"/>
      <c r="IZF265" s="34"/>
      <c r="IZG265" s="34"/>
      <c r="IZH265" s="34"/>
      <c r="IZI265" s="34"/>
      <c r="IZJ265" s="34"/>
      <c r="IZK265" s="34"/>
      <c r="IZL265" s="34"/>
      <c r="IZM265" s="34"/>
      <c r="IZN265" s="34"/>
      <c r="IZO265" s="34"/>
      <c r="IZP265" s="34"/>
      <c r="IZQ265" s="34"/>
      <c r="IZR265" s="34"/>
      <c r="IZS265" s="34"/>
      <c r="IZT265" s="34"/>
      <c r="IZU265" s="34"/>
      <c r="IZV265" s="34"/>
      <c r="IZW265" s="34"/>
      <c r="IZX265" s="34"/>
      <c r="IZY265" s="34"/>
      <c r="IZZ265" s="34"/>
      <c r="JAA265" s="34"/>
      <c r="JAB265" s="34"/>
      <c r="JAC265" s="34"/>
      <c r="JAD265" s="34"/>
      <c r="JAE265" s="34"/>
      <c r="JAF265" s="34"/>
      <c r="JAG265" s="34"/>
      <c r="JAH265" s="34"/>
      <c r="JAI265" s="34"/>
      <c r="JAJ265" s="34"/>
      <c r="JAK265" s="34"/>
      <c r="JAL265" s="34"/>
      <c r="JAM265" s="34"/>
      <c r="JAN265" s="34"/>
      <c r="JAO265" s="34"/>
      <c r="JAP265" s="34"/>
      <c r="JAQ265" s="34"/>
      <c r="JAR265" s="34"/>
      <c r="JAS265" s="34"/>
      <c r="JAT265" s="34"/>
      <c r="JAU265" s="34"/>
      <c r="JAV265" s="34"/>
      <c r="JAW265" s="34"/>
      <c r="JAX265" s="34"/>
      <c r="JAY265" s="34"/>
      <c r="JAZ265" s="34"/>
      <c r="JBA265" s="34"/>
      <c r="JBB265" s="34"/>
      <c r="JBC265" s="34"/>
      <c r="JBD265" s="34"/>
      <c r="JBE265" s="34"/>
      <c r="JBF265" s="34"/>
      <c r="JBG265" s="34"/>
      <c r="JBH265" s="34"/>
      <c r="JBI265" s="34"/>
      <c r="JBJ265" s="34"/>
      <c r="JBK265" s="34"/>
      <c r="JBL265" s="34"/>
      <c r="JBM265" s="34"/>
      <c r="JBN265" s="34"/>
      <c r="JBO265" s="34"/>
      <c r="JBP265" s="34"/>
      <c r="JBQ265" s="34"/>
      <c r="JBR265" s="34"/>
      <c r="JBS265" s="34"/>
      <c r="JBT265" s="34"/>
      <c r="JBU265" s="34"/>
      <c r="JBV265" s="34"/>
      <c r="JBW265" s="34"/>
      <c r="JBX265" s="34"/>
      <c r="JBY265" s="34"/>
      <c r="JBZ265" s="34"/>
      <c r="JCA265" s="34"/>
      <c r="JCB265" s="34"/>
      <c r="JCC265" s="34"/>
      <c r="JCD265" s="34"/>
      <c r="JCE265" s="34"/>
      <c r="JCF265" s="34"/>
      <c r="JCG265" s="34"/>
      <c r="JCH265" s="34"/>
      <c r="JCI265" s="34"/>
      <c r="JCJ265" s="34"/>
      <c r="JCK265" s="34"/>
      <c r="JCL265" s="34"/>
      <c r="JCM265" s="34"/>
      <c r="JCN265" s="34"/>
      <c r="JCO265" s="34"/>
      <c r="JCP265" s="34"/>
      <c r="JCQ265" s="34"/>
      <c r="JCR265" s="34"/>
      <c r="JCS265" s="34"/>
      <c r="JCT265" s="34"/>
      <c r="JCU265" s="34"/>
      <c r="JCV265" s="34"/>
      <c r="JCW265" s="34"/>
      <c r="JCX265" s="34"/>
      <c r="JCY265" s="34"/>
      <c r="JCZ265" s="34"/>
      <c r="JDA265" s="34"/>
      <c r="JDB265" s="34"/>
      <c r="JDC265" s="34"/>
      <c r="JDD265" s="34"/>
      <c r="JDE265" s="34"/>
      <c r="JDF265" s="34"/>
      <c r="JDG265" s="34"/>
      <c r="JDH265" s="34"/>
      <c r="JDI265" s="34"/>
      <c r="JDJ265" s="34"/>
      <c r="JDK265" s="34"/>
      <c r="JDL265" s="34"/>
      <c r="JDM265" s="34"/>
      <c r="JDN265" s="34"/>
      <c r="JDO265" s="34"/>
      <c r="JDP265" s="34"/>
      <c r="JDQ265" s="34"/>
      <c r="JDR265" s="34"/>
      <c r="JDS265" s="34"/>
      <c r="JDT265" s="34"/>
      <c r="JDU265" s="34"/>
      <c r="JDV265" s="34"/>
      <c r="JDW265" s="34"/>
      <c r="JDX265" s="34"/>
      <c r="JDY265" s="34"/>
      <c r="JDZ265" s="34"/>
      <c r="JEA265" s="34"/>
      <c r="JEB265" s="34"/>
      <c r="JEC265" s="34"/>
      <c r="JED265" s="34"/>
      <c r="JEE265" s="34"/>
      <c r="JEF265" s="34"/>
      <c r="JEG265" s="34"/>
      <c r="JEH265" s="34"/>
      <c r="JEI265" s="34"/>
      <c r="JEJ265" s="34"/>
      <c r="JEK265" s="34"/>
      <c r="JEL265" s="34"/>
      <c r="JEM265" s="34"/>
      <c r="JEN265" s="34"/>
      <c r="JEO265" s="34"/>
      <c r="JEP265" s="34"/>
      <c r="JEQ265" s="34"/>
      <c r="JER265" s="34"/>
      <c r="JES265" s="34"/>
      <c r="JET265" s="34"/>
      <c r="JEU265" s="34"/>
      <c r="JEV265" s="34"/>
      <c r="JEW265" s="34"/>
      <c r="JEX265" s="34"/>
      <c r="JEY265" s="34"/>
      <c r="JEZ265" s="34"/>
      <c r="JFA265" s="34"/>
      <c r="JFB265" s="34"/>
      <c r="JFC265" s="34"/>
      <c r="JFD265" s="34"/>
      <c r="JFE265" s="34"/>
      <c r="JFF265" s="34"/>
      <c r="JFG265" s="34"/>
      <c r="JFH265" s="34"/>
      <c r="JFI265" s="34"/>
      <c r="JFJ265" s="34"/>
      <c r="JFK265" s="34"/>
      <c r="JFL265" s="34"/>
      <c r="JFM265" s="34"/>
      <c r="JFN265" s="34"/>
      <c r="JFO265" s="34"/>
      <c r="JFP265" s="34"/>
      <c r="JFQ265" s="34"/>
      <c r="JFR265" s="34"/>
      <c r="JFS265" s="34"/>
      <c r="JFT265" s="34"/>
      <c r="JFU265" s="34"/>
      <c r="JFV265" s="34"/>
      <c r="JFW265" s="34"/>
      <c r="JFX265" s="34"/>
      <c r="JFY265" s="34"/>
      <c r="JFZ265" s="34"/>
      <c r="JGA265" s="34"/>
      <c r="JGB265" s="34"/>
      <c r="JGC265" s="34"/>
      <c r="JGD265" s="34"/>
      <c r="JGE265" s="34"/>
      <c r="JGF265" s="34"/>
      <c r="JGG265" s="34"/>
      <c r="JGH265" s="34"/>
      <c r="JGI265" s="34"/>
      <c r="JGJ265" s="34"/>
      <c r="JGK265" s="34"/>
      <c r="JGL265" s="34"/>
      <c r="JGM265" s="34"/>
      <c r="JGN265" s="34"/>
      <c r="JGO265" s="34"/>
      <c r="JGP265" s="34"/>
      <c r="JGQ265" s="34"/>
      <c r="JGR265" s="34"/>
      <c r="JGS265" s="34"/>
      <c r="JGT265" s="34"/>
      <c r="JGU265" s="34"/>
      <c r="JGV265" s="34"/>
      <c r="JGW265" s="34"/>
      <c r="JGX265" s="34"/>
      <c r="JGY265" s="34"/>
      <c r="JGZ265" s="34"/>
      <c r="JHA265" s="34"/>
      <c r="JHB265" s="34"/>
      <c r="JHC265" s="34"/>
      <c r="JHD265" s="34"/>
      <c r="JHE265" s="34"/>
      <c r="JHF265" s="34"/>
      <c r="JHG265" s="34"/>
      <c r="JHH265" s="34"/>
      <c r="JHI265" s="34"/>
      <c r="JHJ265" s="34"/>
      <c r="JHK265" s="34"/>
      <c r="JHL265" s="34"/>
      <c r="JHM265" s="34"/>
      <c r="JHN265" s="34"/>
      <c r="JHO265" s="34"/>
      <c r="JHP265" s="34"/>
      <c r="JHQ265" s="34"/>
      <c r="JHR265" s="34"/>
      <c r="JHS265" s="34"/>
      <c r="JHT265" s="34"/>
      <c r="JHU265" s="34"/>
      <c r="JHV265" s="34"/>
      <c r="JHW265" s="34"/>
      <c r="JHX265" s="34"/>
      <c r="JHY265" s="34"/>
      <c r="JHZ265" s="34"/>
      <c r="JIA265" s="34"/>
      <c r="JIB265" s="34"/>
      <c r="JIC265" s="34"/>
      <c r="JID265" s="34"/>
      <c r="JIE265" s="34"/>
      <c r="JIF265" s="34"/>
      <c r="JIG265" s="34"/>
      <c r="JIH265" s="34"/>
      <c r="JII265" s="34"/>
      <c r="JIJ265" s="34"/>
      <c r="JIK265" s="34"/>
      <c r="JIL265" s="34"/>
      <c r="JIM265" s="34"/>
      <c r="JIN265" s="34"/>
      <c r="JIO265" s="34"/>
      <c r="JIP265" s="34"/>
      <c r="JIQ265" s="34"/>
      <c r="JIR265" s="34"/>
      <c r="JIS265" s="34"/>
      <c r="JIT265" s="34"/>
      <c r="JIU265" s="34"/>
      <c r="JIV265" s="34"/>
      <c r="JIW265" s="34"/>
      <c r="JIX265" s="34"/>
      <c r="JIY265" s="34"/>
      <c r="JIZ265" s="34"/>
      <c r="JJA265" s="34"/>
      <c r="JJB265" s="34"/>
      <c r="JJC265" s="34"/>
      <c r="JJD265" s="34"/>
      <c r="JJE265" s="34"/>
      <c r="JJF265" s="34"/>
      <c r="JJG265" s="34"/>
      <c r="JJH265" s="34"/>
      <c r="JJI265" s="34"/>
      <c r="JJJ265" s="34"/>
      <c r="JJK265" s="34"/>
      <c r="JJL265" s="34"/>
      <c r="JJM265" s="34"/>
      <c r="JJN265" s="34"/>
      <c r="JJO265" s="34"/>
      <c r="JJP265" s="34"/>
      <c r="JJQ265" s="34"/>
      <c r="JJR265" s="34"/>
      <c r="JJS265" s="34"/>
      <c r="JJT265" s="34"/>
      <c r="JJU265" s="34"/>
      <c r="JJV265" s="34"/>
      <c r="JJW265" s="34"/>
      <c r="JJX265" s="34"/>
      <c r="JJY265" s="34"/>
      <c r="JJZ265" s="34"/>
      <c r="JKA265" s="34"/>
      <c r="JKB265" s="34"/>
      <c r="JKC265" s="34"/>
      <c r="JKD265" s="34"/>
      <c r="JKE265" s="34"/>
      <c r="JKF265" s="34"/>
      <c r="JKG265" s="34"/>
      <c r="JKH265" s="34"/>
      <c r="JKI265" s="34"/>
      <c r="JKJ265" s="34"/>
      <c r="JKK265" s="34"/>
      <c r="JKL265" s="34"/>
      <c r="JKM265" s="34"/>
      <c r="JKN265" s="34"/>
      <c r="JKO265" s="34"/>
      <c r="JKP265" s="34"/>
      <c r="JKQ265" s="34"/>
      <c r="JKR265" s="34"/>
      <c r="JKS265" s="34"/>
      <c r="JKT265" s="34"/>
      <c r="JKU265" s="34"/>
      <c r="JKV265" s="34"/>
      <c r="JKW265" s="34"/>
      <c r="JKX265" s="34"/>
      <c r="JKY265" s="34"/>
      <c r="JKZ265" s="34"/>
      <c r="JLA265" s="34"/>
      <c r="JLB265" s="34"/>
      <c r="JLC265" s="34"/>
      <c r="JLD265" s="34"/>
      <c r="JLE265" s="34"/>
      <c r="JLF265" s="34"/>
      <c r="JLG265" s="34"/>
      <c r="JLH265" s="34"/>
      <c r="JLI265" s="34"/>
      <c r="JLJ265" s="34"/>
      <c r="JLK265" s="34"/>
      <c r="JLL265" s="34"/>
      <c r="JLM265" s="34"/>
      <c r="JLN265" s="34"/>
      <c r="JLO265" s="34"/>
      <c r="JLP265" s="34"/>
      <c r="JLQ265" s="34"/>
      <c r="JLR265" s="34"/>
      <c r="JLS265" s="34"/>
      <c r="JLT265" s="34"/>
      <c r="JLU265" s="34"/>
      <c r="JLV265" s="34"/>
      <c r="JLW265" s="34"/>
      <c r="JLX265" s="34"/>
      <c r="JLY265" s="34"/>
      <c r="JLZ265" s="34"/>
      <c r="JMA265" s="34"/>
      <c r="JMB265" s="34"/>
      <c r="JMC265" s="34"/>
      <c r="JMD265" s="34"/>
      <c r="JME265" s="34"/>
      <c r="JMF265" s="34"/>
      <c r="JMG265" s="34"/>
      <c r="JMH265" s="34"/>
      <c r="JMI265" s="34"/>
      <c r="JMJ265" s="34"/>
      <c r="JMK265" s="34"/>
      <c r="JML265" s="34"/>
      <c r="JMM265" s="34"/>
      <c r="JMN265" s="34"/>
      <c r="JMO265" s="34"/>
      <c r="JMP265" s="34"/>
      <c r="JMQ265" s="34"/>
      <c r="JMR265" s="34"/>
      <c r="JMS265" s="34"/>
      <c r="JMT265" s="34"/>
      <c r="JMU265" s="34"/>
      <c r="JMV265" s="34"/>
      <c r="JMW265" s="34"/>
      <c r="JMX265" s="34"/>
      <c r="JMY265" s="34"/>
      <c r="JMZ265" s="34"/>
      <c r="JNA265" s="34"/>
      <c r="JNB265" s="34"/>
      <c r="JNC265" s="34"/>
      <c r="JND265" s="34"/>
      <c r="JNE265" s="34"/>
      <c r="JNF265" s="34"/>
      <c r="JNG265" s="34"/>
      <c r="JNH265" s="34"/>
      <c r="JNI265" s="34"/>
      <c r="JNJ265" s="34"/>
      <c r="JNK265" s="34"/>
      <c r="JNL265" s="34"/>
      <c r="JNM265" s="34"/>
      <c r="JNN265" s="34"/>
      <c r="JNO265" s="34"/>
      <c r="JNP265" s="34"/>
      <c r="JNQ265" s="34"/>
      <c r="JNR265" s="34"/>
      <c r="JNS265" s="34"/>
      <c r="JNT265" s="34"/>
      <c r="JNU265" s="34"/>
      <c r="JNV265" s="34"/>
      <c r="JNW265" s="34"/>
      <c r="JNX265" s="34"/>
      <c r="JNY265" s="34"/>
      <c r="JNZ265" s="34"/>
      <c r="JOA265" s="34"/>
      <c r="JOB265" s="34"/>
      <c r="JOC265" s="34"/>
      <c r="JOD265" s="34"/>
      <c r="JOE265" s="34"/>
      <c r="JOF265" s="34"/>
      <c r="JOG265" s="34"/>
      <c r="JOH265" s="34"/>
      <c r="JOI265" s="34"/>
      <c r="JOJ265" s="34"/>
      <c r="JOK265" s="34"/>
      <c r="JOL265" s="34"/>
      <c r="JOM265" s="34"/>
      <c r="JON265" s="34"/>
      <c r="JOO265" s="34"/>
      <c r="JOP265" s="34"/>
      <c r="JOQ265" s="34"/>
      <c r="JOR265" s="34"/>
      <c r="JOS265" s="34"/>
      <c r="JOT265" s="34"/>
      <c r="JOU265" s="34"/>
      <c r="JOV265" s="34"/>
      <c r="JOW265" s="34"/>
      <c r="JOX265" s="34"/>
      <c r="JOY265" s="34"/>
      <c r="JOZ265" s="34"/>
      <c r="JPA265" s="34"/>
      <c r="JPB265" s="34"/>
      <c r="JPC265" s="34"/>
      <c r="JPD265" s="34"/>
      <c r="JPE265" s="34"/>
      <c r="JPF265" s="34"/>
      <c r="JPG265" s="34"/>
      <c r="JPH265" s="34"/>
      <c r="JPI265" s="34"/>
      <c r="JPJ265" s="34"/>
      <c r="JPK265" s="34"/>
      <c r="JPL265" s="34"/>
      <c r="JPM265" s="34"/>
      <c r="JPN265" s="34"/>
      <c r="JPO265" s="34"/>
      <c r="JPP265" s="34"/>
      <c r="JPQ265" s="34"/>
      <c r="JPR265" s="34"/>
      <c r="JPS265" s="34"/>
      <c r="JPT265" s="34"/>
      <c r="JPU265" s="34"/>
      <c r="JPV265" s="34"/>
      <c r="JPW265" s="34"/>
      <c r="JPX265" s="34"/>
      <c r="JPY265" s="34"/>
      <c r="JPZ265" s="34"/>
      <c r="JQA265" s="34"/>
      <c r="JQB265" s="34"/>
      <c r="JQC265" s="34"/>
      <c r="JQD265" s="34"/>
      <c r="JQE265" s="34"/>
      <c r="JQF265" s="34"/>
      <c r="JQG265" s="34"/>
      <c r="JQH265" s="34"/>
      <c r="JQI265" s="34"/>
      <c r="JQJ265" s="34"/>
      <c r="JQK265" s="34"/>
      <c r="JQL265" s="34"/>
      <c r="JQM265" s="34"/>
      <c r="JQN265" s="34"/>
      <c r="JQO265" s="34"/>
      <c r="JQP265" s="34"/>
      <c r="JQQ265" s="34"/>
      <c r="JQR265" s="34"/>
      <c r="JQS265" s="34"/>
      <c r="JQT265" s="34"/>
      <c r="JQU265" s="34"/>
      <c r="JQV265" s="34"/>
      <c r="JQW265" s="34"/>
      <c r="JQX265" s="34"/>
      <c r="JQY265" s="34"/>
      <c r="JQZ265" s="34"/>
      <c r="JRA265" s="34"/>
      <c r="JRB265" s="34"/>
      <c r="JRC265" s="34"/>
      <c r="JRD265" s="34"/>
      <c r="JRE265" s="34"/>
      <c r="JRF265" s="34"/>
      <c r="JRG265" s="34"/>
      <c r="JRH265" s="34"/>
      <c r="JRI265" s="34"/>
      <c r="JRJ265" s="34"/>
      <c r="JRK265" s="34"/>
      <c r="JRL265" s="34"/>
      <c r="JRM265" s="34"/>
      <c r="JRN265" s="34"/>
      <c r="JRO265" s="34"/>
      <c r="JRP265" s="34"/>
      <c r="JRQ265" s="34"/>
      <c r="JRR265" s="34"/>
      <c r="JRS265" s="34"/>
      <c r="JRT265" s="34"/>
      <c r="JRU265" s="34"/>
      <c r="JRV265" s="34"/>
      <c r="JRW265" s="34"/>
      <c r="JRX265" s="34"/>
      <c r="JRY265" s="34"/>
      <c r="JRZ265" s="34"/>
      <c r="JSA265" s="34"/>
      <c r="JSB265" s="34"/>
      <c r="JSC265" s="34"/>
      <c r="JSD265" s="34"/>
      <c r="JSE265" s="34"/>
      <c r="JSF265" s="34"/>
      <c r="JSG265" s="34"/>
      <c r="JSH265" s="34"/>
      <c r="JSI265" s="34"/>
      <c r="JSJ265" s="34"/>
      <c r="JSK265" s="34"/>
      <c r="JSL265" s="34"/>
      <c r="JSM265" s="34"/>
      <c r="JSN265" s="34"/>
      <c r="JSO265" s="34"/>
      <c r="JSP265" s="34"/>
      <c r="JSQ265" s="34"/>
      <c r="JSR265" s="34"/>
      <c r="JSS265" s="34"/>
      <c r="JST265" s="34"/>
      <c r="JSU265" s="34"/>
      <c r="JSV265" s="34"/>
      <c r="JSW265" s="34"/>
      <c r="JSX265" s="34"/>
      <c r="JSY265" s="34"/>
      <c r="JSZ265" s="34"/>
      <c r="JTA265" s="34"/>
      <c r="JTB265" s="34"/>
      <c r="JTC265" s="34"/>
      <c r="JTD265" s="34"/>
      <c r="JTE265" s="34"/>
      <c r="JTF265" s="34"/>
      <c r="JTG265" s="34"/>
      <c r="JTH265" s="34"/>
      <c r="JTI265" s="34"/>
      <c r="JTJ265" s="34"/>
      <c r="JTK265" s="34"/>
      <c r="JTL265" s="34"/>
      <c r="JTM265" s="34"/>
      <c r="JTN265" s="34"/>
      <c r="JTO265" s="34"/>
      <c r="JTP265" s="34"/>
      <c r="JTQ265" s="34"/>
      <c r="JTR265" s="34"/>
      <c r="JTS265" s="34"/>
      <c r="JTT265" s="34"/>
      <c r="JTU265" s="34"/>
      <c r="JTV265" s="34"/>
      <c r="JTW265" s="34"/>
      <c r="JTX265" s="34"/>
      <c r="JTY265" s="34"/>
      <c r="JTZ265" s="34"/>
      <c r="JUA265" s="34"/>
      <c r="JUB265" s="34"/>
      <c r="JUC265" s="34"/>
      <c r="JUD265" s="34"/>
      <c r="JUE265" s="34"/>
      <c r="JUF265" s="34"/>
      <c r="JUG265" s="34"/>
      <c r="JUH265" s="34"/>
      <c r="JUI265" s="34"/>
      <c r="JUJ265" s="34"/>
      <c r="JUK265" s="34"/>
      <c r="JUL265" s="34"/>
      <c r="JUM265" s="34"/>
      <c r="JUN265" s="34"/>
      <c r="JUO265" s="34"/>
      <c r="JUP265" s="34"/>
      <c r="JUQ265" s="34"/>
      <c r="JUR265" s="34"/>
      <c r="JUS265" s="34"/>
      <c r="JUT265" s="34"/>
      <c r="JUU265" s="34"/>
      <c r="JUV265" s="34"/>
      <c r="JUW265" s="34"/>
      <c r="JUX265" s="34"/>
      <c r="JUY265" s="34"/>
      <c r="JUZ265" s="34"/>
      <c r="JVA265" s="34"/>
      <c r="JVB265" s="34"/>
      <c r="JVC265" s="34"/>
      <c r="JVD265" s="34"/>
      <c r="JVE265" s="34"/>
      <c r="JVF265" s="34"/>
      <c r="JVG265" s="34"/>
      <c r="JVH265" s="34"/>
      <c r="JVI265" s="34"/>
      <c r="JVJ265" s="34"/>
      <c r="JVK265" s="34"/>
      <c r="JVL265" s="34"/>
      <c r="JVM265" s="34"/>
      <c r="JVN265" s="34"/>
      <c r="JVO265" s="34"/>
      <c r="JVP265" s="34"/>
      <c r="JVQ265" s="34"/>
      <c r="JVR265" s="34"/>
      <c r="JVS265" s="34"/>
      <c r="JVT265" s="34"/>
      <c r="JVU265" s="34"/>
      <c r="JVV265" s="34"/>
      <c r="JVW265" s="34"/>
      <c r="JVX265" s="34"/>
      <c r="JVY265" s="34"/>
      <c r="JVZ265" s="34"/>
      <c r="JWA265" s="34"/>
      <c r="JWB265" s="34"/>
      <c r="JWC265" s="34"/>
      <c r="JWD265" s="34"/>
      <c r="JWE265" s="34"/>
      <c r="JWF265" s="34"/>
      <c r="JWG265" s="34"/>
      <c r="JWH265" s="34"/>
      <c r="JWI265" s="34"/>
      <c r="JWJ265" s="34"/>
      <c r="JWK265" s="34"/>
      <c r="JWL265" s="34"/>
      <c r="JWM265" s="34"/>
      <c r="JWN265" s="34"/>
      <c r="JWO265" s="34"/>
      <c r="JWP265" s="34"/>
      <c r="JWQ265" s="34"/>
      <c r="JWR265" s="34"/>
      <c r="JWS265" s="34"/>
      <c r="JWT265" s="34"/>
      <c r="JWU265" s="34"/>
      <c r="JWV265" s="34"/>
      <c r="JWW265" s="34"/>
      <c r="JWX265" s="34"/>
      <c r="JWY265" s="34"/>
      <c r="JWZ265" s="34"/>
      <c r="JXA265" s="34"/>
      <c r="JXB265" s="34"/>
      <c r="JXC265" s="34"/>
      <c r="JXD265" s="34"/>
      <c r="JXE265" s="34"/>
      <c r="JXF265" s="34"/>
      <c r="JXG265" s="34"/>
      <c r="JXH265" s="34"/>
      <c r="JXI265" s="34"/>
      <c r="JXJ265" s="34"/>
      <c r="JXK265" s="34"/>
      <c r="JXL265" s="34"/>
      <c r="JXM265" s="34"/>
      <c r="JXN265" s="34"/>
      <c r="JXO265" s="34"/>
      <c r="JXP265" s="34"/>
      <c r="JXQ265" s="34"/>
      <c r="JXR265" s="34"/>
      <c r="JXS265" s="34"/>
      <c r="JXT265" s="34"/>
      <c r="JXU265" s="34"/>
      <c r="JXV265" s="34"/>
      <c r="JXW265" s="34"/>
      <c r="JXX265" s="34"/>
      <c r="JXY265" s="34"/>
      <c r="JXZ265" s="34"/>
      <c r="JYA265" s="34"/>
      <c r="JYB265" s="34"/>
      <c r="JYC265" s="34"/>
      <c r="JYD265" s="34"/>
      <c r="JYE265" s="34"/>
      <c r="JYF265" s="34"/>
      <c r="JYG265" s="34"/>
      <c r="JYH265" s="34"/>
      <c r="JYI265" s="34"/>
      <c r="JYJ265" s="34"/>
      <c r="JYK265" s="34"/>
      <c r="JYL265" s="34"/>
      <c r="JYM265" s="34"/>
      <c r="JYN265" s="34"/>
      <c r="JYO265" s="34"/>
      <c r="JYP265" s="34"/>
      <c r="JYQ265" s="34"/>
      <c r="JYR265" s="34"/>
      <c r="JYS265" s="34"/>
      <c r="JYT265" s="34"/>
      <c r="JYU265" s="34"/>
      <c r="JYV265" s="34"/>
      <c r="JYW265" s="34"/>
      <c r="JYX265" s="34"/>
      <c r="JYY265" s="34"/>
      <c r="JYZ265" s="34"/>
      <c r="JZA265" s="34"/>
      <c r="JZB265" s="34"/>
      <c r="JZC265" s="34"/>
      <c r="JZD265" s="34"/>
      <c r="JZE265" s="34"/>
      <c r="JZF265" s="34"/>
      <c r="JZG265" s="34"/>
      <c r="JZH265" s="34"/>
      <c r="JZI265" s="34"/>
      <c r="JZJ265" s="34"/>
      <c r="JZK265" s="34"/>
      <c r="JZL265" s="34"/>
      <c r="JZM265" s="34"/>
      <c r="JZN265" s="34"/>
      <c r="JZO265" s="34"/>
      <c r="JZP265" s="34"/>
      <c r="JZQ265" s="34"/>
      <c r="JZR265" s="34"/>
      <c r="JZS265" s="34"/>
      <c r="JZT265" s="34"/>
      <c r="JZU265" s="34"/>
      <c r="JZV265" s="34"/>
      <c r="JZW265" s="34"/>
      <c r="JZX265" s="34"/>
      <c r="JZY265" s="34"/>
      <c r="JZZ265" s="34"/>
      <c r="KAA265" s="34"/>
      <c r="KAB265" s="34"/>
      <c r="KAC265" s="34"/>
      <c r="KAD265" s="34"/>
      <c r="KAE265" s="34"/>
      <c r="KAF265" s="34"/>
      <c r="KAG265" s="34"/>
      <c r="KAH265" s="34"/>
      <c r="KAI265" s="34"/>
      <c r="KAJ265" s="34"/>
      <c r="KAK265" s="34"/>
      <c r="KAL265" s="34"/>
      <c r="KAM265" s="34"/>
      <c r="KAN265" s="34"/>
      <c r="KAO265" s="34"/>
      <c r="KAP265" s="34"/>
      <c r="KAQ265" s="34"/>
      <c r="KAR265" s="34"/>
      <c r="KAS265" s="34"/>
      <c r="KAT265" s="34"/>
      <c r="KAU265" s="34"/>
      <c r="KAV265" s="34"/>
      <c r="KAW265" s="34"/>
      <c r="KAX265" s="34"/>
      <c r="KAY265" s="34"/>
      <c r="KAZ265" s="34"/>
      <c r="KBA265" s="34"/>
      <c r="KBB265" s="34"/>
      <c r="KBC265" s="34"/>
      <c r="KBD265" s="34"/>
      <c r="KBE265" s="34"/>
      <c r="KBF265" s="34"/>
      <c r="KBG265" s="34"/>
      <c r="KBH265" s="34"/>
      <c r="KBI265" s="34"/>
      <c r="KBJ265" s="34"/>
      <c r="KBK265" s="34"/>
      <c r="KBL265" s="34"/>
      <c r="KBM265" s="34"/>
      <c r="KBN265" s="34"/>
      <c r="KBO265" s="34"/>
      <c r="KBP265" s="34"/>
      <c r="KBQ265" s="34"/>
      <c r="KBR265" s="34"/>
      <c r="KBS265" s="34"/>
      <c r="KBT265" s="34"/>
      <c r="KBU265" s="34"/>
      <c r="KBV265" s="34"/>
      <c r="KBW265" s="34"/>
      <c r="KBX265" s="34"/>
      <c r="KBY265" s="34"/>
      <c r="KBZ265" s="34"/>
      <c r="KCA265" s="34"/>
      <c r="KCB265" s="34"/>
      <c r="KCC265" s="34"/>
      <c r="KCD265" s="34"/>
      <c r="KCE265" s="34"/>
      <c r="KCF265" s="34"/>
      <c r="KCG265" s="34"/>
      <c r="KCH265" s="34"/>
      <c r="KCI265" s="34"/>
      <c r="KCJ265" s="34"/>
      <c r="KCK265" s="34"/>
      <c r="KCL265" s="34"/>
      <c r="KCM265" s="34"/>
      <c r="KCN265" s="34"/>
      <c r="KCO265" s="34"/>
      <c r="KCP265" s="34"/>
      <c r="KCQ265" s="34"/>
      <c r="KCR265" s="34"/>
      <c r="KCS265" s="34"/>
      <c r="KCT265" s="34"/>
      <c r="KCU265" s="34"/>
      <c r="KCV265" s="34"/>
      <c r="KCW265" s="34"/>
      <c r="KCX265" s="34"/>
      <c r="KCY265" s="34"/>
      <c r="KCZ265" s="34"/>
      <c r="KDA265" s="34"/>
      <c r="KDB265" s="34"/>
      <c r="KDC265" s="34"/>
      <c r="KDD265" s="34"/>
      <c r="KDE265" s="34"/>
      <c r="KDF265" s="34"/>
      <c r="KDG265" s="34"/>
      <c r="KDH265" s="34"/>
      <c r="KDI265" s="34"/>
      <c r="KDJ265" s="34"/>
      <c r="KDK265" s="34"/>
      <c r="KDL265" s="34"/>
      <c r="KDM265" s="34"/>
      <c r="KDN265" s="34"/>
      <c r="KDO265" s="34"/>
      <c r="KDP265" s="34"/>
      <c r="KDQ265" s="34"/>
      <c r="KDR265" s="34"/>
      <c r="KDS265" s="34"/>
      <c r="KDT265" s="34"/>
      <c r="KDU265" s="34"/>
      <c r="KDV265" s="34"/>
      <c r="KDW265" s="34"/>
      <c r="KDX265" s="34"/>
      <c r="KDY265" s="34"/>
      <c r="KDZ265" s="34"/>
      <c r="KEA265" s="34"/>
      <c r="KEB265" s="34"/>
      <c r="KEC265" s="34"/>
      <c r="KED265" s="34"/>
      <c r="KEE265" s="34"/>
      <c r="KEF265" s="34"/>
      <c r="KEG265" s="34"/>
      <c r="KEH265" s="34"/>
      <c r="KEI265" s="34"/>
      <c r="KEJ265" s="34"/>
      <c r="KEK265" s="34"/>
      <c r="KEL265" s="34"/>
      <c r="KEM265" s="34"/>
      <c r="KEN265" s="34"/>
      <c r="KEO265" s="34"/>
      <c r="KEP265" s="34"/>
      <c r="KEQ265" s="34"/>
      <c r="KER265" s="34"/>
      <c r="KES265" s="34"/>
      <c r="KET265" s="34"/>
      <c r="KEU265" s="34"/>
      <c r="KEV265" s="34"/>
      <c r="KEW265" s="34"/>
      <c r="KEX265" s="34"/>
      <c r="KEY265" s="34"/>
      <c r="KEZ265" s="34"/>
      <c r="KFA265" s="34"/>
      <c r="KFB265" s="34"/>
      <c r="KFC265" s="34"/>
      <c r="KFD265" s="34"/>
      <c r="KFE265" s="34"/>
      <c r="KFF265" s="34"/>
      <c r="KFG265" s="34"/>
      <c r="KFH265" s="34"/>
      <c r="KFI265" s="34"/>
      <c r="KFJ265" s="34"/>
      <c r="KFK265" s="34"/>
      <c r="KFL265" s="34"/>
      <c r="KFM265" s="34"/>
      <c r="KFN265" s="34"/>
      <c r="KFO265" s="34"/>
      <c r="KFP265" s="34"/>
      <c r="KFQ265" s="34"/>
      <c r="KFR265" s="34"/>
      <c r="KFS265" s="34"/>
      <c r="KFT265" s="34"/>
      <c r="KFU265" s="34"/>
      <c r="KFV265" s="34"/>
      <c r="KFW265" s="34"/>
      <c r="KFX265" s="34"/>
      <c r="KFY265" s="34"/>
      <c r="KFZ265" s="34"/>
      <c r="KGA265" s="34"/>
      <c r="KGB265" s="34"/>
      <c r="KGC265" s="34"/>
      <c r="KGD265" s="34"/>
      <c r="KGE265" s="34"/>
      <c r="KGF265" s="34"/>
      <c r="KGG265" s="34"/>
      <c r="KGH265" s="34"/>
      <c r="KGI265" s="34"/>
      <c r="KGJ265" s="34"/>
      <c r="KGK265" s="34"/>
      <c r="KGL265" s="34"/>
      <c r="KGM265" s="34"/>
      <c r="KGN265" s="34"/>
      <c r="KGO265" s="34"/>
      <c r="KGP265" s="34"/>
      <c r="KGQ265" s="34"/>
      <c r="KGR265" s="34"/>
      <c r="KGS265" s="34"/>
      <c r="KGT265" s="34"/>
      <c r="KGU265" s="34"/>
      <c r="KGV265" s="34"/>
      <c r="KGW265" s="34"/>
      <c r="KGX265" s="34"/>
      <c r="KGY265" s="34"/>
      <c r="KGZ265" s="34"/>
      <c r="KHA265" s="34"/>
      <c r="KHB265" s="34"/>
      <c r="KHC265" s="34"/>
      <c r="KHD265" s="34"/>
      <c r="KHE265" s="34"/>
      <c r="KHF265" s="34"/>
      <c r="KHG265" s="34"/>
      <c r="KHH265" s="34"/>
      <c r="KHI265" s="34"/>
      <c r="KHJ265" s="34"/>
      <c r="KHK265" s="34"/>
      <c r="KHL265" s="34"/>
      <c r="KHM265" s="34"/>
      <c r="KHN265" s="34"/>
      <c r="KHO265" s="34"/>
      <c r="KHP265" s="34"/>
      <c r="KHQ265" s="34"/>
      <c r="KHR265" s="34"/>
      <c r="KHS265" s="34"/>
      <c r="KHT265" s="34"/>
      <c r="KHU265" s="34"/>
      <c r="KHV265" s="34"/>
      <c r="KHW265" s="34"/>
      <c r="KHX265" s="34"/>
      <c r="KHY265" s="34"/>
      <c r="KHZ265" s="34"/>
      <c r="KIA265" s="34"/>
      <c r="KIB265" s="34"/>
      <c r="KIC265" s="34"/>
      <c r="KID265" s="34"/>
      <c r="KIE265" s="34"/>
      <c r="KIF265" s="34"/>
      <c r="KIG265" s="34"/>
      <c r="KIH265" s="34"/>
      <c r="KII265" s="34"/>
      <c r="KIJ265" s="34"/>
      <c r="KIK265" s="34"/>
      <c r="KIL265" s="34"/>
      <c r="KIM265" s="34"/>
      <c r="KIN265" s="34"/>
      <c r="KIO265" s="34"/>
      <c r="KIP265" s="34"/>
      <c r="KIQ265" s="34"/>
      <c r="KIR265" s="34"/>
      <c r="KIS265" s="34"/>
      <c r="KIT265" s="34"/>
      <c r="KIU265" s="34"/>
      <c r="KIV265" s="34"/>
      <c r="KIW265" s="34"/>
      <c r="KIX265" s="34"/>
      <c r="KIY265" s="34"/>
      <c r="KIZ265" s="34"/>
      <c r="KJA265" s="34"/>
      <c r="KJB265" s="34"/>
      <c r="KJC265" s="34"/>
      <c r="KJD265" s="34"/>
      <c r="KJE265" s="34"/>
      <c r="KJF265" s="34"/>
      <c r="KJG265" s="34"/>
      <c r="KJH265" s="34"/>
      <c r="KJI265" s="34"/>
      <c r="KJJ265" s="34"/>
      <c r="KJK265" s="34"/>
      <c r="KJL265" s="34"/>
      <c r="KJM265" s="34"/>
      <c r="KJN265" s="34"/>
      <c r="KJO265" s="34"/>
      <c r="KJP265" s="34"/>
      <c r="KJQ265" s="34"/>
      <c r="KJR265" s="34"/>
      <c r="KJS265" s="34"/>
      <c r="KJT265" s="34"/>
      <c r="KJU265" s="34"/>
      <c r="KJV265" s="34"/>
      <c r="KJW265" s="34"/>
      <c r="KJX265" s="34"/>
      <c r="KJY265" s="34"/>
      <c r="KJZ265" s="34"/>
      <c r="KKA265" s="34"/>
      <c r="KKB265" s="34"/>
      <c r="KKC265" s="34"/>
      <c r="KKD265" s="34"/>
      <c r="KKE265" s="34"/>
      <c r="KKF265" s="34"/>
      <c r="KKG265" s="34"/>
      <c r="KKH265" s="34"/>
      <c r="KKI265" s="34"/>
      <c r="KKJ265" s="34"/>
      <c r="KKK265" s="34"/>
      <c r="KKL265" s="34"/>
      <c r="KKM265" s="34"/>
      <c r="KKN265" s="34"/>
      <c r="KKO265" s="34"/>
      <c r="KKP265" s="34"/>
      <c r="KKQ265" s="34"/>
      <c r="KKR265" s="34"/>
      <c r="KKS265" s="34"/>
      <c r="KKT265" s="34"/>
      <c r="KKU265" s="34"/>
      <c r="KKV265" s="34"/>
      <c r="KKW265" s="34"/>
      <c r="KKX265" s="34"/>
      <c r="KKY265" s="34"/>
      <c r="KKZ265" s="34"/>
      <c r="KLA265" s="34"/>
      <c r="KLB265" s="34"/>
      <c r="KLC265" s="34"/>
      <c r="KLD265" s="34"/>
      <c r="KLE265" s="34"/>
      <c r="KLF265" s="34"/>
      <c r="KLG265" s="34"/>
      <c r="KLH265" s="34"/>
      <c r="KLI265" s="34"/>
      <c r="KLJ265" s="34"/>
      <c r="KLK265" s="34"/>
      <c r="KLL265" s="34"/>
      <c r="KLM265" s="34"/>
      <c r="KLN265" s="34"/>
      <c r="KLO265" s="34"/>
      <c r="KLP265" s="34"/>
      <c r="KLQ265" s="34"/>
      <c r="KLR265" s="34"/>
      <c r="KLS265" s="34"/>
      <c r="KLT265" s="34"/>
      <c r="KLU265" s="34"/>
      <c r="KLV265" s="34"/>
      <c r="KLW265" s="34"/>
      <c r="KLX265" s="34"/>
      <c r="KLY265" s="34"/>
      <c r="KLZ265" s="34"/>
      <c r="KMA265" s="34"/>
      <c r="KMB265" s="34"/>
      <c r="KMC265" s="34"/>
      <c r="KMD265" s="34"/>
      <c r="KME265" s="34"/>
      <c r="KMF265" s="34"/>
      <c r="KMG265" s="34"/>
      <c r="KMH265" s="34"/>
      <c r="KMI265" s="34"/>
      <c r="KMJ265" s="34"/>
      <c r="KMK265" s="34"/>
      <c r="KML265" s="34"/>
      <c r="KMM265" s="34"/>
      <c r="KMN265" s="34"/>
      <c r="KMO265" s="34"/>
      <c r="KMP265" s="34"/>
      <c r="KMQ265" s="34"/>
      <c r="KMR265" s="34"/>
      <c r="KMS265" s="34"/>
      <c r="KMT265" s="34"/>
      <c r="KMU265" s="34"/>
      <c r="KMV265" s="34"/>
      <c r="KMW265" s="34"/>
      <c r="KMX265" s="34"/>
      <c r="KMY265" s="34"/>
      <c r="KMZ265" s="34"/>
      <c r="KNA265" s="34"/>
      <c r="KNB265" s="34"/>
      <c r="KNC265" s="34"/>
      <c r="KND265" s="34"/>
      <c r="KNE265" s="34"/>
      <c r="KNF265" s="34"/>
      <c r="KNG265" s="34"/>
      <c r="KNH265" s="34"/>
      <c r="KNI265" s="34"/>
      <c r="KNJ265" s="34"/>
      <c r="KNK265" s="34"/>
      <c r="KNL265" s="34"/>
      <c r="KNM265" s="34"/>
      <c r="KNN265" s="34"/>
      <c r="KNO265" s="34"/>
      <c r="KNP265" s="34"/>
      <c r="KNQ265" s="34"/>
      <c r="KNR265" s="34"/>
      <c r="KNS265" s="34"/>
      <c r="KNT265" s="34"/>
      <c r="KNU265" s="34"/>
      <c r="KNV265" s="34"/>
      <c r="KNW265" s="34"/>
      <c r="KNX265" s="34"/>
      <c r="KNY265" s="34"/>
      <c r="KNZ265" s="34"/>
      <c r="KOA265" s="34"/>
      <c r="KOB265" s="34"/>
      <c r="KOC265" s="34"/>
      <c r="KOD265" s="34"/>
      <c r="KOE265" s="34"/>
      <c r="KOF265" s="34"/>
      <c r="KOG265" s="34"/>
      <c r="KOH265" s="34"/>
      <c r="KOI265" s="34"/>
      <c r="KOJ265" s="34"/>
      <c r="KOK265" s="34"/>
      <c r="KOL265" s="34"/>
      <c r="KOM265" s="34"/>
      <c r="KON265" s="34"/>
      <c r="KOO265" s="34"/>
      <c r="KOP265" s="34"/>
      <c r="KOQ265" s="34"/>
      <c r="KOR265" s="34"/>
      <c r="KOS265" s="34"/>
      <c r="KOT265" s="34"/>
      <c r="KOU265" s="34"/>
      <c r="KOV265" s="34"/>
      <c r="KOW265" s="34"/>
      <c r="KOX265" s="34"/>
      <c r="KOY265" s="34"/>
      <c r="KOZ265" s="34"/>
      <c r="KPA265" s="34"/>
      <c r="KPB265" s="34"/>
      <c r="KPC265" s="34"/>
      <c r="KPD265" s="34"/>
      <c r="KPE265" s="34"/>
      <c r="KPF265" s="34"/>
      <c r="KPG265" s="34"/>
      <c r="KPH265" s="34"/>
      <c r="KPI265" s="34"/>
      <c r="KPJ265" s="34"/>
      <c r="KPK265" s="34"/>
      <c r="KPL265" s="34"/>
      <c r="KPM265" s="34"/>
      <c r="KPN265" s="34"/>
      <c r="KPO265" s="34"/>
      <c r="KPP265" s="34"/>
      <c r="KPQ265" s="34"/>
      <c r="KPR265" s="34"/>
      <c r="KPS265" s="34"/>
      <c r="KPT265" s="34"/>
      <c r="KPU265" s="34"/>
      <c r="KPV265" s="34"/>
      <c r="KPW265" s="34"/>
      <c r="KPX265" s="34"/>
      <c r="KPY265" s="34"/>
      <c r="KPZ265" s="34"/>
      <c r="KQA265" s="34"/>
      <c r="KQB265" s="34"/>
      <c r="KQC265" s="34"/>
      <c r="KQD265" s="34"/>
      <c r="KQE265" s="34"/>
      <c r="KQF265" s="34"/>
      <c r="KQG265" s="34"/>
      <c r="KQH265" s="34"/>
      <c r="KQI265" s="34"/>
      <c r="KQJ265" s="34"/>
      <c r="KQK265" s="34"/>
      <c r="KQL265" s="34"/>
      <c r="KQM265" s="34"/>
      <c r="KQN265" s="34"/>
      <c r="KQO265" s="34"/>
      <c r="KQP265" s="34"/>
      <c r="KQQ265" s="34"/>
      <c r="KQR265" s="34"/>
      <c r="KQS265" s="34"/>
      <c r="KQT265" s="34"/>
      <c r="KQU265" s="34"/>
      <c r="KQV265" s="34"/>
      <c r="KQW265" s="34"/>
      <c r="KQX265" s="34"/>
      <c r="KQY265" s="34"/>
      <c r="KQZ265" s="34"/>
      <c r="KRA265" s="34"/>
      <c r="KRB265" s="34"/>
      <c r="KRC265" s="34"/>
      <c r="KRD265" s="34"/>
      <c r="KRE265" s="34"/>
      <c r="KRF265" s="34"/>
      <c r="KRG265" s="34"/>
      <c r="KRH265" s="34"/>
      <c r="KRI265" s="34"/>
      <c r="KRJ265" s="34"/>
      <c r="KRK265" s="34"/>
      <c r="KRL265" s="34"/>
      <c r="KRM265" s="34"/>
      <c r="KRN265" s="34"/>
      <c r="KRO265" s="34"/>
      <c r="KRP265" s="34"/>
      <c r="KRQ265" s="34"/>
      <c r="KRR265" s="34"/>
      <c r="KRS265" s="34"/>
      <c r="KRT265" s="34"/>
      <c r="KRU265" s="34"/>
      <c r="KRV265" s="34"/>
      <c r="KRW265" s="34"/>
      <c r="KRX265" s="34"/>
      <c r="KRY265" s="34"/>
      <c r="KRZ265" s="34"/>
      <c r="KSA265" s="34"/>
      <c r="KSB265" s="34"/>
      <c r="KSC265" s="34"/>
      <c r="KSD265" s="34"/>
      <c r="KSE265" s="34"/>
      <c r="KSF265" s="34"/>
      <c r="KSG265" s="34"/>
      <c r="KSH265" s="34"/>
      <c r="KSI265" s="34"/>
      <c r="KSJ265" s="34"/>
      <c r="KSK265" s="34"/>
      <c r="KSL265" s="34"/>
      <c r="KSM265" s="34"/>
      <c r="KSN265" s="34"/>
      <c r="KSO265" s="34"/>
      <c r="KSP265" s="34"/>
      <c r="KSQ265" s="34"/>
      <c r="KSR265" s="34"/>
      <c r="KSS265" s="34"/>
      <c r="KST265" s="34"/>
      <c r="KSU265" s="34"/>
      <c r="KSV265" s="34"/>
      <c r="KSW265" s="34"/>
      <c r="KSX265" s="34"/>
      <c r="KSY265" s="34"/>
      <c r="KSZ265" s="34"/>
      <c r="KTA265" s="34"/>
      <c r="KTB265" s="34"/>
      <c r="KTC265" s="34"/>
      <c r="KTD265" s="34"/>
      <c r="KTE265" s="34"/>
      <c r="KTF265" s="34"/>
      <c r="KTG265" s="34"/>
      <c r="KTH265" s="34"/>
      <c r="KTI265" s="34"/>
      <c r="KTJ265" s="34"/>
      <c r="KTK265" s="34"/>
      <c r="KTL265" s="34"/>
      <c r="KTM265" s="34"/>
      <c r="KTN265" s="34"/>
      <c r="KTO265" s="34"/>
      <c r="KTP265" s="34"/>
      <c r="KTQ265" s="34"/>
      <c r="KTR265" s="34"/>
      <c r="KTS265" s="34"/>
      <c r="KTT265" s="34"/>
      <c r="KTU265" s="34"/>
      <c r="KTV265" s="34"/>
      <c r="KTW265" s="34"/>
      <c r="KTX265" s="34"/>
      <c r="KTY265" s="34"/>
      <c r="KTZ265" s="34"/>
      <c r="KUA265" s="34"/>
      <c r="KUB265" s="34"/>
      <c r="KUC265" s="34"/>
      <c r="KUD265" s="34"/>
      <c r="KUE265" s="34"/>
      <c r="KUF265" s="34"/>
      <c r="KUG265" s="34"/>
      <c r="KUH265" s="34"/>
      <c r="KUI265" s="34"/>
      <c r="KUJ265" s="34"/>
      <c r="KUK265" s="34"/>
      <c r="KUL265" s="34"/>
      <c r="KUM265" s="34"/>
      <c r="KUN265" s="34"/>
      <c r="KUO265" s="34"/>
      <c r="KUP265" s="34"/>
      <c r="KUQ265" s="34"/>
      <c r="KUR265" s="34"/>
      <c r="KUS265" s="34"/>
      <c r="KUT265" s="34"/>
      <c r="KUU265" s="34"/>
      <c r="KUV265" s="34"/>
      <c r="KUW265" s="34"/>
      <c r="KUX265" s="34"/>
      <c r="KUY265" s="34"/>
      <c r="KUZ265" s="34"/>
      <c r="KVA265" s="34"/>
      <c r="KVB265" s="34"/>
      <c r="KVC265" s="34"/>
      <c r="KVD265" s="34"/>
      <c r="KVE265" s="34"/>
      <c r="KVF265" s="34"/>
      <c r="KVG265" s="34"/>
      <c r="KVH265" s="34"/>
      <c r="KVI265" s="34"/>
      <c r="KVJ265" s="34"/>
      <c r="KVK265" s="34"/>
      <c r="KVL265" s="34"/>
      <c r="KVM265" s="34"/>
      <c r="KVN265" s="34"/>
      <c r="KVO265" s="34"/>
      <c r="KVP265" s="34"/>
      <c r="KVQ265" s="34"/>
      <c r="KVR265" s="34"/>
      <c r="KVS265" s="34"/>
      <c r="KVT265" s="34"/>
      <c r="KVU265" s="34"/>
      <c r="KVV265" s="34"/>
      <c r="KVW265" s="34"/>
      <c r="KVX265" s="34"/>
      <c r="KVY265" s="34"/>
      <c r="KVZ265" s="34"/>
      <c r="KWA265" s="34"/>
      <c r="KWB265" s="34"/>
      <c r="KWC265" s="34"/>
      <c r="KWD265" s="34"/>
      <c r="KWE265" s="34"/>
      <c r="KWF265" s="34"/>
      <c r="KWG265" s="34"/>
      <c r="KWH265" s="34"/>
      <c r="KWI265" s="34"/>
      <c r="KWJ265" s="34"/>
      <c r="KWK265" s="34"/>
      <c r="KWL265" s="34"/>
      <c r="KWM265" s="34"/>
      <c r="KWN265" s="34"/>
      <c r="KWO265" s="34"/>
      <c r="KWP265" s="34"/>
      <c r="KWQ265" s="34"/>
      <c r="KWR265" s="34"/>
      <c r="KWS265" s="34"/>
      <c r="KWT265" s="34"/>
      <c r="KWU265" s="34"/>
      <c r="KWV265" s="34"/>
      <c r="KWW265" s="34"/>
      <c r="KWX265" s="34"/>
      <c r="KWY265" s="34"/>
      <c r="KWZ265" s="34"/>
      <c r="KXA265" s="34"/>
      <c r="KXB265" s="34"/>
      <c r="KXC265" s="34"/>
      <c r="KXD265" s="34"/>
      <c r="KXE265" s="34"/>
      <c r="KXF265" s="34"/>
      <c r="KXG265" s="34"/>
      <c r="KXH265" s="34"/>
      <c r="KXI265" s="34"/>
      <c r="KXJ265" s="34"/>
      <c r="KXK265" s="34"/>
      <c r="KXL265" s="34"/>
      <c r="KXM265" s="34"/>
      <c r="KXN265" s="34"/>
      <c r="KXO265" s="34"/>
      <c r="KXP265" s="34"/>
      <c r="KXQ265" s="34"/>
      <c r="KXR265" s="34"/>
      <c r="KXS265" s="34"/>
      <c r="KXT265" s="34"/>
      <c r="KXU265" s="34"/>
      <c r="KXV265" s="34"/>
      <c r="KXW265" s="34"/>
      <c r="KXX265" s="34"/>
      <c r="KXY265" s="34"/>
      <c r="KXZ265" s="34"/>
      <c r="KYA265" s="34"/>
      <c r="KYB265" s="34"/>
      <c r="KYC265" s="34"/>
      <c r="KYD265" s="34"/>
      <c r="KYE265" s="34"/>
      <c r="KYF265" s="34"/>
      <c r="KYG265" s="34"/>
      <c r="KYH265" s="34"/>
      <c r="KYI265" s="34"/>
      <c r="KYJ265" s="34"/>
      <c r="KYK265" s="34"/>
      <c r="KYL265" s="34"/>
      <c r="KYM265" s="34"/>
      <c r="KYN265" s="34"/>
      <c r="KYO265" s="34"/>
      <c r="KYP265" s="34"/>
      <c r="KYQ265" s="34"/>
      <c r="KYR265" s="34"/>
      <c r="KYS265" s="34"/>
      <c r="KYT265" s="34"/>
      <c r="KYU265" s="34"/>
      <c r="KYV265" s="34"/>
      <c r="KYW265" s="34"/>
      <c r="KYX265" s="34"/>
      <c r="KYY265" s="34"/>
      <c r="KYZ265" s="34"/>
      <c r="KZA265" s="34"/>
      <c r="KZB265" s="34"/>
      <c r="KZC265" s="34"/>
      <c r="KZD265" s="34"/>
      <c r="KZE265" s="34"/>
      <c r="KZF265" s="34"/>
      <c r="KZG265" s="34"/>
      <c r="KZH265" s="34"/>
      <c r="KZI265" s="34"/>
      <c r="KZJ265" s="34"/>
      <c r="KZK265" s="34"/>
      <c r="KZL265" s="34"/>
      <c r="KZM265" s="34"/>
      <c r="KZN265" s="34"/>
      <c r="KZO265" s="34"/>
      <c r="KZP265" s="34"/>
      <c r="KZQ265" s="34"/>
      <c r="KZR265" s="34"/>
      <c r="KZS265" s="34"/>
      <c r="KZT265" s="34"/>
      <c r="KZU265" s="34"/>
      <c r="KZV265" s="34"/>
      <c r="KZW265" s="34"/>
      <c r="KZX265" s="34"/>
      <c r="KZY265" s="34"/>
      <c r="KZZ265" s="34"/>
      <c r="LAA265" s="34"/>
      <c r="LAB265" s="34"/>
      <c r="LAC265" s="34"/>
      <c r="LAD265" s="34"/>
      <c r="LAE265" s="34"/>
      <c r="LAF265" s="34"/>
      <c r="LAG265" s="34"/>
      <c r="LAH265" s="34"/>
      <c r="LAI265" s="34"/>
      <c r="LAJ265" s="34"/>
      <c r="LAK265" s="34"/>
      <c r="LAL265" s="34"/>
      <c r="LAM265" s="34"/>
      <c r="LAN265" s="34"/>
      <c r="LAO265" s="34"/>
      <c r="LAP265" s="34"/>
      <c r="LAQ265" s="34"/>
      <c r="LAR265" s="34"/>
      <c r="LAS265" s="34"/>
      <c r="LAT265" s="34"/>
      <c r="LAU265" s="34"/>
      <c r="LAV265" s="34"/>
      <c r="LAW265" s="34"/>
      <c r="LAX265" s="34"/>
      <c r="LAY265" s="34"/>
      <c r="LAZ265" s="34"/>
      <c r="LBA265" s="34"/>
      <c r="LBB265" s="34"/>
      <c r="LBC265" s="34"/>
      <c r="LBD265" s="34"/>
      <c r="LBE265" s="34"/>
      <c r="LBF265" s="34"/>
      <c r="LBG265" s="34"/>
      <c r="LBH265" s="34"/>
      <c r="LBI265" s="34"/>
      <c r="LBJ265" s="34"/>
      <c r="LBK265" s="34"/>
      <c r="LBL265" s="34"/>
      <c r="LBM265" s="34"/>
      <c r="LBN265" s="34"/>
      <c r="LBO265" s="34"/>
      <c r="LBP265" s="34"/>
      <c r="LBQ265" s="34"/>
      <c r="LBR265" s="34"/>
      <c r="LBS265" s="34"/>
      <c r="LBT265" s="34"/>
      <c r="LBU265" s="34"/>
      <c r="LBV265" s="34"/>
      <c r="LBW265" s="34"/>
      <c r="LBX265" s="34"/>
      <c r="LBY265" s="34"/>
      <c r="LBZ265" s="34"/>
      <c r="LCA265" s="34"/>
      <c r="LCB265" s="34"/>
      <c r="LCC265" s="34"/>
      <c r="LCD265" s="34"/>
      <c r="LCE265" s="34"/>
      <c r="LCF265" s="34"/>
      <c r="LCG265" s="34"/>
      <c r="LCH265" s="34"/>
      <c r="LCI265" s="34"/>
      <c r="LCJ265" s="34"/>
      <c r="LCK265" s="34"/>
      <c r="LCL265" s="34"/>
      <c r="LCM265" s="34"/>
      <c r="LCN265" s="34"/>
      <c r="LCO265" s="34"/>
      <c r="LCP265" s="34"/>
      <c r="LCQ265" s="34"/>
      <c r="LCR265" s="34"/>
      <c r="LCS265" s="34"/>
      <c r="LCT265" s="34"/>
      <c r="LCU265" s="34"/>
      <c r="LCV265" s="34"/>
      <c r="LCW265" s="34"/>
      <c r="LCX265" s="34"/>
      <c r="LCY265" s="34"/>
      <c r="LCZ265" s="34"/>
      <c r="LDA265" s="34"/>
      <c r="LDB265" s="34"/>
      <c r="LDC265" s="34"/>
      <c r="LDD265" s="34"/>
      <c r="LDE265" s="34"/>
      <c r="LDF265" s="34"/>
      <c r="LDG265" s="34"/>
      <c r="LDH265" s="34"/>
      <c r="LDI265" s="34"/>
      <c r="LDJ265" s="34"/>
      <c r="LDK265" s="34"/>
      <c r="LDL265" s="34"/>
      <c r="LDM265" s="34"/>
      <c r="LDN265" s="34"/>
      <c r="LDO265" s="34"/>
      <c r="LDP265" s="34"/>
      <c r="LDQ265" s="34"/>
      <c r="LDR265" s="34"/>
      <c r="LDS265" s="34"/>
      <c r="LDT265" s="34"/>
      <c r="LDU265" s="34"/>
      <c r="LDV265" s="34"/>
      <c r="LDW265" s="34"/>
      <c r="LDX265" s="34"/>
      <c r="LDY265" s="34"/>
      <c r="LDZ265" s="34"/>
      <c r="LEA265" s="34"/>
      <c r="LEB265" s="34"/>
      <c r="LEC265" s="34"/>
      <c r="LED265" s="34"/>
      <c r="LEE265" s="34"/>
      <c r="LEF265" s="34"/>
      <c r="LEG265" s="34"/>
      <c r="LEH265" s="34"/>
      <c r="LEI265" s="34"/>
      <c r="LEJ265" s="34"/>
      <c r="LEK265" s="34"/>
      <c r="LEL265" s="34"/>
      <c r="LEM265" s="34"/>
      <c r="LEN265" s="34"/>
      <c r="LEO265" s="34"/>
      <c r="LEP265" s="34"/>
      <c r="LEQ265" s="34"/>
      <c r="LER265" s="34"/>
      <c r="LES265" s="34"/>
      <c r="LET265" s="34"/>
      <c r="LEU265" s="34"/>
      <c r="LEV265" s="34"/>
      <c r="LEW265" s="34"/>
      <c r="LEX265" s="34"/>
      <c r="LEY265" s="34"/>
      <c r="LEZ265" s="34"/>
      <c r="LFA265" s="34"/>
      <c r="LFB265" s="34"/>
      <c r="LFC265" s="34"/>
      <c r="LFD265" s="34"/>
      <c r="LFE265" s="34"/>
      <c r="LFF265" s="34"/>
      <c r="LFG265" s="34"/>
      <c r="LFH265" s="34"/>
      <c r="LFI265" s="34"/>
      <c r="LFJ265" s="34"/>
      <c r="LFK265" s="34"/>
      <c r="LFL265" s="34"/>
      <c r="LFM265" s="34"/>
      <c r="LFN265" s="34"/>
      <c r="LFO265" s="34"/>
      <c r="LFP265" s="34"/>
      <c r="LFQ265" s="34"/>
      <c r="LFR265" s="34"/>
      <c r="LFS265" s="34"/>
      <c r="LFT265" s="34"/>
      <c r="LFU265" s="34"/>
      <c r="LFV265" s="34"/>
      <c r="LFW265" s="34"/>
      <c r="LFX265" s="34"/>
      <c r="LFY265" s="34"/>
      <c r="LFZ265" s="34"/>
      <c r="LGA265" s="34"/>
      <c r="LGB265" s="34"/>
      <c r="LGC265" s="34"/>
      <c r="LGD265" s="34"/>
      <c r="LGE265" s="34"/>
      <c r="LGF265" s="34"/>
      <c r="LGG265" s="34"/>
      <c r="LGH265" s="34"/>
      <c r="LGI265" s="34"/>
      <c r="LGJ265" s="34"/>
      <c r="LGK265" s="34"/>
      <c r="LGL265" s="34"/>
      <c r="LGM265" s="34"/>
      <c r="LGN265" s="34"/>
      <c r="LGO265" s="34"/>
      <c r="LGP265" s="34"/>
      <c r="LGQ265" s="34"/>
      <c r="LGR265" s="34"/>
      <c r="LGS265" s="34"/>
      <c r="LGT265" s="34"/>
      <c r="LGU265" s="34"/>
      <c r="LGV265" s="34"/>
      <c r="LGW265" s="34"/>
      <c r="LGX265" s="34"/>
      <c r="LGY265" s="34"/>
      <c r="LGZ265" s="34"/>
      <c r="LHA265" s="34"/>
      <c r="LHB265" s="34"/>
      <c r="LHC265" s="34"/>
      <c r="LHD265" s="34"/>
      <c r="LHE265" s="34"/>
      <c r="LHF265" s="34"/>
      <c r="LHG265" s="34"/>
      <c r="LHH265" s="34"/>
      <c r="LHI265" s="34"/>
      <c r="LHJ265" s="34"/>
      <c r="LHK265" s="34"/>
      <c r="LHL265" s="34"/>
      <c r="LHM265" s="34"/>
      <c r="LHN265" s="34"/>
      <c r="LHO265" s="34"/>
      <c r="LHP265" s="34"/>
      <c r="LHQ265" s="34"/>
      <c r="LHR265" s="34"/>
      <c r="LHS265" s="34"/>
      <c r="LHT265" s="34"/>
      <c r="LHU265" s="34"/>
      <c r="LHV265" s="34"/>
      <c r="LHW265" s="34"/>
      <c r="LHX265" s="34"/>
      <c r="LHY265" s="34"/>
      <c r="LHZ265" s="34"/>
      <c r="LIA265" s="34"/>
      <c r="LIB265" s="34"/>
      <c r="LIC265" s="34"/>
      <c r="LID265" s="34"/>
      <c r="LIE265" s="34"/>
      <c r="LIF265" s="34"/>
      <c r="LIG265" s="34"/>
      <c r="LIH265" s="34"/>
      <c r="LII265" s="34"/>
      <c r="LIJ265" s="34"/>
      <c r="LIK265" s="34"/>
      <c r="LIL265" s="34"/>
      <c r="LIM265" s="34"/>
      <c r="LIN265" s="34"/>
      <c r="LIO265" s="34"/>
      <c r="LIP265" s="34"/>
      <c r="LIQ265" s="34"/>
      <c r="LIR265" s="34"/>
      <c r="LIS265" s="34"/>
      <c r="LIT265" s="34"/>
      <c r="LIU265" s="34"/>
      <c r="LIV265" s="34"/>
      <c r="LIW265" s="34"/>
      <c r="LIX265" s="34"/>
      <c r="LIY265" s="34"/>
      <c r="LIZ265" s="34"/>
      <c r="LJA265" s="34"/>
      <c r="LJB265" s="34"/>
      <c r="LJC265" s="34"/>
      <c r="LJD265" s="34"/>
      <c r="LJE265" s="34"/>
      <c r="LJF265" s="34"/>
      <c r="LJG265" s="34"/>
      <c r="LJH265" s="34"/>
      <c r="LJI265" s="34"/>
      <c r="LJJ265" s="34"/>
      <c r="LJK265" s="34"/>
      <c r="LJL265" s="34"/>
      <c r="LJM265" s="34"/>
      <c r="LJN265" s="34"/>
      <c r="LJO265" s="34"/>
      <c r="LJP265" s="34"/>
      <c r="LJQ265" s="34"/>
      <c r="LJR265" s="34"/>
      <c r="LJS265" s="34"/>
      <c r="LJT265" s="34"/>
      <c r="LJU265" s="34"/>
      <c r="LJV265" s="34"/>
      <c r="LJW265" s="34"/>
      <c r="LJX265" s="34"/>
      <c r="LJY265" s="34"/>
      <c r="LJZ265" s="34"/>
      <c r="LKA265" s="34"/>
      <c r="LKB265" s="34"/>
      <c r="LKC265" s="34"/>
      <c r="LKD265" s="34"/>
      <c r="LKE265" s="34"/>
      <c r="LKF265" s="34"/>
      <c r="LKG265" s="34"/>
      <c r="LKH265" s="34"/>
      <c r="LKI265" s="34"/>
      <c r="LKJ265" s="34"/>
      <c r="LKK265" s="34"/>
      <c r="LKL265" s="34"/>
      <c r="LKM265" s="34"/>
      <c r="LKN265" s="34"/>
      <c r="LKO265" s="34"/>
      <c r="LKP265" s="34"/>
      <c r="LKQ265" s="34"/>
      <c r="LKR265" s="34"/>
      <c r="LKS265" s="34"/>
      <c r="LKT265" s="34"/>
      <c r="LKU265" s="34"/>
      <c r="LKV265" s="34"/>
      <c r="LKW265" s="34"/>
      <c r="LKX265" s="34"/>
      <c r="LKY265" s="34"/>
      <c r="LKZ265" s="34"/>
      <c r="LLA265" s="34"/>
      <c r="LLB265" s="34"/>
      <c r="LLC265" s="34"/>
      <c r="LLD265" s="34"/>
      <c r="LLE265" s="34"/>
      <c r="LLF265" s="34"/>
      <c r="LLG265" s="34"/>
      <c r="LLH265" s="34"/>
      <c r="LLI265" s="34"/>
      <c r="LLJ265" s="34"/>
      <c r="LLK265" s="34"/>
      <c r="LLL265" s="34"/>
      <c r="LLM265" s="34"/>
      <c r="LLN265" s="34"/>
      <c r="LLO265" s="34"/>
      <c r="LLP265" s="34"/>
      <c r="LLQ265" s="34"/>
      <c r="LLR265" s="34"/>
      <c r="LLS265" s="34"/>
      <c r="LLT265" s="34"/>
      <c r="LLU265" s="34"/>
      <c r="LLV265" s="34"/>
      <c r="LLW265" s="34"/>
      <c r="LLX265" s="34"/>
      <c r="LLY265" s="34"/>
      <c r="LLZ265" s="34"/>
      <c r="LMA265" s="34"/>
      <c r="LMB265" s="34"/>
      <c r="LMC265" s="34"/>
      <c r="LMD265" s="34"/>
      <c r="LME265" s="34"/>
      <c r="LMF265" s="34"/>
      <c r="LMG265" s="34"/>
      <c r="LMH265" s="34"/>
      <c r="LMI265" s="34"/>
      <c r="LMJ265" s="34"/>
      <c r="LMK265" s="34"/>
      <c r="LML265" s="34"/>
      <c r="LMM265" s="34"/>
      <c r="LMN265" s="34"/>
      <c r="LMO265" s="34"/>
      <c r="LMP265" s="34"/>
      <c r="LMQ265" s="34"/>
      <c r="LMR265" s="34"/>
      <c r="LMS265" s="34"/>
      <c r="LMT265" s="34"/>
      <c r="LMU265" s="34"/>
      <c r="LMV265" s="34"/>
      <c r="LMW265" s="34"/>
      <c r="LMX265" s="34"/>
      <c r="LMY265" s="34"/>
      <c r="LMZ265" s="34"/>
      <c r="LNA265" s="34"/>
      <c r="LNB265" s="34"/>
      <c r="LNC265" s="34"/>
      <c r="LND265" s="34"/>
      <c r="LNE265" s="34"/>
      <c r="LNF265" s="34"/>
      <c r="LNG265" s="34"/>
      <c r="LNH265" s="34"/>
      <c r="LNI265" s="34"/>
      <c r="LNJ265" s="34"/>
      <c r="LNK265" s="34"/>
      <c r="LNL265" s="34"/>
      <c r="LNM265" s="34"/>
      <c r="LNN265" s="34"/>
      <c r="LNO265" s="34"/>
      <c r="LNP265" s="34"/>
      <c r="LNQ265" s="34"/>
      <c r="LNR265" s="34"/>
      <c r="LNS265" s="34"/>
      <c r="LNT265" s="34"/>
      <c r="LNU265" s="34"/>
      <c r="LNV265" s="34"/>
      <c r="LNW265" s="34"/>
      <c r="LNX265" s="34"/>
      <c r="LNY265" s="34"/>
      <c r="LNZ265" s="34"/>
      <c r="LOA265" s="34"/>
      <c r="LOB265" s="34"/>
      <c r="LOC265" s="34"/>
      <c r="LOD265" s="34"/>
      <c r="LOE265" s="34"/>
      <c r="LOF265" s="34"/>
      <c r="LOG265" s="34"/>
      <c r="LOH265" s="34"/>
      <c r="LOI265" s="34"/>
      <c r="LOJ265" s="34"/>
      <c r="LOK265" s="34"/>
      <c r="LOL265" s="34"/>
      <c r="LOM265" s="34"/>
      <c r="LON265" s="34"/>
      <c r="LOO265" s="34"/>
      <c r="LOP265" s="34"/>
      <c r="LOQ265" s="34"/>
      <c r="LOR265" s="34"/>
      <c r="LOS265" s="34"/>
      <c r="LOT265" s="34"/>
      <c r="LOU265" s="34"/>
      <c r="LOV265" s="34"/>
      <c r="LOW265" s="34"/>
      <c r="LOX265" s="34"/>
      <c r="LOY265" s="34"/>
      <c r="LOZ265" s="34"/>
      <c r="LPA265" s="34"/>
      <c r="LPB265" s="34"/>
      <c r="LPC265" s="34"/>
      <c r="LPD265" s="34"/>
      <c r="LPE265" s="34"/>
      <c r="LPF265" s="34"/>
      <c r="LPG265" s="34"/>
      <c r="LPH265" s="34"/>
      <c r="LPI265" s="34"/>
      <c r="LPJ265" s="34"/>
      <c r="LPK265" s="34"/>
      <c r="LPL265" s="34"/>
      <c r="LPM265" s="34"/>
      <c r="LPN265" s="34"/>
      <c r="LPO265" s="34"/>
      <c r="LPP265" s="34"/>
      <c r="LPQ265" s="34"/>
      <c r="LPR265" s="34"/>
      <c r="LPS265" s="34"/>
      <c r="LPT265" s="34"/>
      <c r="LPU265" s="34"/>
      <c r="LPV265" s="34"/>
      <c r="LPW265" s="34"/>
      <c r="LPX265" s="34"/>
      <c r="LPY265" s="34"/>
      <c r="LPZ265" s="34"/>
      <c r="LQA265" s="34"/>
      <c r="LQB265" s="34"/>
      <c r="LQC265" s="34"/>
      <c r="LQD265" s="34"/>
      <c r="LQE265" s="34"/>
      <c r="LQF265" s="34"/>
      <c r="LQG265" s="34"/>
      <c r="LQH265" s="34"/>
      <c r="LQI265" s="34"/>
      <c r="LQJ265" s="34"/>
      <c r="LQK265" s="34"/>
      <c r="LQL265" s="34"/>
      <c r="LQM265" s="34"/>
      <c r="LQN265" s="34"/>
      <c r="LQO265" s="34"/>
      <c r="LQP265" s="34"/>
      <c r="LQQ265" s="34"/>
      <c r="LQR265" s="34"/>
      <c r="LQS265" s="34"/>
      <c r="LQT265" s="34"/>
      <c r="LQU265" s="34"/>
      <c r="LQV265" s="34"/>
      <c r="LQW265" s="34"/>
      <c r="LQX265" s="34"/>
      <c r="LQY265" s="34"/>
      <c r="LQZ265" s="34"/>
      <c r="LRA265" s="34"/>
      <c r="LRB265" s="34"/>
      <c r="LRC265" s="34"/>
      <c r="LRD265" s="34"/>
      <c r="LRE265" s="34"/>
      <c r="LRF265" s="34"/>
      <c r="LRG265" s="34"/>
      <c r="LRH265" s="34"/>
      <c r="LRI265" s="34"/>
      <c r="LRJ265" s="34"/>
      <c r="LRK265" s="34"/>
      <c r="LRL265" s="34"/>
      <c r="LRM265" s="34"/>
      <c r="LRN265" s="34"/>
      <c r="LRO265" s="34"/>
      <c r="LRP265" s="34"/>
      <c r="LRQ265" s="34"/>
      <c r="LRR265" s="34"/>
      <c r="LRS265" s="34"/>
      <c r="LRT265" s="34"/>
      <c r="LRU265" s="34"/>
      <c r="LRV265" s="34"/>
      <c r="LRW265" s="34"/>
      <c r="LRX265" s="34"/>
      <c r="LRY265" s="34"/>
      <c r="LRZ265" s="34"/>
      <c r="LSA265" s="34"/>
      <c r="LSB265" s="34"/>
      <c r="LSC265" s="34"/>
      <c r="LSD265" s="34"/>
      <c r="LSE265" s="34"/>
      <c r="LSF265" s="34"/>
      <c r="LSG265" s="34"/>
      <c r="LSH265" s="34"/>
      <c r="LSI265" s="34"/>
      <c r="LSJ265" s="34"/>
      <c r="LSK265" s="34"/>
      <c r="LSL265" s="34"/>
      <c r="LSM265" s="34"/>
      <c r="LSN265" s="34"/>
      <c r="LSO265" s="34"/>
      <c r="LSP265" s="34"/>
      <c r="LSQ265" s="34"/>
      <c r="LSR265" s="34"/>
      <c r="LSS265" s="34"/>
      <c r="LST265" s="34"/>
      <c r="LSU265" s="34"/>
      <c r="LSV265" s="34"/>
      <c r="LSW265" s="34"/>
      <c r="LSX265" s="34"/>
      <c r="LSY265" s="34"/>
      <c r="LSZ265" s="34"/>
      <c r="LTA265" s="34"/>
      <c r="LTB265" s="34"/>
      <c r="LTC265" s="34"/>
      <c r="LTD265" s="34"/>
      <c r="LTE265" s="34"/>
      <c r="LTF265" s="34"/>
      <c r="LTG265" s="34"/>
      <c r="LTH265" s="34"/>
      <c r="LTI265" s="34"/>
      <c r="LTJ265" s="34"/>
      <c r="LTK265" s="34"/>
      <c r="LTL265" s="34"/>
      <c r="LTM265" s="34"/>
      <c r="LTN265" s="34"/>
      <c r="LTO265" s="34"/>
      <c r="LTP265" s="34"/>
      <c r="LTQ265" s="34"/>
      <c r="LTR265" s="34"/>
      <c r="LTS265" s="34"/>
      <c r="LTT265" s="34"/>
      <c r="LTU265" s="34"/>
      <c r="LTV265" s="34"/>
      <c r="LTW265" s="34"/>
      <c r="LTX265" s="34"/>
      <c r="LTY265" s="34"/>
      <c r="LTZ265" s="34"/>
      <c r="LUA265" s="34"/>
      <c r="LUB265" s="34"/>
      <c r="LUC265" s="34"/>
      <c r="LUD265" s="34"/>
      <c r="LUE265" s="34"/>
      <c r="LUF265" s="34"/>
      <c r="LUG265" s="34"/>
      <c r="LUH265" s="34"/>
      <c r="LUI265" s="34"/>
      <c r="LUJ265" s="34"/>
      <c r="LUK265" s="34"/>
      <c r="LUL265" s="34"/>
      <c r="LUM265" s="34"/>
      <c r="LUN265" s="34"/>
      <c r="LUO265" s="34"/>
      <c r="LUP265" s="34"/>
      <c r="LUQ265" s="34"/>
      <c r="LUR265" s="34"/>
      <c r="LUS265" s="34"/>
      <c r="LUT265" s="34"/>
      <c r="LUU265" s="34"/>
      <c r="LUV265" s="34"/>
      <c r="LUW265" s="34"/>
      <c r="LUX265" s="34"/>
      <c r="LUY265" s="34"/>
      <c r="LUZ265" s="34"/>
      <c r="LVA265" s="34"/>
      <c r="LVB265" s="34"/>
      <c r="LVC265" s="34"/>
      <c r="LVD265" s="34"/>
      <c r="LVE265" s="34"/>
      <c r="LVF265" s="34"/>
      <c r="LVG265" s="34"/>
      <c r="LVH265" s="34"/>
      <c r="LVI265" s="34"/>
      <c r="LVJ265" s="34"/>
      <c r="LVK265" s="34"/>
      <c r="LVL265" s="34"/>
      <c r="LVM265" s="34"/>
      <c r="LVN265" s="34"/>
      <c r="LVO265" s="34"/>
      <c r="LVP265" s="34"/>
      <c r="LVQ265" s="34"/>
      <c r="LVR265" s="34"/>
      <c r="LVS265" s="34"/>
      <c r="LVT265" s="34"/>
      <c r="LVU265" s="34"/>
      <c r="LVV265" s="34"/>
      <c r="LVW265" s="34"/>
      <c r="LVX265" s="34"/>
      <c r="LVY265" s="34"/>
      <c r="LVZ265" s="34"/>
      <c r="LWA265" s="34"/>
      <c r="LWB265" s="34"/>
      <c r="LWC265" s="34"/>
      <c r="LWD265" s="34"/>
      <c r="LWE265" s="34"/>
      <c r="LWF265" s="34"/>
      <c r="LWG265" s="34"/>
      <c r="LWH265" s="34"/>
      <c r="LWI265" s="34"/>
      <c r="LWJ265" s="34"/>
      <c r="LWK265" s="34"/>
      <c r="LWL265" s="34"/>
      <c r="LWM265" s="34"/>
      <c r="LWN265" s="34"/>
      <c r="LWO265" s="34"/>
      <c r="LWP265" s="34"/>
      <c r="LWQ265" s="34"/>
      <c r="LWR265" s="34"/>
      <c r="LWS265" s="34"/>
      <c r="LWT265" s="34"/>
      <c r="LWU265" s="34"/>
      <c r="LWV265" s="34"/>
      <c r="LWW265" s="34"/>
      <c r="LWX265" s="34"/>
      <c r="LWY265" s="34"/>
      <c r="LWZ265" s="34"/>
      <c r="LXA265" s="34"/>
      <c r="LXB265" s="34"/>
      <c r="LXC265" s="34"/>
      <c r="LXD265" s="34"/>
      <c r="LXE265" s="34"/>
      <c r="LXF265" s="34"/>
      <c r="LXG265" s="34"/>
      <c r="LXH265" s="34"/>
      <c r="LXI265" s="34"/>
      <c r="LXJ265" s="34"/>
      <c r="LXK265" s="34"/>
      <c r="LXL265" s="34"/>
      <c r="LXM265" s="34"/>
      <c r="LXN265" s="34"/>
      <c r="LXO265" s="34"/>
      <c r="LXP265" s="34"/>
      <c r="LXQ265" s="34"/>
      <c r="LXR265" s="34"/>
      <c r="LXS265" s="34"/>
      <c r="LXT265" s="34"/>
      <c r="LXU265" s="34"/>
      <c r="LXV265" s="34"/>
      <c r="LXW265" s="34"/>
      <c r="LXX265" s="34"/>
      <c r="LXY265" s="34"/>
      <c r="LXZ265" s="34"/>
      <c r="LYA265" s="34"/>
      <c r="LYB265" s="34"/>
      <c r="LYC265" s="34"/>
      <c r="LYD265" s="34"/>
      <c r="LYE265" s="34"/>
      <c r="LYF265" s="34"/>
      <c r="LYG265" s="34"/>
      <c r="LYH265" s="34"/>
      <c r="LYI265" s="34"/>
      <c r="LYJ265" s="34"/>
      <c r="LYK265" s="34"/>
      <c r="LYL265" s="34"/>
      <c r="LYM265" s="34"/>
      <c r="LYN265" s="34"/>
      <c r="LYO265" s="34"/>
      <c r="LYP265" s="34"/>
      <c r="LYQ265" s="34"/>
      <c r="LYR265" s="34"/>
      <c r="LYS265" s="34"/>
      <c r="LYT265" s="34"/>
      <c r="LYU265" s="34"/>
      <c r="LYV265" s="34"/>
      <c r="LYW265" s="34"/>
      <c r="LYX265" s="34"/>
      <c r="LYY265" s="34"/>
      <c r="LYZ265" s="34"/>
      <c r="LZA265" s="34"/>
      <c r="LZB265" s="34"/>
      <c r="LZC265" s="34"/>
      <c r="LZD265" s="34"/>
      <c r="LZE265" s="34"/>
      <c r="LZF265" s="34"/>
      <c r="LZG265" s="34"/>
      <c r="LZH265" s="34"/>
      <c r="LZI265" s="34"/>
      <c r="LZJ265" s="34"/>
      <c r="LZK265" s="34"/>
      <c r="LZL265" s="34"/>
      <c r="LZM265" s="34"/>
      <c r="LZN265" s="34"/>
      <c r="LZO265" s="34"/>
      <c r="LZP265" s="34"/>
      <c r="LZQ265" s="34"/>
      <c r="LZR265" s="34"/>
      <c r="LZS265" s="34"/>
      <c r="LZT265" s="34"/>
      <c r="LZU265" s="34"/>
      <c r="LZV265" s="34"/>
      <c r="LZW265" s="34"/>
      <c r="LZX265" s="34"/>
      <c r="LZY265" s="34"/>
      <c r="LZZ265" s="34"/>
      <c r="MAA265" s="34"/>
      <c r="MAB265" s="34"/>
      <c r="MAC265" s="34"/>
      <c r="MAD265" s="34"/>
      <c r="MAE265" s="34"/>
      <c r="MAF265" s="34"/>
      <c r="MAG265" s="34"/>
      <c r="MAH265" s="34"/>
      <c r="MAI265" s="34"/>
      <c r="MAJ265" s="34"/>
      <c r="MAK265" s="34"/>
      <c r="MAL265" s="34"/>
      <c r="MAM265" s="34"/>
      <c r="MAN265" s="34"/>
      <c r="MAO265" s="34"/>
      <c r="MAP265" s="34"/>
      <c r="MAQ265" s="34"/>
      <c r="MAR265" s="34"/>
      <c r="MAS265" s="34"/>
      <c r="MAT265" s="34"/>
      <c r="MAU265" s="34"/>
      <c r="MAV265" s="34"/>
      <c r="MAW265" s="34"/>
      <c r="MAX265" s="34"/>
      <c r="MAY265" s="34"/>
      <c r="MAZ265" s="34"/>
      <c r="MBA265" s="34"/>
      <c r="MBB265" s="34"/>
      <c r="MBC265" s="34"/>
      <c r="MBD265" s="34"/>
      <c r="MBE265" s="34"/>
      <c r="MBF265" s="34"/>
      <c r="MBG265" s="34"/>
      <c r="MBH265" s="34"/>
      <c r="MBI265" s="34"/>
      <c r="MBJ265" s="34"/>
      <c r="MBK265" s="34"/>
      <c r="MBL265" s="34"/>
      <c r="MBM265" s="34"/>
      <c r="MBN265" s="34"/>
      <c r="MBO265" s="34"/>
      <c r="MBP265" s="34"/>
      <c r="MBQ265" s="34"/>
      <c r="MBR265" s="34"/>
      <c r="MBS265" s="34"/>
      <c r="MBT265" s="34"/>
      <c r="MBU265" s="34"/>
      <c r="MBV265" s="34"/>
      <c r="MBW265" s="34"/>
      <c r="MBX265" s="34"/>
      <c r="MBY265" s="34"/>
      <c r="MBZ265" s="34"/>
      <c r="MCA265" s="34"/>
      <c r="MCB265" s="34"/>
      <c r="MCC265" s="34"/>
      <c r="MCD265" s="34"/>
      <c r="MCE265" s="34"/>
      <c r="MCF265" s="34"/>
      <c r="MCG265" s="34"/>
      <c r="MCH265" s="34"/>
      <c r="MCI265" s="34"/>
      <c r="MCJ265" s="34"/>
      <c r="MCK265" s="34"/>
      <c r="MCL265" s="34"/>
      <c r="MCM265" s="34"/>
      <c r="MCN265" s="34"/>
      <c r="MCO265" s="34"/>
      <c r="MCP265" s="34"/>
      <c r="MCQ265" s="34"/>
      <c r="MCR265" s="34"/>
      <c r="MCS265" s="34"/>
      <c r="MCT265" s="34"/>
      <c r="MCU265" s="34"/>
      <c r="MCV265" s="34"/>
      <c r="MCW265" s="34"/>
      <c r="MCX265" s="34"/>
      <c r="MCY265" s="34"/>
      <c r="MCZ265" s="34"/>
      <c r="MDA265" s="34"/>
      <c r="MDB265" s="34"/>
      <c r="MDC265" s="34"/>
      <c r="MDD265" s="34"/>
      <c r="MDE265" s="34"/>
      <c r="MDF265" s="34"/>
      <c r="MDG265" s="34"/>
      <c r="MDH265" s="34"/>
      <c r="MDI265" s="34"/>
      <c r="MDJ265" s="34"/>
      <c r="MDK265" s="34"/>
      <c r="MDL265" s="34"/>
      <c r="MDM265" s="34"/>
      <c r="MDN265" s="34"/>
      <c r="MDO265" s="34"/>
      <c r="MDP265" s="34"/>
      <c r="MDQ265" s="34"/>
      <c r="MDR265" s="34"/>
      <c r="MDS265" s="34"/>
      <c r="MDT265" s="34"/>
      <c r="MDU265" s="34"/>
      <c r="MDV265" s="34"/>
      <c r="MDW265" s="34"/>
      <c r="MDX265" s="34"/>
      <c r="MDY265" s="34"/>
      <c r="MDZ265" s="34"/>
      <c r="MEA265" s="34"/>
      <c r="MEB265" s="34"/>
      <c r="MEC265" s="34"/>
      <c r="MED265" s="34"/>
      <c r="MEE265" s="34"/>
      <c r="MEF265" s="34"/>
      <c r="MEG265" s="34"/>
      <c r="MEH265" s="34"/>
      <c r="MEI265" s="34"/>
      <c r="MEJ265" s="34"/>
      <c r="MEK265" s="34"/>
      <c r="MEL265" s="34"/>
      <c r="MEM265" s="34"/>
      <c r="MEN265" s="34"/>
      <c r="MEO265" s="34"/>
      <c r="MEP265" s="34"/>
      <c r="MEQ265" s="34"/>
      <c r="MER265" s="34"/>
      <c r="MES265" s="34"/>
      <c r="MET265" s="34"/>
      <c r="MEU265" s="34"/>
      <c r="MEV265" s="34"/>
      <c r="MEW265" s="34"/>
      <c r="MEX265" s="34"/>
      <c r="MEY265" s="34"/>
      <c r="MEZ265" s="34"/>
      <c r="MFA265" s="34"/>
      <c r="MFB265" s="34"/>
      <c r="MFC265" s="34"/>
      <c r="MFD265" s="34"/>
      <c r="MFE265" s="34"/>
      <c r="MFF265" s="34"/>
      <c r="MFG265" s="34"/>
      <c r="MFH265" s="34"/>
      <c r="MFI265" s="34"/>
      <c r="MFJ265" s="34"/>
      <c r="MFK265" s="34"/>
      <c r="MFL265" s="34"/>
      <c r="MFM265" s="34"/>
      <c r="MFN265" s="34"/>
      <c r="MFO265" s="34"/>
      <c r="MFP265" s="34"/>
      <c r="MFQ265" s="34"/>
      <c r="MFR265" s="34"/>
      <c r="MFS265" s="34"/>
      <c r="MFT265" s="34"/>
      <c r="MFU265" s="34"/>
      <c r="MFV265" s="34"/>
      <c r="MFW265" s="34"/>
      <c r="MFX265" s="34"/>
      <c r="MFY265" s="34"/>
      <c r="MFZ265" s="34"/>
      <c r="MGA265" s="34"/>
      <c r="MGB265" s="34"/>
      <c r="MGC265" s="34"/>
      <c r="MGD265" s="34"/>
      <c r="MGE265" s="34"/>
      <c r="MGF265" s="34"/>
      <c r="MGG265" s="34"/>
      <c r="MGH265" s="34"/>
      <c r="MGI265" s="34"/>
      <c r="MGJ265" s="34"/>
      <c r="MGK265" s="34"/>
      <c r="MGL265" s="34"/>
      <c r="MGM265" s="34"/>
      <c r="MGN265" s="34"/>
      <c r="MGO265" s="34"/>
      <c r="MGP265" s="34"/>
      <c r="MGQ265" s="34"/>
      <c r="MGR265" s="34"/>
      <c r="MGS265" s="34"/>
      <c r="MGT265" s="34"/>
      <c r="MGU265" s="34"/>
      <c r="MGV265" s="34"/>
      <c r="MGW265" s="34"/>
      <c r="MGX265" s="34"/>
      <c r="MGY265" s="34"/>
      <c r="MGZ265" s="34"/>
      <c r="MHA265" s="34"/>
      <c r="MHB265" s="34"/>
      <c r="MHC265" s="34"/>
      <c r="MHD265" s="34"/>
      <c r="MHE265" s="34"/>
      <c r="MHF265" s="34"/>
      <c r="MHG265" s="34"/>
      <c r="MHH265" s="34"/>
      <c r="MHI265" s="34"/>
      <c r="MHJ265" s="34"/>
      <c r="MHK265" s="34"/>
      <c r="MHL265" s="34"/>
      <c r="MHM265" s="34"/>
      <c r="MHN265" s="34"/>
      <c r="MHO265" s="34"/>
      <c r="MHP265" s="34"/>
      <c r="MHQ265" s="34"/>
      <c r="MHR265" s="34"/>
      <c r="MHS265" s="34"/>
      <c r="MHT265" s="34"/>
      <c r="MHU265" s="34"/>
      <c r="MHV265" s="34"/>
      <c r="MHW265" s="34"/>
      <c r="MHX265" s="34"/>
      <c r="MHY265" s="34"/>
      <c r="MHZ265" s="34"/>
      <c r="MIA265" s="34"/>
      <c r="MIB265" s="34"/>
      <c r="MIC265" s="34"/>
      <c r="MID265" s="34"/>
      <c r="MIE265" s="34"/>
      <c r="MIF265" s="34"/>
      <c r="MIG265" s="34"/>
      <c r="MIH265" s="34"/>
      <c r="MII265" s="34"/>
      <c r="MIJ265" s="34"/>
      <c r="MIK265" s="34"/>
      <c r="MIL265" s="34"/>
      <c r="MIM265" s="34"/>
      <c r="MIN265" s="34"/>
      <c r="MIO265" s="34"/>
      <c r="MIP265" s="34"/>
      <c r="MIQ265" s="34"/>
      <c r="MIR265" s="34"/>
      <c r="MIS265" s="34"/>
      <c r="MIT265" s="34"/>
      <c r="MIU265" s="34"/>
      <c r="MIV265" s="34"/>
      <c r="MIW265" s="34"/>
      <c r="MIX265" s="34"/>
      <c r="MIY265" s="34"/>
      <c r="MIZ265" s="34"/>
      <c r="MJA265" s="34"/>
      <c r="MJB265" s="34"/>
      <c r="MJC265" s="34"/>
      <c r="MJD265" s="34"/>
      <c r="MJE265" s="34"/>
      <c r="MJF265" s="34"/>
      <c r="MJG265" s="34"/>
      <c r="MJH265" s="34"/>
      <c r="MJI265" s="34"/>
      <c r="MJJ265" s="34"/>
      <c r="MJK265" s="34"/>
      <c r="MJL265" s="34"/>
      <c r="MJM265" s="34"/>
      <c r="MJN265" s="34"/>
      <c r="MJO265" s="34"/>
      <c r="MJP265" s="34"/>
      <c r="MJQ265" s="34"/>
      <c r="MJR265" s="34"/>
      <c r="MJS265" s="34"/>
      <c r="MJT265" s="34"/>
      <c r="MJU265" s="34"/>
      <c r="MJV265" s="34"/>
      <c r="MJW265" s="34"/>
      <c r="MJX265" s="34"/>
      <c r="MJY265" s="34"/>
      <c r="MJZ265" s="34"/>
      <c r="MKA265" s="34"/>
      <c r="MKB265" s="34"/>
      <c r="MKC265" s="34"/>
      <c r="MKD265" s="34"/>
      <c r="MKE265" s="34"/>
      <c r="MKF265" s="34"/>
      <c r="MKG265" s="34"/>
      <c r="MKH265" s="34"/>
      <c r="MKI265" s="34"/>
      <c r="MKJ265" s="34"/>
      <c r="MKK265" s="34"/>
      <c r="MKL265" s="34"/>
      <c r="MKM265" s="34"/>
      <c r="MKN265" s="34"/>
      <c r="MKO265" s="34"/>
      <c r="MKP265" s="34"/>
      <c r="MKQ265" s="34"/>
      <c r="MKR265" s="34"/>
      <c r="MKS265" s="34"/>
      <c r="MKT265" s="34"/>
      <c r="MKU265" s="34"/>
      <c r="MKV265" s="34"/>
      <c r="MKW265" s="34"/>
      <c r="MKX265" s="34"/>
      <c r="MKY265" s="34"/>
      <c r="MKZ265" s="34"/>
      <c r="MLA265" s="34"/>
      <c r="MLB265" s="34"/>
      <c r="MLC265" s="34"/>
      <c r="MLD265" s="34"/>
      <c r="MLE265" s="34"/>
      <c r="MLF265" s="34"/>
      <c r="MLG265" s="34"/>
      <c r="MLH265" s="34"/>
      <c r="MLI265" s="34"/>
      <c r="MLJ265" s="34"/>
      <c r="MLK265" s="34"/>
      <c r="MLL265" s="34"/>
      <c r="MLM265" s="34"/>
      <c r="MLN265" s="34"/>
      <c r="MLO265" s="34"/>
      <c r="MLP265" s="34"/>
      <c r="MLQ265" s="34"/>
      <c r="MLR265" s="34"/>
      <c r="MLS265" s="34"/>
      <c r="MLT265" s="34"/>
      <c r="MLU265" s="34"/>
      <c r="MLV265" s="34"/>
      <c r="MLW265" s="34"/>
      <c r="MLX265" s="34"/>
      <c r="MLY265" s="34"/>
      <c r="MLZ265" s="34"/>
      <c r="MMA265" s="34"/>
      <c r="MMB265" s="34"/>
      <c r="MMC265" s="34"/>
      <c r="MMD265" s="34"/>
      <c r="MME265" s="34"/>
      <c r="MMF265" s="34"/>
      <c r="MMG265" s="34"/>
      <c r="MMH265" s="34"/>
      <c r="MMI265" s="34"/>
      <c r="MMJ265" s="34"/>
      <c r="MMK265" s="34"/>
      <c r="MML265" s="34"/>
      <c r="MMM265" s="34"/>
      <c r="MMN265" s="34"/>
      <c r="MMO265" s="34"/>
      <c r="MMP265" s="34"/>
      <c r="MMQ265" s="34"/>
      <c r="MMR265" s="34"/>
      <c r="MMS265" s="34"/>
      <c r="MMT265" s="34"/>
      <c r="MMU265" s="34"/>
      <c r="MMV265" s="34"/>
      <c r="MMW265" s="34"/>
      <c r="MMX265" s="34"/>
      <c r="MMY265" s="34"/>
      <c r="MMZ265" s="34"/>
      <c r="MNA265" s="34"/>
      <c r="MNB265" s="34"/>
      <c r="MNC265" s="34"/>
      <c r="MND265" s="34"/>
      <c r="MNE265" s="34"/>
      <c r="MNF265" s="34"/>
      <c r="MNG265" s="34"/>
      <c r="MNH265" s="34"/>
      <c r="MNI265" s="34"/>
      <c r="MNJ265" s="34"/>
      <c r="MNK265" s="34"/>
      <c r="MNL265" s="34"/>
      <c r="MNM265" s="34"/>
      <c r="MNN265" s="34"/>
      <c r="MNO265" s="34"/>
      <c r="MNP265" s="34"/>
      <c r="MNQ265" s="34"/>
      <c r="MNR265" s="34"/>
      <c r="MNS265" s="34"/>
      <c r="MNT265" s="34"/>
      <c r="MNU265" s="34"/>
      <c r="MNV265" s="34"/>
      <c r="MNW265" s="34"/>
      <c r="MNX265" s="34"/>
      <c r="MNY265" s="34"/>
      <c r="MNZ265" s="34"/>
      <c r="MOA265" s="34"/>
      <c r="MOB265" s="34"/>
      <c r="MOC265" s="34"/>
      <c r="MOD265" s="34"/>
      <c r="MOE265" s="34"/>
      <c r="MOF265" s="34"/>
      <c r="MOG265" s="34"/>
      <c r="MOH265" s="34"/>
      <c r="MOI265" s="34"/>
      <c r="MOJ265" s="34"/>
      <c r="MOK265" s="34"/>
      <c r="MOL265" s="34"/>
      <c r="MOM265" s="34"/>
      <c r="MON265" s="34"/>
      <c r="MOO265" s="34"/>
      <c r="MOP265" s="34"/>
      <c r="MOQ265" s="34"/>
      <c r="MOR265" s="34"/>
      <c r="MOS265" s="34"/>
      <c r="MOT265" s="34"/>
      <c r="MOU265" s="34"/>
      <c r="MOV265" s="34"/>
      <c r="MOW265" s="34"/>
      <c r="MOX265" s="34"/>
      <c r="MOY265" s="34"/>
      <c r="MOZ265" s="34"/>
      <c r="MPA265" s="34"/>
      <c r="MPB265" s="34"/>
      <c r="MPC265" s="34"/>
      <c r="MPD265" s="34"/>
      <c r="MPE265" s="34"/>
      <c r="MPF265" s="34"/>
      <c r="MPG265" s="34"/>
      <c r="MPH265" s="34"/>
      <c r="MPI265" s="34"/>
      <c r="MPJ265" s="34"/>
      <c r="MPK265" s="34"/>
      <c r="MPL265" s="34"/>
      <c r="MPM265" s="34"/>
      <c r="MPN265" s="34"/>
      <c r="MPO265" s="34"/>
      <c r="MPP265" s="34"/>
      <c r="MPQ265" s="34"/>
      <c r="MPR265" s="34"/>
      <c r="MPS265" s="34"/>
      <c r="MPT265" s="34"/>
      <c r="MPU265" s="34"/>
      <c r="MPV265" s="34"/>
      <c r="MPW265" s="34"/>
      <c r="MPX265" s="34"/>
      <c r="MPY265" s="34"/>
      <c r="MPZ265" s="34"/>
      <c r="MQA265" s="34"/>
      <c r="MQB265" s="34"/>
      <c r="MQC265" s="34"/>
      <c r="MQD265" s="34"/>
      <c r="MQE265" s="34"/>
      <c r="MQF265" s="34"/>
      <c r="MQG265" s="34"/>
      <c r="MQH265" s="34"/>
      <c r="MQI265" s="34"/>
      <c r="MQJ265" s="34"/>
      <c r="MQK265" s="34"/>
      <c r="MQL265" s="34"/>
      <c r="MQM265" s="34"/>
      <c r="MQN265" s="34"/>
      <c r="MQO265" s="34"/>
      <c r="MQP265" s="34"/>
      <c r="MQQ265" s="34"/>
      <c r="MQR265" s="34"/>
      <c r="MQS265" s="34"/>
      <c r="MQT265" s="34"/>
      <c r="MQU265" s="34"/>
      <c r="MQV265" s="34"/>
      <c r="MQW265" s="34"/>
      <c r="MQX265" s="34"/>
      <c r="MQY265" s="34"/>
      <c r="MQZ265" s="34"/>
      <c r="MRA265" s="34"/>
      <c r="MRB265" s="34"/>
      <c r="MRC265" s="34"/>
      <c r="MRD265" s="34"/>
      <c r="MRE265" s="34"/>
      <c r="MRF265" s="34"/>
      <c r="MRG265" s="34"/>
      <c r="MRH265" s="34"/>
      <c r="MRI265" s="34"/>
      <c r="MRJ265" s="34"/>
      <c r="MRK265" s="34"/>
      <c r="MRL265" s="34"/>
      <c r="MRM265" s="34"/>
      <c r="MRN265" s="34"/>
      <c r="MRO265" s="34"/>
      <c r="MRP265" s="34"/>
      <c r="MRQ265" s="34"/>
      <c r="MRR265" s="34"/>
      <c r="MRS265" s="34"/>
      <c r="MRT265" s="34"/>
      <c r="MRU265" s="34"/>
      <c r="MRV265" s="34"/>
      <c r="MRW265" s="34"/>
      <c r="MRX265" s="34"/>
      <c r="MRY265" s="34"/>
      <c r="MRZ265" s="34"/>
      <c r="MSA265" s="34"/>
      <c r="MSB265" s="34"/>
      <c r="MSC265" s="34"/>
      <c r="MSD265" s="34"/>
      <c r="MSE265" s="34"/>
      <c r="MSF265" s="34"/>
      <c r="MSG265" s="34"/>
      <c r="MSH265" s="34"/>
      <c r="MSI265" s="34"/>
      <c r="MSJ265" s="34"/>
      <c r="MSK265" s="34"/>
      <c r="MSL265" s="34"/>
      <c r="MSM265" s="34"/>
      <c r="MSN265" s="34"/>
      <c r="MSO265" s="34"/>
      <c r="MSP265" s="34"/>
      <c r="MSQ265" s="34"/>
      <c r="MSR265" s="34"/>
      <c r="MSS265" s="34"/>
      <c r="MST265" s="34"/>
      <c r="MSU265" s="34"/>
      <c r="MSV265" s="34"/>
      <c r="MSW265" s="34"/>
      <c r="MSX265" s="34"/>
      <c r="MSY265" s="34"/>
      <c r="MSZ265" s="34"/>
      <c r="MTA265" s="34"/>
      <c r="MTB265" s="34"/>
      <c r="MTC265" s="34"/>
      <c r="MTD265" s="34"/>
      <c r="MTE265" s="34"/>
      <c r="MTF265" s="34"/>
      <c r="MTG265" s="34"/>
      <c r="MTH265" s="34"/>
      <c r="MTI265" s="34"/>
      <c r="MTJ265" s="34"/>
      <c r="MTK265" s="34"/>
      <c r="MTL265" s="34"/>
      <c r="MTM265" s="34"/>
      <c r="MTN265" s="34"/>
      <c r="MTO265" s="34"/>
      <c r="MTP265" s="34"/>
      <c r="MTQ265" s="34"/>
      <c r="MTR265" s="34"/>
      <c r="MTS265" s="34"/>
      <c r="MTT265" s="34"/>
      <c r="MTU265" s="34"/>
      <c r="MTV265" s="34"/>
      <c r="MTW265" s="34"/>
      <c r="MTX265" s="34"/>
      <c r="MTY265" s="34"/>
      <c r="MTZ265" s="34"/>
      <c r="MUA265" s="34"/>
      <c r="MUB265" s="34"/>
      <c r="MUC265" s="34"/>
      <c r="MUD265" s="34"/>
      <c r="MUE265" s="34"/>
      <c r="MUF265" s="34"/>
      <c r="MUG265" s="34"/>
      <c r="MUH265" s="34"/>
      <c r="MUI265" s="34"/>
      <c r="MUJ265" s="34"/>
      <c r="MUK265" s="34"/>
      <c r="MUL265" s="34"/>
      <c r="MUM265" s="34"/>
      <c r="MUN265" s="34"/>
      <c r="MUO265" s="34"/>
      <c r="MUP265" s="34"/>
      <c r="MUQ265" s="34"/>
      <c r="MUR265" s="34"/>
      <c r="MUS265" s="34"/>
      <c r="MUT265" s="34"/>
      <c r="MUU265" s="34"/>
      <c r="MUV265" s="34"/>
      <c r="MUW265" s="34"/>
      <c r="MUX265" s="34"/>
      <c r="MUY265" s="34"/>
      <c r="MUZ265" s="34"/>
      <c r="MVA265" s="34"/>
      <c r="MVB265" s="34"/>
      <c r="MVC265" s="34"/>
      <c r="MVD265" s="34"/>
      <c r="MVE265" s="34"/>
      <c r="MVF265" s="34"/>
      <c r="MVG265" s="34"/>
      <c r="MVH265" s="34"/>
      <c r="MVI265" s="34"/>
      <c r="MVJ265" s="34"/>
      <c r="MVK265" s="34"/>
      <c r="MVL265" s="34"/>
      <c r="MVM265" s="34"/>
      <c r="MVN265" s="34"/>
      <c r="MVO265" s="34"/>
      <c r="MVP265" s="34"/>
      <c r="MVQ265" s="34"/>
      <c r="MVR265" s="34"/>
      <c r="MVS265" s="34"/>
      <c r="MVT265" s="34"/>
      <c r="MVU265" s="34"/>
      <c r="MVV265" s="34"/>
      <c r="MVW265" s="34"/>
      <c r="MVX265" s="34"/>
      <c r="MVY265" s="34"/>
      <c r="MVZ265" s="34"/>
      <c r="MWA265" s="34"/>
      <c r="MWB265" s="34"/>
      <c r="MWC265" s="34"/>
      <c r="MWD265" s="34"/>
      <c r="MWE265" s="34"/>
      <c r="MWF265" s="34"/>
      <c r="MWG265" s="34"/>
      <c r="MWH265" s="34"/>
      <c r="MWI265" s="34"/>
      <c r="MWJ265" s="34"/>
      <c r="MWK265" s="34"/>
      <c r="MWL265" s="34"/>
      <c r="MWM265" s="34"/>
      <c r="MWN265" s="34"/>
      <c r="MWO265" s="34"/>
      <c r="MWP265" s="34"/>
      <c r="MWQ265" s="34"/>
      <c r="MWR265" s="34"/>
      <c r="MWS265" s="34"/>
      <c r="MWT265" s="34"/>
      <c r="MWU265" s="34"/>
      <c r="MWV265" s="34"/>
      <c r="MWW265" s="34"/>
      <c r="MWX265" s="34"/>
      <c r="MWY265" s="34"/>
      <c r="MWZ265" s="34"/>
      <c r="MXA265" s="34"/>
      <c r="MXB265" s="34"/>
      <c r="MXC265" s="34"/>
      <c r="MXD265" s="34"/>
      <c r="MXE265" s="34"/>
      <c r="MXF265" s="34"/>
      <c r="MXG265" s="34"/>
      <c r="MXH265" s="34"/>
      <c r="MXI265" s="34"/>
      <c r="MXJ265" s="34"/>
      <c r="MXK265" s="34"/>
      <c r="MXL265" s="34"/>
      <c r="MXM265" s="34"/>
      <c r="MXN265" s="34"/>
      <c r="MXO265" s="34"/>
      <c r="MXP265" s="34"/>
      <c r="MXQ265" s="34"/>
      <c r="MXR265" s="34"/>
      <c r="MXS265" s="34"/>
      <c r="MXT265" s="34"/>
      <c r="MXU265" s="34"/>
      <c r="MXV265" s="34"/>
      <c r="MXW265" s="34"/>
      <c r="MXX265" s="34"/>
      <c r="MXY265" s="34"/>
      <c r="MXZ265" s="34"/>
      <c r="MYA265" s="34"/>
      <c r="MYB265" s="34"/>
      <c r="MYC265" s="34"/>
      <c r="MYD265" s="34"/>
      <c r="MYE265" s="34"/>
      <c r="MYF265" s="34"/>
      <c r="MYG265" s="34"/>
      <c r="MYH265" s="34"/>
      <c r="MYI265" s="34"/>
      <c r="MYJ265" s="34"/>
      <c r="MYK265" s="34"/>
      <c r="MYL265" s="34"/>
      <c r="MYM265" s="34"/>
      <c r="MYN265" s="34"/>
      <c r="MYO265" s="34"/>
      <c r="MYP265" s="34"/>
      <c r="MYQ265" s="34"/>
      <c r="MYR265" s="34"/>
      <c r="MYS265" s="34"/>
      <c r="MYT265" s="34"/>
      <c r="MYU265" s="34"/>
      <c r="MYV265" s="34"/>
      <c r="MYW265" s="34"/>
      <c r="MYX265" s="34"/>
      <c r="MYY265" s="34"/>
      <c r="MYZ265" s="34"/>
      <c r="MZA265" s="34"/>
      <c r="MZB265" s="34"/>
      <c r="MZC265" s="34"/>
      <c r="MZD265" s="34"/>
      <c r="MZE265" s="34"/>
      <c r="MZF265" s="34"/>
      <c r="MZG265" s="34"/>
      <c r="MZH265" s="34"/>
      <c r="MZI265" s="34"/>
      <c r="MZJ265" s="34"/>
      <c r="MZK265" s="34"/>
      <c r="MZL265" s="34"/>
      <c r="MZM265" s="34"/>
      <c r="MZN265" s="34"/>
      <c r="MZO265" s="34"/>
      <c r="MZP265" s="34"/>
      <c r="MZQ265" s="34"/>
      <c r="MZR265" s="34"/>
      <c r="MZS265" s="34"/>
      <c r="MZT265" s="34"/>
      <c r="MZU265" s="34"/>
      <c r="MZV265" s="34"/>
      <c r="MZW265" s="34"/>
      <c r="MZX265" s="34"/>
      <c r="MZY265" s="34"/>
      <c r="MZZ265" s="34"/>
      <c r="NAA265" s="34"/>
      <c r="NAB265" s="34"/>
      <c r="NAC265" s="34"/>
      <c r="NAD265" s="34"/>
      <c r="NAE265" s="34"/>
      <c r="NAF265" s="34"/>
      <c r="NAG265" s="34"/>
      <c r="NAH265" s="34"/>
      <c r="NAI265" s="34"/>
      <c r="NAJ265" s="34"/>
      <c r="NAK265" s="34"/>
      <c r="NAL265" s="34"/>
      <c r="NAM265" s="34"/>
      <c r="NAN265" s="34"/>
      <c r="NAO265" s="34"/>
      <c r="NAP265" s="34"/>
      <c r="NAQ265" s="34"/>
      <c r="NAR265" s="34"/>
      <c r="NAS265" s="34"/>
      <c r="NAT265" s="34"/>
      <c r="NAU265" s="34"/>
      <c r="NAV265" s="34"/>
      <c r="NAW265" s="34"/>
      <c r="NAX265" s="34"/>
      <c r="NAY265" s="34"/>
      <c r="NAZ265" s="34"/>
      <c r="NBA265" s="34"/>
      <c r="NBB265" s="34"/>
      <c r="NBC265" s="34"/>
      <c r="NBD265" s="34"/>
      <c r="NBE265" s="34"/>
      <c r="NBF265" s="34"/>
      <c r="NBG265" s="34"/>
      <c r="NBH265" s="34"/>
      <c r="NBI265" s="34"/>
      <c r="NBJ265" s="34"/>
      <c r="NBK265" s="34"/>
      <c r="NBL265" s="34"/>
      <c r="NBM265" s="34"/>
      <c r="NBN265" s="34"/>
      <c r="NBO265" s="34"/>
      <c r="NBP265" s="34"/>
      <c r="NBQ265" s="34"/>
      <c r="NBR265" s="34"/>
      <c r="NBS265" s="34"/>
      <c r="NBT265" s="34"/>
      <c r="NBU265" s="34"/>
      <c r="NBV265" s="34"/>
      <c r="NBW265" s="34"/>
      <c r="NBX265" s="34"/>
      <c r="NBY265" s="34"/>
      <c r="NBZ265" s="34"/>
      <c r="NCA265" s="34"/>
      <c r="NCB265" s="34"/>
      <c r="NCC265" s="34"/>
      <c r="NCD265" s="34"/>
      <c r="NCE265" s="34"/>
      <c r="NCF265" s="34"/>
      <c r="NCG265" s="34"/>
      <c r="NCH265" s="34"/>
      <c r="NCI265" s="34"/>
      <c r="NCJ265" s="34"/>
      <c r="NCK265" s="34"/>
      <c r="NCL265" s="34"/>
      <c r="NCM265" s="34"/>
      <c r="NCN265" s="34"/>
      <c r="NCO265" s="34"/>
      <c r="NCP265" s="34"/>
      <c r="NCQ265" s="34"/>
      <c r="NCR265" s="34"/>
      <c r="NCS265" s="34"/>
      <c r="NCT265" s="34"/>
      <c r="NCU265" s="34"/>
      <c r="NCV265" s="34"/>
      <c r="NCW265" s="34"/>
      <c r="NCX265" s="34"/>
      <c r="NCY265" s="34"/>
      <c r="NCZ265" s="34"/>
      <c r="NDA265" s="34"/>
      <c r="NDB265" s="34"/>
      <c r="NDC265" s="34"/>
      <c r="NDD265" s="34"/>
      <c r="NDE265" s="34"/>
      <c r="NDF265" s="34"/>
      <c r="NDG265" s="34"/>
      <c r="NDH265" s="34"/>
      <c r="NDI265" s="34"/>
      <c r="NDJ265" s="34"/>
      <c r="NDK265" s="34"/>
      <c r="NDL265" s="34"/>
      <c r="NDM265" s="34"/>
      <c r="NDN265" s="34"/>
      <c r="NDO265" s="34"/>
      <c r="NDP265" s="34"/>
      <c r="NDQ265" s="34"/>
      <c r="NDR265" s="34"/>
      <c r="NDS265" s="34"/>
      <c r="NDT265" s="34"/>
      <c r="NDU265" s="34"/>
      <c r="NDV265" s="34"/>
      <c r="NDW265" s="34"/>
      <c r="NDX265" s="34"/>
      <c r="NDY265" s="34"/>
      <c r="NDZ265" s="34"/>
      <c r="NEA265" s="34"/>
      <c r="NEB265" s="34"/>
      <c r="NEC265" s="34"/>
      <c r="NED265" s="34"/>
      <c r="NEE265" s="34"/>
      <c r="NEF265" s="34"/>
      <c r="NEG265" s="34"/>
      <c r="NEH265" s="34"/>
      <c r="NEI265" s="34"/>
      <c r="NEJ265" s="34"/>
      <c r="NEK265" s="34"/>
      <c r="NEL265" s="34"/>
      <c r="NEM265" s="34"/>
      <c r="NEN265" s="34"/>
      <c r="NEO265" s="34"/>
      <c r="NEP265" s="34"/>
      <c r="NEQ265" s="34"/>
      <c r="NER265" s="34"/>
      <c r="NES265" s="34"/>
      <c r="NET265" s="34"/>
      <c r="NEU265" s="34"/>
      <c r="NEV265" s="34"/>
      <c r="NEW265" s="34"/>
      <c r="NEX265" s="34"/>
      <c r="NEY265" s="34"/>
      <c r="NEZ265" s="34"/>
      <c r="NFA265" s="34"/>
      <c r="NFB265" s="34"/>
      <c r="NFC265" s="34"/>
      <c r="NFD265" s="34"/>
      <c r="NFE265" s="34"/>
      <c r="NFF265" s="34"/>
      <c r="NFG265" s="34"/>
      <c r="NFH265" s="34"/>
      <c r="NFI265" s="34"/>
      <c r="NFJ265" s="34"/>
      <c r="NFK265" s="34"/>
      <c r="NFL265" s="34"/>
      <c r="NFM265" s="34"/>
      <c r="NFN265" s="34"/>
      <c r="NFO265" s="34"/>
      <c r="NFP265" s="34"/>
      <c r="NFQ265" s="34"/>
      <c r="NFR265" s="34"/>
      <c r="NFS265" s="34"/>
      <c r="NFT265" s="34"/>
      <c r="NFU265" s="34"/>
      <c r="NFV265" s="34"/>
      <c r="NFW265" s="34"/>
      <c r="NFX265" s="34"/>
      <c r="NFY265" s="34"/>
      <c r="NFZ265" s="34"/>
      <c r="NGA265" s="34"/>
      <c r="NGB265" s="34"/>
      <c r="NGC265" s="34"/>
      <c r="NGD265" s="34"/>
      <c r="NGE265" s="34"/>
      <c r="NGF265" s="34"/>
      <c r="NGG265" s="34"/>
      <c r="NGH265" s="34"/>
      <c r="NGI265" s="34"/>
      <c r="NGJ265" s="34"/>
      <c r="NGK265" s="34"/>
      <c r="NGL265" s="34"/>
      <c r="NGM265" s="34"/>
      <c r="NGN265" s="34"/>
      <c r="NGO265" s="34"/>
      <c r="NGP265" s="34"/>
      <c r="NGQ265" s="34"/>
      <c r="NGR265" s="34"/>
      <c r="NGS265" s="34"/>
      <c r="NGT265" s="34"/>
      <c r="NGU265" s="34"/>
      <c r="NGV265" s="34"/>
      <c r="NGW265" s="34"/>
      <c r="NGX265" s="34"/>
      <c r="NGY265" s="34"/>
      <c r="NGZ265" s="34"/>
      <c r="NHA265" s="34"/>
      <c r="NHB265" s="34"/>
      <c r="NHC265" s="34"/>
      <c r="NHD265" s="34"/>
      <c r="NHE265" s="34"/>
      <c r="NHF265" s="34"/>
      <c r="NHG265" s="34"/>
      <c r="NHH265" s="34"/>
      <c r="NHI265" s="34"/>
      <c r="NHJ265" s="34"/>
      <c r="NHK265" s="34"/>
      <c r="NHL265" s="34"/>
      <c r="NHM265" s="34"/>
      <c r="NHN265" s="34"/>
      <c r="NHO265" s="34"/>
      <c r="NHP265" s="34"/>
      <c r="NHQ265" s="34"/>
      <c r="NHR265" s="34"/>
      <c r="NHS265" s="34"/>
      <c r="NHT265" s="34"/>
      <c r="NHU265" s="34"/>
      <c r="NHV265" s="34"/>
      <c r="NHW265" s="34"/>
      <c r="NHX265" s="34"/>
      <c r="NHY265" s="34"/>
      <c r="NHZ265" s="34"/>
      <c r="NIA265" s="34"/>
      <c r="NIB265" s="34"/>
      <c r="NIC265" s="34"/>
      <c r="NID265" s="34"/>
      <c r="NIE265" s="34"/>
      <c r="NIF265" s="34"/>
      <c r="NIG265" s="34"/>
      <c r="NIH265" s="34"/>
      <c r="NII265" s="34"/>
      <c r="NIJ265" s="34"/>
      <c r="NIK265" s="34"/>
      <c r="NIL265" s="34"/>
      <c r="NIM265" s="34"/>
      <c r="NIN265" s="34"/>
      <c r="NIO265" s="34"/>
      <c r="NIP265" s="34"/>
      <c r="NIQ265" s="34"/>
      <c r="NIR265" s="34"/>
      <c r="NIS265" s="34"/>
      <c r="NIT265" s="34"/>
      <c r="NIU265" s="34"/>
      <c r="NIV265" s="34"/>
      <c r="NIW265" s="34"/>
      <c r="NIX265" s="34"/>
      <c r="NIY265" s="34"/>
      <c r="NIZ265" s="34"/>
      <c r="NJA265" s="34"/>
      <c r="NJB265" s="34"/>
      <c r="NJC265" s="34"/>
      <c r="NJD265" s="34"/>
      <c r="NJE265" s="34"/>
      <c r="NJF265" s="34"/>
      <c r="NJG265" s="34"/>
      <c r="NJH265" s="34"/>
      <c r="NJI265" s="34"/>
      <c r="NJJ265" s="34"/>
      <c r="NJK265" s="34"/>
      <c r="NJL265" s="34"/>
      <c r="NJM265" s="34"/>
      <c r="NJN265" s="34"/>
      <c r="NJO265" s="34"/>
      <c r="NJP265" s="34"/>
      <c r="NJQ265" s="34"/>
      <c r="NJR265" s="34"/>
      <c r="NJS265" s="34"/>
      <c r="NJT265" s="34"/>
      <c r="NJU265" s="34"/>
      <c r="NJV265" s="34"/>
      <c r="NJW265" s="34"/>
      <c r="NJX265" s="34"/>
      <c r="NJY265" s="34"/>
      <c r="NJZ265" s="34"/>
      <c r="NKA265" s="34"/>
      <c r="NKB265" s="34"/>
      <c r="NKC265" s="34"/>
      <c r="NKD265" s="34"/>
      <c r="NKE265" s="34"/>
      <c r="NKF265" s="34"/>
      <c r="NKG265" s="34"/>
      <c r="NKH265" s="34"/>
      <c r="NKI265" s="34"/>
      <c r="NKJ265" s="34"/>
      <c r="NKK265" s="34"/>
      <c r="NKL265" s="34"/>
      <c r="NKM265" s="34"/>
      <c r="NKN265" s="34"/>
      <c r="NKO265" s="34"/>
      <c r="NKP265" s="34"/>
      <c r="NKQ265" s="34"/>
      <c r="NKR265" s="34"/>
      <c r="NKS265" s="34"/>
      <c r="NKT265" s="34"/>
      <c r="NKU265" s="34"/>
      <c r="NKV265" s="34"/>
      <c r="NKW265" s="34"/>
      <c r="NKX265" s="34"/>
      <c r="NKY265" s="34"/>
      <c r="NKZ265" s="34"/>
      <c r="NLA265" s="34"/>
      <c r="NLB265" s="34"/>
      <c r="NLC265" s="34"/>
      <c r="NLD265" s="34"/>
      <c r="NLE265" s="34"/>
      <c r="NLF265" s="34"/>
      <c r="NLG265" s="34"/>
      <c r="NLH265" s="34"/>
      <c r="NLI265" s="34"/>
      <c r="NLJ265" s="34"/>
      <c r="NLK265" s="34"/>
      <c r="NLL265" s="34"/>
      <c r="NLM265" s="34"/>
      <c r="NLN265" s="34"/>
      <c r="NLO265" s="34"/>
      <c r="NLP265" s="34"/>
      <c r="NLQ265" s="34"/>
      <c r="NLR265" s="34"/>
      <c r="NLS265" s="34"/>
      <c r="NLT265" s="34"/>
      <c r="NLU265" s="34"/>
      <c r="NLV265" s="34"/>
      <c r="NLW265" s="34"/>
      <c r="NLX265" s="34"/>
      <c r="NLY265" s="34"/>
      <c r="NLZ265" s="34"/>
      <c r="NMA265" s="34"/>
      <c r="NMB265" s="34"/>
      <c r="NMC265" s="34"/>
      <c r="NMD265" s="34"/>
      <c r="NME265" s="34"/>
      <c r="NMF265" s="34"/>
      <c r="NMG265" s="34"/>
      <c r="NMH265" s="34"/>
      <c r="NMI265" s="34"/>
      <c r="NMJ265" s="34"/>
      <c r="NMK265" s="34"/>
      <c r="NML265" s="34"/>
      <c r="NMM265" s="34"/>
      <c r="NMN265" s="34"/>
      <c r="NMO265" s="34"/>
      <c r="NMP265" s="34"/>
      <c r="NMQ265" s="34"/>
      <c r="NMR265" s="34"/>
      <c r="NMS265" s="34"/>
      <c r="NMT265" s="34"/>
      <c r="NMU265" s="34"/>
      <c r="NMV265" s="34"/>
      <c r="NMW265" s="34"/>
      <c r="NMX265" s="34"/>
      <c r="NMY265" s="34"/>
      <c r="NMZ265" s="34"/>
      <c r="NNA265" s="34"/>
      <c r="NNB265" s="34"/>
      <c r="NNC265" s="34"/>
      <c r="NND265" s="34"/>
      <c r="NNE265" s="34"/>
      <c r="NNF265" s="34"/>
      <c r="NNG265" s="34"/>
      <c r="NNH265" s="34"/>
      <c r="NNI265" s="34"/>
      <c r="NNJ265" s="34"/>
      <c r="NNK265" s="34"/>
      <c r="NNL265" s="34"/>
      <c r="NNM265" s="34"/>
      <c r="NNN265" s="34"/>
      <c r="NNO265" s="34"/>
      <c r="NNP265" s="34"/>
      <c r="NNQ265" s="34"/>
      <c r="NNR265" s="34"/>
      <c r="NNS265" s="34"/>
      <c r="NNT265" s="34"/>
      <c r="NNU265" s="34"/>
      <c r="NNV265" s="34"/>
      <c r="NNW265" s="34"/>
      <c r="NNX265" s="34"/>
      <c r="NNY265" s="34"/>
      <c r="NNZ265" s="34"/>
      <c r="NOA265" s="34"/>
      <c r="NOB265" s="34"/>
      <c r="NOC265" s="34"/>
      <c r="NOD265" s="34"/>
      <c r="NOE265" s="34"/>
      <c r="NOF265" s="34"/>
      <c r="NOG265" s="34"/>
      <c r="NOH265" s="34"/>
      <c r="NOI265" s="34"/>
      <c r="NOJ265" s="34"/>
      <c r="NOK265" s="34"/>
      <c r="NOL265" s="34"/>
      <c r="NOM265" s="34"/>
      <c r="NON265" s="34"/>
      <c r="NOO265" s="34"/>
      <c r="NOP265" s="34"/>
      <c r="NOQ265" s="34"/>
      <c r="NOR265" s="34"/>
      <c r="NOS265" s="34"/>
      <c r="NOT265" s="34"/>
      <c r="NOU265" s="34"/>
      <c r="NOV265" s="34"/>
      <c r="NOW265" s="34"/>
      <c r="NOX265" s="34"/>
      <c r="NOY265" s="34"/>
      <c r="NOZ265" s="34"/>
      <c r="NPA265" s="34"/>
      <c r="NPB265" s="34"/>
      <c r="NPC265" s="34"/>
      <c r="NPD265" s="34"/>
      <c r="NPE265" s="34"/>
      <c r="NPF265" s="34"/>
      <c r="NPG265" s="34"/>
      <c r="NPH265" s="34"/>
      <c r="NPI265" s="34"/>
      <c r="NPJ265" s="34"/>
      <c r="NPK265" s="34"/>
      <c r="NPL265" s="34"/>
      <c r="NPM265" s="34"/>
      <c r="NPN265" s="34"/>
      <c r="NPO265" s="34"/>
      <c r="NPP265" s="34"/>
      <c r="NPQ265" s="34"/>
      <c r="NPR265" s="34"/>
      <c r="NPS265" s="34"/>
      <c r="NPT265" s="34"/>
      <c r="NPU265" s="34"/>
      <c r="NPV265" s="34"/>
      <c r="NPW265" s="34"/>
      <c r="NPX265" s="34"/>
      <c r="NPY265" s="34"/>
      <c r="NPZ265" s="34"/>
      <c r="NQA265" s="34"/>
      <c r="NQB265" s="34"/>
      <c r="NQC265" s="34"/>
      <c r="NQD265" s="34"/>
      <c r="NQE265" s="34"/>
      <c r="NQF265" s="34"/>
      <c r="NQG265" s="34"/>
      <c r="NQH265" s="34"/>
      <c r="NQI265" s="34"/>
      <c r="NQJ265" s="34"/>
      <c r="NQK265" s="34"/>
      <c r="NQL265" s="34"/>
      <c r="NQM265" s="34"/>
      <c r="NQN265" s="34"/>
      <c r="NQO265" s="34"/>
      <c r="NQP265" s="34"/>
      <c r="NQQ265" s="34"/>
      <c r="NQR265" s="34"/>
      <c r="NQS265" s="34"/>
      <c r="NQT265" s="34"/>
      <c r="NQU265" s="34"/>
      <c r="NQV265" s="34"/>
      <c r="NQW265" s="34"/>
      <c r="NQX265" s="34"/>
      <c r="NQY265" s="34"/>
      <c r="NQZ265" s="34"/>
      <c r="NRA265" s="34"/>
      <c r="NRB265" s="34"/>
      <c r="NRC265" s="34"/>
      <c r="NRD265" s="34"/>
      <c r="NRE265" s="34"/>
      <c r="NRF265" s="34"/>
      <c r="NRG265" s="34"/>
      <c r="NRH265" s="34"/>
      <c r="NRI265" s="34"/>
      <c r="NRJ265" s="34"/>
      <c r="NRK265" s="34"/>
      <c r="NRL265" s="34"/>
      <c r="NRM265" s="34"/>
      <c r="NRN265" s="34"/>
      <c r="NRO265" s="34"/>
      <c r="NRP265" s="34"/>
      <c r="NRQ265" s="34"/>
      <c r="NRR265" s="34"/>
      <c r="NRS265" s="34"/>
      <c r="NRT265" s="34"/>
      <c r="NRU265" s="34"/>
      <c r="NRV265" s="34"/>
      <c r="NRW265" s="34"/>
      <c r="NRX265" s="34"/>
      <c r="NRY265" s="34"/>
      <c r="NRZ265" s="34"/>
      <c r="NSA265" s="34"/>
      <c r="NSB265" s="34"/>
      <c r="NSC265" s="34"/>
      <c r="NSD265" s="34"/>
      <c r="NSE265" s="34"/>
      <c r="NSF265" s="34"/>
      <c r="NSG265" s="34"/>
      <c r="NSH265" s="34"/>
      <c r="NSI265" s="34"/>
      <c r="NSJ265" s="34"/>
      <c r="NSK265" s="34"/>
      <c r="NSL265" s="34"/>
      <c r="NSM265" s="34"/>
      <c r="NSN265" s="34"/>
      <c r="NSO265" s="34"/>
      <c r="NSP265" s="34"/>
      <c r="NSQ265" s="34"/>
      <c r="NSR265" s="34"/>
      <c r="NSS265" s="34"/>
      <c r="NST265" s="34"/>
      <c r="NSU265" s="34"/>
      <c r="NSV265" s="34"/>
      <c r="NSW265" s="34"/>
      <c r="NSX265" s="34"/>
      <c r="NSY265" s="34"/>
      <c r="NSZ265" s="34"/>
      <c r="NTA265" s="34"/>
      <c r="NTB265" s="34"/>
      <c r="NTC265" s="34"/>
      <c r="NTD265" s="34"/>
      <c r="NTE265" s="34"/>
      <c r="NTF265" s="34"/>
      <c r="NTG265" s="34"/>
      <c r="NTH265" s="34"/>
      <c r="NTI265" s="34"/>
      <c r="NTJ265" s="34"/>
      <c r="NTK265" s="34"/>
      <c r="NTL265" s="34"/>
      <c r="NTM265" s="34"/>
      <c r="NTN265" s="34"/>
      <c r="NTO265" s="34"/>
      <c r="NTP265" s="34"/>
      <c r="NTQ265" s="34"/>
      <c r="NTR265" s="34"/>
      <c r="NTS265" s="34"/>
      <c r="NTT265" s="34"/>
      <c r="NTU265" s="34"/>
      <c r="NTV265" s="34"/>
      <c r="NTW265" s="34"/>
      <c r="NTX265" s="34"/>
      <c r="NTY265" s="34"/>
    </row>
    <row r="266" spans="1:10009" hidden="1" x14ac:dyDescent="0.3">
      <c r="J266" t="s">
        <v>46</v>
      </c>
      <c r="K266">
        <v>43376630000</v>
      </c>
      <c r="L266">
        <v>51633856000</v>
      </c>
      <c r="M266">
        <v>35993876000</v>
      </c>
      <c r="N266">
        <v>27768509000</v>
      </c>
      <c r="O266">
        <v>58886669000</v>
      </c>
      <c r="P266">
        <v>53645038000</v>
      </c>
    </row>
    <row r="267" spans="1:10009" hidden="1" x14ac:dyDescent="0.3">
      <c r="J267" t="s">
        <v>22</v>
      </c>
      <c r="K267">
        <v>35952098000</v>
      </c>
      <c r="L267">
        <v>31285209000</v>
      </c>
      <c r="M267">
        <v>27115735000</v>
      </c>
      <c r="N267">
        <v>26573816000</v>
      </c>
      <c r="O267">
        <v>25167112000</v>
      </c>
      <c r="P267">
        <v>20593616000</v>
      </c>
    </row>
    <row r="268" spans="1:10009" hidden="1" x14ac:dyDescent="0.3">
      <c r="J268" t="s">
        <v>27</v>
      </c>
      <c r="K268">
        <v>3155561000</v>
      </c>
      <c r="L268">
        <v>2962152000</v>
      </c>
      <c r="M268">
        <v>3219881000</v>
      </c>
      <c r="N268">
        <v>3023822000</v>
      </c>
      <c r="O268">
        <v>1314925000</v>
      </c>
      <c r="P268">
        <v>1523776000</v>
      </c>
    </row>
    <row r="269" spans="1:10009" hidden="1" x14ac:dyDescent="0.3">
      <c r="J269" t="s">
        <v>6</v>
      </c>
      <c r="K269">
        <v>302231360000</v>
      </c>
      <c r="L269">
        <v>279604799000</v>
      </c>
      <c r="M269">
        <v>236806988000</v>
      </c>
      <c r="N269">
        <v>230400881000</v>
      </c>
      <c r="O269">
        <v>243771415000</v>
      </c>
      <c r="P269">
        <v>239575376000</v>
      </c>
    </row>
    <row r="270" spans="1:10009" hidden="1" x14ac:dyDescent="0.3">
      <c r="J270" t="s">
        <v>183</v>
      </c>
      <c r="K270">
        <v>14.35</v>
      </c>
      <c r="L270">
        <v>18.47</v>
      </c>
      <c r="M270">
        <v>15.2</v>
      </c>
      <c r="N270">
        <v>12.05</v>
      </c>
      <c r="O270">
        <v>24.16</v>
      </c>
      <c r="P270">
        <v>22.39</v>
      </c>
    </row>
    <row r="271" spans="1:10009" hidden="1" x14ac:dyDescent="0.3">
      <c r="J271" t="s">
        <v>191</v>
      </c>
      <c r="K271">
        <v>112189590000</v>
      </c>
      <c r="L271">
        <v>113193457000</v>
      </c>
      <c r="M271">
        <v>92318692000</v>
      </c>
      <c r="N271">
        <v>83161332000</v>
      </c>
      <c r="O271">
        <v>111377004000</v>
      </c>
      <c r="P271">
        <v>110284715000</v>
      </c>
    </row>
    <row r="272" spans="1:10009" hidden="1" x14ac:dyDescent="0.3">
      <c r="J272" t="s">
        <v>197</v>
      </c>
      <c r="K272">
        <v>12.51</v>
      </c>
      <c r="L272">
        <v>9.75</v>
      </c>
      <c r="M272">
        <v>7.14</v>
      </c>
      <c r="N272">
        <v>6.22</v>
      </c>
      <c r="O272">
        <v>13.69</v>
      </c>
      <c r="P272">
        <v>14.66</v>
      </c>
    </row>
    <row r="273" spans="1:45" hidden="1" x14ac:dyDescent="0.3">
      <c r="J273" t="s">
        <v>198</v>
      </c>
      <c r="K273">
        <v>17.07</v>
      </c>
      <c r="L273">
        <v>13.92</v>
      </c>
      <c r="M273">
        <v>9.99</v>
      </c>
      <c r="N273">
        <v>8.69</v>
      </c>
      <c r="O273">
        <v>19.63</v>
      </c>
      <c r="P273">
        <v>21.01</v>
      </c>
    </row>
    <row r="274" spans="1:45" hidden="1" x14ac:dyDescent="0.3">
      <c r="J274" t="s">
        <v>192</v>
      </c>
      <c r="K274">
        <f>IF(K271="",NA(),K271/K269*100)</f>
        <v>37.120433167491292</v>
      </c>
      <c r="L274">
        <f t="shared" ref="L274:P274" si="23">L271/L269*100</f>
        <v>40.48337417842388</v>
      </c>
      <c r="M274">
        <f t="shared" si="23"/>
        <v>38.984783675387149</v>
      </c>
      <c r="N274">
        <f t="shared" si="23"/>
        <v>36.094190108587306</v>
      </c>
      <c r="O274">
        <f t="shared" si="23"/>
        <v>45.689115764454989</v>
      </c>
      <c r="P274">
        <f t="shared" si="23"/>
        <v>46.033409961130559</v>
      </c>
    </row>
    <row r="275" spans="1:45" hidden="1" x14ac:dyDescent="0.3">
      <c r="J275" t="s">
        <v>187</v>
      </c>
      <c r="K275">
        <f>IF(K276="",NA(),K276/K269*100)</f>
        <v>27.291770450293445</v>
      </c>
      <c r="L275">
        <f t="shared" ref="L275:P275" si="24">L276/L269*100</f>
        <v>30.715215656938703</v>
      </c>
      <c r="M275">
        <f t="shared" si="24"/>
        <v>28.009938625628735</v>
      </c>
      <c r="N275">
        <f t="shared" si="24"/>
        <v>24.898406095938498</v>
      </c>
      <c r="O275">
        <f t="shared" si="24"/>
        <v>35.019982141876646</v>
      </c>
      <c r="P275">
        <f t="shared" si="24"/>
        <v>31.623629800752145</v>
      </c>
    </row>
    <row r="276" spans="1:45" hidden="1" x14ac:dyDescent="0.3">
      <c r="J276" t="s">
        <v>186</v>
      </c>
      <c r="K276">
        <f t="shared" ref="K276:P276" si="25">SUM(K266:K268)</f>
        <v>82484289000</v>
      </c>
      <c r="L276">
        <f t="shared" si="25"/>
        <v>85881217000</v>
      </c>
      <c r="M276">
        <f t="shared" si="25"/>
        <v>66329492000</v>
      </c>
      <c r="N276">
        <f t="shared" si="25"/>
        <v>57366147000</v>
      </c>
      <c r="O276">
        <f t="shared" si="25"/>
        <v>85368706000</v>
      </c>
      <c r="P276">
        <f t="shared" si="25"/>
        <v>75762430000</v>
      </c>
    </row>
    <row r="277" spans="1:45" hidden="1" x14ac:dyDescent="0.3"/>
    <row r="278" spans="1:45" hidden="1" x14ac:dyDescent="0.3"/>
    <row r="279" spans="1:45" s="30" customFormat="1" x14ac:dyDescent="0.3">
      <c r="A279"/>
      <c r="B279"/>
      <c r="C279"/>
      <c r="D279"/>
      <c r="E279"/>
      <c r="F279"/>
      <c r="G279"/>
      <c r="H279"/>
      <c r="I279" s="14"/>
      <c r="J279" s="26" t="s">
        <v>199</v>
      </c>
      <c r="K279" s="11" t="str">
        <f>IF(K265="","",YEAR(K265)&amp;"/"&amp;MONTH(K265))</f>
        <v>2022/12</v>
      </c>
      <c r="L279" s="11" t="str">
        <f t="shared" ref="L279:O279" si="26">IF(L265="","",YEAR(L265)&amp;"/"&amp;MONTH(L265))</f>
        <v>2021/12</v>
      </c>
      <c r="M279" s="11" t="str">
        <f t="shared" si="26"/>
        <v>2020/12</v>
      </c>
      <c r="N279" s="11" t="str">
        <f t="shared" si="26"/>
        <v>2019/12</v>
      </c>
      <c r="O279" s="11" t="str">
        <f t="shared" si="26"/>
        <v>2018/12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</row>
    <row r="280" spans="1:45" s="30" customFormat="1" x14ac:dyDescent="0.3">
      <c r="A280"/>
      <c r="B280"/>
      <c r="C280"/>
      <c r="D280"/>
      <c r="E280"/>
      <c r="F280"/>
      <c r="G280"/>
      <c r="H280"/>
      <c r="I280" s="14"/>
      <c r="J280" s="10" t="s">
        <v>194</v>
      </c>
      <c r="K280" s="12">
        <f>IF(K274="",NA(),K274)</f>
        <v>37.120433167491292</v>
      </c>
      <c r="L280" s="12">
        <f t="shared" ref="L280:O280" si="27">IF(L274="","",L274)</f>
        <v>40.48337417842388</v>
      </c>
      <c r="M280" s="12">
        <f t="shared" si="27"/>
        <v>38.984783675387149</v>
      </c>
      <c r="N280" s="12">
        <f t="shared" si="27"/>
        <v>36.094190108587306</v>
      </c>
      <c r="O280" s="12">
        <f t="shared" si="27"/>
        <v>45.689115764454989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</row>
    <row r="281" spans="1:45" s="30" customFormat="1" x14ac:dyDescent="0.3">
      <c r="A281"/>
      <c r="B281"/>
      <c r="C281"/>
      <c r="D281"/>
      <c r="E281"/>
      <c r="F281"/>
      <c r="G281"/>
      <c r="H281"/>
      <c r="I281" s="14"/>
      <c r="J281" s="10" t="s">
        <v>195</v>
      </c>
      <c r="K281" s="10">
        <f>IF(K270="",NA(),K270)</f>
        <v>14.35</v>
      </c>
      <c r="L281" s="10">
        <f t="shared" ref="L281:O281" si="28">IF(L270="","",L270)</f>
        <v>18.47</v>
      </c>
      <c r="M281" s="10">
        <f t="shared" si="28"/>
        <v>15.2</v>
      </c>
      <c r="N281" s="10">
        <f t="shared" si="28"/>
        <v>12.05</v>
      </c>
      <c r="O281" s="10">
        <f t="shared" si="28"/>
        <v>24.16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</row>
    <row r="282" spans="1:45" s="30" customFormat="1" x14ac:dyDescent="0.3">
      <c r="A282"/>
      <c r="B282"/>
      <c r="C282"/>
      <c r="D282"/>
      <c r="E282"/>
      <c r="F282"/>
      <c r="G282"/>
      <c r="H282"/>
      <c r="I282" s="14"/>
      <c r="J282" s="10" t="s">
        <v>198</v>
      </c>
      <c r="K282" s="12">
        <f>IF(K273="",NA(),K273)</f>
        <v>17.07</v>
      </c>
      <c r="L282" s="12">
        <f t="shared" ref="L282:O282" si="29">IF(L273="","",L273)</f>
        <v>13.92</v>
      </c>
      <c r="M282" s="12">
        <f t="shared" si="29"/>
        <v>9.99</v>
      </c>
      <c r="N282" s="12">
        <f t="shared" si="29"/>
        <v>8.69</v>
      </c>
      <c r="O282" s="12">
        <f t="shared" si="29"/>
        <v>19.63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</row>
    <row r="283" spans="1:45" s="30" customFormat="1" x14ac:dyDescent="0.3">
      <c r="A283"/>
      <c r="B283"/>
      <c r="C283"/>
      <c r="D283"/>
      <c r="E283"/>
      <c r="F283"/>
      <c r="G283"/>
      <c r="H283"/>
      <c r="I283" s="14"/>
      <c r="J283" s="10" t="s">
        <v>197</v>
      </c>
      <c r="K283" s="12">
        <f>IF(K272="",NA(),K272)</f>
        <v>12.51</v>
      </c>
      <c r="L283" s="12">
        <f t="shared" ref="L283:O283" si="30">IF(L272="","",L272)</f>
        <v>9.75</v>
      </c>
      <c r="M283" s="12">
        <f t="shared" si="30"/>
        <v>7.14</v>
      </c>
      <c r="N283" s="12">
        <f t="shared" si="30"/>
        <v>6.22</v>
      </c>
      <c r="O283" s="12">
        <f t="shared" si="30"/>
        <v>13.69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</row>
    <row r="284" spans="1:45" s="30" customFormat="1" x14ac:dyDescent="0.3">
      <c r="A284"/>
      <c r="B284"/>
      <c r="C284"/>
      <c r="D284"/>
      <c r="E284"/>
      <c r="F284"/>
      <c r="G284"/>
      <c r="H284"/>
      <c r="I284" s="14"/>
      <c r="J284" s="10" t="s">
        <v>196</v>
      </c>
      <c r="K284" s="12">
        <f>IF(K275="",NA(),K275)</f>
        <v>27.291770450293445</v>
      </c>
      <c r="L284" s="12">
        <f t="shared" ref="L284:O284" si="31">IF(L275="","",L275)</f>
        <v>30.715215656938703</v>
      </c>
      <c r="M284" s="12">
        <f t="shared" si="31"/>
        <v>28.009938625628735</v>
      </c>
      <c r="N284" s="12">
        <f t="shared" si="31"/>
        <v>24.898406095938498</v>
      </c>
      <c r="O284" s="12">
        <f t="shared" si="31"/>
        <v>35.019982141876646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 spans="1:45" s="30" customFormat="1" x14ac:dyDescent="0.3">
      <c r="A285"/>
      <c r="B285"/>
      <c r="C285"/>
      <c r="D285"/>
      <c r="E285"/>
      <c r="F285"/>
      <c r="G285"/>
      <c r="H285"/>
      <c r="I285" s="14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</row>
    <row r="286" spans="1:45" s="30" customFormat="1" x14ac:dyDescent="0.3">
      <c r="A286"/>
      <c r="B286"/>
      <c r="C286"/>
      <c r="D286"/>
      <c r="E286"/>
      <c r="F286"/>
      <c r="G286"/>
      <c r="H286"/>
      <c r="I286" s="14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</row>
    <row r="287" spans="1:45" s="30" customFormat="1" x14ac:dyDescent="0.3">
      <c r="A287"/>
      <c r="B287"/>
      <c r="C287"/>
      <c r="D287"/>
      <c r="E287"/>
      <c r="F287"/>
      <c r="G287"/>
      <c r="H287"/>
      <c r="I287" s="14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</row>
    <row r="288" spans="1:45" s="30" customFormat="1" x14ac:dyDescent="0.3">
      <c r="A288"/>
      <c r="B288"/>
      <c r="C288"/>
      <c r="D288"/>
      <c r="E288"/>
      <c r="F288"/>
      <c r="G288"/>
      <c r="H288"/>
      <c r="I288" s="14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</row>
    <row r="289" spans="1:10009" s="30" customFormat="1" ht="26.25" x14ac:dyDescent="0.3">
      <c r="A289"/>
      <c r="B289"/>
      <c r="C289"/>
      <c r="D289"/>
      <c r="E289"/>
      <c r="F289"/>
      <c r="G289"/>
      <c r="H289"/>
      <c r="I289" s="14"/>
      <c r="J289" s="35" t="s">
        <v>243</v>
      </c>
      <c r="K289" s="35"/>
      <c r="L289" s="35"/>
      <c r="M289" s="35"/>
      <c r="N289" s="35"/>
      <c r="O289" s="35"/>
      <c r="P289" s="35"/>
      <c r="Q289" s="35"/>
      <c r="R289" s="35"/>
      <c r="S289" s="35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</row>
    <row r="290" spans="1:10009" hidden="1" x14ac:dyDescent="0.3"/>
    <row r="291" spans="1:10009" hidden="1" x14ac:dyDescent="0.3"/>
    <row r="292" spans="1:10009" hidden="1" x14ac:dyDescent="0.3">
      <c r="J292" t="str">
        <f ca="1">_xll.IMDH("STK",$N$5,$J$293:$J$301,$L$92-93,$O$5,9999,"Per=분기,sort=D,real=true,Bizday=0,Quote=종가,Pos=11,Orient=H,Cons="&amp;$P$5&amp;",Comp=누적,Trai=연속,DtFmt=1,TmFmt=1,unit=true,title=분기안정성")</f>
        <v>분기안정성</v>
      </c>
    </row>
    <row r="293" spans="1:10009" hidden="1" x14ac:dyDescent="0.3">
      <c r="J293" t="s">
        <v>164</v>
      </c>
      <c r="K293" s="34">
        <v>45199</v>
      </c>
      <c r="L293" s="34">
        <v>45107</v>
      </c>
      <c r="M293" s="34">
        <v>45016</v>
      </c>
      <c r="N293" s="34">
        <v>44926</v>
      </c>
      <c r="O293" s="34">
        <v>44834</v>
      </c>
      <c r="P293" s="34">
        <v>44742</v>
      </c>
      <c r="Q293" s="34">
        <v>44651</v>
      </c>
      <c r="R293" s="34">
        <v>44561</v>
      </c>
      <c r="S293" s="34">
        <v>44469</v>
      </c>
      <c r="T293" s="34">
        <v>44377</v>
      </c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  <c r="DW293" s="34"/>
      <c r="DX293" s="34"/>
      <c r="DY293" s="34"/>
      <c r="DZ293" s="34"/>
      <c r="EA293" s="34"/>
      <c r="EB293" s="34"/>
      <c r="EC293" s="34"/>
      <c r="ED293" s="34"/>
      <c r="EE293" s="34"/>
      <c r="EF293" s="34"/>
      <c r="EG293" s="34"/>
      <c r="EH293" s="34"/>
      <c r="EI293" s="34"/>
      <c r="EJ293" s="34"/>
      <c r="EK293" s="34"/>
      <c r="EL293" s="34"/>
      <c r="EM293" s="34"/>
      <c r="EN293" s="34"/>
      <c r="EO293" s="34"/>
      <c r="EP293" s="34"/>
      <c r="EQ293" s="34"/>
      <c r="ER293" s="34"/>
      <c r="ES293" s="34"/>
      <c r="ET293" s="34"/>
      <c r="EU293" s="34"/>
      <c r="EV293" s="34"/>
      <c r="EW293" s="34"/>
      <c r="EX293" s="34"/>
      <c r="EY293" s="34"/>
      <c r="EZ293" s="34"/>
      <c r="FA293" s="34"/>
      <c r="FB293" s="34"/>
      <c r="FC293" s="34"/>
      <c r="FD293" s="34"/>
      <c r="FE293" s="34"/>
      <c r="FF293" s="34"/>
      <c r="FG293" s="34"/>
      <c r="FH293" s="34"/>
      <c r="FI293" s="34"/>
      <c r="FJ293" s="34"/>
      <c r="FK293" s="34"/>
      <c r="FL293" s="34"/>
      <c r="FM293" s="34"/>
      <c r="FN293" s="34"/>
      <c r="FO293" s="34"/>
      <c r="FP293" s="34"/>
      <c r="FQ293" s="34"/>
      <c r="FR293" s="34"/>
      <c r="FS293" s="34"/>
      <c r="FT293" s="34"/>
      <c r="FU293" s="34"/>
      <c r="FV293" s="34"/>
      <c r="FW293" s="34"/>
      <c r="FX293" s="34"/>
      <c r="FY293" s="34"/>
      <c r="FZ293" s="34"/>
      <c r="GA293" s="34"/>
      <c r="GB293" s="34"/>
      <c r="GC293" s="34"/>
      <c r="GD293" s="34"/>
      <c r="GE293" s="34"/>
      <c r="GF293" s="34"/>
      <c r="GG293" s="34"/>
      <c r="GH293" s="34"/>
      <c r="GI293" s="34"/>
      <c r="GJ293" s="34"/>
      <c r="GK293" s="34"/>
      <c r="GL293" s="34"/>
      <c r="GM293" s="34"/>
      <c r="GN293" s="34"/>
      <c r="GO293" s="34"/>
      <c r="GP293" s="34"/>
      <c r="GQ293" s="34"/>
      <c r="GR293" s="34"/>
      <c r="GS293" s="34"/>
      <c r="GT293" s="34"/>
      <c r="GU293" s="34"/>
      <c r="GV293" s="34"/>
      <c r="GW293" s="34"/>
      <c r="GX293" s="34"/>
      <c r="GY293" s="34"/>
      <c r="GZ293" s="34"/>
      <c r="HA293" s="34"/>
      <c r="HB293" s="34"/>
      <c r="HC293" s="34"/>
      <c r="HD293" s="34"/>
      <c r="HE293" s="34"/>
      <c r="HF293" s="34"/>
      <c r="HG293" s="34"/>
      <c r="HH293" s="34"/>
      <c r="HI293" s="34"/>
      <c r="HJ293" s="34"/>
      <c r="HK293" s="34"/>
      <c r="HL293" s="34"/>
      <c r="HM293" s="34"/>
      <c r="HN293" s="34"/>
      <c r="HO293" s="34"/>
      <c r="HP293" s="34"/>
      <c r="HQ293" s="34"/>
      <c r="HR293" s="34"/>
      <c r="HS293" s="34"/>
      <c r="HT293" s="34"/>
      <c r="HU293" s="34"/>
      <c r="HV293" s="34"/>
      <c r="HW293" s="34"/>
      <c r="HX293" s="34"/>
      <c r="HY293" s="34"/>
      <c r="HZ293" s="34"/>
      <c r="IA293" s="34"/>
      <c r="IB293" s="34"/>
      <c r="IC293" s="34"/>
      <c r="ID293" s="34"/>
      <c r="IE293" s="34"/>
      <c r="IF293" s="34"/>
      <c r="IG293" s="34"/>
      <c r="IH293" s="34"/>
      <c r="II293" s="34"/>
      <c r="IJ293" s="34"/>
      <c r="IK293" s="34"/>
      <c r="IL293" s="34"/>
      <c r="IM293" s="34"/>
      <c r="IN293" s="34"/>
      <c r="IO293" s="34"/>
      <c r="IP293" s="34"/>
      <c r="IQ293" s="34"/>
      <c r="IR293" s="34"/>
      <c r="IS293" s="34"/>
      <c r="IT293" s="34"/>
      <c r="IU293" s="34"/>
      <c r="IV293" s="34"/>
      <c r="IW293" s="34"/>
      <c r="IX293" s="34"/>
      <c r="IY293" s="34"/>
      <c r="IZ293" s="34"/>
      <c r="JA293" s="34"/>
      <c r="JB293" s="34"/>
      <c r="JC293" s="34"/>
      <c r="JD293" s="34"/>
      <c r="JE293" s="34"/>
      <c r="JF293" s="34"/>
      <c r="JG293" s="34"/>
      <c r="JH293" s="34"/>
      <c r="JI293" s="34"/>
      <c r="JJ293" s="34"/>
      <c r="JK293" s="34"/>
      <c r="JL293" s="34"/>
      <c r="JM293" s="34"/>
      <c r="JN293" s="34"/>
      <c r="JO293" s="34"/>
      <c r="JP293" s="34"/>
      <c r="JQ293" s="34"/>
      <c r="JR293" s="34"/>
      <c r="JS293" s="34"/>
      <c r="JT293" s="34"/>
      <c r="JU293" s="34"/>
      <c r="JV293" s="34"/>
      <c r="JW293" s="34"/>
      <c r="JX293" s="34"/>
      <c r="JY293" s="34"/>
      <c r="JZ293" s="34"/>
      <c r="KA293" s="34"/>
      <c r="KB293" s="34"/>
      <c r="KC293" s="34"/>
      <c r="KD293" s="34"/>
      <c r="KE293" s="34"/>
      <c r="KF293" s="34"/>
      <c r="KG293" s="34"/>
      <c r="KH293" s="34"/>
      <c r="KI293" s="34"/>
      <c r="KJ293" s="34"/>
      <c r="KK293" s="34"/>
      <c r="KL293" s="34"/>
      <c r="KM293" s="34"/>
      <c r="KN293" s="34"/>
      <c r="KO293" s="34"/>
      <c r="KP293" s="34"/>
      <c r="KQ293" s="34"/>
      <c r="KR293" s="34"/>
      <c r="KS293" s="34"/>
      <c r="KT293" s="34"/>
      <c r="KU293" s="34"/>
      <c r="KV293" s="34"/>
      <c r="KW293" s="34"/>
      <c r="KX293" s="34"/>
      <c r="KY293" s="34"/>
      <c r="KZ293" s="34"/>
      <c r="LA293" s="34"/>
      <c r="LB293" s="34"/>
      <c r="LC293" s="34"/>
      <c r="LD293" s="34"/>
      <c r="LE293" s="34"/>
      <c r="LF293" s="34"/>
      <c r="LG293" s="34"/>
      <c r="LH293" s="34"/>
      <c r="LI293" s="34"/>
      <c r="LJ293" s="34"/>
      <c r="LK293" s="34"/>
      <c r="LL293" s="34"/>
      <c r="LM293" s="34"/>
      <c r="LN293" s="34"/>
      <c r="LO293" s="34"/>
      <c r="LP293" s="34"/>
      <c r="LQ293" s="34"/>
      <c r="LR293" s="34"/>
      <c r="LS293" s="34"/>
      <c r="LT293" s="34"/>
      <c r="LU293" s="34"/>
      <c r="LV293" s="34"/>
      <c r="LW293" s="34"/>
      <c r="LX293" s="34"/>
      <c r="LY293" s="34"/>
      <c r="LZ293" s="34"/>
      <c r="MA293" s="34"/>
      <c r="MB293" s="34"/>
      <c r="MC293" s="34"/>
      <c r="MD293" s="34"/>
      <c r="ME293" s="34"/>
      <c r="MF293" s="34"/>
      <c r="MG293" s="34"/>
      <c r="MH293" s="34"/>
      <c r="MI293" s="34"/>
      <c r="MJ293" s="34"/>
      <c r="MK293" s="34"/>
      <c r="ML293" s="34"/>
      <c r="MM293" s="34"/>
      <c r="MN293" s="34"/>
      <c r="MO293" s="34"/>
      <c r="MP293" s="34"/>
      <c r="MQ293" s="34"/>
      <c r="MR293" s="34"/>
      <c r="MS293" s="34"/>
      <c r="MT293" s="34"/>
      <c r="MU293" s="34"/>
      <c r="MV293" s="34"/>
      <c r="MW293" s="34"/>
      <c r="MX293" s="34"/>
      <c r="MY293" s="34"/>
      <c r="MZ293" s="34"/>
      <c r="NA293" s="34"/>
      <c r="NB293" s="34"/>
      <c r="NC293" s="34"/>
      <c r="ND293" s="34"/>
      <c r="NE293" s="34"/>
      <c r="NF293" s="34"/>
      <c r="NG293" s="34"/>
      <c r="NH293" s="34"/>
      <c r="NI293" s="34"/>
      <c r="NJ293" s="34"/>
      <c r="NK293" s="34"/>
      <c r="NL293" s="34"/>
      <c r="NM293" s="34"/>
      <c r="NN293" s="34"/>
      <c r="NO293" s="34"/>
      <c r="NP293" s="34"/>
      <c r="NQ293" s="34"/>
      <c r="NR293" s="34"/>
      <c r="NS293" s="34"/>
      <c r="NT293" s="34"/>
      <c r="NU293" s="34"/>
      <c r="NV293" s="34"/>
      <c r="NW293" s="34"/>
      <c r="NX293" s="34"/>
      <c r="NY293" s="34"/>
      <c r="NZ293" s="34"/>
      <c r="OA293" s="34"/>
      <c r="OB293" s="34"/>
      <c r="OC293" s="34"/>
      <c r="OD293" s="34"/>
      <c r="OE293" s="34"/>
      <c r="OF293" s="34"/>
      <c r="OG293" s="34"/>
      <c r="OH293" s="34"/>
      <c r="OI293" s="34"/>
      <c r="OJ293" s="34"/>
      <c r="OK293" s="34"/>
      <c r="OL293" s="34"/>
      <c r="OM293" s="34"/>
      <c r="ON293" s="34"/>
      <c r="OO293" s="34"/>
      <c r="OP293" s="34"/>
      <c r="OQ293" s="34"/>
      <c r="OR293" s="34"/>
      <c r="OS293" s="34"/>
      <c r="OT293" s="34"/>
      <c r="OU293" s="34"/>
      <c r="OV293" s="34"/>
      <c r="OW293" s="34"/>
      <c r="OX293" s="34"/>
      <c r="OY293" s="34"/>
      <c r="OZ293" s="34"/>
      <c r="PA293" s="34"/>
      <c r="PB293" s="34"/>
      <c r="PC293" s="34"/>
      <c r="PD293" s="34"/>
      <c r="PE293" s="34"/>
      <c r="PF293" s="34"/>
      <c r="PG293" s="34"/>
      <c r="PH293" s="34"/>
      <c r="PI293" s="34"/>
      <c r="PJ293" s="34"/>
      <c r="PK293" s="34"/>
      <c r="PL293" s="34"/>
      <c r="PM293" s="34"/>
      <c r="PN293" s="34"/>
      <c r="PO293" s="34"/>
      <c r="PP293" s="34"/>
      <c r="PQ293" s="34"/>
      <c r="PR293" s="34"/>
      <c r="PS293" s="34"/>
      <c r="PT293" s="34"/>
      <c r="PU293" s="34"/>
      <c r="PV293" s="34"/>
      <c r="PW293" s="34"/>
      <c r="PX293" s="34"/>
      <c r="PY293" s="34"/>
      <c r="PZ293" s="34"/>
      <c r="QA293" s="34"/>
      <c r="QB293" s="34"/>
      <c r="QC293" s="34"/>
      <c r="QD293" s="34"/>
      <c r="QE293" s="34"/>
      <c r="QF293" s="34"/>
      <c r="QG293" s="34"/>
      <c r="QH293" s="34"/>
      <c r="QI293" s="34"/>
      <c r="QJ293" s="34"/>
      <c r="QK293" s="34"/>
      <c r="QL293" s="34"/>
      <c r="QM293" s="34"/>
      <c r="QN293" s="34"/>
      <c r="QO293" s="34"/>
      <c r="QP293" s="34"/>
      <c r="QQ293" s="34"/>
      <c r="QR293" s="34"/>
      <c r="QS293" s="34"/>
      <c r="QT293" s="34"/>
      <c r="QU293" s="34"/>
      <c r="QV293" s="34"/>
      <c r="QW293" s="34"/>
      <c r="QX293" s="34"/>
      <c r="QY293" s="34"/>
      <c r="QZ293" s="34"/>
      <c r="RA293" s="34"/>
      <c r="RB293" s="34"/>
      <c r="RC293" s="34"/>
      <c r="RD293" s="34"/>
      <c r="RE293" s="34"/>
      <c r="RF293" s="34"/>
      <c r="RG293" s="34"/>
      <c r="RH293" s="34"/>
      <c r="RI293" s="34"/>
      <c r="RJ293" s="34"/>
      <c r="RK293" s="34"/>
      <c r="RL293" s="34"/>
      <c r="RM293" s="34"/>
      <c r="RN293" s="34"/>
      <c r="RO293" s="34"/>
      <c r="RP293" s="34"/>
      <c r="RQ293" s="34"/>
      <c r="RR293" s="34"/>
      <c r="RS293" s="34"/>
      <c r="RT293" s="34"/>
      <c r="RU293" s="34"/>
      <c r="RV293" s="34"/>
      <c r="RW293" s="34"/>
      <c r="RX293" s="34"/>
      <c r="RY293" s="34"/>
      <c r="RZ293" s="34"/>
      <c r="SA293" s="34"/>
      <c r="SB293" s="34"/>
      <c r="SC293" s="34"/>
      <c r="SD293" s="34"/>
      <c r="SE293" s="34"/>
      <c r="SF293" s="34"/>
      <c r="SG293" s="34"/>
      <c r="SH293" s="34"/>
      <c r="SI293" s="34"/>
      <c r="SJ293" s="34"/>
      <c r="SK293" s="34"/>
      <c r="SL293" s="34"/>
      <c r="SM293" s="34"/>
      <c r="SN293" s="34"/>
      <c r="SO293" s="34"/>
      <c r="SP293" s="34"/>
      <c r="SQ293" s="34"/>
      <c r="SR293" s="34"/>
      <c r="SS293" s="34"/>
      <c r="ST293" s="34"/>
      <c r="SU293" s="34"/>
      <c r="SV293" s="34"/>
      <c r="SW293" s="34"/>
      <c r="SX293" s="34"/>
      <c r="SY293" s="34"/>
      <c r="SZ293" s="34"/>
      <c r="TA293" s="34"/>
      <c r="TB293" s="34"/>
      <c r="TC293" s="34"/>
      <c r="TD293" s="34"/>
      <c r="TE293" s="34"/>
      <c r="TF293" s="34"/>
      <c r="TG293" s="34"/>
      <c r="TH293" s="34"/>
      <c r="TI293" s="34"/>
      <c r="TJ293" s="34"/>
      <c r="TK293" s="34"/>
      <c r="TL293" s="34"/>
      <c r="TM293" s="34"/>
      <c r="TN293" s="34"/>
      <c r="TO293" s="34"/>
      <c r="TP293" s="34"/>
      <c r="TQ293" s="34"/>
      <c r="TR293" s="34"/>
      <c r="TS293" s="34"/>
      <c r="TT293" s="34"/>
      <c r="TU293" s="34"/>
      <c r="TV293" s="34"/>
      <c r="TW293" s="34"/>
      <c r="TX293" s="34"/>
      <c r="TY293" s="34"/>
      <c r="TZ293" s="34"/>
      <c r="UA293" s="34"/>
      <c r="UB293" s="34"/>
      <c r="UC293" s="34"/>
      <c r="UD293" s="34"/>
      <c r="UE293" s="34"/>
      <c r="UF293" s="34"/>
      <c r="UG293" s="34"/>
      <c r="UH293" s="34"/>
      <c r="UI293" s="34"/>
      <c r="UJ293" s="34"/>
      <c r="UK293" s="34"/>
      <c r="UL293" s="34"/>
      <c r="UM293" s="34"/>
      <c r="UN293" s="34"/>
      <c r="UO293" s="34"/>
      <c r="UP293" s="34"/>
      <c r="UQ293" s="34"/>
      <c r="UR293" s="34"/>
      <c r="US293" s="34"/>
      <c r="UT293" s="34"/>
      <c r="UU293" s="34"/>
      <c r="UV293" s="34"/>
      <c r="UW293" s="34"/>
      <c r="UX293" s="34"/>
      <c r="UY293" s="34"/>
      <c r="UZ293" s="34"/>
      <c r="VA293" s="34"/>
      <c r="VB293" s="34"/>
      <c r="VC293" s="34"/>
      <c r="VD293" s="34"/>
      <c r="VE293" s="34"/>
      <c r="VF293" s="34"/>
      <c r="VG293" s="34"/>
      <c r="VH293" s="34"/>
      <c r="VI293" s="34"/>
      <c r="VJ293" s="34"/>
      <c r="VK293" s="34"/>
      <c r="VL293" s="34"/>
      <c r="VM293" s="34"/>
      <c r="VN293" s="34"/>
      <c r="VO293" s="34"/>
      <c r="VP293" s="34"/>
      <c r="VQ293" s="34"/>
      <c r="VR293" s="34"/>
      <c r="VS293" s="34"/>
      <c r="VT293" s="34"/>
      <c r="VU293" s="34"/>
      <c r="VV293" s="34"/>
      <c r="VW293" s="34"/>
      <c r="VX293" s="34"/>
      <c r="VY293" s="34"/>
      <c r="VZ293" s="34"/>
      <c r="WA293" s="34"/>
      <c r="WB293" s="34"/>
      <c r="WC293" s="34"/>
      <c r="WD293" s="34"/>
      <c r="WE293" s="34"/>
      <c r="WF293" s="34"/>
      <c r="WG293" s="34"/>
      <c r="WH293" s="34"/>
      <c r="WI293" s="34"/>
      <c r="WJ293" s="34"/>
      <c r="WK293" s="34"/>
      <c r="WL293" s="34"/>
      <c r="WM293" s="34"/>
      <c r="WN293" s="34"/>
      <c r="WO293" s="34"/>
      <c r="WP293" s="34"/>
      <c r="WQ293" s="34"/>
      <c r="WR293" s="34"/>
      <c r="WS293" s="34"/>
      <c r="WT293" s="34"/>
      <c r="WU293" s="34"/>
      <c r="WV293" s="34"/>
      <c r="WW293" s="34"/>
      <c r="WX293" s="34"/>
      <c r="WY293" s="34"/>
      <c r="WZ293" s="34"/>
      <c r="XA293" s="34"/>
      <c r="XB293" s="34"/>
      <c r="XC293" s="34"/>
      <c r="XD293" s="34"/>
      <c r="XE293" s="34"/>
      <c r="XF293" s="34"/>
      <c r="XG293" s="34"/>
      <c r="XH293" s="34"/>
      <c r="XI293" s="34"/>
      <c r="XJ293" s="34"/>
      <c r="XK293" s="34"/>
      <c r="XL293" s="34"/>
      <c r="XM293" s="34"/>
      <c r="XN293" s="34"/>
      <c r="XO293" s="34"/>
      <c r="XP293" s="34"/>
      <c r="XQ293" s="34"/>
      <c r="XR293" s="34"/>
      <c r="XS293" s="34"/>
      <c r="XT293" s="34"/>
      <c r="XU293" s="34"/>
      <c r="XV293" s="34"/>
      <c r="XW293" s="34"/>
      <c r="XX293" s="34"/>
      <c r="XY293" s="34"/>
      <c r="XZ293" s="34"/>
      <c r="YA293" s="34"/>
      <c r="YB293" s="34"/>
      <c r="YC293" s="34"/>
      <c r="YD293" s="34"/>
      <c r="YE293" s="34"/>
      <c r="YF293" s="34"/>
      <c r="YG293" s="34"/>
      <c r="YH293" s="34"/>
      <c r="YI293" s="34"/>
      <c r="YJ293" s="34"/>
      <c r="YK293" s="34"/>
      <c r="YL293" s="34"/>
      <c r="YM293" s="34"/>
      <c r="YN293" s="34"/>
      <c r="YO293" s="34"/>
      <c r="YP293" s="34"/>
      <c r="YQ293" s="34"/>
      <c r="YR293" s="34"/>
      <c r="YS293" s="34"/>
      <c r="YT293" s="34"/>
      <c r="YU293" s="34"/>
      <c r="YV293" s="34"/>
      <c r="YW293" s="34"/>
      <c r="YX293" s="34"/>
      <c r="YY293" s="34"/>
      <c r="YZ293" s="34"/>
      <c r="ZA293" s="34"/>
      <c r="ZB293" s="34"/>
      <c r="ZC293" s="34"/>
      <c r="ZD293" s="34"/>
      <c r="ZE293" s="34"/>
      <c r="ZF293" s="34"/>
      <c r="ZG293" s="34"/>
      <c r="ZH293" s="34"/>
      <c r="ZI293" s="34"/>
      <c r="ZJ293" s="34"/>
      <c r="ZK293" s="34"/>
      <c r="ZL293" s="34"/>
      <c r="ZM293" s="34"/>
      <c r="ZN293" s="34"/>
      <c r="ZO293" s="34"/>
      <c r="ZP293" s="34"/>
      <c r="ZQ293" s="34"/>
      <c r="ZR293" s="34"/>
      <c r="ZS293" s="34"/>
      <c r="ZT293" s="34"/>
      <c r="ZU293" s="34"/>
      <c r="ZV293" s="34"/>
      <c r="ZW293" s="34"/>
      <c r="ZX293" s="34"/>
      <c r="ZY293" s="34"/>
      <c r="ZZ293" s="34"/>
      <c r="AAA293" s="34"/>
      <c r="AAB293" s="34"/>
      <c r="AAC293" s="34"/>
      <c r="AAD293" s="34"/>
      <c r="AAE293" s="34"/>
      <c r="AAF293" s="34"/>
      <c r="AAG293" s="34"/>
      <c r="AAH293" s="34"/>
      <c r="AAI293" s="34"/>
      <c r="AAJ293" s="34"/>
      <c r="AAK293" s="34"/>
      <c r="AAL293" s="34"/>
      <c r="AAM293" s="34"/>
      <c r="AAN293" s="34"/>
      <c r="AAO293" s="34"/>
      <c r="AAP293" s="34"/>
      <c r="AAQ293" s="34"/>
      <c r="AAR293" s="34"/>
      <c r="AAS293" s="34"/>
      <c r="AAT293" s="34"/>
      <c r="AAU293" s="34"/>
      <c r="AAV293" s="34"/>
      <c r="AAW293" s="34"/>
      <c r="AAX293" s="34"/>
      <c r="AAY293" s="34"/>
      <c r="AAZ293" s="34"/>
      <c r="ABA293" s="34"/>
      <c r="ABB293" s="34"/>
      <c r="ABC293" s="34"/>
      <c r="ABD293" s="34"/>
      <c r="ABE293" s="34"/>
      <c r="ABF293" s="34"/>
      <c r="ABG293" s="34"/>
      <c r="ABH293" s="34"/>
      <c r="ABI293" s="34"/>
      <c r="ABJ293" s="34"/>
      <c r="ABK293" s="34"/>
      <c r="ABL293" s="34"/>
      <c r="ABM293" s="34"/>
      <c r="ABN293" s="34"/>
      <c r="ABO293" s="34"/>
      <c r="ABP293" s="34"/>
      <c r="ABQ293" s="34"/>
      <c r="ABR293" s="34"/>
      <c r="ABS293" s="34"/>
      <c r="ABT293" s="34"/>
      <c r="ABU293" s="34"/>
      <c r="ABV293" s="34"/>
      <c r="ABW293" s="34"/>
      <c r="ABX293" s="34"/>
      <c r="ABY293" s="34"/>
      <c r="ABZ293" s="34"/>
      <c r="ACA293" s="34"/>
      <c r="ACB293" s="34"/>
      <c r="ACC293" s="34"/>
      <c r="ACD293" s="34"/>
      <c r="ACE293" s="34"/>
      <c r="ACF293" s="34"/>
      <c r="ACG293" s="34"/>
      <c r="ACH293" s="34"/>
      <c r="ACI293" s="34"/>
      <c r="ACJ293" s="34"/>
      <c r="ACK293" s="34"/>
      <c r="ACL293" s="34"/>
      <c r="ACM293" s="34"/>
      <c r="ACN293" s="34"/>
      <c r="ACO293" s="34"/>
      <c r="ACP293" s="34"/>
      <c r="ACQ293" s="34"/>
      <c r="ACR293" s="34"/>
      <c r="ACS293" s="34"/>
      <c r="ACT293" s="34"/>
      <c r="ACU293" s="34"/>
      <c r="ACV293" s="34"/>
      <c r="ACW293" s="34"/>
      <c r="ACX293" s="34"/>
      <c r="ACY293" s="34"/>
      <c r="ACZ293" s="34"/>
      <c r="ADA293" s="34"/>
      <c r="ADB293" s="34"/>
      <c r="ADC293" s="34"/>
      <c r="ADD293" s="34"/>
      <c r="ADE293" s="34"/>
      <c r="ADF293" s="34"/>
      <c r="ADG293" s="34"/>
      <c r="ADH293" s="34"/>
      <c r="ADI293" s="34"/>
      <c r="ADJ293" s="34"/>
      <c r="ADK293" s="34"/>
      <c r="ADL293" s="34"/>
      <c r="ADM293" s="34"/>
      <c r="ADN293" s="34"/>
      <c r="ADO293" s="34"/>
      <c r="ADP293" s="34"/>
      <c r="ADQ293" s="34"/>
      <c r="ADR293" s="34"/>
      <c r="ADS293" s="34"/>
      <c r="ADT293" s="34"/>
      <c r="ADU293" s="34"/>
      <c r="ADV293" s="34"/>
      <c r="ADW293" s="34"/>
      <c r="ADX293" s="34"/>
      <c r="ADY293" s="34"/>
      <c r="ADZ293" s="34"/>
      <c r="AEA293" s="34"/>
      <c r="AEB293" s="34"/>
      <c r="AEC293" s="34"/>
      <c r="AED293" s="34"/>
      <c r="AEE293" s="34"/>
      <c r="AEF293" s="34"/>
      <c r="AEG293" s="34"/>
      <c r="AEH293" s="34"/>
      <c r="AEI293" s="34"/>
      <c r="AEJ293" s="34"/>
      <c r="AEK293" s="34"/>
      <c r="AEL293" s="34"/>
      <c r="AEM293" s="34"/>
      <c r="AEN293" s="34"/>
      <c r="AEO293" s="34"/>
      <c r="AEP293" s="34"/>
      <c r="AEQ293" s="34"/>
      <c r="AER293" s="34"/>
      <c r="AES293" s="34"/>
      <c r="AET293" s="34"/>
      <c r="AEU293" s="34"/>
      <c r="AEV293" s="34"/>
      <c r="AEW293" s="34"/>
      <c r="AEX293" s="34"/>
      <c r="AEY293" s="34"/>
      <c r="AEZ293" s="34"/>
      <c r="AFA293" s="34"/>
      <c r="AFB293" s="34"/>
      <c r="AFC293" s="34"/>
      <c r="AFD293" s="34"/>
      <c r="AFE293" s="34"/>
      <c r="AFF293" s="34"/>
      <c r="AFG293" s="34"/>
      <c r="AFH293" s="34"/>
      <c r="AFI293" s="34"/>
      <c r="AFJ293" s="34"/>
      <c r="AFK293" s="34"/>
      <c r="AFL293" s="34"/>
      <c r="AFM293" s="34"/>
      <c r="AFN293" s="34"/>
      <c r="AFO293" s="34"/>
      <c r="AFP293" s="34"/>
      <c r="AFQ293" s="34"/>
      <c r="AFR293" s="34"/>
      <c r="AFS293" s="34"/>
      <c r="AFT293" s="34"/>
      <c r="AFU293" s="34"/>
      <c r="AFV293" s="34"/>
      <c r="AFW293" s="34"/>
      <c r="AFX293" s="34"/>
      <c r="AFY293" s="34"/>
      <c r="AFZ293" s="34"/>
      <c r="AGA293" s="34"/>
      <c r="AGB293" s="34"/>
      <c r="AGC293" s="34"/>
      <c r="AGD293" s="34"/>
      <c r="AGE293" s="34"/>
      <c r="AGF293" s="34"/>
      <c r="AGG293" s="34"/>
      <c r="AGH293" s="34"/>
      <c r="AGI293" s="34"/>
      <c r="AGJ293" s="34"/>
      <c r="AGK293" s="34"/>
      <c r="AGL293" s="34"/>
      <c r="AGM293" s="34"/>
      <c r="AGN293" s="34"/>
      <c r="AGO293" s="34"/>
      <c r="AGP293" s="34"/>
      <c r="AGQ293" s="34"/>
      <c r="AGR293" s="34"/>
      <c r="AGS293" s="34"/>
      <c r="AGT293" s="34"/>
      <c r="AGU293" s="34"/>
      <c r="AGV293" s="34"/>
      <c r="AGW293" s="34"/>
      <c r="AGX293" s="34"/>
      <c r="AGY293" s="34"/>
      <c r="AGZ293" s="34"/>
      <c r="AHA293" s="34"/>
      <c r="AHB293" s="34"/>
      <c r="AHC293" s="34"/>
      <c r="AHD293" s="34"/>
      <c r="AHE293" s="34"/>
      <c r="AHF293" s="34"/>
      <c r="AHG293" s="34"/>
      <c r="AHH293" s="34"/>
      <c r="AHI293" s="34"/>
      <c r="AHJ293" s="34"/>
      <c r="AHK293" s="34"/>
      <c r="AHL293" s="34"/>
      <c r="AHM293" s="34"/>
      <c r="AHN293" s="34"/>
      <c r="AHO293" s="34"/>
      <c r="AHP293" s="34"/>
      <c r="AHQ293" s="34"/>
      <c r="AHR293" s="34"/>
      <c r="AHS293" s="34"/>
      <c r="AHT293" s="34"/>
      <c r="AHU293" s="34"/>
      <c r="AHV293" s="34"/>
      <c r="AHW293" s="34"/>
      <c r="AHX293" s="34"/>
      <c r="AHY293" s="34"/>
      <c r="AHZ293" s="34"/>
      <c r="AIA293" s="34"/>
      <c r="AIB293" s="34"/>
      <c r="AIC293" s="34"/>
      <c r="AID293" s="34"/>
      <c r="AIE293" s="34"/>
      <c r="AIF293" s="34"/>
      <c r="AIG293" s="34"/>
      <c r="AIH293" s="34"/>
      <c r="AII293" s="34"/>
      <c r="AIJ293" s="34"/>
      <c r="AIK293" s="34"/>
      <c r="AIL293" s="34"/>
      <c r="AIM293" s="34"/>
      <c r="AIN293" s="34"/>
      <c r="AIO293" s="34"/>
      <c r="AIP293" s="34"/>
      <c r="AIQ293" s="34"/>
      <c r="AIR293" s="34"/>
      <c r="AIS293" s="34"/>
      <c r="AIT293" s="34"/>
      <c r="AIU293" s="34"/>
      <c r="AIV293" s="34"/>
      <c r="AIW293" s="34"/>
      <c r="AIX293" s="34"/>
      <c r="AIY293" s="34"/>
      <c r="AIZ293" s="34"/>
      <c r="AJA293" s="34"/>
      <c r="AJB293" s="34"/>
      <c r="AJC293" s="34"/>
      <c r="AJD293" s="34"/>
      <c r="AJE293" s="34"/>
      <c r="AJF293" s="34"/>
      <c r="AJG293" s="34"/>
      <c r="AJH293" s="34"/>
      <c r="AJI293" s="34"/>
      <c r="AJJ293" s="34"/>
      <c r="AJK293" s="34"/>
      <c r="AJL293" s="34"/>
      <c r="AJM293" s="34"/>
      <c r="AJN293" s="34"/>
      <c r="AJO293" s="34"/>
      <c r="AJP293" s="34"/>
      <c r="AJQ293" s="34"/>
      <c r="AJR293" s="34"/>
      <c r="AJS293" s="34"/>
      <c r="AJT293" s="34"/>
      <c r="AJU293" s="34"/>
      <c r="AJV293" s="34"/>
      <c r="AJW293" s="34"/>
      <c r="AJX293" s="34"/>
      <c r="AJY293" s="34"/>
      <c r="AJZ293" s="34"/>
      <c r="AKA293" s="34"/>
      <c r="AKB293" s="34"/>
      <c r="AKC293" s="34"/>
      <c r="AKD293" s="34"/>
      <c r="AKE293" s="34"/>
      <c r="AKF293" s="34"/>
      <c r="AKG293" s="34"/>
      <c r="AKH293" s="34"/>
      <c r="AKI293" s="34"/>
      <c r="AKJ293" s="34"/>
      <c r="AKK293" s="34"/>
      <c r="AKL293" s="34"/>
      <c r="AKM293" s="34"/>
      <c r="AKN293" s="34"/>
      <c r="AKO293" s="34"/>
      <c r="AKP293" s="34"/>
      <c r="AKQ293" s="34"/>
      <c r="AKR293" s="34"/>
      <c r="AKS293" s="34"/>
      <c r="AKT293" s="34"/>
      <c r="AKU293" s="34"/>
      <c r="AKV293" s="34"/>
      <c r="AKW293" s="34"/>
      <c r="AKX293" s="34"/>
      <c r="AKY293" s="34"/>
      <c r="AKZ293" s="34"/>
      <c r="ALA293" s="34"/>
      <c r="ALB293" s="34"/>
      <c r="ALC293" s="34"/>
      <c r="ALD293" s="34"/>
      <c r="ALE293" s="34"/>
      <c r="ALF293" s="34"/>
      <c r="ALG293" s="34"/>
      <c r="ALH293" s="34"/>
      <c r="ALI293" s="34"/>
      <c r="ALJ293" s="34"/>
      <c r="ALK293" s="34"/>
      <c r="ALL293" s="34"/>
      <c r="ALM293" s="34"/>
      <c r="ALN293" s="34"/>
      <c r="ALO293" s="34"/>
      <c r="ALP293" s="34"/>
      <c r="ALQ293" s="34"/>
      <c r="ALR293" s="34"/>
      <c r="ALS293" s="34"/>
      <c r="ALT293" s="34"/>
      <c r="ALU293" s="34"/>
      <c r="ALV293" s="34"/>
      <c r="ALW293" s="34"/>
      <c r="ALX293" s="34"/>
      <c r="ALY293" s="34"/>
      <c r="ALZ293" s="34"/>
      <c r="AMA293" s="34"/>
      <c r="AMB293" s="34"/>
      <c r="AMC293" s="34"/>
      <c r="AMD293" s="34"/>
      <c r="AME293" s="34"/>
      <c r="AMF293" s="34"/>
      <c r="AMG293" s="34"/>
      <c r="AMH293" s="34"/>
      <c r="AMI293" s="34"/>
      <c r="AMJ293" s="34"/>
      <c r="AMK293" s="34"/>
      <c r="AML293" s="34"/>
      <c r="AMM293" s="34"/>
      <c r="AMN293" s="34"/>
      <c r="AMO293" s="34"/>
      <c r="AMP293" s="34"/>
      <c r="AMQ293" s="34"/>
      <c r="AMR293" s="34"/>
      <c r="AMS293" s="34"/>
      <c r="AMT293" s="34"/>
      <c r="AMU293" s="34"/>
      <c r="AMV293" s="34"/>
      <c r="AMW293" s="34"/>
      <c r="AMX293" s="34"/>
      <c r="AMY293" s="34"/>
      <c r="AMZ293" s="34"/>
      <c r="ANA293" s="34"/>
      <c r="ANB293" s="34"/>
      <c r="ANC293" s="34"/>
      <c r="AND293" s="34"/>
      <c r="ANE293" s="34"/>
      <c r="ANF293" s="34"/>
      <c r="ANG293" s="34"/>
      <c r="ANH293" s="34"/>
      <c r="ANI293" s="34"/>
      <c r="ANJ293" s="34"/>
      <c r="ANK293" s="34"/>
      <c r="ANL293" s="34"/>
      <c r="ANM293" s="34"/>
      <c r="ANN293" s="34"/>
      <c r="ANO293" s="34"/>
      <c r="ANP293" s="34"/>
      <c r="ANQ293" s="34"/>
      <c r="ANR293" s="34"/>
      <c r="ANS293" s="34"/>
      <c r="ANT293" s="34"/>
      <c r="ANU293" s="34"/>
      <c r="ANV293" s="34"/>
      <c r="ANW293" s="34"/>
      <c r="ANX293" s="34"/>
      <c r="ANY293" s="34"/>
      <c r="ANZ293" s="34"/>
      <c r="AOA293" s="34"/>
      <c r="AOB293" s="34"/>
      <c r="AOC293" s="34"/>
      <c r="AOD293" s="34"/>
      <c r="AOE293" s="34"/>
      <c r="AOF293" s="34"/>
      <c r="AOG293" s="34"/>
      <c r="AOH293" s="34"/>
      <c r="AOI293" s="34"/>
      <c r="AOJ293" s="34"/>
      <c r="AOK293" s="34"/>
      <c r="AOL293" s="34"/>
      <c r="AOM293" s="34"/>
      <c r="AON293" s="34"/>
      <c r="AOO293" s="34"/>
      <c r="AOP293" s="34"/>
      <c r="AOQ293" s="34"/>
      <c r="AOR293" s="34"/>
      <c r="AOS293" s="34"/>
      <c r="AOT293" s="34"/>
      <c r="AOU293" s="34"/>
      <c r="AOV293" s="34"/>
      <c r="AOW293" s="34"/>
      <c r="AOX293" s="34"/>
      <c r="AOY293" s="34"/>
      <c r="AOZ293" s="34"/>
      <c r="APA293" s="34"/>
      <c r="APB293" s="34"/>
      <c r="APC293" s="34"/>
      <c r="APD293" s="34"/>
      <c r="APE293" s="34"/>
      <c r="APF293" s="34"/>
      <c r="APG293" s="34"/>
      <c r="APH293" s="34"/>
      <c r="API293" s="34"/>
      <c r="APJ293" s="34"/>
      <c r="APK293" s="34"/>
      <c r="APL293" s="34"/>
      <c r="APM293" s="34"/>
      <c r="APN293" s="34"/>
      <c r="APO293" s="34"/>
      <c r="APP293" s="34"/>
      <c r="APQ293" s="34"/>
      <c r="APR293" s="34"/>
      <c r="APS293" s="34"/>
      <c r="APT293" s="34"/>
      <c r="APU293" s="34"/>
      <c r="APV293" s="34"/>
      <c r="APW293" s="34"/>
      <c r="APX293" s="34"/>
      <c r="APY293" s="34"/>
      <c r="APZ293" s="34"/>
      <c r="AQA293" s="34"/>
      <c r="AQB293" s="34"/>
      <c r="AQC293" s="34"/>
      <c r="AQD293" s="34"/>
      <c r="AQE293" s="34"/>
      <c r="AQF293" s="34"/>
      <c r="AQG293" s="34"/>
      <c r="AQH293" s="34"/>
      <c r="AQI293" s="34"/>
      <c r="AQJ293" s="34"/>
      <c r="AQK293" s="34"/>
      <c r="AQL293" s="34"/>
      <c r="AQM293" s="34"/>
      <c r="AQN293" s="34"/>
      <c r="AQO293" s="34"/>
      <c r="AQP293" s="34"/>
      <c r="AQQ293" s="34"/>
      <c r="AQR293" s="34"/>
      <c r="AQS293" s="34"/>
      <c r="AQT293" s="34"/>
      <c r="AQU293" s="34"/>
      <c r="AQV293" s="34"/>
      <c r="AQW293" s="34"/>
      <c r="AQX293" s="34"/>
      <c r="AQY293" s="34"/>
      <c r="AQZ293" s="34"/>
      <c r="ARA293" s="34"/>
      <c r="ARB293" s="34"/>
      <c r="ARC293" s="34"/>
      <c r="ARD293" s="34"/>
      <c r="ARE293" s="34"/>
      <c r="ARF293" s="34"/>
      <c r="ARG293" s="34"/>
      <c r="ARH293" s="34"/>
      <c r="ARI293" s="34"/>
      <c r="ARJ293" s="34"/>
      <c r="ARK293" s="34"/>
      <c r="ARL293" s="34"/>
      <c r="ARM293" s="34"/>
      <c r="ARN293" s="34"/>
      <c r="ARO293" s="34"/>
      <c r="ARP293" s="34"/>
      <c r="ARQ293" s="34"/>
      <c r="ARR293" s="34"/>
      <c r="ARS293" s="34"/>
      <c r="ART293" s="34"/>
      <c r="ARU293" s="34"/>
      <c r="ARV293" s="34"/>
      <c r="ARW293" s="34"/>
      <c r="ARX293" s="34"/>
      <c r="ARY293" s="34"/>
      <c r="ARZ293" s="34"/>
      <c r="ASA293" s="34"/>
      <c r="ASB293" s="34"/>
      <c r="ASC293" s="34"/>
      <c r="ASD293" s="34"/>
      <c r="ASE293" s="34"/>
      <c r="ASF293" s="34"/>
      <c r="ASG293" s="34"/>
      <c r="ASH293" s="34"/>
      <c r="ASI293" s="34"/>
      <c r="ASJ293" s="34"/>
      <c r="ASK293" s="34"/>
      <c r="ASL293" s="34"/>
      <c r="ASM293" s="34"/>
      <c r="ASN293" s="34"/>
      <c r="ASO293" s="34"/>
      <c r="ASP293" s="34"/>
      <c r="ASQ293" s="34"/>
      <c r="ASR293" s="34"/>
      <c r="ASS293" s="34"/>
      <c r="AST293" s="34"/>
      <c r="ASU293" s="34"/>
      <c r="ASV293" s="34"/>
      <c r="ASW293" s="34"/>
      <c r="ASX293" s="34"/>
      <c r="ASY293" s="34"/>
      <c r="ASZ293" s="34"/>
      <c r="ATA293" s="34"/>
      <c r="ATB293" s="34"/>
      <c r="ATC293" s="34"/>
      <c r="ATD293" s="34"/>
      <c r="ATE293" s="34"/>
      <c r="ATF293" s="34"/>
      <c r="ATG293" s="34"/>
      <c r="ATH293" s="34"/>
      <c r="ATI293" s="34"/>
      <c r="ATJ293" s="34"/>
      <c r="ATK293" s="34"/>
      <c r="ATL293" s="34"/>
      <c r="ATM293" s="34"/>
      <c r="ATN293" s="34"/>
      <c r="ATO293" s="34"/>
      <c r="ATP293" s="34"/>
      <c r="ATQ293" s="34"/>
      <c r="ATR293" s="34"/>
      <c r="ATS293" s="34"/>
      <c r="ATT293" s="34"/>
      <c r="ATU293" s="34"/>
      <c r="ATV293" s="34"/>
      <c r="ATW293" s="34"/>
      <c r="ATX293" s="34"/>
      <c r="ATY293" s="34"/>
      <c r="ATZ293" s="34"/>
      <c r="AUA293" s="34"/>
      <c r="AUB293" s="34"/>
      <c r="AUC293" s="34"/>
      <c r="AUD293" s="34"/>
      <c r="AUE293" s="34"/>
      <c r="AUF293" s="34"/>
      <c r="AUG293" s="34"/>
      <c r="AUH293" s="34"/>
      <c r="AUI293" s="34"/>
      <c r="AUJ293" s="34"/>
      <c r="AUK293" s="34"/>
      <c r="AUL293" s="34"/>
      <c r="AUM293" s="34"/>
      <c r="AUN293" s="34"/>
      <c r="AUO293" s="34"/>
      <c r="AUP293" s="34"/>
      <c r="AUQ293" s="34"/>
      <c r="AUR293" s="34"/>
      <c r="AUS293" s="34"/>
      <c r="AUT293" s="34"/>
      <c r="AUU293" s="34"/>
      <c r="AUV293" s="34"/>
      <c r="AUW293" s="34"/>
      <c r="AUX293" s="34"/>
      <c r="AUY293" s="34"/>
      <c r="AUZ293" s="34"/>
      <c r="AVA293" s="34"/>
      <c r="AVB293" s="34"/>
      <c r="AVC293" s="34"/>
      <c r="AVD293" s="34"/>
      <c r="AVE293" s="34"/>
      <c r="AVF293" s="34"/>
      <c r="AVG293" s="34"/>
      <c r="AVH293" s="34"/>
      <c r="AVI293" s="34"/>
      <c r="AVJ293" s="34"/>
      <c r="AVK293" s="34"/>
      <c r="AVL293" s="34"/>
      <c r="AVM293" s="34"/>
      <c r="AVN293" s="34"/>
      <c r="AVO293" s="34"/>
      <c r="AVP293" s="34"/>
      <c r="AVQ293" s="34"/>
      <c r="AVR293" s="34"/>
      <c r="AVS293" s="34"/>
      <c r="AVT293" s="34"/>
      <c r="AVU293" s="34"/>
      <c r="AVV293" s="34"/>
      <c r="AVW293" s="34"/>
      <c r="AVX293" s="34"/>
      <c r="AVY293" s="34"/>
      <c r="AVZ293" s="34"/>
      <c r="AWA293" s="34"/>
      <c r="AWB293" s="34"/>
      <c r="AWC293" s="34"/>
      <c r="AWD293" s="34"/>
      <c r="AWE293" s="34"/>
      <c r="AWF293" s="34"/>
      <c r="AWG293" s="34"/>
      <c r="AWH293" s="34"/>
      <c r="AWI293" s="34"/>
      <c r="AWJ293" s="34"/>
      <c r="AWK293" s="34"/>
      <c r="AWL293" s="34"/>
      <c r="AWM293" s="34"/>
      <c r="AWN293" s="34"/>
      <c r="AWO293" s="34"/>
      <c r="AWP293" s="34"/>
      <c r="AWQ293" s="34"/>
      <c r="AWR293" s="34"/>
      <c r="AWS293" s="34"/>
      <c r="AWT293" s="34"/>
      <c r="AWU293" s="34"/>
      <c r="AWV293" s="34"/>
      <c r="AWW293" s="34"/>
      <c r="AWX293" s="34"/>
      <c r="AWY293" s="34"/>
      <c r="AWZ293" s="34"/>
      <c r="AXA293" s="34"/>
      <c r="AXB293" s="34"/>
      <c r="AXC293" s="34"/>
      <c r="AXD293" s="34"/>
      <c r="AXE293" s="34"/>
      <c r="AXF293" s="34"/>
      <c r="AXG293" s="34"/>
      <c r="AXH293" s="34"/>
      <c r="AXI293" s="34"/>
      <c r="AXJ293" s="34"/>
      <c r="AXK293" s="34"/>
      <c r="AXL293" s="34"/>
      <c r="AXM293" s="34"/>
      <c r="AXN293" s="34"/>
      <c r="AXO293" s="34"/>
      <c r="AXP293" s="34"/>
      <c r="AXQ293" s="34"/>
      <c r="AXR293" s="34"/>
      <c r="AXS293" s="34"/>
      <c r="AXT293" s="34"/>
      <c r="AXU293" s="34"/>
      <c r="AXV293" s="34"/>
      <c r="AXW293" s="34"/>
      <c r="AXX293" s="34"/>
      <c r="AXY293" s="34"/>
      <c r="AXZ293" s="34"/>
      <c r="AYA293" s="34"/>
      <c r="AYB293" s="34"/>
      <c r="AYC293" s="34"/>
      <c r="AYD293" s="34"/>
      <c r="AYE293" s="34"/>
      <c r="AYF293" s="34"/>
      <c r="AYG293" s="34"/>
      <c r="AYH293" s="34"/>
      <c r="AYI293" s="34"/>
      <c r="AYJ293" s="34"/>
      <c r="AYK293" s="34"/>
      <c r="AYL293" s="34"/>
      <c r="AYM293" s="34"/>
      <c r="AYN293" s="34"/>
      <c r="AYO293" s="34"/>
      <c r="AYP293" s="34"/>
      <c r="AYQ293" s="34"/>
      <c r="AYR293" s="34"/>
      <c r="AYS293" s="34"/>
      <c r="AYT293" s="34"/>
      <c r="AYU293" s="34"/>
      <c r="AYV293" s="34"/>
      <c r="AYW293" s="34"/>
      <c r="AYX293" s="34"/>
      <c r="AYY293" s="34"/>
      <c r="AYZ293" s="34"/>
      <c r="AZA293" s="34"/>
      <c r="AZB293" s="34"/>
      <c r="AZC293" s="34"/>
      <c r="AZD293" s="34"/>
      <c r="AZE293" s="34"/>
      <c r="AZF293" s="34"/>
      <c r="AZG293" s="34"/>
      <c r="AZH293" s="34"/>
      <c r="AZI293" s="34"/>
      <c r="AZJ293" s="34"/>
      <c r="AZK293" s="34"/>
      <c r="AZL293" s="34"/>
      <c r="AZM293" s="34"/>
      <c r="AZN293" s="34"/>
      <c r="AZO293" s="34"/>
      <c r="AZP293" s="34"/>
      <c r="AZQ293" s="34"/>
      <c r="AZR293" s="34"/>
      <c r="AZS293" s="34"/>
      <c r="AZT293" s="34"/>
      <c r="AZU293" s="34"/>
      <c r="AZV293" s="34"/>
      <c r="AZW293" s="34"/>
      <c r="AZX293" s="34"/>
      <c r="AZY293" s="34"/>
      <c r="AZZ293" s="34"/>
      <c r="BAA293" s="34"/>
      <c r="BAB293" s="34"/>
      <c r="BAC293" s="34"/>
      <c r="BAD293" s="34"/>
      <c r="BAE293" s="34"/>
      <c r="BAF293" s="34"/>
      <c r="BAG293" s="34"/>
      <c r="BAH293" s="34"/>
      <c r="BAI293" s="34"/>
      <c r="BAJ293" s="34"/>
      <c r="BAK293" s="34"/>
      <c r="BAL293" s="34"/>
      <c r="BAM293" s="34"/>
      <c r="BAN293" s="34"/>
      <c r="BAO293" s="34"/>
      <c r="BAP293" s="34"/>
      <c r="BAQ293" s="34"/>
      <c r="BAR293" s="34"/>
      <c r="BAS293" s="34"/>
      <c r="BAT293" s="34"/>
      <c r="BAU293" s="34"/>
      <c r="BAV293" s="34"/>
      <c r="BAW293" s="34"/>
      <c r="BAX293" s="34"/>
      <c r="BAY293" s="34"/>
      <c r="BAZ293" s="34"/>
      <c r="BBA293" s="34"/>
      <c r="BBB293" s="34"/>
      <c r="BBC293" s="34"/>
      <c r="BBD293" s="34"/>
      <c r="BBE293" s="34"/>
      <c r="BBF293" s="34"/>
      <c r="BBG293" s="34"/>
      <c r="BBH293" s="34"/>
      <c r="BBI293" s="34"/>
      <c r="BBJ293" s="34"/>
      <c r="BBK293" s="34"/>
      <c r="BBL293" s="34"/>
      <c r="BBM293" s="34"/>
      <c r="BBN293" s="34"/>
      <c r="BBO293" s="34"/>
      <c r="BBP293" s="34"/>
      <c r="BBQ293" s="34"/>
      <c r="BBR293" s="34"/>
      <c r="BBS293" s="34"/>
      <c r="BBT293" s="34"/>
      <c r="BBU293" s="34"/>
      <c r="BBV293" s="34"/>
      <c r="BBW293" s="34"/>
      <c r="BBX293" s="34"/>
      <c r="BBY293" s="34"/>
      <c r="BBZ293" s="34"/>
      <c r="BCA293" s="34"/>
      <c r="BCB293" s="34"/>
      <c r="BCC293" s="34"/>
      <c r="BCD293" s="34"/>
      <c r="BCE293" s="34"/>
      <c r="BCF293" s="34"/>
      <c r="BCG293" s="34"/>
      <c r="BCH293" s="34"/>
      <c r="BCI293" s="34"/>
      <c r="BCJ293" s="34"/>
      <c r="BCK293" s="34"/>
      <c r="BCL293" s="34"/>
      <c r="BCM293" s="34"/>
      <c r="BCN293" s="34"/>
      <c r="BCO293" s="34"/>
      <c r="BCP293" s="34"/>
      <c r="BCQ293" s="34"/>
      <c r="BCR293" s="34"/>
      <c r="BCS293" s="34"/>
      <c r="BCT293" s="34"/>
      <c r="BCU293" s="34"/>
      <c r="BCV293" s="34"/>
      <c r="BCW293" s="34"/>
      <c r="BCX293" s="34"/>
      <c r="BCY293" s="34"/>
      <c r="BCZ293" s="34"/>
      <c r="BDA293" s="34"/>
      <c r="BDB293" s="34"/>
      <c r="BDC293" s="34"/>
      <c r="BDD293" s="34"/>
      <c r="BDE293" s="34"/>
      <c r="BDF293" s="34"/>
      <c r="BDG293" s="34"/>
      <c r="BDH293" s="34"/>
      <c r="BDI293" s="34"/>
      <c r="BDJ293" s="34"/>
      <c r="BDK293" s="34"/>
      <c r="BDL293" s="34"/>
      <c r="BDM293" s="34"/>
      <c r="BDN293" s="34"/>
      <c r="BDO293" s="34"/>
      <c r="BDP293" s="34"/>
      <c r="BDQ293" s="34"/>
      <c r="BDR293" s="34"/>
      <c r="BDS293" s="34"/>
      <c r="BDT293" s="34"/>
      <c r="BDU293" s="34"/>
      <c r="BDV293" s="34"/>
      <c r="BDW293" s="34"/>
      <c r="BDX293" s="34"/>
      <c r="BDY293" s="34"/>
      <c r="BDZ293" s="34"/>
      <c r="BEA293" s="34"/>
      <c r="BEB293" s="34"/>
      <c r="BEC293" s="34"/>
      <c r="BED293" s="34"/>
      <c r="BEE293" s="34"/>
      <c r="BEF293" s="34"/>
      <c r="BEG293" s="34"/>
      <c r="BEH293" s="34"/>
      <c r="BEI293" s="34"/>
      <c r="BEJ293" s="34"/>
      <c r="BEK293" s="34"/>
      <c r="BEL293" s="34"/>
      <c r="BEM293" s="34"/>
      <c r="BEN293" s="34"/>
      <c r="BEO293" s="34"/>
      <c r="BEP293" s="34"/>
      <c r="BEQ293" s="34"/>
      <c r="BER293" s="34"/>
      <c r="BES293" s="34"/>
      <c r="BET293" s="34"/>
      <c r="BEU293" s="34"/>
      <c r="BEV293" s="34"/>
      <c r="BEW293" s="34"/>
      <c r="BEX293" s="34"/>
      <c r="BEY293" s="34"/>
      <c r="BEZ293" s="34"/>
      <c r="BFA293" s="34"/>
      <c r="BFB293" s="34"/>
      <c r="BFC293" s="34"/>
      <c r="BFD293" s="34"/>
      <c r="BFE293" s="34"/>
      <c r="BFF293" s="34"/>
      <c r="BFG293" s="34"/>
      <c r="BFH293" s="34"/>
      <c r="BFI293" s="34"/>
      <c r="BFJ293" s="34"/>
      <c r="BFK293" s="34"/>
      <c r="BFL293" s="34"/>
      <c r="BFM293" s="34"/>
      <c r="BFN293" s="34"/>
      <c r="BFO293" s="34"/>
      <c r="BFP293" s="34"/>
      <c r="BFQ293" s="34"/>
      <c r="BFR293" s="34"/>
      <c r="BFS293" s="34"/>
      <c r="BFT293" s="34"/>
      <c r="BFU293" s="34"/>
      <c r="BFV293" s="34"/>
      <c r="BFW293" s="34"/>
      <c r="BFX293" s="34"/>
      <c r="BFY293" s="34"/>
      <c r="BFZ293" s="34"/>
      <c r="BGA293" s="34"/>
      <c r="BGB293" s="34"/>
      <c r="BGC293" s="34"/>
      <c r="BGD293" s="34"/>
      <c r="BGE293" s="34"/>
      <c r="BGF293" s="34"/>
      <c r="BGG293" s="34"/>
      <c r="BGH293" s="34"/>
      <c r="BGI293" s="34"/>
      <c r="BGJ293" s="34"/>
      <c r="BGK293" s="34"/>
      <c r="BGL293" s="34"/>
      <c r="BGM293" s="34"/>
      <c r="BGN293" s="34"/>
      <c r="BGO293" s="34"/>
      <c r="BGP293" s="34"/>
      <c r="BGQ293" s="34"/>
      <c r="BGR293" s="34"/>
      <c r="BGS293" s="34"/>
      <c r="BGT293" s="34"/>
      <c r="BGU293" s="34"/>
      <c r="BGV293" s="34"/>
      <c r="BGW293" s="34"/>
      <c r="BGX293" s="34"/>
      <c r="BGY293" s="34"/>
      <c r="BGZ293" s="34"/>
      <c r="BHA293" s="34"/>
      <c r="BHB293" s="34"/>
      <c r="BHC293" s="34"/>
      <c r="BHD293" s="34"/>
      <c r="BHE293" s="34"/>
      <c r="BHF293" s="34"/>
      <c r="BHG293" s="34"/>
      <c r="BHH293" s="34"/>
      <c r="BHI293" s="34"/>
      <c r="BHJ293" s="34"/>
      <c r="BHK293" s="34"/>
      <c r="BHL293" s="34"/>
      <c r="BHM293" s="34"/>
      <c r="BHN293" s="34"/>
      <c r="BHO293" s="34"/>
      <c r="BHP293" s="34"/>
      <c r="BHQ293" s="34"/>
      <c r="BHR293" s="34"/>
      <c r="BHS293" s="34"/>
      <c r="BHT293" s="34"/>
      <c r="BHU293" s="34"/>
      <c r="BHV293" s="34"/>
      <c r="BHW293" s="34"/>
      <c r="BHX293" s="34"/>
      <c r="BHY293" s="34"/>
      <c r="BHZ293" s="34"/>
      <c r="BIA293" s="34"/>
      <c r="BIB293" s="34"/>
      <c r="BIC293" s="34"/>
      <c r="BID293" s="34"/>
      <c r="BIE293" s="34"/>
      <c r="BIF293" s="34"/>
      <c r="BIG293" s="34"/>
      <c r="BIH293" s="34"/>
      <c r="BII293" s="34"/>
      <c r="BIJ293" s="34"/>
      <c r="BIK293" s="34"/>
      <c r="BIL293" s="34"/>
      <c r="BIM293" s="34"/>
      <c r="BIN293" s="34"/>
      <c r="BIO293" s="34"/>
      <c r="BIP293" s="34"/>
      <c r="BIQ293" s="34"/>
      <c r="BIR293" s="34"/>
      <c r="BIS293" s="34"/>
      <c r="BIT293" s="34"/>
      <c r="BIU293" s="34"/>
      <c r="BIV293" s="34"/>
      <c r="BIW293" s="34"/>
      <c r="BIX293" s="34"/>
      <c r="BIY293" s="34"/>
      <c r="BIZ293" s="34"/>
      <c r="BJA293" s="34"/>
      <c r="BJB293" s="34"/>
      <c r="BJC293" s="34"/>
      <c r="BJD293" s="34"/>
      <c r="BJE293" s="34"/>
      <c r="BJF293" s="34"/>
      <c r="BJG293" s="34"/>
      <c r="BJH293" s="34"/>
      <c r="BJI293" s="34"/>
      <c r="BJJ293" s="34"/>
      <c r="BJK293" s="34"/>
      <c r="BJL293" s="34"/>
      <c r="BJM293" s="34"/>
      <c r="BJN293" s="34"/>
      <c r="BJO293" s="34"/>
      <c r="BJP293" s="34"/>
      <c r="BJQ293" s="34"/>
      <c r="BJR293" s="34"/>
      <c r="BJS293" s="34"/>
      <c r="BJT293" s="34"/>
      <c r="BJU293" s="34"/>
      <c r="BJV293" s="34"/>
      <c r="BJW293" s="34"/>
      <c r="BJX293" s="34"/>
      <c r="BJY293" s="34"/>
      <c r="BJZ293" s="34"/>
      <c r="BKA293" s="34"/>
      <c r="BKB293" s="34"/>
      <c r="BKC293" s="34"/>
      <c r="BKD293" s="34"/>
      <c r="BKE293" s="34"/>
      <c r="BKF293" s="34"/>
      <c r="BKG293" s="34"/>
      <c r="BKH293" s="34"/>
      <c r="BKI293" s="34"/>
      <c r="BKJ293" s="34"/>
      <c r="BKK293" s="34"/>
      <c r="BKL293" s="34"/>
      <c r="BKM293" s="34"/>
      <c r="BKN293" s="34"/>
      <c r="BKO293" s="34"/>
      <c r="BKP293" s="34"/>
      <c r="BKQ293" s="34"/>
      <c r="BKR293" s="34"/>
      <c r="BKS293" s="34"/>
      <c r="BKT293" s="34"/>
      <c r="BKU293" s="34"/>
      <c r="BKV293" s="34"/>
      <c r="BKW293" s="34"/>
      <c r="BKX293" s="34"/>
      <c r="BKY293" s="34"/>
      <c r="BKZ293" s="34"/>
      <c r="BLA293" s="34"/>
      <c r="BLB293" s="34"/>
      <c r="BLC293" s="34"/>
      <c r="BLD293" s="34"/>
      <c r="BLE293" s="34"/>
      <c r="BLF293" s="34"/>
      <c r="BLG293" s="34"/>
      <c r="BLH293" s="34"/>
      <c r="BLI293" s="34"/>
      <c r="BLJ293" s="34"/>
      <c r="BLK293" s="34"/>
      <c r="BLL293" s="34"/>
      <c r="BLM293" s="34"/>
      <c r="BLN293" s="34"/>
      <c r="BLO293" s="34"/>
      <c r="BLP293" s="34"/>
      <c r="BLQ293" s="34"/>
      <c r="BLR293" s="34"/>
      <c r="BLS293" s="34"/>
      <c r="BLT293" s="34"/>
      <c r="BLU293" s="34"/>
      <c r="BLV293" s="34"/>
      <c r="BLW293" s="34"/>
      <c r="BLX293" s="34"/>
      <c r="BLY293" s="34"/>
      <c r="BLZ293" s="34"/>
      <c r="BMA293" s="34"/>
      <c r="BMB293" s="34"/>
      <c r="BMC293" s="34"/>
      <c r="BMD293" s="34"/>
      <c r="BME293" s="34"/>
      <c r="BMF293" s="34"/>
      <c r="BMG293" s="34"/>
      <c r="BMH293" s="34"/>
      <c r="BMI293" s="34"/>
      <c r="BMJ293" s="34"/>
      <c r="BMK293" s="34"/>
      <c r="BML293" s="34"/>
      <c r="BMM293" s="34"/>
      <c r="BMN293" s="34"/>
      <c r="BMO293" s="34"/>
      <c r="BMP293" s="34"/>
      <c r="BMQ293" s="34"/>
      <c r="BMR293" s="34"/>
      <c r="BMS293" s="34"/>
      <c r="BMT293" s="34"/>
      <c r="BMU293" s="34"/>
      <c r="BMV293" s="34"/>
      <c r="BMW293" s="34"/>
      <c r="BMX293" s="34"/>
      <c r="BMY293" s="34"/>
      <c r="BMZ293" s="34"/>
      <c r="BNA293" s="34"/>
      <c r="BNB293" s="34"/>
      <c r="BNC293" s="34"/>
      <c r="BND293" s="34"/>
      <c r="BNE293" s="34"/>
      <c r="BNF293" s="34"/>
      <c r="BNG293" s="34"/>
      <c r="BNH293" s="34"/>
      <c r="BNI293" s="34"/>
      <c r="BNJ293" s="34"/>
      <c r="BNK293" s="34"/>
      <c r="BNL293" s="34"/>
      <c r="BNM293" s="34"/>
      <c r="BNN293" s="34"/>
      <c r="BNO293" s="34"/>
      <c r="BNP293" s="34"/>
      <c r="BNQ293" s="34"/>
      <c r="BNR293" s="34"/>
      <c r="BNS293" s="34"/>
      <c r="BNT293" s="34"/>
      <c r="BNU293" s="34"/>
      <c r="BNV293" s="34"/>
      <c r="BNW293" s="34"/>
      <c r="BNX293" s="34"/>
      <c r="BNY293" s="34"/>
      <c r="BNZ293" s="34"/>
      <c r="BOA293" s="34"/>
      <c r="BOB293" s="34"/>
      <c r="BOC293" s="34"/>
      <c r="BOD293" s="34"/>
      <c r="BOE293" s="34"/>
      <c r="BOF293" s="34"/>
      <c r="BOG293" s="34"/>
      <c r="BOH293" s="34"/>
      <c r="BOI293" s="34"/>
      <c r="BOJ293" s="34"/>
      <c r="BOK293" s="34"/>
      <c r="BOL293" s="34"/>
      <c r="BOM293" s="34"/>
      <c r="BON293" s="34"/>
      <c r="BOO293" s="34"/>
      <c r="BOP293" s="34"/>
      <c r="BOQ293" s="34"/>
      <c r="BOR293" s="34"/>
      <c r="BOS293" s="34"/>
      <c r="BOT293" s="34"/>
      <c r="BOU293" s="34"/>
      <c r="BOV293" s="34"/>
      <c r="BOW293" s="34"/>
      <c r="BOX293" s="34"/>
      <c r="BOY293" s="34"/>
      <c r="BOZ293" s="34"/>
      <c r="BPA293" s="34"/>
      <c r="BPB293" s="34"/>
      <c r="BPC293" s="34"/>
      <c r="BPD293" s="34"/>
      <c r="BPE293" s="34"/>
      <c r="BPF293" s="34"/>
      <c r="BPG293" s="34"/>
      <c r="BPH293" s="34"/>
      <c r="BPI293" s="34"/>
      <c r="BPJ293" s="34"/>
      <c r="BPK293" s="34"/>
      <c r="BPL293" s="34"/>
      <c r="BPM293" s="34"/>
      <c r="BPN293" s="34"/>
      <c r="BPO293" s="34"/>
      <c r="BPP293" s="34"/>
      <c r="BPQ293" s="34"/>
      <c r="BPR293" s="34"/>
      <c r="BPS293" s="34"/>
      <c r="BPT293" s="34"/>
      <c r="BPU293" s="34"/>
      <c r="BPV293" s="34"/>
      <c r="BPW293" s="34"/>
      <c r="BPX293" s="34"/>
      <c r="BPY293" s="34"/>
      <c r="BPZ293" s="34"/>
      <c r="BQA293" s="34"/>
      <c r="BQB293" s="34"/>
      <c r="BQC293" s="34"/>
      <c r="BQD293" s="34"/>
      <c r="BQE293" s="34"/>
      <c r="BQF293" s="34"/>
      <c r="BQG293" s="34"/>
      <c r="BQH293" s="34"/>
      <c r="BQI293" s="34"/>
      <c r="BQJ293" s="34"/>
      <c r="BQK293" s="34"/>
      <c r="BQL293" s="34"/>
      <c r="BQM293" s="34"/>
      <c r="BQN293" s="34"/>
      <c r="BQO293" s="34"/>
      <c r="BQP293" s="34"/>
      <c r="BQQ293" s="34"/>
      <c r="BQR293" s="34"/>
      <c r="BQS293" s="34"/>
      <c r="BQT293" s="34"/>
      <c r="BQU293" s="34"/>
      <c r="BQV293" s="34"/>
      <c r="BQW293" s="34"/>
      <c r="BQX293" s="34"/>
      <c r="BQY293" s="34"/>
      <c r="BQZ293" s="34"/>
      <c r="BRA293" s="34"/>
      <c r="BRB293" s="34"/>
      <c r="BRC293" s="34"/>
      <c r="BRD293" s="34"/>
      <c r="BRE293" s="34"/>
      <c r="BRF293" s="34"/>
      <c r="BRG293" s="34"/>
      <c r="BRH293" s="34"/>
      <c r="BRI293" s="34"/>
      <c r="BRJ293" s="34"/>
      <c r="BRK293" s="34"/>
      <c r="BRL293" s="34"/>
      <c r="BRM293" s="34"/>
      <c r="BRN293" s="34"/>
      <c r="BRO293" s="34"/>
      <c r="BRP293" s="34"/>
      <c r="BRQ293" s="34"/>
      <c r="BRR293" s="34"/>
      <c r="BRS293" s="34"/>
      <c r="BRT293" s="34"/>
      <c r="BRU293" s="34"/>
      <c r="BRV293" s="34"/>
      <c r="BRW293" s="34"/>
      <c r="BRX293" s="34"/>
      <c r="BRY293" s="34"/>
      <c r="BRZ293" s="34"/>
      <c r="BSA293" s="34"/>
      <c r="BSB293" s="34"/>
      <c r="BSC293" s="34"/>
      <c r="BSD293" s="34"/>
      <c r="BSE293" s="34"/>
      <c r="BSF293" s="34"/>
      <c r="BSG293" s="34"/>
      <c r="BSH293" s="34"/>
      <c r="BSI293" s="34"/>
      <c r="BSJ293" s="34"/>
      <c r="BSK293" s="34"/>
      <c r="BSL293" s="34"/>
      <c r="BSM293" s="34"/>
      <c r="BSN293" s="34"/>
      <c r="BSO293" s="34"/>
      <c r="BSP293" s="34"/>
      <c r="BSQ293" s="34"/>
      <c r="BSR293" s="34"/>
      <c r="BSS293" s="34"/>
      <c r="BST293" s="34"/>
      <c r="BSU293" s="34"/>
      <c r="BSV293" s="34"/>
      <c r="BSW293" s="34"/>
      <c r="BSX293" s="34"/>
      <c r="BSY293" s="34"/>
      <c r="BSZ293" s="34"/>
      <c r="BTA293" s="34"/>
      <c r="BTB293" s="34"/>
      <c r="BTC293" s="34"/>
      <c r="BTD293" s="34"/>
      <c r="BTE293" s="34"/>
      <c r="BTF293" s="34"/>
      <c r="BTG293" s="34"/>
      <c r="BTH293" s="34"/>
      <c r="BTI293" s="34"/>
      <c r="BTJ293" s="34"/>
      <c r="BTK293" s="34"/>
      <c r="BTL293" s="34"/>
      <c r="BTM293" s="34"/>
      <c r="BTN293" s="34"/>
      <c r="BTO293" s="34"/>
      <c r="BTP293" s="34"/>
      <c r="BTQ293" s="34"/>
      <c r="BTR293" s="34"/>
      <c r="BTS293" s="34"/>
      <c r="BTT293" s="34"/>
      <c r="BTU293" s="34"/>
      <c r="BTV293" s="34"/>
      <c r="BTW293" s="34"/>
      <c r="BTX293" s="34"/>
      <c r="BTY293" s="34"/>
      <c r="BTZ293" s="34"/>
      <c r="BUA293" s="34"/>
      <c r="BUB293" s="34"/>
      <c r="BUC293" s="34"/>
      <c r="BUD293" s="34"/>
      <c r="BUE293" s="34"/>
      <c r="BUF293" s="34"/>
      <c r="BUG293" s="34"/>
      <c r="BUH293" s="34"/>
      <c r="BUI293" s="34"/>
      <c r="BUJ293" s="34"/>
      <c r="BUK293" s="34"/>
      <c r="BUL293" s="34"/>
      <c r="BUM293" s="34"/>
      <c r="BUN293" s="34"/>
      <c r="BUO293" s="34"/>
      <c r="BUP293" s="34"/>
      <c r="BUQ293" s="34"/>
      <c r="BUR293" s="34"/>
      <c r="BUS293" s="34"/>
      <c r="BUT293" s="34"/>
      <c r="BUU293" s="34"/>
      <c r="BUV293" s="34"/>
      <c r="BUW293" s="34"/>
      <c r="BUX293" s="34"/>
      <c r="BUY293" s="34"/>
      <c r="BUZ293" s="34"/>
      <c r="BVA293" s="34"/>
      <c r="BVB293" s="34"/>
      <c r="BVC293" s="34"/>
      <c r="BVD293" s="34"/>
      <c r="BVE293" s="34"/>
      <c r="BVF293" s="34"/>
      <c r="BVG293" s="34"/>
      <c r="BVH293" s="34"/>
      <c r="BVI293" s="34"/>
      <c r="BVJ293" s="34"/>
      <c r="BVK293" s="34"/>
      <c r="BVL293" s="34"/>
      <c r="BVM293" s="34"/>
      <c r="BVN293" s="34"/>
      <c r="BVO293" s="34"/>
      <c r="BVP293" s="34"/>
      <c r="BVQ293" s="34"/>
      <c r="BVR293" s="34"/>
      <c r="BVS293" s="34"/>
      <c r="BVT293" s="34"/>
      <c r="BVU293" s="34"/>
      <c r="BVV293" s="34"/>
      <c r="BVW293" s="34"/>
      <c r="BVX293" s="34"/>
      <c r="BVY293" s="34"/>
      <c r="BVZ293" s="34"/>
      <c r="BWA293" s="34"/>
      <c r="BWB293" s="34"/>
      <c r="BWC293" s="34"/>
      <c r="BWD293" s="34"/>
      <c r="BWE293" s="34"/>
      <c r="BWF293" s="34"/>
      <c r="BWG293" s="34"/>
      <c r="BWH293" s="34"/>
      <c r="BWI293" s="34"/>
      <c r="BWJ293" s="34"/>
      <c r="BWK293" s="34"/>
      <c r="BWL293" s="34"/>
      <c r="BWM293" s="34"/>
      <c r="BWN293" s="34"/>
      <c r="BWO293" s="34"/>
      <c r="BWP293" s="34"/>
      <c r="BWQ293" s="34"/>
      <c r="BWR293" s="34"/>
      <c r="BWS293" s="34"/>
      <c r="BWT293" s="34"/>
      <c r="BWU293" s="34"/>
      <c r="BWV293" s="34"/>
      <c r="BWW293" s="34"/>
      <c r="BWX293" s="34"/>
      <c r="BWY293" s="34"/>
      <c r="BWZ293" s="34"/>
      <c r="BXA293" s="34"/>
      <c r="BXB293" s="34"/>
      <c r="BXC293" s="34"/>
      <c r="BXD293" s="34"/>
      <c r="BXE293" s="34"/>
      <c r="BXF293" s="34"/>
      <c r="BXG293" s="34"/>
      <c r="BXH293" s="34"/>
      <c r="BXI293" s="34"/>
      <c r="BXJ293" s="34"/>
      <c r="BXK293" s="34"/>
      <c r="BXL293" s="34"/>
      <c r="BXM293" s="34"/>
      <c r="BXN293" s="34"/>
      <c r="BXO293" s="34"/>
      <c r="BXP293" s="34"/>
      <c r="BXQ293" s="34"/>
      <c r="BXR293" s="34"/>
      <c r="BXS293" s="34"/>
      <c r="BXT293" s="34"/>
      <c r="BXU293" s="34"/>
      <c r="BXV293" s="34"/>
      <c r="BXW293" s="34"/>
      <c r="BXX293" s="34"/>
      <c r="BXY293" s="34"/>
      <c r="BXZ293" s="34"/>
      <c r="BYA293" s="34"/>
      <c r="BYB293" s="34"/>
      <c r="BYC293" s="34"/>
      <c r="BYD293" s="34"/>
      <c r="BYE293" s="34"/>
      <c r="BYF293" s="34"/>
      <c r="BYG293" s="34"/>
      <c r="BYH293" s="34"/>
      <c r="BYI293" s="34"/>
      <c r="BYJ293" s="34"/>
      <c r="BYK293" s="34"/>
      <c r="BYL293" s="34"/>
      <c r="BYM293" s="34"/>
      <c r="BYN293" s="34"/>
      <c r="BYO293" s="34"/>
      <c r="BYP293" s="34"/>
      <c r="BYQ293" s="34"/>
      <c r="BYR293" s="34"/>
      <c r="BYS293" s="34"/>
      <c r="BYT293" s="34"/>
      <c r="BYU293" s="34"/>
      <c r="BYV293" s="34"/>
      <c r="BYW293" s="34"/>
      <c r="BYX293" s="34"/>
      <c r="BYY293" s="34"/>
      <c r="BYZ293" s="34"/>
      <c r="BZA293" s="34"/>
      <c r="BZB293" s="34"/>
      <c r="BZC293" s="34"/>
      <c r="BZD293" s="34"/>
      <c r="BZE293" s="34"/>
      <c r="BZF293" s="34"/>
      <c r="BZG293" s="34"/>
      <c r="BZH293" s="34"/>
      <c r="BZI293" s="34"/>
      <c r="BZJ293" s="34"/>
      <c r="BZK293" s="34"/>
      <c r="BZL293" s="34"/>
      <c r="BZM293" s="34"/>
      <c r="BZN293" s="34"/>
      <c r="BZO293" s="34"/>
      <c r="BZP293" s="34"/>
      <c r="BZQ293" s="34"/>
      <c r="BZR293" s="34"/>
      <c r="BZS293" s="34"/>
      <c r="BZT293" s="34"/>
      <c r="BZU293" s="34"/>
      <c r="BZV293" s="34"/>
      <c r="BZW293" s="34"/>
      <c r="BZX293" s="34"/>
      <c r="BZY293" s="34"/>
      <c r="BZZ293" s="34"/>
      <c r="CAA293" s="34"/>
      <c r="CAB293" s="34"/>
      <c r="CAC293" s="34"/>
      <c r="CAD293" s="34"/>
      <c r="CAE293" s="34"/>
      <c r="CAF293" s="34"/>
      <c r="CAG293" s="34"/>
      <c r="CAH293" s="34"/>
      <c r="CAI293" s="34"/>
      <c r="CAJ293" s="34"/>
      <c r="CAK293" s="34"/>
      <c r="CAL293" s="34"/>
      <c r="CAM293" s="34"/>
      <c r="CAN293" s="34"/>
      <c r="CAO293" s="34"/>
      <c r="CAP293" s="34"/>
      <c r="CAQ293" s="34"/>
      <c r="CAR293" s="34"/>
      <c r="CAS293" s="34"/>
      <c r="CAT293" s="34"/>
      <c r="CAU293" s="34"/>
      <c r="CAV293" s="34"/>
      <c r="CAW293" s="34"/>
      <c r="CAX293" s="34"/>
      <c r="CAY293" s="34"/>
      <c r="CAZ293" s="34"/>
      <c r="CBA293" s="34"/>
      <c r="CBB293" s="34"/>
      <c r="CBC293" s="34"/>
      <c r="CBD293" s="34"/>
      <c r="CBE293" s="34"/>
      <c r="CBF293" s="34"/>
      <c r="CBG293" s="34"/>
      <c r="CBH293" s="34"/>
      <c r="CBI293" s="34"/>
      <c r="CBJ293" s="34"/>
      <c r="CBK293" s="34"/>
      <c r="CBL293" s="34"/>
      <c r="CBM293" s="34"/>
      <c r="CBN293" s="34"/>
      <c r="CBO293" s="34"/>
      <c r="CBP293" s="34"/>
      <c r="CBQ293" s="34"/>
      <c r="CBR293" s="34"/>
      <c r="CBS293" s="34"/>
      <c r="CBT293" s="34"/>
      <c r="CBU293" s="34"/>
      <c r="CBV293" s="34"/>
      <c r="CBW293" s="34"/>
      <c r="CBX293" s="34"/>
      <c r="CBY293" s="34"/>
      <c r="CBZ293" s="34"/>
      <c r="CCA293" s="34"/>
      <c r="CCB293" s="34"/>
      <c r="CCC293" s="34"/>
      <c r="CCD293" s="34"/>
      <c r="CCE293" s="34"/>
      <c r="CCF293" s="34"/>
      <c r="CCG293" s="34"/>
      <c r="CCH293" s="34"/>
      <c r="CCI293" s="34"/>
      <c r="CCJ293" s="34"/>
      <c r="CCK293" s="34"/>
      <c r="CCL293" s="34"/>
      <c r="CCM293" s="34"/>
      <c r="CCN293" s="34"/>
      <c r="CCO293" s="34"/>
      <c r="CCP293" s="34"/>
      <c r="CCQ293" s="34"/>
      <c r="CCR293" s="34"/>
      <c r="CCS293" s="34"/>
      <c r="CCT293" s="34"/>
      <c r="CCU293" s="34"/>
      <c r="CCV293" s="34"/>
      <c r="CCW293" s="34"/>
      <c r="CCX293" s="34"/>
      <c r="CCY293" s="34"/>
      <c r="CCZ293" s="34"/>
      <c r="CDA293" s="34"/>
      <c r="CDB293" s="34"/>
      <c r="CDC293" s="34"/>
      <c r="CDD293" s="34"/>
      <c r="CDE293" s="34"/>
      <c r="CDF293" s="34"/>
      <c r="CDG293" s="34"/>
      <c r="CDH293" s="34"/>
      <c r="CDI293" s="34"/>
      <c r="CDJ293" s="34"/>
      <c r="CDK293" s="34"/>
      <c r="CDL293" s="34"/>
      <c r="CDM293" s="34"/>
      <c r="CDN293" s="34"/>
      <c r="CDO293" s="34"/>
      <c r="CDP293" s="34"/>
      <c r="CDQ293" s="34"/>
      <c r="CDR293" s="34"/>
      <c r="CDS293" s="34"/>
      <c r="CDT293" s="34"/>
      <c r="CDU293" s="34"/>
      <c r="CDV293" s="34"/>
      <c r="CDW293" s="34"/>
      <c r="CDX293" s="34"/>
      <c r="CDY293" s="34"/>
      <c r="CDZ293" s="34"/>
      <c r="CEA293" s="34"/>
      <c r="CEB293" s="34"/>
      <c r="CEC293" s="34"/>
      <c r="CED293" s="34"/>
      <c r="CEE293" s="34"/>
      <c r="CEF293" s="34"/>
      <c r="CEG293" s="34"/>
      <c r="CEH293" s="34"/>
      <c r="CEI293" s="34"/>
      <c r="CEJ293" s="34"/>
      <c r="CEK293" s="34"/>
      <c r="CEL293" s="34"/>
      <c r="CEM293" s="34"/>
      <c r="CEN293" s="34"/>
      <c r="CEO293" s="34"/>
      <c r="CEP293" s="34"/>
      <c r="CEQ293" s="34"/>
      <c r="CER293" s="34"/>
      <c r="CES293" s="34"/>
      <c r="CET293" s="34"/>
      <c r="CEU293" s="34"/>
      <c r="CEV293" s="34"/>
      <c r="CEW293" s="34"/>
      <c r="CEX293" s="34"/>
      <c r="CEY293" s="34"/>
      <c r="CEZ293" s="34"/>
      <c r="CFA293" s="34"/>
      <c r="CFB293" s="34"/>
      <c r="CFC293" s="34"/>
      <c r="CFD293" s="34"/>
      <c r="CFE293" s="34"/>
      <c r="CFF293" s="34"/>
      <c r="CFG293" s="34"/>
      <c r="CFH293" s="34"/>
      <c r="CFI293" s="34"/>
      <c r="CFJ293" s="34"/>
      <c r="CFK293" s="34"/>
      <c r="CFL293" s="34"/>
      <c r="CFM293" s="34"/>
      <c r="CFN293" s="34"/>
      <c r="CFO293" s="34"/>
      <c r="CFP293" s="34"/>
      <c r="CFQ293" s="34"/>
      <c r="CFR293" s="34"/>
      <c r="CFS293" s="34"/>
      <c r="CFT293" s="34"/>
      <c r="CFU293" s="34"/>
      <c r="CFV293" s="34"/>
      <c r="CFW293" s="34"/>
      <c r="CFX293" s="34"/>
      <c r="CFY293" s="34"/>
      <c r="CFZ293" s="34"/>
      <c r="CGA293" s="34"/>
      <c r="CGB293" s="34"/>
      <c r="CGC293" s="34"/>
      <c r="CGD293" s="34"/>
      <c r="CGE293" s="34"/>
      <c r="CGF293" s="34"/>
      <c r="CGG293" s="34"/>
      <c r="CGH293" s="34"/>
      <c r="CGI293" s="34"/>
      <c r="CGJ293" s="34"/>
      <c r="CGK293" s="34"/>
      <c r="CGL293" s="34"/>
      <c r="CGM293" s="34"/>
      <c r="CGN293" s="34"/>
      <c r="CGO293" s="34"/>
      <c r="CGP293" s="34"/>
      <c r="CGQ293" s="34"/>
      <c r="CGR293" s="34"/>
      <c r="CGS293" s="34"/>
      <c r="CGT293" s="34"/>
      <c r="CGU293" s="34"/>
      <c r="CGV293" s="34"/>
      <c r="CGW293" s="34"/>
      <c r="CGX293" s="34"/>
      <c r="CGY293" s="34"/>
      <c r="CGZ293" s="34"/>
      <c r="CHA293" s="34"/>
      <c r="CHB293" s="34"/>
      <c r="CHC293" s="34"/>
      <c r="CHD293" s="34"/>
      <c r="CHE293" s="34"/>
      <c r="CHF293" s="34"/>
      <c r="CHG293" s="34"/>
      <c r="CHH293" s="34"/>
      <c r="CHI293" s="34"/>
      <c r="CHJ293" s="34"/>
      <c r="CHK293" s="34"/>
      <c r="CHL293" s="34"/>
      <c r="CHM293" s="34"/>
      <c r="CHN293" s="34"/>
      <c r="CHO293" s="34"/>
      <c r="CHP293" s="34"/>
      <c r="CHQ293" s="34"/>
      <c r="CHR293" s="34"/>
      <c r="CHS293" s="34"/>
      <c r="CHT293" s="34"/>
      <c r="CHU293" s="34"/>
      <c r="CHV293" s="34"/>
      <c r="CHW293" s="34"/>
      <c r="CHX293" s="34"/>
      <c r="CHY293" s="34"/>
      <c r="CHZ293" s="34"/>
      <c r="CIA293" s="34"/>
      <c r="CIB293" s="34"/>
      <c r="CIC293" s="34"/>
      <c r="CID293" s="34"/>
      <c r="CIE293" s="34"/>
      <c r="CIF293" s="34"/>
      <c r="CIG293" s="34"/>
      <c r="CIH293" s="34"/>
      <c r="CII293" s="34"/>
      <c r="CIJ293" s="34"/>
      <c r="CIK293" s="34"/>
      <c r="CIL293" s="34"/>
      <c r="CIM293" s="34"/>
      <c r="CIN293" s="34"/>
      <c r="CIO293" s="34"/>
      <c r="CIP293" s="34"/>
      <c r="CIQ293" s="34"/>
      <c r="CIR293" s="34"/>
      <c r="CIS293" s="34"/>
      <c r="CIT293" s="34"/>
      <c r="CIU293" s="34"/>
      <c r="CIV293" s="34"/>
      <c r="CIW293" s="34"/>
      <c r="CIX293" s="34"/>
      <c r="CIY293" s="34"/>
      <c r="CIZ293" s="34"/>
      <c r="CJA293" s="34"/>
      <c r="CJB293" s="34"/>
      <c r="CJC293" s="34"/>
      <c r="CJD293" s="34"/>
      <c r="CJE293" s="34"/>
      <c r="CJF293" s="34"/>
      <c r="CJG293" s="34"/>
      <c r="CJH293" s="34"/>
      <c r="CJI293" s="34"/>
      <c r="CJJ293" s="34"/>
      <c r="CJK293" s="34"/>
      <c r="CJL293" s="34"/>
      <c r="CJM293" s="34"/>
      <c r="CJN293" s="34"/>
      <c r="CJO293" s="34"/>
      <c r="CJP293" s="34"/>
      <c r="CJQ293" s="34"/>
      <c r="CJR293" s="34"/>
      <c r="CJS293" s="34"/>
      <c r="CJT293" s="34"/>
      <c r="CJU293" s="34"/>
      <c r="CJV293" s="34"/>
      <c r="CJW293" s="34"/>
      <c r="CJX293" s="34"/>
      <c r="CJY293" s="34"/>
      <c r="CJZ293" s="34"/>
      <c r="CKA293" s="34"/>
      <c r="CKB293" s="34"/>
      <c r="CKC293" s="34"/>
      <c r="CKD293" s="34"/>
      <c r="CKE293" s="34"/>
      <c r="CKF293" s="34"/>
      <c r="CKG293" s="34"/>
      <c r="CKH293" s="34"/>
      <c r="CKI293" s="34"/>
      <c r="CKJ293" s="34"/>
      <c r="CKK293" s="34"/>
      <c r="CKL293" s="34"/>
      <c r="CKM293" s="34"/>
      <c r="CKN293" s="34"/>
      <c r="CKO293" s="34"/>
      <c r="CKP293" s="34"/>
      <c r="CKQ293" s="34"/>
      <c r="CKR293" s="34"/>
      <c r="CKS293" s="34"/>
      <c r="CKT293" s="34"/>
      <c r="CKU293" s="34"/>
      <c r="CKV293" s="34"/>
      <c r="CKW293" s="34"/>
      <c r="CKX293" s="34"/>
      <c r="CKY293" s="34"/>
      <c r="CKZ293" s="34"/>
      <c r="CLA293" s="34"/>
      <c r="CLB293" s="34"/>
      <c r="CLC293" s="34"/>
      <c r="CLD293" s="34"/>
      <c r="CLE293" s="34"/>
      <c r="CLF293" s="34"/>
      <c r="CLG293" s="34"/>
      <c r="CLH293" s="34"/>
      <c r="CLI293" s="34"/>
      <c r="CLJ293" s="34"/>
      <c r="CLK293" s="34"/>
      <c r="CLL293" s="34"/>
      <c r="CLM293" s="34"/>
      <c r="CLN293" s="34"/>
      <c r="CLO293" s="34"/>
      <c r="CLP293" s="34"/>
      <c r="CLQ293" s="34"/>
      <c r="CLR293" s="34"/>
      <c r="CLS293" s="34"/>
      <c r="CLT293" s="34"/>
      <c r="CLU293" s="34"/>
      <c r="CLV293" s="34"/>
      <c r="CLW293" s="34"/>
      <c r="CLX293" s="34"/>
      <c r="CLY293" s="34"/>
      <c r="CLZ293" s="34"/>
      <c r="CMA293" s="34"/>
      <c r="CMB293" s="34"/>
      <c r="CMC293" s="34"/>
      <c r="CMD293" s="34"/>
      <c r="CME293" s="34"/>
      <c r="CMF293" s="34"/>
      <c r="CMG293" s="34"/>
      <c r="CMH293" s="34"/>
      <c r="CMI293" s="34"/>
      <c r="CMJ293" s="34"/>
      <c r="CMK293" s="34"/>
      <c r="CML293" s="34"/>
      <c r="CMM293" s="34"/>
      <c r="CMN293" s="34"/>
      <c r="CMO293" s="34"/>
      <c r="CMP293" s="34"/>
      <c r="CMQ293" s="34"/>
      <c r="CMR293" s="34"/>
      <c r="CMS293" s="34"/>
      <c r="CMT293" s="34"/>
      <c r="CMU293" s="34"/>
      <c r="CMV293" s="34"/>
      <c r="CMW293" s="34"/>
      <c r="CMX293" s="34"/>
      <c r="CMY293" s="34"/>
      <c r="CMZ293" s="34"/>
      <c r="CNA293" s="34"/>
      <c r="CNB293" s="34"/>
      <c r="CNC293" s="34"/>
      <c r="CND293" s="34"/>
      <c r="CNE293" s="34"/>
      <c r="CNF293" s="34"/>
      <c r="CNG293" s="34"/>
      <c r="CNH293" s="34"/>
      <c r="CNI293" s="34"/>
      <c r="CNJ293" s="34"/>
      <c r="CNK293" s="34"/>
      <c r="CNL293" s="34"/>
      <c r="CNM293" s="34"/>
      <c r="CNN293" s="34"/>
      <c r="CNO293" s="34"/>
      <c r="CNP293" s="34"/>
      <c r="CNQ293" s="34"/>
      <c r="CNR293" s="34"/>
      <c r="CNS293" s="34"/>
      <c r="CNT293" s="34"/>
      <c r="CNU293" s="34"/>
      <c r="CNV293" s="34"/>
      <c r="CNW293" s="34"/>
      <c r="CNX293" s="34"/>
      <c r="CNY293" s="34"/>
      <c r="CNZ293" s="34"/>
      <c r="COA293" s="34"/>
      <c r="COB293" s="34"/>
      <c r="COC293" s="34"/>
      <c r="COD293" s="34"/>
      <c r="COE293" s="34"/>
      <c r="COF293" s="34"/>
      <c r="COG293" s="34"/>
      <c r="COH293" s="34"/>
      <c r="COI293" s="34"/>
      <c r="COJ293" s="34"/>
      <c r="COK293" s="34"/>
      <c r="COL293" s="34"/>
      <c r="COM293" s="34"/>
      <c r="CON293" s="34"/>
      <c r="COO293" s="34"/>
      <c r="COP293" s="34"/>
      <c r="COQ293" s="34"/>
      <c r="COR293" s="34"/>
      <c r="COS293" s="34"/>
      <c r="COT293" s="34"/>
      <c r="COU293" s="34"/>
      <c r="COV293" s="34"/>
      <c r="COW293" s="34"/>
      <c r="COX293" s="34"/>
      <c r="COY293" s="34"/>
      <c r="COZ293" s="34"/>
      <c r="CPA293" s="34"/>
      <c r="CPB293" s="34"/>
      <c r="CPC293" s="34"/>
      <c r="CPD293" s="34"/>
      <c r="CPE293" s="34"/>
      <c r="CPF293" s="34"/>
      <c r="CPG293" s="34"/>
      <c r="CPH293" s="34"/>
      <c r="CPI293" s="34"/>
      <c r="CPJ293" s="34"/>
      <c r="CPK293" s="34"/>
      <c r="CPL293" s="34"/>
      <c r="CPM293" s="34"/>
      <c r="CPN293" s="34"/>
      <c r="CPO293" s="34"/>
      <c r="CPP293" s="34"/>
      <c r="CPQ293" s="34"/>
      <c r="CPR293" s="34"/>
      <c r="CPS293" s="34"/>
      <c r="CPT293" s="34"/>
      <c r="CPU293" s="34"/>
      <c r="CPV293" s="34"/>
      <c r="CPW293" s="34"/>
      <c r="CPX293" s="34"/>
      <c r="CPY293" s="34"/>
      <c r="CPZ293" s="34"/>
      <c r="CQA293" s="34"/>
      <c r="CQB293" s="34"/>
      <c r="CQC293" s="34"/>
      <c r="CQD293" s="34"/>
      <c r="CQE293" s="34"/>
      <c r="CQF293" s="34"/>
      <c r="CQG293" s="34"/>
      <c r="CQH293" s="34"/>
      <c r="CQI293" s="34"/>
      <c r="CQJ293" s="34"/>
      <c r="CQK293" s="34"/>
      <c r="CQL293" s="34"/>
      <c r="CQM293" s="34"/>
      <c r="CQN293" s="34"/>
      <c r="CQO293" s="34"/>
      <c r="CQP293" s="34"/>
      <c r="CQQ293" s="34"/>
      <c r="CQR293" s="34"/>
      <c r="CQS293" s="34"/>
      <c r="CQT293" s="34"/>
      <c r="CQU293" s="34"/>
      <c r="CQV293" s="34"/>
      <c r="CQW293" s="34"/>
      <c r="CQX293" s="34"/>
      <c r="CQY293" s="34"/>
      <c r="CQZ293" s="34"/>
      <c r="CRA293" s="34"/>
      <c r="CRB293" s="34"/>
      <c r="CRC293" s="34"/>
      <c r="CRD293" s="34"/>
      <c r="CRE293" s="34"/>
      <c r="CRF293" s="34"/>
      <c r="CRG293" s="34"/>
      <c r="CRH293" s="34"/>
      <c r="CRI293" s="34"/>
      <c r="CRJ293" s="34"/>
      <c r="CRK293" s="34"/>
      <c r="CRL293" s="34"/>
      <c r="CRM293" s="34"/>
      <c r="CRN293" s="34"/>
      <c r="CRO293" s="34"/>
      <c r="CRP293" s="34"/>
      <c r="CRQ293" s="34"/>
      <c r="CRR293" s="34"/>
      <c r="CRS293" s="34"/>
      <c r="CRT293" s="34"/>
      <c r="CRU293" s="34"/>
      <c r="CRV293" s="34"/>
      <c r="CRW293" s="34"/>
      <c r="CRX293" s="34"/>
      <c r="CRY293" s="34"/>
      <c r="CRZ293" s="34"/>
      <c r="CSA293" s="34"/>
      <c r="CSB293" s="34"/>
      <c r="CSC293" s="34"/>
      <c r="CSD293" s="34"/>
      <c r="CSE293" s="34"/>
      <c r="CSF293" s="34"/>
      <c r="CSG293" s="34"/>
      <c r="CSH293" s="34"/>
      <c r="CSI293" s="34"/>
      <c r="CSJ293" s="34"/>
      <c r="CSK293" s="34"/>
      <c r="CSL293" s="34"/>
      <c r="CSM293" s="34"/>
      <c r="CSN293" s="34"/>
      <c r="CSO293" s="34"/>
      <c r="CSP293" s="34"/>
      <c r="CSQ293" s="34"/>
      <c r="CSR293" s="34"/>
      <c r="CSS293" s="34"/>
      <c r="CST293" s="34"/>
      <c r="CSU293" s="34"/>
      <c r="CSV293" s="34"/>
      <c r="CSW293" s="34"/>
      <c r="CSX293" s="34"/>
      <c r="CSY293" s="34"/>
      <c r="CSZ293" s="34"/>
      <c r="CTA293" s="34"/>
      <c r="CTB293" s="34"/>
      <c r="CTC293" s="34"/>
      <c r="CTD293" s="34"/>
      <c r="CTE293" s="34"/>
      <c r="CTF293" s="34"/>
      <c r="CTG293" s="34"/>
      <c r="CTH293" s="34"/>
      <c r="CTI293" s="34"/>
      <c r="CTJ293" s="34"/>
      <c r="CTK293" s="34"/>
      <c r="CTL293" s="34"/>
      <c r="CTM293" s="34"/>
      <c r="CTN293" s="34"/>
      <c r="CTO293" s="34"/>
      <c r="CTP293" s="34"/>
      <c r="CTQ293" s="34"/>
      <c r="CTR293" s="34"/>
      <c r="CTS293" s="34"/>
      <c r="CTT293" s="34"/>
      <c r="CTU293" s="34"/>
      <c r="CTV293" s="34"/>
      <c r="CTW293" s="34"/>
      <c r="CTX293" s="34"/>
      <c r="CTY293" s="34"/>
      <c r="CTZ293" s="34"/>
      <c r="CUA293" s="34"/>
      <c r="CUB293" s="34"/>
      <c r="CUC293" s="34"/>
      <c r="CUD293" s="34"/>
      <c r="CUE293" s="34"/>
      <c r="CUF293" s="34"/>
      <c r="CUG293" s="34"/>
      <c r="CUH293" s="34"/>
      <c r="CUI293" s="34"/>
      <c r="CUJ293" s="34"/>
      <c r="CUK293" s="34"/>
      <c r="CUL293" s="34"/>
      <c r="CUM293" s="34"/>
      <c r="CUN293" s="34"/>
      <c r="CUO293" s="34"/>
      <c r="CUP293" s="34"/>
      <c r="CUQ293" s="34"/>
      <c r="CUR293" s="34"/>
      <c r="CUS293" s="34"/>
      <c r="CUT293" s="34"/>
      <c r="CUU293" s="34"/>
      <c r="CUV293" s="34"/>
      <c r="CUW293" s="34"/>
      <c r="CUX293" s="34"/>
      <c r="CUY293" s="34"/>
      <c r="CUZ293" s="34"/>
      <c r="CVA293" s="34"/>
      <c r="CVB293" s="34"/>
      <c r="CVC293" s="34"/>
      <c r="CVD293" s="34"/>
      <c r="CVE293" s="34"/>
      <c r="CVF293" s="34"/>
      <c r="CVG293" s="34"/>
      <c r="CVH293" s="34"/>
      <c r="CVI293" s="34"/>
      <c r="CVJ293" s="34"/>
      <c r="CVK293" s="34"/>
      <c r="CVL293" s="34"/>
      <c r="CVM293" s="34"/>
      <c r="CVN293" s="34"/>
      <c r="CVO293" s="34"/>
      <c r="CVP293" s="34"/>
      <c r="CVQ293" s="34"/>
      <c r="CVR293" s="34"/>
      <c r="CVS293" s="34"/>
      <c r="CVT293" s="34"/>
      <c r="CVU293" s="34"/>
      <c r="CVV293" s="34"/>
      <c r="CVW293" s="34"/>
      <c r="CVX293" s="34"/>
      <c r="CVY293" s="34"/>
      <c r="CVZ293" s="34"/>
      <c r="CWA293" s="34"/>
      <c r="CWB293" s="34"/>
      <c r="CWC293" s="34"/>
      <c r="CWD293" s="34"/>
      <c r="CWE293" s="34"/>
      <c r="CWF293" s="34"/>
      <c r="CWG293" s="34"/>
      <c r="CWH293" s="34"/>
      <c r="CWI293" s="34"/>
      <c r="CWJ293" s="34"/>
      <c r="CWK293" s="34"/>
      <c r="CWL293" s="34"/>
      <c r="CWM293" s="34"/>
      <c r="CWN293" s="34"/>
      <c r="CWO293" s="34"/>
      <c r="CWP293" s="34"/>
      <c r="CWQ293" s="34"/>
      <c r="CWR293" s="34"/>
      <c r="CWS293" s="34"/>
      <c r="CWT293" s="34"/>
      <c r="CWU293" s="34"/>
      <c r="CWV293" s="34"/>
      <c r="CWW293" s="34"/>
      <c r="CWX293" s="34"/>
      <c r="CWY293" s="34"/>
      <c r="CWZ293" s="34"/>
      <c r="CXA293" s="34"/>
      <c r="CXB293" s="34"/>
      <c r="CXC293" s="34"/>
      <c r="CXD293" s="34"/>
      <c r="CXE293" s="34"/>
      <c r="CXF293" s="34"/>
      <c r="CXG293" s="34"/>
      <c r="CXH293" s="34"/>
      <c r="CXI293" s="34"/>
      <c r="CXJ293" s="34"/>
      <c r="CXK293" s="34"/>
      <c r="CXL293" s="34"/>
      <c r="CXM293" s="34"/>
      <c r="CXN293" s="34"/>
      <c r="CXO293" s="34"/>
      <c r="CXP293" s="34"/>
      <c r="CXQ293" s="34"/>
      <c r="CXR293" s="34"/>
      <c r="CXS293" s="34"/>
      <c r="CXT293" s="34"/>
      <c r="CXU293" s="34"/>
      <c r="CXV293" s="34"/>
      <c r="CXW293" s="34"/>
      <c r="CXX293" s="34"/>
      <c r="CXY293" s="34"/>
      <c r="CXZ293" s="34"/>
      <c r="CYA293" s="34"/>
      <c r="CYB293" s="34"/>
      <c r="CYC293" s="34"/>
      <c r="CYD293" s="34"/>
      <c r="CYE293" s="34"/>
      <c r="CYF293" s="34"/>
      <c r="CYG293" s="34"/>
      <c r="CYH293" s="34"/>
      <c r="CYI293" s="34"/>
      <c r="CYJ293" s="34"/>
      <c r="CYK293" s="34"/>
      <c r="CYL293" s="34"/>
      <c r="CYM293" s="34"/>
      <c r="CYN293" s="34"/>
      <c r="CYO293" s="34"/>
      <c r="CYP293" s="34"/>
      <c r="CYQ293" s="34"/>
      <c r="CYR293" s="34"/>
      <c r="CYS293" s="34"/>
      <c r="CYT293" s="34"/>
      <c r="CYU293" s="34"/>
      <c r="CYV293" s="34"/>
      <c r="CYW293" s="34"/>
      <c r="CYX293" s="34"/>
      <c r="CYY293" s="34"/>
      <c r="CYZ293" s="34"/>
      <c r="CZA293" s="34"/>
      <c r="CZB293" s="34"/>
      <c r="CZC293" s="34"/>
      <c r="CZD293" s="34"/>
      <c r="CZE293" s="34"/>
      <c r="CZF293" s="34"/>
      <c r="CZG293" s="34"/>
      <c r="CZH293" s="34"/>
      <c r="CZI293" s="34"/>
      <c r="CZJ293" s="34"/>
      <c r="CZK293" s="34"/>
      <c r="CZL293" s="34"/>
      <c r="CZM293" s="34"/>
      <c r="CZN293" s="34"/>
      <c r="CZO293" s="34"/>
      <c r="CZP293" s="34"/>
      <c r="CZQ293" s="34"/>
      <c r="CZR293" s="34"/>
      <c r="CZS293" s="34"/>
      <c r="CZT293" s="34"/>
      <c r="CZU293" s="34"/>
      <c r="CZV293" s="34"/>
      <c r="CZW293" s="34"/>
      <c r="CZX293" s="34"/>
      <c r="CZY293" s="34"/>
      <c r="CZZ293" s="34"/>
      <c r="DAA293" s="34"/>
      <c r="DAB293" s="34"/>
      <c r="DAC293" s="34"/>
      <c r="DAD293" s="34"/>
      <c r="DAE293" s="34"/>
      <c r="DAF293" s="34"/>
      <c r="DAG293" s="34"/>
      <c r="DAH293" s="34"/>
      <c r="DAI293" s="34"/>
      <c r="DAJ293" s="34"/>
      <c r="DAK293" s="34"/>
      <c r="DAL293" s="34"/>
      <c r="DAM293" s="34"/>
      <c r="DAN293" s="34"/>
      <c r="DAO293" s="34"/>
      <c r="DAP293" s="34"/>
      <c r="DAQ293" s="34"/>
      <c r="DAR293" s="34"/>
      <c r="DAS293" s="34"/>
      <c r="DAT293" s="34"/>
      <c r="DAU293" s="34"/>
      <c r="DAV293" s="34"/>
      <c r="DAW293" s="34"/>
      <c r="DAX293" s="34"/>
      <c r="DAY293" s="34"/>
      <c r="DAZ293" s="34"/>
      <c r="DBA293" s="34"/>
      <c r="DBB293" s="34"/>
      <c r="DBC293" s="34"/>
      <c r="DBD293" s="34"/>
      <c r="DBE293" s="34"/>
      <c r="DBF293" s="34"/>
      <c r="DBG293" s="34"/>
      <c r="DBH293" s="34"/>
      <c r="DBI293" s="34"/>
      <c r="DBJ293" s="34"/>
      <c r="DBK293" s="34"/>
      <c r="DBL293" s="34"/>
      <c r="DBM293" s="34"/>
      <c r="DBN293" s="34"/>
      <c r="DBO293" s="34"/>
      <c r="DBP293" s="34"/>
      <c r="DBQ293" s="34"/>
      <c r="DBR293" s="34"/>
      <c r="DBS293" s="34"/>
      <c r="DBT293" s="34"/>
      <c r="DBU293" s="34"/>
      <c r="DBV293" s="34"/>
      <c r="DBW293" s="34"/>
      <c r="DBX293" s="34"/>
      <c r="DBY293" s="34"/>
      <c r="DBZ293" s="34"/>
      <c r="DCA293" s="34"/>
      <c r="DCB293" s="34"/>
      <c r="DCC293" s="34"/>
      <c r="DCD293" s="34"/>
      <c r="DCE293" s="34"/>
      <c r="DCF293" s="34"/>
      <c r="DCG293" s="34"/>
      <c r="DCH293" s="34"/>
      <c r="DCI293" s="34"/>
      <c r="DCJ293" s="34"/>
      <c r="DCK293" s="34"/>
      <c r="DCL293" s="34"/>
      <c r="DCM293" s="34"/>
      <c r="DCN293" s="34"/>
      <c r="DCO293" s="34"/>
      <c r="DCP293" s="34"/>
      <c r="DCQ293" s="34"/>
      <c r="DCR293" s="34"/>
      <c r="DCS293" s="34"/>
      <c r="DCT293" s="34"/>
      <c r="DCU293" s="34"/>
      <c r="DCV293" s="34"/>
      <c r="DCW293" s="34"/>
      <c r="DCX293" s="34"/>
      <c r="DCY293" s="34"/>
      <c r="DCZ293" s="34"/>
      <c r="DDA293" s="34"/>
      <c r="DDB293" s="34"/>
      <c r="DDC293" s="34"/>
      <c r="DDD293" s="34"/>
      <c r="DDE293" s="34"/>
      <c r="DDF293" s="34"/>
      <c r="DDG293" s="34"/>
      <c r="DDH293" s="34"/>
      <c r="DDI293" s="34"/>
      <c r="DDJ293" s="34"/>
      <c r="DDK293" s="34"/>
      <c r="DDL293" s="34"/>
      <c r="DDM293" s="34"/>
      <c r="DDN293" s="34"/>
      <c r="DDO293" s="34"/>
      <c r="DDP293" s="34"/>
      <c r="DDQ293" s="34"/>
      <c r="DDR293" s="34"/>
      <c r="DDS293" s="34"/>
      <c r="DDT293" s="34"/>
      <c r="DDU293" s="34"/>
      <c r="DDV293" s="34"/>
      <c r="DDW293" s="34"/>
      <c r="DDX293" s="34"/>
      <c r="DDY293" s="34"/>
      <c r="DDZ293" s="34"/>
      <c r="DEA293" s="34"/>
      <c r="DEB293" s="34"/>
      <c r="DEC293" s="34"/>
      <c r="DED293" s="34"/>
      <c r="DEE293" s="34"/>
      <c r="DEF293" s="34"/>
      <c r="DEG293" s="34"/>
      <c r="DEH293" s="34"/>
      <c r="DEI293" s="34"/>
      <c r="DEJ293" s="34"/>
      <c r="DEK293" s="34"/>
      <c r="DEL293" s="34"/>
      <c r="DEM293" s="34"/>
      <c r="DEN293" s="34"/>
      <c r="DEO293" s="34"/>
      <c r="DEP293" s="34"/>
      <c r="DEQ293" s="34"/>
      <c r="DER293" s="34"/>
      <c r="DES293" s="34"/>
      <c r="DET293" s="34"/>
      <c r="DEU293" s="34"/>
      <c r="DEV293" s="34"/>
      <c r="DEW293" s="34"/>
      <c r="DEX293" s="34"/>
      <c r="DEY293" s="34"/>
      <c r="DEZ293" s="34"/>
      <c r="DFA293" s="34"/>
      <c r="DFB293" s="34"/>
      <c r="DFC293" s="34"/>
      <c r="DFD293" s="34"/>
      <c r="DFE293" s="34"/>
      <c r="DFF293" s="34"/>
      <c r="DFG293" s="34"/>
      <c r="DFH293" s="34"/>
      <c r="DFI293" s="34"/>
      <c r="DFJ293" s="34"/>
      <c r="DFK293" s="34"/>
      <c r="DFL293" s="34"/>
      <c r="DFM293" s="34"/>
      <c r="DFN293" s="34"/>
      <c r="DFO293" s="34"/>
      <c r="DFP293" s="34"/>
      <c r="DFQ293" s="34"/>
      <c r="DFR293" s="34"/>
      <c r="DFS293" s="34"/>
      <c r="DFT293" s="34"/>
      <c r="DFU293" s="34"/>
      <c r="DFV293" s="34"/>
      <c r="DFW293" s="34"/>
      <c r="DFX293" s="34"/>
      <c r="DFY293" s="34"/>
      <c r="DFZ293" s="34"/>
      <c r="DGA293" s="34"/>
      <c r="DGB293" s="34"/>
      <c r="DGC293" s="34"/>
      <c r="DGD293" s="34"/>
      <c r="DGE293" s="34"/>
      <c r="DGF293" s="34"/>
      <c r="DGG293" s="34"/>
      <c r="DGH293" s="34"/>
      <c r="DGI293" s="34"/>
      <c r="DGJ293" s="34"/>
      <c r="DGK293" s="34"/>
      <c r="DGL293" s="34"/>
      <c r="DGM293" s="34"/>
      <c r="DGN293" s="34"/>
      <c r="DGO293" s="34"/>
      <c r="DGP293" s="34"/>
      <c r="DGQ293" s="34"/>
      <c r="DGR293" s="34"/>
      <c r="DGS293" s="34"/>
      <c r="DGT293" s="34"/>
      <c r="DGU293" s="34"/>
      <c r="DGV293" s="34"/>
      <c r="DGW293" s="34"/>
      <c r="DGX293" s="34"/>
      <c r="DGY293" s="34"/>
      <c r="DGZ293" s="34"/>
      <c r="DHA293" s="34"/>
      <c r="DHB293" s="34"/>
      <c r="DHC293" s="34"/>
      <c r="DHD293" s="34"/>
      <c r="DHE293" s="34"/>
      <c r="DHF293" s="34"/>
      <c r="DHG293" s="34"/>
      <c r="DHH293" s="34"/>
      <c r="DHI293" s="34"/>
      <c r="DHJ293" s="34"/>
      <c r="DHK293" s="34"/>
      <c r="DHL293" s="34"/>
      <c r="DHM293" s="34"/>
      <c r="DHN293" s="34"/>
      <c r="DHO293" s="34"/>
      <c r="DHP293" s="34"/>
      <c r="DHQ293" s="34"/>
      <c r="DHR293" s="34"/>
      <c r="DHS293" s="34"/>
      <c r="DHT293" s="34"/>
      <c r="DHU293" s="34"/>
      <c r="DHV293" s="34"/>
      <c r="DHW293" s="34"/>
      <c r="DHX293" s="34"/>
      <c r="DHY293" s="34"/>
      <c r="DHZ293" s="34"/>
      <c r="DIA293" s="34"/>
      <c r="DIB293" s="34"/>
      <c r="DIC293" s="34"/>
      <c r="DID293" s="34"/>
      <c r="DIE293" s="34"/>
      <c r="DIF293" s="34"/>
      <c r="DIG293" s="34"/>
      <c r="DIH293" s="34"/>
      <c r="DII293" s="34"/>
      <c r="DIJ293" s="34"/>
      <c r="DIK293" s="34"/>
      <c r="DIL293" s="34"/>
      <c r="DIM293" s="34"/>
      <c r="DIN293" s="34"/>
      <c r="DIO293" s="34"/>
      <c r="DIP293" s="34"/>
      <c r="DIQ293" s="34"/>
      <c r="DIR293" s="34"/>
      <c r="DIS293" s="34"/>
      <c r="DIT293" s="34"/>
      <c r="DIU293" s="34"/>
      <c r="DIV293" s="34"/>
      <c r="DIW293" s="34"/>
      <c r="DIX293" s="34"/>
      <c r="DIY293" s="34"/>
      <c r="DIZ293" s="34"/>
      <c r="DJA293" s="34"/>
      <c r="DJB293" s="34"/>
      <c r="DJC293" s="34"/>
      <c r="DJD293" s="34"/>
      <c r="DJE293" s="34"/>
      <c r="DJF293" s="34"/>
      <c r="DJG293" s="34"/>
      <c r="DJH293" s="34"/>
      <c r="DJI293" s="34"/>
      <c r="DJJ293" s="34"/>
      <c r="DJK293" s="34"/>
      <c r="DJL293" s="34"/>
      <c r="DJM293" s="34"/>
      <c r="DJN293" s="34"/>
      <c r="DJO293" s="34"/>
      <c r="DJP293" s="34"/>
      <c r="DJQ293" s="34"/>
      <c r="DJR293" s="34"/>
      <c r="DJS293" s="34"/>
      <c r="DJT293" s="34"/>
      <c r="DJU293" s="34"/>
      <c r="DJV293" s="34"/>
      <c r="DJW293" s="34"/>
      <c r="DJX293" s="34"/>
      <c r="DJY293" s="34"/>
      <c r="DJZ293" s="34"/>
      <c r="DKA293" s="34"/>
      <c r="DKB293" s="34"/>
      <c r="DKC293" s="34"/>
      <c r="DKD293" s="34"/>
      <c r="DKE293" s="34"/>
      <c r="DKF293" s="34"/>
      <c r="DKG293" s="34"/>
      <c r="DKH293" s="34"/>
      <c r="DKI293" s="34"/>
      <c r="DKJ293" s="34"/>
      <c r="DKK293" s="34"/>
      <c r="DKL293" s="34"/>
      <c r="DKM293" s="34"/>
      <c r="DKN293" s="34"/>
      <c r="DKO293" s="34"/>
      <c r="DKP293" s="34"/>
      <c r="DKQ293" s="34"/>
      <c r="DKR293" s="34"/>
      <c r="DKS293" s="34"/>
      <c r="DKT293" s="34"/>
      <c r="DKU293" s="34"/>
      <c r="DKV293" s="34"/>
      <c r="DKW293" s="34"/>
      <c r="DKX293" s="34"/>
      <c r="DKY293" s="34"/>
      <c r="DKZ293" s="34"/>
      <c r="DLA293" s="34"/>
      <c r="DLB293" s="34"/>
      <c r="DLC293" s="34"/>
      <c r="DLD293" s="34"/>
      <c r="DLE293" s="34"/>
      <c r="DLF293" s="34"/>
      <c r="DLG293" s="34"/>
      <c r="DLH293" s="34"/>
      <c r="DLI293" s="34"/>
      <c r="DLJ293" s="34"/>
      <c r="DLK293" s="34"/>
      <c r="DLL293" s="34"/>
      <c r="DLM293" s="34"/>
      <c r="DLN293" s="34"/>
      <c r="DLO293" s="34"/>
      <c r="DLP293" s="34"/>
      <c r="DLQ293" s="34"/>
      <c r="DLR293" s="34"/>
      <c r="DLS293" s="34"/>
      <c r="DLT293" s="34"/>
      <c r="DLU293" s="34"/>
      <c r="DLV293" s="34"/>
      <c r="DLW293" s="34"/>
      <c r="DLX293" s="34"/>
      <c r="DLY293" s="34"/>
      <c r="DLZ293" s="34"/>
      <c r="DMA293" s="34"/>
      <c r="DMB293" s="34"/>
      <c r="DMC293" s="34"/>
      <c r="DMD293" s="34"/>
      <c r="DME293" s="34"/>
      <c r="DMF293" s="34"/>
      <c r="DMG293" s="34"/>
      <c r="DMH293" s="34"/>
      <c r="DMI293" s="34"/>
      <c r="DMJ293" s="34"/>
      <c r="DMK293" s="34"/>
      <c r="DML293" s="34"/>
      <c r="DMM293" s="34"/>
      <c r="DMN293" s="34"/>
      <c r="DMO293" s="34"/>
      <c r="DMP293" s="34"/>
      <c r="DMQ293" s="34"/>
      <c r="DMR293" s="34"/>
      <c r="DMS293" s="34"/>
      <c r="DMT293" s="34"/>
      <c r="DMU293" s="34"/>
      <c r="DMV293" s="34"/>
      <c r="DMW293" s="34"/>
      <c r="DMX293" s="34"/>
      <c r="DMY293" s="34"/>
      <c r="DMZ293" s="34"/>
      <c r="DNA293" s="34"/>
      <c r="DNB293" s="34"/>
      <c r="DNC293" s="34"/>
      <c r="DND293" s="34"/>
      <c r="DNE293" s="34"/>
      <c r="DNF293" s="34"/>
      <c r="DNG293" s="34"/>
      <c r="DNH293" s="34"/>
      <c r="DNI293" s="34"/>
      <c r="DNJ293" s="34"/>
      <c r="DNK293" s="34"/>
      <c r="DNL293" s="34"/>
      <c r="DNM293" s="34"/>
      <c r="DNN293" s="34"/>
      <c r="DNO293" s="34"/>
      <c r="DNP293" s="34"/>
      <c r="DNQ293" s="34"/>
      <c r="DNR293" s="34"/>
      <c r="DNS293" s="34"/>
      <c r="DNT293" s="34"/>
      <c r="DNU293" s="34"/>
      <c r="DNV293" s="34"/>
      <c r="DNW293" s="34"/>
      <c r="DNX293" s="34"/>
      <c r="DNY293" s="34"/>
      <c r="DNZ293" s="34"/>
      <c r="DOA293" s="34"/>
      <c r="DOB293" s="34"/>
      <c r="DOC293" s="34"/>
      <c r="DOD293" s="34"/>
      <c r="DOE293" s="34"/>
      <c r="DOF293" s="34"/>
      <c r="DOG293" s="34"/>
      <c r="DOH293" s="34"/>
      <c r="DOI293" s="34"/>
      <c r="DOJ293" s="34"/>
      <c r="DOK293" s="34"/>
      <c r="DOL293" s="34"/>
      <c r="DOM293" s="34"/>
      <c r="DON293" s="34"/>
      <c r="DOO293" s="34"/>
      <c r="DOP293" s="34"/>
      <c r="DOQ293" s="34"/>
      <c r="DOR293" s="34"/>
      <c r="DOS293" s="34"/>
      <c r="DOT293" s="34"/>
      <c r="DOU293" s="34"/>
      <c r="DOV293" s="34"/>
      <c r="DOW293" s="34"/>
      <c r="DOX293" s="34"/>
      <c r="DOY293" s="34"/>
      <c r="DOZ293" s="34"/>
      <c r="DPA293" s="34"/>
      <c r="DPB293" s="34"/>
      <c r="DPC293" s="34"/>
      <c r="DPD293" s="34"/>
      <c r="DPE293" s="34"/>
      <c r="DPF293" s="34"/>
      <c r="DPG293" s="34"/>
      <c r="DPH293" s="34"/>
      <c r="DPI293" s="34"/>
      <c r="DPJ293" s="34"/>
      <c r="DPK293" s="34"/>
      <c r="DPL293" s="34"/>
      <c r="DPM293" s="34"/>
      <c r="DPN293" s="34"/>
      <c r="DPO293" s="34"/>
      <c r="DPP293" s="34"/>
      <c r="DPQ293" s="34"/>
      <c r="DPR293" s="34"/>
      <c r="DPS293" s="34"/>
      <c r="DPT293" s="34"/>
      <c r="DPU293" s="34"/>
      <c r="DPV293" s="34"/>
      <c r="DPW293" s="34"/>
      <c r="DPX293" s="34"/>
      <c r="DPY293" s="34"/>
      <c r="DPZ293" s="34"/>
      <c r="DQA293" s="34"/>
      <c r="DQB293" s="34"/>
      <c r="DQC293" s="34"/>
      <c r="DQD293" s="34"/>
      <c r="DQE293" s="34"/>
      <c r="DQF293" s="34"/>
      <c r="DQG293" s="34"/>
      <c r="DQH293" s="34"/>
      <c r="DQI293" s="34"/>
      <c r="DQJ293" s="34"/>
      <c r="DQK293" s="34"/>
      <c r="DQL293" s="34"/>
      <c r="DQM293" s="34"/>
      <c r="DQN293" s="34"/>
      <c r="DQO293" s="34"/>
      <c r="DQP293" s="34"/>
      <c r="DQQ293" s="34"/>
      <c r="DQR293" s="34"/>
      <c r="DQS293" s="34"/>
      <c r="DQT293" s="34"/>
      <c r="DQU293" s="34"/>
      <c r="DQV293" s="34"/>
      <c r="DQW293" s="34"/>
      <c r="DQX293" s="34"/>
      <c r="DQY293" s="34"/>
      <c r="DQZ293" s="34"/>
      <c r="DRA293" s="34"/>
      <c r="DRB293" s="34"/>
      <c r="DRC293" s="34"/>
      <c r="DRD293" s="34"/>
      <c r="DRE293" s="34"/>
      <c r="DRF293" s="34"/>
      <c r="DRG293" s="34"/>
      <c r="DRH293" s="34"/>
      <c r="DRI293" s="34"/>
      <c r="DRJ293" s="34"/>
      <c r="DRK293" s="34"/>
      <c r="DRL293" s="34"/>
      <c r="DRM293" s="34"/>
      <c r="DRN293" s="34"/>
      <c r="DRO293" s="34"/>
      <c r="DRP293" s="34"/>
      <c r="DRQ293" s="34"/>
      <c r="DRR293" s="34"/>
      <c r="DRS293" s="34"/>
      <c r="DRT293" s="34"/>
      <c r="DRU293" s="34"/>
      <c r="DRV293" s="34"/>
      <c r="DRW293" s="34"/>
      <c r="DRX293" s="34"/>
      <c r="DRY293" s="34"/>
      <c r="DRZ293" s="34"/>
      <c r="DSA293" s="34"/>
      <c r="DSB293" s="34"/>
      <c r="DSC293" s="34"/>
      <c r="DSD293" s="34"/>
      <c r="DSE293" s="34"/>
      <c r="DSF293" s="34"/>
      <c r="DSG293" s="34"/>
      <c r="DSH293" s="34"/>
      <c r="DSI293" s="34"/>
      <c r="DSJ293" s="34"/>
      <c r="DSK293" s="34"/>
      <c r="DSL293" s="34"/>
      <c r="DSM293" s="34"/>
      <c r="DSN293" s="34"/>
      <c r="DSO293" s="34"/>
      <c r="DSP293" s="34"/>
      <c r="DSQ293" s="34"/>
      <c r="DSR293" s="34"/>
      <c r="DSS293" s="34"/>
      <c r="DST293" s="34"/>
      <c r="DSU293" s="34"/>
      <c r="DSV293" s="34"/>
      <c r="DSW293" s="34"/>
      <c r="DSX293" s="34"/>
      <c r="DSY293" s="34"/>
      <c r="DSZ293" s="34"/>
      <c r="DTA293" s="34"/>
      <c r="DTB293" s="34"/>
      <c r="DTC293" s="34"/>
      <c r="DTD293" s="34"/>
      <c r="DTE293" s="34"/>
      <c r="DTF293" s="34"/>
      <c r="DTG293" s="34"/>
      <c r="DTH293" s="34"/>
      <c r="DTI293" s="34"/>
      <c r="DTJ293" s="34"/>
      <c r="DTK293" s="34"/>
      <c r="DTL293" s="34"/>
      <c r="DTM293" s="34"/>
      <c r="DTN293" s="34"/>
      <c r="DTO293" s="34"/>
      <c r="DTP293" s="34"/>
      <c r="DTQ293" s="34"/>
      <c r="DTR293" s="34"/>
      <c r="DTS293" s="34"/>
      <c r="DTT293" s="34"/>
      <c r="DTU293" s="34"/>
      <c r="DTV293" s="34"/>
      <c r="DTW293" s="34"/>
      <c r="DTX293" s="34"/>
      <c r="DTY293" s="34"/>
      <c r="DTZ293" s="34"/>
      <c r="DUA293" s="34"/>
      <c r="DUB293" s="34"/>
      <c r="DUC293" s="34"/>
      <c r="DUD293" s="34"/>
      <c r="DUE293" s="34"/>
      <c r="DUF293" s="34"/>
      <c r="DUG293" s="34"/>
      <c r="DUH293" s="34"/>
      <c r="DUI293" s="34"/>
      <c r="DUJ293" s="34"/>
      <c r="DUK293" s="34"/>
      <c r="DUL293" s="34"/>
      <c r="DUM293" s="34"/>
      <c r="DUN293" s="34"/>
      <c r="DUO293" s="34"/>
      <c r="DUP293" s="34"/>
      <c r="DUQ293" s="34"/>
      <c r="DUR293" s="34"/>
      <c r="DUS293" s="34"/>
      <c r="DUT293" s="34"/>
      <c r="DUU293" s="34"/>
      <c r="DUV293" s="34"/>
      <c r="DUW293" s="34"/>
      <c r="DUX293" s="34"/>
      <c r="DUY293" s="34"/>
      <c r="DUZ293" s="34"/>
      <c r="DVA293" s="34"/>
      <c r="DVB293" s="34"/>
      <c r="DVC293" s="34"/>
      <c r="DVD293" s="34"/>
      <c r="DVE293" s="34"/>
      <c r="DVF293" s="34"/>
      <c r="DVG293" s="34"/>
      <c r="DVH293" s="34"/>
      <c r="DVI293" s="34"/>
      <c r="DVJ293" s="34"/>
      <c r="DVK293" s="34"/>
      <c r="DVL293" s="34"/>
      <c r="DVM293" s="34"/>
      <c r="DVN293" s="34"/>
      <c r="DVO293" s="34"/>
      <c r="DVP293" s="34"/>
      <c r="DVQ293" s="34"/>
      <c r="DVR293" s="34"/>
      <c r="DVS293" s="34"/>
      <c r="DVT293" s="34"/>
      <c r="DVU293" s="34"/>
      <c r="DVV293" s="34"/>
      <c r="DVW293" s="34"/>
      <c r="DVX293" s="34"/>
      <c r="DVY293" s="34"/>
      <c r="DVZ293" s="34"/>
      <c r="DWA293" s="34"/>
      <c r="DWB293" s="34"/>
      <c r="DWC293" s="34"/>
      <c r="DWD293" s="34"/>
      <c r="DWE293" s="34"/>
      <c r="DWF293" s="34"/>
      <c r="DWG293" s="34"/>
      <c r="DWH293" s="34"/>
      <c r="DWI293" s="34"/>
      <c r="DWJ293" s="34"/>
      <c r="DWK293" s="34"/>
      <c r="DWL293" s="34"/>
      <c r="DWM293" s="34"/>
      <c r="DWN293" s="34"/>
      <c r="DWO293" s="34"/>
      <c r="DWP293" s="34"/>
      <c r="DWQ293" s="34"/>
      <c r="DWR293" s="34"/>
      <c r="DWS293" s="34"/>
      <c r="DWT293" s="34"/>
      <c r="DWU293" s="34"/>
      <c r="DWV293" s="34"/>
      <c r="DWW293" s="34"/>
      <c r="DWX293" s="34"/>
      <c r="DWY293" s="34"/>
      <c r="DWZ293" s="34"/>
      <c r="DXA293" s="34"/>
      <c r="DXB293" s="34"/>
      <c r="DXC293" s="34"/>
      <c r="DXD293" s="34"/>
      <c r="DXE293" s="34"/>
      <c r="DXF293" s="34"/>
      <c r="DXG293" s="34"/>
      <c r="DXH293" s="34"/>
      <c r="DXI293" s="34"/>
      <c r="DXJ293" s="34"/>
      <c r="DXK293" s="34"/>
      <c r="DXL293" s="34"/>
      <c r="DXM293" s="34"/>
      <c r="DXN293" s="34"/>
      <c r="DXO293" s="34"/>
      <c r="DXP293" s="34"/>
      <c r="DXQ293" s="34"/>
      <c r="DXR293" s="34"/>
      <c r="DXS293" s="34"/>
      <c r="DXT293" s="34"/>
      <c r="DXU293" s="34"/>
      <c r="DXV293" s="34"/>
      <c r="DXW293" s="34"/>
      <c r="DXX293" s="34"/>
      <c r="DXY293" s="34"/>
      <c r="DXZ293" s="34"/>
      <c r="DYA293" s="34"/>
      <c r="DYB293" s="34"/>
      <c r="DYC293" s="34"/>
      <c r="DYD293" s="34"/>
      <c r="DYE293" s="34"/>
      <c r="DYF293" s="34"/>
      <c r="DYG293" s="34"/>
      <c r="DYH293" s="34"/>
      <c r="DYI293" s="34"/>
      <c r="DYJ293" s="34"/>
      <c r="DYK293" s="34"/>
      <c r="DYL293" s="34"/>
      <c r="DYM293" s="34"/>
      <c r="DYN293" s="34"/>
      <c r="DYO293" s="34"/>
      <c r="DYP293" s="34"/>
      <c r="DYQ293" s="34"/>
      <c r="DYR293" s="34"/>
      <c r="DYS293" s="34"/>
      <c r="DYT293" s="34"/>
      <c r="DYU293" s="34"/>
      <c r="DYV293" s="34"/>
      <c r="DYW293" s="34"/>
      <c r="DYX293" s="34"/>
      <c r="DYY293" s="34"/>
      <c r="DYZ293" s="34"/>
      <c r="DZA293" s="34"/>
      <c r="DZB293" s="34"/>
      <c r="DZC293" s="34"/>
      <c r="DZD293" s="34"/>
      <c r="DZE293" s="34"/>
      <c r="DZF293" s="34"/>
      <c r="DZG293" s="34"/>
      <c r="DZH293" s="34"/>
      <c r="DZI293" s="34"/>
      <c r="DZJ293" s="34"/>
      <c r="DZK293" s="34"/>
      <c r="DZL293" s="34"/>
      <c r="DZM293" s="34"/>
      <c r="DZN293" s="34"/>
      <c r="DZO293" s="34"/>
      <c r="DZP293" s="34"/>
      <c r="DZQ293" s="34"/>
      <c r="DZR293" s="34"/>
      <c r="DZS293" s="34"/>
      <c r="DZT293" s="34"/>
      <c r="DZU293" s="34"/>
      <c r="DZV293" s="34"/>
      <c r="DZW293" s="34"/>
      <c r="DZX293" s="34"/>
      <c r="DZY293" s="34"/>
      <c r="DZZ293" s="34"/>
      <c r="EAA293" s="34"/>
      <c r="EAB293" s="34"/>
      <c r="EAC293" s="34"/>
      <c r="EAD293" s="34"/>
      <c r="EAE293" s="34"/>
      <c r="EAF293" s="34"/>
      <c r="EAG293" s="34"/>
      <c r="EAH293" s="34"/>
      <c r="EAI293" s="34"/>
      <c r="EAJ293" s="34"/>
      <c r="EAK293" s="34"/>
      <c r="EAL293" s="34"/>
      <c r="EAM293" s="34"/>
      <c r="EAN293" s="34"/>
      <c r="EAO293" s="34"/>
      <c r="EAP293" s="34"/>
      <c r="EAQ293" s="34"/>
      <c r="EAR293" s="34"/>
      <c r="EAS293" s="34"/>
      <c r="EAT293" s="34"/>
      <c r="EAU293" s="34"/>
      <c r="EAV293" s="34"/>
      <c r="EAW293" s="34"/>
      <c r="EAX293" s="34"/>
      <c r="EAY293" s="34"/>
      <c r="EAZ293" s="34"/>
      <c r="EBA293" s="34"/>
      <c r="EBB293" s="34"/>
      <c r="EBC293" s="34"/>
      <c r="EBD293" s="34"/>
      <c r="EBE293" s="34"/>
      <c r="EBF293" s="34"/>
      <c r="EBG293" s="34"/>
      <c r="EBH293" s="34"/>
      <c r="EBI293" s="34"/>
      <c r="EBJ293" s="34"/>
      <c r="EBK293" s="34"/>
      <c r="EBL293" s="34"/>
      <c r="EBM293" s="34"/>
      <c r="EBN293" s="34"/>
      <c r="EBO293" s="34"/>
      <c r="EBP293" s="34"/>
      <c r="EBQ293" s="34"/>
      <c r="EBR293" s="34"/>
      <c r="EBS293" s="34"/>
      <c r="EBT293" s="34"/>
      <c r="EBU293" s="34"/>
      <c r="EBV293" s="34"/>
      <c r="EBW293" s="34"/>
      <c r="EBX293" s="34"/>
      <c r="EBY293" s="34"/>
      <c r="EBZ293" s="34"/>
      <c r="ECA293" s="34"/>
      <c r="ECB293" s="34"/>
      <c r="ECC293" s="34"/>
      <c r="ECD293" s="34"/>
      <c r="ECE293" s="34"/>
      <c r="ECF293" s="34"/>
      <c r="ECG293" s="34"/>
      <c r="ECH293" s="34"/>
      <c r="ECI293" s="34"/>
      <c r="ECJ293" s="34"/>
      <c r="ECK293" s="34"/>
      <c r="ECL293" s="34"/>
      <c r="ECM293" s="34"/>
      <c r="ECN293" s="34"/>
      <c r="ECO293" s="34"/>
      <c r="ECP293" s="34"/>
      <c r="ECQ293" s="34"/>
      <c r="ECR293" s="34"/>
      <c r="ECS293" s="34"/>
      <c r="ECT293" s="34"/>
      <c r="ECU293" s="34"/>
      <c r="ECV293" s="34"/>
      <c r="ECW293" s="34"/>
      <c r="ECX293" s="34"/>
      <c r="ECY293" s="34"/>
      <c r="ECZ293" s="34"/>
      <c r="EDA293" s="34"/>
      <c r="EDB293" s="34"/>
      <c r="EDC293" s="34"/>
      <c r="EDD293" s="34"/>
      <c r="EDE293" s="34"/>
      <c r="EDF293" s="34"/>
      <c r="EDG293" s="34"/>
      <c r="EDH293" s="34"/>
      <c r="EDI293" s="34"/>
      <c r="EDJ293" s="34"/>
      <c r="EDK293" s="34"/>
      <c r="EDL293" s="34"/>
      <c r="EDM293" s="34"/>
      <c r="EDN293" s="34"/>
      <c r="EDO293" s="34"/>
      <c r="EDP293" s="34"/>
      <c r="EDQ293" s="34"/>
      <c r="EDR293" s="34"/>
      <c r="EDS293" s="34"/>
      <c r="EDT293" s="34"/>
      <c r="EDU293" s="34"/>
      <c r="EDV293" s="34"/>
      <c r="EDW293" s="34"/>
      <c r="EDX293" s="34"/>
      <c r="EDY293" s="34"/>
      <c r="EDZ293" s="34"/>
      <c r="EEA293" s="34"/>
      <c r="EEB293" s="34"/>
      <c r="EEC293" s="34"/>
      <c r="EED293" s="34"/>
      <c r="EEE293" s="34"/>
      <c r="EEF293" s="34"/>
      <c r="EEG293" s="34"/>
      <c r="EEH293" s="34"/>
      <c r="EEI293" s="34"/>
      <c r="EEJ293" s="34"/>
      <c r="EEK293" s="34"/>
      <c r="EEL293" s="34"/>
      <c r="EEM293" s="34"/>
      <c r="EEN293" s="34"/>
      <c r="EEO293" s="34"/>
      <c r="EEP293" s="34"/>
      <c r="EEQ293" s="34"/>
      <c r="EER293" s="34"/>
      <c r="EES293" s="34"/>
      <c r="EET293" s="34"/>
      <c r="EEU293" s="34"/>
      <c r="EEV293" s="34"/>
      <c r="EEW293" s="34"/>
      <c r="EEX293" s="34"/>
      <c r="EEY293" s="34"/>
      <c r="EEZ293" s="34"/>
      <c r="EFA293" s="34"/>
      <c r="EFB293" s="34"/>
      <c r="EFC293" s="34"/>
      <c r="EFD293" s="34"/>
      <c r="EFE293" s="34"/>
      <c r="EFF293" s="34"/>
      <c r="EFG293" s="34"/>
      <c r="EFH293" s="34"/>
      <c r="EFI293" s="34"/>
      <c r="EFJ293" s="34"/>
      <c r="EFK293" s="34"/>
      <c r="EFL293" s="34"/>
      <c r="EFM293" s="34"/>
      <c r="EFN293" s="34"/>
      <c r="EFO293" s="34"/>
      <c r="EFP293" s="34"/>
      <c r="EFQ293" s="34"/>
      <c r="EFR293" s="34"/>
      <c r="EFS293" s="34"/>
      <c r="EFT293" s="34"/>
      <c r="EFU293" s="34"/>
      <c r="EFV293" s="34"/>
      <c r="EFW293" s="34"/>
      <c r="EFX293" s="34"/>
      <c r="EFY293" s="34"/>
      <c r="EFZ293" s="34"/>
      <c r="EGA293" s="34"/>
      <c r="EGB293" s="34"/>
      <c r="EGC293" s="34"/>
      <c r="EGD293" s="34"/>
      <c r="EGE293" s="34"/>
      <c r="EGF293" s="34"/>
      <c r="EGG293" s="34"/>
      <c r="EGH293" s="34"/>
      <c r="EGI293" s="34"/>
      <c r="EGJ293" s="34"/>
      <c r="EGK293" s="34"/>
      <c r="EGL293" s="34"/>
      <c r="EGM293" s="34"/>
      <c r="EGN293" s="34"/>
      <c r="EGO293" s="34"/>
      <c r="EGP293" s="34"/>
      <c r="EGQ293" s="34"/>
      <c r="EGR293" s="34"/>
      <c r="EGS293" s="34"/>
      <c r="EGT293" s="34"/>
      <c r="EGU293" s="34"/>
      <c r="EGV293" s="34"/>
      <c r="EGW293" s="34"/>
      <c r="EGX293" s="34"/>
      <c r="EGY293" s="34"/>
      <c r="EGZ293" s="34"/>
      <c r="EHA293" s="34"/>
      <c r="EHB293" s="34"/>
      <c r="EHC293" s="34"/>
      <c r="EHD293" s="34"/>
      <c r="EHE293" s="34"/>
      <c r="EHF293" s="34"/>
      <c r="EHG293" s="34"/>
      <c r="EHH293" s="34"/>
      <c r="EHI293" s="34"/>
      <c r="EHJ293" s="34"/>
      <c r="EHK293" s="34"/>
      <c r="EHL293" s="34"/>
      <c r="EHM293" s="34"/>
      <c r="EHN293" s="34"/>
      <c r="EHO293" s="34"/>
      <c r="EHP293" s="34"/>
      <c r="EHQ293" s="34"/>
      <c r="EHR293" s="34"/>
      <c r="EHS293" s="34"/>
      <c r="EHT293" s="34"/>
      <c r="EHU293" s="34"/>
      <c r="EHV293" s="34"/>
      <c r="EHW293" s="34"/>
      <c r="EHX293" s="34"/>
      <c r="EHY293" s="34"/>
      <c r="EHZ293" s="34"/>
      <c r="EIA293" s="34"/>
      <c r="EIB293" s="34"/>
      <c r="EIC293" s="34"/>
      <c r="EID293" s="34"/>
      <c r="EIE293" s="34"/>
      <c r="EIF293" s="34"/>
      <c r="EIG293" s="34"/>
      <c r="EIH293" s="34"/>
      <c r="EII293" s="34"/>
      <c r="EIJ293" s="34"/>
      <c r="EIK293" s="34"/>
      <c r="EIL293" s="34"/>
      <c r="EIM293" s="34"/>
      <c r="EIN293" s="34"/>
      <c r="EIO293" s="34"/>
      <c r="EIP293" s="34"/>
      <c r="EIQ293" s="34"/>
      <c r="EIR293" s="34"/>
      <c r="EIS293" s="34"/>
      <c r="EIT293" s="34"/>
      <c r="EIU293" s="34"/>
      <c r="EIV293" s="34"/>
      <c r="EIW293" s="34"/>
      <c r="EIX293" s="34"/>
      <c r="EIY293" s="34"/>
      <c r="EIZ293" s="34"/>
      <c r="EJA293" s="34"/>
      <c r="EJB293" s="34"/>
      <c r="EJC293" s="34"/>
      <c r="EJD293" s="34"/>
      <c r="EJE293" s="34"/>
      <c r="EJF293" s="34"/>
      <c r="EJG293" s="34"/>
      <c r="EJH293" s="34"/>
      <c r="EJI293" s="34"/>
      <c r="EJJ293" s="34"/>
      <c r="EJK293" s="34"/>
      <c r="EJL293" s="34"/>
      <c r="EJM293" s="34"/>
      <c r="EJN293" s="34"/>
      <c r="EJO293" s="34"/>
      <c r="EJP293" s="34"/>
      <c r="EJQ293" s="34"/>
      <c r="EJR293" s="34"/>
      <c r="EJS293" s="34"/>
      <c r="EJT293" s="34"/>
      <c r="EJU293" s="34"/>
      <c r="EJV293" s="34"/>
      <c r="EJW293" s="34"/>
      <c r="EJX293" s="34"/>
      <c r="EJY293" s="34"/>
      <c r="EJZ293" s="34"/>
      <c r="EKA293" s="34"/>
      <c r="EKB293" s="34"/>
      <c r="EKC293" s="34"/>
      <c r="EKD293" s="34"/>
      <c r="EKE293" s="34"/>
      <c r="EKF293" s="34"/>
      <c r="EKG293" s="34"/>
      <c r="EKH293" s="34"/>
      <c r="EKI293" s="34"/>
      <c r="EKJ293" s="34"/>
      <c r="EKK293" s="34"/>
      <c r="EKL293" s="34"/>
      <c r="EKM293" s="34"/>
      <c r="EKN293" s="34"/>
      <c r="EKO293" s="34"/>
      <c r="EKP293" s="34"/>
      <c r="EKQ293" s="34"/>
      <c r="EKR293" s="34"/>
      <c r="EKS293" s="34"/>
      <c r="EKT293" s="34"/>
      <c r="EKU293" s="34"/>
      <c r="EKV293" s="34"/>
      <c r="EKW293" s="34"/>
      <c r="EKX293" s="34"/>
      <c r="EKY293" s="34"/>
      <c r="EKZ293" s="34"/>
      <c r="ELA293" s="34"/>
      <c r="ELB293" s="34"/>
      <c r="ELC293" s="34"/>
      <c r="ELD293" s="34"/>
      <c r="ELE293" s="34"/>
      <c r="ELF293" s="34"/>
      <c r="ELG293" s="34"/>
      <c r="ELH293" s="34"/>
      <c r="ELI293" s="34"/>
      <c r="ELJ293" s="34"/>
      <c r="ELK293" s="34"/>
      <c r="ELL293" s="34"/>
      <c r="ELM293" s="34"/>
      <c r="ELN293" s="34"/>
      <c r="ELO293" s="34"/>
      <c r="ELP293" s="34"/>
      <c r="ELQ293" s="34"/>
      <c r="ELR293" s="34"/>
      <c r="ELS293" s="34"/>
      <c r="ELT293" s="34"/>
      <c r="ELU293" s="34"/>
      <c r="ELV293" s="34"/>
      <c r="ELW293" s="34"/>
      <c r="ELX293" s="34"/>
      <c r="ELY293" s="34"/>
      <c r="ELZ293" s="34"/>
      <c r="EMA293" s="34"/>
      <c r="EMB293" s="34"/>
      <c r="EMC293" s="34"/>
      <c r="EMD293" s="34"/>
      <c r="EME293" s="34"/>
      <c r="EMF293" s="34"/>
      <c r="EMG293" s="34"/>
      <c r="EMH293" s="34"/>
      <c r="EMI293" s="34"/>
      <c r="EMJ293" s="34"/>
      <c r="EMK293" s="34"/>
      <c r="EML293" s="34"/>
      <c r="EMM293" s="34"/>
      <c r="EMN293" s="34"/>
      <c r="EMO293" s="34"/>
      <c r="EMP293" s="34"/>
      <c r="EMQ293" s="34"/>
      <c r="EMR293" s="34"/>
      <c r="EMS293" s="34"/>
      <c r="EMT293" s="34"/>
      <c r="EMU293" s="34"/>
      <c r="EMV293" s="34"/>
      <c r="EMW293" s="34"/>
      <c r="EMX293" s="34"/>
      <c r="EMY293" s="34"/>
      <c r="EMZ293" s="34"/>
      <c r="ENA293" s="34"/>
      <c r="ENB293" s="34"/>
      <c r="ENC293" s="34"/>
      <c r="END293" s="34"/>
      <c r="ENE293" s="34"/>
      <c r="ENF293" s="34"/>
      <c r="ENG293" s="34"/>
      <c r="ENH293" s="34"/>
      <c r="ENI293" s="34"/>
      <c r="ENJ293" s="34"/>
      <c r="ENK293" s="34"/>
      <c r="ENL293" s="34"/>
      <c r="ENM293" s="34"/>
      <c r="ENN293" s="34"/>
      <c r="ENO293" s="34"/>
      <c r="ENP293" s="34"/>
      <c r="ENQ293" s="34"/>
      <c r="ENR293" s="34"/>
      <c r="ENS293" s="34"/>
      <c r="ENT293" s="34"/>
      <c r="ENU293" s="34"/>
      <c r="ENV293" s="34"/>
      <c r="ENW293" s="34"/>
      <c r="ENX293" s="34"/>
      <c r="ENY293" s="34"/>
      <c r="ENZ293" s="34"/>
      <c r="EOA293" s="34"/>
      <c r="EOB293" s="34"/>
      <c r="EOC293" s="34"/>
      <c r="EOD293" s="34"/>
      <c r="EOE293" s="34"/>
      <c r="EOF293" s="34"/>
      <c r="EOG293" s="34"/>
      <c r="EOH293" s="34"/>
      <c r="EOI293" s="34"/>
      <c r="EOJ293" s="34"/>
      <c r="EOK293" s="34"/>
      <c r="EOL293" s="34"/>
      <c r="EOM293" s="34"/>
      <c r="EON293" s="34"/>
      <c r="EOO293" s="34"/>
      <c r="EOP293" s="34"/>
      <c r="EOQ293" s="34"/>
      <c r="EOR293" s="34"/>
      <c r="EOS293" s="34"/>
      <c r="EOT293" s="34"/>
      <c r="EOU293" s="34"/>
      <c r="EOV293" s="34"/>
      <c r="EOW293" s="34"/>
      <c r="EOX293" s="34"/>
      <c r="EOY293" s="34"/>
      <c r="EOZ293" s="34"/>
      <c r="EPA293" s="34"/>
      <c r="EPB293" s="34"/>
      <c r="EPC293" s="34"/>
      <c r="EPD293" s="34"/>
      <c r="EPE293" s="34"/>
      <c r="EPF293" s="34"/>
      <c r="EPG293" s="34"/>
      <c r="EPH293" s="34"/>
      <c r="EPI293" s="34"/>
      <c r="EPJ293" s="34"/>
      <c r="EPK293" s="34"/>
      <c r="EPL293" s="34"/>
      <c r="EPM293" s="34"/>
      <c r="EPN293" s="34"/>
      <c r="EPO293" s="34"/>
      <c r="EPP293" s="34"/>
      <c r="EPQ293" s="34"/>
      <c r="EPR293" s="34"/>
      <c r="EPS293" s="34"/>
      <c r="EPT293" s="34"/>
      <c r="EPU293" s="34"/>
      <c r="EPV293" s="34"/>
      <c r="EPW293" s="34"/>
      <c r="EPX293" s="34"/>
      <c r="EPY293" s="34"/>
      <c r="EPZ293" s="34"/>
      <c r="EQA293" s="34"/>
      <c r="EQB293" s="34"/>
      <c r="EQC293" s="34"/>
      <c r="EQD293" s="34"/>
      <c r="EQE293" s="34"/>
      <c r="EQF293" s="34"/>
      <c r="EQG293" s="34"/>
      <c r="EQH293" s="34"/>
      <c r="EQI293" s="34"/>
      <c r="EQJ293" s="34"/>
      <c r="EQK293" s="34"/>
      <c r="EQL293" s="34"/>
      <c r="EQM293" s="34"/>
      <c r="EQN293" s="34"/>
      <c r="EQO293" s="34"/>
      <c r="EQP293" s="34"/>
      <c r="EQQ293" s="34"/>
      <c r="EQR293" s="34"/>
      <c r="EQS293" s="34"/>
      <c r="EQT293" s="34"/>
      <c r="EQU293" s="34"/>
      <c r="EQV293" s="34"/>
      <c r="EQW293" s="34"/>
      <c r="EQX293" s="34"/>
      <c r="EQY293" s="34"/>
      <c r="EQZ293" s="34"/>
      <c r="ERA293" s="34"/>
      <c r="ERB293" s="34"/>
      <c r="ERC293" s="34"/>
      <c r="ERD293" s="34"/>
      <c r="ERE293" s="34"/>
      <c r="ERF293" s="34"/>
      <c r="ERG293" s="34"/>
      <c r="ERH293" s="34"/>
      <c r="ERI293" s="34"/>
      <c r="ERJ293" s="34"/>
      <c r="ERK293" s="34"/>
      <c r="ERL293" s="34"/>
      <c r="ERM293" s="34"/>
      <c r="ERN293" s="34"/>
      <c r="ERO293" s="34"/>
      <c r="ERP293" s="34"/>
      <c r="ERQ293" s="34"/>
      <c r="ERR293" s="34"/>
      <c r="ERS293" s="34"/>
      <c r="ERT293" s="34"/>
      <c r="ERU293" s="34"/>
      <c r="ERV293" s="34"/>
      <c r="ERW293" s="34"/>
      <c r="ERX293" s="34"/>
      <c r="ERY293" s="34"/>
      <c r="ERZ293" s="34"/>
      <c r="ESA293" s="34"/>
      <c r="ESB293" s="34"/>
      <c r="ESC293" s="34"/>
      <c r="ESD293" s="34"/>
      <c r="ESE293" s="34"/>
      <c r="ESF293" s="34"/>
      <c r="ESG293" s="34"/>
      <c r="ESH293" s="34"/>
      <c r="ESI293" s="34"/>
      <c r="ESJ293" s="34"/>
      <c r="ESK293" s="34"/>
      <c r="ESL293" s="34"/>
      <c r="ESM293" s="34"/>
      <c r="ESN293" s="34"/>
      <c r="ESO293" s="34"/>
      <c r="ESP293" s="34"/>
      <c r="ESQ293" s="34"/>
      <c r="ESR293" s="34"/>
      <c r="ESS293" s="34"/>
      <c r="EST293" s="34"/>
      <c r="ESU293" s="34"/>
      <c r="ESV293" s="34"/>
      <c r="ESW293" s="34"/>
      <c r="ESX293" s="34"/>
      <c r="ESY293" s="34"/>
      <c r="ESZ293" s="34"/>
      <c r="ETA293" s="34"/>
      <c r="ETB293" s="34"/>
      <c r="ETC293" s="34"/>
      <c r="ETD293" s="34"/>
      <c r="ETE293" s="34"/>
      <c r="ETF293" s="34"/>
      <c r="ETG293" s="34"/>
      <c r="ETH293" s="34"/>
      <c r="ETI293" s="34"/>
      <c r="ETJ293" s="34"/>
      <c r="ETK293" s="34"/>
      <c r="ETL293" s="34"/>
      <c r="ETM293" s="34"/>
      <c r="ETN293" s="34"/>
      <c r="ETO293" s="34"/>
      <c r="ETP293" s="34"/>
      <c r="ETQ293" s="34"/>
      <c r="ETR293" s="34"/>
      <c r="ETS293" s="34"/>
      <c r="ETT293" s="34"/>
      <c r="ETU293" s="34"/>
      <c r="ETV293" s="34"/>
      <c r="ETW293" s="34"/>
      <c r="ETX293" s="34"/>
      <c r="ETY293" s="34"/>
      <c r="ETZ293" s="34"/>
      <c r="EUA293" s="34"/>
      <c r="EUB293" s="34"/>
      <c r="EUC293" s="34"/>
      <c r="EUD293" s="34"/>
      <c r="EUE293" s="34"/>
      <c r="EUF293" s="34"/>
      <c r="EUG293" s="34"/>
      <c r="EUH293" s="34"/>
      <c r="EUI293" s="34"/>
      <c r="EUJ293" s="34"/>
      <c r="EUK293" s="34"/>
      <c r="EUL293" s="34"/>
      <c r="EUM293" s="34"/>
      <c r="EUN293" s="34"/>
      <c r="EUO293" s="34"/>
      <c r="EUP293" s="34"/>
      <c r="EUQ293" s="34"/>
      <c r="EUR293" s="34"/>
      <c r="EUS293" s="34"/>
      <c r="EUT293" s="34"/>
      <c r="EUU293" s="34"/>
      <c r="EUV293" s="34"/>
      <c r="EUW293" s="34"/>
      <c r="EUX293" s="34"/>
      <c r="EUY293" s="34"/>
      <c r="EUZ293" s="34"/>
      <c r="EVA293" s="34"/>
      <c r="EVB293" s="34"/>
      <c r="EVC293" s="34"/>
      <c r="EVD293" s="34"/>
      <c r="EVE293" s="34"/>
      <c r="EVF293" s="34"/>
      <c r="EVG293" s="34"/>
      <c r="EVH293" s="34"/>
      <c r="EVI293" s="34"/>
      <c r="EVJ293" s="34"/>
      <c r="EVK293" s="34"/>
      <c r="EVL293" s="34"/>
      <c r="EVM293" s="34"/>
      <c r="EVN293" s="34"/>
      <c r="EVO293" s="34"/>
      <c r="EVP293" s="34"/>
      <c r="EVQ293" s="34"/>
      <c r="EVR293" s="34"/>
      <c r="EVS293" s="34"/>
      <c r="EVT293" s="34"/>
      <c r="EVU293" s="34"/>
      <c r="EVV293" s="34"/>
      <c r="EVW293" s="34"/>
      <c r="EVX293" s="34"/>
      <c r="EVY293" s="34"/>
      <c r="EVZ293" s="34"/>
      <c r="EWA293" s="34"/>
      <c r="EWB293" s="34"/>
      <c r="EWC293" s="34"/>
      <c r="EWD293" s="34"/>
      <c r="EWE293" s="34"/>
      <c r="EWF293" s="34"/>
      <c r="EWG293" s="34"/>
      <c r="EWH293" s="34"/>
      <c r="EWI293" s="34"/>
      <c r="EWJ293" s="34"/>
      <c r="EWK293" s="34"/>
      <c r="EWL293" s="34"/>
      <c r="EWM293" s="34"/>
      <c r="EWN293" s="34"/>
      <c r="EWO293" s="34"/>
      <c r="EWP293" s="34"/>
      <c r="EWQ293" s="34"/>
      <c r="EWR293" s="34"/>
      <c r="EWS293" s="34"/>
      <c r="EWT293" s="34"/>
      <c r="EWU293" s="34"/>
      <c r="EWV293" s="34"/>
      <c r="EWW293" s="34"/>
      <c r="EWX293" s="34"/>
      <c r="EWY293" s="34"/>
      <c r="EWZ293" s="34"/>
      <c r="EXA293" s="34"/>
      <c r="EXB293" s="34"/>
      <c r="EXC293" s="34"/>
      <c r="EXD293" s="34"/>
      <c r="EXE293" s="34"/>
      <c r="EXF293" s="34"/>
      <c r="EXG293" s="34"/>
      <c r="EXH293" s="34"/>
      <c r="EXI293" s="34"/>
      <c r="EXJ293" s="34"/>
      <c r="EXK293" s="34"/>
      <c r="EXL293" s="34"/>
      <c r="EXM293" s="34"/>
      <c r="EXN293" s="34"/>
      <c r="EXO293" s="34"/>
      <c r="EXP293" s="34"/>
      <c r="EXQ293" s="34"/>
      <c r="EXR293" s="34"/>
      <c r="EXS293" s="34"/>
      <c r="EXT293" s="34"/>
      <c r="EXU293" s="34"/>
      <c r="EXV293" s="34"/>
      <c r="EXW293" s="34"/>
      <c r="EXX293" s="34"/>
      <c r="EXY293" s="34"/>
      <c r="EXZ293" s="34"/>
      <c r="EYA293" s="34"/>
      <c r="EYB293" s="34"/>
      <c r="EYC293" s="34"/>
      <c r="EYD293" s="34"/>
      <c r="EYE293" s="34"/>
      <c r="EYF293" s="34"/>
      <c r="EYG293" s="34"/>
      <c r="EYH293" s="34"/>
      <c r="EYI293" s="34"/>
      <c r="EYJ293" s="34"/>
      <c r="EYK293" s="34"/>
      <c r="EYL293" s="34"/>
      <c r="EYM293" s="34"/>
      <c r="EYN293" s="34"/>
      <c r="EYO293" s="34"/>
      <c r="EYP293" s="34"/>
      <c r="EYQ293" s="34"/>
      <c r="EYR293" s="34"/>
      <c r="EYS293" s="34"/>
      <c r="EYT293" s="34"/>
      <c r="EYU293" s="34"/>
      <c r="EYV293" s="34"/>
      <c r="EYW293" s="34"/>
      <c r="EYX293" s="34"/>
      <c r="EYY293" s="34"/>
      <c r="EYZ293" s="34"/>
      <c r="EZA293" s="34"/>
      <c r="EZB293" s="34"/>
      <c r="EZC293" s="34"/>
      <c r="EZD293" s="34"/>
      <c r="EZE293" s="34"/>
      <c r="EZF293" s="34"/>
      <c r="EZG293" s="34"/>
      <c r="EZH293" s="34"/>
      <c r="EZI293" s="34"/>
      <c r="EZJ293" s="34"/>
      <c r="EZK293" s="34"/>
      <c r="EZL293" s="34"/>
      <c r="EZM293" s="34"/>
      <c r="EZN293" s="34"/>
      <c r="EZO293" s="34"/>
      <c r="EZP293" s="34"/>
      <c r="EZQ293" s="34"/>
      <c r="EZR293" s="34"/>
      <c r="EZS293" s="34"/>
      <c r="EZT293" s="34"/>
      <c r="EZU293" s="34"/>
      <c r="EZV293" s="34"/>
      <c r="EZW293" s="34"/>
      <c r="EZX293" s="34"/>
      <c r="EZY293" s="34"/>
      <c r="EZZ293" s="34"/>
      <c r="FAA293" s="34"/>
      <c r="FAB293" s="34"/>
      <c r="FAC293" s="34"/>
      <c r="FAD293" s="34"/>
      <c r="FAE293" s="34"/>
      <c r="FAF293" s="34"/>
      <c r="FAG293" s="34"/>
      <c r="FAH293" s="34"/>
      <c r="FAI293" s="34"/>
      <c r="FAJ293" s="34"/>
      <c r="FAK293" s="34"/>
      <c r="FAL293" s="34"/>
      <c r="FAM293" s="34"/>
      <c r="FAN293" s="34"/>
      <c r="FAO293" s="34"/>
      <c r="FAP293" s="34"/>
      <c r="FAQ293" s="34"/>
      <c r="FAR293" s="34"/>
      <c r="FAS293" s="34"/>
      <c r="FAT293" s="34"/>
      <c r="FAU293" s="34"/>
      <c r="FAV293" s="34"/>
      <c r="FAW293" s="34"/>
      <c r="FAX293" s="34"/>
      <c r="FAY293" s="34"/>
      <c r="FAZ293" s="34"/>
      <c r="FBA293" s="34"/>
      <c r="FBB293" s="34"/>
      <c r="FBC293" s="34"/>
      <c r="FBD293" s="34"/>
      <c r="FBE293" s="34"/>
      <c r="FBF293" s="34"/>
      <c r="FBG293" s="34"/>
      <c r="FBH293" s="34"/>
      <c r="FBI293" s="34"/>
      <c r="FBJ293" s="34"/>
      <c r="FBK293" s="34"/>
      <c r="FBL293" s="34"/>
      <c r="FBM293" s="34"/>
      <c r="FBN293" s="34"/>
      <c r="FBO293" s="34"/>
      <c r="FBP293" s="34"/>
      <c r="FBQ293" s="34"/>
      <c r="FBR293" s="34"/>
      <c r="FBS293" s="34"/>
      <c r="FBT293" s="34"/>
      <c r="FBU293" s="34"/>
      <c r="FBV293" s="34"/>
      <c r="FBW293" s="34"/>
      <c r="FBX293" s="34"/>
      <c r="FBY293" s="34"/>
      <c r="FBZ293" s="34"/>
      <c r="FCA293" s="34"/>
      <c r="FCB293" s="34"/>
      <c r="FCC293" s="34"/>
      <c r="FCD293" s="34"/>
      <c r="FCE293" s="34"/>
      <c r="FCF293" s="34"/>
      <c r="FCG293" s="34"/>
      <c r="FCH293" s="34"/>
      <c r="FCI293" s="34"/>
      <c r="FCJ293" s="34"/>
      <c r="FCK293" s="34"/>
      <c r="FCL293" s="34"/>
      <c r="FCM293" s="34"/>
      <c r="FCN293" s="34"/>
      <c r="FCO293" s="34"/>
      <c r="FCP293" s="34"/>
      <c r="FCQ293" s="34"/>
      <c r="FCR293" s="34"/>
      <c r="FCS293" s="34"/>
      <c r="FCT293" s="34"/>
      <c r="FCU293" s="34"/>
      <c r="FCV293" s="34"/>
      <c r="FCW293" s="34"/>
      <c r="FCX293" s="34"/>
      <c r="FCY293" s="34"/>
      <c r="FCZ293" s="34"/>
      <c r="FDA293" s="34"/>
      <c r="FDB293" s="34"/>
      <c r="FDC293" s="34"/>
      <c r="FDD293" s="34"/>
      <c r="FDE293" s="34"/>
      <c r="FDF293" s="34"/>
      <c r="FDG293" s="34"/>
      <c r="FDH293" s="34"/>
      <c r="FDI293" s="34"/>
      <c r="FDJ293" s="34"/>
      <c r="FDK293" s="34"/>
      <c r="FDL293" s="34"/>
      <c r="FDM293" s="34"/>
      <c r="FDN293" s="34"/>
      <c r="FDO293" s="34"/>
      <c r="FDP293" s="34"/>
      <c r="FDQ293" s="34"/>
      <c r="FDR293" s="34"/>
      <c r="FDS293" s="34"/>
      <c r="FDT293" s="34"/>
      <c r="FDU293" s="34"/>
      <c r="FDV293" s="34"/>
      <c r="FDW293" s="34"/>
      <c r="FDX293" s="34"/>
      <c r="FDY293" s="34"/>
      <c r="FDZ293" s="34"/>
      <c r="FEA293" s="34"/>
      <c r="FEB293" s="34"/>
      <c r="FEC293" s="34"/>
      <c r="FED293" s="34"/>
      <c r="FEE293" s="34"/>
      <c r="FEF293" s="34"/>
      <c r="FEG293" s="34"/>
      <c r="FEH293" s="34"/>
      <c r="FEI293" s="34"/>
      <c r="FEJ293" s="34"/>
      <c r="FEK293" s="34"/>
      <c r="FEL293" s="34"/>
      <c r="FEM293" s="34"/>
      <c r="FEN293" s="34"/>
      <c r="FEO293" s="34"/>
      <c r="FEP293" s="34"/>
      <c r="FEQ293" s="34"/>
      <c r="FER293" s="34"/>
      <c r="FES293" s="34"/>
      <c r="FET293" s="34"/>
      <c r="FEU293" s="34"/>
      <c r="FEV293" s="34"/>
      <c r="FEW293" s="34"/>
      <c r="FEX293" s="34"/>
      <c r="FEY293" s="34"/>
      <c r="FEZ293" s="34"/>
      <c r="FFA293" s="34"/>
      <c r="FFB293" s="34"/>
      <c r="FFC293" s="34"/>
      <c r="FFD293" s="34"/>
      <c r="FFE293" s="34"/>
      <c r="FFF293" s="34"/>
      <c r="FFG293" s="34"/>
      <c r="FFH293" s="34"/>
      <c r="FFI293" s="34"/>
      <c r="FFJ293" s="34"/>
      <c r="FFK293" s="34"/>
      <c r="FFL293" s="34"/>
      <c r="FFM293" s="34"/>
      <c r="FFN293" s="34"/>
      <c r="FFO293" s="34"/>
      <c r="FFP293" s="34"/>
      <c r="FFQ293" s="34"/>
      <c r="FFR293" s="34"/>
      <c r="FFS293" s="34"/>
      <c r="FFT293" s="34"/>
      <c r="FFU293" s="34"/>
      <c r="FFV293" s="34"/>
      <c r="FFW293" s="34"/>
      <c r="FFX293" s="34"/>
      <c r="FFY293" s="34"/>
      <c r="FFZ293" s="34"/>
      <c r="FGA293" s="34"/>
      <c r="FGB293" s="34"/>
      <c r="FGC293" s="34"/>
      <c r="FGD293" s="34"/>
      <c r="FGE293" s="34"/>
      <c r="FGF293" s="34"/>
      <c r="FGG293" s="34"/>
      <c r="FGH293" s="34"/>
      <c r="FGI293" s="34"/>
      <c r="FGJ293" s="34"/>
      <c r="FGK293" s="34"/>
      <c r="FGL293" s="34"/>
      <c r="FGM293" s="34"/>
      <c r="FGN293" s="34"/>
      <c r="FGO293" s="34"/>
      <c r="FGP293" s="34"/>
      <c r="FGQ293" s="34"/>
      <c r="FGR293" s="34"/>
      <c r="FGS293" s="34"/>
      <c r="FGT293" s="34"/>
      <c r="FGU293" s="34"/>
      <c r="FGV293" s="34"/>
      <c r="FGW293" s="34"/>
      <c r="FGX293" s="34"/>
      <c r="FGY293" s="34"/>
      <c r="FGZ293" s="34"/>
      <c r="FHA293" s="34"/>
      <c r="FHB293" s="34"/>
      <c r="FHC293" s="34"/>
      <c r="FHD293" s="34"/>
      <c r="FHE293" s="34"/>
      <c r="FHF293" s="34"/>
      <c r="FHG293" s="34"/>
      <c r="FHH293" s="34"/>
      <c r="FHI293" s="34"/>
      <c r="FHJ293" s="34"/>
      <c r="FHK293" s="34"/>
      <c r="FHL293" s="34"/>
      <c r="FHM293" s="34"/>
      <c r="FHN293" s="34"/>
      <c r="FHO293" s="34"/>
      <c r="FHP293" s="34"/>
      <c r="FHQ293" s="34"/>
      <c r="FHR293" s="34"/>
      <c r="FHS293" s="34"/>
      <c r="FHT293" s="34"/>
      <c r="FHU293" s="34"/>
      <c r="FHV293" s="34"/>
      <c r="FHW293" s="34"/>
      <c r="FHX293" s="34"/>
      <c r="FHY293" s="34"/>
      <c r="FHZ293" s="34"/>
      <c r="FIA293" s="34"/>
      <c r="FIB293" s="34"/>
      <c r="FIC293" s="34"/>
      <c r="FID293" s="34"/>
      <c r="FIE293" s="34"/>
      <c r="FIF293" s="34"/>
      <c r="FIG293" s="34"/>
      <c r="FIH293" s="34"/>
      <c r="FII293" s="34"/>
      <c r="FIJ293" s="34"/>
      <c r="FIK293" s="34"/>
      <c r="FIL293" s="34"/>
      <c r="FIM293" s="34"/>
      <c r="FIN293" s="34"/>
      <c r="FIO293" s="34"/>
      <c r="FIP293" s="34"/>
      <c r="FIQ293" s="34"/>
      <c r="FIR293" s="34"/>
      <c r="FIS293" s="34"/>
      <c r="FIT293" s="34"/>
      <c r="FIU293" s="34"/>
      <c r="FIV293" s="34"/>
      <c r="FIW293" s="34"/>
      <c r="FIX293" s="34"/>
      <c r="FIY293" s="34"/>
      <c r="FIZ293" s="34"/>
      <c r="FJA293" s="34"/>
      <c r="FJB293" s="34"/>
      <c r="FJC293" s="34"/>
      <c r="FJD293" s="34"/>
      <c r="FJE293" s="34"/>
      <c r="FJF293" s="34"/>
      <c r="FJG293" s="34"/>
      <c r="FJH293" s="34"/>
      <c r="FJI293" s="34"/>
      <c r="FJJ293" s="34"/>
      <c r="FJK293" s="34"/>
      <c r="FJL293" s="34"/>
      <c r="FJM293" s="34"/>
      <c r="FJN293" s="34"/>
      <c r="FJO293" s="34"/>
      <c r="FJP293" s="34"/>
      <c r="FJQ293" s="34"/>
      <c r="FJR293" s="34"/>
      <c r="FJS293" s="34"/>
      <c r="FJT293" s="34"/>
      <c r="FJU293" s="34"/>
      <c r="FJV293" s="34"/>
      <c r="FJW293" s="34"/>
      <c r="FJX293" s="34"/>
      <c r="FJY293" s="34"/>
      <c r="FJZ293" s="34"/>
      <c r="FKA293" s="34"/>
      <c r="FKB293" s="34"/>
      <c r="FKC293" s="34"/>
      <c r="FKD293" s="34"/>
      <c r="FKE293" s="34"/>
      <c r="FKF293" s="34"/>
      <c r="FKG293" s="34"/>
      <c r="FKH293" s="34"/>
      <c r="FKI293" s="34"/>
      <c r="FKJ293" s="34"/>
      <c r="FKK293" s="34"/>
      <c r="FKL293" s="34"/>
      <c r="FKM293" s="34"/>
      <c r="FKN293" s="34"/>
      <c r="FKO293" s="34"/>
      <c r="FKP293" s="34"/>
      <c r="FKQ293" s="34"/>
      <c r="FKR293" s="34"/>
      <c r="FKS293" s="34"/>
      <c r="FKT293" s="34"/>
      <c r="FKU293" s="34"/>
      <c r="FKV293" s="34"/>
      <c r="FKW293" s="34"/>
      <c r="FKX293" s="34"/>
      <c r="FKY293" s="34"/>
      <c r="FKZ293" s="34"/>
      <c r="FLA293" s="34"/>
      <c r="FLB293" s="34"/>
      <c r="FLC293" s="34"/>
      <c r="FLD293" s="34"/>
      <c r="FLE293" s="34"/>
      <c r="FLF293" s="34"/>
      <c r="FLG293" s="34"/>
      <c r="FLH293" s="34"/>
      <c r="FLI293" s="34"/>
      <c r="FLJ293" s="34"/>
      <c r="FLK293" s="34"/>
      <c r="FLL293" s="34"/>
      <c r="FLM293" s="34"/>
      <c r="FLN293" s="34"/>
      <c r="FLO293" s="34"/>
      <c r="FLP293" s="34"/>
      <c r="FLQ293" s="34"/>
      <c r="FLR293" s="34"/>
      <c r="FLS293" s="34"/>
      <c r="FLT293" s="34"/>
      <c r="FLU293" s="34"/>
      <c r="FLV293" s="34"/>
      <c r="FLW293" s="34"/>
      <c r="FLX293" s="34"/>
      <c r="FLY293" s="34"/>
      <c r="FLZ293" s="34"/>
      <c r="FMA293" s="34"/>
      <c r="FMB293" s="34"/>
      <c r="FMC293" s="34"/>
      <c r="FMD293" s="34"/>
      <c r="FME293" s="34"/>
      <c r="FMF293" s="34"/>
      <c r="FMG293" s="34"/>
      <c r="FMH293" s="34"/>
      <c r="FMI293" s="34"/>
      <c r="FMJ293" s="34"/>
      <c r="FMK293" s="34"/>
      <c r="FML293" s="34"/>
      <c r="FMM293" s="34"/>
      <c r="FMN293" s="34"/>
      <c r="FMO293" s="34"/>
      <c r="FMP293" s="34"/>
      <c r="FMQ293" s="34"/>
      <c r="FMR293" s="34"/>
      <c r="FMS293" s="34"/>
      <c r="FMT293" s="34"/>
      <c r="FMU293" s="34"/>
      <c r="FMV293" s="34"/>
      <c r="FMW293" s="34"/>
      <c r="FMX293" s="34"/>
      <c r="FMY293" s="34"/>
      <c r="FMZ293" s="34"/>
      <c r="FNA293" s="34"/>
      <c r="FNB293" s="34"/>
      <c r="FNC293" s="34"/>
      <c r="FND293" s="34"/>
      <c r="FNE293" s="34"/>
      <c r="FNF293" s="34"/>
      <c r="FNG293" s="34"/>
      <c r="FNH293" s="34"/>
      <c r="FNI293" s="34"/>
      <c r="FNJ293" s="34"/>
      <c r="FNK293" s="34"/>
      <c r="FNL293" s="34"/>
      <c r="FNM293" s="34"/>
      <c r="FNN293" s="34"/>
      <c r="FNO293" s="34"/>
      <c r="FNP293" s="34"/>
      <c r="FNQ293" s="34"/>
      <c r="FNR293" s="34"/>
      <c r="FNS293" s="34"/>
      <c r="FNT293" s="34"/>
      <c r="FNU293" s="34"/>
      <c r="FNV293" s="34"/>
      <c r="FNW293" s="34"/>
      <c r="FNX293" s="34"/>
      <c r="FNY293" s="34"/>
      <c r="FNZ293" s="34"/>
      <c r="FOA293" s="34"/>
      <c r="FOB293" s="34"/>
      <c r="FOC293" s="34"/>
      <c r="FOD293" s="34"/>
      <c r="FOE293" s="34"/>
      <c r="FOF293" s="34"/>
      <c r="FOG293" s="34"/>
      <c r="FOH293" s="34"/>
      <c r="FOI293" s="34"/>
      <c r="FOJ293" s="34"/>
      <c r="FOK293" s="34"/>
      <c r="FOL293" s="34"/>
      <c r="FOM293" s="34"/>
      <c r="FON293" s="34"/>
      <c r="FOO293" s="34"/>
      <c r="FOP293" s="34"/>
      <c r="FOQ293" s="34"/>
      <c r="FOR293" s="34"/>
      <c r="FOS293" s="34"/>
      <c r="FOT293" s="34"/>
      <c r="FOU293" s="34"/>
      <c r="FOV293" s="34"/>
      <c r="FOW293" s="34"/>
      <c r="FOX293" s="34"/>
      <c r="FOY293" s="34"/>
      <c r="FOZ293" s="34"/>
      <c r="FPA293" s="34"/>
      <c r="FPB293" s="34"/>
      <c r="FPC293" s="34"/>
      <c r="FPD293" s="34"/>
      <c r="FPE293" s="34"/>
      <c r="FPF293" s="34"/>
      <c r="FPG293" s="34"/>
      <c r="FPH293" s="34"/>
      <c r="FPI293" s="34"/>
      <c r="FPJ293" s="34"/>
      <c r="FPK293" s="34"/>
      <c r="FPL293" s="34"/>
      <c r="FPM293" s="34"/>
      <c r="FPN293" s="34"/>
      <c r="FPO293" s="34"/>
      <c r="FPP293" s="34"/>
      <c r="FPQ293" s="34"/>
      <c r="FPR293" s="34"/>
      <c r="FPS293" s="34"/>
      <c r="FPT293" s="34"/>
      <c r="FPU293" s="34"/>
      <c r="FPV293" s="34"/>
      <c r="FPW293" s="34"/>
      <c r="FPX293" s="34"/>
      <c r="FPY293" s="34"/>
      <c r="FPZ293" s="34"/>
      <c r="FQA293" s="34"/>
      <c r="FQB293" s="34"/>
      <c r="FQC293" s="34"/>
      <c r="FQD293" s="34"/>
      <c r="FQE293" s="34"/>
      <c r="FQF293" s="34"/>
      <c r="FQG293" s="34"/>
      <c r="FQH293" s="34"/>
      <c r="FQI293" s="34"/>
      <c r="FQJ293" s="34"/>
      <c r="FQK293" s="34"/>
      <c r="FQL293" s="34"/>
      <c r="FQM293" s="34"/>
      <c r="FQN293" s="34"/>
      <c r="FQO293" s="34"/>
      <c r="FQP293" s="34"/>
      <c r="FQQ293" s="34"/>
      <c r="FQR293" s="34"/>
      <c r="FQS293" s="34"/>
      <c r="FQT293" s="34"/>
      <c r="FQU293" s="34"/>
      <c r="FQV293" s="34"/>
      <c r="FQW293" s="34"/>
      <c r="FQX293" s="34"/>
      <c r="FQY293" s="34"/>
      <c r="FQZ293" s="34"/>
      <c r="FRA293" s="34"/>
      <c r="FRB293" s="34"/>
      <c r="FRC293" s="34"/>
      <c r="FRD293" s="34"/>
      <c r="FRE293" s="34"/>
      <c r="FRF293" s="34"/>
      <c r="FRG293" s="34"/>
      <c r="FRH293" s="34"/>
      <c r="FRI293" s="34"/>
      <c r="FRJ293" s="34"/>
      <c r="FRK293" s="34"/>
      <c r="FRL293" s="34"/>
      <c r="FRM293" s="34"/>
      <c r="FRN293" s="34"/>
      <c r="FRO293" s="34"/>
      <c r="FRP293" s="34"/>
      <c r="FRQ293" s="34"/>
      <c r="FRR293" s="34"/>
      <c r="FRS293" s="34"/>
      <c r="FRT293" s="34"/>
      <c r="FRU293" s="34"/>
      <c r="FRV293" s="34"/>
      <c r="FRW293" s="34"/>
      <c r="FRX293" s="34"/>
      <c r="FRY293" s="34"/>
      <c r="FRZ293" s="34"/>
      <c r="FSA293" s="34"/>
      <c r="FSB293" s="34"/>
      <c r="FSC293" s="34"/>
      <c r="FSD293" s="34"/>
      <c r="FSE293" s="34"/>
      <c r="FSF293" s="34"/>
      <c r="FSG293" s="34"/>
      <c r="FSH293" s="34"/>
      <c r="FSI293" s="34"/>
      <c r="FSJ293" s="34"/>
      <c r="FSK293" s="34"/>
      <c r="FSL293" s="34"/>
      <c r="FSM293" s="34"/>
      <c r="FSN293" s="34"/>
      <c r="FSO293" s="34"/>
      <c r="FSP293" s="34"/>
      <c r="FSQ293" s="34"/>
      <c r="FSR293" s="34"/>
      <c r="FSS293" s="34"/>
      <c r="FST293" s="34"/>
      <c r="FSU293" s="34"/>
      <c r="FSV293" s="34"/>
      <c r="FSW293" s="34"/>
      <c r="FSX293" s="34"/>
      <c r="FSY293" s="34"/>
      <c r="FSZ293" s="34"/>
      <c r="FTA293" s="34"/>
      <c r="FTB293" s="34"/>
      <c r="FTC293" s="34"/>
      <c r="FTD293" s="34"/>
      <c r="FTE293" s="34"/>
      <c r="FTF293" s="34"/>
      <c r="FTG293" s="34"/>
      <c r="FTH293" s="34"/>
      <c r="FTI293" s="34"/>
      <c r="FTJ293" s="34"/>
      <c r="FTK293" s="34"/>
      <c r="FTL293" s="34"/>
      <c r="FTM293" s="34"/>
      <c r="FTN293" s="34"/>
      <c r="FTO293" s="34"/>
      <c r="FTP293" s="34"/>
      <c r="FTQ293" s="34"/>
      <c r="FTR293" s="34"/>
      <c r="FTS293" s="34"/>
      <c r="FTT293" s="34"/>
      <c r="FTU293" s="34"/>
      <c r="FTV293" s="34"/>
      <c r="FTW293" s="34"/>
      <c r="FTX293" s="34"/>
      <c r="FTY293" s="34"/>
      <c r="FTZ293" s="34"/>
      <c r="FUA293" s="34"/>
      <c r="FUB293" s="34"/>
      <c r="FUC293" s="34"/>
      <c r="FUD293" s="34"/>
      <c r="FUE293" s="34"/>
      <c r="FUF293" s="34"/>
      <c r="FUG293" s="34"/>
      <c r="FUH293" s="34"/>
      <c r="FUI293" s="34"/>
      <c r="FUJ293" s="34"/>
      <c r="FUK293" s="34"/>
      <c r="FUL293" s="34"/>
      <c r="FUM293" s="34"/>
      <c r="FUN293" s="34"/>
      <c r="FUO293" s="34"/>
      <c r="FUP293" s="34"/>
      <c r="FUQ293" s="34"/>
      <c r="FUR293" s="34"/>
      <c r="FUS293" s="34"/>
      <c r="FUT293" s="34"/>
      <c r="FUU293" s="34"/>
      <c r="FUV293" s="34"/>
      <c r="FUW293" s="34"/>
      <c r="FUX293" s="34"/>
      <c r="FUY293" s="34"/>
      <c r="FUZ293" s="34"/>
      <c r="FVA293" s="34"/>
      <c r="FVB293" s="34"/>
      <c r="FVC293" s="34"/>
      <c r="FVD293" s="34"/>
      <c r="FVE293" s="34"/>
      <c r="FVF293" s="34"/>
      <c r="FVG293" s="34"/>
      <c r="FVH293" s="34"/>
      <c r="FVI293" s="34"/>
      <c r="FVJ293" s="34"/>
      <c r="FVK293" s="34"/>
      <c r="FVL293" s="34"/>
      <c r="FVM293" s="34"/>
      <c r="FVN293" s="34"/>
      <c r="FVO293" s="34"/>
      <c r="FVP293" s="34"/>
      <c r="FVQ293" s="34"/>
      <c r="FVR293" s="34"/>
      <c r="FVS293" s="34"/>
      <c r="FVT293" s="34"/>
      <c r="FVU293" s="34"/>
      <c r="FVV293" s="34"/>
      <c r="FVW293" s="34"/>
      <c r="FVX293" s="34"/>
      <c r="FVY293" s="34"/>
      <c r="FVZ293" s="34"/>
      <c r="FWA293" s="34"/>
      <c r="FWB293" s="34"/>
      <c r="FWC293" s="34"/>
      <c r="FWD293" s="34"/>
      <c r="FWE293" s="34"/>
      <c r="FWF293" s="34"/>
      <c r="FWG293" s="34"/>
      <c r="FWH293" s="34"/>
      <c r="FWI293" s="34"/>
      <c r="FWJ293" s="34"/>
      <c r="FWK293" s="34"/>
      <c r="FWL293" s="34"/>
      <c r="FWM293" s="34"/>
      <c r="FWN293" s="34"/>
      <c r="FWO293" s="34"/>
      <c r="FWP293" s="34"/>
      <c r="FWQ293" s="34"/>
      <c r="FWR293" s="34"/>
      <c r="FWS293" s="34"/>
      <c r="FWT293" s="34"/>
      <c r="FWU293" s="34"/>
      <c r="FWV293" s="34"/>
      <c r="FWW293" s="34"/>
      <c r="FWX293" s="34"/>
      <c r="FWY293" s="34"/>
      <c r="FWZ293" s="34"/>
      <c r="FXA293" s="34"/>
      <c r="FXB293" s="34"/>
      <c r="FXC293" s="34"/>
      <c r="FXD293" s="34"/>
      <c r="FXE293" s="34"/>
      <c r="FXF293" s="34"/>
      <c r="FXG293" s="34"/>
      <c r="FXH293" s="34"/>
      <c r="FXI293" s="34"/>
      <c r="FXJ293" s="34"/>
      <c r="FXK293" s="34"/>
      <c r="FXL293" s="34"/>
      <c r="FXM293" s="34"/>
      <c r="FXN293" s="34"/>
      <c r="FXO293" s="34"/>
      <c r="FXP293" s="34"/>
      <c r="FXQ293" s="34"/>
      <c r="FXR293" s="34"/>
      <c r="FXS293" s="34"/>
      <c r="FXT293" s="34"/>
      <c r="FXU293" s="34"/>
      <c r="FXV293" s="34"/>
      <c r="FXW293" s="34"/>
      <c r="FXX293" s="34"/>
      <c r="FXY293" s="34"/>
      <c r="FXZ293" s="34"/>
      <c r="FYA293" s="34"/>
      <c r="FYB293" s="34"/>
      <c r="FYC293" s="34"/>
      <c r="FYD293" s="34"/>
      <c r="FYE293" s="34"/>
      <c r="FYF293" s="34"/>
      <c r="FYG293" s="34"/>
      <c r="FYH293" s="34"/>
      <c r="FYI293" s="34"/>
      <c r="FYJ293" s="34"/>
      <c r="FYK293" s="34"/>
      <c r="FYL293" s="34"/>
      <c r="FYM293" s="34"/>
      <c r="FYN293" s="34"/>
      <c r="FYO293" s="34"/>
      <c r="FYP293" s="34"/>
      <c r="FYQ293" s="34"/>
      <c r="FYR293" s="34"/>
      <c r="FYS293" s="34"/>
      <c r="FYT293" s="34"/>
      <c r="FYU293" s="34"/>
      <c r="FYV293" s="34"/>
      <c r="FYW293" s="34"/>
      <c r="FYX293" s="34"/>
      <c r="FYY293" s="34"/>
      <c r="FYZ293" s="34"/>
      <c r="FZA293" s="34"/>
      <c r="FZB293" s="34"/>
      <c r="FZC293" s="34"/>
      <c r="FZD293" s="34"/>
      <c r="FZE293" s="34"/>
      <c r="FZF293" s="34"/>
      <c r="FZG293" s="34"/>
      <c r="FZH293" s="34"/>
      <c r="FZI293" s="34"/>
      <c r="FZJ293" s="34"/>
      <c r="FZK293" s="34"/>
      <c r="FZL293" s="34"/>
      <c r="FZM293" s="34"/>
      <c r="FZN293" s="34"/>
      <c r="FZO293" s="34"/>
      <c r="FZP293" s="34"/>
      <c r="FZQ293" s="34"/>
      <c r="FZR293" s="34"/>
      <c r="FZS293" s="34"/>
      <c r="FZT293" s="34"/>
      <c r="FZU293" s="34"/>
      <c r="FZV293" s="34"/>
      <c r="FZW293" s="34"/>
      <c r="FZX293" s="34"/>
      <c r="FZY293" s="34"/>
      <c r="FZZ293" s="34"/>
      <c r="GAA293" s="34"/>
      <c r="GAB293" s="34"/>
      <c r="GAC293" s="34"/>
      <c r="GAD293" s="34"/>
      <c r="GAE293" s="34"/>
      <c r="GAF293" s="34"/>
      <c r="GAG293" s="34"/>
      <c r="GAH293" s="34"/>
      <c r="GAI293" s="34"/>
      <c r="GAJ293" s="34"/>
      <c r="GAK293" s="34"/>
      <c r="GAL293" s="34"/>
      <c r="GAM293" s="34"/>
      <c r="GAN293" s="34"/>
      <c r="GAO293" s="34"/>
      <c r="GAP293" s="34"/>
      <c r="GAQ293" s="34"/>
      <c r="GAR293" s="34"/>
      <c r="GAS293" s="34"/>
      <c r="GAT293" s="34"/>
      <c r="GAU293" s="34"/>
      <c r="GAV293" s="34"/>
      <c r="GAW293" s="34"/>
      <c r="GAX293" s="34"/>
      <c r="GAY293" s="34"/>
      <c r="GAZ293" s="34"/>
      <c r="GBA293" s="34"/>
      <c r="GBB293" s="34"/>
      <c r="GBC293" s="34"/>
      <c r="GBD293" s="34"/>
      <c r="GBE293" s="34"/>
      <c r="GBF293" s="34"/>
      <c r="GBG293" s="34"/>
      <c r="GBH293" s="34"/>
      <c r="GBI293" s="34"/>
      <c r="GBJ293" s="34"/>
      <c r="GBK293" s="34"/>
      <c r="GBL293" s="34"/>
      <c r="GBM293" s="34"/>
      <c r="GBN293" s="34"/>
      <c r="GBO293" s="34"/>
      <c r="GBP293" s="34"/>
      <c r="GBQ293" s="34"/>
      <c r="GBR293" s="34"/>
      <c r="GBS293" s="34"/>
      <c r="GBT293" s="34"/>
      <c r="GBU293" s="34"/>
      <c r="GBV293" s="34"/>
      <c r="GBW293" s="34"/>
      <c r="GBX293" s="34"/>
      <c r="GBY293" s="34"/>
      <c r="GBZ293" s="34"/>
      <c r="GCA293" s="34"/>
      <c r="GCB293" s="34"/>
      <c r="GCC293" s="34"/>
      <c r="GCD293" s="34"/>
      <c r="GCE293" s="34"/>
      <c r="GCF293" s="34"/>
      <c r="GCG293" s="34"/>
      <c r="GCH293" s="34"/>
      <c r="GCI293" s="34"/>
      <c r="GCJ293" s="34"/>
      <c r="GCK293" s="34"/>
      <c r="GCL293" s="34"/>
      <c r="GCM293" s="34"/>
      <c r="GCN293" s="34"/>
      <c r="GCO293" s="34"/>
      <c r="GCP293" s="34"/>
      <c r="GCQ293" s="34"/>
      <c r="GCR293" s="34"/>
      <c r="GCS293" s="34"/>
      <c r="GCT293" s="34"/>
      <c r="GCU293" s="34"/>
      <c r="GCV293" s="34"/>
      <c r="GCW293" s="34"/>
      <c r="GCX293" s="34"/>
      <c r="GCY293" s="34"/>
      <c r="GCZ293" s="34"/>
      <c r="GDA293" s="34"/>
      <c r="GDB293" s="34"/>
      <c r="GDC293" s="34"/>
      <c r="GDD293" s="34"/>
      <c r="GDE293" s="34"/>
      <c r="GDF293" s="34"/>
      <c r="GDG293" s="34"/>
      <c r="GDH293" s="34"/>
      <c r="GDI293" s="34"/>
      <c r="GDJ293" s="34"/>
      <c r="GDK293" s="34"/>
      <c r="GDL293" s="34"/>
      <c r="GDM293" s="34"/>
      <c r="GDN293" s="34"/>
      <c r="GDO293" s="34"/>
      <c r="GDP293" s="34"/>
      <c r="GDQ293" s="34"/>
      <c r="GDR293" s="34"/>
      <c r="GDS293" s="34"/>
      <c r="GDT293" s="34"/>
      <c r="GDU293" s="34"/>
      <c r="GDV293" s="34"/>
      <c r="GDW293" s="34"/>
      <c r="GDX293" s="34"/>
      <c r="GDY293" s="34"/>
      <c r="GDZ293" s="34"/>
      <c r="GEA293" s="34"/>
      <c r="GEB293" s="34"/>
      <c r="GEC293" s="34"/>
      <c r="GED293" s="34"/>
      <c r="GEE293" s="34"/>
      <c r="GEF293" s="34"/>
      <c r="GEG293" s="34"/>
      <c r="GEH293" s="34"/>
      <c r="GEI293" s="34"/>
      <c r="GEJ293" s="34"/>
      <c r="GEK293" s="34"/>
      <c r="GEL293" s="34"/>
      <c r="GEM293" s="34"/>
      <c r="GEN293" s="34"/>
      <c r="GEO293" s="34"/>
      <c r="GEP293" s="34"/>
      <c r="GEQ293" s="34"/>
      <c r="GER293" s="34"/>
      <c r="GES293" s="34"/>
      <c r="GET293" s="34"/>
      <c r="GEU293" s="34"/>
      <c r="GEV293" s="34"/>
      <c r="GEW293" s="34"/>
      <c r="GEX293" s="34"/>
      <c r="GEY293" s="34"/>
      <c r="GEZ293" s="34"/>
      <c r="GFA293" s="34"/>
      <c r="GFB293" s="34"/>
      <c r="GFC293" s="34"/>
      <c r="GFD293" s="34"/>
      <c r="GFE293" s="34"/>
      <c r="GFF293" s="34"/>
      <c r="GFG293" s="34"/>
      <c r="GFH293" s="34"/>
      <c r="GFI293" s="34"/>
      <c r="GFJ293" s="34"/>
      <c r="GFK293" s="34"/>
      <c r="GFL293" s="34"/>
      <c r="GFM293" s="34"/>
      <c r="GFN293" s="34"/>
      <c r="GFO293" s="34"/>
      <c r="GFP293" s="34"/>
      <c r="GFQ293" s="34"/>
      <c r="GFR293" s="34"/>
      <c r="GFS293" s="34"/>
      <c r="GFT293" s="34"/>
      <c r="GFU293" s="34"/>
      <c r="GFV293" s="34"/>
      <c r="GFW293" s="34"/>
      <c r="GFX293" s="34"/>
      <c r="GFY293" s="34"/>
      <c r="GFZ293" s="34"/>
      <c r="GGA293" s="34"/>
      <c r="GGB293" s="34"/>
      <c r="GGC293" s="34"/>
      <c r="GGD293" s="34"/>
      <c r="GGE293" s="34"/>
      <c r="GGF293" s="34"/>
      <c r="GGG293" s="34"/>
      <c r="GGH293" s="34"/>
      <c r="GGI293" s="34"/>
      <c r="GGJ293" s="34"/>
      <c r="GGK293" s="34"/>
      <c r="GGL293" s="34"/>
      <c r="GGM293" s="34"/>
      <c r="GGN293" s="34"/>
      <c r="GGO293" s="34"/>
      <c r="GGP293" s="34"/>
      <c r="GGQ293" s="34"/>
      <c r="GGR293" s="34"/>
      <c r="GGS293" s="34"/>
      <c r="GGT293" s="34"/>
      <c r="GGU293" s="34"/>
      <c r="GGV293" s="34"/>
      <c r="GGW293" s="34"/>
      <c r="GGX293" s="34"/>
      <c r="GGY293" s="34"/>
      <c r="GGZ293" s="34"/>
      <c r="GHA293" s="34"/>
      <c r="GHB293" s="34"/>
      <c r="GHC293" s="34"/>
      <c r="GHD293" s="34"/>
      <c r="GHE293" s="34"/>
      <c r="GHF293" s="34"/>
      <c r="GHG293" s="34"/>
      <c r="GHH293" s="34"/>
      <c r="GHI293" s="34"/>
      <c r="GHJ293" s="34"/>
      <c r="GHK293" s="34"/>
      <c r="GHL293" s="34"/>
      <c r="GHM293" s="34"/>
      <c r="GHN293" s="34"/>
      <c r="GHO293" s="34"/>
      <c r="GHP293" s="34"/>
      <c r="GHQ293" s="34"/>
      <c r="GHR293" s="34"/>
      <c r="GHS293" s="34"/>
      <c r="GHT293" s="34"/>
      <c r="GHU293" s="34"/>
      <c r="GHV293" s="34"/>
      <c r="GHW293" s="34"/>
      <c r="GHX293" s="34"/>
      <c r="GHY293" s="34"/>
      <c r="GHZ293" s="34"/>
      <c r="GIA293" s="34"/>
      <c r="GIB293" s="34"/>
      <c r="GIC293" s="34"/>
      <c r="GID293" s="34"/>
      <c r="GIE293" s="34"/>
      <c r="GIF293" s="34"/>
      <c r="GIG293" s="34"/>
      <c r="GIH293" s="34"/>
      <c r="GII293" s="34"/>
      <c r="GIJ293" s="34"/>
      <c r="GIK293" s="34"/>
      <c r="GIL293" s="34"/>
      <c r="GIM293" s="34"/>
      <c r="GIN293" s="34"/>
      <c r="GIO293" s="34"/>
      <c r="GIP293" s="34"/>
      <c r="GIQ293" s="34"/>
      <c r="GIR293" s="34"/>
      <c r="GIS293" s="34"/>
      <c r="GIT293" s="34"/>
      <c r="GIU293" s="34"/>
      <c r="GIV293" s="34"/>
      <c r="GIW293" s="34"/>
      <c r="GIX293" s="34"/>
      <c r="GIY293" s="34"/>
      <c r="GIZ293" s="34"/>
      <c r="GJA293" s="34"/>
      <c r="GJB293" s="34"/>
      <c r="GJC293" s="34"/>
      <c r="GJD293" s="34"/>
      <c r="GJE293" s="34"/>
      <c r="GJF293" s="34"/>
      <c r="GJG293" s="34"/>
      <c r="GJH293" s="34"/>
      <c r="GJI293" s="34"/>
      <c r="GJJ293" s="34"/>
      <c r="GJK293" s="34"/>
      <c r="GJL293" s="34"/>
      <c r="GJM293" s="34"/>
      <c r="GJN293" s="34"/>
      <c r="GJO293" s="34"/>
      <c r="GJP293" s="34"/>
      <c r="GJQ293" s="34"/>
      <c r="GJR293" s="34"/>
      <c r="GJS293" s="34"/>
      <c r="GJT293" s="34"/>
      <c r="GJU293" s="34"/>
      <c r="GJV293" s="34"/>
      <c r="GJW293" s="34"/>
      <c r="GJX293" s="34"/>
      <c r="GJY293" s="34"/>
      <c r="GJZ293" s="34"/>
      <c r="GKA293" s="34"/>
      <c r="GKB293" s="34"/>
      <c r="GKC293" s="34"/>
      <c r="GKD293" s="34"/>
      <c r="GKE293" s="34"/>
      <c r="GKF293" s="34"/>
      <c r="GKG293" s="34"/>
      <c r="GKH293" s="34"/>
      <c r="GKI293" s="34"/>
      <c r="GKJ293" s="34"/>
      <c r="GKK293" s="34"/>
      <c r="GKL293" s="34"/>
      <c r="GKM293" s="34"/>
      <c r="GKN293" s="34"/>
      <c r="GKO293" s="34"/>
      <c r="GKP293" s="34"/>
      <c r="GKQ293" s="34"/>
      <c r="GKR293" s="34"/>
      <c r="GKS293" s="34"/>
      <c r="GKT293" s="34"/>
      <c r="GKU293" s="34"/>
      <c r="GKV293" s="34"/>
      <c r="GKW293" s="34"/>
      <c r="GKX293" s="34"/>
      <c r="GKY293" s="34"/>
      <c r="GKZ293" s="34"/>
      <c r="GLA293" s="34"/>
      <c r="GLB293" s="34"/>
      <c r="GLC293" s="34"/>
      <c r="GLD293" s="34"/>
      <c r="GLE293" s="34"/>
      <c r="GLF293" s="34"/>
      <c r="GLG293" s="34"/>
      <c r="GLH293" s="34"/>
      <c r="GLI293" s="34"/>
      <c r="GLJ293" s="34"/>
      <c r="GLK293" s="34"/>
      <c r="GLL293" s="34"/>
      <c r="GLM293" s="34"/>
      <c r="GLN293" s="34"/>
      <c r="GLO293" s="34"/>
      <c r="GLP293" s="34"/>
      <c r="GLQ293" s="34"/>
      <c r="GLR293" s="34"/>
      <c r="GLS293" s="34"/>
      <c r="GLT293" s="34"/>
      <c r="GLU293" s="34"/>
      <c r="GLV293" s="34"/>
      <c r="GLW293" s="34"/>
      <c r="GLX293" s="34"/>
      <c r="GLY293" s="34"/>
      <c r="GLZ293" s="34"/>
      <c r="GMA293" s="34"/>
      <c r="GMB293" s="34"/>
      <c r="GMC293" s="34"/>
      <c r="GMD293" s="34"/>
      <c r="GME293" s="34"/>
      <c r="GMF293" s="34"/>
      <c r="GMG293" s="34"/>
      <c r="GMH293" s="34"/>
      <c r="GMI293" s="34"/>
      <c r="GMJ293" s="34"/>
      <c r="GMK293" s="34"/>
      <c r="GML293" s="34"/>
      <c r="GMM293" s="34"/>
      <c r="GMN293" s="34"/>
      <c r="GMO293" s="34"/>
      <c r="GMP293" s="34"/>
      <c r="GMQ293" s="34"/>
      <c r="GMR293" s="34"/>
      <c r="GMS293" s="34"/>
      <c r="GMT293" s="34"/>
      <c r="GMU293" s="34"/>
      <c r="GMV293" s="34"/>
      <c r="GMW293" s="34"/>
      <c r="GMX293" s="34"/>
      <c r="GMY293" s="34"/>
      <c r="GMZ293" s="34"/>
      <c r="GNA293" s="34"/>
      <c r="GNB293" s="34"/>
      <c r="GNC293" s="34"/>
      <c r="GND293" s="34"/>
      <c r="GNE293" s="34"/>
      <c r="GNF293" s="34"/>
      <c r="GNG293" s="34"/>
      <c r="GNH293" s="34"/>
      <c r="GNI293" s="34"/>
      <c r="GNJ293" s="34"/>
      <c r="GNK293" s="34"/>
      <c r="GNL293" s="34"/>
      <c r="GNM293" s="34"/>
      <c r="GNN293" s="34"/>
      <c r="GNO293" s="34"/>
      <c r="GNP293" s="34"/>
      <c r="GNQ293" s="34"/>
      <c r="GNR293" s="34"/>
      <c r="GNS293" s="34"/>
      <c r="GNT293" s="34"/>
      <c r="GNU293" s="34"/>
      <c r="GNV293" s="34"/>
      <c r="GNW293" s="34"/>
      <c r="GNX293" s="34"/>
      <c r="GNY293" s="34"/>
      <c r="GNZ293" s="34"/>
      <c r="GOA293" s="34"/>
      <c r="GOB293" s="34"/>
      <c r="GOC293" s="34"/>
      <c r="GOD293" s="34"/>
      <c r="GOE293" s="34"/>
      <c r="GOF293" s="34"/>
      <c r="GOG293" s="34"/>
      <c r="GOH293" s="34"/>
      <c r="GOI293" s="34"/>
      <c r="GOJ293" s="34"/>
      <c r="GOK293" s="34"/>
      <c r="GOL293" s="34"/>
      <c r="GOM293" s="34"/>
      <c r="GON293" s="34"/>
      <c r="GOO293" s="34"/>
      <c r="GOP293" s="34"/>
      <c r="GOQ293" s="34"/>
      <c r="GOR293" s="34"/>
      <c r="GOS293" s="34"/>
      <c r="GOT293" s="34"/>
      <c r="GOU293" s="34"/>
      <c r="GOV293" s="34"/>
      <c r="GOW293" s="34"/>
      <c r="GOX293" s="34"/>
      <c r="GOY293" s="34"/>
      <c r="GOZ293" s="34"/>
      <c r="GPA293" s="34"/>
      <c r="GPB293" s="34"/>
      <c r="GPC293" s="34"/>
      <c r="GPD293" s="34"/>
      <c r="GPE293" s="34"/>
      <c r="GPF293" s="34"/>
      <c r="GPG293" s="34"/>
      <c r="GPH293" s="34"/>
      <c r="GPI293" s="34"/>
      <c r="GPJ293" s="34"/>
      <c r="GPK293" s="34"/>
      <c r="GPL293" s="34"/>
      <c r="GPM293" s="34"/>
      <c r="GPN293" s="34"/>
      <c r="GPO293" s="34"/>
      <c r="GPP293" s="34"/>
      <c r="GPQ293" s="34"/>
      <c r="GPR293" s="34"/>
      <c r="GPS293" s="34"/>
      <c r="GPT293" s="34"/>
      <c r="GPU293" s="34"/>
      <c r="GPV293" s="34"/>
      <c r="GPW293" s="34"/>
      <c r="GPX293" s="34"/>
      <c r="GPY293" s="34"/>
      <c r="GPZ293" s="34"/>
      <c r="GQA293" s="34"/>
      <c r="GQB293" s="34"/>
      <c r="GQC293" s="34"/>
      <c r="GQD293" s="34"/>
      <c r="GQE293" s="34"/>
      <c r="GQF293" s="34"/>
      <c r="GQG293" s="34"/>
      <c r="GQH293" s="34"/>
      <c r="GQI293" s="34"/>
      <c r="GQJ293" s="34"/>
      <c r="GQK293" s="34"/>
      <c r="GQL293" s="34"/>
      <c r="GQM293" s="34"/>
      <c r="GQN293" s="34"/>
      <c r="GQO293" s="34"/>
      <c r="GQP293" s="34"/>
      <c r="GQQ293" s="34"/>
      <c r="GQR293" s="34"/>
      <c r="GQS293" s="34"/>
      <c r="GQT293" s="34"/>
      <c r="GQU293" s="34"/>
      <c r="GQV293" s="34"/>
      <c r="GQW293" s="34"/>
      <c r="GQX293" s="34"/>
      <c r="GQY293" s="34"/>
      <c r="GQZ293" s="34"/>
      <c r="GRA293" s="34"/>
      <c r="GRB293" s="34"/>
      <c r="GRC293" s="34"/>
      <c r="GRD293" s="34"/>
      <c r="GRE293" s="34"/>
      <c r="GRF293" s="34"/>
      <c r="GRG293" s="34"/>
      <c r="GRH293" s="34"/>
      <c r="GRI293" s="34"/>
      <c r="GRJ293" s="34"/>
      <c r="GRK293" s="34"/>
      <c r="GRL293" s="34"/>
      <c r="GRM293" s="34"/>
      <c r="GRN293" s="34"/>
      <c r="GRO293" s="34"/>
      <c r="GRP293" s="34"/>
      <c r="GRQ293" s="34"/>
      <c r="GRR293" s="34"/>
      <c r="GRS293" s="34"/>
      <c r="GRT293" s="34"/>
      <c r="GRU293" s="34"/>
      <c r="GRV293" s="34"/>
      <c r="GRW293" s="34"/>
      <c r="GRX293" s="34"/>
      <c r="GRY293" s="34"/>
      <c r="GRZ293" s="34"/>
      <c r="GSA293" s="34"/>
      <c r="GSB293" s="34"/>
      <c r="GSC293" s="34"/>
      <c r="GSD293" s="34"/>
      <c r="GSE293" s="34"/>
      <c r="GSF293" s="34"/>
      <c r="GSG293" s="34"/>
      <c r="GSH293" s="34"/>
      <c r="GSI293" s="34"/>
      <c r="GSJ293" s="34"/>
      <c r="GSK293" s="34"/>
      <c r="GSL293" s="34"/>
      <c r="GSM293" s="34"/>
      <c r="GSN293" s="34"/>
      <c r="GSO293" s="34"/>
      <c r="GSP293" s="34"/>
      <c r="GSQ293" s="34"/>
      <c r="GSR293" s="34"/>
      <c r="GSS293" s="34"/>
      <c r="GST293" s="34"/>
      <c r="GSU293" s="34"/>
      <c r="GSV293" s="34"/>
      <c r="GSW293" s="34"/>
      <c r="GSX293" s="34"/>
      <c r="GSY293" s="34"/>
      <c r="GSZ293" s="34"/>
      <c r="GTA293" s="34"/>
      <c r="GTB293" s="34"/>
      <c r="GTC293" s="34"/>
      <c r="GTD293" s="34"/>
      <c r="GTE293" s="34"/>
      <c r="GTF293" s="34"/>
      <c r="GTG293" s="34"/>
      <c r="GTH293" s="34"/>
      <c r="GTI293" s="34"/>
      <c r="GTJ293" s="34"/>
      <c r="GTK293" s="34"/>
      <c r="GTL293" s="34"/>
      <c r="GTM293" s="34"/>
      <c r="GTN293" s="34"/>
      <c r="GTO293" s="34"/>
      <c r="GTP293" s="34"/>
      <c r="GTQ293" s="34"/>
      <c r="GTR293" s="34"/>
      <c r="GTS293" s="34"/>
      <c r="GTT293" s="34"/>
      <c r="GTU293" s="34"/>
      <c r="GTV293" s="34"/>
      <c r="GTW293" s="34"/>
      <c r="GTX293" s="34"/>
      <c r="GTY293" s="34"/>
      <c r="GTZ293" s="34"/>
      <c r="GUA293" s="34"/>
      <c r="GUB293" s="34"/>
      <c r="GUC293" s="34"/>
      <c r="GUD293" s="34"/>
      <c r="GUE293" s="34"/>
      <c r="GUF293" s="34"/>
      <c r="GUG293" s="34"/>
      <c r="GUH293" s="34"/>
      <c r="GUI293" s="34"/>
      <c r="GUJ293" s="34"/>
      <c r="GUK293" s="34"/>
      <c r="GUL293" s="34"/>
      <c r="GUM293" s="34"/>
      <c r="GUN293" s="34"/>
      <c r="GUO293" s="34"/>
      <c r="GUP293" s="34"/>
      <c r="GUQ293" s="34"/>
      <c r="GUR293" s="34"/>
      <c r="GUS293" s="34"/>
      <c r="GUT293" s="34"/>
      <c r="GUU293" s="34"/>
      <c r="GUV293" s="34"/>
      <c r="GUW293" s="34"/>
      <c r="GUX293" s="34"/>
      <c r="GUY293" s="34"/>
      <c r="GUZ293" s="34"/>
      <c r="GVA293" s="34"/>
      <c r="GVB293" s="34"/>
      <c r="GVC293" s="34"/>
      <c r="GVD293" s="34"/>
      <c r="GVE293" s="34"/>
      <c r="GVF293" s="34"/>
      <c r="GVG293" s="34"/>
      <c r="GVH293" s="34"/>
      <c r="GVI293" s="34"/>
      <c r="GVJ293" s="34"/>
      <c r="GVK293" s="34"/>
      <c r="GVL293" s="34"/>
      <c r="GVM293" s="34"/>
      <c r="GVN293" s="34"/>
      <c r="GVO293" s="34"/>
      <c r="GVP293" s="34"/>
      <c r="GVQ293" s="34"/>
      <c r="GVR293" s="34"/>
      <c r="GVS293" s="34"/>
      <c r="GVT293" s="34"/>
      <c r="GVU293" s="34"/>
      <c r="GVV293" s="34"/>
      <c r="GVW293" s="34"/>
      <c r="GVX293" s="34"/>
      <c r="GVY293" s="34"/>
      <c r="GVZ293" s="34"/>
      <c r="GWA293" s="34"/>
      <c r="GWB293" s="34"/>
      <c r="GWC293" s="34"/>
      <c r="GWD293" s="34"/>
      <c r="GWE293" s="34"/>
      <c r="GWF293" s="34"/>
      <c r="GWG293" s="34"/>
      <c r="GWH293" s="34"/>
      <c r="GWI293" s="34"/>
      <c r="GWJ293" s="34"/>
      <c r="GWK293" s="34"/>
      <c r="GWL293" s="34"/>
      <c r="GWM293" s="34"/>
      <c r="GWN293" s="34"/>
      <c r="GWO293" s="34"/>
      <c r="GWP293" s="34"/>
      <c r="GWQ293" s="34"/>
      <c r="GWR293" s="34"/>
      <c r="GWS293" s="34"/>
      <c r="GWT293" s="34"/>
      <c r="GWU293" s="34"/>
      <c r="GWV293" s="34"/>
      <c r="GWW293" s="34"/>
      <c r="GWX293" s="34"/>
      <c r="GWY293" s="34"/>
      <c r="GWZ293" s="34"/>
      <c r="GXA293" s="34"/>
      <c r="GXB293" s="34"/>
      <c r="GXC293" s="34"/>
      <c r="GXD293" s="34"/>
      <c r="GXE293" s="34"/>
      <c r="GXF293" s="34"/>
      <c r="GXG293" s="34"/>
      <c r="GXH293" s="34"/>
      <c r="GXI293" s="34"/>
      <c r="GXJ293" s="34"/>
      <c r="GXK293" s="34"/>
      <c r="GXL293" s="34"/>
      <c r="GXM293" s="34"/>
      <c r="GXN293" s="34"/>
      <c r="GXO293" s="34"/>
      <c r="GXP293" s="34"/>
      <c r="GXQ293" s="34"/>
      <c r="GXR293" s="34"/>
      <c r="GXS293" s="34"/>
      <c r="GXT293" s="34"/>
      <c r="GXU293" s="34"/>
      <c r="GXV293" s="34"/>
      <c r="GXW293" s="34"/>
      <c r="GXX293" s="34"/>
      <c r="GXY293" s="34"/>
      <c r="GXZ293" s="34"/>
      <c r="GYA293" s="34"/>
      <c r="GYB293" s="34"/>
      <c r="GYC293" s="34"/>
      <c r="GYD293" s="34"/>
      <c r="GYE293" s="34"/>
      <c r="GYF293" s="34"/>
      <c r="GYG293" s="34"/>
      <c r="GYH293" s="34"/>
      <c r="GYI293" s="34"/>
      <c r="GYJ293" s="34"/>
      <c r="GYK293" s="34"/>
      <c r="GYL293" s="34"/>
      <c r="GYM293" s="34"/>
      <c r="GYN293" s="34"/>
      <c r="GYO293" s="34"/>
      <c r="GYP293" s="34"/>
      <c r="GYQ293" s="34"/>
      <c r="GYR293" s="34"/>
      <c r="GYS293" s="34"/>
      <c r="GYT293" s="34"/>
      <c r="GYU293" s="34"/>
      <c r="GYV293" s="34"/>
      <c r="GYW293" s="34"/>
      <c r="GYX293" s="34"/>
      <c r="GYY293" s="34"/>
      <c r="GYZ293" s="34"/>
      <c r="GZA293" s="34"/>
      <c r="GZB293" s="34"/>
      <c r="GZC293" s="34"/>
      <c r="GZD293" s="34"/>
      <c r="GZE293" s="34"/>
      <c r="GZF293" s="34"/>
      <c r="GZG293" s="34"/>
      <c r="GZH293" s="34"/>
      <c r="GZI293" s="34"/>
      <c r="GZJ293" s="34"/>
      <c r="GZK293" s="34"/>
      <c r="GZL293" s="34"/>
      <c r="GZM293" s="34"/>
      <c r="GZN293" s="34"/>
      <c r="GZO293" s="34"/>
      <c r="GZP293" s="34"/>
      <c r="GZQ293" s="34"/>
      <c r="GZR293" s="34"/>
      <c r="GZS293" s="34"/>
      <c r="GZT293" s="34"/>
      <c r="GZU293" s="34"/>
      <c r="GZV293" s="34"/>
      <c r="GZW293" s="34"/>
      <c r="GZX293" s="34"/>
      <c r="GZY293" s="34"/>
      <c r="GZZ293" s="34"/>
      <c r="HAA293" s="34"/>
      <c r="HAB293" s="34"/>
      <c r="HAC293" s="34"/>
      <c r="HAD293" s="34"/>
      <c r="HAE293" s="34"/>
      <c r="HAF293" s="34"/>
      <c r="HAG293" s="34"/>
      <c r="HAH293" s="34"/>
      <c r="HAI293" s="34"/>
      <c r="HAJ293" s="34"/>
      <c r="HAK293" s="34"/>
      <c r="HAL293" s="34"/>
      <c r="HAM293" s="34"/>
      <c r="HAN293" s="34"/>
      <c r="HAO293" s="34"/>
      <c r="HAP293" s="34"/>
      <c r="HAQ293" s="34"/>
      <c r="HAR293" s="34"/>
      <c r="HAS293" s="34"/>
      <c r="HAT293" s="34"/>
      <c r="HAU293" s="34"/>
      <c r="HAV293" s="34"/>
      <c r="HAW293" s="34"/>
      <c r="HAX293" s="34"/>
      <c r="HAY293" s="34"/>
      <c r="HAZ293" s="34"/>
      <c r="HBA293" s="34"/>
      <c r="HBB293" s="34"/>
      <c r="HBC293" s="34"/>
      <c r="HBD293" s="34"/>
      <c r="HBE293" s="34"/>
      <c r="HBF293" s="34"/>
      <c r="HBG293" s="34"/>
      <c r="HBH293" s="34"/>
      <c r="HBI293" s="34"/>
      <c r="HBJ293" s="34"/>
      <c r="HBK293" s="34"/>
      <c r="HBL293" s="34"/>
      <c r="HBM293" s="34"/>
      <c r="HBN293" s="34"/>
      <c r="HBO293" s="34"/>
      <c r="HBP293" s="34"/>
      <c r="HBQ293" s="34"/>
      <c r="HBR293" s="34"/>
      <c r="HBS293" s="34"/>
      <c r="HBT293" s="34"/>
      <c r="HBU293" s="34"/>
      <c r="HBV293" s="34"/>
      <c r="HBW293" s="34"/>
      <c r="HBX293" s="34"/>
      <c r="HBY293" s="34"/>
      <c r="HBZ293" s="34"/>
      <c r="HCA293" s="34"/>
      <c r="HCB293" s="34"/>
      <c r="HCC293" s="34"/>
      <c r="HCD293" s="34"/>
      <c r="HCE293" s="34"/>
      <c r="HCF293" s="34"/>
      <c r="HCG293" s="34"/>
      <c r="HCH293" s="34"/>
      <c r="HCI293" s="34"/>
      <c r="HCJ293" s="34"/>
      <c r="HCK293" s="34"/>
      <c r="HCL293" s="34"/>
      <c r="HCM293" s="34"/>
      <c r="HCN293" s="34"/>
      <c r="HCO293" s="34"/>
      <c r="HCP293" s="34"/>
      <c r="HCQ293" s="34"/>
      <c r="HCR293" s="34"/>
      <c r="HCS293" s="34"/>
      <c r="HCT293" s="34"/>
      <c r="HCU293" s="34"/>
      <c r="HCV293" s="34"/>
      <c r="HCW293" s="34"/>
      <c r="HCX293" s="34"/>
      <c r="HCY293" s="34"/>
      <c r="HCZ293" s="34"/>
      <c r="HDA293" s="34"/>
      <c r="HDB293" s="34"/>
      <c r="HDC293" s="34"/>
      <c r="HDD293" s="34"/>
      <c r="HDE293" s="34"/>
      <c r="HDF293" s="34"/>
      <c r="HDG293" s="34"/>
      <c r="HDH293" s="34"/>
      <c r="HDI293" s="34"/>
      <c r="HDJ293" s="34"/>
      <c r="HDK293" s="34"/>
      <c r="HDL293" s="34"/>
      <c r="HDM293" s="34"/>
      <c r="HDN293" s="34"/>
      <c r="HDO293" s="34"/>
      <c r="HDP293" s="34"/>
      <c r="HDQ293" s="34"/>
      <c r="HDR293" s="34"/>
      <c r="HDS293" s="34"/>
      <c r="HDT293" s="34"/>
      <c r="HDU293" s="34"/>
      <c r="HDV293" s="34"/>
      <c r="HDW293" s="34"/>
      <c r="HDX293" s="34"/>
      <c r="HDY293" s="34"/>
      <c r="HDZ293" s="34"/>
      <c r="HEA293" s="34"/>
      <c r="HEB293" s="34"/>
      <c r="HEC293" s="34"/>
      <c r="HED293" s="34"/>
      <c r="HEE293" s="34"/>
      <c r="HEF293" s="34"/>
      <c r="HEG293" s="34"/>
      <c r="HEH293" s="34"/>
      <c r="HEI293" s="34"/>
      <c r="HEJ293" s="34"/>
      <c r="HEK293" s="34"/>
      <c r="HEL293" s="34"/>
      <c r="HEM293" s="34"/>
      <c r="HEN293" s="34"/>
      <c r="HEO293" s="34"/>
      <c r="HEP293" s="34"/>
      <c r="HEQ293" s="34"/>
      <c r="HER293" s="34"/>
      <c r="HES293" s="34"/>
      <c r="HET293" s="34"/>
      <c r="HEU293" s="34"/>
      <c r="HEV293" s="34"/>
      <c r="HEW293" s="34"/>
      <c r="HEX293" s="34"/>
      <c r="HEY293" s="34"/>
      <c r="HEZ293" s="34"/>
      <c r="HFA293" s="34"/>
      <c r="HFB293" s="34"/>
      <c r="HFC293" s="34"/>
      <c r="HFD293" s="34"/>
      <c r="HFE293" s="34"/>
      <c r="HFF293" s="34"/>
      <c r="HFG293" s="34"/>
      <c r="HFH293" s="34"/>
      <c r="HFI293" s="34"/>
      <c r="HFJ293" s="34"/>
      <c r="HFK293" s="34"/>
      <c r="HFL293" s="34"/>
      <c r="HFM293" s="34"/>
      <c r="HFN293" s="34"/>
      <c r="HFO293" s="34"/>
      <c r="HFP293" s="34"/>
      <c r="HFQ293" s="34"/>
      <c r="HFR293" s="34"/>
      <c r="HFS293" s="34"/>
      <c r="HFT293" s="34"/>
      <c r="HFU293" s="34"/>
      <c r="HFV293" s="34"/>
      <c r="HFW293" s="34"/>
      <c r="HFX293" s="34"/>
      <c r="HFY293" s="34"/>
      <c r="HFZ293" s="34"/>
      <c r="HGA293" s="34"/>
      <c r="HGB293" s="34"/>
      <c r="HGC293" s="34"/>
      <c r="HGD293" s="34"/>
      <c r="HGE293" s="34"/>
      <c r="HGF293" s="34"/>
      <c r="HGG293" s="34"/>
      <c r="HGH293" s="34"/>
      <c r="HGI293" s="34"/>
      <c r="HGJ293" s="34"/>
      <c r="HGK293" s="34"/>
      <c r="HGL293" s="34"/>
      <c r="HGM293" s="34"/>
      <c r="HGN293" s="34"/>
      <c r="HGO293" s="34"/>
      <c r="HGP293" s="34"/>
      <c r="HGQ293" s="34"/>
      <c r="HGR293" s="34"/>
      <c r="HGS293" s="34"/>
      <c r="HGT293" s="34"/>
      <c r="HGU293" s="34"/>
      <c r="HGV293" s="34"/>
      <c r="HGW293" s="34"/>
      <c r="HGX293" s="34"/>
      <c r="HGY293" s="34"/>
      <c r="HGZ293" s="34"/>
      <c r="HHA293" s="34"/>
      <c r="HHB293" s="34"/>
      <c r="HHC293" s="34"/>
      <c r="HHD293" s="34"/>
      <c r="HHE293" s="34"/>
      <c r="HHF293" s="34"/>
      <c r="HHG293" s="34"/>
      <c r="HHH293" s="34"/>
      <c r="HHI293" s="34"/>
      <c r="HHJ293" s="34"/>
      <c r="HHK293" s="34"/>
      <c r="HHL293" s="34"/>
      <c r="HHM293" s="34"/>
      <c r="HHN293" s="34"/>
      <c r="HHO293" s="34"/>
      <c r="HHP293" s="34"/>
      <c r="HHQ293" s="34"/>
      <c r="HHR293" s="34"/>
      <c r="HHS293" s="34"/>
      <c r="HHT293" s="34"/>
      <c r="HHU293" s="34"/>
      <c r="HHV293" s="34"/>
      <c r="HHW293" s="34"/>
      <c r="HHX293" s="34"/>
      <c r="HHY293" s="34"/>
      <c r="HHZ293" s="34"/>
      <c r="HIA293" s="34"/>
      <c r="HIB293" s="34"/>
      <c r="HIC293" s="34"/>
      <c r="HID293" s="34"/>
      <c r="HIE293" s="34"/>
      <c r="HIF293" s="34"/>
      <c r="HIG293" s="34"/>
      <c r="HIH293" s="34"/>
      <c r="HII293" s="34"/>
      <c r="HIJ293" s="34"/>
      <c r="HIK293" s="34"/>
      <c r="HIL293" s="34"/>
      <c r="HIM293" s="34"/>
      <c r="HIN293" s="34"/>
      <c r="HIO293" s="34"/>
      <c r="HIP293" s="34"/>
      <c r="HIQ293" s="34"/>
      <c r="HIR293" s="34"/>
      <c r="HIS293" s="34"/>
      <c r="HIT293" s="34"/>
      <c r="HIU293" s="34"/>
      <c r="HIV293" s="34"/>
      <c r="HIW293" s="34"/>
      <c r="HIX293" s="34"/>
      <c r="HIY293" s="34"/>
      <c r="HIZ293" s="34"/>
      <c r="HJA293" s="34"/>
      <c r="HJB293" s="34"/>
      <c r="HJC293" s="34"/>
      <c r="HJD293" s="34"/>
      <c r="HJE293" s="34"/>
      <c r="HJF293" s="34"/>
      <c r="HJG293" s="34"/>
      <c r="HJH293" s="34"/>
      <c r="HJI293" s="34"/>
      <c r="HJJ293" s="34"/>
      <c r="HJK293" s="34"/>
      <c r="HJL293" s="34"/>
      <c r="HJM293" s="34"/>
      <c r="HJN293" s="34"/>
      <c r="HJO293" s="34"/>
      <c r="HJP293" s="34"/>
      <c r="HJQ293" s="34"/>
      <c r="HJR293" s="34"/>
      <c r="HJS293" s="34"/>
      <c r="HJT293" s="34"/>
      <c r="HJU293" s="34"/>
      <c r="HJV293" s="34"/>
      <c r="HJW293" s="34"/>
      <c r="HJX293" s="34"/>
      <c r="HJY293" s="34"/>
      <c r="HJZ293" s="34"/>
      <c r="HKA293" s="34"/>
      <c r="HKB293" s="34"/>
      <c r="HKC293" s="34"/>
      <c r="HKD293" s="34"/>
      <c r="HKE293" s="34"/>
      <c r="HKF293" s="34"/>
      <c r="HKG293" s="34"/>
      <c r="HKH293" s="34"/>
      <c r="HKI293" s="34"/>
      <c r="HKJ293" s="34"/>
      <c r="HKK293" s="34"/>
      <c r="HKL293" s="34"/>
      <c r="HKM293" s="34"/>
      <c r="HKN293" s="34"/>
      <c r="HKO293" s="34"/>
      <c r="HKP293" s="34"/>
      <c r="HKQ293" s="34"/>
      <c r="HKR293" s="34"/>
      <c r="HKS293" s="34"/>
      <c r="HKT293" s="34"/>
      <c r="HKU293" s="34"/>
      <c r="HKV293" s="34"/>
      <c r="HKW293" s="34"/>
      <c r="HKX293" s="34"/>
      <c r="HKY293" s="34"/>
      <c r="HKZ293" s="34"/>
      <c r="HLA293" s="34"/>
      <c r="HLB293" s="34"/>
      <c r="HLC293" s="34"/>
      <c r="HLD293" s="34"/>
      <c r="HLE293" s="34"/>
      <c r="HLF293" s="34"/>
      <c r="HLG293" s="34"/>
      <c r="HLH293" s="34"/>
      <c r="HLI293" s="34"/>
      <c r="HLJ293" s="34"/>
      <c r="HLK293" s="34"/>
      <c r="HLL293" s="34"/>
      <c r="HLM293" s="34"/>
      <c r="HLN293" s="34"/>
      <c r="HLO293" s="34"/>
      <c r="HLP293" s="34"/>
      <c r="HLQ293" s="34"/>
      <c r="HLR293" s="34"/>
      <c r="HLS293" s="34"/>
      <c r="HLT293" s="34"/>
      <c r="HLU293" s="34"/>
      <c r="HLV293" s="34"/>
      <c r="HLW293" s="34"/>
      <c r="HLX293" s="34"/>
      <c r="HLY293" s="34"/>
      <c r="HLZ293" s="34"/>
      <c r="HMA293" s="34"/>
      <c r="HMB293" s="34"/>
      <c r="HMC293" s="34"/>
      <c r="HMD293" s="34"/>
      <c r="HME293" s="34"/>
      <c r="HMF293" s="34"/>
      <c r="HMG293" s="34"/>
      <c r="HMH293" s="34"/>
      <c r="HMI293" s="34"/>
      <c r="HMJ293" s="34"/>
      <c r="HMK293" s="34"/>
      <c r="HML293" s="34"/>
      <c r="HMM293" s="34"/>
      <c r="HMN293" s="34"/>
      <c r="HMO293" s="34"/>
      <c r="HMP293" s="34"/>
      <c r="HMQ293" s="34"/>
      <c r="HMR293" s="34"/>
      <c r="HMS293" s="34"/>
      <c r="HMT293" s="34"/>
      <c r="HMU293" s="34"/>
      <c r="HMV293" s="34"/>
      <c r="HMW293" s="34"/>
      <c r="HMX293" s="34"/>
      <c r="HMY293" s="34"/>
      <c r="HMZ293" s="34"/>
      <c r="HNA293" s="34"/>
      <c r="HNB293" s="34"/>
      <c r="HNC293" s="34"/>
      <c r="HND293" s="34"/>
      <c r="HNE293" s="34"/>
      <c r="HNF293" s="34"/>
      <c r="HNG293" s="34"/>
      <c r="HNH293" s="34"/>
      <c r="HNI293" s="34"/>
      <c r="HNJ293" s="34"/>
      <c r="HNK293" s="34"/>
      <c r="HNL293" s="34"/>
      <c r="HNM293" s="34"/>
      <c r="HNN293" s="34"/>
      <c r="HNO293" s="34"/>
      <c r="HNP293" s="34"/>
      <c r="HNQ293" s="34"/>
      <c r="HNR293" s="34"/>
      <c r="HNS293" s="34"/>
      <c r="HNT293" s="34"/>
      <c r="HNU293" s="34"/>
      <c r="HNV293" s="34"/>
      <c r="HNW293" s="34"/>
      <c r="HNX293" s="34"/>
      <c r="HNY293" s="34"/>
      <c r="HNZ293" s="34"/>
      <c r="HOA293" s="34"/>
      <c r="HOB293" s="34"/>
      <c r="HOC293" s="34"/>
      <c r="HOD293" s="34"/>
      <c r="HOE293" s="34"/>
      <c r="HOF293" s="34"/>
      <c r="HOG293" s="34"/>
      <c r="HOH293" s="34"/>
      <c r="HOI293" s="34"/>
      <c r="HOJ293" s="34"/>
      <c r="HOK293" s="34"/>
      <c r="HOL293" s="34"/>
      <c r="HOM293" s="34"/>
      <c r="HON293" s="34"/>
      <c r="HOO293" s="34"/>
      <c r="HOP293" s="34"/>
      <c r="HOQ293" s="34"/>
      <c r="HOR293" s="34"/>
      <c r="HOS293" s="34"/>
      <c r="HOT293" s="34"/>
      <c r="HOU293" s="34"/>
      <c r="HOV293" s="34"/>
      <c r="HOW293" s="34"/>
      <c r="HOX293" s="34"/>
      <c r="HOY293" s="34"/>
      <c r="HOZ293" s="34"/>
      <c r="HPA293" s="34"/>
      <c r="HPB293" s="34"/>
      <c r="HPC293" s="34"/>
      <c r="HPD293" s="34"/>
      <c r="HPE293" s="34"/>
      <c r="HPF293" s="34"/>
      <c r="HPG293" s="34"/>
      <c r="HPH293" s="34"/>
      <c r="HPI293" s="34"/>
      <c r="HPJ293" s="34"/>
      <c r="HPK293" s="34"/>
      <c r="HPL293" s="34"/>
      <c r="HPM293" s="34"/>
      <c r="HPN293" s="34"/>
      <c r="HPO293" s="34"/>
      <c r="HPP293" s="34"/>
      <c r="HPQ293" s="34"/>
      <c r="HPR293" s="34"/>
      <c r="HPS293" s="34"/>
      <c r="HPT293" s="34"/>
      <c r="HPU293" s="34"/>
      <c r="HPV293" s="34"/>
      <c r="HPW293" s="34"/>
      <c r="HPX293" s="34"/>
      <c r="HPY293" s="34"/>
      <c r="HPZ293" s="34"/>
      <c r="HQA293" s="34"/>
      <c r="HQB293" s="34"/>
      <c r="HQC293" s="34"/>
      <c r="HQD293" s="34"/>
      <c r="HQE293" s="34"/>
      <c r="HQF293" s="34"/>
      <c r="HQG293" s="34"/>
      <c r="HQH293" s="34"/>
      <c r="HQI293" s="34"/>
      <c r="HQJ293" s="34"/>
      <c r="HQK293" s="34"/>
      <c r="HQL293" s="34"/>
      <c r="HQM293" s="34"/>
      <c r="HQN293" s="34"/>
      <c r="HQO293" s="34"/>
      <c r="HQP293" s="34"/>
      <c r="HQQ293" s="34"/>
      <c r="HQR293" s="34"/>
      <c r="HQS293" s="34"/>
      <c r="HQT293" s="34"/>
      <c r="HQU293" s="34"/>
      <c r="HQV293" s="34"/>
      <c r="HQW293" s="34"/>
      <c r="HQX293" s="34"/>
      <c r="HQY293" s="34"/>
      <c r="HQZ293" s="34"/>
      <c r="HRA293" s="34"/>
      <c r="HRB293" s="34"/>
      <c r="HRC293" s="34"/>
      <c r="HRD293" s="34"/>
      <c r="HRE293" s="34"/>
      <c r="HRF293" s="34"/>
      <c r="HRG293" s="34"/>
      <c r="HRH293" s="34"/>
      <c r="HRI293" s="34"/>
      <c r="HRJ293" s="34"/>
      <c r="HRK293" s="34"/>
      <c r="HRL293" s="34"/>
      <c r="HRM293" s="34"/>
      <c r="HRN293" s="34"/>
      <c r="HRO293" s="34"/>
      <c r="HRP293" s="34"/>
      <c r="HRQ293" s="34"/>
      <c r="HRR293" s="34"/>
      <c r="HRS293" s="34"/>
      <c r="HRT293" s="34"/>
      <c r="HRU293" s="34"/>
      <c r="HRV293" s="34"/>
      <c r="HRW293" s="34"/>
      <c r="HRX293" s="34"/>
      <c r="HRY293" s="34"/>
      <c r="HRZ293" s="34"/>
      <c r="HSA293" s="34"/>
      <c r="HSB293" s="34"/>
      <c r="HSC293" s="34"/>
      <c r="HSD293" s="34"/>
      <c r="HSE293" s="34"/>
      <c r="HSF293" s="34"/>
      <c r="HSG293" s="34"/>
      <c r="HSH293" s="34"/>
      <c r="HSI293" s="34"/>
      <c r="HSJ293" s="34"/>
      <c r="HSK293" s="34"/>
      <c r="HSL293" s="34"/>
      <c r="HSM293" s="34"/>
      <c r="HSN293" s="34"/>
      <c r="HSO293" s="34"/>
      <c r="HSP293" s="34"/>
      <c r="HSQ293" s="34"/>
      <c r="HSR293" s="34"/>
      <c r="HSS293" s="34"/>
      <c r="HST293" s="34"/>
      <c r="HSU293" s="34"/>
      <c r="HSV293" s="34"/>
      <c r="HSW293" s="34"/>
      <c r="HSX293" s="34"/>
      <c r="HSY293" s="34"/>
      <c r="HSZ293" s="34"/>
      <c r="HTA293" s="34"/>
      <c r="HTB293" s="34"/>
      <c r="HTC293" s="34"/>
      <c r="HTD293" s="34"/>
      <c r="HTE293" s="34"/>
      <c r="HTF293" s="34"/>
      <c r="HTG293" s="34"/>
      <c r="HTH293" s="34"/>
      <c r="HTI293" s="34"/>
      <c r="HTJ293" s="34"/>
      <c r="HTK293" s="34"/>
      <c r="HTL293" s="34"/>
      <c r="HTM293" s="34"/>
      <c r="HTN293" s="34"/>
      <c r="HTO293" s="34"/>
      <c r="HTP293" s="34"/>
      <c r="HTQ293" s="34"/>
      <c r="HTR293" s="34"/>
      <c r="HTS293" s="34"/>
      <c r="HTT293" s="34"/>
      <c r="HTU293" s="34"/>
      <c r="HTV293" s="34"/>
      <c r="HTW293" s="34"/>
      <c r="HTX293" s="34"/>
      <c r="HTY293" s="34"/>
      <c r="HTZ293" s="34"/>
      <c r="HUA293" s="34"/>
      <c r="HUB293" s="34"/>
      <c r="HUC293" s="34"/>
      <c r="HUD293" s="34"/>
      <c r="HUE293" s="34"/>
      <c r="HUF293" s="34"/>
      <c r="HUG293" s="34"/>
      <c r="HUH293" s="34"/>
      <c r="HUI293" s="34"/>
      <c r="HUJ293" s="34"/>
      <c r="HUK293" s="34"/>
      <c r="HUL293" s="34"/>
      <c r="HUM293" s="34"/>
      <c r="HUN293" s="34"/>
      <c r="HUO293" s="34"/>
      <c r="HUP293" s="34"/>
      <c r="HUQ293" s="34"/>
      <c r="HUR293" s="34"/>
      <c r="HUS293" s="34"/>
      <c r="HUT293" s="34"/>
      <c r="HUU293" s="34"/>
      <c r="HUV293" s="34"/>
      <c r="HUW293" s="34"/>
      <c r="HUX293" s="34"/>
      <c r="HUY293" s="34"/>
      <c r="HUZ293" s="34"/>
      <c r="HVA293" s="34"/>
      <c r="HVB293" s="34"/>
      <c r="HVC293" s="34"/>
      <c r="HVD293" s="34"/>
      <c r="HVE293" s="34"/>
      <c r="HVF293" s="34"/>
      <c r="HVG293" s="34"/>
      <c r="HVH293" s="34"/>
      <c r="HVI293" s="34"/>
      <c r="HVJ293" s="34"/>
      <c r="HVK293" s="34"/>
      <c r="HVL293" s="34"/>
      <c r="HVM293" s="34"/>
      <c r="HVN293" s="34"/>
      <c r="HVO293" s="34"/>
      <c r="HVP293" s="34"/>
      <c r="HVQ293" s="34"/>
      <c r="HVR293" s="34"/>
      <c r="HVS293" s="34"/>
      <c r="HVT293" s="34"/>
      <c r="HVU293" s="34"/>
      <c r="HVV293" s="34"/>
      <c r="HVW293" s="34"/>
      <c r="HVX293" s="34"/>
      <c r="HVY293" s="34"/>
      <c r="HVZ293" s="34"/>
      <c r="HWA293" s="34"/>
      <c r="HWB293" s="34"/>
      <c r="HWC293" s="34"/>
      <c r="HWD293" s="34"/>
      <c r="HWE293" s="34"/>
      <c r="HWF293" s="34"/>
      <c r="HWG293" s="34"/>
      <c r="HWH293" s="34"/>
      <c r="HWI293" s="34"/>
      <c r="HWJ293" s="34"/>
      <c r="HWK293" s="34"/>
      <c r="HWL293" s="34"/>
      <c r="HWM293" s="34"/>
      <c r="HWN293" s="34"/>
      <c r="HWO293" s="34"/>
      <c r="HWP293" s="34"/>
      <c r="HWQ293" s="34"/>
      <c r="HWR293" s="34"/>
      <c r="HWS293" s="34"/>
      <c r="HWT293" s="34"/>
      <c r="HWU293" s="34"/>
      <c r="HWV293" s="34"/>
      <c r="HWW293" s="34"/>
      <c r="HWX293" s="34"/>
      <c r="HWY293" s="34"/>
      <c r="HWZ293" s="34"/>
      <c r="HXA293" s="34"/>
      <c r="HXB293" s="34"/>
      <c r="HXC293" s="34"/>
      <c r="HXD293" s="34"/>
      <c r="HXE293" s="34"/>
      <c r="HXF293" s="34"/>
      <c r="HXG293" s="34"/>
      <c r="HXH293" s="34"/>
      <c r="HXI293" s="34"/>
      <c r="HXJ293" s="34"/>
      <c r="HXK293" s="34"/>
      <c r="HXL293" s="34"/>
      <c r="HXM293" s="34"/>
      <c r="HXN293" s="34"/>
      <c r="HXO293" s="34"/>
      <c r="HXP293" s="34"/>
      <c r="HXQ293" s="34"/>
      <c r="HXR293" s="34"/>
      <c r="HXS293" s="34"/>
      <c r="HXT293" s="34"/>
      <c r="HXU293" s="34"/>
      <c r="HXV293" s="34"/>
      <c r="HXW293" s="34"/>
      <c r="HXX293" s="34"/>
      <c r="HXY293" s="34"/>
      <c r="HXZ293" s="34"/>
      <c r="HYA293" s="34"/>
      <c r="HYB293" s="34"/>
      <c r="HYC293" s="34"/>
      <c r="HYD293" s="34"/>
      <c r="HYE293" s="34"/>
      <c r="HYF293" s="34"/>
      <c r="HYG293" s="34"/>
      <c r="HYH293" s="34"/>
      <c r="HYI293" s="34"/>
      <c r="HYJ293" s="34"/>
      <c r="HYK293" s="34"/>
      <c r="HYL293" s="34"/>
      <c r="HYM293" s="34"/>
      <c r="HYN293" s="34"/>
      <c r="HYO293" s="34"/>
      <c r="HYP293" s="34"/>
      <c r="HYQ293" s="34"/>
      <c r="HYR293" s="34"/>
      <c r="HYS293" s="34"/>
      <c r="HYT293" s="34"/>
      <c r="HYU293" s="34"/>
      <c r="HYV293" s="34"/>
      <c r="HYW293" s="34"/>
      <c r="HYX293" s="34"/>
      <c r="HYY293" s="34"/>
      <c r="HYZ293" s="34"/>
      <c r="HZA293" s="34"/>
      <c r="HZB293" s="34"/>
      <c r="HZC293" s="34"/>
      <c r="HZD293" s="34"/>
      <c r="HZE293" s="34"/>
      <c r="HZF293" s="34"/>
      <c r="HZG293" s="34"/>
      <c r="HZH293" s="34"/>
      <c r="HZI293" s="34"/>
      <c r="HZJ293" s="34"/>
      <c r="HZK293" s="34"/>
      <c r="HZL293" s="34"/>
      <c r="HZM293" s="34"/>
      <c r="HZN293" s="34"/>
      <c r="HZO293" s="34"/>
      <c r="HZP293" s="34"/>
      <c r="HZQ293" s="34"/>
      <c r="HZR293" s="34"/>
      <c r="HZS293" s="34"/>
      <c r="HZT293" s="34"/>
      <c r="HZU293" s="34"/>
      <c r="HZV293" s="34"/>
      <c r="HZW293" s="34"/>
      <c r="HZX293" s="34"/>
      <c r="HZY293" s="34"/>
      <c r="HZZ293" s="34"/>
      <c r="IAA293" s="34"/>
      <c r="IAB293" s="34"/>
      <c r="IAC293" s="34"/>
      <c r="IAD293" s="34"/>
      <c r="IAE293" s="34"/>
      <c r="IAF293" s="34"/>
      <c r="IAG293" s="34"/>
      <c r="IAH293" s="34"/>
      <c r="IAI293" s="34"/>
      <c r="IAJ293" s="34"/>
      <c r="IAK293" s="34"/>
      <c r="IAL293" s="34"/>
      <c r="IAM293" s="34"/>
      <c r="IAN293" s="34"/>
      <c r="IAO293" s="34"/>
      <c r="IAP293" s="34"/>
      <c r="IAQ293" s="34"/>
      <c r="IAR293" s="34"/>
      <c r="IAS293" s="34"/>
      <c r="IAT293" s="34"/>
      <c r="IAU293" s="34"/>
      <c r="IAV293" s="34"/>
      <c r="IAW293" s="34"/>
      <c r="IAX293" s="34"/>
      <c r="IAY293" s="34"/>
      <c r="IAZ293" s="34"/>
      <c r="IBA293" s="34"/>
      <c r="IBB293" s="34"/>
      <c r="IBC293" s="34"/>
      <c r="IBD293" s="34"/>
      <c r="IBE293" s="34"/>
      <c r="IBF293" s="34"/>
      <c r="IBG293" s="34"/>
      <c r="IBH293" s="34"/>
      <c r="IBI293" s="34"/>
      <c r="IBJ293" s="34"/>
      <c r="IBK293" s="34"/>
      <c r="IBL293" s="34"/>
      <c r="IBM293" s="34"/>
      <c r="IBN293" s="34"/>
      <c r="IBO293" s="34"/>
      <c r="IBP293" s="34"/>
      <c r="IBQ293" s="34"/>
      <c r="IBR293" s="34"/>
      <c r="IBS293" s="34"/>
      <c r="IBT293" s="34"/>
      <c r="IBU293" s="34"/>
      <c r="IBV293" s="34"/>
      <c r="IBW293" s="34"/>
      <c r="IBX293" s="34"/>
      <c r="IBY293" s="34"/>
      <c r="IBZ293" s="34"/>
      <c r="ICA293" s="34"/>
      <c r="ICB293" s="34"/>
      <c r="ICC293" s="34"/>
      <c r="ICD293" s="34"/>
      <c r="ICE293" s="34"/>
      <c r="ICF293" s="34"/>
      <c r="ICG293" s="34"/>
      <c r="ICH293" s="34"/>
      <c r="ICI293" s="34"/>
      <c r="ICJ293" s="34"/>
      <c r="ICK293" s="34"/>
      <c r="ICL293" s="34"/>
      <c r="ICM293" s="34"/>
      <c r="ICN293" s="34"/>
      <c r="ICO293" s="34"/>
      <c r="ICP293" s="34"/>
      <c r="ICQ293" s="34"/>
      <c r="ICR293" s="34"/>
      <c r="ICS293" s="34"/>
      <c r="ICT293" s="34"/>
      <c r="ICU293" s="34"/>
      <c r="ICV293" s="34"/>
      <c r="ICW293" s="34"/>
      <c r="ICX293" s="34"/>
      <c r="ICY293" s="34"/>
      <c r="ICZ293" s="34"/>
      <c r="IDA293" s="34"/>
      <c r="IDB293" s="34"/>
      <c r="IDC293" s="34"/>
      <c r="IDD293" s="34"/>
      <c r="IDE293" s="34"/>
      <c r="IDF293" s="34"/>
      <c r="IDG293" s="34"/>
      <c r="IDH293" s="34"/>
      <c r="IDI293" s="34"/>
      <c r="IDJ293" s="34"/>
      <c r="IDK293" s="34"/>
      <c r="IDL293" s="34"/>
      <c r="IDM293" s="34"/>
      <c r="IDN293" s="34"/>
      <c r="IDO293" s="34"/>
      <c r="IDP293" s="34"/>
      <c r="IDQ293" s="34"/>
      <c r="IDR293" s="34"/>
      <c r="IDS293" s="34"/>
      <c r="IDT293" s="34"/>
      <c r="IDU293" s="34"/>
      <c r="IDV293" s="34"/>
      <c r="IDW293" s="34"/>
      <c r="IDX293" s="34"/>
      <c r="IDY293" s="34"/>
      <c r="IDZ293" s="34"/>
      <c r="IEA293" s="34"/>
      <c r="IEB293" s="34"/>
      <c r="IEC293" s="34"/>
      <c r="IED293" s="34"/>
      <c r="IEE293" s="34"/>
      <c r="IEF293" s="34"/>
      <c r="IEG293" s="34"/>
      <c r="IEH293" s="34"/>
      <c r="IEI293" s="34"/>
      <c r="IEJ293" s="34"/>
      <c r="IEK293" s="34"/>
      <c r="IEL293" s="34"/>
      <c r="IEM293" s="34"/>
      <c r="IEN293" s="34"/>
      <c r="IEO293" s="34"/>
      <c r="IEP293" s="34"/>
      <c r="IEQ293" s="34"/>
      <c r="IER293" s="34"/>
      <c r="IES293" s="34"/>
      <c r="IET293" s="34"/>
      <c r="IEU293" s="34"/>
      <c r="IEV293" s="34"/>
      <c r="IEW293" s="34"/>
      <c r="IEX293" s="34"/>
      <c r="IEY293" s="34"/>
      <c r="IEZ293" s="34"/>
      <c r="IFA293" s="34"/>
      <c r="IFB293" s="34"/>
      <c r="IFC293" s="34"/>
      <c r="IFD293" s="34"/>
      <c r="IFE293" s="34"/>
      <c r="IFF293" s="34"/>
      <c r="IFG293" s="34"/>
      <c r="IFH293" s="34"/>
      <c r="IFI293" s="34"/>
      <c r="IFJ293" s="34"/>
      <c r="IFK293" s="34"/>
      <c r="IFL293" s="34"/>
      <c r="IFM293" s="34"/>
      <c r="IFN293" s="34"/>
      <c r="IFO293" s="34"/>
      <c r="IFP293" s="34"/>
      <c r="IFQ293" s="34"/>
      <c r="IFR293" s="34"/>
      <c r="IFS293" s="34"/>
      <c r="IFT293" s="34"/>
      <c r="IFU293" s="34"/>
      <c r="IFV293" s="34"/>
      <c r="IFW293" s="34"/>
      <c r="IFX293" s="34"/>
      <c r="IFY293" s="34"/>
      <c r="IFZ293" s="34"/>
      <c r="IGA293" s="34"/>
      <c r="IGB293" s="34"/>
      <c r="IGC293" s="34"/>
      <c r="IGD293" s="34"/>
      <c r="IGE293" s="34"/>
      <c r="IGF293" s="34"/>
      <c r="IGG293" s="34"/>
      <c r="IGH293" s="34"/>
      <c r="IGI293" s="34"/>
      <c r="IGJ293" s="34"/>
      <c r="IGK293" s="34"/>
      <c r="IGL293" s="34"/>
      <c r="IGM293" s="34"/>
      <c r="IGN293" s="34"/>
      <c r="IGO293" s="34"/>
      <c r="IGP293" s="34"/>
      <c r="IGQ293" s="34"/>
      <c r="IGR293" s="34"/>
      <c r="IGS293" s="34"/>
      <c r="IGT293" s="34"/>
      <c r="IGU293" s="34"/>
      <c r="IGV293" s="34"/>
      <c r="IGW293" s="34"/>
      <c r="IGX293" s="34"/>
      <c r="IGY293" s="34"/>
      <c r="IGZ293" s="34"/>
      <c r="IHA293" s="34"/>
      <c r="IHB293" s="34"/>
      <c r="IHC293" s="34"/>
      <c r="IHD293" s="34"/>
      <c r="IHE293" s="34"/>
      <c r="IHF293" s="34"/>
      <c r="IHG293" s="34"/>
      <c r="IHH293" s="34"/>
      <c r="IHI293" s="34"/>
      <c r="IHJ293" s="34"/>
      <c r="IHK293" s="34"/>
      <c r="IHL293" s="34"/>
      <c r="IHM293" s="34"/>
      <c r="IHN293" s="34"/>
      <c r="IHO293" s="34"/>
      <c r="IHP293" s="34"/>
      <c r="IHQ293" s="34"/>
      <c r="IHR293" s="34"/>
      <c r="IHS293" s="34"/>
      <c r="IHT293" s="34"/>
      <c r="IHU293" s="34"/>
      <c r="IHV293" s="34"/>
      <c r="IHW293" s="34"/>
      <c r="IHX293" s="34"/>
      <c r="IHY293" s="34"/>
      <c r="IHZ293" s="34"/>
      <c r="IIA293" s="34"/>
      <c r="IIB293" s="34"/>
      <c r="IIC293" s="34"/>
      <c r="IID293" s="34"/>
      <c r="IIE293" s="34"/>
      <c r="IIF293" s="34"/>
      <c r="IIG293" s="34"/>
      <c r="IIH293" s="34"/>
      <c r="III293" s="34"/>
      <c r="IIJ293" s="34"/>
      <c r="IIK293" s="34"/>
      <c r="IIL293" s="34"/>
      <c r="IIM293" s="34"/>
      <c r="IIN293" s="34"/>
      <c r="IIO293" s="34"/>
      <c r="IIP293" s="34"/>
      <c r="IIQ293" s="34"/>
      <c r="IIR293" s="34"/>
      <c r="IIS293" s="34"/>
      <c r="IIT293" s="34"/>
      <c r="IIU293" s="34"/>
      <c r="IIV293" s="34"/>
      <c r="IIW293" s="34"/>
      <c r="IIX293" s="34"/>
      <c r="IIY293" s="34"/>
      <c r="IIZ293" s="34"/>
      <c r="IJA293" s="34"/>
      <c r="IJB293" s="34"/>
      <c r="IJC293" s="34"/>
      <c r="IJD293" s="34"/>
      <c r="IJE293" s="34"/>
      <c r="IJF293" s="34"/>
      <c r="IJG293" s="34"/>
      <c r="IJH293" s="34"/>
      <c r="IJI293" s="34"/>
      <c r="IJJ293" s="34"/>
      <c r="IJK293" s="34"/>
      <c r="IJL293" s="34"/>
      <c r="IJM293" s="34"/>
      <c r="IJN293" s="34"/>
      <c r="IJO293" s="34"/>
      <c r="IJP293" s="34"/>
      <c r="IJQ293" s="34"/>
      <c r="IJR293" s="34"/>
      <c r="IJS293" s="34"/>
      <c r="IJT293" s="34"/>
      <c r="IJU293" s="34"/>
      <c r="IJV293" s="34"/>
      <c r="IJW293" s="34"/>
      <c r="IJX293" s="34"/>
      <c r="IJY293" s="34"/>
      <c r="IJZ293" s="34"/>
      <c r="IKA293" s="34"/>
      <c r="IKB293" s="34"/>
      <c r="IKC293" s="34"/>
      <c r="IKD293" s="34"/>
      <c r="IKE293" s="34"/>
      <c r="IKF293" s="34"/>
      <c r="IKG293" s="34"/>
      <c r="IKH293" s="34"/>
      <c r="IKI293" s="34"/>
      <c r="IKJ293" s="34"/>
      <c r="IKK293" s="34"/>
      <c r="IKL293" s="34"/>
      <c r="IKM293" s="34"/>
      <c r="IKN293" s="34"/>
      <c r="IKO293" s="34"/>
      <c r="IKP293" s="34"/>
      <c r="IKQ293" s="34"/>
      <c r="IKR293" s="34"/>
      <c r="IKS293" s="34"/>
      <c r="IKT293" s="34"/>
      <c r="IKU293" s="34"/>
      <c r="IKV293" s="34"/>
      <c r="IKW293" s="34"/>
      <c r="IKX293" s="34"/>
      <c r="IKY293" s="34"/>
      <c r="IKZ293" s="34"/>
      <c r="ILA293" s="34"/>
      <c r="ILB293" s="34"/>
      <c r="ILC293" s="34"/>
      <c r="ILD293" s="34"/>
      <c r="ILE293" s="34"/>
      <c r="ILF293" s="34"/>
      <c r="ILG293" s="34"/>
      <c r="ILH293" s="34"/>
      <c r="ILI293" s="34"/>
      <c r="ILJ293" s="34"/>
      <c r="ILK293" s="34"/>
      <c r="ILL293" s="34"/>
      <c r="ILM293" s="34"/>
      <c r="ILN293" s="34"/>
      <c r="ILO293" s="34"/>
      <c r="ILP293" s="34"/>
      <c r="ILQ293" s="34"/>
      <c r="ILR293" s="34"/>
      <c r="ILS293" s="34"/>
      <c r="ILT293" s="34"/>
      <c r="ILU293" s="34"/>
      <c r="ILV293" s="34"/>
      <c r="ILW293" s="34"/>
      <c r="ILX293" s="34"/>
      <c r="ILY293" s="34"/>
      <c r="ILZ293" s="34"/>
      <c r="IMA293" s="34"/>
      <c r="IMB293" s="34"/>
      <c r="IMC293" s="34"/>
      <c r="IMD293" s="34"/>
      <c r="IME293" s="34"/>
      <c r="IMF293" s="34"/>
      <c r="IMG293" s="34"/>
      <c r="IMH293" s="34"/>
      <c r="IMI293" s="34"/>
      <c r="IMJ293" s="34"/>
      <c r="IMK293" s="34"/>
      <c r="IML293" s="34"/>
      <c r="IMM293" s="34"/>
      <c r="IMN293" s="34"/>
      <c r="IMO293" s="34"/>
      <c r="IMP293" s="34"/>
      <c r="IMQ293" s="34"/>
      <c r="IMR293" s="34"/>
      <c r="IMS293" s="34"/>
      <c r="IMT293" s="34"/>
      <c r="IMU293" s="34"/>
      <c r="IMV293" s="34"/>
      <c r="IMW293" s="34"/>
      <c r="IMX293" s="34"/>
      <c r="IMY293" s="34"/>
      <c r="IMZ293" s="34"/>
      <c r="INA293" s="34"/>
      <c r="INB293" s="34"/>
      <c r="INC293" s="34"/>
      <c r="IND293" s="34"/>
      <c r="INE293" s="34"/>
      <c r="INF293" s="34"/>
      <c r="ING293" s="34"/>
      <c r="INH293" s="34"/>
      <c r="INI293" s="34"/>
      <c r="INJ293" s="34"/>
      <c r="INK293" s="34"/>
      <c r="INL293" s="34"/>
      <c r="INM293" s="34"/>
      <c r="INN293" s="34"/>
      <c r="INO293" s="34"/>
      <c r="INP293" s="34"/>
      <c r="INQ293" s="34"/>
      <c r="INR293" s="34"/>
      <c r="INS293" s="34"/>
      <c r="INT293" s="34"/>
      <c r="INU293" s="34"/>
      <c r="INV293" s="34"/>
      <c r="INW293" s="34"/>
      <c r="INX293" s="34"/>
      <c r="INY293" s="34"/>
      <c r="INZ293" s="34"/>
      <c r="IOA293" s="34"/>
      <c r="IOB293" s="34"/>
      <c r="IOC293" s="34"/>
      <c r="IOD293" s="34"/>
      <c r="IOE293" s="34"/>
      <c r="IOF293" s="34"/>
      <c r="IOG293" s="34"/>
      <c r="IOH293" s="34"/>
      <c r="IOI293" s="34"/>
      <c r="IOJ293" s="34"/>
      <c r="IOK293" s="34"/>
      <c r="IOL293" s="34"/>
      <c r="IOM293" s="34"/>
      <c r="ION293" s="34"/>
      <c r="IOO293" s="34"/>
      <c r="IOP293" s="34"/>
      <c r="IOQ293" s="34"/>
      <c r="IOR293" s="34"/>
      <c r="IOS293" s="34"/>
      <c r="IOT293" s="34"/>
      <c r="IOU293" s="34"/>
      <c r="IOV293" s="34"/>
      <c r="IOW293" s="34"/>
      <c r="IOX293" s="34"/>
      <c r="IOY293" s="34"/>
      <c r="IOZ293" s="34"/>
      <c r="IPA293" s="34"/>
      <c r="IPB293" s="34"/>
      <c r="IPC293" s="34"/>
      <c r="IPD293" s="34"/>
      <c r="IPE293" s="34"/>
      <c r="IPF293" s="34"/>
      <c r="IPG293" s="34"/>
      <c r="IPH293" s="34"/>
      <c r="IPI293" s="34"/>
      <c r="IPJ293" s="34"/>
      <c r="IPK293" s="34"/>
      <c r="IPL293" s="34"/>
      <c r="IPM293" s="34"/>
      <c r="IPN293" s="34"/>
      <c r="IPO293" s="34"/>
      <c r="IPP293" s="34"/>
      <c r="IPQ293" s="34"/>
      <c r="IPR293" s="34"/>
      <c r="IPS293" s="34"/>
      <c r="IPT293" s="34"/>
      <c r="IPU293" s="34"/>
      <c r="IPV293" s="34"/>
      <c r="IPW293" s="34"/>
      <c r="IPX293" s="34"/>
      <c r="IPY293" s="34"/>
      <c r="IPZ293" s="34"/>
      <c r="IQA293" s="34"/>
      <c r="IQB293" s="34"/>
      <c r="IQC293" s="34"/>
      <c r="IQD293" s="34"/>
      <c r="IQE293" s="34"/>
      <c r="IQF293" s="34"/>
      <c r="IQG293" s="34"/>
      <c r="IQH293" s="34"/>
      <c r="IQI293" s="34"/>
      <c r="IQJ293" s="34"/>
      <c r="IQK293" s="34"/>
      <c r="IQL293" s="34"/>
      <c r="IQM293" s="34"/>
      <c r="IQN293" s="34"/>
      <c r="IQO293" s="34"/>
      <c r="IQP293" s="34"/>
      <c r="IQQ293" s="34"/>
      <c r="IQR293" s="34"/>
      <c r="IQS293" s="34"/>
      <c r="IQT293" s="34"/>
      <c r="IQU293" s="34"/>
      <c r="IQV293" s="34"/>
      <c r="IQW293" s="34"/>
      <c r="IQX293" s="34"/>
      <c r="IQY293" s="34"/>
      <c r="IQZ293" s="34"/>
      <c r="IRA293" s="34"/>
      <c r="IRB293" s="34"/>
      <c r="IRC293" s="34"/>
      <c r="IRD293" s="34"/>
      <c r="IRE293" s="34"/>
      <c r="IRF293" s="34"/>
      <c r="IRG293" s="34"/>
      <c r="IRH293" s="34"/>
      <c r="IRI293" s="34"/>
      <c r="IRJ293" s="34"/>
      <c r="IRK293" s="34"/>
      <c r="IRL293" s="34"/>
      <c r="IRM293" s="34"/>
      <c r="IRN293" s="34"/>
      <c r="IRO293" s="34"/>
      <c r="IRP293" s="34"/>
      <c r="IRQ293" s="34"/>
      <c r="IRR293" s="34"/>
      <c r="IRS293" s="34"/>
      <c r="IRT293" s="34"/>
      <c r="IRU293" s="34"/>
      <c r="IRV293" s="34"/>
      <c r="IRW293" s="34"/>
      <c r="IRX293" s="34"/>
      <c r="IRY293" s="34"/>
      <c r="IRZ293" s="34"/>
      <c r="ISA293" s="34"/>
      <c r="ISB293" s="34"/>
      <c r="ISC293" s="34"/>
      <c r="ISD293" s="34"/>
      <c r="ISE293" s="34"/>
      <c r="ISF293" s="34"/>
      <c r="ISG293" s="34"/>
      <c r="ISH293" s="34"/>
      <c r="ISI293" s="34"/>
      <c r="ISJ293" s="34"/>
      <c r="ISK293" s="34"/>
      <c r="ISL293" s="34"/>
      <c r="ISM293" s="34"/>
      <c r="ISN293" s="34"/>
      <c r="ISO293" s="34"/>
      <c r="ISP293" s="34"/>
      <c r="ISQ293" s="34"/>
      <c r="ISR293" s="34"/>
      <c r="ISS293" s="34"/>
      <c r="IST293" s="34"/>
      <c r="ISU293" s="34"/>
      <c r="ISV293" s="34"/>
      <c r="ISW293" s="34"/>
      <c r="ISX293" s="34"/>
      <c r="ISY293" s="34"/>
      <c r="ISZ293" s="34"/>
      <c r="ITA293" s="34"/>
      <c r="ITB293" s="34"/>
      <c r="ITC293" s="34"/>
      <c r="ITD293" s="34"/>
      <c r="ITE293" s="34"/>
      <c r="ITF293" s="34"/>
      <c r="ITG293" s="34"/>
      <c r="ITH293" s="34"/>
      <c r="ITI293" s="34"/>
      <c r="ITJ293" s="34"/>
      <c r="ITK293" s="34"/>
      <c r="ITL293" s="34"/>
      <c r="ITM293" s="34"/>
      <c r="ITN293" s="34"/>
      <c r="ITO293" s="34"/>
      <c r="ITP293" s="34"/>
      <c r="ITQ293" s="34"/>
      <c r="ITR293" s="34"/>
      <c r="ITS293" s="34"/>
      <c r="ITT293" s="34"/>
      <c r="ITU293" s="34"/>
      <c r="ITV293" s="34"/>
      <c r="ITW293" s="34"/>
      <c r="ITX293" s="34"/>
      <c r="ITY293" s="34"/>
      <c r="ITZ293" s="34"/>
      <c r="IUA293" s="34"/>
      <c r="IUB293" s="34"/>
      <c r="IUC293" s="34"/>
      <c r="IUD293" s="34"/>
      <c r="IUE293" s="34"/>
      <c r="IUF293" s="34"/>
      <c r="IUG293" s="34"/>
      <c r="IUH293" s="34"/>
      <c r="IUI293" s="34"/>
      <c r="IUJ293" s="34"/>
      <c r="IUK293" s="34"/>
      <c r="IUL293" s="34"/>
      <c r="IUM293" s="34"/>
      <c r="IUN293" s="34"/>
      <c r="IUO293" s="34"/>
      <c r="IUP293" s="34"/>
      <c r="IUQ293" s="34"/>
      <c r="IUR293" s="34"/>
      <c r="IUS293" s="34"/>
      <c r="IUT293" s="34"/>
      <c r="IUU293" s="34"/>
      <c r="IUV293" s="34"/>
      <c r="IUW293" s="34"/>
      <c r="IUX293" s="34"/>
      <c r="IUY293" s="34"/>
      <c r="IUZ293" s="34"/>
      <c r="IVA293" s="34"/>
      <c r="IVB293" s="34"/>
      <c r="IVC293" s="34"/>
      <c r="IVD293" s="34"/>
      <c r="IVE293" s="34"/>
      <c r="IVF293" s="34"/>
      <c r="IVG293" s="34"/>
      <c r="IVH293" s="34"/>
      <c r="IVI293" s="34"/>
      <c r="IVJ293" s="34"/>
      <c r="IVK293" s="34"/>
      <c r="IVL293" s="34"/>
      <c r="IVM293" s="34"/>
      <c r="IVN293" s="34"/>
      <c r="IVO293" s="34"/>
      <c r="IVP293" s="34"/>
      <c r="IVQ293" s="34"/>
      <c r="IVR293" s="34"/>
      <c r="IVS293" s="34"/>
      <c r="IVT293" s="34"/>
      <c r="IVU293" s="34"/>
      <c r="IVV293" s="34"/>
      <c r="IVW293" s="34"/>
      <c r="IVX293" s="34"/>
      <c r="IVY293" s="34"/>
      <c r="IVZ293" s="34"/>
      <c r="IWA293" s="34"/>
      <c r="IWB293" s="34"/>
      <c r="IWC293" s="34"/>
      <c r="IWD293" s="34"/>
      <c r="IWE293" s="34"/>
      <c r="IWF293" s="34"/>
      <c r="IWG293" s="34"/>
      <c r="IWH293" s="34"/>
      <c r="IWI293" s="34"/>
      <c r="IWJ293" s="34"/>
      <c r="IWK293" s="34"/>
      <c r="IWL293" s="34"/>
      <c r="IWM293" s="34"/>
      <c r="IWN293" s="34"/>
      <c r="IWO293" s="34"/>
      <c r="IWP293" s="34"/>
      <c r="IWQ293" s="34"/>
      <c r="IWR293" s="34"/>
      <c r="IWS293" s="34"/>
      <c r="IWT293" s="34"/>
      <c r="IWU293" s="34"/>
      <c r="IWV293" s="34"/>
      <c r="IWW293" s="34"/>
      <c r="IWX293" s="34"/>
      <c r="IWY293" s="34"/>
      <c r="IWZ293" s="34"/>
      <c r="IXA293" s="34"/>
      <c r="IXB293" s="34"/>
      <c r="IXC293" s="34"/>
      <c r="IXD293" s="34"/>
      <c r="IXE293" s="34"/>
      <c r="IXF293" s="34"/>
      <c r="IXG293" s="34"/>
      <c r="IXH293" s="34"/>
      <c r="IXI293" s="34"/>
      <c r="IXJ293" s="34"/>
      <c r="IXK293" s="34"/>
      <c r="IXL293" s="34"/>
      <c r="IXM293" s="34"/>
      <c r="IXN293" s="34"/>
      <c r="IXO293" s="34"/>
      <c r="IXP293" s="34"/>
      <c r="IXQ293" s="34"/>
      <c r="IXR293" s="34"/>
      <c r="IXS293" s="34"/>
      <c r="IXT293" s="34"/>
      <c r="IXU293" s="34"/>
      <c r="IXV293" s="34"/>
      <c r="IXW293" s="34"/>
      <c r="IXX293" s="34"/>
      <c r="IXY293" s="34"/>
      <c r="IXZ293" s="34"/>
      <c r="IYA293" s="34"/>
      <c r="IYB293" s="34"/>
      <c r="IYC293" s="34"/>
      <c r="IYD293" s="34"/>
      <c r="IYE293" s="34"/>
      <c r="IYF293" s="34"/>
      <c r="IYG293" s="34"/>
      <c r="IYH293" s="34"/>
      <c r="IYI293" s="34"/>
      <c r="IYJ293" s="34"/>
      <c r="IYK293" s="34"/>
      <c r="IYL293" s="34"/>
      <c r="IYM293" s="34"/>
      <c r="IYN293" s="34"/>
      <c r="IYO293" s="34"/>
      <c r="IYP293" s="34"/>
      <c r="IYQ293" s="34"/>
      <c r="IYR293" s="34"/>
      <c r="IYS293" s="34"/>
      <c r="IYT293" s="34"/>
      <c r="IYU293" s="34"/>
      <c r="IYV293" s="34"/>
      <c r="IYW293" s="34"/>
      <c r="IYX293" s="34"/>
      <c r="IYY293" s="34"/>
      <c r="IYZ293" s="34"/>
      <c r="IZA293" s="34"/>
      <c r="IZB293" s="34"/>
      <c r="IZC293" s="34"/>
      <c r="IZD293" s="34"/>
      <c r="IZE293" s="34"/>
      <c r="IZF293" s="34"/>
      <c r="IZG293" s="34"/>
      <c r="IZH293" s="34"/>
      <c r="IZI293" s="34"/>
      <c r="IZJ293" s="34"/>
      <c r="IZK293" s="34"/>
      <c r="IZL293" s="34"/>
      <c r="IZM293" s="34"/>
      <c r="IZN293" s="34"/>
      <c r="IZO293" s="34"/>
      <c r="IZP293" s="34"/>
      <c r="IZQ293" s="34"/>
      <c r="IZR293" s="34"/>
      <c r="IZS293" s="34"/>
      <c r="IZT293" s="34"/>
      <c r="IZU293" s="34"/>
      <c r="IZV293" s="34"/>
      <c r="IZW293" s="34"/>
      <c r="IZX293" s="34"/>
      <c r="IZY293" s="34"/>
      <c r="IZZ293" s="34"/>
      <c r="JAA293" s="34"/>
      <c r="JAB293" s="34"/>
      <c r="JAC293" s="34"/>
      <c r="JAD293" s="34"/>
      <c r="JAE293" s="34"/>
      <c r="JAF293" s="34"/>
      <c r="JAG293" s="34"/>
      <c r="JAH293" s="34"/>
      <c r="JAI293" s="34"/>
      <c r="JAJ293" s="34"/>
      <c r="JAK293" s="34"/>
      <c r="JAL293" s="34"/>
      <c r="JAM293" s="34"/>
      <c r="JAN293" s="34"/>
      <c r="JAO293" s="34"/>
      <c r="JAP293" s="34"/>
      <c r="JAQ293" s="34"/>
      <c r="JAR293" s="34"/>
      <c r="JAS293" s="34"/>
      <c r="JAT293" s="34"/>
      <c r="JAU293" s="34"/>
      <c r="JAV293" s="34"/>
      <c r="JAW293" s="34"/>
      <c r="JAX293" s="34"/>
      <c r="JAY293" s="34"/>
      <c r="JAZ293" s="34"/>
      <c r="JBA293" s="34"/>
      <c r="JBB293" s="34"/>
      <c r="JBC293" s="34"/>
      <c r="JBD293" s="34"/>
      <c r="JBE293" s="34"/>
      <c r="JBF293" s="34"/>
      <c r="JBG293" s="34"/>
      <c r="JBH293" s="34"/>
      <c r="JBI293" s="34"/>
      <c r="JBJ293" s="34"/>
      <c r="JBK293" s="34"/>
      <c r="JBL293" s="34"/>
      <c r="JBM293" s="34"/>
      <c r="JBN293" s="34"/>
      <c r="JBO293" s="34"/>
      <c r="JBP293" s="34"/>
      <c r="JBQ293" s="34"/>
      <c r="JBR293" s="34"/>
      <c r="JBS293" s="34"/>
      <c r="JBT293" s="34"/>
      <c r="JBU293" s="34"/>
      <c r="JBV293" s="34"/>
      <c r="JBW293" s="34"/>
      <c r="JBX293" s="34"/>
      <c r="JBY293" s="34"/>
      <c r="JBZ293" s="34"/>
      <c r="JCA293" s="34"/>
      <c r="JCB293" s="34"/>
      <c r="JCC293" s="34"/>
      <c r="JCD293" s="34"/>
      <c r="JCE293" s="34"/>
      <c r="JCF293" s="34"/>
      <c r="JCG293" s="34"/>
      <c r="JCH293" s="34"/>
      <c r="JCI293" s="34"/>
      <c r="JCJ293" s="34"/>
      <c r="JCK293" s="34"/>
      <c r="JCL293" s="34"/>
      <c r="JCM293" s="34"/>
      <c r="JCN293" s="34"/>
      <c r="JCO293" s="34"/>
      <c r="JCP293" s="34"/>
      <c r="JCQ293" s="34"/>
      <c r="JCR293" s="34"/>
      <c r="JCS293" s="34"/>
      <c r="JCT293" s="34"/>
      <c r="JCU293" s="34"/>
      <c r="JCV293" s="34"/>
      <c r="JCW293" s="34"/>
      <c r="JCX293" s="34"/>
      <c r="JCY293" s="34"/>
      <c r="JCZ293" s="34"/>
      <c r="JDA293" s="34"/>
      <c r="JDB293" s="34"/>
      <c r="JDC293" s="34"/>
      <c r="JDD293" s="34"/>
      <c r="JDE293" s="34"/>
      <c r="JDF293" s="34"/>
      <c r="JDG293" s="34"/>
      <c r="JDH293" s="34"/>
      <c r="JDI293" s="34"/>
      <c r="JDJ293" s="34"/>
      <c r="JDK293" s="34"/>
      <c r="JDL293" s="34"/>
      <c r="JDM293" s="34"/>
      <c r="JDN293" s="34"/>
      <c r="JDO293" s="34"/>
      <c r="JDP293" s="34"/>
      <c r="JDQ293" s="34"/>
      <c r="JDR293" s="34"/>
      <c r="JDS293" s="34"/>
      <c r="JDT293" s="34"/>
      <c r="JDU293" s="34"/>
      <c r="JDV293" s="34"/>
      <c r="JDW293" s="34"/>
      <c r="JDX293" s="34"/>
      <c r="JDY293" s="34"/>
      <c r="JDZ293" s="34"/>
      <c r="JEA293" s="34"/>
      <c r="JEB293" s="34"/>
      <c r="JEC293" s="34"/>
      <c r="JED293" s="34"/>
      <c r="JEE293" s="34"/>
      <c r="JEF293" s="34"/>
      <c r="JEG293" s="34"/>
      <c r="JEH293" s="34"/>
      <c r="JEI293" s="34"/>
      <c r="JEJ293" s="34"/>
      <c r="JEK293" s="34"/>
      <c r="JEL293" s="34"/>
      <c r="JEM293" s="34"/>
      <c r="JEN293" s="34"/>
      <c r="JEO293" s="34"/>
      <c r="JEP293" s="34"/>
      <c r="JEQ293" s="34"/>
      <c r="JER293" s="34"/>
      <c r="JES293" s="34"/>
      <c r="JET293" s="34"/>
      <c r="JEU293" s="34"/>
      <c r="JEV293" s="34"/>
      <c r="JEW293" s="34"/>
      <c r="JEX293" s="34"/>
      <c r="JEY293" s="34"/>
      <c r="JEZ293" s="34"/>
      <c r="JFA293" s="34"/>
      <c r="JFB293" s="34"/>
      <c r="JFC293" s="34"/>
      <c r="JFD293" s="34"/>
      <c r="JFE293" s="34"/>
      <c r="JFF293" s="34"/>
      <c r="JFG293" s="34"/>
      <c r="JFH293" s="34"/>
      <c r="JFI293" s="34"/>
      <c r="JFJ293" s="34"/>
      <c r="JFK293" s="34"/>
      <c r="JFL293" s="34"/>
      <c r="JFM293" s="34"/>
      <c r="JFN293" s="34"/>
      <c r="JFO293" s="34"/>
      <c r="JFP293" s="34"/>
      <c r="JFQ293" s="34"/>
      <c r="JFR293" s="34"/>
      <c r="JFS293" s="34"/>
      <c r="JFT293" s="34"/>
      <c r="JFU293" s="34"/>
      <c r="JFV293" s="34"/>
      <c r="JFW293" s="34"/>
      <c r="JFX293" s="34"/>
      <c r="JFY293" s="34"/>
      <c r="JFZ293" s="34"/>
      <c r="JGA293" s="34"/>
      <c r="JGB293" s="34"/>
      <c r="JGC293" s="34"/>
      <c r="JGD293" s="34"/>
      <c r="JGE293" s="34"/>
      <c r="JGF293" s="34"/>
      <c r="JGG293" s="34"/>
      <c r="JGH293" s="34"/>
      <c r="JGI293" s="34"/>
      <c r="JGJ293" s="34"/>
      <c r="JGK293" s="34"/>
      <c r="JGL293" s="34"/>
      <c r="JGM293" s="34"/>
      <c r="JGN293" s="34"/>
      <c r="JGO293" s="34"/>
      <c r="JGP293" s="34"/>
      <c r="JGQ293" s="34"/>
      <c r="JGR293" s="34"/>
      <c r="JGS293" s="34"/>
      <c r="JGT293" s="34"/>
      <c r="JGU293" s="34"/>
      <c r="JGV293" s="34"/>
      <c r="JGW293" s="34"/>
      <c r="JGX293" s="34"/>
      <c r="JGY293" s="34"/>
      <c r="JGZ293" s="34"/>
      <c r="JHA293" s="34"/>
      <c r="JHB293" s="34"/>
      <c r="JHC293" s="34"/>
      <c r="JHD293" s="34"/>
      <c r="JHE293" s="34"/>
      <c r="JHF293" s="34"/>
      <c r="JHG293" s="34"/>
      <c r="JHH293" s="34"/>
      <c r="JHI293" s="34"/>
      <c r="JHJ293" s="34"/>
      <c r="JHK293" s="34"/>
      <c r="JHL293" s="34"/>
      <c r="JHM293" s="34"/>
      <c r="JHN293" s="34"/>
      <c r="JHO293" s="34"/>
      <c r="JHP293" s="34"/>
      <c r="JHQ293" s="34"/>
      <c r="JHR293" s="34"/>
      <c r="JHS293" s="34"/>
      <c r="JHT293" s="34"/>
      <c r="JHU293" s="34"/>
      <c r="JHV293" s="34"/>
      <c r="JHW293" s="34"/>
      <c r="JHX293" s="34"/>
      <c r="JHY293" s="34"/>
      <c r="JHZ293" s="34"/>
      <c r="JIA293" s="34"/>
      <c r="JIB293" s="34"/>
      <c r="JIC293" s="34"/>
      <c r="JID293" s="34"/>
      <c r="JIE293" s="34"/>
      <c r="JIF293" s="34"/>
      <c r="JIG293" s="34"/>
      <c r="JIH293" s="34"/>
      <c r="JII293" s="34"/>
      <c r="JIJ293" s="34"/>
      <c r="JIK293" s="34"/>
      <c r="JIL293" s="34"/>
      <c r="JIM293" s="34"/>
      <c r="JIN293" s="34"/>
      <c r="JIO293" s="34"/>
      <c r="JIP293" s="34"/>
      <c r="JIQ293" s="34"/>
      <c r="JIR293" s="34"/>
      <c r="JIS293" s="34"/>
      <c r="JIT293" s="34"/>
      <c r="JIU293" s="34"/>
      <c r="JIV293" s="34"/>
      <c r="JIW293" s="34"/>
      <c r="JIX293" s="34"/>
      <c r="JIY293" s="34"/>
      <c r="JIZ293" s="34"/>
      <c r="JJA293" s="34"/>
      <c r="JJB293" s="34"/>
      <c r="JJC293" s="34"/>
      <c r="JJD293" s="34"/>
      <c r="JJE293" s="34"/>
      <c r="JJF293" s="34"/>
      <c r="JJG293" s="34"/>
      <c r="JJH293" s="34"/>
      <c r="JJI293" s="34"/>
      <c r="JJJ293" s="34"/>
      <c r="JJK293" s="34"/>
      <c r="JJL293" s="34"/>
      <c r="JJM293" s="34"/>
      <c r="JJN293" s="34"/>
      <c r="JJO293" s="34"/>
      <c r="JJP293" s="34"/>
      <c r="JJQ293" s="34"/>
      <c r="JJR293" s="34"/>
      <c r="JJS293" s="34"/>
      <c r="JJT293" s="34"/>
      <c r="JJU293" s="34"/>
      <c r="JJV293" s="34"/>
      <c r="JJW293" s="34"/>
      <c r="JJX293" s="34"/>
      <c r="JJY293" s="34"/>
      <c r="JJZ293" s="34"/>
      <c r="JKA293" s="34"/>
      <c r="JKB293" s="34"/>
      <c r="JKC293" s="34"/>
      <c r="JKD293" s="34"/>
      <c r="JKE293" s="34"/>
      <c r="JKF293" s="34"/>
      <c r="JKG293" s="34"/>
      <c r="JKH293" s="34"/>
      <c r="JKI293" s="34"/>
      <c r="JKJ293" s="34"/>
      <c r="JKK293" s="34"/>
      <c r="JKL293" s="34"/>
      <c r="JKM293" s="34"/>
      <c r="JKN293" s="34"/>
      <c r="JKO293" s="34"/>
      <c r="JKP293" s="34"/>
      <c r="JKQ293" s="34"/>
      <c r="JKR293" s="34"/>
      <c r="JKS293" s="34"/>
      <c r="JKT293" s="34"/>
      <c r="JKU293" s="34"/>
      <c r="JKV293" s="34"/>
      <c r="JKW293" s="34"/>
      <c r="JKX293" s="34"/>
      <c r="JKY293" s="34"/>
      <c r="JKZ293" s="34"/>
      <c r="JLA293" s="34"/>
      <c r="JLB293" s="34"/>
      <c r="JLC293" s="34"/>
      <c r="JLD293" s="34"/>
      <c r="JLE293" s="34"/>
      <c r="JLF293" s="34"/>
      <c r="JLG293" s="34"/>
      <c r="JLH293" s="34"/>
      <c r="JLI293" s="34"/>
      <c r="JLJ293" s="34"/>
      <c r="JLK293" s="34"/>
      <c r="JLL293" s="34"/>
      <c r="JLM293" s="34"/>
      <c r="JLN293" s="34"/>
      <c r="JLO293" s="34"/>
      <c r="JLP293" s="34"/>
      <c r="JLQ293" s="34"/>
      <c r="JLR293" s="34"/>
      <c r="JLS293" s="34"/>
      <c r="JLT293" s="34"/>
      <c r="JLU293" s="34"/>
      <c r="JLV293" s="34"/>
      <c r="JLW293" s="34"/>
      <c r="JLX293" s="34"/>
      <c r="JLY293" s="34"/>
      <c r="JLZ293" s="34"/>
      <c r="JMA293" s="34"/>
      <c r="JMB293" s="34"/>
      <c r="JMC293" s="34"/>
      <c r="JMD293" s="34"/>
      <c r="JME293" s="34"/>
      <c r="JMF293" s="34"/>
      <c r="JMG293" s="34"/>
      <c r="JMH293" s="34"/>
      <c r="JMI293" s="34"/>
      <c r="JMJ293" s="34"/>
      <c r="JMK293" s="34"/>
      <c r="JML293" s="34"/>
      <c r="JMM293" s="34"/>
      <c r="JMN293" s="34"/>
      <c r="JMO293" s="34"/>
      <c r="JMP293" s="34"/>
      <c r="JMQ293" s="34"/>
      <c r="JMR293" s="34"/>
      <c r="JMS293" s="34"/>
      <c r="JMT293" s="34"/>
      <c r="JMU293" s="34"/>
      <c r="JMV293" s="34"/>
      <c r="JMW293" s="34"/>
      <c r="JMX293" s="34"/>
      <c r="JMY293" s="34"/>
      <c r="JMZ293" s="34"/>
      <c r="JNA293" s="34"/>
      <c r="JNB293" s="34"/>
      <c r="JNC293" s="34"/>
      <c r="JND293" s="34"/>
      <c r="JNE293" s="34"/>
      <c r="JNF293" s="34"/>
      <c r="JNG293" s="34"/>
      <c r="JNH293" s="34"/>
      <c r="JNI293" s="34"/>
      <c r="JNJ293" s="34"/>
      <c r="JNK293" s="34"/>
      <c r="JNL293" s="34"/>
      <c r="JNM293" s="34"/>
      <c r="JNN293" s="34"/>
      <c r="JNO293" s="34"/>
      <c r="JNP293" s="34"/>
      <c r="JNQ293" s="34"/>
      <c r="JNR293" s="34"/>
      <c r="JNS293" s="34"/>
      <c r="JNT293" s="34"/>
      <c r="JNU293" s="34"/>
      <c r="JNV293" s="34"/>
      <c r="JNW293" s="34"/>
      <c r="JNX293" s="34"/>
      <c r="JNY293" s="34"/>
      <c r="JNZ293" s="34"/>
      <c r="JOA293" s="34"/>
      <c r="JOB293" s="34"/>
      <c r="JOC293" s="34"/>
      <c r="JOD293" s="34"/>
      <c r="JOE293" s="34"/>
      <c r="JOF293" s="34"/>
      <c r="JOG293" s="34"/>
      <c r="JOH293" s="34"/>
      <c r="JOI293" s="34"/>
      <c r="JOJ293" s="34"/>
      <c r="JOK293" s="34"/>
      <c r="JOL293" s="34"/>
      <c r="JOM293" s="34"/>
      <c r="JON293" s="34"/>
      <c r="JOO293" s="34"/>
      <c r="JOP293" s="34"/>
      <c r="JOQ293" s="34"/>
      <c r="JOR293" s="34"/>
      <c r="JOS293" s="34"/>
      <c r="JOT293" s="34"/>
      <c r="JOU293" s="34"/>
      <c r="JOV293" s="34"/>
      <c r="JOW293" s="34"/>
      <c r="JOX293" s="34"/>
      <c r="JOY293" s="34"/>
      <c r="JOZ293" s="34"/>
      <c r="JPA293" s="34"/>
      <c r="JPB293" s="34"/>
      <c r="JPC293" s="34"/>
      <c r="JPD293" s="34"/>
      <c r="JPE293" s="34"/>
      <c r="JPF293" s="34"/>
      <c r="JPG293" s="34"/>
      <c r="JPH293" s="34"/>
      <c r="JPI293" s="34"/>
      <c r="JPJ293" s="34"/>
      <c r="JPK293" s="34"/>
      <c r="JPL293" s="34"/>
      <c r="JPM293" s="34"/>
      <c r="JPN293" s="34"/>
      <c r="JPO293" s="34"/>
      <c r="JPP293" s="34"/>
      <c r="JPQ293" s="34"/>
      <c r="JPR293" s="34"/>
      <c r="JPS293" s="34"/>
      <c r="JPT293" s="34"/>
      <c r="JPU293" s="34"/>
      <c r="JPV293" s="34"/>
      <c r="JPW293" s="34"/>
      <c r="JPX293" s="34"/>
      <c r="JPY293" s="34"/>
      <c r="JPZ293" s="34"/>
      <c r="JQA293" s="34"/>
      <c r="JQB293" s="34"/>
      <c r="JQC293" s="34"/>
      <c r="JQD293" s="34"/>
      <c r="JQE293" s="34"/>
      <c r="JQF293" s="34"/>
      <c r="JQG293" s="34"/>
      <c r="JQH293" s="34"/>
      <c r="JQI293" s="34"/>
      <c r="JQJ293" s="34"/>
      <c r="JQK293" s="34"/>
      <c r="JQL293" s="34"/>
      <c r="JQM293" s="34"/>
      <c r="JQN293" s="34"/>
      <c r="JQO293" s="34"/>
      <c r="JQP293" s="34"/>
      <c r="JQQ293" s="34"/>
      <c r="JQR293" s="34"/>
      <c r="JQS293" s="34"/>
      <c r="JQT293" s="34"/>
      <c r="JQU293" s="34"/>
      <c r="JQV293" s="34"/>
      <c r="JQW293" s="34"/>
      <c r="JQX293" s="34"/>
      <c r="JQY293" s="34"/>
      <c r="JQZ293" s="34"/>
      <c r="JRA293" s="34"/>
      <c r="JRB293" s="34"/>
      <c r="JRC293" s="34"/>
      <c r="JRD293" s="34"/>
      <c r="JRE293" s="34"/>
      <c r="JRF293" s="34"/>
      <c r="JRG293" s="34"/>
      <c r="JRH293" s="34"/>
      <c r="JRI293" s="34"/>
      <c r="JRJ293" s="34"/>
      <c r="JRK293" s="34"/>
      <c r="JRL293" s="34"/>
      <c r="JRM293" s="34"/>
      <c r="JRN293" s="34"/>
      <c r="JRO293" s="34"/>
      <c r="JRP293" s="34"/>
      <c r="JRQ293" s="34"/>
      <c r="JRR293" s="34"/>
      <c r="JRS293" s="34"/>
      <c r="JRT293" s="34"/>
      <c r="JRU293" s="34"/>
      <c r="JRV293" s="34"/>
      <c r="JRW293" s="34"/>
      <c r="JRX293" s="34"/>
      <c r="JRY293" s="34"/>
      <c r="JRZ293" s="34"/>
      <c r="JSA293" s="34"/>
      <c r="JSB293" s="34"/>
      <c r="JSC293" s="34"/>
      <c r="JSD293" s="34"/>
      <c r="JSE293" s="34"/>
      <c r="JSF293" s="34"/>
      <c r="JSG293" s="34"/>
      <c r="JSH293" s="34"/>
      <c r="JSI293" s="34"/>
      <c r="JSJ293" s="34"/>
      <c r="JSK293" s="34"/>
      <c r="JSL293" s="34"/>
      <c r="JSM293" s="34"/>
      <c r="JSN293" s="34"/>
      <c r="JSO293" s="34"/>
      <c r="JSP293" s="34"/>
      <c r="JSQ293" s="34"/>
      <c r="JSR293" s="34"/>
      <c r="JSS293" s="34"/>
      <c r="JST293" s="34"/>
      <c r="JSU293" s="34"/>
      <c r="JSV293" s="34"/>
      <c r="JSW293" s="34"/>
      <c r="JSX293" s="34"/>
      <c r="JSY293" s="34"/>
      <c r="JSZ293" s="34"/>
      <c r="JTA293" s="34"/>
      <c r="JTB293" s="34"/>
      <c r="JTC293" s="34"/>
      <c r="JTD293" s="34"/>
      <c r="JTE293" s="34"/>
      <c r="JTF293" s="34"/>
      <c r="JTG293" s="34"/>
      <c r="JTH293" s="34"/>
      <c r="JTI293" s="34"/>
      <c r="JTJ293" s="34"/>
      <c r="JTK293" s="34"/>
      <c r="JTL293" s="34"/>
      <c r="JTM293" s="34"/>
      <c r="JTN293" s="34"/>
      <c r="JTO293" s="34"/>
      <c r="JTP293" s="34"/>
      <c r="JTQ293" s="34"/>
      <c r="JTR293" s="34"/>
      <c r="JTS293" s="34"/>
      <c r="JTT293" s="34"/>
      <c r="JTU293" s="34"/>
      <c r="JTV293" s="34"/>
      <c r="JTW293" s="34"/>
      <c r="JTX293" s="34"/>
      <c r="JTY293" s="34"/>
      <c r="JTZ293" s="34"/>
      <c r="JUA293" s="34"/>
      <c r="JUB293" s="34"/>
      <c r="JUC293" s="34"/>
      <c r="JUD293" s="34"/>
      <c r="JUE293" s="34"/>
      <c r="JUF293" s="34"/>
      <c r="JUG293" s="34"/>
      <c r="JUH293" s="34"/>
      <c r="JUI293" s="34"/>
      <c r="JUJ293" s="34"/>
      <c r="JUK293" s="34"/>
      <c r="JUL293" s="34"/>
      <c r="JUM293" s="34"/>
      <c r="JUN293" s="34"/>
      <c r="JUO293" s="34"/>
      <c r="JUP293" s="34"/>
      <c r="JUQ293" s="34"/>
      <c r="JUR293" s="34"/>
      <c r="JUS293" s="34"/>
      <c r="JUT293" s="34"/>
      <c r="JUU293" s="34"/>
      <c r="JUV293" s="34"/>
      <c r="JUW293" s="34"/>
      <c r="JUX293" s="34"/>
      <c r="JUY293" s="34"/>
      <c r="JUZ293" s="34"/>
      <c r="JVA293" s="34"/>
      <c r="JVB293" s="34"/>
      <c r="JVC293" s="34"/>
      <c r="JVD293" s="34"/>
      <c r="JVE293" s="34"/>
      <c r="JVF293" s="34"/>
      <c r="JVG293" s="34"/>
      <c r="JVH293" s="34"/>
      <c r="JVI293" s="34"/>
      <c r="JVJ293" s="34"/>
      <c r="JVK293" s="34"/>
      <c r="JVL293" s="34"/>
      <c r="JVM293" s="34"/>
      <c r="JVN293" s="34"/>
      <c r="JVO293" s="34"/>
      <c r="JVP293" s="34"/>
      <c r="JVQ293" s="34"/>
      <c r="JVR293" s="34"/>
      <c r="JVS293" s="34"/>
      <c r="JVT293" s="34"/>
      <c r="JVU293" s="34"/>
      <c r="JVV293" s="34"/>
      <c r="JVW293" s="34"/>
      <c r="JVX293" s="34"/>
      <c r="JVY293" s="34"/>
      <c r="JVZ293" s="34"/>
      <c r="JWA293" s="34"/>
      <c r="JWB293" s="34"/>
      <c r="JWC293" s="34"/>
      <c r="JWD293" s="34"/>
      <c r="JWE293" s="34"/>
      <c r="JWF293" s="34"/>
      <c r="JWG293" s="34"/>
      <c r="JWH293" s="34"/>
      <c r="JWI293" s="34"/>
      <c r="JWJ293" s="34"/>
      <c r="JWK293" s="34"/>
      <c r="JWL293" s="34"/>
      <c r="JWM293" s="34"/>
      <c r="JWN293" s="34"/>
      <c r="JWO293" s="34"/>
      <c r="JWP293" s="34"/>
      <c r="JWQ293" s="34"/>
      <c r="JWR293" s="34"/>
      <c r="JWS293" s="34"/>
      <c r="JWT293" s="34"/>
      <c r="JWU293" s="34"/>
      <c r="JWV293" s="34"/>
      <c r="JWW293" s="34"/>
      <c r="JWX293" s="34"/>
      <c r="JWY293" s="34"/>
      <c r="JWZ293" s="34"/>
      <c r="JXA293" s="34"/>
      <c r="JXB293" s="34"/>
      <c r="JXC293" s="34"/>
      <c r="JXD293" s="34"/>
      <c r="JXE293" s="34"/>
      <c r="JXF293" s="34"/>
      <c r="JXG293" s="34"/>
      <c r="JXH293" s="34"/>
      <c r="JXI293" s="34"/>
      <c r="JXJ293" s="34"/>
      <c r="JXK293" s="34"/>
      <c r="JXL293" s="34"/>
      <c r="JXM293" s="34"/>
      <c r="JXN293" s="34"/>
      <c r="JXO293" s="34"/>
      <c r="JXP293" s="34"/>
      <c r="JXQ293" s="34"/>
      <c r="JXR293" s="34"/>
      <c r="JXS293" s="34"/>
      <c r="JXT293" s="34"/>
      <c r="JXU293" s="34"/>
      <c r="JXV293" s="34"/>
      <c r="JXW293" s="34"/>
      <c r="JXX293" s="34"/>
      <c r="JXY293" s="34"/>
      <c r="JXZ293" s="34"/>
      <c r="JYA293" s="34"/>
      <c r="JYB293" s="34"/>
      <c r="JYC293" s="34"/>
      <c r="JYD293" s="34"/>
      <c r="JYE293" s="34"/>
      <c r="JYF293" s="34"/>
      <c r="JYG293" s="34"/>
      <c r="JYH293" s="34"/>
      <c r="JYI293" s="34"/>
      <c r="JYJ293" s="34"/>
      <c r="JYK293" s="34"/>
      <c r="JYL293" s="34"/>
      <c r="JYM293" s="34"/>
      <c r="JYN293" s="34"/>
      <c r="JYO293" s="34"/>
      <c r="JYP293" s="34"/>
      <c r="JYQ293" s="34"/>
      <c r="JYR293" s="34"/>
      <c r="JYS293" s="34"/>
      <c r="JYT293" s="34"/>
      <c r="JYU293" s="34"/>
      <c r="JYV293" s="34"/>
      <c r="JYW293" s="34"/>
      <c r="JYX293" s="34"/>
      <c r="JYY293" s="34"/>
      <c r="JYZ293" s="34"/>
      <c r="JZA293" s="34"/>
      <c r="JZB293" s="34"/>
      <c r="JZC293" s="34"/>
      <c r="JZD293" s="34"/>
      <c r="JZE293" s="34"/>
      <c r="JZF293" s="34"/>
      <c r="JZG293" s="34"/>
      <c r="JZH293" s="34"/>
      <c r="JZI293" s="34"/>
      <c r="JZJ293" s="34"/>
      <c r="JZK293" s="34"/>
      <c r="JZL293" s="34"/>
      <c r="JZM293" s="34"/>
      <c r="JZN293" s="34"/>
      <c r="JZO293" s="34"/>
      <c r="JZP293" s="34"/>
      <c r="JZQ293" s="34"/>
      <c r="JZR293" s="34"/>
      <c r="JZS293" s="34"/>
      <c r="JZT293" s="34"/>
      <c r="JZU293" s="34"/>
      <c r="JZV293" s="34"/>
      <c r="JZW293" s="34"/>
      <c r="JZX293" s="34"/>
      <c r="JZY293" s="34"/>
      <c r="JZZ293" s="34"/>
      <c r="KAA293" s="34"/>
      <c r="KAB293" s="34"/>
      <c r="KAC293" s="34"/>
      <c r="KAD293" s="34"/>
      <c r="KAE293" s="34"/>
      <c r="KAF293" s="34"/>
      <c r="KAG293" s="34"/>
      <c r="KAH293" s="34"/>
      <c r="KAI293" s="34"/>
      <c r="KAJ293" s="34"/>
      <c r="KAK293" s="34"/>
      <c r="KAL293" s="34"/>
      <c r="KAM293" s="34"/>
      <c r="KAN293" s="34"/>
      <c r="KAO293" s="34"/>
      <c r="KAP293" s="34"/>
      <c r="KAQ293" s="34"/>
      <c r="KAR293" s="34"/>
      <c r="KAS293" s="34"/>
      <c r="KAT293" s="34"/>
      <c r="KAU293" s="34"/>
      <c r="KAV293" s="34"/>
      <c r="KAW293" s="34"/>
      <c r="KAX293" s="34"/>
      <c r="KAY293" s="34"/>
      <c r="KAZ293" s="34"/>
      <c r="KBA293" s="34"/>
      <c r="KBB293" s="34"/>
      <c r="KBC293" s="34"/>
      <c r="KBD293" s="34"/>
      <c r="KBE293" s="34"/>
      <c r="KBF293" s="34"/>
      <c r="KBG293" s="34"/>
      <c r="KBH293" s="34"/>
      <c r="KBI293" s="34"/>
      <c r="KBJ293" s="34"/>
      <c r="KBK293" s="34"/>
      <c r="KBL293" s="34"/>
      <c r="KBM293" s="34"/>
      <c r="KBN293" s="34"/>
      <c r="KBO293" s="34"/>
      <c r="KBP293" s="34"/>
      <c r="KBQ293" s="34"/>
      <c r="KBR293" s="34"/>
      <c r="KBS293" s="34"/>
      <c r="KBT293" s="34"/>
      <c r="KBU293" s="34"/>
      <c r="KBV293" s="34"/>
      <c r="KBW293" s="34"/>
      <c r="KBX293" s="34"/>
      <c r="KBY293" s="34"/>
      <c r="KBZ293" s="34"/>
      <c r="KCA293" s="34"/>
      <c r="KCB293" s="34"/>
      <c r="KCC293" s="34"/>
      <c r="KCD293" s="34"/>
      <c r="KCE293" s="34"/>
      <c r="KCF293" s="34"/>
      <c r="KCG293" s="34"/>
      <c r="KCH293" s="34"/>
      <c r="KCI293" s="34"/>
      <c r="KCJ293" s="34"/>
      <c r="KCK293" s="34"/>
      <c r="KCL293" s="34"/>
      <c r="KCM293" s="34"/>
      <c r="KCN293" s="34"/>
      <c r="KCO293" s="34"/>
      <c r="KCP293" s="34"/>
      <c r="KCQ293" s="34"/>
      <c r="KCR293" s="34"/>
      <c r="KCS293" s="34"/>
      <c r="KCT293" s="34"/>
      <c r="KCU293" s="34"/>
      <c r="KCV293" s="34"/>
      <c r="KCW293" s="34"/>
      <c r="KCX293" s="34"/>
      <c r="KCY293" s="34"/>
      <c r="KCZ293" s="34"/>
      <c r="KDA293" s="34"/>
      <c r="KDB293" s="34"/>
      <c r="KDC293" s="34"/>
      <c r="KDD293" s="34"/>
      <c r="KDE293" s="34"/>
      <c r="KDF293" s="34"/>
      <c r="KDG293" s="34"/>
      <c r="KDH293" s="34"/>
      <c r="KDI293" s="34"/>
      <c r="KDJ293" s="34"/>
      <c r="KDK293" s="34"/>
      <c r="KDL293" s="34"/>
      <c r="KDM293" s="34"/>
      <c r="KDN293" s="34"/>
      <c r="KDO293" s="34"/>
      <c r="KDP293" s="34"/>
      <c r="KDQ293" s="34"/>
      <c r="KDR293" s="34"/>
      <c r="KDS293" s="34"/>
      <c r="KDT293" s="34"/>
      <c r="KDU293" s="34"/>
      <c r="KDV293" s="34"/>
      <c r="KDW293" s="34"/>
      <c r="KDX293" s="34"/>
      <c r="KDY293" s="34"/>
      <c r="KDZ293" s="34"/>
      <c r="KEA293" s="34"/>
      <c r="KEB293" s="34"/>
      <c r="KEC293" s="34"/>
      <c r="KED293" s="34"/>
      <c r="KEE293" s="34"/>
      <c r="KEF293" s="34"/>
      <c r="KEG293" s="34"/>
      <c r="KEH293" s="34"/>
      <c r="KEI293" s="34"/>
      <c r="KEJ293" s="34"/>
      <c r="KEK293" s="34"/>
      <c r="KEL293" s="34"/>
      <c r="KEM293" s="34"/>
      <c r="KEN293" s="34"/>
      <c r="KEO293" s="34"/>
      <c r="KEP293" s="34"/>
      <c r="KEQ293" s="34"/>
      <c r="KER293" s="34"/>
      <c r="KES293" s="34"/>
      <c r="KET293" s="34"/>
      <c r="KEU293" s="34"/>
      <c r="KEV293" s="34"/>
      <c r="KEW293" s="34"/>
      <c r="KEX293" s="34"/>
      <c r="KEY293" s="34"/>
      <c r="KEZ293" s="34"/>
      <c r="KFA293" s="34"/>
      <c r="KFB293" s="34"/>
      <c r="KFC293" s="34"/>
      <c r="KFD293" s="34"/>
      <c r="KFE293" s="34"/>
      <c r="KFF293" s="34"/>
      <c r="KFG293" s="34"/>
      <c r="KFH293" s="34"/>
      <c r="KFI293" s="34"/>
      <c r="KFJ293" s="34"/>
      <c r="KFK293" s="34"/>
      <c r="KFL293" s="34"/>
      <c r="KFM293" s="34"/>
      <c r="KFN293" s="34"/>
      <c r="KFO293" s="34"/>
      <c r="KFP293" s="34"/>
      <c r="KFQ293" s="34"/>
      <c r="KFR293" s="34"/>
      <c r="KFS293" s="34"/>
      <c r="KFT293" s="34"/>
      <c r="KFU293" s="34"/>
      <c r="KFV293" s="34"/>
      <c r="KFW293" s="34"/>
      <c r="KFX293" s="34"/>
      <c r="KFY293" s="34"/>
      <c r="KFZ293" s="34"/>
      <c r="KGA293" s="34"/>
      <c r="KGB293" s="34"/>
      <c r="KGC293" s="34"/>
      <c r="KGD293" s="34"/>
      <c r="KGE293" s="34"/>
      <c r="KGF293" s="34"/>
      <c r="KGG293" s="34"/>
      <c r="KGH293" s="34"/>
      <c r="KGI293" s="34"/>
      <c r="KGJ293" s="34"/>
      <c r="KGK293" s="34"/>
      <c r="KGL293" s="34"/>
      <c r="KGM293" s="34"/>
      <c r="KGN293" s="34"/>
      <c r="KGO293" s="34"/>
      <c r="KGP293" s="34"/>
      <c r="KGQ293" s="34"/>
      <c r="KGR293" s="34"/>
      <c r="KGS293" s="34"/>
      <c r="KGT293" s="34"/>
      <c r="KGU293" s="34"/>
      <c r="KGV293" s="34"/>
      <c r="KGW293" s="34"/>
      <c r="KGX293" s="34"/>
      <c r="KGY293" s="34"/>
      <c r="KGZ293" s="34"/>
      <c r="KHA293" s="34"/>
      <c r="KHB293" s="34"/>
      <c r="KHC293" s="34"/>
      <c r="KHD293" s="34"/>
      <c r="KHE293" s="34"/>
      <c r="KHF293" s="34"/>
      <c r="KHG293" s="34"/>
      <c r="KHH293" s="34"/>
      <c r="KHI293" s="34"/>
      <c r="KHJ293" s="34"/>
      <c r="KHK293" s="34"/>
      <c r="KHL293" s="34"/>
      <c r="KHM293" s="34"/>
      <c r="KHN293" s="34"/>
      <c r="KHO293" s="34"/>
      <c r="KHP293" s="34"/>
      <c r="KHQ293" s="34"/>
      <c r="KHR293" s="34"/>
      <c r="KHS293" s="34"/>
      <c r="KHT293" s="34"/>
      <c r="KHU293" s="34"/>
      <c r="KHV293" s="34"/>
      <c r="KHW293" s="34"/>
      <c r="KHX293" s="34"/>
      <c r="KHY293" s="34"/>
      <c r="KHZ293" s="34"/>
      <c r="KIA293" s="34"/>
      <c r="KIB293" s="34"/>
      <c r="KIC293" s="34"/>
      <c r="KID293" s="34"/>
      <c r="KIE293" s="34"/>
      <c r="KIF293" s="34"/>
      <c r="KIG293" s="34"/>
      <c r="KIH293" s="34"/>
      <c r="KII293" s="34"/>
      <c r="KIJ293" s="34"/>
      <c r="KIK293" s="34"/>
      <c r="KIL293" s="34"/>
      <c r="KIM293" s="34"/>
      <c r="KIN293" s="34"/>
      <c r="KIO293" s="34"/>
      <c r="KIP293" s="34"/>
      <c r="KIQ293" s="34"/>
      <c r="KIR293" s="34"/>
      <c r="KIS293" s="34"/>
      <c r="KIT293" s="34"/>
      <c r="KIU293" s="34"/>
      <c r="KIV293" s="34"/>
      <c r="KIW293" s="34"/>
      <c r="KIX293" s="34"/>
      <c r="KIY293" s="34"/>
      <c r="KIZ293" s="34"/>
      <c r="KJA293" s="34"/>
      <c r="KJB293" s="34"/>
      <c r="KJC293" s="34"/>
      <c r="KJD293" s="34"/>
      <c r="KJE293" s="34"/>
      <c r="KJF293" s="34"/>
      <c r="KJG293" s="34"/>
      <c r="KJH293" s="34"/>
      <c r="KJI293" s="34"/>
      <c r="KJJ293" s="34"/>
      <c r="KJK293" s="34"/>
      <c r="KJL293" s="34"/>
      <c r="KJM293" s="34"/>
      <c r="KJN293" s="34"/>
      <c r="KJO293" s="34"/>
      <c r="KJP293" s="34"/>
      <c r="KJQ293" s="34"/>
      <c r="KJR293" s="34"/>
      <c r="KJS293" s="34"/>
      <c r="KJT293" s="34"/>
      <c r="KJU293" s="34"/>
      <c r="KJV293" s="34"/>
      <c r="KJW293" s="34"/>
      <c r="KJX293" s="34"/>
      <c r="KJY293" s="34"/>
      <c r="KJZ293" s="34"/>
      <c r="KKA293" s="34"/>
      <c r="KKB293" s="34"/>
      <c r="KKC293" s="34"/>
      <c r="KKD293" s="34"/>
      <c r="KKE293" s="34"/>
      <c r="KKF293" s="34"/>
      <c r="KKG293" s="34"/>
      <c r="KKH293" s="34"/>
      <c r="KKI293" s="34"/>
      <c r="KKJ293" s="34"/>
      <c r="KKK293" s="34"/>
      <c r="KKL293" s="34"/>
      <c r="KKM293" s="34"/>
      <c r="KKN293" s="34"/>
      <c r="KKO293" s="34"/>
      <c r="KKP293" s="34"/>
      <c r="KKQ293" s="34"/>
      <c r="KKR293" s="34"/>
      <c r="KKS293" s="34"/>
      <c r="KKT293" s="34"/>
      <c r="KKU293" s="34"/>
      <c r="KKV293" s="34"/>
      <c r="KKW293" s="34"/>
      <c r="KKX293" s="34"/>
      <c r="KKY293" s="34"/>
      <c r="KKZ293" s="34"/>
      <c r="KLA293" s="34"/>
      <c r="KLB293" s="34"/>
      <c r="KLC293" s="34"/>
      <c r="KLD293" s="34"/>
      <c r="KLE293" s="34"/>
      <c r="KLF293" s="34"/>
      <c r="KLG293" s="34"/>
      <c r="KLH293" s="34"/>
      <c r="KLI293" s="34"/>
      <c r="KLJ293" s="34"/>
      <c r="KLK293" s="34"/>
      <c r="KLL293" s="34"/>
      <c r="KLM293" s="34"/>
      <c r="KLN293" s="34"/>
      <c r="KLO293" s="34"/>
      <c r="KLP293" s="34"/>
      <c r="KLQ293" s="34"/>
      <c r="KLR293" s="34"/>
      <c r="KLS293" s="34"/>
      <c r="KLT293" s="34"/>
      <c r="KLU293" s="34"/>
      <c r="KLV293" s="34"/>
      <c r="KLW293" s="34"/>
      <c r="KLX293" s="34"/>
      <c r="KLY293" s="34"/>
      <c r="KLZ293" s="34"/>
      <c r="KMA293" s="34"/>
      <c r="KMB293" s="34"/>
      <c r="KMC293" s="34"/>
      <c r="KMD293" s="34"/>
      <c r="KME293" s="34"/>
      <c r="KMF293" s="34"/>
      <c r="KMG293" s="34"/>
      <c r="KMH293" s="34"/>
      <c r="KMI293" s="34"/>
      <c r="KMJ293" s="34"/>
      <c r="KMK293" s="34"/>
      <c r="KML293" s="34"/>
      <c r="KMM293" s="34"/>
      <c r="KMN293" s="34"/>
      <c r="KMO293" s="34"/>
      <c r="KMP293" s="34"/>
      <c r="KMQ293" s="34"/>
      <c r="KMR293" s="34"/>
      <c r="KMS293" s="34"/>
      <c r="KMT293" s="34"/>
      <c r="KMU293" s="34"/>
      <c r="KMV293" s="34"/>
      <c r="KMW293" s="34"/>
      <c r="KMX293" s="34"/>
      <c r="KMY293" s="34"/>
      <c r="KMZ293" s="34"/>
      <c r="KNA293" s="34"/>
      <c r="KNB293" s="34"/>
      <c r="KNC293" s="34"/>
      <c r="KND293" s="34"/>
      <c r="KNE293" s="34"/>
      <c r="KNF293" s="34"/>
      <c r="KNG293" s="34"/>
      <c r="KNH293" s="34"/>
      <c r="KNI293" s="34"/>
      <c r="KNJ293" s="34"/>
      <c r="KNK293" s="34"/>
      <c r="KNL293" s="34"/>
      <c r="KNM293" s="34"/>
      <c r="KNN293" s="34"/>
      <c r="KNO293" s="34"/>
      <c r="KNP293" s="34"/>
      <c r="KNQ293" s="34"/>
      <c r="KNR293" s="34"/>
      <c r="KNS293" s="34"/>
      <c r="KNT293" s="34"/>
      <c r="KNU293" s="34"/>
      <c r="KNV293" s="34"/>
      <c r="KNW293" s="34"/>
      <c r="KNX293" s="34"/>
      <c r="KNY293" s="34"/>
      <c r="KNZ293" s="34"/>
      <c r="KOA293" s="34"/>
      <c r="KOB293" s="34"/>
      <c r="KOC293" s="34"/>
      <c r="KOD293" s="34"/>
      <c r="KOE293" s="34"/>
      <c r="KOF293" s="34"/>
      <c r="KOG293" s="34"/>
      <c r="KOH293" s="34"/>
      <c r="KOI293" s="34"/>
      <c r="KOJ293" s="34"/>
      <c r="KOK293" s="34"/>
      <c r="KOL293" s="34"/>
      <c r="KOM293" s="34"/>
      <c r="KON293" s="34"/>
      <c r="KOO293" s="34"/>
      <c r="KOP293" s="34"/>
      <c r="KOQ293" s="34"/>
      <c r="KOR293" s="34"/>
      <c r="KOS293" s="34"/>
      <c r="KOT293" s="34"/>
      <c r="KOU293" s="34"/>
      <c r="KOV293" s="34"/>
      <c r="KOW293" s="34"/>
      <c r="KOX293" s="34"/>
      <c r="KOY293" s="34"/>
      <c r="KOZ293" s="34"/>
      <c r="KPA293" s="34"/>
      <c r="KPB293" s="34"/>
      <c r="KPC293" s="34"/>
      <c r="KPD293" s="34"/>
      <c r="KPE293" s="34"/>
      <c r="KPF293" s="34"/>
      <c r="KPG293" s="34"/>
      <c r="KPH293" s="34"/>
      <c r="KPI293" s="34"/>
      <c r="KPJ293" s="34"/>
      <c r="KPK293" s="34"/>
      <c r="KPL293" s="34"/>
      <c r="KPM293" s="34"/>
      <c r="KPN293" s="34"/>
      <c r="KPO293" s="34"/>
      <c r="KPP293" s="34"/>
      <c r="KPQ293" s="34"/>
      <c r="KPR293" s="34"/>
      <c r="KPS293" s="34"/>
      <c r="KPT293" s="34"/>
      <c r="KPU293" s="34"/>
      <c r="KPV293" s="34"/>
      <c r="KPW293" s="34"/>
      <c r="KPX293" s="34"/>
      <c r="KPY293" s="34"/>
      <c r="KPZ293" s="34"/>
      <c r="KQA293" s="34"/>
      <c r="KQB293" s="34"/>
      <c r="KQC293" s="34"/>
      <c r="KQD293" s="34"/>
      <c r="KQE293" s="34"/>
      <c r="KQF293" s="34"/>
      <c r="KQG293" s="34"/>
      <c r="KQH293" s="34"/>
      <c r="KQI293" s="34"/>
      <c r="KQJ293" s="34"/>
      <c r="KQK293" s="34"/>
      <c r="KQL293" s="34"/>
      <c r="KQM293" s="34"/>
      <c r="KQN293" s="34"/>
      <c r="KQO293" s="34"/>
      <c r="KQP293" s="34"/>
      <c r="KQQ293" s="34"/>
      <c r="KQR293" s="34"/>
      <c r="KQS293" s="34"/>
      <c r="KQT293" s="34"/>
      <c r="KQU293" s="34"/>
      <c r="KQV293" s="34"/>
      <c r="KQW293" s="34"/>
      <c r="KQX293" s="34"/>
      <c r="KQY293" s="34"/>
      <c r="KQZ293" s="34"/>
      <c r="KRA293" s="34"/>
      <c r="KRB293" s="34"/>
      <c r="KRC293" s="34"/>
      <c r="KRD293" s="34"/>
      <c r="KRE293" s="34"/>
      <c r="KRF293" s="34"/>
      <c r="KRG293" s="34"/>
      <c r="KRH293" s="34"/>
      <c r="KRI293" s="34"/>
      <c r="KRJ293" s="34"/>
      <c r="KRK293" s="34"/>
      <c r="KRL293" s="34"/>
      <c r="KRM293" s="34"/>
      <c r="KRN293" s="34"/>
      <c r="KRO293" s="34"/>
      <c r="KRP293" s="34"/>
      <c r="KRQ293" s="34"/>
      <c r="KRR293" s="34"/>
      <c r="KRS293" s="34"/>
      <c r="KRT293" s="34"/>
      <c r="KRU293" s="34"/>
      <c r="KRV293" s="34"/>
      <c r="KRW293" s="34"/>
      <c r="KRX293" s="34"/>
      <c r="KRY293" s="34"/>
      <c r="KRZ293" s="34"/>
      <c r="KSA293" s="34"/>
      <c r="KSB293" s="34"/>
      <c r="KSC293" s="34"/>
      <c r="KSD293" s="34"/>
      <c r="KSE293" s="34"/>
      <c r="KSF293" s="34"/>
      <c r="KSG293" s="34"/>
      <c r="KSH293" s="34"/>
      <c r="KSI293" s="34"/>
      <c r="KSJ293" s="34"/>
      <c r="KSK293" s="34"/>
      <c r="KSL293" s="34"/>
      <c r="KSM293" s="34"/>
      <c r="KSN293" s="34"/>
      <c r="KSO293" s="34"/>
      <c r="KSP293" s="34"/>
      <c r="KSQ293" s="34"/>
      <c r="KSR293" s="34"/>
      <c r="KSS293" s="34"/>
      <c r="KST293" s="34"/>
      <c r="KSU293" s="34"/>
      <c r="KSV293" s="34"/>
      <c r="KSW293" s="34"/>
      <c r="KSX293" s="34"/>
      <c r="KSY293" s="34"/>
      <c r="KSZ293" s="34"/>
      <c r="KTA293" s="34"/>
      <c r="KTB293" s="34"/>
      <c r="KTC293" s="34"/>
      <c r="KTD293" s="34"/>
      <c r="KTE293" s="34"/>
      <c r="KTF293" s="34"/>
      <c r="KTG293" s="34"/>
      <c r="KTH293" s="34"/>
      <c r="KTI293" s="34"/>
      <c r="KTJ293" s="34"/>
      <c r="KTK293" s="34"/>
      <c r="KTL293" s="34"/>
      <c r="KTM293" s="34"/>
      <c r="KTN293" s="34"/>
      <c r="KTO293" s="34"/>
      <c r="KTP293" s="34"/>
      <c r="KTQ293" s="34"/>
      <c r="KTR293" s="34"/>
      <c r="KTS293" s="34"/>
      <c r="KTT293" s="34"/>
      <c r="KTU293" s="34"/>
      <c r="KTV293" s="34"/>
      <c r="KTW293" s="34"/>
      <c r="KTX293" s="34"/>
      <c r="KTY293" s="34"/>
      <c r="KTZ293" s="34"/>
      <c r="KUA293" s="34"/>
      <c r="KUB293" s="34"/>
      <c r="KUC293" s="34"/>
      <c r="KUD293" s="34"/>
      <c r="KUE293" s="34"/>
      <c r="KUF293" s="34"/>
      <c r="KUG293" s="34"/>
      <c r="KUH293" s="34"/>
      <c r="KUI293" s="34"/>
      <c r="KUJ293" s="34"/>
      <c r="KUK293" s="34"/>
      <c r="KUL293" s="34"/>
      <c r="KUM293" s="34"/>
      <c r="KUN293" s="34"/>
      <c r="KUO293" s="34"/>
      <c r="KUP293" s="34"/>
      <c r="KUQ293" s="34"/>
      <c r="KUR293" s="34"/>
      <c r="KUS293" s="34"/>
      <c r="KUT293" s="34"/>
      <c r="KUU293" s="34"/>
      <c r="KUV293" s="34"/>
      <c r="KUW293" s="34"/>
      <c r="KUX293" s="34"/>
      <c r="KUY293" s="34"/>
      <c r="KUZ293" s="34"/>
      <c r="KVA293" s="34"/>
      <c r="KVB293" s="34"/>
      <c r="KVC293" s="34"/>
      <c r="KVD293" s="34"/>
      <c r="KVE293" s="34"/>
      <c r="KVF293" s="34"/>
      <c r="KVG293" s="34"/>
      <c r="KVH293" s="34"/>
      <c r="KVI293" s="34"/>
      <c r="KVJ293" s="34"/>
      <c r="KVK293" s="34"/>
      <c r="KVL293" s="34"/>
      <c r="KVM293" s="34"/>
      <c r="KVN293" s="34"/>
      <c r="KVO293" s="34"/>
      <c r="KVP293" s="34"/>
      <c r="KVQ293" s="34"/>
      <c r="KVR293" s="34"/>
      <c r="KVS293" s="34"/>
      <c r="KVT293" s="34"/>
      <c r="KVU293" s="34"/>
      <c r="KVV293" s="34"/>
      <c r="KVW293" s="34"/>
      <c r="KVX293" s="34"/>
      <c r="KVY293" s="34"/>
      <c r="KVZ293" s="34"/>
      <c r="KWA293" s="34"/>
      <c r="KWB293" s="34"/>
      <c r="KWC293" s="34"/>
      <c r="KWD293" s="34"/>
      <c r="KWE293" s="34"/>
      <c r="KWF293" s="34"/>
      <c r="KWG293" s="34"/>
      <c r="KWH293" s="34"/>
      <c r="KWI293" s="34"/>
      <c r="KWJ293" s="34"/>
      <c r="KWK293" s="34"/>
      <c r="KWL293" s="34"/>
      <c r="KWM293" s="34"/>
      <c r="KWN293" s="34"/>
      <c r="KWO293" s="34"/>
      <c r="KWP293" s="34"/>
      <c r="KWQ293" s="34"/>
      <c r="KWR293" s="34"/>
      <c r="KWS293" s="34"/>
      <c r="KWT293" s="34"/>
      <c r="KWU293" s="34"/>
      <c r="KWV293" s="34"/>
      <c r="KWW293" s="34"/>
      <c r="KWX293" s="34"/>
      <c r="KWY293" s="34"/>
      <c r="KWZ293" s="34"/>
      <c r="KXA293" s="34"/>
      <c r="KXB293" s="34"/>
      <c r="KXC293" s="34"/>
      <c r="KXD293" s="34"/>
      <c r="KXE293" s="34"/>
      <c r="KXF293" s="34"/>
      <c r="KXG293" s="34"/>
      <c r="KXH293" s="34"/>
      <c r="KXI293" s="34"/>
      <c r="KXJ293" s="34"/>
      <c r="KXK293" s="34"/>
      <c r="KXL293" s="34"/>
      <c r="KXM293" s="34"/>
      <c r="KXN293" s="34"/>
      <c r="KXO293" s="34"/>
      <c r="KXP293" s="34"/>
      <c r="KXQ293" s="34"/>
      <c r="KXR293" s="34"/>
      <c r="KXS293" s="34"/>
      <c r="KXT293" s="34"/>
      <c r="KXU293" s="34"/>
      <c r="KXV293" s="34"/>
      <c r="KXW293" s="34"/>
      <c r="KXX293" s="34"/>
      <c r="KXY293" s="34"/>
      <c r="KXZ293" s="34"/>
      <c r="KYA293" s="34"/>
      <c r="KYB293" s="34"/>
      <c r="KYC293" s="34"/>
      <c r="KYD293" s="34"/>
      <c r="KYE293" s="34"/>
      <c r="KYF293" s="34"/>
      <c r="KYG293" s="34"/>
      <c r="KYH293" s="34"/>
      <c r="KYI293" s="34"/>
      <c r="KYJ293" s="34"/>
      <c r="KYK293" s="34"/>
      <c r="KYL293" s="34"/>
      <c r="KYM293" s="34"/>
      <c r="KYN293" s="34"/>
      <c r="KYO293" s="34"/>
      <c r="KYP293" s="34"/>
      <c r="KYQ293" s="34"/>
      <c r="KYR293" s="34"/>
      <c r="KYS293" s="34"/>
      <c r="KYT293" s="34"/>
      <c r="KYU293" s="34"/>
      <c r="KYV293" s="34"/>
      <c r="KYW293" s="34"/>
      <c r="KYX293" s="34"/>
      <c r="KYY293" s="34"/>
      <c r="KYZ293" s="34"/>
      <c r="KZA293" s="34"/>
      <c r="KZB293" s="34"/>
      <c r="KZC293" s="34"/>
      <c r="KZD293" s="34"/>
      <c r="KZE293" s="34"/>
      <c r="KZF293" s="34"/>
      <c r="KZG293" s="34"/>
      <c r="KZH293" s="34"/>
      <c r="KZI293" s="34"/>
      <c r="KZJ293" s="34"/>
      <c r="KZK293" s="34"/>
      <c r="KZL293" s="34"/>
      <c r="KZM293" s="34"/>
      <c r="KZN293" s="34"/>
      <c r="KZO293" s="34"/>
      <c r="KZP293" s="34"/>
      <c r="KZQ293" s="34"/>
      <c r="KZR293" s="34"/>
      <c r="KZS293" s="34"/>
      <c r="KZT293" s="34"/>
      <c r="KZU293" s="34"/>
      <c r="KZV293" s="34"/>
      <c r="KZW293" s="34"/>
      <c r="KZX293" s="34"/>
      <c r="KZY293" s="34"/>
      <c r="KZZ293" s="34"/>
      <c r="LAA293" s="34"/>
      <c r="LAB293" s="34"/>
      <c r="LAC293" s="34"/>
      <c r="LAD293" s="34"/>
      <c r="LAE293" s="34"/>
      <c r="LAF293" s="34"/>
      <c r="LAG293" s="34"/>
      <c r="LAH293" s="34"/>
      <c r="LAI293" s="34"/>
      <c r="LAJ293" s="34"/>
      <c r="LAK293" s="34"/>
      <c r="LAL293" s="34"/>
      <c r="LAM293" s="34"/>
      <c r="LAN293" s="34"/>
      <c r="LAO293" s="34"/>
      <c r="LAP293" s="34"/>
      <c r="LAQ293" s="34"/>
      <c r="LAR293" s="34"/>
      <c r="LAS293" s="34"/>
      <c r="LAT293" s="34"/>
      <c r="LAU293" s="34"/>
      <c r="LAV293" s="34"/>
      <c r="LAW293" s="34"/>
      <c r="LAX293" s="34"/>
      <c r="LAY293" s="34"/>
      <c r="LAZ293" s="34"/>
      <c r="LBA293" s="34"/>
      <c r="LBB293" s="34"/>
      <c r="LBC293" s="34"/>
      <c r="LBD293" s="34"/>
      <c r="LBE293" s="34"/>
      <c r="LBF293" s="34"/>
      <c r="LBG293" s="34"/>
      <c r="LBH293" s="34"/>
      <c r="LBI293" s="34"/>
      <c r="LBJ293" s="34"/>
      <c r="LBK293" s="34"/>
      <c r="LBL293" s="34"/>
      <c r="LBM293" s="34"/>
      <c r="LBN293" s="34"/>
      <c r="LBO293" s="34"/>
      <c r="LBP293" s="34"/>
      <c r="LBQ293" s="34"/>
      <c r="LBR293" s="34"/>
      <c r="LBS293" s="34"/>
      <c r="LBT293" s="34"/>
      <c r="LBU293" s="34"/>
      <c r="LBV293" s="34"/>
      <c r="LBW293" s="34"/>
      <c r="LBX293" s="34"/>
      <c r="LBY293" s="34"/>
      <c r="LBZ293" s="34"/>
      <c r="LCA293" s="34"/>
      <c r="LCB293" s="34"/>
      <c r="LCC293" s="34"/>
      <c r="LCD293" s="34"/>
      <c r="LCE293" s="34"/>
      <c r="LCF293" s="34"/>
      <c r="LCG293" s="34"/>
      <c r="LCH293" s="34"/>
      <c r="LCI293" s="34"/>
      <c r="LCJ293" s="34"/>
      <c r="LCK293" s="34"/>
      <c r="LCL293" s="34"/>
      <c r="LCM293" s="34"/>
      <c r="LCN293" s="34"/>
      <c r="LCO293" s="34"/>
      <c r="LCP293" s="34"/>
      <c r="LCQ293" s="34"/>
      <c r="LCR293" s="34"/>
      <c r="LCS293" s="34"/>
      <c r="LCT293" s="34"/>
      <c r="LCU293" s="34"/>
      <c r="LCV293" s="34"/>
      <c r="LCW293" s="34"/>
      <c r="LCX293" s="34"/>
      <c r="LCY293" s="34"/>
      <c r="LCZ293" s="34"/>
      <c r="LDA293" s="34"/>
      <c r="LDB293" s="34"/>
      <c r="LDC293" s="34"/>
      <c r="LDD293" s="34"/>
      <c r="LDE293" s="34"/>
      <c r="LDF293" s="34"/>
      <c r="LDG293" s="34"/>
      <c r="LDH293" s="34"/>
      <c r="LDI293" s="34"/>
      <c r="LDJ293" s="34"/>
      <c r="LDK293" s="34"/>
      <c r="LDL293" s="34"/>
      <c r="LDM293" s="34"/>
      <c r="LDN293" s="34"/>
      <c r="LDO293" s="34"/>
      <c r="LDP293" s="34"/>
      <c r="LDQ293" s="34"/>
      <c r="LDR293" s="34"/>
      <c r="LDS293" s="34"/>
      <c r="LDT293" s="34"/>
      <c r="LDU293" s="34"/>
      <c r="LDV293" s="34"/>
      <c r="LDW293" s="34"/>
      <c r="LDX293" s="34"/>
      <c r="LDY293" s="34"/>
      <c r="LDZ293" s="34"/>
      <c r="LEA293" s="34"/>
      <c r="LEB293" s="34"/>
      <c r="LEC293" s="34"/>
      <c r="LED293" s="34"/>
      <c r="LEE293" s="34"/>
      <c r="LEF293" s="34"/>
      <c r="LEG293" s="34"/>
      <c r="LEH293" s="34"/>
      <c r="LEI293" s="34"/>
      <c r="LEJ293" s="34"/>
      <c r="LEK293" s="34"/>
      <c r="LEL293" s="34"/>
      <c r="LEM293" s="34"/>
      <c r="LEN293" s="34"/>
      <c r="LEO293" s="34"/>
      <c r="LEP293" s="34"/>
      <c r="LEQ293" s="34"/>
      <c r="LER293" s="34"/>
      <c r="LES293" s="34"/>
      <c r="LET293" s="34"/>
      <c r="LEU293" s="34"/>
      <c r="LEV293" s="34"/>
      <c r="LEW293" s="34"/>
      <c r="LEX293" s="34"/>
      <c r="LEY293" s="34"/>
      <c r="LEZ293" s="34"/>
      <c r="LFA293" s="34"/>
      <c r="LFB293" s="34"/>
      <c r="LFC293" s="34"/>
      <c r="LFD293" s="34"/>
      <c r="LFE293" s="34"/>
      <c r="LFF293" s="34"/>
      <c r="LFG293" s="34"/>
      <c r="LFH293" s="34"/>
      <c r="LFI293" s="34"/>
      <c r="LFJ293" s="34"/>
      <c r="LFK293" s="34"/>
      <c r="LFL293" s="34"/>
      <c r="LFM293" s="34"/>
      <c r="LFN293" s="34"/>
      <c r="LFO293" s="34"/>
      <c r="LFP293" s="34"/>
      <c r="LFQ293" s="34"/>
      <c r="LFR293" s="34"/>
      <c r="LFS293" s="34"/>
      <c r="LFT293" s="34"/>
      <c r="LFU293" s="34"/>
      <c r="LFV293" s="34"/>
      <c r="LFW293" s="34"/>
      <c r="LFX293" s="34"/>
      <c r="LFY293" s="34"/>
      <c r="LFZ293" s="34"/>
      <c r="LGA293" s="34"/>
      <c r="LGB293" s="34"/>
      <c r="LGC293" s="34"/>
      <c r="LGD293" s="34"/>
      <c r="LGE293" s="34"/>
      <c r="LGF293" s="34"/>
      <c r="LGG293" s="34"/>
      <c r="LGH293" s="34"/>
      <c r="LGI293" s="34"/>
      <c r="LGJ293" s="34"/>
      <c r="LGK293" s="34"/>
      <c r="LGL293" s="34"/>
      <c r="LGM293" s="34"/>
      <c r="LGN293" s="34"/>
      <c r="LGO293" s="34"/>
      <c r="LGP293" s="34"/>
      <c r="LGQ293" s="34"/>
      <c r="LGR293" s="34"/>
      <c r="LGS293" s="34"/>
      <c r="LGT293" s="34"/>
      <c r="LGU293" s="34"/>
      <c r="LGV293" s="34"/>
      <c r="LGW293" s="34"/>
      <c r="LGX293" s="34"/>
      <c r="LGY293" s="34"/>
      <c r="LGZ293" s="34"/>
      <c r="LHA293" s="34"/>
      <c r="LHB293" s="34"/>
      <c r="LHC293" s="34"/>
      <c r="LHD293" s="34"/>
      <c r="LHE293" s="34"/>
      <c r="LHF293" s="34"/>
      <c r="LHG293" s="34"/>
      <c r="LHH293" s="34"/>
      <c r="LHI293" s="34"/>
      <c r="LHJ293" s="34"/>
      <c r="LHK293" s="34"/>
      <c r="LHL293" s="34"/>
      <c r="LHM293" s="34"/>
      <c r="LHN293" s="34"/>
      <c r="LHO293" s="34"/>
      <c r="LHP293" s="34"/>
      <c r="LHQ293" s="34"/>
      <c r="LHR293" s="34"/>
      <c r="LHS293" s="34"/>
      <c r="LHT293" s="34"/>
      <c r="LHU293" s="34"/>
      <c r="LHV293" s="34"/>
      <c r="LHW293" s="34"/>
      <c r="LHX293" s="34"/>
      <c r="LHY293" s="34"/>
      <c r="LHZ293" s="34"/>
      <c r="LIA293" s="34"/>
      <c r="LIB293" s="34"/>
      <c r="LIC293" s="34"/>
      <c r="LID293" s="34"/>
      <c r="LIE293" s="34"/>
      <c r="LIF293" s="34"/>
      <c r="LIG293" s="34"/>
      <c r="LIH293" s="34"/>
      <c r="LII293" s="34"/>
      <c r="LIJ293" s="34"/>
      <c r="LIK293" s="34"/>
      <c r="LIL293" s="34"/>
      <c r="LIM293" s="34"/>
      <c r="LIN293" s="34"/>
      <c r="LIO293" s="34"/>
      <c r="LIP293" s="34"/>
      <c r="LIQ293" s="34"/>
      <c r="LIR293" s="34"/>
      <c r="LIS293" s="34"/>
      <c r="LIT293" s="34"/>
      <c r="LIU293" s="34"/>
      <c r="LIV293" s="34"/>
      <c r="LIW293" s="34"/>
      <c r="LIX293" s="34"/>
      <c r="LIY293" s="34"/>
      <c r="LIZ293" s="34"/>
      <c r="LJA293" s="34"/>
      <c r="LJB293" s="34"/>
      <c r="LJC293" s="34"/>
      <c r="LJD293" s="34"/>
      <c r="LJE293" s="34"/>
      <c r="LJF293" s="34"/>
      <c r="LJG293" s="34"/>
      <c r="LJH293" s="34"/>
      <c r="LJI293" s="34"/>
      <c r="LJJ293" s="34"/>
      <c r="LJK293" s="34"/>
      <c r="LJL293" s="34"/>
      <c r="LJM293" s="34"/>
      <c r="LJN293" s="34"/>
      <c r="LJO293" s="34"/>
      <c r="LJP293" s="34"/>
      <c r="LJQ293" s="34"/>
      <c r="LJR293" s="34"/>
      <c r="LJS293" s="34"/>
      <c r="LJT293" s="34"/>
      <c r="LJU293" s="34"/>
      <c r="LJV293" s="34"/>
      <c r="LJW293" s="34"/>
      <c r="LJX293" s="34"/>
      <c r="LJY293" s="34"/>
      <c r="LJZ293" s="34"/>
      <c r="LKA293" s="34"/>
      <c r="LKB293" s="34"/>
      <c r="LKC293" s="34"/>
      <c r="LKD293" s="34"/>
      <c r="LKE293" s="34"/>
      <c r="LKF293" s="34"/>
      <c r="LKG293" s="34"/>
      <c r="LKH293" s="34"/>
      <c r="LKI293" s="34"/>
      <c r="LKJ293" s="34"/>
      <c r="LKK293" s="34"/>
      <c r="LKL293" s="34"/>
      <c r="LKM293" s="34"/>
      <c r="LKN293" s="34"/>
      <c r="LKO293" s="34"/>
      <c r="LKP293" s="34"/>
      <c r="LKQ293" s="34"/>
      <c r="LKR293" s="34"/>
      <c r="LKS293" s="34"/>
      <c r="LKT293" s="34"/>
      <c r="LKU293" s="34"/>
      <c r="LKV293" s="34"/>
      <c r="LKW293" s="34"/>
      <c r="LKX293" s="34"/>
      <c r="LKY293" s="34"/>
      <c r="LKZ293" s="34"/>
      <c r="LLA293" s="34"/>
      <c r="LLB293" s="34"/>
      <c r="LLC293" s="34"/>
      <c r="LLD293" s="34"/>
      <c r="LLE293" s="34"/>
      <c r="LLF293" s="34"/>
      <c r="LLG293" s="34"/>
      <c r="LLH293" s="34"/>
      <c r="LLI293" s="34"/>
      <c r="LLJ293" s="34"/>
      <c r="LLK293" s="34"/>
      <c r="LLL293" s="34"/>
      <c r="LLM293" s="34"/>
      <c r="LLN293" s="34"/>
      <c r="LLO293" s="34"/>
      <c r="LLP293" s="34"/>
      <c r="LLQ293" s="34"/>
      <c r="LLR293" s="34"/>
      <c r="LLS293" s="34"/>
      <c r="LLT293" s="34"/>
      <c r="LLU293" s="34"/>
      <c r="LLV293" s="34"/>
      <c r="LLW293" s="34"/>
      <c r="LLX293" s="34"/>
      <c r="LLY293" s="34"/>
      <c r="LLZ293" s="34"/>
      <c r="LMA293" s="34"/>
      <c r="LMB293" s="34"/>
      <c r="LMC293" s="34"/>
      <c r="LMD293" s="34"/>
      <c r="LME293" s="34"/>
      <c r="LMF293" s="34"/>
      <c r="LMG293" s="34"/>
      <c r="LMH293" s="34"/>
      <c r="LMI293" s="34"/>
      <c r="LMJ293" s="34"/>
      <c r="LMK293" s="34"/>
      <c r="LML293" s="34"/>
      <c r="LMM293" s="34"/>
      <c r="LMN293" s="34"/>
      <c r="LMO293" s="34"/>
      <c r="LMP293" s="34"/>
      <c r="LMQ293" s="34"/>
      <c r="LMR293" s="34"/>
      <c r="LMS293" s="34"/>
      <c r="LMT293" s="34"/>
      <c r="LMU293" s="34"/>
      <c r="LMV293" s="34"/>
      <c r="LMW293" s="34"/>
      <c r="LMX293" s="34"/>
      <c r="LMY293" s="34"/>
      <c r="LMZ293" s="34"/>
      <c r="LNA293" s="34"/>
      <c r="LNB293" s="34"/>
      <c r="LNC293" s="34"/>
      <c r="LND293" s="34"/>
      <c r="LNE293" s="34"/>
      <c r="LNF293" s="34"/>
      <c r="LNG293" s="34"/>
      <c r="LNH293" s="34"/>
      <c r="LNI293" s="34"/>
      <c r="LNJ293" s="34"/>
      <c r="LNK293" s="34"/>
      <c r="LNL293" s="34"/>
      <c r="LNM293" s="34"/>
      <c r="LNN293" s="34"/>
      <c r="LNO293" s="34"/>
      <c r="LNP293" s="34"/>
      <c r="LNQ293" s="34"/>
      <c r="LNR293" s="34"/>
      <c r="LNS293" s="34"/>
      <c r="LNT293" s="34"/>
      <c r="LNU293" s="34"/>
      <c r="LNV293" s="34"/>
      <c r="LNW293" s="34"/>
      <c r="LNX293" s="34"/>
      <c r="LNY293" s="34"/>
      <c r="LNZ293" s="34"/>
      <c r="LOA293" s="34"/>
      <c r="LOB293" s="34"/>
      <c r="LOC293" s="34"/>
      <c r="LOD293" s="34"/>
      <c r="LOE293" s="34"/>
      <c r="LOF293" s="34"/>
      <c r="LOG293" s="34"/>
      <c r="LOH293" s="34"/>
      <c r="LOI293" s="34"/>
      <c r="LOJ293" s="34"/>
      <c r="LOK293" s="34"/>
      <c r="LOL293" s="34"/>
      <c r="LOM293" s="34"/>
      <c r="LON293" s="34"/>
      <c r="LOO293" s="34"/>
      <c r="LOP293" s="34"/>
      <c r="LOQ293" s="34"/>
      <c r="LOR293" s="34"/>
      <c r="LOS293" s="34"/>
      <c r="LOT293" s="34"/>
      <c r="LOU293" s="34"/>
      <c r="LOV293" s="34"/>
      <c r="LOW293" s="34"/>
      <c r="LOX293" s="34"/>
      <c r="LOY293" s="34"/>
      <c r="LOZ293" s="34"/>
      <c r="LPA293" s="34"/>
      <c r="LPB293" s="34"/>
      <c r="LPC293" s="34"/>
      <c r="LPD293" s="34"/>
      <c r="LPE293" s="34"/>
      <c r="LPF293" s="34"/>
      <c r="LPG293" s="34"/>
      <c r="LPH293" s="34"/>
      <c r="LPI293" s="34"/>
      <c r="LPJ293" s="34"/>
      <c r="LPK293" s="34"/>
      <c r="LPL293" s="34"/>
      <c r="LPM293" s="34"/>
      <c r="LPN293" s="34"/>
      <c r="LPO293" s="34"/>
      <c r="LPP293" s="34"/>
      <c r="LPQ293" s="34"/>
      <c r="LPR293" s="34"/>
      <c r="LPS293" s="34"/>
      <c r="LPT293" s="34"/>
      <c r="LPU293" s="34"/>
      <c r="LPV293" s="34"/>
      <c r="LPW293" s="34"/>
      <c r="LPX293" s="34"/>
      <c r="LPY293" s="34"/>
      <c r="LPZ293" s="34"/>
      <c r="LQA293" s="34"/>
      <c r="LQB293" s="34"/>
      <c r="LQC293" s="34"/>
      <c r="LQD293" s="34"/>
      <c r="LQE293" s="34"/>
      <c r="LQF293" s="34"/>
      <c r="LQG293" s="34"/>
      <c r="LQH293" s="34"/>
      <c r="LQI293" s="34"/>
      <c r="LQJ293" s="34"/>
      <c r="LQK293" s="34"/>
      <c r="LQL293" s="34"/>
      <c r="LQM293" s="34"/>
      <c r="LQN293" s="34"/>
      <c r="LQO293" s="34"/>
      <c r="LQP293" s="34"/>
      <c r="LQQ293" s="34"/>
      <c r="LQR293" s="34"/>
      <c r="LQS293" s="34"/>
      <c r="LQT293" s="34"/>
      <c r="LQU293" s="34"/>
      <c r="LQV293" s="34"/>
      <c r="LQW293" s="34"/>
      <c r="LQX293" s="34"/>
      <c r="LQY293" s="34"/>
      <c r="LQZ293" s="34"/>
      <c r="LRA293" s="34"/>
      <c r="LRB293" s="34"/>
      <c r="LRC293" s="34"/>
      <c r="LRD293" s="34"/>
      <c r="LRE293" s="34"/>
      <c r="LRF293" s="34"/>
      <c r="LRG293" s="34"/>
      <c r="LRH293" s="34"/>
      <c r="LRI293" s="34"/>
      <c r="LRJ293" s="34"/>
      <c r="LRK293" s="34"/>
      <c r="LRL293" s="34"/>
      <c r="LRM293" s="34"/>
      <c r="LRN293" s="34"/>
      <c r="LRO293" s="34"/>
      <c r="LRP293" s="34"/>
      <c r="LRQ293" s="34"/>
      <c r="LRR293" s="34"/>
      <c r="LRS293" s="34"/>
      <c r="LRT293" s="34"/>
      <c r="LRU293" s="34"/>
      <c r="LRV293" s="34"/>
      <c r="LRW293" s="34"/>
      <c r="LRX293" s="34"/>
      <c r="LRY293" s="34"/>
      <c r="LRZ293" s="34"/>
      <c r="LSA293" s="34"/>
      <c r="LSB293" s="34"/>
      <c r="LSC293" s="34"/>
      <c r="LSD293" s="34"/>
      <c r="LSE293" s="34"/>
      <c r="LSF293" s="34"/>
      <c r="LSG293" s="34"/>
      <c r="LSH293" s="34"/>
      <c r="LSI293" s="34"/>
      <c r="LSJ293" s="34"/>
      <c r="LSK293" s="34"/>
      <c r="LSL293" s="34"/>
      <c r="LSM293" s="34"/>
      <c r="LSN293" s="34"/>
      <c r="LSO293" s="34"/>
      <c r="LSP293" s="34"/>
      <c r="LSQ293" s="34"/>
      <c r="LSR293" s="34"/>
      <c r="LSS293" s="34"/>
      <c r="LST293" s="34"/>
      <c r="LSU293" s="34"/>
      <c r="LSV293" s="34"/>
      <c r="LSW293" s="34"/>
      <c r="LSX293" s="34"/>
      <c r="LSY293" s="34"/>
      <c r="LSZ293" s="34"/>
      <c r="LTA293" s="34"/>
      <c r="LTB293" s="34"/>
      <c r="LTC293" s="34"/>
      <c r="LTD293" s="34"/>
      <c r="LTE293" s="34"/>
      <c r="LTF293" s="34"/>
      <c r="LTG293" s="34"/>
      <c r="LTH293" s="34"/>
      <c r="LTI293" s="34"/>
      <c r="LTJ293" s="34"/>
      <c r="LTK293" s="34"/>
      <c r="LTL293" s="34"/>
      <c r="LTM293" s="34"/>
      <c r="LTN293" s="34"/>
      <c r="LTO293" s="34"/>
      <c r="LTP293" s="34"/>
      <c r="LTQ293" s="34"/>
      <c r="LTR293" s="34"/>
      <c r="LTS293" s="34"/>
      <c r="LTT293" s="34"/>
      <c r="LTU293" s="34"/>
      <c r="LTV293" s="34"/>
      <c r="LTW293" s="34"/>
      <c r="LTX293" s="34"/>
      <c r="LTY293" s="34"/>
      <c r="LTZ293" s="34"/>
      <c r="LUA293" s="34"/>
      <c r="LUB293" s="34"/>
      <c r="LUC293" s="34"/>
      <c r="LUD293" s="34"/>
      <c r="LUE293" s="34"/>
      <c r="LUF293" s="34"/>
      <c r="LUG293" s="34"/>
      <c r="LUH293" s="34"/>
      <c r="LUI293" s="34"/>
      <c r="LUJ293" s="34"/>
      <c r="LUK293" s="34"/>
      <c r="LUL293" s="34"/>
      <c r="LUM293" s="34"/>
      <c r="LUN293" s="34"/>
      <c r="LUO293" s="34"/>
      <c r="LUP293" s="34"/>
      <c r="LUQ293" s="34"/>
      <c r="LUR293" s="34"/>
      <c r="LUS293" s="34"/>
      <c r="LUT293" s="34"/>
      <c r="LUU293" s="34"/>
      <c r="LUV293" s="34"/>
      <c r="LUW293" s="34"/>
      <c r="LUX293" s="34"/>
      <c r="LUY293" s="34"/>
      <c r="LUZ293" s="34"/>
      <c r="LVA293" s="34"/>
      <c r="LVB293" s="34"/>
      <c r="LVC293" s="34"/>
      <c r="LVD293" s="34"/>
      <c r="LVE293" s="34"/>
      <c r="LVF293" s="34"/>
      <c r="LVG293" s="34"/>
      <c r="LVH293" s="34"/>
      <c r="LVI293" s="34"/>
      <c r="LVJ293" s="34"/>
      <c r="LVK293" s="34"/>
      <c r="LVL293" s="34"/>
      <c r="LVM293" s="34"/>
      <c r="LVN293" s="34"/>
      <c r="LVO293" s="34"/>
      <c r="LVP293" s="34"/>
      <c r="LVQ293" s="34"/>
      <c r="LVR293" s="34"/>
      <c r="LVS293" s="34"/>
      <c r="LVT293" s="34"/>
      <c r="LVU293" s="34"/>
      <c r="LVV293" s="34"/>
      <c r="LVW293" s="34"/>
      <c r="LVX293" s="34"/>
      <c r="LVY293" s="34"/>
      <c r="LVZ293" s="34"/>
      <c r="LWA293" s="34"/>
      <c r="LWB293" s="34"/>
      <c r="LWC293" s="34"/>
      <c r="LWD293" s="34"/>
      <c r="LWE293" s="34"/>
      <c r="LWF293" s="34"/>
      <c r="LWG293" s="34"/>
      <c r="LWH293" s="34"/>
      <c r="LWI293" s="34"/>
      <c r="LWJ293" s="34"/>
      <c r="LWK293" s="34"/>
      <c r="LWL293" s="34"/>
      <c r="LWM293" s="34"/>
      <c r="LWN293" s="34"/>
      <c r="LWO293" s="34"/>
      <c r="LWP293" s="34"/>
      <c r="LWQ293" s="34"/>
      <c r="LWR293" s="34"/>
      <c r="LWS293" s="34"/>
      <c r="LWT293" s="34"/>
      <c r="LWU293" s="34"/>
      <c r="LWV293" s="34"/>
      <c r="LWW293" s="34"/>
      <c r="LWX293" s="34"/>
      <c r="LWY293" s="34"/>
      <c r="LWZ293" s="34"/>
      <c r="LXA293" s="34"/>
      <c r="LXB293" s="34"/>
      <c r="LXC293" s="34"/>
      <c r="LXD293" s="34"/>
      <c r="LXE293" s="34"/>
      <c r="LXF293" s="34"/>
      <c r="LXG293" s="34"/>
      <c r="LXH293" s="34"/>
      <c r="LXI293" s="34"/>
      <c r="LXJ293" s="34"/>
      <c r="LXK293" s="34"/>
      <c r="LXL293" s="34"/>
      <c r="LXM293" s="34"/>
      <c r="LXN293" s="34"/>
      <c r="LXO293" s="34"/>
      <c r="LXP293" s="34"/>
      <c r="LXQ293" s="34"/>
      <c r="LXR293" s="34"/>
      <c r="LXS293" s="34"/>
      <c r="LXT293" s="34"/>
      <c r="LXU293" s="34"/>
      <c r="LXV293" s="34"/>
      <c r="LXW293" s="34"/>
      <c r="LXX293" s="34"/>
      <c r="LXY293" s="34"/>
      <c r="LXZ293" s="34"/>
      <c r="LYA293" s="34"/>
      <c r="LYB293" s="34"/>
      <c r="LYC293" s="34"/>
      <c r="LYD293" s="34"/>
      <c r="LYE293" s="34"/>
      <c r="LYF293" s="34"/>
      <c r="LYG293" s="34"/>
      <c r="LYH293" s="34"/>
      <c r="LYI293" s="34"/>
      <c r="LYJ293" s="34"/>
      <c r="LYK293" s="34"/>
      <c r="LYL293" s="34"/>
      <c r="LYM293" s="34"/>
      <c r="LYN293" s="34"/>
      <c r="LYO293" s="34"/>
      <c r="LYP293" s="34"/>
      <c r="LYQ293" s="34"/>
      <c r="LYR293" s="34"/>
      <c r="LYS293" s="34"/>
      <c r="LYT293" s="34"/>
      <c r="LYU293" s="34"/>
      <c r="LYV293" s="34"/>
      <c r="LYW293" s="34"/>
      <c r="LYX293" s="34"/>
      <c r="LYY293" s="34"/>
      <c r="LYZ293" s="34"/>
      <c r="LZA293" s="34"/>
      <c r="LZB293" s="34"/>
      <c r="LZC293" s="34"/>
      <c r="LZD293" s="34"/>
      <c r="LZE293" s="34"/>
      <c r="LZF293" s="34"/>
      <c r="LZG293" s="34"/>
      <c r="LZH293" s="34"/>
      <c r="LZI293" s="34"/>
      <c r="LZJ293" s="34"/>
      <c r="LZK293" s="34"/>
      <c r="LZL293" s="34"/>
      <c r="LZM293" s="34"/>
      <c r="LZN293" s="34"/>
      <c r="LZO293" s="34"/>
      <c r="LZP293" s="34"/>
      <c r="LZQ293" s="34"/>
      <c r="LZR293" s="34"/>
      <c r="LZS293" s="34"/>
      <c r="LZT293" s="34"/>
      <c r="LZU293" s="34"/>
      <c r="LZV293" s="34"/>
      <c r="LZW293" s="34"/>
      <c r="LZX293" s="34"/>
      <c r="LZY293" s="34"/>
      <c r="LZZ293" s="34"/>
      <c r="MAA293" s="34"/>
      <c r="MAB293" s="34"/>
      <c r="MAC293" s="34"/>
      <c r="MAD293" s="34"/>
      <c r="MAE293" s="34"/>
      <c r="MAF293" s="34"/>
      <c r="MAG293" s="34"/>
      <c r="MAH293" s="34"/>
      <c r="MAI293" s="34"/>
      <c r="MAJ293" s="34"/>
      <c r="MAK293" s="34"/>
      <c r="MAL293" s="34"/>
      <c r="MAM293" s="34"/>
      <c r="MAN293" s="34"/>
      <c r="MAO293" s="34"/>
      <c r="MAP293" s="34"/>
      <c r="MAQ293" s="34"/>
      <c r="MAR293" s="34"/>
      <c r="MAS293" s="34"/>
      <c r="MAT293" s="34"/>
      <c r="MAU293" s="34"/>
      <c r="MAV293" s="34"/>
      <c r="MAW293" s="34"/>
      <c r="MAX293" s="34"/>
      <c r="MAY293" s="34"/>
      <c r="MAZ293" s="34"/>
      <c r="MBA293" s="34"/>
      <c r="MBB293" s="34"/>
      <c r="MBC293" s="34"/>
      <c r="MBD293" s="34"/>
      <c r="MBE293" s="34"/>
      <c r="MBF293" s="34"/>
      <c r="MBG293" s="34"/>
      <c r="MBH293" s="34"/>
      <c r="MBI293" s="34"/>
      <c r="MBJ293" s="34"/>
      <c r="MBK293" s="34"/>
      <c r="MBL293" s="34"/>
      <c r="MBM293" s="34"/>
      <c r="MBN293" s="34"/>
      <c r="MBO293" s="34"/>
      <c r="MBP293" s="34"/>
      <c r="MBQ293" s="34"/>
      <c r="MBR293" s="34"/>
      <c r="MBS293" s="34"/>
      <c r="MBT293" s="34"/>
      <c r="MBU293" s="34"/>
      <c r="MBV293" s="34"/>
      <c r="MBW293" s="34"/>
      <c r="MBX293" s="34"/>
      <c r="MBY293" s="34"/>
      <c r="MBZ293" s="34"/>
      <c r="MCA293" s="34"/>
      <c r="MCB293" s="34"/>
      <c r="MCC293" s="34"/>
      <c r="MCD293" s="34"/>
      <c r="MCE293" s="34"/>
      <c r="MCF293" s="34"/>
      <c r="MCG293" s="34"/>
      <c r="MCH293" s="34"/>
      <c r="MCI293" s="34"/>
      <c r="MCJ293" s="34"/>
      <c r="MCK293" s="34"/>
      <c r="MCL293" s="34"/>
      <c r="MCM293" s="34"/>
      <c r="MCN293" s="34"/>
      <c r="MCO293" s="34"/>
      <c r="MCP293" s="34"/>
      <c r="MCQ293" s="34"/>
      <c r="MCR293" s="34"/>
      <c r="MCS293" s="34"/>
      <c r="MCT293" s="34"/>
      <c r="MCU293" s="34"/>
      <c r="MCV293" s="34"/>
      <c r="MCW293" s="34"/>
      <c r="MCX293" s="34"/>
      <c r="MCY293" s="34"/>
      <c r="MCZ293" s="34"/>
      <c r="MDA293" s="34"/>
      <c r="MDB293" s="34"/>
      <c r="MDC293" s="34"/>
      <c r="MDD293" s="34"/>
      <c r="MDE293" s="34"/>
      <c r="MDF293" s="34"/>
      <c r="MDG293" s="34"/>
      <c r="MDH293" s="34"/>
      <c r="MDI293" s="34"/>
      <c r="MDJ293" s="34"/>
      <c r="MDK293" s="34"/>
      <c r="MDL293" s="34"/>
      <c r="MDM293" s="34"/>
      <c r="MDN293" s="34"/>
      <c r="MDO293" s="34"/>
      <c r="MDP293" s="34"/>
      <c r="MDQ293" s="34"/>
      <c r="MDR293" s="34"/>
      <c r="MDS293" s="34"/>
      <c r="MDT293" s="34"/>
      <c r="MDU293" s="34"/>
      <c r="MDV293" s="34"/>
      <c r="MDW293" s="34"/>
      <c r="MDX293" s="34"/>
      <c r="MDY293" s="34"/>
      <c r="MDZ293" s="34"/>
      <c r="MEA293" s="34"/>
      <c r="MEB293" s="34"/>
      <c r="MEC293" s="34"/>
      <c r="MED293" s="34"/>
      <c r="MEE293" s="34"/>
      <c r="MEF293" s="34"/>
      <c r="MEG293" s="34"/>
      <c r="MEH293" s="34"/>
      <c r="MEI293" s="34"/>
      <c r="MEJ293" s="34"/>
      <c r="MEK293" s="34"/>
      <c r="MEL293" s="34"/>
      <c r="MEM293" s="34"/>
      <c r="MEN293" s="34"/>
      <c r="MEO293" s="34"/>
      <c r="MEP293" s="34"/>
      <c r="MEQ293" s="34"/>
      <c r="MER293" s="34"/>
      <c r="MES293" s="34"/>
      <c r="MET293" s="34"/>
      <c r="MEU293" s="34"/>
      <c r="MEV293" s="34"/>
      <c r="MEW293" s="34"/>
      <c r="MEX293" s="34"/>
      <c r="MEY293" s="34"/>
      <c r="MEZ293" s="34"/>
      <c r="MFA293" s="34"/>
      <c r="MFB293" s="34"/>
      <c r="MFC293" s="34"/>
      <c r="MFD293" s="34"/>
      <c r="MFE293" s="34"/>
      <c r="MFF293" s="34"/>
      <c r="MFG293" s="34"/>
      <c r="MFH293" s="34"/>
      <c r="MFI293" s="34"/>
      <c r="MFJ293" s="34"/>
      <c r="MFK293" s="34"/>
      <c r="MFL293" s="34"/>
      <c r="MFM293" s="34"/>
      <c r="MFN293" s="34"/>
      <c r="MFO293" s="34"/>
      <c r="MFP293" s="34"/>
      <c r="MFQ293" s="34"/>
      <c r="MFR293" s="34"/>
      <c r="MFS293" s="34"/>
      <c r="MFT293" s="34"/>
      <c r="MFU293" s="34"/>
      <c r="MFV293" s="34"/>
      <c r="MFW293" s="34"/>
      <c r="MFX293" s="34"/>
      <c r="MFY293" s="34"/>
      <c r="MFZ293" s="34"/>
      <c r="MGA293" s="34"/>
      <c r="MGB293" s="34"/>
      <c r="MGC293" s="34"/>
      <c r="MGD293" s="34"/>
      <c r="MGE293" s="34"/>
      <c r="MGF293" s="34"/>
      <c r="MGG293" s="34"/>
      <c r="MGH293" s="34"/>
      <c r="MGI293" s="34"/>
      <c r="MGJ293" s="34"/>
      <c r="MGK293" s="34"/>
      <c r="MGL293" s="34"/>
      <c r="MGM293" s="34"/>
      <c r="MGN293" s="34"/>
      <c r="MGO293" s="34"/>
      <c r="MGP293" s="34"/>
      <c r="MGQ293" s="34"/>
      <c r="MGR293" s="34"/>
      <c r="MGS293" s="34"/>
      <c r="MGT293" s="34"/>
      <c r="MGU293" s="34"/>
      <c r="MGV293" s="34"/>
      <c r="MGW293" s="34"/>
      <c r="MGX293" s="34"/>
      <c r="MGY293" s="34"/>
      <c r="MGZ293" s="34"/>
      <c r="MHA293" s="34"/>
      <c r="MHB293" s="34"/>
      <c r="MHC293" s="34"/>
      <c r="MHD293" s="34"/>
      <c r="MHE293" s="34"/>
      <c r="MHF293" s="34"/>
      <c r="MHG293" s="34"/>
      <c r="MHH293" s="34"/>
      <c r="MHI293" s="34"/>
      <c r="MHJ293" s="34"/>
      <c r="MHK293" s="34"/>
      <c r="MHL293" s="34"/>
      <c r="MHM293" s="34"/>
      <c r="MHN293" s="34"/>
      <c r="MHO293" s="34"/>
      <c r="MHP293" s="34"/>
      <c r="MHQ293" s="34"/>
      <c r="MHR293" s="34"/>
      <c r="MHS293" s="34"/>
      <c r="MHT293" s="34"/>
      <c r="MHU293" s="34"/>
      <c r="MHV293" s="34"/>
      <c r="MHW293" s="34"/>
      <c r="MHX293" s="34"/>
      <c r="MHY293" s="34"/>
      <c r="MHZ293" s="34"/>
      <c r="MIA293" s="34"/>
      <c r="MIB293" s="34"/>
      <c r="MIC293" s="34"/>
      <c r="MID293" s="34"/>
      <c r="MIE293" s="34"/>
      <c r="MIF293" s="34"/>
      <c r="MIG293" s="34"/>
      <c r="MIH293" s="34"/>
      <c r="MII293" s="34"/>
      <c r="MIJ293" s="34"/>
      <c r="MIK293" s="34"/>
      <c r="MIL293" s="34"/>
      <c r="MIM293" s="34"/>
      <c r="MIN293" s="34"/>
      <c r="MIO293" s="34"/>
      <c r="MIP293" s="34"/>
      <c r="MIQ293" s="34"/>
      <c r="MIR293" s="34"/>
      <c r="MIS293" s="34"/>
      <c r="MIT293" s="34"/>
      <c r="MIU293" s="34"/>
      <c r="MIV293" s="34"/>
      <c r="MIW293" s="34"/>
      <c r="MIX293" s="34"/>
      <c r="MIY293" s="34"/>
      <c r="MIZ293" s="34"/>
      <c r="MJA293" s="34"/>
      <c r="MJB293" s="34"/>
      <c r="MJC293" s="34"/>
      <c r="MJD293" s="34"/>
      <c r="MJE293" s="34"/>
      <c r="MJF293" s="34"/>
      <c r="MJG293" s="34"/>
      <c r="MJH293" s="34"/>
      <c r="MJI293" s="34"/>
      <c r="MJJ293" s="34"/>
      <c r="MJK293" s="34"/>
      <c r="MJL293" s="34"/>
      <c r="MJM293" s="34"/>
      <c r="MJN293" s="34"/>
      <c r="MJO293" s="34"/>
      <c r="MJP293" s="34"/>
      <c r="MJQ293" s="34"/>
      <c r="MJR293" s="34"/>
      <c r="MJS293" s="34"/>
      <c r="MJT293" s="34"/>
      <c r="MJU293" s="34"/>
      <c r="MJV293" s="34"/>
      <c r="MJW293" s="34"/>
      <c r="MJX293" s="34"/>
      <c r="MJY293" s="34"/>
      <c r="MJZ293" s="34"/>
      <c r="MKA293" s="34"/>
      <c r="MKB293" s="34"/>
      <c r="MKC293" s="34"/>
      <c r="MKD293" s="34"/>
      <c r="MKE293" s="34"/>
      <c r="MKF293" s="34"/>
      <c r="MKG293" s="34"/>
      <c r="MKH293" s="34"/>
      <c r="MKI293" s="34"/>
      <c r="MKJ293" s="34"/>
      <c r="MKK293" s="34"/>
      <c r="MKL293" s="34"/>
      <c r="MKM293" s="34"/>
      <c r="MKN293" s="34"/>
      <c r="MKO293" s="34"/>
      <c r="MKP293" s="34"/>
      <c r="MKQ293" s="34"/>
      <c r="MKR293" s="34"/>
      <c r="MKS293" s="34"/>
      <c r="MKT293" s="34"/>
      <c r="MKU293" s="34"/>
      <c r="MKV293" s="34"/>
      <c r="MKW293" s="34"/>
      <c r="MKX293" s="34"/>
      <c r="MKY293" s="34"/>
      <c r="MKZ293" s="34"/>
      <c r="MLA293" s="34"/>
      <c r="MLB293" s="34"/>
      <c r="MLC293" s="34"/>
      <c r="MLD293" s="34"/>
      <c r="MLE293" s="34"/>
      <c r="MLF293" s="34"/>
      <c r="MLG293" s="34"/>
      <c r="MLH293" s="34"/>
      <c r="MLI293" s="34"/>
      <c r="MLJ293" s="34"/>
      <c r="MLK293" s="34"/>
      <c r="MLL293" s="34"/>
      <c r="MLM293" s="34"/>
      <c r="MLN293" s="34"/>
      <c r="MLO293" s="34"/>
      <c r="MLP293" s="34"/>
      <c r="MLQ293" s="34"/>
      <c r="MLR293" s="34"/>
      <c r="MLS293" s="34"/>
      <c r="MLT293" s="34"/>
      <c r="MLU293" s="34"/>
      <c r="MLV293" s="34"/>
      <c r="MLW293" s="34"/>
      <c r="MLX293" s="34"/>
      <c r="MLY293" s="34"/>
      <c r="MLZ293" s="34"/>
      <c r="MMA293" s="34"/>
      <c r="MMB293" s="34"/>
      <c r="MMC293" s="34"/>
      <c r="MMD293" s="34"/>
      <c r="MME293" s="34"/>
      <c r="MMF293" s="34"/>
      <c r="MMG293" s="34"/>
      <c r="MMH293" s="34"/>
      <c r="MMI293" s="34"/>
      <c r="MMJ293" s="34"/>
      <c r="MMK293" s="34"/>
      <c r="MML293" s="34"/>
      <c r="MMM293" s="34"/>
      <c r="MMN293" s="34"/>
      <c r="MMO293" s="34"/>
      <c r="MMP293" s="34"/>
      <c r="MMQ293" s="34"/>
      <c r="MMR293" s="34"/>
      <c r="MMS293" s="34"/>
      <c r="MMT293" s="34"/>
      <c r="MMU293" s="34"/>
      <c r="MMV293" s="34"/>
      <c r="MMW293" s="34"/>
      <c r="MMX293" s="34"/>
      <c r="MMY293" s="34"/>
      <c r="MMZ293" s="34"/>
      <c r="MNA293" s="34"/>
      <c r="MNB293" s="34"/>
      <c r="MNC293" s="34"/>
      <c r="MND293" s="34"/>
      <c r="MNE293" s="34"/>
      <c r="MNF293" s="34"/>
      <c r="MNG293" s="34"/>
      <c r="MNH293" s="34"/>
      <c r="MNI293" s="34"/>
      <c r="MNJ293" s="34"/>
      <c r="MNK293" s="34"/>
      <c r="MNL293" s="34"/>
      <c r="MNM293" s="34"/>
      <c r="MNN293" s="34"/>
      <c r="MNO293" s="34"/>
      <c r="MNP293" s="34"/>
      <c r="MNQ293" s="34"/>
      <c r="MNR293" s="34"/>
      <c r="MNS293" s="34"/>
      <c r="MNT293" s="34"/>
      <c r="MNU293" s="34"/>
      <c r="MNV293" s="34"/>
      <c r="MNW293" s="34"/>
      <c r="MNX293" s="34"/>
      <c r="MNY293" s="34"/>
      <c r="MNZ293" s="34"/>
      <c r="MOA293" s="34"/>
      <c r="MOB293" s="34"/>
      <c r="MOC293" s="34"/>
      <c r="MOD293" s="34"/>
      <c r="MOE293" s="34"/>
      <c r="MOF293" s="34"/>
      <c r="MOG293" s="34"/>
      <c r="MOH293" s="34"/>
      <c r="MOI293" s="34"/>
      <c r="MOJ293" s="34"/>
      <c r="MOK293" s="34"/>
      <c r="MOL293" s="34"/>
      <c r="MOM293" s="34"/>
      <c r="MON293" s="34"/>
      <c r="MOO293" s="34"/>
      <c r="MOP293" s="34"/>
      <c r="MOQ293" s="34"/>
      <c r="MOR293" s="34"/>
      <c r="MOS293" s="34"/>
      <c r="MOT293" s="34"/>
      <c r="MOU293" s="34"/>
      <c r="MOV293" s="34"/>
      <c r="MOW293" s="34"/>
      <c r="MOX293" s="34"/>
      <c r="MOY293" s="34"/>
      <c r="MOZ293" s="34"/>
      <c r="MPA293" s="34"/>
      <c r="MPB293" s="34"/>
      <c r="MPC293" s="34"/>
      <c r="MPD293" s="34"/>
      <c r="MPE293" s="34"/>
      <c r="MPF293" s="34"/>
      <c r="MPG293" s="34"/>
      <c r="MPH293" s="34"/>
      <c r="MPI293" s="34"/>
      <c r="MPJ293" s="34"/>
      <c r="MPK293" s="34"/>
      <c r="MPL293" s="34"/>
      <c r="MPM293" s="34"/>
      <c r="MPN293" s="34"/>
      <c r="MPO293" s="34"/>
      <c r="MPP293" s="34"/>
      <c r="MPQ293" s="34"/>
      <c r="MPR293" s="34"/>
      <c r="MPS293" s="34"/>
      <c r="MPT293" s="34"/>
      <c r="MPU293" s="34"/>
      <c r="MPV293" s="34"/>
      <c r="MPW293" s="34"/>
      <c r="MPX293" s="34"/>
      <c r="MPY293" s="34"/>
      <c r="MPZ293" s="34"/>
      <c r="MQA293" s="34"/>
      <c r="MQB293" s="34"/>
      <c r="MQC293" s="34"/>
      <c r="MQD293" s="34"/>
      <c r="MQE293" s="34"/>
      <c r="MQF293" s="34"/>
      <c r="MQG293" s="34"/>
      <c r="MQH293" s="34"/>
      <c r="MQI293" s="34"/>
      <c r="MQJ293" s="34"/>
      <c r="MQK293" s="34"/>
      <c r="MQL293" s="34"/>
      <c r="MQM293" s="34"/>
      <c r="MQN293" s="34"/>
      <c r="MQO293" s="34"/>
      <c r="MQP293" s="34"/>
      <c r="MQQ293" s="34"/>
      <c r="MQR293" s="34"/>
      <c r="MQS293" s="34"/>
      <c r="MQT293" s="34"/>
      <c r="MQU293" s="34"/>
      <c r="MQV293" s="34"/>
      <c r="MQW293" s="34"/>
      <c r="MQX293" s="34"/>
      <c r="MQY293" s="34"/>
      <c r="MQZ293" s="34"/>
      <c r="MRA293" s="34"/>
      <c r="MRB293" s="34"/>
      <c r="MRC293" s="34"/>
      <c r="MRD293" s="34"/>
      <c r="MRE293" s="34"/>
      <c r="MRF293" s="34"/>
      <c r="MRG293" s="34"/>
      <c r="MRH293" s="34"/>
      <c r="MRI293" s="34"/>
      <c r="MRJ293" s="34"/>
      <c r="MRK293" s="34"/>
      <c r="MRL293" s="34"/>
      <c r="MRM293" s="34"/>
      <c r="MRN293" s="34"/>
      <c r="MRO293" s="34"/>
      <c r="MRP293" s="34"/>
      <c r="MRQ293" s="34"/>
      <c r="MRR293" s="34"/>
      <c r="MRS293" s="34"/>
      <c r="MRT293" s="34"/>
      <c r="MRU293" s="34"/>
      <c r="MRV293" s="34"/>
      <c r="MRW293" s="34"/>
      <c r="MRX293" s="34"/>
      <c r="MRY293" s="34"/>
      <c r="MRZ293" s="34"/>
      <c r="MSA293" s="34"/>
      <c r="MSB293" s="34"/>
      <c r="MSC293" s="34"/>
      <c r="MSD293" s="34"/>
      <c r="MSE293" s="34"/>
      <c r="MSF293" s="34"/>
      <c r="MSG293" s="34"/>
      <c r="MSH293" s="34"/>
      <c r="MSI293" s="34"/>
      <c r="MSJ293" s="34"/>
      <c r="MSK293" s="34"/>
      <c r="MSL293" s="34"/>
      <c r="MSM293" s="34"/>
      <c r="MSN293" s="34"/>
      <c r="MSO293" s="34"/>
      <c r="MSP293" s="34"/>
      <c r="MSQ293" s="34"/>
      <c r="MSR293" s="34"/>
      <c r="MSS293" s="34"/>
      <c r="MST293" s="34"/>
      <c r="MSU293" s="34"/>
      <c r="MSV293" s="34"/>
      <c r="MSW293" s="34"/>
      <c r="MSX293" s="34"/>
      <c r="MSY293" s="34"/>
      <c r="MSZ293" s="34"/>
      <c r="MTA293" s="34"/>
      <c r="MTB293" s="34"/>
      <c r="MTC293" s="34"/>
      <c r="MTD293" s="34"/>
      <c r="MTE293" s="34"/>
      <c r="MTF293" s="34"/>
      <c r="MTG293" s="34"/>
      <c r="MTH293" s="34"/>
      <c r="MTI293" s="34"/>
      <c r="MTJ293" s="34"/>
      <c r="MTK293" s="34"/>
      <c r="MTL293" s="34"/>
      <c r="MTM293" s="34"/>
      <c r="MTN293" s="34"/>
      <c r="MTO293" s="34"/>
      <c r="MTP293" s="34"/>
      <c r="MTQ293" s="34"/>
      <c r="MTR293" s="34"/>
      <c r="MTS293" s="34"/>
      <c r="MTT293" s="34"/>
      <c r="MTU293" s="34"/>
      <c r="MTV293" s="34"/>
      <c r="MTW293" s="34"/>
      <c r="MTX293" s="34"/>
      <c r="MTY293" s="34"/>
      <c r="MTZ293" s="34"/>
      <c r="MUA293" s="34"/>
      <c r="MUB293" s="34"/>
      <c r="MUC293" s="34"/>
      <c r="MUD293" s="34"/>
      <c r="MUE293" s="34"/>
      <c r="MUF293" s="34"/>
      <c r="MUG293" s="34"/>
      <c r="MUH293" s="34"/>
      <c r="MUI293" s="34"/>
      <c r="MUJ293" s="34"/>
      <c r="MUK293" s="34"/>
      <c r="MUL293" s="34"/>
      <c r="MUM293" s="34"/>
      <c r="MUN293" s="34"/>
      <c r="MUO293" s="34"/>
      <c r="MUP293" s="34"/>
      <c r="MUQ293" s="34"/>
      <c r="MUR293" s="34"/>
      <c r="MUS293" s="34"/>
      <c r="MUT293" s="34"/>
      <c r="MUU293" s="34"/>
      <c r="MUV293" s="34"/>
      <c r="MUW293" s="34"/>
      <c r="MUX293" s="34"/>
      <c r="MUY293" s="34"/>
      <c r="MUZ293" s="34"/>
      <c r="MVA293" s="34"/>
      <c r="MVB293" s="34"/>
      <c r="MVC293" s="34"/>
      <c r="MVD293" s="34"/>
      <c r="MVE293" s="34"/>
      <c r="MVF293" s="34"/>
      <c r="MVG293" s="34"/>
      <c r="MVH293" s="34"/>
      <c r="MVI293" s="34"/>
      <c r="MVJ293" s="34"/>
      <c r="MVK293" s="34"/>
      <c r="MVL293" s="34"/>
      <c r="MVM293" s="34"/>
      <c r="MVN293" s="34"/>
      <c r="MVO293" s="34"/>
      <c r="MVP293" s="34"/>
      <c r="MVQ293" s="34"/>
      <c r="MVR293" s="34"/>
      <c r="MVS293" s="34"/>
      <c r="MVT293" s="34"/>
      <c r="MVU293" s="34"/>
      <c r="MVV293" s="34"/>
      <c r="MVW293" s="34"/>
      <c r="MVX293" s="34"/>
      <c r="MVY293" s="34"/>
      <c r="MVZ293" s="34"/>
      <c r="MWA293" s="34"/>
      <c r="MWB293" s="34"/>
      <c r="MWC293" s="34"/>
      <c r="MWD293" s="34"/>
      <c r="MWE293" s="34"/>
      <c r="MWF293" s="34"/>
      <c r="MWG293" s="34"/>
      <c r="MWH293" s="34"/>
      <c r="MWI293" s="34"/>
      <c r="MWJ293" s="34"/>
      <c r="MWK293" s="34"/>
      <c r="MWL293" s="34"/>
      <c r="MWM293" s="34"/>
      <c r="MWN293" s="34"/>
      <c r="MWO293" s="34"/>
      <c r="MWP293" s="34"/>
      <c r="MWQ293" s="34"/>
      <c r="MWR293" s="34"/>
      <c r="MWS293" s="34"/>
      <c r="MWT293" s="34"/>
      <c r="MWU293" s="34"/>
      <c r="MWV293" s="34"/>
      <c r="MWW293" s="34"/>
      <c r="MWX293" s="34"/>
      <c r="MWY293" s="34"/>
      <c r="MWZ293" s="34"/>
      <c r="MXA293" s="34"/>
      <c r="MXB293" s="34"/>
      <c r="MXC293" s="34"/>
      <c r="MXD293" s="34"/>
      <c r="MXE293" s="34"/>
      <c r="MXF293" s="34"/>
      <c r="MXG293" s="34"/>
      <c r="MXH293" s="34"/>
      <c r="MXI293" s="34"/>
      <c r="MXJ293" s="34"/>
      <c r="MXK293" s="34"/>
      <c r="MXL293" s="34"/>
      <c r="MXM293" s="34"/>
      <c r="MXN293" s="34"/>
      <c r="MXO293" s="34"/>
      <c r="MXP293" s="34"/>
      <c r="MXQ293" s="34"/>
      <c r="MXR293" s="34"/>
      <c r="MXS293" s="34"/>
      <c r="MXT293" s="34"/>
      <c r="MXU293" s="34"/>
      <c r="MXV293" s="34"/>
      <c r="MXW293" s="34"/>
      <c r="MXX293" s="34"/>
      <c r="MXY293" s="34"/>
      <c r="MXZ293" s="34"/>
      <c r="MYA293" s="34"/>
      <c r="MYB293" s="34"/>
      <c r="MYC293" s="34"/>
      <c r="MYD293" s="34"/>
      <c r="MYE293" s="34"/>
      <c r="MYF293" s="34"/>
      <c r="MYG293" s="34"/>
      <c r="MYH293" s="34"/>
      <c r="MYI293" s="34"/>
      <c r="MYJ293" s="34"/>
      <c r="MYK293" s="34"/>
      <c r="MYL293" s="34"/>
      <c r="MYM293" s="34"/>
      <c r="MYN293" s="34"/>
      <c r="MYO293" s="34"/>
      <c r="MYP293" s="34"/>
      <c r="MYQ293" s="34"/>
      <c r="MYR293" s="34"/>
      <c r="MYS293" s="34"/>
      <c r="MYT293" s="34"/>
      <c r="MYU293" s="34"/>
      <c r="MYV293" s="34"/>
      <c r="MYW293" s="34"/>
      <c r="MYX293" s="34"/>
      <c r="MYY293" s="34"/>
      <c r="MYZ293" s="34"/>
      <c r="MZA293" s="34"/>
      <c r="MZB293" s="34"/>
      <c r="MZC293" s="34"/>
      <c r="MZD293" s="34"/>
      <c r="MZE293" s="34"/>
      <c r="MZF293" s="34"/>
      <c r="MZG293" s="34"/>
      <c r="MZH293" s="34"/>
      <c r="MZI293" s="34"/>
      <c r="MZJ293" s="34"/>
      <c r="MZK293" s="34"/>
      <c r="MZL293" s="34"/>
      <c r="MZM293" s="34"/>
      <c r="MZN293" s="34"/>
      <c r="MZO293" s="34"/>
      <c r="MZP293" s="34"/>
      <c r="MZQ293" s="34"/>
      <c r="MZR293" s="34"/>
      <c r="MZS293" s="34"/>
      <c r="MZT293" s="34"/>
      <c r="MZU293" s="34"/>
      <c r="MZV293" s="34"/>
      <c r="MZW293" s="34"/>
      <c r="MZX293" s="34"/>
      <c r="MZY293" s="34"/>
      <c r="MZZ293" s="34"/>
      <c r="NAA293" s="34"/>
      <c r="NAB293" s="34"/>
      <c r="NAC293" s="34"/>
      <c r="NAD293" s="34"/>
      <c r="NAE293" s="34"/>
      <c r="NAF293" s="34"/>
      <c r="NAG293" s="34"/>
      <c r="NAH293" s="34"/>
      <c r="NAI293" s="34"/>
      <c r="NAJ293" s="34"/>
      <c r="NAK293" s="34"/>
      <c r="NAL293" s="34"/>
      <c r="NAM293" s="34"/>
      <c r="NAN293" s="34"/>
      <c r="NAO293" s="34"/>
      <c r="NAP293" s="34"/>
      <c r="NAQ293" s="34"/>
      <c r="NAR293" s="34"/>
      <c r="NAS293" s="34"/>
      <c r="NAT293" s="34"/>
      <c r="NAU293" s="34"/>
      <c r="NAV293" s="34"/>
      <c r="NAW293" s="34"/>
      <c r="NAX293" s="34"/>
      <c r="NAY293" s="34"/>
      <c r="NAZ293" s="34"/>
      <c r="NBA293" s="34"/>
      <c r="NBB293" s="34"/>
      <c r="NBC293" s="34"/>
      <c r="NBD293" s="34"/>
      <c r="NBE293" s="34"/>
      <c r="NBF293" s="34"/>
      <c r="NBG293" s="34"/>
      <c r="NBH293" s="34"/>
      <c r="NBI293" s="34"/>
      <c r="NBJ293" s="34"/>
      <c r="NBK293" s="34"/>
      <c r="NBL293" s="34"/>
      <c r="NBM293" s="34"/>
      <c r="NBN293" s="34"/>
      <c r="NBO293" s="34"/>
      <c r="NBP293" s="34"/>
      <c r="NBQ293" s="34"/>
      <c r="NBR293" s="34"/>
      <c r="NBS293" s="34"/>
      <c r="NBT293" s="34"/>
      <c r="NBU293" s="34"/>
      <c r="NBV293" s="34"/>
      <c r="NBW293" s="34"/>
      <c r="NBX293" s="34"/>
      <c r="NBY293" s="34"/>
      <c r="NBZ293" s="34"/>
      <c r="NCA293" s="34"/>
      <c r="NCB293" s="34"/>
      <c r="NCC293" s="34"/>
      <c r="NCD293" s="34"/>
      <c r="NCE293" s="34"/>
      <c r="NCF293" s="34"/>
      <c r="NCG293" s="34"/>
      <c r="NCH293" s="34"/>
      <c r="NCI293" s="34"/>
      <c r="NCJ293" s="34"/>
      <c r="NCK293" s="34"/>
      <c r="NCL293" s="34"/>
      <c r="NCM293" s="34"/>
      <c r="NCN293" s="34"/>
      <c r="NCO293" s="34"/>
      <c r="NCP293" s="34"/>
      <c r="NCQ293" s="34"/>
      <c r="NCR293" s="34"/>
      <c r="NCS293" s="34"/>
      <c r="NCT293" s="34"/>
      <c r="NCU293" s="34"/>
      <c r="NCV293" s="34"/>
      <c r="NCW293" s="34"/>
      <c r="NCX293" s="34"/>
      <c r="NCY293" s="34"/>
      <c r="NCZ293" s="34"/>
      <c r="NDA293" s="34"/>
      <c r="NDB293" s="34"/>
      <c r="NDC293" s="34"/>
      <c r="NDD293" s="34"/>
      <c r="NDE293" s="34"/>
      <c r="NDF293" s="34"/>
      <c r="NDG293" s="34"/>
      <c r="NDH293" s="34"/>
      <c r="NDI293" s="34"/>
      <c r="NDJ293" s="34"/>
      <c r="NDK293" s="34"/>
      <c r="NDL293" s="34"/>
      <c r="NDM293" s="34"/>
      <c r="NDN293" s="34"/>
      <c r="NDO293" s="34"/>
      <c r="NDP293" s="34"/>
      <c r="NDQ293" s="34"/>
      <c r="NDR293" s="34"/>
      <c r="NDS293" s="34"/>
      <c r="NDT293" s="34"/>
      <c r="NDU293" s="34"/>
      <c r="NDV293" s="34"/>
      <c r="NDW293" s="34"/>
      <c r="NDX293" s="34"/>
      <c r="NDY293" s="34"/>
      <c r="NDZ293" s="34"/>
      <c r="NEA293" s="34"/>
      <c r="NEB293" s="34"/>
      <c r="NEC293" s="34"/>
      <c r="NED293" s="34"/>
      <c r="NEE293" s="34"/>
      <c r="NEF293" s="34"/>
      <c r="NEG293" s="34"/>
      <c r="NEH293" s="34"/>
      <c r="NEI293" s="34"/>
      <c r="NEJ293" s="34"/>
      <c r="NEK293" s="34"/>
      <c r="NEL293" s="34"/>
      <c r="NEM293" s="34"/>
      <c r="NEN293" s="34"/>
      <c r="NEO293" s="34"/>
      <c r="NEP293" s="34"/>
      <c r="NEQ293" s="34"/>
      <c r="NER293" s="34"/>
      <c r="NES293" s="34"/>
      <c r="NET293" s="34"/>
      <c r="NEU293" s="34"/>
      <c r="NEV293" s="34"/>
      <c r="NEW293" s="34"/>
      <c r="NEX293" s="34"/>
      <c r="NEY293" s="34"/>
      <c r="NEZ293" s="34"/>
      <c r="NFA293" s="34"/>
      <c r="NFB293" s="34"/>
      <c r="NFC293" s="34"/>
      <c r="NFD293" s="34"/>
      <c r="NFE293" s="34"/>
      <c r="NFF293" s="34"/>
      <c r="NFG293" s="34"/>
      <c r="NFH293" s="34"/>
      <c r="NFI293" s="34"/>
      <c r="NFJ293" s="34"/>
      <c r="NFK293" s="34"/>
      <c r="NFL293" s="34"/>
      <c r="NFM293" s="34"/>
      <c r="NFN293" s="34"/>
      <c r="NFO293" s="34"/>
      <c r="NFP293" s="34"/>
      <c r="NFQ293" s="34"/>
      <c r="NFR293" s="34"/>
      <c r="NFS293" s="34"/>
      <c r="NFT293" s="34"/>
      <c r="NFU293" s="34"/>
      <c r="NFV293" s="34"/>
      <c r="NFW293" s="34"/>
      <c r="NFX293" s="34"/>
      <c r="NFY293" s="34"/>
      <c r="NFZ293" s="34"/>
      <c r="NGA293" s="34"/>
      <c r="NGB293" s="34"/>
      <c r="NGC293" s="34"/>
      <c r="NGD293" s="34"/>
      <c r="NGE293" s="34"/>
      <c r="NGF293" s="34"/>
      <c r="NGG293" s="34"/>
      <c r="NGH293" s="34"/>
      <c r="NGI293" s="34"/>
      <c r="NGJ293" s="34"/>
      <c r="NGK293" s="34"/>
      <c r="NGL293" s="34"/>
      <c r="NGM293" s="34"/>
      <c r="NGN293" s="34"/>
      <c r="NGO293" s="34"/>
      <c r="NGP293" s="34"/>
      <c r="NGQ293" s="34"/>
      <c r="NGR293" s="34"/>
      <c r="NGS293" s="34"/>
      <c r="NGT293" s="34"/>
      <c r="NGU293" s="34"/>
      <c r="NGV293" s="34"/>
      <c r="NGW293" s="34"/>
      <c r="NGX293" s="34"/>
      <c r="NGY293" s="34"/>
      <c r="NGZ293" s="34"/>
      <c r="NHA293" s="34"/>
      <c r="NHB293" s="34"/>
      <c r="NHC293" s="34"/>
      <c r="NHD293" s="34"/>
      <c r="NHE293" s="34"/>
      <c r="NHF293" s="34"/>
      <c r="NHG293" s="34"/>
      <c r="NHH293" s="34"/>
      <c r="NHI293" s="34"/>
      <c r="NHJ293" s="34"/>
      <c r="NHK293" s="34"/>
      <c r="NHL293" s="34"/>
      <c r="NHM293" s="34"/>
      <c r="NHN293" s="34"/>
      <c r="NHO293" s="34"/>
      <c r="NHP293" s="34"/>
      <c r="NHQ293" s="34"/>
      <c r="NHR293" s="34"/>
      <c r="NHS293" s="34"/>
      <c r="NHT293" s="34"/>
      <c r="NHU293" s="34"/>
      <c r="NHV293" s="34"/>
      <c r="NHW293" s="34"/>
      <c r="NHX293" s="34"/>
      <c r="NHY293" s="34"/>
      <c r="NHZ293" s="34"/>
      <c r="NIA293" s="34"/>
      <c r="NIB293" s="34"/>
      <c r="NIC293" s="34"/>
      <c r="NID293" s="34"/>
      <c r="NIE293" s="34"/>
      <c r="NIF293" s="34"/>
      <c r="NIG293" s="34"/>
      <c r="NIH293" s="34"/>
      <c r="NII293" s="34"/>
      <c r="NIJ293" s="34"/>
      <c r="NIK293" s="34"/>
      <c r="NIL293" s="34"/>
      <c r="NIM293" s="34"/>
      <c r="NIN293" s="34"/>
      <c r="NIO293" s="34"/>
      <c r="NIP293" s="34"/>
      <c r="NIQ293" s="34"/>
      <c r="NIR293" s="34"/>
      <c r="NIS293" s="34"/>
      <c r="NIT293" s="34"/>
      <c r="NIU293" s="34"/>
      <c r="NIV293" s="34"/>
      <c r="NIW293" s="34"/>
      <c r="NIX293" s="34"/>
      <c r="NIY293" s="34"/>
      <c r="NIZ293" s="34"/>
      <c r="NJA293" s="34"/>
      <c r="NJB293" s="34"/>
      <c r="NJC293" s="34"/>
      <c r="NJD293" s="34"/>
      <c r="NJE293" s="34"/>
      <c r="NJF293" s="34"/>
      <c r="NJG293" s="34"/>
      <c r="NJH293" s="34"/>
      <c r="NJI293" s="34"/>
      <c r="NJJ293" s="34"/>
      <c r="NJK293" s="34"/>
      <c r="NJL293" s="34"/>
      <c r="NJM293" s="34"/>
      <c r="NJN293" s="34"/>
      <c r="NJO293" s="34"/>
      <c r="NJP293" s="34"/>
      <c r="NJQ293" s="34"/>
      <c r="NJR293" s="34"/>
      <c r="NJS293" s="34"/>
      <c r="NJT293" s="34"/>
      <c r="NJU293" s="34"/>
      <c r="NJV293" s="34"/>
      <c r="NJW293" s="34"/>
      <c r="NJX293" s="34"/>
      <c r="NJY293" s="34"/>
      <c r="NJZ293" s="34"/>
      <c r="NKA293" s="34"/>
      <c r="NKB293" s="34"/>
      <c r="NKC293" s="34"/>
      <c r="NKD293" s="34"/>
      <c r="NKE293" s="34"/>
      <c r="NKF293" s="34"/>
      <c r="NKG293" s="34"/>
      <c r="NKH293" s="34"/>
      <c r="NKI293" s="34"/>
      <c r="NKJ293" s="34"/>
      <c r="NKK293" s="34"/>
      <c r="NKL293" s="34"/>
      <c r="NKM293" s="34"/>
      <c r="NKN293" s="34"/>
      <c r="NKO293" s="34"/>
      <c r="NKP293" s="34"/>
      <c r="NKQ293" s="34"/>
      <c r="NKR293" s="34"/>
      <c r="NKS293" s="34"/>
      <c r="NKT293" s="34"/>
      <c r="NKU293" s="34"/>
      <c r="NKV293" s="34"/>
      <c r="NKW293" s="34"/>
      <c r="NKX293" s="34"/>
      <c r="NKY293" s="34"/>
      <c r="NKZ293" s="34"/>
      <c r="NLA293" s="34"/>
      <c r="NLB293" s="34"/>
      <c r="NLC293" s="34"/>
      <c r="NLD293" s="34"/>
      <c r="NLE293" s="34"/>
      <c r="NLF293" s="34"/>
      <c r="NLG293" s="34"/>
      <c r="NLH293" s="34"/>
      <c r="NLI293" s="34"/>
      <c r="NLJ293" s="34"/>
      <c r="NLK293" s="34"/>
      <c r="NLL293" s="34"/>
      <c r="NLM293" s="34"/>
      <c r="NLN293" s="34"/>
      <c r="NLO293" s="34"/>
      <c r="NLP293" s="34"/>
      <c r="NLQ293" s="34"/>
      <c r="NLR293" s="34"/>
      <c r="NLS293" s="34"/>
      <c r="NLT293" s="34"/>
      <c r="NLU293" s="34"/>
      <c r="NLV293" s="34"/>
      <c r="NLW293" s="34"/>
      <c r="NLX293" s="34"/>
      <c r="NLY293" s="34"/>
      <c r="NLZ293" s="34"/>
      <c r="NMA293" s="34"/>
      <c r="NMB293" s="34"/>
      <c r="NMC293" s="34"/>
      <c r="NMD293" s="34"/>
      <c r="NME293" s="34"/>
      <c r="NMF293" s="34"/>
      <c r="NMG293" s="34"/>
      <c r="NMH293" s="34"/>
      <c r="NMI293" s="34"/>
      <c r="NMJ293" s="34"/>
      <c r="NMK293" s="34"/>
      <c r="NML293" s="34"/>
      <c r="NMM293" s="34"/>
      <c r="NMN293" s="34"/>
      <c r="NMO293" s="34"/>
      <c r="NMP293" s="34"/>
      <c r="NMQ293" s="34"/>
      <c r="NMR293" s="34"/>
      <c r="NMS293" s="34"/>
      <c r="NMT293" s="34"/>
      <c r="NMU293" s="34"/>
      <c r="NMV293" s="34"/>
      <c r="NMW293" s="34"/>
      <c r="NMX293" s="34"/>
      <c r="NMY293" s="34"/>
      <c r="NMZ293" s="34"/>
      <c r="NNA293" s="34"/>
      <c r="NNB293" s="34"/>
      <c r="NNC293" s="34"/>
      <c r="NND293" s="34"/>
      <c r="NNE293" s="34"/>
      <c r="NNF293" s="34"/>
      <c r="NNG293" s="34"/>
      <c r="NNH293" s="34"/>
      <c r="NNI293" s="34"/>
      <c r="NNJ293" s="34"/>
      <c r="NNK293" s="34"/>
      <c r="NNL293" s="34"/>
      <c r="NNM293" s="34"/>
      <c r="NNN293" s="34"/>
      <c r="NNO293" s="34"/>
      <c r="NNP293" s="34"/>
      <c r="NNQ293" s="34"/>
      <c r="NNR293" s="34"/>
      <c r="NNS293" s="34"/>
      <c r="NNT293" s="34"/>
      <c r="NNU293" s="34"/>
      <c r="NNV293" s="34"/>
      <c r="NNW293" s="34"/>
      <c r="NNX293" s="34"/>
      <c r="NNY293" s="34"/>
      <c r="NNZ293" s="34"/>
      <c r="NOA293" s="34"/>
      <c r="NOB293" s="34"/>
      <c r="NOC293" s="34"/>
      <c r="NOD293" s="34"/>
      <c r="NOE293" s="34"/>
      <c r="NOF293" s="34"/>
      <c r="NOG293" s="34"/>
      <c r="NOH293" s="34"/>
      <c r="NOI293" s="34"/>
      <c r="NOJ293" s="34"/>
      <c r="NOK293" s="34"/>
      <c r="NOL293" s="34"/>
      <c r="NOM293" s="34"/>
      <c r="NON293" s="34"/>
      <c r="NOO293" s="34"/>
      <c r="NOP293" s="34"/>
      <c r="NOQ293" s="34"/>
      <c r="NOR293" s="34"/>
      <c r="NOS293" s="34"/>
      <c r="NOT293" s="34"/>
      <c r="NOU293" s="34"/>
      <c r="NOV293" s="34"/>
      <c r="NOW293" s="34"/>
      <c r="NOX293" s="34"/>
      <c r="NOY293" s="34"/>
      <c r="NOZ293" s="34"/>
      <c r="NPA293" s="34"/>
      <c r="NPB293" s="34"/>
      <c r="NPC293" s="34"/>
      <c r="NPD293" s="34"/>
      <c r="NPE293" s="34"/>
      <c r="NPF293" s="34"/>
      <c r="NPG293" s="34"/>
      <c r="NPH293" s="34"/>
      <c r="NPI293" s="34"/>
      <c r="NPJ293" s="34"/>
      <c r="NPK293" s="34"/>
      <c r="NPL293" s="34"/>
      <c r="NPM293" s="34"/>
      <c r="NPN293" s="34"/>
      <c r="NPO293" s="34"/>
      <c r="NPP293" s="34"/>
      <c r="NPQ293" s="34"/>
      <c r="NPR293" s="34"/>
      <c r="NPS293" s="34"/>
      <c r="NPT293" s="34"/>
      <c r="NPU293" s="34"/>
      <c r="NPV293" s="34"/>
      <c r="NPW293" s="34"/>
      <c r="NPX293" s="34"/>
      <c r="NPY293" s="34"/>
      <c r="NPZ293" s="34"/>
      <c r="NQA293" s="34"/>
      <c r="NQB293" s="34"/>
      <c r="NQC293" s="34"/>
      <c r="NQD293" s="34"/>
      <c r="NQE293" s="34"/>
      <c r="NQF293" s="34"/>
      <c r="NQG293" s="34"/>
      <c r="NQH293" s="34"/>
      <c r="NQI293" s="34"/>
      <c r="NQJ293" s="34"/>
      <c r="NQK293" s="34"/>
      <c r="NQL293" s="34"/>
      <c r="NQM293" s="34"/>
      <c r="NQN293" s="34"/>
      <c r="NQO293" s="34"/>
      <c r="NQP293" s="34"/>
      <c r="NQQ293" s="34"/>
      <c r="NQR293" s="34"/>
      <c r="NQS293" s="34"/>
      <c r="NQT293" s="34"/>
      <c r="NQU293" s="34"/>
      <c r="NQV293" s="34"/>
      <c r="NQW293" s="34"/>
      <c r="NQX293" s="34"/>
      <c r="NQY293" s="34"/>
      <c r="NQZ293" s="34"/>
      <c r="NRA293" s="34"/>
      <c r="NRB293" s="34"/>
      <c r="NRC293" s="34"/>
      <c r="NRD293" s="34"/>
      <c r="NRE293" s="34"/>
      <c r="NRF293" s="34"/>
      <c r="NRG293" s="34"/>
      <c r="NRH293" s="34"/>
      <c r="NRI293" s="34"/>
      <c r="NRJ293" s="34"/>
      <c r="NRK293" s="34"/>
      <c r="NRL293" s="34"/>
      <c r="NRM293" s="34"/>
      <c r="NRN293" s="34"/>
      <c r="NRO293" s="34"/>
      <c r="NRP293" s="34"/>
      <c r="NRQ293" s="34"/>
      <c r="NRR293" s="34"/>
      <c r="NRS293" s="34"/>
      <c r="NRT293" s="34"/>
      <c r="NRU293" s="34"/>
      <c r="NRV293" s="34"/>
      <c r="NRW293" s="34"/>
      <c r="NRX293" s="34"/>
      <c r="NRY293" s="34"/>
      <c r="NRZ293" s="34"/>
      <c r="NSA293" s="34"/>
      <c r="NSB293" s="34"/>
      <c r="NSC293" s="34"/>
      <c r="NSD293" s="34"/>
      <c r="NSE293" s="34"/>
      <c r="NSF293" s="34"/>
      <c r="NSG293" s="34"/>
      <c r="NSH293" s="34"/>
      <c r="NSI293" s="34"/>
      <c r="NSJ293" s="34"/>
      <c r="NSK293" s="34"/>
      <c r="NSL293" s="34"/>
      <c r="NSM293" s="34"/>
      <c r="NSN293" s="34"/>
      <c r="NSO293" s="34"/>
      <c r="NSP293" s="34"/>
      <c r="NSQ293" s="34"/>
      <c r="NSR293" s="34"/>
      <c r="NSS293" s="34"/>
      <c r="NST293" s="34"/>
      <c r="NSU293" s="34"/>
      <c r="NSV293" s="34"/>
      <c r="NSW293" s="34"/>
      <c r="NSX293" s="34"/>
      <c r="NSY293" s="34"/>
      <c r="NSZ293" s="34"/>
      <c r="NTA293" s="34"/>
      <c r="NTB293" s="34"/>
      <c r="NTC293" s="34"/>
      <c r="NTD293" s="34"/>
      <c r="NTE293" s="34"/>
      <c r="NTF293" s="34"/>
      <c r="NTG293" s="34"/>
      <c r="NTH293" s="34"/>
      <c r="NTI293" s="34"/>
      <c r="NTJ293" s="34"/>
      <c r="NTK293" s="34"/>
      <c r="NTL293" s="34"/>
      <c r="NTM293" s="34"/>
      <c r="NTN293" s="34"/>
      <c r="NTO293" s="34"/>
      <c r="NTP293" s="34"/>
      <c r="NTQ293" s="34"/>
      <c r="NTR293" s="34"/>
      <c r="NTS293" s="34"/>
      <c r="NTT293" s="34"/>
      <c r="NTU293" s="34"/>
      <c r="NTV293" s="34"/>
      <c r="NTW293" s="34"/>
      <c r="NTX293" s="34"/>
      <c r="NTY293" s="34"/>
    </row>
    <row r="294" spans="1:10009" hidden="1" x14ac:dyDescent="0.3">
      <c r="J294" t="s">
        <v>205</v>
      </c>
      <c r="K294">
        <v>3742259000</v>
      </c>
      <c r="L294">
        <v>1308725000</v>
      </c>
      <c r="M294">
        <v>640178000</v>
      </c>
      <c r="N294">
        <v>43376630000</v>
      </c>
      <c r="O294">
        <v>39070499000</v>
      </c>
      <c r="P294">
        <v>28218454000</v>
      </c>
      <c r="Q294">
        <v>14121409000</v>
      </c>
      <c r="R294">
        <v>51633856000</v>
      </c>
      <c r="S294">
        <v>37767144000</v>
      </c>
      <c r="T294">
        <v>21949613000</v>
      </c>
    </row>
    <row r="295" spans="1:10009" hidden="1" x14ac:dyDescent="0.3">
      <c r="J295" t="s">
        <v>206</v>
      </c>
      <c r="K295">
        <v>857860000</v>
      </c>
      <c r="L295">
        <v>578570000</v>
      </c>
      <c r="M295">
        <v>291677000</v>
      </c>
      <c r="N295">
        <v>763015000</v>
      </c>
      <c r="O295">
        <v>488758000</v>
      </c>
      <c r="P295">
        <v>272295000</v>
      </c>
      <c r="Q295">
        <v>149231000</v>
      </c>
      <c r="R295">
        <v>431540000</v>
      </c>
      <c r="S295">
        <v>307684000</v>
      </c>
      <c r="T295">
        <v>170674000</v>
      </c>
    </row>
    <row r="296" spans="1:10009" hidden="1" x14ac:dyDescent="0.3">
      <c r="J296" t="s">
        <v>208</v>
      </c>
      <c r="K296">
        <v>363892643000</v>
      </c>
      <c r="L296">
        <v>358975626000</v>
      </c>
      <c r="M296">
        <v>359799416000</v>
      </c>
      <c r="N296">
        <v>354749604000</v>
      </c>
      <c r="O296">
        <v>344906889000</v>
      </c>
      <c r="P296">
        <v>327906664000</v>
      </c>
      <c r="Q296">
        <v>315290919000</v>
      </c>
      <c r="R296">
        <v>304899931000</v>
      </c>
      <c r="S296">
        <v>296766118000</v>
      </c>
      <c r="T296">
        <v>282324266000</v>
      </c>
    </row>
    <row r="297" spans="1:10009" hidden="1" x14ac:dyDescent="0.3">
      <c r="J297" t="s">
        <v>209</v>
      </c>
      <c r="K297">
        <v>454466447000</v>
      </c>
      <c r="L297">
        <v>448000552000</v>
      </c>
      <c r="M297">
        <v>454091777000</v>
      </c>
      <c r="N297">
        <v>448424507000</v>
      </c>
      <c r="O297">
        <v>470278409000</v>
      </c>
      <c r="P297">
        <v>448040650000</v>
      </c>
      <c r="Q297">
        <v>439326959000</v>
      </c>
      <c r="R297">
        <v>426621158000</v>
      </c>
      <c r="S297">
        <v>410420718000</v>
      </c>
      <c r="T297">
        <v>384777669000</v>
      </c>
    </row>
    <row r="298" spans="1:10009" hidden="1" x14ac:dyDescent="0.3">
      <c r="J298" t="s">
        <v>210</v>
      </c>
      <c r="K298">
        <v>39.78</v>
      </c>
      <c r="L298">
        <v>39.700000000000003</v>
      </c>
      <c r="M298">
        <v>37.85</v>
      </c>
      <c r="N298">
        <v>37.47</v>
      </c>
      <c r="O298">
        <v>34.1</v>
      </c>
      <c r="P298">
        <v>34.43</v>
      </c>
      <c r="Q298">
        <v>34.06</v>
      </c>
      <c r="R298">
        <v>35.14</v>
      </c>
      <c r="S298">
        <v>34.85</v>
      </c>
      <c r="T298">
        <v>36.229999999999997</v>
      </c>
    </row>
    <row r="299" spans="1:10009" hidden="1" x14ac:dyDescent="0.3">
      <c r="J299" t="s">
        <v>207</v>
      </c>
      <c r="K299">
        <v>80.069999999999993</v>
      </c>
      <c r="L299">
        <v>80.13</v>
      </c>
      <c r="M299">
        <v>79.23</v>
      </c>
      <c r="N299">
        <v>79.11</v>
      </c>
      <c r="O299">
        <v>73.34</v>
      </c>
      <c r="P299">
        <v>73.19</v>
      </c>
      <c r="Q299">
        <v>71.77</v>
      </c>
      <c r="R299">
        <v>71.47</v>
      </c>
      <c r="S299">
        <v>72.31</v>
      </c>
      <c r="T299">
        <v>73.37</v>
      </c>
    </row>
    <row r="300" spans="1:10009" hidden="1" x14ac:dyDescent="0.3">
      <c r="J300" t="s">
        <v>204</v>
      </c>
      <c r="K300">
        <v>40444.51</v>
      </c>
      <c r="L300">
        <v>39896.660000000003</v>
      </c>
      <c r="M300">
        <v>39988.449999999997</v>
      </c>
      <c r="N300">
        <v>39425.800000000003</v>
      </c>
      <c r="O300">
        <v>38329.14</v>
      </c>
      <c r="P300">
        <v>36434.99</v>
      </c>
      <c r="Q300">
        <v>35029.360000000001</v>
      </c>
      <c r="R300">
        <v>33871.61</v>
      </c>
      <c r="S300">
        <v>32965.35</v>
      </c>
      <c r="T300">
        <v>31356.25</v>
      </c>
    </row>
    <row r="301" spans="1:10009" hidden="1" x14ac:dyDescent="0.3">
      <c r="J301" t="s">
        <v>216</v>
      </c>
      <c r="K301">
        <v>2.76</v>
      </c>
      <c r="L301">
        <v>2.5499999999999998</v>
      </c>
      <c r="M301">
        <v>2.76</v>
      </c>
      <c r="N301">
        <v>2.91</v>
      </c>
      <c r="O301">
        <v>3.61</v>
      </c>
      <c r="P301">
        <v>5.32</v>
      </c>
      <c r="Q301">
        <v>5.72</v>
      </c>
      <c r="R301">
        <v>6.03</v>
      </c>
      <c r="S301">
        <v>7.16</v>
      </c>
      <c r="T301">
        <v>6.69</v>
      </c>
    </row>
    <row r="302" spans="1:10009" hidden="1" x14ac:dyDescent="0.3">
      <c r="J302" t="s">
        <v>211</v>
      </c>
      <c r="K302">
        <f>IFERROR(K294/K295,"")</f>
        <v>4.3623190264145668</v>
      </c>
      <c r="L302">
        <f t="shared" ref="L302:T302" si="32">L294/L295</f>
        <v>2.261999412344228</v>
      </c>
      <c r="M302">
        <f t="shared" si="32"/>
        <v>2.1948182407251857</v>
      </c>
      <c r="N302">
        <f t="shared" si="32"/>
        <v>56.848987241404167</v>
      </c>
      <c r="O302">
        <f t="shared" si="32"/>
        <v>79.938331444191192</v>
      </c>
      <c r="P302">
        <f t="shared" si="32"/>
        <v>103.63192126186672</v>
      </c>
      <c r="Q302">
        <f t="shared" si="32"/>
        <v>94.627852121878163</v>
      </c>
      <c r="R302">
        <f t="shared" si="32"/>
        <v>119.65022014181767</v>
      </c>
      <c r="S302">
        <f t="shared" si="32"/>
        <v>122.74653215636822</v>
      </c>
      <c r="T302">
        <f t="shared" si="32"/>
        <v>128.60548765482733</v>
      </c>
    </row>
    <row r="303" spans="1:10009" hidden="1" x14ac:dyDescent="0.3"/>
    <row r="304" spans="1:10009" hidden="1" x14ac:dyDescent="0.3"/>
    <row r="305" spans="1:10009" x14ac:dyDescent="0.3"/>
    <row r="306" spans="1:10009" s="30" customFormat="1" x14ac:dyDescent="0.3">
      <c r="A306"/>
      <c r="B306"/>
      <c r="C306"/>
      <c r="D306"/>
      <c r="E306"/>
      <c r="F306"/>
      <c r="G306"/>
      <c r="H306"/>
      <c r="I306" s="14"/>
      <c r="J306" s="27" t="s">
        <v>218</v>
      </c>
      <c r="K306" s="8" t="str">
        <f>IF(K293="","",YEAR(K293)&amp;"/"&amp;MONTH(K293)/3&amp;"Q")</f>
        <v>2023/3Q</v>
      </c>
      <c r="L306" s="8" t="str">
        <f t="shared" ref="L306:S306" si="33">IF(L293="","",YEAR(L293)&amp;"/"&amp;MONTH(L293)/3&amp;"Q")</f>
        <v>2023/2Q</v>
      </c>
      <c r="M306" s="8" t="str">
        <f t="shared" si="33"/>
        <v>2023/1Q</v>
      </c>
      <c r="N306" s="8" t="str">
        <f t="shared" si="33"/>
        <v>2022/4Q</v>
      </c>
      <c r="O306" s="8" t="str">
        <f t="shared" si="33"/>
        <v>2022/3Q</v>
      </c>
      <c r="P306" s="8" t="str">
        <f t="shared" si="33"/>
        <v>2022/2Q</v>
      </c>
      <c r="Q306" s="8" t="str">
        <f t="shared" si="33"/>
        <v>2022/1Q</v>
      </c>
      <c r="R306" s="8" t="str">
        <f t="shared" si="33"/>
        <v>2021/4Q</v>
      </c>
      <c r="S306" s="8" t="str">
        <f t="shared" si="33"/>
        <v>2021/3Q</v>
      </c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</row>
    <row r="307" spans="1:10009" s="30" customFormat="1" x14ac:dyDescent="0.3">
      <c r="A307"/>
      <c r="B307"/>
      <c r="C307"/>
      <c r="D307"/>
      <c r="E307"/>
      <c r="F307"/>
      <c r="G307"/>
      <c r="H307"/>
      <c r="I307" s="14"/>
      <c r="J307" s="10" t="s">
        <v>213</v>
      </c>
      <c r="K307" s="12">
        <f>IF(K298="",NA(),K298)</f>
        <v>39.78</v>
      </c>
      <c r="L307" s="12">
        <f t="shared" ref="L307:S307" si="34">IF(L298="","",L298)</f>
        <v>39.700000000000003</v>
      </c>
      <c r="M307" s="12">
        <f t="shared" si="34"/>
        <v>37.85</v>
      </c>
      <c r="N307" s="12">
        <f t="shared" si="34"/>
        <v>37.47</v>
      </c>
      <c r="O307" s="12">
        <f t="shared" si="34"/>
        <v>34.1</v>
      </c>
      <c r="P307" s="12">
        <f t="shared" si="34"/>
        <v>34.43</v>
      </c>
      <c r="Q307" s="12">
        <f t="shared" si="34"/>
        <v>34.06</v>
      </c>
      <c r="R307" s="12">
        <f t="shared" si="34"/>
        <v>35.14</v>
      </c>
      <c r="S307" s="12">
        <f t="shared" si="34"/>
        <v>34.85</v>
      </c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</row>
    <row r="308" spans="1:10009" s="30" customFormat="1" x14ac:dyDescent="0.3">
      <c r="A308"/>
      <c r="B308"/>
      <c r="C308"/>
      <c r="D308"/>
      <c r="E308"/>
      <c r="F308"/>
      <c r="G308"/>
      <c r="H308"/>
      <c r="I308" s="14"/>
      <c r="J308" s="10" t="s">
        <v>212</v>
      </c>
      <c r="K308" s="12">
        <f>IF(K299="",NA(),K299)</f>
        <v>80.069999999999993</v>
      </c>
      <c r="L308" s="12">
        <f t="shared" ref="L308:S308" si="35">IF(L299="","",L299)</f>
        <v>80.13</v>
      </c>
      <c r="M308" s="12">
        <f t="shared" si="35"/>
        <v>79.23</v>
      </c>
      <c r="N308" s="12">
        <f t="shared" si="35"/>
        <v>79.11</v>
      </c>
      <c r="O308" s="12">
        <f t="shared" si="35"/>
        <v>73.34</v>
      </c>
      <c r="P308" s="12">
        <f t="shared" si="35"/>
        <v>73.19</v>
      </c>
      <c r="Q308" s="12">
        <f t="shared" si="35"/>
        <v>71.77</v>
      </c>
      <c r="R308" s="12">
        <f t="shared" si="35"/>
        <v>71.47</v>
      </c>
      <c r="S308" s="12">
        <f t="shared" si="35"/>
        <v>72.31</v>
      </c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</row>
    <row r="309" spans="1:10009" s="30" customFormat="1" x14ac:dyDescent="0.3">
      <c r="A309"/>
      <c r="B309"/>
      <c r="C309"/>
      <c r="D309"/>
      <c r="E309"/>
      <c r="F309"/>
      <c r="G309"/>
      <c r="H309"/>
      <c r="I309" s="14"/>
      <c r="J309" s="10" t="s">
        <v>215</v>
      </c>
      <c r="K309" s="12">
        <f>IF(K301="",NA(),K301)</f>
        <v>2.76</v>
      </c>
      <c r="L309" s="12">
        <f t="shared" ref="L309:S309" si="36">IF(L301="","",L301)</f>
        <v>2.5499999999999998</v>
      </c>
      <c r="M309" s="12">
        <f t="shared" si="36"/>
        <v>2.76</v>
      </c>
      <c r="N309" s="12">
        <f t="shared" si="36"/>
        <v>2.91</v>
      </c>
      <c r="O309" s="12">
        <f t="shared" si="36"/>
        <v>3.61</v>
      </c>
      <c r="P309" s="12">
        <f t="shared" si="36"/>
        <v>5.32</v>
      </c>
      <c r="Q309" s="12">
        <f t="shared" si="36"/>
        <v>5.72</v>
      </c>
      <c r="R309" s="12">
        <f t="shared" si="36"/>
        <v>6.03</v>
      </c>
      <c r="S309" s="12">
        <f t="shared" si="36"/>
        <v>7.16</v>
      </c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</row>
    <row r="310" spans="1:10009" s="30" customFormat="1" x14ac:dyDescent="0.3">
      <c r="A310"/>
      <c r="B310"/>
      <c r="C310"/>
      <c r="D310"/>
      <c r="E310"/>
      <c r="F310"/>
      <c r="G310"/>
      <c r="H310"/>
      <c r="I310" s="14"/>
      <c r="J310" s="10" t="s">
        <v>217</v>
      </c>
      <c r="K310" s="12">
        <f>IF(K302="",NA(),K302)</f>
        <v>4.3623190264145668</v>
      </c>
      <c r="L310" s="12">
        <f t="shared" ref="L310:S310" si="37">IF(L302="","",L302)</f>
        <v>2.261999412344228</v>
      </c>
      <c r="M310" s="12">
        <f t="shared" si="37"/>
        <v>2.1948182407251857</v>
      </c>
      <c r="N310" s="12">
        <f t="shared" si="37"/>
        <v>56.848987241404167</v>
      </c>
      <c r="O310" s="12">
        <f t="shared" si="37"/>
        <v>79.938331444191192</v>
      </c>
      <c r="P310" s="12">
        <f t="shared" si="37"/>
        <v>103.63192126186672</v>
      </c>
      <c r="Q310" s="12">
        <f t="shared" si="37"/>
        <v>94.627852121878163</v>
      </c>
      <c r="R310" s="12">
        <f t="shared" si="37"/>
        <v>119.65022014181767</v>
      </c>
      <c r="S310" s="12">
        <f t="shared" si="37"/>
        <v>122.74653215636822</v>
      </c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</row>
    <row r="311" spans="1:10009" s="30" customFormat="1" x14ac:dyDescent="0.3">
      <c r="A311"/>
      <c r="B311"/>
      <c r="C311"/>
      <c r="D311"/>
      <c r="E311"/>
      <c r="F311"/>
      <c r="G311"/>
      <c r="H311"/>
      <c r="I311" s="14"/>
      <c r="J311" s="10" t="s">
        <v>214</v>
      </c>
      <c r="K311" s="12">
        <f>IF(K300="",NA(),K300)</f>
        <v>40444.51</v>
      </c>
      <c r="L311" s="12">
        <f t="shared" ref="L311:S311" si="38">IF(L300="","",L300)</f>
        <v>39896.660000000003</v>
      </c>
      <c r="M311" s="12">
        <f t="shared" si="38"/>
        <v>39988.449999999997</v>
      </c>
      <c r="N311" s="12">
        <f t="shared" si="38"/>
        <v>39425.800000000003</v>
      </c>
      <c r="O311" s="12">
        <f t="shared" si="38"/>
        <v>38329.14</v>
      </c>
      <c r="P311" s="12">
        <f t="shared" si="38"/>
        <v>36434.99</v>
      </c>
      <c r="Q311" s="12">
        <f t="shared" si="38"/>
        <v>35029.360000000001</v>
      </c>
      <c r="R311" s="12">
        <f t="shared" si="38"/>
        <v>33871.61</v>
      </c>
      <c r="S311" s="12">
        <f t="shared" si="38"/>
        <v>32965.35</v>
      </c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</row>
    <row r="312" spans="1:10009" hidden="1" x14ac:dyDescent="0.3"/>
    <row r="313" spans="1:10009" hidden="1" x14ac:dyDescent="0.3"/>
    <row r="314" spans="1:10009" hidden="1" x14ac:dyDescent="0.3"/>
    <row r="315" spans="1:10009" hidden="1" x14ac:dyDescent="0.3">
      <c r="J315" t="str">
        <f ca="1">_xll.IMDH("STK",$N$5,$J$316:$J$324,$L$92-1460,$O$5,9999,"Per=분기,sort=D,real=true,Bizday=0,Quote=종가,Pos=11,Orient=H,Cons="&amp;$P$5&amp;",Comp=누적,Trai=4,DtFmt=1,TmFmt=1,unit=true,title=연간 안정성")</f>
        <v>연간 안정성</v>
      </c>
    </row>
    <row r="316" spans="1:10009" hidden="1" x14ac:dyDescent="0.3">
      <c r="J316" t="s">
        <v>164</v>
      </c>
      <c r="K316" s="34">
        <v>44926</v>
      </c>
      <c r="L316" s="34">
        <v>44561</v>
      </c>
      <c r="M316" s="34">
        <v>44196</v>
      </c>
      <c r="N316" s="34">
        <v>43830</v>
      </c>
      <c r="O316" s="34">
        <v>43465</v>
      </c>
      <c r="P316" s="34">
        <v>43100</v>
      </c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  <c r="CO316" s="34"/>
      <c r="CP316" s="34"/>
      <c r="CQ316" s="34"/>
      <c r="CR316" s="34"/>
      <c r="CS316" s="34"/>
      <c r="CT316" s="34"/>
      <c r="CU316" s="34"/>
      <c r="CV316" s="34"/>
      <c r="CW316" s="34"/>
      <c r="CX316" s="34"/>
      <c r="CY316" s="34"/>
      <c r="CZ316" s="34"/>
      <c r="DA316" s="34"/>
      <c r="DB316" s="34"/>
      <c r="DC316" s="34"/>
      <c r="DD316" s="34"/>
      <c r="DE316" s="34"/>
      <c r="DF316" s="34"/>
      <c r="DG316" s="34"/>
      <c r="DH316" s="34"/>
      <c r="DI316" s="34"/>
      <c r="DJ316" s="34"/>
      <c r="DK316" s="34"/>
      <c r="DL316" s="34"/>
      <c r="DM316" s="34"/>
      <c r="DN316" s="34"/>
      <c r="DO316" s="34"/>
      <c r="DP316" s="34"/>
      <c r="DQ316" s="34"/>
      <c r="DR316" s="34"/>
      <c r="DS316" s="34"/>
      <c r="DT316" s="34"/>
      <c r="DU316" s="34"/>
      <c r="DV316" s="34"/>
      <c r="DW316" s="34"/>
      <c r="DX316" s="34"/>
      <c r="DY316" s="34"/>
      <c r="DZ316" s="34"/>
      <c r="EA316" s="34"/>
      <c r="EB316" s="34"/>
      <c r="EC316" s="34"/>
      <c r="ED316" s="34"/>
      <c r="EE316" s="34"/>
      <c r="EF316" s="34"/>
      <c r="EG316" s="34"/>
      <c r="EH316" s="34"/>
      <c r="EI316" s="34"/>
      <c r="EJ316" s="34"/>
      <c r="EK316" s="34"/>
      <c r="EL316" s="34"/>
      <c r="EM316" s="34"/>
      <c r="EN316" s="34"/>
      <c r="EO316" s="34"/>
      <c r="EP316" s="34"/>
      <c r="EQ316" s="34"/>
      <c r="ER316" s="34"/>
      <c r="ES316" s="34"/>
      <c r="ET316" s="34"/>
      <c r="EU316" s="34"/>
      <c r="EV316" s="34"/>
      <c r="EW316" s="34"/>
      <c r="EX316" s="34"/>
      <c r="EY316" s="34"/>
      <c r="EZ316" s="34"/>
      <c r="FA316" s="34"/>
      <c r="FB316" s="34"/>
      <c r="FC316" s="34"/>
      <c r="FD316" s="34"/>
      <c r="FE316" s="34"/>
      <c r="FF316" s="34"/>
      <c r="FG316" s="34"/>
      <c r="FH316" s="34"/>
      <c r="FI316" s="34"/>
      <c r="FJ316" s="34"/>
      <c r="FK316" s="34"/>
      <c r="FL316" s="34"/>
      <c r="FM316" s="34"/>
      <c r="FN316" s="34"/>
      <c r="FO316" s="34"/>
      <c r="FP316" s="34"/>
      <c r="FQ316" s="34"/>
      <c r="FR316" s="34"/>
      <c r="FS316" s="34"/>
      <c r="FT316" s="34"/>
      <c r="FU316" s="34"/>
      <c r="FV316" s="34"/>
      <c r="FW316" s="34"/>
      <c r="FX316" s="34"/>
      <c r="FY316" s="34"/>
      <c r="FZ316" s="34"/>
      <c r="GA316" s="34"/>
      <c r="GB316" s="34"/>
      <c r="GC316" s="34"/>
      <c r="GD316" s="34"/>
      <c r="GE316" s="34"/>
      <c r="GF316" s="34"/>
      <c r="GG316" s="34"/>
      <c r="GH316" s="34"/>
      <c r="GI316" s="34"/>
      <c r="GJ316" s="34"/>
      <c r="GK316" s="34"/>
      <c r="GL316" s="34"/>
      <c r="GM316" s="34"/>
      <c r="GN316" s="34"/>
      <c r="GO316" s="34"/>
      <c r="GP316" s="34"/>
      <c r="GQ316" s="34"/>
      <c r="GR316" s="34"/>
      <c r="GS316" s="34"/>
      <c r="GT316" s="34"/>
      <c r="GU316" s="34"/>
      <c r="GV316" s="34"/>
      <c r="GW316" s="34"/>
      <c r="GX316" s="34"/>
      <c r="GY316" s="34"/>
      <c r="GZ316" s="34"/>
      <c r="HA316" s="34"/>
      <c r="HB316" s="34"/>
      <c r="HC316" s="34"/>
      <c r="HD316" s="34"/>
      <c r="HE316" s="34"/>
      <c r="HF316" s="34"/>
      <c r="HG316" s="34"/>
      <c r="HH316" s="34"/>
      <c r="HI316" s="34"/>
      <c r="HJ316" s="34"/>
      <c r="HK316" s="34"/>
      <c r="HL316" s="34"/>
      <c r="HM316" s="34"/>
      <c r="HN316" s="34"/>
      <c r="HO316" s="34"/>
      <c r="HP316" s="34"/>
      <c r="HQ316" s="34"/>
      <c r="HR316" s="34"/>
      <c r="HS316" s="34"/>
      <c r="HT316" s="34"/>
      <c r="HU316" s="34"/>
      <c r="HV316" s="34"/>
      <c r="HW316" s="34"/>
      <c r="HX316" s="34"/>
      <c r="HY316" s="34"/>
      <c r="HZ316" s="34"/>
      <c r="IA316" s="34"/>
      <c r="IB316" s="34"/>
      <c r="IC316" s="34"/>
      <c r="ID316" s="34"/>
      <c r="IE316" s="34"/>
      <c r="IF316" s="34"/>
      <c r="IG316" s="34"/>
      <c r="IH316" s="34"/>
      <c r="II316" s="34"/>
      <c r="IJ316" s="34"/>
      <c r="IK316" s="34"/>
      <c r="IL316" s="34"/>
      <c r="IM316" s="34"/>
      <c r="IN316" s="34"/>
      <c r="IO316" s="34"/>
      <c r="IP316" s="34"/>
      <c r="IQ316" s="34"/>
      <c r="IR316" s="34"/>
      <c r="IS316" s="34"/>
      <c r="IT316" s="34"/>
      <c r="IU316" s="34"/>
      <c r="IV316" s="34"/>
      <c r="IW316" s="34"/>
      <c r="IX316" s="34"/>
      <c r="IY316" s="34"/>
      <c r="IZ316" s="34"/>
      <c r="JA316" s="34"/>
      <c r="JB316" s="34"/>
      <c r="JC316" s="34"/>
      <c r="JD316" s="34"/>
      <c r="JE316" s="34"/>
      <c r="JF316" s="34"/>
      <c r="JG316" s="34"/>
      <c r="JH316" s="34"/>
      <c r="JI316" s="34"/>
      <c r="JJ316" s="34"/>
      <c r="JK316" s="34"/>
      <c r="JL316" s="34"/>
      <c r="JM316" s="34"/>
      <c r="JN316" s="34"/>
      <c r="JO316" s="34"/>
      <c r="JP316" s="34"/>
      <c r="JQ316" s="34"/>
      <c r="JR316" s="34"/>
      <c r="JS316" s="34"/>
      <c r="JT316" s="34"/>
      <c r="JU316" s="34"/>
      <c r="JV316" s="34"/>
      <c r="JW316" s="34"/>
      <c r="JX316" s="34"/>
      <c r="JY316" s="34"/>
      <c r="JZ316" s="34"/>
      <c r="KA316" s="34"/>
      <c r="KB316" s="34"/>
      <c r="KC316" s="34"/>
      <c r="KD316" s="34"/>
      <c r="KE316" s="34"/>
      <c r="KF316" s="34"/>
      <c r="KG316" s="34"/>
      <c r="KH316" s="34"/>
      <c r="KI316" s="34"/>
      <c r="KJ316" s="34"/>
      <c r="KK316" s="34"/>
      <c r="KL316" s="34"/>
      <c r="KM316" s="34"/>
      <c r="KN316" s="34"/>
      <c r="KO316" s="34"/>
      <c r="KP316" s="34"/>
      <c r="KQ316" s="34"/>
      <c r="KR316" s="34"/>
      <c r="KS316" s="34"/>
      <c r="KT316" s="34"/>
      <c r="KU316" s="34"/>
      <c r="KV316" s="34"/>
      <c r="KW316" s="34"/>
      <c r="KX316" s="34"/>
      <c r="KY316" s="34"/>
      <c r="KZ316" s="34"/>
      <c r="LA316" s="34"/>
      <c r="LB316" s="34"/>
      <c r="LC316" s="34"/>
      <c r="LD316" s="34"/>
      <c r="LE316" s="34"/>
      <c r="LF316" s="34"/>
      <c r="LG316" s="34"/>
      <c r="LH316" s="34"/>
      <c r="LI316" s="34"/>
      <c r="LJ316" s="34"/>
      <c r="LK316" s="34"/>
      <c r="LL316" s="34"/>
      <c r="LM316" s="34"/>
      <c r="LN316" s="34"/>
      <c r="LO316" s="34"/>
      <c r="LP316" s="34"/>
      <c r="LQ316" s="34"/>
      <c r="LR316" s="34"/>
      <c r="LS316" s="34"/>
      <c r="LT316" s="34"/>
      <c r="LU316" s="34"/>
      <c r="LV316" s="34"/>
      <c r="LW316" s="34"/>
      <c r="LX316" s="34"/>
      <c r="LY316" s="34"/>
      <c r="LZ316" s="34"/>
      <c r="MA316" s="34"/>
      <c r="MB316" s="34"/>
      <c r="MC316" s="34"/>
      <c r="MD316" s="34"/>
      <c r="ME316" s="34"/>
      <c r="MF316" s="34"/>
      <c r="MG316" s="34"/>
      <c r="MH316" s="34"/>
      <c r="MI316" s="34"/>
      <c r="MJ316" s="34"/>
      <c r="MK316" s="34"/>
      <c r="ML316" s="34"/>
      <c r="MM316" s="34"/>
      <c r="MN316" s="34"/>
      <c r="MO316" s="34"/>
      <c r="MP316" s="34"/>
      <c r="MQ316" s="34"/>
      <c r="MR316" s="34"/>
      <c r="MS316" s="34"/>
      <c r="MT316" s="34"/>
      <c r="MU316" s="34"/>
      <c r="MV316" s="34"/>
      <c r="MW316" s="34"/>
      <c r="MX316" s="34"/>
      <c r="MY316" s="34"/>
      <c r="MZ316" s="34"/>
      <c r="NA316" s="34"/>
      <c r="NB316" s="34"/>
      <c r="NC316" s="34"/>
      <c r="ND316" s="34"/>
      <c r="NE316" s="34"/>
      <c r="NF316" s="34"/>
      <c r="NG316" s="34"/>
      <c r="NH316" s="34"/>
      <c r="NI316" s="34"/>
      <c r="NJ316" s="34"/>
      <c r="NK316" s="34"/>
      <c r="NL316" s="34"/>
      <c r="NM316" s="34"/>
      <c r="NN316" s="34"/>
      <c r="NO316" s="34"/>
      <c r="NP316" s="34"/>
      <c r="NQ316" s="34"/>
      <c r="NR316" s="34"/>
      <c r="NS316" s="34"/>
      <c r="NT316" s="34"/>
      <c r="NU316" s="34"/>
      <c r="NV316" s="34"/>
      <c r="NW316" s="34"/>
      <c r="NX316" s="34"/>
      <c r="NY316" s="34"/>
      <c r="NZ316" s="34"/>
      <c r="OA316" s="34"/>
      <c r="OB316" s="34"/>
      <c r="OC316" s="34"/>
      <c r="OD316" s="34"/>
      <c r="OE316" s="34"/>
      <c r="OF316" s="34"/>
      <c r="OG316" s="34"/>
      <c r="OH316" s="34"/>
      <c r="OI316" s="34"/>
      <c r="OJ316" s="34"/>
      <c r="OK316" s="34"/>
      <c r="OL316" s="34"/>
      <c r="OM316" s="34"/>
      <c r="ON316" s="34"/>
      <c r="OO316" s="34"/>
      <c r="OP316" s="34"/>
      <c r="OQ316" s="34"/>
      <c r="OR316" s="34"/>
      <c r="OS316" s="34"/>
      <c r="OT316" s="34"/>
      <c r="OU316" s="34"/>
      <c r="OV316" s="34"/>
      <c r="OW316" s="34"/>
      <c r="OX316" s="34"/>
      <c r="OY316" s="34"/>
      <c r="OZ316" s="34"/>
      <c r="PA316" s="34"/>
      <c r="PB316" s="34"/>
      <c r="PC316" s="34"/>
      <c r="PD316" s="34"/>
      <c r="PE316" s="34"/>
      <c r="PF316" s="34"/>
      <c r="PG316" s="34"/>
      <c r="PH316" s="34"/>
      <c r="PI316" s="34"/>
      <c r="PJ316" s="34"/>
      <c r="PK316" s="34"/>
      <c r="PL316" s="34"/>
      <c r="PM316" s="34"/>
      <c r="PN316" s="34"/>
      <c r="PO316" s="34"/>
      <c r="PP316" s="34"/>
      <c r="PQ316" s="34"/>
      <c r="PR316" s="34"/>
      <c r="PS316" s="34"/>
      <c r="PT316" s="34"/>
      <c r="PU316" s="34"/>
      <c r="PV316" s="34"/>
      <c r="PW316" s="34"/>
      <c r="PX316" s="34"/>
      <c r="PY316" s="34"/>
      <c r="PZ316" s="34"/>
      <c r="QA316" s="34"/>
      <c r="QB316" s="34"/>
      <c r="QC316" s="34"/>
      <c r="QD316" s="34"/>
      <c r="QE316" s="34"/>
      <c r="QF316" s="34"/>
      <c r="QG316" s="34"/>
      <c r="QH316" s="34"/>
      <c r="QI316" s="34"/>
      <c r="QJ316" s="34"/>
      <c r="QK316" s="34"/>
      <c r="QL316" s="34"/>
      <c r="QM316" s="34"/>
      <c r="QN316" s="34"/>
      <c r="QO316" s="34"/>
      <c r="QP316" s="34"/>
      <c r="QQ316" s="34"/>
      <c r="QR316" s="34"/>
      <c r="QS316" s="34"/>
      <c r="QT316" s="34"/>
      <c r="QU316" s="34"/>
      <c r="QV316" s="34"/>
      <c r="QW316" s="34"/>
      <c r="QX316" s="34"/>
      <c r="QY316" s="34"/>
      <c r="QZ316" s="34"/>
      <c r="RA316" s="34"/>
      <c r="RB316" s="34"/>
      <c r="RC316" s="34"/>
      <c r="RD316" s="34"/>
      <c r="RE316" s="34"/>
      <c r="RF316" s="34"/>
      <c r="RG316" s="34"/>
      <c r="RH316" s="34"/>
      <c r="RI316" s="34"/>
      <c r="RJ316" s="34"/>
      <c r="RK316" s="34"/>
      <c r="RL316" s="34"/>
      <c r="RM316" s="34"/>
      <c r="RN316" s="34"/>
      <c r="RO316" s="34"/>
      <c r="RP316" s="34"/>
      <c r="RQ316" s="34"/>
      <c r="RR316" s="34"/>
      <c r="RS316" s="34"/>
      <c r="RT316" s="34"/>
      <c r="RU316" s="34"/>
      <c r="RV316" s="34"/>
      <c r="RW316" s="34"/>
      <c r="RX316" s="34"/>
      <c r="RY316" s="34"/>
      <c r="RZ316" s="34"/>
      <c r="SA316" s="34"/>
      <c r="SB316" s="34"/>
      <c r="SC316" s="34"/>
      <c r="SD316" s="34"/>
      <c r="SE316" s="34"/>
      <c r="SF316" s="34"/>
      <c r="SG316" s="34"/>
      <c r="SH316" s="34"/>
      <c r="SI316" s="34"/>
      <c r="SJ316" s="34"/>
      <c r="SK316" s="34"/>
      <c r="SL316" s="34"/>
      <c r="SM316" s="34"/>
      <c r="SN316" s="34"/>
      <c r="SO316" s="34"/>
      <c r="SP316" s="34"/>
      <c r="SQ316" s="34"/>
      <c r="SR316" s="34"/>
      <c r="SS316" s="34"/>
      <c r="ST316" s="34"/>
      <c r="SU316" s="34"/>
      <c r="SV316" s="34"/>
      <c r="SW316" s="34"/>
      <c r="SX316" s="34"/>
      <c r="SY316" s="34"/>
      <c r="SZ316" s="34"/>
      <c r="TA316" s="34"/>
      <c r="TB316" s="34"/>
      <c r="TC316" s="34"/>
      <c r="TD316" s="34"/>
      <c r="TE316" s="34"/>
      <c r="TF316" s="34"/>
      <c r="TG316" s="34"/>
      <c r="TH316" s="34"/>
      <c r="TI316" s="34"/>
      <c r="TJ316" s="34"/>
      <c r="TK316" s="34"/>
      <c r="TL316" s="34"/>
      <c r="TM316" s="34"/>
      <c r="TN316" s="34"/>
      <c r="TO316" s="34"/>
      <c r="TP316" s="34"/>
      <c r="TQ316" s="34"/>
      <c r="TR316" s="34"/>
      <c r="TS316" s="34"/>
      <c r="TT316" s="34"/>
      <c r="TU316" s="34"/>
      <c r="TV316" s="34"/>
      <c r="TW316" s="34"/>
      <c r="TX316" s="34"/>
      <c r="TY316" s="34"/>
      <c r="TZ316" s="34"/>
      <c r="UA316" s="34"/>
      <c r="UB316" s="34"/>
      <c r="UC316" s="34"/>
      <c r="UD316" s="34"/>
      <c r="UE316" s="34"/>
      <c r="UF316" s="34"/>
      <c r="UG316" s="34"/>
      <c r="UH316" s="34"/>
      <c r="UI316" s="34"/>
      <c r="UJ316" s="34"/>
      <c r="UK316" s="34"/>
      <c r="UL316" s="34"/>
      <c r="UM316" s="34"/>
      <c r="UN316" s="34"/>
      <c r="UO316" s="34"/>
      <c r="UP316" s="34"/>
      <c r="UQ316" s="34"/>
      <c r="UR316" s="34"/>
      <c r="US316" s="34"/>
      <c r="UT316" s="34"/>
      <c r="UU316" s="34"/>
      <c r="UV316" s="34"/>
      <c r="UW316" s="34"/>
      <c r="UX316" s="34"/>
      <c r="UY316" s="34"/>
      <c r="UZ316" s="34"/>
      <c r="VA316" s="34"/>
      <c r="VB316" s="34"/>
      <c r="VC316" s="34"/>
      <c r="VD316" s="34"/>
      <c r="VE316" s="34"/>
      <c r="VF316" s="34"/>
      <c r="VG316" s="34"/>
      <c r="VH316" s="34"/>
      <c r="VI316" s="34"/>
      <c r="VJ316" s="34"/>
      <c r="VK316" s="34"/>
      <c r="VL316" s="34"/>
      <c r="VM316" s="34"/>
      <c r="VN316" s="34"/>
      <c r="VO316" s="34"/>
      <c r="VP316" s="34"/>
      <c r="VQ316" s="34"/>
      <c r="VR316" s="34"/>
      <c r="VS316" s="34"/>
      <c r="VT316" s="34"/>
      <c r="VU316" s="34"/>
      <c r="VV316" s="34"/>
      <c r="VW316" s="34"/>
      <c r="VX316" s="34"/>
      <c r="VY316" s="34"/>
      <c r="VZ316" s="34"/>
      <c r="WA316" s="34"/>
      <c r="WB316" s="34"/>
      <c r="WC316" s="34"/>
      <c r="WD316" s="34"/>
      <c r="WE316" s="34"/>
      <c r="WF316" s="34"/>
      <c r="WG316" s="34"/>
      <c r="WH316" s="34"/>
      <c r="WI316" s="34"/>
      <c r="WJ316" s="34"/>
      <c r="WK316" s="34"/>
      <c r="WL316" s="34"/>
      <c r="WM316" s="34"/>
      <c r="WN316" s="34"/>
      <c r="WO316" s="34"/>
      <c r="WP316" s="34"/>
      <c r="WQ316" s="34"/>
      <c r="WR316" s="34"/>
      <c r="WS316" s="34"/>
      <c r="WT316" s="34"/>
      <c r="WU316" s="34"/>
      <c r="WV316" s="34"/>
      <c r="WW316" s="34"/>
      <c r="WX316" s="34"/>
      <c r="WY316" s="34"/>
      <c r="WZ316" s="34"/>
      <c r="XA316" s="34"/>
      <c r="XB316" s="34"/>
      <c r="XC316" s="34"/>
      <c r="XD316" s="34"/>
      <c r="XE316" s="34"/>
      <c r="XF316" s="34"/>
      <c r="XG316" s="34"/>
      <c r="XH316" s="34"/>
      <c r="XI316" s="34"/>
      <c r="XJ316" s="34"/>
      <c r="XK316" s="34"/>
      <c r="XL316" s="34"/>
      <c r="XM316" s="34"/>
      <c r="XN316" s="34"/>
      <c r="XO316" s="34"/>
      <c r="XP316" s="34"/>
      <c r="XQ316" s="34"/>
      <c r="XR316" s="34"/>
      <c r="XS316" s="34"/>
      <c r="XT316" s="34"/>
      <c r="XU316" s="34"/>
      <c r="XV316" s="34"/>
      <c r="XW316" s="34"/>
      <c r="XX316" s="34"/>
      <c r="XY316" s="34"/>
      <c r="XZ316" s="34"/>
      <c r="YA316" s="34"/>
      <c r="YB316" s="34"/>
      <c r="YC316" s="34"/>
      <c r="YD316" s="34"/>
      <c r="YE316" s="34"/>
      <c r="YF316" s="34"/>
      <c r="YG316" s="34"/>
      <c r="YH316" s="34"/>
      <c r="YI316" s="34"/>
      <c r="YJ316" s="34"/>
      <c r="YK316" s="34"/>
      <c r="YL316" s="34"/>
      <c r="YM316" s="34"/>
      <c r="YN316" s="34"/>
      <c r="YO316" s="34"/>
      <c r="YP316" s="34"/>
      <c r="YQ316" s="34"/>
      <c r="YR316" s="34"/>
      <c r="YS316" s="34"/>
      <c r="YT316" s="34"/>
      <c r="YU316" s="34"/>
      <c r="YV316" s="34"/>
      <c r="YW316" s="34"/>
      <c r="YX316" s="34"/>
      <c r="YY316" s="34"/>
      <c r="YZ316" s="34"/>
      <c r="ZA316" s="34"/>
      <c r="ZB316" s="34"/>
      <c r="ZC316" s="34"/>
      <c r="ZD316" s="34"/>
      <c r="ZE316" s="34"/>
      <c r="ZF316" s="34"/>
      <c r="ZG316" s="34"/>
      <c r="ZH316" s="34"/>
      <c r="ZI316" s="34"/>
      <c r="ZJ316" s="34"/>
      <c r="ZK316" s="34"/>
      <c r="ZL316" s="34"/>
      <c r="ZM316" s="34"/>
      <c r="ZN316" s="34"/>
      <c r="ZO316" s="34"/>
      <c r="ZP316" s="34"/>
      <c r="ZQ316" s="34"/>
      <c r="ZR316" s="34"/>
      <c r="ZS316" s="34"/>
      <c r="ZT316" s="34"/>
      <c r="ZU316" s="34"/>
      <c r="ZV316" s="34"/>
      <c r="ZW316" s="34"/>
      <c r="ZX316" s="34"/>
      <c r="ZY316" s="34"/>
      <c r="ZZ316" s="34"/>
      <c r="AAA316" s="34"/>
      <c r="AAB316" s="34"/>
      <c r="AAC316" s="34"/>
      <c r="AAD316" s="34"/>
      <c r="AAE316" s="34"/>
      <c r="AAF316" s="34"/>
      <c r="AAG316" s="34"/>
      <c r="AAH316" s="34"/>
      <c r="AAI316" s="34"/>
      <c r="AAJ316" s="34"/>
      <c r="AAK316" s="34"/>
      <c r="AAL316" s="34"/>
      <c r="AAM316" s="34"/>
      <c r="AAN316" s="34"/>
      <c r="AAO316" s="34"/>
      <c r="AAP316" s="34"/>
      <c r="AAQ316" s="34"/>
      <c r="AAR316" s="34"/>
      <c r="AAS316" s="34"/>
      <c r="AAT316" s="34"/>
      <c r="AAU316" s="34"/>
      <c r="AAV316" s="34"/>
      <c r="AAW316" s="34"/>
      <c r="AAX316" s="34"/>
      <c r="AAY316" s="34"/>
      <c r="AAZ316" s="34"/>
      <c r="ABA316" s="34"/>
      <c r="ABB316" s="34"/>
      <c r="ABC316" s="34"/>
      <c r="ABD316" s="34"/>
      <c r="ABE316" s="34"/>
      <c r="ABF316" s="34"/>
      <c r="ABG316" s="34"/>
      <c r="ABH316" s="34"/>
      <c r="ABI316" s="34"/>
      <c r="ABJ316" s="34"/>
      <c r="ABK316" s="34"/>
      <c r="ABL316" s="34"/>
      <c r="ABM316" s="34"/>
      <c r="ABN316" s="34"/>
      <c r="ABO316" s="34"/>
      <c r="ABP316" s="34"/>
      <c r="ABQ316" s="34"/>
      <c r="ABR316" s="34"/>
      <c r="ABS316" s="34"/>
      <c r="ABT316" s="34"/>
      <c r="ABU316" s="34"/>
      <c r="ABV316" s="34"/>
      <c r="ABW316" s="34"/>
      <c r="ABX316" s="34"/>
      <c r="ABY316" s="34"/>
      <c r="ABZ316" s="34"/>
      <c r="ACA316" s="34"/>
      <c r="ACB316" s="34"/>
      <c r="ACC316" s="34"/>
      <c r="ACD316" s="34"/>
      <c r="ACE316" s="34"/>
      <c r="ACF316" s="34"/>
      <c r="ACG316" s="34"/>
      <c r="ACH316" s="34"/>
      <c r="ACI316" s="34"/>
      <c r="ACJ316" s="34"/>
      <c r="ACK316" s="34"/>
      <c r="ACL316" s="34"/>
      <c r="ACM316" s="34"/>
      <c r="ACN316" s="34"/>
      <c r="ACO316" s="34"/>
      <c r="ACP316" s="34"/>
      <c r="ACQ316" s="34"/>
      <c r="ACR316" s="34"/>
      <c r="ACS316" s="34"/>
      <c r="ACT316" s="34"/>
      <c r="ACU316" s="34"/>
      <c r="ACV316" s="34"/>
      <c r="ACW316" s="34"/>
      <c r="ACX316" s="34"/>
      <c r="ACY316" s="34"/>
      <c r="ACZ316" s="34"/>
      <c r="ADA316" s="34"/>
      <c r="ADB316" s="34"/>
      <c r="ADC316" s="34"/>
      <c r="ADD316" s="34"/>
      <c r="ADE316" s="34"/>
      <c r="ADF316" s="34"/>
      <c r="ADG316" s="34"/>
      <c r="ADH316" s="34"/>
      <c r="ADI316" s="34"/>
      <c r="ADJ316" s="34"/>
      <c r="ADK316" s="34"/>
      <c r="ADL316" s="34"/>
      <c r="ADM316" s="34"/>
      <c r="ADN316" s="34"/>
      <c r="ADO316" s="34"/>
      <c r="ADP316" s="34"/>
      <c r="ADQ316" s="34"/>
      <c r="ADR316" s="34"/>
      <c r="ADS316" s="34"/>
      <c r="ADT316" s="34"/>
      <c r="ADU316" s="34"/>
      <c r="ADV316" s="34"/>
      <c r="ADW316" s="34"/>
      <c r="ADX316" s="34"/>
      <c r="ADY316" s="34"/>
      <c r="ADZ316" s="34"/>
      <c r="AEA316" s="34"/>
      <c r="AEB316" s="34"/>
      <c r="AEC316" s="34"/>
      <c r="AED316" s="34"/>
      <c r="AEE316" s="34"/>
      <c r="AEF316" s="34"/>
      <c r="AEG316" s="34"/>
      <c r="AEH316" s="34"/>
      <c r="AEI316" s="34"/>
      <c r="AEJ316" s="34"/>
      <c r="AEK316" s="34"/>
      <c r="AEL316" s="34"/>
      <c r="AEM316" s="34"/>
      <c r="AEN316" s="34"/>
      <c r="AEO316" s="34"/>
      <c r="AEP316" s="34"/>
      <c r="AEQ316" s="34"/>
      <c r="AER316" s="34"/>
      <c r="AES316" s="34"/>
      <c r="AET316" s="34"/>
      <c r="AEU316" s="34"/>
      <c r="AEV316" s="34"/>
      <c r="AEW316" s="34"/>
      <c r="AEX316" s="34"/>
      <c r="AEY316" s="34"/>
      <c r="AEZ316" s="34"/>
      <c r="AFA316" s="34"/>
      <c r="AFB316" s="34"/>
      <c r="AFC316" s="34"/>
      <c r="AFD316" s="34"/>
      <c r="AFE316" s="34"/>
      <c r="AFF316" s="34"/>
      <c r="AFG316" s="34"/>
      <c r="AFH316" s="34"/>
      <c r="AFI316" s="34"/>
      <c r="AFJ316" s="34"/>
      <c r="AFK316" s="34"/>
      <c r="AFL316" s="34"/>
      <c r="AFM316" s="34"/>
      <c r="AFN316" s="34"/>
      <c r="AFO316" s="34"/>
      <c r="AFP316" s="34"/>
      <c r="AFQ316" s="34"/>
      <c r="AFR316" s="34"/>
      <c r="AFS316" s="34"/>
      <c r="AFT316" s="34"/>
      <c r="AFU316" s="34"/>
      <c r="AFV316" s="34"/>
      <c r="AFW316" s="34"/>
      <c r="AFX316" s="34"/>
      <c r="AFY316" s="34"/>
      <c r="AFZ316" s="34"/>
      <c r="AGA316" s="34"/>
      <c r="AGB316" s="34"/>
      <c r="AGC316" s="34"/>
      <c r="AGD316" s="34"/>
      <c r="AGE316" s="34"/>
      <c r="AGF316" s="34"/>
      <c r="AGG316" s="34"/>
      <c r="AGH316" s="34"/>
      <c r="AGI316" s="34"/>
      <c r="AGJ316" s="34"/>
      <c r="AGK316" s="34"/>
      <c r="AGL316" s="34"/>
      <c r="AGM316" s="34"/>
      <c r="AGN316" s="34"/>
      <c r="AGO316" s="34"/>
      <c r="AGP316" s="34"/>
      <c r="AGQ316" s="34"/>
      <c r="AGR316" s="34"/>
      <c r="AGS316" s="34"/>
      <c r="AGT316" s="34"/>
      <c r="AGU316" s="34"/>
      <c r="AGV316" s="34"/>
      <c r="AGW316" s="34"/>
      <c r="AGX316" s="34"/>
      <c r="AGY316" s="34"/>
      <c r="AGZ316" s="34"/>
      <c r="AHA316" s="34"/>
      <c r="AHB316" s="34"/>
      <c r="AHC316" s="34"/>
      <c r="AHD316" s="34"/>
      <c r="AHE316" s="34"/>
      <c r="AHF316" s="34"/>
      <c r="AHG316" s="34"/>
      <c r="AHH316" s="34"/>
      <c r="AHI316" s="34"/>
      <c r="AHJ316" s="34"/>
      <c r="AHK316" s="34"/>
      <c r="AHL316" s="34"/>
      <c r="AHM316" s="34"/>
      <c r="AHN316" s="34"/>
      <c r="AHO316" s="34"/>
      <c r="AHP316" s="34"/>
      <c r="AHQ316" s="34"/>
      <c r="AHR316" s="34"/>
      <c r="AHS316" s="34"/>
      <c r="AHT316" s="34"/>
      <c r="AHU316" s="34"/>
      <c r="AHV316" s="34"/>
      <c r="AHW316" s="34"/>
      <c r="AHX316" s="34"/>
      <c r="AHY316" s="34"/>
      <c r="AHZ316" s="34"/>
      <c r="AIA316" s="34"/>
      <c r="AIB316" s="34"/>
      <c r="AIC316" s="34"/>
      <c r="AID316" s="34"/>
      <c r="AIE316" s="34"/>
      <c r="AIF316" s="34"/>
      <c r="AIG316" s="34"/>
      <c r="AIH316" s="34"/>
      <c r="AII316" s="34"/>
      <c r="AIJ316" s="34"/>
      <c r="AIK316" s="34"/>
      <c r="AIL316" s="34"/>
      <c r="AIM316" s="34"/>
      <c r="AIN316" s="34"/>
      <c r="AIO316" s="34"/>
      <c r="AIP316" s="34"/>
      <c r="AIQ316" s="34"/>
      <c r="AIR316" s="34"/>
      <c r="AIS316" s="34"/>
      <c r="AIT316" s="34"/>
      <c r="AIU316" s="34"/>
      <c r="AIV316" s="34"/>
      <c r="AIW316" s="34"/>
      <c r="AIX316" s="34"/>
      <c r="AIY316" s="34"/>
      <c r="AIZ316" s="34"/>
      <c r="AJA316" s="34"/>
      <c r="AJB316" s="34"/>
      <c r="AJC316" s="34"/>
      <c r="AJD316" s="34"/>
      <c r="AJE316" s="34"/>
      <c r="AJF316" s="34"/>
      <c r="AJG316" s="34"/>
      <c r="AJH316" s="34"/>
      <c r="AJI316" s="34"/>
      <c r="AJJ316" s="34"/>
      <c r="AJK316" s="34"/>
      <c r="AJL316" s="34"/>
      <c r="AJM316" s="34"/>
      <c r="AJN316" s="34"/>
      <c r="AJO316" s="34"/>
      <c r="AJP316" s="34"/>
      <c r="AJQ316" s="34"/>
      <c r="AJR316" s="34"/>
      <c r="AJS316" s="34"/>
      <c r="AJT316" s="34"/>
      <c r="AJU316" s="34"/>
      <c r="AJV316" s="34"/>
      <c r="AJW316" s="34"/>
      <c r="AJX316" s="34"/>
      <c r="AJY316" s="34"/>
      <c r="AJZ316" s="34"/>
      <c r="AKA316" s="34"/>
      <c r="AKB316" s="34"/>
      <c r="AKC316" s="34"/>
      <c r="AKD316" s="34"/>
      <c r="AKE316" s="34"/>
      <c r="AKF316" s="34"/>
      <c r="AKG316" s="34"/>
      <c r="AKH316" s="34"/>
      <c r="AKI316" s="34"/>
      <c r="AKJ316" s="34"/>
      <c r="AKK316" s="34"/>
      <c r="AKL316" s="34"/>
      <c r="AKM316" s="34"/>
      <c r="AKN316" s="34"/>
      <c r="AKO316" s="34"/>
      <c r="AKP316" s="34"/>
      <c r="AKQ316" s="34"/>
      <c r="AKR316" s="34"/>
      <c r="AKS316" s="34"/>
      <c r="AKT316" s="34"/>
      <c r="AKU316" s="34"/>
      <c r="AKV316" s="34"/>
      <c r="AKW316" s="34"/>
      <c r="AKX316" s="34"/>
      <c r="AKY316" s="34"/>
      <c r="AKZ316" s="34"/>
      <c r="ALA316" s="34"/>
      <c r="ALB316" s="34"/>
      <c r="ALC316" s="34"/>
      <c r="ALD316" s="34"/>
      <c r="ALE316" s="34"/>
      <c r="ALF316" s="34"/>
      <c r="ALG316" s="34"/>
      <c r="ALH316" s="34"/>
      <c r="ALI316" s="34"/>
      <c r="ALJ316" s="34"/>
      <c r="ALK316" s="34"/>
      <c r="ALL316" s="34"/>
      <c r="ALM316" s="34"/>
      <c r="ALN316" s="34"/>
      <c r="ALO316" s="34"/>
      <c r="ALP316" s="34"/>
      <c r="ALQ316" s="34"/>
      <c r="ALR316" s="34"/>
      <c r="ALS316" s="34"/>
      <c r="ALT316" s="34"/>
      <c r="ALU316" s="34"/>
      <c r="ALV316" s="34"/>
      <c r="ALW316" s="34"/>
      <c r="ALX316" s="34"/>
      <c r="ALY316" s="34"/>
      <c r="ALZ316" s="34"/>
      <c r="AMA316" s="34"/>
      <c r="AMB316" s="34"/>
      <c r="AMC316" s="34"/>
      <c r="AMD316" s="34"/>
      <c r="AME316" s="34"/>
      <c r="AMF316" s="34"/>
      <c r="AMG316" s="34"/>
      <c r="AMH316" s="34"/>
      <c r="AMI316" s="34"/>
      <c r="AMJ316" s="34"/>
      <c r="AMK316" s="34"/>
      <c r="AML316" s="34"/>
      <c r="AMM316" s="34"/>
      <c r="AMN316" s="34"/>
      <c r="AMO316" s="34"/>
      <c r="AMP316" s="34"/>
      <c r="AMQ316" s="34"/>
      <c r="AMR316" s="34"/>
      <c r="AMS316" s="34"/>
      <c r="AMT316" s="34"/>
      <c r="AMU316" s="34"/>
      <c r="AMV316" s="34"/>
      <c r="AMW316" s="34"/>
      <c r="AMX316" s="34"/>
      <c r="AMY316" s="34"/>
      <c r="AMZ316" s="34"/>
      <c r="ANA316" s="34"/>
      <c r="ANB316" s="34"/>
      <c r="ANC316" s="34"/>
      <c r="AND316" s="34"/>
      <c r="ANE316" s="34"/>
      <c r="ANF316" s="34"/>
      <c r="ANG316" s="34"/>
      <c r="ANH316" s="34"/>
      <c r="ANI316" s="34"/>
      <c r="ANJ316" s="34"/>
      <c r="ANK316" s="34"/>
      <c r="ANL316" s="34"/>
      <c r="ANM316" s="34"/>
      <c r="ANN316" s="34"/>
      <c r="ANO316" s="34"/>
      <c r="ANP316" s="34"/>
      <c r="ANQ316" s="34"/>
      <c r="ANR316" s="34"/>
      <c r="ANS316" s="34"/>
      <c r="ANT316" s="34"/>
      <c r="ANU316" s="34"/>
      <c r="ANV316" s="34"/>
      <c r="ANW316" s="34"/>
      <c r="ANX316" s="34"/>
      <c r="ANY316" s="34"/>
      <c r="ANZ316" s="34"/>
      <c r="AOA316" s="34"/>
      <c r="AOB316" s="34"/>
      <c r="AOC316" s="34"/>
      <c r="AOD316" s="34"/>
      <c r="AOE316" s="34"/>
      <c r="AOF316" s="34"/>
      <c r="AOG316" s="34"/>
      <c r="AOH316" s="34"/>
      <c r="AOI316" s="34"/>
      <c r="AOJ316" s="34"/>
      <c r="AOK316" s="34"/>
      <c r="AOL316" s="34"/>
      <c r="AOM316" s="34"/>
      <c r="AON316" s="34"/>
      <c r="AOO316" s="34"/>
      <c r="AOP316" s="34"/>
      <c r="AOQ316" s="34"/>
      <c r="AOR316" s="34"/>
      <c r="AOS316" s="34"/>
      <c r="AOT316" s="34"/>
      <c r="AOU316" s="34"/>
      <c r="AOV316" s="34"/>
      <c r="AOW316" s="34"/>
      <c r="AOX316" s="34"/>
      <c r="AOY316" s="34"/>
      <c r="AOZ316" s="34"/>
      <c r="APA316" s="34"/>
      <c r="APB316" s="34"/>
      <c r="APC316" s="34"/>
      <c r="APD316" s="34"/>
      <c r="APE316" s="34"/>
      <c r="APF316" s="34"/>
      <c r="APG316" s="34"/>
      <c r="APH316" s="34"/>
      <c r="API316" s="34"/>
      <c r="APJ316" s="34"/>
      <c r="APK316" s="34"/>
      <c r="APL316" s="34"/>
      <c r="APM316" s="34"/>
      <c r="APN316" s="34"/>
      <c r="APO316" s="34"/>
      <c r="APP316" s="34"/>
      <c r="APQ316" s="34"/>
      <c r="APR316" s="34"/>
      <c r="APS316" s="34"/>
      <c r="APT316" s="34"/>
      <c r="APU316" s="34"/>
      <c r="APV316" s="34"/>
      <c r="APW316" s="34"/>
      <c r="APX316" s="34"/>
      <c r="APY316" s="34"/>
      <c r="APZ316" s="34"/>
      <c r="AQA316" s="34"/>
      <c r="AQB316" s="34"/>
      <c r="AQC316" s="34"/>
      <c r="AQD316" s="34"/>
      <c r="AQE316" s="34"/>
      <c r="AQF316" s="34"/>
      <c r="AQG316" s="34"/>
      <c r="AQH316" s="34"/>
      <c r="AQI316" s="34"/>
      <c r="AQJ316" s="34"/>
      <c r="AQK316" s="34"/>
      <c r="AQL316" s="34"/>
      <c r="AQM316" s="34"/>
      <c r="AQN316" s="34"/>
      <c r="AQO316" s="34"/>
      <c r="AQP316" s="34"/>
      <c r="AQQ316" s="34"/>
      <c r="AQR316" s="34"/>
      <c r="AQS316" s="34"/>
      <c r="AQT316" s="34"/>
      <c r="AQU316" s="34"/>
      <c r="AQV316" s="34"/>
      <c r="AQW316" s="34"/>
      <c r="AQX316" s="34"/>
      <c r="AQY316" s="34"/>
      <c r="AQZ316" s="34"/>
      <c r="ARA316" s="34"/>
      <c r="ARB316" s="34"/>
      <c r="ARC316" s="34"/>
      <c r="ARD316" s="34"/>
      <c r="ARE316" s="34"/>
      <c r="ARF316" s="34"/>
      <c r="ARG316" s="34"/>
      <c r="ARH316" s="34"/>
      <c r="ARI316" s="34"/>
      <c r="ARJ316" s="34"/>
      <c r="ARK316" s="34"/>
      <c r="ARL316" s="34"/>
      <c r="ARM316" s="34"/>
      <c r="ARN316" s="34"/>
      <c r="ARO316" s="34"/>
      <c r="ARP316" s="34"/>
      <c r="ARQ316" s="34"/>
      <c r="ARR316" s="34"/>
      <c r="ARS316" s="34"/>
      <c r="ART316" s="34"/>
      <c r="ARU316" s="34"/>
      <c r="ARV316" s="34"/>
      <c r="ARW316" s="34"/>
      <c r="ARX316" s="34"/>
      <c r="ARY316" s="34"/>
      <c r="ARZ316" s="34"/>
      <c r="ASA316" s="34"/>
      <c r="ASB316" s="34"/>
      <c r="ASC316" s="34"/>
      <c r="ASD316" s="34"/>
      <c r="ASE316" s="34"/>
      <c r="ASF316" s="34"/>
      <c r="ASG316" s="34"/>
      <c r="ASH316" s="34"/>
      <c r="ASI316" s="34"/>
      <c r="ASJ316" s="34"/>
      <c r="ASK316" s="34"/>
      <c r="ASL316" s="34"/>
      <c r="ASM316" s="34"/>
      <c r="ASN316" s="34"/>
      <c r="ASO316" s="34"/>
      <c r="ASP316" s="34"/>
      <c r="ASQ316" s="34"/>
      <c r="ASR316" s="34"/>
      <c r="ASS316" s="34"/>
      <c r="AST316" s="34"/>
      <c r="ASU316" s="34"/>
      <c r="ASV316" s="34"/>
      <c r="ASW316" s="34"/>
      <c r="ASX316" s="34"/>
      <c r="ASY316" s="34"/>
      <c r="ASZ316" s="34"/>
      <c r="ATA316" s="34"/>
      <c r="ATB316" s="34"/>
      <c r="ATC316" s="34"/>
      <c r="ATD316" s="34"/>
      <c r="ATE316" s="34"/>
      <c r="ATF316" s="34"/>
      <c r="ATG316" s="34"/>
      <c r="ATH316" s="34"/>
      <c r="ATI316" s="34"/>
      <c r="ATJ316" s="34"/>
      <c r="ATK316" s="34"/>
      <c r="ATL316" s="34"/>
      <c r="ATM316" s="34"/>
      <c r="ATN316" s="34"/>
      <c r="ATO316" s="34"/>
      <c r="ATP316" s="34"/>
      <c r="ATQ316" s="34"/>
      <c r="ATR316" s="34"/>
      <c r="ATS316" s="34"/>
      <c r="ATT316" s="34"/>
      <c r="ATU316" s="34"/>
      <c r="ATV316" s="34"/>
      <c r="ATW316" s="34"/>
      <c r="ATX316" s="34"/>
      <c r="ATY316" s="34"/>
      <c r="ATZ316" s="34"/>
      <c r="AUA316" s="34"/>
      <c r="AUB316" s="34"/>
      <c r="AUC316" s="34"/>
      <c r="AUD316" s="34"/>
      <c r="AUE316" s="34"/>
      <c r="AUF316" s="34"/>
      <c r="AUG316" s="34"/>
      <c r="AUH316" s="34"/>
      <c r="AUI316" s="34"/>
      <c r="AUJ316" s="34"/>
      <c r="AUK316" s="34"/>
      <c r="AUL316" s="34"/>
      <c r="AUM316" s="34"/>
      <c r="AUN316" s="34"/>
      <c r="AUO316" s="34"/>
      <c r="AUP316" s="34"/>
      <c r="AUQ316" s="34"/>
      <c r="AUR316" s="34"/>
      <c r="AUS316" s="34"/>
      <c r="AUT316" s="34"/>
      <c r="AUU316" s="34"/>
      <c r="AUV316" s="34"/>
      <c r="AUW316" s="34"/>
      <c r="AUX316" s="34"/>
      <c r="AUY316" s="34"/>
      <c r="AUZ316" s="34"/>
      <c r="AVA316" s="34"/>
      <c r="AVB316" s="34"/>
      <c r="AVC316" s="34"/>
      <c r="AVD316" s="34"/>
      <c r="AVE316" s="34"/>
      <c r="AVF316" s="34"/>
      <c r="AVG316" s="34"/>
      <c r="AVH316" s="34"/>
      <c r="AVI316" s="34"/>
      <c r="AVJ316" s="34"/>
      <c r="AVK316" s="34"/>
      <c r="AVL316" s="34"/>
      <c r="AVM316" s="34"/>
      <c r="AVN316" s="34"/>
      <c r="AVO316" s="34"/>
      <c r="AVP316" s="34"/>
      <c r="AVQ316" s="34"/>
      <c r="AVR316" s="34"/>
      <c r="AVS316" s="34"/>
      <c r="AVT316" s="34"/>
      <c r="AVU316" s="34"/>
      <c r="AVV316" s="34"/>
      <c r="AVW316" s="34"/>
      <c r="AVX316" s="34"/>
      <c r="AVY316" s="34"/>
      <c r="AVZ316" s="34"/>
      <c r="AWA316" s="34"/>
      <c r="AWB316" s="34"/>
      <c r="AWC316" s="34"/>
      <c r="AWD316" s="34"/>
      <c r="AWE316" s="34"/>
      <c r="AWF316" s="34"/>
      <c r="AWG316" s="34"/>
      <c r="AWH316" s="34"/>
      <c r="AWI316" s="34"/>
      <c r="AWJ316" s="34"/>
      <c r="AWK316" s="34"/>
      <c r="AWL316" s="34"/>
      <c r="AWM316" s="34"/>
      <c r="AWN316" s="34"/>
      <c r="AWO316" s="34"/>
      <c r="AWP316" s="34"/>
      <c r="AWQ316" s="34"/>
      <c r="AWR316" s="34"/>
      <c r="AWS316" s="34"/>
      <c r="AWT316" s="34"/>
      <c r="AWU316" s="34"/>
      <c r="AWV316" s="34"/>
      <c r="AWW316" s="34"/>
      <c r="AWX316" s="34"/>
      <c r="AWY316" s="34"/>
      <c r="AWZ316" s="34"/>
      <c r="AXA316" s="34"/>
      <c r="AXB316" s="34"/>
      <c r="AXC316" s="34"/>
      <c r="AXD316" s="34"/>
      <c r="AXE316" s="34"/>
      <c r="AXF316" s="34"/>
      <c r="AXG316" s="34"/>
      <c r="AXH316" s="34"/>
      <c r="AXI316" s="34"/>
      <c r="AXJ316" s="34"/>
      <c r="AXK316" s="34"/>
      <c r="AXL316" s="34"/>
      <c r="AXM316" s="34"/>
      <c r="AXN316" s="34"/>
      <c r="AXO316" s="34"/>
      <c r="AXP316" s="34"/>
      <c r="AXQ316" s="34"/>
      <c r="AXR316" s="34"/>
      <c r="AXS316" s="34"/>
      <c r="AXT316" s="34"/>
      <c r="AXU316" s="34"/>
      <c r="AXV316" s="34"/>
      <c r="AXW316" s="34"/>
      <c r="AXX316" s="34"/>
      <c r="AXY316" s="34"/>
      <c r="AXZ316" s="34"/>
      <c r="AYA316" s="34"/>
      <c r="AYB316" s="34"/>
      <c r="AYC316" s="34"/>
      <c r="AYD316" s="34"/>
      <c r="AYE316" s="34"/>
      <c r="AYF316" s="34"/>
      <c r="AYG316" s="34"/>
      <c r="AYH316" s="34"/>
      <c r="AYI316" s="34"/>
      <c r="AYJ316" s="34"/>
      <c r="AYK316" s="34"/>
      <c r="AYL316" s="34"/>
      <c r="AYM316" s="34"/>
      <c r="AYN316" s="34"/>
      <c r="AYO316" s="34"/>
      <c r="AYP316" s="34"/>
      <c r="AYQ316" s="34"/>
      <c r="AYR316" s="34"/>
      <c r="AYS316" s="34"/>
      <c r="AYT316" s="34"/>
      <c r="AYU316" s="34"/>
      <c r="AYV316" s="34"/>
      <c r="AYW316" s="34"/>
      <c r="AYX316" s="34"/>
      <c r="AYY316" s="34"/>
      <c r="AYZ316" s="34"/>
      <c r="AZA316" s="34"/>
      <c r="AZB316" s="34"/>
      <c r="AZC316" s="34"/>
      <c r="AZD316" s="34"/>
      <c r="AZE316" s="34"/>
      <c r="AZF316" s="34"/>
      <c r="AZG316" s="34"/>
      <c r="AZH316" s="34"/>
      <c r="AZI316" s="34"/>
      <c r="AZJ316" s="34"/>
      <c r="AZK316" s="34"/>
      <c r="AZL316" s="34"/>
      <c r="AZM316" s="34"/>
      <c r="AZN316" s="34"/>
      <c r="AZO316" s="34"/>
      <c r="AZP316" s="34"/>
      <c r="AZQ316" s="34"/>
      <c r="AZR316" s="34"/>
      <c r="AZS316" s="34"/>
      <c r="AZT316" s="34"/>
      <c r="AZU316" s="34"/>
      <c r="AZV316" s="34"/>
      <c r="AZW316" s="34"/>
      <c r="AZX316" s="34"/>
      <c r="AZY316" s="34"/>
      <c r="AZZ316" s="34"/>
      <c r="BAA316" s="34"/>
      <c r="BAB316" s="34"/>
      <c r="BAC316" s="34"/>
      <c r="BAD316" s="34"/>
      <c r="BAE316" s="34"/>
      <c r="BAF316" s="34"/>
      <c r="BAG316" s="34"/>
      <c r="BAH316" s="34"/>
      <c r="BAI316" s="34"/>
      <c r="BAJ316" s="34"/>
      <c r="BAK316" s="34"/>
      <c r="BAL316" s="34"/>
      <c r="BAM316" s="34"/>
      <c r="BAN316" s="34"/>
      <c r="BAO316" s="34"/>
      <c r="BAP316" s="34"/>
      <c r="BAQ316" s="34"/>
      <c r="BAR316" s="34"/>
      <c r="BAS316" s="34"/>
      <c r="BAT316" s="34"/>
      <c r="BAU316" s="34"/>
      <c r="BAV316" s="34"/>
      <c r="BAW316" s="34"/>
      <c r="BAX316" s="34"/>
      <c r="BAY316" s="34"/>
      <c r="BAZ316" s="34"/>
      <c r="BBA316" s="34"/>
      <c r="BBB316" s="34"/>
      <c r="BBC316" s="34"/>
      <c r="BBD316" s="34"/>
      <c r="BBE316" s="34"/>
      <c r="BBF316" s="34"/>
      <c r="BBG316" s="34"/>
      <c r="BBH316" s="34"/>
      <c r="BBI316" s="34"/>
      <c r="BBJ316" s="34"/>
      <c r="BBK316" s="34"/>
      <c r="BBL316" s="34"/>
      <c r="BBM316" s="34"/>
      <c r="BBN316" s="34"/>
      <c r="BBO316" s="34"/>
      <c r="BBP316" s="34"/>
      <c r="BBQ316" s="34"/>
      <c r="BBR316" s="34"/>
      <c r="BBS316" s="34"/>
      <c r="BBT316" s="34"/>
      <c r="BBU316" s="34"/>
      <c r="BBV316" s="34"/>
      <c r="BBW316" s="34"/>
      <c r="BBX316" s="34"/>
      <c r="BBY316" s="34"/>
      <c r="BBZ316" s="34"/>
      <c r="BCA316" s="34"/>
      <c r="BCB316" s="34"/>
      <c r="BCC316" s="34"/>
      <c r="BCD316" s="34"/>
      <c r="BCE316" s="34"/>
      <c r="BCF316" s="34"/>
      <c r="BCG316" s="34"/>
      <c r="BCH316" s="34"/>
      <c r="BCI316" s="34"/>
      <c r="BCJ316" s="34"/>
      <c r="BCK316" s="34"/>
      <c r="BCL316" s="34"/>
      <c r="BCM316" s="34"/>
      <c r="BCN316" s="34"/>
      <c r="BCO316" s="34"/>
      <c r="BCP316" s="34"/>
      <c r="BCQ316" s="34"/>
      <c r="BCR316" s="34"/>
      <c r="BCS316" s="34"/>
      <c r="BCT316" s="34"/>
      <c r="BCU316" s="34"/>
      <c r="BCV316" s="34"/>
      <c r="BCW316" s="34"/>
      <c r="BCX316" s="34"/>
      <c r="BCY316" s="34"/>
      <c r="BCZ316" s="34"/>
      <c r="BDA316" s="34"/>
      <c r="BDB316" s="34"/>
      <c r="BDC316" s="34"/>
      <c r="BDD316" s="34"/>
      <c r="BDE316" s="34"/>
      <c r="BDF316" s="34"/>
      <c r="BDG316" s="34"/>
      <c r="BDH316" s="34"/>
      <c r="BDI316" s="34"/>
      <c r="BDJ316" s="34"/>
      <c r="BDK316" s="34"/>
      <c r="BDL316" s="34"/>
      <c r="BDM316" s="34"/>
      <c r="BDN316" s="34"/>
      <c r="BDO316" s="34"/>
      <c r="BDP316" s="34"/>
      <c r="BDQ316" s="34"/>
      <c r="BDR316" s="34"/>
      <c r="BDS316" s="34"/>
      <c r="BDT316" s="34"/>
      <c r="BDU316" s="34"/>
      <c r="BDV316" s="34"/>
      <c r="BDW316" s="34"/>
      <c r="BDX316" s="34"/>
      <c r="BDY316" s="34"/>
      <c r="BDZ316" s="34"/>
      <c r="BEA316" s="34"/>
      <c r="BEB316" s="34"/>
      <c r="BEC316" s="34"/>
      <c r="BED316" s="34"/>
      <c r="BEE316" s="34"/>
      <c r="BEF316" s="34"/>
      <c r="BEG316" s="34"/>
      <c r="BEH316" s="34"/>
      <c r="BEI316" s="34"/>
      <c r="BEJ316" s="34"/>
      <c r="BEK316" s="34"/>
      <c r="BEL316" s="34"/>
      <c r="BEM316" s="34"/>
      <c r="BEN316" s="34"/>
      <c r="BEO316" s="34"/>
      <c r="BEP316" s="34"/>
      <c r="BEQ316" s="34"/>
      <c r="BER316" s="34"/>
      <c r="BES316" s="34"/>
      <c r="BET316" s="34"/>
      <c r="BEU316" s="34"/>
      <c r="BEV316" s="34"/>
      <c r="BEW316" s="34"/>
      <c r="BEX316" s="34"/>
      <c r="BEY316" s="34"/>
      <c r="BEZ316" s="34"/>
      <c r="BFA316" s="34"/>
      <c r="BFB316" s="34"/>
      <c r="BFC316" s="34"/>
      <c r="BFD316" s="34"/>
      <c r="BFE316" s="34"/>
      <c r="BFF316" s="34"/>
      <c r="BFG316" s="34"/>
      <c r="BFH316" s="34"/>
      <c r="BFI316" s="34"/>
      <c r="BFJ316" s="34"/>
      <c r="BFK316" s="34"/>
      <c r="BFL316" s="34"/>
      <c r="BFM316" s="34"/>
      <c r="BFN316" s="34"/>
      <c r="BFO316" s="34"/>
      <c r="BFP316" s="34"/>
      <c r="BFQ316" s="34"/>
      <c r="BFR316" s="34"/>
      <c r="BFS316" s="34"/>
      <c r="BFT316" s="34"/>
      <c r="BFU316" s="34"/>
      <c r="BFV316" s="34"/>
      <c r="BFW316" s="34"/>
      <c r="BFX316" s="34"/>
      <c r="BFY316" s="34"/>
      <c r="BFZ316" s="34"/>
      <c r="BGA316" s="34"/>
      <c r="BGB316" s="34"/>
      <c r="BGC316" s="34"/>
      <c r="BGD316" s="34"/>
      <c r="BGE316" s="34"/>
      <c r="BGF316" s="34"/>
      <c r="BGG316" s="34"/>
      <c r="BGH316" s="34"/>
      <c r="BGI316" s="34"/>
      <c r="BGJ316" s="34"/>
      <c r="BGK316" s="34"/>
      <c r="BGL316" s="34"/>
      <c r="BGM316" s="34"/>
      <c r="BGN316" s="34"/>
      <c r="BGO316" s="34"/>
      <c r="BGP316" s="34"/>
      <c r="BGQ316" s="34"/>
      <c r="BGR316" s="34"/>
      <c r="BGS316" s="34"/>
      <c r="BGT316" s="34"/>
      <c r="BGU316" s="34"/>
      <c r="BGV316" s="34"/>
      <c r="BGW316" s="34"/>
      <c r="BGX316" s="34"/>
      <c r="BGY316" s="34"/>
      <c r="BGZ316" s="34"/>
      <c r="BHA316" s="34"/>
      <c r="BHB316" s="34"/>
      <c r="BHC316" s="34"/>
      <c r="BHD316" s="34"/>
      <c r="BHE316" s="34"/>
      <c r="BHF316" s="34"/>
      <c r="BHG316" s="34"/>
      <c r="BHH316" s="34"/>
      <c r="BHI316" s="34"/>
      <c r="BHJ316" s="34"/>
      <c r="BHK316" s="34"/>
      <c r="BHL316" s="34"/>
      <c r="BHM316" s="34"/>
      <c r="BHN316" s="34"/>
      <c r="BHO316" s="34"/>
      <c r="BHP316" s="34"/>
      <c r="BHQ316" s="34"/>
      <c r="BHR316" s="34"/>
      <c r="BHS316" s="34"/>
      <c r="BHT316" s="34"/>
      <c r="BHU316" s="34"/>
      <c r="BHV316" s="34"/>
      <c r="BHW316" s="34"/>
      <c r="BHX316" s="34"/>
      <c r="BHY316" s="34"/>
      <c r="BHZ316" s="34"/>
      <c r="BIA316" s="34"/>
      <c r="BIB316" s="34"/>
      <c r="BIC316" s="34"/>
      <c r="BID316" s="34"/>
      <c r="BIE316" s="34"/>
      <c r="BIF316" s="34"/>
      <c r="BIG316" s="34"/>
      <c r="BIH316" s="34"/>
      <c r="BII316" s="34"/>
      <c r="BIJ316" s="34"/>
      <c r="BIK316" s="34"/>
      <c r="BIL316" s="34"/>
      <c r="BIM316" s="34"/>
      <c r="BIN316" s="34"/>
      <c r="BIO316" s="34"/>
      <c r="BIP316" s="34"/>
      <c r="BIQ316" s="34"/>
      <c r="BIR316" s="34"/>
      <c r="BIS316" s="34"/>
      <c r="BIT316" s="34"/>
      <c r="BIU316" s="34"/>
      <c r="BIV316" s="34"/>
      <c r="BIW316" s="34"/>
      <c r="BIX316" s="34"/>
      <c r="BIY316" s="34"/>
      <c r="BIZ316" s="34"/>
      <c r="BJA316" s="34"/>
      <c r="BJB316" s="34"/>
      <c r="BJC316" s="34"/>
      <c r="BJD316" s="34"/>
      <c r="BJE316" s="34"/>
      <c r="BJF316" s="34"/>
      <c r="BJG316" s="34"/>
      <c r="BJH316" s="34"/>
      <c r="BJI316" s="34"/>
      <c r="BJJ316" s="34"/>
      <c r="BJK316" s="34"/>
      <c r="BJL316" s="34"/>
      <c r="BJM316" s="34"/>
      <c r="BJN316" s="34"/>
      <c r="BJO316" s="34"/>
      <c r="BJP316" s="34"/>
      <c r="BJQ316" s="34"/>
      <c r="BJR316" s="34"/>
      <c r="BJS316" s="34"/>
      <c r="BJT316" s="34"/>
      <c r="BJU316" s="34"/>
      <c r="BJV316" s="34"/>
      <c r="BJW316" s="34"/>
      <c r="BJX316" s="34"/>
      <c r="BJY316" s="34"/>
      <c r="BJZ316" s="34"/>
      <c r="BKA316" s="34"/>
      <c r="BKB316" s="34"/>
      <c r="BKC316" s="34"/>
      <c r="BKD316" s="34"/>
      <c r="BKE316" s="34"/>
      <c r="BKF316" s="34"/>
      <c r="BKG316" s="34"/>
      <c r="BKH316" s="34"/>
      <c r="BKI316" s="34"/>
      <c r="BKJ316" s="34"/>
      <c r="BKK316" s="34"/>
      <c r="BKL316" s="34"/>
      <c r="BKM316" s="34"/>
      <c r="BKN316" s="34"/>
      <c r="BKO316" s="34"/>
      <c r="BKP316" s="34"/>
      <c r="BKQ316" s="34"/>
      <c r="BKR316" s="34"/>
      <c r="BKS316" s="34"/>
      <c r="BKT316" s="34"/>
      <c r="BKU316" s="34"/>
      <c r="BKV316" s="34"/>
      <c r="BKW316" s="34"/>
      <c r="BKX316" s="34"/>
      <c r="BKY316" s="34"/>
      <c r="BKZ316" s="34"/>
      <c r="BLA316" s="34"/>
      <c r="BLB316" s="34"/>
      <c r="BLC316" s="34"/>
      <c r="BLD316" s="34"/>
      <c r="BLE316" s="34"/>
      <c r="BLF316" s="34"/>
      <c r="BLG316" s="34"/>
      <c r="BLH316" s="34"/>
      <c r="BLI316" s="34"/>
      <c r="BLJ316" s="34"/>
      <c r="BLK316" s="34"/>
      <c r="BLL316" s="34"/>
      <c r="BLM316" s="34"/>
      <c r="BLN316" s="34"/>
      <c r="BLO316" s="34"/>
      <c r="BLP316" s="34"/>
      <c r="BLQ316" s="34"/>
      <c r="BLR316" s="34"/>
      <c r="BLS316" s="34"/>
      <c r="BLT316" s="34"/>
      <c r="BLU316" s="34"/>
      <c r="BLV316" s="34"/>
      <c r="BLW316" s="34"/>
      <c r="BLX316" s="34"/>
      <c r="BLY316" s="34"/>
      <c r="BLZ316" s="34"/>
      <c r="BMA316" s="34"/>
      <c r="BMB316" s="34"/>
      <c r="BMC316" s="34"/>
      <c r="BMD316" s="34"/>
      <c r="BME316" s="34"/>
      <c r="BMF316" s="34"/>
      <c r="BMG316" s="34"/>
      <c r="BMH316" s="34"/>
      <c r="BMI316" s="34"/>
      <c r="BMJ316" s="34"/>
      <c r="BMK316" s="34"/>
      <c r="BML316" s="34"/>
      <c r="BMM316" s="34"/>
      <c r="BMN316" s="34"/>
      <c r="BMO316" s="34"/>
      <c r="BMP316" s="34"/>
      <c r="BMQ316" s="34"/>
      <c r="BMR316" s="34"/>
      <c r="BMS316" s="34"/>
      <c r="BMT316" s="34"/>
      <c r="BMU316" s="34"/>
      <c r="BMV316" s="34"/>
      <c r="BMW316" s="34"/>
      <c r="BMX316" s="34"/>
      <c r="BMY316" s="34"/>
      <c r="BMZ316" s="34"/>
      <c r="BNA316" s="34"/>
      <c r="BNB316" s="34"/>
      <c r="BNC316" s="34"/>
      <c r="BND316" s="34"/>
      <c r="BNE316" s="34"/>
      <c r="BNF316" s="34"/>
      <c r="BNG316" s="34"/>
      <c r="BNH316" s="34"/>
      <c r="BNI316" s="34"/>
      <c r="BNJ316" s="34"/>
      <c r="BNK316" s="34"/>
      <c r="BNL316" s="34"/>
      <c r="BNM316" s="34"/>
      <c r="BNN316" s="34"/>
      <c r="BNO316" s="34"/>
      <c r="BNP316" s="34"/>
      <c r="BNQ316" s="34"/>
      <c r="BNR316" s="34"/>
      <c r="BNS316" s="34"/>
      <c r="BNT316" s="34"/>
      <c r="BNU316" s="34"/>
      <c r="BNV316" s="34"/>
      <c r="BNW316" s="34"/>
      <c r="BNX316" s="34"/>
      <c r="BNY316" s="34"/>
      <c r="BNZ316" s="34"/>
      <c r="BOA316" s="34"/>
      <c r="BOB316" s="34"/>
      <c r="BOC316" s="34"/>
      <c r="BOD316" s="34"/>
      <c r="BOE316" s="34"/>
      <c r="BOF316" s="34"/>
      <c r="BOG316" s="34"/>
      <c r="BOH316" s="34"/>
      <c r="BOI316" s="34"/>
      <c r="BOJ316" s="34"/>
      <c r="BOK316" s="34"/>
      <c r="BOL316" s="34"/>
      <c r="BOM316" s="34"/>
      <c r="BON316" s="34"/>
      <c r="BOO316" s="34"/>
      <c r="BOP316" s="34"/>
      <c r="BOQ316" s="34"/>
      <c r="BOR316" s="34"/>
      <c r="BOS316" s="34"/>
      <c r="BOT316" s="34"/>
      <c r="BOU316" s="34"/>
      <c r="BOV316" s="34"/>
      <c r="BOW316" s="34"/>
      <c r="BOX316" s="34"/>
      <c r="BOY316" s="34"/>
      <c r="BOZ316" s="34"/>
      <c r="BPA316" s="34"/>
      <c r="BPB316" s="34"/>
      <c r="BPC316" s="34"/>
      <c r="BPD316" s="34"/>
      <c r="BPE316" s="34"/>
      <c r="BPF316" s="34"/>
      <c r="BPG316" s="34"/>
      <c r="BPH316" s="34"/>
      <c r="BPI316" s="34"/>
      <c r="BPJ316" s="34"/>
      <c r="BPK316" s="34"/>
      <c r="BPL316" s="34"/>
      <c r="BPM316" s="34"/>
      <c r="BPN316" s="34"/>
      <c r="BPO316" s="34"/>
      <c r="BPP316" s="34"/>
      <c r="BPQ316" s="34"/>
      <c r="BPR316" s="34"/>
      <c r="BPS316" s="34"/>
      <c r="BPT316" s="34"/>
      <c r="BPU316" s="34"/>
      <c r="BPV316" s="34"/>
      <c r="BPW316" s="34"/>
      <c r="BPX316" s="34"/>
      <c r="BPY316" s="34"/>
      <c r="BPZ316" s="34"/>
      <c r="BQA316" s="34"/>
      <c r="BQB316" s="34"/>
      <c r="BQC316" s="34"/>
      <c r="BQD316" s="34"/>
      <c r="BQE316" s="34"/>
      <c r="BQF316" s="34"/>
      <c r="BQG316" s="34"/>
      <c r="BQH316" s="34"/>
      <c r="BQI316" s="34"/>
      <c r="BQJ316" s="34"/>
      <c r="BQK316" s="34"/>
      <c r="BQL316" s="34"/>
      <c r="BQM316" s="34"/>
      <c r="BQN316" s="34"/>
      <c r="BQO316" s="34"/>
      <c r="BQP316" s="34"/>
      <c r="BQQ316" s="34"/>
      <c r="BQR316" s="34"/>
      <c r="BQS316" s="34"/>
      <c r="BQT316" s="34"/>
      <c r="BQU316" s="34"/>
      <c r="BQV316" s="34"/>
      <c r="BQW316" s="34"/>
      <c r="BQX316" s="34"/>
      <c r="BQY316" s="34"/>
      <c r="BQZ316" s="34"/>
      <c r="BRA316" s="34"/>
      <c r="BRB316" s="34"/>
      <c r="BRC316" s="34"/>
      <c r="BRD316" s="34"/>
      <c r="BRE316" s="34"/>
      <c r="BRF316" s="34"/>
      <c r="BRG316" s="34"/>
      <c r="BRH316" s="34"/>
      <c r="BRI316" s="34"/>
      <c r="BRJ316" s="34"/>
      <c r="BRK316" s="34"/>
      <c r="BRL316" s="34"/>
      <c r="BRM316" s="34"/>
      <c r="BRN316" s="34"/>
      <c r="BRO316" s="34"/>
      <c r="BRP316" s="34"/>
      <c r="BRQ316" s="34"/>
      <c r="BRR316" s="34"/>
      <c r="BRS316" s="34"/>
      <c r="BRT316" s="34"/>
      <c r="BRU316" s="34"/>
      <c r="BRV316" s="34"/>
      <c r="BRW316" s="34"/>
      <c r="BRX316" s="34"/>
      <c r="BRY316" s="34"/>
      <c r="BRZ316" s="34"/>
      <c r="BSA316" s="34"/>
      <c r="BSB316" s="34"/>
      <c r="BSC316" s="34"/>
      <c r="BSD316" s="34"/>
      <c r="BSE316" s="34"/>
      <c r="BSF316" s="34"/>
      <c r="BSG316" s="34"/>
      <c r="BSH316" s="34"/>
      <c r="BSI316" s="34"/>
      <c r="BSJ316" s="34"/>
      <c r="BSK316" s="34"/>
      <c r="BSL316" s="34"/>
      <c r="BSM316" s="34"/>
      <c r="BSN316" s="34"/>
      <c r="BSO316" s="34"/>
      <c r="BSP316" s="34"/>
      <c r="BSQ316" s="34"/>
      <c r="BSR316" s="34"/>
      <c r="BSS316" s="34"/>
      <c r="BST316" s="34"/>
      <c r="BSU316" s="34"/>
      <c r="BSV316" s="34"/>
      <c r="BSW316" s="34"/>
      <c r="BSX316" s="34"/>
      <c r="BSY316" s="34"/>
      <c r="BSZ316" s="34"/>
      <c r="BTA316" s="34"/>
      <c r="BTB316" s="34"/>
      <c r="BTC316" s="34"/>
      <c r="BTD316" s="34"/>
      <c r="BTE316" s="34"/>
      <c r="BTF316" s="34"/>
      <c r="BTG316" s="34"/>
      <c r="BTH316" s="34"/>
      <c r="BTI316" s="34"/>
      <c r="BTJ316" s="34"/>
      <c r="BTK316" s="34"/>
      <c r="BTL316" s="34"/>
      <c r="BTM316" s="34"/>
      <c r="BTN316" s="34"/>
      <c r="BTO316" s="34"/>
      <c r="BTP316" s="34"/>
      <c r="BTQ316" s="34"/>
      <c r="BTR316" s="34"/>
      <c r="BTS316" s="34"/>
      <c r="BTT316" s="34"/>
      <c r="BTU316" s="34"/>
      <c r="BTV316" s="34"/>
      <c r="BTW316" s="34"/>
      <c r="BTX316" s="34"/>
      <c r="BTY316" s="34"/>
      <c r="BTZ316" s="34"/>
      <c r="BUA316" s="34"/>
      <c r="BUB316" s="34"/>
      <c r="BUC316" s="34"/>
      <c r="BUD316" s="34"/>
      <c r="BUE316" s="34"/>
      <c r="BUF316" s="34"/>
      <c r="BUG316" s="34"/>
      <c r="BUH316" s="34"/>
      <c r="BUI316" s="34"/>
      <c r="BUJ316" s="34"/>
      <c r="BUK316" s="34"/>
      <c r="BUL316" s="34"/>
      <c r="BUM316" s="34"/>
      <c r="BUN316" s="34"/>
      <c r="BUO316" s="34"/>
      <c r="BUP316" s="34"/>
      <c r="BUQ316" s="34"/>
      <c r="BUR316" s="34"/>
      <c r="BUS316" s="34"/>
      <c r="BUT316" s="34"/>
      <c r="BUU316" s="34"/>
      <c r="BUV316" s="34"/>
      <c r="BUW316" s="34"/>
      <c r="BUX316" s="34"/>
      <c r="BUY316" s="34"/>
      <c r="BUZ316" s="34"/>
      <c r="BVA316" s="34"/>
      <c r="BVB316" s="34"/>
      <c r="BVC316" s="34"/>
      <c r="BVD316" s="34"/>
      <c r="BVE316" s="34"/>
      <c r="BVF316" s="34"/>
      <c r="BVG316" s="34"/>
      <c r="BVH316" s="34"/>
      <c r="BVI316" s="34"/>
      <c r="BVJ316" s="34"/>
      <c r="BVK316" s="34"/>
      <c r="BVL316" s="34"/>
      <c r="BVM316" s="34"/>
      <c r="BVN316" s="34"/>
      <c r="BVO316" s="34"/>
      <c r="BVP316" s="34"/>
      <c r="BVQ316" s="34"/>
      <c r="BVR316" s="34"/>
      <c r="BVS316" s="34"/>
      <c r="BVT316" s="34"/>
      <c r="BVU316" s="34"/>
      <c r="BVV316" s="34"/>
      <c r="BVW316" s="34"/>
      <c r="BVX316" s="34"/>
      <c r="BVY316" s="34"/>
      <c r="BVZ316" s="34"/>
      <c r="BWA316" s="34"/>
      <c r="BWB316" s="34"/>
      <c r="BWC316" s="34"/>
      <c r="BWD316" s="34"/>
      <c r="BWE316" s="34"/>
      <c r="BWF316" s="34"/>
      <c r="BWG316" s="34"/>
      <c r="BWH316" s="34"/>
      <c r="BWI316" s="34"/>
      <c r="BWJ316" s="34"/>
      <c r="BWK316" s="34"/>
      <c r="BWL316" s="34"/>
      <c r="BWM316" s="34"/>
      <c r="BWN316" s="34"/>
      <c r="BWO316" s="34"/>
      <c r="BWP316" s="34"/>
      <c r="BWQ316" s="34"/>
      <c r="BWR316" s="34"/>
      <c r="BWS316" s="34"/>
      <c r="BWT316" s="34"/>
      <c r="BWU316" s="34"/>
      <c r="BWV316" s="34"/>
      <c r="BWW316" s="34"/>
      <c r="BWX316" s="34"/>
      <c r="BWY316" s="34"/>
      <c r="BWZ316" s="34"/>
      <c r="BXA316" s="34"/>
      <c r="BXB316" s="34"/>
      <c r="BXC316" s="34"/>
      <c r="BXD316" s="34"/>
      <c r="BXE316" s="34"/>
      <c r="BXF316" s="34"/>
      <c r="BXG316" s="34"/>
      <c r="BXH316" s="34"/>
      <c r="BXI316" s="34"/>
      <c r="BXJ316" s="34"/>
      <c r="BXK316" s="34"/>
      <c r="BXL316" s="34"/>
      <c r="BXM316" s="34"/>
      <c r="BXN316" s="34"/>
      <c r="BXO316" s="34"/>
      <c r="BXP316" s="34"/>
      <c r="BXQ316" s="34"/>
      <c r="BXR316" s="34"/>
      <c r="BXS316" s="34"/>
      <c r="BXT316" s="34"/>
      <c r="BXU316" s="34"/>
      <c r="BXV316" s="34"/>
      <c r="BXW316" s="34"/>
      <c r="BXX316" s="34"/>
      <c r="BXY316" s="34"/>
      <c r="BXZ316" s="34"/>
      <c r="BYA316" s="34"/>
      <c r="BYB316" s="34"/>
      <c r="BYC316" s="34"/>
      <c r="BYD316" s="34"/>
      <c r="BYE316" s="34"/>
      <c r="BYF316" s="34"/>
      <c r="BYG316" s="34"/>
      <c r="BYH316" s="34"/>
      <c r="BYI316" s="34"/>
      <c r="BYJ316" s="34"/>
      <c r="BYK316" s="34"/>
      <c r="BYL316" s="34"/>
      <c r="BYM316" s="34"/>
      <c r="BYN316" s="34"/>
      <c r="BYO316" s="34"/>
      <c r="BYP316" s="34"/>
      <c r="BYQ316" s="34"/>
      <c r="BYR316" s="34"/>
      <c r="BYS316" s="34"/>
      <c r="BYT316" s="34"/>
      <c r="BYU316" s="34"/>
      <c r="BYV316" s="34"/>
      <c r="BYW316" s="34"/>
      <c r="BYX316" s="34"/>
      <c r="BYY316" s="34"/>
      <c r="BYZ316" s="34"/>
      <c r="BZA316" s="34"/>
      <c r="BZB316" s="34"/>
      <c r="BZC316" s="34"/>
      <c r="BZD316" s="34"/>
      <c r="BZE316" s="34"/>
      <c r="BZF316" s="34"/>
      <c r="BZG316" s="34"/>
      <c r="BZH316" s="34"/>
      <c r="BZI316" s="34"/>
      <c r="BZJ316" s="34"/>
      <c r="BZK316" s="34"/>
      <c r="BZL316" s="34"/>
      <c r="BZM316" s="34"/>
      <c r="BZN316" s="34"/>
      <c r="BZO316" s="34"/>
      <c r="BZP316" s="34"/>
      <c r="BZQ316" s="34"/>
      <c r="BZR316" s="34"/>
      <c r="BZS316" s="34"/>
      <c r="BZT316" s="34"/>
      <c r="BZU316" s="34"/>
      <c r="BZV316" s="34"/>
      <c r="BZW316" s="34"/>
      <c r="BZX316" s="34"/>
      <c r="BZY316" s="34"/>
      <c r="BZZ316" s="34"/>
      <c r="CAA316" s="34"/>
      <c r="CAB316" s="34"/>
      <c r="CAC316" s="34"/>
      <c r="CAD316" s="34"/>
      <c r="CAE316" s="34"/>
      <c r="CAF316" s="34"/>
      <c r="CAG316" s="34"/>
      <c r="CAH316" s="34"/>
      <c r="CAI316" s="34"/>
      <c r="CAJ316" s="34"/>
      <c r="CAK316" s="34"/>
      <c r="CAL316" s="34"/>
      <c r="CAM316" s="34"/>
      <c r="CAN316" s="34"/>
      <c r="CAO316" s="34"/>
      <c r="CAP316" s="34"/>
      <c r="CAQ316" s="34"/>
      <c r="CAR316" s="34"/>
      <c r="CAS316" s="34"/>
      <c r="CAT316" s="34"/>
      <c r="CAU316" s="34"/>
      <c r="CAV316" s="34"/>
      <c r="CAW316" s="34"/>
      <c r="CAX316" s="34"/>
      <c r="CAY316" s="34"/>
      <c r="CAZ316" s="34"/>
      <c r="CBA316" s="34"/>
      <c r="CBB316" s="34"/>
      <c r="CBC316" s="34"/>
      <c r="CBD316" s="34"/>
      <c r="CBE316" s="34"/>
      <c r="CBF316" s="34"/>
      <c r="CBG316" s="34"/>
      <c r="CBH316" s="34"/>
      <c r="CBI316" s="34"/>
      <c r="CBJ316" s="34"/>
      <c r="CBK316" s="34"/>
      <c r="CBL316" s="34"/>
      <c r="CBM316" s="34"/>
      <c r="CBN316" s="34"/>
      <c r="CBO316" s="34"/>
      <c r="CBP316" s="34"/>
      <c r="CBQ316" s="34"/>
      <c r="CBR316" s="34"/>
      <c r="CBS316" s="34"/>
      <c r="CBT316" s="34"/>
      <c r="CBU316" s="34"/>
      <c r="CBV316" s="34"/>
      <c r="CBW316" s="34"/>
      <c r="CBX316" s="34"/>
      <c r="CBY316" s="34"/>
      <c r="CBZ316" s="34"/>
      <c r="CCA316" s="34"/>
      <c r="CCB316" s="34"/>
      <c r="CCC316" s="34"/>
      <c r="CCD316" s="34"/>
      <c r="CCE316" s="34"/>
      <c r="CCF316" s="34"/>
      <c r="CCG316" s="34"/>
      <c r="CCH316" s="34"/>
      <c r="CCI316" s="34"/>
      <c r="CCJ316" s="34"/>
      <c r="CCK316" s="34"/>
      <c r="CCL316" s="34"/>
      <c r="CCM316" s="34"/>
      <c r="CCN316" s="34"/>
      <c r="CCO316" s="34"/>
      <c r="CCP316" s="34"/>
      <c r="CCQ316" s="34"/>
      <c r="CCR316" s="34"/>
      <c r="CCS316" s="34"/>
      <c r="CCT316" s="34"/>
      <c r="CCU316" s="34"/>
      <c r="CCV316" s="34"/>
      <c r="CCW316" s="34"/>
      <c r="CCX316" s="34"/>
      <c r="CCY316" s="34"/>
      <c r="CCZ316" s="34"/>
      <c r="CDA316" s="34"/>
      <c r="CDB316" s="34"/>
      <c r="CDC316" s="34"/>
      <c r="CDD316" s="34"/>
      <c r="CDE316" s="34"/>
      <c r="CDF316" s="34"/>
      <c r="CDG316" s="34"/>
      <c r="CDH316" s="34"/>
      <c r="CDI316" s="34"/>
      <c r="CDJ316" s="34"/>
      <c r="CDK316" s="34"/>
      <c r="CDL316" s="34"/>
      <c r="CDM316" s="34"/>
      <c r="CDN316" s="34"/>
      <c r="CDO316" s="34"/>
      <c r="CDP316" s="34"/>
      <c r="CDQ316" s="34"/>
      <c r="CDR316" s="34"/>
      <c r="CDS316" s="34"/>
      <c r="CDT316" s="34"/>
      <c r="CDU316" s="34"/>
      <c r="CDV316" s="34"/>
      <c r="CDW316" s="34"/>
      <c r="CDX316" s="34"/>
      <c r="CDY316" s="34"/>
      <c r="CDZ316" s="34"/>
      <c r="CEA316" s="34"/>
      <c r="CEB316" s="34"/>
      <c r="CEC316" s="34"/>
      <c r="CED316" s="34"/>
      <c r="CEE316" s="34"/>
      <c r="CEF316" s="34"/>
      <c r="CEG316" s="34"/>
      <c r="CEH316" s="34"/>
      <c r="CEI316" s="34"/>
      <c r="CEJ316" s="34"/>
      <c r="CEK316" s="34"/>
      <c r="CEL316" s="34"/>
      <c r="CEM316" s="34"/>
      <c r="CEN316" s="34"/>
      <c r="CEO316" s="34"/>
      <c r="CEP316" s="34"/>
      <c r="CEQ316" s="34"/>
      <c r="CER316" s="34"/>
      <c r="CES316" s="34"/>
      <c r="CET316" s="34"/>
      <c r="CEU316" s="34"/>
      <c r="CEV316" s="34"/>
      <c r="CEW316" s="34"/>
      <c r="CEX316" s="34"/>
      <c r="CEY316" s="34"/>
      <c r="CEZ316" s="34"/>
      <c r="CFA316" s="34"/>
      <c r="CFB316" s="34"/>
      <c r="CFC316" s="34"/>
      <c r="CFD316" s="34"/>
      <c r="CFE316" s="34"/>
      <c r="CFF316" s="34"/>
      <c r="CFG316" s="34"/>
      <c r="CFH316" s="34"/>
      <c r="CFI316" s="34"/>
      <c r="CFJ316" s="34"/>
      <c r="CFK316" s="34"/>
      <c r="CFL316" s="34"/>
      <c r="CFM316" s="34"/>
      <c r="CFN316" s="34"/>
      <c r="CFO316" s="34"/>
      <c r="CFP316" s="34"/>
      <c r="CFQ316" s="34"/>
      <c r="CFR316" s="34"/>
      <c r="CFS316" s="34"/>
      <c r="CFT316" s="34"/>
      <c r="CFU316" s="34"/>
      <c r="CFV316" s="34"/>
      <c r="CFW316" s="34"/>
      <c r="CFX316" s="34"/>
      <c r="CFY316" s="34"/>
      <c r="CFZ316" s="34"/>
      <c r="CGA316" s="34"/>
      <c r="CGB316" s="34"/>
      <c r="CGC316" s="34"/>
      <c r="CGD316" s="34"/>
      <c r="CGE316" s="34"/>
      <c r="CGF316" s="34"/>
      <c r="CGG316" s="34"/>
      <c r="CGH316" s="34"/>
      <c r="CGI316" s="34"/>
      <c r="CGJ316" s="34"/>
      <c r="CGK316" s="34"/>
      <c r="CGL316" s="34"/>
      <c r="CGM316" s="34"/>
      <c r="CGN316" s="34"/>
      <c r="CGO316" s="34"/>
      <c r="CGP316" s="34"/>
      <c r="CGQ316" s="34"/>
      <c r="CGR316" s="34"/>
      <c r="CGS316" s="34"/>
      <c r="CGT316" s="34"/>
      <c r="CGU316" s="34"/>
      <c r="CGV316" s="34"/>
      <c r="CGW316" s="34"/>
      <c r="CGX316" s="34"/>
      <c r="CGY316" s="34"/>
      <c r="CGZ316" s="34"/>
      <c r="CHA316" s="34"/>
      <c r="CHB316" s="34"/>
      <c r="CHC316" s="34"/>
      <c r="CHD316" s="34"/>
      <c r="CHE316" s="34"/>
      <c r="CHF316" s="34"/>
      <c r="CHG316" s="34"/>
      <c r="CHH316" s="34"/>
      <c r="CHI316" s="34"/>
      <c r="CHJ316" s="34"/>
      <c r="CHK316" s="34"/>
      <c r="CHL316" s="34"/>
      <c r="CHM316" s="34"/>
      <c r="CHN316" s="34"/>
      <c r="CHO316" s="34"/>
      <c r="CHP316" s="34"/>
      <c r="CHQ316" s="34"/>
      <c r="CHR316" s="34"/>
      <c r="CHS316" s="34"/>
      <c r="CHT316" s="34"/>
      <c r="CHU316" s="34"/>
      <c r="CHV316" s="34"/>
      <c r="CHW316" s="34"/>
      <c r="CHX316" s="34"/>
      <c r="CHY316" s="34"/>
      <c r="CHZ316" s="34"/>
      <c r="CIA316" s="34"/>
      <c r="CIB316" s="34"/>
      <c r="CIC316" s="34"/>
      <c r="CID316" s="34"/>
      <c r="CIE316" s="34"/>
      <c r="CIF316" s="34"/>
      <c r="CIG316" s="34"/>
      <c r="CIH316" s="34"/>
      <c r="CII316" s="34"/>
      <c r="CIJ316" s="34"/>
      <c r="CIK316" s="34"/>
      <c r="CIL316" s="34"/>
      <c r="CIM316" s="34"/>
      <c r="CIN316" s="34"/>
      <c r="CIO316" s="34"/>
      <c r="CIP316" s="34"/>
      <c r="CIQ316" s="34"/>
      <c r="CIR316" s="34"/>
      <c r="CIS316" s="34"/>
      <c r="CIT316" s="34"/>
      <c r="CIU316" s="34"/>
      <c r="CIV316" s="34"/>
      <c r="CIW316" s="34"/>
      <c r="CIX316" s="34"/>
      <c r="CIY316" s="34"/>
      <c r="CIZ316" s="34"/>
      <c r="CJA316" s="34"/>
      <c r="CJB316" s="34"/>
      <c r="CJC316" s="34"/>
      <c r="CJD316" s="34"/>
      <c r="CJE316" s="34"/>
      <c r="CJF316" s="34"/>
      <c r="CJG316" s="34"/>
      <c r="CJH316" s="34"/>
      <c r="CJI316" s="34"/>
      <c r="CJJ316" s="34"/>
      <c r="CJK316" s="34"/>
      <c r="CJL316" s="34"/>
      <c r="CJM316" s="34"/>
      <c r="CJN316" s="34"/>
      <c r="CJO316" s="34"/>
      <c r="CJP316" s="34"/>
      <c r="CJQ316" s="34"/>
      <c r="CJR316" s="34"/>
      <c r="CJS316" s="34"/>
      <c r="CJT316" s="34"/>
      <c r="CJU316" s="34"/>
      <c r="CJV316" s="34"/>
      <c r="CJW316" s="34"/>
      <c r="CJX316" s="34"/>
      <c r="CJY316" s="34"/>
      <c r="CJZ316" s="34"/>
      <c r="CKA316" s="34"/>
      <c r="CKB316" s="34"/>
      <c r="CKC316" s="34"/>
      <c r="CKD316" s="34"/>
      <c r="CKE316" s="34"/>
      <c r="CKF316" s="34"/>
      <c r="CKG316" s="34"/>
      <c r="CKH316" s="34"/>
      <c r="CKI316" s="34"/>
      <c r="CKJ316" s="34"/>
      <c r="CKK316" s="34"/>
      <c r="CKL316" s="34"/>
      <c r="CKM316" s="34"/>
      <c r="CKN316" s="34"/>
      <c r="CKO316" s="34"/>
      <c r="CKP316" s="34"/>
      <c r="CKQ316" s="34"/>
      <c r="CKR316" s="34"/>
      <c r="CKS316" s="34"/>
      <c r="CKT316" s="34"/>
      <c r="CKU316" s="34"/>
      <c r="CKV316" s="34"/>
      <c r="CKW316" s="34"/>
      <c r="CKX316" s="34"/>
      <c r="CKY316" s="34"/>
      <c r="CKZ316" s="34"/>
      <c r="CLA316" s="34"/>
      <c r="CLB316" s="34"/>
      <c r="CLC316" s="34"/>
      <c r="CLD316" s="34"/>
      <c r="CLE316" s="34"/>
      <c r="CLF316" s="34"/>
      <c r="CLG316" s="34"/>
      <c r="CLH316" s="34"/>
      <c r="CLI316" s="34"/>
      <c r="CLJ316" s="34"/>
      <c r="CLK316" s="34"/>
      <c r="CLL316" s="34"/>
      <c r="CLM316" s="34"/>
      <c r="CLN316" s="34"/>
      <c r="CLO316" s="34"/>
      <c r="CLP316" s="34"/>
      <c r="CLQ316" s="34"/>
      <c r="CLR316" s="34"/>
      <c r="CLS316" s="34"/>
      <c r="CLT316" s="34"/>
      <c r="CLU316" s="34"/>
      <c r="CLV316" s="34"/>
      <c r="CLW316" s="34"/>
      <c r="CLX316" s="34"/>
      <c r="CLY316" s="34"/>
      <c r="CLZ316" s="34"/>
      <c r="CMA316" s="34"/>
      <c r="CMB316" s="34"/>
      <c r="CMC316" s="34"/>
      <c r="CMD316" s="34"/>
      <c r="CME316" s="34"/>
      <c r="CMF316" s="34"/>
      <c r="CMG316" s="34"/>
      <c r="CMH316" s="34"/>
      <c r="CMI316" s="34"/>
      <c r="CMJ316" s="34"/>
      <c r="CMK316" s="34"/>
      <c r="CML316" s="34"/>
      <c r="CMM316" s="34"/>
      <c r="CMN316" s="34"/>
      <c r="CMO316" s="34"/>
      <c r="CMP316" s="34"/>
      <c r="CMQ316" s="34"/>
      <c r="CMR316" s="34"/>
      <c r="CMS316" s="34"/>
      <c r="CMT316" s="34"/>
      <c r="CMU316" s="34"/>
      <c r="CMV316" s="34"/>
      <c r="CMW316" s="34"/>
      <c r="CMX316" s="34"/>
      <c r="CMY316" s="34"/>
      <c r="CMZ316" s="34"/>
      <c r="CNA316" s="34"/>
      <c r="CNB316" s="34"/>
      <c r="CNC316" s="34"/>
      <c r="CND316" s="34"/>
      <c r="CNE316" s="34"/>
      <c r="CNF316" s="34"/>
      <c r="CNG316" s="34"/>
      <c r="CNH316" s="34"/>
      <c r="CNI316" s="34"/>
      <c r="CNJ316" s="34"/>
      <c r="CNK316" s="34"/>
      <c r="CNL316" s="34"/>
      <c r="CNM316" s="34"/>
      <c r="CNN316" s="34"/>
      <c r="CNO316" s="34"/>
      <c r="CNP316" s="34"/>
      <c r="CNQ316" s="34"/>
      <c r="CNR316" s="34"/>
      <c r="CNS316" s="34"/>
      <c r="CNT316" s="34"/>
      <c r="CNU316" s="34"/>
      <c r="CNV316" s="34"/>
      <c r="CNW316" s="34"/>
      <c r="CNX316" s="34"/>
      <c r="CNY316" s="34"/>
      <c r="CNZ316" s="34"/>
      <c r="COA316" s="34"/>
      <c r="COB316" s="34"/>
      <c r="COC316" s="34"/>
      <c r="COD316" s="34"/>
      <c r="COE316" s="34"/>
      <c r="COF316" s="34"/>
      <c r="COG316" s="34"/>
      <c r="COH316" s="34"/>
      <c r="COI316" s="34"/>
      <c r="COJ316" s="34"/>
      <c r="COK316" s="34"/>
      <c r="COL316" s="34"/>
      <c r="COM316" s="34"/>
      <c r="CON316" s="34"/>
      <c r="COO316" s="34"/>
      <c r="COP316" s="34"/>
      <c r="COQ316" s="34"/>
      <c r="COR316" s="34"/>
      <c r="COS316" s="34"/>
      <c r="COT316" s="34"/>
      <c r="COU316" s="34"/>
      <c r="COV316" s="34"/>
      <c r="COW316" s="34"/>
      <c r="COX316" s="34"/>
      <c r="COY316" s="34"/>
      <c r="COZ316" s="34"/>
      <c r="CPA316" s="34"/>
      <c r="CPB316" s="34"/>
      <c r="CPC316" s="34"/>
      <c r="CPD316" s="34"/>
      <c r="CPE316" s="34"/>
      <c r="CPF316" s="34"/>
      <c r="CPG316" s="34"/>
      <c r="CPH316" s="34"/>
      <c r="CPI316" s="34"/>
      <c r="CPJ316" s="34"/>
      <c r="CPK316" s="34"/>
      <c r="CPL316" s="34"/>
      <c r="CPM316" s="34"/>
      <c r="CPN316" s="34"/>
      <c r="CPO316" s="34"/>
      <c r="CPP316" s="34"/>
      <c r="CPQ316" s="34"/>
      <c r="CPR316" s="34"/>
      <c r="CPS316" s="34"/>
      <c r="CPT316" s="34"/>
      <c r="CPU316" s="34"/>
      <c r="CPV316" s="34"/>
      <c r="CPW316" s="34"/>
      <c r="CPX316" s="34"/>
      <c r="CPY316" s="34"/>
      <c r="CPZ316" s="34"/>
      <c r="CQA316" s="34"/>
      <c r="CQB316" s="34"/>
      <c r="CQC316" s="34"/>
      <c r="CQD316" s="34"/>
      <c r="CQE316" s="34"/>
      <c r="CQF316" s="34"/>
      <c r="CQG316" s="34"/>
      <c r="CQH316" s="34"/>
      <c r="CQI316" s="34"/>
      <c r="CQJ316" s="34"/>
      <c r="CQK316" s="34"/>
      <c r="CQL316" s="34"/>
      <c r="CQM316" s="34"/>
      <c r="CQN316" s="34"/>
      <c r="CQO316" s="34"/>
      <c r="CQP316" s="34"/>
      <c r="CQQ316" s="34"/>
      <c r="CQR316" s="34"/>
      <c r="CQS316" s="34"/>
      <c r="CQT316" s="34"/>
      <c r="CQU316" s="34"/>
      <c r="CQV316" s="34"/>
      <c r="CQW316" s="34"/>
      <c r="CQX316" s="34"/>
      <c r="CQY316" s="34"/>
      <c r="CQZ316" s="34"/>
      <c r="CRA316" s="34"/>
      <c r="CRB316" s="34"/>
      <c r="CRC316" s="34"/>
      <c r="CRD316" s="34"/>
      <c r="CRE316" s="34"/>
      <c r="CRF316" s="34"/>
      <c r="CRG316" s="34"/>
      <c r="CRH316" s="34"/>
      <c r="CRI316" s="34"/>
      <c r="CRJ316" s="34"/>
      <c r="CRK316" s="34"/>
      <c r="CRL316" s="34"/>
      <c r="CRM316" s="34"/>
      <c r="CRN316" s="34"/>
      <c r="CRO316" s="34"/>
      <c r="CRP316" s="34"/>
      <c r="CRQ316" s="34"/>
      <c r="CRR316" s="34"/>
      <c r="CRS316" s="34"/>
      <c r="CRT316" s="34"/>
      <c r="CRU316" s="34"/>
      <c r="CRV316" s="34"/>
      <c r="CRW316" s="34"/>
      <c r="CRX316" s="34"/>
      <c r="CRY316" s="34"/>
      <c r="CRZ316" s="34"/>
      <c r="CSA316" s="34"/>
      <c r="CSB316" s="34"/>
      <c r="CSC316" s="34"/>
      <c r="CSD316" s="34"/>
      <c r="CSE316" s="34"/>
      <c r="CSF316" s="34"/>
      <c r="CSG316" s="34"/>
      <c r="CSH316" s="34"/>
      <c r="CSI316" s="34"/>
      <c r="CSJ316" s="34"/>
      <c r="CSK316" s="34"/>
      <c r="CSL316" s="34"/>
      <c r="CSM316" s="34"/>
      <c r="CSN316" s="34"/>
      <c r="CSO316" s="34"/>
      <c r="CSP316" s="34"/>
      <c r="CSQ316" s="34"/>
      <c r="CSR316" s="34"/>
      <c r="CSS316" s="34"/>
      <c r="CST316" s="34"/>
      <c r="CSU316" s="34"/>
      <c r="CSV316" s="34"/>
      <c r="CSW316" s="34"/>
      <c r="CSX316" s="34"/>
      <c r="CSY316" s="34"/>
      <c r="CSZ316" s="34"/>
      <c r="CTA316" s="34"/>
      <c r="CTB316" s="34"/>
      <c r="CTC316" s="34"/>
      <c r="CTD316" s="34"/>
      <c r="CTE316" s="34"/>
      <c r="CTF316" s="34"/>
      <c r="CTG316" s="34"/>
      <c r="CTH316" s="34"/>
      <c r="CTI316" s="34"/>
      <c r="CTJ316" s="34"/>
      <c r="CTK316" s="34"/>
      <c r="CTL316" s="34"/>
      <c r="CTM316" s="34"/>
      <c r="CTN316" s="34"/>
      <c r="CTO316" s="34"/>
      <c r="CTP316" s="34"/>
      <c r="CTQ316" s="34"/>
      <c r="CTR316" s="34"/>
      <c r="CTS316" s="34"/>
      <c r="CTT316" s="34"/>
      <c r="CTU316" s="34"/>
      <c r="CTV316" s="34"/>
      <c r="CTW316" s="34"/>
      <c r="CTX316" s="34"/>
      <c r="CTY316" s="34"/>
      <c r="CTZ316" s="34"/>
      <c r="CUA316" s="34"/>
      <c r="CUB316" s="34"/>
      <c r="CUC316" s="34"/>
      <c r="CUD316" s="34"/>
      <c r="CUE316" s="34"/>
      <c r="CUF316" s="34"/>
      <c r="CUG316" s="34"/>
      <c r="CUH316" s="34"/>
      <c r="CUI316" s="34"/>
      <c r="CUJ316" s="34"/>
      <c r="CUK316" s="34"/>
      <c r="CUL316" s="34"/>
      <c r="CUM316" s="34"/>
      <c r="CUN316" s="34"/>
      <c r="CUO316" s="34"/>
      <c r="CUP316" s="34"/>
      <c r="CUQ316" s="34"/>
      <c r="CUR316" s="34"/>
      <c r="CUS316" s="34"/>
      <c r="CUT316" s="34"/>
      <c r="CUU316" s="34"/>
      <c r="CUV316" s="34"/>
      <c r="CUW316" s="34"/>
      <c r="CUX316" s="34"/>
      <c r="CUY316" s="34"/>
      <c r="CUZ316" s="34"/>
      <c r="CVA316" s="34"/>
      <c r="CVB316" s="34"/>
      <c r="CVC316" s="34"/>
      <c r="CVD316" s="34"/>
      <c r="CVE316" s="34"/>
      <c r="CVF316" s="34"/>
      <c r="CVG316" s="34"/>
      <c r="CVH316" s="34"/>
      <c r="CVI316" s="34"/>
      <c r="CVJ316" s="34"/>
      <c r="CVK316" s="34"/>
      <c r="CVL316" s="34"/>
      <c r="CVM316" s="34"/>
      <c r="CVN316" s="34"/>
      <c r="CVO316" s="34"/>
      <c r="CVP316" s="34"/>
      <c r="CVQ316" s="34"/>
      <c r="CVR316" s="34"/>
      <c r="CVS316" s="34"/>
      <c r="CVT316" s="34"/>
      <c r="CVU316" s="34"/>
      <c r="CVV316" s="34"/>
      <c r="CVW316" s="34"/>
      <c r="CVX316" s="34"/>
      <c r="CVY316" s="34"/>
      <c r="CVZ316" s="34"/>
      <c r="CWA316" s="34"/>
      <c r="CWB316" s="34"/>
      <c r="CWC316" s="34"/>
      <c r="CWD316" s="34"/>
      <c r="CWE316" s="34"/>
      <c r="CWF316" s="34"/>
      <c r="CWG316" s="34"/>
      <c r="CWH316" s="34"/>
      <c r="CWI316" s="34"/>
      <c r="CWJ316" s="34"/>
      <c r="CWK316" s="34"/>
      <c r="CWL316" s="34"/>
      <c r="CWM316" s="34"/>
      <c r="CWN316" s="34"/>
      <c r="CWO316" s="34"/>
      <c r="CWP316" s="34"/>
      <c r="CWQ316" s="34"/>
      <c r="CWR316" s="34"/>
      <c r="CWS316" s="34"/>
      <c r="CWT316" s="34"/>
      <c r="CWU316" s="34"/>
      <c r="CWV316" s="34"/>
      <c r="CWW316" s="34"/>
      <c r="CWX316" s="34"/>
      <c r="CWY316" s="34"/>
      <c r="CWZ316" s="34"/>
      <c r="CXA316" s="34"/>
      <c r="CXB316" s="34"/>
      <c r="CXC316" s="34"/>
      <c r="CXD316" s="34"/>
      <c r="CXE316" s="34"/>
      <c r="CXF316" s="34"/>
      <c r="CXG316" s="34"/>
      <c r="CXH316" s="34"/>
      <c r="CXI316" s="34"/>
      <c r="CXJ316" s="34"/>
      <c r="CXK316" s="34"/>
      <c r="CXL316" s="34"/>
      <c r="CXM316" s="34"/>
      <c r="CXN316" s="34"/>
      <c r="CXO316" s="34"/>
      <c r="CXP316" s="34"/>
      <c r="CXQ316" s="34"/>
      <c r="CXR316" s="34"/>
      <c r="CXS316" s="34"/>
      <c r="CXT316" s="34"/>
      <c r="CXU316" s="34"/>
      <c r="CXV316" s="34"/>
      <c r="CXW316" s="34"/>
      <c r="CXX316" s="34"/>
      <c r="CXY316" s="34"/>
      <c r="CXZ316" s="34"/>
      <c r="CYA316" s="34"/>
      <c r="CYB316" s="34"/>
      <c r="CYC316" s="34"/>
      <c r="CYD316" s="34"/>
      <c r="CYE316" s="34"/>
      <c r="CYF316" s="34"/>
      <c r="CYG316" s="34"/>
      <c r="CYH316" s="34"/>
      <c r="CYI316" s="34"/>
      <c r="CYJ316" s="34"/>
      <c r="CYK316" s="34"/>
      <c r="CYL316" s="34"/>
      <c r="CYM316" s="34"/>
      <c r="CYN316" s="34"/>
      <c r="CYO316" s="34"/>
      <c r="CYP316" s="34"/>
      <c r="CYQ316" s="34"/>
      <c r="CYR316" s="34"/>
      <c r="CYS316" s="34"/>
      <c r="CYT316" s="34"/>
      <c r="CYU316" s="34"/>
      <c r="CYV316" s="34"/>
      <c r="CYW316" s="34"/>
      <c r="CYX316" s="34"/>
      <c r="CYY316" s="34"/>
      <c r="CYZ316" s="34"/>
      <c r="CZA316" s="34"/>
      <c r="CZB316" s="34"/>
      <c r="CZC316" s="34"/>
      <c r="CZD316" s="34"/>
      <c r="CZE316" s="34"/>
      <c r="CZF316" s="34"/>
      <c r="CZG316" s="34"/>
      <c r="CZH316" s="34"/>
      <c r="CZI316" s="34"/>
      <c r="CZJ316" s="34"/>
      <c r="CZK316" s="34"/>
      <c r="CZL316" s="34"/>
      <c r="CZM316" s="34"/>
      <c r="CZN316" s="34"/>
      <c r="CZO316" s="34"/>
      <c r="CZP316" s="34"/>
      <c r="CZQ316" s="34"/>
      <c r="CZR316" s="34"/>
      <c r="CZS316" s="34"/>
      <c r="CZT316" s="34"/>
      <c r="CZU316" s="34"/>
      <c r="CZV316" s="34"/>
      <c r="CZW316" s="34"/>
      <c r="CZX316" s="34"/>
      <c r="CZY316" s="34"/>
      <c r="CZZ316" s="34"/>
      <c r="DAA316" s="34"/>
      <c r="DAB316" s="34"/>
      <c r="DAC316" s="34"/>
      <c r="DAD316" s="34"/>
      <c r="DAE316" s="34"/>
      <c r="DAF316" s="34"/>
      <c r="DAG316" s="34"/>
      <c r="DAH316" s="34"/>
      <c r="DAI316" s="34"/>
      <c r="DAJ316" s="34"/>
      <c r="DAK316" s="34"/>
      <c r="DAL316" s="34"/>
      <c r="DAM316" s="34"/>
      <c r="DAN316" s="34"/>
      <c r="DAO316" s="34"/>
      <c r="DAP316" s="34"/>
      <c r="DAQ316" s="34"/>
      <c r="DAR316" s="34"/>
      <c r="DAS316" s="34"/>
      <c r="DAT316" s="34"/>
      <c r="DAU316" s="34"/>
      <c r="DAV316" s="34"/>
      <c r="DAW316" s="34"/>
      <c r="DAX316" s="34"/>
      <c r="DAY316" s="34"/>
      <c r="DAZ316" s="34"/>
      <c r="DBA316" s="34"/>
      <c r="DBB316" s="34"/>
      <c r="DBC316" s="34"/>
      <c r="DBD316" s="34"/>
      <c r="DBE316" s="34"/>
      <c r="DBF316" s="34"/>
      <c r="DBG316" s="34"/>
      <c r="DBH316" s="34"/>
      <c r="DBI316" s="34"/>
      <c r="DBJ316" s="34"/>
      <c r="DBK316" s="34"/>
      <c r="DBL316" s="34"/>
      <c r="DBM316" s="34"/>
      <c r="DBN316" s="34"/>
      <c r="DBO316" s="34"/>
      <c r="DBP316" s="34"/>
      <c r="DBQ316" s="34"/>
      <c r="DBR316" s="34"/>
      <c r="DBS316" s="34"/>
      <c r="DBT316" s="34"/>
      <c r="DBU316" s="34"/>
      <c r="DBV316" s="34"/>
      <c r="DBW316" s="34"/>
      <c r="DBX316" s="34"/>
      <c r="DBY316" s="34"/>
      <c r="DBZ316" s="34"/>
      <c r="DCA316" s="34"/>
      <c r="DCB316" s="34"/>
      <c r="DCC316" s="34"/>
      <c r="DCD316" s="34"/>
      <c r="DCE316" s="34"/>
      <c r="DCF316" s="34"/>
      <c r="DCG316" s="34"/>
      <c r="DCH316" s="34"/>
      <c r="DCI316" s="34"/>
      <c r="DCJ316" s="34"/>
      <c r="DCK316" s="34"/>
      <c r="DCL316" s="34"/>
      <c r="DCM316" s="34"/>
      <c r="DCN316" s="34"/>
      <c r="DCO316" s="34"/>
      <c r="DCP316" s="34"/>
      <c r="DCQ316" s="34"/>
      <c r="DCR316" s="34"/>
      <c r="DCS316" s="34"/>
      <c r="DCT316" s="34"/>
      <c r="DCU316" s="34"/>
      <c r="DCV316" s="34"/>
      <c r="DCW316" s="34"/>
      <c r="DCX316" s="34"/>
      <c r="DCY316" s="34"/>
      <c r="DCZ316" s="34"/>
      <c r="DDA316" s="34"/>
      <c r="DDB316" s="34"/>
      <c r="DDC316" s="34"/>
      <c r="DDD316" s="34"/>
      <c r="DDE316" s="34"/>
      <c r="DDF316" s="34"/>
      <c r="DDG316" s="34"/>
      <c r="DDH316" s="34"/>
      <c r="DDI316" s="34"/>
      <c r="DDJ316" s="34"/>
      <c r="DDK316" s="34"/>
      <c r="DDL316" s="34"/>
      <c r="DDM316" s="34"/>
      <c r="DDN316" s="34"/>
      <c r="DDO316" s="34"/>
      <c r="DDP316" s="34"/>
      <c r="DDQ316" s="34"/>
      <c r="DDR316" s="34"/>
      <c r="DDS316" s="34"/>
      <c r="DDT316" s="34"/>
      <c r="DDU316" s="34"/>
      <c r="DDV316" s="34"/>
      <c r="DDW316" s="34"/>
      <c r="DDX316" s="34"/>
      <c r="DDY316" s="34"/>
      <c r="DDZ316" s="34"/>
      <c r="DEA316" s="34"/>
      <c r="DEB316" s="34"/>
      <c r="DEC316" s="34"/>
      <c r="DED316" s="34"/>
      <c r="DEE316" s="34"/>
      <c r="DEF316" s="34"/>
      <c r="DEG316" s="34"/>
      <c r="DEH316" s="34"/>
      <c r="DEI316" s="34"/>
      <c r="DEJ316" s="34"/>
      <c r="DEK316" s="34"/>
      <c r="DEL316" s="34"/>
      <c r="DEM316" s="34"/>
      <c r="DEN316" s="34"/>
      <c r="DEO316" s="34"/>
      <c r="DEP316" s="34"/>
      <c r="DEQ316" s="34"/>
      <c r="DER316" s="34"/>
      <c r="DES316" s="34"/>
      <c r="DET316" s="34"/>
      <c r="DEU316" s="34"/>
      <c r="DEV316" s="34"/>
      <c r="DEW316" s="34"/>
      <c r="DEX316" s="34"/>
      <c r="DEY316" s="34"/>
      <c r="DEZ316" s="34"/>
      <c r="DFA316" s="34"/>
      <c r="DFB316" s="34"/>
      <c r="DFC316" s="34"/>
      <c r="DFD316" s="34"/>
      <c r="DFE316" s="34"/>
      <c r="DFF316" s="34"/>
      <c r="DFG316" s="34"/>
      <c r="DFH316" s="34"/>
      <c r="DFI316" s="34"/>
      <c r="DFJ316" s="34"/>
      <c r="DFK316" s="34"/>
      <c r="DFL316" s="34"/>
      <c r="DFM316" s="34"/>
      <c r="DFN316" s="34"/>
      <c r="DFO316" s="34"/>
      <c r="DFP316" s="34"/>
      <c r="DFQ316" s="34"/>
      <c r="DFR316" s="34"/>
      <c r="DFS316" s="34"/>
      <c r="DFT316" s="34"/>
      <c r="DFU316" s="34"/>
      <c r="DFV316" s="34"/>
      <c r="DFW316" s="34"/>
      <c r="DFX316" s="34"/>
      <c r="DFY316" s="34"/>
      <c r="DFZ316" s="34"/>
      <c r="DGA316" s="34"/>
      <c r="DGB316" s="34"/>
      <c r="DGC316" s="34"/>
      <c r="DGD316" s="34"/>
      <c r="DGE316" s="34"/>
      <c r="DGF316" s="34"/>
      <c r="DGG316" s="34"/>
      <c r="DGH316" s="34"/>
      <c r="DGI316" s="34"/>
      <c r="DGJ316" s="34"/>
      <c r="DGK316" s="34"/>
      <c r="DGL316" s="34"/>
      <c r="DGM316" s="34"/>
      <c r="DGN316" s="34"/>
      <c r="DGO316" s="34"/>
      <c r="DGP316" s="34"/>
      <c r="DGQ316" s="34"/>
      <c r="DGR316" s="34"/>
      <c r="DGS316" s="34"/>
      <c r="DGT316" s="34"/>
      <c r="DGU316" s="34"/>
      <c r="DGV316" s="34"/>
      <c r="DGW316" s="34"/>
      <c r="DGX316" s="34"/>
      <c r="DGY316" s="34"/>
      <c r="DGZ316" s="34"/>
      <c r="DHA316" s="34"/>
      <c r="DHB316" s="34"/>
      <c r="DHC316" s="34"/>
      <c r="DHD316" s="34"/>
      <c r="DHE316" s="34"/>
      <c r="DHF316" s="34"/>
      <c r="DHG316" s="34"/>
      <c r="DHH316" s="34"/>
      <c r="DHI316" s="34"/>
      <c r="DHJ316" s="34"/>
      <c r="DHK316" s="34"/>
      <c r="DHL316" s="34"/>
      <c r="DHM316" s="34"/>
      <c r="DHN316" s="34"/>
      <c r="DHO316" s="34"/>
      <c r="DHP316" s="34"/>
      <c r="DHQ316" s="34"/>
      <c r="DHR316" s="34"/>
      <c r="DHS316" s="34"/>
      <c r="DHT316" s="34"/>
      <c r="DHU316" s="34"/>
      <c r="DHV316" s="34"/>
      <c r="DHW316" s="34"/>
      <c r="DHX316" s="34"/>
      <c r="DHY316" s="34"/>
      <c r="DHZ316" s="34"/>
      <c r="DIA316" s="34"/>
      <c r="DIB316" s="34"/>
      <c r="DIC316" s="34"/>
      <c r="DID316" s="34"/>
      <c r="DIE316" s="34"/>
      <c r="DIF316" s="34"/>
      <c r="DIG316" s="34"/>
      <c r="DIH316" s="34"/>
      <c r="DII316" s="34"/>
      <c r="DIJ316" s="34"/>
      <c r="DIK316" s="34"/>
      <c r="DIL316" s="34"/>
      <c r="DIM316" s="34"/>
      <c r="DIN316" s="34"/>
      <c r="DIO316" s="34"/>
      <c r="DIP316" s="34"/>
      <c r="DIQ316" s="34"/>
      <c r="DIR316" s="34"/>
      <c r="DIS316" s="34"/>
      <c r="DIT316" s="34"/>
      <c r="DIU316" s="34"/>
      <c r="DIV316" s="34"/>
      <c r="DIW316" s="34"/>
      <c r="DIX316" s="34"/>
      <c r="DIY316" s="34"/>
      <c r="DIZ316" s="34"/>
      <c r="DJA316" s="34"/>
      <c r="DJB316" s="34"/>
      <c r="DJC316" s="34"/>
      <c r="DJD316" s="34"/>
      <c r="DJE316" s="34"/>
      <c r="DJF316" s="34"/>
      <c r="DJG316" s="34"/>
      <c r="DJH316" s="34"/>
      <c r="DJI316" s="34"/>
      <c r="DJJ316" s="34"/>
      <c r="DJK316" s="34"/>
      <c r="DJL316" s="34"/>
      <c r="DJM316" s="34"/>
      <c r="DJN316" s="34"/>
      <c r="DJO316" s="34"/>
      <c r="DJP316" s="34"/>
      <c r="DJQ316" s="34"/>
      <c r="DJR316" s="34"/>
      <c r="DJS316" s="34"/>
      <c r="DJT316" s="34"/>
      <c r="DJU316" s="34"/>
      <c r="DJV316" s="34"/>
      <c r="DJW316" s="34"/>
      <c r="DJX316" s="34"/>
      <c r="DJY316" s="34"/>
      <c r="DJZ316" s="34"/>
      <c r="DKA316" s="34"/>
      <c r="DKB316" s="34"/>
      <c r="DKC316" s="34"/>
      <c r="DKD316" s="34"/>
      <c r="DKE316" s="34"/>
      <c r="DKF316" s="34"/>
      <c r="DKG316" s="34"/>
      <c r="DKH316" s="34"/>
      <c r="DKI316" s="34"/>
      <c r="DKJ316" s="34"/>
      <c r="DKK316" s="34"/>
      <c r="DKL316" s="34"/>
      <c r="DKM316" s="34"/>
      <c r="DKN316" s="34"/>
      <c r="DKO316" s="34"/>
      <c r="DKP316" s="34"/>
      <c r="DKQ316" s="34"/>
      <c r="DKR316" s="34"/>
      <c r="DKS316" s="34"/>
      <c r="DKT316" s="34"/>
      <c r="DKU316" s="34"/>
      <c r="DKV316" s="34"/>
      <c r="DKW316" s="34"/>
      <c r="DKX316" s="34"/>
      <c r="DKY316" s="34"/>
      <c r="DKZ316" s="34"/>
      <c r="DLA316" s="34"/>
      <c r="DLB316" s="34"/>
      <c r="DLC316" s="34"/>
      <c r="DLD316" s="34"/>
      <c r="DLE316" s="34"/>
      <c r="DLF316" s="34"/>
      <c r="DLG316" s="34"/>
      <c r="DLH316" s="34"/>
      <c r="DLI316" s="34"/>
      <c r="DLJ316" s="34"/>
      <c r="DLK316" s="34"/>
      <c r="DLL316" s="34"/>
      <c r="DLM316" s="34"/>
      <c r="DLN316" s="34"/>
      <c r="DLO316" s="34"/>
      <c r="DLP316" s="34"/>
      <c r="DLQ316" s="34"/>
      <c r="DLR316" s="34"/>
      <c r="DLS316" s="34"/>
      <c r="DLT316" s="34"/>
      <c r="DLU316" s="34"/>
      <c r="DLV316" s="34"/>
      <c r="DLW316" s="34"/>
      <c r="DLX316" s="34"/>
      <c r="DLY316" s="34"/>
      <c r="DLZ316" s="34"/>
      <c r="DMA316" s="34"/>
      <c r="DMB316" s="34"/>
      <c r="DMC316" s="34"/>
      <c r="DMD316" s="34"/>
      <c r="DME316" s="34"/>
      <c r="DMF316" s="34"/>
      <c r="DMG316" s="34"/>
      <c r="DMH316" s="34"/>
      <c r="DMI316" s="34"/>
      <c r="DMJ316" s="34"/>
      <c r="DMK316" s="34"/>
      <c r="DML316" s="34"/>
      <c r="DMM316" s="34"/>
      <c r="DMN316" s="34"/>
      <c r="DMO316" s="34"/>
      <c r="DMP316" s="34"/>
      <c r="DMQ316" s="34"/>
      <c r="DMR316" s="34"/>
      <c r="DMS316" s="34"/>
      <c r="DMT316" s="34"/>
      <c r="DMU316" s="34"/>
      <c r="DMV316" s="34"/>
      <c r="DMW316" s="34"/>
      <c r="DMX316" s="34"/>
      <c r="DMY316" s="34"/>
      <c r="DMZ316" s="34"/>
      <c r="DNA316" s="34"/>
      <c r="DNB316" s="34"/>
      <c r="DNC316" s="34"/>
      <c r="DND316" s="34"/>
      <c r="DNE316" s="34"/>
      <c r="DNF316" s="34"/>
      <c r="DNG316" s="34"/>
      <c r="DNH316" s="34"/>
      <c r="DNI316" s="34"/>
      <c r="DNJ316" s="34"/>
      <c r="DNK316" s="34"/>
      <c r="DNL316" s="34"/>
      <c r="DNM316" s="34"/>
      <c r="DNN316" s="34"/>
      <c r="DNO316" s="34"/>
      <c r="DNP316" s="34"/>
      <c r="DNQ316" s="34"/>
      <c r="DNR316" s="34"/>
      <c r="DNS316" s="34"/>
      <c r="DNT316" s="34"/>
      <c r="DNU316" s="34"/>
      <c r="DNV316" s="34"/>
      <c r="DNW316" s="34"/>
      <c r="DNX316" s="34"/>
      <c r="DNY316" s="34"/>
      <c r="DNZ316" s="34"/>
      <c r="DOA316" s="34"/>
      <c r="DOB316" s="34"/>
      <c r="DOC316" s="34"/>
      <c r="DOD316" s="34"/>
      <c r="DOE316" s="34"/>
      <c r="DOF316" s="34"/>
      <c r="DOG316" s="34"/>
      <c r="DOH316" s="34"/>
      <c r="DOI316" s="34"/>
      <c r="DOJ316" s="34"/>
      <c r="DOK316" s="34"/>
      <c r="DOL316" s="34"/>
      <c r="DOM316" s="34"/>
      <c r="DON316" s="34"/>
      <c r="DOO316" s="34"/>
      <c r="DOP316" s="34"/>
      <c r="DOQ316" s="34"/>
      <c r="DOR316" s="34"/>
      <c r="DOS316" s="34"/>
      <c r="DOT316" s="34"/>
      <c r="DOU316" s="34"/>
      <c r="DOV316" s="34"/>
      <c r="DOW316" s="34"/>
      <c r="DOX316" s="34"/>
      <c r="DOY316" s="34"/>
      <c r="DOZ316" s="34"/>
      <c r="DPA316" s="34"/>
      <c r="DPB316" s="34"/>
      <c r="DPC316" s="34"/>
      <c r="DPD316" s="34"/>
      <c r="DPE316" s="34"/>
      <c r="DPF316" s="34"/>
      <c r="DPG316" s="34"/>
      <c r="DPH316" s="34"/>
      <c r="DPI316" s="34"/>
      <c r="DPJ316" s="34"/>
      <c r="DPK316" s="34"/>
      <c r="DPL316" s="34"/>
      <c r="DPM316" s="34"/>
      <c r="DPN316" s="34"/>
      <c r="DPO316" s="34"/>
      <c r="DPP316" s="34"/>
      <c r="DPQ316" s="34"/>
      <c r="DPR316" s="34"/>
      <c r="DPS316" s="34"/>
      <c r="DPT316" s="34"/>
      <c r="DPU316" s="34"/>
      <c r="DPV316" s="34"/>
      <c r="DPW316" s="34"/>
      <c r="DPX316" s="34"/>
      <c r="DPY316" s="34"/>
      <c r="DPZ316" s="34"/>
      <c r="DQA316" s="34"/>
      <c r="DQB316" s="34"/>
      <c r="DQC316" s="34"/>
      <c r="DQD316" s="34"/>
      <c r="DQE316" s="34"/>
      <c r="DQF316" s="34"/>
      <c r="DQG316" s="34"/>
      <c r="DQH316" s="34"/>
      <c r="DQI316" s="34"/>
      <c r="DQJ316" s="34"/>
      <c r="DQK316" s="34"/>
      <c r="DQL316" s="34"/>
      <c r="DQM316" s="34"/>
      <c r="DQN316" s="34"/>
      <c r="DQO316" s="34"/>
      <c r="DQP316" s="34"/>
      <c r="DQQ316" s="34"/>
      <c r="DQR316" s="34"/>
      <c r="DQS316" s="34"/>
      <c r="DQT316" s="34"/>
      <c r="DQU316" s="34"/>
      <c r="DQV316" s="34"/>
      <c r="DQW316" s="34"/>
      <c r="DQX316" s="34"/>
      <c r="DQY316" s="34"/>
      <c r="DQZ316" s="34"/>
      <c r="DRA316" s="34"/>
      <c r="DRB316" s="34"/>
      <c r="DRC316" s="34"/>
      <c r="DRD316" s="34"/>
      <c r="DRE316" s="34"/>
      <c r="DRF316" s="34"/>
      <c r="DRG316" s="34"/>
      <c r="DRH316" s="34"/>
      <c r="DRI316" s="34"/>
      <c r="DRJ316" s="34"/>
      <c r="DRK316" s="34"/>
      <c r="DRL316" s="34"/>
      <c r="DRM316" s="34"/>
      <c r="DRN316" s="34"/>
      <c r="DRO316" s="34"/>
      <c r="DRP316" s="34"/>
      <c r="DRQ316" s="34"/>
      <c r="DRR316" s="34"/>
      <c r="DRS316" s="34"/>
      <c r="DRT316" s="34"/>
      <c r="DRU316" s="34"/>
      <c r="DRV316" s="34"/>
      <c r="DRW316" s="34"/>
      <c r="DRX316" s="34"/>
      <c r="DRY316" s="34"/>
      <c r="DRZ316" s="34"/>
      <c r="DSA316" s="34"/>
      <c r="DSB316" s="34"/>
      <c r="DSC316" s="34"/>
      <c r="DSD316" s="34"/>
      <c r="DSE316" s="34"/>
      <c r="DSF316" s="34"/>
      <c r="DSG316" s="34"/>
      <c r="DSH316" s="34"/>
      <c r="DSI316" s="34"/>
      <c r="DSJ316" s="34"/>
      <c r="DSK316" s="34"/>
      <c r="DSL316" s="34"/>
      <c r="DSM316" s="34"/>
      <c r="DSN316" s="34"/>
      <c r="DSO316" s="34"/>
      <c r="DSP316" s="34"/>
      <c r="DSQ316" s="34"/>
      <c r="DSR316" s="34"/>
      <c r="DSS316" s="34"/>
      <c r="DST316" s="34"/>
      <c r="DSU316" s="34"/>
      <c r="DSV316" s="34"/>
      <c r="DSW316" s="34"/>
      <c r="DSX316" s="34"/>
      <c r="DSY316" s="34"/>
      <c r="DSZ316" s="34"/>
      <c r="DTA316" s="34"/>
      <c r="DTB316" s="34"/>
      <c r="DTC316" s="34"/>
      <c r="DTD316" s="34"/>
      <c r="DTE316" s="34"/>
      <c r="DTF316" s="34"/>
      <c r="DTG316" s="34"/>
      <c r="DTH316" s="34"/>
      <c r="DTI316" s="34"/>
      <c r="DTJ316" s="34"/>
      <c r="DTK316" s="34"/>
      <c r="DTL316" s="34"/>
      <c r="DTM316" s="34"/>
      <c r="DTN316" s="34"/>
      <c r="DTO316" s="34"/>
      <c r="DTP316" s="34"/>
      <c r="DTQ316" s="34"/>
      <c r="DTR316" s="34"/>
      <c r="DTS316" s="34"/>
      <c r="DTT316" s="34"/>
      <c r="DTU316" s="34"/>
      <c r="DTV316" s="34"/>
      <c r="DTW316" s="34"/>
      <c r="DTX316" s="34"/>
      <c r="DTY316" s="34"/>
      <c r="DTZ316" s="34"/>
      <c r="DUA316" s="34"/>
      <c r="DUB316" s="34"/>
      <c r="DUC316" s="34"/>
      <c r="DUD316" s="34"/>
      <c r="DUE316" s="34"/>
      <c r="DUF316" s="34"/>
      <c r="DUG316" s="34"/>
      <c r="DUH316" s="34"/>
      <c r="DUI316" s="34"/>
      <c r="DUJ316" s="34"/>
      <c r="DUK316" s="34"/>
      <c r="DUL316" s="34"/>
      <c r="DUM316" s="34"/>
      <c r="DUN316" s="34"/>
      <c r="DUO316" s="34"/>
      <c r="DUP316" s="34"/>
      <c r="DUQ316" s="34"/>
      <c r="DUR316" s="34"/>
      <c r="DUS316" s="34"/>
      <c r="DUT316" s="34"/>
      <c r="DUU316" s="34"/>
      <c r="DUV316" s="34"/>
      <c r="DUW316" s="34"/>
      <c r="DUX316" s="34"/>
      <c r="DUY316" s="34"/>
      <c r="DUZ316" s="34"/>
      <c r="DVA316" s="34"/>
      <c r="DVB316" s="34"/>
      <c r="DVC316" s="34"/>
      <c r="DVD316" s="34"/>
      <c r="DVE316" s="34"/>
      <c r="DVF316" s="34"/>
      <c r="DVG316" s="34"/>
      <c r="DVH316" s="34"/>
      <c r="DVI316" s="34"/>
      <c r="DVJ316" s="34"/>
      <c r="DVK316" s="34"/>
      <c r="DVL316" s="34"/>
      <c r="DVM316" s="34"/>
      <c r="DVN316" s="34"/>
      <c r="DVO316" s="34"/>
      <c r="DVP316" s="34"/>
      <c r="DVQ316" s="34"/>
      <c r="DVR316" s="34"/>
      <c r="DVS316" s="34"/>
      <c r="DVT316" s="34"/>
      <c r="DVU316" s="34"/>
      <c r="DVV316" s="34"/>
      <c r="DVW316" s="34"/>
      <c r="DVX316" s="34"/>
      <c r="DVY316" s="34"/>
      <c r="DVZ316" s="34"/>
      <c r="DWA316" s="34"/>
      <c r="DWB316" s="34"/>
      <c r="DWC316" s="34"/>
      <c r="DWD316" s="34"/>
      <c r="DWE316" s="34"/>
      <c r="DWF316" s="34"/>
      <c r="DWG316" s="34"/>
      <c r="DWH316" s="34"/>
      <c r="DWI316" s="34"/>
      <c r="DWJ316" s="34"/>
      <c r="DWK316" s="34"/>
      <c r="DWL316" s="34"/>
      <c r="DWM316" s="34"/>
      <c r="DWN316" s="34"/>
      <c r="DWO316" s="34"/>
      <c r="DWP316" s="34"/>
      <c r="DWQ316" s="34"/>
      <c r="DWR316" s="34"/>
      <c r="DWS316" s="34"/>
      <c r="DWT316" s="34"/>
      <c r="DWU316" s="34"/>
      <c r="DWV316" s="34"/>
      <c r="DWW316" s="34"/>
      <c r="DWX316" s="34"/>
      <c r="DWY316" s="34"/>
      <c r="DWZ316" s="34"/>
      <c r="DXA316" s="34"/>
      <c r="DXB316" s="34"/>
      <c r="DXC316" s="34"/>
      <c r="DXD316" s="34"/>
      <c r="DXE316" s="34"/>
      <c r="DXF316" s="34"/>
      <c r="DXG316" s="34"/>
      <c r="DXH316" s="34"/>
      <c r="DXI316" s="34"/>
      <c r="DXJ316" s="34"/>
      <c r="DXK316" s="34"/>
      <c r="DXL316" s="34"/>
      <c r="DXM316" s="34"/>
      <c r="DXN316" s="34"/>
      <c r="DXO316" s="34"/>
      <c r="DXP316" s="34"/>
      <c r="DXQ316" s="34"/>
      <c r="DXR316" s="34"/>
      <c r="DXS316" s="34"/>
      <c r="DXT316" s="34"/>
      <c r="DXU316" s="34"/>
      <c r="DXV316" s="34"/>
      <c r="DXW316" s="34"/>
      <c r="DXX316" s="34"/>
      <c r="DXY316" s="34"/>
      <c r="DXZ316" s="34"/>
      <c r="DYA316" s="34"/>
      <c r="DYB316" s="34"/>
      <c r="DYC316" s="34"/>
      <c r="DYD316" s="34"/>
      <c r="DYE316" s="34"/>
      <c r="DYF316" s="34"/>
      <c r="DYG316" s="34"/>
      <c r="DYH316" s="34"/>
      <c r="DYI316" s="34"/>
      <c r="DYJ316" s="34"/>
      <c r="DYK316" s="34"/>
      <c r="DYL316" s="34"/>
      <c r="DYM316" s="34"/>
      <c r="DYN316" s="34"/>
      <c r="DYO316" s="34"/>
      <c r="DYP316" s="34"/>
      <c r="DYQ316" s="34"/>
      <c r="DYR316" s="34"/>
      <c r="DYS316" s="34"/>
      <c r="DYT316" s="34"/>
      <c r="DYU316" s="34"/>
      <c r="DYV316" s="34"/>
      <c r="DYW316" s="34"/>
      <c r="DYX316" s="34"/>
      <c r="DYY316" s="34"/>
      <c r="DYZ316" s="34"/>
      <c r="DZA316" s="34"/>
      <c r="DZB316" s="34"/>
      <c r="DZC316" s="34"/>
      <c r="DZD316" s="34"/>
      <c r="DZE316" s="34"/>
      <c r="DZF316" s="34"/>
      <c r="DZG316" s="34"/>
      <c r="DZH316" s="34"/>
      <c r="DZI316" s="34"/>
      <c r="DZJ316" s="34"/>
      <c r="DZK316" s="34"/>
      <c r="DZL316" s="34"/>
      <c r="DZM316" s="34"/>
      <c r="DZN316" s="34"/>
      <c r="DZO316" s="34"/>
      <c r="DZP316" s="34"/>
      <c r="DZQ316" s="34"/>
      <c r="DZR316" s="34"/>
      <c r="DZS316" s="34"/>
      <c r="DZT316" s="34"/>
      <c r="DZU316" s="34"/>
      <c r="DZV316" s="34"/>
      <c r="DZW316" s="34"/>
      <c r="DZX316" s="34"/>
      <c r="DZY316" s="34"/>
      <c r="DZZ316" s="34"/>
      <c r="EAA316" s="34"/>
      <c r="EAB316" s="34"/>
      <c r="EAC316" s="34"/>
      <c r="EAD316" s="34"/>
      <c r="EAE316" s="34"/>
      <c r="EAF316" s="34"/>
      <c r="EAG316" s="34"/>
      <c r="EAH316" s="34"/>
      <c r="EAI316" s="34"/>
      <c r="EAJ316" s="34"/>
      <c r="EAK316" s="34"/>
      <c r="EAL316" s="34"/>
      <c r="EAM316" s="34"/>
      <c r="EAN316" s="34"/>
      <c r="EAO316" s="34"/>
      <c r="EAP316" s="34"/>
      <c r="EAQ316" s="34"/>
      <c r="EAR316" s="34"/>
      <c r="EAS316" s="34"/>
      <c r="EAT316" s="34"/>
      <c r="EAU316" s="34"/>
      <c r="EAV316" s="34"/>
      <c r="EAW316" s="34"/>
      <c r="EAX316" s="34"/>
      <c r="EAY316" s="34"/>
      <c r="EAZ316" s="34"/>
      <c r="EBA316" s="34"/>
      <c r="EBB316" s="34"/>
      <c r="EBC316" s="34"/>
      <c r="EBD316" s="34"/>
      <c r="EBE316" s="34"/>
      <c r="EBF316" s="34"/>
      <c r="EBG316" s="34"/>
      <c r="EBH316" s="34"/>
      <c r="EBI316" s="34"/>
      <c r="EBJ316" s="34"/>
      <c r="EBK316" s="34"/>
      <c r="EBL316" s="34"/>
      <c r="EBM316" s="34"/>
      <c r="EBN316" s="34"/>
      <c r="EBO316" s="34"/>
      <c r="EBP316" s="34"/>
      <c r="EBQ316" s="34"/>
      <c r="EBR316" s="34"/>
      <c r="EBS316" s="34"/>
      <c r="EBT316" s="34"/>
      <c r="EBU316" s="34"/>
      <c r="EBV316" s="34"/>
      <c r="EBW316" s="34"/>
      <c r="EBX316" s="34"/>
      <c r="EBY316" s="34"/>
      <c r="EBZ316" s="34"/>
      <c r="ECA316" s="34"/>
      <c r="ECB316" s="34"/>
      <c r="ECC316" s="34"/>
      <c r="ECD316" s="34"/>
      <c r="ECE316" s="34"/>
      <c r="ECF316" s="34"/>
      <c r="ECG316" s="34"/>
      <c r="ECH316" s="34"/>
      <c r="ECI316" s="34"/>
      <c r="ECJ316" s="34"/>
      <c r="ECK316" s="34"/>
      <c r="ECL316" s="34"/>
      <c r="ECM316" s="34"/>
      <c r="ECN316" s="34"/>
      <c r="ECO316" s="34"/>
      <c r="ECP316" s="34"/>
      <c r="ECQ316" s="34"/>
      <c r="ECR316" s="34"/>
      <c r="ECS316" s="34"/>
      <c r="ECT316" s="34"/>
      <c r="ECU316" s="34"/>
      <c r="ECV316" s="34"/>
      <c r="ECW316" s="34"/>
      <c r="ECX316" s="34"/>
      <c r="ECY316" s="34"/>
      <c r="ECZ316" s="34"/>
      <c r="EDA316" s="34"/>
      <c r="EDB316" s="34"/>
      <c r="EDC316" s="34"/>
      <c r="EDD316" s="34"/>
      <c r="EDE316" s="34"/>
      <c r="EDF316" s="34"/>
      <c r="EDG316" s="34"/>
      <c r="EDH316" s="34"/>
      <c r="EDI316" s="34"/>
      <c r="EDJ316" s="34"/>
      <c r="EDK316" s="34"/>
      <c r="EDL316" s="34"/>
      <c r="EDM316" s="34"/>
      <c r="EDN316" s="34"/>
      <c r="EDO316" s="34"/>
      <c r="EDP316" s="34"/>
      <c r="EDQ316" s="34"/>
      <c r="EDR316" s="34"/>
      <c r="EDS316" s="34"/>
      <c r="EDT316" s="34"/>
      <c r="EDU316" s="34"/>
      <c r="EDV316" s="34"/>
      <c r="EDW316" s="34"/>
      <c r="EDX316" s="34"/>
      <c r="EDY316" s="34"/>
      <c r="EDZ316" s="34"/>
      <c r="EEA316" s="34"/>
      <c r="EEB316" s="34"/>
      <c r="EEC316" s="34"/>
      <c r="EED316" s="34"/>
      <c r="EEE316" s="34"/>
      <c r="EEF316" s="34"/>
      <c r="EEG316" s="34"/>
      <c r="EEH316" s="34"/>
      <c r="EEI316" s="34"/>
      <c r="EEJ316" s="34"/>
      <c r="EEK316" s="34"/>
      <c r="EEL316" s="34"/>
      <c r="EEM316" s="34"/>
      <c r="EEN316" s="34"/>
      <c r="EEO316" s="34"/>
      <c r="EEP316" s="34"/>
      <c r="EEQ316" s="34"/>
      <c r="EER316" s="34"/>
      <c r="EES316" s="34"/>
      <c r="EET316" s="34"/>
      <c r="EEU316" s="34"/>
      <c r="EEV316" s="34"/>
      <c r="EEW316" s="34"/>
      <c r="EEX316" s="34"/>
      <c r="EEY316" s="34"/>
      <c r="EEZ316" s="34"/>
      <c r="EFA316" s="34"/>
      <c r="EFB316" s="34"/>
      <c r="EFC316" s="34"/>
      <c r="EFD316" s="34"/>
      <c r="EFE316" s="34"/>
      <c r="EFF316" s="34"/>
      <c r="EFG316" s="34"/>
      <c r="EFH316" s="34"/>
      <c r="EFI316" s="34"/>
      <c r="EFJ316" s="34"/>
      <c r="EFK316" s="34"/>
      <c r="EFL316" s="34"/>
      <c r="EFM316" s="34"/>
      <c r="EFN316" s="34"/>
      <c r="EFO316" s="34"/>
      <c r="EFP316" s="34"/>
      <c r="EFQ316" s="34"/>
      <c r="EFR316" s="34"/>
      <c r="EFS316" s="34"/>
      <c r="EFT316" s="34"/>
      <c r="EFU316" s="34"/>
      <c r="EFV316" s="34"/>
      <c r="EFW316" s="34"/>
      <c r="EFX316" s="34"/>
      <c r="EFY316" s="34"/>
      <c r="EFZ316" s="34"/>
      <c r="EGA316" s="34"/>
      <c r="EGB316" s="34"/>
      <c r="EGC316" s="34"/>
      <c r="EGD316" s="34"/>
      <c r="EGE316" s="34"/>
      <c r="EGF316" s="34"/>
      <c r="EGG316" s="34"/>
      <c r="EGH316" s="34"/>
      <c r="EGI316" s="34"/>
      <c r="EGJ316" s="34"/>
      <c r="EGK316" s="34"/>
      <c r="EGL316" s="34"/>
      <c r="EGM316" s="34"/>
      <c r="EGN316" s="34"/>
      <c r="EGO316" s="34"/>
      <c r="EGP316" s="34"/>
      <c r="EGQ316" s="34"/>
      <c r="EGR316" s="34"/>
      <c r="EGS316" s="34"/>
      <c r="EGT316" s="34"/>
      <c r="EGU316" s="34"/>
      <c r="EGV316" s="34"/>
      <c r="EGW316" s="34"/>
      <c r="EGX316" s="34"/>
      <c r="EGY316" s="34"/>
      <c r="EGZ316" s="34"/>
      <c r="EHA316" s="34"/>
      <c r="EHB316" s="34"/>
      <c r="EHC316" s="34"/>
      <c r="EHD316" s="34"/>
      <c r="EHE316" s="34"/>
      <c r="EHF316" s="34"/>
      <c r="EHG316" s="34"/>
      <c r="EHH316" s="34"/>
      <c r="EHI316" s="34"/>
      <c r="EHJ316" s="34"/>
      <c r="EHK316" s="34"/>
      <c r="EHL316" s="34"/>
      <c r="EHM316" s="34"/>
      <c r="EHN316" s="34"/>
      <c r="EHO316" s="34"/>
      <c r="EHP316" s="34"/>
      <c r="EHQ316" s="34"/>
      <c r="EHR316" s="34"/>
      <c r="EHS316" s="34"/>
      <c r="EHT316" s="34"/>
      <c r="EHU316" s="34"/>
      <c r="EHV316" s="34"/>
      <c r="EHW316" s="34"/>
      <c r="EHX316" s="34"/>
      <c r="EHY316" s="34"/>
      <c r="EHZ316" s="34"/>
      <c r="EIA316" s="34"/>
      <c r="EIB316" s="34"/>
      <c r="EIC316" s="34"/>
      <c r="EID316" s="34"/>
      <c r="EIE316" s="34"/>
      <c r="EIF316" s="34"/>
      <c r="EIG316" s="34"/>
      <c r="EIH316" s="34"/>
      <c r="EII316" s="34"/>
      <c r="EIJ316" s="34"/>
      <c r="EIK316" s="34"/>
      <c r="EIL316" s="34"/>
      <c r="EIM316" s="34"/>
      <c r="EIN316" s="34"/>
      <c r="EIO316" s="34"/>
      <c r="EIP316" s="34"/>
      <c r="EIQ316" s="34"/>
      <c r="EIR316" s="34"/>
      <c r="EIS316" s="34"/>
      <c r="EIT316" s="34"/>
      <c r="EIU316" s="34"/>
      <c r="EIV316" s="34"/>
      <c r="EIW316" s="34"/>
      <c r="EIX316" s="34"/>
      <c r="EIY316" s="34"/>
      <c r="EIZ316" s="34"/>
      <c r="EJA316" s="34"/>
      <c r="EJB316" s="34"/>
      <c r="EJC316" s="34"/>
      <c r="EJD316" s="34"/>
      <c r="EJE316" s="34"/>
      <c r="EJF316" s="34"/>
      <c r="EJG316" s="34"/>
      <c r="EJH316" s="34"/>
      <c r="EJI316" s="34"/>
      <c r="EJJ316" s="34"/>
      <c r="EJK316" s="34"/>
      <c r="EJL316" s="34"/>
      <c r="EJM316" s="34"/>
      <c r="EJN316" s="34"/>
      <c r="EJO316" s="34"/>
      <c r="EJP316" s="34"/>
      <c r="EJQ316" s="34"/>
      <c r="EJR316" s="34"/>
      <c r="EJS316" s="34"/>
      <c r="EJT316" s="34"/>
      <c r="EJU316" s="34"/>
      <c r="EJV316" s="34"/>
      <c r="EJW316" s="34"/>
      <c r="EJX316" s="34"/>
      <c r="EJY316" s="34"/>
      <c r="EJZ316" s="34"/>
      <c r="EKA316" s="34"/>
      <c r="EKB316" s="34"/>
      <c r="EKC316" s="34"/>
      <c r="EKD316" s="34"/>
      <c r="EKE316" s="34"/>
      <c r="EKF316" s="34"/>
      <c r="EKG316" s="34"/>
      <c r="EKH316" s="34"/>
      <c r="EKI316" s="34"/>
      <c r="EKJ316" s="34"/>
      <c r="EKK316" s="34"/>
      <c r="EKL316" s="34"/>
      <c r="EKM316" s="34"/>
      <c r="EKN316" s="34"/>
      <c r="EKO316" s="34"/>
      <c r="EKP316" s="34"/>
      <c r="EKQ316" s="34"/>
      <c r="EKR316" s="34"/>
      <c r="EKS316" s="34"/>
      <c r="EKT316" s="34"/>
      <c r="EKU316" s="34"/>
      <c r="EKV316" s="34"/>
      <c r="EKW316" s="34"/>
      <c r="EKX316" s="34"/>
      <c r="EKY316" s="34"/>
      <c r="EKZ316" s="34"/>
      <c r="ELA316" s="34"/>
      <c r="ELB316" s="34"/>
      <c r="ELC316" s="34"/>
      <c r="ELD316" s="34"/>
      <c r="ELE316" s="34"/>
      <c r="ELF316" s="34"/>
      <c r="ELG316" s="34"/>
      <c r="ELH316" s="34"/>
      <c r="ELI316" s="34"/>
      <c r="ELJ316" s="34"/>
      <c r="ELK316" s="34"/>
      <c r="ELL316" s="34"/>
      <c r="ELM316" s="34"/>
      <c r="ELN316" s="34"/>
      <c r="ELO316" s="34"/>
      <c r="ELP316" s="34"/>
      <c r="ELQ316" s="34"/>
      <c r="ELR316" s="34"/>
      <c r="ELS316" s="34"/>
      <c r="ELT316" s="34"/>
      <c r="ELU316" s="34"/>
      <c r="ELV316" s="34"/>
      <c r="ELW316" s="34"/>
      <c r="ELX316" s="34"/>
      <c r="ELY316" s="34"/>
      <c r="ELZ316" s="34"/>
      <c r="EMA316" s="34"/>
      <c r="EMB316" s="34"/>
      <c r="EMC316" s="34"/>
      <c r="EMD316" s="34"/>
      <c r="EME316" s="34"/>
      <c r="EMF316" s="34"/>
      <c r="EMG316" s="34"/>
      <c r="EMH316" s="34"/>
      <c r="EMI316" s="34"/>
      <c r="EMJ316" s="34"/>
      <c r="EMK316" s="34"/>
      <c r="EML316" s="34"/>
      <c r="EMM316" s="34"/>
      <c r="EMN316" s="34"/>
      <c r="EMO316" s="34"/>
      <c r="EMP316" s="34"/>
      <c r="EMQ316" s="34"/>
      <c r="EMR316" s="34"/>
      <c r="EMS316" s="34"/>
      <c r="EMT316" s="34"/>
      <c r="EMU316" s="34"/>
      <c r="EMV316" s="34"/>
      <c r="EMW316" s="34"/>
      <c r="EMX316" s="34"/>
      <c r="EMY316" s="34"/>
      <c r="EMZ316" s="34"/>
      <c r="ENA316" s="34"/>
      <c r="ENB316" s="34"/>
      <c r="ENC316" s="34"/>
      <c r="END316" s="34"/>
      <c r="ENE316" s="34"/>
      <c r="ENF316" s="34"/>
      <c r="ENG316" s="34"/>
      <c r="ENH316" s="34"/>
      <c r="ENI316" s="34"/>
      <c r="ENJ316" s="34"/>
      <c r="ENK316" s="34"/>
      <c r="ENL316" s="34"/>
      <c r="ENM316" s="34"/>
      <c r="ENN316" s="34"/>
      <c r="ENO316" s="34"/>
      <c r="ENP316" s="34"/>
      <c r="ENQ316" s="34"/>
      <c r="ENR316" s="34"/>
      <c r="ENS316" s="34"/>
      <c r="ENT316" s="34"/>
      <c r="ENU316" s="34"/>
      <c r="ENV316" s="34"/>
      <c r="ENW316" s="34"/>
      <c r="ENX316" s="34"/>
      <c r="ENY316" s="34"/>
      <c r="ENZ316" s="34"/>
      <c r="EOA316" s="34"/>
      <c r="EOB316" s="34"/>
      <c r="EOC316" s="34"/>
      <c r="EOD316" s="34"/>
      <c r="EOE316" s="34"/>
      <c r="EOF316" s="34"/>
      <c r="EOG316" s="34"/>
      <c r="EOH316" s="34"/>
      <c r="EOI316" s="34"/>
      <c r="EOJ316" s="34"/>
      <c r="EOK316" s="34"/>
      <c r="EOL316" s="34"/>
      <c r="EOM316" s="34"/>
      <c r="EON316" s="34"/>
      <c r="EOO316" s="34"/>
      <c r="EOP316" s="34"/>
      <c r="EOQ316" s="34"/>
      <c r="EOR316" s="34"/>
      <c r="EOS316" s="34"/>
      <c r="EOT316" s="34"/>
      <c r="EOU316" s="34"/>
      <c r="EOV316" s="34"/>
      <c r="EOW316" s="34"/>
      <c r="EOX316" s="34"/>
      <c r="EOY316" s="34"/>
      <c r="EOZ316" s="34"/>
      <c r="EPA316" s="34"/>
      <c r="EPB316" s="34"/>
      <c r="EPC316" s="34"/>
      <c r="EPD316" s="34"/>
      <c r="EPE316" s="34"/>
      <c r="EPF316" s="34"/>
      <c r="EPG316" s="34"/>
      <c r="EPH316" s="34"/>
      <c r="EPI316" s="34"/>
      <c r="EPJ316" s="34"/>
      <c r="EPK316" s="34"/>
      <c r="EPL316" s="34"/>
      <c r="EPM316" s="34"/>
      <c r="EPN316" s="34"/>
      <c r="EPO316" s="34"/>
      <c r="EPP316" s="34"/>
      <c r="EPQ316" s="34"/>
      <c r="EPR316" s="34"/>
      <c r="EPS316" s="34"/>
      <c r="EPT316" s="34"/>
      <c r="EPU316" s="34"/>
      <c r="EPV316" s="34"/>
      <c r="EPW316" s="34"/>
      <c r="EPX316" s="34"/>
      <c r="EPY316" s="34"/>
      <c r="EPZ316" s="34"/>
      <c r="EQA316" s="34"/>
      <c r="EQB316" s="34"/>
      <c r="EQC316" s="34"/>
      <c r="EQD316" s="34"/>
      <c r="EQE316" s="34"/>
      <c r="EQF316" s="34"/>
      <c r="EQG316" s="34"/>
      <c r="EQH316" s="34"/>
      <c r="EQI316" s="34"/>
      <c r="EQJ316" s="34"/>
      <c r="EQK316" s="34"/>
      <c r="EQL316" s="34"/>
      <c r="EQM316" s="34"/>
      <c r="EQN316" s="34"/>
      <c r="EQO316" s="34"/>
      <c r="EQP316" s="34"/>
      <c r="EQQ316" s="34"/>
      <c r="EQR316" s="34"/>
      <c r="EQS316" s="34"/>
      <c r="EQT316" s="34"/>
      <c r="EQU316" s="34"/>
      <c r="EQV316" s="34"/>
      <c r="EQW316" s="34"/>
      <c r="EQX316" s="34"/>
      <c r="EQY316" s="34"/>
      <c r="EQZ316" s="34"/>
      <c r="ERA316" s="34"/>
      <c r="ERB316" s="34"/>
      <c r="ERC316" s="34"/>
      <c r="ERD316" s="34"/>
      <c r="ERE316" s="34"/>
      <c r="ERF316" s="34"/>
      <c r="ERG316" s="34"/>
      <c r="ERH316" s="34"/>
      <c r="ERI316" s="34"/>
      <c r="ERJ316" s="34"/>
      <c r="ERK316" s="34"/>
      <c r="ERL316" s="34"/>
      <c r="ERM316" s="34"/>
      <c r="ERN316" s="34"/>
      <c r="ERO316" s="34"/>
      <c r="ERP316" s="34"/>
      <c r="ERQ316" s="34"/>
      <c r="ERR316" s="34"/>
      <c r="ERS316" s="34"/>
      <c r="ERT316" s="34"/>
      <c r="ERU316" s="34"/>
      <c r="ERV316" s="34"/>
      <c r="ERW316" s="34"/>
      <c r="ERX316" s="34"/>
      <c r="ERY316" s="34"/>
      <c r="ERZ316" s="34"/>
      <c r="ESA316" s="34"/>
      <c r="ESB316" s="34"/>
      <c r="ESC316" s="34"/>
      <c r="ESD316" s="34"/>
      <c r="ESE316" s="34"/>
      <c r="ESF316" s="34"/>
      <c r="ESG316" s="34"/>
      <c r="ESH316" s="34"/>
      <c r="ESI316" s="34"/>
      <c r="ESJ316" s="34"/>
      <c r="ESK316" s="34"/>
      <c r="ESL316" s="34"/>
      <c r="ESM316" s="34"/>
      <c r="ESN316" s="34"/>
      <c r="ESO316" s="34"/>
      <c r="ESP316" s="34"/>
      <c r="ESQ316" s="34"/>
      <c r="ESR316" s="34"/>
      <c r="ESS316" s="34"/>
      <c r="EST316" s="34"/>
      <c r="ESU316" s="34"/>
      <c r="ESV316" s="34"/>
      <c r="ESW316" s="34"/>
      <c r="ESX316" s="34"/>
      <c r="ESY316" s="34"/>
      <c r="ESZ316" s="34"/>
      <c r="ETA316" s="34"/>
      <c r="ETB316" s="34"/>
      <c r="ETC316" s="34"/>
      <c r="ETD316" s="34"/>
      <c r="ETE316" s="34"/>
      <c r="ETF316" s="34"/>
      <c r="ETG316" s="34"/>
      <c r="ETH316" s="34"/>
      <c r="ETI316" s="34"/>
      <c r="ETJ316" s="34"/>
      <c r="ETK316" s="34"/>
      <c r="ETL316" s="34"/>
      <c r="ETM316" s="34"/>
      <c r="ETN316" s="34"/>
      <c r="ETO316" s="34"/>
      <c r="ETP316" s="34"/>
      <c r="ETQ316" s="34"/>
      <c r="ETR316" s="34"/>
      <c r="ETS316" s="34"/>
      <c r="ETT316" s="34"/>
      <c r="ETU316" s="34"/>
      <c r="ETV316" s="34"/>
      <c r="ETW316" s="34"/>
      <c r="ETX316" s="34"/>
      <c r="ETY316" s="34"/>
      <c r="ETZ316" s="34"/>
      <c r="EUA316" s="34"/>
      <c r="EUB316" s="34"/>
      <c r="EUC316" s="34"/>
      <c r="EUD316" s="34"/>
      <c r="EUE316" s="34"/>
      <c r="EUF316" s="34"/>
      <c r="EUG316" s="34"/>
      <c r="EUH316" s="34"/>
      <c r="EUI316" s="34"/>
      <c r="EUJ316" s="34"/>
      <c r="EUK316" s="34"/>
      <c r="EUL316" s="34"/>
      <c r="EUM316" s="34"/>
      <c r="EUN316" s="34"/>
      <c r="EUO316" s="34"/>
      <c r="EUP316" s="34"/>
      <c r="EUQ316" s="34"/>
      <c r="EUR316" s="34"/>
      <c r="EUS316" s="34"/>
      <c r="EUT316" s="34"/>
      <c r="EUU316" s="34"/>
      <c r="EUV316" s="34"/>
      <c r="EUW316" s="34"/>
      <c r="EUX316" s="34"/>
      <c r="EUY316" s="34"/>
      <c r="EUZ316" s="34"/>
      <c r="EVA316" s="34"/>
      <c r="EVB316" s="34"/>
      <c r="EVC316" s="34"/>
      <c r="EVD316" s="34"/>
      <c r="EVE316" s="34"/>
      <c r="EVF316" s="34"/>
      <c r="EVG316" s="34"/>
      <c r="EVH316" s="34"/>
      <c r="EVI316" s="34"/>
      <c r="EVJ316" s="34"/>
      <c r="EVK316" s="34"/>
      <c r="EVL316" s="34"/>
      <c r="EVM316" s="34"/>
      <c r="EVN316" s="34"/>
      <c r="EVO316" s="34"/>
      <c r="EVP316" s="34"/>
      <c r="EVQ316" s="34"/>
      <c r="EVR316" s="34"/>
      <c r="EVS316" s="34"/>
      <c r="EVT316" s="34"/>
      <c r="EVU316" s="34"/>
      <c r="EVV316" s="34"/>
      <c r="EVW316" s="34"/>
      <c r="EVX316" s="34"/>
      <c r="EVY316" s="34"/>
      <c r="EVZ316" s="34"/>
      <c r="EWA316" s="34"/>
      <c r="EWB316" s="34"/>
      <c r="EWC316" s="34"/>
      <c r="EWD316" s="34"/>
      <c r="EWE316" s="34"/>
      <c r="EWF316" s="34"/>
      <c r="EWG316" s="34"/>
      <c r="EWH316" s="34"/>
      <c r="EWI316" s="34"/>
      <c r="EWJ316" s="34"/>
      <c r="EWK316" s="34"/>
      <c r="EWL316" s="34"/>
      <c r="EWM316" s="34"/>
      <c r="EWN316" s="34"/>
      <c r="EWO316" s="34"/>
      <c r="EWP316" s="34"/>
      <c r="EWQ316" s="34"/>
      <c r="EWR316" s="34"/>
      <c r="EWS316" s="34"/>
      <c r="EWT316" s="34"/>
      <c r="EWU316" s="34"/>
      <c r="EWV316" s="34"/>
      <c r="EWW316" s="34"/>
      <c r="EWX316" s="34"/>
      <c r="EWY316" s="34"/>
      <c r="EWZ316" s="34"/>
      <c r="EXA316" s="34"/>
      <c r="EXB316" s="34"/>
      <c r="EXC316" s="34"/>
      <c r="EXD316" s="34"/>
      <c r="EXE316" s="34"/>
      <c r="EXF316" s="34"/>
      <c r="EXG316" s="34"/>
      <c r="EXH316" s="34"/>
      <c r="EXI316" s="34"/>
      <c r="EXJ316" s="34"/>
      <c r="EXK316" s="34"/>
      <c r="EXL316" s="34"/>
      <c r="EXM316" s="34"/>
      <c r="EXN316" s="34"/>
      <c r="EXO316" s="34"/>
      <c r="EXP316" s="34"/>
      <c r="EXQ316" s="34"/>
      <c r="EXR316" s="34"/>
      <c r="EXS316" s="34"/>
      <c r="EXT316" s="34"/>
      <c r="EXU316" s="34"/>
      <c r="EXV316" s="34"/>
      <c r="EXW316" s="34"/>
      <c r="EXX316" s="34"/>
      <c r="EXY316" s="34"/>
      <c r="EXZ316" s="34"/>
      <c r="EYA316" s="34"/>
      <c r="EYB316" s="34"/>
      <c r="EYC316" s="34"/>
      <c r="EYD316" s="34"/>
      <c r="EYE316" s="34"/>
      <c r="EYF316" s="34"/>
      <c r="EYG316" s="34"/>
      <c r="EYH316" s="34"/>
      <c r="EYI316" s="34"/>
      <c r="EYJ316" s="34"/>
      <c r="EYK316" s="34"/>
      <c r="EYL316" s="34"/>
      <c r="EYM316" s="34"/>
      <c r="EYN316" s="34"/>
      <c r="EYO316" s="34"/>
      <c r="EYP316" s="34"/>
      <c r="EYQ316" s="34"/>
      <c r="EYR316" s="34"/>
      <c r="EYS316" s="34"/>
      <c r="EYT316" s="34"/>
      <c r="EYU316" s="34"/>
      <c r="EYV316" s="34"/>
      <c r="EYW316" s="34"/>
      <c r="EYX316" s="34"/>
      <c r="EYY316" s="34"/>
      <c r="EYZ316" s="34"/>
      <c r="EZA316" s="34"/>
      <c r="EZB316" s="34"/>
      <c r="EZC316" s="34"/>
      <c r="EZD316" s="34"/>
      <c r="EZE316" s="34"/>
      <c r="EZF316" s="34"/>
      <c r="EZG316" s="34"/>
      <c r="EZH316" s="34"/>
      <c r="EZI316" s="34"/>
      <c r="EZJ316" s="34"/>
      <c r="EZK316" s="34"/>
      <c r="EZL316" s="34"/>
      <c r="EZM316" s="34"/>
      <c r="EZN316" s="34"/>
      <c r="EZO316" s="34"/>
      <c r="EZP316" s="34"/>
      <c r="EZQ316" s="34"/>
      <c r="EZR316" s="34"/>
      <c r="EZS316" s="34"/>
      <c r="EZT316" s="34"/>
      <c r="EZU316" s="34"/>
      <c r="EZV316" s="34"/>
      <c r="EZW316" s="34"/>
      <c r="EZX316" s="34"/>
      <c r="EZY316" s="34"/>
      <c r="EZZ316" s="34"/>
      <c r="FAA316" s="34"/>
      <c r="FAB316" s="34"/>
      <c r="FAC316" s="34"/>
      <c r="FAD316" s="34"/>
      <c r="FAE316" s="34"/>
      <c r="FAF316" s="34"/>
      <c r="FAG316" s="34"/>
      <c r="FAH316" s="34"/>
      <c r="FAI316" s="34"/>
      <c r="FAJ316" s="34"/>
      <c r="FAK316" s="34"/>
      <c r="FAL316" s="34"/>
      <c r="FAM316" s="34"/>
      <c r="FAN316" s="34"/>
      <c r="FAO316" s="34"/>
      <c r="FAP316" s="34"/>
      <c r="FAQ316" s="34"/>
      <c r="FAR316" s="34"/>
      <c r="FAS316" s="34"/>
      <c r="FAT316" s="34"/>
      <c r="FAU316" s="34"/>
      <c r="FAV316" s="34"/>
      <c r="FAW316" s="34"/>
      <c r="FAX316" s="34"/>
      <c r="FAY316" s="34"/>
      <c r="FAZ316" s="34"/>
      <c r="FBA316" s="34"/>
      <c r="FBB316" s="34"/>
      <c r="FBC316" s="34"/>
      <c r="FBD316" s="34"/>
      <c r="FBE316" s="34"/>
      <c r="FBF316" s="34"/>
      <c r="FBG316" s="34"/>
      <c r="FBH316" s="34"/>
      <c r="FBI316" s="34"/>
      <c r="FBJ316" s="34"/>
      <c r="FBK316" s="34"/>
      <c r="FBL316" s="34"/>
      <c r="FBM316" s="34"/>
      <c r="FBN316" s="34"/>
      <c r="FBO316" s="34"/>
      <c r="FBP316" s="34"/>
      <c r="FBQ316" s="34"/>
      <c r="FBR316" s="34"/>
      <c r="FBS316" s="34"/>
      <c r="FBT316" s="34"/>
      <c r="FBU316" s="34"/>
      <c r="FBV316" s="34"/>
      <c r="FBW316" s="34"/>
      <c r="FBX316" s="34"/>
      <c r="FBY316" s="34"/>
      <c r="FBZ316" s="34"/>
      <c r="FCA316" s="34"/>
      <c r="FCB316" s="34"/>
      <c r="FCC316" s="34"/>
      <c r="FCD316" s="34"/>
      <c r="FCE316" s="34"/>
      <c r="FCF316" s="34"/>
      <c r="FCG316" s="34"/>
      <c r="FCH316" s="34"/>
      <c r="FCI316" s="34"/>
      <c r="FCJ316" s="34"/>
      <c r="FCK316" s="34"/>
      <c r="FCL316" s="34"/>
      <c r="FCM316" s="34"/>
      <c r="FCN316" s="34"/>
      <c r="FCO316" s="34"/>
      <c r="FCP316" s="34"/>
      <c r="FCQ316" s="34"/>
      <c r="FCR316" s="34"/>
      <c r="FCS316" s="34"/>
      <c r="FCT316" s="34"/>
      <c r="FCU316" s="34"/>
      <c r="FCV316" s="34"/>
      <c r="FCW316" s="34"/>
      <c r="FCX316" s="34"/>
      <c r="FCY316" s="34"/>
      <c r="FCZ316" s="34"/>
      <c r="FDA316" s="34"/>
      <c r="FDB316" s="34"/>
      <c r="FDC316" s="34"/>
      <c r="FDD316" s="34"/>
      <c r="FDE316" s="34"/>
      <c r="FDF316" s="34"/>
      <c r="FDG316" s="34"/>
      <c r="FDH316" s="34"/>
      <c r="FDI316" s="34"/>
      <c r="FDJ316" s="34"/>
      <c r="FDK316" s="34"/>
      <c r="FDL316" s="34"/>
      <c r="FDM316" s="34"/>
      <c r="FDN316" s="34"/>
      <c r="FDO316" s="34"/>
      <c r="FDP316" s="34"/>
      <c r="FDQ316" s="34"/>
      <c r="FDR316" s="34"/>
      <c r="FDS316" s="34"/>
      <c r="FDT316" s="34"/>
      <c r="FDU316" s="34"/>
      <c r="FDV316" s="34"/>
      <c r="FDW316" s="34"/>
      <c r="FDX316" s="34"/>
      <c r="FDY316" s="34"/>
      <c r="FDZ316" s="34"/>
      <c r="FEA316" s="34"/>
      <c r="FEB316" s="34"/>
      <c r="FEC316" s="34"/>
      <c r="FED316" s="34"/>
      <c r="FEE316" s="34"/>
      <c r="FEF316" s="34"/>
      <c r="FEG316" s="34"/>
      <c r="FEH316" s="34"/>
      <c r="FEI316" s="34"/>
      <c r="FEJ316" s="34"/>
      <c r="FEK316" s="34"/>
      <c r="FEL316" s="34"/>
      <c r="FEM316" s="34"/>
      <c r="FEN316" s="34"/>
      <c r="FEO316" s="34"/>
      <c r="FEP316" s="34"/>
      <c r="FEQ316" s="34"/>
      <c r="FER316" s="34"/>
      <c r="FES316" s="34"/>
      <c r="FET316" s="34"/>
      <c r="FEU316" s="34"/>
      <c r="FEV316" s="34"/>
      <c r="FEW316" s="34"/>
      <c r="FEX316" s="34"/>
      <c r="FEY316" s="34"/>
      <c r="FEZ316" s="34"/>
      <c r="FFA316" s="34"/>
      <c r="FFB316" s="34"/>
      <c r="FFC316" s="34"/>
      <c r="FFD316" s="34"/>
      <c r="FFE316" s="34"/>
      <c r="FFF316" s="34"/>
      <c r="FFG316" s="34"/>
      <c r="FFH316" s="34"/>
      <c r="FFI316" s="34"/>
      <c r="FFJ316" s="34"/>
      <c r="FFK316" s="34"/>
      <c r="FFL316" s="34"/>
      <c r="FFM316" s="34"/>
      <c r="FFN316" s="34"/>
      <c r="FFO316" s="34"/>
      <c r="FFP316" s="34"/>
      <c r="FFQ316" s="34"/>
      <c r="FFR316" s="34"/>
      <c r="FFS316" s="34"/>
      <c r="FFT316" s="34"/>
      <c r="FFU316" s="34"/>
      <c r="FFV316" s="34"/>
      <c r="FFW316" s="34"/>
      <c r="FFX316" s="34"/>
      <c r="FFY316" s="34"/>
      <c r="FFZ316" s="34"/>
      <c r="FGA316" s="34"/>
      <c r="FGB316" s="34"/>
      <c r="FGC316" s="34"/>
      <c r="FGD316" s="34"/>
      <c r="FGE316" s="34"/>
      <c r="FGF316" s="34"/>
      <c r="FGG316" s="34"/>
      <c r="FGH316" s="34"/>
      <c r="FGI316" s="34"/>
      <c r="FGJ316" s="34"/>
      <c r="FGK316" s="34"/>
      <c r="FGL316" s="34"/>
      <c r="FGM316" s="34"/>
      <c r="FGN316" s="34"/>
      <c r="FGO316" s="34"/>
      <c r="FGP316" s="34"/>
      <c r="FGQ316" s="34"/>
      <c r="FGR316" s="34"/>
      <c r="FGS316" s="34"/>
      <c r="FGT316" s="34"/>
      <c r="FGU316" s="34"/>
      <c r="FGV316" s="34"/>
      <c r="FGW316" s="34"/>
      <c r="FGX316" s="34"/>
      <c r="FGY316" s="34"/>
      <c r="FGZ316" s="34"/>
      <c r="FHA316" s="34"/>
      <c r="FHB316" s="34"/>
      <c r="FHC316" s="34"/>
      <c r="FHD316" s="34"/>
      <c r="FHE316" s="34"/>
      <c r="FHF316" s="34"/>
      <c r="FHG316" s="34"/>
      <c r="FHH316" s="34"/>
      <c r="FHI316" s="34"/>
      <c r="FHJ316" s="34"/>
      <c r="FHK316" s="34"/>
      <c r="FHL316" s="34"/>
      <c r="FHM316" s="34"/>
      <c r="FHN316" s="34"/>
      <c r="FHO316" s="34"/>
      <c r="FHP316" s="34"/>
      <c r="FHQ316" s="34"/>
      <c r="FHR316" s="34"/>
      <c r="FHS316" s="34"/>
      <c r="FHT316" s="34"/>
      <c r="FHU316" s="34"/>
      <c r="FHV316" s="34"/>
      <c r="FHW316" s="34"/>
      <c r="FHX316" s="34"/>
      <c r="FHY316" s="34"/>
      <c r="FHZ316" s="34"/>
      <c r="FIA316" s="34"/>
      <c r="FIB316" s="34"/>
      <c r="FIC316" s="34"/>
      <c r="FID316" s="34"/>
      <c r="FIE316" s="34"/>
      <c r="FIF316" s="34"/>
      <c r="FIG316" s="34"/>
      <c r="FIH316" s="34"/>
      <c r="FII316" s="34"/>
      <c r="FIJ316" s="34"/>
      <c r="FIK316" s="34"/>
      <c r="FIL316" s="34"/>
      <c r="FIM316" s="34"/>
      <c r="FIN316" s="34"/>
      <c r="FIO316" s="34"/>
      <c r="FIP316" s="34"/>
      <c r="FIQ316" s="34"/>
      <c r="FIR316" s="34"/>
      <c r="FIS316" s="34"/>
      <c r="FIT316" s="34"/>
      <c r="FIU316" s="34"/>
      <c r="FIV316" s="34"/>
      <c r="FIW316" s="34"/>
      <c r="FIX316" s="34"/>
      <c r="FIY316" s="34"/>
      <c r="FIZ316" s="34"/>
      <c r="FJA316" s="34"/>
      <c r="FJB316" s="34"/>
      <c r="FJC316" s="34"/>
      <c r="FJD316" s="34"/>
      <c r="FJE316" s="34"/>
      <c r="FJF316" s="34"/>
      <c r="FJG316" s="34"/>
      <c r="FJH316" s="34"/>
      <c r="FJI316" s="34"/>
      <c r="FJJ316" s="34"/>
      <c r="FJK316" s="34"/>
      <c r="FJL316" s="34"/>
      <c r="FJM316" s="34"/>
      <c r="FJN316" s="34"/>
      <c r="FJO316" s="34"/>
      <c r="FJP316" s="34"/>
      <c r="FJQ316" s="34"/>
      <c r="FJR316" s="34"/>
      <c r="FJS316" s="34"/>
      <c r="FJT316" s="34"/>
      <c r="FJU316" s="34"/>
      <c r="FJV316" s="34"/>
      <c r="FJW316" s="34"/>
      <c r="FJX316" s="34"/>
      <c r="FJY316" s="34"/>
      <c r="FJZ316" s="34"/>
      <c r="FKA316" s="34"/>
      <c r="FKB316" s="34"/>
      <c r="FKC316" s="34"/>
      <c r="FKD316" s="34"/>
      <c r="FKE316" s="34"/>
      <c r="FKF316" s="34"/>
      <c r="FKG316" s="34"/>
      <c r="FKH316" s="34"/>
      <c r="FKI316" s="34"/>
      <c r="FKJ316" s="34"/>
      <c r="FKK316" s="34"/>
      <c r="FKL316" s="34"/>
      <c r="FKM316" s="34"/>
      <c r="FKN316" s="34"/>
      <c r="FKO316" s="34"/>
      <c r="FKP316" s="34"/>
      <c r="FKQ316" s="34"/>
      <c r="FKR316" s="34"/>
      <c r="FKS316" s="34"/>
      <c r="FKT316" s="34"/>
      <c r="FKU316" s="34"/>
      <c r="FKV316" s="34"/>
      <c r="FKW316" s="34"/>
      <c r="FKX316" s="34"/>
      <c r="FKY316" s="34"/>
      <c r="FKZ316" s="34"/>
      <c r="FLA316" s="34"/>
      <c r="FLB316" s="34"/>
      <c r="FLC316" s="34"/>
      <c r="FLD316" s="34"/>
      <c r="FLE316" s="34"/>
      <c r="FLF316" s="34"/>
      <c r="FLG316" s="34"/>
      <c r="FLH316" s="34"/>
      <c r="FLI316" s="34"/>
      <c r="FLJ316" s="34"/>
      <c r="FLK316" s="34"/>
      <c r="FLL316" s="34"/>
      <c r="FLM316" s="34"/>
      <c r="FLN316" s="34"/>
      <c r="FLO316" s="34"/>
      <c r="FLP316" s="34"/>
      <c r="FLQ316" s="34"/>
      <c r="FLR316" s="34"/>
      <c r="FLS316" s="34"/>
      <c r="FLT316" s="34"/>
      <c r="FLU316" s="34"/>
      <c r="FLV316" s="34"/>
      <c r="FLW316" s="34"/>
      <c r="FLX316" s="34"/>
      <c r="FLY316" s="34"/>
      <c r="FLZ316" s="34"/>
      <c r="FMA316" s="34"/>
      <c r="FMB316" s="34"/>
      <c r="FMC316" s="34"/>
      <c r="FMD316" s="34"/>
      <c r="FME316" s="34"/>
      <c r="FMF316" s="34"/>
      <c r="FMG316" s="34"/>
      <c r="FMH316" s="34"/>
      <c r="FMI316" s="34"/>
      <c r="FMJ316" s="34"/>
      <c r="FMK316" s="34"/>
      <c r="FML316" s="34"/>
      <c r="FMM316" s="34"/>
      <c r="FMN316" s="34"/>
      <c r="FMO316" s="34"/>
      <c r="FMP316" s="34"/>
      <c r="FMQ316" s="34"/>
      <c r="FMR316" s="34"/>
      <c r="FMS316" s="34"/>
      <c r="FMT316" s="34"/>
      <c r="FMU316" s="34"/>
      <c r="FMV316" s="34"/>
      <c r="FMW316" s="34"/>
      <c r="FMX316" s="34"/>
      <c r="FMY316" s="34"/>
      <c r="FMZ316" s="34"/>
      <c r="FNA316" s="34"/>
      <c r="FNB316" s="34"/>
      <c r="FNC316" s="34"/>
      <c r="FND316" s="34"/>
      <c r="FNE316" s="34"/>
      <c r="FNF316" s="34"/>
      <c r="FNG316" s="34"/>
      <c r="FNH316" s="34"/>
      <c r="FNI316" s="34"/>
      <c r="FNJ316" s="34"/>
      <c r="FNK316" s="34"/>
      <c r="FNL316" s="34"/>
      <c r="FNM316" s="34"/>
      <c r="FNN316" s="34"/>
      <c r="FNO316" s="34"/>
      <c r="FNP316" s="34"/>
      <c r="FNQ316" s="34"/>
      <c r="FNR316" s="34"/>
      <c r="FNS316" s="34"/>
      <c r="FNT316" s="34"/>
      <c r="FNU316" s="34"/>
      <c r="FNV316" s="34"/>
      <c r="FNW316" s="34"/>
      <c r="FNX316" s="34"/>
      <c r="FNY316" s="34"/>
      <c r="FNZ316" s="34"/>
      <c r="FOA316" s="34"/>
      <c r="FOB316" s="34"/>
      <c r="FOC316" s="34"/>
      <c r="FOD316" s="34"/>
      <c r="FOE316" s="34"/>
      <c r="FOF316" s="34"/>
      <c r="FOG316" s="34"/>
      <c r="FOH316" s="34"/>
      <c r="FOI316" s="34"/>
      <c r="FOJ316" s="34"/>
      <c r="FOK316" s="34"/>
      <c r="FOL316" s="34"/>
      <c r="FOM316" s="34"/>
      <c r="FON316" s="34"/>
      <c r="FOO316" s="34"/>
      <c r="FOP316" s="34"/>
      <c r="FOQ316" s="34"/>
      <c r="FOR316" s="34"/>
      <c r="FOS316" s="34"/>
      <c r="FOT316" s="34"/>
      <c r="FOU316" s="34"/>
      <c r="FOV316" s="34"/>
      <c r="FOW316" s="34"/>
      <c r="FOX316" s="34"/>
      <c r="FOY316" s="34"/>
      <c r="FOZ316" s="34"/>
      <c r="FPA316" s="34"/>
      <c r="FPB316" s="34"/>
      <c r="FPC316" s="34"/>
      <c r="FPD316" s="34"/>
      <c r="FPE316" s="34"/>
      <c r="FPF316" s="34"/>
      <c r="FPG316" s="34"/>
      <c r="FPH316" s="34"/>
      <c r="FPI316" s="34"/>
      <c r="FPJ316" s="34"/>
      <c r="FPK316" s="34"/>
      <c r="FPL316" s="34"/>
      <c r="FPM316" s="34"/>
      <c r="FPN316" s="34"/>
      <c r="FPO316" s="34"/>
      <c r="FPP316" s="34"/>
      <c r="FPQ316" s="34"/>
      <c r="FPR316" s="34"/>
      <c r="FPS316" s="34"/>
      <c r="FPT316" s="34"/>
      <c r="FPU316" s="34"/>
      <c r="FPV316" s="34"/>
      <c r="FPW316" s="34"/>
      <c r="FPX316" s="34"/>
      <c r="FPY316" s="34"/>
      <c r="FPZ316" s="34"/>
      <c r="FQA316" s="34"/>
      <c r="FQB316" s="34"/>
      <c r="FQC316" s="34"/>
      <c r="FQD316" s="34"/>
      <c r="FQE316" s="34"/>
      <c r="FQF316" s="34"/>
      <c r="FQG316" s="34"/>
      <c r="FQH316" s="34"/>
      <c r="FQI316" s="34"/>
      <c r="FQJ316" s="34"/>
      <c r="FQK316" s="34"/>
      <c r="FQL316" s="34"/>
      <c r="FQM316" s="34"/>
      <c r="FQN316" s="34"/>
      <c r="FQO316" s="34"/>
      <c r="FQP316" s="34"/>
      <c r="FQQ316" s="34"/>
      <c r="FQR316" s="34"/>
      <c r="FQS316" s="34"/>
      <c r="FQT316" s="34"/>
      <c r="FQU316" s="34"/>
      <c r="FQV316" s="34"/>
      <c r="FQW316" s="34"/>
      <c r="FQX316" s="34"/>
      <c r="FQY316" s="34"/>
      <c r="FQZ316" s="34"/>
      <c r="FRA316" s="34"/>
      <c r="FRB316" s="34"/>
      <c r="FRC316" s="34"/>
      <c r="FRD316" s="34"/>
      <c r="FRE316" s="34"/>
      <c r="FRF316" s="34"/>
      <c r="FRG316" s="34"/>
      <c r="FRH316" s="34"/>
      <c r="FRI316" s="34"/>
      <c r="FRJ316" s="34"/>
      <c r="FRK316" s="34"/>
      <c r="FRL316" s="34"/>
      <c r="FRM316" s="34"/>
      <c r="FRN316" s="34"/>
      <c r="FRO316" s="34"/>
      <c r="FRP316" s="34"/>
      <c r="FRQ316" s="34"/>
      <c r="FRR316" s="34"/>
      <c r="FRS316" s="34"/>
      <c r="FRT316" s="34"/>
      <c r="FRU316" s="34"/>
      <c r="FRV316" s="34"/>
      <c r="FRW316" s="34"/>
      <c r="FRX316" s="34"/>
      <c r="FRY316" s="34"/>
      <c r="FRZ316" s="34"/>
      <c r="FSA316" s="34"/>
      <c r="FSB316" s="34"/>
      <c r="FSC316" s="34"/>
      <c r="FSD316" s="34"/>
      <c r="FSE316" s="34"/>
      <c r="FSF316" s="34"/>
      <c r="FSG316" s="34"/>
      <c r="FSH316" s="34"/>
      <c r="FSI316" s="34"/>
      <c r="FSJ316" s="34"/>
      <c r="FSK316" s="34"/>
      <c r="FSL316" s="34"/>
      <c r="FSM316" s="34"/>
      <c r="FSN316" s="34"/>
      <c r="FSO316" s="34"/>
      <c r="FSP316" s="34"/>
      <c r="FSQ316" s="34"/>
      <c r="FSR316" s="34"/>
      <c r="FSS316" s="34"/>
      <c r="FST316" s="34"/>
      <c r="FSU316" s="34"/>
      <c r="FSV316" s="34"/>
      <c r="FSW316" s="34"/>
      <c r="FSX316" s="34"/>
      <c r="FSY316" s="34"/>
      <c r="FSZ316" s="34"/>
      <c r="FTA316" s="34"/>
      <c r="FTB316" s="34"/>
      <c r="FTC316" s="34"/>
      <c r="FTD316" s="34"/>
      <c r="FTE316" s="34"/>
      <c r="FTF316" s="34"/>
      <c r="FTG316" s="34"/>
      <c r="FTH316" s="34"/>
      <c r="FTI316" s="34"/>
      <c r="FTJ316" s="34"/>
      <c r="FTK316" s="34"/>
      <c r="FTL316" s="34"/>
      <c r="FTM316" s="34"/>
      <c r="FTN316" s="34"/>
      <c r="FTO316" s="34"/>
      <c r="FTP316" s="34"/>
      <c r="FTQ316" s="34"/>
      <c r="FTR316" s="34"/>
      <c r="FTS316" s="34"/>
      <c r="FTT316" s="34"/>
      <c r="FTU316" s="34"/>
      <c r="FTV316" s="34"/>
      <c r="FTW316" s="34"/>
      <c r="FTX316" s="34"/>
      <c r="FTY316" s="34"/>
      <c r="FTZ316" s="34"/>
      <c r="FUA316" s="34"/>
      <c r="FUB316" s="34"/>
      <c r="FUC316" s="34"/>
      <c r="FUD316" s="34"/>
      <c r="FUE316" s="34"/>
      <c r="FUF316" s="34"/>
      <c r="FUG316" s="34"/>
      <c r="FUH316" s="34"/>
      <c r="FUI316" s="34"/>
      <c r="FUJ316" s="34"/>
      <c r="FUK316" s="34"/>
      <c r="FUL316" s="34"/>
      <c r="FUM316" s="34"/>
      <c r="FUN316" s="34"/>
      <c r="FUO316" s="34"/>
      <c r="FUP316" s="34"/>
      <c r="FUQ316" s="34"/>
      <c r="FUR316" s="34"/>
      <c r="FUS316" s="34"/>
      <c r="FUT316" s="34"/>
      <c r="FUU316" s="34"/>
      <c r="FUV316" s="34"/>
      <c r="FUW316" s="34"/>
      <c r="FUX316" s="34"/>
      <c r="FUY316" s="34"/>
      <c r="FUZ316" s="34"/>
      <c r="FVA316" s="34"/>
      <c r="FVB316" s="34"/>
      <c r="FVC316" s="34"/>
      <c r="FVD316" s="34"/>
      <c r="FVE316" s="34"/>
      <c r="FVF316" s="34"/>
      <c r="FVG316" s="34"/>
      <c r="FVH316" s="34"/>
      <c r="FVI316" s="34"/>
      <c r="FVJ316" s="34"/>
      <c r="FVK316" s="34"/>
      <c r="FVL316" s="34"/>
      <c r="FVM316" s="34"/>
      <c r="FVN316" s="34"/>
      <c r="FVO316" s="34"/>
      <c r="FVP316" s="34"/>
      <c r="FVQ316" s="34"/>
      <c r="FVR316" s="34"/>
      <c r="FVS316" s="34"/>
      <c r="FVT316" s="34"/>
      <c r="FVU316" s="34"/>
      <c r="FVV316" s="34"/>
      <c r="FVW316" s="34"/>
      <c r="FVX316" s="34"/>
      <c r="FVY316" s="34"/>
      <c r="FVZ316" s="34"/>
      <c r="FWA316" s="34"/>
      <c r="FWB316" s="34"/>
      <c r="FWC316" s="34"/>
      <c r="FWD316" s="34"/>
      <c r="FWE316" s="34"/>
      <c r="FWF316" s="34"/>
      <c r="FWG316" s="34"/>
      <c r="FWH316" s="34"/>
      <c r="FWI316" s="34"/>
      <c r="FWJ316" s="34"/>
      <c r="FWK316" s="34"/>
      <c r="FWL316" s="34"/>
      <c r="FWM316" s="34"/>
      <c r="FWN316" s="34"/>
      <c r="FWO316" s="34"/>
      <c r="FWP316" s="34"/>
      <c r="FWQ316" s="34"/>
      <c r="FWR316" s="34"/>
      <c r="FWS316" s="34"/>
      <c r="FWT316" s="34"/>
      <c r="FWU316" s="34"/>
      <c r="FWV316" s="34"/>
      <c r="FWW316" s="34"/>
      <c r="FWX316" s="34"/>
      <c r="FWY316" s="34"/>
      <c r="FWZ316" s="34"/>
      <c r="FXA316" s="34"/>
      <c r="FXB316" s="34"/>
      <c r="FXC316" s="34"/>
      <c r="FXD316" s="34"/>
      <c r="FXE316" s="34"/>
      <c r="FXF316" s="34"/>
      <c r="FXG316" s="34"/>
      <c r="FXH316" s="34"/>
      <c r="FXI316" s="34"/>
      <c r="FXJ316" s="34"/>
      <c r="FXK316" s="34"/>
      <c r="FXL316" s="34"/>
      <c r="FXM316" s="34"/>
      <c r="FXN316" s="34"/>
      <c r="FXO316" s="34"/>
      <c r="FXP316" s="34"/>
      <c r="FXQ316" s="34"/>
      <c r="FXR316" s="34"/>
      <c r="FXS316" s="34"/>
      <c r="FXT316" s="34"/>
      <c r="FXU316" s="34"/>
      <c r="FXV316" s="34"/>
      <c r="FXW316" s="34"/>
      <c r="FXX316" s="34"/>
      <c r="FXY316" s="34"/>
      <c r="FXZ316" s="34"/>
      <c r="FYA316" s="34"/>
      <c r="FYB316" s="34"/>
      <c r="FYC316" s="34"/>
      <c r="FYD316" s="34"/>
      <c r="FYE316" s="34"/>
      <c r="FYF316" s="34"/>
      <c r="FYG316" s="34"/>
      <c r="FYH316" s="34"/>
      <c r="FYI316" s="34"/>
      <c r="FYJ316" s="34"/>
      <c r="FYK316" s="34"/>
      <c r="FYL316" s="34"/>
      <c r="FYM316" s="34"/>
      <c r="FYN316" s="34"/>
      <c r="FYO316" s="34"/>
      <c r="FYP316" s="34"/>
      <c r="FYQ316" s="34"/>
      <c r="FYR316" s="34"/>
      <c r="FYS316" s="34"/>
      <c r="FYT316" s="34"/>
      <c r="FYU316" s="34"/>
      <c r="FYV316" s="34"/>
      <c r="FYW316" s="34"/>
      <c r="FYX316" s="34"/>
      <c r="FYY316" s="34"/>
      <c r="FYZ316" s="34"/>
      <c r="FZA316" s="34"/>
      <c r="FZB316" s="34"/>
      <c r="FZC316" s="34"/>
      <c r="FZD316" s="34"/>
      <c r="FZE316" s="34"/>
      <c r="FZF316" s="34"/>
      <c r="FZG316" s="34"/>
      <c r="FZH316" s="34"/>
      <c r="FZI316" s="34"/>
      <c r="FZJ316" s="34"/>
      <c r="FZK316" s="34"/>
      <c r="FZL316" s="34"/>
      <c r="FZM316" s="34"/>
      <c r="FZN316" s="34"/>
      <c r="FZO316" s="34"/>
      <c r="FZP316" s="34"/>
      <c r="FZQ316" s="34"/>
      <c r="FZR316" s="34"/>
      <c r="FZS316" s="34"/>
      <c r="FZT316" s="34"/>
      <c r="FZU316" s="34"/>
      <c r="FZV316" s="34"/>
      <c r="FZW316" s="34"/>
      <c r="FZX316" s="34"/>
      <c r="FZY316" s="34"/>
      <c r="FZZ316" s="34"/>
      <c r="GAA316" s="34"/>
      <c r="GAB316" s="34"/>
      <c r="GAC316" s="34"/>
      <c r="GAD316" s="34"/>
      <c r="GAE316" s="34"/>
      <c r="GAF316" s="34"/>
      <c r="GAG316" s="34"/>
      <c r="GAH316" s="34"/>
      <c r="GAI316" s="34"/>
      <c r="GAJ316" s="34"/>
      <c r="GAK316" s="34"/>
      <c r="GAL316" s="34"/>
      <c r="GAM316" s="34"/>
      <c r="GAN316" s="34"/>
      <c r="GAO316" s="34"/>
      <c r="GAP316" s="34"/>
      <c r="GAQ316" s="34"/>
      <c r="GAR316" s="34"/>
      <c r="GAS316" s="34"/>
      <c r="GAT316" s="34"/>
      <c r="GAU316" s="34"/>
      <c r="GAV316" s="34"/>
      <c r="GAW316" s="34"/>
      <c r="GAX316" s="34"/>
      <c r="GAY316" s="34"/>
      <c r="GAZ316" s="34"/>
      <c r="GBA316" s="34"/>
      <c r="GBB316" s="34"/>
      <c r="GBC316" s="34"/>
      <c r="GBD316" s="34"/>
      <c r="GBE316" s="34"/>
      <c r="GBF316" s="34"/>
      <c r="GBG316" s="34"/>
      <c r="GBH316" s="34"/>
      <c r="GBI316" s="34"/>
      <c r="GBJ316" s="34"/>
      <c r="GBK316" s="34"/>
      <c r="GBL316" s="34"/>
      <c r="GBM316" s="34"/>
      <c r="GBN316" s="34"/>
      <c r="GBO316" s="34"/>
      <c r="GBP316" s="34"/>
      <c r="GBQ316" s="34"/>
      <c r="GBR316" s="34"/>
      <c r="GBS316" s="34"/>
      <c r="GBT316" s="34"/>
      <c r="GBU316" s="34"/>
      <c r="GBV316" s="34"/>
      <c r="GBW316" s="34"/>
      <c r="GBX316" s="34"/>
      <c r="GBY316" s="34"/>
      <c r="GBZ316" s="34"/>
      <c r="GCA316" s="34"/>
      <c r="GCB316" s="34"/>
      <c r="GCC316" s="34"/>
      <c r="GCD316" s="34"/>
      <c r="GCE316" s="34"/>
      <c r="GCF316" s="34"/>
      <c r="GCG316" s="34"/>
      <c r="GCH316" s="34"/>
      <c r="GCI316" s="34"/>
      <c r="GCJ316" s="34"/>
      <c r="GCK316" s="34"/>
      <c r="GCL316" s="34"/>
      <c r="GCM316" s="34"/>
      <c r="GCN316" s="34"/>
      <c r="GCO316" s="34"/>
      <c r="GCP316" s="34"/>
      <c r="GCQ316" s="34"/>
      <c r="GCR316" s="34"/>
      <c r="GCS316" s="34"/>
      <c r="GCT316" s="34"/>
      <c r="GCU316" s="34"/>
      <c r="GCV316" s="34"/>
      <c r="GCW316" s="34"/>
      <c r="GCX316" s="34"/>
      <c r="GCY316" s="34"/>
      <c r="GCZ316" s="34"/>
      <c r="GDA316" s="34"/>
      <c r="GDB316" s="34"/>
      <c r="GDC316" s="34"/>
      <c r="GDD316" s="34"/>
      <c r="GDE316" s="34"/>
      <c r="GDF316" s="34"/>
      <c r="GDG316" s="34"/>
      <c r="GDH316" s="34"/>
      <c r="GDI316" s="34"/>
      <c r="GDJ316" s="34"/>
      <c r="GDK316" s="34"/>
      <c r="GDL316" s="34"/>
      <c r="GDM316" s="34"/>
      <c r="GDN316" s="34"/>
      <c r="GDO316" s="34"/>
      <c r="GDP316" s="34"/>
      <c r="GDQ316" s="34"/>
      <c r="GDR316" s="34"/>
      <c r="GDS316" s="34"/>
      <c r="GDT316" s="34"/>
      <c r="GDU316" s="34"/>
      <c r="GDV316" s="34"/>
      <c r="GDW316" s="34"/>
      <c r="GDX316" s="34"/>
      <c r="GDY316" s="34"/>
      <c r="GDZ316" s="34"/>
      <c r="GEA316" s="34"/>
      <c r="GEB316" s="34"/>
      <c r="GEC316" s="34"/>
      <c r="GED316" s="34"/>
      <c r="GEE316" s="34"/>
      <c r="GEF316" s="34"/>
      <c r="GEG316" s="34"/>
      <c r="GEH316" s="34"/>
      <c r="GEI316" s="34"/>
      <c r="GEJ316" s="34"/>
      <c r="GEK316" s="34"/>
      <c r="GEL316" s="34"/>
      <c r="GEM316" s="34"/>
      <c r="GEN316" s="34"/>
      <c r="GEO316" s="34"/>
      <c r="GEP316" s="34"/>
      <c r="GEQ316" s="34"/>
      <c r="GER316" s="34"/>
      <c r="GES316" s="34"/>
      <c r="GET316" s="34"/>
      <c r="GEU316" s="34"/>
      <c r="GEV316" s="34"/>
      <c r="GEW316" s="34"/>
      <c r="GEX316" s="34"/>
      <c r="GEY316" s="34"/>
      <c r="GEZ316" s="34"/>
      <c r="GFA316" s="34"/>
      <c r="GFB316" s="34"/>
      <c r="GFC316" s="34"/>
      <c r="GFD316" s="34"/>
      <c r="GFE316" s="34"/>
      <c r="GFF316" s="34"/>
      <c r="GFG316" s="34"/>
      <c r="GFH316" s="34"/>
      <c r="GFI316" s="34"/>
      <c r="GFJ316" s="34"/>
      <c r="GFK316" s="34"/>
      <c r="GFL316" s="34"/>
      <c r="GFM316" s="34"/>
      <c r="GFN316" s="34"/>
      <c r="GFO316" s="34"/>
      <c r="GFP316" s="34"/>
      <c r="GFQ316" s="34"/>
      <c r="GFR316" s="34"/>
      <c r="GFS316" s="34"/>
      <c r="GFT316" s="34"/>
      <c r="GFU316" s="34"/>
      <c r="GFV316" s="34"/>
      <c r="GFW316" s="34"/>
      <c r="GFX316" s="34"/>
      <c r="GFY316" s="34"/>
      <c r="GFZ316" s="34"/>
      <c r="GGA316" s="34"/>
      <c r="GGB316" s="34"/>
      <c r="GGC316" s="34"/>
      <c r="GGD316" s="34"/>
      <c r="GGE316" s="34"/>
      <c r="GGF316" s="34"/>
      <c r="GGG316" s="34"/>
      <c r="GGH316" s="34"/>
      <c r="GGI316" s="34"/>
      <c r="GGJ316" s="34"/>
      <c r="GGK316" s="34"/>
      <c r="GGL316" s="34"/>
      <c r="GGM316" s="34"/>
      <c r="GGN316" s="34"/>
      <c r="GGO316" s="34"/>
      <c r="GGP316" s="34"/>
      <c r="GGQ316" s="34"/>
      <c r="GGR316" s="34"/>
      <c r="GGS316" s="34"/>
      <c r="GGT316" s="34"/>
      <c r="GGU316" s="34"/>
      <c r="GGV316" s="34"/>
      <c r="GGW316" s="34"/>
      <c r="GGX316" s="34"/>
      <c r="GGY316" s="34"/>
      <c r="GGZ316" s="34"/>
      <c r="GHA316" s="34"/>
      <c r="GHB316" s="34"/>
      <c r="GHC316" s="34"/>
      <c r="GHD316" s="34"/>
      <c r="GHE316" s="34"/>
      <c r="GHF316" s="34"/>
      <c r="GHG316" s="34"/>
      <c r="GHH316" s="34"/>
      <c r="GHI316" s="34"/>
      <c r="GHJ316" s="34"/>
      <c r="GHK316" s="34"/>
      <c r="GHL316" s="34"/>
      <c r="GHM316" s="34"/>
      <c r="GHN316" s="34"/>
      <c r="GHO316" s="34"/>
      <c r="GHP316" s="34"/>
      <c r="GHQ316" s="34"/>
      <c r="GHR316" s="34"/>
      <c r="GHS316" s="34"/>
      <c r="GHT316" s="34"/>
      <c r="GHU316" s="34"/>
      <c r="GHV316" s="34"/>
      <c r="GHW316" s="34"/>
      <c r="GHX316" s="34"/>
      <c r="GHY316" s="34"/>
      <c r="GHZ316" s="34"/>
      <c r="GIA316" s="34"/>
      <c r="GIB316" s="34"/>
      <c r="GIC316" s="34"/>
      <c r="GID316" s="34"/>
      <c r="GIE316" s="34"/>
      <c r="GIF316" s="34"/>
      <c r="GIG316" s="34"/>
      <c r="GIH316" s="34"/>
      <c r="GII316" s="34"/>
      <c r="GIJ316" s="34"/>
      <c r="GIK316" s="34"/>
      <c r="GIL316" s="34"/>
      <c r="GIM316" s="34"/>
      <c r="GIN316" s="34"/>
      <c r="GIO316" s="34"/>
      <c r="GIP316" s="34"/>
      <c r="GIQ316" s="34"/>
      <c r="GIR316" s="34"/>
      <c r="GIS316" s="34"/>
      <c r="GIT316" s="34"/>
      <c r="GIU316" s="34"/>
      <c r="GIV316" s="34"/>
      <c r="GIW316" s="34"/>
      <c r="GIX316" s="34"/>
      <c r="GIY316" s="34"/>
      <c r="GIZ316" s="34"/>
      <c r="GJA316" s="34"/>
      <c r="GJB316" s="34"/>
      <c r="GJC316" s="34"/>
      <c r="GJD316" s="34"/>
      <c r="GJE316" s="34"/>
      <c r="GJF316" s="34"/>
      <c r="GJG316" s="34"/>
      <c r="GJH316" s="34"/>
      <c r="GJI316" s="34"/>
      <c r="GJJ316" s="34"/>
      <c r="GJK316" s="34"/>
      <c r="GJL316" s="34"/>
      <c r="GJM316" s="34"/>
      <c r="GJN316" s="34"/>
      <c r="GJO316" s="34"/>
      <c r="GJP316" s="34"/>
      <c r="GJQ316" s="34"/>
      <c r="GJR316" s="34"/>
      <c r="GJS316" s="34"/>
      <c r="GJT316" s="34"/>
      <c r="GJU316" s="34"/>
      <c r="GJV316" s="34"/>
      <c r="GJW316" s="34"/>
      <c r="GJX316" s="34"/>
      <c r="GJY316" s="34"/>
      <c r="GJZ316" s="34"/>
      <c r="GKA316" s="34"/>
      <c r="GKB316" s="34"/>
      <c r="GKC316" s="34"/>
      <c r="GKD316" s="34"/>
      <c r="GKE316" s="34"/>
      <c r="GKF316" s="34"/>
      <c r="GKG316" s="34"/>
      <c r="GKH316" s="34"/>
      <c r="GKI316" s="34"/>
      <c r="GKJ316" s="34"/>
      <c r="GKK316" s="34"/>
      <c r="GKL316" s="34"/>
      <c r="GKM316" s="34"/>
      <c r="GKN316" s="34"/>
      <c r="GKO316" s="34"/>
      <c r="GKP316" s="34"/>
      <c r="GKQ316" s="34"/>
      <c r="GKR316" s="34"/>
      <c r="GKS316" s="34"/>
      <c r="GKT316" s="34"/>
      <c r="GKU316" s="34"/>
      <c r="GKV316" s="34"/>
      <c r="GKW316" s="34"/>
      <c r="GKX316" s="34"/>
      <c r="GKY316" s="34"/>
      <c r="GKZ316" s="34"/>
      <c r="GLA316" s="34"/>
      <c r="GLB316" s="34"/>
      <c r="GLC316" s="34"/>
      <c r="GLD316" s="34"/>
      <c r="GLE316" s="34"/>
      <c r="GLF316" s="34"/>
      <c r="GLG316" s="34"/>
      <c r="GLH316" s="34"/>
      <c r="GLI316" s="34"/>
      <c r="GLJ316" s="34"/>
      <c r="GLK316" s="34"/>
      <c r="GLL316" s="34"/>
      <c r="GLM316" s="34"/>
      <c r="GLN316" s="34"/>
      <c r="GLO316" s="34"/>
      <c r="GLP316" s="34"/>
      <c r="GLQ316" s="34"/>
      <c r="GLR316" s="34"/>
      <c r="GLS316" s="34"/>
      <c r="GLT316" s="34"/>
      <c r="GLU316" s="34"/>
      <c r="GLV316" s="34"/>
      <c r="GLW316" s="34"/>
      <c r="GLX316" s="34"/>
      <c r="GLY316" s="34"/>
      <c r="GLZ316" s="34"/>
      <c r="GMA316" s="34"/>
      <c r="GMB316" s="34"/>
      <c r="GMC316" s="34"/>
      <c r="GMD316" s="34"/>
      <c r="GME316" s="34"/>
      <c r="GMF316" s="34"/>
      <c r="GMG316" s="34"/>
      <c r="GMH316" s="34"/>
      <c r="GMI316" s="34"/>
      <c r="GMJ316" s="34"/>
      <c r="GMK316" s="34"/>
      <c r="GML316" s="34"/>
      <c r="GMM316" s="34"/>
      <c r="GMN316" s="34"/>
      <c r="GMO316" s="34"/>
      <c r="GMP316" s="34"/>
      <c r="GMQ316" s="34"/>
      <c r="GMR316" s="34"/>
      <c r="GMS316" s="34"/>
      <c r="GMT316" s="34"/>
      <c r="GMU316" s="34"/>
      <c r="GMV316" s="34"/>
      <c r="GMW316" s="34"/>
      <c r="GMX316" s="34"/>
      <c r="GMY316" s="34"/>
      <c r="GMZ316" s="34"/>
      <c r="GNA316" s="34"/>
      <c r="GNB316" s="34"/>
      <c r="GNC316" s="34"/>
      <c r="GND316" s="34"/>
      <c r="GNE316" s="34"/>
      <c r="GNF316" s="34"/>
      <c r="GNG316" s="34"/>
      <c r="GNH316" s="34"/>
      <c r="GNI316" s="34"/>
      <c r="GNJ316" s="34"/>
      <c r="GNK316" s="34"/>
      <c r="GNL316" s="34"/>
      <c r="GNM316" s="34"/>
      <c r="GNN316" s="34"/>
      <c r="GNO316" s="34"/>
      <c r="GNP316" s="34"/>
      <c r="GNQ316" s="34"/>
      <c r="GNR316" s="34"/>
      <c r="GNS316" s="34"/>
      <c r="GNT316" s="34"/>
      <c r="GNU316" s="34"/>
      <c r="GNV316" s="34"/>
      <c r="GNW316" s="34"/>
      <c r="GNX316" s="34"/>
      <c r="GNY316" s="34"/>
      <c r="GNZ316" s="34"/>
      <c r="GOA316" s="34"/>
      <c r="GOB316" s="34"/>
      <c r="GOC316" s="34"/>
      <c r="GOD316" s="34"/>
      <c r="GOE316" s="34"/>
      <c r="GOF316" s="34"/>
      <c r="GOG316" s="34"/>
      <c r="GOH316" s="34"/>
      <c r="GOI316" s="34"/>
      <c r="GOJ316" s="34"/>
      <c r="GOK316" s="34"/>
      <c r="GOL316" s="34"/>
      <c r="GOM316" s="34"/>
      <c r="GON316" s="34"/>
      <c r="GOO316" s="34"/>
      <c r="GOP316" s="34"/>
      <c r="GOQ316" s="34"/>
      <c r="GOR316" s="34"/>
      <c r="GOS316" s="34"/>
      <c r="GOT316" s="34"/>
      <c r="GOU316" s="34"/>
      <c r="GOV316" s="34"/>
      <c r="GOW316" s="34"/>
      <c r="GOX316" s="34"/>
      <c r="GOY316" s="34"/>
      <c r="GOZ316" s="34"/>
      <c r="GPA316" s="34"/>
      <c r="GPB316" s="34"/>
      <c r="GPC316" s="34"/>
      <c r="GPD316" s="34"/>
      <c r="GPE316" s="34"/>
      <c r="GPF316" s="34"/>
      <c r="GPG316" s="34"/>
      <c r="GPH316" s="34"/>
      <c r="GPI316" s="34"/>
      <c r="GPJ316" s="34"/>
      <c r="GPK316" s="34"/>
      <c r="GPL316" s="34"/>
      <c r="GPM316" s="34"/>
      <c r="GPN316" s="34"/>
      <c r="GPO316" s="34"/>
      <c r="GPP316" s="34"/>
      <c r="GPQ316" s="34"/>
      <c r="GPR316" s="34"/>
      <c r="GPS316" s="34"/>
      <c r="GPT316" s="34"/>
      <c r="GPU316" s="34"/>
      <c r="GPV316" s="34"/>
      <c r="GPW316" s="34"/>
      <c r="GPX316" s="34"/>
      <c r="GPY316" s="34"/>
      <c r="GPZ316" s="34"/>
      <c r="GQA316" s="34"/>
      <c r="GQB316" s="34"/>
      <c r="GQC316" s="34"/>
      <c r="GQD316" s="34"/>
      <c r="GQE316" s="34"/>
      <c r="GQF316" s="34"/>
      <c r="GQG316" s="34"/>
      <c r="GQH316" s="34"/>
      <c r="GQI316" s="34"/>
      <c r="GQJ316" s="34"/>
      <c r="GQK316" s="34"/>
      <c r="GQL316" s="34"/>
      <c r="GQM316" s="34"/>
      <c r="GQN316" s="34"/>
      <c r="GQO316" s="34"/>
      <c r="GQP316" s="34"/>
      <c r="GQQ316" s="34"/>
      <c r="GQR316" s="34"/>
      <c r="GQS316" s="34"/>
      <c r="GQT316" s="34"/>
      <c r="GQU316" s="34"/>
      <c r="GQV316" s="34"/>
      <c r="GQW316" s="34"/>
      <c r="GQX316" s="34"/>
      <c r="GQY316" s="34"/>
      <c r="GQZ316" s="34"/>
      <c r="GRA316" s="34"/>
      <c r="GRB316" s="34"/>
      <c r="GRC316" s="34"/>
      <c r="GRD316" s="34"/>
      <c r="GRE316" s="34"/>
      <c r="GRF316" s="34"/>
      <c r="GRG316" s="34"/>
      <c r="GRH316" s="34"/>
      <c r="GRI316" s="34"/>
      <c r="GRJ316" s="34"/>
      <c r="GRK316" s="34"/>
      <c r="GRL316" s="34"/>
      <c r="GRM316" s="34"/>
      <c r="GRN316" s="34"/>
      <c r="GRO316" s="34"/>
      <c r="GRP316" s="34"/>
      <c r="GRQ316" s="34"/>
      <c r="GRR316" s="34"/>
      <c r="GRS316" s="34"/>
      <c r="GRT316" s="34"/>
      <c r="GRU316" s="34"/>
      <c r="GRV316" s="34"/>
      <c r="GRW316" s="34"/>
      <c r="GRX316" s="34"/>
      <c r="GRY316" s="34"/>
      <c r="GRZ316" s="34"/>
      <c r="GSA316" s="34"/>
      <c r="GSB316" s="34"/>
      <c r="GSC316" s="34"/>
      <c r="GSD316" s="34"/>
      <c r="GSE316" s="34"/>
      <c r="GSF316" s="34"/>
      <c r="GSG316" s="34"/>
      <c r="GSH316" s="34"/>
      <c r="GSI316" s="34"/>
      <c r="GSJ316" s="34"/>
      <c r="GSK316" s="34"/>
      <c r="GSL316" s="34"/>
      <c r="GSM316" s="34"/>
      <c r="GSN316" s="34"/>
      <c r="GSO316" s="34"/>
      <c r="GSP316" s="34"/>
      <c r="GSQ316" s="34"/>
      <c r="GSR316" s="34"/>
      <c r="GSS316" s="34"/>
      <c r="GST316" s="34"/>
      <c r="GSU316" s="34"/>
      <c r="GSV316" s="34"/>
      <c r="GSW316" s="34"/>
      <c r="GSX316" s="34"/>
      <c r="GSY316" s="34"/>
      <c r="GSZ316" s="34"/>
      <c r="GTA316" s="34"/>
      <c r="GTB316" s="34"/>
      <c r="GTC316" s="34"/>
      <c r="GTD316" s="34"/>
      <c r="GTE316" s="34"/>
      <c r="GTF316" s="34"/>
      <c r="GTG316" s="34"/>
      <c r="GTH316" s="34"/>
      <c r="GTI316" s="34"/>
      <c r="GTJ316" s="34"/>
      <c r="GTK316" s="34"/>
      <c r="GTL316" s="34"/>
      <c r="GTM316" s="34"/>
      <c r="GTN316" s="34"/>
      <c r="GTO316" s="34"/>
      <c r="GTP316" s="34"/>
      <c r="GTQ316" s="34"/>
      <c r="GTR316" s="34"/>
      <c r="GTS316" s="34"/>
      <c r="GTT316" s="34"/>
      <c r="GTU316" s="34"/>
      <c r="GTV316" s="34"/>
      <c r="GTW316" s="34"/>
      <c r="GTX316" s="34"/>
      <c r="GTY316" s="34"/>
      <c r="GTZ316" s="34"/>
      <c r="GUA316" s="34"/>
      <c r="GUB316" s="34"/>
      <c r="GUC316" s="34"/>
      <c r="GUD316" s="34"/>
      <c r="GUE316" s="34"/>
      <c r="GUF316" s="34"/>
      <c r="GUG316" s="34"/>
      <c r="GUH316" s="34"/>
      <c r="GUI316" s="34"/>
      <c r="GUJ316" s="34"/>
      <c r="GUK316" s="34"/>
      <c r="GUL316" s="34"/>
      <c r="GUM316" s="34"/>
      <c r="GUN316" s="34"/>
      <c r="GUO316" s="34"/>
      <c r="GUP316" s="34"/>
      <c r="GUQ316" s="34"/>
      <c r="GUR316" s="34"/>
      <c r="GUS316" s="34"/>
      <c r="GUT316" s="34"/>
      <c r="GUU316" s="34"/>
      <c r="GUV316" s="34"/>
      <c r="GUW316" s="34"/>
      <c r="GUX316" s="34"/>
      <c r="GUY316" s="34"/>
      <c r="GUZ316" s="34"/>
      <c r="GVA316" s="34"/>
      <c r="GVB316" s="34"/>
      <c r="GVC316" s="34"/>
      <c r="GVD316" s="34"/>
      <c r="GVE316" s="34"/>
      <c r="GVF316" s="34"/>
      <c r="GVG316" s="34"/>
      <c r="GVH316" s="34"/>
      <c r="GVI316" s="34"/>
      <c r="GVJ316" s="34"/>
      <c r="GVK316" s="34"/>
      <c r="GVL316" s="34"/>
      <c r="GVM316" s="34"/>
      <c r="GVN316" s="34"/>
      <c r="GVO316" s="34"/>
      <c r="GVP316" s="34"/>
      <c r="GVQ316" s="34"/>
      <c r="GVR316" s="34"/>
      <c r="GVS316" s="34"/>
      <c r="GVT316" s="34"/>
      <c r="GVU316" s="34"/>
      <c r="GVV316" s="34"/>
      <c r="GVW316" s="34"/>
      <c r="GVX316" s="34"/>
      <c r="GVY316" s="34"/>
      <c r="GVZ316" s="34"/>
      <c r="GWA316" s="34"/>
      <c r="GWB316" s="34"/>
      <c r="GWC316" s="34"/>
      <c r="GWD316" s="34"/>
      <c r="GWE316" s="34"/>
      <c r="GWF316" s="34"/>
      <c r="GWG316" s="34"/>
      <c r="GWH316" s="34"/>
      <c r="GWI316" s="34"/>
      <c r="GWJ316" s="34"/>
      <c r="GWK316" s="34"/>
      <c r="GWL316" s="34"/>
      <c r="GWM316" s="34"/>
      <c r="GWN316" s="34"/>
      <c r="GWO316" s="34"/>
      <c r="GWP316" s="34"/>
      <c r="GWQ316" s="34"/>
      <c r="GWR316" s="34"/>
      <c r="GWS316" s="34"/>
      <c r="GWT316" s="34"/>
      <c r="GWU316" s="34"/>
      <c r="GWV316" s="34"/>
      <c r="GWW316" s="34"/>
      <c r="GWX316" s="34"/>
      <c r="GWY316" s="34"/>
      <c r="GWZ316" s="34"/>
      <c r="GXA316" s="34"/>
      <c r="GXB316" s="34"/>
      <c r="GXC316" s="34"/>
      <c r="GXD316" s="34"/>
      <c r="GXE316" s="34"/>
      <c r="GXF316" s="34"/>
      <c r="GXG316" s="34"/>
      <c r="GXH316" s="34"/>
      <c r="GXI316" s="34"/>
      <c r="GXJ316" s="34"/>
      <c r="GXK316" s="34"/>
      <c r="GXL316" s="34"/>
      <c r="GXM316" s="34"/>
      <c r="GXN316" s="34"/>
      <c r="GXO316" s="34"/>
      <c r="GXP316" s="34"/>
      <c r="GXQ316" s="34"/>
      <c r="GXR316" s="34"/>
      <c r="GXS316" s="34"/>
      <c r="GXT316" s="34"/>
      <c r="GXU316" s="34"/>
      <c r="GXV316" s="34"/>
      <c r="GXW316" s="34"/>
      <c r="GXX316" s="34"/>
      <c r="GXY316" s="34"/>
      <c r="GXZ316" s="34"/>
      <c r="GYA316" s="34"/>
      <c r="GYB316" s="34"/>
      <c r="GYC316" s="34"/>
      <c r="GYD316" s="34"/>
      <c r="GYE316" s="34"/>
      <c r="GYF316" s="34"/>
      <c r="GYG316" s="34"/>
      <c r="GYH316" s="34"/>
      <c r="GYI316" s="34"/>
      <c r="GYJ316" s="34"/>
      <c r="GYK316" s="34"/>
      <c r="GYL316" s="34"/>
      <c r="GYM316" s="34"/>
      <c r="GYN316" s="34"/>
      <c r="GYO316" s="34"/>
      <c r="GYP316" s="34"/>
      <c r="GYQ316" s="34"/>
      <c r="GYR316" s="34"/>
      <c r="GYS316" s="34"/>
      <c r="GYT316" s="34"/>
      <c r="GYU316" s="34"/>
      <c r="GYV316" s="34"/>
      <c r="GYW316" s="34"/>
      <c r="GYX316" s="34"/>
      <c r="GYY316" s="34"/>
      <c r="GYZ316" s="34"/>
      <c r="GZA316" s="34"/>
      <c r="GZB316" s="34"/>
      <c r="GZC316" s="34"/>
      <c r="GZD316" s="34"/>
      <c r="GZE316" s="34"/>
      <c r="GZF316" s="34"/>
      <c r="GZG316" s="34"/>
      <c r="GZH316" s="34"/>
      <c r="GZI316" s="34"/>
      <c r="GZJ316" s="34"/>
      <c r="GZK316" s="34"/>
      <c r="GZL316" s="34"/>
      <c r="GZM316" s="34"/>
      <c r="GZN316" s="34"/>
      <c r="GZO316" s="34"/>
      <c r="GZP316" s="34"/>
      <c r="GZQ316" s="34"/>
      <c r="GZR316" s="34"/>
      <c r="GZS316" s="34"/>
      <c r="GZT316" s="34"/>
      <c r="GZU316" s="34"/>
      <c r="GZV316" s="34"/>
      <c r="GZW316" s="34"/>
      <c r="GZX316" s="34"/>
      <c r="GZY316" s="34"/>
      <c r="GZZ316" s="34"/>
      <c r="HAA316" s="34"/>
      <c r="HAB316" s="34"/>
      <c r="HAC316" s="34"/>
      <c r="HAD316" s="34"/>
      <c r="HAE316" s="34"/>
      <c r="HAF316" s="34"/>
      <c r="HAG316" s="34"/>
      <c r="HAH316" s="34"/>
      <c r="HAI316" s="34"/>
      <c r="HAJ316" s="34"/>
      <c r="HAK316" s="34"/>
      <c r="HAL316" s="34"/>
      <c r="HAM316" s="34"/>
      <c r="HAN316" s="34"/>
      <c r="HAO316" s="34"/>
      <c r="HAP316" s="34"/>
      <c r="HAQ316" s="34"/>
      <c r="HAR316" s="34"/>
      <c r="HAS316" s="34"/>
      <c r="HAT316" s="34"/>
      <c r="HAU316" s="34"/>
      <c r="HAV316" s="34"/>
      <c r="HAW316" s="34"/>
      <c r="HAX316" s="34"/>
      <c r="HAY316" s="34"/>
      <c r="HAZ316" s="34"/>
      <c r="HBA316" s="34"/>
      <c r="HBB316" s="34"/>
      <c r="HBC316" s="34"/>
      <c r="HBD316" s="34"/>
      <c r="HBE316" s="34"/>
      <c r="HBF316" s="34"/>
      <c r="HBG316" s="34"/>
      <c r="HBH316" s="34"/>
      <c r="HBI316" s="34"/>
      <c r="HBJ316" s="34"/>
      <c r="HBK316" s="34"/>
      <c r="HBL316" s="34"/>
      <c r="HBM316" s="34"/>
      <c r="HBN316" s="34"/>
      <c r="HBO316" s="34"/>
      <c r="HBP316" s="34"/>
      <c r="HBQ316" s="34"/>
      <c r="HBR316" s="34"/>
      <c r="HBS316" s="34"/>
      <c r="HBT316" s="34"/>
      <c r="HBU316" s="34"/>
      <c r="HBV316" s="34"/>
      <c r="HBW316" s="34"/>
      <c r="HBX316" s="34"/>
      <c r="HBY316" s="34"/>
      <c r="HBZ316" s="34"/>
      <c r="HCA316" s="34"/>
      <c r="HCB316" s="34"/>
      <c r="HCC316" s="34"/>
      <c r="HCD316" s="34"/>
      <c r="HCE316" s="34"/>
      <c r="HCF316" s="34"/>
      <c r="HCG316" s="34"/>
      <c r="HCH316" s="34"/>
      <c r="HCI316" s="34"/>
      <c r="HCJ316" s="34"/>
      <c r="HCK316" s="34"/>
      <c r="HCL316" s="34"/>
      <c r="HCM316" s="34"/>
      <c r="HCN316" s="34"/>
      <c r="HCO316" s="34"/>
      <c r="HCP316" s="34"/>
      <c r="HCQ316" s="34"/>
      <c r="HCR316" s="34"/>
      <c r="HCS316" s="34"/>
      <c r="HCT316" s="34"/>
      <c r="HCU316" s="34"/>
      <c r="HCV316" s="34"/>
      <c r="HCW316" s="34"/>
      <c r="HCX316" s="34"/>
      <c r="HCY316" s="34"/>
      <c r="HCZ316" s="34"/>
      <c r="HDA316" s="34"/>
      <c r="HDB316" s="34"/>
      <c r="HDC316" s="34"/>
      <c r="HDD316" s="34"/>
      <c r="HDE316" s="34"/>
      <c r="HDF316" s="34"/>
      <c r="HDG316" s="34"/>
      <c r="HDH316" s="34"/>
      <c r="HDI316" s="34"/>
      <c r="HDJ316" s="34"/>
      <c r="HDK316" s="34"/>
      <c r="HDL316" s="34"/>
      <c r="HDM316" s="34"/>
      <c r="HDN316" s="34"/>
      <c r="HDO316" s="34"/>
      <c r="HDP316" s="34"/>
      <c r="HDQ316" s="34"/>
      <c r="HDR316" s="34"/>
      <c r="HDS316" s="34"/>
      <c r="HDT316" s="34"/>
      <c r="HDU316" s="34"/>
      <c r="HDV316" s="34"/>
      <c r="HDW316" s="34"/>
      <c r="HDX316" s="34"/>
      <c r="HDY316" s="34"/>
      <c r="HDZ316" s="34"/>
      <c r="HEA316" s="34"/>
      <c r="HEB316" s="34"/>
      <c r="HEC316" s="34"/>
      <c r="HED316" s="34"/>
      <c r="HEE316" s="34"/>
      <c r="HEF316" s="34"/>
      <c r="HEG316" s="34"/>
      <c r="HEH316" s="34"/>
      <c r="HEI316" s="34"/>
      <c r="HEJ316" s="34"/>
      <c r="HEK316" s="34"/>
      <c r="HEL316" s="34"/>
      <c r="HEM316" s="34"/>
      <c r="HEN316" s="34"/>
      <c r="HEO316" s="34"/>
      <c r="HEP316" s="34"/>
      <c r="HEQ316" s="34"/>
      <c r="HER316" s="34"/>
      <c r="HES316" s="34"/>
      <c r="HET316" s="34"/>
      <c r="HEU316" s="34"/>
      <c r="HEV316" s="34"/>
      <c r="HEW316" s="34"/>
      <c r="HEX316" s="34"/>
      <c r="HEY316" s="34"/>
      <c r="HEZ316" s="34"/>
      <c r="HFA316" s="34"/>
      <c r="HFB316" s="34"/>
      <c r="HFC316" s="34"/>
      <c r="HFD316" s="34"/>
      <c r="HFE316" s="34"/>
      <c r="HFF316" s="34"/>
      <c r="HFG316" s="34"/>
      <c r="HFH316" s="34"/>
      <c r="HFI316" s="34"/>
      <c r="HFJ316" s="34"/>
      <c r="HFK316" s="34"/>
      <c r="HFL316" s="34"/>
      <c r="HFM316" s="34"/>
      <c r="HFN316" s="34"/>
      <c r="HFO316" s="34"/>
      <c r="HFP316" s="34"/>
      <c r="HFQ316" s="34"/>
      <c r="HFR316" s="34"/>
      <c r="HFS316" s="34"/>
      <c r="HFT316" s="34"/>
      <c r="HFU316" s="34"/>
      <c r="HFV316" s="34"/>
      <c r="HFW316" s="34"/>
      <c r="HFX316" s="34"/>
      <c r="HFY316" s="34"/>
      <c r="HFZ316" s="34"/>
      <c r="HGA316" s="34"/>
      <c r="HGB316" s="34"/>
      <c r="HGC316" s="34"/>
      <c r="HGD316" s="34"/>
      <c r="HGE316" s="34"/>
      <c r="HGF316" s="34"/>
      <c r="HGG316" s="34"/>
      <c r="HGH316" s="34"/>
      <c r="HGI316" s="34"/>
      <c r="HGJ316" s="34"/>
      <c r="HGK316" s="34"/>
      <c r="HGL316" s="34"/>
      <c r="HGM316" s="34"/>
      <c r="HGN316" s="34"/>
      <c r="HGO316" s="34"/>
      <c r="HGP316" s="34"/>
      <c r="HGQ316" s="34"/>
      <c r="HGR316" s="34"/>
      <c r="HGS316" s="34"/>
      <c r="HGT316" s="34"/>
      <c r="HGU316" s="34"/>
      <c r="HGV316" s="34"/>
      <c r="HGW316" s="34"/>
      <c r="HGX316" s="34"/>
      <c r="HGY316" s="34"/>
      <c r="HGZ316" s="34"/>
      <c r="HHA316" s="34"/>
      <c r="HHB316" s="34"/>
      <c r="HHC316" s="34"/>
      <c r="HHD316" s="34"/>
      <c r="HHE316" s="34"/>
      <c r="HHF316" s="34"/>
      <c r="HHG316" s="34"/>
      <c r="HHH316" s="34"/>
      <c r="HHI316" s="34"/>
      <c r="HHJ316" s="34"/>
      <c r="HHK316" s="34"/>
      <c r="HHL316" s="34"/>
      <c r="HHM316" s="34"/>
      <c r="HHN316" s="34"/>
      <c r="HHO316" s="34"/>
      <c r="HHP316" s="34"/>
      <c r="HHQ316" s="34"/>
      <c r="HHR316" s="34"/>
      <c r="HHS316" s="34"/>
      <c r="HHT316" s="34"/>
      <c r="HHU316" s="34"/>
      <c r="HHV316" s="34"/>
      <c r="HHW316" s="34"/>
      <c r="HHX316" s="34"/>
      <c r="HHY316" s="34"/>
      <c r="HHZ316" s="34"/>
      <c r="HIA316" s="34"/>
      <c r="HIB316" s="34"/>
      <c r="HIC316" s="34"/>
      <c r="HID316" s="34"/>
      <c r="HIE316" s="34"/>
      <c r="HIF316" s="34"/>
      <c r="HIG316" s="34"/>
      <c r="HIH316" s="34"/>
      <c r="HII316" s="34"/>
      <c r="HIJ316" s="34"/>
      <c r="HIK316" s="34"/>
      <c r="HIL316" s="34"/>
      <c r="HIM316" s="34"/>
      <c r="HIN316" s="34"/>
      <c r="HIO316" s="34"/>
      <c r="HIP316" s="34"/>
      <c r="HIQ316" s="34"/>
      <c r="HIR316" s="34"/>
      <c r="HIS316" s="34"/>
      <c r="HIT316" s="34"/>
      <c r="HIU316" s="34"/>
      <c r="HIV316" s="34"/>
      <c r="HIW316" s="34"/>
      <c r="HIX316" s="34"/>
      <c r="HIY316" s="34"/>
      <c r="HIZ316" s="34"/>
      <c r="HJA316" s="34"/>
      <c r="HJB316" s="34"/>
      <c r="HJC316" s="34"/>
      <c r="HJD316" s="34"/>
      <c r="HJE316" s="34"/>
      <c r="HJF316" s="34"/>
      <c r="HJG316" s="34"/>
      <c r="HJH316" s="34"/>
      <c r="HJI316" s="34"/>
      <c r="HJJ316" s="34"/>
      <c r="HJK316" s="34"/>
      <c r="HJL316" s="34"/>
      <c r="HJM316" s="34"/>
      <c r="HJN316" s="34"/>
      <c r="HJO316" s="34"/>
      <c r="HJP316" s="34"/>
      <c r="HJQ316" s="34"/>
      <c r="HJR316" s="34"/>
      <c r="HJS316" s="34"/>
      <c r="HJT316" s="34"/>
      <c r="HJU316" s="34"/>
      <c r="HJV316" s="34"/>
      <c r="HJW316" s="34"/>
      <c r="HJX316" s="34"/>
      <c r="HJY316" s="34"/>
      <c r="HJZ316" s="34"/>
      <c r="HKA316" s="34"/>
      <c r="HKB316" s="34"/>
      <c r="HKC316" s="34"/>
      <c r="HKD316" s="34"/>
      <c r="HKE316" s="34"/>
      <c r="HKF316" s="34"/>
      <c r="HKG316" s="34"/>
      <c r="HKH316" s="34"/>
      <c r="HKI316" s="34"/>
      <c r="HKJ316" s="34"/>
      <c r="HKK316" s="34"/>
      <c r="HKL316" s="34"/>
      <c r="HKM316" s="34"/>
      <c r="HKN316" s="34"/>
      <c r="HKO316" s="34"/>
      <c r="HKP316" s="34"/>
      <c r="HKQ316" s="34"/>
      <c r="HKR316" s="34"/>
      <c r="HKS316" s="34"/>
      <c r="HKT316" s="34"/>
      <c r="HKU316" s="34"/>
      <c r="HKV316" s="34"/>
      <c r="HKW316" s="34"/>
      <c r="HKX316" s="34"/>
      <c r="HKY316" s="34"/>
      <c r="HKZ316" s="34"/>
      <c r="HLA316" s="34"/>
      <c r="HLB316" s="34"/>
      <c r="HLC316" s="34"/>
      <c r="HLD316" s="34"/>
      <c r="HLE316" s="34"/>
      <c r="HLF316" s="34"/>
      <c r="HLG316" s="34"/>
      <c r="HLH316" s="34"/>
      <c r="HLI316" s="34"/>
      <c r="HLJ316" s="34"/>
      <c r="HLK316" s="34"/>
      <c r="HLL316" s="34"/>
      <c r="HLM316" s="34"/>
      <c r="HLN316" s="34"/>
      <c r="HLO316" s="34"/>
      <c r="HLP316" s="34"/>
      <c r="HLQ316" s="34"/>
      <c r="HLR316" s="34"/>
      <c r="HLS316" s="34"/>
      <c r="HLT316" s="34"/>
      <c r="HLU316" s="34"/>
      <c r="HLV316" s="34"/>
      <c r="HLW316" s="34"/>
      <c r="HLX316" s="34"/>
      <c r="HLY316" s="34"/>
      <c r="HLZ316" s="34"/>
      <c r="HMA316" s="34"/>
      <c r="HMB316" s="34"/>
      <c r="HMC316" s="34"/>
      <c r="HMD316" s="34"/>
      <c r="HME316" s="34"/>
      <c r="HMF316" s="34"/>
      <c r="HMG316" s="34"/>
      <c r="HMH316" s="34"/>
      <c r="HMI316" s="34"/>
      <c r="HMJ316" s="34"/>
      <c r="HMK316" s="34"/>
      <c r="HML316" s="34"/>
      <c r="HMM316" s="34"/>
      <c r="HMN316" s="34"/>
      <c r="HMO316" s="34"/>
      <c r="HMP316" s="34"/>
      <c r="HMQ316" s="34"/>
      <c r="HMR316" s="34"/>
      <c r="HMS316" s="34"/>
      <c r="HMT316" s="34"/>
      <c r="HMU316" s="34"/>
      <c r="HMV316" s="34"/>
      <c r="HMW316" s="34"/>
      <c r="HMX316" s="34"/>
      <c r="HMY316" s="34"/>
      <c r="HMZ316" s="34"/>
      <c r="HNA316" s="34"/>
      <c r="HNB316" s="34"/>
      <c r="HNC316" s="34"/>
      <c r="HND316" s="34"/>
      <c r="HNE316" s="34"/>
      <c r="HNF316" s="34"/>
      <c r="HNG316" s="34"/>
      <c r="HNH316" s="34"/>
      <c r="HNI316" s="34"/>
      <c r="HNJ316" s="34"/>
      <c r="HNK316" s="34"/>
      <c r="HNL316" s="34"/>
      <c r="HNM316" s="34"/>
      <c r="HNN316" s="34"/>
      <c r="HNO316" s="34"/>
      <c r="HNP316" s="34"/>
      <c r="HNQ316" s="34"/>
      <c r="HNR316" s="34"/>
      <c r="HNS316" s="34"/>
      <c r="HNT316" s="34"/>
      <c r="HNU316" s="34"/>
      <c r="HNV316" s="34"/>
      <c r="HNW316" s="34"/>
      <c r="HNX316" s="34"/>
      <c r="HNY316" s="34"/>
      <c r="HNZ316" s="34"/>
      <c r="HOA316" s="34"/>
      <c r="HOB316" s="34"/>
      <c r="HOC316" s="34"/>
      <c r="HOD316" s="34"/>
      <c r="HOE316" s="34"/>
      <c r="HOF316" s="34"/>
      <c r="HOG316" s="34"/>
      <c r="HOH316" s="34"/>
      <c r="HOI316" s="34"/>
      <c r="HOJ316" s="34"/>
      <c r="HOK316" s="34"/>
      <c r="HOL316" s="34"/>
      <c r="HOM316" s="34"/>
      <c r="HON316" s="34"/>
      <c r="HOO316" s="34"/>
      <c r="HOP316" s="34"/>
      <c r="HOQ316" s="34"/>
      <c r="HOR316" s="34"/>
      <c r="HOS316" s="34"/>
      <c r="HOT316" s="34"/>
      <c r="HOU316" s="34"/>
      <c r="HOV316" s="34"/>
      <c r="HOW316" s="34"/>
      <c r="HOX316" s="34"/>
      <c r="HOY316" s="34"/>
      <c r="HOZ316" s="34"/>
      <c r="HPA316" s="34"/>
      <c r="HPB316" s="34"/>
      <c r="HPC316" s="34"/>
      <c r="HPD316" s="34"/>
      <c r="HPE316" s="34"/>
      <c r="HPF316" s="34"/>
      <c r="HPG316" s="34"/>
      <c r="HPH316" s="34"/>
      <c r="HPI316" s="34"/>
      <c r="HPJ316" s="34"/>
      <c r="HPK316" s="34"/>
      <c r="HPL316" s="34"/>
      <c r="HPM316" s="34"/>
      <c r="HPN316" s="34"/>
      <c r="HPO316" s="34"/>
      <c r="HPP316" s="34"/>
      <c r="HPQ316" s="34"/>
      <c r="HPR316" s="34"/>
      <c r="HPS316" s="34"/>
      <c r="HPT316" s="34"/>
      <c r="HPU316" s="34"/>
      <c r="HPV316" s="34"/>
      <c r="HPW316" s="34"/>
      <c r="HPX316" s="34"/>
      <c r="HPY316" s="34"/>
      <c r="HPZ316" s="34"/>
      <c r="HQA316" s="34"/>
      <c r="HQB316" s="34"/>
      <c r="HQC316" s="34"/>
      <c r="HQD316" s="34"/>
      <c r="HQE316" s="34"/>
      <c r="HQF316" s="34"/>
      <c r="HQG316" s="34"/>
      <c r="HQH316" s="34"/>
      <c r="HQI316" s="34"/>
      <c r="HQJ316" s="34"/>
      <c r="HQK316" s="34"/>
      <c r="HQL316" s="34"/>
      <c r="HQM316" s="34"/>
      <c r="HQN316" s="34"/>
      <c r="HQO316" s="34"/>
      <c r="HQP316" s="34"/>
      <c r="HQQ316" s="34"/>
      <c r="HQR316" s="34"/>
      <c r="HQS316" s="34"/>
      <c r="HQT316" s="34"/>
      <c r="HQU316" s="34"/>
      <c r="HQV316" s="34"/>
      <c r="HQW316" s="34"/>
      <c r="HQX316" s="34"/>
      <c r="HQY316" s="34"/>
      <c r="HQZ316" s="34"/>
      <c r="HRA316" s="34"/>
      <c r="HRB316" s="34"/>
      <c r="HRC316" s="34"/>
      <c r="HRD316" s="34"/>
      <c r="HRE316" s="34"/>
      <c r="HRF316" s="34"/>
      <c r="HRG316" s="34"/>
      <c r="HRH316" s="34"/>
      <c r="HRI316" s="34"/>
      <c r="HRJ316" s="34"/>
      <c r="HRK316" s="34"/>
      <c r="HRL316" s="34"/>
      <c r="HRM316" s="34"/>
      <c r="HRN316" s="34"/>
      <c r="HRO316" s="34"/>
      <c r="HRP316" s="34"/>
      <c r="HRQ316" s="34"/>
      <c r="HRR316" s="34"/>
      <c r="HRS316" s="34"/>
      <c r="HRT316" s="34"/>
      <c r="HRU316" s="34"/>
      <c r="HRV316" s="34"/>
      <c r="HRW316" s="34"/>
      <c r="HRX316" s="34"/>
      <c r="HRY316" s="34"/>
      <c r="HRZ316" s="34"/>
      <c r="HSA316" s="34"/>
      <c r="HSB316" s="34"/>
      <c r="HSC316" s="34"/>
      <c r="HSD316" s="34"/>
      <c r="HSE316" s="34"/>
      <c r="HSF316" s="34"/>
      <c r="HSG316" s="34"/>
      <c r="HSH316" s="34"/>
      <c r="HSI316" s="34"/>
      <c r="HSJ316" s="34"/>
      <c r="HSK316" s="34"/>
      <c r="HSL316" s="34"/>
      <c r="HSM316" s="34"/>
      <c r="HSN316" s="34"/>
      <c r="HSO316" s="34"/>
      <c r="HSP316" s="34"/>
      <c r="HSQ316" s="34"/>
      <c r="HSR316" s="34"/>
      <c r="HSS316" s="34"/>
      <c r="HST316" s="34"/>
      <c r="HSU316" s="34"/>
      <c r="HSV316" s="34"/>
      <c r="HSW316" s="34"/>
      <c r="HSX316" s="34"/>
      <c r="HSY316" s="34"/>
      <c r="HSZ316" s="34"/>
      <c r="HTA316" s="34"/>
      <c r="HTB316" s="34"/>
      <c r="HTC316" s="34"/>
      <c r="HTD316" s="34"/>
      <c r="HTE316" s="34"/>
      <c r="HTF316" s="34"/>
      <c r="HTG316" s="34"/>
      <c r="HTH316" s="34"/>
      <c r="HTI316" s="34"/>
      <c r="HTJ316" s="34"/>
      <c r="HTK316" s="34"/>
      <c r="HTL316" s="34"/>
      <c r="HTM316" s="34"/>
      <c r="HTN316" s="34"/>
      <c r="HTO316" s="34"/>
      <c r="HTP316" s="34"/>
      <c r="HTQ316" s="34"/>
      <c r="HTR316" s="34"/>
      <c r="HTS316" s="34"/>
      <c r="HTT316" s="34"/>
      <c r="HTU316" s="34"/>
      <c r="HTV316" s="34"/>
      <c r="HTW316" s="34"/>
      <c r="HTX316" s="34"/>
      <c r="HTY316" s="34"/>
      <c r="HTZ316" s="34"/>
      <c r="HUA316" s="34"/>
      <c r="HUB316" s="34"/>
      <c r="HUC316" s="34"/>
      <c r="HUD316" s="34"/>
      <c r="HUE316" s="34"/>
      <c r="HUF316" s="34"/>
      <c r="HUG316" s="34"/>
      <c r="HUH316" s="34"/>
      <c r="HUI316" s="34"/>
      <c r="HUJ316" s="34"/>
      <c r="HUK316" s="34"/>
      <c r="HUL316" s="34"/>
      <c r="HUM316" s="34"/>
      <c r="HUN316" s="34"/>
      <c r="HUO316" s="34"/>
      <c r="HUP316" s="34"/>
      <c r="HUQ316" s="34"/>
      <c r="HUR316" s="34"/>
      <c r="HUS316" s="34"/>
      <c r="HUT316" s="34"/>
      <c r="HUU316" s="34"/>
      <c r="HUV316" s="34"/>
      <c r="HUW316" s="34"/>
      <c r="HUX316" s="34"/>
      <c r="HUY316" s="34"/>
      <c r="HUZ316" s="34"/>
      <c r="HVA316" s="34"/>
      <c r="HVB316" s="34"/>
      <c r="HVC316" s="34"/>
      <c r="HVD316" s="34"/>
      <c r="HVE316" s="34"/>
      <c r="HVF316" s="34"/>
      <c r="HVG316" s="34"/>
      <c r="HVH316" s="34"/>
      <c r="HVI316" s="34"/>
      <c r="HVJ316" s="34"/>
      <c r="HVK316" s="34"/>
      <c r="HVL316" s="34"/>
      <c r="HVM316" s="34"/>
      <c r="HVN316" s="34"/>
      <c r="HVO316" s="34"/>
      <c r="HVP316" s="34"/>
      <c r="HVQ316" s="34"/>
      <c r="HVR316" s="34"/>
      <c r="HVS316" s="34"/>
      <c r="HVT316" s="34"/>
      <c r="HVU316" s="34"/>
      <c r="HVV316" s="34"/>
      <c r="HVW316" s="34"/>
      <c r="HVX316" s="34"/>
      <c r="HVY316" s="34"/>
      <c r="HVZ316" s="34"/>
      <c r="HWA316" s="34"/>
      <c r="HWB316" s="34"/>
      <c r="HWC316" s="34"/>
      <c r="HWD316" s="34"/>
      <c r="HWE316" s="34"/>
      <c r="HWF316" s="34"/>
      <c r="HWG316" s="34"/>
      <c r="HWH316" s="34"/>
      <c r="HWI316" s="34"/>
      <c r="HWJ316" s="34"/>
      <c r="HWK316" s="34"/>
      <c r="HWL316" s="34"/>
      <c r="HWM316" s="34"/>
      <c r="HWN316" s="34"/>
      <c r="HWO316" s="34"/>
      <c r="HWP316" s="34"/>
      <c r="HWQ316" s="34"/>
      <c r="HWR316" s="34"/>
      <c r="HWS316" s="34"/>
      <c r="HWT316" s="34"/>
      <c r="HWU316" s="34"/>
      <c r="HWV316" s="34"/>
      <c r="HWW316" s="34"/>
      <c r="HWX316" s="34"/>
      <c r="HWY316" s="34"/>
      <c r="HWZ316" s="34"/>
      <c r="HXA316" s="34"/>
      <c r="HXB316" s="34"/>
      <c r="HXC316" s="34"/>
      <c r="HXD316" s="34"/>
      <c r="HXE316" s="34"/>
      <c r="HXF316" s="34"/>
      <c r="HXG316" s="34"/>
      <c r="HXH316" s="34"/>
      <c r="HXI316" s="34"/>
      <c r="HXJ316" s="34"/>
      <c r="HXK316" s="34"/>
      <c r="HXL316" s="34"/>
      <c r="HXM316" s="34"/>
      <c r="HXN316" s="34"/>
      <c r="HXO316" s="34"/>
      <c r="HXP316" s="34"/>
      <c r="HXQ316" s="34"/>
      <c r="HXR316" s="34"/>
      <c r="HXS316" s="34"/>
      <c r="HXT316" s="34"/>
      <c r="HXU316" s="34"/>
      <c r="HXV316" s="34"/>
      <c r="HXW316" s="34"/>
      <c r="HXX316" s="34"/>
      <c r="HXY316" s="34"/>
      <c r="HXZ316" s="34"/>
      <c r="HYA316" s="34"/>
      <c r="HYB316" s="34"/>
      <c r="HYC316" s="34"/>
      <c r="HYD316" s="34"/>
      <c r="HYE316" s="34"/>
      <c r="HYF316" s="34"/>
      <c r="HYG316" s="34"/>
      <c r="HYH316" s="34"/>
      <c r="HYI316" s="34"/>
      <c r="HYJ316" s="34"/>
      <c r="HYK316" s="34"/>
      <c r="HYL316" s="34"/>
      <c r="HYM316" s="34"/>
      <c r="HYN316" s="34"/>
      <c r="HYO316" s="34"/>
      <c r="HYP316" s="34"/>
      <c r="HYQ316" s="34"/>
      <c r="HYR316" s="34"/>
      <c r="HYS316" s="34"/>
      <c r="HYT316" s="34"/>
      <c r="HYU316" s="34"/>
      <c r="HYV316" s="34"/>
      <c r="HYW316" s="34"/>
      <c r="HYX316" s="34"/>
      <c r="HYY316" s="34"/>
      <c r="HYZ316" s="34"/>
      <c r="HZA316" s="34"/>
      <c r="HZB316" s="34"/>
      <c r="HZC316" s="34"/>
      <c r="HZD316" s="34"/>
      <c r="HZE316" s="34"/>
      <c r="HZF316" s="34"/>
      <c r="HZG316" s="34"/>
      <c r="HZH316" s="34"/>
      <c r="HZI316" s="34"/>
      <c r="HZJ316" s="34"/>
      <c r="HZK316" s="34"/>
      <c r="HZL316" s="34"/>
      <c r="HZM316" s="34"/>
      <c r="HZN316" s="34"/>
      <c r="HZO316" s="34"/>
      <c r="HZP316" s="34"/>
      <c r="HZQ316" s="34"/>
      <c r="HZR316" s="34"/>
      <c r="HZS316" s="34"/>
      <c r="HZT316" s="34"/>
      <c r="HZU316" s="34"/>
      <c r="HZV316" s="34"/>
      <c r="HZW316" s="34"/>
      <c r="HZX316" s="34"/>
      <c r="HZY316" s="34"/>
      <c r="HZZ316" s="34"/>
      <c r="IAA316" s="34"/>
      <c r="IAB316" s="34"/>
      <c r="IAC316" s="34"/>
      <c r="IAD316" s="34"/>
      <c r="IAE316" s="34"/>
      <c r="IAF316" s="34"/>
      <c r="IAG316" s="34"/>
      <c r="IAH316" s="34"/>
      <c r="IAI316" s="34"/>
      <c r="IAJ316" s="34"/>
      <c r="IAK316" s="34"/>
      <c r="IAL316" s="34"/>
      <c r="IAM316" s="34"/>
      <c r="IAN316" s="34"/>
      <c r="IAO316" s="34"/>
      <c r="IAP316" s="34"/>
      <c r="IAQ316" s="34"/>
      <c r="IAR316" s="34"/>
      <c r="IAS316" s="34"/>
      <c r="IAT316" s="34"/>
      <c r="IAU316" s="34"/>
      <c r="IAV316" s="34"/>
      <c r="IAW316" s="34"/>
      <c r="IAX316" s="34"/>
      <c r="IAY316" s="34"/>
      <c r="IAZ316" s="34"/>
      <c r="IBA316" s="34"/>
      <c r="IBB316" s="34"/>
      <c r="IBC316" s="34"/>
      <c r="IBD316" s="34"/>
      <c r="IBE316" s="34"/>
      <c r="IBF316" s="34"/>
      <c r="IBG316" s="34"/>
      <c r="IBH316" s="34"/>
      <c r="IBI316" s="34"/>
      <c r="IBJ316" s="34"/>
      <c r="IBK316" s="34"/>
      <c r="IBL316" s="34"/>
      <c r="IBM316" s="34"/>
      <c r="IBN316" s="34"/>
      <c r="IBO316" s="34"/>
      <c r="IBP316" s="34"/>
      <c r="IBQ316" s="34"/>
      <c r="IBR316" s="34"/>
      <c r="IBS316" s="34"/>
      <c r="IBT316" s="34"/>
      <c r="IBU316" s="34"/>
      <c r="IBV316" s="34"/>
      <c r="IBW316" s="34"/>
      <c r="IBX316" s="34"/>
      <c r="IBY316" s="34"/>
      <c r="IBZ316" s="34"/>
      <c r="ICA316" s="34"/>
      <c r="ICB316" s="34"/>
      <c r="ICC316" s="34"/>
      <c r="ICD316" s="34"/>
      <c r="ICE316" s="34"/>
      <c r="ICF316" s="34"/>
      <c r="ICG316" s="34"/>
      <c r="ICH316" s="34"/>
      <c r="ICI316" s="34"/>
      <c r="ICJ316" s="34"/>
      <c r="ICK316" s="34"/>
      <c r="ICL316" s="34"/>
      <c r="ICM316" s="34"/>
      <c r="ICN316" s="34"/>
      <c r="ICO316" s="34"/>
      <c r="ICP316" s="34"/>
      <c r="ICQ316" s="34"/>
      <c r="ICR316" s="34"/>
      <c r="ICS316" s="34"/>
      <c r="ICT316" s="34"/>
      <c r="ICU316" s="34"/>
      <c r="ICV316" s="34"/>
      <c r="ICW316" s="34"/>
      <c r="ICX316" s="34"/>
      <c r="ICY316" s="34"/>
      <c r="ICZ316" s="34"/>
      <c r="IDA316" s="34"/>
      <c r="IDB316" s="34"/>
      <c r="IDC316" s="34"/>
      <c r="IDD316" s="34"/>
      <c r="IDE316" s="34"/>
      <c r="IDF316" s="34"/>
      <c r="IDG316" s="34"/>
      <c r="IDH316" s="34"/>
      <c r="IDI316" s="34"/>
      <c r="IDJ316" s="34"/>
      <c r="IDK316" s="34"/>
      <c r="IDL316" s="34"/>
      <c r="IDM316" s="34"/>
      <c r="IDN316" s="34"/>
      <c r="IDO316" s="34"/>
      <c r="IDP316" s="34"/>
      <c r="IDQ316" s="34"/>
      <c r="IDR316" s="34"/>
      <c r="IDS316" s="34"/>
      <c r="IDT316" s="34"/>
      <c r="IDU316" s="34"/>
      <c r="IDV316" s="34"/>
      <c r="IDW316" s="34"/>
      <c r="IDX316" s="34"/>
      <c r="IDY316" s="34"/>
      <c r="IDZ316" s="34"/>
      <c r="IEA316" s="34"/>
      <c r="IEB316" s="34"/>
      <c r="IEC316" s="34"/>
      <c r="IED316" s="34"/>
      <c r="IEE316" s="34"/>
      <c r="IEF316" s="34"/>
      <c r="IEG316" s="34"/>
      <c r="IEH316" s="34"/>
      <c r="IEI316" s="34"/>
      <c r="IEJ316" s="34"/>
      <c r="IEK316" s="34"/>
      <c r="IEL316" s="34"/>
      <c r="IEM316" s="34"/>
      <c r="IEN316" s="34"/>
      <c r="IEO316" s="34"/>
      <c r="IEP316" s="34"/>
      <c r="IEQ316" s="34"/>
      <c r="IER316" s="34"/>
      <c r="IES316" s="34"/>
      <c r="IET316" s="34"/>
      <c r="IEU316" s="34"/>
      <c r="IEV316" s="34"/>
      <c r="IEW316" s="34"/>
      <c r="IEX316" s="34"/>
      <c r="IEY316" s="34"/>
      <c r="IEZ316" s="34"/>
      <c r="IFA316" s="34"/>
      <c r="IFB316" s="34"/>
      <c r="IFC316" s="34"/>
      <c r="IFD316" s="34"/>
      <c r="IFE316" s="34"/>
      <c r="IFF316" s="34"/>
      <c r="IFG316" s="34"/>
      <c r="IFH316" s="34"/>
      <c r="IFI316" s="34"/>
      <c r="IFJ316" s="34"/>
      <c r="IFK316" s="34"/>
      <c r="IFL316" s="34"/>
      <c r="IFM316" s="34"/>
      <c r="IFN316" s="34"/>
      <c r="IFO316" s="34"/>
      <c r="IFP316" s="34"/>
      <c r="IFQ316" s="34"/>
      <c r="IFR316" s="34"/>
      <c r="IFS316" s="34"/>
      <c r="IFT316" s="34"/>
      <c r="IFU316" s="34"/>
      <c r="IFV316" s="34"/>
      <c r="IFW316" s="34"/>
      <c r="IFX316" s="34"/>
      <c r="IFY316" s="34"/>
      <c r="IFZ316" s="34"/>
      <c r="IGA316" s="34"/>
      <c r="IGB316" s="34"/>
      <c r="IGC316" s="34"/>
      <c r="IGD316" s="34"/>
      <c r="IGE316" s="34"/>
      <c r="IGF316" s="34"/>
      <c r="IGG316" s="34"/>
      <c r="IGH316" s="34"/>
      <c r="IGI316" s="34"/>
      <c r="IGJ316" s="34"/>
      <c r="IGK316" s="34"/>
      <c r="IGL316" s="34"/>
      <c r="IGM316" s="34"/>
      <c r="IGN316" s="34"/>
      <c r="IGO316" s="34"/>
      <c r="IGP316" s="34"/>
      <c r="IGQ316" s="34"/>
      <c r="IGR316" s="34"/>
      <c r="IGS316" s="34"/>
      <c r="IGT316" s="34"/>
      <c r="IGU316" s="34"/>
      <c r="IGV316" s="34"/>
      <c r="IGW316" s="34"/>
      <c r="IGX316" s="34"/>
      <c r="IGY316" s="34"/>
      <c r="IGZ316" s="34"/>
      <c r="IHA316" s="34"/>
      <c r="IHB316" s="34"/>
      <c r="IHC316" s="34"/>
      <c r="IHD316" s="34"/>
      <c r="IHE316" s="34"/>
      <c r="IHF316" s="34"/>
      <c r="IHG316" s="34"/>
      <c r="IHH316" s="34"/>
      <c r="IHI316" s="34"/>
      <c r="IHJ316" s="34"/>
      <c r="IHK316" s="34"/>
      <c r="IHL316" s="34"/>
      <c r="IHM316" s="34"/>
      <c r="IHN316" s="34"/>
      <c r="IHO316" s="34"/>
      <c r="IHP316" s="34"/>
      <c r="IHQ316" s="34"/>
      <c r="IHR316" s="34"/>
      <c r="IHS316" s="34"/>
      <c r="IHT316" s="34"/>
      <c r="IHU316" s="34"/>
      <c r="IHV316" s="34"/>
      <c r="IHW316" s="34"/>
      <c r="IHX316" s="34"/>
      <c r="IHY316" s="34"/>
      <c r="IHZ316" s="34"/>
      <c r="IIA316" s="34"/>
      <c r="IIB316" s="34"/>
      <c r="IIC316" s="34"/>
      <c r="IID316" s="34"/>
      <c r="IIE316" s="34"/>
      <c r="IIF316" s="34"/>
      <c r="IIG316" s="34"/>
      <c r="IIH316" s="34"/>
      <c r="III316" s="34"/>
      <c r="IIJ316" s="34"/>
      <c r="IIK316" s="34"/>
      <c r="IIL316" s="34"/>
      <c r="IIM316" s="34"/>
      <c r="IIN316" s="34"/>
      <c r="IIO316" s="34"/>
      <c r="IIP316" s="34"/>
      <c r="IIQ316" s="34"/>
      <c r="IIR316" s="34"/>
      <c r="IIS316" s="34"/>
      <c r="IIT316" s="34"/>
      <c r="IIU316" s="34"/>
      <c r="IIV316" s="34"/>
      <c r="IIW316" s="34"/>
      <c r="IIX316" s="34"/>
      <c r="IIY316" s="34"/>
      <c r="IIZ316" s="34"/>
      <c r="IJA316" s="34"/>
      <c r="IJB316" s="34"/>
      <c r="IJC316" s="34"/>
      <c r="IJD316" s="34"/>
      <c r="IJE316" s="34"/>
      <c r="IJF316" s="34"/>
      <c r="IJG316" s="34"/>
      <c r="IJH316" s="34"/>
      <c r="IJI316" s="34"/>
      <c r="IJJ316" s="34"/>
      <c r="IJK316" s="34"/>
      <c r="IJL316" s="34"/>
      <c r="IJM316" s="34"/>
      <c r="IJN316" s="34"/>
      <c r="IJO316" s="34"/>
      <c r="IJP316" s="34"/>
      <c r="IJQ316" s="34"/>
      <c r="IJR316" s="34"/>
      <c r="IJS316" s="34"/>
      <c r="IJT316" s="34"/>
      <c r="IJU316" s="34"/>
      <c r="IJV316" s="34"/>
      <c r="IJW316" s="34"/>
      <c r="IJX316" s="34"/>
      <c r="IJY316" s="34"/>
      <c r="IJZ316" s="34"/>
      <c r="IKA316" s="34"/>
      <c r="IKB316" s="34"/>
      <c r="IKC316" s="34"/>
      <c r="IKD316" s="34"/>
      <c r="IKE316" s="34"/>
      <c r="IKF316" s="34"/>
      <c r="IKG316" s="34"/>
      <c r="IKH316" s="34"/>
      <c r="IKI316" s="34"/>
      <c r="IKJ316" s="34"/>
      <c r="IKK316" s="34"/>
      <c r="IKL316" s="34"/>
      <c r="IKM316" s="34"/>
      <c r="IKN316" s="34"/>
      <c r="IKO316" s="34"/>
      <c r="IKP316" s="34"/>
      <c r="IKQ316" s="34"/>
      <c r="IKR316" s="34"/>
      <c r="IKS316" s="34"/>
      <c r="IKT316" s="34"/>
      <c r="IKU316" s="34"/>
      <c r="IKV316" s="34"/>
      <c r="IKW316" s="34"/>
      <c r="IKX316" s="34"/>
      <c r="IKY316" s="34"/>
      <c r="IKZ316" s="34"/>
      <c r="ILA316" s="34"/>
      <c r="ILB316" s="34"/>
      <c r="ILC316" s="34"/>
      <c r="ILD316" s="34"/>
      <c r="ILE316" s="34"/>
      <c r="ILF316" s="34"/>
      <c r="ILG316" s="34"/>
      <c r="ILH316" s="34"/>
      <c r="ILI316" s="34"/>
      <c r="ILJ316" s="34"/>
      <c r="ILK316" s="34"/>
      <c r="ILL316" s="34"/>
      <c r="ILM316" s="34"/>
      <c r="ILN316" s="34"/>
      <c r="ILO316" s="34"/>
      <c r="ILP316" s="34"/>
      <c r="ILQ316" s="34"/>
      <c r="ILR316" s="34"/>
      <c r="ILS316" s="34"/>
      <c r="ILT316" s="34"/>
      <c r="ILU316" s="34"/>
      <c r="ILV316" s="34"/>
      <c r="ILW316" s="34"/>
      <c r="ILX316" s="34"/>
      <c r="ILY316" s="34"/>
      <c r="ILZ316" s="34"/>
      <c r="IMA316" s="34"/>
      <c r="IMB316" s="34"/>
      <c r="IMC316" s="34"/>
      <c r="IMD316" s="34"/>
      <c r="IME316" s="34"/>
      <c r="IMF316" s="34"/>
      <c r="IMG316" s="34"/>
      <c r="IMH316" s="34"/>
      <c r="IMI316" s="34"/>
      <c r="IMJ316" s="34"/>
      <c r="IMK316" s="34"/>
      <c r="IML316" s="34"/>
      <c r="IMM316" s="34"/>
      <c r="IMN316" s="34"/>
      <c r="IMO316" s="34"/>
      <c r="IMP316" s="34"/>
      <c r="IMQ316" s="34"/>
      <c r="IMR316" s="34"/>
      <c r="IMS316" s="34"/>
      <c r="IMT316" s="34"/>
      <c r="IMU316" s="34"/>
      <c r="IMV316" s="34"/>
      <c r="IMW316" s="34"/>
      <c r="IMX316" s="34"/>
      <c r="IMY316" s="34"/>
      <c r="IMZ316" s="34"/>
      <c r="INA316" s="34"/>
      <c r="INB316" s="34"/>
      <c r="INC316" s="34"/>
      <c r="IND316" s="34"/>
      <c r="INE316" s="34"/>
      <c r="INF316" s="34"/>
      <c r="ING316" s="34"/>
      <c r="INH316" s="34"/>
      <c r="INI316" s="34"/>
      <c r="INJ316" s="34"/>
      <c r="INK316" s="34"/>
      <c r="INL316" s="34"/>
      <c r="INM316" s="34"/>
      <c r="INN316" s="34"/>
      <c r="INO316" s="34"/>
      <c r="INP316" s="34"/>
      <c r="INQ316" s="34"/>
      <c r="INR316" s="34"/>
      <c r="INS316" s="34"/>
      <c r="INT316" s="34"/>
      <c r="INU316" s="34"/>
      <c r="INV316" s="34"/>
      <c r="INW316" s="34"/>
      <c r="INX316" s="34"/>
      <c r="INY316" s="34"/>
      <c r="INZ316" s="34"/>
      <c r="IOA316" s="34"/>
      <c r="IOB316" s="34"/>
      <c r="IOC316" s="34"/>
      <c r="IOD316" s="34"/>
      <c r="IOE316" s="34"/>
      <c r="IOF316" s="34"/>
      <c r="IOG316" s="34"/>
      <c r="IOH316" s="34"/>
      <c r="IOI316" s="34"/>
      <c r="IOJ316" s="34"/>
      <c r="IOK316" s="34"/>
      <c r="IOL316" s="34"/>
      <c r="IOM316" s="34"/>
      <c r="ION316" s="34"/>
      <c r="IOO316" s="34"/>
      <c r="IOP316" s="34"/>
      <c r="IOQ316" s="34"/>
      <c r="IOR316" s="34"/>
      <c r="IOS316" s="34"/>
      <c r="IOT316" s="34"/>
      <c r="IOU316" s="34"/>
      <c r="IOV316" s="34"/>
      <c r="IOW316" s="34"/>
      <c r="IOX316" s="34"/>
      <c r="IOY316" s="34"/>
      <c r="IOZ316" s="34"/>
      <c r="IPA316" s="34"/>
      <c r="IPB316" s="34"/>
      <c r="IPC316" s="34"/>
      <c r="IPD316" s="34"/>
      <c r="IPE316" s="34"/>
      <c r="IPF316" s="34"/>
      <c r="IPG316" s="34"/>
      <c r="IPH316" s="34"/>
      <c r="IPI316" s="34"/>
      <c r="IPJ316" s="34"/>
      <c r="IPK316" s="34"/>
      <c r="IPL316" s="34"/>
      <c r="IPM316" s="34"/>
      <c r="IPN316" s="34"/>
      <c r="IPO316" s="34"/>
      <c r="IPP316" s="34"/>
      <c r="IPQ316" s="34"/>
      <c r="IPR316" s="34"/>
      <c r="IPS316" s="34"/>
      <c r="IPT316" s="34"/>
      <c r="IPU316" s="34"/>
      <c r="IPV316" s="34"/>
      <c r="IPW316" s="34"/>
      <c r="IPX316" s="34"/>
      <c r="IPY316" s="34"/>
      <c r="IPZ316" s="34"/>
      <c r="IQA316" s="34"/>
      <c r="IQB316" s="34"/>
      <c r="IQC316" s="34"/>
      <c r="IQD316" s="34"/>
      <c r="IQE316" s="34"/>
      <c r="IQF316" s="34"/>
      <c r="IQG316" s="34"/>
      <c r="IQH316" s="34"/>
      <c r="IQI316" s="34"/>
      <c r="IQJ316" s="34"/>
      <c r="IQK316" s="34"/>
      <c r="IQL316" s="34"/>
      <c r="IQM316" s="34"/>
      <c r="IQN316" s="34"/>
      <c r="IQO316" s="34"/>
      <c r="IQP316" s="34"/>
      <c r="IQQ316" s="34"/>
      <c r="IQR316" s="34"/>
      <c r="IQS316" s="34"/>
      <c r="IQT316" s="34"/>
      <c r="IQU316" s="34"/>
      <c r="IQV316" s="34"/>
      <c r="IQW316" s="34"/>
      <c r="IQX316" s="34"/>
      <c r="IQY316" s="34"/>
      <c r="IQZ316" s="34"/>
      <c r="IRA316" s="34"/>
      <c r="IRB316" s="34"/>
      <c r="IRC316" s="34"/>
      <c r="IRD316" s="34"/>
      <c r="IRE316" s="34"/>
      <c r="IRF316" s="34"/>
      <c r="IRG316" s="34"/>
      <c r="IRH316" s="34"/>
      <c r="IRI316" s="34"/>
      <c r="IRJ316" s="34"/>
      <c r="IRK316" s="34"/>
      <c r="IRL316" s="34"/>
      <c r="IRM316" s="34"/>
      <c r="IRN316" s="34"/>
      <c r="IRO316" s="34"/>
      <c r="IRP316" s="34"/>
      <c r="IRQ316" s="34"/>
      <c r="IRR316" s="34"/>
      <c r="IRS316" s="34"/>
      <c r="IRT316" s="34"/>
      <c r="IRU316" s="34"/>
      <c r="IRV316" s="34"/>
      <c r="IRW316" s="34"/>
      <c r="IRX316" s="34"/>
      <c r="IRY316" s="34"/>
      <c r="IRZ316" s="34"/>
      <c r="ISA316" s="34"/>
      <c r="ISB316" s="34"/>
      <c r="ISC316" s="34"/>
      <c r="ISD316" s="34"/>
      <c r="ISE316" s="34"/>
      <c r="ISF316" s="34"/>
      <c r="ISG316" s="34"/>
      <c r="ISH316" s="34"/>
      <c r="ISI316" s="34"/>
      <c r="ISJ316" s="34"/>
      <c r="ISK316" s="34"/>
      <c r="ISL316" s="34"/>
      <c r="ISM316" s="34"/>
      <c r="ISN316" s="34"/>
      <c r="ISO316" s="34"/>
      <c r="ISP316" s="34"/>
      <c r="ISQ316" s="34"/>
      <c r="ISR316" s="34"/>
      <c r="ISS316" s="34"/>
      <c r="IST316" s="34"/>
      <c r="ISU316" s="34"/>
      <c r="ISV316" s="34"/>
      <c r="ISW316" s="34"/>
      <c r="ISX316" s="34"/>
      <c r="ISY316" s="34"/>
      <c r="ISZ316" s="34"/>
      <c r="ITA316" s="34"/>
      <c r="ITB316" s="34"/>
      <c r="ITC316" s="34"/>
      <c r="ITD316" s="34"/>
      <c r="ITE316" s="34"/>
      <c r="ITF316" s="34"/>
      <c r="ITG316" s="34"/>
      <c r="ITH316" s="34"/>
      <c r="ITI316" s="34"/>
      <c r="ITJ316" s="34"/>
      <c r="ITK316" s="34"/>
      <c r="ITL316" s="34"/>
      <c r="ITM316" s="34"/>
      <c r="ITN316" s="34"/>
      <c r="ITO316" s="34"/>
      <c r="ITP316" s="34"/>
      <c r="ITQ316" s="34"/>
      <c r="ITR316" s="34"/>
      <c r="ITS316" s="34"/>
      <c r="ITT316" s="34"/>
      <c r="ITU316" s="34"/>
      <c r="ITV316" s="34"/>
      <c r="ITW316" s="34"/>
      <c r="ITX316" s="34"/>
      <c r="ITY316" s="34"/>
      <c r="ITZ316" s="34"/>
      <c r="IUA316" s="34"/>
      <c r="IUB316" s="34"/>
      <c r="IUC316" s="34"/>
      <c r="IUD316" s="34"/>
      <c r="IUE316" s="34"/>
      <c r="IUF316" s="34"/>
      <c r="IUG316" s="34"/>
      <c r="IUH316" s="34"/>
      <c r="IUI316" s="34"/>
      <c r="IUJ316" s="34"/>
      <c r="IUK316" s="34"/>
      <c r="IUL316" s="34"/>
      <c r="IUM316" s="34"/>
      <c r="IUN316" s="34"/>
      <c r="IUO316" s="34"/>
      <c r="IUP316" s="34"/>
      <c r="IUQ316" s="34"/>
      <c r="IUR316" s="34"/>
      <c r="IUS316" s="34"/>
      <c r="IUT316" s="34"/>
      <c r="IUU316" s="34"/>
      <c r="IUV316" s="34"/>
      <c r="IUW316" s="34"/>
      <c r="IUX316" s="34"/>
      <c r="IUY316" s="34"/>
      <c r="IUZ316" s="34"/>
      <c r="IVA316" s="34"/>
      <c r="IVB316" s="34"/>
      <c r="IVC316" s="34"/>
      <c r="IVD316" s="34"/>
      <c r="IVE316" s="34"/>
      <c r="IVF316" s="34"/>
      <c r="IVG316" s="34"/>
      <c r="IVH316" s="34"/>
      <c r="IVI316" s="34"/>
      <c r="IVJ316" s="34"/>
      <c r="IVK316" s="34"/>
      <c r="IVL316" s="34"/>
      <c r="IVM316" s="34"/>
      <c r="IVN316" s="34"/>
      <c r="IVO316" s="34"/>
      <c r="IVP316" s="34"/>
      <c r="IVQ316" s="34"/>
      <c r="IVR316" s="34"/>
      <c r="IVS316" s="34"/>
      <c r="IVT316" s="34"/>
      <c r="IVU316" s="34"/>
      <c r="IVV316" s="34"/>
      <c r="IVW316" s="34"/>
      <c r="IVX316" s="34"/>
      <c r="IVY316" s="34"/>
      <c r="IVZ316" s="34"/>
      <c r="IWA316" s="34"/>
      <c r="IWB316" s="34"/>
      <c r="IWC316" s="34"/>
      <c r="IWD316" s="34"/>
      <c r="IWE316" s="34"/>
      <c r="IWF316" s="34"/>
      <c r="IWG316" s="34"/>
      <c r="IWH316" s="34"/>
      <c r="IWI316" s="34"/>
      <c r="IWJ316" s="34"/>
      <c r="IWK316" s="34"/>
      <c r="IWL316" s="34"/>
      <c r="IWM316" s="34"/>
      <c r="IWN316" s="34"/>
      <c r="IWO316" s="34"/>
      <c r="IWP316" s="34"/>
      <c r="IWQ316" s="34"/>
      <c r="IWR316" s="34"/>
      <c r="IWS316" s="34"/>
      <c r="IWT316" s="34"/>
      <c r="IWU316" s="34"/>
      <c r="IWV316" s="34"/>
      <c r="IWW316" s="34"/>
      <c r="IWX316" s="34"/>
      <c r="IWY316" s="34"/>
      <c r="IWZ316" s="34"/>
      <c r="IXA316" s="34"/>
      <c r="IXB316" s="34"/>
      <c r="IXC316" s="34"/>
      <c r="IXD316" s="34"/>
      <c r="IXE316" s="34"/>
      <c r="IXF316" s="34"/>
      <c r="IXG316" s="34"/>
      <c r="IXH316" s="34"/>
      <c r="IXI316" s="34"/>
      <c r="IXJ316" s="34"/>
      <c r="IXK316" s="34"/>
      <c r="IXL316" s="34"/>
      <c r="IXM316" s="34"/>
      <c r="IXN316" s="34"/>
      <c r="IXO316" s="34"/>
      <c r="IXP316" s="34"/>
      <c r="IXQ316" s="34"/>
      <c r="IXR316" s="34"/>
      <c r="IXS316" s="34"/>
      <c r="IXT316" s="34"/>
      <c r="IXU316" s="34"/>
      <c r="IXV316" s="34"/>
      <c r="IXW316" s="34"/>
      <c r="IXX316" s="34"/>
      <c r="IXY316" s="34"/>
      <c r="IXZ316" s="34"/>
      <c r="IYA316" s="34"/>
      <c r="IYB316" s="34"/>
      <c r="IYC316" s="34"/>
      <c r="IYD316" s="34"/>
      <c r="IYE316" s="34"/>
      <c r="IYF316" s="34"/>
      <c r="IYG316" s="34"/>
      <c r="IYH316" s="34"/>
      <c r="IYI316" s="34"/>
      <c r="IYJ316" s="34"/>
      <c r="IYK316" s="34"/>
      <c r="IYL316" s="34"/>
      <c r="IYM316" s="34"/>
      <c r="IYN316" s="34"/>
      <c r="IYO316" s="34"/>
      <c r="IYP316" s="34"/>
      <c r="IYQ316" s="34"/>
      <c r="IYR316" s="34"/>
      <c r="IYS316" s="34"/>
      <c r="IYT316" s="34"/>
      <c r="IYU316" s="34"/>
      <c r="IYV316" s="34"/>
      <c r="IYW316" s="34"/>
      <c r="IYX316" s="34"/>
      <c r="IYY316" s="34"/>
      <c r="IYZ316" s="34"/>
      <c r="IZA316" s="34"/>
      <c r="IZB316" s="34"/>
      <c r="IZC316" s="34"/>
      <c r="IZD316" s="34"/>
      <c r="IZE316" s="34"/>
      <c r="IZF316" s="34"/>
      <c r="IZG316" s="34"/>
      <c r="IZH316" s="34"/>
      <c r="IZI316" s="34"/>
      <c r="IZJ316" s="34"/>
      <c r="IZK316" s="34"/>
      <c r="IZL316" s="34"/>
      <c r="IZM316" s="34"/>
      <c r="IZN316" s="34"/>
      <c r="IZO316" s="34"/>
      <c r="IZP316" s="34"/>
      <c r="IZQ316" s="34"/>
      <c r="IZR316" s="34"/>
      <c r="IZS316" s="34"/>
      <c r="IZT316" s="34"/>
      <c r="IZU316" s="34"/>
      <c r="IZV316" s="34"/>
      <c r="IZW316" s="34"/>
      <c r="IZX316" s="34"/>
      <c r="IZY316" s="34"/>
      <c r="IZZ316" s="34"/>
      <c r="JAA316" s="34"/>
      <c r="JAB316" s="34"/>
      <c r="JAC316" s="34"/>
      <c r="JAD316" s="34"/>
      <c r="JAE316" s="34"/>
      <c r="JAF316" s="34"/>
      <c r="JAG316" s="34"/>
      <c r="JAH316" s="34"/>
      <c r="JAI316" s="34"/>
      <c r="JAJ316" s="34"/>
      <c r="JAK316" s="34"/>
      <c r="JAL316" s="34"/>
      <c r="JAM316" s="34"/>
      <c r="JAN316" s="34"/>
      <c r="JAO316" s="34"/>
      <c r="JAP316" s="34"/>
      <c r="JAQ316" s="34"/>
      <c r="JAR316" s="34"/>
      <c r="JAS316" s="34"/>
      <c r="JAT316" s="34"/>
      <c r="JAU316" s="34"/>
      <c r="JAV316" s="34"/>
      <c r="JAW316" s="34"/>
      <c r="JAX316" s="34"/>
      <c r="JAY316" s="34"/>
      <c r="JAZ316" s="34"/>
      <c r="JBA316" s="34"/>
      <c r="JBB316" s="34"/>
      <c r="JBC316" s="34"/>
      <c r="JBD316" s="34"/>
      <c r="JBE316" s="34"/>
      <c r="JBF316" s="34"/>
      <c r="JBG316" s="34"/>
      <c r="JBH316" s="34"/>
      <c r="JBI316" s="34"/>
      <c r="JBJ316" s="34"/>
      <c r="JBK316" s="34"/>
      <c r="JBL316" s="34"/>
      <c r="JBM316" s="34"/>
      <c r="JBN316" s="34"/>
      <c r="JBO316" s="34"/>
      <c r="JBP316" s="34"/>
      <c r="JBQ316" s="34"/>
      <c r="JBR316" s="34"/>
      <c r="JBS316" s="34"/>
      <c r="JBT316" s="34"/>
      <c r="JBU316" s="34"/>
      <c r="JBV316" s="34"/>
      <c r="JBW316" s="34"/>
      <c r="JBX316" s="34"/>
      <c r="JBY316" s="34"/>
      <c r="JBZ316" s="34"/>
      <c r="JCA316" s="34"/>
      <c r="JCB316" s="34"/>
      <c r="JCC316" s="34"/>
      <c r="JCD316" s="34"/>
      <c r="JCE316" s="34"/>
      <c r="JCF316" s="34"/>
      <c r="JCG316" s="34"/>
      <c r="JCH316" s="34"/>
      <c r="JCI316" s="34"/>
      <c r="JCJ316" s="34"/>
      <c r="JCK316" s="34"/>
      <c r="JCL316" s="34"/>
      <c r="JCM316" s="34"/>
      <c r="JCN316" s="34"/>
      <c r="JCO316" s="34"/>
      <c r="JCP316" s="34"/>
      <c r="JCQ316" s="34"/>
      <c r="JCR316" s="34"/>
      <c r="JCS316" s="34"/>
      <c r="JCT316" s="34"/>
      <c r="JCU316" s="34"/>
      <c r="JCV316" s="34"/>
      <c r="JCW316" s="34"/>
      <c r="JCX316" s="34"/>
      <c r="JCY316" s="34"/>
      <c r="JCZ316" s="34"/>
      <c r="JDA316" s="34"/>
      <c r="JDB316" s="34"/>
      <c r="JDC316" s="34"/>
      <c r="JDD316" s="34"/>
      <c r="JDE316" s="34"/>
      <c r="JDF316" s="34"/>
      <c r="JDG316" s="34"/>
      <c r="JDH316" s="34"/>
      <c r="JDI316" s="34"/>
      <c r="JDJ316" s="34"/>
      <c r="JDK316" s="34"/>
      <c r="JDL316" s="34"/>
      <c r="JDM316" s="34"/>
      <c r="JDN316" s="34"/>
      <c r="JDO316" s="34"/>
      <c r="JDP316" s="34"/>
      <c r="JDQ316" s="34"/>
      <c r="JDR316" s="34"/>
      <c r="JDS316" s="34"/>
      <c r="JDT316" s="34"/>
      <c r="JDU316" s="34"/>
      <c r="JDV316" s="34"/>
      <c r="JDW316" s="34"/>
      <c r="JDX316" s="34"/>
      <c r="JDY316" s="34"/>
      <c r="JDZ316" s="34"/>
      <c r="JEA316" s="34"/>
      <c r="JEB316" s="34"/>
      <c r="JEC316" s="34"/>
      <c r="JED316" s="34"/>
      <c r="JEE316" s="34"/>
      <c r="JEF316" s="34"/>
      <c r="JEG316" s="34"/>
      <c r="JEH316" s="34"/>
      <c r="JEI316" s="34"/>
      <c r="JEJ316" s="34"/>
      <c r="JEK316" s="34"/>
      <c r="JEL316" s="34"/>
      <c r="JEM316" s="34"/>
      <c r="JEN316" s="34"/>
      <c r="JEO316" s="34"/>
      <c r="JEP316" s="34"/>
      <c r="JEQ316" s="34"/>
      <c r="JER316" s="34"/>
      <c r="JES316" s="34"/>
      <c r="JET316" s="34"/>
      <c r="JEU316" s="34"/>
      <c r="JEV316" s="34"/>
      <c r="JEW316" s="34"/>
      <c r="JEX316" s="34"/>
      <c r="JEY316" s="34"/>
      <c r="JEZ316" s="34"/>
      <c r="JFA316" s="34"/>
      <c r="JFB316" s="34"/>
      <c r="JFC316" s="34"/>
      <c r="JFD316" s="34"/>
      <c r="JFE316" s="34"/>
      <c r="JFF316" s="34"/>
      <c r="JFG316" s="34"/>
      <c r="JFH316" s="34"/>
      <c r="JFI316" s="34"/>
      <c r="JFJ316" s="34"/>
      <c r="JFK316" s="34"/>
      <c r="JFL316" s="34"/>
      <c r="JFM316" s="34"/>
      <c r="JFN316" s="34"/>
      <c r="JFO316" s="34"/>
      <c r="JFP316" s="34"/>
      <c r="JFQ316" s="34"/>
      <c r="JFR316" s="34"/>
      <c r="JFS316" s="34"/>
      <c r="JFT316" s="34"/>
      <c r="JFU316" s="34"/>
      <c r="JFV316" s="34"/>
      <c r="JFW316" s="34"/>
      <c r="JFX316" s="34"/>
      <c r="JFY316" s="34"/>
      <c r="JFZ316" s="34"/>
      <c r="JGA316" s="34"/>
      <c r="JGB316" s="34"/>
      <c r="JGC316" s="34"/>
      <c r="JGD316" s="34"/>
      <c r="JGE316" s="34"/>
      <c r="JGF316" s="34"/>
      <c r="JGG316" s="34"/>
      <c r="JGH316" s="34"/>
      <c r="JGI316" s="34"/>
      <c r="JGJ316" s="34"/>
      <c r="JGK316" s="34"/>
      <c r="JGL316" s="34"/>
      <c r="JGM316" s="34"/>
      <c r="JGN316" s="34"/>
      <c r="JGO316" s="34"/>
      <c r="JGP316" s="34"/>
      <c r="JGQ316" s="34"/>
      <c r="JGR316" s="34"/>
      <c r="JGS316" s="34"/>
      <c r="JGT316" s="34"/>
      <c r="JGU316" s="34"/>
      <c r="JGV316" s="34"/>
      <c r="JGW316" s="34"/>
      <c r="JGX316" s="34"/>
      <c r="JGY316" s="34"/>
      <c r="JGZ316" s="34"/>
      <c r="JHA316" s="34"/>
      <c r="JHB316" s="34"/>
      <c r="JHC316" s="34"/>
      <c r="JHD316" s="34"/>
      <c r="JHE316" s="34"/>
      <c r="JHF316" s="34"/>
      <c r="JHG316" s="34"/>
      <c r="JHH316" s="34"/>
      <c r="JHI316" s="34"/>
      <c r="JHJ316" s="34"/>
      <c r="JHK316" s="34"/>
      <c r="JHL316" s="34"/>
      <c r="JHM316" s="34"/>
      <c r="JHN316" s="34"/>
      <c r="JHO316" s="34"/>
      <c r="JHP316" s="34"/>
      <c r="JHQ316" s="34"/>
      <c r="JHR316" s="34"/>
      <c r="JHS316" s="34"/>
      <c r="JHT316" s="34"/>
      <c r="JHU316" s="34"/>
      <c r="JHV316" s="34"/>
      <c r="JHW316" s="34"/>
      <c r="JHX316" s="34"/>
      <c r="JHY316" s="34"/>
      <c r="JHZ316" s="34"/>
      <c r="JIA316" s="34"/>
      <c r="JIB316" s="34"/>
      <c r="JIC316" s="34"/>
      <c r="JID316" s="34"/>
      <c r="JIE316" s="34"/>
      <c r="JIF316" s="34"/>
      <c r="JIG316" s="34"/>
      <c r="JIH316" s="34"/>
      <c r="JII316" s="34"/>
      <c r="JIJ316" s="34"/>
      <c r="JIK316" s="34"/>
      <c r="JIL316" s="34"/>
      <c r="JIM316" s="34"/>
      <c r="JIN316" s="34"/>
      <c r="JIO316" s="34"/>
      <c r="JIP316" s="34"/>
      <c r="JIQ316" s="34"/>
      <c r="JIR316" s="34"/>
      <c r="JIS316" s="34"/>
      <c r="JIT316" s="34"/>
      <c r="JIU316" s="34"/>
      <c r="JIV316" s="34"/>
      <c r="JIW316" s="34"/>
      <c r="JIX316" s="34"/>
      <c r="JIY316" s="34"/>
      <c r="JIZ316" s="34"/>
      <c r="JJA316" s="34"/>
      <c r="JJB316" s="34"/>
      <c r="JJC316" s="34"/>
      <c r="JJD316" s="34"/>
      <c r="JJE316" s="34"/>
      <c r="JJF316" s="34"/>
      <c r="JJG316" s="34"/>
      <c r="JJH316" s="34"/>
      <c r="JJI316" s="34"/>
      <c r="JJJ316" s="34"/>
      <c r="JJK316" s="34"/>
      <c r="JJL316" s="34"/>
      <c r="JJM316" s="34"/>
      <c r="JJN316" s="34"/>
      <c r="JJO316" s="34"/>
      <c r="JJP316" s="34"/>
      <c r="JJQ316" s="34"/>
      <c r="JJR316" s="34"/>
      <c r="JJS316" s="34"/>
      <c r="JJT316" s="34"/>
      <c r="JJU316" s="34"/>
      <c r="JJV316" s="34"/>
      <c r="JJW316" s="34"/>
      <c r="JJX316" s="34"/>
      <c r="JJY316" s="34"/>
      <c r="JJZ316" s="34"/>
      <c r="JKA316" s="34"/>
      <c r="JKB316" s="34"/>
      <c r="JKC316" s="34"/>
      <c r="JKD316" s="34"/>
      <c r="JKE316" s="34"/>
      <c r="JKF316" s="34"/>
      <c r="JKG316" s="34"/>
      <c r="JKH316" s="34"/>
      <c r="JKI316" s="34"/>
      <c r="JKJ316" s="34"/>
      <c r="JKK316" s="34"/>
      <c r="JKL316" s="34"/>
      <c r="JKM316" s="34"/>
      <c r="JKN316" s="34"/>
      <c r="JKO316" s="34"/>
      <c r="JKP316" s="34"/>
      <c r="JKQ316" s="34"/>
      <c r="JKR316" s="34"/>
      <c r="JKS316" s="34"/>
      <c r="JKT316" s="34"/>
      <c r="JKU316" s="34"/>
      <c r="JKV316" s="34"/>
      <c r="JKW316" s="34"/>
      <c r="JKX316" s="34"/>
      <c r="JKY316" s="34"/>
      <c r="JKZ316" s="34"/>
      <c r="JLA316" s="34"/>
      <c r="JLB316" s="34"/>
      <c r="JLC316" s="34"/>
      <c r="JLD316" s="34"/>
      <c r="JLE316" s="34"/>
      <c r="JLF316" s="34"/>
      <c r="JLG316" s="34"/>
      <c r="JLH316" s="34"/>
      <c r="JLI316" s="34"/>
      <c r="JLJ316" s="34"/>
      <c r="JLK316" s="34"/>
      <c r="JLL316" s="34"/>
      <c r="JLM316" s="34"/>
      <c r="JLN316" s="34"/>
      <c r="JLO316" s="34"/>
      <c r="JLP316" s="34"/>
      <c r="JLQ316" s="34"/>
      <c r="JLR316" s="34"/>
      <c r="JLS316" s="34"/>
      <c r="JLT316" s="34"/>
      <c r="JLU316" s="34"/>
      <c r="JLV316" s="34"/>
      <c r="JLW316" s="34"/>
      <c r="JLX316" s="34"/>
      <c r="JLY316" s="34"/>
      <c r="JLZ316" s="34"/>
      <c r="JMA316" s="34"/>
      <c r="JMB316" s="34"/>
      <c r="JMC316" s="34"/>
      <c r="JMD316" s="34"/>
      <c r="JME316" s="34"/>
      <c r="JMF316" s="34"/>
      <c r="JMG316" s="34"/>
      <c r="JMH316" s="34"/>
      <c r="JMI316" s="34"/>
      <c r="JMJ316" s="34"/>
      <c r="JMK316" s="34"/>
      <c r="JML316" s="34"/>
      <c r="JMM316" s="34"/>
      <c r="JMN316" s="34"/>
      <c r="JMO316" s="34"/>
      <c r="JMP316" s="34"/>
      <c r="JMQ316" s="34"/>
      <c r="JMR316" s="34"/>
      <c r="JMS316" s="34"/>
      <c r="JMT316" s="34"/>
      <c r="JMU316" s="34"/>
      <c r="JMV316" s="34"/>
      <c r="JMW316" s="34"/>
      <c r="JMX316" s="34"/>
      <c r="JMY316" s="34"/>
      <c r="JMZ316" s="34"/>
      <c r="JNA316" s="34"/>
      <c r="JNB316" s="34"/>
      <c r="JNC316" s="34"/>
      <c r="JND316" s="34"/>
      <c r="JNE316" s="34"/>
      <c r="JNF316" s="34"/>
      <c r="JNG316" s="34"/>
      <c r="JNH316" s="34"/>
      <c r="JNI316" s="34"/>
      <c r="JNJ316" s="34"/>
      <c r="JNK316" s="34"/>
      <c r="JNL316" s="34"/>
      <c r="JNM316" s="34"/>
      <c r="JNN316" s="34"/>
      <c r="JNO316" s="34"/>
      <c r="JNP316" s="34"/>
      <c r="JNQ316" s="34"/>
      <c r="JNR316" s="34"/>
      <c r="JNS316" s="34"/>
      <c r="JNT316" s="34"/>
      <c r="JNU316" s="34"/>
      <c r="JNV316" s="34"/>
      <c r="JNW316" s="34"/>
      <c r="JNX316" s="34"/>
      <c r="JNY316" s="34"/>
      <c r="JNZ316" s="34"/>
      <c r="JOA316" s="34"/>
      <c r="JOB316" s="34"/>
      <c r="JOC316" s="34"/>
      <c r="JOD316" s="34"/>
      <c r="JOE316" s="34"/>
      <c r="JOF316" s="34"/>
      <c r="JOG316" s="34"/>
      <c r="JOH316" s="34"/>
      <c r="JOI316" s="34"/>
      <c r="JOJ316" s="34"/>
      <c r="JOK316" s="34"/>
      <c r="JOL316" s="34"/>
      <c r="JOM316" s="34"/>
      <c r="JON316" s="34"/>
      <c r="JOO316" s="34"/>
      <c r="JOP316" s="34"/>
      <c r="JOQ316" s="34"/>
      <c r="JOR316" s="34"/>
      <c r="JOS316" s="34"/>
      <c r="JOT316" s="34"/>
      <c r="JOU316" s="34"/>
      <c r="JOV316" s="34"/>
      <c r="JOW316" s="34"/>
      <c r="JOX316" s="34"/>
      <c r="JOY316" s="34"/>
      <c r="JOZ316" s="34"/>
      <c r="JPA316" s="34"/>
      <c r="JPB316" s="34"/>
      <c r="JPC316" s="34"/>
      <c r="JPD316" s="34"/>
      <c r="JPE316" s="34"/>
      <c r="JPF316" s="34"/>
      <c r="JPG316" s="34"/>
      <c r="JPH316" s="34"/>
      <c r="JPI316" s="34"/>
      <c r="JPJ316" s="34"/>
      <c r="JPK316" s="34"/>
      <c r="JPL316" s="34"/>
      <c r="JPM316" s="34"/>
      <c r="JPN316" s="34"/>
      <c r="JPO316" s="34"/>
      <c r="JPP316" s="34"/>
      <c r="JPQ316" s="34"/>
      <c r="JPR316" s="34"/>
      <c r="JPS316" s="34"/>
      <c r="JPT316" s="34"/>
      <c r="JPU316" s="34"/>
      <c r="JPV316" s="34"/>
      <c r="JPW316" s="34"/>
      <c r="JPX316" s="34"/>
      <c r="JPY316" s="34"/>
      <c r="JPZ316" s="34"/>
      <c r="JQA316" s="34"/>
      <c r="JQB316" s="34"/>
      <c r="JQC316" s="34"/>
      <c r="JQD316" s="34"/>
      <c r="JQE316" s="34"/>
      <c r="JQF316" s="34"/>
      <c r="JQG316" s="34"/>
      <c r="JQH316" s="34"/>
      <c r="JQI316" s="34"/>
      <c r="JQJ316" s="34"/>
      <c r="JQK316" s="34"/>
      <c r="JQL316" s="34"/>
      <c r="JQM316" s="34"/>
      <c r="JQN316" s="34"/>
      <c r="JQO316" s="34"/>
      <c r="JQP316" s="34"/>
      <c r="JQQ316" s="34"/>
      <c r="JQR316" s="34"/>
      <c r="JQS316" s="34"/>
      <c r="JQT316" s="34"/>
      <c r="JQU316" s="34"/>
      <c r="JQV316" s="34"/>
      <c r="JQW316" s="34"/>
      <c r="JQX316" s="34"/>
      <c r="JQY316" s="34"/>
      <c r="JQZ316" s="34"/>
      <c r="JRA316" s="34"/>
      <c r="JRB316" s="34"/>
      <c r="JRC316" s="34"/>
      <c r="JRD316" s="34"/>
      <c r="JRE316" s="34"/>
      <c r="JRF316" s="34"/>
      <c r="JRG316" s="34"/>
      <c r="JRH316" s="34"/>
      <c r="JRI316" s="34"/>
      <c r="JRJ316" s="34"/>
      <c r="JRK316" s="34"/>
      <c r="JRL316" s="34"/>
      <c r="JRM316" s="34"/>
      <c r="JRN316" s="34"/>
      <c r="JRO316" s="34"/>
      <c r="JRP316" s="34"/>
      <c r="JRQ316" s="34"/>
      <c r="JRR316" s="34"/>
      <c r="JRS316" s="34"/>
      <c r="JRT316" s="34"/>
      <c r="JRU316" s="34"/>
      <c r="JRV316" s="34"/>
      <c r="JRW316" s="34"/>
      <c r="JRX316" s="34"/>
      <c r="JRY316" s="34"/>
      <c r="JRZ316" s="34"/>
      <c r="JSA316" s="34"/>
      <c r="JSB316" s="34"/>
      <c r="JSC316" s="34"/>
      <c r="JSD316" s="34"/>
      <c r="JSE316" s="34"/>
      <c r="JSF316" s="34"/>
      <c r="JSG316" s="34"/>
      <c r="JSH316" s="34"/>
      <c r="JSI316" s="34"/>
      <c r="JSJ316" s="34"/>
      <c r="JSK316" s="34"/>
      <c r="JSL316" s="34"/>
      <c r="JSM316" s="34"/>
      <c r="JSN316" s="34"/>
      <c r="JSO316" s="34"/>
      <c r="JSP316" s="34"/>
      <c r="JSQ316" s="34"/>
      <c r="JSR316" s="34"/>
      <c r="JSS316" s="34"/>
      <c r="JST316" s="34"/>
      <c r="JSU316" s="34"/>
      <c r="JSV316" s="34"/>
      <c r="JSW316" s="34"/>
      <c r="JSX316" s="34"/>
      <c r="JSY316" s="34"/>
      <c r="JSZ316" s="34"/>
      <c r="JTA316" s="34"/>
      <c r="JTB316" s="34"/>
      <c r="JTC316" s="34"/>
      <c r="JTD316" s="34"/>
      <c r="JTE316" s="34"/>
      <c r="JTF316" s="34"/>
      <c r="JTG316" s="34"/>
      <c r="JTH316" s="34"/>
      <c r="JTI316" s="34"/>
      <c r="JTJ316" s="34"/>
      <c r="JTK316" s="34"/>
      <c r="JTL316" s="34"/>
      <c r="JTM316" s="34"/>
      <c r="JTN316" s="34"/>
      <c r="JTO316" s="34"/>
      <c r="JTP316" s="34"/>
      <c r="JTQ316" s="34"/>
      <c r="JTR316" s="34"/>
      <c r="JTS316" s="34"/>
      <c r="JTT316" s="34"/>
      <c r="JTU316" s="34"/>
      <c r="JTV316" s="34"/>
      <c r="JTW316" s="34"/>
      <c r="JTX316" s="34"/>
      <c r="JTY316" s="34"/>
      <c r="JTZ316" s="34"/>
      <c r="JUA316" s="34"/>
      <c r="JUB316" s="34"/>
      <c r="JUC316" s="34"/>
      <c r="JUD316" s="34"/>
      <c r="JUE316" s="34"/>
      <c r="JUF316" s="34"/>
      <c r="JUG316" s="34"/>
      <c r="JUH316" s="34"/>
      <c r="JUI316" s="34"/>
      <c r="JUJ316" s="34"/>
      <c r="JUK316" s="34"/>
      <c r="JUL316" s="34"/>
      <c r="JUM316" s="34"/>
      <c r="JUN316" s="34"/>
      <c r="JUO316" s="34"/>
      <c r="JUP316" s="34"/>
      <c r="JUQ316" s="34"/>
      <c r="JUR316" s="34"/>
      <c r="JUS316" s="34"/>
      <c r="JUT316" s="34"/>
      <c r="JUU316" s="34"/>
      <c r="JUV316" s="34"/>
      <c r="JUW316" s="34"/>
      <c r="JUX316" s="34"/>
      <c r="JUY316" s="34"/>
      <c r="JUZ316" s="34"/>
      <c r="JVA316" s="34"/>
      <c r="JVB316" s="34"/>
      <c r="JVC316" s="34"/>
      <c r="JVD316" s="34"/>
      <c r="JVE316" s="34"/>
      <c r="JVF316" s="34"/>
      <c r="JVG316" s="34"/>
      <c r="JVH316" s="34"/>
      <c r="JVI316" s="34"/>
      <c r="JVJ316" s="34"/>
      <c r="JVK316" s="34"/>
      <c r="JVL316" s="34"/>
      <c r="JVM316" s="34"/>
      <c r="JVN316" s="34"/>
      <c r="JVO316" s="34"/>
      <c r="JVP316" s="34"/>
      <c r="JVQ316" s="34"/>
      <c r="JVR316" s="34"/>
      <c r="JVS316" s="34"/>
      <c r="JVT316" s="34"/>
      <c r="JVU316" s="34"/>
      <c r="JVV316" s="34"/>
      <c r="JVW316" s="34"/>
      <c r="JVX316" s="34"/>
      <c r="JVY316" s="34"/>
      <c r="JVZ316" s="34"/>
      <c r="JWA316" s="34"/>
      <c r="JWB316" s="34"/>
      <c r="JWC316" s="34"/>
      <c r="JWD316" s="34"/>
      <c r="JWE316" s="34"/>
      <c r="JWF316" s="34"/>
      <c r="JWG316" s="34"/>
      <c r="JWH316" s="34"/>
      <c r="JWI316" s="34"/>
      <c r="JWJ316" s="34"/>
      <c r="JWK316" s="34"/>
      <c r="JWL316" s="34"/>
      <c r="JWM316" s="34"/>
      <c r="JWN316" s="34"/>
      <c r="JWO316" s="34"/>
      <c r="JWP316" s="34"/>
      <c r="JWQ316" s="34"/>
      <c r="JWR316" s="34"/>
      <c r="JWS316" s="34"/>
      <c r="JWT316" s="34"/>
      <c r="JWU316" s="34"/>
      <c r="JWV316" s="34"/>
      <c r="JWW316" s="34"/>
      <c r="JWX316" s="34"/>
      <c r="JWY316" s="34"/>
      <c r="JWZ316" s="34"/>
      <c r="JXA316" s="34"/>
      <c r="JXB316" s="34"/>
      <c r="JXC316" s="34"/>
      <c r="JXD316" s="34"/>
      <c r="JXE316" s="34"/>
      <c r="JXF316" s="34"/>
      <c r="JXG316" s="34"/>
      <c r="JXH316" s="34"/>
      <c r="JXI316" s="34"/>
      <c r="JXJ316" s="34"/>
      <c r="JXK316" s="34"/>
      <c r="JXL316" s="34"/>
      <c r="JXM316" s="34"/>
      <c r="JXN316" s="34"/>
      <c r="JXO316" s="34"/>
      <c r="JXP316" s="34"/>
      <c r="JXQ316" s="34"/>
      <c r="JXR316" s="34"/>
      <c r="JXS316" s="34"/>
      <c r="JXT316" s="34"/>
      <c r="JXU316" s="34"/>
      <c r="JXV316" s="34"/>
      <c r="JXW316" s="34"/>
      <c r="JXX316" s="34"/>
      <c r="JXY316" s="34"/>
      <c r="JXZ316" s="34"/>
      <c r="JYA316" s="34"/>
      <c r="JYB316" s="34"/>
      <c r="JYC316" s="34"/>
      <c r="JYD316" s="34"/>
      <c r="JYE316" s="34"/>
      <c r="JYF316" s="34"/>
      <c r="JYG316" s="34"/>
      <c r="JYH316" s="34"/>
      <c r="JYI316" s="34"/>
      <c r="JYJ316" s="34"/>
      <c r="JYK316" s="34"/>
      <c r="JYL316" s="34"/>
      <c r="JYM316" s="34"/>
      <c r="JYN316" s="34"/>
      <c r="JYO316" s="34"/>
      <c r="JYP316" s="34"/>
      <c r="JYQ316" s="34"/>
      <c r="JYR316" s="34"/>
      <c r="JYS316" s="34"/>
      <c r="JYT316" s="34"/>
      <c r="JYU316" s="34"/>
      <c r="JYV316" s="34"/>
      <c r="JYW316" s="34"/>
      <c r="JYX316" s="34"/>
      <c r="JYY316" s="34"/>
      <c r="JYZ316" s="34"/>
      <c r="JZA316" s="34"/>
      <c r="JZB316" s="34"/>
      <c r="JZC316" s="34"/>
      <c r="JZD316" s="34"/>
      <c r="JZE316" s="34"/>
      <c r="JZF316" s="34"/>
      <c r="JZG316" s="34"/>
      <c r="JZH316" s="34"/>
      <c r="JZI316" s="34"/>
      <c r="JZJ316" s="34"/>
      <c r="JZK316" s="34"/>
      <c r="JZL316" s="34"/>
      <c r="JZM316" s="34"/>
      <c r="JZN316" s="34"/>
      <c r="JZO316" s="34"/>
      <c r="JZP316" s="34"/>
      <c r="JZQ316" s="34"/>
      <c r="JZR316" s="34"/>
      <c r="JZS316" s="34"/>
      <c r="JZT316" s="34"/>
      <c r="JZU316" s="34"/>
      <c r="JZV316" s="34"/>
      <c r="JZW316" s="34"/>
      <c r="JZX316" s="34"/>
      <c r="JZY316" s="34"/>
      <c r="JZZ316" s="34"/>
      <c r="KAA316" s="34"/>
      <c r="KAB316" s="34"/>
      <c r="KAC316" s="34"/>
      <c r="KAD316" s="34"/>
      <c r="KAE316" s="34"/>
      <c r="KAF316" s="34"/>
      <c r="KAG316" s="34"/>
      <c r="KAH316" s="34"/>
      <c r="KAI316" s="34"/>
      <c r="KAJ316" s="34"/>
      <c r="KAK316" s="34"/>
      <c r="KAL316" s="34"/>
      <c r="KAM316" s="34"/>
      <c r="KAN316" s="34"/>
      <c r="KAO316" s="34"/>
      <c r="KAP316" s="34"/>
      <c r="KAQ316" s="34"/>
      <c r="KAR316" s="34"/>
      <c r="KAS316" s="34"/>
      <c r="KAT316" s="34"/>
      <c r="KAU316" s="34"/>
      <c r="KAV316" s="34"/>
      <c r="KAW316" s="34"/>
      <c r="KAX316" s="34"/>
      <c r="KAY316" s="34"/>
      <c r="KAZ316" s="34"/>
      <c r="KBA316" s="34"/>
      <c r="KBB316" s="34"/>
      <c r="KBC316" s="34"/>
      <c r="KBD316" s="34"/>
      <c r="KBE316" s="34"/>
      <c r="KBF316" s="34"/>
      <c r="KBG316" s="34"/>
      <c r="KBH316" s="34"/>
      <c r="KBI316" s="34"/>
      <c r="KBJ316" s="34"/>
      <c r="KBK316" s="34"/>
      <c r="KBL316" s="34"/>
      <c r="KBM316" s="34"/>
      <c r="KBN316" s="34"/>
      <c r="KBO316" s="34"/>
      <c r="KBP316" s="34"/>
      <c r="KBQ316" s="34"/>
      <c r="KBR316" s="34"/>
      <c r="KBS316" s="34"/>
      <c r="KBT316" s="34"/>
      <c r="KBU316" s="34"/>
      <c r="KBV316" s="34"/>
      <c r="KBW316" s="34"/>
      <c r="KBX316" s="34"/>
      <c r="KBY316" s="34"/>
      <c r="KBZ316" s="34"/>
      <c r="KCA316" s="34"/>
      <c r="KCB316" s="34"/>
      <c r="KCC316" s="34"/>
      <c r="KCD316" s="34"/>
      <c r="KCE316" s="34"/>
      <c r="KCF316" s="34"/>
      <c r="KCG316" s="34"/>
      <c r="KCH316" s="34"/>
      <c r="KCI316" s="34"/>
      <c r="KCJ316" s="34"/>
      <c r="KCK316" s="34"/>
      <c r="KCL316" s="34"/>
      <c r="KCM316" s="34"/>
      <c r="KCN316" s="34"/>
      <c r="KCO316" s="34"/>
      <c r="KCP316" s="34"/>
      <c r="KCQ316" s="34"/>
      <c r="KCR316" s="34"/>
      <c r="KCS316" s="34"/>
      <c r="KCT316" s="34"/>
      <c r="KCU316" s="34"/>
      <c r="KCV316" s="34"/>
      <c r="KCW316" s="34"/>
      <c r="KCX316" s="34"/>
      <c r="KCY316" s="34"/>
      <c r="KCZ316" s="34"/>
      <c r="KDA316" s="34"/>
      <c r="KDB316" s="34"/>
      <c r="KDC316" s="34"/>
      <c r="KDD316" s="34"/>
      <c r="KDE316" s="34"/>
      <c r="KDF316" s="34"/>
      <c r="KDG316" s="34"/>
      <c r="KDH316" s="34"/>
      <c r="KDI316" s="34"/>
      <c r="KDJ316" s="34"/>
      <c r="KDK316" s="34"/>
      <c r="KDL316" s="34"/>
      <c r="KDM316" s="34"/>
      <c r="KDN316" s="34"/>
      <c r="KDO316" s="34"/>
      <c r="KDP316" s="34"/>
      <c r="KDQ316" s="34"/>
      <c r="KDR316" s="34"/>
      <c r="KDS316" s="34"/>
      <c r="KDT316" s="34"/>
      <c r="KDU316" s="34"/>
      <c r="KDV316" s="34"/>
      <c r="KDW316" s="34"/>
      <c r="KDX316" s="34"/>
      <c r="KDY316" s="34"/>
      <c r="KDZ316" s="34"/>
      <c r="KEA316" s="34"/>
      <c r="KEB316" s="34"/>
      <c r="KEC316" s="34"/>
      <c r="KED316" s="34"/>
      <c r="KEE316" s="34"/>
      <c r="KEF316" s="34"/>
      <c r="KEG316" s="34"/>
      <c r="KEH316" s="34"/>
      <c r="KEI316" s="34"/>
      <c r="KEJ316" s="34"/>
      <c r="KEK316" s="34"/>
      <c r="KEL316" s="34"/>
      <c r="KEM316" s="34"/>
      <c r="KEN316" s="34"/>
      <c r="KEO316" s="34"/>
      <c r="KEP316" s="34"/>
      <c r="KEQ316" s="34"/>
      <c r="KER316" s="34"/>
      <c r="KES316" s="34"/>
      <c r="KET316" s="34"/>
      <c r="KEU316" s="34"/>
      <c r="KEV316" s="34"/>
      <c r="KEW316" s="34"/>
      <c r="KEX316" s="34"/>
      <c r="KEY316" s="34"/>
      <c r="KEZ316" s="34"/>
      <c r="KFA316" s="34"/>
      <c r="KFB316" s="34"/>
      <c r="KFC316" s="34"/>
      <c r="KFD316" s="34"/>
      <c r="KFE316" s="34"/>
      <c r="KFF316" s="34"/>
      <c r="KFG316" s="34"/>
      <c r="KFH316" s="34"/>
      <c r="KFI316" s="34"/>
      <c r="KFJ316" s="34"/>
      <c r="KFK316" s="34"/>
      <c r="KFL316" s="34"/>
      <c r="KFM316" s="34"/>
      <c r="KFN316" s="34"/>
      <c r="KFO316" s="34"/>
      <c r="KFP316" s="34"/>
      <c r="KFQ316" s="34"/>
      <c r="KFR316" s="34"/>
      <c r="KFS316" s="34"/>
      <c r="KFT316" s="34"/>
      <c r="KFU316" s="34"/>
      <c r="KFV316" s="34"/>
      <c r="KFW316" s="34"/>
      <c r="KFX316" s="34"/>
      <c r="KFY316" s="34"/>
      <c r="KFZ316" s="34"/>
      <c r="KGA316" s="34"/>
      <c r="KGB316" s="34"/>
      <c r="KGC316" s="34"/>
      <c r="KGD316" s="34"/>
      <c r="KGE316" s="34"/>
      <c r="KGF316" s="34"/>
      <c r="KGG316" s="34"/>
      <c r="KGH316" s="34"/>
      <c r="KGI316" s="34"/>
      <c r="KGJ316" s="34"/>
      <c r="KGK316" s="34"/>
      <c r="KGL316" s="34"/>
      <c r="KGM316" s="34"/>
      <c r="KGN316" s="34"/>
      <c r="KGO316" s="34"/>
      <c r="KGP316" s="34"/>
      <c r="KGQ316" s="34"/>
      <c r="KGR316" s="34"/>
      <c r="KGS316" s="34"/>
      <c r="KGT316" s="34"/>
      <c r="KGU316" s="34"/>
      <c r="KGV316" s="34"/>
      <c r="KGW316" s="34"/>
      <c r="KGX316" s="34"/>
      <c r="KGY316" s="34"/>
      <c r="KGZ316" s="34"/>
      <c r="KHA316" s="34"/>
      <c r="KHB316" s="34"/>
      <c r="KHC316" s="34"/>
      <c r="KHD316" s="34"/>
      <c r="KHE316" s="34"/>
      <c r="KHF316" s="34"/>
      <c r="KHG316" s="34"/>
      <c r="KHH316" s="34"/>
      <c r="KHI316" s="34"/>
      <c r="KHJ316" s="34"/>
      <c r="KHK316" s="34"/>
      <c r="KHL316" s="34"/>
      <c r="KHM316" s="34"/>
      <c r="KHN316" s="34"/>
      <c r="KHO316" s="34"/>
      <c r="KHP316" s="34"/>
      <c r="KHQ316" s="34"/>
      <c r="KHR316" s="34"/>
      <c r="KHS316" s="34"/>
      <c r="KHT316" s="34"/>
      <c r="KHU316" s="34"/>
      <c r="KHV316" s="34"/>
      <c r="KHW316" s="34"/>
      <c r="KHX316" s="34"/>
      <c r="KHY316" s="34"/>
      <c r="KHZ316" s="34"/>
      <c r="KIA316" s="34"/>
      <c r="KIB316" s="34"/>
      <c r="KIC316" s="34"/>
      <c r="KID316" s="34"/>
      <c r="KIE316" s="34"/>
      <c r="KIF316" s="34"/>
      <c r="KIG316" s="34"/>
      <c r="KIH316" s="34"/>
      <c r="KII316" s="34"/>
      <c r="KIJ316" s="34"/>
      <c r="KIK316" s="34"/>
      <c r="KIL316" s="34"/>
      <c r="KIM316" s="34"/>
      <c r="KIN316" s="34"/>
      <c r="KIO316" s="34"/>
      <c r="KIP316" s="34"/>
      <c r="KIQ316" s="34"/>
      <c r="KIR316" s="34"/>
      <c r="KIS316" s="34"/>
      <c r="KIT316" s="34"/>
      <c r="KIU316" s="34"/>
      <c r="KIV316" s="34"/>
      <c r="KIW316" s="34"/>
      <c r="KIX316" s="34"/>
      <c r="KIY316" s="34"/>
      <c r="KIZ316" s="34"/>
      <c r="KJA316" s="34"/>
      <c r="KJB316" s="34"/>
      <c r="KJC316" s="34"/>
      <c r="KJD316" s="34"/>
      <c r="KJE316" s="34"/>
      <c r="KJF316" s="34"/>
      <c r="KJG316" s="34"/>
      <c r="KJH316" s="34"/>
      <c r="KJI316" s="34"/>
      <c r="KJJ316" s="34"/>
      <c r="KJK316" s="34"/>
      <c r="KJL316" s="34"/>
      <c r="KJM316" s="34"/>
      <c r="KJN316" s="34"/>
      <c r="KJO316" s="34"/>
      <c r="KJP316" s="34"/>
      <c r="KJQ316" s="34"/>
      <c r="KJR316" s="34"/>
      <c r="KJS316" s="34"/>
      <c r="KJT316" s="34"/>
      <c r="KJU316" s="34"/>
      <c r="KJV316" s="34"/>
      <c r="KJW316" s="34"/>
      <c r="KJX316" s="34"/>
      <c r="KJY316" s="34"/>
      <c r="KJZ316" s="34"/>
      <c r="KKA316" s="34"/>
      <c r="KKB316" s="34"/>
      <c r="KKC316" s="34"/>
      <c r="KKD316" s="34"/>
      <c r="KKE316" s="34"/>
      <c r="KKF316" s="34"/>
      <c r="KKG316" s="34"/>
      <c r="KKH316" s="34"/>
      <c r="KKI316" s="34"/>
      <c r="KKJ316" s="34"/>
      <c r="KKK316" s="34"/>
      <c r="KKL316" s="34"/>
      <c r="KKM316" s="34"/>
      <c r="KKN316" s="34"/>
      <c r="KKO316" s="34"/>
      <c r="KKP316" s="34"/>
      <c r="KKQ316" s="34"/>
      <c r="KKR316" s="34"/>
      <c r="KKS316" s="34"/>
      <c r="KKT316" s="34"/>
      <c r="KKU316" s="34"/>
      <c r="KKV316" s="34"/>
      <c r="KKW316" s="34"/>
      <c r="KKX316" s="34"/>
      <c r="KKY316" s="34"/>
      <c r="KKZ316" s="34"/>
      <c r="KLA316" s="34"/>
      <c r="KLB316" s="34"/>
      <c r="KLC316" s="34"/>
      <c r="KLD316" s="34"/>
      <c r="KLE316" s="34"/>
      <c r="KLF316" s="34"/>
      <c r="KLG316" s="34"/>
      <c r="KLH316" s="34"/>
      <c r="KLI316" s="34"/>
      <c r="KLJ316" s="34"/>
      <c r="KLK316" s="34"/>
      <c r="KLL316" s="34"/>
      <c r="KLM316" s="34"/>
      <c r="KLN316" s="34"/>
      <c r="KLO316" s="34"/>
      <c r="KLP316" s="34"/>
      <c r="KLQ316" s="34"/>
      <c r="KLR316" s="34"/>
      <c r="KLS316" s="34"/>
      <c r="KLT316" s="34"/>
      <c r="KLU316" s="34"/>
      <c r="KLV316" s="34"/>
      <c r="KLW316" s="34"/>
      <c r="KLX316" s="34"/>
      <c r="KLY316" s="34"/>
      <c r="KLZ316" s="34"/>
      <c r="KMA316" s="34"/>
      <c r="KMB316" s="34"/>
      <c r="KMC316" s="34"/>
      <c r="KMD316" s="34"/>
      <c r="KME316" s="34"/>
      <c r="KMF316" s="34"/>
      <c r="KMG316" s="34"/>
      <c r="KMH316" s="34"/>
      <c r="KMI316" s="34"/>
      <c r="KMJ316" s="34"/>
      <c r="KMK316" s="34"/>
      <c r="KML316" s="34"/>
      <c r="KMM316" s="34"/>
      <c r="KMN316" s="34"/>
      <c r="KMO316" s="34"/>
      <c r="KMP316" s="34"/>
      <c r="KMQ316" s="34"/>
      <c r="KMR316" s="34"/>
      <c r="KMS316" s="34"/>
      <c r="KMT316" s="34"/>
      <c r="KMU316" s="34"/>
      <c r="KMV316" s="34"/>
      <c r="KMW316" s="34"/>
      <c r="KMX316" s="34"/>
      <c r="KMY316" s="34"/>
      <c r="KMZ316" s="34"/>
      <c r="KNA316" s="34"/>
      <c r="KNB316" s="34"/>
      <c r="KNC316" s="34"/>
      <c r="KND316" s="34"/>
      <c r="KNE316" s="34"/>
      <c r="KNF316" s="34"/>
      <c r="KNG316" s="34"/>
      <c r="KNH316" s="34"/>
      <c r="KNI316" s="34"/>
      <c r="KNJ316" s="34"/>
      <c r="KNK316" s="34"/>
      <c r="KNL316" s="34"/>
      <c r="KNM316" s="34"/>
      <c r="KNN316" s="34"/>
      <c r="KNO316" s="34"/>
      <c r="KNP316" s="34"/>
      <c r="KNQ316" s="34"/>
      <c r="KNR316" s="34"/>
      <c r="KNS316" s="34"/>
      <c r="KNT316" s="34"/>
      <c r="KNU316" s="34"/>
      <c r="KNV316" s="34"/>
      <c r="KNW316" s="34"/>
      <c r="KNX316" s="34"/>
      <c r="KNY316" s="34"/>
      <c r="KNZ316" s="34"/>
      <c r="KOA316" s="34"/>
      <c r="KOB316" s="34"/>
      <c r="KOC316" s="34"/>
      <c r="KOD316" s="34"/>
      <c r="KOE316" s="34"/>
      <c r="KOF316" s="34"/>
      <c r="KOG316" s="34"/>
      <c r="KOH316" s="34"/>
      <c r="KOI316" s="34"/>
      <c r="KOJ316" s="34"/>
      <c r="KOK316" s="34"/>
      <c r="KOL316" s="34"/>
      <c r="KOM316" s="34"/>
      <c r="KON316" s="34"/>
      <c r="KOO316" s="34"/>
      <c r="KOP316" s="34"/>
      <c r="KOQ316" s="34"/>
      <c r="KOR316" s="34"/>
      <c r="KOS316" s="34"/>
      <c r="KOT316" s="34"/>
      <c r="KOU316" s="34"/>
      <c r="KOV316" s="34"/>
      <c r="KOW316" s="34"/>
      <c r="KOX316" s="34"/>
      <c r="KOY316" s="34"/>
      <c r="KOZ316" s="34"/>
      <c r="KPA316" s="34"/>
      <c r="KPB316" s="34"/>
      <c r="KPC316" s="34"/>
      <c r="KPD316" s="34"/>
      <c r="KPE316" s="34"/>
      <c r="KPF316" s="34"/>
      <c r="KPG316" s="34"/>
      <c r="KPH316" s="34"/>
      <c r="KPI316" s="34"/>
      <c r="KPJ316" s="34"/>
      <c r="KPK316" s="34"/>
      <c r="KPL316" s="34"/>
      <c r="KPM316" s="34"/>
      <c r="KPN316" s="34"/>
      <c r="KPO316" s="34"/>
      <c r="KPP316" s="34"/>
      <c r="KPQ316" s="34"/>
      <c r="KPR316" s="34"/>
      <c r="KPS316" s="34"/>
      <c r="KPT316" s="34"/>
      <c r="KPU316" s="34"/>
      <c r="KPV316" s="34"/>
      <c r="KPW316" s="34"/>
      <c r="KPX316" s="34"/>
      <c r="KPY316" s="34"/>
      <c r="KPZ316" s="34"/>
      <c r="KQA316" s="34"/>
      <c r="KQB316" s="34"/>
      <c r="KQC316" s="34"/>
      <c r="KQD316" s="34"/>
      <c r="KQE316" s="34"/>
      <c r="KQF316" s="34"/>
      <c r="KQG316" s="34"/>
      <c r="KQH316" s="34"/>
      <c r="KQI316" s="34"/>
      <c r="KQJ316" s="34"/>
      <c r="KQK316" s="34"/>
      <c r="KQL316" s="34"/>
      <c r="KQM316" s="34"/>
      <c r="KQN316" s="34"/>
      <c r="KQO316" s="34"/>
      <c r="KQP316" s="34"/>
      <c r="KQQ316" s="34"/>
      <c r="KQR316" s="34"/>
      <c r="KQS316" s="34"/>
      <c r="KQT316" s="34"/>
      <c r="KQU316" s="34"/>
      <c r="KQV316" s="34"/>
      <c r="KQW316" s="34"/>
      <c r="KQX316" s="34"/>
      <c r="KQY316" s="34"/>
      <c r="KQZ316" s="34"/>
      <c r="KRA316" s="34"/>
      <c r="KRB316" s="34"/>
      <c r="KRC316" s="34"/>
      <c r="KRD316" s="34"/>
      <c r="KRE316" s="34"/>
      <c r="KRF316" s="34"/>
      <c r="KRG316" s="34"/>
      <c r="KRH316" s="34"/>
      <c r="KRI316" s="34"/>
      <c r="KRJ316" s="34"/>
      <c r="KRK316" s="34"/>
      <c r="KRL316" s="34"/>
      <c r="KRM316" s="34"/>
      <c r="KRN316" s="34"/>
      <c r="KRO316" s="34"/>
      <c r="KRP316" s="34"/>
      <c r="KRQ316" s="34"/>
      <c r="KRR316" s="34"/>
      <c r="KRS316" s="34"/>
      <c r="KRT316" s="34"/>
      <c r="KRU316" s="34"/>
      <c r="KRV316" s="34"/>
      <c r="KRW316" s="34"/>
      <c r="KRX316" s="34"/>
      <c r="KRY316" s="34"/>
      <c r="KRZ316" s="34"/>
      <c r="KSA316" s="34"/>
      <c r="KSB316" s="34"/>
      <c r="KSC316" s="34"/>
      <c r="KSD316" s="34"/>
      <c r="KSE316" s="34"/>
      <c r="KSF316" s="34"/>
      <c r="KSG316" s="34"/>
      <c r="KSH316" s="34"/>
      <c r="KSI316" s="34"/>
      <c r="KSJ316" s="34"/>
      <c r="KSK316" s="34"/>
      <c r="KSL316" s="34"/>
      <c r="KSM316" s="34"/>
      <c r="KSN316" s="34"/>
      <c r="KSO316" s="34"/>
      <c r="KSP316" s="34"/>
      <c r="KSQ316" s="34"/>
      <c r="KSR316" s="34"/>
      <c r="KSS316" s="34"/>
      <c r="KST316" s="34"/>
      <c r="KSU316" s="34"/>
      <c r="KSV316" s="34"/>
      <c r="KSW316" s="34"/>
      <c r="KSX316" s="34"/>
      <c r="KSY316" s="34"/>
      <c r="KSZ316" s="34"/>
      <c r="KTA316" s="34"/>
      <c r="KTB316" s="34"/>
      <c r="KTC316" s="34"/>
      <c r="KTD316" s="34"/>
      <c r="KTE316" s="34"/>
      <c r="KTF316" s="34"/>
      <c r="KTG316" s="34"/>
      <c r="KTH316" s="34"/>
      <c r="KTI316" s="34"/>
      <c r="KTJ316" s="34"/>
      <c r="KTK316" s="34"/>
      <c r="KTL316" s="34"/>
      <c r="KTM316" s="34"/>
      <c r="KTN316" s="34"/>
      <c r="KTO316" s="34"/>
      <c r="KTP316" s="34"/>
      <c r="KTQ316" s="34"/>
      <c r="KTR316" s="34"/>
      <c r="KTS316" s="34"/>
      <c r="KTT316" s="34"/>
      <c r="KTU316" s="34"/>
      <c r="KTV316" s="34"/>
      <c r="KTW316" s="34"/>
      <c r="KTX316" s="34"/>
      <c r="KTY316" s="34"/>
      <c r="KTZ316" s="34"/>
      <c r="KUA316" s="34"/>
      <c r="KUB316" s="34"/>
      <c r="KUC316" s="34"/>
      <c r="KUD316" s="34"/>
      <c r="KUE316" s="34"/>
      <c r="KUF316" s="34"/>
      <c r="KUG316" s="34"/>
      <c r="KUH316" s="34"/>
      <c r="KUI316" s="34"/>
      <c r="KUJ316" s="34"/>
      <c r="KUK316" s="34"/>
      <c r="KUL316" s="34"/>
      <c r="KUM316" s="34"/>
      <c r="KUN316" s="34"/>
      <c r="KUO316" s="34"/>
      <c r="KUP316" s="34"/>
      <c r="KUQ316" s="34"/>
      <c r="KUR316" s="34"/>
      <c r="KUS316" s="34"/>
      <c r="KUT316" s="34"/>
      <c r="KUU316" s="34"/>
      <c r="KUV316" s="34"/>
      <c r="KUW316" s="34"/>
      <c r="KUX316" s="34"/>
      <c r="KUY316" s="34"/>
      <c r="KUZ316" s="34"/>
      <c r="KVA316" s="34"/>
      <c r="KVB316" s="34"/>
      <c r="KVC316" s="34"/>
      <c r="KVD316" s="34"/>
      <c r="KVE316" s="34"/>
      <c r="KVF316" s="34"/>
      <c r="KVG316" s="34"/>
      <c r="KVH316" s="34"/>
      <c r="KVI316" s="34"/>
      <c r="KVJ316" s="34"/>
      <c r="KVK316" s="34"/>
      <c r="KVL316" s="34"/>
      <c r="KVM316" s="34"/>
      <c r="KVN316" s="34"/>
      <c r="KVO316" s="34"/>
      <c r="KVP316" s="34"/>
      <c r="KVQ316" s="34"/>
      <c r="KVR316" s="34"/>
      <c r="KVS316" s="34"/>
      <c r="KVT316" s="34"/>
      <c r="KVU316" s="34"/>
      <c r="KVV316" s="34"/>
      <c r="KVW316" s="34"/>
      <c r="KVX316" s="34"/>
      <c r="KVY316" s="34"/>
      <c r="KVZ316" s="34"/>
      <c r="KWA316" s="34"/>
      <c r="KWB316" s="34"/>
      <c r="KWC316" s="34"/>
      <c r="KWD316" s="34"/>
      <c r="KWE316" s="34"/>
      <c r="KWF316" s="34"/>
      <c r="KWG316" s="34"/>
      <c r="KWH316" s="34"/>
      <c r="KWI316" s="34"/>
      <c r="KWJ316" s="34"/>
      <c r="KWK316" s="34"/>
      <c r="KWL316" s="34"/>
      <c r="KWM316" s="34"/>
      <c r="KWN316" s="34"/>
      <c r="KWO316" s="34"/>
      <c r="KWP316" s="34"/>
      <c r="KWQ316" s="34"/>
      <c r="KWR316" s="34"/>
      <c r="KWS316" s="34"/>
      <c r="KWT316" s="34"/>
      <c r="KWU316" s="34"/>
      <c r="KWV316" s="34"/>
      <c r="KWW316" s="34"/>
      <c r="KWX316" s="34"/>
      <c r="KWY316" s="34"/>
      <c r="KWZ316" s="34"/>
      <c r="KXA316" s="34"/>
      <c r="KXB316" s="34"/>
      <c r="KXC316" s="34"/>
      <c r="KXD316" s="34"/>
      <c r="KXE316" s="34"/>
      <c r="KXF316" s="34"/>
      <c r="KXG316" s="34"/>
      <c r="KXH316" s="34"/>
      <c r="KXI316" s="34"/>
      <c r="KXJ316" s="34"/>
      <c r="KXK316" s="34"/>
      <c r="KXL316" s="34"/>
      <c r="KXM316" s="34"/>
      <c r="KXN316" s="34"/>
      <c r="KXO316" s="34"/>
      <c r="KXP316" s="34"/>
      <c r="KXQ316" s="34"/>
      <c r="KXR316" s="34"/>
      <c r="KXS316" s="34"/>
      <c r="KXT316" s="34"/>
      <c r="KXU316" s="34"/>
      <c r="KXV316" s="34"/>
      <c r="KXW316" s="34"/>
      <c r="KXX316" s="34"/>
      <c r="KXY316" s="34"/>
      <c r="KXZ316" s="34"/>
      <c r="KYA316" s="34"/>
      <c r="KYB316" s="34"/>
      <c r="KYC316" s="34"/>
      <c r="KYD316" s="34"/>
      <c r="KYE316" s="34"/>
      <c r="KYF316" s="34"/>
      <c r="KYG316" s="34"/>
      <c r="KYH316" s="34"/>
      <c r="KYI316" s="34"/>
      <c r="KYJ316" s="34"/>
      <c r="KYK316" s="34"/>
      <c r="KYL316" s="34"/>
      <c r="KYM316" s="34"/>
      <c r="KYN316" s="34"/>
      <c r="KYO316" s="34"/>
      <c r="KYP316" s="34"/>
      <c r="KYQ316" s="34"/>
      <c r="KYR316" s="34"/>
      <c r="KYS316" s="34"/>
      <c r="KYT316" s="34"/>
      <c r="KYU316" s="34"/>
      <c r="KYV316" s="34"/>
      <c r="KYW316" s="34"/>
      <c r="KYX316" s="34"/>
      <c r="KYY316" s="34"/>
      <c r="KYZ316" s="34"/>
      <c r="KZA316" s="34"/>
      <c r="KZB316" s="34"/>
      <c r="KZC316" s="34"/>
      <c r="KZD316" s="34"/>
      <c r="KZE316" s="34"/>
      <c r="KZF316" s="34"/>
      <c r="KZG316" s="34"/>
      <c r="KZH316" s="34"/>
      <c r="KZI316" s="34"/>
      <c r="KZJ316" s="34"/>
      <c r="KZK316" s="34"/>
      <c r="KZL316" s="34"/>
      <c r="KZM316" s="34"/>
      <c r="KZN316" s="34"/>
      <c r="KZO316" s="34"/>
      <c r="KZP316" s="34"/>
      <c r="KZQ316" s="34"/>
      <c r="KZR316" s="34"/>
      <c r="KZS316" s="34"/>
      <c r="KZT316" s="34"/>
      <c r="KZU316" s="34"/>
      <c r="KZV316" s="34"/>
      <c r="KZW316" s="34"/>
      <c r="KZX316" s="34"/>
      <c r="KZY316" s="34"/>
      <c r="KZZ316" s="34"/>
      <c r="LAA316" s="34"/>
      <c r="LAB316" s="34"/>
      <c r="LAC316" s="34"/>
      <c r="LAD316" s="34"/>
      <c r="LAE316" s="34"/>
      <c r="LAF316" s="34"/>
      <c r="LAG316" s="34"/>
      <c r="LAH316" s="34"/>
      <c r="LAI316" s="34"/>
      <c r="LAJ316" s="34"/>
      <c r="LAK316" s="34"/>
      <c r="LAL316" s="34"/>
      <c r="LAM316" s="34"/>
      <c r="LAN316" s="34"/>
      <c r="LAO316" s="34"/>
      <c r="LAP316" s="34"/>
      <c r="LAQ316" s="34"/>
      <c r="LAR316" s="34"/>
      <c r="LAS316" s="34"/>
      <c r="LAT316" s="34"/>
      <c r="LAU316" s="34"/>
      <c r="LAV316" s="34"/>
      <c r="LAW316" s="34"/>
      <c r="LAX316" s="34"/>
      <c r="LAY316" s="34"/>
      <c r="LAZ316" s="34"/>
      <c r="LBA316" s="34"/>
      <c r="LBB316" s="34"/>
      <c r="LBC316" s="34"/>
      <c r="LBD316" s="34"/>
      <c r="LBE316" s="34"/>
      <c r="LBF316" s="34"/>
      <c r="LBG316" s="34"/>
      <c r="LBH316" s="34"/>
      <c r="LBI316" s="34"/>
      <c r="LBJ316" s="34"/>
      <c r="LBK316" s="34"/>
      <c r="LBL316" s="34"/>
      <c r="LBM316" s="34"/>
      <c r="LBN316" s="34"/>
      <c r="LBO316" s="34"/>
      <c r="LBP316" s="34"/>
      <c r="LBQ316" s="34"/>
      <c r="LBR316" s="34"/>
      <c r="LBS316" s="34"/>
      <c r="LBT316" s="34"/>
      <c r="LBU316" s="34"/>
      <c r="LBV316" s="34"/>
      <c r="LBW316" s="34"/>
      <c r="LBX316" s="34"/>
      <c r="LBY316" s="34"/>
      <c r="LBZ316" s="34"/>
      <c r="LCA316" s="34"/>
      <c r="LCB316" s="34"/>
      <c r="LCC316" s="34"/>
      <c r="LCD316" s="34"/>
      <c r="LCE316" s="34"/>
      <c r="LCF316" s="34"/>
      <c r="LCG316" s="34"/>
      <c r="LCH316" s="34"/>
      <c r="LCI316" s="34"/>
      <c r="LCJ316" s="34"/>
      <c r="LCK316" s="34"/>
      <c r="LCL316" s="34"/>
      <c r="LCM316" s="34"/>
      <c r="LCN316" s="34"/>
      <c r="LCO316" s="34"/>
      <c r="LCP316" s="34"/>
      <c r="LCQ316" s="34"/>
      <c r="LCR316" s="34"/>
      <c r="LCS316" s="34"/>
      <c r="LCT316" s="34"/>
      <c r="LCU316" s="34"/>
      <c r="LCV316" s="34"/>
      <c r="LCW316" s="34"/>
      <c r="LCX316" s="34"/>
      <c r="LCY316" s="34"/>
      <c r="LCZ316" s="34"/>
      <c r="LDA316" s="34"/>
      <c r="LDB316" s="34"/>
      <c r="LDC316" s="34"/>
      <c r="LDD316" s="34"/>
      <c r="LDE316" s="34"/>
      <c r="LDF316" s="34"/>
      <c r="LDG316" s="34"/>
      <c r="LDH316" s="34"/>
      <c r="LDI316" s="34"/>
      <c r="LDJ316" s="34"/>
      <c r="LDK316" s="34"/>
      <c r="LDL316" s="34"/>
      <c r="LDM316" s="34"/>
      <c r="LDN316" s="34"/>
      <c r="LDO316" s="34"/>
      <c r="LDP316" s="34"/>
      <c r="LDQ316" s="34"/>
      <c r="LDR316" s="34"/>
      <c r="LDS316" s="34"/>
      <c r="LDT316" s="34"/>
      <c r="LDU316" s="34"/>
      <c r="LDV316" s="34"/>
      <c r="LDW316" s="34"/>
      <c r="LDX316" s="34"/>
      <c r="LDY316" s="34"/>
      <c r="LDZ316" s="34"/>
      <c r="LEA316" s="34"/>
      <c r="LEB316" s="34"/>
      <c r="LEC316" s="34"/>
      <c r="LED316" s="34"/>
      <c r="LEE316" s="34"/>
      <c r="LEF316" s="34"/>
      <c r="LEG316" s="34"/>
      <c r="LEH316" s="34"/>
      <c r="LEI316" s="34"/>
      <c r="LEJ316" s="34"/>
      <c r="LEK316" s="34"/>
      <c r="LEL316" s="34"/>
      <c r="LEM316" s="34"/>
      <c r="LEN316" s="34"/>
      <c r="LEO316" s="34"/>
      <c r="LEP316" s="34"/>
      <c r="LEQ316" s="34"/>
      <c r="LER316" s="34"/>
      <c r="LES316" s="34"/>
      <c r="LET316" s="34"/>
      <c r="LEU316" s="34"/>
      <c r="LEV316" s="34"/>
      <c r="LEW316" s="34"/>
      <c r="LEX316" s="34"/>
      <c r="LEY316" s="34"/>
      <c r="LEZ316" s="34"/>
      <c r="LFA316" s="34"/>
      <c r="LFB316" s="34"/>
      <c r="LFC316" s="34"/>
      <c r="LFD316" s="34"/>
      <c r="LFE316" s="34"/>
      <c r="LFF316" s="34"/>
      <c r="LFG316" s="34"/>
      <c r="LFH316" s="34"/>
      <c r="LFI316" s="34"/>
      <c r="LFJ316" s="34"/>
      <c r="LFK316" s="34"/>
      <c r="LFL316" s="34"/>
      <c r="LFM316" s="34"/>
      <c r="LFN316" s="34"/>
      <c r="LFO316" s="34"/>
      <c r="LFP316" s="34"/>
      <c r="LFQ316" s="34"/>
      <c r="LFR316" s="34"/>
      <c r="LFS316" s="34"/>
      <c r="LFT316" s="34"/>
      <c r="LFU316" s="34"/>
      <c r="LFV316" s="34"/>
      <c r="LFW316" s="34"/>
      <c r="LFX316" s="34"/>
      <c r="LFY316" s="34"/>
      <c r="LFZ316" s="34"/>
      <c r="LGA316" s="34"/>
      <c r="LGB316" s="34"/>
      <c r="LGC316" s="34"/>
      <c r="LGD316" s="34"/>
      <c r="LGE316" s="34"/>
      <c r="LGF316" s="34"/>
      <c r="LGG316" s="34"/>
      <c r="LGH316" s="34"/>
      <c r="LGI316" s="34"/>
      <c r="LGJ316" s="34"/>
      <c r="LGK316" s="34"/>
      <c r="LGL316" s="34"/>
      <c r="LGM316" s="34"/>
      <c r="LGN316" s="34"/>
      <c r="LGO316" s="34"/>
      <c r="LGP316" s="34"/>
      <c r="LGQ316" s="34"/>
      <c r="LGR316" s="34"/>
      <c r="LGS316" s="34"/>
      <c r="LGT316" s="34"/>
      <c r="LGU316" s="34"/>
      <c r="LGV316" s="34"/>
      <c r="LGW316" s="34"/>
      <c r="LGX316" s="34"/>
      <c r="LGY316" s="34"/>
      <c r="LGZ316" s="34"/>
      <c r="LHA316" s="34"/>
      <c r="LHB316" s="34"/>
      <c r="LHC316" s="34"/>
      <c r="LHD316" s="34"/>
      <c r="LHE316" s="34"/>
      <c r="LHF316" s="34"/>
      <c r="LHG316" s="34"/>
      <c r="LHH316" s="34"/>
      <c r="LHI316" s="34"/>
      <c r="LHJ316" s="34"/>
      <c r="LHK316" s="34"/>
      <c r="LHL316" s="34"/>
      <c r="LHM316" s="34"/>
      <c r="LHN316" s="34"/>
      <c r="LHO316" s="34"/>
      <c r="LHP316" s="34"/>
      <c r="LHQ316" s="34"/>
      <c r="LHR316" s="34"/>
      <c r="LHS316" s="34"/>
      <c r="LHT316" s="34"/>
      <c r="LHU316" s="34"/>
      <c r="LHV316" s="34"/>
      <c r="LHW316" s="34"/>
      <c r="LHX316" s="34"/>
      <c r="LHY316" s="34"/>
      <c r="LHZ316" s="34"/>
      <c r="LIA316" s="34"/>
      <c r="LIB316" s="34"/>
      <c r="LIC316" s="34"/>
      <c r="LID316" s="34"/>
      <c r="LIE316" s="34"/>
      <c r="LIF316" s="34"/>
      <c r="LIG316" s="34"/>
      <c r="LIH316" s="34"/>
      <c r="LII316" s="34"/>
      <c r="LIJ316" s="34"/>
      <c r="LIK316" s="34"/>
      <c r="LIL316" s="34"/>
      <c r="LIM316" s="34"/>
      <c r="LIN316" s="34"/>
      <c r="LIO316" s="34"/>
      <c r="LIP316" s="34"/>
      <c r="LIQ316" s="34"/>
      <c r="LIR316" s="34"/>
      <c r="LIS316" s="34"/>
      <c r="LIT316" s="34"/>
      <c r="LIU316" s="34"/>
      <c r="LIV316" s="34"/>
      <c r="LIW316" s="34"/>
      <c r="LIX316" s="34"/>
      <c r="LIY316" s="34"/>
      <c r="LIZ316" s="34"/>
      <c r="LJA316" s="34"/>
      <c r="LJB316" s="34"/>
      <c r="LJC316" s="34"/>
      <c r="LJD316" s="34"/>
      <c r="LJE316" s="34"/>
      <c r="LJF316" s="34"/>
      <c r="LJG316" s="34"/>
      <c r="LJH316" s="34"/>
      <c r="LJI316" s="34"/>
      <c r="LJJ316" s="34"/>
      <c r="LJK316" s="34"/>
      <c r="LJL316" s="34"/>
      <c r="LJM316" s="34"/>
      <c r="LJN316" s="34"/>
      <c r="LJO316" s="34"/>
      <c r="LJP316" s="34"/>
      <c r="LJQ316" s="34"/>
      <c r="LJR316" s="34"/>
      <c r="LJS316" s="34"/>
      <c r="LJT316" s="34"/>
      <c r="LJU316" s="34"/>
      <c r="LJV316" s="34"/>
      <c r="LJW316" s="34"/>
      <c r="LJX316" s="34"/>
      <c r="LJY316" s="34"/>
      <c r="LJZ316" s="34"/>
      <c r="LKA316" s="34"/>
      <c r="LKB316" s="34"/>
      <c r="LKC316" s="34"/>
      <c r="LKD316" s="34"/>
      <c r="LKE316" s="34"/>
      <c r="LKF316" s="34"/>
      <c r="LKG316" s="34"/>
      <c r="LKH316" s="34"/>
      <c r="LKI316" s="34"/>
      <c r="LKJ316" s="34"/>
      <c r="LKK316" s="34"/>
      <c r="LKL316" s="34"/>
      <c r="LKM316" s="34"/>
      <c r="LKN316" s="34"/>
      <c r="LKO316" s="34"/>
      <c r="LKP316" s="34"/>
      <c r="LKQ316" s="34"/>
      <c r="LKR316" s="34"/>
      <c r="LKS316" s="34"/>
      <c r="LKT316" s="34"/>
      <c r="LKU316" s="34"/>
      <c r="LKV316" s="34"/>
      <c r="LKW316" s="34"/>
      <c r="LKX316" s="34"/>
      <c r="LKY316" s="34"/>
      <c r="LKZ316" s="34"/>
      <c r="LLA316" s="34"/>
      <c r="LLB316" s="34"/>
      <c r="LLC316" s="34"/>
      <c r="LLD316" s="34"/>
      <c r="LLE316" s="34"/>
      <c r="LLF316" s="34"/>
      <c r="LLG316" s="34"/>
      <c r="LLH316" s="34"/>
      <c r="LLI316" s="34"/>
      <c r="LLJ316" s="34"/>
      <c r="LLK316" s="34"/>
      <c r="LLL316" s="34"/>
      <c r="LLM316" s="34"/>
      <c r="LLN316" s="34"/>
      <c r="LLO316" s="34"/>
      <c r="LLP316" s="34"/>
      <c r="LLQ316" s="34"/>
      <c r="LLR316" s="34"/>
      <c r="LLS316" s="34"/>
      <c r="LLT316" s="34"/>
      <c r="LLU316" s="34"/>
      <c r="LLV316" s="34"/>
      <c r="LLW316" s="34"/>
      <c r="LLX316" s="34"/>
      <c r="LLY316" s="34"/>
      <c r="LLZ316" s="34"/>
      <c r="LMA316" s="34"/>
      <c r="LMB316" s="34"/>
      <c r="LMC316" s="34"/>
      <c r="LMD316" s="34"/>
      <c r="LME316" s="34"/>
      <c r="LMF316" s="34"/>
      <c r="LMG316" s="34"/>
      <c r="LMH316" s="34"/>
      <c r="LMI316" s="34"/>
      <c r="LMJ316" s="34"/>
      <c r="LMK316" s="34"/>
      <c r="LML316" s="34"/>
      <c r="LMM316" s="34"/>
      <c r="LMN316" s="34"/>
      <c r="LMO316" s="34"/>
      <c r="LMP316" s="34"/>
      <c r="LMQ316" s="34"/>
      <c r="LMR316" s="34"/>
      <c r="LMS316" s="34"/>
      <c r="LMT316" s="34"/>
      <c r="LMU316" s="34"/>
      <c r="LMV316" s="34"/>
      <c r="LMW316" s="34"/>
      <c r="LMX316" s="34"/>
      <c r="LMY316" s="34"/>
      <c r="LMZ316" s="34"/>
      <c r="LNA316" s="34"/>
      <c r="LNB316" s="34"/>
      <c r="LNC316" s="34"/>
      <c r="LND316" s="34"/>
      <c r="LNE316" s="34"/>
      <c r="LNF316" s="34"/>
      <c r="LNG316" s="34"/>
      <c r="LNH316" s="34"/>
      <c r="LNI316" s="34"/>
      <c r="LNJ316" s="34"/>
      <c r="LNK316" s="34"/>
      <c r="LNL316" s="34"/>
      <c r="LNM316" s="34"/>
      <c r="LNN316" s="34"/>
      <c r="LNO316" s="34"/>
      <c r="LNP316" s="34"/>
      <c r="LNQ316" s="34"/>
      <c r="LNR316" s="34"/>
      <c r="LNS316" s="34"/>
      <c r="LNT316" s="34"/>
      <c r="LNU316" s="34"/>
      <c r="LNV316" s="34"/>
      <c r="LNW316" s="34"/>
      <c r="LNX316" s="34"/>
      <c r="LNY316" s="34"/>
      <c r="LNZ316" s="34"/>
      <c r="LOA316" s="34"/>
      <c r="LOB316" s="34"/>
      <c r="LOC316" s="34"/>
      <c r="LOD316" s="34"/>
      <c r="LOE316" s="34"/>
      <c r="LOF316" s="34"/>
      <c r="LOG316" s="34"/>
      <c r="LOH316" s="34"/>
      <c r="LOI316" s="34"/>
      <c r="LOJ316" s="34"/>
      <c r="LOK316" s="34"/>
      <c r="LOL316" s="34"/>
      <c r="LOM316" s="34"/>
      <c r="LON316" s="34"/>
      <c r="LOO316" s="34"/>
      <c r="LOP316" s="34"/>
      <c r="LOQ316" s="34"/>
      <c r="LOR316" s="34"/>
      <c r="LOS316" s="34"/>
      <c r="LOT316" s="34"/>
      <c r="LOU316" s="34"/>
      <c r="LOV316" s="34"/>
      <c r="LOW316" s="34"/>
      <c r="LOX316" s="34"/>
      <c r="LOY316" s="34"/>
      <c r="LOZ316" s="34"/>
      <c r="LPA316" s="34"/>
      <c r="LPB316" s="34"/>
      <c r="LPC316" s="34"/>
      <c r="LPD316" s="34"/>
      <c r="LPE316" s="34"/>
      <c r="LPF316" s="34"/>
      <c r="LPG316" s="34"/>
      <c r="LPH316" s="34"/>
      <c r="LPI316" s="34"/>
      <c r="LPJ316" s="34"/>
      <c r="LPK316" s="34"/>
      <c r="LPL316" s="34"/>
      <c r="LPM316" s="34"/>
      <c r="LPN316" s="34"/>
      <c r="LPO316" s="34"/>
      <c r="LPP316" s="34"/>
      <c r="LPQ316" s="34"/>
      <c r="LPR316" s="34"/>
      <c r="LPS316" s="34"/>
      <c r="LPT316" s="34"/>
      <c r="LPU316" s="34"/>
      <c r="LPV316" s="34"/>
      <c r="LPW316" s="34"/>
      <c r="LPX316" s="34"/>
      <c r="LPY316" s="34"/>
      <c r="LPZ316" s="34"/>
      <c r="LQA316" s="34"/>
      <c r="LQB316" s="34"/>
      <c r="LQC316" s="34"/>
      <c r="LQD316" s="34"/>
      <c r="LQE316" s="34"/>
      <c r="LQF316" s="34"/>
      <c r="LQG316" s="34"/>
      <c r="LQH316" s="34"/>
      <c r="LQI316" s="34"/>
      <c r="LQJ316" s="34"/>
      <c r="LQK316" s="34"/>
      <c r="LQL316" s="34"/>
      <c r="LQM316" s="34"/>
      <c r="LQN316" s="34"/>
      <c r="LQO316" s="34"/>
      <c r="LQP316" s="34"/>
      <c r="LQQ316" s="34"/>
      <c r="LQR316" s="34"/>
      <c r="LQS316" s="34"/>
      <c r="LQT316" s="34"/>
      <c r="LQU316" s="34"/>
      <c r="LQV316" s="34"/>
      <c r="LQW316" s="34"/>
      <c r="LQX316" s="34"/>
      <c r="LQY316" s="34"/>
      <c r="LQZ316" s="34"/>
      <c r="LRA316" s="34"/>
      <c r="LRB316" s="34"/>
      <c r="LRC316" s="34"/>
      <c r="LRD316" s="34"/>
      <c r="LRE316" s="34"/>
      <c r="LRF316" s="34"/>
      <c r="LRG316" s="34"/>
      <c r="LRH316" s="34"/>
      <c r="LRI316" s="34"/>
      <c r="LRJ316" s="34"/>
      <c r="LRK316" s="34"/>
      <c r="LRL316" s="34"/>
      <c r="LRM316" s="34"/>
      <c r="LRN316" s="34"/>
      <c r="LRO316" s="34"/>
      <c r="LRP316" s="34"/>
      <c r="LRQ316" s="34"/>
      <c r="LRR316" s="34"/>
      <c r="LRS316" s="34"/>
      <c r="LRT316" s="34"/>
      <c r="LRU316" s="34"/>
      <c r="LRV316" s="34"/>
      <c r="LRW316" s="34"/>
      <c r="LRX316" s="34"/>
      <c r="LRY316" s="34"/>
      <c r="LRZ316" s="34"/>
      <c r="LSA316" s="34"/>
      <c r="LSB316" s="34"/>
      <c r="LSC316" s="34"/>
      <c r="LSD316" s="34"/>
      <c r="LSE316" s="34"/>
      <c r="LSF316" s="34"/>
      <c r="LSG316" s="34"/>
      <c r="LSH316" s="34"/>
      <c r="LSI316" s="34"/>
      <c r="LSJ316" s="34"/>
      <c r="LSK316" s="34"/>
      <c r="LSL316" s="34"/>
      <c r="LSM316" s="34"/>
      <c r="LSN316" s="34"/>
      <c r="LSO316" s="34"/>
      <c r="LSP316" s="34"/>
      <c r="LSQ316" s="34"/>
      <c r="LSR316" s="34"/>
      <c r="LSS316" s="34"/>
      <c r="LST316" s="34"/>
      <c r="LSU316" s="34"/>
      <c r="LSV316" s="34"/>
      <c r="LSW316" s="34"/>
      <c r="LSX316" s="34"/>
      <c r="LSY316" s="34"/>
      <c r="LSZ316" s="34"/>
      <c r="LTA316" s="34"/>
      <c r="LTB316" s="34"/>
      <c r="LTC316" s="34"/>
      <c r="LTD316" s="34"/>
      <c r="LTE316" s="34"/>
      <c r="LTF316" s="34"/>
      <c r="LTG316" s="34"/>
      <c r="LTH316" s="34"/>
      <c r="LTI316" s="34"/>
      <c r="LTJ316" s="34"/>
      <c r="LTK316" s="34"/>
      <c r="LTL316" s="34"/>
      <c r="LTM316" s="34"/>
      <c r="LTN316" s="34"/>
      <c r="LTO316" s="34"/>
      <c r="LTP316" s="34"/>
      <c r="LTQ316" s="34"/>
      <c r="LTR316" s="34"/>
      <c r="LTS316" s="34"/>
      <c r="LTT316" s="34"/>
      <c r="LTU316" s="34"/>
      <c r="LTV316" s="34"/>
      <c r="LTW316" s="34"/>
      <c r="LTX316" s="34"/>
      <c r="LTY316" s="34"/>
      <c r="LTZ316" s="34"/>
      <c r="LUA316" s="34"/>
      <c r="LUB316" s="34"/>
      <c r="LUC316" s="34"/>
      <c r="LUD316" s="34"/>
      <c r="LUE316" s="34"/>
      <c r="LUF316" s="34"/>
      <c r="LUG316" s="34"/>
      <c r="LUH316" s="34"/>
      <c r="LUI316" s="34"/>
      <c r="LUJ316" s="34"/>
      <c r="LUK316" s="34"/>
      <c r="LUL316" s="34"/>
      <c r="LUM316" s="34"/>
      <c r="LUN316" s="34"/>
      <c r="LUO316" s="34"/>
      <c r="LUP316" s="34"/>
      <c r="LUQ316" s="34"/>
      <c r="LUR316" s="34"/>
      <c r="LUS316" s="34"/>
      <c r="LUT316" s="34"/>
      <c r="LUU316" s="34"/>
      <c r="LUV316" s="34"/>
      <c r="LUW316" s="34"/>
      <c r="LUX316" s="34"/>
      <c r="LUY316" s="34"/>
      <c r="LUZ316" s="34"/>
      <c r="LVA316" s="34"/>
      <c r="LVB316" s="34"/>
      <c r="LVC316" s="34"/>
      <c r="LVD316" s="34"/>
      <c r="LVE316" s="34"/>
      <c r="LVF316" s="34"/>
      <c r="LVG316" s="34"/>
      <c r="LVH316" s="34"/>
      <c r="LVI316" s="34"/>
      <c r="LVJ316" s="34"/>
      <c r="LVK316" s="34"/>
      <c r="LVL316" s="34"/>
      <c r="LVM316" s="34"/>
      <c r="LVN316" s="34"/>
      <c r="LVO316" s="34"/>
      <c r="LVP316" s="34"/>
      <c r="LVQ316" s="34"/>
      <c r="LVR316" s="34"/>
      <c r="LVS316" s="34"/>
      <c r="LVT316" s="34"/>
      <c r="LVU316" s="34"/>
      <c r="LVV316" s="34"/>
      <c r="LVW316" s="34"/>
      <c r="LVX316" s="34"/>
      <c r="LVY316" s="34"/>
      <c r="LVZ316" s="34"/>
      <c r="LWA316" s="34"/>
      <c r="LWB316" s="34"/>
      <c r="LWC316" s="34"/>
      <c r="LWD316" s="34"/>
      <c r="LWE316" s="34"/>
      <c r="LWF316" s="34"/>
      <c r="LWG316" s="34"/>
      <c r="LWH316" s="34"/>
      <c r="LWI316" s="34"/>
      <c r="LWJ316" s="34"/>
      <c r="LWK316" s="34"/>
      <c r="LWL316" s="34"/>
      <c r="LWM316" s="34"/>
      <c r="LWN316" s="34"/>
      <c r="LWO316" s="34"/>
      <c r="LWP316" s="34"/>
      <c r="LWQ316" s="34"/>
      <c r="LWR316" s="34"/>
      <c r="LWS316" s="34"/>
      <c r="LWT316" s="34"/>
      <c r="LWU316" s="34"/>
      <c r="LWV316" s="34"/>
      <c r="LWW316" s="34"/>
      <c r="LWX316" s="34"/>
      <c r="LWY316" s="34"/>
      <c r="LWZ316" s="34"/>
      <c r="LXA316" s="34"/>
      <c r="LXB316" s="34"/>
      <c r="LXC316" s="34"/>
      <c r="LXD316" s="34"/>
      <c r="LXE316" s="34"/>
      <c r="LXF316" s="34"/>
      <c r="LXG316" s="34"/>
      <c r="LXH316" s="34"/>
      <c r="LXI316" s="34"/>
      <c r="LXJ316" s="34"/>
      <c r="LXK316" s="34"/>
      <c r="LXL316" s="34"/>
      <c r="LXM316" s="34"/>
      <c r="LXN316" s="34"/>
      <c r="LXO316" s="34"/>
      <c r="LXP316" s="34"/>
      <c r="LXQ316" s="34"/>
      <c r="LXR316" s="34"/>
      <c r="LXS316" s="34"/>
      <c r="LXT316" s="34"/>
      <c r="LXU316" s="34"/>
      <c r="LXV316" s="34"/>
      <c r="LXW316" s="34"/>
      <c r="LXX316" s="34"/>
      <c r="LXY316" s="34"/>
      <c r="LXZ316" s="34"/>
      <c r="LYA316" s="34"/>
      <c r="LYB316" s="34"/>
      <c r="LYC316" s="34"/>
      <c r="LYD316" s="34"/>
      <c r="LYE316" s="34"/>
      <c r="LYF316" s="34"/>
      <c r="LYG316" s="34"/>
      <c r="LYH316" s="34"/>
      <c r="LYI316" s="34"/>
      <c r="LYJ316" s="34"/>
      <c r="LYK316" s="34"/>
      <c r="LYL316" s="34"/>
      <c r="LYM316" s="34"/>
      <c r="LYN316" s="34"/>
      <c r="LYO316" s="34"/>
      <c r="LYP316" s="34"/>
      <c r="LYQ316" s="34"/>
      <c r="LYR316" s="34"/>
      <c r="LYS316" s="34"/>
      <c r="LYT316" s="34"/>
      <c r="LYU316" s="34"/>
      <c r="LYV316" s="34"/>
      <c r="LYW316" s="34"/>
      <c r="LYX316" s="34"/>
      <c r="LYY316" s="34"/>
      <c r="LYZ316" s="34"/>
      <c r="LZA316" s="34"/>
      <c r="LZB316" s="34"/>
      <c r="LZC316" s="34"/>
      <c r="LZD316" s="34"/>
      <c r="LZE316" s="34"/>
      <c r="LZF316" s="34"/>
      <c r="LZG316" s="34"/>
      <c r="LZH316" s="34"/>
      <c r="LZI316" s="34"/>
      <c r="LZJ316" s="34"/>
      <c r="LZK316" s="34"/>
      <c r="LZL316" s="34"/>
      <c r="LZM316" s="34"/>
      <c r="LZN316" s="34"/>
      <c r="LZO316" s="34"/>
      <c r="LZP316" s="34"/>
      <c r="LZQ316" s="34"/>
      <c r="LZR316" s="34"/>
      <c r="LZS316" s="34"/>
      <c r="LZT316" s="34"/>
      <c r="LZU316" s="34"/>
      <c r="LZV316" s="34"/>
      <c r="LZW316" s="34"/>
      <c r="LZX316" s="34"/>
      <c r="LZY316" s="34"/>
      <c r="LZZ316" s="34"/>
      <c r="MAA316" s="34"/>
      <c r="MAB316" s="34"/>
      <c r="MAC316" s="34"/>
      <c r="MAD316" s="34"/>
      <c r="MAE316" s="34"/>
      <c r="MAF316" s="34"/>
      <c r="MAG316" s="34"/>
      <c r="MAH316" s="34"/>
      <c r="MAI316" s="34"/>
      <c r="MAJ316" s="34"/>
      <c r="MAK316" s="34"/>
      <c r="MAL316" s="34"/>
      <c r="MAM316" s="34"/>
      <c r="MAN316" s="34"/>
      <c r="MAO316" s="34"/>
      <c r="MAP316" s="34"/>
      <c r="MAQ316" s="34"/>
      <c r="MAR316" s="34"/>
      <c r="MAS316" s="34"/>
      <c r="MAT316" s="34"/>
      <c r="MAU316" s="34"/>
      <c r="MAV316" s="34"/>
      <c r="MAW316" s="34"/>
      <c r="MAX316" s="34"/>
      <c r="MAY316" s="34"/>
      <c r="MAZ316" s="34"/>
      <c r="MBA316" s="34"/>
      <c r="MBB316" s="34"/>
      <c r="MBC316" s="34"/>
      <c r="MBD316" s="34"/>
      <c r="MBE316" s="34"/>
      <c r="MBF316" s="34"/>
      <c r="MBG316" s="34"/>
      <c r="MBH316" s="34"/>
      <c r="MBI316" s="34"/>
      <c r="MBJ316" s="34"/>
      <c r="MBK316" s="34"/>
      <c r="MBL316" s="34"/>
      <c r="MBM316" s="34"/>
      <c r="MBN316" s="34"/>
      <c r="MBO316" s="34"/>
      <c r="MBP316" s="34"/>
      <c r="MBQ316" s="34"/>
      <c r="MBR316" s="34"/>
      <c r="MBS316" s="34"/>
      <c r="MBT316" s="34"/>
      <c r="MBU316" s="34"/>
      <c r="MBV316" s="34"/>
      <c r="MBW316" s="34"/>
      <c r="MBX316" s="34"/>
      <c r="MBY316" s="34"/>
      <c r="MBZ316" s="34"/>
      <c r="MCA316" s="34"/>
      <c r="MCB316" s="34"/>
      <c r="MCC316" s="34"/>
      <c r="MCD316" s="34"/>
      <c r="MCE316" s="34"/>
      <c r="MCF316" s="34"/>
      <c r="MCG316" s="34"/>
      <c r="MCH316" s="34"/>
      <c r="MCI316" s="34"/>
      <c r="MCJ316" s="34"/>
      <c r="MCK316" s="34"/>
      <c r="MCL316" s="34"/>
      <c r="MCM316" s="34"/>
      <c r="MCN316" s="34"/>
      <c r="MCO316" s="34"/>
      <c r="MCP316" s="34"/>
      <c r="MCQ316" s="34"/>
      <c r="MCR316" s="34"/>
      <c r="MCS316" s="34"/>
      <c r="MCT316" s="34"/>
      <c r="MCU316" s="34"/>
      <c r="MCV316" s="34"/>
      <c r="MCW316" s="34"/>
      <c r="MCX316" s="34"/>
      <c r="MCY316" s="34"/>
      <c r="MCZ316" s="34"/>
      <c r="MDA316" s="34"/>
      <c r="MDB316" s="34"/>
      <c r="MDC316" s="34"/>
      <c r="MDD316" s="34"/>
      <c r="MDE316" s="34"/>
      <c r="MDF316" s="34"/>
      <c r="MDG316" s="34"/>
      <c r="MDH316" s="34"/>
      <c r="MDI316" s="34"/>
      <c r="MDJ316" s="34"/>
      <c r="MDK316" s="34"/>
      <c r="MDL316" s="34"/>
      <c r="MDM316" s="34"/>
      <c r="MDN316" s="34"/>
      <c r="MDO316" s="34"/>
      <c r="MDP316" s="34"/>
      <c r="MDQ316" s="34"/>
      <c r="MDR316" s="34"/>
      <c r="MDS316" s="34"/>
      <c r="MDT316" s="34"/>
      <c r="MDU316" s="34"/>
      <c r="MDV316" s="34"/>
      <c r="MDW316" s="34"/>
      <c r="MDX316" s="34"/>
      <c r="MDY316" s="34"/>
      <c r="MDZ316" s="34"/>
      <c r="MEA316" s="34"/>
      <c r="MEB316" s="34"/>
      <c r="MEC316" s="34"/>
      <c r="MED316" s="34"/>
      <c r="MEE316" s="34"/>
      <c r="MEF316" s="34"/>
      <c r="MEG316" s="34"/>
      <c r="MEH316" s="34"/>
      <c r="MEI316" s="34"/>
      <c r="MEJ316" s="34"/>
      <c r="MEK316" s="34"/>
      <c r="MEL316" s="34"/>
      <c r="MEM316" s="34"/>
      <c r="MEN316" s="34"/>
      <c r="MEO316" s="34"/>
      <c r="MEP316" s="34"/>
      <c r="MEQ316" s="34"/>
      <c r="MER316" s="34"/>
      <c r="MES316" s="34"/>
      <c r="MET316" s="34"/>
      <c r="MEU316" s="34"/>
      <c r="MEV316" s="34"/>
      <c r="MEW316" s="34"/>
      <c r="MEX316" s="34"/>
      <c r="MEY316" s="34"/>
      <c r="MEZ316" s="34"/>
      <c r="MFA316" s="34"/>
      <c r="MFB316" s="34"/>
      <c r="MFC316" s="34"/>
      <c r="MFD316" s="34"/>
      <c r="MFE316" s="34"/>
      <c r="MFF316" s="34"/>
      <c r="MFG316" s="34"/>
      <c r="MFH316" s="34"/>
      <c r="MFI316" s="34"/>
      <c r="MFJ316" s="34"/>
      <c r="MFK316" s="34"/>
      <c r="MFL316" s="34"/>
      <c r="MFM316" s="34"/>
      <c r="MFN316" s="34"/>
      <c r="MFO316" s="34"/>
      <c r="MFP316" s="34"/>
      <c r="MFQ316" s="34"/>
      <c r="MFR316" s="34"/>
      <c r="MFS316" s="34"/>
      <c r="MFT316" s="34"/>
      <c r="MFU316" s="34"/>
      <c r="MFV316" s="34"/>
      <c r="MFW316" s="34"/>
      <c r="MFX316" s="34"/>
      <c r="MFY316" s="34"/>
      <c r="MFZ316" s="34"/>
      <c r="MGA316" s="34"/>
      <c r="MGB316" s="34"/>
      <c r="MGC316" s="34"/>
      <c r="MGD316" s="34"/>
      <c r="MGE316" s="34"/>
      <c r="MGF316" s="34"/>
      <c r="MGG316" s="34"/>
      <c r="MGH316" s="34"/>
      <c r="MGI316" s="34"/>
      <c r="MGJ316" s="34"/>
      <c r="MGK316" s="34"/>
      <c r="MGL316" s="34"/>
      <c r="MGM316" s="34"/>
      <c r="MGN316" s="34"/>
      <c r="MGO316" s="34"/>
      <c r="MGP316" s="34"/>
      <c r="MGQ316" s="34"/>
      <c r="MGR316" s="34"/>
      <c r="MGS316" s="34"/>
      <c r="MGT316" s="34"/>
      <c r="MGU316" s="34"/>
      <c r="MGV316" s="34"/>
      <c r="MGW316" s="34"/>
      <c r="MGX316" s="34"/>
      <c r="MGY316" s="34"/>
      <c r="MGZ316" s="34"/>
      <c r="MHA316" s="34"/>
      <c r="MHB316" s="34"/>
      <c r="MHC316" s="34"/>
      <c r="MHD316" s="34"/>
      <c r="MHE316" s="34"/>
      <c r="MHF316" s="34"/>
      <c r="MHG316" s="34"/>
      <c r="MHH316" s="34"/>
      <c r="MHI316" s="34"/>
      <c r="MHJ316" s="34"/>
      <c r="MHK316" s="34"/>
      <c r="MHL316" s="34"/>
      <c r="MHM316" s="34"/>
      <c r="MHN316" s="34"/>
      <c r="MHO316" s="34"/>
      <c r="MHP316" s="34"/>
      <c r="MHQ316" s="34"/>
      <c r="MHR316" s="34"/>
      <c r="MHS316" s="34"/>
      <c r="MHT316" s="34"/>
      <c r="MHU316" s="34"/>
      <c r="MHV316" s="34"/>
      <c r="MHW316" s="34"/>
      <c r="MHX316" s="34"/>
      <c r="MHY316" s="34"/>
      <c r="MHZ316" s="34"/>
      <c r="MIA316" s="34"/>
      <c r="MIB316" s="34"/>
      <c r="MIC316" s="34"/>
      <c r="MID316" s="34"/>
      <c r="MIE316" s="34"/>
      <c r="MIF316" s="34"/>
      <c r="MIG316" s="34"/>
      <c r="MIH316" s="34"/>
      <c r="MII316" s="34"/>
      <c r="MIJ316" s="34"/>
      <c r="MIK316" s="34"/>
      <c r="MIL316" s="34"/>
      <c r="MIM316" s="34"/>
      <c r="MIN316" s="34"/>
      <c r="MIO316" s="34"/>
      <c r="MIP316" s="34"/>
      <c r="MIQ316" s="34"/>
      <c r="MIR316" s="34"/>
      <c r="MIS316" s="34"/>
      <c r="MIT316" s="34"/>
      <c r="MIU316" s="34"/>
      <c r="MIV316" s="34"/>
      <c r="MIW316" s="34"/>
      <c r="MIX316" s="34"/>
      <c r="MIY316" s="34"/>
      <c r="MIZ316" s="34"/>
      <c r="MJA316" s="34"/>
      <c r="MJB316" s="34"/>
      <c r="MJC316" s="34"/>
      <c r="MJD316" s="34"/>
      <c r="MJE316" s="34"/>
      <c r="MJF316" s="34"/>
      <c r="MJG316" s="34"/>
      <c r="MJH316" s="34"/>
      <c r="MJI316" s="34"/>
      <c r="MJJ316" s="34"/>
      <c r="MJK316" s="34"/>
      <c r="MJL316" s="34"/>
      <c r="MJM316" s="34"/>
      <c r="MJN316" s="34"/>
      <c r="MJO316" s="34"/>
      <c r="MJP316" s="34"/>
      <c r="MJQ316" s="34"/>
      <c r="MJR316" s="34"/>
      <c r="MJS316" s="34"/>
      <c r="MJT316" s="34"/>
      <c r="MJU316" s="34"/>
      <c r="MJV316" s="34"/>
      <c r="MJW316" s="34"/>
      <c r="MJX316" s="34"/>
      <c r="MJY316" s="34"/>
      <c r="MJZ316" s="34"/>
      <c r="MKA316" s="34"/>
      <c r="MKB316" s="34"/>
      <c r="MKC316" s="34"/>
      <c r="MKD316" s="34"/>
      <c r="MKE316" s="34"/>
      <c r="MKF316" s="34"/>
      <c r="MKG316" s="34"/>
      <c r="MKH316" s="34"/>
      <c r="MKI316" s="34"/>
      <c r="MKJ316" s="34"/>
      <c r="MKK316" s="34"/>
      <c r="MKL316" s="34"/>
      <c r="MKM316" s="34"/>
      <c r="MKN316" s="34"/>
      <c r="MKO316" s="34"/>
      <c r="MKP316" s="34"/>
      <c r="MKQ316" s="34"/>
      <c r="MKR316" s="34"/>
      <c r="MKS316" s="34"/>
      <c r="MKT316" s="34"/>
      <c r="MKU316" s="34"/>
      <c r="MKV316" s="34"/>
      <c r="MKW316" s="34"/>
      <c r="MKX316" s="34"/>
      <c r="MKY316" s="34"/>
      <c r="MKZ316" s="34"/>
      <c r="MLA316" s="34"/>
      <c r="MLB316" s="34"/>
      <c r="MLC316" s="34"/>
      <c r="MLD316" s="34"/>
      <c r="MLE316" s="34"/>
      <c r="MLF316" s="34"/>
      <c r="MLG316" s="34"/>
      <c r="MLH316" s="34"/>
      <c r="MLI316" s="34"/>
      <c r="MLJ316" s="34"/>
      <c r="MLK316" s="34"/>
      <c r="MLL316" s="34"/>
      <c r="MLM316" s="34"/>
      <c r="MLN316" s="34"/>
      <c r="MLO316" s="34"/>
      <c r="MLP316" s="34"/>
      <c r="MLQ316" s="34"/>
      <c r="MLR316" s="34"/>
      <c r="MLS316" s="34"/>
      <c r="MLT316" s="34"/>
      <c r="MLU316" s="34"/>
      <c r="MLV316" s="34"/>
      <c r="MLW316" s="34"/>
      <c r="MLX316" s="34"/>
      <c r="MLY316" s="34"/>
      <c r="MLZ316" s="34"/>
      <c r="MMA316" s="34"/>
      <c r="MMB316" s="34"/>
      <c r="MMC316" s="34"/>
      <c r="MMD316" s="34"/>
      <c r="MME316" s="34"/>
      <c r="MMF316" s="34"/>
      <c r="MMG316" s="34"/>
      <c r="MMH316" s="34"/>
      <c r="MMI316" s="34"/>
      <c r="MMJ316" s="34"/>
      <c r="MMK316" s="34"/>
      <c r="MML316" s="34"/>
      <c r="MMM316" s="34"/>
      <c r="MMN316" s="34"/>
      <c r="MMO316" s="34"/>
      <c r="MMP316" s="34"/>
      <c r="MMQ316" s="34"/>
      <c r="MMR316" s="34"/>
      <c r="MMS316" s="34"/>
      <c r="MMT316" s="34"/>
      <c r="MMU316" s="34"/>
      <c r="MMV316" s="34"/>
      <c r="MMW316" s="34"/>
      <c r="MMX316" s="34"/>
      <c r="MMY316" s="34"/>
      <c r="MMZ316" s="34"/>
      <c r="MNA316" s="34"/>
      <c r="MNB316" s="34"/>
      <c r="MNC316" s="34"/>
      <c r="MND316" s="34"/>
      <c r="MNE316" s="34"/>
      <c r="MNF316" s="34"/>
      <c r="MNG316" s="34"/>
      <c r="MNH316" s="34"/>
      <c r="MNI316" s="34"/>
      <c r="MNJ316" s="34"/>
      <c r="MNK316" s="34"/>
      <c r="MNL316" s="34"/>
      <c r="MNM316" s="34"/>
      <c r="MNN316" s="34"/>
      <c r="MNO316" s="34"/>
      <c r="MNP316" s="34"/>
      <c r="MNQ316" s="34"/>
      <c r="MNR316" s="34"/>
      <c r="MNS316" s="34"/>
      <c r="MNT316" s="34"/>
      <c r="MNU316" s="34"/>
      <c r="MNV316" s="34"/>
      <c r="MNW316" s="34"/>
      <c r="MNX316" s="34"/>
      <c r="MNY316" s="34"/>
      <c r="MNZ316" s="34"/>
      <c r="MOA316" s="34"/>
      <c r="MOB316" s="34"/>
      <c r="MOC316" s="34"/>
      <c r="MOD316" s="34"/>
      <c r="MOE316" s="34"/>
      <c r="MOF316" s="34"/>
      <c r="MOG316" s="34"/>
      <c r="MOH316" s="34"/>
      <c r="MOI316" s="34"/>
      <c r="MOJ316" s="34"/>
      <c r="MOK316" s="34"/>
      <c r="MOL316" s="34"/>
      <c r="MOM316" s="34"/>
      <c r="MON316" s="34"/>
      <c r="MOO316" s="34"/>
      <c r="MOP316" s="34"/>
      <c r="MOQ316" s="34"/>
      <c r="MOR316" s="34"/>
      <c r="MOS316" s="34"/>
      <c r="MOT316" s="34"/>
      <c r="MOU316" s="34"/>
      <c r="MOV316" s="34"/>
      <c r="MOW316" s="34"/>
      <c r="MOX316" s="34"/>
      <c r="MOY316" s="34"/>
      <c r="MOZ316" s="34"/>
      <c r="MPA316" s="34"/>
      <c r="MPB316" s="34"/>
      <c r="MPC316" s="34"/>
      <c r="MPD316" s="34"/>
      <c r="MPE316" s="34"/>
      <c r="MPF316" s="34"/>
      <c r="MPG316" s="34"/>
      <c r="MPH316" s="34"/>
      <c r="MPI316" s="34"/>
      <c r="MPJ316" s="34"/>
      <c r="MPK316" s="34"/>
      <c r="MPL316" s="34"/>
      <c r="MPM316" s="34"/>
      <c r="MPN316" s="34"/>
      <c r="MPO316" s="34"/>
      <c r="MPP316" s="34"/>
      <c r="MPQ316" s="34"/>
      <c r="MPR316" s="34"/>
      <c r="MPS316" s="34"/>
      <c r="MPT316" s="34"/>
      <c r="MPU316" s="34"/>
      <c r="MPV316" s="34"/>
      <c r="MPW316" s="34"/>
      <c r="MPX316" s="34"/>
      <c r="MPY316" s="34"/>
      <c r="MPZ316" s="34"/>
      <c r="MQA316" s="34"/>
      <c r="MQB316" s="34"/>
      <c r="MQC316" s="34"/>
      <c r="MQD316" s="34"/>
      <c r="MQE316" s="34"/>
      <c r="MQF316" s="34"/>
      <c r="MQG316" s="34"/>
      <c r="MQH316" s="34"/>
      <c r="MQI316" s="34"/>
      <c r="MQJ316" s="34"/>
      <c r="MQK316" s="34"/>
      <c r="MQL316" s="34"/>
      <c r="MQM316" s="34"/>
      <c r="MQN316" s="34"/>
      <c r="MQO316" s="34"/>
      <c r="MQP316" s="34"/>
      <c r="MQQ316" s="34"/>
      <c r="MQR316" s="34"/>
      <c r="MQS316" s="34"/>
      <c r="MQT316" s="34"/>
      <c r="MQU316" s="34"/>
      <c r="MQV316" s="34"/>
      <c r="MQW316" s="34"/>
      <c r="MQX316" s="34"/>
      <c r="MQY316" s="34"/>
      <c r="MQZ316" s="34"/>
      <c r="MRA316" s="34"/>
      <c r="MRB316" s="34"/>
      <c r="MRC316" s="34"/>
      <c r="MRD316" s="34"/>
      <c r="MRE316" s="34"/>
      <c r="MRF316" s="34"/>
      <c r="MRG316" s="34"/>
      <c r="MRH316" s="34"/>
      <c r="MRI316" s="34"/>
      <c r="MRJ316" s="34"/>
      <c r="MRK316" s="34"/>
      <c r="MRL316" s="34"/>
      <c r="MRM316" s="34"/>
      <c r="MRN316" s="34"/>
      <c r="MRO316" s="34"/>
      <c r="MRP316" s="34"/>
      <c r="MRQ316" s="34"/>
      <c r="MRR316" s="34"/>
      <c r="MRS316" s="34"/>
      <c r="MRT316" s="34"/>
      <c r="MRU316" s="34"/>
      <c r="MRV316" s="34"/>
      <c r="MRW316" s="34"/>
      <c r="MRX316" s="34"/>
      <c r="MRY316" s="34"/>
      <c r="MRZ316" s="34"/>
      <c r="MSA316" s="34"/>
      <c r="MSB316" s="34"/>
      <c r="MSC316" s="34"/>
      <c r="MSD316" s="34"/>
      <c r="MSE316" s="34"/>
      <c r="MSF316" s="34"/>
      <c r="MSG316" s="34"/>
      <c r="MSH316" s="34"/>
      <c r="MSI316" s="34"/>
      <c r="MSJ316" s="34"/>
      <c r="MSK316" s="34"/>
      <c r="MSL316" s="34"/>
      <c r="MSM316" s="34"/>
      <c r="MSN316" s="34"/>
      <c r="MSO316" s="34"/>
      <c r="MSP316" s="34"/>
      <c r="MSQ316" s="34"/>
      <c r="MSR316" s="34"/>
      <c r="MSS316" s="34"/>
      <c r="MST316" s="34"/>
      <c r="MSU316" s="34"/>
      <c r="MSV316" s="34"/>
      <c r="MSW316" s="34"/>
      <c r="MSX316" s="34"/>
      <c r="MSY316" s="34"/>
      <c r="MSZ316" s="34"/>
      <c r="MTA316" s="34"/>
      <c r="MTB316" s="34"/>
      <c r="MTC316" s="34"/>
      <c r="MTD316" s="34"/>
      <c r="MTE316" s="34"/>
      <c r="MTF316" s="34"/>
      <c r="MTG316" s="34"/>
      <c r="MTH316" s="34"/>
      <c r="MTI316" s="34"/>
      <c r="MTJ316" s="34"/>
      <c r="MTK316" s="34"/>
      <c r="MTL316" s="34"/>
      <c r="MTM316" s="34"/>
      <c r="MTN316" s="34"/>
      <c r="MTO316" s="34"/>
      <c r="MTP316" s="34"/>
      <c r="MTQ316" s="34"/>
      <c r="MTR316" s="34"/>
      <c r="MTS316" s="34"/>
      <c r="MTT316" s="34"/>
      <c r="MTU316" s="34"/>
      <c r="MTV316" s="34"/>
      <c r="MTW316" s="34"/>
      <c r="MTX316" s="34"/>
      <c r="MTY316" s="34"/>
      <c r="MTZ316" s="34"/>
      <c r="MUA316" s="34"/>
      <c r="MUB316" s="34"/>
      <c r="MUC316" s="34"/>
      <c r="MUD316" s="34"/>
      <c r="MUE316" s="34"/>
      <c r="MUF316" s="34"/>
      <c r="MUG316" s="34"/>
      <c r="MUH316" s="34"/>
      <c r="MUI316" s="34"/>
      <c r="MUJ316" s="34"/>
      <c r="MUK316" s="34"/>
      <c r="MUL316" s="34"/>
      <c r="MUM316" s="34"/>
      <c r="MUN316" s="34"/>
      <c r="MUO316" s="34"/>
      <c r="MUP316" s="34"/>
      <c r="MUQ316" s="34"/>
      <c r="MUR316" s="34"/>
      <c r="MUS316" s="34"/>
      <c r="MUT316" s="34"/>
      <c r="MUU316" s="34"/>
      <c r="MUV316" s="34"/>
      <c r="MUW316" s="34"/>
      <c r="MUX316" s="34"/>
      <c r="MUY316" s="34"/>
      <c r="MUZ316" s="34"/>
      <c r="MVA316" s="34"/>
      <c r="MVB316" s="34"/>
      <c r="MVC316" s="34"/>
      <c r="MVD316" s="34"/>
      <c r="MVE316" s="34"/>
      <c r="MVF316" s="34"/>
      <c r="MVG316" s="34"/>
      <c r="MVH316" s="34"/>
      <c r="MVI316" s="34"/>
      <c r="MVJ316" s="34"/>
      <c r="MVK316" s="34"/>
      <c r="MVL316" s="34"/>
      <c r="MVM316" s="34"/>
      <c r="MVN316" s="34"/>
      <c r="MVO316" s="34"/>
      <c r="MVP316" s="34"/>
      <c r="MVQ316" s="34"/>
      <c r="MVR316" s="34"/>
      <c r="MVS316" s="34"/>
      <c r="MVT316" s="34"/>
      <c r="MVU316" s="34"/>
      <c r="MVV316" s="34"/>
      <c r="MVW316" s="34"/>
      <c r="MVX316" s="34"/>
      <c r="MVY316" s="34"/>
      <c r="MVZ316" s="34"/>
      <c r="MWA316" s="34"/>
      <c r="MWB316" s="34"/>
      <c r="MWC316" s="34"/>
      <c r="MWD316" s="34"/>
      <c r="MWE316" s="34"/>
      <c r="MWF316" s="34"/>
      <c r="MWG316" s="34"/>
      <c r="MWH316" s="34"/>
      <c r="MWI316" s="34"/>
      <c r="MWJ316" s="34"/>
      <c r="MWK316" s="34"/>
      <c r="MWL316" s="34"/>
      <c r="MWM316" s="34"/>
      <c r="MWN316" s="34"/>
      <c r="MWO316" s="34"/>
      <c r="MWP316" s="34"/>
      <c r="MWQ316" s="34"/>
      <c r="MWR316" s="34"/>
      <c r="MWS316" s="34"/>
      <c r="MWT316" s="34"/>
      <c r="MWU316" s="34"/>
      <c r="MWV316" s="34"/>
      <c r="MWW316" s="34"/>
      <c r="MWX316" s="34"/>
      <c r="MWY316" s="34"/>
      <c r="MWZ316" s="34"/>
      <c r="MXA316" s="34"/>
      <c r="MXB316" s="34"/>
      <c r="MXC316" s="34"/>
      <c r="MXD316" s="34"/>
      <c r="MXE316" s="34"/>
      <c r="MXF316" s="34"/>
      <c r="MXG316" s="34"/>
      <c r="MXH316" s="34"/>
      <c r="MXI316" s="34"/>
      <c r="MXJ316" s="34"/>
      <c r="MXK316" s="34"/>
      <c r="MXL316" s="34"/>
      <c r="MXM316" s="34"/>
      <c r="MXN316" s="34"/>
      <c r="MXO316" s="34"/>
      <c r="MXP316" s="34"/>
      <c r="MXQ316" s="34"/>
      <c r="MXR316" s="34"/>
      <c r="MXS316" s="34"/>
      <c r="MXT316" s="34"/>
      <c r="MXU316" s="34"/>
      <c r="MXV316" s="34"/>
      <c r="MXW316" s="34"/>
      <c r="MXX316" s="34"/>
      <c r="MXY316" s="34"/>
      <c r="MXZ316" s="34"/>
      <c r="MYA316" s="34"/>
      <c r="MYB316" s="34"/>
      <c r="MYC316" s="34"/>
      <c r="MYD316" s="34"/>
      <c r="MYE316" s="34"/>
      <c r="MYF316" s="34"/>
      <c r="MYG316" s="34"/>
      <c r="MYH316" s="34"/>
      <c r="MYI316" s="34"/>
      <c r="MYJ316" s="34"/>
      <c r="MYK316" s="34"/>
      <c r="MYL316" s="34"/>
      <c r="MYM316" s="34"/>
      <c r="MYN316" s="34"/>
      <c r="MYO316" s="34"/>
      <c r="MYP316" s="34"/>
      <c r="MYQ316" s="34"/>
      <c r="MYR316" s="34"/>
      <c r="MYS316" s="34"/>
      <c r="MYT316" s="34"/>
      <c r="MYU316" s="34"/>
      <c r="MYV316" s="34"/>
      <c r="MYW316" s="34"/>
      <c r="MYX316" s="34"/>
      <c r="MYY316" s="34"/>
      <c r="MYZ316" s="34"/>
      <c r="MZA316" s="34"/>
      <c r="MZB316" s="34"/>
      <c r="MZC316" s="34"/>
      <c r="MZD316" s="34"/>
      <c r="MZE316" s="34"/>
      <c r="MZF316" s="34"/>
      <c r="MZG316" s="34"/>
      <c r="MZH316" s="34"/>
      <c r="MZI316" s="34"/>
      <c r="MZJ316" s="34"/>
      <c r="MZK316" s="34"/>
      <c r="MZL316" s="34"/>
      <c r="MZM316" s="34"/>
      <c r="MZN316" s="34"/>
      <c r="MZO316" s="34"/>
      <c r="MZP316" s="34"/>
      <c r="MZQ316" s="34"/>
      <c r="MZR316" s="34"/>
      <c r="MZS316" s="34"/>
      <c r="MZT316" s="34"/>
      <c r="MZU316" s="34"/>
      <c r="MZV316" s="34"/>
      <c r="MZW316" s="34"/>
      <c r="MZX316" s="34"/>
      <c r="MZY316" s="34"/>
      <c r="MZZ316" s="34"/>
      <c r="NAA316" s="34"/>
      <c r="NAB316" s="34"/>
      <c r="NAC316" s="34"/>
      <c r="NAD316" s="34"/>
      <c r="NAE316" s="34"/>
      <c r="NAF316" s="34"/>
      <c r="NAG316" s="34"/>
      <c r="NAH316" s="34"/>
      <c r="NAI316" s="34"/>
      <c r="NAJ316" s="34"/>
      <c r="NAK316" s="34"/>
      <c r="NAL316" s="34"/>
      <c r="NAM316" s="34"/>
      <c r="NAN316" s="34"/>
      <c r="NAO316" s="34"/>
      <c r="NAP316" s="34"/>
      <c r="NAQ316" s="34"/>
      <c r="NAR316" s="34"/>
      <c r="NAS316" s="34"/>
      <c r="NAT316" s="34"/>
      <c r="NAU316" s="34"/>
      <c r="NAV316" s="34"/>
      <c r="NAW316" s="34"/>
      <c r="NAX316" s="34"/>
      <c r="NAY316" s="34"/>
      <c r="NAZ316" s="34"/>
      <c r="NBA316" s="34"/>
      <c r="NBB316" s="34"/>
      <c r="NBC316" s="34"/>
      <c r="NBD316" s="34"/>
      <c r="NBE316" s="34"/>
      <c r="NBF316" s="34"/>
      <c r="NBG316" s="34"/>
      <c r="NBH316" s="34"/>
      <c r="NBI316" s="34"/>
      <c r="NBJ316" s="34"/>
      <c r="NBK316" s="34"/>
      <c r="NBL316" s="34"/>
      <c r="NBM316" s="34"/>
      <c r="NBN316" s="34"/>
      <c r="NBO316" s="34"/>
      <c r="NBP316" s="34"/>
      <c r="NBQ316" s="34"/>
      <c r="NBR316" s="34"/>
      <c r="NBS316" s="34"/>
      <c r="NBT316" s="34"/>
      <c r="NBU316" s="34"/>
      <c r="NBV316" s="34"/>
      <c r="NBW316" s="34"/>
      <c r="NBX316" s="34"/>
      <c r="NBY316" s="34"/>
      <c r="NBZ316" s="34"/>
      <c r="NCA316" s="34"/>
      <c r="NCB316" s="34"/>
      <c r="NCC316" s="34"/>
      <c r="NCD316" s="34"/>
      <c r="NCE316" s="34"/>
      <c r="NCF316" s="34"/>
      <c r="NCG316" s="34"/>
      <c r="NCH316" s="34"/>
      <c r="NCI316" s="34"/>
      <c r="NCJ316" s="34"/>
      <c r="NCK316" s="34"/>
      <c r="NCL316" s="34"/>
      <c r="NCM316" s="34"/>
      <c r="NCN316" s="34"/>
      <c r="NCO316" s="34"/>
      <c r="NCP316" s="34"/>
      <c r="NCQ316" s="34"/>
      <c r="NCR316" s="34"/>
      <c r="NCS316" s="34"/>
      <c r="NCT316" s="34"/>
      <c r="NCU316" s="34"/>
      <c r="NCV316" s="34"/>
      <c r="NCW316" s="34"/>
      <c r="NCX316" s="34"/>
      <c r="NCY316" s="34"/>
      <c r="NCZ316" s="34"/>
      <c r="NDA316" s="34"/>
      <c r="NDB316" s="34"/>
      <c r="NDC316" s="34"/>
      <c r="NDD316" s="34"/>
      <c r="NDE316" s="34"/>
      <c r="NDF316" s="34"/>
      <c r="NDG316" s="34"/>
      <c r="NDH316" s="34"/>
      <c r="NDI316" s="34"/>
      <c r="NDJ316" s="34"/>
      <c r="NDK316" s="34"/>
      <c r="NDL316" s="34"/>
      <c r="NDM316" s="34"/>
      <c r="NDN316" s="34"/>
      <c r="NDO316" s="34"/>
      <c r="NDP316" s="34"/>
      <c r="NDQ316" s="34"/>
      <c r="NDR316" s="34"/>
      <c r="NDS316" s="34"/>
      <c r="NDT316" s="34"/>
      <c r="NDU316" s="34"/>
      <c r="NDV316" s="34"/>
      <c r="NDW316" s="34"/>
      <c r="NDX316" s="34"/>
      <c r="NDY316" s="34"/>
      <c r="NDZ316" s="34"/>
      <c r="NEA316" s="34"/>
      <c r="NEB316" s="34"/>
      <c r="NEC316" s="34"/>
      <c r="NED316" s="34"/>
      <c r="NEE316" s="34"/>
      <c r="NEF316" s="34"/>
      <c r="NEG316" s="34"/>
      <c r="NEH316" s="34"/>
      <c r="NEI316" s="34"/>
      <c r="NEJ316" s="34"/>
      <c r="NEK316" s="34"/>
      <c r="NEL316" s="34"/>
      <c r="NEM316" s="34"/>
      <c r="NEN316" s="34"/>
      <c r="NEO316" s="34"/>
      <c r="NEP316" s="34"/>
      <c r="NEQ316" s="34"/>
      <c r="NER316" s="34"/>
      <c r="NES316" s="34"/>
      <c r="NET316" s="34"/>
      <c r="NEU316" s="34"/>
      <c r="NEV316" s="34"/>
      <c r="NEW316" s="34"/>
      <c r="NEX316" s="34"/>
      <c r="NEY316" s="34"/>
      <c r="NEZ316" s="34"/>
      <c r="NFA316" s="34"/>
      <c r="NFB316" s="34"/>
      <c r="NFC316" s="34"/>
      <c r="NFD316" s="34"/>
      <c r="NFE316" s="34"/>
      <c r="NFF316" s="34"/>
      <c r="NFG316" s="34"/>
      <c r="NFH316" s="34"/>
      <c r="NFI316" s="34"/>
      <c r="NFJ316" s="34"/>
      <c r="NFK316" s="34"/>
      <c r="NFL316" s="34"/>
      <c r="NFM316" s="34"/>
      <c r="NFN316" s="34"/>
      <c r="NFO316" s="34"/>
      <c r="NFP316" s="34"/>
      <c r="NFQ316" s="34"/>
      <c r="NFR316" s="34"/>
      <c r="NFS316" s="34"/>
      <c r="NFT316" s="34"/>
      <c r="NFU316" s="34"/>
      <c r="NFV316" s="34"/>
      <c r="NFW316" s="34"/>
      <c r="NFX316" s="34"/>
      <c r="NFY316" s="34"/>
      <c r="NFZ316" s="34"/>
      <c r="NGA316" s="34"/>
      <c r="NGB316" s="34"/>
      <c r="NGC316" s="34"/>
      <c r="NGD316" s="34"/>
      <c r="NGE316" s="34"/>
      <c r="NGF316" s="34"/>
      <c r="NGG316" s="34"/>
      <c r="NGH316" s="34"/>
      <c r="NGI316" s="34"/>
      <c r="NGJ316" s="34"/>
      <c r="NGK316" s="34"/>
      <c r="NGL316" s="34"/>
      <c r="NGM316" s="34"/>
      <c r="NGN316" s="34"/>
      <c r="NGO316" s="34"/>
      <c r="NGP316" s="34"/>
      <c r="NGQ316" s="34"/>
      <c r="NGR316" s="34"/>
      <c r="NGS316" s="34"/>
      <c r="NGT316" s="34"/>
      <c r="NGU316" s="34"/>
      <c r="NGV316" s="34"/>
      <c r="NGW316" s="34"/>
      <c r="NGX316" s="34"/>
      <c r="NGY316" s="34"/>
      <c r="NGZ316" s="34"/>
      <c r="NHA316" s="34"/>
      <c r="NHB316" s="34"/>
      <c r="NHC316" s="34"/>
      <c r="NHD316" s="34"/>
      <c r="NHE316" s="34"/>
      <c r="NHF316" s="34"/>
      <c r="NHG316" s="34"/>
      <c r="NHH316" s="34"/>
      <c r="NHI316" s="34"/>
      <c r="NHJ316" s="34"/>
      <c r="NHK316" s="34"/>
      <c r="NHL316" s="34"/>
      <c r="NHM316" s="34"/>
      <c r="NHN316" s="34"/>
      <c r="NHO316" s="34"/>
      <c r="NHP316" s="34"/>
      <c r="NHQ316" s="34"/>
      <c r="NHR316" s="34"/>
      <c r="NHS316" s="34"/>
      <c r="NHT316" s="34"/>
      <c r="NHU316" s="34"/>
      <c r="NHV316" s="34"/>
      <c r="NHW316" s="34"/>
      <c r="NHX316" s="34"/>
      <c r="NHY316" s="34"/>
      <c r="NHZ316" s="34"/>
      <c r="NIA316" s="34"/>
      <c r="NIB316" s="34"/>
      <c r="NIC316" s="34"/>
      <c r="NID316" s="34"/>
      <c r="NIE316" s="34"/>
      <c r="NIF316" s="34"/>
      <c r="NIG316" s="34"/>
      <c r="NIH316" s="34"/>
      <c r="NII316" s="34"/>
      <c r="NIJ316" s="34"/>
      <c r="NIK316" s="34"/>
      <c r="NIL316" s="34"/>
      <c r="NIM316" s="34"/>
      <c r="NIN316" s="34"/>
      <c r="NIO316" s="34"/>
      <c r="NIP316" s="34"/>
      <c r="NIQ316" s="34"/>
      <c r="NIR316" s="34"/>
      <c r="NIS316" s="34"/>
      <c r="NIT316" s="34"/>
      <c r="NIU316" s="34"/>
      <c r="NIV316" s="34"/>
      <c r="NIW316" s="34"/>
      <c r="NIX316" s="34"/>
      <c r="NIY316" s="34"/>
      <c r="NIZ316" s="34"/>
      <c r="NJA316" s="34"/>
      <c r="NJB316" s="34"/>
      <c r="NJC316" s="34"/>
      <c r="NJD316" s="34"/>
      <c r="NJE316" s="34"/>
      <c r="NJF316" s="34"/>
      <c r="NJG316" s="34"/>
      <c r="NJH316" s="34"/>
      <c r="NJI316" s="34"/>
      <c r="NJJ316" s="34"/>
      <c r="NJK316" s="34"/>
      <c r="NJL316" s="34"/>
      <c r="NJM316" s="34"/>
      <c r="NJN316" s="34"/>
      <c r="NJO316" s="34"/>
      <c r="NJP316" s="34"/>
      <c r="NJQ316" s="34"/>
      <c r="NJR316" s="34"/>
      <c r="NJS316" s="34"/>
      <c r="NJT316" s="34"/>
      <c r="NJU316" s="34"/>
      <c r="NJV316" s="34"/>
      <c r="NJW316" s="34"/>
      <c r="NJX316" s="34"/>
      <c r="NJY316" s="34"/>
      <c r="NJZ316" s="34"/>
      <c r="NKA316" s="34"/>
      <c r="NKB316" s="34"/>
      <c r="NKC316" s="34"/>
      <c r="NKD316" s="34"/>
      <c r="NKE316" s="34"/>
      <c r="NKF316" s="34"/>
      <c r="NKG316" s="34"/>
      <c r="NKH316" s="34"/>
      <c r="NKI316" s="34"/>
      <c r="NKJ316" s="34"/>
      <c r="NKK316" s="34"/>
      <c r="NKL316" s="34"/>
      <c r="NKM316" s="34"/>
      <c r="NKN316" s="34"/>
      <c r="NKO316" s="34"/>
      <c r="NKP316" s="34"/>
      <c r="NKQ316" s="34"/>
      <c r="NKR316" s="34"/>
      <c r="NKS316" s="34"/>
      <c r="NKT316" s="34"/>
      <c r="NKU316" s="34"/>
      <c r="NKV316" s="34"/>
      <c r="NKW316" s="34"/>
      <c r="NKX316" s="34"/>
      <c r="NKY316" s="34"/>
      <c r="NKZ316" s="34"/>
      <c r="NLA316" s="34"/>
      <c r="NLB316" s="34"/>
      <c r="NLC316" s="34"/>
      <c r="NLD316" s="34"/>
      <c r="NLE316" s="34"/>
      <c r="NLF316" s="34"/>
      <c r="NLG316" s="34"/>
      <c r="NLH316" s="34"/>
      <c r="NLI316" s="34"/>
      <c r="NLJ316" s="34"/>
      <c r="NLK316" s="34"/>
      <c r="NLL316" s="34"/>
      <c r="NLM316" s="34"/>
      <c r="NLN316" s="34"/>
      <c r="NLO316" s="34"/>
      <c r="NLP316" s="34"/>
      <c r="NLQ316" s="34"/>
      <c r="NLR316" s="34"/>
      <c r="NLS316" s="34"/>
      <c r="NLT316" s="34"/>
      <c r="NLU316" s="34"/>
      <c r="NLV316" s="34"/>
      <c r="NLW316" s="34"/>
      <c r="NLX316" s="34"/>
      <c r="NLY316" s="34"/>
      <c r="NLZ316" s="34"/>
      <c r="NMA316" s="34"/>
      <c r="NMB316" s="34"/>
      <c r="NMC316" s="34"/>
      <c r="NMD316" s="34"/>
      <c r="NME316" s="34"/>
      <c r="NMF316" s="34"/>
      <c r="NMG316" s="34"/>
      <c r="NMH316" s="34"/>
      <c r="NMI316" s="34"/>
      <c r="NMJ316" s="34"/>
      <c r="NMK316" s="34"/>
      <c r="NML316" s="34"/>
      <c r="NMM316" s="34"/>
      <c r="NMN316" s="34"/>
      <c r="NMO316" s="34"/>
      <c r="NMP316" s="34"/>
      <c r="NMQ316" s="34"/>
      <c r="NMR316" s="34"/>
      <c r="NMS316" s="34"/>
      <c r="NMT316" s="34"/>
      <c r="NMU316" s="34"/>
      <c r="NMV316" s="34"/>
      <c r="NMW316" s="34"/>
      <c r="NMX316" s="34"/>
      <c r="NMY316" s="34"/>
      <c r="NMZ316" s="34"/>
      <c r="NNA316" s="34"/>
      <c r="NNB316" s="34"/>
      <c r="NNC316" s="34"/>
      <c r="NND316" s="34"/>
      <c r="NNE316" s="34"/>
      <c r="NNF316" s="34"/>
      <c r="NNG316" s="34"/>
      <c r="NNH316" s="34"/>
      <c r="NNI316" s="34"/>
      <c r="NNJ316" s="34"/>
      <c r="NNK316" s="34"/>
      <c r="NNL316" s="34"/>
      <c r="NNM316" s="34"/>
      <c r="NNN316" s="34"/>
      <c r="NNO316" s="34"/>
      <c r="NNP316" s="34"/>
      <c r="NNQ316" s="34"/>
      <c r="NNR316" s="34"/>
      <c r="NNS316" s="34"/>
      <c r="NNT316" s="34"/>
      <c r="NNU316" s="34"/>
      <c r="NNV316" s="34"/>
      <c r="NNW316" s="34"/>
      <c r="NNX316" s="34"/>
      <c r="NNY316" s="34"/>
      <c r="NNZ316" s="34"/>
      <c r="NOA316" s="34"/>
      <c r="NOB316" s="34"/>
      <c r="NOC316" s="34"/>
      <c r="NOD316" s="34"/>
      <c r="NOE316" s="34"/>
      <c r="NOF316" s="34"/>
      <c r="NOG316" s="34"/>
      <c r="NOH316" s="34"/>
      <c r="NOI316" s="34"/>
      <c r="NOJ316" s="34"/>
      <c r="NOK316" s="34"/>
      <c r="NOL316" s="34"/>
      <c r="NOM316" s="34"/>
      <c r="NON316" s="34"/>
      <c r="NOO316" s="34"/>
      <c r="NOP316" s="34"/>
      <c r="NOQ316" s="34"/>
      <c r="NOR316" s="34"/>
      <c r="NOS316" s="34"/>
      <c r="NOT316" s="34"/>
      <c r="NOU316" s="34"/>
      <c r="NOV316" s="34"/>
      <c r="NOW316" s="34"/>
      <c r="NOX316" s="34"/>
      <c r="NOY316" s="34"/>
      <c r="NOZ316" s="34"/>
      <c r="NPA316" s="34"/>
      <c r="NPB316" s="34"/>
      <c r="NPC316" s="34"/>
      <c r="NPD316" s="34"/>
      <c r="NPE316" s="34"/>
      <c r="NPF316" s="34"/>
      <c r="NPG316" s="34"/>
      <c r="NPH316" s="34"/>
      <c r="NPI316" s="34"/>
      <c r="NPJ316" s="34"/>
      <c r="NPK316" s="34"/>
      <c r="NPL316" s="34"/>
      <c r="NPM316" s="34"/>
      <c r="NPN316" s="34"/>
      <c r="NPO316" s="34"/>
      <c r="NPP316" s="34"/>
      <c r="NPQ316" s="34"/>
      <c r="NPR316" s="34"/>
      <c r="NPS316" s="34"/>
      <c r="NPT316" s="34"/>
      <c r="NPU316" s="34"/>
      <c r="NPV316" s="34"/>
      <c r="NPW316" s="34"/>
      <c r="NPX316" s="34"/>
      <c r="NPY316" s="34"/>
      <c r="NPZ316" s="34"/>
      <c r="NQA316" s="34"/>
      <c r="NQB316" s="34"/>
      <c r="NQC316" s="34"/>
      <c r="NQD316" s="34"/>
      <c r="NQE316" s="34"/>
      <c r="NQF316" s="34"/>
      <c r="NQG316" s="34"/>
      <c r="NQH316" s="34"/>
      <c r="NQI316" s="34"/>
      <c r="NQJ316" s="34"/>
      <c r="NQK316" s="34"/>
      <c r="NQL316" s="34"/>
      <c r="NQM316" s="34"/>
      <c r="NQN316" s="34"/>
      <c r="NQO316" s="34"/>
      <c r="NQP316" s="34"/>
      <c r="NQQ316" s="34"/>
      <c r="NQR316" s="34"/>
      <c r="NQS316" s="34"/>
      <c r="NQT316" s="34"/>
      <c r="NQU316" s="34"/>
      <c r="NQV316" s="34"/>
      <c r="NQW316" s="34"/>
      <c r="NQX316" s="34"/>
      <c r="NQY316" s="34"/>
      <c r="NQZ316" s="34"/>
      <c r="NRA316" s="34"/>
      <c r="NRB316" s="34"/>
      <c r="NRC316" s="34"/>
      <c r="NRD316" s="34"/>
      <c r="NRE316" s="34"/>
      <c r="NRF316" s="34"/>
      <c r="NRG316" s="34"/>
      <c r="NRH316" s="34"/>
      <c r="NRI316" s="34"/>
      <c r="NRJ316" s="34"/>
      <c r="NRK316" s="34"/>
      <c r="NRL316" s="34"/>
      <c r="NRM316" s="34"/>
      <c r="NRN316" s="34"/>
      <c r="NRO316" s="34"/>
      <c r="NRP316" s="34"/>
      <c r="NRQ316" s="34"/>
      <c r="NRR316" s="34"/>
      <c r="NRS316" s="34"/>
      <c r="NRT316" s="34"/>
      <c r="NRU316" s="34"/>
      <c r="NRV316" s="34"/>
      <c r="NRW316" s="34"/>
      <c r="NRX316" s="34"/>
      <c r="NRY316" s="34"/>
      <c r="NRZ316" s="34"/>
      <c r="NSA316" s="34"/>
      <c r="NSB316" s="34"/>
      <c r="NSC316" s="34"/>
      <c r="NSD316" s="34"/>
      <c r="NSE316" s="34"/>
      <c r="NSF316" s="34"/>
      <c r="NSG316" s="34"/>
      <c r="NSH316" s="34"/>
      <c r="NSI316" s="34"/>
      <c r="NSJ316" s="34"/>
      <c r="NSK316" s="34"/>
      <c r="NSL316" s="34"/>
      <c r="NSM316" s="34"/>
      <c r="NSN316" s="34"/>
      <c r="NSO316" s="34"/>
      <c r="NSP316" s="34"/>
      <c r="NSQ316" s="34"/>
      <c r="NSR316" s="34"/>
      <c r="NSS316" s="34"/>
      <c r="NST316" s="34"/>
      <c r="NSU316" s="34"/>
      <c r="NSV316" s="34"/>
      <c r="NSW316" s="34"/>
      <c r="NSX316" s="34"/>
      <c r="NSY316" s="34"/>
      <c r="NSZ316" s="34"/>
      <c r="NTA316" s="34"/>
      <c r="NTB316" s="34"/>
      <c r="NTC316" s="34"/>
      <c r="NTD316" s="34"/>
      <c r="NTE316" s="34"/>
      <c r="NTF316" s="34"/>
      <c r="NTG316" s="34"/>
      <c r="NTH316" s="34"/>
      <c r="NTI316" s="34"/>
      <c r="NTJ316" s="34"/>
      <c r="NTK316" s="34"/>
      <c r="NTL316" s="34"/>
      <c r="NTM316" s="34"/>
      <c r="NTN316" s="34"/>
      <c r="NTO316" s="34"/>
      <c r="NTP316" s="34"/>
      <c r="NTQ316" s="34"/>
      <c r="NTR316" s="34"/>
      <c r="NTS316" s="34"/>
      <c r="NTT316" s="34"/>
      <c r="NTU316" s="34"/>
      <c r="NTV316" s="34"/>
      <c r="NTW316" s="34"/>
      <c r="NTX316" s="34"/>
      <c r="NTY316" s="34"/>
    </row>
    <row r="317" spans="1:10009" hidden="1" x14ac:dyDescent="0.3">
      <c r="J317" t="s">
        <v>205</v>
      </c>
      <c r="K317">
        <v>43376630000</v>
      </c>
      <c r="L317">
        <v>51633856000</v>
      </c>
      <c r="M317">
        <v>35993876000</v>
      </c>
      <c r="N317">
        <v>27768509000</v>
      </c>
      <c r="O317">
        <v>58886669000</v>
      </c>
      <c r="P317">
        <v>53645038000</v>
      </c>
    </row>
    <row r="318" spans="1:10009" hidden="1" x14ac:dyDescent="0.3">
      <c r="J318" t="s">
        <v>206</v>
      </c>
      <c r="K318">
        <v>763015000</v>
      </c>
      <c r="L318">
        <v>431540000</v>
      </c>
      <c r="M318">
        <v>583013000</v>
      </c>
      <c r="N318">
        <v>686356000</v>
      </c>
      <c r="O318">
        <v>674617000</v>
      </c>
      <c r="P318">
        <v>655402000</v>
      </c>
    </row>
    <row r="319" spans="1:10009" hidden="1" x14ac:dyDescent="0.3">
      <c r="J319" t="s">
        <v>208</v>
      </c>
      <c r="K319">
        <v>354749604000</v>
      </c>
      <c r="L319">
        <v>304899931000</v>
      </c>
      <c r="M319">
        <v>275948016000</v>
      </c>
      <c r="N319">
        <v>262880421000</v>
      </c>
      <c r="O319">
        <v>247753177000</v>
      </c>
      <c r="P319">
        <v>214491428000</v>
      </c>
    </row>
    <row r="320" spans="1:10009" hidden="1" x14ac:dyDescent="0.3">
      <c r="J320" t="s">
        <v>209</v>
      </c>
      <c r="K320">
        <v>448424507000</v>
      </c>
      <c r="L320">
        <v>426621158000</v>
      </c>
      <c r="M320">
        <v>378235718000</v>
      </c>
      <c r="N320">
        <v>352564497000</v>
      </c>
      <c r="O320">
        <v>339357244000</v>
      </c>
      <c r="P320">
        <v>301752090000</v>
      </c>
    </row>
    <row r="321" spans="1:45" hidden="1" x14ac:dyDescent="0.3">
      <c r="J321" t="s">
        <v>210</v>
      </c>
      <c r="K321">
        <v>37.47</v>
      </c>
      <c r="L321">
        <v>35.14</v>
      </c>
      <c r="M321">
        <v>34.090000000000003</v>
      </c>
      <c r="N321">
        <v>33.99</v>
      </c>
      <c r="O321">
        <v>34.01</v>
      </c>
      <c r="P321">
        <v>37.01</v>
      </c>
    </row>
    <row r="322" spans="1:45" hidden="1" x14ac:dyDescent="0.3">
      <c r="J322" t="s">
        <v>207</v>
      </c>
      <c r="K322">
        <v>79.11</v>
      </c>
      <c r="L322">
        <v>71.47</v>
      </c>
      <c r="M322">
        <v>72.959999999999994</v>
      </c>
      <c r="N322">
        <v>74.56</v>
      </c>
      <c r="O322">
        <v>73.010000000000005</v>
      </c>
      <c r="P322">
        <v>71.08</v>
      </c>
    </row>
    <row r="323" spans="1:45" hidden="1" x14ac:dyDescent="0.3">
      <c r="J323" t="s">
        <v>204</v>
      </c>
      <c r="K323">
        <v>39425.800000000003</v>
      </c>
      <c r="L323">
        <v>33871.61</v>
      </c>
      <c r="M323">
        <v>30645.82</v>
      </c>
      <c r="N323">
        <v>29189.84</v>
      </c>
      <c r="O323">
        <v>27504.38</v>
      </c>
      <c r="P323">
        <v>24492.33</v>
      </c>
    </row>
    <row r="324" spans="1:45" hidden="1" x14ac:dyDescent="0.3">
      <c r="J324" t="s">
        <v>216</v>
      </c>
      <c r="K324">
        <v>2.91</v>
      </c>
      <c r="L324">
        <v>6.03</v>
      </c>
      <c r="M324">
        <v>8.0500000000000007</v>
      </c>
      <c r="N324">
        <v>7.85</v>
      </c>
      <c r="O324">
        <v>5.92</v>
      </c>
      <c r="P324">
        <v>8.77</v>
      </c>
    </row>
    <row r="325" spans="1:45" hidden="1" x14ac:dyDescent="0.3">
      <c r="J325" t="s">
        <v>211</v>
      </c>
      <c r="K325">
        <f>K317/K318</f>
        <v>56.848987241404167</v>
      </c>
      <c r="L325">
        <f t="shared" ref="L325:P325" si="39">L317/L318</f>
        <v>119.65022014181767</v>
      </c>
      <c r="M325">
        <f t="shared" si="39"/>
        <v>61.737690240183326</v>
      </c>
      <c r="N325">
        <f t="shared" si="39"/>
        <v>40.457880458537552</v>
      </c>
      <c r="O325">
        <f t="shared" si="39"/>
        <v>87.289038076419658</v>
      </c>
      <c r="P325">
        <f t="shared" si="39"/>
        <v>81.850586357685813</v>
      </c>
    </row>
    <row r="326" spans="1:45" hidden="1" x14ac:dyDescent="0.3"/>
    <row r="327" spans="1:45" x14ac:dyDescent="0.3"/>
    <row r="328" spans="1:45" s="30" customFormat="1" x14ac:dyDescent="0.3">
      <c r="A328"/>
      <c r="B328"/>
      <c r="C328"/>
      <c r="D328"/>
      <c r="E328"/>
      <c r="F328"/>
      <c r="G328"/>
      <c r="H328"/>
      <c r="I328" s="14"/>
      <c r="J328" s="26" t="s">
        <v>219</v>
      </c>
      <c r="K328" s="11" t="str">
        <f>IF(K316="","",YEAR(K316)&amp;"/"&amp;MONTH(K316))</f>
        <v>2022/12</v>
      </c>
      <c r="L328" s="11" t="str">
        <f t="shared" ref="L328:O328" si="40">IF(L316="","",YEAR(L316)&amp;"/"&amp;MONTH(L316))</f>
        <v>2021/12</v>
      </c>
      <c r="M328" s="11" t="str">
        <f t="shared" si="40"/>
        <v>2020/12</v>
      </c>
      <c r="N328" s="11" t="str">
        <f t="shared" si="40"/>
        <v>2019/12</v>
      </c>
      <c r="O328" s="11" t="str">
        <f t="shared" si="40"/>
        <v>2018/12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</row>
    <row r="329" spans="1:45" s="30" customFormat="1" x14ac:dyDescent="0.3">
      <c r="A329"/>
      <c r="B329"/>
      <c r="C329"/>
      <c r="D329"/>
      <c r="E329"/>
      <c r="F329"/>
      <c r="G329"/>
      <c r="H329"/>
      <c r="I329" s="14"/>
      <c r="J329" s="10" t="s">
        <v>213</v>
      </c>
      <c r="K329" s="12">
        <f>IF(K321="",NA(),K321)</f>
        <v>37.47</v>
      </c>
      <c r="L329" s="12">
        <f t="shared" ref="L329:O329" si="41">IF(L321="","",L321)</f>
        <v>35.14</v>
      </c>
      <c r="M329" s="12">
        <f t="shared" si="41"/>
        <v>34.090000000000003</v>
      </c>
      <c r="N329" s="12">
        <f t="shared" si="41"/>
        <v>33.99</v>
      </c>
      <c r="O329" s="12">
        <f t="shared" si="41"/>
        <v>34.01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</row>
    <row r="330" spans="1:45" s="30" customFormat="1" x14ac:dyDescent="0.3">
      <c r="A330"/>
      <c r="B330"/>
      <c r="C330"/>
      <c r="D330"/>
      <c r="E330"/>
      <c r="F330"/>
      <c r="G330"/>
      <c r="H330"/>
      <c r="I330" s="14"/>
      <c r="J330" s="10" t="s">
        <v>212</v>
      </c>
      <c r="K330" s="12">
        <f>IF(K322="",NA(),K322)</f>
        <v>79.11</v>
      </c>
      <c r="L330" s="12">
        <f t="shared" ref="L330:O330" si="42">IF(L322="","",L322)</f>
        <v>71.47</v>
      </c>
      <c r="M330" s="12">
        <f t="shared" si="42"/>
        <v>72.959999999999994</v>
      </c>
      <c r="N330" s="12">
        <f t="shared" si="42"/>
        <v>74.56</v>
      </c>
      <c r="O330" s="12">
        <f t="shared" si="42"/>
        <v>73.010000000000005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</row>
    <row r="331" spans="1:45" s="30" customFormat="1" x14ac:dyDescent="0.3">
      <c r="A331"/>
      <c r="B331"/>
      <c r="C331"/>
      <c r="D331"/>
      <c r="E331"/>
      <c r="F331"/>
      <c r="G331"/>
      <c r="H331"/>
      <c r="I331" s="14"/>
      <c r="J331" s="10" t="s">
        <v>220</v>
      </c>
      <c r="K331" s="12">
        <f>IF(K324="",NA(),K324)</f>
        <v>2.91</v>
      </c>
      <c r="L331" s="12">
        <f t="shared" ref="L331:O332" si="43">IF(L324="","",L324)</f>
        <v>6.03</v>
      </c>
      <c r="M331" s="12">
        <f t="shared" si="43"/>
        <v>8.0500000000000007</v>
      </c>
      <c r="N331" s="12">
        <f t="shared" si="43"/>
        <v>7.85</v>
      </c>
      <c r="O331" s="12">
        <f t="shared" si="43"/>
        <v>5.92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</row>
    <row r="332" spans="1:45" s="30" customFormat="1" x14ac:dyDescent="0.3">
      <c r="A332"/>
      <c r="B332"/>
      <c r="C332"/>
      <c r="D332"/>
      <c r="E332"/>
      <c r="F332"/>
      <c r="G332"/>
      <c r="H332"/>
      <c r="I332" s="14"/>
      <c r="J332" s="10" t="s">
        <v>217</v>
      </c>
      <c r="K332" s="12">
        <f>IF(K325="",NA(),K325)</f>
        <v>56.848987241404167</v>
      </c>
      <c r="L332" s="12">
        <f t="shared" si="43"/>
        <v>119.65022014181767</v>
      </c>
      <c r="M332" s="12">
        <f t="shared" si="43"/>
        <v>61.737690240183326</v>
      </c>
      <c r="N332" s="12">
        <f t="shared" si="43"/>
        <v>40.457880458537552</v>
      </c>
      <c r="O332" s="12">
        <f t="shared" si="43"/>
        <v>87.289038076419658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</row>
    <row r="333" spans="1:45" s="30" customFormat="1" x14ac:dyDescent="0.3">
      <c r="A333"/>
      <c r="B333"/>
      <c r="C333"/>
      <c r="D333"/>
      <c r="E333"/>
      <c r="F333"/>
      <c r="G333"/>
      <c r="H333"/>
      <c r="I333" s="14"/>
      <c r="J333" s="10" t="s">
        <v>214</v>
      </c>
      <c r="K333" s="12">
        <f>IF(K323="",NA(),K323)</f>
        <v>39425.800000000003</v>
      </c>
      <c r="L333" s="12">
        <f>IF(L323="","",L323)</f>
        <v>33871.61</v>
      </c>
      <c r="M333" s="12">
        <f>IF(M323="","",M323)</f>
        <v>30645.82</v>
      </c>
      <c r="N333" s="12">
        <f>IF(N323="","",N323)</f>
        <v>29189.84</v>
      </c>
      <c r="O333" s="12">
        <f>IF(O323="","",O323)</f>
        <v>27504.38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</row>
    <row r="334" spans="1:45" s="30" customFormat="1" x14ac:dyDescent="0.3">
      <c r="A334"/>
      <c r="B334"/>
      <c r="C334"/>
      <c r="D334"/>
      <c r="E334"/>
      <c r="F334"/>
      <c r="G334"/>
      <c r="H334"/>
      <c r="I334" s="14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</row>
    <row r="335" spans="1:45" s="30" customFormat="1" x14ac:dyDescent="0.3">
      <c r="A335"/>
      <c r="B335"/>
      <c r="C335"/>
      <c r="D335"/>
      <c r="E335"/>
      <c r="F335"/>
      <c r="G335"/>
      <c r="H335"/>
      <c r="I335" s="14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</row>
    <row r="336" spans="1:45" s="30" customFormat="1" x14ac:dyDescent="0.3">
      <c r="A336"/>
      <c r="B336"/>
      <c r="C336"/>
      <c r="D336"/>
      <c r="E336"/>
      <c r="F336"/>
      <c r="G336"/>
      <c r="H336"/>
      <c r="I336" s="14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</row>
    <row r="337" spans="1:10009" s="30" customFormat="1" x14ac:dyDescent="0.3">
      <c r="A337"/>
      <c r="B337"/>
      <c r="C337"/>
      <c r="D337"/>
      <c r="E337"/>
      <c r="F337"/>
      <c r="G337"/>
      <c r="H337"/>
      <c r="I337" s="14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</row>
    <row r="338" spans="1:10009" s="30" customFormat="1" ht="26.25" x14ac:dyDescent="0.3">
      <c r="A338"/>
      <c r="B338"/>
      <c r="C338"/>
      <c r="D338"/>
      <c r="E338"/>
      <c r="F338"/>
      <c r="G338"/>
      <c r="H338"/>
      <c r="I338" s="14"/>
      <c r="J338" s="35" t="s">
        <v>244</v>
      </c>
      <c r="K338" s="35"/>
      <c r="L338" s="35"/>
      <c r="M338" s="35"/>
      <c r="N338" s="35"/>
      <c r="O338" s="35"/>
      <c r="P338" s="35"/>
      <c r="Q338" s="35"/>
      <c r="R338" s="35"/>
      <c r="S338" s="35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</row>
    <row r="339" spans="1:10009" x14ac:dyDescent="0.3"/>
    <row r="340" spans="1:10009" hidden="1" x14ac:dyDescent="0.3">
      <c r="J340" t="str">
        <f ca="1">_xll.IMDH("STK",$N$5,$J$341:$J$342,$L$92-93,$O$5,9999,"Per=분기,sort=D,real=true,Bizday=0,Quote=종가,Pos=11,Orient=H,Cons="&amp;$P$5&amp;",Comp=누적,Trai=연속,DtFmt=1,TmFmt=1,unit=true,title=분기활동성-매출")</f>
        <v>분기활동성-매출</v>
      </c>
    </row>
    <row r="341" spans="1:10009" hidden="1" x14ac:dyDescent="0.3">
      <c r="J341" t="s">
        <v>164</v>
      </c>
      <c r="K341" s="34">
        <v>45199</v>
      </c>
      <c r="L341" s="34">
        <v>45107</v>
      </c>
      <c r="M341" s="34">
        <v>45016</v>
      </c>
      <c r="N341" s="34">
        <v>44926</v>
      </c>
      <c r="O341" s="34">
        <v>44834</v>
      </c>
      <c r="P341" s="34">
        <v>44742</v>
      </c>
      <c r="Q341" s="34">
        <v>44651</v>
      </c>
      <c r="R341" s="34">
        <v>44561</v>
      </c>
      <c r="S341" s="34">
        <v>44469</v>
      </c>
      <c r="T341" s="34">
        <v>44377</v>
      </c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  <c r="CO341" s="34"/>
      <c r="CP341" s="34"/>
      <c r="CQ341" s="34"/>
      <c r="CR341" s="34"/>
      <c r="CS341" s="34"/>
      <c r="CT341" s="34"/>
      <c r="CU341" s="34"/>
      <c r="CV341" s="34"/>
      <c r="CW341" s="34"/>
      <c r="CX341" s="34"/>
      <c r="CY341" s="34"/>
      <c r="CZ341" s="34"/>
      <c r="DA341" s="34"/>
      <c r="DB341" s="34"/>
      <c r="DC341" s="34"/>
      <c r="DD341" s="34"/>
      <c r="DE341" s="34"/>
      <c r="DF341" s="34"/>
      <c r="DG341" s="34"/>
      <c r="DH341" s="34"/>
      <c r="DI341" s="34"/>
      <c r="DJ341" s="34"/>
      <c r="DK341" s="34"/>
      <c r="DL341" s="34"/>
      <c r="DM341" s="34"/>
      <c r="DN341" s="34"/>
      <c r="DO341" s="34"/>
      <c r="DP341" s="34"/>
      <c r="DQ341" s="34"/>
      <c r="DR341" s="34"/>
      <c r="DS341" s="34"/>
      <c r="DT341" s="34"/>
      <c r="DU341" s="34"/>
      <c r="DV341" s="34"/>
      <c r="DW341" s="34"/>
      <c r="DX341" s="34"/>
      <c r="DY341" s="34"/>
      <c r="DZ341" s="34"/>
      <c r="EA341" s="34"/>
      <c r="EB341" s="34"/>
      <c r="EC341" s="34"/>
      <c r="ED341" s="34"/>
      <c r="EE341" s="34"/>
      <c r="EF341" s="34"/>
      <c r="EG341" s="34"/>
      <c r="EH341" s="34"/>
      <c r="EI341" s="34"/>
      <c r="EJ341" s="34"/>
      <c r="EK341" s="34"/>
      <c r="EL341" s="34"/>
      <c r="EM341" s="34"/>
      <c r="EN341" s="34"/>
      <c r="EO341" s="34"/>
      <c r="EP341" s="34"/>
      <c r="EQ341" s="34"/>
      <c r="ER341" s="34"/>
      <c r="ES341" s="34"/>
      <c r="ET341" s="34"/>
      <c r="EU341" s="34"/>
      <c r="EV341" s="34"/>
      <c r="EW341" s="34"/>
      <c r="EX341" s="34"/>
      <c r="EY341" s="34"/>
      <c r="EZ341" s="34"/>
      <c r="FA341" s="34"/>
      <c r="FB341" s="34"/>
      <c r="FC341" s="34"/>
      <c r="FD341" s="34"/>
      <c r="FE341" s="34"/>
      <c r="FF341" s="34"/>
      <c r="FG341" s="34"/>
      <c r="FH341" s="34"/>
      <c r="FI341" s="34"/>
      <c r="FJ341" s="34"/>
      <c r="FK341" s="34"/>
      <c r="FL341" s="34"/>
      <c r="FM341" s="34"/>
      <c r="FN341" s="34"/>
      <c r="FO341" s="34"/>
      <c r="FP341" s="34"/>
      <c r="FQ341" s="34"/>
      <c r="FR341" s="34"/>
      <c r="FS341" s="34"/>
      <c r="FT341" s="34"/>
      <c r="FU341" s="34"/>
      <c r="FV341" s="34"/>
      <c r="FW341" s="34"/>
      <c r="FX341" s="34"/>
      <c r="FY341" s="34"/>
      <c r="FZ341" s="34"/>
      <c r="GA341" s="34"/>
      <c r="GB341" s="34"/>
      <c r="GC341" s="34"/>
      <c r="GD341" s="34"/>
      <c r="GE341" s="34"/>
      <c r="GF341" s="34"/>
      <c r="GG341" s="34"/>
      <c r="GH341" s="34"/>
      <c r="GI341" s="34"/>
      <c r="GJ341" s="34"/>
      <c r="GK341" s="34"/>
      <c r="GL341" s="34"/>
      <c r="GM341" s="34"/>
      <c r="GN341" s="34"/>
      <c r="GO341" s="34"/>
      <c r="GP341" s="34"/>
      <c r="GQ341" s="34"/>
      <c r="GR341" s="34"/>
      <c r="GS341" s="34"/>
      <c r="GT341" s="34"/>
      <c r="GU341" s="34"/>
      <c r="GV341" s="34"/>
      <c r="GW341" s="34"/>
      <c r="GX341" s="34"/>
      <c r="GY341" s="34"/>
      <c r="GZ341" s="34"/>
      <c r="HA341" s="34"/>
      <c r="HB341" s="34"/>
      <c r="HC341" s="34"/>
      <c r="HD341" s="34"/>
      <c r="HE341" s="34"/>
      <c r="HF341" s="34"/>
      <c r="HG341" s="34"/>
      <c r="HH341" s="34"/>
      <c r="HI341" s="34"/>
      <c r="HJ341" s="34"/>
      <c r="HK341" s="34"/>
      <c r="HL341" s="34"/>
      <c r="HM341" s="34"/>
      <c r="HN341" s="34"/>
      <c r="HO341" s="34"/>
      <c r="HP341" s="34"/>
      <c r="HQ341" s="34"/>
      <c r="HR341" s="34"/>
      <c r="HS341" s="34"/>
      <c r="HT341" s="34"/>
      <c r="HU341" s="34"/>
      <c r="HV341" s="34"/>
      <c r="HW341" s="34"/>
      <c r="HX341" s="34"/>
      <c r="HY341" s="34"/>
      <c r="HZ341" s="34"/>
      <c r="IA341" s="34"/>
      <c r="IB341" s="34"/>
      <c r="IC341" s="34"/>
      <c r="ID341" s="34"/>
      <c r="IE341" s="34"/>
      <c r="IF341" s="34"/>
      <c r="IG341" s="34"/>
      <c r="IH341" s="34"/>
      <c r="II341" s="34"/>
      <c r="IJ341" s="34"/>
      <c r="IK341" s="34"/>
      <c r="IL341" s="34"/>
      <c r="IM341" s="34"/>
      <c r="IN341" s="34"/>
      <c r="IO341" s="34"/>
      <c r="IP341" s="34"/>
      <c r="IQ341" s="34"/>
      <c r="IR341" s="34"/>
      <c r="IS341" s="34"/>
      <c r="IT341" s="34"/>
      <c r="IU341" s="34"/>
      <c r="IV341" s="34"/>
      <c r="IW341" s="34"/>
      <c r="IX341" s="34"/>
      <c r="IY341" s="34"/>
      <c r="IZ341" s="34"/>
      <c r="JA341" s="34"/>
      <c r="JB341" s="34"/>
      <c r="JC341" s="34"/>
      <c r="JD341" s="34"/>
      <c r="JE341" s="34"/>
      <c r="JF341" s="34"/>
      <c r="JG341" s="34"/>
      <c r="JH341" s="34"/>
      <c r="JI341" s="34"/>
      <c r="JJ341" s="34"/>
      <c r="JK341" s="34"/>
      <c r="JL341" s="34"/>
      <c r="JM341" s="34"/>
      <c r="JN341" s="34"/>
      <c r="JO341" s="34"/>
      <c r="JP341" s="34"/>
      <c r="JQ341" s="34"/>
      <c r="JR341" s="34"/>
      <c r="JS341" s="34"/>
      <c r="JT341" s="34"/>
      <c r="JU341" s="34"/>
      <c r="JV341" s="34"/>
      <c r="JW341" s="34"/>
      <c r="JX341" s="34"/>
      <c r="JY341" s="34"/>
      <c r="JZ341" s="34"/>
      <c r="KA341" s="34"/>
      <c r="KB341" s="34"/>
      <c r="KC341" s="34"/>
      <c r="KD341" s="34"/>
      <c r="KE341" s="34"/>
      <c r="KF341" s="34"/>
      <c r="KG341" s="34"/>
      <c r="KH341" s="34"/>
      <c r="KI341" s="34"/>
      <c r="KJ341" s="34"/>
      <c r="KK341" s="34"/>
      <c r="KL341" s="34"/>
      <c r="KM341" s="34"/>
      <c r="KN341" s="34"/>
      <c r="KO341" s="34"/>
      <c r="KP341" s="34"/>
      <c r="KQ341" s="34"/>
      <c r="KR341" s="34"/>
      <c r="KS341" s="34"/>
      <c r="KT341" s="34"/>
      <c r="KU341" s="34"/>
      <c r="KV341" s="34"/>
      <c r="KW341" s="34"/>
      <c r="KX341" s="34"/>
      <c r="KY341" s="34"/>
      <c r="KZ341" s="34"/>
      <c r="LA341" s="34"/>
      <c r="LB341" s="34"/>
      <c r="LC341" s="34"/>
      <c r="LD341" s="34"/>
      <c r="LE341" s="34"/>
      <c r="LF341" s="34"/>
      <c r="LG341" s="34"/>
      <c r="LH341" s="34"/>
      <c r="LI341" s="34"/>
      <c r="LJ341" s="34"/>
      <c r="LK341" s="34"/>
      <c r="LL341" s="34"/>
      <c r="LM341" s="34"/>
      <c r="LN341" s="34"/>
      <c r="LO341" s="34"/>
      <c r="LP341" s="34"/>
      <c r="LQ341" s="34"/>
      <c r="LR341" s="34"/>
      <c r="LS341" s="34"/>
      <c r="LT341" s="34"/>
      <c r="LU341" s="34"/>
      <c r="LV341" s="34"/>
      <c r="LW341" s="34"/>
      <c r="LX341" s="34"/>
      <c r="LY341" s="34"/>
      <c r="LZ341" s="34"/>
      <c r="MA341" s="34"/>
      <c r="MB341" s="34"/>
      <c r="MC341" s="34"/>
      <c r="MD341" s="34"/>
      <c r="ME341" s="34"/>
      <c r="MF341" s="34"/>
      <c r="MG341" s="34"/>
      <c r="MH341" s="34"/>
      <c r="MI341" s="34"/>
      <c r="MJ341" s="34"/>
      <c r="MK341" s="34"/>
      <c r="ML341" s="34"/>
      <c r="MM341" s="34"/>
      <c r="MN341" s="34"/>
      <c r="MO341" s="34"/>
      <c r="MP341" s="34"/>
      <c r="MQ341" s="34"/>
      <c r="MR341" s="34"/>
      <c r="MS341" s="34"/>
      <c r="MT341" s="34"/>
      <c r="MU341" s="34"/>
      <c r="MV341" s="34"/>
      <c r="MW341" s="34"/>
      <c r="MX341" s="34"/>
      <c r="MY341" s="34"/>
      <c r="MZ341" s="34"/>
      <c r="NA341" s="34"/>
      <c r="NB341" s="34"/>
      <c r="NC341" s="34"/>
      <c r="ND341" s="34"/>
      <c r="NE341" s="34"/>
      <c r="NF341" s="34"/>
      <c r="NG341" s="34"/>
      <c r="NH341" s="34"/>
      <c r="NI341" s="34"/>
      <c r="NJ341" s="34"/>
      <c r="NK341" s="34"/>
      <c r="NL341" s="34"/>
      <c r="NM341" s="34"/>
      <c r="NN341" s="34"/>
      <c r="NO341" s="34"/>
      <c r="NP341" s="34"/>
      <c r="NQ341" s="34"/>
      <c r="NR341" s="34"/>
      <c r="NS341" s="34"/>
      <c r="NT341" s="34"/>
      <c r="NU341" s="34"/>
      <c r="NV341" s="34"/>
      <c r="NW341" s="34"/>
      <c r="NX341" s="34"/>
      <c r="NY341" s="34"/>
      <c r="NZ341" s="34"/>
      <c r="OA341" s="34"/>
      <c r="OB341" s="34"/>
      <c r="OC341" s="34"/>
      <c r="OD341" s="34"/>
      <c r="OE341" s="34"/>
      <c r="OF341" s="34"/>
      <c r="OG341" s="34"/>
      <c r="OH341" s="34"/>
      <c r="OI341" s="34"/>
      <c r="OJ341" s="34"/>
      <c r="OK341" s="34"/>
      <c r="OL341" s="34"/>
      <c r="OM341" s="34"/>
      <c r="ON341" s="34"/>
      <c r="OO341" s="34"/>
      <c r="OP341" s="34"/>
      <c r="OQ341" s="34"/>
      <c r="OR341" s="34"/>
      <c r="OS341" s="34"/>
      <c r="OT341" s="34"/>
      <c r="OU341" s="34"/>
      <c r="OV341" s="34"/>
      <c r="OW341" s="34"/>
      <c r="OX341" s="34"/>
      <c r="OY341" s="34"/>
      <c r="OZ341" s="34"/>
      <c r="PA341" s="34"/>
      <c r="PB341" s="34"/>
      <c r="PC341" s="34"/>
      <c r="PD341" s="34"/>
      <c r="PE341" s="34"/>
      <c r="PF341" s="34"/>
      <c r="PG341" s="34"/>
      <c r="PH341" s="34"/>
      <c r="PI341" s="34"/>
      <c r="PJ341" s="34"/>
      <c r="PK341" s="34"/>
      <c r="PL341" s="34"/>
      <c r="PM341" s="34"/>
      <c r="PN341" s="34"/>
      <c r="PO341" s="34"/>
      <c r="PP341" s="34"/>
      <c r="PQ341" s="34"/>
      <c r="PR341" s="34"/>
      <c r="PS341" s="34"/>
      <c r="PT341" s="34"/>
      <c r="PU341" s="34"/>
      <c r="PV341" s="34"/>
      <c r="PW341" s="34"/>
      <c r="PX341" s="34"/>
      <c r="PY341" s="34"/>
      <c r="PZ341" s="34"/>
      <c r="QA341" s="34"/>
      <c r="QB341" s="34"/>
      <c r="QC341" s="34"/>
      <c r="QD341" s="34"/>
      <c r="QE341" s="34"/>
      <c r="QF341" s="34"/>
      <c r="QG341" s="34"/>
      <c r="QH341" s="34"/>
      <c r="QI341" s="34"/>
      <c r="QJ341" s="34"/>
      <c r="QK341" s="34"/>
      <c r="QL341" s="34"/>
      <c r="QM341" s="34"/>
      <c r="QN341" s="34"/>
      <c r="QO341" s="34"/>
      <c r="QP341" s="34"/>
      <c r="QQ341" s="34"/>
      <c r="QR341" s="34"/>
      <c r="QS341" s="34"/>
      <c r="QT341" s="34"/>
      <c r="QU341" s="34"/>
      <c r="QV341" s="34"/>
      <c r="QW341" s="34"/>
      <c r="QX341" s="34"/>
      <c r="QY341" s="34"/>
      <c r="QZ341" s="34"/>
      <c r="RA341" s="34"/>
      <c r="RB341" s="34"/>
      <c r="RC341" s="34"/>
      <c r="RD341" s="34"/>
      <c r="RE341" s="34"/>
      <c r="RF341" s="34"/>
      <c r="RG341" s="34"/>
      <c r="RH341" s="34"/>
      <c r="RI341" s="34"/>
      <c r="RJ341" s="34"/>
      <c r="RK341" s="34"/>
      <c r="RL341" s="34"/>
      <c r="RM341" s="34"/>
      <c r="RN341" s="34"/>
      <c r="RO341" s="34"/>
      <c r="RP341" s="34"/>
      <c r="RQ341" s="34"/>
      <c r="RR341" s="34"/>
      <c r="RS341" s="34"/>
      <c r="RT341" s="34"/>
      <c r="RU341" s="34"/>
      <c r="RV341" s="34"/>
      <c r="RW341" s="34"/>
      <c r="RX341" s="34"/>
      <c r="RY341" s="34"/>
      <c r="RZ341" s="34"/>
      <c r="SA341" s="34"/>
      <c r="SB341" s="34"/>
      <c r="SC341" s="34"/>
      <c r="SD341" s="34"/>
      <c r="SE341" s="34"/>
      <c r="SF341" s="34"/>
      <c r="SG341" s="34"/>
      <c r="SH341" s="34"/>
      <c r="SI341" s="34"/>
      <c r="SJ341" s="34"/>
      <c r="SK341" s="34"/>
      <c r="SL341" s="34"/>
      <c r="SM341" s="34"/>
      <c r="SN341" s="34"/>
      <c r="SO341" s="34"/>
      <c r="SP341" s="34"/>
      <c r="SQ341" s="34"/>
      <c r="SR341" s="34"/>
      <c r="SS341" s="34"/>
      <c r="ST341" s="34"/>
      <c r="SU341" s="34"/>
      <c r="SV341" s="34"/>
      <c r="SW341" s="34"/>
      <c r="SX341" s="34"/>
      <c r="SY341" s="34"/>
      <c r="SZ341" s="34"/>
      <c r="TA341" s="34"/>
      <c r="TB341" s="34"/>
      <c r="TC341" s="34"/>
      <c r="TD341" s="34"/>
      <c r="TE341" s="34"/>
      <c r="TF341" s="34"/>
      <c r="TG341" s="34"/>
      <c r="TH341" s="34"/>
      <c r="TI341" s="34"/>
      <c r="TJ341" s="34"/>
      <c r="TK341" s="34"/>
      <c r="TL341" s="34"/>
      <c r="TM341" s="34"/>
      <c r="TN341" s="34"/>
      <c r="TO341" s="34"/>
      <c r="TP341" s="34"/>
      <c r="TQ341" s="34"/>
      <c r="TR341" s="34"/>
      <c r="TS341" s="34"/>
      <c r="TT341" s="34"/>
      <c r="TU341" s="34"/>
      <c r="TV341" s="34"/>
      <c r="TW341" s="34"/>
      <c r="TX341" s="34"/>
      <c r="TY341" s="34"/>
      <c r="TZ341" s="34"/>
      <c r="UA341" s="34"/>
      <c r="UB341" s="34"/>
      <c r="UC341" s="34"/>
      <c r="UD341" s="34"/>
      <c r="UE341" s="34"/>
      <c r="UF341" s="34"/>
      <c r="UG341" s="34"/>
      <c r="UH341" s="34"/>
      <c r="UI341" s="34"/>
      <c r="UJ341" s="34"/>
      <c r="UK341" s="34"/>
      <c r="UL341" s="34"/>
      <c r="UM341" s="34"/>
      <c r="UN341" s="34"/>
      <c r="UO341" s="34"/>
      <c r="UP341" s="34"/>
      <c r="UQ341" s="34"/>
      <c r="UR341" s="34"/>
      <c r="US341" s="34"/>
      <c r="UT341" s="34"/>
      <c r="UU341" s="34"/>
      <c r="UV341" s="34"/>
      <c r="UW341" s="34"/>
      <c r="UX341" s="34"/>
      <c r="UY341" s="34"/>
      <c r="UZ341" s="34"/>
      <c r="VA341" s="34"/>
      <c r="VB341" s="34"/>
      <c r="VC341" s="34"/>
      <c r="VD341" s="34"/>
      <c r="VE341" s="34"/>
      <c r="VF341" s="34"/>
      <c r="VG341" s="34"/>
      <c r="VH341" s="34"/>
      <c r="VI341" s="34"/>
      <c r="VJ341" s="34"/>
      <c r="VK341" s="34"/>
      <c r="VL341" s="34"/>
      <c r="VM341" s="34"/>
      <c r="VN341" s="34"/>
      <c r="VO341" s="34"/>
      <c r="VP341" s="34"/>
      <c r="VQ341" s="34"/>
      <c r="VR341" s="34"/>
      <c r="VS341" s="34"/>
      <c r="VT341" s="34"/>
      <c r="VU341" s="34"/>
      <c r="VV341" s="34"/>
      <c r="VW341" s="34"/>
      <c r="VX341" s="34"/>
      <c r="VY341" s="34"/>
      <c r="VZ341" s="34"/>
      <c r="WA341" s="34"/>
      <c r="WB341" s="34"/>
      <c r="WC341" s="34"/>
      <c r="WD341" s="34"/>
      <c r="WE341" s="34"/>
      <c r="WF341" s="34"/>
      <c r="WG341" s="34"/>
      <c r="WH341" s="34"/>
      <c r="WI341" s="34"/>
      <c r="WJ341" s="34"/>
      <c r="WK341" s="34"/>
      <c r="WL341" s="34"/>
      <c r="WM341" s="34"/>
      <c r="WN341" s="34"/>
      <c r="WO341" s="34"/>
      <c r="WP341" s="34"/>
      <c r="WQ341" s="34"/>
      <c r="WR341" s="34"/>
      <c r="WS341" s="34"/>
      <c r="WT341" s="34"/>
      <c r="WU341" s="34"/>
      <c r="WV341" s="34"/>
      <c r="WW341" s="34"/>
      <c r="WX341" s="34"/>
      <c r="WY341" s="34"/>
      <c r="WZ341" s="34"/>
      <c r="XA341" s="34"/>
      <c r="XB341" s="34"/>
      <c r="XC341" s="34"/>
      <c r="XD341" s="34"/>
      <c r="XE341" s="34"/>
      <c r="XF341" s="34"/>
      <c r="XG341" s="34"/>
      <c r="XH341" s="34"/>
      <c r="XI341" s="34"/>
      <c r="XJ341" s="34"/>
      <c r="XK341" s="34"/>
      <c r="XL341" s="34"/>
      <c r="XM341" s="34"/>
      <c r="XN341" s="34"/>
      <c r="XO341" s="34"/>
      <c r="XP341" s="34"/>
      <c r="XQ341" s="34"/>
      <c r="XR341" s="34"/>
      <c r="XS341" s="34"/>
      <c r="XT341" s="34"/>
      <c r="XU341" s="34"/>
      <c r="XV341" s="34"/>
      <c r="XW341" s="34"/>
      <c r="XX341" s="34"/>
      <c r="XY341" s="34"/>
      <c r="XZ341" s="34"/>
      <c r="YA341" s="34"/>
      <c r="YB341" s="34"/>
      <c r="YC341" s="34"/>
      <c r="YD341" s="34"/>
      <c r="YE341" s="34"/>
      <c r="YF341" s="34"/>
      <c r="YG341" s="34"/>
      <c r="YH341" s="34"/>
      <c r="YI341" s="34"/>
      <c r="YJ341" s="34"/>
      <c r="YK341" s="34"/>
      <c r="YL341" s="34"/>
      <c r="YM341" s="34"/>
      <c r="YN341" s="34"/>
      <c r="YO341" s="34"/>
      <c r="YP341" s="34"/>
      <c r="YQ341" s="34"/>
      <c r="YR341" s="34"/>
      <c r="YS341" s="34"/>
      <c r="YT341" s="34"/>
      <c r="YU341" s="34"/>
      <c r="YV341" s="34"/>
      <c r="YW341" s="34"/>
      <c r="YX341" s="34"/>
      <c r="YY341" s="34"/>
      <c r="YZ341" s="34"/>
      <c r="ZA341" s="34"/>
      <c r="ZB341" s="34"/>
      <c r="ZC341" s="34"/>
      <c r="ZD341" s="34"/>
      <c r="ZE341" s="34"/>
      <c r="ZF341" s="34"/>
      <c r="ZG341" s="34"/>
      <c r="ZH341" s="34"/>
      <c r="ZI341" s="34"/>
      <c r="ZJ341" s="34"/>
      <c r="ZK341" s="34"/>
      <c r="ZL341" s="34"/>
      <c r="ZM341" s="34"/>
      <c r="ZN341" s="34"/>
      <c r="ZO341" s="34"/>
      <c r="ZP341" s="34"/>
      <c r="ZQ341" s="34"/>
      <c r="ZR341" s="34"/>
      <c r="ZS341" s="34"/>
      <c r="ZT341" s="34"/>
      <c r="ZU341" s="34"/>
      <c r="ZV341" s="34"/>
      <c r="ZW341" s="34"/>
      <c r="ZX341" s="34"/>
      <c r="ZY341" s="34"/>
      <c r="ZZ341" s="34"/>
      <c r="AAA341" s="34"/>
      <c r="AAB341" s="34"/>
      <c r="AAC341" s="34"/>
      <c r="AAD341" s="34"/>
      <c r="AAE341" s="34"/>
      <c r="AAF341" s="34"/>
      <c r="AAG341" s="34"/>
      <c r="AAH341" s="34"/>
      <c r="AAI341" s="34"/>
      <c r="AAJ341" s="34"/>
      <c r="AAK341" s="34"/>
      <c r="AAL341" s="34"/>
      <c r="AAM341" s="34"/>
      <c r="AAN341" s="34"/>
      <c r="AAO341" s="34"/>
      <c r="AAP341" s="34"/>
      <c r="AAQ341" s="34"/>
      <c r="AAR341" s="34"/>
      <c r="AAS341" s="34"/>
      <c r="AAT341" s="34"/>
      <c r="AAU341" s="34"/>
      <c r="AAV341" s="34"/>
      <c r="AAW341" s="34"/>
      <c r="AAX341" s="34"/>
      <c r="AAY341" s="34"/>
      <c r="AAZ341" s="34"/>
      <c r="ABA341" s="34"/>
      <c r="ABB341" s="34"/>
      <c r="ABC341" s="34"/>
      <c r="ABD341" s="34"/>
      <c r="ABE341" s="34"/>
      <c r="ABF341" s="34"/>
      <c r="ABG341" s="34"/>
      <c r="ABH341" s="34"/>
      <c r="ABI341" s="34"/>
      <c r="ABJ341" s="34"/>
      <c r="ABK341" s="34"/>
      <c r="ABL341" s="34"/>
      <c r="ABM341" s="34"/>
      <c r="ABN341" s="34"/>
      <c r="ABO341" s="34"/>
      <c r="ABP341" s="34"/>
      <c r="ABQ341" s="34"/>
      <c r="ABR341" s="34"/>
      <c r="ABS341" s="34"/>
      <c r="ABT341" s="34"/>
      <c r="ABU341" s="34"/>
      <c r="ABV341" s="34"/>
      <c r="ABW341" s="34"/>
      <c r="ABX341" s="34"/>
      <c r="ABY341" s="34"/>
      <c r="ABZ341" s="34"/>
      <c r="ACA341" s="34"/>
      <c r="ACB341" s="34"/>
      <c r="ACC341" s="34"/>
      <c r="ACD341" s="34"/>
      <c r="ACE341" s="34"/>
      <c r="ACF341" s="34"/>
      <c r="ACG341" s="34"/>
      <c r="ACH341" s="34"/>
      <c r="ACI341" s="34"/>
      <c r="ACJ341" s="34"/>
      <c r="ACK341" s="34"/>
      <c r="ACL341" s="34"/>
      <c r="ACM341" s="34"/>
      <c r="ACN341" s="34"/>
      <c r="ACO341" s="34"/>
      <c r="ACP341" s="34"/>
      <c r="ACQ341" s="34"/>
      <c r="ACR341" s="34"/>
      <c r="ACS341" s="34"/>
      <c r="ACT341" s="34"/>
      <c r="ACU341" s="34"/>
      <c r="ACV341" s="34"/>
      <c r="ACW341" s="34"/>
      <c r="ACX341" s="34"/>
      <c r="ACY341" s="34"/>
      <c r="ACZ341" s="34"/>
      <c r="ADA341" s="34"/>
      <c r="ADB341" s="34"/>
      <c r="ADC341" s="34"/>
      <c r="ADD341" s="34"/>
      <c r="ADE341" s="34"/>
      <c r="ADF341" s="34"/>
      <c r="ADG341" s="34"/>
      <c r="ADH341" s="34"/>
      <c r="ADI341" s="34"/>
      <c r="ADJ341" s="34"/>
      <c r="ADK341" s="34"/>
      <c r="ADL341" s="34"/>
      <c r="ADM341" s="34"/>
      <c r="ADN341" s="34"/>
      <c r="ADO341" s="34"/>
      <c r="ADP341" s="34"/>
      <c r="ADQ341" s="34"/>
      <c r="ADR341" s="34"/>
      <c r="ADS341" s="34"/>
      <c r="ADT341" s="34"/>
      <c r="ADU341" s="34"/>
      <c r="ADV341" s="34"/>
      <c r="ADW341" s="34"/>
      <c r="ADX341" s="34"/>
      <c r="ADY341" s="34"/>
      <c r="ADZ341" s="34"/>
      <c r="AEA341" s="34"/>
      <c r="AEB341" s="34"/>
      <c r="AEC341" s="34"/>
      <c r="AED341" s="34"/>
      <c r="AEE341" s="34"/>
      <c r="AEF341" s="34"/>
      <c r="AEG341" s="34"/>
      <c r="AEH341" s="34"/>
      <c r="AEI341" s="34"/>
      <c r="AEJ341" s="34"/>
      <c r="AEK341" s="34"/>
      <c r="AEL341" s="34"/>
      <c r="AEM341" s="34"/>
      <c r="AEN341" s="34"/>
      <c r="AEO341" s="34"/>
      <c r="AEP341" s="34"/>
      <c r="AEQ341" s="34"/>
      <c r="AER341" s="34"/>
      <c r="AES341" s="34"/>
      <c r="AET341" s="34"/>
      <c r="AEU341" s="34"/>
      <c r="AEV341" s="34"/>
      <c r="AEW341" s="34"/>
      <c r="AEX341" s="34"/>
      <c r="AEY341" s="34"/>
      <c r="AEZ341" s="34"/>
      <c r="AFA341" s="34"/>
      <c r="AFB341" s="34"/>
      <c r="AFC341" s="34"/>
      <c r="AFD341" s="34"/>
      <c r="AFE341" s="34"/>
      <c r="AFF341" s="34"/>
      <c r="AFG341" s="34"/>
      <c r="AFH341" s="34"/>
      <c r="AFI341" s="34"/>
      <c r="AFJ341" s="34"/>
      <c r="AFK341" s="34"/>
      <c r="AFL341" s="34"/>
      <c r="AFM341" s="34"/>
      <c r="AFN341" s="34"/>
      <c r="AFO341" s="34"/>
      <c r="AFP341" s="34"/>
      <c r="AFQ341" s="34"/>
      <c r="AFR341" s="34"/>
      <c r="AFS341" s="34"/>
      <c r="AFT341" s="34"/>
      <c r="AFU341" s="34"/>
      <c r="AFV341" s="34"/>
      <c r="AFW341" s="34"/>
      <c r="AFX341" s="34"/>
      <c r="AFY341" s="34"/>
      <c r="AFZ341" s="34"/>
      <c r="AGA341" s="34"/>
      <c r="AGB341" s="34"/>
      <c r="AGC341" s="34"/>
      <c r="AGD341" s="34"/>
      <c r="AGE341" s="34"/>
      <c r="AGF341" s="34"/>
      <c r="AGG341" s="34"/>
      <c r="AGH341" s="34"/>
      <c r="AGI341" s="34"/>
      <c r="AGJ341" s="34"/>
      <c r="AGK341" s="34"/>
      <c r="AGL341" s="34"/>
      <c r="AGM341" s="34"/>
      <c r="AGN341" s="34"/>
      <c r="AGO341" s="34"/>
      <c r="AGP341" s="34"/>
      <c r="AGQ341" s="34"/>
      <c r="AGR341" s="34"/>
      <c r="AGS341" s="34"/>
      <c r="AGT341" s="34"/>
      <c r="AGU341" s="34"/>
      <c r="AGV341" s="34"/>
      <c r="AGW341" s="34"/>
      <c r="AGX341" s="34"/>
      <c r="AGY341" s="34"/>
      <c r="AGZ341" s="34"/>
      <c r="AHA341" s="34"/>
      <c r="AHB341" s="34"/>
      <c r="AHC341" s="34"/>
      <c r="AHD341" s="34"/>
      <c r="AHE341" s="34"/>
      <c r="AHF341" s="34"/>
      <c r="AHG341" s="34"/>
      <c r="AHH341" s="34"/>
      <c r="AHI341" s="34"/>
      <c r="AHJ341" s="34"/>
      <c r="AHK341" s="34"/>
      <c r="AHL341" s="34"/>
      <c r="AHM341" s="34"/>
      <c r="AHN341" s="34"/>
      <c r="AHO341" s="34"/>
      <c r="AHP341" s="34"/>
      <c r="AHQ341" s="34"/>
      <c r="AHR341" s="34"/>
      <c r="AHS341" s="34"/>
      <c r="AHT341" s="34"/>
      <c r="AHU341" s="34"/>
      <c r="AHV341" s="34"/>
      <c r="AHW341" s="34"/>
      <c r="AHX341" s="34"/>
      <c r="AHY341" s="34"/>
      <c r="AHZ341" s="34"/>
      <c r="AIA341" s="34"/>
      <c r="AIB341" s="34"/>
      <c r="AIC341" s="34"/>
      <c r="AID341" s="34"/>
      <c r="AIE341" s="34"/>
      <c r="AIF341" s="34"/>
      <c r="AIG341" s="34"/>
      <c r="AIH341" s="34"/>
      <c r="AII341" s="34"/>
      <c r="AIJ341" s="34"/>
      <c r="AIK341" s="34"/>
      <c r="AIL341" s="34"/>
      <c r="AIM341" s="34"/>
      <c r="AIN341" s="34"/>
      <c r="AIO341" s="34"/>
      <c r="AIP341" s="34"/>
      <c r="AIQ341" s="34"/>
      <c r="AIR341" s="34"/>
      <c r="AIS341" s="34"/>
      <c r="AIT341" s="34"/>
      <c r="AIU341" s="34"/>
      <c r="AIV341" s="34"/>
      <c r="AIW341" s="34"/>
      <c r="AIX341" s="34"/>
      <c r="AIY341" s="34"/>
      <c r="AIZ341" s="34"/>
      <c r="AJA341" s="34"/>
      <c r="AJB341" s="34"/>
      <c r="AJC341" s="34"/>
      <c r="AJD341" s="34"/>
      <c r="AJE341" s="34"/>
      <c r="AJF341" s="34"/>
      <c r="AJG341" s="34"/>
      <c r="AJH341" s="34"/>
      <c r="AJI341" s="34"/>
      <c r="AJJ341" s="34"/>
      <c r="AJK341" s="34"/>
      <c r="AJL341" s="34"/>
      <c r="AJM341" s="34"/>
      <c r="AJN341" s="34"/>
      <c r="AJO341" s="34"/>
      <c r="AJP341" s="34"/>
      <c r="AJQ341" s="34"/>
      <c r="AJR341" s="34"/>
      <c r="AJS341" s="34"/>
      <c r="AJT341" s="34"/>
      <c r="AJU341" s="34"/>
      <c r="AJV341" s="34"/>
      <c r="AJW341" s="34"/>
      <c r="AJX341" s="34"/>
      <c r="AJY341" s="34"/>
      <c r="AJZ341" s="34"/>
      <c r="AKA341" s="34"/>
      <c r="AKB341" s="34"/>
      <c r="AKC341" s="34"/>
      <c r="AKD341" s="34"/>
      <c r="AKE341" s="34"/>
      <c r="AKF341" s="34"/>
      <c r="AKG341" s="34"/>
      <c r="AKH341" s="34"/>
      <c r="AKI341" s="34"/>
      <c r="AKJ341" s="34"/>
      <c r="AKK341" s="34"/>
      <c r="AKL341" s="34"/>
      <c r="AKM341" s="34"/>
      <c r="AKN341" s="34"/>
      <c r="AKO341" s="34"/>
      <c r="AKP341" s="34"/>
      <c r="AKQ341" s="34"/>
      <c r="AKR341" s="34"/>
      <c r="AKS341" s="34"/>
      <c r="AKT341" s="34"/>
      <c r="AKU341" s="34"/>
      <c r="AKV341" s="34"/>
      <c r="AKW341" s="34"/>
      <c r="AKX341" s="34"/>
      <c r="AKY341" s="34"/>
      <c r="AKZ341" s="34"/>
      <c r="ALA341" s="34"/>
      <c r="ALB341" s="34"/>
      <c r="ALC341" s="34"/>
      <c r="ALD341" s="34"/>
      <c r="ALE341" s="34"/>
      <c r="ALF341" s="34"/>
      <c r="ALG341" s="34"/>
      <c r="ALH341" s="34"/>
      <c r="ALI341" s="34"/>
      <c r="ALJ341" s="34"/>
      <c r="ALK341" s="34"/>
      <c r="ALL341" s="34"/>
      <c r="ALM341" s="34"/>
      <c r="ALN341" s="34"/>
      <c r="ALO341" s="34"/>
      <c r="ALP341" s="34"/>
      <c r="ALQ341" s="34"/>
      <c r="ALR341" s="34"/>
      <c r="ALS341" s="34"/>
      <c r="ALT341" s="34"/>
      <c r="ALU341" s="34"/>
      <c r="ALV341" s="34"/>
      <c r="ALW341" s="34"/>
      <c r="ALX341" s="34"/>
      <c r="ALY341" s="34"/>
      <c r="ALZ341" s="34"/>
      <c r="AMA341" s="34"/>
      <c r="AMB341" s="34"/>
      <c r="AMC341" s="34"/>
      <c r="AMD341" s="34"/>
      <c r="AME341" s="34"/>
      <c r="AMF341" s="34"/>
      <c r="AMG341" s="34"/>
      <c r="AMH341" s="34"/>
      <c r="AMI341" s="34"/>
      <c r="AMJ341" s="34"/>
      <c r="AMK341" s="34"/>
      <c r="AML341" s="34"/>
      <c r="AMM341" s="34"/>
      <c r="AMN341" s="34"/>
      <c r="AMO341" s="34"/>
      <c r="AMP341" s="34"/>
      <c r="AMQ341" s="34"/>
      <c r="AMR341" s="34"/>
      <c r="AMS341" s="34"/>
      <c r="AMT341" s="34"/>
      <c r="AMU341" s="34"/>
      <c r="AMV341" s="34"/>
      <c r="AMW341" s="34"/>
      <c r="AMX341" s="34"/>
      <c r="AMY341" s="34"/>
      <c r="AMZ341" s="34"/>
      <c r="ANA341" s="34"/>
      <c r="ANB341" s="34"/>
      <c r="ANC341" s="34"/>
      <c r="AND341" s="34"/>
      <c r="ANE341" s="34"/>
      <c r="ANF341" s="34"/>
      <c r="ANG341" s="34"/>
      <c r="ANH341" s="34"/>
      <c r="ANI341" s="34"/>
      <c r="ANJ341" s="34"/>
      <c r="ANK341" s="34"/>
      <c r="ANL341" s="34"/>
      <c r="ANM341" s="34"/>
      <c r="ANN341" s="34"/>
      <c r="ANO341" s="34"/>
      <c r="ANP341" s="34"/>
      <c r="ANQ341" s="34"/>
      <c r="ANR341" s="34"/>
      <c r="ANS341" s="34"/>
      <c r="ANT341" s="34"/>
      <c r="ANU341" s="34"/>
      <c r="ANV341" s="34"/>
      <c r="ANW341" s="34"/>
      <c r="ANX341" s="34"/>
      <c r="ANY341" s="34"/>
      <c r="ANZ341" s="34"/>
      <c r="AOA341" s="34"/>
      <c r="AOB341" s="34"/>
      <c r="AOC341" s="34"/>
      <c r="AOD341" s="34"/>
      <c r="AOE341" s="34"/>
      <c r="AOF341" s="34"/>
      <c r="AOG341" s="34"/>
      <c r="AOH341" s="34"/>
      <c r="AOI341" s="34"/>
      <c r="AOJ341" s="34"/>
      <c r="AOK341" s="34"/>
      <c r="AOL341" s="34"/>
      <c r="AOM341" s="34"/>
      <c r="AON341" s="34"/>
      <c r="AOO341" s="34"/>
      <c r="AOP341" s="34"/>
      <c r="AOQ341" s="34"/>
      <c r="AOR341" s="34"/>
      <c r="AOS341" s="34"/>
      <c r="AOT341" s="34"/>
      <c r="AOU341" s="34"/>
      <c r="AOV341" s="34"/>
      <c r="AOW341" s="34"/>
      <c r="AOX341" s="34"/>
      <c r="AOY341" s="34"/>
      <c r="AOZ341" s="34"/>
      <c r="APA341" s="34"/>
      <c r="APB341" s="34"/>
      <c r="APC341" s="34"/>
      <c r="APD341" s="34"/>
      <c r="APE341" s="34"/>
      <c r="APF341" s="34"/>
      <c r="APG341" s="34"/>
      <c r="APH341" s="34"/>
      <c r="API341" s="34"/>
      <c r="APJ341" s="34"/>
      <c r="APK341" s="34"/>
      <c r="APL341" s="34"/>
      <c r="APM341" s="34"/>
      <c r="APN341" s="34"/>
      <c r="APO341" s="34"/>
      <c r="APP341" s="34"/>
      <c r="APQ341" s="34"/>
      <c r="APR341" s="34"/>
      <c r="APS341" s="34"/>
      <c r="APT341" s="34"/>
      <c r="APU341" s="34"/>
      <c r="APV341" s="34"/>
      <c r="APW341" s="34"/>
      <c r="APX341" s="34"/>
      <c r="APY341" s="34"/>
      <c r="APZ341" s="34"/>
      <c r="AQA341" s="34"/>
      <c r="AQB341" s="34"/>
      <c r="AQC341" s="34"/>
      <c r="AQD341" s="34"/>
      <c r="AQE341" s="34"/>
      <c r="AQF341" s="34"/>
      <c r="AQG341" s="34"/>
      <c r="AQH341" s="34"/>
      <c r="AQI341" s="34"/>
      <c r="AQJ341" s="34"/>
      <c r="AQK341" s="34"/>
      <c r="AQL341" s="34"/>
      <c r="AQM341" s="34"/>
      <c r="AQN341" s="34"/>
      <c r="AQO341" s="34"/>
      <c r="AQP341" s="34"/>
      <c r="AQQ341" s="34"/>
      <c r="AQR341" s="34"/>
      <c r="AQS341" s="34"/>
      <c r="AQT341" s="34"/>
      <c r="AQU341" s="34"/>
      <c r="AQV341" s="34"/>
      <c r="AQW341" s="34"/>
      <c r="AQX341" s="34"/>
      <c r="AQY341" s="34"/>
      <c r="AQZ341" s="34"/>
      <c r="ARA341" s="34"/>
      <c r="ARB341" s="34"/>
      <c r="ARC341" s="34"/>
      <c r="ARD341" s="34"/>
      <c r="ARE341" s="34"/>
      <c r="ARF341" s="34"/>
      <c r="ARG341" s="34"/>
      <c r="ARH341" s="34"/>
      <c r="ARI341" s="34"/>
      <c r="ARJ341" s="34"/>
      <c r="ARK341" s="34"/>
      <c r="ARL341" s="34"/>
      <c r="ARM341" s="34"/>
      <c r="ARN341" s="34"/>
      <c r="ARO341" s="34"/>
      <c r="ARP341" s="34"/>
      <c r="ARQ341" s="34"/>
      <c r="ARR341" s="34"/>
      <c r="ARS341" s="34"/>
      <c r="ART341" s="34"/>
      <c r="ARU341" s="34"/>
      <c r="ARV341" s="34"/>
      <c r="ARW341" s="34"/>
      <c r="ARX341" s="34"/>
      <c r="ARY341" s="34"/>
      <c r="ARZ341" s="34"/>
      <c r="ASA341" s="34"/>
      <c r="ASB341" s="34"/>
      <c r="ASC341" s="34"/>
      <c r="ASD341" s="34"/>
      <c r="ASE341" s="34"/>
      <c r="ASF341" s="34"/>
      <c r="ASG341" s="34"/>
      <c r="ASH341" s="34"/>
      <c r="ASI341" s="34"/>
      <c r="ASJ341" s="34"/>
      <c r="ASK341" s="34"/>
      <c r="ASL341" s="34"/>
      <c r="ASM341" s="34"/>
      <c r="ASN341" s="34"/>
      <c r="ASO341" s="34"/>
      <c r="ASP341" s="34"/>
      <c r="ASQ341" s="34"/>
      <c r="ASR341" s="34"/>
      <c r="ASS341" s="34"/>
      <c r="AST341" s="34"/>
      <c r="ASU341" s="34"/>
      <c r="ASV341" s="34"/>
      <c r="ASW341" s="34"/>
      <c r="ASX341" s="34"/>
      <c r="ASY341" s="34"/>
      <c r="ASZ341" s="34"/>
      <c r="ATA341" s="34"/>
      <c r="ATB341" s="34"/>
      <c r="ATC341" s="34"/>
      <c r="ATD341" s="34"/>
      <c r="ATE341" s="34"/>
      <c r="ATF341" s="34"/>
      <c r="ATG341" s="34"/>
      <c r="ATH341" s="34"/>
      <c r="ATI341" s="34"/>
      <c r="ATJ341" s="34"/>
      <c r="ATK341" s="34"/>
      <c r="ATL341" s="34"/>
      <c r="ATM341" s="34"/>
      <c r="ATN341" s="34"/>
      <c r="ATO341" s="34"/>
      <c r="ATP341" s="34"/>
      <c r="ATQ341" s="34"/>
      <c r="ATR341" s="34"/>
      <c r="ATS341" s="34"/>
      <c r="ATT341" s="34"/>
      <c r="ATU341" s="34"/>
      <c r="ATV341" s="34"/>
      <c r="ATW341" s="34"/>
      <c r="ATX341" s="34"/>
      <c r="ATY341" s="34"/>
      <c r="ATZ341" s="34"/>
      <c r="AUA341" s="34"/>
      <c r="AUB341" s="34"/>
      <c r="AUC341" s="34"/>
      <c r="AUD341" s="34"/>
      <c r="AUE341" s="34"/>
      <c r="AUF341" s="34"/>
      <c r="AUG341" s="34"/>
      <c r="AUH341" s="34"/>
      <c r="AUI341" s="34"/>
      <c r="AUJ341" s="34"/>
      <c r="AUK341" s="34"/>
      <c r="AUL341" s="34"/>
      <c r="AUM341" s="34"/>
      <c r="AUN341" s="34"/>
      <c r="AUO341" s="34"/>
      <c r="AUP341" s="34"/>
      <c r="AUQ341" s="34"/>
      <c r="AUR341" s="34"/>
      <c r="AUS341" s="34"/>
      <c r="AUT341" s="34"/>
      <c r="AUU341" s="34"/>
      <c r="AUV341" s="34"/>
      <c r="AUW341" s="34"/>
      <c r="AUX341" s="34"/>
      <c r="AUY341" s="34"/>
      <c r="AUZ341" s="34"/>
      <c r="AVA341" s="34"/>
      <c r="AVB341" s="34"/>
      <c r="AVC341" s="34"/>
      <c r="AVD341" s="34"/>
      <c r="AVE341" s="34"/>
      <c r="AVF341" s="34"/>
      <c r="AVG341" s="34"/>
      <c r="AVH341" s="34"/>
      <c r="AVI341" s="34"/>
      <c r="AVJ341" s="34"/>
      <c r="AVK341" s="34"/>
      <c r="AVL341" s="34"/>
      <c r="AVM341" s="34"/>
      <c r="AVN341" s="34"/>
      <c r="AVO341" s="34"/>
      <c r="AVP341" s="34"/>
      <c r="AVQ341" s="34"/>
      <c r="AVR341" s="34"/>
      <c r="AVS341" s="34"/>
      <c r="AVT341" s="34"/>
      <c r="AVU341" s="34"/>
      <c r="AVV341" s="34"/>
      <c r="AVW341" s="34"/>
      <c r="AVX341" s="34"/>
      <c r="AVY341" s="34"/>
      <c r="AVZ341" s="34"/>
      <c r="AWA341" s="34"/>
      <c r="AWB341" s="34"/>
      <c r="AWC341" s="34"/>
      <c r="AWD341" s="34"/>
      <c r="AWE341" s="34"/>
      <c r="AWF341" s="34"/>
      <c r="AWG341" s="34"/>
      <c r="AWH341" s="34"/>
      <c r="AWI341" s="34"/>
      <c r="AWJ341" s="34"/>
      <c r="AWK341" s="34"/>
      <c r="AWL341" s="34"/>
      <c r="AWM341" s="34"/>
      <c r="AWN341" s="34"/>
      <c r="AWO341" s="34"/>
      <c r="AWP341" s="34"/>
      <c r="AWQ341" s="34"/>
      <c r="AWR341" s="34"/>
      <c r="AWS341" s="34"/>
      <c r="AWT341" s="34"/>
      <c r="AWU341" s="34"/>
      <c r="AWV341" s="34"/>
      <c r="AWW341" s="34"/>
      <c r="AWX341" s="34"/>
      <c r="AWY341" s="34"/>
      <c r="AWZ341" s="34"/>
      <c r="AXA341" s="34"/>
      <c r="AXB341" s="34"/>
      <c r="AXC341" s="34"/>
      <c r="AXD341" s="34"/>
      <c r="AXE341" s="34"/>
      <c r="AXF341" s="34"/>
      <c r="AXG341" s="34"/>
      <c r="AXH341" s="34"/>
      <c r="AXI341" s="34"/>
      <c r="AXJ341" s="34"/>
      <c r="AXK341" s="34"/>
      <c r="AXL341" s="34"/>
      <c r="AXM341" s="34"/>
      <c r="AXN341" s="34"/>
      <c r="AXO341" s="34"/>
      <c r="AXP341" s="34"/>
      <c r="AXQ341" s="34"/>
      <c r="AXR341" s="34"/>
      <c r="AXS341" s="34"/>
      <c r="AXT341" s="34"/>
      <c r="AXU341" s="34"/>
      <c r="AXV341" s="34"/>
      <c r="AXW341" s="34"/>
      <c r="AXX341" s="34"/>
      <c r="AXY341" s="34"/>
      <c r="AXZ341" s="34"/>
      <c r="AYA341" s="34"/>
      <c r="AYB341" s="34"/>
      <c r="AYC341" s="34"/>
      <c r="AYD341" s="34"/>
      <c r="AYE341" s="34"/>
      <c r="AYF341" s="34"/>
      <c r="AYG341" s="34"/>
      <c r="AYH341" s="34"/>
      <c r="AYI341" s="34"/>
      <c r="AYJ341" s="34"/>
      <c r="AYK341" s="34"/>
      <c r="AYL341" s="34"/>
      <c r="AYM341" s="34"/>
      <c r="AYN341" s="34"/>
      <c r="AYO341" s="34"/>
      <c r="AYP341" s="34"/>
      <c r="AYQ341" s="34"/>
      <c r="AYR341" s="34"/>
      <c r="AYS341" s="34"/>
      <c r="AYT341" s="34"/>
      <c r="AYU341" s="34"/>
      <c r="AYV341" s="34"/>
      <c r="AYW341" s="34"/>
      <c r="AYX341" s="34"/>
      <c r="AYY341" s="34"/>
      <c r="AYZ341" s="34"/>
      <c r="AZA341" s="34"/>
      <c r="AZB341" s="34"/>
      <c r="AZC341" s="34"/>
      <c r="AZD341" s="34"/>
      <c r="AZE341" s="34"/>
      <c r="AZF341" s="34"/>
      <c r="AZG341" s="34"/>
      <c r="AZH341" s="34"/>
      <c r="AZI341" s="34"/>
      <c r="AZJ341" s="34"/>
      <c r="AZK341" s="34"/>
      <c r="AZL341" s="34"/>
      <c r="AZM341" s="34"/>
      <c r="AZN341" s="34"/>
      <c r="AZO341" s="34"/>
      <c r="AZP341" s="34"/>
      <c r="AZQ341" s="34"/>
      <c r="AZR341" s="34"/>
      <c r="AZS341" s="34"/>
      <c r="AZT341" s="34"/>
      <c r="AZU341" s="34"/>
      <c r="AZV341" s="34"/>
      <c r="AZW341" s="34"/>
      <c r="AZX341" s="34"/>
      <c r="AZY341" s="34"/>
      <c r="AZZ341" s="34"/>
      <c r="BAA341" s="34"/>
      <c r="BAB341" s="34"/>
      <c r="BAC341" s="34"/>
      <c r="BAD341" s="34"/>
      <c r="BAE341" s="34"/>
      <c r="BAF341" s="34"/>
      <c r="BAG341" s="34"/>
      <c r="BAH341" s="34"/>
      <c r="BAI341" s="34"/>
      <c r="BAJ341" s="34"/>
      <c r="BAK341" s="34"/>
      <c r="BAL341" s="34"/>
      <c r="BAM341" s="34"/>
      <c r="BAN341" s="34"/>
      <c r="BAO341" s="34"/>
      <c r="BAP341" s="34"/>
      <c r="BAQ341" s="34"/>
      <c r="BAR341" s="34"/>
      <c r="BAS341" s="34"/>
      <c r="BAT341" s="34"/>
      <c r="BAU341" s="34"/>
      <c r="BAV341" s="34"/>
      <c r="BAW341" s="34"/>
      <c r="BAX341" s="34"/>
      <c r="BAY341" s="34"/>
      <c r="BAZ341" s="34"/>
      <c r="BBA341" s="34"/>
      <c r="BBB341" s="34"/>
      <c r="BBC341" s="34"/>
      <c r="BBD341" s="34"/>
      <c r="BBE341" s="34"/>
      <c r="BBF341" s="34"/>
      <c r="BBG341" s="34"/>
      <c r="BBH341" s="34"/>
      <c r="BBI341" s="34"/>
      <c r="BBJ341" s="34"/>
      <c r="BBK341" s="34"/>
      <c r="BBL341" s="34"/>
      <c r="BBM341" s="34"/>
      <c r="BBN341" s="34"/>
      <c r="BBO341" s="34"/>
      <c r="BBP341" s="34"/>
      <c r="BBQ341" s="34"/>
      <c r="BBR341" s="34"/>
      <c r="BBS341" s="34"/>
      <c r="BBT341" s="34"/>
      <c r="BBU341" s="34"/>
      <c r="BBV341" s="34"/>
      <c r="BBW341" s="34"/>
      <c r="BBX341" s="34"/>
      <c r="BBY341" s="34"/>
      <c r="BBZ341" s="34"/>
      <c r="BCA341" s="34"/>
      <c r="BCB341" s="34"/>
      <c r="BCC341" s="34"/>
      <c r="BCD341" s="34"/>
      <c r="BCE341" s="34"/>
      <c r="BCF341" s="34"/>
      <c r="BCG341" s="34"/>
      <c r="BCH341" s="34"/>
      <c r="BCI341" s="34"/>
      <c r="BCJ341" s="34"/>
      <c r="BCK341" s="34"/>
      <c r="BCL341" s="34"/>
      <c r="BCM341" s="34"/>
      <c r="BCN341" s="34"/>
      <c r="BCO341" s="34"/>
      <c r="BCP341" s="34"/>
      <c r="BCQ341" s="34"/>
      <c r="BCR341" s="34"/>
      <c r="BCS341" s="34"/>
      <c r="BCT341" s="34"/>
      <c r="BCU341" s="34"/>
      <c r="BCV341" s="34"/>
      <c r="BCW341" s="34"/>
      <c r="BCX341" s="34"/>
      <c r="BCY341" s="34"/>
      <c r="BCZ341" s="34"/>
      <c r="BDA341" s="34"/>
      <c r="BDB341" s="34"/>
      <c r="BDC341" s="34"/>
      <c r="BDD341" s="34"/>
      <c r="BDE341" s="34"/>
      <c r="BDF341" s="34"/>
      <c r="BDG341" s="34"/>
      <c r="BDH341" s="34"/>
      <c r="BDI341" s="34"/>
      <c r="BDJ341" s="34"/>
      <c r="BDK341" s="34"/>
      <c r="BDL341" s="34"/>
      <c r="BDM341" s="34"/>
      <c r="BDN341" s="34"/>
      <c r="BDO341" s="34"/>
      <c r="BDP341" s="34"/>
      <c r="BDQ341" s="34"/>
      <c r="BDR341" s="34"/>
      <c r="BDS341" s="34"/>
      <c r="BDT341" s="34"/>
      <c r="BDU341" s="34"/>
      <c r="BDV341" s="34"/>
      <c r="BDW341" s="34"/>
      <c r="BDX341" s="34"/>
      <c r="BDY341" s="34"/>
      <c r="BDZ341" s="34"/>
      <c r="BEA341" s="34"/>
      <c r="BEB341" s="34"/>
      <c r="BEC341" s="34"/>
      <c r="BED341" s="34"/>
      <c r="BEE341" s="34"/>
      <c r="BEF341" s="34"/>
      <c r="BEG341" s="34"/>
      <c r="BEH341" s="34"/>
      <c r="BEI341" s="34"/>
      <c r="BEJ341" s="34"/>
      <c r="BEK341" s="34"/>
      <c r="BEL341" s="34"/>
      <c r="BEM341" s="34"/>
      <c r="BEN341" s="34"/>
      <c r="BEO341" s="34"/>
      <c r="BEP341" s="34"/>
      <c r="BEQ341" s="34"/>
      <c r="BER341" s="34"/>
      <c r="BES341" s="34"/>
      <c r="BET341" s="34"/>
      <c r="BEU341" s="34"/>
      <c r="BEV341" s="34"/>
      <c r="BEW341" s="34"/>
      <c r="BEX341" s="34"/>
      <c r="BEY341" s="34"/>
      <c r="BEZ341" s="34"/>
      <c r="BFA341" s="34"/>
      <c r="BFB341" s="34"/>
      <c r="BFC341" s="34"/>
      <c r="BFD341" s="34"/>
      <c r="BFE341" s="34"/>
      <c r="BFF341" s="34"/>
      <c r="BFG341" s="34"/>
      <c r="BFH341" s="34"/>
      <c r="BFI341" s="34"/>
      <c r="BFJ341" s="34"/>
      <c r="BFK341" s="34"/>
      <c r="BFL341" s="34"/>
      <c r="BFM341" s="34"/>
      <c r="BFN341" s="34"/>
      <c r="BFO341" s="34"/>
      <c r="BFP341" s="34"/>
      <c r="BFQ341" s="34"/>
      <c r="BFR341" s="34"/>
      <c r="BFS341" s="34"/>
      <c r="BFT341" s="34"/>
      <c r="BFU341" s="34"/>
      <c r="BFV341" s="34"/>
      <c r="BFW341" s="34"/>
      <c r="BFX341" s="34"/>
      <c r="BFY341" s="34"/>
      <c r="BFZ341" s="34"/>
      <c r="BGA341" s="34"/>
      <c r="BGB341" s="34"/>
      <c r="BGC341" s="34"/>
      <c r="BGD341" s="34"/>
      <c r="BGE341" s="34"/>
      <c r="BGF341" s="34"/>
      <c r="BGG341" s="34"/>
      <c r="BGH341" s="34"/>
      <c r="BGI341" s="34"/>
      <c r="BGJ341" s="34"/>
      <c r="BGK341" s="34"/>
      <c r="BGL341" s="34"/>
      <c r="BGM341" s="34"/>
      <c r="BGN341" s="34"/>
      <c r="BGO341" s="34"/>
      <c r="BGP341" s="34"/>
      <c r="BGQ341" s="34"/>
      <c r="BGR341" s="34"/>
      <c r="BGS341" s="34"/>
      <c r="BGT341" s="34"/>
      <c r="BGU341" s="34"/>
      <c r="BGV341" s="34"/>
      <c r="BGW341" s="34"/>
      <c r="BGX341" s="34"/>
      <c r="BGY341" s="34"/>
      <c r="BGZ341" s="34"/>
      <c r="BHA341" s="34"/>
      <c r="BHB341" s="34"/>
      <c r="BHC341" s="34"/>
      <c r="BHD341" s="34"/>
      <c r="BHE341" s="34"/>
      <c r="BHF341" s="34"/>
      <c r="BHG341" s="34"/>
      <c r="BHH341" s="34"/>
      <c r="BHI341" s="34"/>
      <c r="BHJ341" s="34"/>
      <c r="BHK341" s="34"/>
      <c r="BHL341" s="34"/>
      <c r="BHM341" s="34"/>
      <c r="BHN341" s="34"/>
      <c r="BHO341" s="34"/>
      <c r="BHP341" s="34"/>
      <c r="BHQ341" s="34"/>
      <c r="BHR341" s="34"/>
      <c r="BHS341" s="34"/>
      <c r="BHT341" s="34"/>
      <c r="BHU341" s="34"/>
      <c r="BHV341" s="34"/>
      <c r="BHW341" s="34"/>
      <c r="BHX341" s="34"/>
      <c r="BHY341" s="34"/>
      <c r="BHZ341" s="34"/>
      <c r="BIA341" s="34"/>
      <c r="BIB341" s="34"/>
      <c r="BIC341" s="34"/>
      <c r="BID341" s="34"/>
      <c r="BIE341" s="34"/>
      <c r="BIF341" s="34"/>
      <c r="BIG341" s="34"/>
      <c r="BIH341" s="34"/>
      <c r="BII341" s="34"/>
      <c r="BIJ341" s="34"/>
      <c r="BIK341" s="34"/>
      <c r="BIL341" s="34"/>
      <c r="BIM341" s="34"/>
      <c r="BIN341" s="34"/>
      <c r="BIO341" s="34"/>
      <c r="BIP341" s="34"/>
      <c r="BIQ341" s="34"/>
      <c r="BIR341" s="34"/>
      <c r="BIS341" s="34"/>
      <c r="BIT341" s="34"/>
      <c r="BIU341" s="34"/>
      <c r="BIV341" s="34"/>
      <c r="BIW341" s="34"/>
      <c r="BIX341" s="34"/>
      <c r="BIY341" s="34"/>
      <c r="BIZ341" s="34"/>
      <c r="BJA341" s="34"/>
      <c r="BJB341" s="34"/>
      <c r="BJC341" s="34"/>
      <c r="BJD341" s="34"/>
      <c r="BJE341" s="34"/>
      <c r="BJF341" s="34"/>
      <c r="BJG341" s="34"/>
      <c r="BJH341" s="34"/>
      <c r="BJI341" s="34"/>
      <c r="BJJ341" s="34"/>
      <c r="BJK341" s="34"/>
      <c r="BJL341" s="34"/>
      <c r="BJM341" s="34"/>
      <c r="BJN341" s="34"/>
      <c r="BJO341" s="34"/>
      <c r="BJP341" s="34"/>
      <c r="BJQ341" s="34"/>
      <c r="BJR341" s="34"/>
      <c r="BJS341" s="34"/>
      <c r="BJT341" s="34"/>
      <c r="BJU341" s="34"/>
      <c r="BJV341" s="34"/>
      <c r="BJW341" s="34"/>
      <c r="BJX341" s="34"/>
      <c r="BJY341" s="34"/>
      <c r="BJZ341" s="34"/>
      <c r="BKA341" s="34"/>
      <c r="BKB341" s="34"/>
      <c r="BKC341" s="34"/>
      <c r="BKD341" s="34"/>
      <c r="BKE341" s="34"/>
      <c r="BKF341" s="34"/>
      <c r="BKG341" s="34"/>
      <c r="BKH341" s="34"/>
      <c r="BKI341" s="34"/>
      <c r="BKJ341" s="34"/>
      <c r="BKK341" s="34"/>
      <c r="BKL341" s="34"/>
      <c r="BKM341" s="34"/>
      <c r="BKN341" s="34"/>
      <c r="BKO341" s="34"/>
      <c r="BKP341" s="34"/>
      <c r="BKQ341" s="34"/>
      <c r="BKR341" s="34"/>
      <c r="BKS341" s="34"/>
      <c r="BKT341" s="34"/>
      <c r="BKU341" s="34"/>
      <c r="BKV341" s="34"/>
      <c r="BKW341" s="34"/>
      <c r="BKX341" s="34"/>
      <c r="BKY341" s="34"/>
      <c r="BKZ341" s="34"/>
      <c r="BLA341" s="34"/>
      <c r="BLB341" s="34"/>
      <c r="BLC341" s="34"/>
      <c r="BLD341" s="34"/>
      <c r="BLE341" s="34"/>
      <c r="BLF341" s="34"/>
      <c r="BLG341" s="34"/>
      <c r="BLH341" s="34"/>
      <c r="BLI341" s="34"/>
      <c r="BLJ341" s="34"/>
      <c r="BLK341" s="34"/>
      <c r="BLL341" s="34"/>
      <c r="BLM341" s="34"/>
      <c r="BLN341" s="34"/>
      <c r="BLO341" s="34"/>
      <c r="BLP341" s="34"/>
      <c r="BLQ341" s="34"/>
      <c r="BLR341" s="34"/>
      <c r="BLS341" s="34"/>
      <c r="BLT341" s="34"/>
      <c r="BLU341" s="34"/>
      <c r="BLV341" s="34"/>
      <c r="BLW341" s="34"/>
      <c r="BLX341" s="34"/>
      <c r="BLY341" s="34"/>
      <c r="BLZ341" s="34"/>
      <c r="BMA341" s="34"/>
      <c r="BMB341" s="34"/>
      <c r="BMC341" s="34"/>
      <c r="BMD341" s="34"/>
      <c r="BME341" s="34"/>
      <c r="BMF341" s="34"/>
      <c r="BMG341" s="34"/>
      <c r="BMH341" s="34"/>
      <c r="BMI341" s="34"/>
      <c r="BMJ341" s="34"/>
      <c r="BMK341" s="34"/>
      <c r="BML341" s="34"/>
      <c r="BMM341" s="34"/>
      <c r="BMN341" s="34"/>
      <c r="BMO341" s="34"/>
      <c r="BMP341" s="34"/>
      <c r="BMQ341" s="34"/>
      <c r="BMR341" s="34"/>
      <c r="BMS341" s="34"/>
      <c r="BMT341" s="34"/>
      <c r="BMU341" s="34"/>
      <c r="BMV341" s="34"/>
      <c r="BMW341" s="34"/>
      <c r="BMX341" s="34"/>
      <c r="BMY341" s="34"/>
      <c r="BMZ341" s="34"/>
      <c r="BNA341" s="34"/>
      <c r="BNB341" s="34"/>
      <c r="BNC341" s="34"/>
      <c r="BND341" s="34"/>
      <c r="BNE341" s="34"/>
      <c r="BNF341" s="34"/>
      <c r="BNG341" s="34"/>
      <c r="BNH341" s="34"/>
      <c r="BNI341" s="34"/>
      <c r="BNJ341" s="34"/>
      <c r="BNK341" s="34"/>
      <c r="BNL341" s="34"/>
      <c r="BNM341" s="34"/>
      <c r="BNN341" s="34"/>
      <c r="BNO341" s="34"/>
      <c r="BNP341" s="34"/>
      <c r="BNQ341" s="34"/>
      <c r="BNR341" s="34"/>
      <c r="BNS341" s="34"/>
      <c r="BNT341" s="34"/>
      <c r="BNU341" s="34"/>
      <c r="BNV341" s="34"/>
      <c r="BNW341" s="34"/>
      <c r="BNX341" s="34"/>
      <c r="BNY341" s="34"/>
      <c r="BNZ341" s="34"/>
      <c r="BOA341" s="34"/>
      <c r="BOB341" s="34"/>
      <c r="BOC341" s="34"/>
      <c r="BOD341" s="34"/>
      <c r="BOE341" s="34"/>
      <c r="BOF341" s="34"/>
      <c r="BOG341" s="34"/>
      <c r="BOH341" s="34"/>
      <c r="BOI341" s="34"/>
      <c r="BOJ341" s="34"/>
      <c r="BOK341" s="34"/>
      <c r="BOL341" s="34"/>
      <c r="BOM341" s="34"/>
      <c r="BON341" s="34"/>
      <c r="BOO341" s="34"/>
      <c r="BOP341" s="34"/>
      <c r="BOQ341" s="34"/>
      <c r="BOR341" s="34"/>
      <c r="BOS341" s="34"/>
      <c r="BOT341" s="34"/>
      <c r="BOU341" s="34"/>
      <c r="BOV341" s="34"/>
      <c r="BOW341" s="34"/>
      <c r="BOX341" s="34"/>
      <c r="BOY341" s="34"/>
      <c r="BOZ341" s="34"/>
      <c r="BPA341" s="34"/>
      <c r="BPB341" s="34"/>
      <c r="BPC341" s="34"/>
      <c r="BPD341" s="34"/>
      <c r="BPE341" s="34"/>
      <c r="BPF341" s="34"/>
      <c r="BPG341" s="34"/>
      <c r="BPH341" s="34"/>
      <c r="BPI341" s="34"/>
      <c r="BPJ341" s="34"/>
      <c r="BPK341" s="34"/>
      <c r="BPL341" s="34"/>
      <c r="BPM341" s="34"/>
      <c r="BPN341" s="34"/>
      <c r="BPO341" s="34"/>
      <c r="BPP341" s="34"/>
      <c r="BPQ341" s="34"/>
      <c r="BPR341" s="34"/>
      <c r="BPS341" s="34"/>
      <c r="BPT341" s="34"/>
      <c r="BPU341" s="34"/>
      <c r="BPV341" s="34"/>
      <c r="BPW341" s="34"/>
      <c r="BPX341" s="34"/>
      <c r="BPY341" s="34"/>
      <c r="BPZ341" s="34"/>
      <c r="BQA341" s="34"/>
      <c r="BQB341" s="34"/>
      <c r="BQC341" s="34"/>
      <c r="BQD341" s="34"/>
      <c r="BQE341" s="34"/>
      <c r="BQF341" s="34"/>
      <c r="BQG341" s="34"/>
      <c r="BQH341" s="34"/>
      <c r="BQI341" s="34"/>
      <c r="BQJ341" s="34"/>
      <c r="BQK341" s="34"/>
      <c r="BQL341" s="34"/>
      <c r="BQM341" s="34"/>
      <c r="BQN341" s="34"/>
      <c r="BQO341" s="34"/>
      <c r="BQP341" s="34"/>
      <c r="BQQ341" s="34"/>
      <c r="BQR341" s="34"/>
      <c r="BQS341" s="34"/>
      <c r="BQT341" s="34"/>
      <c r="BQU341" s="34"/>
      <c r="BQV341" s="34"/>
      <c r="BQW341" s="34"/>
      <c r="BQX341" s="34"/>
      <c r="BQY341" s="34"/>
      <c r="BQZ341" s="34"/>
      <c r="BRA341" s="34"/>
      <c r="BRB341" s="34"/>
      <c r="BRC341" s="34"/>
      <c r="BRD341" s="34"/>
      <c r="BRE341" s="34"/>
      <c r="BRF341" s="34"/>
      <c r="BRG341" s="34"/>
      <c r="BRH341" s="34"/>
      <c r="BRI341" s="34"/>
      <c r="BRJ341" s="34"/>
      <c r="BRK341" s="34"/>
      <c r="BRL341" s="34"/>
      <c r="BRM341" s="34"/>
      <c r="BRN341" s="34"/>
      <c r="BRO341" s="34"/>
      <c r="BRP341" s="34"/>
      <c r="BRQ341" s="34"/>
      <c r="BRR341" s="34"/>
      <c r="BRS341" s="34"/>
      <c r="BRT341" s="34"/>
      <c r="BRU341" s="34"/>
      <c r="BRV341" s="34"/>
      <c r="BRW341" s="34"/>
      <c r="BRX341" s="34"/>
      <c r="BRY341" s="34"/>
      <c r="BRZ341" s="34"/>
      <c r="BSA341" s="34"/>
      <c r="BSB341" s="34"/>
      <c r="BSC341" s="34"/>
      <c r="BSD341" s="34"/>
      <c r="BSE341" s="34"/>
      <c r="BSF341" s="34"/>
      <c r="BSG341" s="34"/>
      <c r="BSH341" s="34"/>
      <c r="BSI341" s="34"/>
      <c r="BSJ341" s="34"/>
      <c r="BSK341" s="34"/>
      <c r="BSL341" s="34"/>
      <c r="BSM341" s="34"/>
      <c r="BSN341" s="34"/>
      <c r="BSO341" s="34"/>
      <c r="BSP341" s="34"/>
      <c r="BSQ341" s="34"/>
      <c r="BSR341" s="34"/>
      <c r="BSS341" s="34"/>
      <c r="BST341" s="34"/>
      <c r="BSU341" s="34"/>
      <c r="BSV341" s="34"/>
      <c r="BSW341" s="34"/>
      <c r="BSX341" s="34"/>
      <c r="BSY341" s="34"/>
      <c r="BSZ341" s="34"/>
      <c r="BTA341" s="34"/>
      <c r="BTB341" s="34"/>
      <c r="BTC341" s="34"/>
      <c r="BTD341" s="34"/>
      <c r="BTE341" s="34"/>
      <c r="BTF341" s="34"/>
      <c r="BTG341" s="34"/>
      <c r="BTH341" s="34"/>
      <c r="BTI341" s="34"/>
      <c r="BTJ341" s="34"/>
      <c r="BTK341" s="34"/>
      <c r="BTL341" s="34"/>
      <c r="BTM341" s="34"/>
      <c r="BTN341" s="34"/>
      <c r="BTO341" s="34"/>
      <c r="BTP341" s="34"/>
      <c r="BTQ341" s="34"/>
      <c r="BTR341" s="34"/>
      <c r="BTS341" s="34"/>
      <c r="BTT341" s="34"/>
      <c r="BTU341" s="34"/>
      <c r="BTV341" s="34"/>
      <c r="BTW341" s="34"/>
      <c r="BTX341" s="34"/>
      <c r="BTY341" s="34"/>
      <c r="BTZ341" s="34"/>
      <c r="BUA341" s="34"/>
      <c r="BUB341" s="34"/>
      <c r="BUC341" s="34"/>
      <c r="BUD341" s="34"/>
      <c r="BUE341" s="34"/>
      <c r="BUF341" s="34"/>
      <c r="BUG341" s="34"/>
      <c r="BUH341" s="34"/>
      <c r="BUI341" s="34"/>
      <c r="BUJ341" s="34"/>
      <c r="BUK341" s="34"/>
      <c r="BUL341" s="34"/>
      <c r="BUM341" s="34"/>
      <c r="BUN341" s="34"/>
      <c r="BUO341" s="34"/>
      <c r="BUP341" s="34"/>
      <c r="BUQ341" s="34"/>
      <c r="BUR341" s="34"/>
      <c r="BUS341" s="34"/>
      <c r="BUT341" s="34"/>
      <c r="BUU341" s="34"/>
      <c r="BUV341" s="34"/>
      <c r="BUW341" s="34"/>
      <c r="BUX341" s="34"/>
      <c r="BUY341" s="34"/>
      <c r="BUZ341" s="34"/>
      <c r="BVA341" s="34"/>
      <c r="BVB341" s="34"/>
      <c r="BVC341" s="34"/>
      <c r="BVD341" s="34"/>
      <c r="BVE341" s="34"/>
      <c r="BVF341" s="34"/>
      <c r="BVG341" s="34"/>
      <c r="BVH341" s="34"/>
      <c r="BVI341" s="34"/>
      <c r="BVJ341" s="34"/>
      <c r="BVK341" s="34"/>
      <c r="BVL341" s="34"/>
      <c r="BVM341" s="34"/>
      <c r="BVN341" s="34"/>
      <c r="BVO341" s="34"/>
      <c r="BVP341" s="34"/>
      <c r="BVQ341" s="34"/>
      <c r="BVR341" s="34"/>
      <c r="BVS341" s="34"/>
      <c r="BVT341" s="34"/>
      <c r="BVU341" s="34"/>
      <c r="BVV341" s="34"/>
      <c r="BVW341" s="34"/>
      <c r="BVX341" s="34"/>
      <c r="BVY341" s="34"/>
      <c r="BVZ341" s="34"/>
      <c r="BWA341" s="34"/>
      <c r="BWB341" s="34"/>
      <c r="BWC341" s="34"/>
      <c r="BWD341" s="34"/>
      <c r="BWE341" s="34"/>
      <c r="BWF341" s="34"/>
      <c r="BWG341" s="34"/>
      <c r="BWH341" s="34"/>
      <c r="BWI341" s="34"/>
      <c r="BWJ341" s="34"/>
      <c r="BWK341" s="34"/>
      <c r="BWL341" s="34"/>
      <c r="BWM341" s="34"/>
      <c r="BWN341" s="34"/>
      <c r="BWO341" s="34"/>
      <c r="BWP341" s="34"/>
      <c r="BWQ341" s="34"/>
      <c r="BWR341" s="34"/>
      <c r="BWS341" s="34"/>
      <c r="BWT341" s="34"/>
      <c r="BWU341" s="34"/>
      <c r="BWV341" s="34"/>
      <c r="BWW341" s="34"/>
      <c r="BWX341" s="34"/>
      <c r="BWY341" s="34"/>
      <c r="BWZ341" s="34"/>
      <c r="BXA341" s="34"/>
      <c r="BXB341" s="34"/>
      <c r="BXC341" s="34"/>
      <c r="BXD341" s="34"/>
      <c r="BXE341" s="34"/>
      <c r="BXF341" s="34"/>
      <c r="BXG341" s="34"/>
      <c r="BXH341" s="34"/>
      <c r="BXI341" s="34"/>
      <c r="BXJ341" s="34"/>
      <c r="BXK341" s="34"/>
      <c r="BXL341" s="34"/>
      <c r="BXM341" s="34"/>
      <c r="BXN341" s="34"/>
      <c r="BXO341" s="34"/>
      <c r="BXP341" s="34"/>
      <c r="BXQ341" s="34"/>
      <c r="BXR341" s="34"/>
      <c r="BXS341" s="34"/>
      <c r="BXT341" s="34"/>
      <c r="BXU341" s="34"/>
      <c r="BXV341" s="34"/>
      <c r="BXW341" s="34"/>
      <c r="BXX341" s="34"/>
      <c r="BXY341" s="34"/>
      <c r="BXZ341" s="34"/>
      <c r="BYA341" s="34"/>
      <c r="BYB341" s="34"/>
      <c r="BYC341" s="34"/>
      <c r="BYD341" s="34"/>
      <c r="BYE341" s="34"/>
      <c r="BYF341" s="34"/>
      <c r="BYG341" s="34"/>
      <c r="BYH341" s="34"/>
      <c r="BYI341" s="34"/>
      <c r="BYJ341" s="34"/>
      <c r="BYK341" s="34"/>
      <c r="BYL341" s="34"/>
      <c r="BYM341" s="34"/>
      <c r="BYN341" s="34"/>
      <c r="BYO341" s="34"/>
      <c r="BYP341" s="34"/>
      <c r="BYQ341" s="34"/>
      <c r="BYR341" s="34"/>
      <c r="BYS341" s="34"/>
      <c r="BYT341" s="34"/>
      <c r="BYU341" s="34"/>
      <c r="BYV341" s="34"/>
      <c r="BYW341" s="34"/>
      <c r="BYX341" s="34"/>
      <c r="BYY341" s="34"/>
      <c r="BYZ341" s="34"/>
      <c r="BZA341" s="34"/>
      <c r="BZB341" s="34"/>
      <c r="BZC341" s="34"/>
      <c r="BZD341" s="34"/>
      <c r="BZE341" s="34"/>
      <c r="BZF341" s="34"/>
      <c r="BZG341" s="34"/>
      <c r="BZH341" s="34"/>
      <c r="BZI341" s="34"/>
      <c r="BZJ341" s="34"/>
      <c r="BZK341" s="34"/>
      <c r="BZL341" s="34"/>
      <c r="BZM341" s="34"/>
      <c r="BZN341" s="34"/>
      <c r="BZO341" s="34"/>
      <c r="BZP341" s="34"/>
      <c r="BZQ341" s="34"/>
      <c r="BZR341" s="34"/>
      <c r="BZS341" s="34"/>
      <c r="BZT341" s="34"/>
      <c r="BZU341" s="34"/>
      <c r="BZV341" s="34"/>
      <c r="BZW341" s="34"/>
      <c r="BZX341" s="34"/>
      <c r="BZY341" s="34"/>
      <c r="BZZ341" s="34"/>
      <c r="CAA341" s="34"/>
      <c r="CAB341" s="34"/>
      <c r="CAC341" s="34"/>
      <c r="CAD341" s="34"/>
      <c r="CAE341" s="34"/>
      <c r="CAF341" s="34"/>
      <c r="CAG341" s="34"/>
      <c r="CAH341" s="34"/>
      <c r="CAI341" s="34"/>
      <c r="CAJ341" s="34"/>
      <c r="CAK341" s="34"/>
      <c r="CAL341" s="34"/>
      <c r="CAM341" s="34"/>
      <c r="CAN341" s="34"/>
      <c r="CAO341" s="34"/>
      <c r="CAP341" s="34"/>
      <c r="CAQ341" s="34"/>
      <c r="CAR341" s="34"/>
      <c r="CAS341" s="34"/>
      <c r="CAT341" s="34"/>
      <c r="CAU341" s="34"/>
      <c r="CAV341" s="34"/>
      <c r="CAW341" s="34"/>
      <c r="CAX341" s="34"/>
      <c r="CAY341" s="34"/>
      <c r="CAZ341" s="34"/>
      <c r="CBA341" s="34"/>
      <c r="CBB341" s="34"/>
      <c r="CBC341" s="34"/>
      <c r="CBD341" s="34"/>
      <c r="CBE341" s="34"/>
      <c r="CBF341" s="34"/>
      <c r="CBG341" s="34"/>
      <c r="CBH341" s="34"/>
      <c r="CBI341" s="34"/>
      <c r="CBJ341" s="34"/>
      <c r="CBK341" s="34"/>
      <c r="CBL341" s="34"/>
      <c r="CBM341" s="34"/>
      <c r="CBN341" s="34"/>
      <c r="CBO341" s="34"/>
      <c r="CBP341" s="34"/>
      <c r="CBQ341" s="34"/>
      <c r="CBR341" s="34"/>
      <c r="CBS341" s="34"/>
      <c r="CBT341" s="34"/>
      <c r="CBU341" s="34"/>
      <c r="CBV341" s="34"/>
      <c r="CBW341" s="34"/>
      <c r="CBX341" s="34"/>
      <c r="CBY341" s="34"/>
      <c r="CBZ341" s="34"/>
      <c r="CCA341" s="34"/>
      <c r="CCB341" s="34"/>
      <c r="CCC341" s="34"/>
      <c r="CCD341" s="34"/>
      <c r="CCE341" s="34"/>
      <c r="CCF341" s="34"/>
      <c r="CCG341" s="34"/>
      <c r="CCH341" s="34"/>
      <c r="CCI341" s="34"/>
      <c r="CCJ341" s="34"/>
      <c r="CCK341" s="34"/>
      <c r="CCL341" s="34"/>
      <c r="CCM341" s="34"/>
      <c r="CCN341" s="34"/>
      <c r="CCO341" s="34"/>
      <c r="CCP341" s="34"/>
      <c r="CCQ341" s="34"/>
      <c r="CCR341" s="34"/>
      <c r="CCS341" s="34"/>
      <c r="CCT341" s="34"/>
      <c r="CCU341" s="34"/>
      <c r="CCV341" s="34"/>
      <c r="CCW341" s="34"/>
      <c r="CCX341" s="34"/>
      <c r="CCY341" s="34"/>
      <c r="CCZ341" s="34"/>
      <c r="CDA341" s="34"/>
      <c r="CDB341" s="34"/>
      <c r="CDC341" s="34"/>
      <c r="CDD341" s="34"/>
      <c r="CDE341" s="34"/>
      <c r="CDF341" s="34"/>
      <c r="CDG341" s="34"/>
      <c r="CDH341" s="34"/>
      <c r="CDI341" s="34"/>
      <c r="CDJ341" s="34"/>
      <c r="CDK341" s="34"/>
      <c r="CDL341" s="34"/>
      <c r="CDM341" s="34"/>
      <c r="CDN341" s="34"/>
      <c r="CDO341" s="34"/>
      <c r="CDP341" s="34"/>
      <c r="CDQ341" s="34"/>
      <c r="CDR341" s="34"/>
      <c r="CDS341" s="34"/>
      <c r="CDT341" s="34"/>
      <c r="CDU341" s="34"/>
      <c r="CDV341" s="34"/>
      <c r="CDW341" s="34"/>
      <c r="CDX341" s="34"/>
      <c r="CDY341" s="34"/>
      <c r="CDZ341" s="34"/>
      <c r="CEA341" s="34"/>
      <c r="CEB341" s="34"/>
      <c r="CEC341" s="34"/>
      <c r="CED341" s="34"/>
      <c r="CEE341" s="34"/>
      <c r="CEF341" s="34"/>
      <c r="CEG341" s="34"/>
      <c r="CEH341" s="34"/>
      <c r="CEI341" s="34"/>
      <c r="CEJ341" s="34"/>
      <c r="CEK341" s="34"/>
      <c r="CEL341" s="34"/>
      <c r="CEM341" s="34"/>
      <c r="CEN341" s="34"/>
      <c r="CEO341" s="34"/>
      <c r="CEP341" s="34"/>
      <c r="CEQ341" s="34"/>
      <c r="CER341" s="34"/>
      <c r="CES341" s="34"/>
      <c r="CET341" s="34"/>
      <c r="CEU341" s="34"/>
      <c r="CEV341" s="34"/>
      <c r="CEW341" s="34"/>
      <c r="CEX341" s="34"/>
      <c r="CEY341" s="34"/>
      <c r="CEZ341" s="34"/>
      <c r="CFA341" s="34"/>
      <c r="CFB341" s="34"/>
      <c r="CFC341" s="34"/>
      <c r="CFD341" s="34"/>
      <c r="CFE341" s="34"/>
      <c r="CFF341" s="34"/>
      <c r="CFG341" s="34"/>
      <c r="CFH341" s="34"/>
      <c r="CFI341" s="34"/>
      <c r="CFJ341" s="34"/>
      <c r="CFK341" s="34"/>
      <c r="CFL341" s="34"/>
      <c r="CFM341" s="34"/>
      <c r="CFN341" s="34"/>
      <c r="CFO341" s="34"/>
      <c r="CFP341" s="34"/>
      <c r="CFQ341" s="34"/>
      <c r="CFR341" s="34"/>
      <c r="CFS341" s="34"/>
      <c r="CFT341" s="34"/>
      <c r="CFU341" s="34"/>
      <c r="CFV341" s="34"/>
      <c r="CFW341" s="34"/>
      <c r="CFX341" s="34"/>
      <c r="CFY341" s="34"/>
      <c r="CFZ341" s="34"/>
      <c r="CGA341" s="34"/>
      <c r="CGB341" s="34"/>
      <c r="CGC341" s="34"/>
      <c r="CGD341" s="34"/>
      <c r="CGE341" s="34"/>
      <c r="CGF341" s="34"/>
      <c r="CGG341" s="34"/>
      <c r="CGH341" s="34"/>
      <c r="CGI341" s="34"/>
      <c r="CGJ341" s="34"/>
      <c r="CGK341" s="34"/>
      <c r="CGL341" s="34"/>
      <c r="CGM341" s="34"/>
      <c r="CGN341" s="34"/>
      <c r="CGO341" s="34"/>
      <c r="CGP341" s="34"/>
      <c r="CGQ341" s="34"/>
      <c r="CGR341" s="34"/>
      <c r="CGS341" s="34"/>
      <c r="CGT341" s="34"/>
      <c r="CGU341" s="34"/>
      <c r="CGV341" s="34"/>
      <c r="CGW341" s="34"/>
      <c r="CGX341" s="34"/>
      <c r="CGY341" s="34"/>
      <c r="CGZ341" s="34"/>
      <c r="CHA341" s="34"/>
      <c r="CHB341" s="34"/>
      <c r="CHC341" s="34"/>
      <c r="CHD341" s="34"/>
      <c r="CHE341" s="34"/>
      <c r="CHF341" s="34"/>
      <c r="CHG341" s="34"/>
      <c r="CHH341" s="34"/>
      <c r="CHI341" s="34"/>
      <c r="CHJ341" s="34"/>
      <c r="CHK341" s="34"/>
      <c r="CHL341" s="34"/>
      <c r="CHM341" s="34"/>
      <c r="CHN341" s="34"/>
      <c r="CHO341" s="34"/>
      <c r="CHP341" s="34"/>
      <c r="CHQ341" s="34"/>
      <c r="CHR341" s="34"/>
      <c r="CHS341" s="34"/>
      <c r="CHT341" s="34"/>
      <c r="CHU341" s="34"/>
      <c r="CHV341" s="34"/>
      <c r="CHW341" s="34"/>
      <c r="CHX341" s="34"/>
      <c r="CHY341" s="34"/>
      <c r="CHZ341" s="34"/>
      <c r="CIA341" s="34"/>
      <c r="CIB341" s="34"/>
      <c r="CIC341" s="34"/>
      <c r="CID341" s="34"/>
      <c r="CIE341" s="34"/>
      <c r="CIF341" s="34"/>
      <c r="CIG341" s="34"/>
      <c r="CIH341" s="34"/>
      <c r="CII341" s="34"/>
      <c r="CIJ341" s="34"/>
      <c r="CIK341" s="34"/>
      <c r="CIL341" s="34"/>
      <c r="CIM341" s="34"/>
      <c r="CIN341" s="34"/>
      <c r="CIO341" s="34"/>
      <c r="CIP341" s="34"/>
      <c r="CIQ341" s="34"/>
      <c r="CIR341" s="34"/>
      <c r="CIS341" s="34"/>
      <c r="CIT341" s="34"/>
      <c r="CIU341" s="34"/>
      <c r="CIV341" s="34"/>
      <c r="CIW341" s="34"/>
      <c r="CIX341" s="34"/>
      <c r="CIY341" s="34"/>
      <c r="CIZ341" s="34"/>
      <c r="CJA341" s="34"/>
      <c r="CJB341" s="34"/>
      <c r="CJC341" s="34"/>
      <c r="CJD341" s="34"/>
      <c r="CJE341" s="34"/>
      <c r="CJF341" s="34"/>
      <c r="CJG341" s="34"/>
      <c r="CJH341" s="34"/>
      <c r="CJI341" s="34"/>
      <c r="CJJ341" s="34"/>
      <c r="CJK341" s="34"/>
      <c r="CJL341" s="34"/>
      <c r="CJM341" s="34"/>
      <c r="CJN341" s="34"/>
      <c r="CJO341" s="34"/>
      <c r="CJP341" s="34"/>
      <c r="CJQ341" s="34"/>
      <c r="CJR341" s="34"/>
      <c r="CJS341" s="34"/>
      <c r="CJT341" s="34"/>
      <c r="CJU341" s="34"/>
      <c r="CJV341" s="34"/>
      <c r="CJW341" s="34"/>
      <c r="CJX341" s="34"/>
      <c r="CJY341" s="34"/>
      <c r="CJZ341" s="34"/>
      <c r="CKA341" s="34"/>
      <c r="CKB341" s="34"/>
      <c r="CKC341" s="34"/>
      <c r="CKD341" s="34"/>
      <c r="CKE341" s="34"/>
      <c r="CKF341" s="34"/>
      <c r="CKG341" s="34"/>
      <c r="CKH341" s="34"/>
      <c r="CKI341" s="34"/>
      <c r="CKJ341" s="34"/>
      <c r="CKK341" s="34"/>
      <c r="CKL341" s="34"/>
      <c r="CKM341" s="34"/>
      <c r="CKN341" s="34"/>
      <c r="CKO341" s="34"/>
      <c r="CKP341" s="34"/>
      <c r="CKQ341" s="34"/>
      <c r="CKR341" s="34"/>
      <c r="CKS341" s="34"/>
      <c r="CKT341" s="34"/>
      <c r="CKU341" s="34"/>
      <c r="CKV341" s="34"/>
      <c r="CKW341" s="34"/>
      <c r="CKX341" s="34"/>
      <c r="CKY341" s="34"/>
      <c r="CKZ341" s="34"/>
      <c r="CLA341" s="34"/>
      <c r="CLB341" s="34"/>
      <c r="CLC341" s="34"/>
      <c r="CLD341" s="34"/>
      <c r="CLE341" s="34"/>
      <c r="CLF341" s="34"/>
      <c r="CLG341" s="34"/>
      <c r="CLH341" s="34"/>
      <c r="CLI341" s="34"/>
      <c r="CLJ341" s="34"/>
      <c r="CLK341" s="34"/>
      <c r="CLL341" s="34"/>
      <c r="CLM341" s="34"/>
      <c r="CLN341" s="34"/>
      <c r="CLO341" s="34"/>
      <c r="CLP341" s="34"/>
      <c r="CLQ341" s="34"/>
      <c r="CLR341" s="34"/>
      <c r="CLS341" s="34"/>
      <c r="CLT341" s="34"/>
      <c r="CLU341" s="34"/>
      <c r="CLV341" s="34"/>
      <c r="CLW341" s="34"/>
      <c r="CLX341" s="34"/>
      <c r="CLY341" s="34"/>
      <c r="CLZ341" s="34"/>
      <c r="CMA341" s="34"/>
      <c r="CMB341" s="34"/>
      <c r="CMC341" s="34"/>
      <c r="CMD341" s="34"/>
      <c r="CME341" s="34"/>
      <c r="CMF341" s="34"/>
      <c r="CMG341" s="34"/>
      <c r="CMH341" s="34"/>
      <c r="CMI341" s="34"/>
      <c r="CMJ341" s="34"/>
      <c r="CMK341" s="34"/>
      <c r="CML341" s="34"/>
      <c r="CMM341" s="34"/>
      <c r="CMN341" s="34"/>
      <c r="CMO341" s="34"/>
      <c r="CMP341" s="34"/>
      <c r="CMQ341" s="34"/>
      <c r="CMR341" s="34"/>
      <c r="CMS341" s="34"/>
      <c r="CMT341" s="34"/>
      <c r="CMU341" s="34"/>
      <c r="CMV341" s="34"/>
      <c r="CMW341" s="34"/>
      <c r="CMX341" s="34"/>
      <c r="CMY341" s="34"/>
      <c r="CMZ341" s="34"/>
      <c r="CNA341" s="34"/>
      <c r="CNB341" s="34"/>
      <c r="CNC341" s="34"/>
      <c r="CND341" s="34"/>
      <c r="CNE341" s="34"/>
      <c r="CNF341" s="34"/>
      <c r="CNG341" s="34"/>
      <c r="CNH341" s="34"/>
      <c r="CNI341" s="34"/>
      <c r="CNJ341" s="34"/>
      <c r="CNK341" s="34"/>
      <c r="CNL341" s="34"/>
      <c r="CNM341" s="34"/>
      <c r="CNN341" s="34"/>
      <c r="CNO341" s="34"/>
      <c r="CNP341" s="34"/>
      <c r="CNQ341" s="34"/>
      <c r="CNR341" s="34"/>
      <c r="CNS341" s="34"/>
      <c r="CNT341" s="34"/>
      <c r="CNU341" s="34"/>
      <c r="CNV341" s="34"/>
      <c r="CNW341" s="34"/>
      <c r="CNX341" s="34"/>
      <c r="CNY341" s="34"/>
      <c r="CNZ341" s="34"/>
      <c r="COA341" s="34"/>
      <c r="COB341" s="34"/>
      <c r="COC341" s="34"/>
      <c r="COD341" s="34"/>
      <c r="COE341" s="34"/>
      <c r="COF341" s="34"/>
      <c r="COG341" s="34"/>
      <c r="COH341" s="34"/>
      <c r="COI341" s="34"/>
      <c r="COJ341" s="34"/>
      <c r="COK341" s="34"/>
      <c r="COL341" s="34"/>
      <c r="COM341" s="34"/>
      <c r="CON341" s="34"/>
      <c r="COO341" s="34"/>
      <c r="COP341" s="34"/>
      <c r="COQ341" s="34"/>
      <c r="COR341" s="34"/>
      <c r="COS341" s="34"/>
      <c r="COT341" s="34"/>
      <c r="COU341" s="34"/>
      <c r="COV341" s="34"/>
      <c r="COW341" s="34"/>
      <c r="COX341" s="34"/>
      <c r="COY341" s="34"/>
      <c r="COZ341" s="34"/>
      <c r="CPA341" s="34"/>
      <c r="CPB341" s="34"/>
      <c r="CPC341" s="34"/>
      <c r="CPD341" s="34"/>
      <c r="CPE341" s="34"/>
      <c r="CPF341" s="34"/>
      <c r="CPG341" s="34"/>
      <c r="CPH341" s="34"/>
      <c r="CPI341" s="34"/>
      <c r="CPJ341" s="34"/>
      <c r="CPK341" s="34"/>
      <c r="CPL341" s="34"/>
      <c r="CPM341" s="34"/>
      <c r="CPN341" s="34"/>
      <c r="CPO341" s="34"/>
      <c r="CPP341" s="34"/>
      <c r="CPQ341" s="34"/>
      <c r="CPR341" s="34"/>
      <c r="CPS341" s="34"/>
      <c r="CPT341" s="34"/>
      <c r="CPU341" s="34"/>
      <c r="CPV341" s="34"/>
      <c r="CPW341" s="34"/>
      <c r="CPX341" s="34"/>
      <c r="CPY341" s="34"/>
      <c r="CPZ341" s="34"/>
      <c r="CQA341" s="34"/>
      <c r="CQB341" s="34"/>
      <c r="CQC341" s="34"/>
      <c r="CQD341" s="34"/>
      <c r="CQE341" s="34"/>
      <c r="CQF341" s="34"/>
      <c r="CQG341" s="34"/>
      <c r="CQH341" s="34"/>
      <c r="CQI341" s="34"/>
      <c r="CQJ341" s="34"/>
      <c r="CQK341" s="34"/>
      <c r="CQL341" s="34"/>
      <c r="CQM341" s="34"/>
      <c r="CQN341" s="34"/>
      <c r="CQO341" s="34"/>
      <c r="CQP341" s="34"/>
      <c r="CQQ341" s="34"/>
      <c r="CQR341" s="34"/>
      <c r="CQS341" s="34"/>
      <c r="CQT341" s="34"/>
      <c r="CQU341" s="34"/>
      <c r="CQV341" s="34"/>
      <c r="CQW341" s="34"/>
      <c r="CQX341" s="34"/>
      <c r="CQY341" s="34"/>
      <c r="CQZ341" s="34"/>
      <c r="CRA341" s="34"/>
      <c r="CRB341" s="34"/>
      <c r="CRC341" s="34"/>
      <c r="CRD341" s="34"/>
      <c r="CRE341" s="34"/>
      <c r="CRF341" s="34"/>
      <c r="CRG341" s="34"/>
      <c r="CRH341" s="34"/>
      <c r="CRI341" s="34"/>
      <c r="CRJ341" s="34"/>
      <c r="CRK341" s="34"/>
      <c r="CRL341" s="34"/>
      <c r="CRM341" s="34"/>
      <c r="CRN341" s="34"/>
      <c r="CRO341" s="34"/>
      <c r="CRP341" s="34"/>
      <c r="CRQ341" s="34"/>
      <c r="CRR341" s="34"/>
      <c r="CRS341" s="34"/>
      <c r="CRT341" s="34"/>
      <c r="CRU341" s="34"/>
      <c r="CRV341" s="34"/>
      <c r="CRW341" s="34"/>
      <c r="CRX341" s="34"/>
      <c r="CRY341" s="34"/>
      <c r="CRZ341" s="34"/>
      <c r="CSA341" s="34"/>
      <c r="CSB341" s="34"/>
      <c r="CSC341" s="34"/>
      <c r="CSD341" s="34"/>
      <c r="CSE341" s="34"/>
      <c r="CSF341" s="34"/>
      <c r="CSG341" s="34"/>
      <c r="CSH341" s="34"/>
      <c r="CSI341" s="34"/>
      <c r="CSJ341" s="34"/>
      <c r="CSK341" s="34"/>
      <c r="CSL341" s="34"/>
      <c r="CSM341" s="34"/>
      <c r="CSN341" s="34"/>
      <c r="CSO341" s="34"/>
      <c r="CSP341" s="34"/>
      <c r="CSQ341" s="34"/>
      <c r="CSR341" s="34"/>
      <c r="CSS341" s="34"/>
      <c r="CST341" s="34"/>
      <c r="CSU341" s="34"/>
      <c r="CSV341" s="34"/>
      <c r="CSW341" s="34"/>
      <c r="CSX341" s="34"/>
      <c r="CSY341" s="34"/>
      <c r="CSZ341" s="34"/>
      <c r="CTA341" s="34"/>
      <c r="CTB341" s="34"/>
      <c r="CTC341" s="34"/>
      <c r="CTD341" s="34"/>
      <c r="CTE341" s="34"/>
      <c r="CTF341" s="34"/>
      <c r="CTG341" s="34"/>
      <c r="CTH341" s="34"/>
      <c r="CTI341" s="34"/>
      <c r="CTJ341" s="34"/>
      <c r="CTK341" s="34"/>
      <c r="CTL341" s="34"/>
      <c r="CTM341" s="34"/>
      <c r="CTN341" s="34"/>
      <c r="CTO341" s="34"/>
      <c r="CTP341" s="34"/>
      <c r="CTQ341" s="34"/>
      <c r="CTR341" s="34"/>
      <c r="CTS341" s="34"/>
      <c r="CTT341" s="34"/>
      <c r="CTU341" s="34"/>
      <c r="CTV341" s="34"/>
      <c r="CTW341" s="34"/>
      <c r="CTX341" s="34"/>
      <c r="CTY341" s="34"/>
      <c r="CTZ341" s="34"/>
      <c r="CUA341" s="34"/>
      <c r="CUB341" s="34"/>
      <c r="CUC341" s="34"/>
      <c r="CUD341" s="34"/>
      <c r="CUE341" s="34"/>
      <c r="CUF341" s="34"/>
      <c r="CUG341" s="34"/>
      <c r="CUH341" s="34"/>
      <c r="CUI341" s="34"/>
      <c r="CUJ341" s="34"/>
      <c r="CUK341" s="34"/>
      <c r="CUL341" s="34"/>
      <c r="CUM341" s="34"/>
      <c r="CUN341" s="34"/>
      <c r="CUO341" s="34"/>
      <c r="CUP341" s="34"/>
      <c r="CUQ341" s="34"/>
      <c r="CUR341" s="34"/>
      <c r="CUS341" s="34"/>
      <c r="CUT341" s="34"/>
      <c r="CUU341" s="34"/>
      <c r="CUV341" s="34"/>
      <c r="CUW341" s="34"/>
      <c r="CUX341" s="34"/>
      <c r="CUY341" s="34"/>
      <c r="CUZ341" s="34"/>
      <c r="CVA341" s="34"/>
      <c r="CVB341" s="34"/>
      <c r="CVC341" s="34"/>
      <c r="CVD341" s="34"/>
      <c r="CVE341" s="34"/>
      <c r="CVF341" s="34"/>
      <c r="CVG341" s="34"/>
      <c r="CVH341" s="34"/>
      <c r="CVI341" s="34"/>
      <c r="CVJ341" s="34"/>
      <c r="CVK341" s="34"/>
      <c r="CVL341" s="34"/>
      <c r="CVM341" s="34"/>
      <c r="CVN341" s="34"/>
      <c r="CVO341" s="34"/>
      <c r="CVP341" s="34"/>
      <c r="CVQ341" s="34"/>
      <c r="CVR341" s="34"/>
      <c r="CVS341" s="34"/>
      <c r="CVT341" s="34"/>
      <c r="CVU341" s="34"/>
      <c r="CVV341" s="34"/>
      <c r="CVW341" s="34"/>
      <c r="CVX341" s="34"/>
      <c r="CVY341" s="34"/>
      <c r="CVZ341" s="34"/>
      <c r="CWA341" s="34"/>
      <c r="CWB341" s="34"/>
      <c r="CWC341" s="34"/>
      <c r="CWD341" s="34"/>
      <c r="CWE341" s="34"/>
      <c r="CWF341" s="34"/>
      <c r="CWG341" s="34"/>
      <c r="CWH341" s="34"/>
      <c r="CWI341" s="34"/>
      <c r="CWJ341" s="34"/>
      <c r="CWK341" s="34"/>
      <c r="CWL341" s="34"/>
      <c r="CWM341" s="34"/>
      <c r="CWN341" s="34"/>
      <c r="CWO341" s="34"/>
      <c r="CWP341" s="34"/>
      <c r="CWQ341" s="34"/>
      <c r="CWR341" s="34"/>
      <c r="CWS341" s="34"/>
      <c r="CWT341" s="34"/>
      <c r="CWU341" s="34"/>
      <c r="CWV341" s="34"/>
      <c r="CWW341" s="34"/>
      <c r="CWX341" s="34"/>
      <c r="CWY341" s="34"/>
      <c r="CWZ341" s="34"/>
      <c r="CXA341" s="34"/>
      <c r="CXB341" s="34"/>
      <c r="CXC341" s="34"/>
      <c r="CXD341" s="34"/>
      <c r="CXE341" s="34"/>
      <c r="CXF341" s="34"/>
      <c r="CXG341" s="34"/>
      <c r="CXH341" s="34"/>
      <c r="CXI341" s="34"/>
      <c r="CXJ341" s="34"/>
      <c r="CXK341" s="34"/>
      <c r="CXL341" s="34"/>
      <c r="CXM341" s="34"/>
      <c r="CXN341" s="34"/>
      <c r="CXO341" s="34"/>
      <c r="CXP341" s="34"/>
      <c r="CXQ341" s="34"/>
      <c r="CXR341" s="34"/>
      <c r="CXS341" s="34"/>
      <c r="CXT341" s="34"/>
      <c r="CXU341" s="34"/>
      <c r="CXV341" s="34"/>
      <c r="CXW341" s="34"/>
      <c r="CXX341" s="34"/>
      <c r="CXY341" s="34"/>
      <c r="CXZ341" s="34"/>
      <c r="CYA341" s="34"/>
      <c r="CYB341" s="34"/>
      <c r="CYC341" s="34"/>
      <c r="CYD341" s="34"/>
      <c r="CYE341" s="34"/>
      <c r="CYF341" s="34"/>
      <c r="CYG341" s="34"/>
      <c r="CYH341" s="34"/>
      <c r="CYI341" s="34"/>
      <c r="CYJ341" s="34"/>
      <c r="CYK341" s="34"/>
      <c r="CYL341" s="34"/>
      <c r="CYM341" s="34"/>
      <c r="CYN341" s="34"/>
      <c r="CYO341" s="34"/>
      <c r="CYP341" s="34"/>
      <c r="CYQ341" s="34"/>
      <c r="CYR341" s="34"/>
      <c r="CYS341" s="34"/>
      <c r="CYT341" s="34"/>
      <c r="CYU341" s="34"/>
      <c r="CYV341" s="34"/>
      <c r="CYW341" s="34"/>
      <c r="CYX341" s="34"/>
      <c r="CYY341" s="34"/>
      <c r="CYZ341" s="34"/>
      <c r="CZA341" s="34"/>
      <c r="CZB341" s="34"/>
      <c r="CZC341" s="34"/>
      <c r="CZD341" s="34"/>
      <c r="CZE341" s="34"/>
      <c r="CZF341" s="34"/>
      <c r="CZG341" s="34"/>
      <c r="CZH341" s="34"/>
      <c r="CZI341" s="34"/>
      <c r="CZJ341" s="34"/>
      <c r="CZK341" s="34"/>
      <c r="CZL341" s="34"/>
      <c r="CZM341" s="34"/>
      <c r="CZN341" s="34"/>
      <c r="CZO341" s="34"/>
      <c r="CZP341" s="34"/>
      <c r="CZQ341" s="34"/>
      <c r="CZR341" s="34"/>
      <c r="CZS341" s="34"/>
      <c r="CZT341" s="34"/>
      <c r="CZU341" s="34"/>
      <c r="CZV341" s="34"/>
      <c r="CZW341" s="34"/>
      <c r="CZX341" s="34"/>
      <c r="CZY341" s="34"/>
      <c r="CZZ341" s="34"/>
      <c r="DAA341" s="34"/>
      <c r="DAB341" s="34"/>
      <c r="DAC341" s="34"/>
      <c r="DAD341" s="34"/>
      <c r="DAE341" s="34"/>
      <c r="DAF341" s="34"/>
      <c r="DAG341" s="34"/>
      <c r="DAH341" s="34"/>
      <c r="DAI341" s="34"/>
      <c r="DAJ341" s="34"/>
      <c r="DAK341" s="34"/>
      <c r="DAL341" s="34"/>
      <c r="DAM341" s="34"/>
      <c r="DAN341" s="34"/>
      <c r="DAO341" s="34"/>
      <c r="DAP341" s="34"/>
      <c r="DAQ341" s="34"/>
      <c r="DAR341" s="34"/>
      <c r="DAS341" s="34"/>
      <c r="DAT341" s="34"/>
      <c r="DAU341" s="34"/>
      <c r="DAV341" s="34"/>
      <c r="DAW341" s="34"/>
      <c r="DAX341" s="34"/>
      <c r="DAY341" s="34"/>
      <c r="DAZ341" s="34"/>
      <c r="DBA341" s="34"/>
      <c r="DBB341" s="34"/>
      <c r="DBC341" s="34"/>
      <c r="DBD341" s="34"/>
      <c r="DBE341" s="34"/>
      <c r="DBF341" s="34"/>
      <c r="DBG341" s="34"/>
      <c r="DBH341" s="34"/>
      <c r="DBI341" s="34"/>
      <c r="DBJ341" s="34"/>
      <c r="DBK341" s="34"/>
      <c r="DBL341" s="34"/>
      <c r="DBM341" s="34"/>
      <c r="DBN341" s="34"/>
      <c r="DBO341" s="34"/>
      <c r="DBP341" s="34"/>
      <c r="DBQ341" s="34"/>
      <c r="DBR341" s="34"/>
      <c r="DBS341" s="34"/>
      <c r="DBT341" s="34"/>
      <c r="DBU341" s="34"/>
      <c r="DBV341" s="34"/>
      <c r="DBW341" s="34"/>
      <c r="DBX341" s="34"/>
      <c r="DBY341" s="34"/>
      <c r="DBZ341" s="34"/>
      <c r="DCA341" s="34"/>
      <c r="DCB341" s="34"/>
      <c r="DCC341" s="34"/>
      <c r="DCD341" s="34"/>
      <c r="DCE341" s="34"/>
      <c r="DCF341" s="34"/>
      <c r="DCG341" s="34"/>
      <c r="DCH341" s="34"/>
      <c r="DCI341" s="34"/>
      <c r="DCJ341" s="34"/>
      <c r="DCK341" s="34"/>
      <c r="DCL341" s="34"/>
      <c r="DCM341" s="34"/>
      <c r="DCN341" s="34"/>
      <c r="DCO341" s="34"/>
      <c r="DCP341" s="34"/>
      <c r="DCQ341" s="34"/>
      <c r="DCR341" s="34"/>
      <c r="DCS341" s="34"/>
      <c r="DCT341" s="34"/>
      <c r="DCU341" s="34"/>
      <c r="DCV341" s="34"/>
      <c r="DCW341" s="34"/>
      <c r="DCX341" s="34"/>
      <c r="DCY341" s="34"/>
      <c r="DCZ341" s="34"/>
      <c r="DDA341" s="34"/>
      <c r="DDB341" s="34"/>
      <c r="DDC341" s="34"/>
      <c r="DDD341" s="34"/>
      <c r="DDE341" s="34"/>
      <c r="DDF341" s="34"/>
      <c r="DDG341" s="34"/>
      <c r="DDH341" s="34"/>
      <c r="DDI341" s="34"/>
      <c r="DDJ341" s="34"/>
      <c r="DDK341" s="34"/>
      <c r="DDL341" s="34"/>
      <c r="DDM341" s="34"/>
      <c r="DDN341" s="34"/>
      <c r="DDO341" s="34"/>
      <c r="DDP341" s="34"/>
      <c r="DDQ341" s="34"/>
      <c r="DDR341" s="34"/>
      <c r="DDS341" s="34"/>
      <c r="DDT341" s="34"/>
      <c r="DDU341" s="34"/>
      <c r="DDV341" s="34"/>
      <c r="DDW341" s="34"/>
      <c r="DDX341" s="34"/>
      <c r="DDY341" s="34"/>
      <c r="DDZ341" s="34"/>
      <c r="DEA341" s="34"/>
      <c r="DEB341" s="34"/>
      <c r="DEC341" s="34"/>
      <c r="DED341" s="34"/>
      <c r="DEE341" s="34"/>
      <c r="DEF341" s="34"/>
      <c r="DEG341" s="34"/>
      <c r="DEH341" s="34"/>
      <c r="DEI341" s="34"/>
      <c r="DEJ341" s="34"/>
      <c r="DEK341" s="34"/>
      <c r="DEL341" s="34"/>
      <c r="DEM341" s="34"/>
      <c r="DEN341" s="34"/>
      <c r="DEO341" s="34"/>
      <c r="DEP341" s="34"/>
      <c r="DEQ341" s="34"/>
      <c r="DER341" s="34"/>
      <c r="DES341" s="34"/>
      <c r="DET341" s="34"/>
      <c r="DEU341" s="34"/>
      <c r="DEV341" s="34"/>
      <c r="DEW341" s="34"/>
      <c r="DEX341" s="34"/>
      <c r="DEY341" s="34"/>
      <c r="DEZ341" s="34"/>
      <c r="DFA341" s="34"/>
      <c r="DFB341" s="34"/>
      <c r="DFC341" s="34"/>
      <c r="DFD341" s="34"/>
      <c r="DFE341" s="34"/>
      <c r="DFF341" s="34"/>
      <c r="DFG341" s="34"/>
      <c r="DFH341" s="34"/>
      <c r="DFI341" s="34"/>
      <c r="DFJ341" s="34"/>
      <c r="DFK341" s="34"/>
      <c r="DFL341" s="34"/>
      <c r="DFM341" s="34"/>
      <c r="DFN341" s="34"/>
      <c r="DFO341" s="34"/>
      <c r="DFP341" s="34"/>
      <c r="DFQ341" s="34"/>
      <c r="DFR341" s="34"/>
      <c r="DFS341" s="34"/>
      <c r="DFT341" s="34"/>
      <c r="DFU341" s="34"/>
      <c r="DFV341" s="34"/>
      <c r="DFW341" s="34"/>
      <c r="DFX341" s="34"/>
      <c r="DFY341" s="34"/>
      <c r="DFZ341" s="34"/>
      <c r="DGA341" s="34"/>
      <c r="DGB341" s="34"/>
      <c r="DGC341" s="34"/>
      <c r="DGD341" s="34"/>
      <c r="DGE341" s="34"/>
      <c r="DGF341" s="34"/>
      <c r="DGG341" s="34"/>
      <c r="DGH341" s="34"/>
      <c r="DGI341" s="34"/>
      <c r="DGJ341" s="34"/>
      <c r="DGK341" s="34"/>
      <c r="DGL341" s="34"/>
      <c r="DGM341" s="34"/>
      <c r="DGN341" s="34"/>
      <c r="DGO341" s="34"/>
      <c r="DGP341" s="34"/>
      <c r="DGQ341" s="34"/>
      <c r="DGR341" s="34"/>
      <c r="DGS341" s="34"/>
      <c r="DGT341" s="34"/>
      <c r="DGU341" s="34"/>
      <c r="DGV341" s="34"/>
      <c r="DGW341" s="34"/>
      <c r="DGX341" s="34"/>
      <c r="DGY341" s="34"/>
      <c r="DGZ341" s="34"/>
      <c r="DHA341" s="34"/>
      <c r="DHB341" s="34"/>
      <c r="DHC341" s="34"/>
      <c r="DHD341" s="34"/>
      <c r="DHE341" s="34"/>
      <c r="DHF341" s="34"/>
      <c r="DHG341" s="34"/>
      <c r="DHH341" s="34"/>
      <c r="DHI341" s="34"/>
      <c r="DHJ341" s="34"/>
      <c r="DHK341" s="34"/>
      <c r="DHL341" s="34"/>
      <c r="DHM341" s="34"/>
      <c r="DHN341" s="34"/>
      <c r="DHO341" s="34"/>
      <c r="DHP341" s="34"/>
      <c r="DHQ341" s="34"/>
      <c r="DHR341" s="34"/>
      <c r="DHS341" s="34"/>
      <c r="DHT341" s="34"/>
      <c r="DHU341" s="34"/>
      <c r="DHV341" s="34"/>
      <c r="DHW341" s="34"/>
      <c r="DHX341" s="34"/>
      <c r="DHY341" s="34"/>
      <c r="DHZ341" s="34"/>
      <c r="DIA341" s="34"/>
      <c r="DIB341" s="34"/>
      <c r="DIC341" s="34"/>
      <c r="DID341" s="34"/>
      <c r="DIE341" s="34"/>
      <c r="DIF341" s="34"/>
      <c r="DIG341" s="34"/>
      <c r="DIH341" s="34"/>
      <c r="DII341" s="34"/>
      <c r="DIJ341" s="34"/>
      <c r="DIK341" s="34"/>
      <c r="DIL341" s="34"/>
      <c r="DIM341" s="34"/>
      <c r="DIN341" s="34"/>
      <c r="DIO341" s="34"/>
      <c r="DIP341" s="34"/>
      <c r="DIQ341" s="34"/>
      <c r="DIR341" s="34"/>
      <c r="DIS341" s="34"/>
      <c r="DIT341" s="34"/>
      <c r="DIU341" s="34"/>
      <c r="DIV341" s="34"/>
      <c r="DIW341" s="34"/>
      <c r="DIX341" s="34"/>
      <c r="DIY341" s="34"/>
      <c r="DIZ341" s="34"/>
      <c r="DJA341" s="34"/>
      <c r="DJB341" s="34"/>
      <c r="DJC341" s="34"/>
      <c r="DJD341" s="34"/>
      <c r="DJE341" s="34"/>
      <c r="DJF341" s="34"/>
      <c r="DJG341" s="34"/>
      <c r="DJH341" s="34"/>
      <c r="DJI341" s="34"/>
      <c r="DJJ341" s="34"/>
      <c r="DJK341" s="34"/>
      <c r="DJL341" s="34"/>
      <c r="DJM341" s="34"/>
      <c r="DJN341" s="34"/>
      <c r="DJO341" s="34"/>
      <c r="DJP341" s="34"/>
      <c r="DJQ341" s="34"/>
      <c r="DJR341" s="34"/>
      <c r="DJS341" s="34"/>
      <c r="DJT341" s="34"/>
      <c r="DJU341" s="34"/>
      <c r="DJV341" s="34"/>
      <c r="DJW341" s="34"/>
      <c r="DJX341" s="34"/>
      <c r="DJY341" s="34"/>
      <c r="DJZ341" s="34"/>
      <c r="DKA341" s="34"/>
      <c r="DKB341" s="34"/>
      <c r="DKC341" s="34"/>
      <c r="DKD341" s="34"/>
      <c r="DKE341" s="34"/>
      <c r="DKF341" s="34"/>
      <c r="DKG341" s="34"/>
      <c r="DKH341" s="34"/>
      <c r="DKI341" s="34"/>
      <c r="DKJ341" s="34"/>
      <c r="DKK341" s="34"/>
      <c r="DKL341" s="34"/>
      <c r="DKM341" s="34"/>
      <c r="DKN341" s="34"/>
      <c r="DKO341" s="34"/>
      <c r="DKP341" s="34"/>
      <c r="DKQ341" s="34"/>
      <c r="DKR341" s="34"/>
      <c r="DKS341" s="34"/>
      <c r="DKT341" s="34"/>
      <c r="DKU341" s="34"/>
      <c r="DKV341" s="34"/>
      <c r="DKW341" s="34"/>
      <c r="DKX341" s="34"/>
      <c r="DKY341" s="34"/>
      <c r="DKZ341" s="34"/>
      <c r="DLA341" s="34"/>
      <c r="DLB341" s="34"/>
      <c r="DLC341" s="34"/>
      <c r="DLD341" s="34"/>
      <c r="DLE341" s="34"/>
      <c r="DLF341" s="34"/>
      <c r="DLG341" s="34"/>
      <c r="DLH341" s="34"/>
      <c r="DLI341" s="34"/>
      <c r="DLJ341" s="34"/>
      <c r="DLK341" s="34"/>
      <c r="DLL341" s="34"/>
      <c r="DLM341" s="34"/>
      <c r="DLN341" s="34"/>
      <c r="DLO341" s="34"/>
      <c r="DLP341" s="34"/>
      <c r="DLQ341" s="34"/>
      <c r="DLR341" s="34"/>
      <c r="DLS341" s="34"/>
      <c r="DLT341" s="34"/>
      <c r="DLU341" s="34"/>
      <c r="DLV341" s="34"/>
      <c r="DLW341" s="34"/>
      <c r="DLX341" s="34"/>
      <c r="DLY341" s="34"/>
      <c r="DLZ341" s="34"/>
      <c r="DMA341" s="34"/>
      <c r="DMB341" s="34"/>
      <c r="DMC341" s="34"/>
      <c r="DMD341" s="34"/>
      <c r="DME341" s="34"/>
      <c r="DMF341" s="34"/>
      <c r="DMG341" s="34"/>
      <c r="DMH341" s="34"/>
      <c r="DMI341" s="34"/>
      <c r="DMJ341" s="34"/>
      <c r="DMK341" s="34"/>
      <c r="DML341" s="34"/>
      <c r="DMM341" s="34"/>
      <c r="DMN341" s="34"/>
      <c r="DMO341" s="34"/>
      <c r="DMP341" s="34"/>
      <c r="DMQ341" s="34"/>
      <c r="DMR341" s="34"/>
      <c r="DMS341" s="34"/>
      <c r="DMT341" s="34"/>
      <c r="DMU341" s="34"/>
      <c r="DMV341" s="34"/>
      <c r="DMW341" s="34"/>
      <c r="DMX341" s="34"/>
      <c r="DMY341" s="34"/>
      <c r="DMZ341" s="34"/>
      <c r="DNA341" s="34"/>
      <c r="DNB341" s="34"/>
      <c r="DNC341" s="34"/>
      <c r="DND341" s="34"/>
      <c r="DNE341" s="34"/>
      <c r="DNF341" s="34"/>
      <c r="DNG341" s="34"/>
      <c r="DNH341" s="34"/>
      <c r="DNI341" s="34"/>
      <c r="DNJ341" s="34"/>
      <c r="DNK341" s="34"/>
      <c r="DNL341" s="34"/>
      <c r="DNM341" s="34"/>
      <c r="DNN341" s="34"/>
      <c r="DNO341" s="34"/>
      <c r="DNP341" s="34"/>
      <c r="DNQ341" s="34"/>
      <c r="DNR341" s="34"/>
      <c r="DNS341" s="34"/>
      <c r="DNT341" s="34"/>
      <c r="DNU341" s="34"/>
      <c r="DNV341" s="34"/>
      <c r="DNW341" s="34"/>
      <c r="DNX341" s="34"/>
      <c r="DNY341" s="34"/>
      <c r="DNZ341" s="34"/>
      <c r="DOA341" s="34"/>
      <c r="DOB341" s="34"/>
      <c r="DOC341" s="34"/>
      <c r="DOD341" s="34"/>
      <c r="DOE341" s="34"/>
      <c r="DOF341" s="34"/>
      <c r="DOG341" s="34"/>
      <c r="DOH341" s="34"/>
      <c r="DOI341" s="34"/>
      <c r="DOJ341" s="34"/>
      <c r="DOK341" s="34"/>
      <c r="DOL341" s="34"/>
      <c r="DOM341" s="34"/>
      <c r="DON341" s="34"/>
      <c r="DOO341" s="34"/>
      <c r="DOP341" s="34"/>
      <c r="DOQ341" s="34"/>
      <c r="DOR341" s="34"/>
      <c r="DOS341" s="34"/>
      <c r="DOT341" s="34"/>
      <c r="DOU341" s="34"/>
      <c r="DOV341" s="34"/>
      <c r="DOW341" s="34"/>
      <c r="DOX341" s="34"/>
      <c r="DOY341" s="34"/>
      <c r="DOZ341" s="34"/>
      <c r="DPA341" s="34"/>
      <c r="DPB341" s="34"/>
      <c r="DPC341" s="34"/>
      <c r="DPD341" s="34"/>
      <c r="DPE341" s="34"/>
      <c r="DPF341" s="34"/>
      <c r="DPG341" s="34"/>
      <c r="DPH341" s="34"/>
      <c r="DPI341" s="34"/>
      <c r="DPJ341" s="34"/>
      <c r="DPK341" s="34"/>
      <c r="DPL341" s="34"/>
      <c r="DPM341" s="34"/>
      <c r="DPN341" s="34"/>
      <c r="DPO341" s="34"/>
      <c r="DPP341" s="34"/>
      <c r="DPQ341" s="34"/>
      <c r="DPR341" s="34"/>
      <c r="DPS341" s="34"/>
      <c r="DPT341" s="34"/>
      <c r="DPU341" s="34"/>
      <c r="DPV341" s="34"/>
      <c r="DPW341" s="34"/>
      <c r="DPX341" s="34"/>
      <c r="DPY341" s="34"/>
      <c r="DPZ341" s="34"/>
      <c r="DQA341" s="34"/>
      <c r="DQB341" s="34"/>
      <c r="DQC341" s="34"/>
      <c r="DQD341" s="34"/>
      <c r="DQE341" s="34"/>
      <c r="DQF341" s="34"/>
      <c r="DQG341" s="34"/>
      <c r="DQH341" s="34"/>
      <c r="DQI341" s="34"/>
      <c r="DQJ341" s="34"/>
      <c r="DQK341" s="34"/>
      <c r="DQL341" s="34"/>
      <c r="DQM341" s="34"/>
      <c r="DQN341" s="34"/>
      <c r="DQO341" s="34"/>
      <c r="DQP341" s="34"/>
      <c r="DQQ341" s="34"/>
      <c r="DQR341" s="34"/>
      <c r="DQS341" s="34"/>
      <c r="DQT341" s="34"/>
      <c r="DQU341" s="34"/>
      <c r="DQV341" s="34"/>
      <c r="DQW341" s="34"/>
      <c r="DQX341" s="34"/>
      <c r="DQY341" s="34"/>
      <c r="DQZ341" s="34"/>
      <c r="DRA341" s="34"/>
      <c r="DRB341" s="34"/>
      <c r="DRC341" s="34"/>
      <c r="DRD341" s="34"/>
      <c r="DRE341" s="34"/>
      <c r="DRF341" s="34"/>
      <c r="DRG341" s="34"/>
      <c r="DRH341" s="34"/>
      <c r="DRI341" s="34"/>
      <c r="DRJ341" s="34"/>
      <c r="DRK341" s="34"/>
      <c r="DRL341" s="34"/>
      <c r="DRM341" s="34"/>
      <c r="DRN341" s="34"/>
      <c r="DRO341" s="34"/>
      <c r="DRP341" s="34"/>
      <c r="DRQ341" s="34"/>
      <c r="DRR341" s="34"/>
      <c r="DRS341" s="34"/>
      <c r="DRT341" s="34"/>
      <c r="DRU341" s="34"/>
      <c r="DRV341" s="34"/>
      <c r="DRW341" s="34"/>
      <c r="DRX341" s="34"/>
      <c r="DRY341" s="34"/>
      <c r="DRZ341" s="34"/>
      <c r="DSA341" s="34"/>
      <c r="DSB341" s="34"/>
      <c r="DSC341" s="34"/>
      <c r="DSD341" s="34"/>
      <c r="DSE341" s="34"/>
      <c r="DSF341" s="34"/>
      <c r="DSG341" s="34"/>
      <c r="DSH341" s="34"/>
      <c r="DSI341" s="34"/>
      <c r="DSJ341" s="34"/>
      <c r="DSK341" s="34"/>
      <c r="DSL341" s="34"/>
      <c r="DSM341" s="34"/>
      <c r="DSN341" s="34"/>
      <c r="DSO341" s="34"/>
      <c r="DSP341" s="34"/>
      <c r="DSQ341" s="34"/>
      <c r="DSR341" s="34"/>
      <c r="DSS341" s="34"/>
      <c r="DST341" s="34"/>
      <c r="DSU341" s="34"/>
      <c r="DSV341" s="34"/>
      <c r="DSW341" s="34"/>
      <c r="DSX341" s="34"/>
      <c r="DSY341" s="34"/>
      <c r="DSZ341" s="34"/>
      <c r="DTA341" s="34"/>
      <c r="DTB341" s="34"/>
      <c r="DTC341" s="34"/>
      <c r="DTD341" s="34"/>
      <c r="DTE341" s="34"/>
      <c r="DTF341" s="34"/>
      <c r="DTG341" s="34"/>
      <c r="DTH341" s="34"/>
      <c r="DTI341" s="34"/>
      <c r="DTJ341" s="34"/>
      <c r="DTK341" s="34"/>
      <c r="DTL341" s="34"/>
      <c r="DTM341" s="34"/>
      <c r="DTN341" s="34"/>
      <c r="DTO341" s="34"/>
      <c r="DTP341" s="34"/>
      <c r="DTQ341" s="34"/>
      <c r="DTR341" s="34"/>
      <c r="DTS341" s="34"/>
      <c r="DTT341" s="34"/>
      <c r="DTU341" s="34"/>
      <c r="DTV341" s="34"/>
      <c r="DTW341" s="34"/>
      <c r="DTX341" s="34"/>
      <c r="DTY341" s="34"/>
      <c r="DTZ341" s="34"/>
      <c r="DUA341" s="34"/>
      <c r="DUB341" s="34"/>
      <c r="DUC341" s="34"/>
      <c r="DUD341" s="34"/>
      <c r="DUE341" s="34"/>
      <c r="DUF341" s="34"/>
      <c r="DUG341" s="34"/>
      <c r="DUH341" s="34"/>
      <c r="DUI341" s="34"/>
      <c r="DUJ341" s="34"/>
      <c r="DUK341" s="34"/>
      <c r="DUL341" s="34"/>
      <c r="DUM341" s="34"/>
      <c r="DUN341" s="34"/>
      <c r="DUO341" s="34"/>
      <c r="DUP341" s="34"/>
      <c r="DUQ341" s="34"/>
      <c r="DUR341" s="34"/>
      <c r="DUS341" s="34"/>
      <c r="DUT341" s="34"/>
      <c r="DUU341" s="34"/>
      <c r="DUV341" s="34"/>
      <c r="DUW341" s="34"/>
      <c r="DUX341" s="34"/>
      <c r="DUY341" s="34"/>
      <c r="DUZ341" s="34"/>
      <c r="DVA341" s="34"/>
      <c r="DVB341" s="34"/>
      <c r="DVC341" s="34"/>
      <c r="DVD341" s="34"/>
      <c r="DVE341" s="34"/>
      <c r="DVF341" s="34"/>
      <c r="DVG341" s="34"/>
      <c r="DVH341" s="34"/>
      <c r="DVI341" s="34"/>
      <c r="DVJ341" s="34"/>
      <c r="DVK341" s="34"/>
      <c r="DVL341" s="34"/>
      <c r="DVM341" s="34"/>
      <c r="DVN341" s="34"/>
      <c r="DVO341" s="34"/>
      <c r="DVP341" s="34"/>
      <c r="DVQ341" s="34"/>
      <c r="DVR341" s="34"/>
      <c r="DVS341" s="34"/>
      <c r="DVT341" s="34"/>
      <c r="DVU341" s="34"/>
      <c r="DVV341" s="34"/>
      <c r="DVW341" s="34"/>
      <c r="DVX341" s="34"/>
      <c r="DVY341" s="34"/>
      <c r="DVZ341" s="34"/>
      <c r="DWA341" s="34"/>
      <c r="DWB341" s="34"/>
      <c r="DWC341" s="34"/>
      <c r="DWD341" s="34"/>
      <c r="DWE341" s="34"/>
      <c r="DWF341" s="34"/>
      <c r="DWG341" s="34"/>
      <c r="DWH341" s="34"/>
      <c r="DWI341" s="34"/>
      <c r="DWJ341" s="34"/>
      <c r="DWK341" s="34"/>
      <c r="DWL341" s="34"/>
      <c r="DWM341" s="34"/>
      <c r="DWN341" s="34"/>
      <c r="DWO341" s="34"/>
      <c r="DWP341" s="34"/>
      <c r="DWQ341" s="34"/>
      <c r="DWR341" s="34"/>
      <c r="DWS341" s="34"/>
      <c r="DWT341" s="34"/>
      <c r="DWU341" s="34"/>
      <c r="DWV341" s="34"/>
      <c r="DWW341" s="34"/>
      <c r="DWX341" s="34"/>
      <c r="DWY341" s="34"/>
      <c r="DWZ341" s="34"/>
      <c r="DXA341" s="34"/>
      <c r="DXB341" s="34"/>
      <c r="DXC341" s="34"/>
      <c r="DXD341" s="34"/>
      <c r="DXE341" s="34"/>
      <c r="DXF341" s="34"/>
      <c r="DXG341" s="34"/>
      <c r="DXH341" s="34"/>
      <c r="DXI341" s="34"/>
      <c r="DXJ341" s="34"/>
      <c r="DXK341" s="34"/>
      <c r="DXL341" s="34"/>
      <c r="DXM341" s="34"/>
      <c r="DXN341" s="34"/>
      <c r="DXO341" s="34"/>
      <c r="DXP341" s="34"/>
      <c r="DXQ341" s="34"/>
      <c r="DXR341" s="34"/>
      <c r="DXS341" s="34"/>
      <c r="DXT341" s="34"/>
      <c r="DXU341" s="34"/>
      <c r="DXV341" s="34"/>
      <c r="DXW341" s="34"/>
      <c r="DXX341" s="34"/>
      <c r="DXY341" s="34"/>
      <c r="DXZ341" s="34"/>
      <c r="DYA341" s="34"/>
      <c r="DYB341" s="34"/>
      <c r="DYC341" s="34"/>
      <c r="DYD341" s="34"/>
      <c r="DYE341" s="34"/>
      <c r="DYF341" s="34"/>
      <c r="DYG341" s="34"/>
      <c r="DYH341" s="34"/>
      <c r="DYI341" s="34"/>
      <c r="DYJ341" s="34"/>
      <c r="DYK341" s="34"/>
      <c r="DYL341" s="34"/>
      <c r="DYM341" s="34"/>
      <c r="DYN341" s="34"/>
      <c r="DYO341" s="34"/>
      <c r="DYP341" s="34"/>
      <c r="DYQ341" s="34"/>
      <c r="DYR341" s="34"/>
      <c r="DYS341" s="34"/>
      <c r="DYT341" s="34"/>
      <c r="DYU341" s="34"/>
      <c r="DYV341" s="34"/>
      <c r="DYW341" s="34"/>
      <c r="DYX341" s="34"/>
      <c r="DYY341" s="34"/>
      <c r="DYZ341" s="34"/>
      <c r="DZA341" s="34"/>
      <c r="DZB341" s="34"/>
      <c r="DZC341" s="34"/>
      <c r="DZD341" s="34"/>
      <c r="DZE341" s="34"/>
      <c r="DZF341" s="34"/>
      <c r="DZG341" s="34"/>
      <c r="DZH341" s="34"/>
      <c r="DZI341" s="34"/>
      <c r="DZJ341" s="34"/>
      <c r="DZK341" s="34"/>
      <c r="DZL341" s="34"/>
      <c r="DZM341" s="34"/>
      <c r="DZN341" s="34"/>
      <c r="DZO341" s="34"/>
      <c r="DZP341" s="34"/>
      <c r="DZQ341" s="34"/>
      <c r="DZR341" s="34"/>
      <c r="DZS341" s="34"/>
      <c r="DZT341" s="34"/>
      <c r="DZU341" s="34"/>
      <c r="DZV341" s="34"/>
      <c r="DZW341" s="34"/>
      <c r="DZX341" s="34"/>
      <c r="DZY341" s="34"/>
      <c r="DZZ341" s="34"/>
      <c r="EAA341" s="34"/>
      <c r="EAB341" s="34"/>
      <c r="EAC341" s="34"/>
      <c r="EAD341" s="34"/>
      <c r="EAE341" s="34"/>
      <c r="EAF341" s="34"/>
      <c r="EAG341" s="34"/>
      <c r="EAH341" s="34"/>
      <c r="EAI341" s="34"/>
      <c r="EAJ341" s="34"/>
      <c r="EAK341" s="34"/>
      <c r="EAL341" s="34"/>
      <c r="EAM341" s="34"/>
      <c r="EAN341" s="34"/>
      <c r="EAO341" s="34"/>
      <c r="EAP341" s="34"/>
      <c r="EAQ341" s="34"/>
      <c r="EAR341" s="34"/>
      <c r="EAS341" s="34"/>
      <c r="EAT341" s="34"/>
      <c r="EAU341" s="34"/>
      <c r="EAV341" s="34"/>
      <c r="EAW341" s="34"/>
      <c r="EAX341" s="34"/>
      <c r="EAY341" s="34"/>
      <c r="EAZ341" s="34"/>
      <c r="EBA341" s="34"/>
      <c r="EBB341" s="34"/>
      <c r="EBC341" s="34"/>
      <c r="EBD341" s="34"/>
      <c r="EBE341" s="34"/>
      <c r="EBF341" s="34"/>
      <c r="EBG341" s="34"/>
      <c r="EBH341" s="34"/>
      <c r="EBI341" s="34"/>
      <c r="EBJ341" s="34"/>
      <c r="EBK341" s="34"/>
      <c r="EBL341" s="34"/>
      <c r="EBM341" s="34"/>
      <c r="EBN341" s="34"/>
      <c r="EBO341" s="34"/>
      <c r="EBP341" s="34"/>
      <c r="EBQ341" s="34"/>
      <c r="EBR341" s="34"/>
      <c r="EBS341" s="34"/>
      <c r="EBT341" s="34"/>
      <c r="EBU341" s="34"/>
      <c r="EBV341" s="34"/>
      <c r="EBW341" s="34"/>
      <c r="EBX341" s="34"/>
      <c r="EBY341" s="34"/>
      <c r="EBZ341" s="34"/>
      <c r="ECA341" s="34"/>
      <c r="ECB341" s="34"/>
      <c r="ECC341" s="34"/>
      <c r="ECD341" s="34"/>
      <c r="ECE341" s="34"/>
      <c r="ECF341" s="34"/>
      <c r="ECG341" s="34"/>
      <c r="ECH341" s="34"/>
      <c r="ECI341" s="34"/>
      <c r="ECJ341" s="34"/>
      <c r="ECK341" s="34"/>
      <c r="ECL341" s="34"/>
      <c r="ECM341" s="34"/>
      <c r="ECN341" s="34"/>
      <c r="ECO341" s="34"/>
      <c r="ECP341" s="34"/>
      <c r="ECQ341" s="34"/>
      <c r="ECR341" s="34"/>
      <c r="ECS341" s="34"/>
      <c r="ECT341" s="34"/>
      <c r="ECU341" s="34"/>
      <c r="ECV341" s="34"/>
      <c r="ECW341" s="34"/>
      <c r="ECX341" s="34"/>
      <c r="ECY341" s="34"/>
      <c r="ECZ341" s="34"/>
      <c r="EDA341" s="34"/>
      <c r="EDB341" s="34"/>
      <c r="EDC341" s="34"/>
      <c r="EDD341" s="34"/>
      <c r="EDE341" s="34"/>
      <c r="EDF341" s="34"/>
      <c r="EDG341" s="34"/>
      <c r="EDH341" s="34"/>
      <c r="EDI341" s="34"/>
      <c r="EDJ341" s="34"/>
      <c r="EDK341" s="34"/>
      <c r="EDL341" s="34"/>
      <c r="EDM341" s="34"/>
      <c r="EDN341" s="34"/>
      <c r="EDO341" s="34"/>
      <c r="EDP341" s="34"/>
      <c r="EDQ341" s="34"/>
      <c r="EDR341" s="34"/>
      <c r="EDS341" s="34"/>
      <c r="EDT341" s="34"/>
      <c r="EDU341" s="34"/>
      <c r="EDV341" s="34"/>
      <c r="EDW341" s="34"/>
      <c r="EDX341" s="34"/>
      <c r="EDY341" s="34"/>
      <c r="EDZ341" s="34"/>
      <c r="EEA341" s="34"/>
      <c r="EEB341" s="34"/>
      <c r="EEC341" s="34"/>
      <c r="EED341" s="34"/>
      <c r="EEE341" s="34"/>
      <c r="EEF341" s="34"/>
      <c r="EEG341" s="34"/>
      <c r="EEH341" s="34"/>
      <c r="EEI341" s="34"/>
      <c r="EEJ341" s="34"/>
      <c r="EEK341" s="34"/>
      <c r="EEL341" s="34"/>
      <c r="EEM341" s="34"/>
      <c r="EEN341" s="34"/>
      <c r="EEO341" s="34"/>
      <c r="EEP341" s="34"/>
      <c r="EEQ341" s="34"/>
      <c r="EER341" s="34"/>
      <c r="EES341" s="34"/>
      <c r="EET341" s="34"/>
      <c r="EEU341" s="34"/>
      <c r="EEV341" s="34"/>
      <c r="EEW341" s="34"/>
      <c r="EEX341" s="34"/>
      <c r="EEY341" s="34"/>
      <c r="EEZ341" s="34"/>
      <c r="EFA341" s="34"/>
      <c r="EFB341" s="34"/>
      <c r="EFC341" s="34"/>
      <c r="EFD341" s="34"/>
      <c r="EFE341" s="34"/>
      <c r="EFF341" s="34"/>
      <c r="EFG341" s="34"/>
      <c r="EFH341" s="34"/>
      <c r="EFI341" s="34"/>
      <c r="EFJ341" s="34"/>
      <c r="EFK341" s="34"/>
      <c r="EFL341" s="34"/>
      <c r="EFM341" s="34"/>
      <c r="EFN341" s="34"/>
      <c r="EFO341" s="34"/>
      <c r="EFP341" s="34"/>
      <c r="EFQ341" s="34"/>
      <c r="EFR341" s="34"/>
      <c r="EFS341" s="34"/>
      <c r="EFT341" s="34"/>
      <c r="EFU341" s="34"/>
      <c r="EFV341" s="34"/>
      <c r="EFW341" s="34"/>
      <c r="EFX341" s="34"/>
      <c r="EFY341" s="34"/>
      <c r="EFZ341" s="34"/>
      <c r="EGA341" s="34"/>
      <c r="EGB341" s="34"/>
      <c r="EGC341" s="34"/>
      <c r="EGD341" s="34"/>
      <c r="EGE341" s="34"/>
      <c r="EGF341" s="34"/>
      <c r="EGG341" s="34"/>
      <c r="EGH341" s="34"/>
      <c r="EGI341" s="34"/>
      <c r="EGJ341" s="34"/>
      <c r="EGK341" s="34"/>
      <c r="EGL341" s="34"/>
      <c r="EGM341" s="34"/>
      <c r="EGN341" s="34"/>
      <c r="EGO341" s="34"/>
      <c r="EGP341" s="34"/>
      <c r="EGQ341" s="34"/>
      <c r="EGR341" s="34"/>
      <c r="EGS341" s="34"/>
      <c r="EGT341" s="34"/>
      <c r="EGU341" s="34"/>
      <c r="EGV341" s="34"/>
      <c r="EGW341" s="34"/>
      <c r="EGX341" s="34"/>
      <c r="EGY341" s="34"/>
      <c r="EGZ341" s="34"/>
      <c r="EHA341" s="34"/>
      <c r="EHB341" s="34"/>
      <c r="EHC341" s="34"/>
      <c r="EHD341" s="34"/>
      <c r="EHE341" s="34"/>
      <c r="EHF341" s="34"/>
      <c r="EHG341" s="34"/>
      <c r="EHH341" s="34"/>
      <c r="EHI341" s="34"/>
      <c r="EHJ341" s="34"/>
      <c r="EHK341" s="34"/>
      <c r="EHL341" s="34"/>
      <c r="EHM341" s="34"/>
      <c r="EHN341" s="34"/>
      <c r="EHO341" s="34"/>
      <c r="EHP341" s="34"/>
      <c r="EHQ341" s="34"/>
      <c r="EHR341" s="34"/>
      <c r="EHS341" s="34"/>
      <c r="EHT341" s="34"/>
      <c r="EHU341" s="34"/>
      <c r="EHV341" s="34"/>
      <c r="EHW341" s="34"/>
      <c r="EHX341" s="34"/>
      <c r="EHY341" s="34"/>
      <c r="EHZ341" s="34"/>
      <c r="EIA341" s="34"/>
      <c r="EIB341" s="34"/>
      <c r="EIC341" s="34"/>
      <c r="EID341" s="34"/>
      <c r="EIE341" s="34"/>
      <c r="EIF341" s="34"/>
      <c r="EIG341" s="34"/>
      <c r="EIH341" s="34"/>
      <c r="EII341" s="34"/>
      <c r="EIJ341" s="34"/>
      <c r="EIK341" s="34"/>
      <c r="EIL341" s="34"/>
      <c r="EIM341" s="34"/>
      <c r="EIN341" s="34"/>
      <c r="EIO341" s="34"/>
      <c r="EIP341" s="34"/>
      <c r="EIQ341" s="34"/>
      <c r="EIR341" s="34"/>
      <c r="EIS341" s="34"/>
      <c r="EIT341" s="34"/>
      <c r="EIU341" s="34"/>
      <c r="EIV341" s="34"/>
      <c r="EIW341" s="34"/>
      <c r="EIX341" s="34"/>
      <c r="EIY341" s="34"/>
      <c r="EIZ341" s="34"/>
      <c r="EJA341" s="34"/>
      <c r="EJB341" s="34"/>
      <c r="EJC341" s="34"/>
      <c r="EJD341" s="34"/>
      <c r="EJE341" s="34"/>
      <c r="EJF341" s="34"/>
      <c r="EJG341" s="34"/>
      <c r="EJH341" s="34"/>
      <c r="EJI341" s="34"/>
      <c r="EJJ341" s="34"/>
      <c r="EJK341" s="34"/>
      <c r="EJL341" s="34"/>
      <c r="EJM341" s="34"/>
      <c r="EJN341" s="34"/>
      <c r="EJO341" s="34"/>
      <c r="EJP341" s="34"/>
      <c r="EJQ341" s="34"/>
      <c r="EJR341" s="34"/>
      <c r="EJS341" s="34"/>
      <c r="EJT341" s="34"/>
      <c r="EJU341" s="34"/>
      <c r="EJV341" s="34"/>
      <c r="EJW341" s="34"/>
      <c r="EJX341" s="34"/>
      <c r="EJY341" s="34"/>
      <c r="EJZ341" s="34"/>
      <c r="EKA341" s="34"/>
      <c r="EKB341" s="34"/>
      <c r="EKC341" s="34"/>
      <c r="EKD341" s="34"/>
      <c r="EKE341" s="34"/>
      <c r="EKF341" s="34"/>
      <c r="EKG341" s="34"/>
      <c r="EKH341" s="34"/>
      <c r="EKI341" s="34"/>
      <c r="EKJ341" s="34"/>
      <c r="EKK341" s="34"/>
      <c r="EKL341" s="34"/>
      <c r="EKM341" s="34"/>
      <c r="EKN341" s="34"/>
      <c r="EKO341" s="34"/>
      <c r="EKP341" s="34"/>
      <c r="EKQ341" s="34"/>
      <c r="EKR341" s="34"/>
      <c r="EKS341" s="34"/>
      <c r="EKT341" s="34"/>
      <c r="EKU341" s="34"/>
      <c r="EKV341" s="34"/>
      <c r="EKW341" s="34"/>
      <c r="EKX341" s="34"/>
      <c r="EKY341" s="34"/>
      <c r="EKZ341" s="34"/>
      <c r="ELA341" s="34"/>
      <c r="ELB341" s="34"/>
      <c r="ELC341" s="34"/>
      <c r="ELD341" s="34"/>
      <c r="ELE341" s="34"/>
      <c r="ELF341" s="34"/>
      <c r="ELG341" s="34"/>
      <c r="ELH341" s="34"/>
      <c r="ELI341" s="34"/>
      <c r="ELJ341" s="34"/>
      <c r="ELK341" s="34"/>
      <c r="ELL341" s="34"/>
      <c r="ELM341" s="34"/>
      <c r="ELN341" s="34"/>
      <c r="ELO341" s="34"/>
      <c r="ELP341" s="34"/>
      <c r="ELQ341" s="34"/>
      <c r="ELR341" s="34"/>
      <c r="ELS341" s="34"/>
      <c r="ELT341" s="34"/>
      <c r="ELU341" s="34"/>
      <c r="ELV341" s="34"/>
      <c r="ELW341" s="34"/>
      <c r="ELX341" s="34"/>
      <c r="ELY341" s="34"/>
      <c r="ELZ341" s="34"/>
      <c r="EMA341" s="34"/>
      <c r="EMB341" s="34"/>
      <c r="EMC341" s="34"/>
      <c r="EMD341" s="34"/>
      <c r="EME341" s="34"/>
      <c r="EMF341" s="34"/>
      <c r="EMG341" s="34"/>
      <c r="EMH341" s="34"/>
      <c r="EMI341" s="34"/>
      <c r="EMJ341" s="34"/>
      <c r="EMK341" s="34"/>
      <c r="EML341" s="34"/>
      <c r="EMM341" s="34"/>
      <c r="EMN341" s="34"/>
      <c r="EMO341" s="34"/>
      <c r="EMP341" s="34"/>
      <c r="EMQ341" s="34"/>
      <c r="EMR341" s="34"/>
      <c r="EMS341" s="34"/>
      <c r="EMT341" s="34"/>
      <c r="EMU341" s="34"/>
      <c r="EMV341" s="34"/>
      <c r="EMW341" s="34"/>
      <c r="EMX341" s="34"/>
      <c r="EMY341" s="34"/>
      <c r="EMZ341" s="34"/>
      <c r="ENA341" s="34"/>
      <c r="ENB341" s="34"/>
      <c r="ENC341" s="34"/>
      <c r="END341" s="34"/>
      <c r="ENE341" s="34"/>
      <c r="ENF341" s="34"/>
      <c r="ENG341" s="34"/>
      <c r="ENH341" s="34"/>
      <c r="ENI341" s="34"/>
      <c r="ENJ341" s="34"/>
      <c r="ENK341" s="34"/>
      <c r="ENL341" s="34"/>
      <c r="ENM341" s="34"/>
      <c r="ENN341" s="34"/>
      <c r="ENO341" s="34"/>
      <c r="ENP341" s="34"/>
      <c r="ENQ341" s="34"/>
      <c r="ENR341" s="34"/>
      <c r="ENS341" s="34"/>
      <c r="ENT341" s="34"/>
      <c r="ENU341" s="34"/>
      <c r="ENV341" s="34"/>
      <c r="ENW341" s="34"/>
      <c r="ENX341" s="34"/>
      <c r="ENY341" s="34"/>
      <c r="ENZ341" s="34"/>
      <c r="EOA341" s="34"/>
      <c r="EOB341" s="34"/>
      <c r="EOC341" s="34"/>
      <c r="EOD341" s="34"/>
      <c r="EOE341" s="34"/>
      <c r="EOF341" s="34"/>
      <c r="EOG341" s="34"/>
      <c r="EOH341" s="34"/>
      <c r="EOI341" s="34"/>
      <c r="EOJ341" s="34"/>
      <c r="EOK341" s="34"/>
      <c r="EOL341" s="34"/>
      <c r="EOM341" s="34"/>
      <c r="EON341" s="34"/>
      <c r="EOO341" s="34"/>
      <c r="EOP341" s="34"/>
      <c r="EOQ341" s="34"/>
      <c r="EOR341" s="34"/>
      <c r="EOS341" s="34"/>
      <c r="EOT341" s="34"/>
      <c r="EOU341" s="34"/>
      <c r="EOV341" s="34"/>
      <c r="EOW341" s="34"/>
      <c r="EOX341" s="34"/>
      <c r="EOY341" s="34"/>
      <c r="EOZ341" s="34"/>
      <c r="EPA341" s="34"/>
      <c r="EPB341" s="34"/>
      <c r="EPC341" s="34"/>
      <c r="EPD341" s="34"/>
      <c r="EPE341" s="34"/>
      <c r="EPF341" s="34"/>
      <c r="EPG341" s="34"/>
      <c r="EPH341" s="34"/>
      <c r="EPI341" s="34"/>
      <c r="EPJ341" s="34"/>
      <c r="EPK341" s="34"/>
      <c r="EPL341" s="34"/>
      <c r="EPM341" s="34"/>
      <c r="EPN341" s="34"/>
      <c r="EPO341" s="34"/>
      <c r="EPP341" s="34"/>
      <c r="EPQ341" s="34"/>
      <c r="EPR341" s="34"/>
      <c r="EPS341" s="34"/>
      <c r="EPT341" s="34"/>
      <c r="EPU341" s="34"/>
      <c r="EPV341" s="34"/>
      <c r="EPW341" s="34"/>
      <c r="EPX341" s="34"/>
      <c r="EPY341" s="34"/>
      <c r="EPZ341" s="34"/>
      <c r="EQA341" s="34"/>
      <c r="EQB341" s="34"/>
      <c r="EQC341" s="34"/>
      <c r="EQD341" s="34"/>
      <c r="EQE341" s="34"/>
      <c r="EQF341" s="34"/>
      <c r="EQG341" s="34"/>
      <c r="EQH341" s="34"/>
      <c r="EQI341" s="34"/>
      <c r="EQJ341" s="34"/>
      <c r="EQK341" s="34"/>
      <c r="EQL341" s="34"/>
      <c r="EQM341" s="34"/>
      <c r="EQN341" s="34"/>
      <c r="EQO341" s="34"/>
      <c r="EQP341" s="34"/>
      <c r="EQQ341" s="34"/>
      <c r="EQR341" s="34"/>
      <c r="EQS341" s="34"/>
      <c r="EQT341" s="34"/>
      <c r="EQU341" s="34"/>
      <c r="EQV341" s="34"/>
      <c r="EQW341" s="34"/>
      <c r="EQX341" s="34"/>
      <c r="EQY341" s="34"/>
      <c r="EQZ341" s="34"/>
      <c r="ERA341" s="34"/>
      <c r="ERB341" s="34"/>
      <c r="ERC341" s="34"/>
      <c r="ERD341" s="34"/>
      <c r="ERE341" s="34"/>
      <c r="ERF341" s="34"/>
      <c r="ERG341" s="34"/>
      <c r="ERH341" s="34"/>
      <c r="ERI341" s="34"/>
      <c r="ERJ341" s="34"/>
      <c r="ERK341" s="34"/>
      <c r="ERL341" s="34"/>
      <c r="ERM341" s="34"/>
      <c r="ERN341" s="34"/>
      <c r="ERO341" s="34"/>
      <c r="ERP341" s="34"/>
      <c r="ERQ341" s="34"/>
      <c r="ERR341" s="34"/>
      <c r="ERS341" s="34"/>
      <c r="ERT341" s="34"/>
      <c r="ERU341" s="34"/>
      <c r="ERV341" s="34"/>
      <c r="ERW341" s="34"/>
      <c r="ERX341" s="34"/>
      <c r="ERY341" s="34"/>
      <c r="ERZ341" s="34"/>
      <c r="ESA341" s="34"/>
      <c r="ESB341" s="34"/>
      <c r="ESC341" s="34"/>
      <c r="ESD341" s="34"/>
      <c r="ESE341" s="34"/>
      <c r="ESF341" s="34"/>
      <c r="ESG341" s="34"/>
      <c r="ESH341" s="34"/>
      <c r="ESI341" s="34"/>
      <c r="ESJ341" s="34"/>
      <c r="ESK341" s="34"/>
      <c r="ESL341" s="34"/>
      <c r="ESM341" s="34"/>
      <c r="ESN341" s="34"/>
      <c r="ESO341" s="34"/>
      <c r="ESP341" s="34"/>
      <c r="ESQ341" s="34"/>
      <c r="ESR341" s="34"/>
      <c r="ESS341" s="34"/>
      <c r="EST341" s="34"/>
      <c r="ESU341" s="34"/>
      <c r="ESV341" s="34"/>
      <c r="ESW341" s="34"/>
      <c r="ESX341" s="34"/>
      <c r="ESY341" s="34"/>
      <c r="ESZ341" s="34"/>
      <c r="ETA341" s="34"/>
      <c r="ETB341" s="34"/>
      <c r="ETC341" s="34"/>
      <c r="ETD341" s="34"/>
      <c r="ETE341" s="34"/>
      <c r="ETF341" s="34"/>
      <c r="ETG341" s="34"/>
      <c r="ETH341" s="34"/>
      <c r="ETI341" s="34"/>
      <c r="ETJ341" s="34"/>
      <c r="ETK341" s="34"/>
      <c r="ETL341" s="34"/>
      <c r="ETM341" s="34"/>
      <c r="ETN341" s="34"/>
      <c r="ETO341" s="34"/>
      <c r="ETP341" s="34"/>
      <c r="ETQ341" s="34"/>
      <c r="ETR341" s="34"/>
      <c r="ETS341" s="34"/>
      <c r="ETT341" s="34"/>
      <c r="ETU341" s="34"/>
      <c r="ETV341" s="34"/>
      <c r="ETW341" s="34"/>
      <c r="ETX341" s="34"/>
      <c r="ETY341" s="34"/>
      <c r="ETZ341" s="34"/>
      <c r="EUA341" s="34"/>
      <c r="EUB341" s="34"/>
      <c r="EUC341" s="34"/>
      <c r="EUD341" s="34"/>
      <c r="EUE341" s="34"/>
      <c r="EUF341" s="34"/>
      <c r="EUG341" s="34"/>
      <c r="EUH341" s="34"/>
      <c r="EUI341" s="34"/>
      <c r="EUJ341" s="34"/>
      <c r="EUK341" s="34"/>
      <c r="EUL341" s="34"/>
      <c r="EUM341" s="34"/>
      <c r="EUN341" s="34"/>
      <c r="EUO341" s="34"/>
      <c r="EUP341" s="34"/>
      <c r="EUQ341" s="34"/>
      <c r="EUR341" s="34"/>
      <c r="EUS341" s="34"/>
      <c r="EUT341" s="34"/>
      <c r="EUU341" s="34"/>
      <c r="EUV341" s="34"/>
      <c r="EUW341" s="34"/>
      <c r="EUX341" s="34"/>
      <c r="EUY341" s="34"/>
      <c r="EUZ341" s="34"/>
      <c r="EVA341" s="34"/>
      <c r="EVB341" s="34"/>
      <c r="EVC341" s="34"/>
      <c r="EVD341" s="34"/>
      <c r="EVE341" s="34"/>
      <c r="EVF341" s="34"/>
      <c r="EVG341" s="34"/>
      <c r="EVH341" s="34"/>
      <c r="EVI341" s="34"/>
      <c r="EVJ341" s="34"/>
      <c r="EVK341" s="34"/>
      <c r="EVL341" s="34"/>
      <c r="EVM341" s="34"/>
      <c r="EVN341" s="34"/>
      <c r="EVO341" s="34"/>
      <c r="EVP341" s="34"/>
      <c r="EVQ341" s="34"/>
      <c r="EVR341" s="34"/>
      <c r="EVS341" s="34"/>
      <c r="EVT341" s="34"/>
      <c r="EVU341" s="34"/>
      <c r="EVV341" s="34"/>
      <c r="EVW341" s="34"/>
      <c r="EVX341" s="34"/>
      <c r="EVY341" s="34"/>
      <c r="EVZ341" s="34"/>
      <c r="EWA341" s="34"/>
      <c r="EWB341" s="34"/>
      <c r="EWC341" s="34"/>
      <c r="EWD341" s="34"/>
      <c r="EWE341" s="34"/>
      <c r="EWF341" s="34"/>
      <c r="EWG341" s="34"/>
      <c r="EWH341" s="34"/>
      <c r="EWI341" s="34"/>
      <c r="EWJ341" s="34"/>
      <c r="EWK341" s="34"/>
      <c r="EWL341" s="34"/>
      <c r="EWM341" s="34"/>
      <c r="EWN341" s="34"/>
      <c r="EWO341" s="34"/>
      <c r="EWP341" s="34"/>
      <c r="EWQ341" s="34"/>
      <c r="EWR341" s="34"/>
      <c r="EWS341" s="34"/>
      <c r="EWT341" s="34"/>
      <c r="EWU341" s="34"/>
      <c r="EWV341" s="34"/>
      <c r="EWW341" s="34"/>
      <c r="EWX341" s="34"/>
      <c r="EWY341" s="34"/>
      <c r="EWZ341" s="34"/>
      <c r="EXA341" s="34"/>
      <c r="EXB341" s="34"/>
      <c r="EXC341" s="34"/>
      <c r="EXD341" s="34"/>
      <c r="EXE341" s="34"/>
      <c r="EXF341" s="34"/>
      <c r="EXG341" s="34"/>
      <c r="EXH341" s="34"/>
      <c r="EXI341" s="34"/>
      <c r="EXJ341" s="34"/>
      <c r="EXK341" s="34"/>
      <c r="EXL341" s="34"/>
      <c r="EXM341" s="34"/>
      <c r="EXN341" s="34"/>
      <c r="EXO341" s="34"/>
      <c r="EXP341" s="34"/>
      <c r="EXQ341" s="34"/>
      <c r="EXR341" s="34"/>
      <c r="EXS341" s="34"/>
      <c r="EXT341" s="34"/>
      <c r="EXU341" s="34"/>
      <c r="EXV341" s="34"/>
      <c r="EXW341" s="34"/>
      <c r="EXX341" s="34"/>
      <c r="EXY341" s="34"/>
      <c r="EXZ341" s="34"/>
      <c r="EYA341" s="34"/>
      <c r="EYB341" s="34"/>
      <c r="EYC341" s="34"/>
      <c r="EYD341" s="34"/>
      <c r="EYE341" s="34"/>
      <c r="EYF341" s="34"/>
      <c r="EYG341" s="34"/>
      <c r="EYH341" s="34"/>
      <c r="EYI341" s="34"/>
      <c r="EYJ341" s="34"/>
      <c r="EYK341" s="34"/>
      <c r="EYL341" s="34"/>
      <c r="EYM341" s="34"/>
      <c r="EYN341" s="34"/>
      <c r="EYO341" s="34"/>
      <c r="EYP341" s="34"/>
      <c r="EYQ341" s="34"/>
      <c r="EYR341" s="34"/>
      <c r="EYS341" s="34"/>
      <c r="EYT341" s="34"/>
      <c r="EYU341" s="34"/>
      <c r="EYV341" s="34"/>
      <c r="EYW341" s="34"/>
      <c r="EYX341" s="34"/>
      <c r="EYY341" s="34"/>
      <c r="EYZ341" s="34"/>
      <c r="EZA341" s="34"/>
      <c r="EZB341" s="34"/>
      <c r="EZC341" s="34"/>
      <c r="EZD341" s="34"/>
      <c r="EZE341" s="34"/>
      <c r="EZF341" s="34"/>
      <c r="EZG341" s="34"/>
      <c r="EZH341" s="34"/>
      <c r="EZI341" s="34"/>
      <c r="EZJ341" s="34"/>
      <c r="EZK341" s="34"/>
      <c r="EZL341" s="34"/>
      <c r="EZM341" s="34"/>
      <c r="EZN341" s="34"/>
      <c r="EZO341" s="34"/>
      <c r="EZP341" s="34"/>
      <c r="EZQ341" s="34"/>
      <c r="EZR341" s="34"/>
      <c r="EZS341" s="34"/>
      <c r="EZT341" s="34"/>
      <c r="EZU341" s="34"/>
      <c r="EZV341" s="34"/>
      <c r="EZW341" s="34"/>
      <c r="EZX341" s="34"/>
      <c r="EZY341" s="34"/>
      <c r="EZZ341" s="34"/>
      <c r="FAA341" s="34"/>
      <c r="FAB341" s="34"/>
      <c r="FAC341" s="34"/>
      <c r="FAD341" s="34"/>
      <c r="FAE341" s="34"/>
      <c r="FAF341" s="34"/>
      <c r="FAG341" s="34"/>
      <c r="FAH341" s="34"/>
      <c r="FAI341" s="34"/>
      <c r="FAJ341" s="34"/>
      <c r="FAK341" s="34"/>
      <c r="FAL341" s="34"/>
      <c r="FAM341" s="34"/>
      <c r="FAN341" s="34"/>
      <c r="FAO341" s="34"/>
      <c r="FAP341" s="34"/>
      <c r="FAQ341" s="34"/>
      <c r="FAR341" s="34"/>
      <c r="FAS341" s="34"/>
      <c r="FAT341" s="34"/>
      <c r="FAU341" s="34"/>
      <c r="FAV341" s="34"/>
      <c r="FAW341" s="34"/>
      <c r="FAX341" s="34"/>
      <c r="FAY341" s="34"/>
      <c r="FAZ341" s="34"/>
      <c r="FBA341" s="34"/>
      <c r="FBB341" s="34"/>
      <c r="FBC341" s="34"/>
      <c r="FBD341" s="34"/>
      <c r="FBE341" s="34"/>
      <c r="FBF341" s="34"/>
      <c r="FBG341" s="34"/>
      <c r="FBH341" s="34"/>
      <c r="FBI341" s="34"/>
      <c r="FBJ341" s="34"/>
      <c r="FBK341" s="34"/>
      <c r="FBL341" s="34"/>
      <c r="FBM341" s="34"/>
      <c r="FBN341" s="34"/>
      <c r="FBO341" s="34"/>
      <c r="FBP341" s="34"/>
      <c r="FBQ341" s="34"/>
      <c r="FBR341" s="34"/>
      <c r="FBS341" s="34"/>
      <c r="FBT341" s="34"/>
      <c r="FBU341" s="34"/>
      <c r="FBV341" s="34"/>
      <c r="FBW341" s="34"/>
      <c r="FBX341" s="34"/>
      <c r="FBY341" s="34"/>
      <c r="FBZ341" s="34"/>
      <c r="FCA341" s="34"/>
      <c r="FCB341" s="34"/>
      <c r="FCC341" s="34"/>
      <c r="FCD341" s="34"/>
      <c r="FCE341" s="34"/>
      <c r="FCF341" s="34"/>
      <c r="FCG341" s="34"/>
      <c r="FCH341" s="34"/>
      <c r="FCI341" s="34"/>
      <c r="FCJ341" s="34"/>
      <c r="FCK341" s="34"/>
      <c r="FCL341" s="34"/>
      <c r="FCM341" s="34"/>
      <c r="FCN341" s="34"/>
      <c r="FCO341" s="34"/>
      <c r="FCP341" s="34"/>
      <c r="FCQ341" s="34"/>
      <c r="FCR341" s="34"/>
      <c r="FCS341" s="34"/>
      <c r="FCT341" s="34"/>
      <c r="FCU341" s="34"/>
      <c r="FCV341" s="34"/>
      <c r="FCW341" s="34"/>
      <c r="FCX341" s="34"/>
      <c r="FCY341" s="34"/>
      <c r="FCZ341" s="34"/>
      <c r="FDA341" s="34"/>
      <c r="FDB341" s="34"/>
      <c r="FDC341" s="34"/>
      <c r="FDD341" s="34"/>
      <c r="FDE341" s="34"/>
      <c r="FDF341" s="34"/>
      <c r="FDG341" s="34"/>
      <c r="FDH341" s="34"/>
      <c r="FDI341" s="34"/>
      <c r="FDJ341" s="34"/>
      <c r="FDK341" s="34"/>
      <c r="FDL341" s="34"/>
      <c r="FDM341" s="34"/>
      <c r="FDN341" s="34"/>
      <c r="FDO341" s="34"/>
      <c r="FDP341" s="34"/>
      <c r="FDQ341" s="34"/>
      <c r="FDR341" s="34"/>
      <c r="FDS341" s="34"/>
      <c r="FDT341" s="34"/>
      <c r="FDU341" s="34"/>
      <c r="FDV341" s="34"/>
      <c r="FDW341" s="34"/>
      <c r="FDX341" s="34"/>
      <c r="FDY341" s="34"/>
      <c r="FDZ341" s="34"/>
      <c r="FEA341" s="34"/>
      <c r="FEB341" s="34"/>
      <c r="FEC341" s="34"/>
      <c r="FED341" s="34"/>
      <c r="FEE341" s="34"/>
      <c r="FEF341" s="34"/>
      <c r="FEG341" s="34"/>
      <c r="FEH341" s="34"/>
      <c r="FEI341" s="34"/>
      <c r="FEJ341" s="34"/>
      <c r="FEK341" s="34"/>
      <c r="FEL341" s="34"/>
      <c r="FEM341" s="34"/>
      <c r="FEN341" s="34"/>
      <c r="FEO341" s="34"/>
      <c r="FEP341" s="34"/>
      <c r="FEQ341" s="34"/>
      <c r="FER341" s="34"/>
      <c r="FES341" s="34"/>
      <c r="FET341" s="34"/>
      <c r="FEU341" s="34"/>
      <c r="FEV341" s="34"/>
      <c r="FEW341" s="34"/>
      <c r="FEX341" s="34"/>
      <c r="FEY341" s="34"/>
      <c r="FEZ341" s="34"/>
      <c r="FFA341" s="34"/>
      <c r="FFB341" s="34"/>
      <c r="FFC341" s="34"/>
      <c r="FFD341" s="34"/>
      <c r="FFE341" s="34"/>
      <c r="FFF341" s="34"/>
      <c r="FFG341" s="34"/>
      <c r="FFH341" s="34"/>
      <c r="FFI341" s="34"/>
      <c r="FFJ341" s="34"/>
      <c r="FFK341" s="34"/>
      <c r="FFL341" s="34"/>
      <c r="FFM341" s="34"/>
      <c r="FFN341" s="34"/>
      <c r="FFO341" s="34"/>
      <c r="FFP341" s="34"/>
      <c r="FFQ341" s="34"/>
      <c r="FFR341" s="34"/>
      <c r="FFS341" s="34"/>
      <c r="FFT341" s="34"/>
      <c r="FFU341" s="34"/>
      <c r="FFV341" s="34"/>
      <c r="FFW341" s="34"/>
      <c r="FFX341" s="34"/>
      <c r="FFY341" s="34"/>
      <c r="FFZ341" s="34"/>
      <c r="FGA341" s="34"/>
      <c r="FGB341" s="34"/>
      <c r="FGC341" s="34"/>
      <c r="FGD341" s="34"/>
      <c r="FGE341" s="34"/>
      <c r="FGF341" s="34"/>
      <c r="FGG341" s="34"/>
      <c r="FGH341" s="34"/>
      <c r="FGI341" s="34"/>
      <c r="FGJ341" s="34"/>
      <c r="FGK341" s="34"/>
      <c r="FGL341" s="34"/>
      <c r="FGM341" s="34"/>
      <c r="FGN341" s="34"/>
      <c r="FGO341" s="34"/>
      <c r="FGP341" s="34"/>
      <c r="FGQ341" s="34"/>
      <c r="FGR341" s="34"/>
      <c r="FGS341" s="34"/>
      <c r="FGT341" s="34"/>
      <c r="FGU341" s="34"/>
      <c r="FGV341" s="34"/>
      <c r="FGW341" s="34"/>
      <c r="FGX341" s="34"/>
      <c r="FGY341" s="34"/>
      <c r="FGZ341" s="34"/>
      <c r="FHA341" s="34"/>
      <c r="FHB341" s="34"/>
      <c r="FHC341" s="34"/>
      <c r="FHD341" s="34"/>
      <c r="FHE341" s="34"/>
      <c r="FHF341" s="34"/>
      <c r="FHG341" s="34"/>
      <c r="FHH341" s="34"/>
      <c r="FHI341" s="34"/>
      <c r="FHJ341" s="34"/>
      <c r="FHK341" s="34"/>
      <c r="FHL341" s="34"/>
      <c r="FHM341" s="34"/>
      <c r="FHN341" s="34"/>
      <c r="FHO341" s="34"/>
      <c r="FHP341" s="34"/>
      <c r="FHQ341" s="34"/>
      <c r="FHR341" s="34"/>
      <c r="FHS341" s="34"/>
      <c r="FHT341" s="34"/>
      <c r="FHU341" s="34"/>
      <c r="FHV341" s="34"/>
      <c r="FHW341" s="34"/>
      <c r="FHX341" s="34"/>
      <c r="FHY341" s="34"/>
      <c r="FHZ341" s="34"/>
      <c r="FIA341" s="34"/>
      <c r="FIB341" s="34"/>
      <c r="FIC341" s="34"/>
      <c r="FID341" s="34"/>
      <c r="FIE341" s="34"/>
      <c r="FIF341" s="34"/>
      <c r="FIG341" s="34"/>
      <c r="FIH341" s="34"/>
      <c r="FII341" s="34"/>
      <c r="FIJ341" s="34"/>
      <c r="FIK341" s="34"/>
      <c r="FIL341" s="34"/>
      <c r="FIM341" s="34"/>
      <c r="FIN341" s="34"/>
      <c r="FIO341" s="34"/>
      <c r="FIP341" s="34"/>
      <c r="FIQ341" s="34"/>
      <c r="FIR341" s="34"/>
      <c r="FIS341" s="34"/>
      <c r="FIT341" s="34"/>
      <c r="FIU341" s="34"/>
      <c r="FIV341" s="34"/>
      <c r="FIW341" s="34"/>
      <c r="FIX341" s="34"/>
      <c r="FIY341" s="34"/>
      <c r="FIZ341" s="34"/>
      <c r="FJA341" s="34"/>
      <c r="FJB341" s="34"/>
      <c r="FJC341" s="34"/>
      <c r="FJD341" s="34"/>
      <c r="FJE341" s="34"/>
      <c r="FJF341" s="34"/>
      <c r="FJG341" s="34"/>
      <c r="FJH341" s="34"/>
      <c r="FJI341" s="34"/>
      <c r="FJJ341" s="34"/>
      <c r="FJK341" s="34"/>
      <c r="FJL341" s="34"/>
      <c r="FJM341" s="34"/>
      <c r="FJN341" s="34"/>
      <c r="FJO341" s="34"/>
      <c r="FJP341" s="34"/>
      <c r="FJQ341" s="34"/>
      <c r="FJR341" s="34"/>
      <c r="FJS341" s="34"/>
      <c r="FJT341" s="34"/>
      <c r="FJU341" s="34"/>
      <c r="FJV341" s="34"/>
      <c r="FJW341" s="34"/>
      <c r="FJX341" s="34"/>
      <c r="FJY341" s="34"/>
      <c r="FJZ341" s="34"/>
      <c r="FKA341" s="34"/>
      <c r="FKB341" s="34"/>
      <c r="FKC341" s="34"/>
      <c r="FKD341" s="34"/>
      <c r="FKE341" s="34"/>
      <c r="FKF341" s="34"/>
      <c r="FKG341" s="34"/>
      <c r="FKH341" s="34"/>
      <c r="FKI341" s="34"/>
      <c r="FKJ341" s="34"/>
      <c r="FKK341" s="34"/>
      <c r="FKL341" s="34"/>
      <c r="FKM341" s="34"/>
      <c r="FKN341" s="34"/>
      <c r="FKO341" s="34"/>
      <c r="FKP341" s="34"/>
      <c r="FKQ341" s="34"/>
      <c r="FKR341" s="34"/>
      <c r="FKS341" s="34"/>
      <c r="FKT341" s="34"/>
      <c r="FKU341" s="34"/>
      <c r="FKV341" s="34"/>
      <c r="FKW341" s="34"/>
      <c r="FKX341" s="34"/>
      <c r="FKY341" s="34"/>
      <c r="FKZ341" s="34"/>
      <c r="FLA341" s="34"/>
      <c r="FLB341" s="34"/>
      <c r="FLC341" s="34"/>
      <c r="FLD341" s="34"/>
      <c r="FLE341" s="34"/>
      <c r="FLF341" s="34"/>
      <c r="FLG341" s="34"/>
      <c r="FLH341" s="34"/>
      <c r="FLI341" s="34"/>
      <c r="FLJ341" s="34"/>
      <c r="FLK341" s="34"/>
      <c r="FLL341" s="34"/>
      <c r="FLM341" s="34"/>
      <c r="FLN341" s="34"/>
      <c r="FLO341" s="34"/>
      <c r="FLP341" s="34"/>
      <c r="FLQ341" s="34"/>
      <c r="FLR341" s="34"/>
      <c r="FLS341" s="34"/>
      <c r="FLT341" s="34"/>
      <c r="FLU341" s="34"/>
      <c r="FLV341" s="34"/>
      <c r="FLW341" s="34"/>
      <c r="FLX341" s="34"/>
      <c r="FLY341" s="34"/>
      <c r="FLZ341" s="34"/>
      <c r="FMA341" s="34"/>
      <c r="FMB341" s="34"/>
      <c r="FMC341" s="34"/>
      <c r="FMD341" s="34"/>
      <c r="FME341" s="34"/>
      <c r="FMF341" s="34"/>
      <c r="FMG341" s="34"/>
      <c r="FMH341" s="34"/>
      <c r="FMI341" s="34"/>
      <c r="FMJ341" s="34"/>
      <c r="FMK341" s="34"/>
      <c r="FML341" s="34"/>
      <c r="FMM341" s="34"/>
      <c r="FMN341" s="34"/>
      <c r="FMO341" s="34"/>
      <c r="FMP341" s="34"/>
      <c r="FMQ341" s="34"/>
      <c r="FMR341" s="34"/>
      <c r="FMS341" s="34"/>
      <c r="FMT341" s="34"/>
      <c r="FMU341" s="34"/>
      <c r="FMV341" s="34"/>
      <c r="FMW341" s="34"/>
      <c r="FMX341" s="34"/>
      <c r="FMY341" s="34"/>
      <c r="FMZ341" s="34"/>
      <c r="FNA341" s="34"/>
      <c r="FNB341" s="34"/>
      <c r="FNC341" s="34"/>
      <c r="FND341" s="34"/>
      <c r="FNE341" s="34"/>
      <c r="FNF341" s="34"/>
      <c r="FNG341" s="34"/>
      <c r="FNH341" s="34"/>
      <c r="FNI341" s="34"/>
      <c r="FNJ341" s="34"/>
      <c r="FNK341" s="34"/>
      <c r="FNL341" s="34"/>
      <c r="FNM341" s="34"/>
      <c r="FNN341" s="34"/>
      <c r="FNO341" s="34"/>
      <c r="FNP341" s="34"/>
      <c r="FNQ341" s="34"/>
      <c r="FNR341" s="34"/>
      <c r="FNS341" s="34"/>
      <c r="FNT341" s="34"/>
      <c r="FNU341" s="34"/>
      <c r="FNV341" s="34"/>
      <c r="FNW341" s="34"/>
      <c r="FNX341" s="34"/>
      <c r="FNY341" s="34"/>
      <c r="FNZ341" s="34"/>
      <c r="FOA341" s="34"/>
      <c r="FOB341" s="34"/>
      <c r="FOC341" s="34"/>
      <c r="FOD341" s="34"/>
      <c r="FOE341" s="34"/>
      <c r="FOF341" s="34"/>
      <c r="FOG341" s="34"/>
      <c r="FOH341" s="34"/>
      <c r="FOI341" s="34"/>
      <c r="FOJ341" s="34"/>
      <c r="FOK341" s="34"/>
      <c r="FOL341" s="34"/>
      <c r="FOM341" s="34"/>
      <c r="FON341" s="34"/>
      <c r="FOO341" s="34"/>
      <c r="FOP341" s="34"/>
      <c r="FOQ341" s="34"/>
      <c r="FOR341" s="34"/>
      <c r="FOS341" s="34"/>
      <c r="FOT341" s="34"/>
      <c r="FOU341" s="34"/>
      <c r="FOV341" s="34"/>
      <c r="FOW341" s="34"/>
      <c r="FOX341" s="34"/>
      <c r="FOY341" s="34"/>
      <c r="FOZ341" s="34"/>
      <c r="FPA341" s="34"/>
      <c r="FPB341" s="34"/>
      <c r="FPC341" s="34"/>
      <c r="FPD341" s="34"/>
      <c r="FPE341" s="34"/>
      <c r="FPF341" s="34"/>
      <c r="FPG341" s="34"/>
      <c r="FPH341" s="34"/>
      <c r="FPI341" s="34"/>
      <c r="FPJ341" s="34"/>
      <c r="FPK341" s="34"/>
      <c r="FPL341" s="34"/>
      <c r="FPM341" s="34"/>
      <c r="FPN341" s="34"/>
      <c r="FPO341" s="34"/>
      <c r="FPP341" s="34"/>
      <c r="FPQ341" s="34"/>
      <c r="FPR341" s="34"/>
      <c r="FPS341" s="34"/>
      <c r="FPT341" s="34"/>
      <c r="FPU341" s="34"/>
      <c r="FPV341" s="34"/>
      <c r="FPW341" s="34"/>
      <c r="FPX341" s="34"/>
      <c r="FPY341" s="34"/>
      <c r="FPZ341" s="34"/>
      <c r="FQA341" s="34"/>
      <c r="FQB341" s="34"/>
      <c r="FQC341" s="34"/>
      <c r="FQD341" s="34"/>
      <c r="FQE341" s="34"/>
      <c r="FQF341" s="34"/>
      <c r="FQG341" s="34"/>
      <c r="FQH341" s="34"/>
      <c r="FQI341" s="34"/>
      <c r="FQJ341" s="34"/>
      <c r="FQK341" s="34"/>
      <c r="FQL341" s="34"/>
      <c r="FQM341" s="34"/>
      <c r="FQN341" s="34"/>
      <c r="FQO341" s="34"/>
      <c r="FQP341" s="34"/>
      <c r="FQQ341" s="34"/>
      <c r="FQR341" s="34"/>
      <c r="FQS341" s="34"/>
      <c r="FQT341" s="34"/>
      <c r="FQU341" s="34"/>
      <c r="FQV341" s="34"/>
      <c r="FQW341" s="34"/>
      <c r="FQX341" s="34"/>
      <c r="FQY341" s="34"/>
      <c r="FQZ341" s="34"/>
      <c r="FRA341" s="34"/>
      <c r="FRB341" s="34"/>
      <c r="FRC341" s="34"/>
      <c r="FRD341" s="34"/>
      <c r="FRE341" s="34"/>
      <c r="FRF341" s="34"/>
      <c r="FRG341" s="34"/>
      <c r="FRH341" s="34"/>
      <c r="FRI341" s="34"/>
      <c r="FRJ341" s="34"/>
      <c r="FRK341" s="34"/>
      <c r="FRL341" s="34"/>
      <c r="FRM341" s="34"/>
      <c r="FRN341" s="34"/>
      <c r="FRO341" s="34"/>
      <c r="FRP341" s="34"/>
      <c r="FRQ341" s="34"/>
      <c r="FRR341" s="34"/>
      <c r="FRS341" s="34"/>
      <c r="FRT341" s="34"/>
      <c r="FRU341" s="34"/>
      <c r="FRV341" s="34"/>
      <c r="FRW341" s="34"/>
      <c r="FRX341" s="34"/>
      <c r="FRY341" s="34"/>
      <c r="FRZ341" s="34"/>
      <c r="FSA341" s="34"/>
      <c r="FSB341" s="34"/>
      <c r="FSC341" s="34"/>
      <c r="FSD341" s="34"/>
      <c r="FSE341" s="34"/>
      <c r="FSF341" s="34"/>
      <c r="FSG341" s="34"/>
      <c r="FSH341" s="34"/>
      <c r="FSI341" s="34"/>
      <c r="FSJ341" s="34"/>
      <c r="FSK341" s="34"/>
      <c r="FSL341" s="34"/>
      <c r="FSM341" s="34"/>
      <c r="FSN341" s="34"/>
      <c r="FSO341" s="34"/>
      <c r="FSP341" s="34"/>
      <c r="FSQ341" s="34"/>
      <c r="FSR341" s="34"/>
      <c r="FSS341" s="34"/>
      <c r="FST341" s="34"/>
      <c r="FSU341" s="34"/>
      <c r="FSV341" s="34"/>
      <c r="FSW341" s="34"/>
      <c r="FSX341" s="34"/>
      <c r="FSY341" s="34"/>
      <c r="FSZ341" s="34"/>
      <c r="FTA341" s="34"/>
      <c r="FTB341" s="34"/>
      <c r="FTC341" s="34"/>
      <c r="FTD341" s="34"/>
      <c r="FTE341" s="34"/>
      <c r="FTF341" s="34"/>
      <c r="FTG341" s="34"/>
      <c r="FTH341" s="34"/>
      <c r="FTI341" s="34"/>
      <c r="FTJ341" s="34"/>
      <c r="FTK341" s="34"/>
      <c r="FTL341" s="34"/>
      <c r="FTM341" s="34"/>
      <c r="FTN341" s="34"/>
      <c r="FTO341" s="34"/>
      <c r="FTP341" s="34"/>
      <c r="FTQ341" s="34"/>
      <c r="FTR341" s="34"/>
      <c r="FTS341" s="34"/>
      <c r="FTT341" s="34"/>
      <c r="FTU341" s="34"/>
      <c r="FTV341" s="34"/>
      <c r="FTW341" s="34"/>
      <c r="FTX341" s="34"/>
      <c r="FTY341" s="34"/>
      <c r="FTZ341" s="34"/>
      <c r="FUA341" s="34"/>
      <c r="FUB341" s="34"/>
      <c r="FUC341" s="34"/>
      <c r="FUD341" s="34"/>
      <c r="FUE341" s="34"/>
      <c r="FUF341" s="34"/>
      <c r="FUG341" s="34"/>
      <c r="FUH341" s="34"/>
      <c r="FUI341" s="34"/>
      <c r="FUJ341" s="34"/>
      <c r="FUK341" s="34"/>
      <c r="FUL341" s="34"/>
      <c r="FUM341" s="34"/>
      <c r="FUN341" s="34"/>
      <c r="FUO341" s="34"/>
      <c r="FUP341" s="34"/>
      <c r="FUQ341" s="34"/>
      <c r="FUR341" s="34"/>
      <c r="FUS341" s="34"/>
      <c r="FUT341" s="34"/>
      <c r="FUU341" s="34"/>
      <c r="FUV341" s="34"/>
      <c r="FUW341" s="34"/>
      <c r="FUX341" s="34"/>
      <c r="FUY341" s="34"/>
      <c r="FUZ341" s="34"/>
      <c r="FVA341" s="34"/>
      <c r="FVB341" s="34"/>
      <c r="FVC341" s="34"/>
      <c r="FVD341" s="34"/>
      <c r="FVE341" s="34"/>
      <c r="FVF341" s="34"/>
      <c r="FVG341" s="34"/>
      <c r="FVH341" s="34"/>
      <c r="FVI341" s="34"/>
      <c r="FVJ341" s="34"/>
      <c r="FVK341" s="34"/>
      <c r="FVL341" s="34"/>
      <c r="FVM341" s="34"/>
      <c r="FVN341" s="34"/>
      <c r="FVO341" s="34"/>
      <c r="FVP341" s="34"/>
      <c r="FVQ341" s="34"/>
      <c r="FVR341" s="34"/>
      <c r="FVS341" s="34"/>
      <c r="FVT341" s="34"/>
      <c r="FVU341" s="34"/>
      <c r="FVV341" s="34"/>
      <c r="FVW341" s="34"/>
      <c r="FVX341" s="34"/>
      <c r="FVY341" s="34"/>
      <c r="FVZ341" s="34"/>
      <c r="FWA341" s="34"/>
      <c r="FWB341" s="34"/>
      <c r="FWC341" s="34"/>
      <c r="FWD341" s="34"/>
      <c r="FWE341" s="34"/>
      <c r="FWF341" s="34"/>
      <c r="FWG341" s="34"/>
      <c r="FWH341" s="34"/>
      <c r="FWI341" s="34"/>
      <c r="FWJ341" s="34"/>
      <c r="FWK341" s="34"/>
      <c r="FWL341" s="34"/>
      <c r="FWM341" s="34"/>
      <c r="FWN341" s="34"/>
      <c r="FWO341" s="34"/>
      <c r="FWP341" s="34"/>
      <c r="FWQ341" s="34"/>
      <c r="FWR341" s="34"/>
      <c r="FWS341" s="34"/>
      <c r="FWT341" s="34"/>
      <c r="FWU341" s="34"/>
      <c r="FWV341" s="34"/>
      <c r="FWW341" s="34"/>
      <c r="FWX341" s="34"/>
      <c r="FWY341" s="34"/>
      <c r="FWZ341" s="34"/>
      <c r="FXA341" s="34"/>
      <c r="FXB341" s="34"/>
      <c r="FXC341" s="34"/>
      <c r="FXD341" s="34"/>
      <c r="FXE341" s="34"/>
      <c r="FXF341" s="34"/>
      <c r="FXG341" s="34"/>
      <c r="FXH341" s="34"/>
      <c r="FXI341" s="34"/>
      <c r="FXJ341" s="34"/>
      <c r="FXK341" s="34"/>
      <c r="FXL341" s="34"/>
      <c r="FXM341" s="34"/>
      <c r="FXN341" s="34"/>
      <c r="FXO341" s="34"/>
      <c r="FXP341" s="34"/>
      <c r="FXQ341" s="34"/>
      <c r="FXR341" s="34"/>
      <c r="FXS341" s="34"/>
      <c r="FXT341" s="34"/>
      <c r="FXU341" s="34"/>
      <c r="FXV341" s="34"/>
      <c r="FXW341" s="34"/>
      <c r="FXX341" s="34"/>
      <c r="FXY341" s="34"/>
      <c r="FXZ341" s="34"/>
      <c r="FYA341" s="34"/>
      <c r="FYB341" s="34"/>
      <c r="FYC341" s="34"/>
      <c r="FYD341" s="34"/>
      <c r="FYE341" s="34"/>
      <c r="FYF341" s="34"/>
      <c r="FYG341" s="34"/>
      <c r="FYH341" s="34"/>
      <c r="FYI341" s="34"/>
      <c r="FYJ341" s="34"/>
      <c r="FYK341" s="34"/>
      <c r="FYL341" s="34"/>
      <c r="FYM341" s="34"/>
      <c r="FYN341" s="34"/>
      <c r="FYO341" s="34"/>
      <c r="FYP341" s="34"/>
      <c r="FYQ341" s="34"/>
      <c r="FYR341" s="34"/>
      <c r="FYS341" s="34"/>
      <c r="FYT341" s="34"/>
      <c r="FYU341" s="34"/>
      <c r="FYV341" s="34"/>
      <c r="FYW341" s="34"/>
      <c r="FYX341" s="34"/>
      <c r="FYY341" s="34"/>
      <c r="FYZ341" s="34"/>
      <c r="FZA341" s="34"/>
      <c r="FZB341" s="34"/>
      <c r="FZC341" s="34"/>
      <c r="FZD341" s="34"/>
      <c r="FZE341" s="34"/>
      <c r="FZF341" s="34"/>
      <c r="FZG341" s="34"/>
      <c r="FZH341" s="34"/>
      <c r="FZI341" s="34"/>
      <c r="FZJ341" s="34"/>
      <c r="FZK341" s="34"/>
      <c r="FZL341" s="34"/>
      <c r="FZM341" s="34"/>
      <c r="FZN341" s="34"/>
      <c r="FZO341" s="34"/>
      <c r="FZP341" s="34"/>
      <c r="FZQ341" s="34"/>
      <c r="FZR341" s="34"/>
      <c r="FZS341" s="34"/>
      <c r="FZT341" s="34"/>
      <c r="FZU341" s="34"/>
      <c r="FZV341" s="34"/>
      <c r="FZW341" s="34"/>
      <c r="FZX341" s="34"/>
      <c r="FZY341" s="34"/>
      <c r="FZZ341" s="34"/>
      <c r="GAA341" s="34"/>
      <c r="GAB341" s="34"/>
      <c r="GAC341" s="34"/>
      <c r="GAD341" s="34"/>
      <c r="GAE341" s="34"/>
      <c r="GAF341" s="34"/>
      <c r="GAG341" s="34"/>
      <c r="GAH341" s="34"/>
      <c r="GAI341" s="34"/>
      <c r="GAJ341" s="34"/>
      <c r="GAK341" s="34"/>
      <c r="GAL341" s="34"/>
      <c r="GAM341" s="34"/>
      <c r="GAN341" s="34"/>
      <c r="GAO341" s="34"/>
      <c r="GAP341" s="34"/>
      <c r="GAQ341" s="34"/>
      <c r="GAR341" s="34"/>
      <c r="GAS341" s="34"/>
      <c r="GAT341" s="34"/>
      <c r="GAU341" s="34"/>
      <c r="GAV341" s="34"/>
      <c r="GAW341" s="34"/>
      <c r="GAX341" s="34"/>
      <c r="GAY341" s="34"/>
      <c r="GAZ341" s="34"/>
      <c r="GBA341" s="34"/>
      <c r="GBB341" s="34"/>
      <c r="GBC341" s="34"/>
      <c r="GBD341" s="34"/>
      <c r="GBE341" s="34"/>
      <c r="GBF341" s="34"/>
      <c r="GBG341" s="34"/>
      <c r="GBH341" s="34"/>
      <c r="GBI341" s="34"/>
      <c r="GBJ341" s="34"/>
      <c r="GBK341" s="34"/>
      <c r="GBL341" s="34"/>
      <c r="GBM341" s="34"/>
      <c r="GBN341" s="34"/>
      <c r="GBO341" s="34"/>
      <c r="GBP341" s="34"/>
      <c r="GBQ341" s="34"/>
      <c r="GBR341" s="34"/>
      <c r="GBS341" s="34"/>
      <c r="GBT341" s="34"/>
      <c r="GBU341" s="34"/>
      <c r="GBV341" s="34"/>
      <c r="GBW341" s="34"/>
      <c r="GBX341" s="34"/>
      <c r="GBY341" s="34"/>
      <c r="GBZ341" s="34"/>
      <c r="GCA341" s="34"/>
      <c r="GCB341" s="34"/>
      <c r="GCC341" s="34"/>
      <c r="GCD341" s="34"/>
      <c r="GCE341" s="34"/>
      <c r="GCF341" s="34"/>
      <c r="GCG341" s="34"/>
      <c r="GCH341" s="34"/>
      <c r="GCI341" s="34"/>
      <c r="GCJ341" s="34"/>
      <c r="GCK341" s="34"/>
      <c r="GCL341" s="34"/>
      <c r="GCM341" s="34"/>
      <c r="GCN341" s="34"/>
      <c r="GCO341" s="34"/>
      <c r="GCP341" s="34"/>
      <c r="GCQ341" s="34"/>
      <c r="GCR341" s="34"/>
      <c r="GCS341" s="34"/>
      <c r="GCT341" s="34"/>
      <c r="GCU341" s="34"/>
      <c r="GCV341" s="34"/>
      <c r="GCW341" s="34"/>
      <c r="GCX341" s="34"/>
      <c r="GCY341" s="34"/>
      <c r="GCZ341" s="34"/>
      <c r="GDA341" s="34"/>
      <c r="GDB341" s="34"/>
      <c r="GDC341" s="34"/>
      <c r="GDD341" s="34"/>
      <c r="GDE341" s="34"/>
      <c r="GDF341" s="34"/>
      <c r="GDG341" s="34"/>
      <c r="GDH341" s="34"/>
      <c r="GDI341" s="34"/>
      <c r="GDJ341" s="34"/>
      <c r="GDK341" s="34"/>
      <c r="GDL341" s="34"/>
      <c r="GDM341" s="34"/>
      <c r="GDN341" s="34"/>
      <c r="GDO341" s="34"/>
      <c r="GDP341" s="34"/>
      <c r="GDQ341" s="34"/>
      <c r="GDR341" s="34"/>
      <c r="GDS341" s="34"/>
      <c r="GDT341" s="34"/>
      <c r="GDU341" s="34"/>
      <c r="GDV341" s="34"/>
      <c r="GDW341" s="34"/>
      <c r="GDX341" s="34"/>
      <c r="GDY341" s="34"/>
      <c r="GDZ341" s="34"/>
      <c r="GEA341" s="34"/>
      <c r="GEB341" s="34"/>
      <c r="GEC341" s="34"/>
      <c r="GED341" s="34"/>
      <c r="GEE341" s="34"/>
      <c r="GEF341" s="34"/>
      <c r="GEG341" s="34"/>
      <c r="GEH341" s="34"/>
      <c r="GEI341" s="34"/>
      <c r="GEJ341" s="34"/>
      <c r="GEK341" s="34"/>
      <c r="GEL341" s="34"/>
      <c r="GEM341" s="34"/>
      <c r="GEN341" s="34"/>
      <c r="GEO341" s="34"/>
      <c r="GEP341" s="34"/>
      <c r="GEQ341" s="34"/>
      <c r="GER341" s="34"/>
      <c r="GES341" s="34"/>
      <c r="GET341" s="34"/>
      <c r="GEU341" s="34"/>
      <c r="GEV341" s="34"/>
      <c r="GEW341" s="34"/>
      <c r="GEX341" s="34"/>
      <c r="GEY341" s="34"/>
      <c r="GEZ341" s="34"/>
      <c r="GFA341" s="34"/>
      <c r="GFB341" s="34"/>
      <c r="GFC341" s="34"/>
      <c r="GFD341" s="34"/>
      <c r="GFE341" s="34"/>
      <c r="GFF341" s="34"/>
      <c r="GFG341" s="34"/>
      <c r="GFH341" s="34"/>
      <c r="GFI341" s="34"/>
      <c r="GFJ341" s="34"/>
      <c r="GFK341" s="34"/>
      <c r="GFL341" s="34"/>
      <c r="GFM341" s="34"/>
      <c r="GFN341" s="34"/>
      <c r="GFO341" s="34"/>
      <c r="GFP341" s="34"/>
      <c r="GFQ341" s="34"/>
      <c r="GFR341" s="34"/>
      <c r="GFS341" s="34"/>
      <c r="GFT341" s="34"/>
      <c r="GFU341" s="34"/>
      <c r="GFV341" s="34"/>
      <c r="GFW341" s="34"/>
      <c r="GFX341" s="34"/>
      <c r="GFY341" s="34"/>
      <c r="GFZ341" s="34"/>
      <c r="GGA341" s="34"/>
      <c r="GGB341" s="34"/>
      <c r="GGC341" s="34"/>
      <c r="GGD341" s="34"/>
      <c r="GGE341" s="34"/>
      <c r="GGF341" s="34"/>
      <c r="GGG341" s="34"/>
      <c r="GGH341" s="34"/>
      <c r="GGI341" s="34"/>
      <c r="GGJ341" s="34"/>
      <c r="GGK341" s="34"/>
      <c r="GGL341" s="34"/>
      <c r="GGM341" s="34"/>
      <c r="GGN341" s="34"/>
      <c r="GGO341" s="34"/>
      <c r="GGP341" s="34"/>
      <c r="GGQ341" s="34"/>
      <c r="GGR341" s="34"/>
      <c r="GGS341" s="34"/>
      <c r="GGT341" s="34"/>
      <c r="GGU341" s="34"/>
      <c r="GGV341" s="34"/>
      <c r="GGW341" s="34"/>
      <c r="GGX341" s="34"/>
      <c r="GGY341" s="34"/>
      <c r="GGZ341" s="34"/>
      <c r="GHA341" s="34"/>
      <c r="GHB341" s="34"/>
      <c r="GHC341" s="34"/>
      <c r="GHD341" s="34"/>
      <c r="GHE341" s="34"/>
      <c r="GHF341" s="34"/>
      <c r="GHG341" s="34"/>
      <c r="GHH341" s="34"/>
      <c r="GHI341" s="34"/>
      <c r="GHJ341" s="34"/>
      <c r="GHK341" s="34"/>
      <c r="GHL341" s="34"/>
      <c r="GHM341" s="34"/>
      <c r="GHN341" s="34"/>
      <c r="GHO341" s="34"/>
      <c r="GHP341" s="34"/>
      <c r="GHQ341" s="34"/>
      <c r="GHR341" s="34"/>
      <c r="GHS341" s="34"/>
      <c r="GHT341" s="34"/>
      <c r="GHU341" s="34"/>
      <c r="GHV341" s="34"/>
      <c r="GHW341" s="34"/>
      <c r="GHX341" s="34"/>
      <c r="GHY341" s="34"/>
      <c r="GHZ341" s="34"/>
      <c r="GIA341" s="34"/>
      <c r="GIB341" s="34"/>
      <c r="GIC341" s="34"/>
      <c r="GID341" s="34"/>
      <c r="GIE341" s="34"/>
      <c r="GIF341" s="34"/>
      <c r="GIG341" s="34"/>
      <c r="GIH341" s="34"/>
      <c r="GII341" s="34"/>
      <c r="GIJ341" s="34"/>
      <c r="GIK341" s="34"/>
      <c r="GIL341" s="34"/>
      <c r="GIM341" s="34"/>
      <c r="GIN341" s="34"/>
      <c r="GIO341" s="34"/>
      <c r="GIP341" s="34"/>
      <c r="GIQ341" s="34"/>
      <c r="GIR341" s="34"/>
      <c r="GIS341" s="34"/>
      <c r="GIT341" s="34"/>
      <c r="GIU341" s="34"/>
      <c r="GIV341" s="34"/>
      <c r="GIW341" s="34"/>
      <c r="GIX341" s="34"/>
      <c r="GIY341" s="34"/>
      <c r="GIZ341" s="34"/>
      <c r="GJA341" s="34"/>
      <c r="GJB341" s="34"/>
      <c r="GJC341" s="34"/>
      <c r="GJD341" s="34"/>
      <c r="GJE341" s="34"/>
      <c r="GJF341" s="34"/>
      <c r="GJG341" s="34"/>
      <c r="GJH341" s="34"/>
      <c r="GJI341" s="34"/>
      <c r="GJJ341" s="34"/>
      <c r="GJK341" s="34"/>
      <c r="GJL341" s="34"/>
      <c r="GJM341" s="34"/>
      <c r="GJN341" s="34"/>
      <c r="GJO341" s="34"/>
      <c r="GJP341" s="34"/>
      <c r="GJQ341" s="34"/>
      <c r="GJR341" s="34"/>
      <c r="GJS341" s="34"/>
      <c r="GJT341" s="34"/>
      <c r="GJU341" s="34"/>
      <c r="GJV341" s="34"/>
      <c r="GJW341" s="34"/>
      <c r="GJX341" s="34"/>
      <c r="GJY341" s="34"/>
      <c r="GJZ341" s="34"/>
      <c r="GKA341" s="34"/>
      <c r="GKB341" s="34"/>
      <c r="GKC341" s="34"/>
      <c r="GKD341" s="34"/>
      <c r="GKE341" s="34"/>
      <c r="GKF341" s="34"/>
      <c r="GKG341" s="34"/>
      <c r="GKH341" s="34"/>
      <c r="GKI341" s="34"/>
      <c r="GKJ341" s="34"/>
      <c r="GKK341" s="34"/>
      <c r="GKL341" s="34"/>
      <c r="GKM341" s="34"/>
      <c r="GKN341" s="34"/>
      <c r="GKO341" s="34"/>
      <c r="GKP341" s="34"/>
      <c r="GKQ341" s="34"/>
      <c r="GKR341" s="34"/>
      <c r="GKS341" s="34"/>
      <c r="GKT341" s="34"/>
      <c r="GKU341" s="34"/>
      <c r="GKV341" s="34"/>
      <c r="GKW341" s="34"/>
      <c r="GKX341" s="34"/>
      <c r="GKY341" s="34"/>
      <c r="GKZ341" s="34"/>
      <c r="GLA341" s="34"/>
      <c r="GLB341" s="34"/>
      <c r="GLC341" s="34"/>
      <c r="GLD341" s="34"/>
      <c r="GLE341" s="34"/>
      <c r="GLF341" s="34"/>
      <c r="GLG341" s="34"/>
      <c r="GLH341" s="34"/>
      <c r="GLI341" s="34"/>
      <c r="GLJ341" s="34"/>
      <c r="GLK341" s="34"/>
      <c r="GLL341" s="34"/>
      <c r="GLM341" s="34"/>
      <c r="GLN341" s="34"/>
      <c r="GLO341" s="34"/>
      <c r="GLP341" s="34"/>
      <c r="GLQ341" s="34"/>
      <c r="GLR341" s="34"/>
      <c r="GLS341" s="34"/>
      <c r="GLT341" s="34"/>
      <c r="GLU341" s="34"/>
      <c r="GLV341" s="34"/>
      <c r="GLW341" s="34"/>
      <c r="GLX341" s="34"/>
      <c r="GLY341" s="34"/>
      <c r="GLZ341" s="34"/>
      <c r="GMA341" s="34"/>
      <c r="GMB341" s="34"/>
      <c r="GMC341" s="34"/>
      <c r="GMD341" s="34"/>
      <c r="GME341" s="34"/>
      <c r="GMF341" s="34"/>
      <c r="GMG341" s="34"/>
      <c r="GMH341" s="34"/>
      <c r="GMI341" s="34"/>
      <c r="GMJ341" s="34"/>
      <c r="GMK341" s="34"/>
      <c r="GML341" s="34"/>
      <c r="GMM341" s="34"/>
      <c r="GMN341" s="34"/>
      <c r="GMO341" s="34"/>
      <c r="GMP341" s="34"/>
      <c r="GMQ341" s="34"/>
      <c r="GMR341" s="34"/>
      <c r="GMS341" s="34"/>
      <c r="GMT341" s="34"/>
      <c r="GMU341" s="34"/>
      <c r="GMV341" s="34"/>
      <c r="GMW341" s="34"/>
      <c r="GMX341" s="34"/>
      <c r="GMY341" s="34"/>
      <c r="GMZ341" s="34"/>
      <c r="GNA341" s="34"/>
      <c r="GNB341" s="34"/>
      <c r="GNC341" s="34"/>
      <c r="GND341" s="34"/>
      <c r="GNE341" s="34"/>
      <c r="GNF341" s="34"/>
      <c r="GNG341" s="34"/>
      <c r="GNH341" s="34"/>
      <c r="GNI341" s="34"/>
      <c r="GNJ341" s="34"/>
      <c r="GNK341" s="34"/>
      <c r="GNL341" s="34"/>
      <c r="GNM341" s="34"/>
      <c r="GNN341" s="34"/>
      <c r="GNO341" s="34"/>
      <c r="GNP341" s="34"/>
      <c r="GNQ341" s="34"/>
      <c r="GNR341" s="34"/>
      <c r="GNS341" s="34"/>
      <c r="GNT341" s="34"/>
      <c r="GNU341" s="34"/>
      <c r="GNV341" s="34"/>
      <c r="GNW341" s="34"/>
      <c r="GNX341" s="34"/>
      <c r="GNY341" s="34"/>
      <c r="GNZ341" s="34"/>
      <c r="GOA341" s="34"/>
      <c r="GOB341" s="34"/>
      <c r="GOC341" s="34"/>
      <c r="GOD341" s="34"/>
      <c r="GOE341" s="34"/>
      <c r="GOF341" s="34"/>
      <c r="GOG341" s="34"/>
      <c r="GOH341" s="34"/>
      <c r="GOI341" s="34"/>
      <c r="GOJ341" s="34"/>
      <c r="GOK341" s="34"/>
      <c r="GOL341" s="34"/>
      <c r="GOM341" s="34"/>
      <c r="GON341" s="34"/>
      <c r="GOO341" s="34"/>
      <c r="GOP341" s="34"/>
      <c r="GOQ341" s="34"/>
      <c r="GOR341" s="34"/>
      <c r="GOS341" s="34"/>
      <c r="GOT341" s="34"/>
      <c r="GOU341" s="34"/>
      <c r="GOV341" s="34"/>
      <c r="GOW341" s="34"/>
      <c r="GOX341" s="34"/>
      <c r="GOY341" s="34"/>
      <c r="GOZ341" s="34"/>
      <c r="GPA341" s="34"/>
      <c r="GPB341" s="34"/>
      <c r="GPC341" s="34"/>
      <c r="GPD341" s="34"/>
      <c r="GPE341" s="34"/>
      <c r="GPF341" s="34"/>
      <c r="GPG341" s="34"/>
      <c r="GPH341" s="34"/>
      <c r="GPI341" s="34"/>
      <c r="GPJ341" s="34"/>
      <c r="GPK341" s="34"/>
      <c r="GPL341" s="34"/>
      <c r="GPM341" s="34"/>
      <c r="GPN341" s="34"/>
      <c r="GPO341" s="34"/>
      <c r="GPP341" s="34"/>
      <c r="GPQ341" s="34"/>
      <c r="GPR341" s="34"/>
      <c r="GPS341" s="34"/>
      <c r="GPT341" s="34"/>
      <c r="GPU341" s="34"/>
      <c r="GPV341" s="34"/>
      <c r="GPW341" s="34"/>
      <c r="GPX341" s="34"/>
      <c r="GPY341" s="34"/>
      <c r="GPZ341" s="34"/>
      <c r="GQA341" s="34"/>
      <c r="GQB341" s="34"/>
      <c r="GQC341" s="34"/>
      <c r="GQD341" s="34"/>
      <c r="GQE341" s="34"/>
      <c r="GQF341" s="34"/>
      <c r="GQG341" s="34"/>
      <c r="GQH341" s="34"/>
      <c r="GQI341" s="34"/>
      <c r="GQJ341" s="34"/>
      <c r="GQK341" s="34"/>
      <c r="GQL341" s="34"/>
      <c r="GQM341" s="34"/>
      <c r="GQN341" s="34"/>
      <c r="GQO341" s="34"/>
      <c r="GQP341" s="34"/>
      <c r="GQQ341" s="34"/>
      <c r="GQR341" s="34"/>
      <c r="GQS341" s="34"/>
      <c r="GQT341" s="34"/>
      <c r="GQU341" s="34"/>
      <c r="GQV341" s="34"/>
      <c r="GQW341" s="34"/>
      <c r="GQX341" s="34"/>
      <c r="GQY341" s="34"/>
      <c r="GQZ341" s="34"/>
      <c r="GRA341" s="34"/>
      <c r="GRB341" s="34"/>
      <c r="GRC341" s="34"/>
      <c r="GRD341" s="34"/>
      <c r="GRE341" s="34"/>
      <c r="GRF341" s="34"/>
      <c r="GRG341" s="34"/>
      <c r="GRH341" s="34"/>
      <c r="GRI341" s="34"/>
      <c r="GRJ341" s="34"/>
      <c r="GRK341" s="34"/>
      <c r="GRL341" s="34"/>
      <c r="GRM341" s="34"/>
      <c r="GRN341" s="34"/>
      <c r="GRO341" s="34"/>
      <c r="GRP341" s="34"/>
      <c r="GRQ341" s="34"/>
      <c r="GRR341" s="34"/>
      <c r="GRS341" s="34"/>
      <c r="GRT341" s="34"/>
      <c r="GRU341" s="34"/>
      <c r="GRV341" s="34"/>
      <c r="GRW341" s="34"/>
      <c r="GRX341" s="34"/>
      <c r="GRY341" s="34"/>
      <c r="GRZ341" s="34"/>
      <c r="GSA341" s="34"/>
      <c r="GSB341" s="34"/>
      <c r="GSC341" s="34"/>
      <c r="GSD341" s="34"/>
      <c r="GSE341" s="34"/>
      <c r="GSF341" s="34"/>
      <c r="GSG341" s="34"/>
      <c r="GSH341" s="34"/>
      <c r="GSI341" s="34"/>
      <c r="GSJ341" s="34"/>
      <c r="GSK341" s="34"/>
      <c r="GSL341" s="34"/>
      <c r="GSM341" s="34"/>
      <c r="GSN341" s="34"/>
      <c r="GSO341" s="34"/>
      <c r="GSP341" s="34"/>
      <c r="GSQ341" s="34"/>
      <c r="GSR341" s="34"/>
      <c r="GSS341" s="34"/>
      <c r="GST341" s="34"/>
      <c r="GSU341" s="34"/>
      <c r="GSV341" s="34"/>
      <c r="GSW341" s="34"/>
      <c r="GSX341" s="34"/>
      <c r="GSY341" s="34"/>
      <c r="GSZ341" s="34"/>
      <c r="GTA341" s="34"/>
      <c r="GTB341" s="34"/>
      <c r="GTC341" s="34"/>
      <c r="GTD341" s="34"/>
      <c r="GTE341" s="34"/>
      <c r="GTF341" s="34"/>
      <c r="GTG341" s="34"/>
      <c r="GTH341" s="34"/>
      <c r="GTI341" s="34"/>
      <c r="GTJ341" s="34"/>
      <c r="GTK341" s="34"/>
      <c r="GTL341" s="34"/>
      <c r="GTM341" s="34"/>
      <c r="GTN341" s="34"/>
      <c r="GTO341" s="34"/>
      <c r="GTP341" s="34"/>
      <c r="GTQ341" s="34"/>
      <c r="GTR341" s="34"/>
      <c r="GTS341" s="34"/>
      <c r="GTT341" s="34"/>
      <c r="GTU341" s="34"/>
      <c r="GTV341" s="34"/>
      <c r="GTW341" s="34"/>
      <c r="GTX341" s="34"/>
      <c r="GTY341" s="34"/>
      <c r="GTZ341" s="34"/>
      <c r="GUA341" s="34"/>
      <c r="GUB341" s="34"/>
      <c r="GUC341" s="34"/>
      <c r="GUD341" s="34"/>
      <c r="GUE341" s="34"/>
      <c r="GUF341" s="34"/>
      <c r="GUG341" s="34"/>
      <c r="GUH341" s="34"/>
      <c r="GUI341" s="34"/>
      <c r="GUJ341" s="34"/>
      <c r="GUK341" s="34"/>
      <c r="GUL341" s="34"/>
      <c r="GUM341" s="34"/>
      <c r="GUN341" s="34"/>
      <c r="GUO341" s="34"/>
      <c r="GUP341" s="34"/>
      <c r="GUQ341" s="34"/>
      <c r="GUR341" s="34"/>
      <c r="GUS341" s="34"/>
      <c r="GUT341" s="34"/>
      <c r="GUU341" s="34"/>
      <c r="GUV341" s="34"/>
      <c r="GUW341" s="34"/>
      <c r="GUX341" s="34"/>
      <c r="GUY341" s="34"/>
      <c r="GUZ341" s="34"/>
      <c r="GVA341" s="34"/>
      <c r="GVB341" s="34"/>
      <c r="GVC341" s="34"/>
      <c r="GVD341" s="34"/>
      <c r="GVE341" s="34"/>
      <c r="GVF341" s="34"/>
      <c r="GVG341" s="34"/>
      <c r="GVH341" s="34"/>
      <c r="GVI341" s="34"/>
      <c r="GVJ341" s="34"/>
      <c r="GVK341" s="34"/>
      <c r="GVL341" s="34"/>
      <c r="GVM341" s="34"/>
      <c r="GVN341" s="34"/>
      <c r="GVO341" s="34"/>
      <c r="GVP341" s="34"/>
      <c r="GVQ341" s="34"/>
      <c r="GVR341" s="34"/>
      <c r="GVS341" s="34"/>
      <c r="GVT341" s="34"/>
      <c r="GVU341" s="34"/>
      <c r="GVV341" s="34"/>
      <c r="GVW341" s="34"/>
      <c r="GVX341" s="34"/>
      <c r="GVY341" s="34"/>
      <c r="GVZ341" s="34"/>
      <c r="GWA341" s="34"/>
      <c r="GWB341" s="34"/>
      <c r="GWC341" s="34"/>
      <c r="GWD341" s="34"/>
      <c r="GWE341" s="34"/>
      <c r="GWF341" s="34"/>
      <c r="GWG341" s="34"/>
      <c r="GWH341" s="34"/>
      <c r="GWI341" s="34"/>
      <c r="GWJ341" s="34"/>
      <c r="GWK341" s="34"/>
      <c r="GWL341" s="34"/>
      <c r="GWM341" s="34"/>
      <c r="GWN341" s="34"/>
      <c r="GWO341" s="34"/>
      <c r="GWP341" s="34"/>
      <c r="GWQ341" s="34"/>
      <c r="GWR341" s="34"/>
      <c r="GWS341" s="34"/>
      <c r="GWT341" s="34"/>
      <c r="GWU341" s="34"/>
      <c r="GWV341" s="34"/>
      <c r="GWW341" s="34"/>
      <c r="GWX341" s="34"/>
      <c r="GWY341" s="34"/>
      <c r="GWZ341" s="34"/>
      <c r="GXA341" s="34"/>
      <c r="GXB341" s="34"/>
      <c r="GXC341" s="34"/>
      <c r="GXD341" s="34"/>
      <c r="GXE341" s="34"/>
      <c r="GXF341" s="34"/>
      <c r="GXG341" s="34"/>
      <c r="GXH341" s="34"/>
      <c r="GXI341" s="34"/>
      <c r="GXJ341" s="34"/>
      <c r="GXK341" s="34"/>
      <c r="GXL341" s="34"/>
      <c r="GXM341" s="34"/>
      <c r="GXN341" s="34"/>
      <c r="GXO341" s="34"/>
      <c r="GXP341" s="34"/>
      <c r="GXQ341" s="34"/>
      <c r="GXR341" s="34"/>
      <c r="GXS341" s="34"/>
      <c r="GXT341" s="34"/>
      <c r="GXU341" s="34"/>
      <c r="GXV341" s="34"/>
      <c r="GXW341" s="34"/>
      <c r="GXX341" s="34"/>
      <c r="GXY341" s="34"/>
      <c r="GXZ341" s="34"/>
      <c r="GYA341" s="34"/>
      <c r="GYB341" s="34"/>
      <c r="GYC341" s="34"/>
      <c r="GYD341" s="34"/>
      <c r="GYE341" s="34"/>
      <c r="GYF341" s="34"/>
      <c r="GYG341" s="34"/>
      <c r="GYH341" s="34"/>
      <c r="GYI341" s="34"/>
      <c r="GYJ341" s="34"/>
      <c r="GYK341" s="34"/>
      <c r="GYL341" s="34"/>
      <c r="GYM341" s="34"/>
      <c r="GYN341" s="34"/>
      <c r="GYO341" s="34"/>
      <c r="GYP341" s="34"/>
      <c r="GYQ341" s="34"/>
      <c r="GYR341" s="34"/>
      <c r="GYS341" s="34"/>
      <c r="GYT341" s="34"/>
      <c r="GYU341" s="34"/>
      <c r="GYV341" s="34"/>
      <c r="GYW341" s="34"/>
      <c r="GYX341" s="34"/>
      <c r="GYY341" s="34"/>
      <c r="GYZ341" s="34"/>
      <c r="GZA341" s="34"/>
      <c r="GZB341" s="34"/>
      <c r="GZC341" s="34"/>
      <c r="GZD341" s="34"/>
      <c r="GZE341" s="34"/>
      <c r="GZF341" s="34"/>
      <c r="GZG341" s="34"/>
      <c r="GZH341" s="34"/>
      <c r="GZI341" s="34"/>
      <c r="GZJ341" s="34"/>
      <c r="GZK341" s="34"/>
      <c r="GZL341" s="34"/>
      <c r="GZM341" s="34"/>
      <c r="GZN341" s="34"/>
      <c r="GZO341" s="34"/>
      <c r="GZP341" s="34"/>
      <c r="GZQ341" s="34"/>
      <c r="GZR341" s="34"/>
      <c r="GZS341" s="34"/>
      <c r="GZT341" s="34"/>
      <c r="GZU341" s="34"/>
      <c r="GZV341" s="34"/>
      <c r="GZW341" s="34"/>
      <c r="GZX341" s="34"/>
      <c r="GZY341" s="34"/>
      <c r="GZZ341" s="34"/>
      <c r="HAA341" s="34"/>
      <c r="HAB341" s="34"/>
      <c r="HAC341" s="34"/>
      <c r="HAD341" s="34"/>
      <c r="HAE341" s="34"/>
      <c r="HAF341" s="34"/>
      <c r="HAG341" s="34"/>
      <c r="HAH341" s="34"/>
      <c r="HAI341" s="34"/>
      <c r="HAJ341" s="34"/>
      <c r="HAK341" s="34"/>
      <c r="HAL341" s="34"/>
      <c r="HAM341" s="34"/>
      <c r="HAN341" s="34"/>
      <c r="HAO341" s="34"/>
      <c r="HAP341" s="34"/>
      <c r="HAQ341" s="34"/>
      <c r="HAR341" s="34"/>
      <c r="HAS341" s="34"/>
      <c r="HAT341" s="34"/>
      <c r="HAU341" s="34"/>
      <c r="HAV341" s="34"/>
      <c r="HAW341" s="34"/>
      <c r="HAX341" s="34"/>
      <c r="HAY341" s="34"/>
      <c r="HAZ341" s="34"/>
      <c r="HBA341" s="34"/>
      <c r="HBB341" s="34"/>
      <c r="HBC341" s="34"/>
      <c r="HBD341" s="34"/>
      <c r="HBE341" s="34"/>
      <c r="HBF341" s="34"/>
      <c r="HBG341" s="34"/>
      <c r="HBH341" s="34"/>
      <c r="HBI341" s="34"/>
      <c r="HBJ341" s="34"/>
      <c r="HBK341" s="34"/>
      <c r="HBL341" s="34"/>
      <c r="HBM341" s="34"/>
      <c r="HBN341" s="34"/>
      <c r="HBO341" s="34"/>
      <c r="HBP341" s="34"/>
      <c r="HBQ341" s="34"/>
      <c r="HBR341" s="34"/>
      <c r="HBS341" s="34"/>
      <c r="HBT341" s="34"/>
      <c r="HBU341" s="34"/>
      <c r="HBV341" s="34"/>
      <c r="HBW341" s="34"/>
      <c r="HBX341" s="34"/>
      <c r="HBY341" s="34"/>
      <c r="HBZ341" s="34"/>
      <c r="HCA341" s="34"/>
      <c r="HCB341" s="34"/>
      <c r="HCC341" s="34"/>
      <c r="HCD341" s="34"/>
      <c r="HCE341" s="34"/>
      <c r="HCF341" s="34"/>
      <c r="HCG341" s="34"/>
      <c r="HCH341" s="34"/>
      <c r="HCI341" s="34"/>
      <c r="HCJ341" s="34"/>
      <c r="HCK341" s="34"/>
      <c r="HCL341" s="34"/>
      <c r="HCM341" s="34"/>
      <c r="HCN341" s="34"/>
      <c r="HCO341" s="34"/>
      <c r="HCP341" s="34"/>
      <c r="HCQ341" s="34"/>
      <c r="HCR341" s="34"/>
      <c r="HCS341" s="34"/>
      <c r="HCT341" s="34"/>
      <c r="HCU341" s="34"/>
      <c r="HCV341" s="34"/>
      <c r="HCW341" s="34"/>
      <c r="HCX341" s="34"/>
      <c r="HCY341" s="34"/>
      <c r="HCZ341" s="34"/>
      <c r="HDA341" s="34"/>
      <c r="HDB341" s="34"/>
      <c r="HDC341" s="34"/>
      <c r="HDD341" s="34"/>
      <c r="HDE341" s="34"/>
      <c r="HDF341" s="34"/>
      <c r="HDG341" s="34"/>
      <c r="HDH341" s="34"/>
      <c r="HDI341" s="34"/>
      <c r="HDJ341" s="34"/>
      <c r="HDK341" s="34"/>
      <c r="HDL341" s="34"/>
      <c r="HDM341" s="34"/>
      <c r="HDN341" s="34"/>
      <c r="HDO341" s="34"/>
      <c r="HDP341" s="34"/>
      <c r="HDQ341" s="34"/>
      <c r="HDR341" s="34"/>
      <c r="HDS341" s="34"/>
      <c r="HDT341" s="34"/>
      <c r="HDU341" s="34"/>
      <c r="HDV341" s="34"/>
      <c r="HDW341" s="34"/>
      <c r="HDX341" s="34"/>
      <c r="HDY341" s="34"/>
      <c r="HDZ341" s="34"/>
      <c r="HEA341" s="34"/>
      <c r="HEB341" s="34"/>
      <c r="HEC341" s="34"/>
      <c r="HED341" s="34"/>
      <c r="HEE341" s="34"/>
      <c r="HEF341" s="34"/>
      <c r="HEG341" s="34"/>
      <c r="HEH341" s="34"/>
      <c r="HEI341" s="34"/>
      <c r="HEJ341" s="34"/>
      <c r="HEK341" s="34"/>
      <c r="HEL341" s="34"/>
      <c r="HEM341" s="34"/>
      <c r="HEN341" s="34"/>
      <c r="HEO341" s="34"/>
      <c r="HEP341" s="34"/>
      <c r="HEQ341" s="34"/>
      <c r="HER341" s="34"/>
      <c r="HES341" s="34"/>
      <c r="HET341" s="34"/>
      <c r="HEU341" s="34"/>
      <c r="HEV341" s="34"/>
      <c r="HEW341" s="34"/>
      <c r="HEX341" s="34"/>
      <c r="HEY341" s="34"/>
      <c r="HEZ341" s="34"/>
      <c r="HFA341" s="34"/>
      <c r="HFB341" s="34"/>
      <c r="HFC341" s="34"/>
      <c r="HFD341" s="34"/>
      <c r="HFE341" s="34"/>
      <c r="HFF341" s="34"/>
      <c r="HFG341" s="34"/>
      <c r="HFH341" s="34"/>
      <c r="HFI341" s="34"/>
      <c r="HFJ341" s="34"/>
      <c r="HFK341" s="34"/>
      <c r="HFL341" s="34"/>
      <c r="HFM341" s="34"/>
      <c r="HFN341" s="34"/>
      <c r="HFO341" s="34"/>
      <c r="HFP341" s="34"/>
      <c r="HFQ341" s="34"/>
      <c r="HFR341" s="34"/>
      <c r="HFS341" s="34"/>
      <c r="HFT341" s="34"/>
      <c r="HFU341" s="34"/>
      <c r="HFV341" s="34"/>
      <c r="HFW341" s="34"/>
      <c r="HFX341" s="34"/>
      <c r="HFY341" s="34"/>
      <c r="HFZ341" s="34"/>
      <c r="HGA341" s="34"/>
      <c r="HGB341" s="34"/>
      <c r="HGC341" s="34"/>
      <c r="HGD341" s="34"/>
      <c r="HGE341" s="34"/>
      <c r="HGF341" s="34"/>
      <c r="HGG341" s="34"/>
      <c r="HGH341" s="34"/>
      <c r="HGI341" s="34"/>
      <c r="HGJ341" s="34"/>
      <c r="HGK341" s="34"/>
      <c r="HGL341" s="34"/>
      <c r="HGM341" s="34"/>
      <c r="HGN341" s="34"/>
      <c r="HGO341" s="34"/>
      <c r="HGP341" s="34"/>
      <c r="HGQ341" s="34"/>
      <c r="HGR341" s="34"/>
      <c r="HGS341" s="34"/>
      <c r="HGT341" s="34"/>
      <c r="HGU341" s="34"/>
      <c r="HGV341" s="34"/>
      <c r="HGW341" s="34"/>
      <c r="HGX341" s="34"/>
      <c r="HGY341" s="34"/>
      <c r="HGZ341" s="34"/>
      <c r="HHA341" s="34"/>
      <c r="HHB341" s="34"/>
      <c r="HHC341" s="34"/>
      <c r="HHD341" s="34"/>
      <c r="HHE341" s="34"/>
      <c r="HHF341" s="34"/>
      <c r="HHG341" s="34"/>
      <c r="HHH341" s="34"/>
      <c r="HHI341" s="34"/>
      <c r="HHJ341" s="34"/>
      <c r="HHK341" s="34"/>
      <c r="HHL341" s="34"/>
      <c r="HHM341" s="34"/>
      <c r="HHN341" s="34"/>
      <c r="HHO341" s="34"/>
      <c r="HHP341" s="34"/>
      <c r="HHQ341" s="34"/>
      <c r="HHR341" s="34"/>
      <c r="HHS341" s="34"/>
      <c r="HHT341" s="34"/>
      <c r="HHU341" s="34"/>
      <c r="HHV341" s="34"/>
      <c r="HHW341" s="34"/>
      <c r="HHX341" s="34"/>
      <c r="HHY341" s="34"/>
      <c r="HHZ341" s="34"/>
      <c r="HIA341" s="34"/>
      <c r="HIB341" s="34"/>
      <c r="HIC341" s="34"/>
      <c r="HID341" s="34"/>
      <c r="HIE341" s="34"/>
      <c r="HIF341" s="34"/>
      <c r="HIG341" s="34"/>
      <c r="HIH341" s="34"/>
      <c r="HII341" s="34"/>
      <c r="HIJ341" s="34"/>
      <c r="HIK341" s="34"/>
      <c r="HIL341" s="34"/>
      <c r="HIM341" s="34"/>
      <c r="HIN341" s="34"/>
      <c r="HIO341" s="34"/>
      <c r="HIP341" s="34"/>
      <c r="HIQ341" s="34"/>
      <c r="HIR341" s="34"/>
      <c r="HIS341" s="34"/>
      <c r="HIT341" s="34"/>
      <c r="HIU341" s="34"/>
      <c r="HIV341" s="34"/>
      <c r="HIW341" s="34"/>
      <c r="HIX341" s="34"/>
      <c r="HIY341" s="34"/>
      <c r="HIZ341" s="34"/>
      <c r="HJA341" s="34"/>
      <c r="HJB341" s="34"/>
      <c r="HJC341" s="34"/>
      <c r="HJD341" s="34"/>
      <c r="HJE341" s="34"/>
      <c r="HJF341" s="34"/>
      <c r="HJG341" s="34"/>
      <c r="HJH341" s="34"/>
      <c r="HJI341" s="34"/>
      <c r="HJJ341" s="34"/>
      <c r="HJK341" s="34"/>
      <c r="HJL341" s="34"/>
      <c r="HJM341" s="34"/>
      <c r="HJN341" s="34"/>
      <c r="HJO341" s="34"/>
      <c r="HJP341" s="34"/>
      <c r="HJQ341" s="34"/>
      <c r="HJR341" s="34"/>
      <c r="HJS341" s="34"/>
      <c r="HJT341" s="34"/>
      <c r="HJU341" s="34"/>
      <c r="HJV341" s="34"/>
      <c r="HJW341" s="34"/>
      <c r="HJX341" s="34"/>
      <c r="HJY341" s="34"/>
      <c r="HJZ341" s="34"/>
      <c r="HKA341" s="34"/>
      <c r="HKB341" s="34"/>
      <c r="HKC341" s="34"/>
      <c r="HKD341" s="34"/>
      <c r="HKE341" s="34"/>
      <c r="HKF341" s="34"/>
      <c r="HKG341" s="34"/>
      <c r="HKH341" s="34"/>
      <c r="HKI341" s="34"/>
      <c r="HKJ341" s="34"/>
      <c r="HKK341" s="34"/>
      <c r="HKL341" s="34"/>
      <c r="HKM341" s="34"/>
      <c r="HKN341" s="34"/>
      <c r="HKO341" s="34"/>
      <c r="HKP341" s="34"/>
      <c r="HKQ341" s="34"/>
      <c r="HKR341" s="34"/>
      <c r="HKS341" s="34"/>
      <c r="HKT341" s="34"/>
      <c r="HKU341" s="34"/>
      <c r="HKV341" s="34"/>
      <c r="HKW341" s="34"/>
      <c r="HKX341" s="34"/>
      <c r="HKY341" s="34"/>
      <c r="HKZ341" s="34"/>
      <c r="HLA341" s="34"/>
      <c r="HLB341" s="34"/>
      <c r="HLC341" s="34"/>
      <c r="HLD341" s="34"/>
      <c r="HLE341" s="34"/>
      <c r="HLF341" s="34"/>
      <c r="HLG341" s="34"/>
      <c r="HLH341" s="34"/>
      <c r="HLI341" s="34"/>
      <c r="HLJ341" s="34"/>
      <c r="HLK341" s="34"/>
      <c r="HLL341" s="34"/>
      <c r="HLM341" s="34"/>
      <c r="HLN341" s="34"/>
      <c r="HLO341" s="34"/>
      <c r="HLP341" s="34"/>
      <c r="HLQ341" s="34"/>
      <c r="HLR341" s="34"/>
      <c r="HLS341" s="34"/>
      <c r="HLT341" s="34"/>
      <c r="HLU341" s="34"/>
      <c r="HLV341" s="34"/>
      <c r="HLW341" s="34"/>
      <c r="HLX341" s="34"/>
      <c r="HLY341" s="34"/>
      <c r="HLZ341" s="34"/>
      <c r="HMA341" s="34"/>
      <c r="HMB341" s="34"/>
      <c r="HMC341" s="34"/>
      <c r="HMD341" s="34"/>
      <c r="HME341" s="34"/>
      <c r="HMF341" s="34"/>
      <c r="HMG341" s="34"/>
      <c r="HMH341" s="34"/>
      <c r="HMI341" s="34"/>
      <c r="HMJ341" s="34"/>
      <c r="HMK341" s="34"/>
      <c r="HML341" s="34"/>
      <c r="HMM341" s="34"/>
      <c r="HMN341" s="34"/>
      <c r="HMO341" s="34"/>
      <c r="HMP341" s="34"/>
      <c r="HMQ341" s="34"/>
      <c r="HMR341" s="34"/>
      <c r="HMS341" s="34"/>
      <c r="HMT341" s="34"/>
      <c r="HMU341" s="34"/>
      <c r="HMV341" s="34"/>
      <c r="HMW341" s="34"/>
      <c r="HMX341" s="34"/>
      <c r="HMY341" s="34"/>
      <c r="HMZ341" s="34"/>
      <c r="HNA341" s="34"/>
      <c r="HNB341" s="34"/>
      <c r="HNC341" s="34"/>
      <c r="HND341" s="34"/>
      <c r="HNE341" s="34"/>
      <c r="HNF341" s="34"/>
      <c r="HNG341" s="34"/>
      <c r="HNH341" s="34"/>
      <c r="HNI341" s="34"/>
      <c r="HNJ341" s="34"/>
      <c r="HNK341" s="34"/>
      <c r="HNL341" s="34"/>
      <c r="HNM341" s="34"/>
      <c r="HNN341" s="34"/>
      <c r="HNO341" s="34"/>
      <c r="HNP341" s="34"/>
      <c r="HNQ341" s="34"/>
      <c r="HNR341" s="34"/>
      <c r="HNS341" s="34"/>
      <c r="HNT341" s="34"/>
      <c r="HNU341" s="34"/>
      <c r="HNV341" s="34"/>
      <c r="HNW341" s="34"/>
      <c r="HNX341" s="34"/>
      <c r="HNY341" s="34"/>
      <c r="HNZ341" s="34"/>
      <c r="HOA341" s="34"/>
      <c r="HOB341" s="34"/>
      <c r="HOC341" s="34"/>
      <c r="HOD341" s="34"/>
      <c r="HOE341" s="34"/>
      <c r="HOF341" s="34"/>
      <c r="HOG341" s="34"/>
      <c r="HOH341" s="34"/>
      <c r="HOI341" s="34"/>
      <c r="HOJ341" s="34"/>
      <c r="HOK341" s="34"/>
      <c r="HOL341" s="34"/>
      <c r="HOM341" s="34"/>
      <c r="HON341" s="34"/>
      <c r="HOO341" s="34"/>
      <c r="HOP341" s="34"/>
      <c r="HOQ341" s="34"/>
      <c r="HOR341" s="34"/>
      <c r="HOS341" s="34"/>
      <c r="HOT341" s="34"/>
      <c r="HOU341" s="34"/>
      <c r="HOV341" s="34"/>
      <c r="HOW341" s="34"/>
      <c r="HOX341" s="34"/>
      <c r="HOY341" s="34"/>
      <c r="HOZ341" s="34"/>
      <c r="HPA341" s="34"/>
      <c r="HPB341" s="34"/>
      <c r="HPC341" s="34"/>
      <c r="HPD341" s="34"/>
      <c r="HPE341" s="34"/>
      <c r="HPF341" s="34"/>
      <c r="HPG341" s="34"/>
      <c r="HPH341" s="34"/>
      <c r="HPI341" s="34"/>
      <c r="HPJ341" s="34"/>
      <c r="HPK341" s="34"/>
      <c r="HPL341" s="34"/>
      <c r="HPM341" s="34"/>
      <c r="HPN341" s="34"/>
      <c r="HPO341" s="34"/>
      <c r="HPP341" s="34"/>
      <c r="HPQ341" s="34"/>
      <c r="HPR341" s="34"/>
      <c r="HPS341" s="34"/>
      <c r="HPT341" s="34"/>
      <c r="HPU341" s="34"/>
      <c r="HPV341" s="34"/>
      <c r="HPW341" s="34"/>
      <c r="HPX341" s="34"/>
      <c r="HPY341" s="34"/>
      <c r="HPZ341" s="34"/>
      <c r="HQA341" s="34"/>
      <c r="HQB341" s="34"/>
      <c r="HQC341" s="34"/>
      <c r="HQD341" s="34"/>
      <c r="HQE341" s="34"/>
      <c r="HQF341" s="34"/>
      <c r="HQG341" s="34"/>
      <c r="HQH341" s="34"/>
      <c r="HQI341" s="34"/>
      <c r="HQJ341" s="34"/>
      <c r="HQK341" s="34"/>
      <c r="HQL341" s="34"/>
      <c r="HQM341" s="34"/>
      <c r="HQN341" s="34"/>
      <c r="HQO341" s="34"/>
      <c r="HQP341" s="34"/>
      <c r="HQQ341" s="34"/>
      <c r="HQR341" s="34"/>
      <c r="HQS341" s="34"/>
      <c r="HQT341" s="34"/>
      <c r="HQU341" s="34"/>
      <c r="HQV341" s="34"/>
      <c r="HQW341" s="34"/>
      <c r="HQX341" s="34"/>
      <c r="HQY341" s="34"/>
      <c r="HQZ341" s="34"/>
      <c r="HRA341" s="34"/>
      <c r="HRB341" s="34"/>
      <c r="HRC341" s="34"/>
      <c r="HRD341" s="34"/>
      <c r="HRE341" s="34"/>
      <c r="HRF341" s="34"/>
      <c r="HRG341" s="34"/>
      <c r="HRH341" s="34"/>
      <c r="HRI341" s="34"/>
      <c r="HRJ341" s="34"/>
      <c r="HRK341" s="34"/>
      <c r="HRL341" s="34"/>
      <c r="HRM341" s="34"/>
      <c r="HRN341" s="34"/>
      <c r="HRO341" s="34"/>
      <c r="HRP341" s="34"/>
      <c r="HRQ341" s="34"/>
      <c r="HRR341" s="34"/>
      <c r="HRS341" s="34"/>
      <c r="HRT341" s="34"/>
      <c r="HRU341" s="34"/>
      <c r="HRV341" s="34"/>
      <c r="HRW341" s="34"/>
      <c r="HRX341" s="34"/>
      <c r="HRY341" s="34"/>
      <c r="HRZ341" s="34"/>
      <c r="HSA341" s="34"/>
      <c r="HSB341" s="34"/>
      <c r="HSC341" s="34"/>
      <c r="HSD341" s="34"/>
      <c r="HSE341" s="34"/>
      <c r="HSF341" s="34"/>
      <c r="HSG341" s="34"/>
      <c r="HSH341" s="34"/>
      <c r="HSI341" s="34"/>
      <c r="HSJ341" s="34"/>
      <c r="HSK341" s="34"/>
      <c r="HSL341" s="34"/>
      <c r="HSM341" s="34"/>
      <c r="HSN341" s="34"/>
      <c r="HSO341" s="34"/>
      <c r="HSP341" s="34"/>
      <c r="HSQ341" s="34"/>
      <c r="HSR341" s="34"/>
      <c r="HSS341" s="34"/>
      <c r="HST341" s="34"/>
      <c r="HSU341" s="34"/>
      <c r="HSV341" s="34"/>
      <c r="HSW341" s="34"/>
      <c r="HSX341" s="34"/>
      <c r="HSY341" s="34"/>
      <c r="HSZ341" s="34"/>
      <c r="HTA341" s="34"/>
      <c r="HTB341" s="34"/>
      <c r="HTC341" s="34"/>
      <c r="HTD341" s="34"/>
      <c r="HTE341" s="34"/>
      <c r="HTF341" s="34"/>
      <c r="HTG341" s="34"/>
      <c r="HTH341" s="34"/>
      <c r="HTI341" s="34"/>
      <c r="HTJ341" s="34"/>
      <c r="HTK341" s="34"/>
      <c r="HTL341" s="34"/>
      <c r="HTM341" s="34"/>
      <c r="HTN341" s="34"/>
      <c r="HTO341" s="34"/>
      <c r="HTP341" s="34"/>
      <c r="HTQ341" s="34"/>
      <c r="HTR341" s="34"/>
      <c r="HTS341" s="34"/>
      <c r="HTT341" s="34"/>
      <c r="HTU341" s="34"/>
      <c r="HTV341" s="34"/>
      <c r="HTW341" s="34"/>
      <c r="HTX341" s="34"/>
      <c r="HTY341" s="34"/>
      <c r="HTZ341" s="34"/>
      <c r="HUA341" s="34"/>
      <c r="HUB341" s="34"/>
      <c r="HUC341" s="34"/>
      <c r="HUD341" s="34"/>
      <c r="HUE341" s="34"/>
      <c r="HUF341" s="34"/>
      <c r="HUG341" s="34"/>
      <c r="HUH341" s="34"/>
      <c r="HUI341" s="34"/>
      <c r="HUJ341" s="34"/>
      <c r="HUK341" s="34"/>
      <c r="HUL341" s="34"/>
      <c r="HUM341" s="34"/>
      <c r="HUN341" s="34"/>
      <c r="HUO341" s="34"/>
      <c r="HUP341" s="34"/>
      <c r="HUQ341" s="34"/>
      <c r="HUR341" s="34"/>
      <c r="HUS341" s="34"/>
      <c r="HUT341" s="34"/>
      <c r="HUU341" s="34"/>
      <c r="HUV341" s="34"/>
      <c r="HUW341" s="34"/>
      <c r="HUX341" s="34"/>
      <c r="HUY341" s="34"/>
      <c r="HUZ341" s="34"/>
      <c r="HVA341" s="34"/>
      <c r="HVB341" s="34"/>
      <c r="HVC341" s="34"/>
      <c r="HVD341" s="34"/>
      <c r="HVE341" s="34"/>
      <c r="HVF341" s="34"/>
      <c r="HVG341" s="34"/>
      <c r="HVH341" s="34"/>
      <c r="HVI341" s="34"/>
      <c r="HVJ341" s="34"/>
      <c r="HVK341" s="34"/>
      <c r="HVL341" s="34"/>
      <c r="HVM341" s="34"/>
      <c r="HVN341" s="34"/>
      <c r="HVO341" s="34"/>
      <c r="HVP341" s="34"/>
      <c r="HVQ341" s="34"/>
      <c r="HVR341" s="34"/>
      <c r="HVS341" s="34"/>
      <c r="HVT341" s="34"/>
      <c r="HVU341" s="34"/>
      <c r="HVV341" s="34"/>
      <c r="HVW341" s="34"/>
      <c r="HVX341" s="34"/>
      <c r="HVY341" s="34"/>
      <c r="HVZ341" s="34"/>
      <c r="HWA341" s="34"/>
      <c r="HWB341" s="34"/>
      <c r="HWC341" s="34"/>
      <c r="HWD341" s="34"/>
      <c r="HWE341" s="34"/>
      <c r="HWF341" s="34"/>
      <c r="HWG341" s="34"/>
      <c r="HWH341" s="34"/>
      <c r="HWI341" s="34"/>
      <c r="HWJ341" s="34"/>
      <c r="HWK341" s="34"/>
      <c r="HWL341" s="34"/>
      <c r="HWM341" s="34"/>
      <c r="HWN341" s="34"/>
      <c r="HWO341" s="34"/>
      <c r="HWP341" s="34"/>
      <c r="HWQ341" s="34"/>
      <c r="HWR341" s="34"/>
      <c r="HWS341" s="34"/>
      <c r="HWT341" s="34"/>
      <c r="HWU341" s="34"/>
      <c r="HWV341" s="34"/>
      <c r="HWW341" s="34"/>
      <c r="HWX341" s="34"/>
      <c r="HWY341" s="34"/>
      <c r="HWZ341" s="34"/>
      <c r="HXA341" s="34"/>
      <c r="HXB341" s="34"/>
      <c r="HXC341" s="34"/>
      <c r="HXD341" s="34"/>
      <c r="HXE341" s="34"/>
      <c r="HXF341" s="34"/>
      <c r="HXG341" s="34"/>
      <c r="HXH341" s="34"/>
      <c r="HXI341" s="34"/>
      <c r="HXJ341" s="34"/>
      <c r="HXK341" s="34"/>
      <c r="HXL341" s="34"/>
      <c r="HXM341" s="34"/>
      <c r="HXN341" s="34"/>
      <c r="HXO341" s="34"/>
      <c r="HXP341" s="34"/>
      <c r="HXQ341" s="34"/>
      <c r="HXR341" s="34"/>
      <c r="HXS341" s="34"/>
      <c r="HXT341" s="34"/>
      <c r="HXU341" s="34"/>
      <c r="HXV341" s="34"/>
      <c r="HXW341" s="34"/>
      <c r="HXX341" s="34"/>
      <c r="HXY341" s="34"/>
      <c r="HXZ341" s="34"/>
      <c r="HYA341" s="34"/>
      <c r="HYB341" s="34"/>
      <c r="HYC341" s="34"/>
      <c r="HYD341" s="34"/>
      <c r="HYE341" s="34"/>
      <c r="HYF341" s="34"/>
      <c r="HYG341" s="34"/>
      <c r="HYH341" s="34"/>
      <c r="HYI341" s="34"/>
      <c r="HYJ341" s="34"/>
      <c r="HYK341" s="34"/>
      <c r="HYL341" s="34"/>
      <c r="HYM341" s="34"/>
      <c r="HYN341" s="34"/>
      <c r="HYO341" s="34"/>
      <c r="HYP341" s="34"/>
      <c r="HYQ341" s="34"/>
      <c r="HYR341" s="34"/>
      <c r="HYS341" s="34"/>
      <c r="HYT341" s="34"/>
      <c r="HYU341" s="34"/>
      <c r="HYV341" s="34"/>
      <c r="HYW341" s="34"/>
      <c r="HYX341" s="34"/>
      <c r="HYY341" s="34"/>
      <c r="HYZ341" s="34"/>
      <c r="HZA341" s="34"/>
      <c r="HZB341" s="34"/>
      <c r="HZC341" s="34"/>
      <c r="HZD341" s="34"/>
      <c r="HZE341" s="34"/>
      <c r="HZF341" s="34"/>
      <c r="HZG341" s="34"/>
      <c r="HZH341" s="34"/>
      <c r="HZI341" s="34"/>
      <c r="HZJ341" s="34"/>
      <c r="HZK341" s="34"/>
      <c r="HZL341" s="34"/>
      <c r="HZM341" s="34"/>
      <c r="HZN341" s="34"/>
      <c r="HZO341" s="34"/>
      <c r="HZP341" s="34"/>
      <c r="HZQ341" s="34"/>
      <c r="HZR341" s="34"/>
      <c r="HZS341" s="34"/>
      <c r="HZT341" s="34"/>
      <c r="HZU341" s="34"/>
      <c r="HZV341" s="34"/>
      <c r="HZW341" s="34"/>
      <c r="HZX341" s="34"/>
      <c r="HZY341" s="34"/>
      <c r="HZZ341" s="34"/>
      <c r="IAA341" s="34"/>
      <c r="IAB341" s="34"/>
      <c r="IAC341" s="34"/>
      <c r="IAD341" s="34"/>
      <c r="IAE341" s="34"/>
      <c r="IAF341" s="34"/>
      <c r="IAG341" s="34"/>
      <c r="IAH341" s="34"/>
      <c r="IAI341" s="34"/>
      <c r="IAJ341" s="34"/>
      <c r="IAK341" s="34"/>
      <c r="IAL341" s="34"/>
      <c r="IAM341" s="34"/>
      <c r="IAN341" s="34"/>
      <c r="IAO341" s="34"/>
      <c r="IAP341" s="34"/>
      <c r="IAQ341" s="34"/>
      <c r="IAR341" s="34"/>
      <c r="IAS341" s="34"/>
      <c r="IAT341" s="34"/>
      <c r="IAU341" s="34"/>
      <c r="IAV341" s="34"/>
      <c r="IAW341" s="34"/>
      <c r="IAX341" s="34"/>
      <c r="IAY341" s="34"/>
      <c r="IAZ341" s="34"/>
      <c r="IBA341" s="34"/>
      <c r="IBB341" s="34"/>
      <c r="IBC341" s="34"/>
      <c r="IBD341" s="34"/>
      <c r="IBE341" s="34"/>
      <c r="IBF341" s="34"/>
      <c r="IBG341" s="34"/>
      <c r="IBH341" s="34"/>
      <c r="IBI341" s="34"/>
      <c r="IBJ341" s="34"/>
      <c r="IBK341" s="34"/>
      <c r="IBL341" s="34"/>
      <c r="IBM341" s="34"/>
      <c r="IBN341" s="34"/>
      <c r="IBO341" s="34"/>
      <c r="IBP341" s="34"/>
      <c r="IBQ341" s="34"/>
      <c r="IBR341" s="34"/>
      <c r="IBS341" s="34"/>
      <c r="IBT341" s="34"/>
      <c r="IBU341" s="34"/>
      <c r="IBV341" s="34"/>
      <c r="IBW341" s="34"/>
      <c r="IBX341" s="34"/>
      <c r="IBY341" s="34"/>
      <c r="IBZ341" s="34"/>
      <c r="ICA341" s="34"/>
      <c r="ICB341" s="34"/>
      <c r="ICC341" s="34"/>
      <c r="ICD341" s="34"/>
      <c r="ICE341" s="34"/>
      <c r="ICF341" s="34"/>
      <c r="ICG341" s="34"/>
      <c r="ICH341" s="34"/>
      <c r="ICI341" s="34"/>
      <c r="ICJ341" s="34"/>
      <c r="ICK341" s="34"/>
      <c r="ICL341" s="34"/>
      <c r="ICM341" s="34"/>
      <c r="ICN341" s="34"/>
      <c r="ICO341" s="34"/>
      <c r="ICP341" s="34"/>
      <c r="ICQ341" s="34"/>
      <c r="ICR341" s="34"/>
      <c r="ICS341" s="34"/>
      <c r="ICT341" s="34"/>
      <c r="ICU341" s="34"/>
      <c r="ICV341" s="34"/>
      <c r="ICW341" s="34"/>
      <c r="ICX341" s="34"/>
      <c r="ICY341" s="34"/>
      <c r="ICZ341" s="34"/>
      <c r="IDA341" s="34"/>
      <c r="IDB341" s="34"/>
      <c r="IDC341" s="34"/>
      <c r="IDD341" s="34"/>
      <c r="IDE341" s="34"/>
      <c r="IDF341" s="34"/>
      <c r="IDG341" s="34"/>
      <c r="IDH341" s="34"/>
      <c r="IDI341" s="34"/>
      <c r="IDJ341" s="34"/>
      <c r="IDK341" s="34"/>
      <c r="IDL341" s="34"/>
      <c r="IDM341" s="34"/>
      <c r="IDN341" s="34"/>
      <c r="IDO341" s="34"/>
      <c r="IDP341" s="34"/>
      <c r="IDQ341" s="34"/>
      <c r="IDR341" s="34"/>
      <c r="IDS341" s="34"/>
      <c r="IDT341" s="34"/>
      <c r="IDU341" s="34"/>
      <c r="IDV341" s="34"/>
      <c r="IDW341" s="34"/>
      <c r="IDX341" s="34"/>
      <c r="IDY341" s="34"/>
      <c r="IDZ341" s="34"/>
      <c r="IEA341" s="34"/>
      <c r="IEB341" s="34"/>
      <c r="IEC341" s="34"/>
      <c r="IED341" s="34"/>
      <c r="IEE341" s="34"/>
      <c r="IEF341" s="34"/>
      <c r="IEG341" s="34"/>
      <c r="IEH341" s="34"/>
      <c r="IEI341" s="34"/>
      <c r="IEJ341" s="34"/>
      <c r="IEK341" s="34"/>
      <c r="IEL341" s="34"/>
      <c r="IEM341" s="34"/>
      <c r="IEN341" s="34"/>
      <c r="IEO341" s="34"/>
      <c r="IEP341" s="34"/>
      <c r="IEQ341" s="34"/>
      <c r="IER341" s="34"/>
      <c r="IES341" s="34"/>
      <c r="IET341" s="34"/>
      <c r="IEU341" s="34"/>
      <c r="IEV341" s="34"/>
      <c r="IEW341" s="34"/>
      <c r="IEX341" s="34"/>
      <c r="IEY341" s="34"/>
      <c r="IEZ341" s="34"/>
      <c r="IFA341" s="34"/>
      <c r="IFB341" s="34"/>
      <c r="IFC341" s="34"/>
      <c r="IFD341" s="34"/>
      <c r="IFE341" s="34"/>
      <c r="IFF341" s="34"/>
      <c r="IFG341" s="34"/>
      <c r="IFH341" s="34"/>
      <c r="IFI341" s="34"/>
      <c r="IFJ341" s="34"/>
      <c r="IFK341" s="34"/>
      <c r="IFL341" s="34"/>
      <c r="IFM341" s="34"/>
      <c r="IFN341" s="34"/>
      <c r="IFO341" s="34"/>
      <c r="IFP341" s="34"/>
      <c r="IFQ341" s="34"/>
      <c r="IFR341" s="34"/>
      <c r="IFS341" s="34"/>
      <c r="IFT341" s="34"/>
      <c r="IFU341" s="34"/>
      <c r="IFV341" s="34"/>
      <c r="IFW341" s="34"/>
      <c r="IFX341" s="34"/>
      <c r="IFY341" s="34"/>
      <c r="IFZ341" s="34"/>
      <c r="IGA341" s="34"/>
      <c r="IGB341" s="34"/>
      <c r="IGC341" s="34"/>
      <c r="IGD341" s="34"/>
      <c r="IGE341" s="34"/>
      <c r="IGF341" s="34"/>
      <c r="IGG341" s="34"/>
      <c r="IGH341" s="34"/>
      <c r="IGI341" s="34"/>
      <c r="IGJ341" s="34"/>
      <c r="IGK341" s="34"/>
      <c r="IGL341" s="34"/>
      <c r="IGM341" s="34"/>
      <c r="IGN341" s="34"/>
      <c r="IGO341" s="34"/>
      <c r="IGP341" s="34"/>
      <c r="IGQ341" s="34"/>
      <c r="IGR341" s="34"/>
      <c r="IGS341" s="34"/>
      <c r="IGT341" s="34"/>
      <c r="IGU341" s="34"/>
      <c r="IGV341" s="34"/>
      <c r="IGW341" s="34"/>
      <c r="IGX341" s="34"/>
      <c r="IGY341" s="34"/>
      <c r="IGZ341" s="34"/>
      <c r="IHA341" s="34"/>
      <c r="IHB341" s="34"/>
      <c r="IHC341" s="34"/>
      <c r="IHD341" s="34"/>
      <c r="IHE341" s="34"/>
      <c r="IHF341" s="34"/>
      <c r="IHG341" s="34"/>
      <c r="IHH341" s="34"/>
      <c r="IHI341" s="34"/>
      <c r="IHJ341" s="34"/>
      <c r="IHK341" s="34"/>
      <c r="IHL341" s="34"/>
      <c r="IHM341" s="34"/>
      <c r="IHN341" s="34"/>
      <c r="IHO341" s="34"/>
      <c r="IHP341" s="34"/>
      <c r="IHQ341" s="34"/>
      <c r="IHR341" s="34"/>
      <c r="IHS341" s="34"/>
      <c r="IHT341" s="34"/>
      <c r="IHU341" s="34"/>
      <c r="IHV341" s="34"/>
      <c r="IHW341" s="34"/>
      <c r="IHX341" s="34"/>
      <c r="IHY341" s="34"/>
      <c r="IHZ341" s="34"/>
      <c r="IIA341" s="34"/>
      <c r="IIB341" s="34"/>
      <c r="IIC341" s="34"/>
      <c r="IID341" s="34"/>
      <c r="IIE341" s="34"/>
      <c r="IIF341" s="34"/>
      <c r="IIG341" s="34"/>
      <c r="IIH341" s="34"/>
      <c r="III341" s="34"/>
      <c r="IIJ341" s="34"/>
      <c r="IIK341" s="34"/>
      <c r="IIL341" s="34"/>
      <c r="IIM341" s="34"/>
      <c r="IIN341" s="34"/>
      <c r="IIO341" s="34"/>
      <c r="IIP341" s="34"/>
      <c r="IIQ341" s="34"/>
      <c r="IIR341" s="34"/>
      <c r="IIS341" s="34"/>
      <c r="IIT341" s="34"/>
      <c r="IIU341" s="34"/>
      <c r="IIV341" s="34"/>
      <c r="IIW341" s="34"/>
      <c r="IIX341" s="34"/>
      <c r="IIY341" s="34"/>
      <c r="IIZ341" s="34"/>
      <c r="IJA341" s="34"/>
      <c r="IJB341" s="34"/>
      <c r="IJC341" s="34"/>
      <c r="IJD341" s="34"/>
      <c r="IJE341" s="34"/>
      <c r="IJF341" s="34"/>
      <c r="IJG341" s="34"/>
      <c r="IJH341" s="34"/>
      <c r="IJI341" s="34"/>
      <c r="IJJ341" s="34"/>
      <c r="IJK341" s="34"/>
      <c r="IJL341" s="34"/>
      <c r="IJM341" s="34"/>
      <c r="IJN341" s="34"/>
      <c r="IJO341" s="34"/>
      <c r="IJP341" s="34"/>
      <c r="IJQ341" s="34"/>
      <c r="IJR341" s="34"/>
      <c r="IJS341" s="34"/>
      <c r="IJT341" s="34"/>
      <c r="IJU341" s="34"/>
      <c r="IJV341" s="34"/>
      <c r="IJW341" s="34"/>
      <c r="IJX341" s="34"/>
      <c r="IJY341" s="34"/>
      <c r="IJZ341" s="34"/>
      <c r="IKA341" s="34"/>
      <c r="IKB341" s="34"/>
      <c r="IKC341" s="34"/>
      <c r="IKD341" s="34"/>
      <c r="IKE341" s="34"/>
      <c r="IKF341" s="34"/>
      <c r="IKG341" s="34"/>
      <c r="IKH341" s="34"/>
      <c r="IKI341" s="34"/>
      <c r="IKJ341" s="34"/>
      <c r="IKK341" s="34"/>
      <c r="IKL341" s="34"/>
      <c r="IKM341" s="34"/>
      <c r="IKN341" s="34"/>
      <c r="IKO341" s="34"/>
      <c r="IKP341" s="34"/>
      <c r="IKQ341" s="34"/>
      <c r="IKR341" s="34"/>
      <c r="IKS341" s="34"/>
      <c r="IKT341" s="34"/>
      <c r="IKU341" s="34"/>
      <c r="IKV341" s="34"/>
      <c r="IKW341" s="34"/>
      <c r="IKX341" s="34"/>
      <c r="IKY341" s="34"/>
      <c r="IKZ341" s="34"/>
      <c r="ILA341" s="34"/>
      <c r="ILB341" s="34"/>
      <c r="ILC341" s="34"/>
      <c r="ILD341" s="34"/>
      <c r="ILE341" s="34"/>
      <c r="ILF341" s="34"/>
      <c r="ILG341" s="34"/>
      <c r="ILH341" s="34"/>
      <c r="ILI341" s="34"/>
      <c r="ILJ341" s="34"/>
      <c r="ILK341" s="34"/>
      <c r="ILL341" s="34"/>
      <c r="ILM341" s="34"/>
      <c r="ILN341" s="34"/>
      <c r="ILO341" s="34"/>
      <c r="ILP341" s="34"/>
      <c r="ILQ341" s="34"/>
      <c r="ILR341" s="34"/>
      <c r="ILS341" s="34"/>
      <c r="ILT341" s="34"/>
      <c r="ILU341" s="34"/>
      <c r="ILV341" s="34"/>
      <c r="ILW341" s="34"/>
      <c r="ILX341" s="34"/>
      <c r="ILY341" s="34"/>
      <c r="ILZ341" s="34"/>
      <c r="IMA341" s="34"/>
      <c r="IMB341" s="34"/>
      <c r="IMC341" s="34"/>
      <c r="IMD341" s="34"/>
      <c r="IME341" s="34"/>
      <c r="IMF341" s="34"/>
      <c r="IMG341" s="34"/>
      <c r="IMH341" s="34"/>
      <c r="IMI341" s="34"/>
      <c r="IMJ341" s="34"/>
      <c r="IMK341" s="34"/>
      <c r="IML341" s="34"/>
      <c r="IMM341" s="34"/>
      <c r="IMN341" s="34"/>
      <c r="IMO341" s="34"/>
      <c r="IMP341" s="34"/>
      <c r="IMQ341" s="34"/>
      <c r="IMR341" s="34"/>
      <c r="IMS341" s="34"/>
      <c r="IMT341" s="34"/>
      <c r="IMU341" s="34"/>
      <c r="IMV341" s="34"/>
      <c r="IMW341" s="34"/>
      <c r="IMX341" s="34"/>
      <c r="IMY341" s="34"/>
      <c r="IMZ341" s="34"/>
      <c r="INA341" s="34"/>
      <c r="INB341" s="34"/>
      <c r="INC341" s="34"/>
      <c r="IND341" s="34"/>
      <c r="INE341" s="34"/>
      <c r="INF341" s="34"/>
      <c r="ING341" s="34"/>
      <c r="INH341" s="34"/>
      <c r="INI341" s="34"/>
      <c r="INJ341" s="34"/>
      <c r="INK341" s="34"/>
      <c r="INL341" s="34"/>
      <c r="INM341" s="34"/>
      <c r="INN341" s="34"/>
      <c r="INO341" s="34"/>
      <c r="INP341" s="34"/>
      <c r="INQ341" s="34"/>
      <c r="INR341" s="34"/>
      <c r="INS341" s="34"/>
      <c r="INT341" s="34"/>
      <c r="INU341" s="34"/>
      <c r="INV341" s="34"/>
      <c r="INW341" s="34"/>
      <c r="INX341" s="34"/>
      <c r="INY341" s="34"/>
      <c r="INZ341" s="34"/>
      <c r="IOA341" s="34"/>
      <c r="IOB341" s="34"/>
      <c r="IOC341" s="34"/>
      <c r="IOD341" s="34"/>
      <c r="IOE341" s="34"/>
      <c r="IOF341" s="34"/>
      <c r="IOG341" s="34"/>
      <c r="IOH341" s="34"/>
      <c r="IOI341" s="34"/>
      <c r="IOJ341" s="34"/>
      <c r="IOK341" s="34"/>
      <c r="IOL341" s="34"/>
      <c r="IOM341" s="34"/>
      <c r="ION341" s="34"/>
      <c r="IOO341" s="34"/>
      <c r="IOP341" s="34"/>
      <c r="IOQ341" s="34"/>
      <c r="IOR341" s="34"/>
      <c r="IOS341" s="34"/>
      <c r="IOT341" s="34"/>
      <c r="IOU341" s="34"/>
      <c r="IOV341" s="34"/>
      <c r="IOW341" s="34"/>
      <c r="IOX341" s="34"/>
      <c r="IOY341" s="34"/>
      <c r="IOZ341" s="34"/>
      <c r="IPA341" s="34"/>
      <c r="IPB341" s="34"/>
      <c r="IPC341" s="34"/>
      <c r="IPD341" s="34"/>
      <c r="IPE341" s="34"/>
      <c r="IPF341" s="34"/>
      <c r="IPG341" s="34"/>
      <c r="IPH341" s="34"/>
      <c r="IPI341" s="34"/>
      <c r="IPJ341" s="34"/>
      <c r="IPK341" s="34"/>
      <c r="IPL341" s="34"/>
      <c r="IPM341" s="34"/>
      <c r="IPN341" s="34"/>
      <c r="IPO341" s="34"/>
      <c r="IPP341" s="34"/>
      <c r="IPQ341" s="34"/>
      <c r="IPR341" s="34"/>
      <c r="IPS341" s="34"/>
      <c r="IPT341" s="34"/>
      <c r="IPU341" s="34"/>
      <c r="IPV341" s="34"/>
      <c r="IPW341" s="34"/>
      <c r="IPX341" s="34"/>
      <c r="IPY341" s="34"/>
      <c r="IPZ341" s="34"/>
      <c r="IQA341" s="34"/>
      <c r="IQB341" s="34"/>
      <c r="IQC341" s="34"/>
      <c r="IQD341" s="34"/>
      <c r="IQE341" s="34"/>
      <c r="IQF341" s="34"/>
      <c r="IQG341" s="34"/>
      <c r="IQH341" s="34"/>
      <c r="IQI341" s="34"/>
      <c r="IQJ341" s="34"/>
      <c r="IQK341" s="34"/>
      <c r="IQL341" s="34"/>
      <c r="IQM341" s="34"/>
      <c r="IQN341" s="34"/>
      <c r="IQO341" s="34"/>
      <c r="IQP341" s="34"/>
      <c r="IQQ341" s="34"/>
      <c r="IQR341" s="34"/>
      <c r="IQS341" s="34"/>
      <c r="IQT341" s="34"/>
      <c r="IQU341" s="34"/>
      <c r="IQV341" s="34"/>
      <c r="IQW341" s="34"/>
      <c r="IQX341" s="34"/>
      <c r="IQY341" s="34"/>
      <c r="IQZ341" s="34"/>
      <c r="IRA341" s="34"/>
      <c r="IRB341" s="34"/>
      <c r="IRC341" s="34"/>
      <c r="IRD341" s="34"/>
      <c r="IRE341" s="34"/>
      <c r="IRF341" s="34"/>
      <c r="IRG341" s="34"/>
      <c r="IRH341" s="34"/>
      <c r="IRI341" s="34"/>
      <c r="IRJ341" s="34"/>
      <c r="IRK341" s="34"/>
      <c r="IRL341" s="34"/>
      <c r="IRM341" s="34"/>
      <c r="IRN341" s="34"/>
      <c r="IRO341" s="34"/>
      <c r="IRP341" s="34"/>
      <c r="IRQ341" s="34"/>
      <c r="IRR341" s="34"/>
      <c r="IRS341" s="34"/>
      <c r="IRT341" s="34"/>
      <c r="IRU341" s="34"/>
      <c r="IRV341" s="34"/>
      <c r="IRW341" s="34"/>
      <c r="IRX341" s="34"/>
      <c r="IRY341" s="34"/>
      <c r="IRZ341" s="34"/>
      <c r="ISA341" s="34"/>
      <c r="ISB341" s="34"/>
      <c r="ISC341" s="34"/>
      <c r="ISD341" s="34"/>
      <c r="ISE341" s="34"/>
      <c r="ISF341" s="34"/>
      <c r="ISG341" s="34"/>
      <c r="ISH341" s="34"/>
      <c r="ISI341" s="34"/>
      <c r="ISJ341" s="34"/>
      <c r="ISK341" s="34"/>
      <c r="ISL341" s="34"/>
      <c r="ISM341" s="34"/>
      <c r="ISN341" s="34"/>
      <c r="ISO341" s="34"/>
      <c r="ISP341" s="34"/>
      <c r="ISQ341" s="34"/>
      <c r="ISR341" s="34"/>
      <c r="ISS341" s="34"/>
      <c r="IST341" s="34"/>
      <c r="ISU341" s="34"/>
      <c r="ISV341" s="34"/>
      <c r="ISW341" s="34"/>
      <c r="ISX341" s="34"/>
      <c r="ISY341" s="34"/>
      <c r="ISZ341" s="34"/>
      <c r="ITA341" s="34"/>
      <c r="ITB341" s="34"/>
      <c r="ITC341" s="34"/>
      <c r="ITD341" s="34"/>
      <c r="ITE341" s="34"/>
      <c r="ITF341" s="34"/>
      <c r="ITG341" s="34"/>
      <c r="ITH341" s="34"/>
      <c r="ITI341" s="34"/>
      <c r="ITJ341" s="34"/>
      <c r="ITK341" s="34"/>
      <c r="ITL341" s="34"/>
      <c r="ITM341" s="34"/>
      <c r="ITN341" s="34"/>
      <c r="ITO341" s="34"/>
      <c r="ITP341" s="34"/>
      <c r="ITQ341" s="34"/>
      <c r="ITR341" s="34"/>
      <c r="ITS341" s="34"/>
      <c r="ITT341" s="34"/>
      <c r="ITU341" s="34"/>
      <c r="ITV341" s="34"/>
      <c r="ITW341" s="34"/>
      <c r="ITX341" s="34"/>
      <c r="ITY341" s="34"/>
      <c r="ITZ341" s="34"/>
      <c r="IUA341" s="34"/>
      <c r="IUB341" s="34"/>
      <c r="IUC341" s="34"/>
      <c r="IUD341" s="34"/>
      <c r="IUE341" s="34"/>
      <c r="IUF341" s="34"/>
      <c r="IUG341" s="34"/>
      <c r="IUH341" s="34"/>
      <c r="IUI341" s="34"/>
      <c r="IUJ341" s="34"/>
      <c r="IUK341" s="34"/>
      <c r="IUL341" s="34"/>
      <c r="IUM341" s="34"/>
      <c r="IUN341" s="34"/>
      <c r="IUO341" s="34"/>
      <c r="IUP341" s="34"/>
      <c r="IUQ341" s="34"/>
      <c r="IUR341" s="34"/>
      <c r="IUS341" s="34"/>
      <c r="IUT341" s="34"/>
      <c r="IUU341" s="34"/>
      <c r="IUV341" s="34"/>
      <c r="IUW341" s="34"/>
      <c r="IUX341" s="34"/>
      <c r="IUY341" s="34"/>
      <c r="IUZ341" s="34"/>
      <c r="IVA341" s="34"/>
      <c r="IVB341" s="34"/>
      <c r="IVC341" s="34"/>
      <c r="IVD341" s="34"/>
      <c r="IVE341" s="34"/>
      <c r="IVF341" s="34"/>
      <c r="IVG341" s="34"/>
      <c r="IVH341" s="34"/>
      <c r="IVI341" s="34"/>
      <c r="IVJ341" s="34"/>
      <c r="IVK341" s="34"/>
      <c r="IVL341" s="34"/>
      <c r="IVM341" s="34"/>
      <c r="IVN341" s="34"/>
      <c r="IVO341" s="34"/>
      <c r="IVP341" s="34"/>
      <c r="IVQ341" s="34"/>
      <c r="IVR341" s="34"/>
      <c r="IVS341" s="34"/>
      <c r="IVT341" s="34"/>
      <c r="IVU341" s="34"/>
      <c r="IVV341" s="34"/>
      <c r="IVW341" s="34"/>
      <c r="IVX341" s="34"/>
      <c r="IVY341" s="34"/>
      <c r="IVZ341" s="34"/>
      <c r="IWA341" s="34"/>
      <c r="IWB341" s="34"/>
      <c r="IWC341" s="34"/>
      <c r="IWD341" s="34"/>
      <c r="IWE341" s="34"/>
      <c r="IWF341" s="34"/>
      <c r="IWG341" s="34"/>
      <c r="IWH341" s="34"/>
      <c r="IWI341" s="34"/>
      <c r="IWJ341" s="34"/>
      <c r="IWK341" s="34"/>
      <c r="IWL341" s="34"/>
      <c r="IWM341" s="34"/>
      <c r="IWN341" s="34"/>
      <c r="IWO341" s="34"/>
      <c r="IWP341" s="34"/>
      <c r="IWQ341" s="34"/>
      <c r="IWR341" s="34"/>
      <c r="IWS341" s="34"/>
      <c r="IWT341" s="34"/>
      <c r="IWU341" s="34"/>
      <c r="IWV341" s="34"/>
      <c r="IWW341" s="34"/>
      <c r="IWX341" s="34"/>
      <c r="IWY341" s="34"/>
      <c r="IWZ341" s="34"/>
      <c r="IXA341" s="34"/>
      <c r="IXB341" s="34"/>
      <c r="IXC341" s="34"/>
      <c r="IXD341" s="34"/>
      <c r="IXE341" s="34"/>
      <c r="IXF341" s="34"/>
      <c r="IXG341" s="34"/>
      <c r="IXH341" s="34"/>
      <c r="IXI341" s="34"/>
      <c r="IXJ341" s="34"/>
      <c r="IXK341" s="34"/>
      <c r="IXL341" s="34"/>
      <c r="IXM341" s="34"/>
      <c r="IXN341" s="34"/>
      <c r="IXO341" s="34"/>
      <c r="IXP341" s="34"/>
      <c r="IXQ341" s="34"/>
      <c r="IXR341" s="34"/>
      <c r="IXS341" s="34"/>
      <c r="IXT341" s="34"/>
      <c r="IXU341" s="34"/>
      <c r="IXV341" s="34"/>
      <c r="IXW341" s="34"/>
      <c r="IXX341" s="34"/>
      <c r="IXY341" s="34"/>
      <c r="IXZ341" s="34"/>
      <c r="IYA341" s="34"/>
      <c r="IYB341" s="34"/>
      <c r="IYC341" s="34"/>
      <c r="IYD341" s="34"/>
      <c r="IYE341" s="34"/>
      <c r="IYF341" s="34"/>
      <c r="IYG341" s="34"/>
      <c r="IYH341" s="34"/>
      <c r="IYI341" s="34"/>
      <c r="IYJ341" s="34"/>
      <c r="IYK341" s="34"/>
      <c r="IYL341" s="34"/>
      <c r="IYM341" s="34"/>
      <c r="IYN341" s="34"/>
      <c r="IYO341" s="34"/>
      <c r="IYP341" s="34"/>
      <c r="IYQ341" s="34"/>
      <c r="IYR341" s="34"/>
      <c r="IYS341" s="34"/>
      <c r="IYT341" s="34"/>
      <c r="IYU341" s="34"/>
      <c r="IYV341" s="34"/>
      <c r="IYW341" s="34"/>
      <c r="IYX341" s="34"/>
      <c r="IYY341" s="34"/>
      <c r="IYZ341" s="34"/>
      <c r="IZA341" s="34"/>
      <c r="IZB341" s="34"/>
      <c r="IZC341" s="34"/>
      <c r="IZD341" s="34"/>
      <c r="IZE341" s="34"/>
      <c r="IZF341" s="34"/>
      <c r="IZG341" s="34"/>
      <c r="IZH341" s="34"/>
      <c r="IZI341" s="34"/>
      <c r="IZJ341" s="34"/>
      <c r="IZK341" s="34"/>
      <c r="IZL341" s="34"/>
      <c r="IZM341" s="34"/>
      <c r="IZN341" s="34"/>
      <c r="IZO341" s="34"/>
      <c r="IZP341" s="34"/>
      <c r="IZQ341" s="34"/>
      <c r="IZR341" s="34"/>
      <c r="IZS341" s="34"/>
      <c r="IZT341" s="34"/>
      <c r="IZU341" s="34"/>
      <c r="IZV341" s="34"/>
      <c r="IZW341" s="34"/>
      <c r="IZX341" s="34"/>
      <c r="IZY341" s="34"/>
      <c r="IZZ341" s="34"/>
      <c r="JAA341" s="34"/>
      <c r="JAB341" s="34"/>
      <c r="JAC341" s="34"/>
      <c r="JAD341" s="34"/>
      <c r="JAE341" s="34"/>
      <c r="JAF341" s="34"/>
      <c r="JAG341" s="34"/>
      <c r="JAH341" s="34"/>
      <c r="JAI341" s="34"/>
      <c r="JAJ341" s="34"/>
      <c r="JAK341" s="34"/>
      <c r="JAL341" s="34"/>
      <c r="JAM341" s="34"/>
      <c r="JAN341" s="34"/>
      <c r="JAO341" s="34"/>
      <c r="JAP341" s="34"/>
      <c r="JAQ341" s="34"/>
      <c r="JAR341" s="34"/>
      <c r="JAS341" s="34"/>
      <c r="JAT341" s="34"/>
      <c r="JAU341" s="34"/>
      <c r="JAV341" s="34"/>
      <c r="JAW341" s="34"/>
      <c r="JAX341" s="34"/>
      <c r="JAY341" s="34"/>
      <c r="JAZ341" s="34"/>
      <c r="JBA341" s="34"/>
      <c r="JBB341" s="34"/>
      <c r="JBC341" s="34"/>
      <c r="JBD341" s="34"/>
      <c r="JBE341" s="34"/>
      <c r="JBF341" s="34"/>
      <c r="JBG341" s="34"/>
      <c r="JBH341" s="34"/>
      <c r="JBI341" s="34"/>
      <c r="JBJ341" s="34"/>
      <c r="JBK341" s="34"/>
      <c r="JBL341" s="34"/>
      <c r="JBM341" s="34"/>
      <c r="JBN341" s="34"/>
      <c r="JBO341" s="34"/>
      <c r="JBP341" s="34"/>
      <c r="JBQ341" s="34"/>
      <c r="JBR341" s="34"/>
      <c r="JBS341" s="34"/>
      <c r="JBT341" s="34"/>
      <c r="JBU341" s="34"/>
      <c r="JBV341" s="34"/>
      <c r="JBW341" s="34"/>
      <c r="JBX341" s="34"/>
      <c r="JBY341" s="34"/>
      <c r="JBZ341" s="34"/>
      <c r="JCA341" s="34"/>
      <c r="JCB341" s="34"/>
      <c r="JCC341" s="34"/>
      <c r="JCD341" s="34"/>
      <c r="JCE341" s="34"/>
      <c r="JCF341" s="34"/>
      <c r="JCG341" s="34"/>
      <c r="JCH341" s="34"/>
      <c r="JCI341" s="34"/>
      <c r="JCJ341" s="34"/>
      <c r="JCK341" s="34"/>
      <c r="JCL341" s="34"/>
      <c r="JCM341" s="34"/>
      <c r="JCN341" s="34"/>
      <c r="JCO341" s="34"/>
      <c r="JCP341" s="34"/>
      <c r="JCQ341" s="34"/>
      <c r="JCR341" s="34"/>
      <c r="JCS341" s="34"/>
      <c r="JCT341" s="34"/>
      <c r="JCU341" s="34"/>
      <c r="JCV341" s="34"/>
      <c r="JCW341" s="34"/>
      <c r="JCX341" s="34"/>
      <c r="JCY341" s="34"/>
      <c r="JCZ341" s="34"/>
      <c r="JDA341" s="34"/>
      <c r="JDB341" s="34"/>
      <c r="JDC341" s="34"/>
      <c r="JDD341" s="34"/>
      <c r="JDE341" s="34"/>
      <c r="JDF341" s="34"/>
      <c r="JDG341" s="34"/>
      <c r="JDH341" s="34"/>
      <c r="JDI341" s="34"/>
      <c r="JDJ341" s="34"/>
      <c r="JDK341" s="34"/>
      <c r="JDL341" s="34"/>
      <c r="JDM341" s="34"/>
      <c r="JDN341" s="34"/>
      <c r="JDO341" s="34"/>
      <c r="JDP341" s="34"/>
      <c r="JDQ341" s="34"/>
      <c r="JDR341" s="34"/>
      <c r="JDS341" s="34"/>
      <c r="JDT341" s="34"/>
      <c r="JDU341" s="34"/>
      <c r="JDV341" s="34"/>
      <c r="JDW341" s="34"/>
      <c r="JDX341" s="34"/>
      <c r="JDY341" s="34"/>
      <c r="JDZ341" s="34"/>
      <c r="JEA341" s="34"/>
      <c r="JEB341" s="34"/>
      <c r="JEC341" s="34"/>
      <c r="JED341" s="34"/>
      <c r="JEE341" s="34"/>
      <c r="JEF341" s="34"/>
      <c r="JEG341" s="34"/>
      <c r="JEH341" s="34"/>
      <c r="JEI341" s="34"/>
      <c r="JEJ341" s="34"/>
      <c r="JEK341" s="34"/>
      <c r="JEL341" s="34"/>
      <c r="JEM341" s="34"/>
      <c r="JEN341" s="34"/>
      <c r="JEO341" s="34"/>
      <c r="JEP341" s="34"/>
      <c r="JEQ341" s="34"/>
      <c r="JER341" s="34"/>
      <c r="JES341" s="34"/>
      <c r="JET341" s="34"/>
      <c r="JEU341" s="34"/>
      <c r="JEV341" s="34"/>
      <c r="JEW341" s="34"/>
      <c r="JEX341" s="34"/>
      <c r="JEY341" s="34"/>
      <c r="JEZ341" s="34"/>
      <c r="JFA341" s="34"/>
      <c r="JFB341" s="34"/>
      <c r="JFC341" s="34"/>
      <c r="JFD341" s="34"/>
      <c r="JFE341" s="34"/>
      <c r="JFF341" s="34"/>
      <c r="JFG341" s="34"/>
      <c r="JFH341" s="34"/>
      <c r="JFI341" s="34"/>
      <c r="JFJ341" s="34"/>
      <c r="JFK341" s="34"/>
      <c r="JFL341" s="34"/>
      <c r="JFM341" s="34"/>
      <c r="JFN341" s="34"/>
      <c r="JFO341" s="34"/>
      <c r="JFP341" s="34"/>
      <c r="JFQ341" s="34"/>
      <c r="JFR341" s="34"/>
      <c r="JFS341" s="34"/>
      <c r="JFT341" s="34"/>
      <c r="JFU341" s="34"/>
      <c r="JFV341" s="34"/>
      <c r="JFW341" s="34"/>
      <c r="JFX341" s="34"/>
      <c r="JFY341" s="34"/>
      <c r="JFZ341" s="34"/>
      <c r="JGA341" s="34"/>
      <c r="JGB341" s="34"/>
      <c r="JGC341" s="34"/>
      <c r="JGD341" s="34"/>
      <c r="JGE341" s="34"/>
      <c r="JGF341" s="34"/>
      <c r="JGG341" s="34"/>
      <c r="JGH341" s="34"/>
      <c r="JGI341" s="34"/>
      <c r="JGJ341" s="34"/>
      <c r="JGK341" s="34"/>
      <c r="JGL341" s="34"/>
      <c r="JGM341" s="34"/>
      <c r="JGN341" s="34"/>
      <c r="JGO341" s="34"/>
      <c r="JGP341" s="34"/>
      <c r="JGQ341" s="34"/>
      <c r="JGR341" s="34"/>
      <c r="JGS341" s="34"/>
      <c r="JGT341" s="34"/>
      <c r="JGU341" s="34"/>
      <c r="JGV341" s="34"/>
      <c r="JGW341" s="34"/>
      <c r="JGX341" s="34"/>
      <c r="JGY341" s="34"/>
      <c r="JGZ341" s="34"/>
      <c r="JHA341" s="34"/>
      <c r="JHB341" s="34"/>
      <c r="JHC341" s="34"/>
      <c r="JHD341" s="34"/>
      <c r="JHE341" s="34"/>
      <c r="JHF341" s="34"/>
      <c r="JHG341" s="34"/>
      <c r="JHH341" s="34"/>
      <c r="JHI341" s="34"/>
      <c r="JHJ341" s="34"/>
      <c r="JHK341" s="34"/>
      <c r="JHL341" s="34"/>
      <c r="JHM341" s="34"/>
      <c r="JHN341" s="34"/>
      <c r="JHO341" s="34"/>
      <c r="JHP341" s="34"/>
      <c r="JHQ341" s="34"/>
      <c r="JHR341" s="34"/>
      <c r="JHS341" s="34"/>
      <c r="JHT341" s="34"/>
      <c r="JHU341" s="34"/>
      <c r="JHV341" s="34"/>
      <c r="JHW341" s="34"/>
      <c r="JHX341" s="34"/>
      <c r="JHY341" s="34"/>
      <c r="JHZ341" s="34"/>
      <c r="JIA341" s="34"/>
      <c r="JIB341" s="34"/>
      <c r="JIC341" s="34"/>
      <c r="JID341" s="34"/>
      <c r="JIE341" s="34"/>
      <c r="JIF341" s="34"/>
      <c r="JIG341" s="34"/>
      <c r="JIH341" s="34"/>
      <c r="JII341" s="34"/>
      <c r="JIJ341" s="34"/>
      <c r="JIK341" s="34"/>
      <c r="JIL341" s="34"/>
      <c r="JIM341" s="34"/>
      <c r="JIN341" s="34"/>
      <c r="JIO341" s="34"/>
      <c r="JIP341" s="34"/>
      <c r="JIQ341" s="34"/>
      <c r="JIR341" s="34"/>
      <c r="JIS341" s="34"/>
      <c r="JIT341" s="34"/>
      <c r="JIU341" s="34"/>
      <c r="JIV341" s="34"/>
      <c r="JIW341" s="34"/>
      <c r="JIX341" s="34"/>
      <c r="JIY341" s="34"/>
      <c r="JIZ341" s="34"/>
      <c r="JJA341" s="34"/>
      <c r="JJB341" s="34"/>
      <c r="JJC341" s="34"/>
      <c r="JJD341" s="34"/>
      <c r="JJE341" s="34"/>
      <c r="JJF341" s="34"/>
      <c r="JJG341" s="34"/>
      <c r="JJH341" s="34"/>
      <c r="JJI341" s="34"/>
      <c r="JJJ341" s="34"/>
      <c r="JJK341" s="34"/>
      <c r="JJL341" s="34"/>
      <c r="JJM341" s="34"/>
      <c r="JJN341" s="34"/>
      <c r="JJO341" s="34"/>
      <c r="JJP341" s="34"/>
      <c r="JJQ341" s="34"/>
      <c r="JJR341" s="34"/>
      <c r="JJS341" s="34"/>
      <c r="JJT341" s="34"/>
      <c r="JJU341" s="34"/>
      <c r="JJV341" s="34"/>
      <c r="JJW341" s="34"/>
      <c r="JJX341" s="34"/>
      <c r="JJY341" s="34"/>
      <c r="JJZ341" s="34"/>
      <c r="JKA341" s="34"/>
      <c r="JKB341" s="34"/>
      <c r="JKC341" s="34"/>
      <c r="JKD341" s="34"/>
      <c r="JKE341" s="34"/>
      <c r="JKF341" s="34"/>
      <c r="JKG341" s="34"/>
      <c r="JKH341" s="34"/>
      <c r="JKI341" s="34"/>
      <c r="JKJ341" s="34"/>
      <c r="JKK341" s="34"/>
      <c r="JKL341" s="34"/>
      <c r="JKM341" s="34"/>
      <c r="JKN341" s="34"/>
      <c r="JKO341" s="34"/>
      <c r="JKP341" s="34"/>
      <c r="JKQ341" s="34"/>
      <c r="JKR341" s="34"/>
      <c r="JKS341" s="34"/>
      <c r="JKT341" s="34"/>
      <c r="JKU341" s="34"/>
      <c r="JKV341" s="34"/>
      <c r="JKW341" s="34"/>
      <c r="JKX341" s="34"/>
      <c r="JKY341" s="34"/>
      <c r="JKZ341" s="34"/>
      <c r="JLA341" s="34"/>
      <c r="JLB341" s="34"/>
      <c r="JLC341" s="34"/>
      <c r="JLD341" s="34"/>
      <c r="JLE341" s="34"/>
      <c r="JLF341" s="34"/>
      <c r="JLG341" s="34"/>
      <c r="JLH341" s="34"/>
      <c r="JLI341" s="34"/>
      <c r="JLJ341" s="34"/>
      <c r="JLK341" s="34"/>
      <c r="JLL341" s="34"/>
      <c r="JLM341" s="34"/>
      <c r="JLN341" s="34"/>
      <c r="JLO341" s="34"/>
      <c r="JLP341" s="34"/>
      <c r="JLQ341" s="34"/>
      <c r="JLR341" s="34"/>
      <c r="JLS341" s="34"/>
      <c r="JLT341" s="34"/>
      <c r="JLU341" s="34"/>
      <c r="JLV341" s="34"/>
      <c r="JLW341" s="34"/>
      <c r="JLX341" s="34"/>
      <c r="JLY341" s="34"/>
      <c r="JLZ341" s="34"/>
      <c r="JMA341" s="34"/>
      <c r="JMB341" s="34"/>
      <c r="JMC341" s="34"/>
      <c r="JMD341" s="34"/>
      <c r="JME341" s="34"/>
      <c r="JMF341" s="34"/>
      <c r="JMG341" s="34"/>
      <c r="JMH341" s="34"/>
      <c r="JMI341" s="34"/>
      <c r="JMJ341" s="34"/>
      <c r="JMK341" s="34"/>
      <c r="JML341" s="34"/>
      <c r="JMM341" s="34"/>
      <c r="JMN341" s="34"/>
      <c r="JMO341" s="34"/>
      <c r="JMP341" s="34"/>
      <c r="JMQ341" s="34"/>
      <c r="JMR341" s="34"/>
      <c r="JMS341" s="34"/>
      <c r="JMT341" s="34"/>
      <c r="JMU341" s="34"/>
      <c r="JMV341" s="34"/>
      <c r="JMW341" s="34"/>
      <c r="JMX341" s="34"/>
      <c r="JMY341" s="34"/>
      <c r="JMZ341" s="34"/>
      <c r="JNA341" s="34"/>
      <c r="JNB341" s="34"/>
      <c r="JNC341" s="34"/>
      <c r="JND341" s="34"/>
      <c r="JNE341" s="34"/>
      <c r="JNF341" s="34"/>
      <c r="JNG341" s="34"/>
      <c r="JNH341" s="34"/>
      <c r="JNI341" s="34"/>
      <c r="JNJ341" s="34"/>
      <c r="JNK341" s="34"/>
      <c r="JNL341" s="34"/>
      <c r="JNM341" s="34"/>
      <c r="JNN341" s="34"/>
      <c r="JNO341" s="34"/>
      <c r="JNP341" s="34"/>
      <c r="JNQ341" s="34"/>
      <c r="JNR341" s="34"/>
      <c r="JNS341" s="34"/>
      <c r="JNT341" s="34"/>
      <c r="JNU341" s="34"/>
      <c r="JNV341" s="34"/>
      <c r="JNW341" s="34"/>
      <c r="JNX341" s="34"/>
      <c r="JNY341" s="34"/>
      <c r="JNZ341" s="34"/>
      <c r="JOA341" s="34"/>
      <c r="JOB341" s="34"/>
      <c r="JOC341" s="34"/>
      <c r="JOD341" s="34"/>
      <c r="JOE341" s="34"/>
      <c r="JOF341" s="34"/>
      <c r="JOG341" s="34"/>
      <c r="JOH341" s="34"/>
      <c r="JOI341" s="34"/>
      <c r="JOJ341" s="34"/>
      <c r="JOK341" s="34"/>
      <c r="JOL341" s="34"/>
      <c r="JOM341" s="34"/>
      <c r="JON341" s="34"/>
      <c r="JOO341" s="34"/>
      <c r="JOP341" s="34"/>
      <c r="JOQ341" s="34"/>
      <c r="JOR341" s="34"/>
      <c r="JOS341" s="34"/>
      <c r="JOT341" s="34"/>
      <c r="JOU341" s="34"/>
      <c r="JOV341" s="34"/>
      <c r="JOW341" s="34"/>
      <c r="JOX341" s="34"/>
      <c r="JOY341" s="34"/>
      <c r="JOZ341" s="34"/>
      <c r="JPA341" s="34"/>
      <c r="JPB341" s="34"/>
      <c r="JPC341" s="34"/>
      <c r="JPD341" s="34"/>
      <c r="JPE341" s="34"/>
      <c r="JPF341" s="34"/>
      <c r="JPG341" s="34"/>
      <c r="JPH341" s="34"/>
      <c r="JPI341" s="34"/>
      <c r="JPJ341" s="34"/>
      <c r="JPK341" s="34"/>
      <c r="JPL341" s="34"/>
      <c r="JPM341" s="34"/>
      <c r="JPN341" s="34"/>
      <c r="JPO341" s="34"/>
      <c r="JPP341" s="34"/>
      <c r="JPQ341" s="34"/>
      <c r="JPR341" s="34"/>
      <c r="JPS341" s="34"/>
      <c r="JPT341" s="34"/>
      <c r="JPU341" s="34"/>
      <c r="JPV341" s="34"/>
      <c r="JPW341" s="34"/>
      <c r="JPX341" s="34"/>
      <c r="JPY341" s="34"/>
      <c r="JPZ341" s="34"/>
      <c r="JQA341" s="34"/>
      <c r="JQB341" s="34"/>
      <c r="JQC341" s="34"/>
      <c r="JQD341" s="34"/>
      <c r="JQE341" s="34"/>
      <c r="JQF341" s="34"/>
      <c r="JQG341" s="34"/>
      <c r="JQH341" s="34"/>
      <c r="JQI341" s="34"/>
      <c r="JQJ341" s="34"/>
      <c r="JQK341" s="34"/>
      <c r="JQL341" s="34"/>
      <c r="JQM341" s="34"/>
      <c r="JQN341" s="34"/>
      <c r="JQO341" s="34"/>
      <c r="JQP341" s="34"/>
      <c r="JQQ341" s="34"/>
      <c r="JQR341" s="34"/>
      <c r="JQS341" s="34"/>
      <c r="JQT341" s="34"/>
      <c r="JQU341" s="34"/>
      <c r="JQV341" s="34"/>
      <c r="JQW341" s="34"/>
      <c r="JQX341" s="34"/>
      <c r="JQY341" s="34"/>
      <c r="JQZ341" s="34"/>
      <c r="JRA341" s="34"/>
      <c r="JRB341" s="34"/>
      <c r="JRC341" s="34"/>
      <c r="JRD341" s="34"/>
      <c r="JRE341" s="34"/>
      <c r="JRF341" s="34"/>
      <c r="JRG341" s="34"/>
      <c r="JRH341" s="34"/>
      <c r="JRI341" s="34"/>
      <c r="JRJ341" s="34"/>
      <c r="JRK341" s="34"/>
      <c r="JRL341" s="34"/>
      <c r="JRM341" s="34"/>
      <c r="JRN341" s="34"/>
      <c r="JRO341" s="34"/>
      <c r="JRP341" s="34"/>
      <c r="JRQ341" s="34"/>
      <c r="JRR341" s="34"/>
      <c r="JRS341" s="34"/>
      <c r="JRT341" s="34"/>
      <c r="JRU341" s="34"/>
      <c r="JRV341" s="34"/>
      <c r="JRW341" s="34"/>
      <c r="JRX341" s="34"/>
      <c r="JRY341" s="34"/>
      <c r="JRZ341" s="34"/>
      <c r="JSA341" s="34"/>
      <c r="JSB341" s="34"/>
      <c r="JSC341" s="34"/>
      <c r="JSD341" s="34"/>
      <c r="JSE341" s="34"/>
      <c r="JSF341" s="34"/>
      <c r="JSG341" s="34"/>
      <c r="JSH341" s="34"/>
      <c r="JSI341" s="34"/>
      <c r="JSJ341" s="34"/>
      <c r="JSK341" s="34"/>
      <c r="JSL341" s="34"/>
      <c r="JSM341" s="34"/>
      <c r="JSN341" s="34"/>
      <c r="JSO341" s="34"/>
      <c r="JSP341" s="34"/>
      <c r="JSQ341" s="34"/>
      <c r="JSR341" s="34"/>
      <c r="JSS341" s="34"/>
      <c r="JST341" s="34"/>
      <c r="JSU341" s="34"/>
      <c r="JSV341" s="34"/>
      <c r="JSW341" s="34"/>
      <c r="JSX341" s="34"/>
      <c r="JSY341" s="34"/>
      <c r="JSZ341" s="34"/>
      <c r="JTA341" s="34"/>
      <c r="JTB341" s="34"/>
      <c r="JTC341" s="34"/>
      <c r="JTD341" s="34"/>
      <c r="JTE341" s="34"/>
      <c r="JTF341" s="34"/>
      <c r="JTG341" s="34"/>
      <c r="JTH341" s="34"/>
      <c r="JTI341" s="34"/>
      <c r="JTJ341" s="34"/>
      <c r="JTK341" s="34"/>
      <c r="JTL341" s="34"/>
      <c r="JTM341" s="34"/>
      <c r="JTN341" s="34"/>
      <c r="JTO341" s="34"/>
      <c r="JTP341" s="34"/>
      <c r="JTQ341" s="34"/>
      <c r="JTR341" s="34"/>
      <c r="JTS341" s="34"/>
      <c r="JTT341" s="34"/>
      <c r="JTU341" s="34"/>
      <c r="JTV341" s="34"/>
      <c r="JTW341" s="34"/>
      <c r="JTX341" s="34"/>
      <c r="JTY341" s="34"/>
      <c r="JTZ341" s="34"/>
      <c r="JUA341" s="34"/>
      <c r="JUB341" s="34"/>
      <c r="JUC341" s="34"/>
      <c r="JUD341" s="34"/>
      <c r="JUE341" s="34"/>
      <c r="JUF341" s="34"/>
      <c r="JUG341" s="34"/>
      <c r="JUH341" s="34"/>
      <c r="JUI341" s="34"/>
      <c r="JUJ341" s="34"/>
      <c r="JUK341" s="34"/>
      <c r="JUL341" s="34"/>
      <c r="JUM341" s="34"/>
      <c r="JUN341" s="34"/>
      <c r="JUO341" s="34"/>
      <c r="JUP341" s="34"/>
      <c r="JUQ341" s="34"/>
      <c r="JUR341" s="34"/>
      <c r="JUS341" s="34"/>
      <c r="JUT341" s="34"/>
      <c r="JUU341" s="34"/>
      <c r="JUV341" s="34"/>
      <c r="JUW341" s="34"/>
      <c r="JUX341" s="34"/>
      <c r="JUY341" s="34"/>
      <c r="JUZ341" s="34"/>
      <c r="JVA341" s="34"/>
      <c r="JVB341" s="34"/>
      <c r="JVC341" s="34"/>
      <c r="JVD341" s="34"/>
      <c r="JVE341" s="34"/>
      <c r="JVF341" s="34"/>
      <c r="JVG341" s="34"/>
      <c r="JVH341" s="34"/>
      <c r="JVI341" s="34"/>
      <c r="JVJ341" s="34"/>
      <c r="JVK341" s="34"/>
      <c r="JVL341" s="34"/>
      <c r="JVM341" s="34"/>
      <c r="JVN341" s="34"/>
      <c r="JVO341" s="34"/>
      <c r="JVP341" s="34"/>
      <c r="JVQ341" s="34"/>
      <c r="JVR341" s="34"/>
      <c r="JVS341" s="34"/>
      <c r="JVT341" s="34"/>
      <c r="JVU341" s="34"/>
      <c r="JVV341" s="34"/>
      <c r="JVW341" s="34"/>
      <c r="JVX341" s="34"/>
      <c r="JVY341" s="34"/>
      <c r="JVZ341" s="34"/>
      <c r="JWA341" s="34"/>
      <c r="JWB341" s="34"/>
      <c r="JWC341" s="34"/>
      <c r="JWD341" s="34"/>
      <c r="JWE341" s="34"/>
      <c r="JWF341" s="34"/>
      <c r="JWG341" s="34"/>
      <c r="JWH341" s="34"/>
      <c r="JWI341" s="34"/>
      <c r="JWJ341" s="34"/>
      <c r="JWK341" s="34"/>
      <c r="JWL341" s="34"/>
      <c r="JWM341" s="34"/>
      <c r="JWN341" s="34"/>
      <c r="JWO341" s="34"/>
      <c r="JWP341" s="34"/>
      <c r="JWQ341" s="34"/>
      <c r="JWR341" s="34"/>
      <c r="JWS341" s="34"/>
      <c r="JWT341" s="34"/>
      <c r="JWU341" s="34"/>
      <c r="JWV341" s="34"/>
      <c r="JWW341" s="34"/>
      <c r="JWX341" s="34"/>
      <c r="JWY341" s="34"/>
      <c r="JWZ341" s="34"/>
      <c r="JXA341" s="34"/>
      <c r="JXB341" s="34"/>
      <c r="JXC341" s="34"/>
      <c r="JXD341" s="34"/>
      <c r="JXE341" s="34"/>
      <c r="JXF341" s="34"/>
      <c r="JXG341" s="34"/>
      <c r="JXH341" s="34"/>
      <c r="JXI341" s="34"/>
      <c r="JXJ341" s="34"/>
      <c r="JXK341" s="34"/>
      <c r="JXL341" s="34"/>
      <c r="JXM341" s="34"/>
      <c r="JXN341" s="34"/>
      <c r="JXO341" s="34"/>
      <c r="JXP341" s="34"/>
      <c r="JXQ341" s="34"/>
      <c r="JXR341" s="34"/>
      <c r="JXS341" s="34"/>
      <c r="JXT341" s="34"/>
      <c r="JXU341" s="34"/>
      <c r="JXV341" s="34"/>
      <c r="JXW341" s="34"/>
      <c r="JXX341" s="34"/>
      <c r="JXY341" s="34"/>
      <c r="JXZ341" s="34"/>
      <c r="JYA341" s="34"/>
      <c r="JYB341" s="34"/>
      <c r="JYC341" s="34"/>
      <c r="JYD341" s="34"/>
      <c r="JYE341" s="34"/>
      <c r="JYF341" s="34"/>
      <c r="JYG341" s="34"/>
      <c r="JYH341" s="34"/>
      <c r="JYI341" s="34"/>
      <c r="JYJ341" s="34"/>
      <c r="JYK341" s="34"/>
      <c r="JYL341" s="34"/>
      <c r="JYM341" s="34"/>
      <c r="JYN341" s="34"/>
      <c r="JYO341" s="34"/>
      <c r="JYP341" s="34"/>
      <c r="JYQ341" s="34"/>
      <c r="JYR341" s="34"/>
      <c r="JYS341" s="34"/>
      <c r="JYT341" s="34"/>
      <c r="JYU341" s="34"/>
      <c r="JYV341" s="34"/>
      <c r="JYW341" s="34"/>
      <c r="JYX341" s="34"/>
      <c r="JYY341" s="34"/>
      <c r="JYZ341" s="34"/>
      <c r="JZA341" s="34"/>
      <c r="JZB341" s="34"/>
      <c r="JZC341" s="34"/>
      <c r="JZD341" s="34"/>
      <c r="JZE341" s="34"/>
      <c r="JZF341" s="34"/>
      <c r="JZG341" s="34"/>
      <c r="JZH341" s="34"/>
      <c r="JZI341" s="34"/>
      <c r="JZJ341" s="34"/>
      <c r="JZK341" s="34"/>
      <c r="JZL341" s="34"/>
      <c r="JZM341" s="34"/>
      <c r="JZN341" s="34"/>
      <c r="JZO341" s="34"/>
      <c r="JZP341" s="34"/>
      <c r="JZQ341" s="34"/>
      <c r="JZR341" s="34"/>
      <c r="JZS341" s="34"/>
      <c r="JZT341" s="34"/>
      <c r="JZU341" s="34"/>
      <c r="JZV341" s="34"/>
      <c r="JZW341" s="34"/>
      <c r="JZX341" s="34"/>
      <c r="JZY341" s="34"/>
      <c r="JZZ341" s="34"/>
      <c r="KAA341" s="34"/>
      <c r="KAB341" s="34"/>
      <c r="KAC341" s="34"/>
      <c r="KAD341" s="34"/>
      <c r="KAE341" s="34"/>
      <c r="KAF341" s="34"/>
      <c r="KAG341" s="34"/>
      <c r="KAH341" s="34"/>
      <c r="KAI341" s="34"/>
      <c r="KAJ341" s="34"/>
      <c r="KAK341" s="34"/>
      <c r="KAL341" s="34"/>
      <c r="KAM341" s="34"/>
      <c r="KAN341" s="34"/>
      <c r="KAO341" s="34"/>
      <c r="KAP341" s="34"/>
      <c r="KAQ341" s="34"/>
      <c r="KAR341" s="34"/>
      <c r="KAS341" s="34"/>
      <c r="KAT341" s="34"/>
      <c r="KAU341" s="34"/>
      <c r="KAV341" s="34"/>
      <c r="KAW341" s="34"/>
      <c r="KAX341" s="34"/>
      <c r="KAY341" s="34"/>
      <c r="KAZ341" s="34"/>
      <c r="KBA341" s="34"/>
      <c r="KBB341" s="34"/>
      <c r="KBC341" s="34"/>
      <c r="KBD341" s="34"/>
      <c r="KBE341" s="34"/>
      <c r="KBF341" s="34"/>
      <c r="KBG341" s="34"/>
      <c r="KBH341" s="34"/>
      <c r="KBI341" s="34"/>
      <c r="KBJ341" s="34"/>
      <c r="KBK341" s="34"/>
      <c r="KBL341" s="34"/>
      <c r="KBM341" s="34"/>
      <c r="KBN341" s="34"/>
      <c r="KBO341" s="34"/>
      <c r="KBP341" s="34"/>
      <c r="KBQ341" s="34"/>
      <c r="KBR341" s="34"/>
      <c r="KBS341" s="34"/>
      <c r="KBT341" s="34"/>
      <c r="KBU341" s="34"/>
      <c r="KBV341" s="34"/>
      <c r="KBW341" s="34"/>
      <c r="KBX341" s="34"/>
      <c r="KBY341" s="34"/>
      <c r="KBZ341" s="34"/>
      <c r="KCA341" s="34"/>
      <c r="KCB341" s="34"/>
      <c r="KCC341" s="34"/>
      <c r="KCD341" s="34"/>
      <c r="KCE341" s="34"/>
      <c r="KCF341" s="34"/>
      <c r="KCG341" s="34"/>
      <c r="KCH341" s="34"/>
      <c r="KCI341" s="34"/>
      <c r="KCJ341" s="34"/>
      <c r="KCK341" s="34"/>
      <c r="KCL341" s="34"/>
      <c r="KCM341" s="34"/>
      <c r="KCN341" s="34"/>
      <c r="KCO341" s="34"/>
      <c r="KCP341" s="34"/>
      <c r="KCQ341" s="34"/>
      <c r="KCR341" s="34"/>
      <c r="KCS341" s="34"/>
      <c r="KCT341" s="34"/>
      <c r="KCU341" s="34"/>
      <c r="KCV341" s="34"/>
      <c r="KCW341" s="34"/>
      <c r="KCX341" s="34"/>
      <c r="KCY341" s="34"/>
      <c r="KCZ341" s="34"/>
      <c r="KDA341" s="34"/>
      <c r="KDB341" s="34"/>
      <c r="KDC341" s="34"/>
      <c r="KDD341" s="34"/>
      <c r="KDE341" s="34"/>
      <c r="KDF341" s="34"/>
      <c r="KDG341" s="34"/>
      <c r="KDH341" s="34"/>
      <c r="KDI341" s="34"/>
      <c r="KDJ341" s="34"/>
      <c r="KDK341" s="34"/>
      <c r="KDL341" s="34"/>
      <c r="KDM341" s="34"/>
      <c r="KDN341" s="34"/>
      <c r="KDO341" s="34"/>
      <c r="KDP341" s="34"/>
      <c r="KDQ341" s="34"/>
      <c r="KDR341" s="34"/>
      <c r="KDS341" s="34"/>
      <c r="KDT341" s="34"/>
      <c r="KDU341" s="34"/>
      <c r="KDV341" s="34"/>
      <c r="KDW341" s="34"/>
      <c r="KDX341" s="34"/>
      <c r="KDY341" s="34"/>
      <c r="KDZ341" s="34"/>
      <c r="KEA341" s="34"/>
      <c r="KEB341" s="34"/>
      <c r="KEC341" s="34"/>
      <c r="KED341" s="34"/>
      <c r="KEE341" s="34"/>
      <c r="KEF341" s="34"/>
      <c r="KEG341" s="34"/>
      <c r="KEH341" s="34"/>
      <c r="KEI341" s="34"/>
      <c r="KEJ341" s="34"/>
      <c r="KEK341" s="34"/>
      <c r="KEL341" s="34"/>
      <c r="KEM341" s="34"/>
      <c r="KEN341" s="34"/>
      <c r="KEO341" s="34"/>
      <c r="KEP341" s="34"/>
      <c r="KEQ341" s="34"/>
      <c r="KER341" s="34"/>
      <c r="KES341" s="34"/>
      <c r="KET341" s="34"/>
      <c r="KEU341" s="34"/>
      <c r="KEV341" s="34"/>
      <c r="KEW341" s="34"/>
      <c r="KEX341" s="34"/>
      <c r="KEY341" s="34"/>
      <c r="KEZ341" s="34"/>
      <c r="KFA341" s="34"/>
      <c r="KFB341" s="34"/>
      <c r="KFC341" s="34"/>
      <c r="KFD341" s="34"/>
      <c r="KFE341" s="34"/>
      <c r="KFF341" s="34"/>
      <c r="KFG341" s="34"/>
      <c r="KFH341" s="34"/>
      <c r="KFI341" s="34"/>
      <c r="KFJ341" s="34"/>
      <c r="KFK341" s="34"/>
      <c r="KFL341" s="34"/>
      <c r="KFM341" s="34"/>
      <c r="KFN341" s="34"/>
      <c r="KFO341" s="34"/>
      <c r="KFP341" s="34"/>
      <c r="KFQ341" s="34"/>
      <c r="KFR341" s="34"/>
      <c r="KFS341" s="34"/>
      <c r="KFT341" s="34"/>
      <c r="KFU341" s="34"/>
      <c r="KFV341" s="34"/>
      <c r="KFW341" s="34"/>
      <c r="KFX341" s="34"/>
      <c r="KFY341" s="34"/>
      <c r="KFZ341" s="34"/>
      <c r="KGA341" s="34"/>
      <c r="KGB341" s="34"/>
      <c r="KGC341" s="34"/>
      <c r="KGD341" s="34"/>
      <c r="KGE341" s="34"/>
      <c r="KGF341" s="34"/>
      <c r="KGG341" s="34"/>
      <c r="KGH341" s="34"/>
      <c r="KGI341" s="34"/>
      <c r="KGJ341" s="34"/>
      <c r="KGK341" s="34"/>
      <c r="KGL341" s="34"/>
      <c r="KGM341" s="34"/>
      <c r="KGN341" s="34"/>
      <c r="KGO341" s="34"/>
      <c r="KGP341" s="34"/>
      <c r="KGQ341" s="34"/>
      <c r="KGR341" s="34"/>
      <c r="KGS341" s="34"/>
      <c r="KGT341" s="34"/>
      <c r="KGU341" s="34"/>
      <c r="KGV341" s="34"/>
      <c r="KGW341" s="34"/>
      <c r="KGX341" s="34"/>
      <c r="KGY341" s="34"/>
      <c r="KGZ341" s="34"/>
      <c r="KHA341" s="34"/>
      <c r="KHB341" s="34"/>
      <c r="KHC341" s="34"/>
      <c r="KHD341" s="34"/>
      <c r="KHE341" s="34"/>
      <c r="KHF341" s="34"/>
      <c r="KHG341" s="34"/>
      <c r="KHH341" s="34"/>
      <c r="KHI341" s="34"/>
      <c r="KHJ341" s="34"/>
      <c r="KHK341" s="34"/>
      <c r="KHL341" s="34"/>
      <c r="KHM341" s="34"/>
      <c r="KHN341" s="34"/>
      <c r="KHO341" s="34"/>
      <c r="KHP341" s="34"/>
      <c r="KHQ341" s="34"/>
      <c r="KHR341" s="34"/>
      <c r="KHS341" s="34"/>
      <c r="KHT341" s="34"/>
      <c r="KHU341" s="34"/>
      <c r="KHV341" s="34"/>
      <c r="KHW341" s="34"/>
      <c r="KHX341" s="34"/>
      <c r="KHY341" s="34"/>
      <c r="KHZ341" s="34"/>
      <c r="KIA341" s="34"/>
      <c r="KIB341" s="34"/>
      <c r="KIC341" s="34"/>
      <c r="KID341" s="34"/>
      <c r="KIE341" s="34"/>
      <c r="KIF341" s="34"/>
      <c r="KIG341" s="34"/>
      <c r="KIH341" s="34"/>
      <c r="KII341" s="34"/>
      <c r="KIJ341" s="34"/>
      <c r="KIK341" s="34"/>
      <c r="KIL341" s="34"/>
      <c r="KIM341" s="34"/>
      <c r="KIN341" s="34"/>
      <c r="KIO341" s="34"/>
      <c r="KIP341" s="34"/>
      <c r="KIQ341" s="34"/>
      <c r="KIR341" s="34"/>
      <c r="KIS341" s="34"/>
      <c r="KIT341" s="34"/>
      <c r="KIU341" s="34"/>
      <c r="KIV341" s="34"/>
      <c r="KIW341" s="34"/>
      <c r="KIX341" s="34"/>
      <c r="KIY341" s="34"/>
      <c r="KIZ341" s="34"/>
      <c r="KJA341" s="34"/>
      <c r="KJB341" s="34"/>
      <c r="KJC341" s="34"/>
      <c r="KJD341" s="34"/>
      <c r="KJE341" s="34"/>
      <c r="KJF341" s="34"/>
      <c r="KJG341" s="34"/>
      <c r="KJH341" s="34"/>
      <c r="KJI341" s="34"/>
      <c r="KJJ341" s="34"/>
      <c r="KJK341" s="34"/>
      <c r="KJL341" s="34"/>
      <c r="KJM341" s="34"/>
      <c r="KJN341" s="34"/>
      <c r="KJO341" s="34"/>
      <c r="KJP341" s="34"/>
      <c r="KJQ341" s="34"/>
      <c r="KJR341" s="34"/>
      <c r="KJS341" s="34"/>
      <c r="KJT341" s="34"/>
      <c r="KJU341" s="34"/>
      <c r="KJV341" s="34"/>
      <c r="KJW341" s="34"/>
      <c r="KJX341" s="34"/>
      <c r="KJY341" s="34"/>
      <c r="KJZ341" s="34"/>
      <c r="KKA341" s="34"/>
      <c r="KKB341" s="34"/>
      <c r="KKC341" s="34"/>
      <c r="KKD341" s="34"/>
      <c r="KKE341" s="34"/>
      <c r="KKF341" s="34"/>
      <c r="KKG341" s="34"/>
      <c r="KKH341" s="34"/>
      <c r="KKI341" s="34"/>
      <c r="KKJ341" s="34"/>
      <c r="KKK341" s="34"/>
      <c r="KKL341" s="34"/>
      <c r="KKM341" s="34"/>
      <c r="KKN341" s="34"/>
      <c r="KKO341" s="34"/>
      <c r="KKP341" s="34"/>
      <c r="KKQ341" s="34"/>
      <c r="KKR341" s="34"/>
      <c r="KKS341" s="34"/>
      <c r="KKT341" s="34"/>
      <c r="KKU341" s="34"/>
      <c r="KKV341" s="34"/>
      <c r="KKW341" s="34"/>
      <c r="KKX341" s="34"/>
      <c r="KKY341" s="34"/>
      <c r="KKZ341" s="34"/>
      <c r="KLA341" s="34"/>
      <c r="KLB341" s="34"/>
      <c r="KLC341" s="34"/>
      <c r="KLD341" s="34"/>
      <c r="KLE341" s="34"/>
      <c r="KLF341" s="34"/>
      <c r="KLG341" s="34"/>
      <c r="KLH341" s="34"/>
      <c r="KLI341" s="34"/>
      <c r="KLJ341" s="34"/>
      <c r="KLK341" s="34"/>
      <c r="KLL341" s="34"/>
      <c r="KLM341" s="34"/>
      <c r="KLN341" s="34"/>
      <c r="KLO341" s="34"/>
      <c r="KLP341" s="34"/>
      <c r="KLQ341" s="34"/>
      <c r="KLR341" s="34"/>
      <c r="KLS341" s="34"/>
      <c r="KLT341" s="34"/>
      <c r="KLU341" s="34"/>
      <c r="KLV341" s="34"/>
      <c r="KLW341" s="34"/>
      <c r="KLX341" s="34"/>
      <c r="KLY341" s="34"/>
      <c r="KLZ341" s="34"/>
      <c r="KMA341" s="34"/>
      <c r="KMB341" s="34"/>
      <c r="KMC341" s="34"/>
      <c r="KMD341" s="34"/>
      <c r="KME341" s="34"/>
      <c r="KMF341" s="34"/>
      <c r="KMG341" s="34"/>
      <c r="KMH341" s="34"/>
      <c r="KMI341" s="34"/>
      <c r="KMJ341" s="34"/>
      <c r="KMK341" s="34"/>
      <c r="KML341" s="34"/>
      <c r="KMM341" s="34"/>
      <c r="KMN341" s="34"/>
      <c r="KMO341" s="34"/>
      <c r="KMP341" s="34"/>
      <c r="KMQ341" s="34"/>
      <c r="KMR341" s="34"/>
      <c r="KMS341" s="34"/>
      <c r="KMT341" s="34"/>
      <c r="KMU341" s="34"/>
      <c r="KMV341" s="34"/>
      <c r="KMW341" s="34"/>
      <c r="KMX341" s="34"/>
      <c r="KMY341" s="34"/>
      <c r="KMZ341" s="34"/>
      <c r="KNA341" s="34"/>
      <c r="KNB341" s="34"/>
      <c r="KNC341" s="34"/>
      <c r="KND341" s="34"/>
      <c r="KNE341" s="34"/>
      <c r="KNF341" s="34"/>
      <c r="KNG341" s="34"/>
      <c r="KNH341" s="34"/>
      <c r="KNI341" s="34"/>
      <c r="KNJ341" s="34"/>
      <c r="KNK341" s="34"/>
      <c r="KNL341" s="34"/>
      <c r="KNM341" s="34"/>
      <c r="KNN341" s="34"/>
      <c r="KNO341" s="34"/>
      <c r="KNP341" s="34"/>
      <c r="KNQ341" s="34"/>
      <c r="KNR341" s="34"/>
      <c r="KNS341" s="34"/>
      <c r="KNT341" s="34"/>
      <c r="KNU341" s="34"/>
      <c r="KNV341" s="34"/>
      <c r="KNW341" s="34"/>
      <c r="KNX341" s="34"/>
      <c r="KNY341" s="34"/>
      <c r="KNZ341" s="34"/>
      <c r="KOA341" s="34"/>
      <c r="KOB341" s="34"/>
      <c r="KOC341" s="34"/>
      <c r="KOD341" s="34"/>
      <c r="KOE341" s="34"/>
      <c r="KOF341" s="34"/>
      <c r="KOG341" s="34"/>
      <c r="KOH341" s="34"/>
      <c r="KOI341" s="34"/>
      <c r="KOJ341" s="34"/>
      <c r="KOK341" s="34"/>
      <c r="KOL341" s="34"/>
      <c r="KOM341" s="34"/>
      <c r="KON341" s="34"/>
      <c r="KOO341" s="34"/>
      <c r="KOP341" s="34"/>
      <c r="KOQ341" s="34"/>
      <c r="KOR341" s="34"/>
      <c r="KOS341" s="34"/>
      <c r="KOT341" s="34"/>
      <c r="KOU341" s="34"/>
      <c r="KOV341" s="34"/>
      <c r="KOW341" s="34"/>
      <c r="KOX341" s="34"/>
      <c r="KOY341" s="34"/>
      <c r="KOZ341" s="34"/>
      <c r="KPA341" s="34"/>
      <c r="KPB341" s="34"/>
      <c r="KPC341" s="34"/>
      <c r="KPD341" s="34"/>
      <c r="KPE341" s="34"/>
      <c r="KPF341" s="34"/>
      <c r="KPG341" s="34"/>
      <c r="KPH341" s="34"/>
      <c r="KPI341" s="34"/>
      <c r="KPJ341" s="34"/>
      <c r="KPK341" s="34"/>
      <c r="KPL341" s="34"/>
      <c r="KPM341" s="34"/>
      <c r="KPN341" s="34"/>
      <c r="KPO341" s="34"/>
      <c r="KPP341" s="34"/>
      <c r="KPQ341" s="34"/>
      <c r="KPR341" s="34"/>
      <c r="KPS341" s="34"/>
      <c r="KPT341" s="34"/>
      <c r="KPU341" s="34"/>
      <c r="KPV341" s="34"/>
      <c r="KPW341" s="34"/>
      <c r="KPX341" s="34"/>
      <c r="KPY341" s="34"/>
      <c r="KPZ341" s="34"/>
      <c r="KQA341" s="34"/>
      <c r="KQB341" s="34"/>
      <c r="KQC341" s="34"/>
      <c r="KQD341" s="34"/>
      <c r="KQE341" s="34"/>
      <c r="KQF341" s="34"/>
      <c r="KQG341" s="34"/>
      <c r="KQH341" s="34"/>
      <c r="KQI341" s="34"/>
      <c r="KQJ341" s="34"/>
      <c r="KQK341" s="34"/>
      <c r="KQL341" s="34"/>
      <c r="KQM341" s="34"/>
      <c r="KQN341" s="34"/>
      <c r="KQO341" s="34"/>
      <c r="KQP341" s="34"/>
      <c r="KQQ341" s="34"/>
      <c r="KQR341" s="34"/>
      <c r="KQS341" s="34"/>
      <c r="KQT341" s="34"/>
      <c r="KQU341" s="34"/>
      <c r="KQV341" s="34"/>
      <c r="KQW341" s="34"/>
      <c r="KQX341" s="34"/>
      <c r="KQY341" s="34"/>
      <c r="KQZ341" s="34"/>
      <c r="KRA341" s="34"/>
      <c r="KRB341" s="34"/>
      <c r="KRC341" s="34"/>
      <c r="KRD341" s="34"/>
      <c r="KRE341" s="34"/>
      <c r="KRF341" s="34"/>
      <c r="KRG341" s="34"/>
      <c r="KRH341" s="34"/>
      <c r="KRI341" s="34"/>
      <c r="KRJ341" s="34"/>
      <c r="KRK341" s="34"/>
      <c r="KRL341" s="34"/>
      <c r="KRM341" s="34"/>
      <c r="KRN341" s="34"/>
      <c r="KRO341" s="34"/>
      <c r="KRP341" s="34"/>
      <c r="KRQ341" s="34"/>
      <c r="KRR341" s="34"/>
      <c r="KRS341" s="34"/>
      <c r="KRT341" s="34"/>
      <c r="KRU341" s="34"/>
      <c r="KRV341" s="34"/>
      <c r="KRW341" s="34"/>
      <c r="KRX341" s="34"/>
      <c r="KRY341" s="34"/>
      <c r="KRZ341" s="34"/>
      <c r="KSA341" s="34"/>
      <c r="KSB341" s="34"/>
      <c r="KSC341" s="34"/>
      <c r="KSD341" s="34"/>
      <c r="KSE341" s="34"/>
      <c r="KSF341" s="34"/>
      <c r="KSG341" s="34"/>
      <c r="KSH341" s="34"/>
      <c r="KSI341" s="34"/>
      <c r="KSJ341" s="34"/>
      <c r="KSK341" s="34"/>
      <c r="KSL341" s="34"/>
      <c r="KSM341" s="34"/>
      <c r="KSN341" s="34"/>
      <c r="KSO341" s="34"/>
      <c r="KSP341" s="34"/>
      <c r="KSQ341" s="34"/>
      <c r="KSR341" s="34"/>
      <c r="KSS341" s="34"/>
      <c r="KST341" s="34"/>
      <c r="KSU341" s="34"/>
      <c r="KSV341" s="34"/>
      <c r="KSW341" s="34"/>
      <c r="KSX341" s="34"/>
      <c r="KSY341" s="34"/>
      <c r="KSZ341" s="34"/>
      <c r="KTA341" s="34"/>
      <c r="KTB341" s="34"/>
      <c r="KTC341" s="34"/>
      <c r="KTD341" s="34"/>
      <c r="KTE341" s="34"/>
      <c r="KTF341" s="34"/>
      <c r="KTG341" s="34"/>
      <c r="KTH341" s="34"/>
      <c r="KTI341" s="34"/>
      <c r="KTJ341" s="34"/>
      <c r="KTK341" s="34"/>
      <c r="KTL341" s="34"/>
      <c r="KTM341" s="34"/>
      <c r="KTN341" s="34"/>
      <c r="KTO341" s="34"/>
      <c r="KTP341" s="34"/>
      <c r="KTQ341" s="34"/>
      <c r="KTR341" s="34"/>
      <c r="KTS341" s="34"/>
      <c r="KTT341" s="34"/>
      <c r="KTU341" s="34"/>
      <c r="KTV341" s="34"/>
      <c r="KTW341" s="34"/>
      <c r="KTX341" s="34"/>
      <c r="KTY341" s="34"/>
      <c r="KTZ341" s="34"/>
      <c r="KUA341" s="34"/>
      <c r="KUB341" s="34"/>
      <c r="KUC341" s="34"/>
      <c r="KUD341" s="34"/>
      <c r="KUE341" s="34"/>
      <c r="KUF341" s="34"/>
      <c r="KUG341" s="34"/>
      <c r="KUH341" s="34"/>
      <c r="KUI341" s="34"/>
      <c r="KUJ341" s="34"/>
      <c r="KUK341" s="34"/>
      <c r="KUL341" s="34"/>
      <c r="KUM341" s="34"/>
      <c r="KUN341" s="34"/>
      <c r="KUO341" s="34"/>
      <c r="KUP341" s="34"/>
      <c r="KUQ341" s="34"/>
      <c r="KUR341" s="34"/>
      <c r="KUS341" s="34"/>
      <c r="KUT341" s="34"/>
      <c r="KUU341" s="34"/>
      <c r="KUV341" s="34"/>
      <c r="KUW341" s="34"/>
      <c r="KUX341" s="34"/>
      <c r="KUY341" s="34"/>
      <c r="KUZ341" s="34"/>
      <c r="KVA341" s="34"/>
      <c r="KVB341" s="34"/>
      <c r="KVC341" s="34"/>
      <c r="KVD341" s="34"/>
      <c r="KVE341" s="34"/>
      <c r="KVF341" s="34"/>
      <c r="KVG341" s="34"/>
      <c r="KVH341" s="34"/>
      <c r="KVI341" s="34"/>
      <c r="KVJ341" s="34"/>
      <c r="KVK341" s="34"/>
      <c r="KVL341" s="34"/>
      <c r="KVM341" s="34"/>
      <c r="KVN341" s="34"/>
      <c r="KVO341" s="34"/>
      <c r="KVP341" s="34"/>
      <c r="KVQ341" s="34"/>
      <c r="KVR341" s="34"/>
      <c r="KVS341" s="34"/>
      <c r="KVT341" s="34"/>
      <c r="KVU341" s="34"/>
      <c r="KVV341" s="34"/>
      <c r="KVW341" s="34"/>
      <c r="KVX341" s="34"/>
      <c r="KVY341" s="34"/>
      <c r="KVZ341" s="34"/>
      <c r="KWA341" s="34"/>
      <c r="KWB341" s="34"/>
      <c r="KWC341" s="34"/>
      <c r="KWD341" s="34"/>
      <c r="KWE341" s="34"/>
      <c r="KWF341" s="34"/>
      <c r="KWG341" s="34"/>
      <c r="KWH341" s="34"/>
      <c r="KWI341" s="34"/>
      <c r="KWJ341" s="34"/>
      <c r="KWK341" s="34"/>
      <c r="KWL341" s="34"/>
      <c r="KWM341" s="34"/>
      <c r="KWN341" s="34"/>
      <c r="KWO341" s="34"/>
      <c r="KWP341" s="34"/>
      <c r="KWQ341" s="34"/>
      <c r="KWR341" s="34"/>
      <c r="KWS341" s="34"/>
      <c r="KWT341" s="34"/>
      <c r="KWU341" s="34"/>
      <c r="KWV341" s="34"/>
      <c r="KWW341" s="34"/>
      <c r="KWX341" s="34"/>
      <c r="KWY341" s="34"/>
      <c r="KWZ341" s="34"/>
      <c r="KXA341" s="34"/>
      <c r="KXB341" s="34"/>
      <c r="KXC341" s="34"/>
      <c r="KXD341" s="34"/>
      <c r="KXE341" s="34"/>
      <c r="KXF341" s="34"/>
      <c r="KXG341" s="34"/>
      <c r="KXH341" s="34"/>
      <c r="KXI341" s="34"/>
      <c r="KXJ341" s="34"/>
      <c r="KXK341" s="34"/>
      <c r="KXL341" s="34"/>
      <c r="KXM341" s="34"/>
      <c r="KXN341" s="34"/>
      <c r="KXO341" s="34"/>
      <c r="KXP341" s="34"/>
      <c r="KXQ341" s="34"/>
      <c r="KXR341" s="34"/>
      <c r="KXS341" s="34"/>
      <c r="KXT341" s="34"/>
      <c r="KXU341" s="34"/>
      <c r="KXV341" s="34"/>
      <c r="KXW341" s="34"/>
      <c r="KXX341" s="34"/>
      <c r="KXY341" s="34"/>
      <c r="KXZ341" s="34"/>
      <c r="KYA341" s="34"/>
      <c r="KYB341" s="34"/>
      <c r="KYC341" s="34"/>
      <c r="KYD341" s="34"/>
      <c r="KYE341" s="34"/>
      <c r="KYF341" s="34"/>
      <c r="KYG341" s="34"/>
      <c r="KYH341" s="34"/>
      <c r="KYI341" s="34"/>
      <c r="KYJ341" s="34"/>
      <c r="KYK341" s="34"/>
      <c r="KYL341" s="34"/>
      <c r="KYM341" s="34"/>
      <c r="KYN341" s="34"/>
      <c r="KYO341" s="34"/>
      <c r="KYP341" s="34"/>
      <c r="KYQ341" s="34"/>
      <c r="KYR341" s="34"/>
      <c r="KYS341" s="34"/>
      <c r="KYT341" s="34"/>
      <c r="KYU341" s="34"/>
      <c r="KYV341" s="34"/>
      <c r="KYW341" s="34"/>
      <c r="KYX341" s="34"/>
      <c r="KYY341" s="34"/>
      <c r="KYZ341" s="34"/>
      <c r="KZA341" s="34"/>
      <c r="KZB341" s="34"/>
      <c r="KZC341" s="34"/>
      <c r="KZD341" s="34"/>
      <c r="KZE341" s="34"/>
      <c r="KZF341" s="34"/>
      <c r="KZG341" s="34"/>
      <c r="KZH341" s="34"/>
      <c r="KZI341" s="34"/>
      <c r="KZJ341" s="34"/>
      <c r="KZK341" s="34"/>
      <c r="KZL341" s="34"/>
      <c r="KZM341" s="34"/>
      <c r="KZN341" s="34"/>
      <c r="KZO341" s="34"/>
      <c r="KZP341" s="34"/>
      <c r="KZQ341" s="34"/>
      <c r="KZR341" s="34"/>
      <c r="KZS341" s="34"/>
      <c r="KZT341" s="34"/>
      <c r="KZU341" s="34"/>
      <c r="KZV341" s="34"/>
      <c r="KZW341" s="34"/>
      <c r="KZX341" s="34"/>
      <c r="KZY341" s="34"/>
      <c r="KZZ341" s="34"/>
      <c r="LAA341" s="34"/>
      <c r="LAB341" s="34"/>
      <c r="LAC341" s="34"/>
      <c r="LAD341" s="34"/>
      <c r="LAE341" s="34"/>
      <c r="LAF341" s="34"/>
      <c r="LAG341" s="34"/>
      <c r="LAH341" s="34"/>
      <c r="LAI341" s="34"/>
      <c r="LAJ341" s="34"/>
      <c r="LAK341" s="34"/>
      <c r="LAL341" s="34"/>
      <c r="LAM341" s="34"/>
      <c r="LAN341" s="34"/>
      <c r="LAO341" s="34"/>
      <c r="LAP341" s="34"/>
      <c r="LAQ341" s="34"/>
      <c r="LAR341" s="34"/>
      <c r="LAS341" s="34"/>
      <c r="LAT341" s="34"/>
      <c r="LAU341" s="34"/>
      <c r="LAV341" s="34"/>
      <c r="LAW341" s="34"/>
      <c r="LAX341" s="34"/>
      <c r="LAY341" s="34"/>
      <c r="LAZ341" s="34"/>
      <c r="LBA341" s="34"/>
      <c r="LBB341" s="34"/>
      <c r="LBC341" s="34"/>
      <c r="LBD341" s="34"/>
      <c r="LBE341" s="34"/>
      <c r="LBF341" s="34"/>
      <c r="LBG341" s="34"/>
      <c r="LBH341" s="34"/>
      <c r="LBI341" s="34"/>
      <c r="LBJ341" s="34"/>
      <c r="LBK341" s="34"/>
      <c r="LBL341" s="34"/>
      <c r="LBM341" s="34"/>
      <c r="LBN341" s="34"/>
      <c r="LBO341" s="34"/>
      <c r="LBP341" s="34"/>
      <c r="LBQ341" s="34"/>
      <c r="LBR341" s="34"/>
      <c r="LBS341" s="34"/>
      <c r="LBT341" s="34"/>
      <c r="LBU341" s="34"/>
      <c r="LBV341" s="34"/>
      <c r="LBW341" s="34"/>
      <c r="LBX341" s="34"/>
      <c r="LBY341" s="34"/>
      <c r="LBZ341" s="34"/>
      <c r="LCA341" s="34"/>
      <c r="LCB341" s="34"/>
      <c r="LCC341" s="34"/>
      <c r="LCD341" s="34"/>
      <c r="LCE341" s="34"/>
      <c r="LCF341" s="34"/>
      <c r="LCG341" s="34"/>
      <c r="LCH341" s="34"/>
      <c r="LCI341" s="34"/>
      <c r="LCJ341" s="34"/>
      <c r="LCK341" s="34"/>
      <c r="LCL341" s="34"/>
      <c r="LCM341" s="34"/>
      <c r="LCN341" s="34"/>
      <c r="LCO341" s="34"/>
      <c r="LCP341" s="34"/>
      <c r="LCQ341" s="34"/>
      <c r="LCR341" s="34"/>
      <c r="LCS341" s="34"/>
      <c r="LCT341" s="34"/>
      <c r="LCU341" s="34"/>
      <c r="LCV341" s="34"/>
      <c r="LCW341" s="34"/>
      <c r="LCX341" s="34"/>
      <c r="LCY341" s="34"/>
      <c r="LCZ341" s="34"/>
      <c r="LDA341" s="34"/>
      <c r="LDB341" s="34"/>
      <c r="LDC341" s="34"/>
      <c r="LDD341" s="34"/>
      <c r="LDE341" s="34"/>
      <c r="LDF341" s="34"/>
      <c r="LDG341" s="34"/>
      <c r="LDH341" s="34"/>
      <c r="LDI341" s="34"/>
      <c r="LDJ341" s="34"/>
      <c r="LDK341" s="34"/>
      <c r="LDL341" s="34"/>
      <c r="LDM341" s="34"/>
      <c r="LDN341" s="34"/>
      <c r="LDO341" s="34"/>
      <c r="LDP341" s="34"/>
      <c r="LDQ341" s="34"/>
      <c r="LDR341" s="34"/>
      <c r="LDS341" s="34"/>
      <c r="LDT341" s="34"/>
      <c r="LDU341" s="34"/>
      <c r="LDV341" s="34"/>
      <c r="LDW341" s="34"/>
      <c r="LDX341" s="34"/>
      <c r="LDY341" s="34"/>
      <c r="LDZ341" s="34"/>
      <c r="LEA341" s="34"/>
      <c r="LEB341" s="34"/>
      <c r="LEC341" s="34"/>
      <c r="LED341" s="34"/>
      <c r="LEE341" s="34"/>
      <c r="LEF341" s="34"/>
      <c r="LEG341" s="34"/>
      <c r="LEH341" s="34"/>
      <c r="LEI341" s="34"/>
      <c r="LEJ341" s="34"/>
      <c r="LEK341" s="34"/>
      <c r="LEL341" s="34"/>
      <c r="LEM341" s="34"/>
      <c r="LEN341" s="34"/>
      <c r="LEO341" s="34"/>
      <c r="LEP341" s="34"/>
      <c r="LEQ341" s="34"/>
      <c r="LER341" s="34"/>
      <c r="LES341" s="34"/>
      <c r="LET341" s="34"/>
      <c r="LEU341" s="34"/>
      <c r="LEV341" s="34"/>
      <c r="LEW341" s="34"/>
      <c r="LEX341" s="34"/>
      <c r="LEY341" s="34"/>
      <c r="LEZ341" s="34"/>
      <c r="LFA341" s="34"/>
      <c r="LFB341" s="34"/>
      <c r="LFC341" s="34"/>
      <c r="LFD341" s="34"/>
      <c r="LFE341" s="34"/>
      <c r="LFF341" s="34"/>
      <c r="LFG341" s="34"/>
      <c r="LFH341" s="34"/>
      <c r="LFI341" s="34"/>
      <c r="LFJ341" s="34"/>
      <c r="LFK341" s="34"/>
      <c r="LFL341" s="34"/>
      <c r="LFM341" s="34"/>
      <c r="LFN341" s="34"/>
      <c r="LFO341" s="34"/>
      <c r="LFP341" s="34"/>
      <c r="LFQ341" s="34"/>
      <c r="LFR341" s="34"/>
      <c r="LFS341" s="34"/>
      <c r="LFT341" s="34"/>
      <c r="LFU341" s="34"/>
      <c r="LFV341" s="34"/>
      <c r="LFW341" s="34"/>
      <c r="LFX341" s="34"/>
      <c r="LFY341" s="34"/>
      <c r="LFZ341" s="34"/>
      <c r="LGA341" s="34"/>
      <c r="LGB341" s="34"/>
      <c r="LGC341" s="34"/>
      <c r="LGD341" s="34"/>
      <c r="LGE341" s="34"/>
      <c r="LGF341" s="34"/>
      <c r="LGG341" s="34"/>
      <c r="LGH341" s="34"/>
      <c r="LGI341" s="34"/>
      <c r="LGJ341" s="34"/>
      <c r="LGK341" s="34"/>
      <c r="LGL341" s="34"/>
      <c r="LGM341" s="34"/>
      <c r="LGN341" s="34"/>
      <c r="LGO341" s="34"/>
      <c r="LGP341" s="34"/>
      <c r="LGQ341" s="34"/>
      <c r="LGR341" s="34"/>
      <c r="LGS341" s="34"/>
      <c r="LGT341" s="34"/>
      <c r="LGU341" s="34"/>
      <c r="LGV341" s="34"/>
      <c r="LGW341" s="34"/>
      <c r="LGX341" s="34"/>
      <c r="LGY341" s="34"/>
      <c r="LGZ341" s="34"/>
      <c r="LHA341" s="34"/>
      <c r="LHB341" s="34"/>
      <c r="LHC341" s="34"/>
      <c r="LHD341" s="34"/>
      <c r="LHE341" s="34"/>
      <c r="LHF341" s="34"/>
      <c r="LHG341" s="34"/>
      <c r="LHH341" s="34"/>
      <c r="LHI341" s="34"/>
      <c r="LHJ341" s="34"/>
      <c r="LHK341" s="34"/>
      <c r="LHL341" s="34"/>
      <c r="LHM341" s="34"/>
      <c r="LHN341" s="34"/>
      <c r="LHO341" s="34"/>
      <c r="LHP341" s="34"/>
      <c r="LHQ341" s="34"/>
      <c r="LHR341" s="34"/>
      <c r="LHS341" s="34"/>
      <c r="LHT341" s="34"/>
      <c r="LHU341" s="34"/>
      <c r="LHV341" s="34"/>
      <c r="LHW341" s="34"/>
      <c r="LHX341" s="34"/>
      <c r="LHY341" s="34"/>
      <c r="LHZ341" s="34"/>
      <c r="LIA341" s="34"/>
      <c r="LIB341" s="34"/>
      <c r="LIC341" s="34"/>
      <c r="LID341" s="34"/>
      <c r="LIE341" s="34"/>
      <c r="LIF341" s="34"/>
      <c r="LIG341" s="34"/>
      <c r="LIH341" s="34"/>
      <c r="LII341" s="34"/>
      <c r="LIJ341" s="34"/>
      <c r="LIK341" s="34"/>
      <c r="LIL341" s="34"/>
      <c r="LIM341" s="34"/>
      <c r="LIN341" s="34"/>
      <c r="LIO341" s="34"/>
      <c r="LIP341" s="34"/>
      <c r="LIQ341" s="34"/>
      <c r="LIR341" s="34"/>
      <c r="LIS341" s="34"/>
      <c r="LIT341" s="34"/>
      <c r="LIU341" s="34"/>
      <c r="LIV341" s="34"/>
      <c r="LIW341" s="34"/>
      <c r="LIX341" s="34"/>
      <c r="LIY341" s="34"/>
      <c r="LIZ341" s="34"/>
      <c r="LJA341" s="34"/>
      <c r="LJB341" s="34"/>
      <c r="LJC341" s="34"/>
      <c r="LJD341" s="34"/>
      <c r="LJE341" s="34"/>
      <c r="LJF341" s="34"/>
      <c r="LJG341" s="34"/>
      <c r="LJH341" s="34"/>
      <c r="LJI341" s="34"/>
      <c r="LJJ341" s="34"/>
      <c r="LJK341" s="34"/>
      <c r="LJL341" s="34"/>
      <c r="LJM341" s="34"/>
      <c r="LJN341" s="34"/>
      <c r="LJO341" s="34"/>
      <c r="LJP341" s="34"/>
      <c r="LJQ341" s="34"/>
      <c r="LJR341" s="34"/>
      <c r="LJS341" s="34"/>
      <c r="LJT341" s="34"/>
      <c r="LJU341" s="34"/>
      <c r="LJV341" s="34"/>
      <c r="LJW341" s="34"/>
      <c r="LJX341" s="34"/>
      <c r="LJY341" s="34"/>
      <c r="LJZ341" s="34"/>
      <c r="LKA341" s="34"/>
      <c r="LKB341" s="34"/>
      <c r="LKC341" s="34"/>
      <c r="LKD341" s="34"/>
      <c r="LKE341" s="34"/>
      <c r="LKF341" s="34"/>
      <c r="LKG341" s="34"/>
      <c r="LKH341" s="34"/>
      <c r="LKI341" s="34"/>
      <c r="LKJ341" s="34"/>
      <c r="LKK341" s="34"/>
      <c r="LKL341" s="34"/>
      <c r="LKM341" s="34"/>
      <c r="LKN341" s="34"/>
      <c r="LKO341" s="34"/>
      <c r="LKP341" s="34"/>
      <c r="LKQ341" s="34"/>
      <c r="LKR341" s="34"/>
      <c r="LKS341" s="34"/>
      <c r="LKT341" s="34"/>
      <c r="LKU341" s="34"/>
      <c r="LKV341" s="34"/>
      <c r="LKW341" s="34"/>
      <c r="LKX341" s="34"/>
      <c r="LKY341" s="34"/>
      <c r="LKZ341" s="34"/>
      <c r="LLA341" s="34"/>
      <c r="LLB341" s="34"/>
      <c r="LLC341" s="34"/>
      <c r="LLD341" s="34"/>
      <c r="LLE341" s="34"/>
      <c r="LLF341" s="34"/>
      <c r="LLG341" s="34"/>
      <c r="LLH341" s="34"/>
      <c r="LLI341" s="34"/>
      <c r="LLJ341" s="34"/>
      <c r="LLK341" s="34"/>
      <c r="LLL341" s="34"/>
      <c r="LLM341" s="34"/>
      <c r="LLN341" s="34"/>
      <c r="LLO341" s="34"/>
      <c r="LLP341" s="34"/>
      <c r="LLQ341" s="34"/>
      <c r="LLR341" s="34"/>
      <c r="LLS341" s="34"/>
      <c r="LLT341" s="34"/>
      <c r="LLU341" s="34"/>
      <c r="LLV341" s="34"/>
      <c r="LLW341" s="34"/>
      <c r="LLX341" s="34"/>
      <c r="LLY341" s="34"/>
      <c r="LLZ341" s="34"/>
      <c r="LMA341" s="34"/>
      <c r="LMB341" s="34"/>
      <c r="LMC341" s="34"/>
      <c r="LMD341" s="34"/>
      <c r="LME341" s="34"/>
      <c r="LMF341" s="34"/>
      <c r="LMG341" s="34"/>
      <c r="LMH341" s="34"/>
      <c r="LMI341" s="34"/>
      <c r="LMJ341" s="34"/>
      <c r="LMK341" s="34"/>
      <c r="LML341" s="34"/>
      <c r="LMM341" s="34"/>
      <c r="LMN341" s="34"/>
      <c r="LMO341" s="34"/>
      <c r="LMP341" s="34"/>
      <c r="LMQ341" s="34"/>
      <c r="LMR341" s="34"/>
      <c r="LMS341" s="34"/>
      <c r="LMT341" s="34"/>
      <c r="LMU341" s="34"/>
      <c r="LMV341" s="34"/>
      <c r="LMW341" s="34"/>
      <c r="LMX341" s="34"/>
      <c r="LMY341" s="34"/>
      <c r="LMZ341" s="34"/>
      <c r="LNA341" s="34"/>
      <c r="LNB341" s="34"/>
      <c r="LNC341" s="34"/>
      <c r="LND341" s="34"/>
      <c r="LNE341" s="34"/>
      <c r="LNF341" s="34"/>
      <c r="LNG341" s="34"/>
      <c r="LNH341" s="34"/>
      <c r="LNI341" s="34"/>
      <c r="LNJ341" s="34"/>
      <c r="LNK341" s="34"/>
      <c r="LNL341" s="34"/>
      <c r="LNM341" s="34"/>
      <c r="LNN341" s="34"/>
      <c r="LNO341" s="34"/>
      <c r="LNP341" s="34"/>
      <c r="LNQ341" s="34"/>
      <c r="LNR341" s="34"/>
      <c r="LNS341" s="34"/>
      <c r="LNT341" s="34"/>
      <c r="LNU341" s="34"/>
      <c r="LNV341" s="34"/>
      <c r="LNW341" s="34"/>
      <c r="LNX341" s="34"/>
      <c r="LNY341" s="34"/>
      <c r="LNZ341" s="34"/>
      <c r="LOA341" s="34"/>
      <c r="LOB341" s="34"/>
      <c r="LOC341" s="34"/>
      <c r="LOD341" s="34"/>
      <c r="LOE341" s="34"/>
      <c r="LOF341" s="34"/>
      <c r="LOG341" s="34"/>
      <c r="LOH341" s="34"/>
      <c r="LOI341" s="34"/>
      <c r="LOJ341" s="34"/>
      <c r="LOK341" s="34"/>
      <c r="LOL341" s="34"/>
      <c r="LOM341" s="34"/>
      <c r="LON341" s="34"/>
      <c r="LOO341" s="34"/>
      <c r="LOP341" s="34"/>
      <c r="LOQ341" s="34"/>
      <c r="LOR341" s="34"/>
      <c r="LOS341" s="34"/>
      <c r="LOT341" s="34"/>
      <c r="LOU341" s="34"/>
      <c r="LOV341" s="34"/>
      <c r="LOW341" s="34"/>
      <c r="LOX341" s="34"/>
      <c r="LOY341" s="34"/>
      <c r="LOZ341" s="34"/>
      <c r="LPA341" s="34"/>
      <c r="LPB341" s="34"/>
      <c r="LPC341" s="34"/>
      <c r="LPD341" s="34"/>
      <c r="LPE341" s="34"/>
      <c r="LPF341" s="34"/>
      <c r="LPG341" s="34"/>
      <c r="LPH341" s="34"/>
      <c r="LPI341" s="34"/>
      <c r="LPJ341" s="34"/>
      <c r="LPK341" s="34"/>
      <c r="LPL341" s="34"/>
      <c r="LPM341" s="34"/>
      <c r="LPN341" s="34"/>
      <c r="LPO341" s="34"/>
      <c r="LPP341" s="34"/>
      <c r="LPQ341" s="34"/>
      <c r="LPR341" s="34"/>
      <c r="LPS341" s="34"/>
      <c r="LPT341" s="34"/>
      <c r="LPU341" s="34"/>
      <c r="LPV341" s="34"/>
      <c r="LPW341" s="34"/>
      <c r="LPX341" s="34"/>
      <c r="LPY341" s="34"/>
      <c r="LPZ341" s="34"/>
      <c r="LQA341" s="34"/>
      <c r="LQB341" s="34"/>
      <c r="LQC341" s="34"/>
      <c r="LQD341" s="34"/>
      <c r="LQE341" s="34"/>
      <c r="LQF341" s="34"/>
      <c r="LQG341" s="34"/>
      <c r="LQH341" s="34"/>
      <c r="LQI341" s="34"/>
      <c r="LQJ341" s="34"/>
      <c r="LQK341" s="34"/>
      <c r="LQL341" s="34"/>
      <c r="LQM341" s="34"/>
      <c r="LQN341" s="34"/>
      <c r="LQO341" s="34"/>
      <c r="LQP341" s="34"/>
      <c r="LQQ341" s="34"/>
      <c r="LQR341" s="34"/>
      <c r="LQS341" s="34"/>
      <c r="LQT341" s="34"/>
      <c r="LQU341" s="34"/>
      <c r="LQV341" s="34"/>
      <c r="LQW341" s="34"/>
      <c r="LQX341" s="34"/>
      <c r="LQY341" s="34"/>
      <c r="LQZ341" s="34"/>
      <c r="LRA341" s="34"/>
      <c r="LRB341" s="34"/>
      <c r="LRC341" s="34"/>
      <c r="LRD341" s="34"/>
      <c r="LRE341" s="34"/>
      <c r="LRF341" s="34"/>
      <c r="LRG341" s="34"/>
      <c r="LRH341" s="34"/>
      <c r="LRI341" s="34"/>
      <c r="LRJ341" s="34"/>
      <c r="LRK341" s="34"/>
      <c r="LRL341" s="34"/>
      <c r="LRM341" s="34"/>
      <c r="LRN341" s="34"/>
      <c r="LRO341" s="34"/>
      <c r="LRP341" s="34"/>
      <c r="LRQ341" s="34"/>
      <c r="LRR341" s="34"/>
      <c r="LRS341" s="34"/>
      <c r="LRT341" s="34"/>
      <c r="LRU341" s="34"/>
      <c r="LRV341" s="34"/>
      <c r="LRW341" s="34"/>
      <c r="LRX341" s="34"/>
      <c r="LRY341" s="34"/>
      <c r="LRZ341" s="34"/>
      <c r="LSA341" s="34"/>
      <c r="LSB341" s="34"/>
      <c r="LSC341" s="34"/>
      <c r="LSD341" s="34"/>
      <c r="LSE341" s="34"/>
      <c r="LSF341" s="34"/>
      <c r="LSG341" s="34"/>
      <c r="LSH341" s="34"/>
      <c r="LSI341" s="34"/>
      <c r="LSJ341" s="34"/>
      <c r="LSK341" s="34"/>
      <c r="LSL341" s="34"/>
      <c r="LSM341" s="34"/>
      <c r="LSN341" s="34"/>
      <c r="LSO341" s="34"/>
      <c r="LSP341" s="34"/>
      <c r="LSQ341" s="34"/>
      <c r="LSR341" s="34"/>
      <c r="LSS341" s="34"/>
      <c r="LST341" s="34"/>
      <c r="LSU341" s="34"/>
      <c r="LSV341" s="34"/>
      <c r="LSW341" s="34"/>
      <c r="LSX341" s="34"/>
      <c r="LSY341" s="34"/>
      <c r="LSZ341" s="34"/>
      <c r="LTA341" s="34"/>
      <c r="LTB341" s="34"/>
      <c r="LTC341" s="34"/>
      <c r="LTD341" s="34"/>
      <c r="LTE341" s="34"/>
      <c r="LTF341" s="34"/>
      <c r="LTG341" s="34"/>
      <c r="LTH341" s="34"/>
      <c r="LTI341" s="34"/>
      <c r="LTJ341" s="34"/>
      <c r="LTK341" s="34"/>
      <c r="LTL341" s="34"/>
      <c r="LTM341" s="34"/>
      <c r="LTN341" s="34"/>
      <c r="LTO341" s="34"/>
      <c r="LTP341" s="34"/>
      <c r="LTQ341" s="34"/>
      <c r="LTR341" s="34"/>
      <c r="LTS341" s="34"/>
      <c r="LTT341" s="34"/>
      <c r="LTU341" s="34"/>
      <c r="LTV341" s="34"/>
      <c r="LTW341" s="34"/>
      <c r="LTX341" s="34"/>
      <c r="LTY341" s="34"/>
      <c r="LTZ341" s="34"/>
      <c r="LUA341" s="34"/>
      <c r="LUB341" s="34"/>
      <c r="LUC341" s="34"/>
      <c r="LUD341" s="34"/>
      <c r="LUE341" s="34"/>
      <c r="LUF341" s="34"/>
      <c r="LUG341" s="34"/>
      <c r="LUH341" s="34"/>
      <c r="LUI341" s="34"/>
      <c r="LUJ341" s="34"/>
      <c r="LUK341" s="34"/>
      <c r="LUL341" s="34"/>
      <c r="LUM341" s="34"/>
      <c r="LUN341" s="34"/>
      <c r="LUO341" s="34"/>
      <c r="LUP341" s="34"/>
      <c r="LUQ341" s="34"/>
      <c r="LUR341" s="34"/>
      <c r="LUS341" s="34"/>
      <c r="LUT341" s="34"/>
      <c r="LUU341" s="34"/>
      <c r="LUV341" s="34"/>
      <c r="LUW341" s="34"/>
      <c r="LUX341" s="34"/>
      <c r="LUY341" s="34"/>
      <c r="LUZ341" s="34"/>
      <c r="LVA341" s="34"/>
      <c r="LVB341" s="34"/>
      <c r="LVC341" s="34"/>
      <c r="LVD341" s="34"/>
      <c r="LVE341" s="34"/>
      <c r="LVF341" s="34"/>
      <c r="LVG341" s="34"/>
      <c r="LVH341" s="34"/>
      <c r="LVI341" s="34"/>
      <c r="LVJ341" s="34"/>
      <c r="LVK341" s="34"/>
      <c r="LVL341" s="34"/>
      <c r="LVM341" s="34"/>
      <c r="LVN341" s="34"/>
      <c r="LVO341" s="34"/>
      <c r="LVP341" s="34"/>
      <c r="LVQ341" s="34"/>
      <c r="LVR341" s="34"/>
      <c r="LVS341" s="34"/>
      <c r="LVT341" s="34"/>
      <c r="LVU341" s="34"/>
      <c r="LVV341" s="34"/>
      <c r="LVW341" s="34"/>
      <c r="LVX341" s="34"/>
      <c r="LVY341" s="34"/>
      <c r="LVZ341" s="34"/>
      <c r="LWA341" s="34"/>
      <c r="LWB341" s="34"/>
      <c r="LWC341" s="34"/>
      <c r="LWD341" s="34"/>
      <c r="LWE341" s="34"/>
      <c r="LWF341" s="34"/>
      <c r="LWG341" s="34"/>
      <c r="LWH341" s="34"/>
      <c r="LWI341" s="34"/>
      <c r="LWJ341" s="34"/>
      <c r="LWK341" s="34"/>
      <c r="LWL341" s="34"/>
      <c r="LWM341" s="34"/>
      <c r="LWN341" s="34"/>
      <c r="LWO341" s="34"/>
      <c r="LWP341" s="34"/>
      <c r="LWQ341" s="34"/>
      <c r="LWR341" s="34"/>
      <c r="LWS341" s="34"/>
      <c r="LWT341" s="34"/>
      <c r="LWU341" s="34"/>
      <c r="LWV341" s="34"/>
      <c r="LWW341" s="34"/>
      <c r="LWX341" s="34"/>
      <c r="LWY341" s="34"/>
      <c r="LWZ341" s="34"/>
      <c r="LXA341" s="34"/>
      <c r="LXB341" s="34"/>
      <c r="LXC341" s="34"/>
      <c r="LXD341" s="34"/>
      <c r="LXE341" s="34"/>
      <c r="LXF341" s="34"/>
      <c r="LXG341" s="34"/>
      <c r="LXH341" s="34"/>
      <c r="LXI341" s="34"/>
      <c r="LXJ341" s="34"/>
      <c r="LXK341" s="34"/>
      <c r="LXL341" s="34"/>
      <c r="LXM341" s="34"/>
      <c r="LXN341" s="34"/>
      <c r="LXO341" s="34"/>
      <c r="LXP341" s="34"/>
      <c r="LXQ341" s="34"/>
      <c r="LXR341" s="34"/>
      <c r="LXS341" s="34"/>
      <c r="LXT341" s="34"/>
      <c r="LXU341" s="34"/>
      <c r="LXV341" s="34"/>
      <c r="LXW341" s="34"/>
      <c r="LXX341" s="34"/>
      <c r="LXY341" s="34"/>
      <c r="LXZ341" s="34"/>
      <c r="LYA341" s="34"/>
      <c r="LYB341" s="34"/>
      <c r="LYC341" s="34"/>
      <c r="LYD341" s="34"/>
      <c r="LYE341" s="34"/>
      <c r="LYF341" s="34"/>
      <c r="LYG341" s="34"/>
      <c r="LYH341" s="34"/>
      <c r="LYI341" s="34"/>
      <c r="LYJ341" s="34"/>
      <c r="LYK341" s="34"/>
      <c r="LYL341" s="34"/>
      <c r="LYM341" s="34"/>
      <c r="LYN341" s="34"/>
      <c r="LYO341" s="34"/>
      <c r="LYP341" s="34"/>
      <c r="LYQ341" s="34"/>
      <c r="LYR341" s="34"/>
      <c r="LYS341" s="34"/>
      <c r="LYT341" s="34"/>
      <c r="LYU341" s="34"/>
      <c r="LYV341" s="34"/>
      <c r="LYW341" s="34"/>
      <c r="LYX341" s="34"/>
      <c r="LYY341" s="34"/>
      <c r="LYZ341" s="34"/>
      <c r="LZA341" s="34"/>
      <c r="LZB341" s="34"/>
      <c r="LZC341" s="34"/>
      <c r="LZD341" s="34"/>
      <c r="LZE341" s="34"/>
      <c r="LZF341" s="34"/>
      <c r="LZG341" s="34"/>
      <c r="LZH341" s="34"/>
      <c r="LZI341" s="34"/>
      <c r="LZJ341" s="34"/>
      <c r="LZK341" s="34"/>
      <c r="LZL341" s="34"/>
      <c r="LZM341" s="34"/>
      <c r="LZN341" s="34"/>
      <c r="LZO341" s="34"/>
      <c r="LZP341" s="34"/>
      <c r="LZQ341" s="34"/>
      <c r="LZR341" s="34"/>
      <c r="LZS341" s="34"/>
      <c r="LZT341" s="34"/>
      <c r="LZU341" s="34"/>
      <c r="LZV341" s="34"/>
      <c r="LZW341" s="34"/>
      <c r="LZX341" s="34"/>
      <c r="LZY341" s="34"/>
      <c r="LZZ341" s="34"/>
      <c r="MAA341" s="34"/>
      <c r="MAB341" s="34"/>
      <c r="MAC341" s="34"/>
      <c r="MAD341" s="34"/>
      <c r="MAE341" s="34"/>
      <c r="MAF341" s="34"/>
      <c r="MAG341" s="34"/>
      <c r="MAH341" s="34"/>
      <c r="MAI341" s="34"/>
      <c r="MAJ341" s="34"/>
      <c r="MAK341" s="34"/>
      <c r="MAL341" s="34"/>
      <c r="MAM341" s="34"/>
      <c r="MAN341" s="34"/>
      <c r="MAO341" s="34"/>
      <c r="MAP341" s="34"/>
      <c r="MAQ341" s="34"/>
      <c r="MAR341" s="34"/>
      <c r="MAS341" s="34"/>
      <c r="MAT341" s="34"/>
      <c r="MAU341" s="34"/>
      <c r="MAV341" s="34"/>
      <c r="MAW341" s="34"/>
      <c r="MAX341" s="34"/>
      <c r="MAY341" s="34"/>
      <c r="MAZ341" s="34"/>
      <c r="MBA341" s="34"/>
      <c r="MBB341" s="34"/>
      <c r="MBC341" s="34"/>
      <c r="MBD341" s="34"/>
      <c r="MBE341" s="34"/>
      <c r="MBF341" s="34"/>
      <c r="MBG341" s="34"/>
      <c r="MBH341" s="34"/>
      <c r="MBI341" s="34"/>
      <c r="MBJ341" s="34"/>
      <c r="MBK341" s="34"/>
      <c r="MBL341" s="34"/>
      <c r="MBM341" s="34"/>
      <c r="MBN341" s="34"/>
      <c r="MBO341" s="34"/>
      <c r="MBP341" s="34"/>
      <c r="MBQ341" s="34"/>
      <c r="MBR341" s="34"/>
      <c r="MBS341" s="34"/>
      <c r="MBT341" s="34"/>
      <c r="MBU341" s="34"/>
      <c r="MBV341" s="34"/>
      <c r="MBW341" s="34"/>
      <c r="MBX341" s="34"/>
      <c r="MBY341" s="34"/>
      <c r="MBZ341" s="34"/>
      <c r="MCA341" s="34"/>
      <c r="MCB341" s="34"/>
      <c r="MCC341" s="34"/>
      <c r="MCD341" s="34"/>
      <c r="MCE341" s="34"/>
      <c r="MCF341" s="34"/>
      <c r="MCG341" s="34"/>
      <c r="MCH341" s="34"/>
      <c r="MCI341" s="34"/>
      <c r="MCJ341" s="34"/>
      <c r="MCK341" s="34"/>
      <c r="MCL341" s="34"/>
      <c r="MCM341" s="34"/>
      <c r="MCN341" s="34"/>
      <c r="MCO341" s="34"/>
      <c r="MCP341" s="34"/>
      <c r="MCQ341" s="34"/>
      <c r="MCR341" s="34"/>
      <c r="MCS341" s="34"/>
      <c r="MCT341" s="34"/>
      <c r="MCU341" s="34"/>
      <c r="MCV341" s="34"/>
      <c r="MCW341" s="34"/>
      <c r="MCX341" s="34"/>
      <c r="MCY341" s="34"/>
      <c r="MCZ341" s="34"/>
      <c r="MDA341" s="34"/>
      <c r="MDB341" s="34"/>
      <c r="MDC341" s="34"/>
      <c r="MDD341" s="34"/>
      <c r="MDE341" s="34"/>
      <c r="MDF341" s="34"/>
      <c r="MDG341" s="34"/>
      <c r="MDH341" s="34"/>
      <c r="MDI341" s="34"/>
      <c r="MDJ341" s="34"/>
      <c r="MDK341" s="34"/>
      <c r="MDL341" s="34"/>
      <c r="MDM341" s="34"/>
      <c r="MDN341" s="34"/>
      <c r="MDO341" s="34"/>
      <c r="MDP341" s="34"/>
      <c r="MDQ341" s="34"/>
      <c r="MDR341" s="34"/>
      <c r="MDS341" s="34"/>
      <c r="MDT341" s="34"/>
      <c r="MDU341" s="34"/>
      <c r="MDV341" s="34"/>
      <c r="MDW341" s="34"/>
      <c r="MDX341" s="34"/>
      <c r="MDY341" s="34"/>
      <c r="MDZ341" s="34"/>
      <c r="MEA341" s="34"/>
      <c r="MEB341" s="34"/>
      <c r="MEC341" s="34"/>
      <c r="MED341" s="34"/>
      <c r="MEE341" s="34"/>
      <c r="MEF341" s="34"/>
      <c r="MEG341" s="34"/>
      <c r="MEH341" s="34"/>
      <c r="MEI341" s="34"/>
      <c r="MEJ341" s="34"/>
      <c r="MEK341" s="34"/>
      <c r="MEL341" s="34"/>
      <c r="MEM341" s="34"/>
      <c r="MEN341" s="34"/>
      <c r="MEO341" s="34"/>
      <c r="MEP341" s="34"/>
      <c r="MEQ341" s="34"/>
      <c r="MER341" s="34"/>
      <c r="MES341" s="34"/>
      <c r="MET341" s="34"/>
      <c r="MEU341" s="34"/>
      <c r="MEV341" s="34"/>
      <c r="MEW341" s="34"/>
      <c r="MEX341" s="34"/>
      <c r="MEY341" s="34"/>
      <c r="MEZ341" s="34"/>
      <c r="MFA341" s="34"/>
      <c r="MFB341" s="34"/>
      <c r="MFC341" s="34"/>
      <c r="MFD341" s="34"/>
      <c r="MFE341" s="34"/>
      <c r="MFF341" s="34"/>
      <c r="MFG341" s="34"/>
      <c r="MFH341" s="34"/>
      <c r="MFI341" s="34"/>
      <c r="MFJ341" s="34"/>
      <c r="MFK341" s="34"/>
      <c r="MFL341" s="34"/>
      <c r="MFM341" s="34"/>
      <c r="MFN341" s="34"/>
      <c r="MFO341" s="34"/>
      <c r="MFP341" s="34"/>
      <c r="MFQ341" s="34"/>
      <c r="MFR341" s="34"/>
      <c r="MFS341" s="34"/>
      <c r="MFT341" s="34"/>
      <c r="MFU341" s="34"/>
      <c r="MFV341" s="34"/>
      <c r="MFW341" s="34"/>
      <c r="MFX341" s="34"/>
      <c r="MFY341" s="34"/>
      <c r="MFZ341" s="34"/>
      <c r="MGA341" s="34"/>
      <c r="MGB341" s="34"/>
      <c r="MGC341" s="34"/>
      <c r="MGD341" s="34"/>
      <c r="MGE341" s="34"/>
      <c r="MGF341" s="34"/>
      <c r="MGG341" s="34"/>
      <c r="MGH341" s="34"/>
      <c r="MGI341" s="34"/>
      <c r="MGJ341" s="34"/>
      <c r="MGK341" s="34"/>
      <c r="MGL341" s="34"/>
      <c r="MGM341" s="34"/>
      <c r="MGN341" s="34"/>
      <c r="MGO341" s="34"/>
      <c r="MGP341" s="34"/>
      <c r="MGQ341" s="34"/>
      <c r="MGR341" s="34"/>
      <c r="MGS341" s="34"/>
      <c r="MGT341" s="34"/>
      <c r="MGU341" s="34"/>
      <c r="MGV341" s="34"/>
      <c r="MGW341" s="34"/>
      <c r="MGX341" s="34"/>
      <c r="MGY341" s="34"/>
      <c r="MGZ341" s="34"/>
      <c r="MHA341" s="34"/>
      <c r="MHB341" s="34"/>
      <c r="MHC341" s="34"/>
      <c r="MHD341" s="34"/>
      <c r="MHE341" s="34"/>
      <c r="MHF341" s="34"/>
      <c r="MHG341" s="34"/>
      <c r="MHH341" s="34"/>
      <c r="MHI341" s="34"/>
      <c r="MHJ341" s="34"/>
      <c r="MHK341" s="34"/>
      <c r="MHL341" s="34"/>
      <c r="MHM341" s="34"/>
      <c r="MHN341" s="34"/>
      <c r="MHO341" s="34"/>
      <c r="MHP341" s="34"/>
      <c r="MHQ341" s="34"/>
      <c r="MHR341" s="34"/>
      <c r="MHS341" s="34"/>
      <c r="MHT341" s="34"/>
      <c r="MHU341" s="34"/>
      <c r="MHV341" s="34"/>
      <c r="MHW341" s="34"/>
      <c r="MHX341" s="34"/>
      <c r="MHY341" s="34"/>
      <c r="MHZ341" s="34"/>
      <c r="MIA341" s="34"/>
      <c r="MIB341" s="34"/>
      <c r="MIC341" s="34"/>
      <c r="MID341" s="34"/>
      <c r="MIE341" s="34"/>
      <c r="MIF341" s="34"/>
      <c r="MIG341" s="34"/>
      <c r="MIH341" s="34"/>
      <c r="MII341" s="34"/>
      <c r="MIJ341" s="34"/>
      <c r="MIK341" s="34"/>
      <c r="MIL341" s="34"/>
      <c r="MIM341" s="34"/>
      <c r="MIN341" s="34"/>
      <c r="MIO341" s="34"/>
      <c r="MIP341" s="34"/>
      <c r="MIQ341" s="34"/>
      <c r="MIR341" s="34"/>
      <c r="MIS341" s="34"/>
      <c r="MIT341" s="34"/>
      <c r="MIU341" s="34"/>
      <c r="MIV341" s="34"/>
      <c r="MIW341" s="34"/>
      <c r="MIX341" s="34"/>
      <c r="MIY341" s="34"/>
      <c r="MIZ341" s="34"/>
      <c r="MJA341" s="34"/>
      <c r="MJB341" s="34"/>
      <c r="MJC341" s="34"/>
      <c r="MJD341" s="34"/>
      <c r="MJE341" s="34"/>
      <c r="MJF341" s="34"/>
      <c r="MJG341" s="34"/>
      <c r="MJH341" s="34"/>
      <c r="MJI341" s="34"/>
      <c r="MJJ341" s="34"/>
      <c r="MJK341" s="34"/>
      <c r="MJL341" s="34"/>
      <c r="MJM341" s="34"/>
      <c r="MJN341" s="34"/>
      <c r="MJO341" s="34"/>
      <c r="MJP341" s="34"/>
      <c r="MJQ341" s="34"/>
      <c r="MJR341" s="34"/>
      <c r="MJS341" s="34"/>
      <c r="MJT341" s="34"/>
      <c r="MJU341" s="34"/>
      <c r="MJV341" s="34"/>
      <c r="MJW341" s="34"/>
      <c r="MJX341" s="34"/>
      <c r="MJY341" s="34"/>
      <c r="MJZ341" s="34"/>
      <c r="MKA341" s="34"/>
      <c r="MKB341" s="34"/>
      <c r="MKC341" s="34"/>
      <c r="MKD341" s="34"/>
      <c r="MKE341" s="34"/>
      <c r="MKF341" s="34"/>
      <c r="MKG341" s="34"/>
      <c r="MKH341" s="34"/>
      <c r="MKI341" s="34"/>
      <c r="MKJ341" s="34"/>
      <c r="MKK341" s="34"/>
      <c r="MKL341" s="34"/>
      <c r="MKM341" s="34"/>
      <c r="MKN341" s="34"/>
      <c r="MKO341" s="34"/>
      <c r="MKP341" s="34"/>
      <c r="MKQ341" s="34"/>
      <c r="MKR341" s="34"/>
      <c r="MKS341" s="34"/>
      <c r="MKT341" s="34"/>
      <c r="MKU341" s="34"/>
      <c r="MKV341" s="34"/>
      <c r="MKW341" s="34"/>
      <c r="MKX341" s="34"/>
      <c r="MKY341" s="34"/>
      <c r="MKZ341" s="34"/>
      <c r="MLA341" s="34"/>
      <c r="MLB341" s="34"/>
      <c r="MLC341" s="34"/>
      <c r="MLD341" s="34"/>
      <c r="MLE341" s="34"/>
      <c r="MLF341" s="34"/>
      <c r="MLG341" s="34"/>
      <c r="MLH341" s="34"/>
      <c r="MLI341" s="34"/>
      <c r="MLJ341" s="34"/>
      <c r="MLK341" s="34"/>
      <c r="MLL341" s="34"/>
      <c r="MLM341" s="34"/>
      <c r="MLN341" s="34"/>
      <c r="MLO341" s="34"/>
      <c r="MLP341" s="34"/>
      <c r="MLQ341" s="34"/>
      <c r="MLR341" s="34"/>
      <c r="MLS341" s="34"/>
      <c r="MLT341" s="34"/>
      <c r="MLU341" s="34"/>
      <c r="MLV341" s="34"/>
      <c r="MLW341" s="34"/>
      <c r="MLX341" s="34"/>
      <c r="MLY341" s="34"/>
      <c r="MLZ341" s="34"/>
      <c r="MMA341" s="34"/>
      <c r="MMB341" s="34"/>
      <c r="MMC341" s="34"/>
      <c r="MMD341" s="34"/>
      <c r="MME341" s="34"/>
      <c r="MMF341" s="34"/>
      <c r="MMG341" s="34"/>
      <c r="MMH341" s="34"/>
      <c r="MMI341" s="34"/>
      <c r="MMJ341" s="34"/>
      <c r="MMK341" s="34"/>
      <c r="MML341" s="34"/>
      <c r="MMM341" s="34"/>
      <c r="MMN341" s="34"/>
      <c r="MMO341" s="34"/>
      <c r="MMP341" s="34"/>
      <c r="MMQ341" s="34"/>
      <c r="MMR341" s="34"/>
      <c r="MMS341" s="34"/>
      <c r="MMT341" s="34"/>
      <c r="MMU341" s="34"/>
      <c r="MMV341" s="34"/>
      <c r="MMW341" s="34"/>
      <c r="MMX341" s="34"/>
      <c r="MMY341" s="34"/>
      <c r="MMZ341" s="34"/>
      <c r="MNA341" s="34"/>
      <c r="MNB341" s="34"/>
      <c r="MNC341" s="34"/>
      <c r="MND341" s="34"/>
      <c r="MNE341" s="34"/>
      <c r="MNF341" s="34"/>
      <c r="MNG341" s="34"/>
      <c r="MNH341" s="34"/>
      <c r="MNI341" s="34"/>
      <c r="MNJ341" s="34"/>
      <c r="MNK341" s="34"/>
      <c r="MNL341" s="34"/>
      <c r="MNM341" s="34"/>
      <c r="MNN341" s="34"/>
      <c r="MNO341" s="34"/>
      <c r="MNP341" s="34"/>
      <c r="MNQ341" s="34"/>
      <c r="MNR341" s="34"/>
      <c r="MNS341" s="34"/>
      <c r="MNT341" s="34"/>
      <c r="MNU341" s="34"/>
      <c r="MNV341" s="34"/>
      <c r="MNW341" s="34"/>
      <c r="MNX341" s="34"/>
      <c r="MNY341" s="34"/>
      <c r="MNZ341" s="34"/>
      <c r="MOA341" s="34"/>
      <c r="MOB341" s="34"/>
      <c r="MOC341" s="34"/>
      <c r="MOD341" s="34"/>
      <c r="MOE341" s="34"/>
      <c r="MOF341" s="34"/>
      <c r="MOG341" s="34"/>
      <c r="MOH341" s="34"/>
      <c r="MOI341" s="34"/>
      <c r="MOJ341" s="34"/>
      <c r="MOK341" s="34"/>
      <c r="MOL341" s="34"/>
      <c r="MOM341" s="34"/>
      <c r="MON341" s="34"/>
      <c r="MOO341" s="34"/>
      <c r="MOP341" s="34"/>
      <c r="MOQ341" s="34"/>
      <c r="MOR341" s="34"/>
      <c r="MOS341" s="34"/>
      <c r="MOT341" s="34"/>
      <c r="MOU341" s="34"/>
      <c r="MOV341" s="34"/>
      <c r="MOW341" s="34"/>
      <c r="MOX341" s="34"/>
      <c r="MOY341" s="34"/>
      <c r="MOZ341" s="34"/>
      <c r="MPA341" s="34"/>
      <c r="MPB341" s="34"/>
      <c r="MPC341" s="34"/>
      <c r="MPD341" s="34"/>
      <c r="MPE341" s="34"/>
      <c r="MPF341" s="34"/>
      <c r="MPG341" s="34"/>
      <c r="MPH341" s="34"/>
      <c r="MPI341" s="34"/>
      <c r="MPJ341" s="34"/>
      <c r="MPK341" s="34"/>
      <c r="MPL341" s="34"/>
      <c r="MPM341" s="34"/>
      <c r="MPN341" s="34"/>
      <c r="MPO341" s="34"/>
      <c r="MPP341" s="34"/>
      <c r="MPQ341" s="34"/>
      <c r="MPR341" s="34"/>
      <c r="MPS341" s="34"/>
      <c r="MPT341" s="34"/>
      <c r="MPU341" s="34"/>
      <c r="MPV341" s="34"/>
      <c r="MPW341" s="34"/>
      <c r="MPX341" s="34"/>
      <c r="MPY341" s="34"/>
      <c r="MPZ341" s="34"/>
      <c r="MQA341" s="34"/>
      <c r="MQB341" s="34"/>
      <c r="MQC341" s="34"/>
      <c r="MQD341" s="34"/>
      <c r="MQE341" s="34"/>
      <c r="MQF341" s="34"/>
      <c r="MQG341" s="34"/>
      <c r="MQH341" s="34"/>
      <c r="MQI341" s="34"/>
      <c r="MQJ341" s="34"/>
      <c r="MQK341" s="34"/>
      <c r="MQL341" s="34"/>
      <c r="MQM341" s="34"/>
      <c r="MQN341" s="34"/>
      <c r="MQO341" s="34"/>
      <c r="MQP341" s="34"/>
      <c r="MQQ341" s="34"/>
      <c r="MQR341" s="34"/>
      <c r="MQS341" s="34"/>
      <c r="MQT341" s="34"/>
      <c r="MQU341" s="34"/>
      <c r="MQV341" s="34"/>
      <c r="MQW341" s="34"/>
      <c r="MQX341" s="34"/>
      <c r="MQY341" s="34"/>
      <c r="MQZ341" s="34"/>
      <c r="MRA341" s="34"/>
      <c r="MRB341" s="34"/>
      <c r="MRC341" s="34"/>
      <c r="MRD341" s="34"/>
      <c r="MRE341" s="34"/>
      <c r="MRF341" s="34"/>
      <c r="MRG341" s="34"/>
      <c r="MRH341" s="34"/>
      <c r="MRI341" s="34"/>
      <c r="MRJ341" s="34"/>
      <c r="MRK341" s="34"/>
      <c r="MRL341" s="34"/>
      <c r="MRM341" s="34"/>
      <c r="MRN341" s="34"/>
      <c r="MRO341" s="34"/>
      <c r="MRP341" s="34"/>
      <c r="MRQ341" s="34"/>
      <c r="MRR341" s="34"/>
      <c r="MRS341" s="34"/>
      <c r="MRT341" s="34"/>
      <c r="MRU341" s="34"/>
      <c r="MRV341" s="34"/>
      <c r="MRW341" s="34"/>
      <c r="MRX341" s="34"/>
      <c r="MRY341" s="34"/>
      <c r="MRZ341" s="34"/>
      <c r="MSA341" s="34"/>
      <c r="MSB341" s="34"/>
      <c r="MSC341" s="34"/>
      <c r="MSD341" s="34"/>
      <c r="MSE341" s="34"/>
      <c r="MSF341" s="34"/>
      <c r="MSG341" s="34"/>
      <c r="MSH341" s="34"/>
      <c r="MSI341" s="34"/>
      <c r="MSJ341" s="34"/>
      <c r="MSK341" s="34"/>
      <c r="MSL341" s="34"/>
      <c r="MSM341" s="34"/>
      <c r="MSN341" s="34"/>
      <c r="MSO341" s="34"/>
      <c r="MSP341" s="34"/>
      <c r="MSQ341" s="34"/>
      <c r="MSR341" s="34"/>
      <c r="MSS341" s="34"/>
      <c r="MST341" s="34"/>
      <c r="MSU341" s="34"/>
      <c r="MSV341" s="34"/>
      <c r="MSW341" s="34"/>
      <c r="MSX341" s="34"/>
      <c r="MSY341" s="34"/>
      <c r="MSZ341" s="34"/>
      <c r="MTA341" s="34"/>
      <c r="MTB341" s="34"/>
      <c r="MTC341" s="34"/>
      <c r="MTD341" s="34"/>
      <c r="MTE341" s="34"/>
      <c r="MTF341" s="34"/>
      <c r="MTG341" s="34"/>
      <c r="MTH341" s="34"/>
      <c r="MTI341" s="34"/>
      <c r="MTJ341" s="34"/>
      <c r="MTK341" s="34"/>
      <c r="MTL341" s="34"/>
      <c r="MTM341" s="34"/>
      <c r="MTN341" s="34"/>
      <c r="MTO341" s="34"/>
      <c r="MTP341" s="34"/>
      <c r="MTQ341" s="34"/>
      <c r="MTR341" s="34"/>
      <c r="MTS341" s="34"/>
      <c r="MTT341" s="34"/>
      <c r="MTU341" s="34"/>
      <c r="MTV341" s="34"/>
      <c r="MTW341" s="34"/>
      <c r="MTX341" s="34"/>
      <c r="MTY341" s="34"/>
      <c r="MTZ341" s="34"/>
      <c r="MUA341" s="34"/>
      <c r="MUB341" s="34"/>
      <c r="MUC341" s="34"/>
      <c r="MUD341" s="34"/>
      <c r="MUE341" s="34"/>
      <c r="MUF341" s="34"/>
      <c r="MUG341" s="34"/>
      <c r="MUH341" s="34"/>
      <c r="MUI341" s="34"/>
      <c r="MUJ341" s="34"/>
      <c r="MUK341" s="34"/>
      <c r="MUL341" s="34"/>
      <c r="MUM341" s="34"/>
      <c r="MUN341" s="34"/>
      <c r="MUO341" s="34"/>
      <c r="MUP341" s="34"/>
      <c r="MUQ341" s="34"/>
      <c r="MUR341" s="34"/>
      <c r="MUS341" s="34"/>
      <c r="MUT341" s="34"/>
      <c r="MUU341" s="34"/>
      <c r="MUV341" s="34"/>
      <c r="MUW341" s="34"/>
      <c r="MUX341" s="34"/>
      <c r="MUY341" s="34"/>
      <c r="MUZ341" s="34"/>
      <c r="MVA341" s="34"/>
      <c r="MVB341" s="34"/>
      <c r="MVC341" s="34"/>
      <c r="MVD341" s="34"/>
      <c r="MVE341" s="34"/>
      <c r="MVF341" s="34"/>
      <c r="MVG341" s="34"/>
      <c r="MVH341" s="34"/>
      <c r="MVI341" s="34"/>
      <c r="MVJ341" s="34"/>
      <c r="MVK341" s="34"/>
      <c r="MVL341" s="34"/>
      <c r="MVM341" s="34"/>
      <c r="MVN341" s="34"/>
      <c r="MVO341" s="34"/>
      <c r="MVP341" s="34"/>
      <c r="MVQ341" s="34"/>
      <c r="MVR341" s="34"/>
      <c r="MVS341" s="34"/>
      <c r="MVT341" s="34"/>
      <c r="MVU341" s="34"/>
      <c r="MVV341" s="34"/>
      <c r="MVW341" s="34"/>
      <c r="MVX341" s="34"/>
      <c r="MVY341" s="34"/>
      <c r="MVZ341" s="34"/>
      <c r="MWA341" s="34"/>
      <c r="MWB341" s="34"/>
      <c r="MWC341" s="34"/>
      <c r="MWD341" s="34"/>
      <c r="MWE341" s="34"/>
      <c r="MWF341" s="34"/>
      <c r="MWG341" s="34"/>
      <c r="MWH341" s="34"/>
      <c r="MWI341" s="34"/>
      <c r="MWJ341" s="34"/>
      <c r="MWK341" s="34"/>
      <c r="MWL341" s="34"/>
      <c r="MWM341" s="34"/>
      <c r="MWN341" s="34"/>
      <c r="MWO341" s="34"/>
      <c r="MWP341" s="34"/>
      <c r="MWQ341" s="34"/>
      <c r="MWR341" s="34"/>
      <c r="MWS341" s="34"/>
      <c r="MWT341" s="34"/>
      <c r="MWU341" s="34"/>
      <c r="MWV341" s="34"/>
      <c r="MWW341" s="34"/>
      <c r="MWX341" s="34"/>
      <c r="MWY341" s="34"/>
      <c r="MWZ341" s="34"/>
      <c r="MXA341" s="34"/>
      <c r="MXB341" s="34"/>
      <c r="MXC341" s="34"/>
      <c r="MXD341" s="34"/>
      <c r="MXE341" s="34"/>
      <c r="MXF341" s="34"/>
      <c r="MXG341" s="34"/>
      <c r="MXH341" s="34"/>
      <c r="MXI341" s="34"/>
      <c r="MXJ341" s="34"/>
      <c r="MXK341" s="34"/>
      <c r="MXL341" s="34"/>
      <c r="MXM341" s="34"/>
      <c r="MXN341" s="34"/>
      <c r="MXO341" s="34"/>
      <c r="MXP341" s="34"/>
      <c r="MXQ341" s="34"/>
      <c r="MXR341" s="34"/>
      <c r="MXS341" s="34"/>
      <c r="MXT341" s="34"/>
      <c r="MXU341" s="34"/>
      <c r="MXV341" s="34"/>
      <c r="MXW341" s="34"/>
      <c r="MXX341" s="34"/>
      <c r="MXY341" s="34"/>
      <c r="MXZ341" s="34"/>
      <c r="MYA341" s="34"/>
      <c r="MYB341" s="34"/>
      <c r="MYC341" s="34"/>
      <c r="MYD341" s="34"/>
      <c r="MYE341" s="34"/>
      <c r="MYF341" s="34"/>
      <c r="MYG341" s="34"/>
      <c r="MYH341" s="34"/>
      <c r="MYI341" s="34"/>
      <c r="MYJ341" s="34"/>
      <c r="MYK341" s="34"/>
      <c r="MYL341" s="34"/>
      <c r="MYM341" s="34"/>
      <c r="MYN341" s="34"/>
      <c r="MYO341" s="34"/>
      <c r="MYP341" s="34"/>
      <c r="MYQ341" s="34"/>
      <c r="MYR341" s="34"/>
      <c r="MYS341" s="34"/>
      <c r="MYT341" s="34"/>
      <c r="MYU341" s="34"/>
      <c r="MYV341" s="34"/>
      <c r="MYW341" s="34"/>
      <c r="MYX341" s="34"/>
      <c r="MYY341" s="34"/>
      <c r="MYZ341" s="34"/>
      <c r="MZA341" s="34"/>
      <c r="MZB341" s="34"/>
      <c r="MZC341" s="34"/>
      <c r="MZD341" s="34"/>
      <c r="MZE341" s="34"/>
      <c r="MZF341" s="34"/>
      <c r="MZG341" s="34"/>
      <c r="MZH341" s="34"/>
      <c r="MZI341" s="34"/>
      <c r="MZJ341" s="34"/>
      <c r="MZK341" s="34"/>
      <c r="MZL341" s="34"/>
      <c r="MZM341" s="34"/>
      <c r="MZN341" s="34"/>
      <c r="MZO341" s="34"/>
      <c r="MZP341" s="34"/>
      <c r="MZQ341" s="34"/>
      <c r="MZR341" s="34"/>
      <c r="MZS341" s="34"/>
      <c r="MZT341" s="34"/>
      <c r="MZU341" s="34"/>
      <c r="MZV341" s="34"/>
      <c r="MZW341" s="34"/>
      <c r="MZX341" s="34"/>
      <c r="MZY341" s="34"/>
      <c r="MZZ341" s="34"/>
      <c r="NAA341" s="34"/>
      <c r="NAB341" s="34"/>
      <c r="NAC341" s="34"/>
      <c r="NAD341" s="34"/>
      <c r="NAE341" s="34"/>
      <c r="NAF341" s="34"/>
      <c r="NAG341" s="34"/>
      <c r="NAH341" s="34"/>
      <c r="NAI341" s="34"/>
      <c r="NAJ341" s="34"/>
      <c r="NAK341" s="34"/>
      <c r="NAL341" s="34"/>
      <c r="NAM341" s="34"/>
      <c r="NAN341" s="34"/>
      <c r="NAO341" s="34"/>
      <c r="NAP341" s="34"/>
      <c r="NAQ341" s="34"/>
      <c r="NAR341" s="34"/>
      <c r="NAS341" s="34"/>
      <c r="NAT341" s="34"/>
      <c r="NAU341" s="34"/>
      <c r="NAV341" s="34"/>
      <c r="NAW341" s="34"/>
      <c r="NAX341" s="34"/>
      <c r="NAY341" s="34"/>
      <c r="NAZ341" s="34"/>
      <c r="NBA341" s="34"/>
      <c r="NBB341" s="34"/>
      <c r="NBC341" s="34"/>
      <c r="NBD341" s="34"/>
      <c r="NBE341" s="34"/>
      <c r="NBF341" s="34"/>
      <c r="NBG341" s="34"/>
      <c r="NBH341" s="34"/>
      <c r="NBI341" s="34"/>
      <c r="NBJ341" s="34"/>
      <c r="NBK341" s="34"/>
      <c r="NBL341" s="34"/>
      <c r="NBM341" s="34"/>
      <c r="NBN341" s="34"/>
      <c r="NBO341" s="34"/>
      <c r="NBP341" s="34"/>
      <c r="NBQ341" s="34"/>
      <c r="NBR341" s="34"/>
      <c r="NBS341" s="34"/>
      <c r="NBT341" s="34"/>
      <c r="NBU341" s="34"/>
      <c r="NBV341" s="34"/>
      <c r="NBW341" s="34"/>
      <c r="NBX341" s="34"/>
      <c r="NBY341" s="34"/>
      <c r="NBZ341" s="34"/>
      <c r="NCA341" s="34"/>
      <c r="NCB341" s="34"/>
      <c r="NCC341" s="34"/>
      <c r="NCD341" s="34"/>
      <c r="NCE341" s="34"/>
      <c r="NCF341" s="34"/>
      <c r="NCG341" s="34"/>
      <c r="NCH341" s="34"/>
      <c r="NCI341" s="34"/>
      <c r="NCJ341" s="34"/>
      <c r="NCK341" s="34"/>
      <c r="NCL341" s="34"/>
      <c r="NCM341" s="34"/>
      <c r="NCN341" s="34"/>
      <c r="NCO341" s="34"/>
      <c r="NCP341" s="34"/>
      <c r="NCQ341" s="34"/>
      <c r="NCR341" s="34"/>
      <c r="NCS341" s="34"/>
      <c r="NCT341" s="34"/>
      <c r="NCU341" s="34"/>
      <c r="NCV341" s="34"/>
      <c r="NCW341" s="34"/>
      <c r="NCX341" s="34"/>
      <c r="NCY341" s="34"/>
      <c r="NCZ341" s="34"/>
      <c r="NDA341" s="34"/>
      <c r="NDB341" s="34"/>
      <c r="NDC341" s="34"/>
      <c r="NDD341" s="34"/>
      <c r="NDE341" s="34"/>
      <c r="NDF341" s="34"/>
      <c r="NDG341" s="34"/>
      <c r="NDH341" s="34"/>
      <c r="NDI341" s="34"/>
      <c r="NDJ341" s="34"/>
      <c r="NDK341" s="34"/>
      <c r="NDL341" s="34"/>
      <c r="NDM341" s="34"/>
      <c r="NDN341" s="34"/>
      <c r="NDO341" s="34"/>
      <c r="NDP341" s="34"/>
      <c r="NDQ341" s="34"/>
      <c r="NDR341" s="34"/>
      <c r="NDS341" s="34"/>
      <c r="NDT341" s="34"/>
      <c r="NDU341" s="34"/>
      <c r="NDV341" s="34"/>
      <c r="NDW341" s="34"/>
      <c r="NDX341" s="34"/>
      <c r="NDY341" s="34"/>
      <c r="NDZ341" s="34"/>
      <c r="NEA341" s="34"/>
      <c r="NEB341" s="34"/>
      <c r="NEC341" s="34"/>
      <c r="NED341" s="34"/>
      <c r="NEE341" s="34"/>
      <c r="NEF341" s="34"/>
      <c r="NEG341" s="34"/>
      <c r="NEH341" s="34"/>
      <c r="NEI341" s="34"/>
      <c r="NEJ341" s="34"/>
      <c r="NEK341" s="34"/>
      <c r="NEL341" s="34"/>
      <c r="NEM341" s="34"/>
      <c r="NEN341" s="34"/>
      <c r="NEO341" s="34"/>
      <c r="NEP341" s="34"/>
      <c r="NEQ341" s="34"/>
      <c r="NER341" s="34"/>
      <c r="NES341" s="34"/>
      <c r="NET341" s="34"/>
      <c r="NEU341" s="34"/>
      <c r="NEV341" s="34"/>
      <c r="NEW341" s="34"/>
      <c r="NEX341" s="34"/>
      <c r="NEY341" s="34"/>
      <c r="NEZ341" s="34"/>
      <c r="NFA341" s="34"/>
      <c r="NFB341" s="34"/>
      <c r="NFC341" s="34"/>
      <c r="NFD341" s="34"/>
      <c r="NFE341" s="34"/>
      <c r="NFF341" s="34"/>
      <c r="NFG341" s="34"/>
      <c r="NFH341" s="34"/>
      <c r="NFI341" s="34"/>
      <c r="NFJ341" s="34"/>
      <c r="NFK341" s="34"/>
      <c r="NFL341" s="34"/>
      <c r="NFM341" s="34"/>
      <c r="NFN341" s="34"/>
      <c r="NFO341" s="34"/>
      <c r="NFP341" s="34"/>
      <c r="NFQ341" s="34"/>
      <c r="NFR341" s="34"/>
      <c r="NFS341" s="34"/>
      <c r="NFT341" s="34"/>
      <c r="NFU341" s="34"/>
      <c r="NFV341" s="34"/>
      <c r="NFW341" s="34"/>
      <c r="NFX341" s="34"/>
      <c r="NFY341" s="34"/>
      <c r="NFZ341" s="34"/>
      <c r="NGA341" s="34"/>
      <c r="NGB341" s="34"/>
      <c r="NGC341" s="34"/>
      <c r="NGD341" s="34"/>
      <c r="NGE341" s="34"/>
      <c r="NGF341" s="34"/>
      <c r="NGG341" s="34"/>
      <c r="NGH341" s="34"/>
      <c r="NGI341" s="34"/>
      <c r="NGJ341" s="34"/>
      <c r="NGK341" s="34"/>
      <c r="NGL341" s="34"/>
      <c r="NGM341" s="34"/>
      <c r="NGN341" s="34"/>
      <c r="NGO341" s="34"/>
      <c r="NGP341" s="34"/>
      <c r="NGQ341" s="34"/>
      <c r="NGR341" s="34"/>
      <c r="NGS341" s="34"/>
      <c r="NGT341" s="34"/>
      <c r="NGU341" s="34"/>
      <c r="NGV341" s="34"/>
      <c r="NGW341" s="34"/>
      <c r="NGX341" s="34"/>
      <c r="NGY341" s="34"/>
      <c r="NGZ341" s="34"/>
      <c r="NHA341" s="34"/>
      <c r="NHB341" s="34"/>
      <c r="NHC341" s="34"/>
      <c r="NHD341" s="34"/>
      <c r="NHE341" s="34"/>
      <c r="NHF341" s="34"/>
      <c r="NHG341" s="34"/>
      <c r="NHH341" s="34"/>
      <c r="NHI341" s="34"/>
      <c r="NHJ341" s="34"/>
      <c r="NHK341" s="34"/>
      <c r="NHL341" s="34"/>
      <c r="NHM341" s="34"/>
      <c r="NHN341" s="34"/>
      <c r="NHO341" s="34"/>
      <c r="NHP341" s="34"/>
      <c r="NHQ341" s="34"/>
      <c r="NHR341" s="34"/>
      <c r="NHS341" s="34"/>
      <c r="NHT341" s="34"/>
      <c r="NHU341" s="34"/>
      <c r="NHV341" s="34"/>
      <c r="NHW341" s="34"/>
      <c r="NHX341" s="34"/>
      <c r="NHY341" s="34"/>
      <c r="NHZ341" s="34"/>
      <c r="NIA341" s="34"/>
      <c r="NIB341" s="34"/>
      <c r="NIC341" s="34"/>
      <c r="NID341" s="34"/>
      <c r="NIE341" s="34"/>
      <c r="NIF341" s="34"/>
      <c r="NIG341" s="34"/>
      <c r="NIH341" s="34"/>
      <c r="NII341" s="34"/>
      <c r="NIJ341" s="34"/>
      <c r="NIK341" s="34"/>
      <c r="NIL341" s="34"/>
      <c r="NIM341" s="34"/>
      <c r="NIN341" s="34"/>
      <c r="NIO341" s="34"/>
      <c r="NIP341" s="34"/>
      <c r="NIQ341" s="34"/>
      <c r="NIR341" s="34"/>
      <c r="NIS341" s="34"/>
      <c r="NIT341" s="34"/>
      <c r="NIU341" s="34"/>
      <c r="NIV341" s="34"/>
      <c r="NIW341" s="34"/>
      <c r="NIX341" s="34"/>
      <c r="NIY341" s="34"/>
      <c r="NIZ341" s="34"/>
      <c r="NJA341" s="34"/>
      <c r="NJB341" s="34"/>
      <c r="NJC341" s="34"/>
      <c r="NJD341" s="34"/>
      <c r="NJE341" s="34"/>
      <c r="NJF341" s="34"/>
      <c r="NJG341" s="34"/>
      <c r="NJH341" s="34"/>
      <c r="NJI341" s="34"/>
      <c r="NJJ341" s="34"/>
      <c r="NJK341" s="34"/>
      <c r="NJL341" s="34"/>
      <c r="NJM341" s="34"/>
      <c r="NJN341" s="34"/>
      <c r="NJO341" s="34"/>
      <c r="NJP341" s="34"/>
      <c r="NJQ341" s="34"/>
      <c r="NJR341" s="34"/>
      <c r="NJS341" s="34"/>
      <c r="NJT341" s="34"/>
      <c r="NJU341" s="34"/>
      <c r="NJV341" s="34"/>
      <c r="NJW341" s="34"/>
      <c r="NJX341" s="34"/>
      <c r="NJY341" s="34"/>
      <c r="NJZ341" s="34"/>
      <c r="NKA341" s="34"/>
      <c r="NKB341" s="34"/>
      <c r="NKC341" s="34"/>
      <c r="NKD341" s="34"/>
      <c r="NKE341" s="34"/>
      <c r="NKF341" s="34"/>
      <c r="NKG341" s="34"/>
      <c r="NKH341" s="34"/>
      <c r="NKI341" s="34"/>
      <c r="NKJ341" s="34"/>
      <c r="NKK341" s="34"/>
      <c r="NKL341" s="34"/>
      <c r="NKM341" s="34"/>
      <c r="NKN341" s="34"/>
      <c r="NKO341" s="34"/>
      <c r="NKP341" s="34"/>
      <c r="NKQ341" s="34"/>
      <c r="NKR341" s="34"/>
      <c r="NKS341" s="34"/>
      <c r="NKT341" s="34"/>
      <c r="NKU341" s="34"/>
      <c r="NKV341" s="34"/>
      <c r="NKW341" s="34"/>
      <c r="NKX341" s="34"/>
      <c r="NKY341" s="34"/>
      <c r="NKZ341" s="34"/>
      <c r="NLA341" s="34"/>
      <c r="NLB341" s="34"/>
      <c r="NLC341" s="34"/>
      <c r="NLD341" s="34"/>
      <c r="NLE341" s="34"/>
      <c r="NLF341" s="34"/>
      <c r="NLG341" s="34"/>
      <c r="NLH341" s="34"/>
      <c r="NLI341" s="34"/>
      <c r="NLJ341" s="34"/>
      <c r="NLK341" s="34"/>
      <c r="NLL341" s="34"/>
      <c r="NLM341" s="34"/>
      <c r="NLN341" s="34"/>
      <c r="NLO341" s="34"/>
      <c r="NLP341" s="34"/>
      <c r="NLQ341" s="34"/>
      <c r="NLR341" s="34"/>
      <c r="NLS341" s="34"/>
      <c r="NLT341" s="34"/>
      <c r="NLU341" s="34"/>
      <c r="NLV341" s="34"/>
      <c r="NLW341" s="34"/>
      <c r="NLX341" s="34"/>
      <c r="NLY341" s="34"/>
      <c r="NLZ341" s="34"/>
      <c r="NMA341" s="34"/>
      <c r="NMB341" s="34"/>
      <c r="NMC341" s="34"/>
      <c r="NMD341" s="34"/>
      <c r="NME341" s="34"/>
      <c r="NMF341" s="34"/>
      <c r="NMG341" s="34"/>
      <c r="NMH341" s="34"/>
      <c r="NMI341" s="34"/>
      <c r="NMJ341" s="34"/>
      <c r="NMK341" s="34"/>
      <c r="NML341" s="34"/>
      <c r="NMM341" s="34"/>
      <c r="NMN341" s="34"/>
      <c r="NMO341" s="34"/>
      <c r="NMP341" s="34"/>
      <c r="NMQ341" s="34"/>
      <c r="NMR341" s="34"/>
      <c r="NMS341" s="34"/>
      <c r="NMT341" s="34"/>
      <c r="NMU341" s="34"/>
      <c r="NMV341" s="34"/>
      <c r="NMW341" s="34"/>
      <c r="NMX341" s="34"/>
      <c r="NMY341" s="34"/>
      <c r="NMZ341" s="34"/>
      <c r="NNA341" s="34"/>
      <c r="NNB341" s="34"/>
      <c r="NNC341" s="34"/>
      <c r="NND341" s="34"/>
      <c r="NNE341" s="34"/>
      <c r="NNF341" s="34"/>
      <c r="NNG341" s="34"/>
      <c r="NNH341" s="34"/>
      <c r="NNI341" s="34"/>
      <c r="NNJ341" s="34"/>
      <c r="NNK341" s="34"/>
      <c r="NNL341" s="34"/>
      <c r="NNM341" s="34"/>
      <c r="NNN341" s="34"/>
      <c r="NNO341" s="34"/>
      <c r="NNP341" s="34"/>
      <c r="NNQ341" s="34"/>
      <c r="NNR341" s="34"/>
      <c r="NNS341" s="34"/>
      <c r="NNT341" s="34"/>
      <c r="NNU341" s="34"/>
      <c r="NNV341" s="34"/>
      <c r="NNW341" s="34"/>
      <c r="NNX341" s="34"/>
      <c r="NNY341" s="34"/>
      <c r="NNZ341" s="34"/>
      <c r="NOA341" s="34"/>
      <c r="NOB341" s="34"/>
      <c r="NOC341" s="34"/>
      <c r="NOD341" s="34"/>
      <c r="NOE341" s="34"/>
      <c r="NOF341" s="34"/>
      <c r="NOG341" s="34"/>
      <c r="NOH341" s="34"/>
      <c r="NOI341" s="34"/>
      <c r="NOJ341" s="34"/>
      <c r="NOK341" s="34"/>
      <c r="NOL341" s="34"/>
      <c r="NOM341" s="34"/>
      <c r="NON341" s="34"/>
      <c r="NOO341" s="34"/>
      <c r="NOP341" s="34"/>
      <c r="NOQ341" s="34"/>
      <c r="NOR341" s="34"/>
      <c r="NOS341" s="34"/>
      <c r="NOT341" s="34"/>
      <c r="NOU341" s="34"/>
      <c r="NOV341" s="34"/>
      <c r="NOW341" s="34"/>
      <c r="NOX341" s="34"/>
      <c r="NOY341" s="34"/>
      <c r="NOZ341" s="34"/>
      <c r="NPA341" s="34"/>
      <c r="NPB341" s="34"/>
      <c r="NPC341" s="34"/>
      <c r="NPD341" s="34"/>
      <c r="NPE341" s="34"/>
      <c r="NPF341" s="34"/>
      <c r="NPG341" s="34"/>
      <c r="NPH341" s="34"/>
      <c r="NPI341" s="34"/>
      <c r="NPJ341" s="34"/>
      <c r="NPK341" s="34"/>
      <c r="NPL341" s="34"/>
      <c r="NPM341" s="34"/>
      <c r="NPN341" s="34"/>
      <c r="NPO341" s="34"/>
      <c r="NPP341" s="34"/>
      <c r="NPQ341" s="34"/>
      <c r="NPR341" s="34"/>
      <c r="NPS341" s="34"/>
      <c r="NPT341" s="34"/>
      <c r="NPU341" s="34"/>
      <c r="NPV341" s="34"/>
      <c r="NPW341" s="34"/>
      <c r="NPX341" s="34"/>
      <c r="NPY341" s="34"/>
      <c r="NPZ341" s="34"/>
      <c r="NQA341" s="34"/>
      <c r="NQB341" s="34"/>
      <c r="NQC341" s="34"/>
      <c r="NQD341" s="34"/>
      <c r="NQE341" s="34"/>
      <c r="NQF341" s="34"/>
      <c r="NQG341" s="34"/>
      <c r="NQH341" s="34"/>
      <c r="NQI341" s="34"/>
      <c r="NQJ341" s="34"/>
      <c r="NQK341" s="34"/>
      <c r="NQL341" s="34"/>
      <c r="NQM341" s="34"/>
      <c r="NQN341" s="34"/>
      <c r="NQO341" s="34"/>
      <c r="NQP341" s="34"/>
      <c r="NQQ341" s="34"/>
      <c r="NQR341" s="34"/>
      <c r="NQS341" s="34"/>
      <c r="NQT341" s="34"/>
      <c r="NQU341" s="34"/>
      <c r="NQV341" s="34"/>
      <c r="NQW341" s="34"/>
      <c r="NQX341" s="34"/>
      <c r="NQY341" s="34"/>
      <c r="NQZ341" s="34"/>
      <c r="NRA341" s="34"/>
      <c r="NRB341" s="34"/>
      <c r="NRC341" s="34"/>
      <c r="NRD341" s="34"/>
      <c r="NRE341" s="34"/>
      <c r="NRF341" s="34"/>
      <c r="NRG341" s="34"/>
      <c r="NRH341" s="34"/>
      <c r="NRI341" s="34"/>
      <c r="NRJ341" s="34"/>
      <c r="NRK341" s="34"/>
      <c r="NRL341" s="34"/>
      <c r="NRM341" s="34"/>
      <c r="NRN341" s="34"/>
      <c r="NRO341" s="34"/>
      <c r="NRP341" s="34"/>
      <c r="NRQ341" s="34"/>
      <c r="NRR341" s="34"/>
      <c r="NRS341" s="34"/>
      <c r="NRT341" s="34"/>
      <c r="NRU341" s="34"/>
      <c r="NRV341" s="34"/>
      <c r="NRW341" s="34"/>
      <c r="NRX341" s="34"/>
      <c r="NRY341" s="34"/>
      <c r="NRZ341" s="34"/>
      <c r="NSA341" s="34"/>
      <c r="NSB341" s="34"/>
      <c r="NSC341" s="34"/>
      <c r="NSD341" s="34"/>
      <c r="NSE341" s="34"/>
      <c r="NSF341" s="34"/>
      <c r="NSG341" s="34"/>
      <c r="NSH341" s="34"/>
      <c r="NSI341" s="34"/>
      <c r="NSJ341" s="34"/>
      <c r="NSK341" s="34"/>
      <c r="NSL341" s="34"/>
      <c r="NSM341" s="34"/>
      <c r="NSN341" s="34"/>
      <c r="NSO341" s="34"/>
      <c r="NSP341" s="34"/>
      <c r="NSQ341" s="34"/>
      <c r="NSR341" s="34"/>
      <c r="NSS341" s="34"/>
      <c r="NST341" s="34"/>
      <c r="NSU341" s="34"/>
      <c r="NSV341" s="34"/>
      <c r="NSW341" s="34"/>
      <c r="NSX341" s="34"/>
      <c r="NSY341" s="34"/>
      <c r="NSZ341" s="34"/>
      <c r="NTA341" s="34"/>
      <c r="NTB341" s="34"/>
      <c r="NTC341" s="34"/>
      <c r="NTD341" s="34"/>
      <c r="NTE341" s="34"/>
      <c r="NTF341" s="34"/>
      <c r="NTG341" s="34"/>
      <c r="NTH341" s="34"/>
      <c r="NTI341" s="34"/>
      <c r="NTJ341" s="34"/>
      <c r="NTK341" s="34"/>
      <c r="NTL341" s="34"/>
      <c r="NTM341" s="34"/>
      <c r="NTN341" s="34"/>
      <c r="NTO341" s="34"/>
      <c r="NTP341" s="34"/>
      <c r="NTQ341" s="34"/>
      <c r="NTR341" s="34"/>
      <c r="NTS341" s="34"/>
      <c r="NTT341" s="34"/>
      <c r="NTU341" s="34"/>
      <c r="NTV341" s="34"/>
      <c r="NTW341" s="34"/>
      <c r="NTX341" s="34"/>
      <c r="NTY341" s="34"/>
    </row>
    <row r="342" spans="1:10009" hidden="1" x14ac:dyDescent="0.3">
      <c r="J342" t="s">
        <v>221</v>
      </c>
      <c r="K342">
        <v>191155556000</v>
      </c>
      <c r="L342">
        <v>123750904000</v>
      </c>
      <c r="M342">
        <v>63745371000</v>
      </c>
      <c r="N342">
        <v>302231360000</v>
      </c>
      <c r="O342">
        <v>231766785000</v>
      </c>
      <c r="P342">
        <v>154985105000</v>
      </c>
      <c r="Q342">
        <v>77781498000</v>
      </c>
      <c r="R342">
        <v>279604799000</v>
      </c>
      <c r="S342">
        <v>203039275000</v>
      </c>
      <c r="T342">
        <v>129060088000</v>
      </c>
    </row>
    <row r="343" spans="1:10009" hidden="1" x14ac:dyDescent="0.3">
      <c r="J343" t="s">
        <v>226</v>
      </c>
      <c r="K343">
        <f>IF(K342="",NA(),K342*IF(MONTH(K341)/3=1,4,IF(MONTH(K341)/3=2,2,IF(MONTH(K341)/3=3,4/3,1))))</f>
        <v>254874074666.66666</v>
      </c>
      <c r="L343">
        <f t="shared" ref="L343:T343" si="44">L342*IF(MONTH(L341)/3=1,4,IF(MONTH(L341)/3=2,2,IF(MONTH(L341)/3=3,4/3,1)))</f>
        <v>247501808000</v>
      </c>
      <c r="M343">
        <f t="shared" si="44"/>
        <v>254981484000</v>
      </c>
      <c r="N343">
        <f t="shared" si="44"/>
        <v>302231360000</v>
      </c>
      <c r="O343">
        <f t="shared" si="44"/>
        <v>309022380000</v>
      </c>
      <c r="P343">
        <f t="shared" si="44"/>
        <v>309970210000</v>
      </c>
      <c r="Q343">
        <f t="shared" si="44"/>
        <v>311125992000</v>
      </c>
      <c r="R343">
        <f t="shared" si="44"/>
        <v>279604799000</v>
      </c>
      <c r="S343">
        <f t="shared" si="44"/>
        <v>270719033333.33331</v>
      </c>
      <c r="T343">
        <f t="shared" si="44"/>
        <v>258120176000</v>
      </c>
    </row>
    <row r="344" spans="1:10009" hidden="1" x14ac:dyDescent="0.3"/>
    <row r="345" spans="1:10009" hidden="1" x14ac:dyDescent="0.3">
      <c r="J345" t="str">
        <f ca="1">_xll.IMDH("STK",$N$5,$J$346:$J$349,$L$92-458,$O$5-365,9999,"Per=분기,sort=D,real=true,Bizday=0,Quote=종가,Pos=11,Orient=H,Cons="&amp;$P$5&amp;",Comp=누적,Trai=연속,DtFmt=1,TmFmt=1,unit=true,title=분기활동성-1년")</f>
        <v>분기활동성-1년</v>
      </c>
    </row>
    <row r="346" spans="1:10009" hidden="1" x14ac:dyDescent="0.3">
      <c r="J346" t="s">
        <v>164</v>
      </c>
      <c r="K346" s="34">
        <v>44834</v>
      </c>
      <c r="L346" s="34">
        <v>44742</v>
      </c>
      <c r="M346" s="34">
        <v>44651</v>
      </c>
      <c r="N346" s="34">
        <v>44561</v>
      </c>
      <c r="O346" s="34">
        <v>44469</v>
      </c>
      <c r="P346" s="34">
        <v>44377</v>
      </c>
      <c r="Q346" s="34">
        <v>44286</v>
      </c>
      <c r="R346" s="34">
        <v>44196</v>
      </c>
      <c r="S346" s="34">
        <v>44104</v>
      </c>
      <c r="T346" s="34">
        <v>44012</v>
      </c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  <c r="CO346" s="34"/>
      <c r="CP346" s="34"/>
      <c r="CQ346" s="34"/>
      <c r="CR346" s="34"/>
      <c r="CS346" s="34"/>
      <c r="CT346" s="34"/>
      <c r="CU346" s="34"/>
      <c r="CV346" s="34"/>
      <c r="CW346" s="34"/>
      <c r="CX346" s="34"/>
      <c r="CY346" s="34"/>
      <c r="CZ346" s="34"/>
      <c r="DA346" s="34"/>
      <c r="DB346" s="34"/>
      <c r="DC346" s="34"/>
      <c r="DD346" s="34"/>
      <c r="DE346" s="34"/>
      <c r="DF346" s="34"/>
      <c r="DG346" s="34"/>
      <c r="DH346" s="34"/>
      <c r="DI346" s="34"/>
      <c r="DJ346" s="34"/>
      <c r="DK346" s="34"/>
      <c r="DL346" s="34"/>
      <c r="DM346" s="34"/>
      <c r="DN346" s="34"/>
      <c r="DO346" s="34"/>
      <c r="DP346" s="34"/>
      <c r="DQ346" s="34"/>
      <c r="DR346" s="34"/>
      <c r="DS346" s="34"/>
      <c r="DT346" s="34"/>
      <c r="DU346" s="34"/>
      <c r="DV346" s="34"/>
      <c r="DW346" s="34"/>
      <c r="DX346" s="34"/>
      <c r="DY346" s="34"/>
      <c r="DZ346" s="34"/>
      <c r="EA346" s="34"/>
      <c r="EB346" s="34"/>
      <c r="EC346" s="34"/>
      <c r="ED346" s="34"/>
      <c r="EE346" s="34"/>
      <c r="EF346" s="34"/>
      <c r="EG346" s="34"/>
      <c r="EH346" s="34"/>
      <c r="EI346" s="34"/>
      <c r="EJ346" s="34"/>
      <c r="EK346" s="34"/>
      <c r="EL346" s="34"/>
      <c r="EM346" s="34"/>
      <c r="EN346" s="34"/>
      <c r="EO346" s="34"/>
      <c r="EP346" s="34"/>
      <c r="EQ346" s="34"/>
      <c r="ER346" s="34"/>
      <c r="ES346" s="34"/>
      <c r="ET346" s="34"/>
      <c r="EU346" s="34"/>
      <c r="EV346" s="34"/>
      <c r="EW346" s="34"/>
      <c r="EX346" s="34"/>
      <c r="EY346" s="34"/>
      <c r="EZ346" s="34"/>
      <c r="FA346" s="34"/>
      <c r="FB346" s="34"/>
      <c r="FC346" s="34"/>
      <c r="FD346" s="34"/>
      <c r="FE346" s="34"/>
      <c r="FF346" s="34"/>
      <c r="FG346" s="34"/>
      <c r="FH346" s="34"/>
      <c r="FI346" s="34"/>
      <c r="FJ346" s="34"/>
      <c r="FK346" s="34"/>
      <c r="FL346" s="34"/>
      <c r="FM346" s="34"/>
      <c r="FN346" s="34"/>
      <c r="FO346" s="34"/>
      <c r="FP346" s="34"/>
      <c r="FQ346" s="34"/>
      <c r="FR346" s="34"/>
      <c r="FS346" s="34"/>
      <c r="FT346" s="34"/>
      <c r="FU346" s="34"/>
      <c r="FV346" s="34"/>
      <c r="FW346" s="34"/>
      <c r="FX346" s="34"/>
      <c r="FY346" s="34"/>
      <c r="FZ346" s="34"/>
      <c r="GA346" s="34"/>
      <c r="GB346" s="34"/>
      <c r="GC346" s="34"/>
      <c r="GD346" s="34"/>
      <c r="GE346" s="34"/>
      <c r="GF346" s="34"/>
      <c r="GG346" s="34"/>
      <c r="GH346" s="34"/>
      <c r="GI346" s="34"/>
      <c r="GJ346" s="34"/>
      <c r="GK346" s="34"/>
      <c r="GL346" s="34"/>
      <c r="GM346" s="34"/>
      <c r="GN346" s="34"/>
      <c r="GO346" s="34"/>
      <c r="GP346" s="34"/>
      <c r="GQ346" s="34"/>
      <c r="GR346" s="34"/>
      <c r="GS346" s="34"/>
      <c r="GT346" s="34"/>
      <c r="GU346" s="34"/>
      <c r="GV346" s="34"/>
      <c r="GW346" s="34"/>
      <c r="GX346" s="34"/>
      <c r="GY346" s="34"/>
      <c r="GZ346" s="34"/>
      <c r="HA346" s="34"/>
      <c r="HB346" s="34"/>
      <c r="HC346" s="34"/>
      <c r="HD346" s="34"/>
      <c r="HE346" s="34"/>
      <c r="HF346" s="34"/>
      <c r="HG346" s="34"/>
      <c r="HH346" s="34"/>
      <c r="HI346" s="34"/>
      <c r="HJ346" s="34"/>
      <c r="HK346" s="34"/>
      <c r="HL346" s="34"/>
      <c r="HM346" s="34"/>
      <c r="HN346" s="34"/>
      <c r="HO346" s="34"/>
      <c r="HP346" s="34"/>
      <c r="HQ346" s="34"/>
      <c r="HR346" s="34"/>
      <c r="HS346" s="34"/>
      <c r="HT346" s="34"/>
      <c r="HU346" s="34"/>
      <c r="HV346" s="34"/>
      <c r="HW346" s="34"/>
      <c r="HX346" s="34"/>
      <c r="HY346" s="34"/>
      <c r="HZ346" s="34"/>
      <c r="IA346" s="34"/>
      <c r="IB346" s="34"/>
      <c r="IC346" s="34"/>
      <c r="ID346" s="34"/>
      <c r="IE346" s="34"/>
      <c r="IF346" s="34"/>
      <c r="IG346" s="34"/>
      <c r="IH346" s="34"/>
      <c r="II346" s="34"/>
      <c r="IJ346" s="34"/>
      <c r="IK346" s="34"/>
      <c r="IL346" s="34"/>
      <c r="IM346" s="34"/>
      <c r="IN346" s="34"/>
      <c r="IO346" s="34"/>
      <c r="IP346" s="34"/>
      <c r="IQ346" s="34"/>
      <c r="IR346" s="34"/>
      <c r="IS346" s="34"/>
      <c r="IT346" s="34"/>
      <c r="IU346" s="34"/>
      <c r="IV346" s="34"/>
      <c r="IW346" s="34"/>
      <c r="IX346" s="34"/>
      <c r="IY346" s="34"/>
      <c r="IZ346" s="34"/>
      <c r="JA346" s="34"/>
      <c r="JB346" s="34"/>
      <c r="JC346" s="34"/>
      <c r="JD346" s="34"/>
      <c r="JE346" s="34"/>
      <c r="JF346" s="34"/>
      <c r="JG346" s="34"/>
      <c r="JH346" s="34"/>
      <c r="JI346" s="34"/>
      <c r="JJ346" s="34"/>
      <c r="JK346" s="34"/>
      <c r="JL346" s="34"/>
      <c r="JM346" s="34"/>
      <c r="JN346" s="34"/>
      <c r="JO346" s="34"/>
      <c r="JP346" s="34"/>
      <c r="JQ346" s="34"/>
      <c r="JR346" s="34"/>
      <c r="JS346" s="34"/>
      <c r="JT346" s="34"/>
      <c r="JU346" s="34"/>
      <c r="JV346" s="34"/>
      <c r="JW346" s="34"/>
      <c r="JX346" s="34"/>
      <c r="JY346" s="34"/>
      <c r="JZ346" s="34"/>
      <c r="KA346" s="34"/>
      <c r="KB346" s="34"/>
      <c r="KC346" s="34"/>
      <c r="KD346" s="34"/>
      <c r="KE346" s="34"/>
      <c r="KF346" s="34"/>
      <c r="KG346" s="34"/>
      <c r="KH346" s="34"/>
      <c r="KI346" s="34"/>
      <c r="KJ346" s="34"/>
      <c r="KK346" s="34"/>
      <c r="KL346" s="34"/>
      <c r="KM346" s="34"/>
      <c r="KN346" s="34"/>
      <c r="KO346" s="34"/>
      <c r="KP346" s="34"/>
      <c r="KQ346" s="34"/>
      <c r="KR346" s="34"/>
      <c r="KS346" s="34"/>
      <c r="KT346" s="34"/>
      <c r="KU346" s="34"/>
      <c r="KV346" s="34"/>
      <c r="KW346" s="34"/>
      <c r="KX346" s="34"/>
      <c r="KY346" s="34"/>
      <c r="KZ346" s="34"/>
      <c r="LA346" s="34"/>
      <c r="LB346" s="34"/>
      <c r="LC346" s="34"/>
      <c r="LD346" s="34"/>
      <c r="LE346" s="34"/>
      <c r="LF346" s="34"/>
      <c r="LG346" s="34"/>
      <c r="LH346" s="34"/>
      <c r="LI346" s="34"/>
      <c r="LJ346" s="34"/>
      <c r="LK346" s="34"/>
      <c r="LL346" s="34"/>
      <c r="LM346" s="34"/>
      <c r="LN346" s="34"/>
      <c r="LO346" s="34"/>
      <c r="LP346" s="34"/>
      <c r="LQ346" s="34"/>
      <c r="LR346" s="34"/>
      <c r="LS346" s="34"/>
      <c r="LT346" s="34"/>
      <c r="LU346" s="34"/>
      <c r="LV346" s="34"/>
      <c r="LW346" s="34"/>
      <c r="LX346" s="34"/>
      <c r="LY346" s="34"/>
      <c r="LZ346" s="34"/>
      <c r="MA346" s="34"/>
      <c r="MB346" s="34"/>
      <c r="MC346" s="34"/>
      <c r="MD346" s="34"/>
      <c r="ME346" s="34"/>
      <c r="MF346" s="34"/>
      <c r="MG346" s="34"/>
      <c r="MH346" s="34"/>
      <c r="MI346" s="34"/>
      <c r="MJ346" s="34"/>
      <c r="MK346" s="34"/>
      <c r="ML346" s="34"/>
      <c r="MM346" s="34"/>
      <c r="MN346" s="34"/>
      <c r="MO346" s="34"/>
      <c r="MP346" s="34"/>
      <c r="MQ346" s="34"/>
      <c r="MR346" s="34"/>
      <c r="MS346" s="34"/>
      <c r="MT346" s="34"/>
      <c r="MU346" s="34"/>
      <c r="MV346" s="34"/>
      <c r="MW346" s="34"/>
      <c r="MX346" s="34"/>
      <c r="MY346" s="34"/>
      <c r="MZ346" s="34"/>
      <c r="NA346" s="34"/>
      <c r="NB346" s="34"/>
      <c r="NC346" s="34"/>
      <c r="ND346" s="34"/>
      <c r="NE346" s="34"/>
      <c r="NF346" s="34"/>
      <c r="NG346" s="34"/>
      <c r="NH346" s="34"/>
      <c r="NI346" s="34"/>
      <c r="NJ346" s="34"/>
      <c r="NK346" s="34"/>
      <c r="NL346" s="34"/>
      <c r="NM346" s="34"/>
      <c r="NN346" s="34"/>
      <c r="NO346" s="34"/>
      <c r="NP346" s="34"/>
      <c r="NQ346" s="34"/>
      <c r="NR346" s="34"/>
      <c r="NS346" s="34"/>
      <c r="NT346" s="34"/>
      <c r="NU346" s="34"/>
      <c r="NV346" s="34"/>
      <c r="NW346" s="34"/>
      <c r="NX346" s="34"/>
      <c r="NY346" s="34"/>
      <c r="NZ346" s="34"/>
      <c r="OA346" s="34"/>
      <c r="OB346" s="34"/>
      <c r="OC346" s="34"/>
      <c r="OD346" s="34"/>
      <c r="OE346" s="34"/>
      <c r="OF346" s="34"/>
      <c r="OG346" s="34"/>
      <c r="OH346" s="34"/>
      <c r="OI346" s="34"/>
      <c r="OJ346" s="34"/>
      <c r="OK346" s="34"/>
      <c r="OL346" s="34"/>
      <c r="OM346" s="34"/>
      <c r="ON346" s="34"/>
      <c r="OO346" s="34"/>
      <c r="OP346" s="34"/>
      <c r="OQ346" s="34"/>
      <c r="OR346" s="34"/>
      <c r="OS346" s="34"/>
      <c r="OT346" s="34"/>
      <c r="OU346" s="34"/>
      <c r="OV346" s="34"/>
      <c r="OW346" s="34"/>
      <c r="OX346" s="34"/>
      <c r="OY346" s="34"/>
      <c r="OZ346" s="34"/>
      <c r="PA346" s="34"/>
      <c r="PB346" s="34"/>
      <c r="PC346" s="34"/>
      <c r="PD346" s="34"/>
      <c r="PE346" s="34"/>
      <c r="PF346" s="34"/>
      <c r="PG346" s="34"/>
      <c r="PH346" s="34"/>
      <c r="PI346" s="34"/>
      <c r="PJ346" s="34"/>
      <c r="PK346" s="34"/>
      <c r="PL346" s="34"/>
      <c r="PM346" s="34"/>
      <c r="PN346" s="34"/>
      <c r="PO346" s="34"/>
      <c r="PP346" s="34"/>
      <c r="PQ346" s="34"/>
      <c r="PR346" s="34"/>
      <c r="PS346" s="34"/>
      <c r="PT346" s="34"/>
      <c r="PU346" s="34"/>
      <c r="PV346" s="34"/>
      <c r="PW346" s="34"/>
      <c r="PX346" s="34"/>
      <c r="PY346" s="34"/>
      <c r="PZ346" s="34"/>
      <c r="QA346" s="34"/>
      <c r="QB346" s="34"/>
      <c r="QC346" s="34"/>
      <c r="QD346" s="34"/>
      <c r="QE346" s="34"/>
      <c r="QF346" s="34"/>
      <c r="QG346" s="34"/>
      <c r="QH346" s="34"/>
      <c r="QI346" s="34"/>
      <c r="QJ346" s="34"/>
      <c r="QK346" s="34"/>
      <c r="QL346" s="34"/>
      <c r="QM346" s="34"/>
      <c r="QN346" s="34"/>
      <c r="QO346" s="34"/>
      <c r="QP346" s="34"/>
      <c r="QQ346" s="34"/>
      <c r="QR346" s="34"/>
      <c r="QS346" s="34"/>
      <c r="QT346" s="34"/>
      <c r="QU346" s="34"/>
      <c r="QV346" s="34"/>
      <c r="QW346" s="34"/>
      <c r="QX346" s="34"/>
      <c r="QY346" s="34"/>
      <c r="QZ346" s="34"/>
      <c r="RA346" s="34"/>
      <c r="RB346" s="34"/>
      <c r="RC346" s="34"/>
      <c r="RD346" s="34"/>
      <c r="RE346" s="34"/>
      <c r="RF346" s="34"/>
      <c r="RG346" s="34"/>
      <c r="RH346" s="34"/>
      <c r="RI346" s="34"/>
      <c r="RJ346" s="34"/>
      <c r="RK346" s="34"/>
      <c r="RL346" s="34"/>
      <c r="RM346" s="34"/>
      <c r="RN346" s="34"/>
      <c r="RO346" s="34"/>
      <c r="RP346" s="34"/>
      <c r="RQ346" s="34"/>
      <c r="RR346" s="34"/>
      <c r="RS346" s="34"/>
      <c r="RT346" s="34"/>
      <c r="RU346" s="34"/>
      <c r="RV346" s="34"/>
      <c r="RW346" s="34"/>
      <c r="RX346" s="34"/>
      <c r="RY346" s="34"/>
      <c r="RZ346" s="34"/>
      <c r="SA346" s="34"/>
      <c r="SB346" s="34"/>
      <c r="SC346" s="34"/>
      <c r="SD346" s="34"/>
      <c r="SE346" s="34"/>
      <c r="SF346" s="34"/>
      <c r="SG346" s="34"/>
      <c r="SH346" s="34"/>
      <c r="SI346" s="34"/>
      <c r="SJ346" s="34"/>
      <c r="SK346" s="34"/>
      <c r="SL346" s="34"/>
      <c r="SM346" s="34"/>
      <c r="SN346" s="34"/>
      <c r="SO346" s="34"/>
      <c r="SP346" s="34"/>
      <c r="SQ346" s="34"/>
      <c r="SR346" s="34"/>
      <c r="SS346" s="34"/>
      <c r="ST346" s="34"/>
      <c r="SU346" s="34"/>
      <c r="SV346" s="34"/>
      <c r="SW346" s="34"/>
      <c r="SX346" s="34"/>
      <c r="SY346" s="34"/>
      <c r="SZ346" s="34"/>
      <c r="TA346" s="34"/>
      <c r="TB346" s="34"/>
      <c r="TC346" s="34"/>
      <c r="TD346" s="34"/>
      <c r="TE346" s="34"/>
      <c r="TF346" s="34"/>
      <c r="TG346" s="34"/>
      <c r="TH346" s="34"/>
      <c r="TI346" s="34"/>
      <c r="TJ346" s="34"/>
      <c r="TK346" s="34"/>
      <c r="TL346" s="34"/>
      <c r="TM346" s="34"/>
      <c r="TN346" s="34"/>
      <c r="TO346" s="34"/>
      <c r="TP346" s="34"/>
      <c r="TQ346" s="34"/>
      <c r="TR346" s="34"/>
      <c r="TS346" s="34"/>
      <c r="TT346" s="34"/>
      <c r="TU346" s="34"/>
      <c r="TV346" s="34"/>
      <c r="TW346" s="34"/>
      <c r="TX346" s="34"/>
      <c r="TY346" s="34"/>
      <c r="TZ346" s="34"/>
      <c r="UA346" s="34"/>
      <c r="UB346" s="34"/>
      <c r="UC346" s="34"/>
      <c r="UD346" s="34"/>
      <c r="UE346" s="34"/>
      <c r="UF346" s="34"/>
      <c r="UG346" s="34"/>
      <c r="UH346" s="34"/>
      <c r="UI346" s="34"/>
      <c r="UJ346" s="34"/>
      <c r="UK346" s="34"/>
      <c r="UL346" s="34"/>
      <c r="UM346" s="34"/>
      <c r="UN346" s="34"/>
      <c r="UO346" s="34"/>
      <c r="UP346" s="34"/>
      <c r="UQ346" s="34"/>
      <c r="UR346" s="34"/>
      <c r="US346" s="34"/>
      <c r="UT346" s="34"/>
      <c r="UU346" s="34"/>
      <c r="UV346" s="34"/>
      <c r="UW346" s="34"/>
      <c r="UX346" s="34"/>
      <c r="UY346" s="34"/>
      <c r="UZ346" s="34"/>
      <c r="VA346" s="34"/>
      <c r="VB346" s="34"/>
      <c r="VC346" s="34"/>
      <c r="VD346" s="34"/>
      <c r="VE346" s="34"/>
      <c r="VF346" s="34"/>
      <c r="VG346" s="34"/>
      <c r="VH346" s="34"/>
      <c r="VI346" s="34"/>
      <c r="VJ346" s="34"/>
      <c r="VK346" s="34"/>
      <c r="VL346" s="34"/>
      <c r="VM346" s="34"/>
      <c r="VN346" s="34"/>
      <c r="VO346" s="34"/>
      <c r="VP346" s="34"/>
      <c r="VQ346" s="34"/>
      <c r="VR346" s="34"/>
      <c r="VS346" s="34"/>
      <c r="VT346" s="34"/>
      <c r="VU346" s="34"/>
      <c r="VV346" s="34"/>
      <c r="VW346" s="34"/>
      <c r="VX346" s="34"/>
      <c r="VY346" s="34"/>
      <c r="VZ346" s="34"/>
      <c r="WA346" s="34"/>
      <c r="WB346" s="34"/>
      <c r="WC346" s="34"/>
      <c r="WD346" s="34"/>
      <c r="WE346" s="34"/>
      <c r="WF346" s="34"/>
      <c r="WG346" s="34"/>
      <c r="WH346" s="34"/>
      <c r="WI346" s="34"/>
      <c r="WJ346" s="34"/>
      <c r="WK346" s="34"/>
      <c r="WL346" s="34"/>
      <c r="WM346" s="34"/>
      <c r="WN346" s="34"/>
      <c r="WO346" s="34"/>
      <c r="WP346" s="34"/>
      <c r="WQ346" s="34"/>
      <c r="WR346" s="34"/>
      <c r="WS346" s="34"/>
      <c r="WT346" s="34"/>
      <c r="WU346" s="34"/>
      <c r="WV346" s="34"/>
      <c r="WW346" s="34"/>
      <c r="WX346" s="34"/>
      <c r="WY346" s="34"/>
      <c r="WZ346" s="34"/>
      <c r="XA346" s="34"/>
      <c r="XB346" s="34"/>
      <c r="XC346" s="34"/>
      <c r="XD346" s="34"/>
      <c r="XE346" s="34"/>
      <c r="XF346" s="34"/>
      <c r="XG346" s="34"/>
      <c r="XH346" s="34"/>
      <c r="XI346" s="34"/>
      <c r="XJ346" s="34"/>
      <c r="XK346" s="34"/>
      <c r="XL346" s="34"/>
      <c r="XM346" s="34"/>
      <c r="XN346" s="34"/>
      <c r="XO346" s="34"/>
      <c r="XP346" s="34"/>
      <c r="XQ346" s="34"/>
      <c r="XR346" s="34"/>
      <c r="XS346" s="34"/>
      <c r="XT346" s="34"/>
      <c r="XU346" s="34"/>
      <c r="XV346" s="34"/>
      <c r="XW346" s="34"/>
      <c r="XX346" s="34"/>
      <c r="XY346" s="34"/>
      <c r="XZ346" s="34"/>
      <c r="YA346" s="34"/>
      <c r="YB346" s="34"/>
      <c r="YC346" s="34"/>
      <c r="YD346" s="34"/>
      <c r="YE346" s="34"/>
      <c r="YF346" s="34"/>
      <c r="YG346" s="34"/>
      <c r="YH346" s="34"/>
      <c r="YI346" s="34"/>
      <c r="YJ346" s="34"/>
      <c r="YK346" s="34"/>
      <c r="YL346" s="34"/>
      <c r="YM346" s="34"/>
      <c r="YN346" s="34"/>
      <c r="YO346" s="34"/>
      <c r="YP346" s="34"/>
      <c r="YQ346" s="34"/>
      <c r="YR346" s="34"/>
      <c r="YS346" s="34"/>
      <c r="YT346" s="34"/>
      <c r="YU346" s="34"/>
      <c r="YV346" s="34"/>
      <c r="YW346" s="34"/>
      <c r="YX346" s="34"/>
      <c r="YY346" s="34"/>
      <c r="YZ346" s="34"/>
      <c r="ZA346" s="34"/>
      <c r="ZB346" s="34"/>
      <c r="ZC346" s="34"/>
      <c r="ZD346" s="34"/>
      <c r="ZE346" s="34"/>
      <c r="ZF346" s="34"/>
      <c r="ZG346" s="34"/>
      <c r="ZH346" s="34"/>
      <c r="ZI346" s="34"/>
      <c r="ZJ346" s="34"/>
      <c r="ZK346" s="34"/>
      <c r="ZL346" s="34"/>
      <c r="ZM346" s="34"/>
      <c r="ZN346" s="34"/>
      <c r="ZO346" s="34"/>
      <c r="ZP346" s="34"/>
      <c r="ZQ346" s="34"/>
      <c r="ZR346" s="34"/>
      <c r="ZS346" s="34"/>
      <c r="ZT346" s="34"/>
      <c r="ZU346" s="34"/>
      <c r="ZV346" s="34"/>
      <c r="ZW346" s="34"/>
      <c r="ZX346" s="34"/>
      <c r="ZY346" s="34"/>
      <c r="ZZ346" s="34"/>
      <c r="AAA346" s="34"/>
      <c r="AAB346" s="34"/>
      <c r="AAC346" s="34"/>
      <c r="AAD346" s="34"/>
      <c r="AAE346" s="34"/>
      <c r="AAF346" s="34"/>
      <c r="AAG346" s="34"/>
      <c r="AAH346" s="34"/>
      <c r="AAI346" s="34"/>
      <c r="AAJ346" s="34"/>
      <c r="AAK346" s="34"/>
      <c r="AAL346" s="34"/>
      <c r="AAM346" s="34"/>
      <c r="AAN346" s="34"/>
      <c r="AAO346" s="34"/>
      <c r="AAP346" s="34"/>
      <c r="AAQ346" s="34"/>
      <c r="AAR346" s="34"/>
      <c r="AAS346" s="34"/>
      <c r="AAT346" s="34"/>
      <c r="AAU346" s="34"/>
      <c r="AAV346" s="34"/>
      <c r="AAW346" s="34"/>
      <c r="AAX346" s="34"/>
      <c r="AAY346" s="34"/>
      <c r="AAZ346" s="34"/>
      <c r="ABA346" s="34"/>
      <c r="ABB346" s="34"/>
      <c r="ABC346" s="34"/>
      <c r="ABD346" s="34"/>
      <c r="ABE346" s="34"/>
      <c r="ABF346" s="34"/>
      <c r="ABG346" s="34"/>
      <c r="ABH346" s="34"/>
      <c r="ABI346" s="34"/>
      <c r="ABJ346" s="34"/>
      <c r="ABK346" s="34"/>
      <c r="ABL346" s="34"/>
      <c r="ABM346" s="34"/>
      <c r="ABN346" s="34"/>
      <c r="ABO346" s="34"/>
      <c r="ABP346" s="34"/>
      <c r="ABQ346" s="34"/>
      <c r="ABR346" s="34"/>
      <c r="ABS346" s="34"/>
      <c r="ABT346" s="34"/>
      <c r="ABU346" s="34"/>
      <c r="ABV346" s="34"/>
      <c r="ABW346" s="34"/>
      <c r="ABX346" s="34"/>
      <c r="ABY346" s="34"/>
      <c r="ABZ346" s="34"/>
      <c r="ACA346" s="34"/>
      <c r="ACB346" s="34"/>
      <c r="ACC346" s="34"/>
      <c r="ACD346" s="34"/>
      <c r="ACE346" s="34"/>
      <c r="ACF346" s="34"/>
      <c r="ACG346" s="34"/>
      <c r="ACH346" s="34"/>
      <c r="ACI346" s="34"/>
      <c r="ACJ346" s="34"/>
      <c r="ACK346" s="34"/>
      <c r="ACL346" s="34"/>
      <c r="ACM346" s="34"/>
      <c r="ACN346" s="34"/>
      <c r="ACO346" s="34"/>
      <c r="ACP346" s="34"/>
      <c r="ACQ346" s="34"/>
      <c r="ACR346" s="34"/>
      <c r="ACS346" s="34"/>
      <c r="ACT346" s="34"/>
      <c r="ACU346" s="34"/>
      <c r="ACV346" s="34"/>
      <c r="ACW346" s="34"/>
      <c r="ACX346" s="34"/>
      <c r="ACY346" s="34"/>
      <c r="ACZ346" s="34"/>
      <c r="ADA346" s="34"/>
      <c r="ADB346" s="34"/>
      <c r="ADC346" s="34"/>
      <c r="ADD346" s="34"/>
      <c r="ADE346" s="34"/>
      <c r="ADF346" s="34"/>
      <c r="ADG346" s="34"/>
      <c r="ADH346" s="34"/>
      <c r="ADI346" s="34"/>
      <c r="ADJ346" s="34"/>
      <c r="ADK346" s="34"/>
      <c r="ADL346" s="34"/>
      <c r="ADM346" s="34"/>
      <c r="ADN346" s="34"/>
      <c r="ADO346" s="34"/>
      <c r="ADP346" s="34"/>
      <c r="ADQ346" s="34"/>
      <c r="ADR346" s="34"/>
      <c r="ADS346" s="34"/>
      <c r="ADT346" s="34"/>
      <c r="ADU346" s="34"/>
      <c r="ADV346" s="34"/>
      <c r="ADW346" s="34"/>
      <c r="ADX346" s="34"/>
      <c r="ADY346" s="34"/>
      <c r="ADZ346" s="34"/>
      <c r="AEA346" s="34"/>
      <c r="AEB346" s="34"/>
      <c r="AEC346" s="34"/>
      <c r="AED346" s="34"/>
      <c r="AEE346" s="34"/>
      <c r="AEF346" s="34"/>
      <c r="AEG346" s="34"/>
      <c r="AEH346" s="34"/>
      <c r="AEI346" s="34"/>
      <c r="AEJ346" s="34"/>
      <c r="AEK346" s="34"/>
      <c r="AEL346" s="34"/>
      <c r="AEM346" s="34"/>
      <c r="AEN346" s="34"/>
      <c r="AEO346" s="34"/>
      <c r="AEP346" s="34"/>
      <c r="AEQ346" s="34"/>
      <c r="AER346" s="34"/>
      <c r="AES346" s="34"/>
      <c r="AET346" s="34"/>
      <c r="AEU346" s="34"/>
      <c r="AEV346" s="34"/>
      <c r="AEW346" s="34"/>
      <c r="AEX346" s="34"/>
      <c r="AEY346" s="34"/>
      <c r="AEZ346" s="34"/>
      <c r="AFA346" s="34"/>
      <c r="AFB346" s="34"/>
      <c r="AFC346" s="34"/>
      <c r="AFD346" s="34"/>
      <c r="AFE346" s="34"/>
      <c r="AFF346" s="34"/>
      <c r="AFG346" s="34"/>
      <c r="AFH346" s="34"/>
      <c r="AFI346" s="34"/>
      <c r="AFJ346" s="34"/>
      <c r="AFK346" s="34"/>
      <c r="AFL346" s="34"/>
      <c r="AFM346" s="34"/>
      <c r="AFN346" s="34"/>
      <c r="AFO346" s="34"/>
      <c r="AFP346" s="34"/>
      <c r="AFQ346" s="34"/>
      <c r="AFR346" s="34"/>
      <c r="AFS346" s="34"/>
      <c r="AFT346" s="34"/>
      <c r="AFU346" s="34"/>
      <c r="AFV346" s="34"/>
      <c r="AFW346" s="34"/>
      <c r="AFX346" s="34"/>
      <c r="AFY346" s="34"/>
      <c r="AFZ346" s="34"/>
      <c r="AGA346" s="34"/>
      <c r="AGB346" s="34"/>
      <c r="AGC346" s="34"/>
      <c r="AGD346" s="34"/>
      <c r="AGE346" s="34"/>
      <c r="AGF346" s="34"/>
      <c r="AGG346" s="34"/>
      <c r="AGH346" s="34"/>
      <c r="AGI346" s="34"/>
      <c r="AGJ346" s="34"/>
      <c r="AGK346" s="34"/>
      <c r="AGL346" s="34"/>
      <c r="AGM346" s="34"/>
      <c r="AGN346" s="34"/>
      <c r="AGO346" s="34"/>
      <c r="AGP346" s="34"/>
      <c r="AGQ346" s="34"/>
      <c r="AGR346" s="34"/>
      <c r="AGS346" s="34"/>
      <c r="AGT346" s="34"/>
      <c r="AGU346" s="34"/>
      <c r="AGV346" s="34"/>
      <c r="AGW346" s="34"/>
      <c r="AGX346" s="34"/>
      <c r="AGY346" s="34"/>
      <c r="AGZ346" s="34"/>
      <c r="AHA346" s="34"/>
      <c r="AHB346" s="34"/>
      <c r="AHC346" s="34"/>
      <c r="AHD346" s="34"/>
      <c r="AHE346" s="34"/>
      <c r="AHF346" s="34"/>
      <c r="AHG346" s="34"/>
      <c r="AHH346" s="34"/>
      <c r="AHI346" s="34"/>
      <c r="AHJ346" s="34"/>
      <c r="AHK346" s="34"/>
      <c r="AHL346" s="34"/>
      <c r="AHM346" s="34"/>
      <c r="AHN346" s="34"/>
      <c r="AHO346" s="34"/>
      <c r="AHP346" s="34"/>
      <c r="AHQ346" s="34"/>
      <c r="AHR346" s="34"/>
      <c r="AHS346" s="34"/>
      <c r="AHT346" s="34"/>
      <c r="AHU346" s="34"/>
      <c r="AHV346" s="34"/>
      <c r="AHW346" s="34"/>
      <c r="AHX346" s="34"/>
      <c r="AHY346" s="34"/>
      <c r="AHZ346" s="34"/>
      <c r="AIA346" s="34"/>
      <c r="AIB346" s="34"/>
      <c r="AIC346" s="34"/>
      <c r="AID346" s="34"/>
      <c r="AIE346" s="34"/>
      <c r="AIF346" s="34"/>
      <c r="AIG346" s="34"/>
      <c r="AIH346" s="34"/>
      <c r="AII346" s="34"/>
      <c r="AIJ346" s="34"/>
      <c r="AIK346" s="34"/>
      <c r="AIL346" s="34"/>
      <c r="AIM346" s="34"/>
      <c r="AIN346" s="34"/>
      <c r="AIO346" s="34"/>
      <c r="AIP346" s="34"/>
      <c r="AIQ346" s="34"/>
      <c r="AIR346" s="34"/>
      <c r="AIS346" s="34"/>
      <c r="AIT346" s="34"/>
      <c r="AIU346" s="34"/>
      <c r="AIV346" s="34"/>
      <c r="AIW346" s="34"/>
      <c r="AIX346" s="34"/>
      <c r="AIY346" s="34"/>
      <c r="AIZ346" s="34"/>
      <c r="AJA346" s="34"/>
      <c r="AJB346" s="34"/>
      <c r="AJC346" s="34"/>
      <c r="AJD346" s="34"/>
      <c r="AJE346" s="34"/>
      <c r="AJF346" s="34"/>
      <c r="AJG346" s="34"/>
      <c r="AJH346" s="34"/>
      <c r="AJI346" s="34"/>
      <c r="AJJ346" s="34"/>
      <c r="AJK346" s="34"/>
      <c r="AJL346" s="34"/>
      <c r="AJM346" s="34"/>
      <c r="AJN346" s="34"/>
      <c r="AJO346" s="34"/>
      <c r="AJP346" s="34"/>
      <c r="AJQ346" s="34"/>
      <c r="AJR346" s="34"/>
      <c r="AJS346" s="34"/>
      <c r="AJT346" s="34"/>
      <c r="AJU346" s="34"/>
      <c r="AJV346" s="34"/>
      <c r="AJW346" s="34"/>
      <c r="AJX346" s="34"/>
      <c r="AJY346" s="34"/>
      <c r="AJZ346" s="34"/>
      <c r="AKA346" s="34"/>
      <c r="AKB346" s="34"/>
      <c r="AKC346" s="34"/>
      <c r="AKD346" s="34"/>
      <c r="AKE346" s="34"/>
      <c r="AKF346" s="34"/>
      <c r="AKG346" s="34"/>
      <c r="AKH346" s="34"/>
      <c r="AKI346" s="34"/>
      <c r="AKJ346" s="34"/>
      <c r="AKK346" s="34"/>
      <c r="AKL346" s="34"/>
      <c r="AKM346" s="34"/>
      <c r="AKN346" s="34"/>
      <c r="AKO346" s="34"/>
      <c r="AKP346" s="34"/>
      <c r="AKQ346" s="34"/>
      <c r="AKR346" s="34"/>
      <c r="AKS346" s="34"/>
      <c r="AKT346" s="34"/>
      <c r="AKU346" s="34"/>
      <c r="AKV346" s="34"/>
      <c r="AKW346" s="34"/>
      <c r="AKX346" s="34"/>
      <c r="AKY346" s="34"/>
      <c r="AKZ346" s="34"/>
      <c r="ALA346" s="34"/>
      <c r="ALB346" s="34"/>
      <c r="ALC346" s="34"/>
      <c r="ALD346" s="34"/>
      <c r="ALE346" s="34"/>
      <c r="ALF346" s="34"/>
      <c r="ALG346" s="34"/>
      <c r="ALH346" s="34"/>
      <c r="ALI346" s="34"/>
      <c r="ALJ346" s="34"/>
      <c r="ALK346" s="34"/>
      <c r="ALL346" s="34"/>
      <c r="ALM346" s="34"/>
      <c r="ALN346" s="34"/>
      <c r="ALO346" s="34"/>
      <c r="ALP346" s="34"/>
      <c r="ALQ346" s="34"/>
      <c r="ALR346" s="34"/>
      <c r="ALS346" s="34"/>
      <c r="ALT346" s="34"/>
      <c r="ALU346" s="34"/>
      <c r="ALV346" s="34"/>
      <c r="ALW346" s="34"/>
      <c r="ALX346" s="34"/>
      <c r="ALY346" s="34"/>
      <c r="ALZ346" s="34"/>
      <c r="AMA346" s="34"/>
      <c r="AMB346" s="34"/>
      <c r="AMC346" s="34"/>
      <c r="AMD346" s="34"/>
      <c r="AME346" s="34"/>
      <c r="AMF346" s="34"/>
      <c r="AMG346" s="34"/>
      <c r="AMH346" s="34"/>
      <c r="AMI346" s="34"/>
      <c r="AMJ346" s="34"/>
      <c r="AMK346" s="34"/>
      <c r="AML346" s="34"/>
      <c r="AMM346" s="34"/>
      <c r="AMN346" s="34"/>
      <c r="AMO346" s="34"/>
      <c r="AMP346" s="34"/>
      <c r="AMQ346" s="34"/>
      <c r="AMR346" s="34"/>
      <c r="AMS346" s="34"/>
      <c r="AMT346" s="34"/>
      <c r="AMU346" s="34"/>
      <c r="AMV346" s="34"/>
      <c r="AMW346" s="34"/>
      <c r="AMX346" s="34"/>
      <c r="AMY346" s="34"/>
      <c r="AMZ346" s="34"/>
      <c r="ANA346" s="34"/>
      <c r="ANB346" s="34"/>
      <c r="ANC346" s="34"/>
      <c r="AND346" s="34"/>
      <c r="ANE346" s="34"/>
      <c r="ANF346" s="34"/>
      <c r="ANG346" s="34"/>
      <c r="ANH346" s="34"/>
      <c r="ANI346" s="34"/>
      <c r="ANJ346" s="34"/>
      <c r="ANK346" s="34"/>
      <c r="ANL346" s="34"/>
      <c r="ANM346" s="34"/>
      <c r="ANN346" s="34"/>
      <c r="ANO346" s="34"/>
      <c r="ANP346" s="34"/>
      <c r="ANQ346" s="34"/>
      <c r="ANR346" s="34"/>
      <c r="ANS346" s="34"/>
      <c r="ANT346" s="34"/>
      <c r="ANU346" s="34"/>
      <c r="ANV346" s="34"/>
      <c r="ANW346" s="34"/>
      <c r="ANX346" s="34"/>
      <c r="ANY346" s="34"/>
      <c r="ANZ346" s="34"/>
      <c r="AOA346" s="34"/>
      <c r="AOB346" s="34"/>
      <c r="AOC346" s="34"/>
      <c r="AOD346" s="34"/>
      <c r="AOE346" s="34"/>
      <c r="AOF346" s="34"/>
      <c r="AOG346" s="34"/>
      <c r="AOH346" s="34"/>
      <c r="AOI346" s="34"/>
      <c r="AOJ346" s="34"/>
      <c r="AOK346" s="34"/>
      <c r="AOL346" s="34"/>
      <c r="AOM346" s="34"/>
      <c r="AON346" s="34"/>
      <c r="AOO346" s="34"/>
      <c r="AOP346" s="34"/>
      <c r="AOQ346" s="34"/>
      <c r="AOR346" s="34"/>
      <c r="AOS346" s="34"/>
      <c r="AOT346" s="34"/>
      <c r="AOU346" s="34"/>
      <c r="AOV346" s="34"/>
      <c r="AOW346" s="34"/>
      <c r="AOX346" s="34"/>
      <c r="AOY346" s="34"/>
      <c r="AOZ346" s="34"/>
      <c r="APA346" s="34"/>
      <c r="APB346" s="34"/>
      <c r="APC346" s="34"/>
      <c r="APD346" s="34"/>
      <c r="APE346" s="34"/>
      <c r="APF346" s="34"/>
      <c r="APG346" s="34"/>
      <c r="APH346" s="34"/>
      <c r="API346" s="34"/>
      <c r="APJ346" s="34"/>
      <c r="APK346" s="34"/>
      <c r="APL346" s="34"/>
      <c r="APM346" s="34"/>
      <c r="APN346" s="34"/>
      <c r="APO346" s="34"/>
      <c r="APP346" s="34"/>
      <c r="APQ346" s="34"/>
      <c r="APR346" s="34"/>
      <c r="APS346" s="34"/>
      <c r="APT346" s="34"/>
      <c r="APU346" s="34"/>
      <c r="APV346" s="34"/>
      <c r="APW346" s="34"/>
      <c r="APX346" s="34"/>
      <c r="APY346" s="34"/>
      <c r="APZ346" s="34"/>
      <c r="AQA346" s="34"/>
      <c r="AQB346" s="34"/>
      <c r="AQC346" s="34"/>
      <c r="AQD346" s="34"/>
      <c r="AQE346" s="34"/>
      <c r="AQF346" s="34"/>
      <c r="AQG346" s="34"/>
      <c r="AQH346" s="34"/>
      <c r="AQI346" s="34"/>
      <c r="AQJ346" s="34"/>
      <c r="AQK346" s="34"/>
      <c r="AQL346" s="34"/>
      <c r="AQM346" s="34"/>
      <c r="AQN346" s="34"/>
      <c r="AQO346" s="34"/>
      <c r="AQP346" s="34"/>
      <c r="AQQ346" s="34"/>
      <c r="AQR346" s="34"/>
      <c r="AQS346" s="34"/>
      <c r="AQT346" s="34"/>
      <c r="AQU346" s="34"/>
      <c r="AQV346" s="34"/>
      <c r="AQW346" s="34"/>
      <c r="AQX346" s="34"/>
      <c r="AQY346" s="34"/>
      <c r="AQZ346" s="34"/>
      <c r="ARA346" s="34"/>
      <c r="ARB346" s="34"/>
      <c r="ARC346" s="34"/>
      <c r="ARD346" s="34"/>
      <c r="ARE346" s="34"/>
      <c r="ARF346" s="34"/>
      <c r="ARG346" s="34"/>
      <c r="ARH346" s="34"/>
      <c r="ARI346" s="34"/>
      <c r="ARJ346" s="34"/>
      <c r="ARK346" s="34"/>
      <c r="ARL346" s="34"/>
      <c r="ARM346" s="34"/>
      <c r="ARN346" s="34"/>
      <c r="ARO346" s="34"/>
      <c r="ARP346" s="34"/>
      <c r="ARQ346" s="34"/>
      <c r="ARR346" s="34"/>
      <c r="ARS346" s="34"/>
      <c r="ART346" s="34"/>
      <c r="ARU346" s="34"/>
      <c r="ARV346" s="34"/>
      <c r="ARW346" s="34"/>
      <c r="ARX346" s="34"/>
      <c r="ARY346" s="34"/>
      <c r="ARZ346" s="34"/>
      <c r="ASA346" s="34"/>
      <c r="ASB346" s="34"/>
      <c r="ASC346" s="34"/>
      <c r="ASD346" s="34"/>
      <c r="ASE346" s="34"/>
      <c r="ASF346" s="34"/>
      <c r="ASG346" s="34"/>
      <c r="ASH346" s="34"/>
      <c r="ASI346" s="34"/>
      <c r="ASJ346" s="34"/>
      <c r="ASK346" s="34"/>
      <c r="ASL346" s="34"/>
      <c r="ASM346" s="34"/>
      <c r="ASN346" s="34"/>
      <c r="ASO346" s="34"/>
      <c r="ASP346" s="34"/>
      <c r="ASQ346" s="34"/>
      <c r="ASR346" s="34"/>
      <c r="ASS346" s="34"/>
      <c r="AST346" s="34"/>
      <c r="ASU346" s="34"/>
      <c r="ASV346" s="34"/>
      <c r="ASW346" s="34"/>
      <c r="ASX346" s="34"/>
      <c r="ASY346" s="34"/>
      <c r="ASZ346" s="34"/>
      <c r="ATA346" s="34"/>
      <c r="ATB346" s="34"/>
      <c r="ATC346" s="34"/>
      <c r="ATD346" s="34"/>
      <c r="ATE346" s="34"/>
      <c r="ATF346" s="34"/>
      <c r="ATG346" s="34"/>
      <c r="ATH346" s="34"/>
      <c r="ATI346" s="34"/>
      <c r="ATJ346" s="34"/>
      <c r="ATK346" s="34"/>
      <c r="ATL346" s="34"/>
      <c r="ATM346" s="34"/>
      <c r="ATN346" s="34"/>
      <c r="ATO346" s="34"/>
      <c r="ATP346" s="34"/>
      <c r="ATQ346" s="34"/>
      <c r="ATR346" s="34"/>
      <c r="ATS346" s="34"/>
      <c r="ATT346" s="34"/>
      <c r="ATU346" s="34"/>
      <c r="ATV346" s="34"/>
      <c r="ATW346" s="34"/>
      <c r="ATX346" s="34"/>
      <c r="ATY346" s="34"/>
      <c r="ATZ346" s="34"/>
      <c r="AUA346" s="34"/>
      <c r="AUB346" s="34"/>
      <c r="AUC346" s="34"/>
      <c r="AUD346" s="34"/>
      <c r="AUE346" s="34"/>
      <c r="AUF346" s="34"/>
      <c r="AUG346" s="34"/>
      <c r="AUH346" s="34"/>
      <c r="AUI346" s="34"/>
      <c r="AUJ346" s="34"/>
      <c r="AUK346" s="34"/>
      <c r="AUL346" s="34"/>
      <c r="AUM346" s="34"/>
      <c r="AUN346" s="34"/>
      <c r="AUO346" s="34"/>
      <c r="AUP346" s="34"/>
      <c r="AUQ346" s="34"/>
      <c r="AUR346" s="34"/>
      <c r="AUS346" s="34"/>
      <c r="AUT346" s="34"/>
      <c r="AUU346" s="34"/>
      <c r="AUV346" s="34"/>
      <c r="AUW346" s="34"/>
      <c r="AUX346" s="34"/>
      <c r="AUY346" s="34"/>
      <c r="AUZ346" s="34"/>
      <c r="AVA346" s="34"/>
      <c r="AVB346" s="34"/>
      <c r="AVC346" s="34"/>
      <c r="AVD346" s="34"/>
      <c r="AVE346" s="34"/>
      <c r="AVF346" s="34"/>
      <c r="AVG346" s="34"/>
      <c r="AVH346" s="34"/>
      <c r="AVI346" s="34"/>
      <c r="AVJ346" s="34"/>
      <c r="AVK346" s="34"/>
      <c r="AVL346" s="34"/>
      <c r="AVM346" s="34"/>
      <c r="AVN346" s="34"/>
      <c r="AVO346" s="34"/>
      <c r="AVP346" s="34"/>
      <c r="AVQ346" s="34"/>
      <c r="AVR346" s="34"/>
      <c r="AVS346" s="34"/>
      <c r="AVT346" s="34"/>
      <c r="AVU346" s="34"/>
      <c r="AVV346" s="34"/>
      <c r="AVW346" s="34"/>
      <c r="AVX346" s="34"/>
      <c r="AVY346" s="34"/>
      <c r="AVZ346" s="34"/>
      <c r="AWA346" s="34"/>
      <c r="AWB346" s="34"/>
      <c r="AWC346" s="34"/>
      <c r="AWD346" s="34"/>
      <c r="AWE346" s="34"/>
      <c r="AWF346" s="34"/>
      <c r="AWG346" s="34"/>
      <c r="AWH346" s="34"/>
      <c r="AWI346" s="34"/>
      <c r="AWJ346" s="34"/>
      <c r="AWK346" s="34"/>
      <c r="AWL346" s="34"/>
      <c r="AWM346" s="34"/>
      <c r="AWN346" s="34"/>
      <c r="AWO346" s="34"/>
      <c r="AWP346" s="34"/>
      <c r="AWQ346" s="34"/>
      <c r="AWR346" s="34"/>
      <c r="AWS346" s="34"/>
      <c r="AWT346" s="34"/>
      <c r="AWU346" s="34"/>
      <c r="AWV346" s="34"/>
      <c r="AWW346" s="34"/>
      <c r="AWX346" s="34"/>
      <c r="AWY346" s="34"/>
      <c r="AWZ346" s="34"/>
      <c r="AXA346" s="34"/>
      <c r="AXB346" s="34"/>
      <c r="AXC346" s="34"/>
      <c r="AXD346" s="34"/>
      <c r="AXE346" s="34"/>
      <c r="AXF346" s="34"/>
      <c r="AXG346" s="34"/>
      <c r="AXH346" s="34"/>
      <c r="AXI346" s="34"/>
      <c r="AXJ346" s="34"/>
      <c r="AXK346" s="34"/>
      <c r="AXL346" s="34"/>
      <c r="AXM346" s="34"/>
      <c r="AXN346" s="34"/>
      <c r="AXO346" s="34"/>
      <c r="AXP346" s="34"/>
      <c r="AXQ346" s="34"/>
      <c r="AXR346" s="34"/>
      <c r="AXS346" s="34"/>
      <c r="AXT346" s="34"/>
      <c r="AXU346" s="34"/>
      <c r="AXV346" s="34"/>
      <c r="AXW346" s="34"/>
      <c r="AXX346" s="34"/>
      <c r="AXY346" s="34"/>
      <c r="AXZ346" s="34"/>
      <c r="AYA346" s="34"/>
      <c r="AYB346" s="34"/>
      <c r="AYC346" s="34"/>
      <c r="AYD346" s="34"/>
      <c r="AYE346" s="34"/>
      <c r="AYF346" s="34"/>
      <c r="AYG346" s="34"/>
      <c r="AYH346" s="34"/>
      <c r="AYI346" s="34"/>
      <c r="AYJ346" s="34"/>
      <c r="AYK346" s="34"/>
      <c r="AYL346" s="34"/>
      <c r="AYM346" s="34"/>
      <c r="AYN346" s="34"/>
      <c r="AYO346" s="34"/>
      <c r="AYP346" s="34"/>
      <c r="AYQ346" s="34"/>
      <c r="AYR346" s="34"/>
      <c r="AYS346" s="34"/>
      <c r="AYT346" s="34"/>
      <c r="AYU346" s="34"/>
      <c r="AYV346" s="34"/>
      <c r="AYW346" s="34"/>
      <c r="AYX346" s="34"/>
      <c r="AYY346" s="34"/>
      <c r="AYZ346" s="34"/>
      <c r="AZA346" s="34"/>
      <c r="AZB346" s="34"/>
      <c r="AZC346" s="34"/>
      <c r="AZD346" s="34"/>
      <c r="AZE346" s="34"/>
      <c r="AZF346" s="34"/>
      <c r="AZG346" s="34"/>
      <c r="AZH346" s="34"/>
      <c r="AZI346" s="34"/>
      <c r="AZJ346" s="34"/>
      <c r="AZK346" s="34"/>
      <c r="AZL346" s="34"/>
      <c r="AZM346" s="34"/>
      <c r="AZN346" s="34"/>
      <c r="AZO346" s="34"/>
      <c r="AZP346" s="34"/>
      <c r="AZQ346" s="34"/>
      <c r="AZR346" s="34"/>
      <c r="AZS346" s="34"/>
      <c r="AZT346" s="34"/>
      <c r="AZU346" s="34"/>
      <c r="AZV346" s="34"/>
      <c r="AZW346" s="34"/>
      <c r="AZX346" s="34"/>
      <c r="AZY346" s="34"/>
      <c r="AZZ346" s="34"/>
      <c r="BAA346" s="34"/>
      <c r="BAB346" s="34"/>
      <c r="BAC346" s="34"/>
      <c r="BAD346" s="34"/>
      <c r="BAE346" s="34"/>
      <c r="BAF346" s="34"/>
      <c r="BAG346" s="34"/>
      <c r="BAH346" s="34"/>
      <c r="BAI346" s="34"/>
      <c r="BAJ346" s="34"/>
      <c r="BAK346" s="34"/>
      <c r="BAL346" s="34"/>
      <c r="BAM346" s="34"/>
      <c r="BAN346" s="34"/>
      <c r="BAO346" s="34"/>
      <c r="BAP346" s="34"/>
      <c r="BAQ346" s="34"/>
      <c r="BAR346" s="34"/>
      <c r="BAS346" s="34"/>
      <c r="BAT346" s="34"/>
      <c r="BAU346" s="34"/>
      <c r="BAV346" s="34"/>
      <c r="BAW346" s="34"/>
      <c r="BAX346" s="34"/>
      <c r="BAY346" s="34"/>
      <c r="BAZ346" s="34"/>
      <c r="BBA346" s="34"/>
      <c r="BBB346" s="34"/>
      <c r="BBC346" s="34"/>
      <c r="BBD346" s="34"/>
      <c r="BBE346" s="34"/>
      <c r="BBF346" s="34"/>
      <c r="BBG346" s="34"/>
      <c r="BBH346" s="34"/>
      <c r="BBI346" s="34"/>
      <c r="BBJ346" s="34"/>
      <c r="BBK346" s="34"/>
      <c r="BBL346" s="34"/>
      <c r="BBM346" s="34"/>
      <c r="BBN346" s="34"/>
      <c r="BBO346" s="34"/>
      <c r="BBP346" s="34"/>
      <c r="BBQ346" s="34"/>
      <c r="BBR346" s="34"/>
      <c r="BBS346" s="34"/>
      <c r="BBT346" s="34"/>
      <c r="BBU346" s="34"/>
      <c r="BBV346" s="34"/>
      <c r="BBW346" s="34"/>
      <c r="BBX346" s="34"/>
      <c r="BBY346" s="34"/>
      <c r="BBZ346" s="34"/>
      <c r="BCA346" s="34"/>
      <c r="BCB346" s="34"/>
      <c r="BCC346" s="34"/>
      <c r="BCD346" s="34"/>
      <c r="BCE346" s="34"/>
      <c r="BCF346" s="34"/>
      <c r="BCG346" s="34"/>
      <c r="BCH346" s="34"/>
      <c r="BCI346" s="34"/>
      <c r="BCJ346" s="34"/>
      <c r="BCK346" s="34"/>
      <c r="BCL346" s="34"/>
      <c r="BCM346" s="34"/>
      <c r="BCN346" s="34"/>
      <c r="BCO346" s="34"/>
      <c r="BCP346" s="34"/>
      <c r="BCQ346" s="34"/>
      <c r="BCR346" s="34"/>
      <c r="BCS346" s="34"/>
      <c r="BCT346" s="34"/>
      <c r="BCU346" s="34"/>
      <c r="BCV346" s="34"/>
      <c r="BCW346" s="34"/>
      <c r="BCX346" s="34"/>
      <c r="BCY346" s="34"/>
      <c r="BCZ346" s="34"/>
      <c r="BDA346" s="34"/>
      <c r="BDB346" s="34"/>
      <c r="BDC346" s="34"/>
      <c r="BDD346" s="34"/>
      <c r="BDE346" s="34"/>
      <c r="BDF346" s="34"/>
      <c r="BDG346" s="34"/>
      <c r="BDH346" s="34"/>
      <c r="BDI346" s="34"/>
      <c r="BDJ346" s="34"/>
      <c r="BDK346" s="34"/>
      <c r="BDL346" s="34"/>
      <c r="BDM346" s="34"/>
      <c r="BDN346" s="34"/>
      <c r="BDO346" s="34"/>
      <c r="BDP346" s="34"/>
      <c r="BDQ346" s="34"/>
      <c r="BDR346" s="34"/>
      <c r="BDS346" s="34"/>
      <c r="BDT346" s="34"/>
      <c r="BDU346" s="34"/>
      <c r="BDV346" s="34"/>
      <c r="BDW346" s="34"/>
      <c r="BDX346" s="34"/>
      <c r="BDY346" s="34"/>
      <c r="BDZ346" s="34"/>
      <c r="BEA346" s="34"/>
      <c r="BEB346" s="34"/>
      <c r="BEC346" s="34"/>
      <c r="BED346" s="34"/>
      <c r="BEE346" s="34"/>
      <c r="BEF346" s="34"/>
      <c r="BEG346" s="34"/>
      <c r="BEH346" s="34"/>
      <c r="BEI346" s="34"/>
      <c r="BEJ346" s="34"/>
      <c r="BEK346" s="34"/>
      <c r="BEL346" s="34"/>
      <c r="BEM346" s="34"/>
      <c r="BEN346" s="34"/>
      <c r="BEO346" s="34"/>
      <c r="BEP346" s="34"/>
      <c r="BEQ346" s="34"/>
      <c r="BER346" s="34"/>
      <c r="BES346" s="34"/>
      <c r="BET346" s="34"/>
      <c r="BEU346" s="34"/>
      <c r="BEV346" s="34"/>
      <c r="BEW346" s="34"/>
      <c r="BEX346" s="34"/>
      <c r="BEY346" s="34"/>
      <c r="BEZ346" s="34"/>
      <c r="BFA346" s="34"/>
      <c r="BFB346" s="34"/>
      <c r="BFC346" s="34"/>
      <c r="BFD346" s="34"/>
      <c r="BFE346" s="34"/>
      <c r="BFF346" s="34"/>
      <c r="BFG346" s="34"/>
      <c r="BFH346" s="34"/>
      <c r="BFI346" s="34"/>
      <c r="BFJ346" s="34"/>
      <c r="BFK346" s="34"/>
      <c r="BFL346" s="34"/>
      <c r="BFM346" s="34"/>
      <c r="BFN346" s="34"/>
      <c r="BFO346" s="34"/>
      <c r="BFP346" s="34"/>
      <c r="BFQ346" s="34"/>
      <c r="BFR346" s="34"/>
      <c r="BFS346" s="34"/>
      <c r="BFT346" s="34"/>
      <c r="BFU346" s="34"/>
      <c r="BFV346" s="34"/>
      <c r="BFW346" s="34"/>
      <c r="BFX346" s="34"/>
      <c r="BFY346" s="34"/>
      <c r="BFZ346" s="34"/>
      <c r="BGA346" s="34"/>
      <c r="BGB346" s="34"/>
      <c r="BGC346" s="34"/>
      <c r="BGD346" s="34"/>
      <c r="BGE346" s="34"/>
      <c r="BGF346" s="34"/>
      <c r="BGG346" s="34"/>
      <c r="BGH346" s="34"/>
      <c r="BGI346" s="34"/>
      <c r="BGJ346" s="34"/>
      <c r="BGK346" s="34"/>
      <c r="BGL346" s="34"/>
      <c r="BGM346" s="34"/>
      <c r="BGN346" s="34"/>
      <c r="BGO346" s="34"/>
      <c r="BGP346" s="34"/>
      <c r="BGQ346" s="34"/>
      <c r="BGR346" s="34"/>
      <c r="BGS346" s="34"/>
      <c r="BGT346" s="34"/>
      <c r="BGU346" s="34"/>
      <c r="BGV346" s="34"/>
      <c r="BGW346" s="34"/>
      <c r="BGX346" s="34"/>
      <c r="BGY346" s="34"/>
      <c r="BGZ346" s="34"/>
      <c r="BHA346" s="34"/>
      <c r="BHB346" s="34"/>
      <c r="BHC346" s="34"/>
      <c r="BHD346" s="34"/>
      <c r="BHE346" s="34"/>
      <c r="BHF346" s="34"/>
      <c r="BHG346" s="34"/>
      <c r="BHH346" s="34"/>
      <c r="BHI346" s="34"/>
      <c r="BHJ346" s="34"/>
      <c r="BHK346" s="34"/>
      <c r="BHL346" s="34"/>
      <c r="BHM346" s="34"/>
      <c r="BHN346" s="34"/>
      <c r="BHO346" s="34"/>
      <c r="BHP346" s="34"/>
      <c r="BHQ346" s="34"/>
      <c r="BHR346" s="34"/>
      <c r="BHS346" s="34"/>
      <c r="BHT346" s="34"/>
      <c r="BHU346" s="34"/>
      <c r="BHV346" s="34"/>
      <c r="BHW346" s="34"/>
      <c r="BHX346" s="34"/>
      <c r="BHY346" s="34"/>
      <c r="BHZ346" s="34"/>
      <c r="BIA346" s="34"/>
      <c r="BIB346" s="34"/>
      <c r="BIC346" s="34"/>
      <c r="BID346" s="34"/>
      <c r="BIE346" s="34"/>
      <c r="BIF346" s="34"/>
      <c r="BIG346" s="34"/>
      <c r="BIH346" s="34"/>
      <c r="BII346" s="34"/>
      <c r="BIJ346" s="34"/>
      <c r="BIK346" s="34"/>
      <c r="BIL346" s="34"/>
      <c r="BIM346" s="34"/>
      <c r="BIN346" s="34"/>
      <c r="BIO346" s="34"/>
      <c r="BIP346" s="34"/>
      <c r="BIQ346" s="34"/>
      <c r="BIR346" s="34"/>
      <c r="BIS346" s="34"/>
      <c r="BIT346" s="34"/>
      <c r="BIU346" s="34"/>
      <c r="BIV346" s="34"/>
      <c r="BIW346" s="34"/>
      <c r="BIX346" s="34"/>
      <c r="BIY346" s="34"/>
      <c r="BIZ346" s="34"/>
      <c r="BJA346" s="34"/>
      <c r="BJB346" s="34"/>
      <c r="BJC346" s="34"/>
      <c r="BJD346" s="34"/>
      <c r="BJE346" s="34"/>
      <c r="BJF346" s="34"/>
      <c r="BJG346" s="34"/>
      <c r="BJH346" s="34"/>
      <c r="BJI346" s="34"/>
      <c r="BJJ346" s="34"/>
      <c r="BJK346" s="34"/>
      <c r="BJL346" s="34"/>
      <c r="BJM346" s="34"/>
      <c r="BJN346" s="34"/>
      <c r="BJO346" s="34"/>
      <c r="BJP346" s="34"/>
      <c r="BJQ346" s="34"/>
      <c r="BJR346" s="34"/>
      <c r="BJS346" s="34"/>
      <c r="BJT346" s="34"/>
      <c r="BJU346" s="34"/>
      <c r="BJV346" s="34"/>
      <c r="BJW346" s="34"/>
      <c r="BJX346" s="34"/>
      <c r="BJY346" s="34"/>
      <c r="BJZ346" s="34"/>
      <c r="BKA346" s="34"/>
      <c r="BKB346" s="34"/>
      <c r="BKC346" s="34"/>
      <c r="BKD346" s="34"/>
      <c r="BKE346" s="34"/>
      <c r="BKF346" s="34"/>
      <c r="BKG346" s="34"/>
      <c r="BKH346" s="34"/>
      <c r="BKI346" s="34"/>
      <c r="BKJ346" s="34"/>
      <c r="BKK346" s="34"/>
      <c r="BKL346" s="34"/>
      <c r="BKM346" s="34"/>
      <c r="BKN346" s="34"/>
      <c r="BKO346" s="34"/>
      <c r="BKP346" s="34"/>
      <c r="BKQ346" s="34"/>
      <c r="BKR346" s="34"/>
      <c r="BKS346" s="34"/>
      <c r="BKT346" s="34"/>
      <c r="BKU346" s="34"/>
      <c r="BKV346" s="34"/>
      <c r="BKW346" s="34"/>
      <c r="BKX346" s="34"/>
      <c r="BKY346" s="34"/>
      <c r="BKZ346" s="34"/>
      <c r="BLA346" s="34"/>
      <c r="BLB346" s="34"/>
      <c r="BLC346" s="34"/>
      <c r="BLD346" s="34"/>
      <c r="BLE346" s="34"/>
      <c r="BLF346" s="34"/>
      <c r="BLG346" s="34"/>
      <c r="BLH346" s="34"/>
      <c r="BLI346" s="34"/>
      <c r="BLJ346" s="34"/>
      <c r="BLK346" s="34"/>
      <c r="BLL346" s="34"/>
      <c r="BLM346" s="34"/>
      <c r="BLN346" s="34"/>
      <c r="BLO346" s="34"/>
      <c r="BLP346" s="34"/>
      <c r="BLQ346" s="34"/>
      <c r="BLR346" s="34"/>
      <c r="BLS346" s="34"/>
      <c r="BLT346" s="34"/>
      <c r="BLU346" s="34"/>
      <c r="BLV346" s="34"/>
      <c r="BLW346" s="34"/>
      <c r="BLX346" s="34"/>
      <c r="BLY346" s="34"/>
      <c r="BLZ346" s="34"/>
      <c r="BMA346" s="34"/>
      <c r="BMB346" s="34"/>
      <c r="BMC346" s="34"/>
      <c r="BMD346" s="34"/>
      <c r="BME346" s="34"/>
      <c r="BMF346" s="34"/>
      <c r="BMG346" s="34"/>
      <c r="BMH346" s="34"/>
      <c r="BMI346" s="34"/>
      <c r="BMJ346" s="34"/>
      <c r="BMK346" s="34"/>
      <c r="BML346" s="34"/>
      <c r="BMM346" s="34"/>
      <c r="BMN346" s="34"/>
      <c r="BMO346" s="34"/>
      <c r="BMP346" s="34"/>
      <c r="BMQ346" s="34"/>
      <c r="BMR346" s="34"/>
      <c r="BMS346" s="34"/>
      <c r="BMT346" s="34"/>
      <c r="BMU346" s="34"/>
      <c r="BMV346" s="34"/>
      <c r="BMW346" s="34"/>
      <c r="BMX346" s="34"/>
      <c r="BMY346" s="34"/>
      <c r="BMZ346" s="34"/>
      <c r="BNA346" s="34"/>
      <c r="BNB346" s="34"/>
      <c r="BNC346" s="34"/>
      <c r="BND346" s="34"/>
      <c r="BNE346" s="34"/>
      <c r="BNF346" s="34"/>
      <c r="BNG346" s="34"/>
      <c r="BNH346" s="34"/>
      <c r="BNI346" s="34"/>
      <c r="BNJ346" s="34"/>
      <c r="BNK346" s="34"/>
      <c r="BNL346" s="34"/>
      <c r="BNM346" s="34"/>
      <c r="BNN346" s="34"/>
      <c r="BNO346" s="34"/>
      <c r="BNP346" s="34"/>
      <c r="BNQ346" s="34"/>
      <c r="BNR346" s="34"/>
      <c r="BNS346" s="34"/>
      <c r="BNT346" s="34"/>
      <c r="BNU346" s="34"/>
      <c r="BNV346" s="34"/>
      <c r="BNW346" s="34"/>
      <c r="BNX346" s="34"/>
      <c r="BNY346" s="34"/>
      <c r="BNZ346" s="34"/>
      <c r="BOA346" s="34"/>
      <c r="BOB346" s="34"/>
      <c r="BOC346" s="34"/>
      <c r="BOD346" s="34"/>
      <c r="BOE346" s="34"/>
      <c r="BOF346" s="34"/>
      <c r="BOG346" s="34"/>
      <c r="BOH346" s="34"/>
      <c r="BOI346" s="34"/>
      <c r="BOJ346" s="34"/>
      <c r="BOK346" s="34"/>
      <c r="BOL346" s="34"/>
      <c r="BOM346" s="34"/>
      <c r="BON346" s="34"/>
      <c r="BOO346" s="34"/>
      <c r="BOP346" s="34"/>
      <c r="BOQ346" s="34"/>
      <c r="BOR346" s="34"/>
      <c r="BOS346" s="34"/>
      <c r="BOT346" s="34"/>
      <c r="BOU346" s="34"/>
      <c r="BOV346" s="34"/>
      <c r="BOW346" s="34"/>
      <c r="BOX346" s="34"/>
      <c r="BOY346" s="34"/>
      <c r="BOZ346" s="34"/>
      <c r="BPA346" s="34"/>
      <c r="BPB346" s="34"/>
      <c r="BPC346" s="34"/>
      <c r="BPD346" s="34"/>
      <c r="BPE346" s="34"/>
      <c r="BPF346" s="34"/>
      <c r="BPG346" s="34"/>
      <c r="BPH346" s="34"/>
      <c r="BPI346" s="34"/>
      <c r="BPJ346" s="34"/>
      <c r="BPK346" s="34"/>
      <c r="BPL346" s="34"/>
      <c r="BPM346" s="34"/>
      <c r="BPN346" s="34"/>
      <c r="BPO346" s="34"/>
      <c r="BPP346" s="34"/>
      <c r="BPQ346" s="34"/>
      <c r="BPR346" s="34"/>
      <c r="BPS346" s="34"/>
      <c r="BPT346" s="34"/>
      <c r="BPU346" s="34"/>
      <c r="BPV346" s="34"/>
      <c r="BPW346" s="34"/>
      <c r="BPX346" s="34"/>
      <c r="BPY346" s="34"/>
      <c r="BPZ346" s="34"/>
      <c r="BQA346" s="34"/>
      <c r="BQB346" s="34"/>
      <c r="BQC346" s="34"/>
      <c r="BQD346" s="34"/>
      <c r="BQE346" s="34"/>
      <c r="BQF346" s="34"/>
      <c r="BQG346" s="34"/>
      <c r="BQH346" s="34"/>
      <c r="BQI346" s="34"/>
      <c r="BQJ346" s="34"/>
      <c r="BQK346" s="34"/>
      <c r="BQL346" s="34"/>
      <c r="BQM346" s="34"/>
      <c r="BQN346" s="34"/>
      <c r="BQO346" s="34"/>
      <c r="BQP346" s="34"/>
      <c r="BQQ346" s="34"/>
      <c r="BQR346" s="34"/>
      <c r="BQS346" s="34"/>
      <c r="BQT346" s="34"/>
      <c r="BQU346" s="34"/>
      <c r="BQV346" s="34"/>
      <c r="BQW346" s="34"/>
      <c r="BQX346" s="34"/>
      <c r="BQY346" s="34"/>
      <c r="BQZ346" s="34"/>
      <c r="BRA346" s="34"/>
      <c r="BRB346" s="34"/>
      <c r="BRC346" s="34"/>
      <c r="BRD346" s="34"/>
      <c r="BRE346" s="34"/>
      <c r="BRF346" s="34"/>
      <c r="BRG346" s="34"/>
      <c r="BRH346" s="34"/>
      <c r="BRI346" s="34"/>
      <c r="BRJ346" s="34"/>
      <c r="BRK346" s="34"/>
      <c r="BRL346" s="34"/>
      <c r="BRM346" s="34"/>
      <c r="BRN346" s="34"/>
      <c r="BRO346" s="34"/>
      <c r="BRP346" s="34"/>
      <c r="BRQ346" s="34"/>
      <c r="BRR346" s="34"/>
      <c r="BRS346" s="34"/>
      <c r="BRT346" s="34"/>
      <c r="BRU346" s="34"/>
      <c r="BRV346" s="34"/>
      <c r="BRW346" s="34"/>
      <c r="BRX346" s="34"/>
      <c r="BRY346" s="34"/>
      <c r="BRZ346" s="34"/>
      <c r="BSA346" s="34"/>
      <c r="BSB346" s="34"/>
      <c r="BSC346" s="34"/>
      <c r="BSD346" s="34"/>
      <c r="BSE346" s="34"/>
      <c r="BSF346" s="34"/>
      <c r="BSG346" s="34"/>
      <c r="BSH346" s="34"/>
      <c r="BSI346" s="34"/>
      <c r="BSJ346" s="34"/>
      <c r="BSK346" s="34"/>
      <c r="BSL346" s="34"/>
      <c r="BSM346" s="34"/>
      <c r="BSN346" s="34"/>
      <c r="BSO346" s="34"/>
      <c r="BSP346" s="34"/>
      <c r="BSQ346" s="34"/>
      <c r="BSR346" s="34"/>
      <c r="BSS346" s="34"/>
      <c r="BST346" s="34"/>
      <c r="BSU346" s="34"/>
      <c r="BSV346" s="34"/>
      <c r="BSW346" s="34"/>
      <c r="BSX346" s="34"/>
      <c r="BSY346" s="34"/>
      <c r="BSZ346" s="34"/>
      <c r="BTA346" s="34"/>
      <c r="BTB346" s="34"/>
      <c r="BTC346" s="34"/>
      <c r="BTD346" s="34"/>
      <c r="BTE346" s="34"/>
      <c r="BTF346" s="34"/>
      <c r="BTG346" s="34"/>
      <c r="BTH346" s="34"/>
      <c r="BTI346" s="34"/>
      <c r="BTJ346" s="34"/>
      <c r="BTK346" s="34"/>
      <c r="BTL346" s="34"/>
      <c r="BTM346" s="34"/>
      <c r="BTN346" s="34"/>
      <c r="BTO346" s="34"/>
      <c r="BTP346" s="34"/>
      <c r="BTQ346" s="34"/>
      <c r="BTR346" s="34"/>
      <c r="BTS346" s="34"/>
      <c r="BTT346" s="34"/>
      <c r="BTU346" s="34"/>
      <c r="BTV346" s="34"/>
      <c r="BTW346" s="34"/>
      <c r="BTX346" s="34"/>
      <c r="BTY346" s="34"/>
      <c r="BTZ346" s="34"/>
      <c r="BUA346" s="34"/>
      <c r="BUB346" s="34"/>
      <c r="BUC346" s="34"/>
      <c r="BUD346" s="34"/>
      <c r="BUE346" s="34"/>
      <c r="BUF346" s="34"/>
      <c r="BUG346" s="34"/>
      <c r="BUH346" s="34"/>
      <c r="BUI346" s="34"/>
      <c r="BUJ346" s="34"/>
      <c r="BUK346" s="34"/>
      <c r="BUL346" s="34"/>
      <c r="BUM346" s="34"/>
      <c r="BUN346" s="34"/>
      <c r="BUO346" s="34"/>
      <c r="BUP346" s="34"/>
      <c r="BUQ346" s="34"/>
      <c r="BUR346" s="34"/>
      <c r="BUS346" s="34"/>
      <c r="BUT346" s="34"/>
      <c r="BUU346" s="34"/>
      <c r="BUV346" s="34"/>
      <c r="BUW346" s="34"/>
      <c r="BUX346" s="34"/>
      <c r="BUY346" s="34"/>
      <c r="BUZ346" s="34"/>
      <c r="BVA346" s="34"/>
      <c r="BVB346" s="34"/>
      <c r="BVC346" s="34"/>
      <c r="BVD346" s="34"/>
      <c r="BVE346" s="34"/>
      <c r="BVF346" s="34"/>
      <c r="BVG346" s="34"/>
      <c r="BVH346" s="34"/>
      <c r="BVI346" s="34"/>
      <c r="BVJ346" s="34"/>
      <c r="BVK346" s="34"/>
      <c r="BVL346" s="34"/>
      <c r="BVM346" s="34"/>
      <c r="BVN346" s="34"/>
      <c r="BVO346" s="34"/>
      <c r="BVP346" s="34"/>
      <c r="BVQ346" s="34"/>
      <c r="BVR346" s="34"/>
      <c r="BVS346" s="34"/>
      <c r="BVT346" s="34"/>
      <c r="BVU346" s="34"/>
      <c r="BVV346" s="34"/>
      <c r="BVW346" s="34"/>
      <c r="BVX346" s="34"/>
      <c r="BVY346" s="34"/>
      <c r="BVZ346" s="34"/>
      <c r="BWA346" s="34"/>
      <c r="BWB346" s="34"/>
      <c r="BWC346" s="34"/>
      <c r="BWD346" s="34"/>
      <c r="BWE346" s="34"/>
      <c r="BWF346" s="34"/>
      <c r="BWG346" s="34"/>
      <c r="BWH346" s="34"/>
      <c r="BWI346" s="34"/>
      <c r="BWJ346" s="34"/>
      <c r="BWK346" s="34"/>
      <c r="BWL346" s="34"/>
      <c r="BWM346" s="34"/>
      <c r="BWN346" s="34"/>
      <c r="BWO346" s="34"/>
      <c r="BWP346" s="34"/>
      <c r="BWQ346" s="34"/>
      <c r="BWR346" s="34"/>
      <c r="BWS346" s="34"/>
      <c r="BWT346" s="34"/>
      <c r="BWU346" s="34"/>
      <c r="BWV346" s="34"/>
      <c r="BWW346" s="34"/>
      <c r="BWX346" s="34"/>
      <c r="BWY346" s="34"/>
      <c r="BWZ346" s="34"/>
      <c r="BXA346" s="34"/>
      <c r="BXB346" s="34"/>
      <c r="BXC346" s="34"/>
      <c r="BXD346" s="34"/>
      <c r="BXE346" s="34"/>
      <c r="BXF346" s="34"/>
      <c r="BXG346" s="34"/>
      <c r="BXH346" s="34"/>
      <c r="BXI346" s="34"/>
      <c r="BXJ346" s="34"/>
      <c r="BXK346" s="34"/>
      <c r="BXL346" s="34"/>
      <c r="BXM346" s="34"/>
      <c r="BXN346" s="34"/>
      <c r="BXO346" s="34"/>
      <c r="BXP346" s="34"/>
      <c r="BXQ346" s="34"/>
      <c r="BXR346" s="34"/>
      <c r="BXS346" s="34"/>
      <c r="BXT346" s="34"/>
      <c r="BXU346" s="34"/>
      <c r="BXV346" s="34"/>
      <c r="BXW346" s="34"/>
      <c r="BXX346" s="34"/>
      <c r="BXY346" s="34"/>
      <c r="BXZ346" s="34"/>
      <c r="BYA346" s="34"/>
      <c r="BYB346" s="34"/>
      <c r="BYC346" s="34"/>
      <c r="BYD346" s="34"/>
      <c r="BYE346" s="34"/>
      <c r="BYF346" s="34"/>
      <c r="BYG346" s="34"/>
      <c r="BYH346" s="34"/>
      <c r="BYI346" s="34"/>
      <c r="BYJ346" s="34"/>
      <c r="BYK346" s="34"/>
      <c r="BYL346" s="34"/>
      <c r="BYM346" s="34"/>
      <c r="BYN346" s="34"/>
      <c r="BYO346" s="34"/>
      <c r="BYP346" s="34"/>
      <c r="BYQ346" s="34"/>
      <c r="BYR346" s="34"/>
      <c r="BYS346" s="34"/>
      <c r="BYT346" s="34"/>
      <c r="BYU346" s="34"/>
      <c r="BYV346" s="34"/>
      <c r="BYW346" s="34"/>
      <c r="BYX346" s="34"/>
      <c r="BYY346" s="34"/>
      <c r="BYZ346" s="34"/>
      <c r="BZA346" s="34"/>
      <c r="BZB346" s="34"/>
      <c r="BZC346" s="34"/>
      <c r="BZD346" s="34"/>
      <c r="BZE346" s="34"/>
      <c r="BZF346" s="34"/>
      <c r="BZG346" s="34"/>
      <c r="BZH346" s="34"/>
      <c r="BZI346" s="34"/>
      <c r="BZJ346" s="34"/>
      <c r="BZK346" s="34"/>
      <c r="BZL346" s="34"/>
      <c r="BZM346" s="34"/>
      <c r="BZN346" s="34"/>
      <c r="BZO346" s="34"/>
      <c r="BZP346" s="34"/>
      <c r="BZQ346" s="34"/>
      <c r="BZR346" s="34"/>
      <c r="BZS346" s="34"/>
      <c r="BZT346" s="34"/>
      <c r="BZU346" s="34"/>
      <c r="BZV346" s="34"/>
      <c r="BZW346" s="34"/>
      <c r="BZX346" s="34"/>
      <c r="BZY346" s="34"/>
      <c r="BZZ346" s="34"/>
      <c r="CAA346" s="34"/>
      <c r="CAB346" s="34"/>
      <c r="CAC346" s="34"/>
      <c r="CAD346" s="34"/>
      <c r="CAE346" s="34"/>
      <c r="CAF346" s="34"/>
      <c r="CAG346" s="34"/>
      <c r="CAH346" s="34"/>
      <c r="CAI346" s="34"/>
      <c r="CAJ346" s="34"/>
      <c r="CAK346" s="34"/>
      <c r="CAL346" s="34"/>
      <c r="CAM346" s="34"/>
      <c r="CAN346" s="34"/>
      <c r="CAO346" s="34"/>
      <c r="CAP346" s="34"/>
      <c r="CAQ346" s="34"/>
      <c r="CAR346" s="34"/>
      <c r="CAS346" s="34"/>
      <c r="CAT346" s="34"/>
      <c r="CAU346" s="34"/>
      <c r="CAV346" s="34"/>
      <c r="CAW346" s="34"/>
      <c r="CAX346" s="34"/>
      <c r="CAY346" s="34"/>
      <c r="CAZ346" s="34"/>
      <c r="CBA346" s="34"/>
      <c r="CBB346" s="34"/>
      <c r="CBC346" s="34"/>
      <c r="CBD346" s="34"/>
      <c r="CBE346" s="34"/>
      <c r="CBF346" s="34"/>
      <c r="CBG346" s="34"/>
      <c r="CBH346" s="34"/>
      <c r="CBI346" s="34"/>
      <c r="CBJ346" s="34"/>
      <c r="CBK346" s="34"/>
      <c r="CBL346" s="34"/>
      <c r="CBM346" s="34"/>
      <c r="CBN346" s="34"/>
      <c r="CBO346" s="34"/>
      <c r="CBP346" s="34"/>
      <c r="CBQ346" s="34"/>
      <c r="CBR346" s="34"/>
      <c r="CBS346" s="34"/>
      <c r="CBT346" s="34"/>
      <c r="CBU346" s="34"/>
      <c r="CBV346" s="34"/>
      <c r="CBW346" s="34"/>
      <c r="CBX346" s="34"/>
      <c r="CBY346" s="34"/>
      <c r="CBZ346" s="34"/>
      <c r="CCA346" s="34"/>
      <c r="CCB346" s="34"/>
      <c r="CCC346" s="34"/>
      <c r="CCD346" s="34"/>
      <c r="CCE346" s="34"/>
      <c r="CCF346" s="34"/>
      <c r="CCG346" s="34"/>
      <c r="CCH346" s="34"/>
      <c r="CCI346" s="34"/>
      <c r="CCJ346" s="34"/>
      <c r="CCK346" s="34"/>
      <c r="CCL346" s="34"/>
      <c r="CCM346" s="34"/>
      <c r="CCN346" s="34"/>
      <c r="CCO346" s="34"/>
      <c r="CCP346" s="34"/>
      <c r="CCQ346" s="34"/>
      <c r="CCR346" s="34"/>
      <c r="CCS346" s="34"/>
      <c r="CCT346" s="34"/>
      <c r="CCU346" s="34"/>
      <c r="CCV346" s="34"/>
      <c r="CCW346" s="34"/>
      <c r="CCX346" s="34"/>
      <c r="CCY346" s="34"/>
      <c r="CCZ346" s="34"/>
      <c r="CDA346" s="34"/>
      <c r="CDB346" s="34"/>
      <c r="CDC346" s="34"/>
      <c r="CDD346" s="34"/>
      <c r="CDE346" s="34"/>
      <c r="CDF346" s="34"/>
      <c r="CDG346" s="34"/>
      <c r="CDH346" s="34"/>
      <c r="CDI346" s="34"/>
      <c r="CDJ346" s="34"/>
      <c r="CDK346" s="34"/>
      <c r="CDL346" s="34"/>
      <c r="CDM346" s="34"/>
      <c r="CDN346" s="34"/>
      <c r="CDO346" s="34"/>
      <c r="CDP346" s="34"/>
      <c r="CDQ346" s="34"/>
      <c r="CDR346" s="34"/>
      <c r="CDS346" s="34"/>
      <c r="CDT346" s="34"/>
      <c r="CDU346" s="34"/>
      <c r="CDV346" s="34"/>
      <c r="CDW346" s="34"/>
      <c r="CDX346" s="34"/>
      <c r="CDY346" s="34"/>
      <c r="CDZ346" s="34"/>
      <c r="CEA346" s="34"/>
      <c r="CEB346" s="34"/>
      <c r="CEC346" s="34"/>
      <c r="CED346" s="34"/>
      <c r="CEE346" s="34"/>
      <c r="CEF346" s="34"/>
      <c r="CEG346" s="34"/>
      <c r="CEH346" s="34"/>
      <c r="CEI346" s="34"/>
      <c r="CEJ346" s="34"/>
      <c r="CEK346" s="34"/>
      <c r="CEL346" s="34"/>
      <c r="CEM346" s="34"/>
      <c r="CEN346" s="34"/>
      <c r="CEO346" s="34"/>
      <c r="CEP346" s="34"/>
      <c r="CEQ346" s="34"/>
      <c r="CER346" s="34"/>
      <c r="CES346" s="34"/>
      <c r="CET346" s="34"/>
      <c r="CEU346" s="34"/>
      <c r="CEV346" s="34"/>
      <c r="CEW346" s="34"/>
      <c r="CEX346" s="34"/>
      <c r="CEY346" s="34"/>
      <c r="CEZ346" s="34"/>
      <c r="CFA346" s="34"/>
      <c r="CFB346" s="34"/>
      <c r="CFC346" s="34"/>
      <c r="CFD346" s="34"/>
      <c r="CFE346" s="34"/>
      <c r="CFF346" s="34"/>
      <c r="CFG346" s="34"/>
      <c r="CFH346" s="34"/>
      <c r="CFI346" s="34"/>
      <c r="CFJ346" s="34"/>
      <c r="CFK346" s="34"/>
      <c r="CFL346" s="34"/>
      <c r="CFM346" s="34"/>
      <c r="CFN346" s="34"/>
      <c r="CFO346" s="34"/>
      <c r="CFP346" s="34"/>
      <c r="CFQ346" s="34"/>
      <c r="CFR346" s="34"/>
      <c r="CFS346" s="34"/>
      <c r="CFT346" s="34"/>
      <c r="CFU346" s="34"/>
      <c r="CFV346" s="34"/>
      <c r="CFW346" s="34"/>
      <c r="CFX346" s="34"/>
      <c r="CFY346" s="34"/>
      <c r="CFZ346" s="34"/>
      <c r="CGA346" s="34"/>
      <c r="CGB346" s="34"/>
      <c r="CGC346" s="34"/>
      <c r="CGD346" s="34"/>
      <c r="CGE346" s="34"/>
      <c r="CGF346" s="34"/>
      <c r="CGG346" s="34"/>
      <c r="CGH346" s="34"/>
      <c r="CGI346" s="34"/>
      <c r="CGJ346" s="34"/>
      <c r="CGK346" s="34"/>
      <c r="CGL346" s="34"/>
      <c r="CGM346" s="34"/>
      <c r="CGN346" s="34"/>
      <c r="CGO346" s="34"/>
      <c r="CGP346" s="34"/>
      <c r="CGQ346" s="34"/>
      <c r="CGR346" s="34"/>
      <c r="CGS346" s="34"/>
      <c r="CGT346" s="34"/>
      <c r="CGU346" s="34"/>
      <c r="CGV346" s="34"/>
      <c r="CGW346" s="34"/>
      <c r="CGX346" s="34"/>
      <c r="CGY346" s="34"/>
      <c r="CGZ346" s="34"/>
      <c r="CHA346" s="34"/>
      <c r="CHB346" s="34"/>
      <c r="CHC346" s="34"/>
      <c r="CHD346" s="34"/>
      <c r="CHE346" s="34"/>
      <c r="CHF346" s="34"/>
      <c r="CHG346" s="34"/>
      <c r="CHH346" s="34"/>
      <c r="CHI346" s="34"/>
      <c r="CHJ346" s="34"/>
      <c r="CHK346" s="34"/>
      <c r="CHL346" s="34"/>
      <c r="CHM346" s="34"/>
      <c r="CHN346" s="34"/>
      <c r="CHO346" s="34"/>
      <c r="CHP346" s="34"/>
      <c r="CHQ346" s="34"/>
      <c r="CHR346" s="34"/>
      <c r="CHS346" s="34"/>
      <c r="CHT346" s="34"/>
      <c r="CHU346" s="34"/>
      <c r="CHV346" s="34"/>
      <c r="CHW346" s="34"/>
      <c r="CHX346" s="34"/>
      <c r="CHY346" s="34"/>
      <c r="CHZ346" s="34"/>
      <c r="CIA346" s="34"/>
      <c r="CIB346" s="34"/>
      <c r="CIC346" s="34"/>
      <c r="CID346" s="34"/>
      <c r="CIE346" s="34"/>
      <c r="CIF346" s="34"/>
      <c r="CIG346" s="34"/>
      <c r="CIH346" s="34"/>
      <c r="CII346" s="34"/>
      <c r="CIJ346" s="34"/>
      <c r="CIK346" s="34"/>
      <c r="CIL346" s="34"/>
      <c r="CIM346" s="34"/>
      <c r="CIN346" s="34"/>
      <c r="CIO346" s="34"/>
      <c r="CIP346" s="34"/>
      <c r="CIQ346" s="34"/>
      <c r="CIR346" s="34"/>
      <c r="CIS346" s="34"/>
      <c r="CIT346" s="34"/>
      <c r="CIU346" s="34"/>
      <c r="CIV346" s="34"/>
      <c r="CIW346" s="34"/>
      <c r="CIX346" s="34"/>
      <c r="CIY346" s="34"/>
      <c r="CIZ346" s="34"/>
      <c r="CJA346" s="34"/>
      <c r="CJB346" s="34"/>
      <c r="CJC346" s="34"/>
      <c r="CJD346" s="34"/>
      <c r="CJE346" s="34"/>
      <c r="CJF346" s="34"/>
      <c r="CJG346" s="34"/>
      <c r="CJH346" s="34"/>
      <c r="CJI346" s="34"/>
      <c r="CJJ346" s="34"/>
      <c r="CJK346" s="34"/>
      <c r="CJL346" s="34"/>
      <c r="CJM346" s="34"/>
      <c r="CJN346" s="34"/>
      <c r="CJO346" s="34"/>
      <c r="CJP346" s="34"/>
      <c r="CJQ346" s="34"/>
      <c r="CJR346" s="34"/>
      <c r="CJS346" s="34"/>
      <c r="CJT346" s="34"/>
      <c r="CJU346" s="34"/>
      <c r="CJV346" s="34"/>
      <c r="CJW346" s="34"/>
      <c r="CJX346" s="34"/>
      <c r="CJY346" s="34"/>
      <c r="CJZ346" s="34"/>
      <c r="CKA346" s="34"/>
      <c r="CKB346" s="34"/>
      <c r="CKC346" s="34"/>
      <c r="CKD346" s="34"/>
      <c r="CKE346" s="34"/>
      <c r="CKF346" s="34"/>
      <c r="CKG346" s="34"/>
      <c r="CKH346" s="34"/>
      <c r="CKI346" s="34"/>
      <c r="CKJ346" s="34"/>
      <c r="CKK346" s="34"/>
      <c r="CKL346" s="34"/>
      <c r="CKM346" s="34"/>
      <c r="CKN346" s="34"/>
      <c r="CKO346" s="34"/>
      <c r="CKP346" s="34"/>
      <c r="CKQ346" s="34"/>
      <c r="CKR346" s="34"/>
      <c r="CKS346" s="34"/>
      <c r="CKT346" s="34"/>
      <c r="CKU346" s="34"/>
      <c r="CKV346" s="34"/>
      <c r="CKW346" s="34"/>
      <c r="CKX346" s="34"/>
      <c r="CKY346" s="34"/>
      <c r="CKZ346" s="34"/>
      <c r="CLA346" s="34"/>
      <c r="CLB346" s="34"/>
      <c r="CLC346" s="34"/>
      <c r="CLD346" s="34"/>
      <c r="CLE346" s="34"/>
      <c r="CLF346" s="34"/>
      <c r="CLG346" s="34"/>
      <c r="CLH346" s="34"/>
      <c r="CLI346" s="34"/>
      <c r="CLJ346" s="34"/>
      <c r="CLK346" s="34"/>
      <c r="CLL346" s="34"/>
      <c r="CLM346" s="34"/>
      <c r="CLN346" s="34"/>
      <c r="CLO346" s="34"/>
      <c r="CLP346" s="34"/>
      <c r="CLQ346" s="34"/>
      <c r="CLR346" s="34"/>
      <c r="CLS346" s="34"/>
      <c r="CLT346" s="34"/>
      <c r="CLU346" s="34"/>
      <c r="CLV346" s="34"/>
      <c r="CLW346" s="34"/>
      <c r="CLX346" s="34"/>
      <c r="CLY346" s="34"/>
      <c r="CLZ346" s="34"/>
      <c r="CMA346" s="34"/>
      <c r="CMB346" s="34"/>
      <c r="CMC346" s="34"/>
      <c r="CMD346" s="34"/>
      <c r="CME346" s="34"/>
      <c r="CMF346" s="34"/>
      <c r="CMG346" s="34"/>
      <c r="CMH346" s="34"/>
      <c r="CMI346" s="34"/>
      <c r="CMJ346" s="34"/>
      <c r="CMK346" s="34"/>
      <c r="CML346" s="34"/>
      <c r="CMM346" s="34"/>
      <c r="CMN346" s="34"/>
      <c r="CMO346" s="34"/>
      <c r="CMP346" s="34"/>
      <c r="CMQ346" s="34"/>
      <c r="CMR346" s="34"/>
      <c r="CMS346" s="34"/>
      <c r="CMT346" s="34"/>
      <c r="CMU346" s="34"/>
      <c r="CMV346" s="34"/>
      <c r="CMW346" s="34"/>
      <c r="CMX346" s="34"/>
      <c r="CMY346" s="34"/>
      <c r="CMZ346" s="34"/>
      <c r="CNA346" s="34"/>
      <c r="CNB346" s="34"/>
      <c r="CNC346" s="34"/>
      <c r="CND346" s="34"/>
      <c r="CNE346" s="34"/>
      <c r="CNF346" s="34"/>
      <c r="CNG346" s="34"/>
      <c r="CNH346" s="34"/>
      <c r="CNI346" s="34"/>
      <c r="CNJ346" s="34"/>
      <c r="CNK346" s="34"/>
      <c r="CNL346" s="34"/>
      <c r="CNM346" s="34"/>
      <c r="CNN346" s="34"/>
      <c r="CNO346" s="34"/>
      <c r="CNP346" s="34"/>
      <c r="CNQ346" s="34"/>
      <c r="CNR346" s="34"/>
      <c r="CNS346" s="34"/>
      <c r="CNT346" s="34"/>
      <c r="CNU346" s="34"/>
      <c r="CNV346" s="34"/>
      <c r="CNW346" s="34"/>
      <c r="CNX346" s="34"/>
      <c r="CNY346" s="34"/>
      <c r="CNZ346" s="34"/>
      <c r="COA346" s="34"/>
      <c r="COB346" s="34"/>
      <c r="COC346" s="34"/>
      <c r="COD346" s="34"/>
      <c r="COE346" s="34"/>
      <c r="COF346" s="34"/>
      <c r="COG346" s="34"/>
      <c r="COH346" s="34"/>
      <c r="COI346" s="34"/>
      <c r="COJ346" s="34"/>
      <c r="COK346" s="34"/>
      <c r="COL346" s="34"/>
      <c r="COM346" s="34"/>
      <c r="CON346" s="34"/>
      <c r="COO346" s="34"/>
      <c r="COP346" s="34"/>
      <c r="COQ346" s="34"/>
      <c r="COR346" s="34"/>
      <c r="COS346" s="34"/>
      <c r="COT346" s="34"/>
      <c r="COU346" s="34"/>
      <c r="COV346" s="34"/>
      <c r="COW346" s="34"/>
      <c r="COX346" s="34"/>
      <c r="COY346" s="34"/>
      <c r="COZ346" s="34"/>
      <c r="CPA346" s="34"/>
      <c r="CPB346" s="34"/>
      <c r="CPC346" s="34"/>
      <c r="CPD346" s="34"/>
      <c r="CPE346" s="34"/>
      <c r="CPF346" s="34"/>
      <c r="CPG346" s="34"/>
      <c r="CPH346" s="34"/>
      <c r="CPI346" s="34"/>
      <c r="CPJ346" s="34"/>
      <c r="CPK346" s="34"/>
      <c r="CPL346" s="34"/>
      <c r="CPM346" s="34"/>
      <c r="CPN346" s="34"/>
      <c r="CPO346" s="34"/>
      <c r="CPP346" s="34"/>
      <c r="CPQ346" s="34"/>
      <c r="CPR346" s="34"/>
      <c r="CPS346" s="34"/>
      <c r="CPT346" s="34"/>
      <c r="CPU346" s="34"/>
      <c r="CPV346" s="34"/>
      <c r="CPW346" s="34"/>
      <c r="CPX346" s="34"/>
      <c r="CPY346" s="34"/>
      <c r="CPZ346" s="34"/>
      <c r="CQA346" s="34"/>
      <c r="CQB346" s="34"/>
      <c r="CQC346" s="34"/>
      <c r="CQD346" s="34"/>
      <c r="CQE346" s="34"/>
      <c r="CQF346" s="34"/>
      <c r="CQG346" s="34"/>
      <c r="CQH346" s="34"/>
      <c r="CQI346" s="34"/>
      <c r="CQJ346" s="34"/>
      <c r="CQK346" s="34"/>
      <c r="CQL346" s="34"/>
      <c r="CQM346" s="34"/>
      <c r="CQN346" s="34"/>
      <c r="CQO346" s="34"/>
      <c r="CQP346" s="34"/>
      <c r="CQQ346" s="34"/>
      <c r="CQR346" s="34"/>
      <c r="CQS346" s="34"/>
      <c r="CQT346" s="34"/>
      <c r="CQU346" s="34"/>
      <c r="CQV346" s="34"/>
      <c r="CQW346" s="34"/>
      <c r="CQX346" s="34"/>
      <c r="CQY346" s="34"/>
      <c r="CQZ346" s="34"/>
      <c r="CRA346" s="34"/>
      <c r="CRB346" s="34"/>
      <c r="CRC346" s="34"/>
      <c r="CRD346" s="34"/>
      <c r="CRE346" s="34"/>
      <c r="CRF346" s="34"/>
      <c r="CRG346" s="34"/>
      <c r="CRH346" s="34"/>
      <c r="CRI346" s="34"/>
      <c r="CRJ346" s="34"/>
      <c r="CRK346" s="34"/>
      <c r="CRL346" s="34"/>
      <c r="CRM346" s="34"/>
      <c r="CRN346" s="34"/>
      <c r="CRO346" s="34"/>
      <c r="CRP346" s="34"/>
      <c r="CRQ346" s="34"/>
      <c r="CRR346" s="34"/>
      <c r="CRS346" s="34"/>
      <c r="CRT346" s="34"/>
      <c r="CRU346" s="34"/>
      <c r="CRV346" s="34"/>
      <c r="CRW346" s="34"/>
      <c r="CRX346" s="34"/>
      <c r="CRY346" s="34"/>
      <c r="CRZ346" s="34"/>
      <c r="CSA346" s="34"/>
      <c r="CSB346" s="34"/>
      <c r="CSC346" s="34"/>
      <c r="CSD346" s="34"/>
      <c r="CSE346" s="34"/>
      <c r="CSF346" s="34"/>
      <c r="CSG346" s="34"/>
      <c r="CSH346" s="34"/>
      <c r="CSI346" s="34"/>
      <c r="CSJ346" s="34"/>
      <c r="CSK346" s="34"/>
      <c r="CSL346" s="34"/>
      <c r="CSM346" s="34"/>
      <c r="CSN346" s="34"/>
      <c r="CSO346" s="34"/>
      <c r="CSP346" s="34"/>
      <c r="CSQ346" s="34"/>
      <c r="CSR346" s="34"/>
      <c r="CSS346" s="34"/>
      <c r="CST346" s="34"/>
      <c r="CSU346" s="34"/>
      <c r="CSV346" s="34"/>
      <c r="CSW346" s="34"/>
      <c r="CSX346" s="34"/>
      <c r="CSY346" s="34"/>
      <c r="CSZ346" s="34"/>
      <c r="CTA346" s="34"/>
      <c r="CTB346" s="34"/>
      <c r="CTC346" s="34"/>
      <c r="CTD346" s="34"/>
      <c r="CTE346" s="34"/>
      <c r="CTF346" s="34"/>
      <c r="CTG346" s="34"/>
      <c r="CTH346" s="34"/>
      <c r="CTI346" s="34"/>
      <c r="CTJ346" s="34"/>
      <c r="CTK346" s="34"/>
      <c r="CTL346" s="34"/>
      <c r="CTM346" s="34"/>
      <c r="CTN346" s="34"/>
      <c r="CTO346" s="34"/>
      <c r="CTP346" s="34"/>
      <c r="CTQ346" s="34"/>
      <c r="CTR346" s="34"/>
      <c r="CTS346" s="34"/>
      <c r="CTT346" s="34"/>
      <c r="CTU346" s="34"/>
      <c r="CTV346" s="34"/>
      <c r="CTW346" s="34"/>
      <c r="CTX346" s="34"/>
      <c r="CTY346" s="34"/>
      <c r="CTZ346" s="34"/>
      <c r="CUA346" s="34"/>
      <c r="CUB346" s="34"/>
      <c r="CUC346" s="34"/>
      <c r="CUD346" s="34"/>
      <c r="CUE346" s="34"/>
      <c r="CUF346" s="34"/>
      <c r="CUG346" s="34"/>
      <c r="CUH346" s="34"/>
      <c r="CUI346" s="34"/>
      <c r="CUJ346" s="34"/>
      <c r="CUK346" s="34"/>
      <c r="CUL346" s="34"/>
      <c r="CUM346" s="34"/>
      <c r="CUN346" s="34"/>
      <c r="CUO346" s="34"/>
      <c r="CUP346" s="34"/>
      <c r="CUQ346" s="34"/>
      <c r="CUR346" s="34"/>
      <c r="CUS346" s="34"/>
      <c r="CUT346" s="34"/>
      <c r="CUU346" s="34"/>
      <c r="CUV346" s="34"/>
      <c r="CUW346" s="34"/>
      <c r="CUX346" s="34"/>
      <c r="CUY346" s="34"/>
      <c r="CUZ346" s="34"/>
      <c r="CVA346" s="34"/>
      <c r="CVB346" s="34"/>
      <c r="CVC346" s="34"/>
      <c r="CVD346" s="34"/>
      <c r="CVE346" s="34"/>
      <c r="CVF346" s="34"/>
      <c r="CVG346" s="34"/>
      <c r="CVH346" s="34"/>
      <c r="CVI346" s="34"/>
      <c r="CVJ346" s="34"/>
      <c r="CVK346" s="34"/>
      <c r="CVL346" s="34"/>
      <c r="CVM346" s="34"/>
      <c r="CVN346" s="34"/>
      <c r="CVO346" s="34"/>
      <c r="CVP346" s="34"/>
      <c r="CVQ346" s="34"/>
      <c r="CVR346" s="34"/>
      <c r="CVS346" s="34"/>
      <c r="CVT346" s="34"/>
      <c r="CVU346" s="34"/>
      <c r="CVV346" s="34"/>
      <c r="CVW346" s="34"/>
      <c r="CVX346" s="34"/>
      <c r="CVY346" s="34"/>
      <c r="CVZ346" s="34"/>
      <c r="CWA346" s="34"/>
      <c r="CWB346" s="34"/>
      <c r="CWC346" s="34"/>
      <c r="CWD346" s="34"/>
      <c r="CWE346" s="34"/>
      <c r="CWF346" s="34"/>
      <c r="CWG346" s="34"/>
      <c r="CWH346" s="34"/>
      <c r="CWI346" s="34"/>
      <c r="CWJ346" s="34"/>
      <c r="CWK346" s="34"/>
      <c r="CWL346" s="34"/>
      <c r="CWM346" s="34"/>
      <c r="CWN346" s="34"/>
      <c r="CWO346" s="34"/>
      <c r="CWP346" s="34"/>
      <c r="CWQ346" s="34"/>
      <c r="CWR346" s="34"/>
      <c r="CWS346" s="34"/>
      <c r="CWT346" s="34"/>
      <c r="CWU346" s="34"/>
      <c r="CWV346" s="34"/>
      <c r="CWW346" s="34"/>
      <c r="CWX346" s="34"/>
      <c r="CWY346" s="34"/>
      <c r="CWZ346" s="34"/>
      <c r="CXA346" s="34"/>
      <c r="CXB346" s="34"/>
      <c r="CXC346" s="34"/>
      <c r="CXD346" s="34"/>
      <c r="CXE346" s="34"/>
      <c r="CXF346" s="34"/>
      <c r="CXG346" s="34"/>
      <c r="CXH346" s="34"/>
      <c r="CXI346" s="34"/>
      <c r="CXJ346" s="34"/>
      <c r="CXK346" s="34"/>
      <c r="CXL346" s="34"/>
      <c r="CXM346" s="34"/>
      <c r="CXN346" s="34"/>
      <c r="CXO346" s="34"/>
      <c r="CXP346" s="34"/>
      <c r="CXQ346" s="34"/>
      <c r="CXR346" s="34"/>
      <c r="CXS346" s="34"/>
      <c r="CXT346" s="34"/>
      <c r="CXU346" s="34"/>
      <c r="CXV346" s="34"/>
      <c r="CXW346" s="34"/>
      <c r="CXX346" s="34"/>
      <c r="CXY346" s="34"/>
      <c r="CXZ346" s="34"/>
      <c r="CYA346" s="34"/>
      <c r="CYB346" s="34"/>
      <c r="CYC346" s="34"/>
      <c r="CYD346" s="34"/>
      <c r="CYE346" s="34"/>
      <c r="CYF346" s="34"/>
      <c r="CYG346" s="34"/>
      <c r="CYH346" s="34"/>
      <c r="CYI346" s="34"/>
      <c r="CYJ346" s="34"/>
      <c r="CYK346" s="34"/>
      <c r="CYL346" s="34"/>
      <c r="CYM346" s="34"/>
      <c r="CYN346" s="34"/>
      <c r="CYO346" s="34"/>
      <c r="CYP346" s="34"/>
      <c r="CYQ346" s="34"/>
      <c r="CYR346" s="34"/>
      <c r="CYS346" s="34"/>
      <c r="CYT346" s="34"/>
      <c r="CYU346" s="34"/>
      <c r="CYV346" s="34"/>
      <c r="CYW346" s="34"/>
      <c r="CYX346" s="34"/>
      <c r="CYY346" s="34"/>
      <c r="CYZ346" s="34"/>
      <c r="CZA346" s="34"/>
      <c r="CZB346" s="34"/>
      <c r="CZC346" s="34"/>
      <c r="CZD346" s="34"/>
      <c r="CZE346" s="34"/>
      <c r="CZF346" s="34"/>
      <c r="CZG346" s="34"/>
      <c r="CZH346" s="34"/>
      <c r="CZI346" s="34"/>
      <c r="CZJ346" s="34"/>
      <c r="CZK346" s="34"/>
      <c r="CZL346" s="34"/>
      <c r="CZM346" s="34"/>
      <c r="CZN346" s="34"/>
      <c r="CZO346" s="34"/>
      <c r="CZP346" s="34"/>
      <c r="CZQ346" s="34"/>
      <c r="CZR346" s="34"/>
      <c r="CZS346" s="34"/>
      <c r="CZT346" s="34"/>
      <c r="CZU346" s="34"/>
      <c r="CZV346" s="34"/>
      <c r="CZW346" s="34"/>
      <c r="CZX346" s="34"/>
      <c r="CZY346" s="34"/>
      <c r="CZZ346" s="34"/>
      <c r="DAA346" s="34"/>
      <c r="DAB346" s="34"/>
      <c r="DAC346" s="34"/>
      <c r="DAD346" s="34"/>
      <c r="DAE346" s="34"/>
      <c r="DAF346" s="34"/>
      <c r="DAG346" s="34"/>
      <c r="DAH346" s="34"/>
      <c r="DAI346" s="34"/>
      <c r="DAJ346" s="34"/>
      <c r="DAK346" s="34"/>
      <c r="DAL346" s="34"/>
      <c r="DAM346" s="34"/>
      <c r="DAN346" s="34"/>
      <c r="DAO346" s="34"/>
      <c r="DAP346" s="34"/>
      <c r="DAQ346" s="34"/>
      <c r="DAR346" s="34"/>
      <c r="DAS346" s="34"/>
      <c r="DAT346" s="34"/>
      <c r="DAU346" s="34"/>
      <c r="DAV346" s="34"/>
      <c r="DAW346" s="34"/>
      <c r="DAX346" s="34"/>
      <c r="DAY346" s="34"/>
      <c r="DAZ346" s="34"/>
      <c r="DBA346" s="34"/>
      <c r="DBB346" s="34"/>
      <c r="DBC346" s="34"/>
      <c r="DBD346" s="34"/>
      <c r="DBE346" s="34"/>
      <c r="DBF346" s="34"/>
      <c r="DBG346" s="34"/>
      <c r="DBH346" s="34"/>
      <c r="DBI346" s="34"/>
      <c r="DBJ346" s="34"/>
      <c r="DBK346" s="34"/>
      <c r="DBL346" s="34"/>
      <c r="DBM346" s="34"/>
      <c r="DBN346" s="34"/>
      <c r="DBO346" s="34"/>
      <c r="DBP346" s="34"/>
      <c r="DBQ346" s="34"/>
      <c r="DBR346" s="34"/>
      <c r="DBS346" s="34"/>
      <c r="DBT346" s="34"/>
      <c r="DBU346" s="34"/>
      <c r="DBV346" s="34"/>
      <c r="DBW346" s="34"/>
      <c r="DBX346" s="34"/>
      <c r="DBY346" s="34"/>
      <c r="DBZ346" s="34"/>
      <c r="DCA346" s="34"/>
      <c r="DCB346" s="34"/>
      <c r="DCC346" s="34"/>
      <c r="DCD346" s="34"/>
      <c r="DCE346" s="34"/>
      <c r="DCF346" s="34"/>
      <c r="DCG346" s="34"/>
      <c r="DCH346" s="34"/>
      <c r="DCI346" s="34"/>
      <c r="DCJ346" s="34"/>
      <c r="DCK346" s="34"/>
      <c r="DCL346" s="34"/>
      <c r="DCM346" s="34"/>
      <c r="DCN346" s="34"/>
      <c r="DCO346" s="34"/>
      <c r="DCP346" s="34"/>
      <c r="DCQ346" s="34"/>
      <c r="DCR346" s="34"/>
      <c r="DCS346" s="34"/>
      <c r="DCT346" s="34"/>
      <c r="DCU346" s="34"/>
      <c r="DCV346" s="34"/>
      <c r="DCW346" s="34"/>
      <c r="DCX346" s="34"/>
      <c r="DCY346" s="34"/>
      <c r="DCZ346" s="34"/>
      <c r="DDA346" s="34"/>
      <c r="DDB346" s="34"/>
      <c r="DDC346" s="34"/>
      <c r="DDD346" s="34"/>
      <c r="DDE346" s="34"/>
      <c r="DDF346" s="34"/>
      <c r="DDG346" s="34"/>
      <c r="DDH346" s="34"/>
      <c r="DDI346" s="34"/>
      <c r="DDJ346" s="34"/>
      <c r="DDK346" s="34"/>
      <c r="DDL346" s="34"/>
      <c r="DDM346" s="34"/>
      <c r="DDN346" s="34"/>
      <c r="DDO346" s="34"/>
      <c r="DDP346" s="34"/>
      <c r="DDQ346" s="34"/>
      <c r="DDR346" s="34"/>
      <c r="DDS346" s="34"/>
      <c r="DDT346" s="34"/>
      <c r="DDU346" s="34"/>
      <c r="DDV346" s="34"/>
      <c r="DDW346" s="34"/>
      <c r="DDX346" s="34"/>
      <c r="DDY346" s="34"/>
      <c r="DDZ346" s="34"/>
      <c r="DEA346" s="34"/>
      <c r="DEB346" s="34"/>
      <c r="DEC346" s="34"/>
      <c r="DED346" s="34"/>
      <c r="DEE346" s="34"/>
      <c r="DEF346" s="34"/>
      <c r="DEG346" s="34"/>
      <c r="DEH346" s="34"/>
      <c r="DEI346" s="34"/>
      <c r="DEJ346" s="34"/>
      <c r="DEK346" s="34"/>
      <c r="DEL346" s="34"/>
      <c r="DEM346" s="34"/>
      <c r="DEN346" s="34"/>
      <c r="DEO346" s="34"/>
      <c r="DEP346" s="34"/>
      <c r="DEQ346" s="34"/>
      <c r="DER346" s="34"/>
      <c r="DES346" s="34"/>
      <c r="DET346" s="34"/>
      <c r="DEU346" s="34"/>
      <c r="DEV346" s="34"/>
      <c r="DEW346" s="34"/>
      <c r="DEX346" s="34"/>
      <c r="DEY346" s="34"/>
      <c r="DEZ346" s="34"/>
      <c r="DFA346" s="34"/>
      <c r="DFB346" s="34"/>
      <c r="DFC346" s="34"/>
      <c r="DFD346" s="34"/>
      <c r="DFE346" s="34"/>
      <c r="DFF346" s="34"/>
      <c r="DFG346" s="34"/>
      <c r="DFH346" s="34"/>
      <c r="DFI346" s="34"/>
      <c r="DFJ346" s="34"/>
      <c r="DFK346" s="34"/>
      <c r="DFL346" s="34"/>
      <c r="DFM346" s="34"/>
      <c r="DFN346" s="34"/>
      <c r="DFO346" s="34"/>
      <c r="DFP346" s="34"/>
      <c r="DFQ346" s="34"/>
      <c r="DFR346" s="34"/>
      <c r="DFS346" s="34"/>
      <c r="DFT346" s="34"/>
      <c r="DFU346" s="34"/>
      <c r="DFV346" s="34"/>
      <c r="DFW346" s="34"/>
      <c r="DFX346" s="34"/>
      <c r="DFY346" s="34"/>
      <c r="DFZ346" s="34"/>
      <c r="DGA346" s="34"/>
      <c r="DGB346" s="34"/>
      <c r="DGC346" s="34"/>
      <c r="DGD346" s="34"/>
      <c r="DGE346" s="34"/>
      <c r="DGF346" s="34"/>
      <c r="DGG346" s="34"/>
      <c r="DGH346" s="34"/>
      <c r="DGI346" s="34"/>
      <c r="DGJ346" s="34"/>
      <c r="DGK346" s="34"/>
      <c r="DGL346" s="34"/>
      <c r="DGM346" s="34"/>
      <c r="DGN346" s="34"/>
      <c r="DGO346" s="34"/>
      <c r="DGP346" s="34"/>
      <c r="DGQ346" s="34"/>
      <c r="DGR346" s="34"/>
      <c r="DGS346" s="34"/>
      <c r="DGT346" s="34"/>
      <c r="DGU346" s="34"/>
      <c r="DGV346" s="34"/>
      <c r="DGW346" s="34"/>
      <c r="DGX346" s="34"/>
      <c r="DGY346" s="34"/>
      <c r="DGZ346" s="34"/>
      <c r="DHA346" s="34"/>
      <c r="DHB346" s="34"/>
      <c r="DHC346" s="34"/>
      <c r="DHD346" s="34"/>
      <c r="DHE346" s="34"/>
      <c r="DHF346" s="34"/>
      <c r="DHG346" s="34"/>
      <c r="DHH346" s="34"/>
      <c r="DHI346" s="34"/>
      <c r="DHJ346" s="34"/>
      <c r="DHK346" s="34"/>
      <c r="DHL346" s="34"/>
      <c r="DHM346" s="34"/>
      <c r="DHN346" s="34"/>
      <c r="DHO346" s="34"/>
      <c r="DHP346" s="34"/>
      <c r="DHQ346" s="34"/>
      <c r="DHR346" s="34"/>
      <c r="DHS346" s="34"/>
      <c r="DHT346" s="34"/>
      <c r="DHU346" s="34"/>
      <c r="DHV346" s="34"/>
      <c r="DHW346" s="34"/>
      <c r="DHX346" s="34"/>
      <c r="DHY346" s="34"/>
      <c r="DHZ346" s="34"/>
      <c r="DIA346" s="34"/>
      <c r="DIB346" s="34"/>
      <c r="DIC346" s="34"/>
      <c r="DID346" s="34"/>
      <c r="DIE346" s="34"/>
      <c r="DIF346" s="34"/>
      <c r="DIG346" s="34"/>
      <c r="DIH346" s="34"/>
      <c r="DII346" s="34"/>
      <c r="DIJ346" s="34"/>
      <c r="DIK346" s="34"/>
      <c r="DIL346" s="34"/>
      <c r="DIM346" s="34"/>
      <c r="DIN346" s="34"/>
      <c r="DIO346" s="34"/>
      <c r="DIP346" s="34"/>
      <c r="DIQ346" s="34"/>
      <c r="DIR346" s="34"/>
      <c r="DIS346" s="34"/>
      <c r="DIT346" s="34"/>
      <c r="DIU346" s="34"/>
      <c r="DIV346" s="34"/>
      <c r="DIW346" s="34"/>
      <c r="DIX346" s="34"/>
      <c r="DIY346" s="34"/>
      <c r="DIZ346" s="34"/>
      <c r="DJA346" s="34"/>
      <c r="DJB346" s="34"/>
      <c r="DJC346" s="34"/>
      <c r="DJD346" s="34"/>
      <c r="DJE346" s="34"/>
      <c r="DJF346" s="34"/>
      <c r="DJG346" s="34"/>
      <c r="DJH346" s="34"/>
      <c r="DJI346" s="34"/>
      <c r="DJJ346" s="34"/>
      <c r="DJK346" s="34"/>
      <c r="DJL346" s="34"/>
      <c r="DJM346" s="34"/>
      <c r="DJN346" s="34"/>
      <c r="DJO346" s="34"/>
      <c r="DJP346" s="34"/>
      <c r="DJQ346" s="34"/>
      <c r="DJR346" s="34"/>
      <c r="DJS346" s="34"/>
      <c r="DJT346" s="34"/>
      <c r="DJU346" s="34"/>
      <c r="DJV346" s="34"/>
      <c r="DJW346" s="34"/>
      <c r="DJX346" s="34"/>
      <c r="DJY346" s="34"/>
      <c r="DJZ346" s="34"/>
      <c r="DKA346" s="34"/>
      <c r="DKB346" s="34"/>
      <c r="DKC346" s="34"/>
      <c r="DKD346" s="34"/>
      <c r="DKE346" s="34"/>
      <c r="DKF346" s="34"/>
      <c r="DKG346" s="34"/>
      <c r="DKH346" s="34"/>
      <c r="DKI346" s="34"/>
      <c r="DKJ346" s="34"/>
      <c r="DKK346" s="34"/>
      <c r="DKL346" s="34"/>
      <c r="DKM346" s="34"/>
      <c r="DKN346" s="34"/>
      <c r="DKO346" s="34"/>
      <c r="DKP346" s="34"/>
      <c r="DKQ346" s="34"/>
      <c r="DKR346" s="34"/>
      <c r="DKS346" s="34"/>
      <c r="DKT346" s="34"/>
      <c r="DKU346" s="34"/>
      <c r="DKV346" s="34"/>
      <c r="DKW346" s="34"/>
      <c r="DKX346" s="34"/>
      <c r="DKY346" s="34"/>
      <c r="DKZ346" s="34"/>
      <c r="DLA346" s="34"/>
      <c r="DLB346" s="34"/>
      <c r="DLC346" s="34"/>
      <c r="DLD346" s="34"/>
      <c r="DLE346" s="34"/>
      <c r="DLF346" s="34"/>
      <c r="DLG346" s="34"/>
      <c r="DLH346" s="34"/>
      <c r="DLI346" s="34"/>
      <c r="DLJ346" s="34"/>
      <c r="DLK346" s="34"/>
      <c r="DLL346" s="34"/>
      <c r="DLM346" s="34"/>
      <c r="DLN346" s="34"/>
      <c r="DLO346" s="34"/>
      <c r="DLP346" s="34"/>
      <c r="DLQ346" s="34"/>
      <c r="DLR346" s="34"/>
      <c r="DLS346" s="34"/>
      <c r="DLT346" s="34"/>
      <c r="DLU346" s="34"/>
      <c r="DLV346" s="34"/>
      <c r="DLW346" s="34"/>
      <c r="DLX346" s="34"/>
      <c r="DLY346" s="34"/>
      <c r="DLZ346" s="34"/>
      <c r="DMA346" s="34"/>
      <c r="DMB346" s="34"/>
      <c r="DMC346" s="34"/>
      <c r="DMD346" s="34"/>
      <c r="DME346" s="34"/>
      <c r="DMF346" s="34"/>
      <c r="DMG346" s="34"/>
      <c r="DMH346" s="34"/>
      <c r="DMI346" s="34"/>
      <c r="DMJ346" s="34"/>
      <c r="DMK346" s="34"/>
      <c r="DML346" s="34"/>
      <c r="DMM346" s="34"/>
      <c r="DMN346" s="34"/>
      <c r="DMO346" s="34"/>
      <c r="DMP346" s="34"/>
      <c r="DMQ346" s="34"/>
      <c r="DMR346" s="34"/>
      <c r="DMS346" s="34"/>
      <c r="DMT346" s="34"/>
      <c r="DMU346" s="34"/>
      <c r="DMV346" s="34"/>
      <c r="DMW346" s="34"/>
      <c r="DMX346" s="34"/>
      <c r="DMY346" s="34"/>
      <c r="DMZ346" s="34"/>
      <c r="DNA346" s="34"/>
      <c r="DNB346" s="34"/>
      <c r="DNC346" s="34"/>
      <c r="DND346" s="34"/>
      <c r="DNE346" s="34"/>
      <c r="DNF346" s="34"/>
      <c r="DNG346" s="34"/>
      <c r="DNH346" s="34"/>
      <c r="DNI346" s="34"/>
      <c r="DNJ346" s="34"/>
      <c r="DNK346" s="34"/>
      <c r="DNL346" s="34"/>
      <c r="DNM346" s="34"/>
      <c r="DNN346" s="34"/>
      <c r="DNO346" s="34"/>
      <c r="DNP346" s="34"/>
      <c r="DNQ346" s="34"/>
      <c r="DNR346" s="34"/>
      <c r="DNS346" s="34"/>
      <c r="DNT346" s="34"/>
      <c r="DNU346" s="34"/>
      <c r="DNV346" s="34"/>
      <c r="DNW346" s="34"/>
      <c r="DNX346" s="34"/>
      <c r="DNY346" s="34"/>
      <c r="DNZ346" s="34"/>
      <c r="DOA346" s="34"/>
      <c r="DOB346" s="34"/>
      <c r="DOC346" s="34"/>
      <c r="DOD346" s="34"/>
      <c r="DOE346" s="34"/>
      <c r="DOF346" s="34"/>
      <c r="DOG346" s="34"/>
      <c r="DOH346" s="34"/>
      <c r="DOI346" s="34"/>
      <c r="DOJ346" s="34"/>
      <c r="DOK346" s="34"/>
      <c r="DOL346" s="34"/>
      <c r="DOM346" s="34"/>
      <c r="DON346" s="34"/>
      <c r="DOO346" s="34"/>
      <c r="DOP346" s="34"/>
      <c r="DOQ346" s="34"/>
      <c r="DOR346" s="34"/>
      <c r="DOS346" s="34"/>
      <c r="DOT346" s="34"/>
      <c r="DOU346" s="34"/>
      <c r="DOV346" s="34"/>
      <c r="DOW346" s="34"/>
      <c r="DOX346" s="34"/>
      <c r="DOY346" s="34"/>
      <c r="DOZ346" s="34"/>
      <c r="DPA346" s="34"/>
      <c r="DPB346" s="34"/>
      <c r="DPC346" s="34"/>
      <c r="DPD346" s="34"/>
      <c r="DPE346" s="34"/>
      <c r="DPF346" s="34"/>
      <c r="DPG346" s="34"/>
      <c r="DPH346" s="34"/>
      <c r="DPI346" s="34"/>
      <c r="DPJ346" s="34"/>
      <c r="DPK346" s="34"/>
      <c r="DPL346" s="34"/>
      <c r="DPM346" s="34"/>
      <c r="DPN346" s="34"/>
      <c r="DPO346" s="34"/>
      <c r="DPP346" s="34"/>
      <c r="DPQ346" s="34"/>
      <c r="DPR346" s="34"/>
      <c r="DPS346" s="34"/>
      <c r="DPT346" s="34"/>
      <c r="DPU346" s="34"/>
      <c r="DPV346" s="34"/>
      <c r="DPW346" s="34"/>
      <c r="DPX346" s="34"/>
      <c r="DPY346" s="34"/>
      <c r="DPZ346" s="34"/>
      <c r="DQA346" s="34"/>
      <c r="DQB346" s="34"/>
      <c r="DQC346" s="34"/>
      <c r="DQD346" s="34"/>
      <c r="DQE346" s="34"/>
      <c r="DQF346" s="34"/>
      <c r="DQG346" s="34"/>
      <c r="DQH346" s="34"/>
      <c r="DQI346" s="34"/>
      <c r="DQJ346" s="34"/>
      <c r="DQK346" s="34"/>
      <c r="DQL346" s="34"/>
      <c r="DQM346" s="34"/>
      <c r="DQN346" s="34"/>
      <c r="DQO346" s="34"/>
      <c r="DQP346" s="34"/>
      <c r="DQQ346" s="34"/>
      <c r="DQR346" s="34"/>
      <c r="DQS346" s="34"/>
      <c r="DQT346" s="34"/>
      <c r="DQU346" s="34"/>
      <c r="DQV346" s="34"/>
      <c r="DQW346" s="34"/>
      <c r="DQX346" s="34"/>
      <c r="DQY346" s="34"/>
      <c r="DQZ346" s="34"/>
      <c r="DRA346" s="34"/>
      <c r="DRB346" s="34"/>
      <c r="DRC346" s="34"/>
      <c r="DRD346" s="34"/>
      <c r="DRE346" s="34"/>
      <c r="DRF346" s="34"/>
      <c r="DRG346" s="34"/>
      <c r="DRH346" s="34"/>
      <c r="DRI346" s="34"/>
      <c r="DRJ346" s="34"/>
      <c r="DRK346" s="34"/>
      <c r="DRL346" s="34"/>
      <c r="DRM346" s="34"/>
      <c r="DRN346" s="34"/>
      <c r="DRO346" s="34"/>
      <c r="DRP346" s="34"/>
      <c r="DRQ346" s="34"/>
      <c r="DRR346" s="34"/>
      <c r="DRS346" s="34"/>
      <c r="DRT346" s="34"/>
      <c r="DRU346" s="34"/>
      <c r="DRV346" s="34"/>
      <c r="DRW346" s="34"/>
      <c r="DRX346" s="34"/>
      <c r="DRY346" s="34"/>
      <c r="DRZ346" s="34"/>
      <c r="DSA346" s="34"/>
      <c r="DSB346" s="34"/>
      <c r="DSC346" s="34"/>
      <c r="DSD346" s="34"/>
      <c r="DSE346" s="34"/>
      <c r="DSF346" s="34"/>
      <c r="DSG346" s="34"/>
      <c r="DSH346" s="34"/>
      <c r="DSI346" s="34"/>
      <c r="DSJ346" s="34"/>
      <c r="DSK346" s="34"/>
      <c r="DSL346" s="34"/>
      <c r="DSM346" s="34"/>
      <c r="DSN346" s="34"/>
      <c r="DSO346" s="34"/>
      <c r="DSP346" s="34"/>
      <c r="DSQ346" s="34"/>
      <c r="DSR346" s="34"/>
      <c r="DSS346" s="34"/>
      <c r="DST346" s="34"/>
      <c r="DSU346" s="34"/>
      <c r="DSV346" s="34"/>
      <c r="DSW346" s="34"/>
      <c r="DSX346" s="34"/>
      <c r="DSY346" s="34"/>
      <c r="DSZ346" s="34"/>
      <c r="DTA346" s="34"/>
      <c r="DTB346" s="34"/>
      <c r="DTC346" s="34"/>
      <c r="DTD346" s="34"/>
      <c r="DTE346" s="34"/>
      <c r="DTF346" s="34"/>
      <c r="DTG346" s="34"/>
      <c r="DTH346" s="34"/>
      <c r="DTI346" s="34"/>
      <c r="DTJ346" s="34"/>
      <c r="DTK346" s="34"/>
      <c r="DTL346" s="34"/>
      <c r="DTM346" s="34"/>
      <c r="DTN346" s="34"/>
      <c r="DTO346" s="34"/>
      <c r="DTP346" s="34"/>
      <c r="DTQ346" s="34"/>
      <c r="DTR346" s="34"/>
      <c r="DTS346" s="34"/>
      <c r="DTT346" s="34"/>
      <c r="DTU346" s="34"/>
      <c r="DTV346" s="34"/>
      <c r="DTW346" s="34"/>
      <c r="DTX346" s="34"/>
      <c r="DTY346" s="34"/>
      <c r="DTZ346" s="34"/>
      <c r="DUA346" s="34"/>
      <c r="DUB346" s="34"/>
      <c r="DUC346" s="34"/>
      <c r="DUD346" s="34"/>
      <c r="DUE346" s="34"/>
      <c r="DUF346" s="34"/>
      <c r="DUG346" s="34"/>
      <c r="DUH346" s="34"/>
      <c r="DUI346" s="34"/>
      <c r="DUJ346" s="34"/>
      <c r="DUK346" s="34"/>
      <c r="DUL346" s="34"/>
      <c r="DUM346" s="34"/>
      <c r="DUN346" s="34"/>
      <c r="DUO346" s="34"/>
      <c r="DUP346" s="34"/>
      <c r="DUQ346" s="34"/>
      <c r="DUR346" s="34"/>
      <c r="DUS346" s="34"/>
      <c r="DUT346" s="34"/>
      <c r="DUU346" s="34"/>
      <c r="DUV346" s="34"/>
      <c r="DUW346" s="34"/>
      <c r="DUX346" s="34"/>
      <c r="DUY346" s="34"/>
      <c r="DUZ346" s="34"/>
      <c r="DVA346" s="34"/>
      <c r="DVB346" s="34"/>
      <c r="DVC346" s="34"/>
      <c r="DVD346" s="34"/>
      <c r="DVE346" s="34"/>
      <c r="DVF346" s="34"/>
      <c r="DVG346" s="34"/>
      <c r="DVH346" s="34"/>
      <c r="DVI346" s="34"/>
      <c r="DVJ346" s="34"/>
      <c r="DVK346" s="34"/>
      <c r="DVL346" s="34"/>
      <c r="DVM346" s="34"/>
      <c r="DVN346" s="34"/>
      <c r="DVO346" s="34"/>
      <c r="DVP346" s="34"/>
      <c r="DVQ346" s="34"/>
      <c r="DVR346" s="34"/>
      <c r="DVS346" s="34"/>
      <c r="DVT346" s="34"/>
      <c r="DVU346" s="34"/>
      <c r="DVV346" s="34"/>
      <c r="DVW346" s="34"/>
      <c r="DVX346" s="34"/>
      <c r="DVY346" s="34"/>
      <c r="DVZ346" s="34"/>
      <c r="DWA346" s="34"/>
      <c r="DWB346" s="34"/>
      <c r="DWC346" s="34"/>
      <c r="DWD346" s="34"/>
      <c r="DWE346" s="34"/>
      <c r="DWF346" s="34"/>
      <c r="DWG346" s="34"/>
      <c r="DWH346" s="34"/>
      <c r="DWI346" s="34"/>
      <c r="DWJ346" s="34"/>
      <c r="DWK346" s="34"/>
      <c r="DWL346" s="34"/>
      <c r="DWM346" s="34"/>
      <c r="DWN346" s="34"/>
      <c r="DWO346" s="34"/>
      <c r="DWP346" s="34"/>
      <c r="DWQ346" s="34"/>
      <c r="DWR346" s="34"/>
      <c r="DWS346" s="34"/>
      <c r="DWT346" s="34"/>
      <c r="DWU346" s="34"/>
      <c r="DWV346" s="34"/>
      <c r="DWW346" s="34"/>
      <c r="DWX346" s="34"/>
      <c r="DWY346" s="34"/>
      <c r="DWZ346" s="34"/>
      <c r="DXA346" s="34"/>
      <c r="DXB346" s="34"/>
      <c r="DXC346" s="34"/>
      <c r="DXD346" s="34"/>
      <c r="DXE346" s="34"/>
      <c r="DXF346" s="34"/>
      <c r="DXG346" s="34"/>
      <c r="DXH346" s="34"/>
      <c r="DXI346" s="34"/>
      <c r="DXJ346" s="34"/>
      <c r="DXK346" s="34"/>
      <c r="DXL346" s="34"/>
      <c r="DXM346" s="34"/>
      <c r="DXN346" s="34"/>
      <c r="DXO346" s="34"/>
      <c r="DXP346" s="34"/>
      <c r="DXQ346" s="34"/>
      <c r="DXR346" s="34"/>
      <c r="DXS346" s="34"/>
      <c r="DXT346" s="34"/>
      <c r="DXU346" s="34"/>
      <c r="DXV346" s="34"/>
      <c r="DXW346" s="34"/>
      <c r="DXX346" s="34"/>
      <c r="DXY346" s="34"/>
      <c r="DXZ346" s="34"/>
      <c r="DYA346" s="34"/>
      <c r="DYB346" s="34"/>
      <c r="DYC346" s="34"/>
      <c r="DYD346" s="34"/>
      <c r="DYE346" s="34"/>
      <c r="DYF346" s="34"/>
      <c r="DYG346" s="34"/>
      <c r="DYH346" s="34"/>
      <c r="DYI346" s="34"/>
      <c r="DYJ346" s="34"/>
      <c r="DYK346" s="34"/>
      <c r="DYL346" s="34"/>
      <c r="DYM346" s="34"/>
      <c r="DYN346" s="34"/>
      <c r="DYO346" s="34"/>
      <c r="DYP346" s="34"/>
      <c r="DYQ346" s="34"/>
      <c r="DYR346" s="34"/>
      <c r="DYS346" s="34"/>
      <c r="DYT346" s="34"/>
      <c r="DYU346" s="34"/>
      <c r="DYV346" s="34"/>
      <c r="DYW346" s="34"/>
      <c r="DYX346" s="34"/>
      <c r="DYY346" s="34"/>
      <c r="DYZ346" s="34"/>
      <c r="DZA346" s="34"/>
      <c r="DZB346" s="34"/>
      <c r="DZC346" s="34"/>
      <c r="DZD346" s="34"/>
      <c r="DZE346" s="34"/>
      <c r="DZF346" s="34"/>
      <c r="DZG346" s="34"/>
      <c r="DZH346" s="34"/>
      <c r="DZI346" s="34"/>
      <c r="DZJ346" s="34"/>
      <c r="DZK346" s="34"/>
      <c r="DZL346" s="34"/>
      <c r="DZM346" s="34"/>
      <c r="DZN346" s="34"/>
      <c r="DZO346" s="34"/>
      <c r="DZP346" s="34"/>
      <c r="DZQ346" s="34"/>
      <c r="DZR346" s="34"/>
      <c r="DZS346" s="34"/>
      <c r="DZT346" s="34"/>
      <c r="DZU346" s="34"/>
      <c r="DZV346" s="34"/>
      <c r="DZW346" s="34"/>
      <c r="DZX346" s="34"/>
      <c r="DZY346" s="34"/>
      <c r="DZZ346" s="34"/>
      <c r="EAA346" s="34"/>
      <c r="EAB346" s="34"/>
      <c r="EAC346" s="34"/>
      <c r="EAD346" s="34"/>
      <c r="EAE346" s="34"/>
      <c r="EAF346" s="34"/>
      <c r="EAG346" s="34"/>
      <c r="EAH346" s="34"/>
      <c r="EAI346" s="34"/>
      <c r="EAJ346" s="34"/>
      <c r="EAK346" s="34"/>
      <c r="EAL346" s="34"/>
      <c r="EAM346" s="34"/>
      <c r="EAN346" s="34"/>
      <c r="EAO346" s="34"/>
      <c r="EAP346" s="34"/>
      <c r="EAQ346" s="34"/>
      <c r="EAR346" s="34"/>
      <c r="EAS346" s="34"/>
      <c r="EAT346" s="34"/>
      <c r="EAU346" s="34"/>
      <c r="EAV346" s="34"/>
      <c r="EAW346" s="34"/>
      <c r="EAX346" s="34"/>
      <c r="EAY346" s="34"/>
      <c r="EAZ346" s="34"/>
      <c r="EBA346" s="34"/>
      <c r="EBB346" s="34"/>
      <c r="EBC346" s="34"/>
      <c r="EBD346" s="34"/>
      <c r="EBE346" s="34"/>
      <c r="EBF346" s="34"/>
      <c r="EBG346" s="34"/>
      <c r="EBH346" s="34"/>
      <c r="EBI346" s="34"/>
      <c r="EBJ346" s="34"/>
      <c r="EBK346" s="34"/>
      <c r="EBL346" s="34"/>
      <c r="EBM346" s="34"/>
      <c r="EBN346" s="34"/>
      <c r="EBO346" s="34"/>
      <c r="EBP346" s="34"/>
      <c r="EBQ346" s="34"/>
      <c r="EBR346" s="34"/>
      <c r="EBS346" s="34"/>
      <c r="EBT346" s="34"/>
      <c r="EBU346" s="34"/>
      <c r="EBV346" s="34"/>
      <c r="EBW346" s="34"/>
      <c r="EBX346" s="34"/>
      <c r="EBY346" s="34"/>
      <c r="EBZ346" s="34"/>
      <c r="ECA346" s="34"/>
      <c r="ECB346" s="34"/>
      <c r="ECC346" s="34"/>
      <c r="ECD346" s="34"/>
      <c r="ECE346" s="34"/>
      <c r="ECF346" s="34"/>
      <c r="ECG346" s="34"/>
      <c r="ECH346" s="34"/>
      <c r="ECI346" s="34"/>
      <c r="ECJ346" s="34"/>
      <c r="ECK346" s="34"/>
      <c r="ECL346" s="34"/>
      <c r="ECM346" s="34"/>
      <c r="ECN346" s="34"/>
      <c r="ECO346" s="34"/>
      <c r="ECP346" s="34"/>
      <c r="ECQ346" s="34"/>
      <c r="ECR346" s="34"/>
      <c r="ECS346" s="34"/>
      <c r="ECT346" s="34"/>
      <c r="ECU346" s="34"/>
      <c r="ECV346" s="34"/>
      <c r="ECW346" s="34"/>
      <c r="ECX346" s="34"/>
      <c r="ECY346" s="34"/>
      <c r="ECZ346" s="34"/>
      <c r="EDA346" s="34"/>
      <c r="EDB346" s="34"/>
      <c r="EDC346" s="34"/>
      <c r="EDD346" s="34"/>
      <c r="EDE346" s="34"/>
      <c r="EDF346" s="34"/>
      <c r="EDG346" s="34"/>
      <c r="EDH346" s="34"/>
      <c r="EDI346" s="34"/>
      <c r="EDJ346" s="34"/>
      <c r="EDK346" s="34"/>
      <c r="EDL346" s="34"/>
      <c r="EDM346" s="34"/>
      <c r="EDN346" s="34"/>
      <c r="EDO346" s="34"/>
      <c r="EDP346" s="34"/>
      <c r="EDQ346" s="34"/>
      <c r="EDR346" s="34"/>
      <c r="EDS346" s="34"/>
      <c r="EDT346" s="34"/>
      <c r="EDU346" s="34"/>
      <c r="EDV346" s="34"/>
      <c r="EDW346" s="34"/>
      <c r="EDX346" s="34"/>
      <c r="EDY346" s="34"/>
      <c r="EDZ346" s="34"/>
      <c r="EEA346" s="34"/>
      <c r="EEB346" s="34"/>
      <c r="EEC346" s="34"/>
      <c r="EED346" s="34"/>
      <c r="EEE346" s="34"/>
      <c r="EEF346" s="34"/>
      <c r="EEG346" s="34"/>
      <c r="EEH346" s="34"/>
      <c r="EEI346" s="34"/>
      <c r="EEJ346" s="34"/>
      <c r="EEK346" s="34"/>
      <c r="EEL346" s="34"/>
      <c r="EEM346" s="34"/>
      <c r="EEN346" s="34"/>
      <c r="EEO346" s="34"/>
      <c r="EEP346" s="34"/>
      <c r="EEQ346" s="34"/>
      <c r="EER346" s="34"/>
      <c r="EES346" s="34"/>
      <c r="EET346" s="34"/>
      <c r="EEU346" s="34"/>
      <c r="EEV346" s="34"/>
      <c r="EEW346" s="34"/>
      <c r="EEX346" s="34"/>
      <c r="EEY346" s="34"/>
      <c r="EEZ346" s="34"/>
      <c r="EFA346" s="34"/>
      <c r="EFB346" s="34"/>
      <c r="EFC346" s="34"/>
      <c r="EFD346" s="34"/>
      <c r="EFE346" s="34"/>
      <c r="EFF346" s="34"/>
      <c r="EFG346" s="34"/>
      <c r="EFH346" s="34"/>
      <c r="EFI346" s="34"/>
      <c r="EFJ346" s="34"/>
      <c r="EFK346" s="34"/>
      <c r="EFL346" s="34"/>
      <c r="EFM346" s="34"/>
      <c r="EFN346" s="34"/>
      <c r="EFO346" s="34"/>
      <c r="EFP346" s="34"/>
      <c r="EFQ346" s="34"/>
      <c r="EFR346" s="34"/>
      <c r="EFS346" s="34"/>
      <c r="EFT346" s="34"/>
      <c r="EFU346" s="34"/>
      <c r="EFV346" s="34"/>
      <c r="EFW346" s="34"/>
      <c r="EFX346" s="34"/>
      <c r="EFY346" s="34"/>
      <c r="EFZ346" s="34"/>
      <c r="EGA346" s="34"/>
      <c r="EGB346" s="34"/>
      <c r="EGC346" s="34"/>
      <c r="EGD346" s="34"/>
      <c r="EGE346" s="34"/>
      <c r="EGF346" s="34"/>
      <c r="EGG346" s="34"/>
      <c r="EGH346" s="34"/>
      <c r="EGI346" s="34"/>
      <c r="EGJ346" s="34"/>
      <c r="EGK346" s="34"/>
      <c r="EGL346" s="34"/>
      <c r="EGM346" s="34"/>
      <c r="EGN346" s="34"/>
      <c r="EGO346" s="34"/>
      <c r="EGP346" s="34"/>
      <c r="EGQ346" s="34"/>
      <c r="EGR346" s="34"/>
      <c r="EGS346" s="34"/>
      <c r="EGT346" s="34"/>
      <c r="EGU346" s="34"/>
      <c r="EGV346" s="34"/>
      <c r="EGW346" s="34"/>
      <c r="EGX346" s="34"/>
      <c r="EGY346" s="34"/>
      <c r="EGZ346" s="34"/>
      <c r="EHA346" s="34"/>
      <c r="EHB346" s="34"/>
      <c r="EHC346" s="34"/>
      <c r="EHD346" s="34"/>
      <c r="EHE346" s="34"/>
      <c r="EHF346" s="34"/>
      <c r="EHG346" s="34"/>
      <c r="EHH346" s="34"/>
      <c r="EHI346" s="34"/>
      <c r="EHJ346" s="34"/>
      <c r="EHK346" s="34"/>
      <c r="EHL346" s="34"/>
      <c r="EHM346" s="34"/>
      <c r="EHN346" s="34"/>
      <c r="EHO346" s="34"/>
      <c r="EHP346" s="34"/>
      <c r="EHQ346" s="34"/>
      <c r="EHR346" s="34"/>
      <c r="EHS346" s="34"/>
      <c r="EHT346" s="34"/>
      <c r="EHU346" s="34"/>
      <c r="EHV346" s="34"/>
      <c r="EHW346" s="34"/>
      <c r="EHX346" s="34"/>
      <c r="EHY346" s="34"/>
      <c r="EHZ346" s="34"/>
      <c r="EIA346" s="34"/>
      <c r="EIB346" s="34"/>
      <c r="EIC346" s="34"/>
      <c r="EID346" s="34"/>
      <c r="EIE346" s="34"/>
      <c r="EIF346" s="34"/>
      <c r="EIG346" s="34"/>
      <c r="EIH346" s="34"/>
      <c r="EII346" s="34"/>
      <c r="EIJ346" s="34"/>
      <c r="EIK346" s="34"/>
      <c r="EIL346" s="34"/>
      <c r="EIM346" s="34"/>
      <c r="EIN346" s="34"/>
      <c r="EIO346" s="34"/>
      <c r="EIP346" s="34"/>
      <c r="EIQ346" s="34"/>
      <c r="EIR346" s="34"/>
      <c r="EIS346" s="34"/>
      <c r="EIT346" s="34"/>
      <c r="EIU346" s="34"/>
      <c r="EIV346" s="34"/>
      <c r="EIW346" s="34"/>
      <c r="EIX346" s="34"/>
      <c r="EIY346" s="34"/>
      <c r="EIZ346" s="34"/>
      <c r="EJA346" s="34"/>
      <c r="EJB346" s="34"/>
      <c r="EJC346" s="34"/>
      <c r="EJD346" s="34"/>
      <c r="EJE346" s="34"/>
      <c r="EJF346" s="34"/>
      <c r="EJG346" s="34"/>
      <c r="EJH346" s="34"/>
      <c r="EJI346" s="34"/>
      <c r="EJJ346" s="34"/>
      <c r="EJK346" s="34"/>
      <c r="EJL346" s="34"/>
      <c r="EJM346" s="34"/>
      <c r="EJN346" s="34"/>
      <c r="EJO346" s="34"/>
      <c r="EJP346" s="34"/>
      <c r="EJQ346" s="34"/>
      <c r="EJR346" s="34"/>
      <c r="EJS346" s="34"/>
      <c r="EJT346" s="34"/>
      <c r="EJU346" s="34"/>
      <c r="EJV346" s="34"/>
      <c r="EJW346" s="34"/>
      <c r="EJX346" s="34"/>
      <c r="EJY346" s="34"/>
      <c r="EJZ346" s="34"/>
      <c r="EKA346" s="34"/>
      <c r="EKB346" s="34"/>
      <c r="EKC346" s="34"/>
      <c r="EKD346" s="34"/>
      <c r="EKE346" s="34"/>
      <c r="EKF346" s="34"/>
      <c r="EKG346" s="34"/>
      <c r="EKH346" s="34"/>
      <c r="EKI346" s="34"/>
      <c r="EKJ346" s="34"/>
      <c r="EKK346" s="34"/>
      <c r="EKL346" s="34"/>
      <c r="EKM346" s="34"/>
      <c r="EKN346" s="34"/>
      <c r="EKO346" s="34"/>
      <c r="EKP346" s="34"/>
      <c r="EKQ346" s="34"/>
      <c r="EKR346" s="34"/>
      <c r="EKS346" s="34"/>
      <c r="EKT346" s="34"/>
      <c r="EKU346" s="34"/>
      <c r="EKV346" s="34"/>
      <c r="EKW346" s="34"/>
      <c r="EKX346" s="34"/>
      <c r="EKY346" s="34"/>
      <c r="EKZ346" s="34"/>
      <c r="ELA346" s="34"/>
      <c r="ELB346" s="34"/>
      <c r="ELC346" s="34"/>
      <c r="ELD346" s="34"/>
      <c r="ELE346" s="34"/>
      <c r="ELF346" s="34"/>
      <c r="ELG346" s="34"/>
      <c r="ELH346" s="34"/>
      <c r="ELI346" s="34"/>
      <c r="ELJ346" s="34"/>
      <c r="ELK346" s="34"/>
      <c r="ELL346" s="34"/>
      <c r="ELM346" s="34"/>
      <c r="ELN346" s="34"/>
      <c r="ELO346" s="34"/>
      <c r="ELP346" s="34"/>
      <c r="ELQ346" s="34"/>
      <c r="ELR346" s="34"/>
      <c r="ELS346" s="34"/>
      <c r="ELT346" s="34"/>
      <c r="ELU346" s="34"/>
      <c r="ELV346" s="34"/>
      <c r="ELW346" s="34"/>
      <c r="ELX346" s="34"/>
      <c r="ELY346" s="34"/>
      <c r="ELZ346" s="34"/>
      <c r="EMA346" s="34"/>
      <c r="EMB346" s="34"/>
      <c r="EMC346" s="34"/>
      <c r="EMD346" s="34"/>
      <c r="EME346" s="34"/>
      <c r="EMF346" s="34"/>
      <c r="EMG346" s="34"/>
      <c r="EMH346" s="34"/>
      <c r="EMI346" s="34"/>
      <c r="EMJ346" s="34"/>
      <c r="EMK346" s="34"/>
      <c r="EML346" s="34"/>
      <c r="EMM346" s="34"/>
      <c r="EMN346" s="34"/>
      <c r="EMO346" s="34"/>
      <c r="EMP346" s="34"/>
      <c r="EMQ346" s="34"/>
      <c r="EMR346" s="34"/>
      <c r="EMS346" s="34"/>
      <c r="EMT346" s="34"/>
      <c r="EMU346" s="34"/>
      <c r="EMV346" s="34"/>
      <c r="EMW346" s="34"/>
      <c r="EMX346" s="34"/>
      <c r="EMY346" s="34"/>
      <c r="EMZ346" s="34"/>
      <c r="ENA346" s="34"/>
      <c r="ENB346" s="34"/>
      <c r="ENC346" s="34"/>
      <c r="END346" s="34"/>
      <c r="ENE346" s="34"/>
      <c r="ENF346" s="34"/>
      <c r="ENG346" s="34"/>
      <c r="ENH346" s="34"/>
      <c r="ENI346" s="34"/>
      <c r="ENJ346" s="34"/>
      <c r="ENK346" s="34"/>
      <c r="ENL346" s="34"/>
      <c r="ENM346" s="34"/>
      <c r="ENN346" s="34"/>
      <c r="ENO346" s="34"/>
      <c r="ENP346" s="34"/>
      <c r="ENQ346" s="34"/>
      <c r="ENR346" s="34"/>
      <c r="ENS346" s="34"/>
      <c r="ENT346" s="34"/>
      <c r="ENU346" s="34"/>
      <c r="ENV346" s="34"/>
      <c r="ENW346" s="34"/>
      <c r="ENX346" s="34"/>
      <c r="ENY346" s="34"/>
      <c r="ENZ346" s="34"/>
      <c r="EOA346" s="34"/>
      <c r="EOB346" s="34"/>
      <c r="EOC346" s="34"/>
      <c r="EOD346" s="34"/>
      <c r="EOE346" s="34"/>
      <c r="EOF346" s="34"/>
      <c r="EOG346" s="34"/>
      <c r="EOH346" s="34"/>
      <c r="EOI346" s="34"/>
      <c r="EOJ346" s="34"/>
      <c r="EOK346" s="34"/>
      <c r="EOL346" s="34"/>
      <c r="EOM346" s="34"/>
      <c r="EON346" s="34"/>
      <c r="EOO346" s="34"/>
      <c r="EOP346" s="34"/>
      <c r="EOQ346" s="34"/>
      <c r="EOR346" s="34"/>
      <c r="EOS346" s="34"/>
      <c r="EOT346" s="34"/>
      <c r="EOU346" s="34"/>
      <c r="EOV346" s="34"/>
      <c r="EOW346" s="34"/>
      <c r="EOX346" s="34"/>
      <c r="EOY346" s="34"/>
      <c r="EOZ346" s="34"/>
      <c r="EPA346" s="34"/>
      <c r="EPB346" s="34"/>
      <c r="EPC346" s="34"/>
      <c r="EPD346" s="34"/>
      <c r="EPE346" s="34"/>
      <c r="EPF346" s="34"/>
      <c r="EPG346" s="34"/>
      <c r="EPH346" s="34"/>
      <c r="EPI346" s="34"/>
      <c r="EPJ346" s="34"/>
      <c r="EPK346" s="34"/>
      <c r="EPL346" s="34"/>
      <c r="EPM346" s="34"/>
      <c r="EPN346" s="34"/>
      <c r="EPO346" s="34"/>
      <c r="EPP346" s="34"/>
      <c r="EPQ346" s="34"/>
      <c r="EPR346" s="34"/>
      <c r="EPS346" s="34"/>
      <c r="EPT346" s="34"/>
      <c r="EPU346" s="34"/>
      <c r="EPV346" s="34"/>
      <c r="EPW346" s="34"/>
      <c r="EPX346" s="34"/>
      <c r="EPY346" s="34"/>
      <c r="EPZ346" s="34"/>
      <c r="EQA346" s="34"/>
      <c r="EQB346" s="34"/>
      <c r="EQC346" s="34"/>
      <c r="EQD346" s="34"/>
      <c r="EQE346" s="34"/>
      <c r="EQF346" s="34"/>
      <c r="EQG346" s="34"/>
      <c r="EQH346" s="34"/>
      <c r="EQI346" s="34"/>
      <c r="EQJ346" s="34"/>
      <c r="EQK346" s="34"/>
      <c r="EQL346" s="34"/>
      <c r="EQM346" s="34"/>
      <c r="EQN346" s="34"/>
      <c r="EQO346" s="34"/>
      <c r="EQP346" s="34"/>
      <c r="EQQ346" s="34"/>
      <c r="EQR346" s="34"/>
      <c r="EQS346" s="34"/>
      <c r="EQT346" s="34"/>
      <c r="EQU346" s="34"/>
      <c r="EQV346" s="34"/>
      <c r="EQW346" s="34"/>
      <c r="EQX346" s="34"/>
      <c r="EQY346" s="34"/>
      <c r="EQZ346" s="34"/>
      <c r="ERA346" s="34"/>
      <c r="ERB346" s="34"/>
      <c r="ERC346" s="34"/>
      <c r="ERD346" s="34"/>
      <c r="ERE346" s="34"/>
      <c r="ERF346" s="34"/>
      <c r="ERG346" s="34"/>
      <c r="ERH346" s="34"/>
      <c r="ERI346" s="34"/>
      <c r="ERJ346" s="34"/>
      <c r="ERK346" s="34"/>
      <c r="ERL346" s="34"/>
      <c r="ERM346" s="34"/>
      <c r="ERN346" s="34"/>
      <c r="ERO346" s="34"/>
      <c r="ERP346" s="34"/>
      <c r="ERQ346" s="34"/>
      <c r="ERR346" s="34"/>
      <c r="ERS346" s="34"/>
      <c r="ERT346" s="34"/>
      <c r="ERU346" s="34"/>
      <c r="ERV346" s="34"/>
      <c r="ERW346" s="34"/>
      <c r="ERX346" s="34"/>
      <c r="ERY346" s="34"/>
      <c r="ERZ346" s="34"/>
      <c r="ESA346" s="34"/>
      <c r="ESB346" s="34"/>
      <c r="ESC346" s="34"/>
      <c r="ESD346" s="34"/>
      <c r="ESE346" s="34"/>
      <c r="ESF346" s="34"/>
      <c r="ESG346" s="34"/>
      <c r="ESH346" s="34"/>
      <c r="ESI346" s="34"/>
      <c r="ESJ346" s="34"/>
      <c r="ESK346" s="34"/>
      <c r="ESL346" s="34"/>
      <c r="ESM346" s="34"/>
      <c r="ESN346" s="34"/>
      <c r="ESO346" s="34"/>
      <c r="ESP346" s="34"/>
      <c r="ESQ346" s="34"/>
      <c r="ESR346" s="34"/>
      <c r="ESS346" s="34"/>
      <c r="EST346" s="34"/>
      <c r="ESU346" s="34"/>
      <c r="ESV346" s="34"/>
      <c r="ESW346" s="34"/>
      <c r="ESX346" s="34"/>
      <c r="ESY346" s="34"/>
      <c r="ESZ346" s="34"/>
      <c r="ETA346" s="34"/>
      <c r="ETB346" s="34"/>
      <c r="ETC346" s="34"/>
      <c r="ETD346" s="34"/>
      <c r="ETE346" s="34"/>
      <c r="ETF346" s="34"/>
      <c r="ETG346" s="34"/>
      <c r="ETH346" s="34"/>
      <c r="ETI346" s="34"/>
      <c r="ETJ346" s="34"/>
      <c r="ETK346" s="34"/>
      <c r="ETL346" s="34"/>
      <c r="ETM346" s="34"/>
      <c r="ETN346" s="34"/>
      <c r="ETO346" s="34"/>
      <c r="ETP346" s="34"/>
      <c r="ETQ346" s="34"/>
      <c r="ETR346" s="34"/>
      <c r="ETS346" s="34"/>
      <c r="ETT346" s="34"/>
      <c r="ETU346" s="34"/>
      <c r="ETV346" s="34"/>
      <c r="ETW346" s="34"/>
      <c r="ETX346" s="34"/>
      <c r="ETY346" s="34"/>
      <c r="ETZ346" s="34"/>
      <c r="EUA346" s="34"/>
      <c r="EUB346" s="34"/>
      <c r="EUC346" s="34"/>
      <c r="EUD346" s="34"/>
      <c r="EUE346" s="34"/>
      <c r="EUF346" s="34"/>
      <c r="EUG346" s="34"/>
      <c r="EUH346" s="34"/>
      <c r="EUI346" s="34"/>
      <c r="EUJ346" s="34"/>
      <c r="EUK346" s="34"/>
      <c r="EUL346" s="34"/>
      <c r="EUM346" s="34"/>
      <c r="EUN346" s="34"/>
      <c r="EUO346" s="34"/>
      <c r="EUP346" s="34"/>
      <c r="EUQ346" s="34"/>
      <c r="EUR346" s="34"/>
      <c r="EUS346" s="34"/>
      <c r="EUT346" s="34"/>
      <c r="EUU346" s="34"/>
      <c r="EUV346" s="34"/>
      <c r="EUW346" s="34"/>
      <c r="EUX346" s="34"/>
      <c r="EUY346" s="34"/>
      <c r="EUZ346" s="34"/>
      <c r="EVA346" s="34"/>
      <c r="EVB346" s="34"/>
      <c r="EVC346" s="34"/>
      <c r="EVD346" s="34"/>
      <c r="EVE346" s="34"/>
      <c r="EVF346" s="34"/>
      <c r="EVG346" s="34"/>
      <c r="EVH346" s="34"/>
      <c r="EVI346" s="34"/>
      <c r="EVJ346" s="34"/>
      <c r="EVK346" s="34"/>
      <c r="EVL346" s="34"/>
      <c r="EVM346" s="34"/>
      <c r="EVN346" s="34"/>
      <c r="EVO346" s="34"/>
      <c r="EVP346" s="34"/>
      <c r="EVQ346" s="34"/>
      <c r="EVR346" s="34"/>
      <c r="EVS346" s="34"/>
      <c r="EVT346" s="34"/>
      <c r="EVU346" s="34"/>
      <c r="EVV346" s="34"/>
      <c r="EVW346" s="34"/>
      <c r="EVX346" s="34"/>
      <c r="EVY346" s="34"/>
      <c r="EVZ346" s="34"/>
      <c r="EWA346" s="34"/>
      <c r="EWB346" s="34"/>
      <c r="EWC346" s="34"/>
      <c r="EWD346" s="34"/>
      <c r="EWE346" s="34"/>
      <c r="EWF346" s="34"/>
      <c r="EWG346" s="34"/>
      <c r="EWH346" s="34"/>
      <c r="EWI346" s="34"/>
      <c r="EWJ346" s="34"/>
      <c r="EWK346" s="34"/>
      <c r="EWL346" s="34"/>
      <c r="EWM346" s="34"/>
      <c r="EWN346" s="34"/>
      <c r="EWO346" s="34"/>
      <c r="EWP346" s="34"/>
      <c r="EWQ346" s="34"/>
      <c r="EWR346" s="34"/>
      <c r="EWS346" s="34"/>
      <c r="EWT346" s="34"/>
      <c r="EWU346" s="34"/>
      <c r="EWV346" s="34"/>
      <c r="EWW346" s="34"/>
      <c r="EWX346" s="34"/>
      <c r="EWY346" s="34"/>
      <c r="EWZ346" s="34"/>
      <c r="EXA346" s="34"/>
      <c r="EXB346" s="34"/>
      <c r="EXC346" s="34"/>
      <c r="EXD346" s="34"/>
      <c r="EXE346" s="34"/>
      <c r="EXF346" s="34"/>
      <c r="EXG346" s="34"/>
      <c r="EXH346" s="34"/>
      <c r="EXI346" s="34"/>
      <c r="EXJ346" s="34"/>
      <c r="EXK346" s="34"/>
      <c r="EXL346" s="34"/>
      <c r="EXM346" s="34"/>
      <c r="EXN346" s="34"/>
      <c r="EXO346" s="34"/>
      <c r="EXP346" s="34"/>
      <c r="EXQ346" s="34"/>
      <c r="EXR346" s="34"/>
      <c r="EXS346" s="34"/>
      <c r="EXT346" s="34"/>
      <c r="EXU346" s="34"/>
      <c r="EXV346" s="34"/>
      <c r="EXW346" s="34"/>
      <c r="EXX346" s="34"/>
      <c r="EXY346" s="34"/>
      <c r="EXZ346" s="34"/>
      <c r="EYA346" s="34"/>
      <c r="EYB346" s="34"/>
      <c r="EYC346" s="34"/>
      <c r="EYD346" s="34"/>
      <c r="EYE346" s="34"/>
      <c r="EYF346" s="34"/>
      <c r="EYG346" s="34"/>
      <c r="EYH346" s="34"/>
      <c r="EYI346" s="34"/>
      <c r="EYJ346" s="34"/>
      <c r="EYK346" s="34"/>
      <c r="EYL346" s="34"/>
      <c r="EYM346" s="34"/>
      <c r="EYN346" s="34"/>
      <c r="EYO346" s="34"/>
      <c r="EYP346" s="34"/>
      <c r="EYQ346" s="34"/>
      <c r="EYR346" s="34"/>
      <c r="EYS346" s="34"/>
      <c r="EYT346" s="34"/>
      <c r="EYU346" s="34"/>
      <c r="EYV346" s="34"/>
      <c r="EYW346" s="34"/>
      <c r="EYX346" s="34"/>
      <c r="EYY346" s="34"/>
      <c r="EYZ346" s="34"/>
      <c r="EZA346" s="34"/>
      <c r="EZB346" s="34"/>
      <c r="EZC346" s="34"/>
      <c r="EZD346" s="34"/>
      <c r="EZE346" s="34"/>
      <c r="EZF346" s="34"/>
      <c r="EZG346" s="34"/>
      <c r="EZH346" s="34"/>
      <c r="EZI346" s="34"/>
      <c r="EZJ346" s="34"/>
      <c r="EZK346" s="34"/>
      <c r="EZL346" s="34"/>
      <c r="EZM346" s="34"/>
      <c r="EZN346" s="34"/>
      <c r="EZO346" s="34"/>
      <c r="EZP346" s="34"/>
      <c r="EZQ346" s="34"/>
      <c r="EZR346" s="34"/>
      <c r="EZS346" s="34"/>
      <c r="EZT346" s="34"/>
      <c r="EZU346" s="34"/>
      <c r="EZV346" s="34"/>
      <c r="EZW346" s="34"/>
      <c r="EZX346" s="34"/>
      <c r="EZY346" s="34"/>
      <c r="EZZ346" s="34"/>
      <c r="FAA346" s="34"/>
      <c r="FAB346" s="34"/>
      <c r="FAC346" s="34"/>
      <c r="FAD346" s="34"/>
      <c r="FAE346" s="34"/>
      <c r="FAF346" s="34"/>
      <c r="FAG346" s="34"/>
      <c r="FAH346" s="34"/>
      <c r="FAI346" s="34"/>
      <c r="FAJ346" s="34"/>
      <c r="FAK346" s="34"/>
      <c r="FAL346" s="34"/>
      <c r="FAM346" s="34"/>
      <c r="FAN346" s="34"/>
      <c r="FAO346" s="34"/>
      <c r="FAP346" s="34"/>
      <c r="FAQ346" s="34"/>
      <c r="FAR346" s="34"/>
      <c r="FAS346" s="34"/>
      <c r="FAT346" s="34"/>
      <c r="FAU346" s="34"/>
      <c r="FAV346" s="34"/>
      <c r="FAW346" s="34"/>
      <c r="FAX346" s="34"/>
      <c r="FAY346" s="34"/>
      <c r="FAZ346" s="34"/>
      <c r="FBA346" s="34"/>
      <c r="FBB346" s="34"/>
      <c r="FBC346" s="34"/>
      <c r="FBD346" s="34"/>
      <c r="FBE346" s="34"/>
      <c r="FBF346" s="34"/>
      <c r="FBG346" s="34"/>
      <c r="FBH346" s="34"/>
      <c r="FBI346" s="34"/>
      <c r="FBJ346" s="34"/>
      <c r="FBK346" s="34"/>
      <c r="FBL346" s="34"/>
      <c r="FBM346" s="34"/>
      <c r="FBN346" s="34"/>
      <c r="FBO346" s="34"/>
      <c r="FBP346" s="34"/>
      <c r="FBQ346" s="34"/>
      <c r="FBR346" s="34"/>
      <c r="FBS346" s="34"/>
      <c r="FBT346" s="34"/>
      <c r="FBU346" s="34"/>
      <c r="FBV346" s="34"/>
      <c r="FBW346" s="34"/>
      <c r="FBX346" s="34"/>
      <c r="FBY346" s="34"/>
      <c r="FBZ346" s="34"/>
      <c r="FCA346" s="34"/>
      <c r="FCB346" s="34"/>
      <c r="FCC346" s="34"/>
      <c r="FCD346" s="34"/>
      <c r="FCE346" s="34"/>
      <c r="FCF346" s="34"/>
      <c r="FCG346" s="34"/>
      <c r="FCH346" s="34"/>
      <c r="FCI346" s="34"/>
      <c r="FCJ346" s="34"/>
      <c r="FCK346" s="34"/>
      <c r="FCL346" s="34"/>
      <c r="FCM346" s="34"/>
      <c r="FCN346" s="34"/>
      <c r="FCO346" s="34"/>
      <c r="FCP346" s="34"/>
      <c r="FCQ346" s="34"/>
      <c r="FCR346" s="34"/>
      <c r="FCS346" s="34"/>
      <c r="FCT346" s="34"/>
      <c r="FCU346" s="34"/>
      <c r="FCV346" s="34"/>
      <c r="FCW346" s="34"/>
      <c r="FCX346" s="34"/>
      <c r="FCY346" s="34"/>
      <c r="FCZ346" s="34"/>
      <c r="FDA346" s="34"/>
      <c r="FDB346" s="34"/>
      <c r="FDC346" s="34"/>
      <c r="FDD346" s="34"/>
      <c r="FDE346" s="34"/>
      <c r="FDF346" s="34"/>
      <c r="FDG346" s="34"/>
      <c r="FDH346" s="34"/>
      <c r="FDI346" s="34"/>
      <c r="FDJ346" s="34"/>
      <c r="FDK346" s="34"/>
      <c r="FDL346" s="34"/>
      <c r="FDM346" s="34"/>
      <c r="FDN346" s="34"/>
      <c r="FDO346" s="34"/>
      <c r="FDP346" s="34"/>
      <c r="FDQ346" s="34"/>
      <c r="FDR346" s="34"/>
      <c r="FDS346" s="34"/>
      <c r="FDT346" s="34"/>
      <c r="FDU346" s="34"/>
      <c r="FDV346" s="34"/>
      <c r="FDW346" s="34"/>
      <c r="FDX346" s="34"/>
      <c r="FDY346" s="34"/>
      <c r="FDZ346" s="34"/>
      <c r="FEA346" s="34"/>
      <c r="FEB346" s="34"/>
      <c r="FEC346" s="34"/>
      <c r="FED346" s="34"/>
      <c r="FEE346" s="34"/>
      <c r="FEF346" s="34"/>
      <c r="FEG346" s="34"/>
      <c r="FEH346" s="34"/>
      <c r="FEI346" s="34"/>
      <c r="FEJ346" s="34"/>
      <c r="FEK346" s="34"/>
      <c r="FEL346" s="34"/>
      <c r="FEM346" s="34"/>
      <c r="FEN346" s="34"/>
      <c r="FEO346" s="34"/>
      <c r="FEP346" s="34"/>
      <c r="FEQ346" s="34"/>
      <c r="FER346" s="34"/>
      <c r="FES346" s="34"/>
      <c r="FET346" s="34"/>
      <c r="FEU346" s="34"/>
      <c r="FEV346" s="34"/>
      <c r="FEW346" s="34"/>
      <c r="FEX346" s="34"/>
      <c r="FEY346" s="34"/>
      <c r="FEZ346" s="34"/>
      <c r="FFA346" s="34"/>
      <c r="FFB346" s="34"/>
      <c r="FFC346" s="34"/>
      <c r="FFD346" s="34"/>
      <c r="FFE346" s="34"/>
      <c r="FFF346" s="34"/>
      <c r="FFG346" s="34"/>
      <c r="FFH346" s="34"/>
      <c r="FFI346" s="34"/>
      <c r="FFJ346" s="34"/>
      <c r="FFK346" s="34"/>
      <c r="FFL346" s="34"/>
      <c r="FFM346" s="34"/>
      <c r="FFN346" s="34"/>
      <c r="FFO346" s="34"/>
      <c r="FFP346" s="34"/>
      <c r="FFQ346" s="34"/>
      <c r="FFR346" s="34"/>
      <c r="FFS346" s="34"/>
      <c r="FFT346" s="34"/>
      <c r="FFU346" s="34"/>
      <c r="FFV346" s="34"/>
      <c r="FFW346" s="34"/>
      <c r="FFX346" s="34"/>
      <c r="FFY346" s="34"/>
      <c r="FFZ346" s="34"/>
      <c r="FGA346" s="34"/>
      <c r="FGB346" s="34"/>
      <c r="FGC346" s="34"/>
      <c r="FGD346" s="34"/>
      <c r="FGE346" s="34"/>
      <c r="FGF346" s="34"/>
      <c r="FGG346" s="34"/>
      <c r="FGH346" s="34"/>
      <c r="FGI346" s="34"/>
      <c r="FGJ346" s="34"/>
      <c r="FGK346" s="34"/>
      <c r="FGL346" s="34"/>
      <c r="FGM346" s="34"/>
      <c r="FGN346" s="34"/>
      <c r="FGO346" s="34"/>
      <c r="FGP346" s="34"/>
      <c r="FGQ346" s="34"/>
      <c r="FGR346" s="34"/>
      <c r="FGS346" s="34"/>
      <c r="FGT346" s="34"/>
      <c r="FGU346" s="34"/>
      <c r="FGV346" s="34"/>
      <c r="FGW346" s="34"/>
      <c r="FGX346" s="34"/>
      <c r="FGY346" s="34"/>
      <c r="FGZ346" s="34"/>
      <c r="FHA346" s="34"/>
      <c r="FHB346" s="34"/>
      <c r="FHC346" s="34"/>
      <c r="FHD346" s="34"/>
      <c r="FHE346" s="34"/>
      <c r="FHF346" s="34"/>
      <c r="FHG346" s="34"/>
      <c r="FHH346" s="34"/>
      <c r="FHI346" s="34"/>
      <c r="FHJ346" s="34"/>
      <c r="FHK346" s="34"/>
      <c r="FHL346" s="34"/>
      <c r="FHM346" s="34"/>
      <c r="FHN346" s="34"/>
      <c r="FHO346" s="34"/>
      <c r="FHP346" s="34"/>
      <c r="FHQ346" s="34"/>
      <c r="FHR346" s="34"/>
      <c r="FHS346" s="34"/>
      <c r="FHT346" s="34"/>
      <c r="FHU346" s="34"/>
      <c r="FHV346" s="34"/>
      <c r="FHW346" s="34"/>
      <c r="FHX346" s="34"/>
      <c r="FHY346" s="34"/>
      <c r="FHZ346" s="34"/>
      <c r="FIA346" s="34"/>
      <c r="FIB346" s="34"/>
      <c r="FIC346" s="34"/>
      <c r="FID346" s="34"/>
      <c r="FIE346" s="34"/>
      <c r="FIF346" s="34"/>
      <c r="FIG346" s="34"/>
      <c r="FIH346" s="34"/>
      <c r="FII346" s="34"/>
      <c r="FIJ346" s="34"/>
      <c r="FIK346" s="34"/>
      <c r="FIL346" s="34"/>
      <c r="FIM346" s="34"/>
      <c r="FIN346" s="34"/>
      <c r="FIO346" s="34"/>
      <c r="FIP346" s="34"/>
      <c r="FIQ346" s="34"/>
      <c r="FIR346" s="34"/>
      <c r="FIS346" s="34"/>
      <c r="FIT346" s="34"/>
      <c r="FIU346" s="34"/>
      <c r="FIV346" s="34"/>
      <c r="FIW346" s="34"/>
      <c r="FIX346" s="34"/>
      <c r="FIY346" s="34"/>
      <c r="FIZ346" s="34"/>
      <c r="FJA346" s="34"/>
      <c r="FJB346" s="34"/>
      <c r="FJC346" s="34"/>
      <c r="FJD346" s="34"/>
      <c r="FJE346" s="34"/>
      <c r="FJF346" s="34"/>
      <c r="FJG346" s="34"/>
      <c r="FJH346" s="34"/>
      <c r="FJI346" s="34"/>
      <c r="FJJ346" s="34"/>
      <c r="FJK346" s="34"/>
      <c r="FJL346" s="34"/>
      <c r="FJM346" s="34"/>
      <c r="FJN346" s="34"/>
      <c r="FJO346" s="34"/>
      <c r="FJP346" s="34"/>
      <c r="FJQ346" s="34"/>
      <c r="FJR346" s="34"/>
      <c r="FJS346" s="34"/>
      <c r="FJT346" s="34"/>
      <c r="FJU346" s="34"/>
      <c r="FJV346" s="34"/>
      <c r="FJW346" s="34"/>
      <c r="FJX346" s="34"/>
      <c r="FJY346" s="34"/>
      <c r="FJZ346" s="34"/>
      <c r="FKA346" s="34"/>
      <c r="FKB346" s="34"/>
      <c r="FKC346" s="34"/>
      <c r="FKD346" s="34"/>
      <c r="FKE346" s="34"/>
      <c r="FKF346" s="34"/>
      <c r="FKG346" s="34"/>
      <c r="FKH346" s="34"/>
      <c r="FKI346" s="34"/>
      <c r="FKJ346" s="34"/>
      <c r="FKK346" s="34"/>
      <c r="FKL346" s="34"/>
      <c r="FKM346" s="34"/>
      <c r="FKN346" s="34"/>
      <c r="FKO346" s="34"/>
      <c r="FKP346" s="34"/>
      <c r="FKQ346" s="34"/>
      <c r="FKR346" s="34"/>
      <c r="FKS346" s="34"/>
      <c r="FKT346" s="34"/>
      <c r="FKU346" s="34"/>
      <c r="FKV346" s="34"/>
      <c r="FKW346" s="34"/>
      <c r="FKX346" s="34"/>
      <c r="FKY346" s="34"/>
      <c r="FKZ346" s="34"/>
      <c r="FLA346" s="34"/>
      <c r="FLB346" s="34"/>
      <c r="FLC346" s="34"/>
      <c r="FLD346" s="34"/>
      <c r="FLE346" s="34"/>
      <c r="FLF346" s="34"/>
      <c r="FLG346" s="34"/>
      <c r="FLH346" s="34"/>
      <c r="FLI346" s="34"/>
      <c r="FLJ346" s="34"/>
      <c r="FLK346" s="34"/>
      <c r="FLL346" s="34"/>
      <c r="FLM346" s="34"/>
      <c r="FLN346" s="34"/>
      <c r="FLO346" s="34"/>
      <c r="FLP346" s="34"/>
      <c r="FLQ346" s="34"/>
      <c r="FLR346" s="34"/>
      <c r="FLS346" s="34"/>
      <c r="FLT346" s="34"/>
      <c r="FLU346" s="34"/>
      <c r="FLV346" s="34"/>
      <c r="FLW346" s="34"/>
      <c r="FLX346" s="34"/>
      <c r="FLY346" s="34"/>
      <c r="FLZ346" s="34"/>
      <c r="FMA346" s="34"/>
      <c r="FMB346" s="34"/>
      <c r="FMC346" s="34"/>
      <c r="FMD346" s="34"/>
      <c r="FME346" s="34"/>
      <c r="FMF346" s="34"/>
      <c r="FMG346" s="34"/>
      <c r="FMH346" s="34"/>
      <c r="FMI346" s="34"/>
      <c r="FMJ346" s="34"/>
      <c r="FMK346" s="34"/>
      <c r="FML346" s="34"/>
      <c r="FMM346" s="34"/>
      <c r="FMN346" s="34"/>
      <c r="FMO346" s="34"/>
      <c r="FMP346" s="34"/>
      <c r="FMQ346" s="34"/>
      <c r="FMR346" s="34"/>
      <c r="FMS346" s="34"/>
      <c r="FMT346" s="34"/>
      <c r="FMU346" s="34"/>
      <c r="FMV346" s="34"/>
      <c r="FMW346" s="34"/>
      <c r="FMX346" s="34"/>
      <c r="FMY346" s="34"/>
      <c r="FMZ346" s="34"/>
      <c r="FNA346" s="34"/>
      <c r="FNB346" s="34"/>
      <c r="FNC346" s="34"/>
      <c r="FND346" s="34"/>
      <c r="FNE346" s="34"/>
      <c r="FNF346" s="34"/>
      <c r="FNG346" s="34"/>
      <c r="FNH346" s="34"/>
      <c r="FNI346" s="34"/>
      <c r="FNJ346" s="34"/>
      <c r="FNK346" s="34"/>
      <c r="FNL346" s="34"/>
      <c r="FNM346" s="34"/>
      <c r="FNN346" s="34"/>
      <c r="FNO346" s="34"/>
      <c r="FNP346" s="34"/>
      <c r="FNQ346" s="34"/>
      <c r="FNR346" s="34"/>
      <c r="FNS346" s="34"/>
      <c r="FNT346" s="34"/>
      <c r="FNU346" s="34"/>
      <c r="FNV346" s="34"/>
      <c r="FNW346" s="34"/>
      <c r="FNX346" s="34"/>
      <c r="FNY346" s="34"/>
      <c r="FNZ346" s="34"/>
      <c r="FOA346" s="34"/>
      <c r="FOB346" s="34"/>
      <c r="FOC346" s="34"/>
      <c r="FOD346" s="34"/>
      <c r="FOE346" s="34"/>
      <c r="FOF346" s="34"/>
      <c r="FOG346" s="34"/>
      <c r="FOH346" s="34"/>
      <c r="FOI346" s="34"/>
      <c r="FOJ346" s="34"/>
      <c r="FOK346" s="34"/>
      <c r="FOL346" s="34"/>
      <c r="FOM346" s="34"/>
      <c r="FON346" s="34"/>
      <c r="FOO346" s="34"/>
      <c r="FOP346" s="34"/>
      <c r="FOQ346" s="34"/>
      <c r="FOR346" s="34"/>
      <c r="FOS346" s="34"/>
      <c r="FOT346" s="34"/>
      <c r="FOU346" s="34"/>
      <c r="FOV346" s="34"/>
      <c r="FOW346" s="34"/>
      <c r="FOX346" s="34"/>
      <c r="FOY346" s="34"/>
      <c r="FOZ346" s="34"/>
      <c r="FPA346" s="34"/>
      <c r="FPB346" s="34"/>
      <c r="FPC346" s="34"/>
      <c r="FPD346" s="34"/>
      <c r="FPE346" s="34"/>
      <c r="FPF346" s="34"/>
      <c r="FPG346" s="34"/>
      <c r="FPH346" s="34"/>
      <c r="FPI346" s="34"/>
      <c r="FPJ346" s="34"/>
      <c r="FPK346" s="34"/>
      <c r="FPL346" s="34"/>
      <c r="FPM346" s="34"/>
      <c r="FPN346" s="34"/>
      <c r="FPO346" s="34"/>
      <c r="FPP346" s="34"/>
      <c r="FPQ346" s="34"/>
      <c r="FPR346" s="34"/>
      <c r="FPS346" s="34"/>
      <c r="FPT346" s="34"/>
      <c r="FPU346" s="34"/>
      <c r="FPV346" s="34"/>
      <c r="FPW346" s="34"/>
      <c r="FPX346" s="34"/>
      <c r="FPY346" s="34"/>
      <c r="FPZ346" s="34"/>
      <c r="FQA346" s="34"/>
      <c r="FQB346" s="34"/>
      <c r="FQC346" s="34"/>
      <c r="FQD346" s="34"/>
      <c r="FQE346" s="34"/>
      <c r="FQF346" s="34"/>
      <c r="FQG346" s="34"/>
      <c r="FQH346" s="34"/>
      <c r="FQI346" s="34"/>
      <c r="FQJ346" s="34"/>
      <c r="FQK346" s="34"/>
      <c r="FQL346" s="34"/>
      <c r="FQM346" s="34"/>
      <c r="FQN346" s="34"/>
      <c r="FQO346" s="34"/>
      <c r="FQP346" s="34"/>
      <c r="FQQ346" s="34"/>
      <c r="FQR346" s="34"/>
      <c r="FQS346" s="34"/>
      <c r="FQT346" s="34"/>
      <c r="FQU346" s="34"/>
      <c r="FQV346" s="34"/>
      <c r="FQW346" s="34"/>
      <c r="FQX346" s="34"/>
      <c r="FQY346" s="34"/>
      <c r="FQZ346" s="34"/>
      <c r="FRA346" s="34"/>
      <c r="FRB346" s="34"/>
      <c r="FRC346" s="34"/>
      <c r="FRD346" s="34"/>
      <c r="FRE346" s="34"/>
      <c r="FRF346" s="34"/>
      <c r="FRG346" s="34"/>
      <c r="FRH346" s="34"/>
      <c r="FRI346" s="34"/>
      <c r="FRJ346" s="34"/>
      <c r="FRK346" s="34"/>
      <c r="FRL346" s="34"/>
      <c r="FRM346" s="34"/>
      <c r="FRN346" s="34"/>
      <c r="FRO346" s="34"/>
      <c r="FRP346" s="34"/>
      <c r="FRQ346" s="34"/>
      <c r="FRR346" s="34"/>
      <c r="FRS346" s="34"/>
      <c r="FRT346" s="34"/>
      <c r="FRU346" s="34"/>
      <c r="FRV346" s="34"/>
      <c r="FRW346" s="34"/>
      <c r="FRX346" s="34"/>
      <c r="FRY346" s="34"/>
      <c r="FRZ346" s="34"/>
      <c r="FSA346" s="34"/>
      <c r="FSB346" s="34"/>
      <c r="FSC346" s="34"/>
      <c r="FSD346" s="34"/>
      <c r="FSE346" s="34"/>
      <c r="FSF346" s="34"/>
      <c r="FSG346" s="34"/>
      <c r="FSH346" s="34"/>
      <c r="FSI346" s="34"/>
      <c r="FSJ346" s="34"/>
      <c r="FSK346" s="34"/>
      <c r="FSL346" s="34"/>
      <c r="FSM346" s="34"/>
      <c r="FSN346" s="34"/>
      <c r="FSO346" s="34"/>
      <c r="FSP346" s="34"/>
      <c r="FSQ346" s="34"/>
      <c r="FSR346" s="34"/>
      <c r="FSS346" s="34"/>
      <c r="FST346" s="34"/>
      <c r="FSU346" s="34"/>
      <c r="FSV346" s="34"/>
      <c r="FSW346" s="34"/>
      <c r="FSX346" s="34"/>
      <c r="FSY346" s="34"/>
      <c r="FSZ346" s="34"/>
      <c r="FTA346" s="34"/>
      <c r="FTB346" s="34"/>
      <c r="FTC346" s="34"/>
      <c r="FTD346" s="34"/>
      <c r="FTE346" s="34"/>
      <c r="FTF346" s="34"/>
      <c r="FTG346" s="34"/>
      <c r="FTH346" s="34"/>
      <c r="FTI346" s="34"/>
      <c r="FTJ346" s="34"/>
      <c r="FTK346" s="34"/>
      <c r="FTL346" s="34"/>
      <c r="FTM346" s="34"/>
      <c r="FTN346" s="34"/>
      <c r="FTO346" s="34"/>
      <c r="FTP346" s="34"/>
      <c r="FTQ346" s="34"/>
      <c r="FTR346" s="34"/>
      <c r="FTS346" s="34"/>
      <c r="FTT346" s="34"/>
      <c r="FTU346" s="34"/>
      <c r="FTV346" s="34"/>
      <c r="FTW346" s="34"/>
      <c r="FTX346" s="34"/>
      <c r="FTY346" s="34"/>
      <c r="FTZ346" s="34"/>
      <c r="FUA346" s="34"/>
      <c r="FUB346" s="34"/>
      <c r="FUC346" s="34"/>
      <c r="FUD346" s="34"/>
      <c r="FUE346" s="34"/>
      <c r="FUF346" s="34"/>
      <c r="FUG346" s="34"/>
      <c r="FUH346" s="34"/>
      <c r="FUI346" s="34"/>
      <c r="FUJ346" s="34"/>
      <c r="FUK346" s="34"/>
      <c r="FUL346" s="34"/>
      <c r="FUM346" s="34"/>
      <c r="FUN346" s="34"/>
      <c r="FUO346" s="34"/>
      <c r="FUP346" s="34"/>
      <c r="FUQ346" s="34"/>
      <c r="FUR346" s="34"/>
      <c r="FUS346" s="34"/>
      <c r="FUT346" s="34"/>
      <c r="FUU346" s="34"/>
      <c r="FUV346" s="34"/>
      <c r="FUW346" s="34"/>
      <c r="FUX346" s="34"/>
      <c r="FUY346" s="34"/>
      <c r="FUZ346" s="34"/>
      <c r="FVA346" s="34"/>
      <c r="FVB346" s="34"/>
      <c r="FVC346" s="34"/>
      <c r="FVD346" s="34"/>
      <c r="FVE346" s="34"/>
      <c r="FVF346" s="34"/>
      <c r="FVG346" s="34"/>
      <c r="FVH346" s="34"/>
      <c r="FVI346" s="34"/>
      <c r="FVJ346" s="34"/>
      <c r="FVK346" s="34"/>
      <c r="FVL346" s="34"/>
      <c r="FVM346" s="34"/>
      <c r="FVN346" s="34"/>
      <c r="FVO346" s="34"/>
      <c r="FVP346" s="34"/>
      <c r="FVQ346" s="34"/>
      <c r="FVR346" s="34"/>
      <c r="FVS346" s="34"/>
      <c r="FVT346" s="34"/>
      <c r="FVU346" s="34"/>
      <c r="FVV346" s="34"/>
      <c r="FVW346" s="34"/>
      <c r="FVX346" s="34"/>
      <c r="FVY346" s="34"/>
      <c r="FVZ346" s="34"/>
      <c r="FWA346" s="34"/>
      <c r="FWB346" s="34"/>
      <c r="FWC346" s="34"/>
      <c r="FWD346" s="34"/>
      <c r="FWE346" s="34"/>
      <c r="FWF346" s="34"/>
      <c r="FWG346" s="34"/>
      <c r="FWH346" s="34"/>
      <c r="FWI346" s="34"/>
      <c r="FWJ346" s="34"/>
      <c r="FWK346" s="34"/>
      <c r="FWL346" s="34"/>
      <c r="FWM346" s="34"/>
      <c r="FWN346" s="34"/>
      <c r="FWO346" s="34"/>
      <c r="FWP346" s="34"/>
      <c r="FWQ346" s="34"/>
      <c r="FWR346" s="34"/>
      <c r="FWS346" s="34"/>
      <c r="FWT346" s="34"/>
      <c r="FWU346" s="34"/>
      <c r="FWV346" s="34"/>
      <c r="FWW346" s="34"/>
      <c r="FWX346" s="34"/>
      <c r="FWY346" s="34"/>
      <c r="FWZ346" s="34"/>
      <c r="FXA346" s="34"/>
      <c r="FXB346" s="34"/>
      <c r="FXC346" s="34"/>
      <c r="FXD346" s="34"/>
      <c r="FXE346" s="34"/>
      <c r="FXF346" s="34"/>
      <c r="FXG346" s="34"/>
      <c r="FXH346" s="34"/>
      <c r="FXI346" s="34"/>
      <c r="FXJ346" s="34"/>
      <c r="FXK346" s="34"/>
      <c r="FXL346" s="34"/>
      <c r="FXM346" s="34"/>
      <c r="FXN346" s="34"/>
      <c r="FXO346" s="34"/>
      <c r="FXP346" s="34"/>
      <c r="FXQ346" s="34"/>
      <c r="FXR346" s="34"/>
      <c r="FXS346" s="34"/>
      <c r="FXT346" s="34"/>
      <c r="FXU346" s="34"/>
      <c r="FXV346" s="34"/>
      <c r="FXW346" s="34"/>
      <c r="FXX346" s="34"/>
      <c r="FXY346" s="34"/>
      <c r="FXZ346" s="34"/>
      <c r="FYA346" s="34"/>
      <c r="FYB346" s="34"/>
      <c r="FYC346" s="34"/>
      <c r="FYD346" s="34"/>
      <c r="FYE346" s="34"/>
      <c r="FYF346" s="34"/>
      <c r="FYG346" s="34"/>
      <c r="FYH346" s="34"/>
      <c r="FYI346" s="34"/>
      <c r="FYJ346" s="34"/>
      <c r="FYK346" s="34"/>
      <c r="FYL346" s="34"/>
      <c r="FYM346" s="34"/>
      <c r="FYN346" s="34"/>
      <c r="FYO346" s="34"/>
      <c r="FYP346" s="34"/>
      <c r="FYQ346" s="34"/>
      <c r="FYR346" s="34"/>
      <c r="FYS346" s="34"/>
      <c r="FYT346" s="34"/>
      <c r="FYU346" s="34"/>
      <c r="FYV346" s="34"/>
      <c r="FYW346" s="34"/>
      <c r="FYX346" s="34"/>
      <c r="FYY346" s="34"/>
      <c r="FYZ346" s="34"/>
      <c r="FZA346" s="34"/>
      <c r="FZB346" s="34"/>
      <c r="FZC346" s="34"/>
      <c r="FZD346" s="34"/>
      <c r="FZE346" s="34"/>
      <c r="FZF346" s="34"/>
      <c r="FZG346" s="34"/>
      <c r="FZH346" s="34"/>
      <c r="FZI346" s="34"/>
      <c r="FZJ346" s="34"/>
      <c r="FZK346" s="34"/>
      <c r="FZL346" s="34"/>
      <c r="FZM346" s="34"/>
      <c r="FZN346" s="34"/>
      <c r="FZO346" s="34"/>
      <c r="FZP346" s="34"/>
      <c r="FZQ346" s="34"/>
      <c r="FZR346" s="34"/>
      <c r="FZS346" s="34"/>
      <c r="FZT346" s="34"/>
      <c r="FZU346" s="34"/>
      <c r="FZV346" s="34"/>
      <c r="FZW346" s="34"/>
      <c r="FZX346" s="34"/>
      <c r="FZY346" s="34"/>
      <c r="FZZ346" s="34"/>
      <c r="GAA346" s="34"/>
      <c r="GAB346" s="34"/>
      <c r="GAC346" s="34"/>
      <c r="GAD346" s="34"/>
      <c r="GAE346" s="34"/>
      <c r="GAF346" s="34"/>
      <c r="GAG346" s="34"/>
      <c r="GAH346" s="34"/>
      <c r="GAI346" s="34"/>
      <c r="GAJ346" s="34"/>
      <c r="GAK346" s="34"/>
      <c r="GAL346" s="34"/>
      <c r="GAM346" s="34"/>
      <c r="GAN346" s="34"/>
      <c r="GAO346" s="34"/>
      <c r="GAP346" s="34"/>
      <c r="GAQ346" s="34"/>
      <c r="GAR346" s="34"/>
      <c r="GAS346" s="34"/>
      <c r="GAT346" s="34"/>
      <c r="GAU346" s="34"/>
      <c r="GAV346" s="34"/>
      <c r="GAW346" s="34"/>
      <c r="GAX346" s="34"/>
      <c r="GAY346" s="34"/>
      <c r="GAZ346" s="34"/>
      <c r="GBA346" s="34"/>
      <c r="GBB346" s="34"/>
      <c r="GBC346" s="34"/>
      <c r="GBD346" s="34"/>
      <c r="GBE346" s="34"/>
      <c r="GBF346" s="34"/>
      <c r="GBG346" s="34"/>
      <c r="GBH346" s="34"/>
      <c r="GBI346" s="34"/>
      <c r="GBJ346" s="34"/>
      <c r="GBK346" s="34"/>
      <c r="GBL346" s="34"/>
      <c r="GBM346" s="34"/>
      <c r="GBN346" s="34"/>
      <c r="GBO346" s="34"/>
      <c r="GBP346" s="34"/>
      <c r="GBQ346" s="34"/>
      <c r="GBR346" s="34"/>
      <c r="GBS346" s="34"/>
      <c r="GBT346" s="34"/>
      <c r="GBU346" s="34"/>
      <c r="GBV346" s="34"/>
      <c r="GBW346" s="34"/>
      <c r="GBX346" s="34"/>
      <c r="GBY346" s="34"/>
      <c r="GBZ346" s="34"/>
      <c r="GCA346" s="34"/>
      <c r="GCB346" s="34"/>
      <c r="GCC346" s="34"/>
      <c r="GCD346" s="34"/>
      <c r="GCE346" s="34"/>
      <c r="GCF346" s="34"/>
      <c r="GCG346" s="34"/>
      <c r="GCH346" s="34"/>
      <c r="GCI346" s="34"/>
      <c r="GCJ346" s="34"/>
      <c r="GCK346" s="34"/>
      <c r="GCL346" s="34"/>
      <c r="GCM346" s="34"/>
      <c r="GCN346" s="34"/>
      <c r="GCO346" s="34"/>
      <c r="GCP346" s="34"/>
      <c r="GCQ346" s="34"/>
      <c r="GCR346" s="34"/>
      <c r="GCS346" s="34"/>
      <c r="GCT346" s="34"/>
      <c r="GCU346" s="34"/>
      <c r="GCV346" s="34"/>
      <c r="GCW346" s="34"/>
      <c r="GCX346" s="34"/>
      <c r="GCY346" s="34"/>
      <c r="GCZ346" s="34"/>
      <c r="GDA346" s="34"/>
      <c r="GDB346" s="34"/>
      <c r="GDC346" s="34"/>
      <c r="GDD346" s="34"/>
      <c r="GDE346" s="34"/>
      <c r="GDF346" s="34"/>
      <c r="GDG346" s="34"/>
      <c r="GDH346" s="34"/>
      <c r="GDI346" s="34"/>
      <c r="GDJ346" s="34"/>
      <c r="GDK346" s="34"/>
      <c r="GDL346" s="34"/>
      <c r="GDM346" s="34"/>
      <c r="GDN346" s="34"/>
      <c r="GDO346" s="34"/>
      <c r="GDP346" s="34"/>
      <c r="GDQ346" s="34"/>
      <c r="GDR346" s="34"/>
      <c r="GDS346" s="34"/>
      <c r="GDT346" s="34"/>
      <c r="GDU346" s="34"/>
      <c r="GDV346" s="34"/>
      <c r="GDW346" s="34"/>
      <c r="GDX346" s="34"/>
      <c r="GDY346" s="34"/>
      <c r="GDZ346" s="34"/>
      <c r="GEA346" s="34"/>
      <c r="GEB346" s="34"/>
      <c r="GEC346" s="34"/>
      <c r="GED346" s="34"/>
      <c r="GEE346" s="34"/>
      <c r="GEF346" s="34"/>
      <c r="GEG346" s="34"/>
      <c r="GEH346" s="34"/>
      <c r="GEI346" s="34"/>
      <c r="GEJ346" s="34"/>
      <c r="GEK346" s="34"/>
      <c r="GEL346" s="34"/>
      <c r="GEM346" s="34"/>
      <c r="GEN346" s="34"/>
      <c r="GEO346" s="34"/>
      <c r="GEP346" s="34"/>
      <c r="GEQ346" s="34"/>
      <c r="GER346" s="34"/>
      <c r="GES346" s="34"/>
      <c r="GET346" s="34"/>
      <c r="GEU346" s="34"/>
      <c r="GEV346" s="34"/>
      <c r="GEW346" s="34"/>
      <c r="GEX346" s="34"/>
      <c r="GEY346" s="34"/>
      <c r="GEZ346" s="34"/>
      <c r="GFA346" s="34"/>
      <c r="GFB346" s="34"/>
      <c r="GFC346" s="34"/>
      <c r="GFD346" s="34"/>
      <c r="GFE346" s="34"/>
      <c r="GFF346" s="34"/>
      <c r="GFG346" s="34"/>
      <c r="GFH346" s="34"/>
      <c r="GFI346" s="34"/>
      <c r="GFJ346" s="34"/>
      <c r="GFK346" s="34"/>
      <c r="GFL346" s="34"/>
      <c r="GFM346" s="34"/>
      <c r="GFN346" s="34"/>
      <c r="GFO346" s="34"/>
      <c r="GFP346" s="34"/>
      <c r="GFQ346" s="34"/>
      <c r="GFR346" s="34"/>
      <c r="GFS346" s="34"/>
      <c r="GFT346" s="34"/>
      <c r="GFU346" s="34"/>
      <c r="GFV346" s="34"/>
      <c r="GFW346" s="34"/>
      <c r="GFX346" s="34"/>
      <c r="GFY346" s="34"/>
      <c r="GFZ346" s="34"/>
      <c r="GGA346" s="34"/>
      <c r="GGB346" s="34"/>
      <c r="GGC346" s="34"/>
      <c r="GGD346" s="34"/>
      <c r="GGE346" s="34"/>
      <c r="GGF346" s="34"/>
      <c r="GGG346" s="34"/>
      <c r="GGH346" s="34"/>
      <c r="GGI346" s="34"/>
      <c r="GGJ346" s="34"/>
      <c r="GGK346" s="34"/>
      <c r="GGL346" s="34"/>
      <c r="GGM346" s="34"/>
      <c r="GGN346" s="34"/>
      <c r="GGO346" s="34"/>
      <c r="GGP346" s="34"/>
      <c r="GGQ346" s="34"/>
      <c r="GGR346" s="34"/>
      <c r="GGS346" s="34"/>
      <c r="GGT346" s="34"/>
      <c r="GGU346" s="34"/>
      <c r="GGV346" s="34"/>
      <c r="GGW346" s="34"/>
      <c r="GGX346" s="34"/>
      <c r="GGY346" s="34"/>
      <c r="GGZ346" s="34"/>
      <c r="GHA346" s="34"/>
      <c r="GHB346" s="34"/>
      <c r="GHC346" s="34"/>
      <c r="GHD346" s="34"/>
      <c r="GHE346" s="34"/>
      <c r="GHF346" s="34"/>
      <c r="GHG346" s="34"/>
      <c r="GHH346" s="34"/>
      <c r="GHI346" s="34"/>
      <c r="GHJ346" s="34"/>
      <c r="GHK346" s="34"/>
      <c r="GHL346" s="34"/>
      <c r="GHM346" s="34"/>
      <c r="GHN346" s="34"/>
      <c r="GHO346" s="34"/>
      <c r="GHP346" s="34"/>
      <c r="GHQ346" s="34"/>
      <c r="GHR346" s="34"/>
      <c r="GHS346" s="34"/>
      <c r="GHT346" s="34"/>
      <c r="GHU346" s="34"/>
      <c r="GHV346" s="34"/>
      <c r="GHW346" s="34"/>
      <c r="GHX346" s="34"/>
      <c r="GHY346" s="34"/>
      <c r="GHZ346" s="34"/>
      <c r="GIA346" s="34"/>
      <c r="GIB346" s="34"/>
      <c r="GIC346" s="34"/>
      <c r="GID346" s="34"/>
      <c r="GIE346" s="34"/>
      <c r="GIF346" s="34"/>
      <c r="GIG346" s="34"/>
      <c r="GIH346" s="34"/>
      <c r="GII346" s="34"/>
      <c r="GIJ346" s="34"/>
      <c r="GIK346" s="34"/>
      <c r="GIL346" s="34"/>
      <c r="GIM346" s="34"/>
      <c r="GIN346" s="34"/>
      <c r="GIO346" s="34"/>
      <c r="GIP346" s="34"/>
      <c r="GIQ346" s="34"/>
      <c r="GIR346" s="34"/>
      <c r="GIS346" s="34"/>
      <c r="GIT346" s="34"/>
      <c r="GIU346" s="34"/>
      <c r="GIV346" s="34"/>
      <c r="GIW346" s="34"/>
      <c r="GIX346" s="34"/>
      <c r="GIY346" s="34"/>
      <c r="GIZ346" s="34"/>
      <c r="GJA346" s="34"/>
      <c r="GJB346" s="34"/>
      <c r="GJC346" s="34"/>
      <c r="GJD346" s="34"/>
      <c r="GJE346" s="34"/>
      <c r="GJF346" s="34"/>
      <c r="GJG346" s="34"/>
      <c r="GJH346" s="34"/>
      <c r="GJI346" s="34"/>
      <c r="GJJ346" s="34"/>
      <c r="GJK346" s="34"/>
      <c r="GJL346" s="34"/>
      <c r="GJM346" s="34"/>
      <c r="GJN346" s="34"/>
      <c r="GJO346" s="34"/>
      <c r="GJP346" s="34"/>
      <c r="GJQ346" s="34"/>
      <c r="GJR346" s="34"/>
      <c r="GJS346" s="34"/>
      <c r="GJT346" s="34"/>
      <c r="GJU346" s="34"/>
      <c r="GJV346" s="34"/>
      <c r="GJW346" s="34"/>
      <c r="GJX346" s="34"/>
      <c r="GJY346" s="34"/>
      <c r="GJZ346" s="34"/>
      <c r="GKA346" s="34"/>
      <c r="GKB346" s="34"/>
      <c r="GKC346" s="34"/>
      <c r="GKD346" s="34"/>
      <c r="GKE346" s="34"/>
      <c r="GKF346" s="34"/>
      <c r="GKG346" s="34"/>
      <c r="GKH346" s="34"/>
      <c r="GKI346" s="34"/>
      <c r="GKJ346" s="34"/>
      <c r="GKK346" s="34"/>
      <c r="GKL346" s="34"/>
      <c r="GKM346" s="34"/>
      <c r="GKN346" s="34"/>
      <c r="GKO346" s="34"/>
      <c r="GKP346" s="34"/>
      <c r="GKQ346" s="34"/>
      <c r="GKR346" s="34"/>
      <c r="GKS346" s="34"/>
      <c r="GKT346" s="34"/>
      <c r="GKU346" s="34"/>
      <c r="GKV346" s="34"/>
      <c r="GKW346" s="34"/>
      <c r="GKX346" s="34"/>
      <c r="GKY346" s="34"/>
      <c r="GKZ346" s="34"/>
      <c r="GLA346" s="34"/>
      <c r="GLB346" s="34"/>
      <c r="GLC346" s="34"/>
      <c r="GLD346" s="34"/>
      <c r="GLE346" s="34"/>
      <c r="GLF346" s="34"/>
      <c r="GLG346" s="34"/>
      <c r="GLH346" s="34"/>
      <c r="GLI346" s="34"/>
      <c r="GLJ346" s="34"/>
      <c r="GLK346" s="34"/>
      <c r="GLL346" s="34"/>
      <c r="GLM346" s="34"/>
      <c r="GLN346" s="34"/>
      <c r="GLO346" s="34"/>
      <c r="GLP346" s="34"/>
      <c r="GLQ346" s="34"/>
      <c r="GLR346" s="34"/>
      <c r="GLS346" s="34"/>
      <c r="GLT346" s="34"/>
      <c r="GLU346" s="34"/>
      <c r="GLV346" s="34"/>
      <c r="GLW346" s="34"/>
      <c r="GLX346" s="34"/>
      <c r="GLY346" s="34"/>
      <c r="GLZ346" s="34"/>
      <c r="GMA346" s="34"/>
      <c r="GMB346" s="34"/>
      <c r="GMC346" s="34"/>
      <c r="GMD346" s="34"/>
      <c r="GME346" s="34"/>
      <c r="GMF346" s="34"/>
      <c r="GMG346" s="34"/>
      <c r="GMH346" s="34"/>
      <c r="GMI346" s="34"/>
      <c r="GMJ346" s="34"/>
      <c r="GMK346" s="34"/>
      <c r="GML346" s="34"/>
      <c r="GMM346" s="34"/>
      <c r="GMN346" s="34"/>
      <c r="GMO346" s="34"/>
      <c r="GMP346" s="34"/>
      <c r="GMQ346" s="34"/>
      <c r="GMR346" s="34"/>
      <c r="GMS346" s="34"/>
      <c r="GMT346" s="34"/>
      <c r="GMU346" s="34"/>
      <c r="GMV346" s="34"/>
      <c r="GMW346" s="34"/>
      <c r="GMX346" s="34"/>
      <c r="GMY346" s="34"/>
      <c r="GMZ346" s="34"/>
      <c r="GNA346" s="34"/>
      <c r="GNB346" s="34"/>
      <c r="GNC346" s="34"/>
      <c r="GND346" s="34"/>
      <c r="GNE346" s="34"/>
      <c r="GNF346" s="34"/>
      <c r="GNG346" s="34"/>
      <c r="GNH346" s="34"/>
      <c r="GNI346" s="34"/>
      <c r="GNJ346" s="34"/>
      <c r="GNK346" s="34"/>
      <c r="GNL346" s="34"/>
      <c r="GNM346" s="34"/>
      <c r="GNN346" s="34"/>
      <c r="GNO346" s="34"/>
      <c r="GNP346" s="34"/>
      <c r="GNQ346" s="34"/>
      <c r="GNR346" s="34"/>
      <c r="GNS346" s="34"/>
      <c r="GNT346" s="34"/>
      <c r="GNU346" s="34"/>
      <c r="GNV346" s="34"/>
      <c r="GNW346" s="34"/>
      <c r="GNX346" s="34"/>
      <c r="GNY346" s="34"/>
      <c r="GNZ346" s="34"/>
      <c r="GOA346" s="34"/>
      <c r="GOB346" s="34"/>
      <c r="GOC346" s="34"/>
      <c r="GOD346" s="34"/>
      <c r="GOE346" s="34"/>
      <c r="GOF346" s="34"/>
      <c r="GOG346" s="34"/>
      <c r="GOH346" s="34"/>
      <c r="GOI346" s="34"/>
      <c r="GOJ346" s="34"/>
      <c r="GOK346" s="34"/>
      <c r="GOL346" s="34"/>
      <c r="GOM346" s="34"/>
      <c r="GON346" s="34"/>
      <c r="GOO346" s="34"/>
      <c r="GOP346" s="34"/>
      <c r="GOQ346" s="34"/>
      <c r="GOR346" s="34"/>
      <c r="GOS346" s="34"/>
      <c r="GOT346" s="34"/>
      <c r="GOU346" s="34"/>
      <c r="GOV346" s="34"/>
      <c r="GOW346" s="34"/>
      <c r="GOX346" s="34"/>
      <c r="GOY346" s="34"/>
      <c r="GOZ346" s="34"/>
      <c r="GPA346" s="34"/>
      <c r="GPB346" s="34"/>
      <c r="GPC346" s="34"/>
      <c r="GPD346" s="34"/>
      <c r="GPE346" s="34"/>
      <c r="GPF346" s="34"/>
      <c r="GPG346" s="34"/>
      <c r="GPH346" s="34"/>
      <c r="GPI346" s="34"/>
      <c r="GPJ346" s="34"/>
      <c r="GPK346" s="34"/>
      <c r="GPL346" s="34"/>
      <c r="GPM346" s="34"/>
      <c r="GPN346" s="34"/>
      <c r="GPO346" s="34"/>
      <c r="GPP346" s="34"/>
      <c r="GPQ346" s="34"/>
      <c r="GPR346" s="34"/>
      <c r="GPS346" s="34"/>
      <c r="GPT346" s="34"/>
      <c r="GPU346" s="34"/>
      <c r="GPV346" s="34"/>
      <c r="GPW346" s="34"/>
      <c r="GPX346" s="34"/>
      <c r="GPY346" s="34"/>
      <c r="GPZ346" s="34"/>
      <c r="GQA346" s="34"/>
      <c r="GQB346" s="34"/>
      <c r="GQC346" s="34"/>
      <c r="GQD346" s="34"/>
      <c r="GQE346" s="34"/>
      <c r="GQF346" s="34"/>
      <c r="GQG346" s="34"/>
      <c r="GQH346" s="34"/>
      <c r="GQI346" s="34"/>
      <c r="GQJ346" s="34"/>
      <c r="GQK346" s="34"/>
      <c r="GQL346" s="34"/>
      <c r="GQM346" s="34"/>
      <c r="GQN346" s="34"/>
      <c r="GQO346" s="34"/>
      <c r="GQP346" s="34"/>
      <c r="GQQ346" s="34"/>
      <c r="GQR346" s="34"/>
      <c r="GQS346" s="34"/>
      <c r="GQT346" s="34"/>
      <c r="GQU346" s="34"/>
      <c r="GQV346" s="34"/>
      <c r="GQW346" s="34"/>
      <c r="GQX346" s="34"/>
      <c r="GQY346" s="34"/>
      <c r="GQZ346" s="34"/>
      <c r="GRA346" s="34"/>
      <c r="GRB346" s="34"/>
      <c r="GRC346" s="34"/>
      <c r="GRD346" s="34"/>
      <c r="GRE346" s="34"/>
      <c r="GRF346" s="34"/>
      <c r="GRG346" s="34"/>
      <c r="GRH346" s="34"/>
      <c r="GRI346" s="34"/>
      <c r="GRJ346" s="34"/>
      <c r="GRK346" s="34"/>
      <c r="GRL346" s="34"/>
      <c r="GRM346" s="34"/>
      <c r="GRN346" s="34"/>
      <c r="GRO346" s="34"/>
      <c r="GRP346" s="34"/>
      <c r="GRQ346" s="34"/>
      <c r="GRR346" s="34"/>
      <c r="GRS346" s="34"/>
      <c r="GRT346" s="34"/>
      <c r="GRU346" s="34"/>
      <c r="GRV346" s="34"/>
      <c r="GRW346" s="34"/>
      <c r="GRX346" s="34"/>
      <c r="GRY346" s="34"/>
      <c r="GRZ346" s="34"/>
      <c r="GSA346" s="34"/>
      <c r="GSB346" s="34"/>
      <c r="GSC346" s="34"/>
      <c r="GSD346" s="34"/>
      <c r="GSE346" s="34"/>
      <c r="GSF346" s="34"/>
      <c r="GSG346" s="34"/>
      <c r="GSH346" s="34"/>
      <c r="GSI346" s="34"/>
      <c r="GSJ346" s="34"/>
      <c r="GSK346" s="34"/>
      <c r="GSL346" s="34"/>
      <c r="GSM346" s="34"/>
      <c r="GSN346" s="34"/>
      <c r="GSO346" s="34"/>
      <c r="GSP346" s="34"/>
      <c r="GSQ346" s="34"/>
      <c r="GSR346" s="34"/>
      <c r="GSS346" s="34"/>
      <c r="GST346" s="34"/>
      <c r="GSU346" s="34"/>
      <c r="GSV346" s="34"/>
      <c r="GSW346" s="34"/>
      <c r="GSX346" s="34"/>
      <c r="GSY346" s="34"/>
      <c r="GSZ346" s="34"/>
      <c r="GTA346" s="34"/>
      <c r="GTB346" s="34"/>
      <c r="GTC346" s="34"/>
      <c r="GTD346" s="34"/>
      <c r="GTE346" s="34"/>
      <c r="GTF346" s="34"/>
      <c r="GTG346" s="34"/>
      <c r="GTH346" s="34"/>
      <c r="GTI346" s="34"/>
      <c r="GTJ346" s="34"/>
      <c r="GTK346" s="34"/>
      <c r="GTL346" s="34"/>
      <c r="GTM346" s="34"/>
      <c r="GTN346" s="34"/>
      <c r="GTO346" s="34"/>
      <c r="GTP346" s="34"/>
      <c r="GTQ346" s="34"/>
      <c r="GTR346" s="34"/>
      <c r="GTS346" s="34"/>
      <c r="GTT346" s="34"/>
      <c r="GTU346" s="34"/>
      <c r="GTV346" s="34"/>
      <c r="GTW346" s="34"/>
      <c r="GTX346" s="34"/>
      <c r="GTY346" s="34"/>
      <c r="GTZ346" s="34"/>
      <c r="GUA346" s="34"/>
      <c r="GUB346" s="34"/>
      <c r="GUC346" s="34"/>
      <c r="GUD346" s="34"/>
      <c r="GUE346" s="34"/>
      <c r="GUF346" s="34"/>
      <c r="GUG346" s="34"/>
      <c r="GUH346" s="34"/>
      <c r="GUI346" s="34"/>
      <c r="GUJ346" s="34"/>
      <c r="GUK346" s="34"/>
      <c r="GUL346" s="34"/>
      <c r="GUM346" s="34"/>
      <c r="GUN346" s="34"/>
      <c r="GUO346" s="34"/>
      <c r="GUP346" s="34"/>
      <c r="GUQ346" s="34"/>
      <c r="GUR346" s="34"/>
      <c r="GUS346" s="34"/>
      <c r="GUT346" s="34"/>
      <c r="GUU346" s="34"/>
      <c r="GUV346" s="34"/>
      <c r="GUW346" s="34"/>
      <c r="GUX346" s="34"/>
      <c r="GUY346" s="34"/>
      <c r="GUZ346" s="34"/>
      <c r="GVA346" s="34"/>
      <c r="GVB346" s="34"/>
      <c r="GVC346" s="34"/>
      <c r="GVD346" s="34"/>
      <c r="GVE346" s="34"/>
      <c r="GVF346" s="34"/>
      <c r="GVG346" s="34"/>
      <c r="GVH346" s="34"/>
      <c r="GVI346" s="34"/>
      <c r="GVJ346" s="34"/>
      <c r="GVK346" s="34"/>
      <c r="GVL346" s="34"/>
      <c r="GVM346" s="34"/>
      <c r="GVN346" s="34"/>
      <c r="GVO346" s="34"/>
      <c r="GVP346" s="34"/>
      <c r="GVQ346" s="34"/>
      <c r="GVR346" s="34"/>
      <c r="GVS346" s="34"/>
      <c r="GVT346" s="34"/>
      <c r="GVU346" s="34"/>
      <c r="GVV346" s="34"/>
      <c r="GVW346" s="34"/>
      <c r="GVX346" s="34"/>
      <c r="GVY346" s="34"/>
      <c r="GVZ346" s="34"/>
      <c r="GWA346" s="34"/>
      <c r="GWB346" s="34"/>
      <c r="GWC346" s="34"/>
      <c r="GWD346" s="34"/>
      <c r="GWE346" s="34"/>
      <c r="GWF346" s="34"/>
      <c r="GWG346" s="34"/>
      <c r="GWH346" s="34"/>
      <c r="GWI346" s="34"/>
      <c r="GWJ346" s="34"/>
      <c r="GWK346" s="34"/>
      <c r="GWL346" s="34"/>
      <c r="GWM346" s="34"/>
      <c r="GWN346" s="34"/>
      <c r="GWO346" s="34"/>
      <c r="GWP346" s="34"/>
      <c r="GWQ346" s="34"/>
      <c r="GWR346" s="34"/>
      <c r="GWS346" s="34"/>
      <c r="GWT346" s="34"/>
      <c r="GWU346" s="34"/>
      <c r="GWV346" s="34"/>
      <c r="GWW346" s="34"/>
      <c r="GWX346" s="34"/>
      <c r="GWY346" s="34"/>
      <c r="GWZ346" s="34"/>
      <c r="GXA346" s="34"/>
      <c r="GXB346" s="34"/>
      <c r="GXC346" s="34"/>
      <c r="GXD346" s="34"/>
      <c r="GXE346" s="34"/>
      <c r="GXF346" s="34"/>
      <c r="GXG346" s="34"/>
      <c r="GXH346" s="34"/>
      <c r="GXI346" s="34"/>
      <c r="GXJ346" s="34"/>
      <c r="GXK346" s="34"/>
      <c r="GXL346" s="34"/>
      <c r="GXM346" s="34"/>
      <c r="GXN346" s="34"/>
      <c r="GXO346" s="34"/>
      <c r="GXP346" s="34"/>
      <c r="GXQ346" s="34"/>
      <c r="GXR346" s="34"/>
      <c r="GXS346" s="34"/>
      <c r="GXT346" s="34"/>
      <c r="GXU346" s="34"/>
      <c r="GXV346" s="34"/>
      <c r="GXW346" s="34"/>
      <c r="GXX346" s="34"/>
      <c r="GXY346" s="34"/>
      <c r="GXZ346" s="34"/>
      <c r="GYA346" s="34"/>
      <c r="GYB346" s="34"/>
      <c r="GYC346" s="34"/>
      <c r="GYD346" s="34"/>
      <c r="GYE346" s="34"/>
      <c r="GYF346" s="34"/>
      <c r="GYG346" s="34"/>
      <c r="GYH346" s="34"/>
      <c r="GYI346" s="34"/>
      <c r="GYJ346" s="34"/>
      <c r="GYK346" s="34"/>
      <c r="GYL346" s="34"/>
      <c r="GYM346" s="34"/>
      <c r="GYN346" s="34"/>
      <c r="GYO346" s="34"/>
      <c r="GYP346" s="34"/>
      <c r="GYQ346" s="34"/>
      <c r="GYR346" s="34"/>
      <c r="GYS346" s="34"/>
      <c r="GYT346" s="34"/>
      <c r="GYU346" s="34"/>
      <c r="GYV346" s="34"/>
      <c r="GYW346" s="34"/>
      <c r="GYX346" s="34"/>
      <c r="GYY346" s="34"/>
      <c r="GYZ346" s="34"/>
      <c r="GZA346" s="34"/>
      <c r="GZB346" s="34"/>
      <c r="GZC346" s="34"/>
      <c r="GZD346" s="34"/>
      <c r="GZE346" s="34"/>
      <c r="GZF346" s="34"/>
      <c r="GZG346" s="34"/>
      <c r="GZH346" s="34"/>
      <c r="GZI346" s="34"/>
      <c r="GZJ346" s="34"/>
      <c r="GZK346" s="34"/>
      <c r="GZL346" s="34"/>
      <c r="GZM346" s="34"/>
      <c r="GZN346" s="34"/>
      <c r="GZO346" s="34"/>
      <c r="GZP346" s="34"/>
      <c r="GZQ346" s="34"/>
      <c r="GZR346" s="34"/>
      <c r="GZS346" s="34"/>
      <c r="GZT346" s="34"/>
      <c r="GZU346" s="34"/>
      <c r="GZV346" s="34"/>
      <c r="GZW346" s="34"/>
      <c r="GZX346" s="34"/>
      <c r="GZY346" s="34"/>
      <c r="GZZ346" s="34"/>
      <c r="HAA346" s="34"/>
      <c r="HAB346" s="34"/>
      <c r="HAC346" s="34"/>
      <c r="HAD346" s="34"/>
      <c r="HAE346" s="34"/>
      <c r="HAF346" s="34"/>
      <c r="HAG346" s="34"/>
      <c r="HAH346" s="34"/>
      <c r="HAI346" s="34"/>
      <c r="HAJ346" s="34"/>
      <c r="HAK346" s="34"/>
      <c r="HAL346" s="34"/>
      <c r="HAM346" s="34"/>
      <c r="HAN346" s="34"/>
      <c r="HAO346" s="34"/>
      <c r="HAP346" s="34"/>
      <c r="HAQ346" s="34"/>
      <c r="HAR346" s="34"/>
      <c r="HAS346" s="34"/>
      <c r="HAT346" s="34"/>
      <c r="HAU346" s="34"/>
      <c r="HAV346" s="34"/>
      <c r="HAW346" s="34"/>
      <c r="HAX346" s="34"/>
      <c r="HAY346" s="34"/>
      <c r="HAZ346" s="34"/>
      <c r="HBA346" s="34"/>
      <c r="HBB346" s="34"/>
      <c r="HBC346" s="34"/>
      <c r="HBD346" s="34"/>
      <c r="HBE346" s="34"/>
      <c r="HBF346" s="34"/>
      <c r="HBG346" s="34"/>
      <c r="HBH346" s="34"/>
      <c r="HBI346" s="34"/>
      <c r="HBJ346" s="34"/>
      <c r="HBK346" s="34"/>
      <c r="HBL346" s="34"/>
      <c r="HBM346" s="34"/>
      <c r="HBN346" s="34"/>
      <c r="HBO346" s="34"/>
      <c r="HBP346" s="34"/>
      <c r="HBQ346" s="34"/>
      <c r="HBR346" s="34"/>
      <c r="HBS346" s="34"/>
      <c r="HBT346" s="34"/>
      <c r="HBU346" s="34"/>
      <c r="HBV346" s="34"/>
      <c r="HBW346" s="34"/>
      <c r="HBX346" s="34"/>
      <c r="HBY346" s="34"/>
      <c r="HBZ346" s="34"/>
      <c r="HCA346" s="34"/>
      <c r="HCB346" s="34"/>
      <c r="HCC346" s="34"/>
      <c r="HCD346" s="34"/>
      <c r="HCE346" s="34"/>
      <c r="HCF346" s="34"/>
      <c r="HCG346" s="34"/>
      <c r="HCH346" s="34"/>
      <c r="HCI346" s="34"/>
      <c r="HCJ346" s="34"/>
      <c r="HCK346" s="34"/>
      <c r="HCL346" s="34"/>
      <c r="HCM346" s="34"/>
      <c r="HCN346" s="34"/>
      <c r="HCO346" s="34"/>
      <c r="HCP346" s="34"/>
      <c r="HCQ346" s="34"/>
      <c r="HCR346" s="34"/>
      <c r="HCS346" s="34"/>
      <c r="HCT346" s="34"/>
      <c r="HCU346" s="34"/>
      <c r="HCV346" s="34"/>
      <c r="HCW346" s="34"/>
      <c r="HCX346" s="34"/>
      <c r="HCY346" s="34"/>
      <c r="HCZ346" s="34"/>
      <c r="HDA346" s="34"/>
      <c r="HDB346" s="34"/>
      <c r="HDC346" s="34"/>
      <c r="HDD346" s="34"/>
      <c r="HDE346" s="34"/>
      <c r="HDF346" s="34"/>
      <c r="HDG346" s="34"/>
      <c r="HDH346" s="34"/>
      <c r="HDI346" s="34"/>
      <c r="HDJ346" s="34"/>
      <c r="HDK346" s="34"/>
      <c r="HDL346" s="34"/>
      <c r="HDM346" s="34"/>
      <c r="HDN346" s="34"/>
      <c r="HDO346" s="34"/>
      <c r="HDP346" s="34"/>
      <c r="HDQ346" s="34"/>
      <c r="HDR346" s="34"/>
      <c r="HDS346" s="34"/>
      <c r="HDT346" s="34"/>
      <c r="HDU346" s="34"/>
      <c r="HDV346" s="34"/>
      <c r="HDW346" s="34"/>
      <c r="HDX346" s="34"/>
      <c r="HDY346" s="34"/>
      <c r="HDZ346" s="34"/>
      <c r="HEA346" s="34"/>
      <c r="HEB346" s="34"/>
      <c r="HEC346" s="34"/>
      <c r="HED346" s="34"/>
      <c r="HEE346" s="34"/>
      <c r="HEF346" s="34"/>
      <c r="HEG346" s="34"/>
      <c r="HEH346" s="34"/>
      <c r="HEI346" s="34"/>
      <c r="HEJ346" s="34"/>
      <c r="HEK346" s="34"/>
      <c r="HEL346" s="34"/>
      <c r="HEM346" s="34"/>
      <c r="HEN346" s="34"/>
      <c r="HEO346" s="34"/>
      <c r="HEP346" s="34"/>
      <c r="HEQ346" s="34"/>
      <c r="HER346" s="34"/>
      <c r="HES346" s="34"/>
      <c r="HET346" s="34"/>
      <c r="HEU346" s="34"/>
      <c r="HEV346" s="34"/>
      <c r="HEW346" s="34"/>
      <c r="HEX346" s="34"/>
      <c r="HEY346" s="34"/>
      <c r="HEZ346" s="34"/>
      <c r="HFA346" s="34"/>
      <c r="HFB346" s="34"/>
      <c r="HFC346" s="34"/>
      <c r="HFD346" s="34"/>
      <c r="HFE346" s="34"/>
      <c r="HFF346" s="34"/>
      <c r="HFG346" s="34"/>
      <c r="HFH346" s="34"/>
      <c r="HFI346" s="34"/>
      <c r="HFJ346" s="34"/>
      <c r="HFK346" s="34"/>
      <c r="HFL346" s="34"/>
      <c r="HFM346" s="34"/>
      <c r="HFN346" s="34"/>
      <c r="HFO346" s="34"/>
      <c r="HFP346" s="34"/>
      <c r="HFQ346" s="34"/>
      <c r="HFR346" s="34"/>
      <c r="HFS346" s="34"/>
      <c r="HFT346" s="34"/>
      <c r="HFU346" s="34"/>
      <c r="HFV346" s="34"/>
      <c r="HFW346" s="34"/>
      <c r="HFX346" s="34"/>
      <c r="HFY346" s="34"/>
      <c r="HFZ346" s="34"/>
      <c r="HGA346" s="34"/>
      <c r="HGB346" s="34"/>
      <c r="HGC346" s="34"/>
      <c r="HGD346" s="34"/>
      <c r="HGE346" s="34"/>
      <c r="HGF346" s="34"/>
      <c r="HGG346" s="34"/>
      <c r="HGH346" s="34"/>
      <c r="HGI346" s="34"/>
      <c r="HGJ346" s="34"/>
      <c r="HGK346" s="34"/>
      <c r="HGL346" s="34"/>
      <c r="HGM346" s="34"/>
      <c r="HGN346" s="34"/>
      <c r="HGO346" s="34"/>
      <c r="HGP346" s="34"/>
      <c r="HGQ346" s="34"/>
      <c r="HGR346" s="34"/>
      <c r="HGS346" s="34"/>
      <c r="HGT346" s="34"/>
      <c r="HGU346" s="34"/>
      <c r="HGV346" s="34"/>
      <c r="HGW346" s="34"/>
      <c r="HGX346" s="34"/>
      <c r="HGY346" s="34"/>
      <c r="HGZ346" s="34"/>
      <c r="HHA346" s="34"/>
      <c r="HHB346" s="34"/>
      <c r="HHC346" s="34"/>
      <c r="HHD346" s="34"/>
      <c r="HHE346" s="34"/>
      <c r="HHF346" s="34"/>
      <c r="HHG346" s="34"/>
      <c r="HHH346" s="34"/>
      <c r="HHI346" s="34"/>
      <c r="HHJ346" s="34"/>
      <c r="HHK346" s="34"/>
      <c r="HHL346" s="34"/>
      <c r="HHM346" s="34"/>
      <c r="HHN346" s="34"/>
      <c r="HHO346" s="34"/>
      <c r="HHP346" s="34"/>
      <c r="HHQ346" s="34"/>
      <c r="HHR346" s="34"/>
      <c r="HHS346" s="34"/>
      <c r="HHT346" s="34"/>
      <c r="HHU346" s="34"/>
      <c r="HHV346" s="34"/>
      <c r="HHW346" s="34"/>
      <c r="HHX346" s="34"/>
      <c r="HHY346" s="34"/>
      <c r="HHZ346" s="34"/>
      <c r="HIA346" s="34"/>
      <c r="HIB346" s="34"/>
      <c r="HIC346" s="34"/>
      <c r="HID346" s="34"/>
      <c r="HIE346" s="34"/>
      <c r="HIF346" s="34"/>
      <c r="HIG346" s="34"/>
      <c r="HIH346" s="34"/>
      <c r="HII346" s="34"/>
      <c r="HIJ346" s="34"/>
      <c r="HIK346" s="34"/>
      <c r="HIL346" s="34"/>
      <c r="HIM346" s="34"/>
      <c r="HIN346" s="34"/>
      <c r="HIO346" s="34"/>
      <c r="HIP346" s="34"/>
      <c r="HIQ346" s="34"/>
      <c r="HIR346" s="34"/>
      <c r="HIS346" s="34"/>
      <c r="HIT346" s="34"/>
      <c r="HIU346" s="34"/>
      <c r="HIV346" s="34"/>
      <c r="HIW346" s="34"/>
      <c r="HIX346" s="34"/>
      <c r="HIY346" s="34"/>
      <c r="HIZ346" s="34"/>
      <c r="HJA346" s="34"/>
      <c r="HJB346" s="34"/>
      <c r="HJC346" s="34"/>
      <c r="HJD346" s="34"/>
      <c r="HJE346" s="34"/>
      <c r="HJF346" s="34"/>
      <c r="HJG346" s="34"/>
      <c r="HJH346" s="34"/>
      <c r="HJI346" s="34"/>
      <c r="HJJ346" s="34"/>
      <c r="HJK346" s="34"/>
      <c r="HJL346" s="34"/>
      <c r="HJM346" s="34"/>
      <c r="HJN346" s="34"/>
      <c r="HJO346" s="34"/>
      <c r="HJP346" s="34"/>
      <c r="HJQ346" s="34"/>
      <c r="HJR346" s="34"/>
      <c r="HJS346" s="34"/>
      <c r="HJT346" s="34"/>
      <c r="HJU346" s="34"/>
      <c r="HJV346" s="34"/>
      <c r="HJW346" s="34"/>
      <c r="HJX346" s="34"/>
      <c r="HJY346" s="34"/>
      <c r="HJZ346" s="34"/>
      <c r="HKA346" s="34"/>
      <c r="HKB346" s="34"/>
      <c r="HKC346" s="34"/>
      <c r="HKD346" s="34"/>
      <c r="HKE346" s="34"/>
      <c r="HKF346" s="34"/>
      <c r="HKG346" s="34"/>
      <c r="HKH346" s="34"/>
      <c r="HKI346" s="34"/>
      <c r="HKJ346" s="34"/>
      <c r="HKK346" s="34"/>
      <c r="HKL346" s="34"/>
      <c r="HKM346" s="34"/>
      <c r="HKN346" s="34"/>
      <c r="HKO346" s="34"/>
      <c r="HKP346" s="34"/>
      <c r="HKQ346" s="34"/>
      <c r="HKR346" s="34"/>
      <c r="HKS346" s="34"/>
      <c r="HKT346" s="34"/>
      <c r="HKU346" s="34"/>
      <c r="HKV346" s="34"/>
      <c r="HKW346" s="34"/>
      <c r="HKX346" s="34"/>
      <c r="HKY346" s="34"/>
      <c r="HKZ346" s="34"/>
      <c r="HLA346" s="34"/>
      <c r="HLB346" s="34"/>
      <c r="HLC346" s="34"/>
      <c r="HLD346" s="34"/>
      <c r="HLE346" s="34"/>
      <c r="HLF346" s="34"/>
      <c r="HLG346" s="34"/>
      <c r="HLH346" s="34"/>
      <c r="HLI346" s="34"/>
      <c r="HLJ346" s="34"/>
      <c r="HLK346" s="34"/>
      <c r="HLL346" s="34"/>
      <c r="HLM346" s="34"/>
      <c r="HLN346" s="34"/>
      <c r="HLO346" s="34"/>
      <c r="HLP346" s="34"/>
      <c r="HLQ346" s="34"/>
      <c r="HLR346" s="34"/>
      <c r="HLS346" s="34"/>
      <c r="HLT346" s="34"/>
      <c r="HLU346" s="34"/>
      <c r="HLV346" s="34"/>
      <c r="HLW346" s="34"/>
      <c r="HLX346" s="34"/>
      <c r="HLY346" s="34"/>
      <c r="HLZ346" s="34"/>
      <c r="HMA346" s="34"/>
      <c r="HMB346" s="34"/>
      <c r="HMC346" s="34"/>
      <c r="HMD346" s="34"/>
      <c r="HME346" s="34"/>
      <c r="HMF346" s="34"/>
      <c r="HMG346" s="34"/>
      <c r="HMH346" s="34"/>
      <c r="HMI346" s="34"/>
      <c r="HMJ346" s="34"/>
      <c r="HMK346" s="34"/>
      <c r="HML346" s="34"/>
      <c r="HMM346" s="34"/>
      <c r="HMN346" s="34"/>
      <c r="HMO346" s="34"/>
      <c r="HMP346" s="34"/>
      <c r="HMQ346" s="34"/>
      <c r="HMR346" s="34"/>
      <c r="HMS346" s="34"/>
      <c r="HMT346" s="34"/>
      <c r="HMU346" s="34"/>
      <c r="HMV346" s="34"/>
      <c r="HMW346" s="34"/>
      <c r="HMX346" s="34"/>
      <c r="HMY346" s="34"/>
      <c r="HMZ346" s="34"/>
      <c r="HNA346" s="34"/>
      <c r="HNB346" s="34"/>
      <c r="HNC346" s="34"/>
      <c r="HND346" s="34"/>
      <c r="HNE346" s="34"/>
      <c r="HNF346" s="34"/>
      <c r="HNG346" s="34"/>
      <c r="HNH346" s="34"/>
      <c r="HNI346" s="34"/>
      <c r="HNJ346" s="34"/>
      <c r="HNK346" s="34"/>
      <c r="HNL346" s="34"/>
      <c r="HNM346" s="34"/>
      <c r="HNN346" s="34"/>
      <c r="HNO346" s="34"/>
      <c r="HNP346" s="34"/>
      <c r="HNQ346" s="34"/>
      <c r="HNR346" s="34"/>
      <c r="HNS346" s="34"/>
      <c r="HNT346" s="34"/>
      <c r="HNU346" s="34"/>
      <c r="HNV346" s="34"/>
      <c r="HNW346" s="34"/>
      <c r="HNX346" s="34"/>
      <c r="HNY346" s="34"/>
      <c r="HNZ346" s="34"/>
      <c r="HOA346" s="34"/>
      <c r="HOB346" s="34"/>
      <c r="HOC346" s="34"/>
      <c r="HOD346" s="34"/>
      <c r="HOE346" s="34"/>
      <c r="HOF346" s="34"/>
      <c r="HOG346" s="34"/>
      <c r="HOH346" s="34"/>
      <c r="HOI346" s="34"/>
      <c r="HOJ346" s="34"/>
      <c r="HOK346" s="34"/>
      <c r="HOL346" s="34"/>
      <c r="HOM346" s="34"/>
      <c r="HON346" s="34"/>
      <c r="HOO346" s="34"/>
      <c r="HOP346" s="34"/>
      <c r="HOQ346" s="34"/>
      <c r="HOR346" s="34"/>
      <c r="HOS346" s="34"/>
      <c r="HOT346" s="34"/>
      <c r="HOU346" s="34"/>
      <c r="HOV346" s="34"/>
      <c r="HOW346" s="34"/>
      <c r="HOX346" s="34"/>
      <c r="HOY346" s="34"/>
      <c r="HOZ346" s="34"/>
      <c r="HPA346" s="34"/>
      <c r="HPB346" s="34"/>
      <c r="HPC346" s="34"/>
      <c r="HPD346" s="34"/>
      <c r="HPE346" s="34"/>
      <c r="HPF346" s="34"/>
      <c r="HPG346" s="34"/>
      <c r="HPH346" s="34"/>
      <c r="HPI346" s="34"/>
      <c r="HPJ346" s="34"/>
      <c r="HPK346" s="34"/>
      <c r="HPL346" s="34"/>
      <c r="HPM346" s="34"/>
      <c r="HPN346" s="34"/>
      <c r="HPO346" s="34"/>
      <c r="HPP346" s="34"/>
      <c r="HPQ346" s="34"/>
      <c r="HPR346" s="34"/>
      <c r="HPS346" s="34"/>
      <c r="HPT346" s="34"/>
      <c r="HPU346" s="34"/>
      <c r="HPV346" s="34"/>
      <c r="HPW346" s="34"/>
      <c r="HPX346" s="34"/>
      <c r="HPY346" s="34"/>
      <c r="HPZ346" s="34"/>
      <c r="HQA346" s="34"/>
      <c r="HQB346" s="34"/>
      <c r="HQC346" s="34"/>
      <c r="HQD346" s="34"/>
      <c r="HQE346" s="34"/>
      <c r="HQF346" s="34"/>
      <c r="HQG346" s="34"/>
      <c r="HQH346" s="34"/>
      <c r="HQI346" s="34"/>
      <c r="HQJ346" s="34"/>
      <c r="HQK346" s="34"/>
      <c r="HQL346" s="34"/>
      <c r="HQM346" s="34"/>
      <c r="HQN346" s="34"/>
      <c r="HQO346" s="34"/>
      <c r="HQP346" s="34"/>
      <c r="HQQ346" s="34"/>
      <c r="HQR346" s="34"/>
      <c r="HQS346" s="34"/>
      <c r="HQT346" s="34"/>
      <c r="HQU346" s="34"/>
      <c r="HQV346" s="34"/>
      <c r="HQW346" s="34"/>
      <c r="HQX346" s="34"/>
      <c r="HQY346" s="34"/>
      <c r="HQZ346" s="34"/>
      <c r="HRA346" s="34"/>
      <c r="HRB346" s="34"/>
      <c r="HRC346" s="34"/>
      <c r="HRD346" s="34"/>
      <c r="HRE346" s="34"/>
      <c r="HRF346" s="34"/>
      <c r="HRG346" s="34"/>
      <c r="HRH346" s="34"/>
      <c r="HRI346" s="34"/>
      <c r="HRJ346" s="34"/>
      <c r="HRK346" s="34"/>
      <c r="HRL346" s="34"/>
      <c r="HRM346" s="34"/>
      <c r="HRN346" s="34"/>
      <c r="HRO346" s="34"/>
      <c r="HRP346" s="34"/>
      <c r="HRQ346" s="34"/>
      <c r="HRR346" s="34"/>
      <c r="HRS346" s="34"/>
      <c r="HRT346" s="34"/>
      <c r="HRU346" s="34"/>
      <c r="HRV346" s="34"/>
      <c r="HRW346" s="34"/>
      <c r="HRX346" s="34"/>
      <c r="HRY346" s="34"/>
      <c r="HRZ346" s="34"/>
      <c r="HSA346" s="34"/>
      <c r="HSB346" s="34"/>
      <c r="HSC346" s="34"/>
      <c r="HSD346" s="34"/>
      <c r="HSE346" s="34"/>
      <c r="HSF346" s="34"/>
      <c r="HSG346" s="34"/>
      <c r="HSH346" s="34"/>
      <c r="HSI346" s="34"/>
      <c r="HSJ346" s="34"/>
      <c r="HSK346" s="34"/>
      <c r="HSL346" s="34"/>
      <c r="HSM346" s="34"/>
      <c r="HSN346" s="34"/>
      <c r="HSO346" s="34"/>
      <c r="HSP346" s="34"/>
      <c r="HSQ346" s="34"/>
      <c r="HSR346" s="34"/>
      <c r="HSS346" s="34"/>
      <c r="HST346" s="34"/>
      <c r="HSU346" s="34"/>
      <c r="HSV346" s="34"/>
      <c r="HSW346" s="34"/>
      <c r="HSX346" s="34"/>
      <c r="HSY346" s="34"/>
      <c r="HSZ346" s="34"/>
      <c r="HTA346" s="34"/>
      <c r="HTB346" s="34"/>
      <c r="HTC346" s="34"/>
      <c r="HTD346" s="34"/>
      <c r="HTE346" s="34"/>
      <c r="HTF346" s="34"/>
      <c r="HTG346" s="34"/>
      <c r="HTH346" s="34"/>
      <c r="HTI346" s="34"/>
      <c r="HTJ346" s="34"/>
      <c r="HTK346" s="34"/>
      <c r="HTL346" s="34"/>
      <c r="HTM346" s="34"/>
      <c r="HTN346" s="34"/>
      <c r="HTO346" s="34"/>
      <c r="HTP346" s="34"/>
      <c r="HTQ346" s="34"/>
      <c r="HTR346" s="34"/>
      <c r="HTS346" s="34"/>
      <c r="HTT346" s="34"/>
      <c r="HTU346" s="34"/>
      <c r="HTV346" s="34"/>
      <c r="HTW346" s="34"/>
      <c r="HTX346" s="34"/>
      <c r="HTY346" s="34"/>
      <c r="HTZ346" s="34"/>
      <c r="HUA346" s="34"/>
      <c r="HUB346" s="34"/>
      <c r="HUC346" s="34"/>
      <c r="HUD346" s="34"/>
      <c r="HUE346" s="34"/>
      <c r="HUF346" s="34"/>
      <c r="HUG346" s="34"/>
      <c r="HUH346" s="34"/>
      <c r="HUI346" s="34"/>
      <c r="HUJ346" s="34"/>
      <c r="HUK346" s="34"/>
      <c r="HUL346" s="34"/>
      <c r="HUM346" s="34"/>
      <c r="HUN346" s="34"/>
      <c r="HUO346" s="34"/>
      <c r="HUP346" s="34"/>
      <c r="HUQ346" s="34"/>
      <c r="HUR346" s="34"/>
      <c r="HUS346" s="34"/>
      <c r="HUT346" s="34"/>
      <c r="HUU346" s="34"/>
      <c r="HUV346" s="34"/>
      <c r="HUW346" s="34"/>
      <c r="HUX346" s="34"/>
      <c r="HUY346" s="34"/>
      <c r="HUZ346" s="34"/>
      <c r="HVA346" s="34"/>
      <c r="HVB346" s="34"/>
      <c r="HVC346" s="34"/>
      <c r="HVD346" s="34"/>
      <c r="HVE346" s="34"/>
      <c r="HVF346" s="34"/>
      <c r="HVG346" s="34"/>
      <c r="HVH346" s="34"/>
      <c r="HVI346" s="34"/>
      <c r="HVJ346" s="34"/>
      <c r="HVK346" s="34"/>
      <c r="HVL346" s="34"/>
      <c r="HVM346" s="34"/>
      <c r="HVN346" s="34"/>
      <c r="HVO346" s="34"/>
      <c r="HVP346" s="34"/>
      <c r="HVQ346" s="34"/>
      <c r="HVR346" s="34"/>
      <c r="HVS346" s="34"/>
      <c r="HVT346" s="34"/>
      <c r="HVU346" s="34"/>
      <c r="HVV346" s="34"/>
      <c r="HVW346" s="34"/>
      <c r="HVX346" s="34"/>
      <c r="HVY346" s="34"/>
      <c r="HVZ346" s="34"/>
      <c r="HWA346" s="34"/>
      <c r="HWB346" s="34"/>
      <c r="HWC346" s="34"/>
      <c r="HWD346" s="34"/>
      <c r="HWE346" s="34"/>
      <c r="HWF346" s="34"/>
      <c r="HWG346" s="34"/>
      <c r="HWH346" s="34"/>
      <c r="HWI346" s="34"/>
      <c r="HWJ346" s="34"/>
      <c r="HWK346" s="34"/>
      <c r="HWL346" s="34"/>
      <c r="HWM346" s="34"/>
      <c r="HWN346" s="34"/>
      <c r="HWO346" s="34"/>
      <c r="HWP346" s="34"/>
      <c r="HWQ346" s="34"/>
      <c r="HWR346" s="34"/>
      <c r="HWS346" s="34"/>
      <c r="HWT346" s="34"/>
      <c r="HWU346" s="34"/>
      <c r="HWV346" s="34"/>
      <c r="HWW346" s="34"/>
      <c r="HWX346" s="34"/>
      <c r="HWY346" s="34"/>
      <c r="HWZ346" s="34"/>
      <c r="HXA346" s="34"/>
      <c r="HXB346" s="34"/>
      <c r="HXC346" s="34"/>
      <c r="HXD346" s="34"/>
      <c r="HXE346" s="34"/>
      <c r="HXF346" s="34"/>
      <c r="HXG346" s="34"/>
      <c r="HXH346" s="34"/>
      <c r="HXI346" s="34"/>
      <c r="HXJ346" s="34"/>
      <c r="HXK346" s="34"/>
      <c r="HXL346" s="34"/>
      <c r="HXM346" s="34"/>
      <c r="HXN346" s="34"/>
      <c r="HXO346" s="34"/>
      <c r="HXP346" s="34"/>
      <c r="HXQ346" s="34"/>
      <c r="HXR346" s="34"/>
      <c r="HXS346" s="34"/>
      <c r="HXT346" s="34"/>
      <c r="HXU346" s="34"/>
      <c r="HXV346" s="34"/>
      <c r="HXW346" s="34"/>
      <c r="HXX346" s="34"/>
      <c r="HXY346" s="34"/>
      <c r="HXZ346" s="34"/>
      <c r="HYA346" s="34"/>
      <c r="HYB346" s="34"/>
      <c r="HYC346" s="34"/>
      <c r="HYD346" s="34"/>
      <c r="HYE346" s="34"/>
      <c r="HYF346" s="34"/>
      <c r="HYG346" s="34"/>
      <c r="HYH346" s="34"/>
      <c r="HYI346" s="34"/>
      <c r="HYJ346" s="34"/>
      <c r="HYK346" s="34"/>
      <c r="HYL346" s="34"/>
      <c r="HYM346" s="34"/>
      <c r="HYN346" s="34"/>
      <c r="HYO346" s="34"/>
      <c r="HYP346" s="34"/>
      <c r="HYQ346" s="34"/>
      <c r="HYR346" s="34"/>
      <c r="HYS346" s="34"/>
      <c r="HYT346" s="34"/>
      <c r="HYU346" s="34"/>
      <c r="HYV346" s="34"/>
      <c r="HYW346" s="34"/>
      <c r="HYX346" s="34"/>
      <c r="HYY346" s="34"/>
      <c r="HYZ346" s="34"/>
      <c r="HZA346" s="34"/>
      <c r="HZB346" s="34"/>
      <c r="HZC346" s="34"/>
      <c r="HZD346" s="34"/>
      <c r="HZE346" s="34"/>
      <c r="HZF346" s="34"/>
      <c r="HZG346" s="34"/>
      <c r="HZH346" s="34"/>
      <c r="HZI346" s="34"/>
      <c r="HZJ346" s="34"/>
      <c r="HZK346" s="34"/>
      <c r="HZL346" s="34"/>
      <c r="HZM346" s="34"/>
      <c r="HZN346" s="34"/>
      <c r="HZO346" s="34"/>
      <c r="HZP346" s="34"/>
      <c r="HZQ346" s="34"/>
      <c r="HZR346" s="34"/>
      <c r="HZS346" s="34"/>
      <c r="HZT346" s="34"/>
      <c r="HZU346" s="34"/>
      <c r="HZV346" s="34"/>
      <c r="HZW346" s="34"/>
      <c r="HZX346" s="34"/>
      <c r="HZY346" s="34"/>
      <c r="HZZ346" s="34"/>
      <c r="IAA346" s="34"/>
      <c r="IAB346" s="34"/>
      <c r="IAC346" s="34"/>
      <c r="IAD346" s="34"/>
      <c r="IAE346" s="34"/>
      <c r="IAF346" s="34"/>
      <c r="IAG346" s="34"/>
      <c r="IAH346" s="34"/>
      <c r="IAI346" s="34"/>
      <c r="IAJ346" s="34"/>
      <c r="IAK346" s="34"/>
      <c r="IAL346" s="34"/>
      <c r="IAM346" s="34"/>
      <c r="IAN346" s="34"/>
      <c r="IAO346" s="34"/>
      <c r="IAP346" s="34"/>
      <c r="IAQ346" s="34"/>
      <c r="IAR346" s="34"/>
      <c r="IAS346" s="34"/>
      <c r="IAT346" s="34"/>
      <c r="IAU346" s="34"/>
      <c r="IAV346" s="34"/>
      <c r="IAW346" s="34"/>
      <c r="IAX346" s="34"/>
      <c r="IAY346" s="34"/>
      <c r="IAZ346" s="34"/>
      <c r="IBA346" s="34"/>
      <c r="IBB346" s="34"/>
      <c r="IBC346" s="34"/>
      <c r="IBD346" s="34"/>
      <c r="IBE346" s="34"/>
      <c r="IBF346" s="34"/>
      <c r="IBG346" s="34"/>
      <c r="IBH346" s="34"/>
      <c r="IBI346" s="34"/>
      <c r="IBJ346" s="34"/>
      <c r="IBK346" s="34"/>
      <c r="IBL346" s="34"/>
      <c r="IBM346" s="34"/>
      <c r="IBN346" s="34"/>
      <c r="IBO346" s="34"/>
      <c r="IBP346" s="34"/>
      <c r="IBQ346" s="34"/>
      <c r="IBR346" s="34"/>
      <c r="IBS346" s="34"/>
      <c r="IBT346" s="34"/>
      <c r="IBU346" s="34"/>
      <c r="IBV346" s="34"/>
      <c r="IBW346" s="34"/>
      <c r="IBX346" s="34"/>
      <c r="IBY346" s="34"/>
      <c r="IBZ346" s="34"/>
      <c r="ICA346" s="34"/>
      <c r="ICB346" s="34"/>
      <c r="ICC346" s="34"/>
      <c r="ICD346" s="34"/>
      <c r="ICE346" s="34"/>
      <c r="ICF346" s="34"/>
      <c r="ICG346" s="34"/>
      <c r="ICH346" s="34"/>
      <c r="ICI346" s="34"/>
      <c r="ICJ346" s="34"/>
      <c r="ICK346" s="34"/>
      <c r="ICL346" s="34"/>
      <c r="ICM346" s="34"/>
      <c r="ICN346" s="34"/>
      <c r="ICO346" s="34"/>
      <c r="ICP346" s="34"/>
      <c r="ICQ346" s="34"/>
      <c r="ICR346" s="34"/>
      <c r="ICS346" s="34"/>
      <c r="ICT346" s="34"/>
      <c r="ICU346" s="34"/>
      <c r="ICV346" s="34"/>
      <c r="ICW346" s="34"/>
      <c r="ICX346" s="34"/>
      <c r="ICY346" s="34"/>
      <c r="ICZ346" s="34"/>
      <c r="IDA346" s="34"/>
      <c r="IDB346" s="34"/>
      <c r="IDC346" s="34"/>
      <c r="IDD346" s="34"/>
      <c r="IDE346" s="34"/>
      <c r="IDF346" s="34"/>
      <c r="IDG346" s="34"/>
      <c r="IDH346" s="34"/>
      <c r="IDI346" s="34"/>
      <c r="IDJ346" s="34"/>
      <c r="IDK346" s="34"/>
      <c r="IDL346" s="34"/>
      <c r="IDM346" s="34"/>
      <c r="IDN346" s="34"/>
      <c r="IDO346" s="34"/>
      <c r="IDP346" s="34"/>
      <c r="IDQ346" s="34"/>
      <c r="IDR346" s="34"/>
      <c r="IDS346" s="34"/>
      <c r="IDT346" s="34"/>
      <c r="IDU346" s="34"/>
      <c r="IDV346" s="34"/>
      <c r="IDW346" s="34"/>
      <c r="IDX346" s="34"/>
      <c r="IDY346" s="34"/>
      <c r="IDZ346" s="34"/>
      <c r="IEA346" s="34"/>
      <c r="IEB346" s="34"/>
      <c r="IEC346" s="34"/>
      <c r="IED346" s="34"/>
      <c r="IEE346" s="34"/>
      <c r="IEF346" s="34"/>
      <c r="IEG346" s="34"/>
      <c r="IEH346" s="34"/>
      <c r="IEI346" s="34"/>
      <c r="IEJ346" s="34"/>
      <c r="IEK346" s="34"/>
      <c r="IEL346" s="34"/>
      <c r="IEM346" s="34"/>
      <c r="IEN346" s="34"/>
      <c r="IEO346" s="34"/>
      <c r="IEP346" s="34"/>
      <c r="IEQ346" s="34"/>
      <c r="IER346" s="34"/>
      <c r="IES346" s="34"/>
      <c r="IET346" s="34"/>
      <c r="IEU346" s="34"/>
      <c r="IEV346" s="34"/>
      <c r="IEW346" s="34"/>
      <c r="IEX346" s="34"/>
      <c r="IEY346" s="34"/>
      <c r="IEZ346" s="34"/>
      <c r="IFA346" s="34"/>
      <c r="IFB346" s="34"/>
      <c r="IFC346" s="34"/>
      <c r="IFD346" s="34"/>
      <c r="IFE346" s="34"/>
      <c r="IFF346" s="34"/>
      <c r="IFG346" s="34"/>
      <c r="IFH346" s="34"/>
      <c r="IFI346" s="34"/>
      <c r="IFJ346" s="34"/>
      <c r="IFK346" s="34"/>
      <c r="IFL346" s="34"/>
      <c r="IFM346" s="34"/>
      <c r="IFN346" s="34"/>
      <c r="IFO346" s="34"/>
      <c r="IFP346" s="34"/>
      <c r="IFQ346" s="34"/>
      <c r="IFR346" s="34"/>
      <c r="IFS346" s="34"/>
      <c r="IFT346" s="34"/>
      <c r="IFU346" s="34"/>
      <c r="IFV346" s="34"/>
      <c r="IFW346" s="34"/>
      <c r="IFX346" s="34"/>
      <c r="IFY346" s="34"/>
      <c r="IFZ346" s="34"/>
      <c r="IGA346" s="34"/>
      <c r="IGB346" s="34"/>
      <c r="IGC346" s="34"/>
      <c r="IGD346" s="34"/>
      <c r="IGE346" s="34"/>
      <c r="IGF346" s="34"/>
      <c r="IGG346" s="34"/>
      <c r="IGH346" s="34"/>
      <c r="IGI346" s="34"/>
      <c r="IGJ346" s="34"/>
      <c r="IGK346" s="34"/>
      <c r="IGL346" s="34"/>
      <c r="IGM346" s="34"/>
      <c r="IGN346" s="34"/>
      <c r="IGO346" s="34"/>
      <c r="IGP346" s="34"/>
      <c r="IGQ346" s="34"/>
      <c r="IGR346" s="34"/>
      <c r="IGS346" s="34"/>
      <c r="IGT346" s="34"/>
      <c r="IGU346" s="34"/>
      <c r="IGV346" s="34"/>
      <c r="IGW346" s="34"/>
      <c r="IGX346" s="34"/>
      <c r="IGY346" s="34"/>
      <c r="IGZ346" s="34"/>
      <c r="IHA346" s="34"/>
      <c r="IHB346" s="34"/>
      <c r="IHC346" s="34"/>
      <c r="IHD346" s="34"/>
      <c r="IHE346" s="34"/>
      <c r="IHF346" s="34"/>
      <c r="IHG346" s="34"/>
      <c r="IHH346" s="34"/>
      <c r="IHI346" s="34"/>
      <c r="IHJ346" s="34"/>
      <c r="IHK346" s="34"/>
      <c r="IHL346" s="34"/>
      <c r="IHM346" s="34"/>
      <c r="IHN346" s="34"/>
      <c r="IHO346" s="34"/>
      <c r="IHP346" s="34"/>
      <c r="IHQ346" s="34"/>
      <c r="IHR346" s="34"/>
      <c r="IHS346" s="34"/>
      <c r="IHT346" s="34"/>
      <c r="IHU346" s="34"/>
      <c r="IHV346" s="34"/>
      <c r="IHW346" s="34"/>
      <c r="IHX346" s="34"/>
      <c r="IHY346" s="34"/>
      <c r="IHZ346" s="34"/>
      <c r="IIA346" s="34"/>
      <c r="IIB346" s="34"/>
      <c r="IIC346" s="34"/>
      <c r="IID346" s="34"/>
      <c r="IIE346" s="34"/>
      <c r="IIF346" s="34"/>
      <c r="IIG346" s="34"/>
      <c r="IIH346" s="34"/>
      <c r="III346" s="34"/>
      <c r="IIJ346" s="34"/>
      <c r="IIK346" s="34"/>
      <c r="IIL346" s="34"/>
      <c r="IIM346" s="34"/>
      <c r="IIN346" s="34"/>
      <c r="IIO346" s="34"/>
      <c r="IIP346" s="34"/>
      <c r="IIQ346" s="34"/>
      <c r="IIR346" s="34"/>
      <c r="IIS346" s="34"/>
      <c r="IIT346" s="34"/>
      <c r="IIU346" s="34"/>
      <c r="IIV346" s="34"/>
      <c r="IIW346" s="34"/>
      <c r="IIX346" s="34"/>
      <c r="IIY346" s="34"/>
      <c r="IIZ346" s="34"/>
      <c r="IJA346" s="34"/>
      <c r="IJB346" s="34"/>
      <c r="IJC346" s="34"/>
      <c r="IJD346" s="34"/>
      <c r="IJE346" s="34"/>
      <c r="IJF346" s="34"/>
      <c r="IJG346" s="34"/>
      <c r="IJH346" s="34"/>
      <c r="IJI346" s="34"/>
      <c r="IJJ346" s="34"/>
      <c r="IJK346" s="34"/>
      <c r="IJL346" s="34"/>
      <c r="IJM346" s="34"/>
      <c r="IJN346" s="34"/>
      <c r="IJO346" s="34"/>
      <c r="IJP346" s="34"/>
      <c r="IJQ346" s="34"/>
      <c r="IJR346" s="34"/>
      <c r="IJS346" s="34"/>
      <c r="IJT346" s="34"/>
      <c r="IJU346" s="34"/>
      <c r="IJV346" s="34"/>
      <c r="IJW346" s="34"/>
      <c r="IJX346" s="34"/>
      <c r="IJY346" s="34"/>
      <c r="IJZ346" s="34"/>
      <c r="IKA346" s="34"/>
      <c r="IKB346" s="34"/>
      <c r="IKC346" s="34"/>
      <c r="IKD346" s="34"/>
      <c r="IKE346" s="34"/>
      <c r="IKF346" s="34"/>
      <c r="IKG346" s="34"/>
      <c r="IKH346" s="34"/>
      <c r="IKI346" s="34"/>
      <c r="IKJ346" s="34"/>
      <c r="IKK346" s="34"/>
      <c r="IKL346" s="34"/>
      <c r="IKM346" s="34"/>
      <c r="IKN346" s="34"/>
      <c r="IKO346" s="34"/>
      <c r="IKP346" s="34"/>
      <c r="IKQ346" s="34"/>
      <c r="IKR346" s="34"/>
      <c r="IKS346" s="34"/>
      <c r="IKT346" s="34"/>
      <c r="IKU346" s="34"/>
      <c r="IKV346" s="34"/>
      <c r="IKW346" s="34"/>
      <c r="IKX346" s="34"/>
      <c r="IKY346" s="34"/>
      <c r="IKZ346" s="34"/>
      <c r="ILA346" s="34"/>
      <c r="ILB346" s="34"/>
      <c r="ILC346" s="34"/>
      <c r="ILD346" s="34"/>
      <c r="ILE346" s="34"/>
      <c r="ILF346" s="34"/>
      <c r="ILG346" s="34"/>
      <c r="ILH346" s="34"/>
      <c r="ILI346" s="34"/>
      <c r="ILJ346" s="34"/>
      <c r="ILK346" s="34"/>
      <c r="ILL346" s="34"/>
      <c r="ILM346" s="34"/>
      <c r="ILN346" s="34"/>
      <c r="ILO346" s="34"/>
      <c r="ILP346" s="34"/>
      <c r="ILQ346" s="34"/>
      <c r="ILR346" s="34"/>
      <c r="ILS346" s="34"/>
      <c r="ILT346" s="34"/>
      <c r="ILU346" s="34"/>
      <c r="ILV346" s="34"/>
      <c r="ILW346" s="34"/>
      <c r="ILX346" s="34"/>
      <c r="ILY346" s="34"/>
      <c r="ILZ346" s="34"/>
      <c r="IMA346" s="34"/>
      <c r="IMB346" s="34"/>
      <c r="IMC346" s="34"/>
      <c r="IMD346" s="34"/>
      <c r="IME346" s="34"/>
      <c r="IMF346" s="34"/>
      <c r="IMG346" s="34"/>
      <c r="IMH346" s="34"/>
      <c r="IMI346" s="34"/>
      <c r="IMJ346" s="34"/>
      <c r="IMK346" s="34"/>
      <c r="IML346" s="34"/>
      <c r="IMM346" s="34"/>
      <c r="IMN346" s="34"/>
      <c r="IMO346" s="34"/>
      <c r="IMP346" s="34"/>
      <c r="IMQ346" s="34"/>
      <c r="IMR346" s="34"/>
      <c r="IMS346" s="34"/>
      <c r="IMT346" s="34"/>
      <c r="IMU346" s="34"/>
      <c r="IMV346" s="34"/>
      <c r="IMW346" s="34"/>
      <c r="IMX346" s="34"/>
      <c r="IMY346" s="34"/>
      <c r="IMZ346" s="34"/>
      <c r="INA346" s="34"/>
      <c r="INB346" s="34"/>
      <c r="INC346" s="34"/>
      <c r="IND346" s="34"/>
      <c r="INE346" s="34"/>
      <c r="INF346" s="34"/>
      <c r="ING346" s="34"/>
      <c r="INH346" s="34"/>
      <c r="INI346" s="34"/>
      <c r="INJ346" s="34"/>
      <c r="INK346" s="34"/>
      <c r="INL346" s="34"/>
      <c r="INM346" s="34"/>
      <c r="INN346" s="34"/>
      <c r="INO346" s="34"/>
      <c r="INP346" s="34"/>
      <c r="INQ346" s="34"/>
      <c r="INR346" s="34"/>
      <c r="INS346" s="34"/>
      <c r="INT346" s="34"/>
      <c r="INU346" s="34"/>
      <c r="INV346" s="34"/>
      <c r="INW346" s="34"/>
      <c r="INX346" s="34"/>
      <c r="INY346" s="34"/>
      <c r="INZ346" s="34"/>
      <c r="IOA346" s="34"/>
      <c r="IOB346" s="34"/>
      <c r="IOC346" s="34"/>
      <c r="IOD346" s="34"/>
      <c r="IOE346" s="34"/>
      <c r="IOF346" s="34"/>
      <c r="IOG346" s="34"/>
      <c r="IOH346" s="34"/>
      <c r="IOI346" s="34"/>
      <c r="IOJ346" s="34"/>
      <c r="IOK346" s="34"/>
      <c r="IOL346" s="34"/>
      <c r="IOM346" s="34"/>
      <c r="ION346" s="34"/>
      <c r="IOO346" s="34"/>
      <c r="IOP346" s="34"/>
      <c r="IOQ346" s="34"/>
      <c r="IOR346" s="34"/>
      <c r="IOS346" s="34"/>
      <c r="IOT346" s="34"/>
      <c r="IOU346" s="34"/>
      <c r="IOV346" s="34"/>
      <c r="IOW346" s="34"/>
      <c r="IOX346" s="34"/>
      <c r="IOY346" s="34"/>
      <c r="IOZ346" s="34"/>
      <c r="IPA346" s="34"/>
      <c r="IPB346" s="34"/>
      <c r="IPC346" s="34"/>
      <c r="IPD346" s="34"/>
      <c r="IPE346" s="34"/>
      <c r="IPF346" s="34"/>
      <c r="IPG346" s="34"/>
      <c r="IPH346" s="34"/>
      <c r="IPI346" s="34"/>
      <c r="IPJ346" s="34"/>
      <c r="IPK346" s="34"/>
      <c r="IPL346" s="34"/>
      <c r="IPM346" s="34"/>
      <c r="IPN346" s="34"/>
      <c r="IPO346" s="34"/>
      <c r="IPP346" s="34"/>
      <c r="IPQ346" s="34"/>
      <c r="IPR346" s="34"/>
      <c r="IPS346" s="34"/>
      <c r="IPT346" s="34"/>
      <c r="IPU346" s="34"/>
      <c r="IPV346" s="34"/>
      <c r="IPW346" s="34"/>
      <c r="IPX346" s="34"/>
      <c r="IPY346" s="34"/>
      <c r="IPZ346" s="34"/>
      <c r="IQA346" s="34"/>
      <c r="IQB346" s="34"/>
      <c r="IQC346" s="34"/>
      <c r="IQD346" s="34"/>
      <c r="IQE346" s="34"/>
      <c r="IQF346" s="34"/>
      <c r="IQG346" s="34"/>
      <c r="IQH346" s="34"/>
      <c r="IQI346" s="34"/>
      <c r="IQJ346" s="34"/>
      <c r="IQK346" s="34"/>
      <c r="IQL346" s="34"/>
      <c r="IQM346" s="34"/>
      <c r="IQN346" s="34"/>
      <c r="IQO346" s="34"/>
      <c r="IQP346" s="34"/>
      <c r="IQQ346" s="34"/>
      <c r="IQR346" s="34"/>
      <c r="IQS346" s="34"/>
      <c r="IQT346" s="34"/>
      <c r="IQU346" s="34"/>
      <c r="IQV346" s="34"/>
      <c r="IQW346" s="34"/>
      <c r="IQX346" s="34"/>
      <c r="IQY346" s="34"/>
      <c r="IQZ346" s="34"/>
      <c r="IRA346" s="34"/>
      <c r="IRB346" s="34"/>
      <c r="IRC346" s="34"/>
      <c r="IRD346" s="34"/>
      <c r="IRE346" s="34"/>
      <c r="IRF346" s="34"/>
      <c r="IRG346" s="34"/>
      <c r="IRH346" s="34"/>
      <c r="IRI346" s="34"/>
      <c r="IRJ346" s="34"/>
      <c r="IRK346" s="34"/>
      <c r="IRL346" s="34"/>
      <c r="IRM346" s="34"/>
      <c r="IRN346" s="34"/>
      <c r="IRO346" s="34"/>
      <c r="IRP346" s="34"/>
      <c r="IRQ346" s="34"/>
      <c r="IRR346" s="34"/>
      <c r="IRS346" s="34"/>
      <c r="IRT346" s="34"/>
      <c r="IRU346" s="34"/>
      <c r="IRV346" s="34"/>
      <c r="IRW346" s="34"/>
      <c r="IRX346" s="34"/>
      <c r="IRY346" s="34"/>
      <c r="IRZ346" s="34"/>
      <c r="ISA346" s="34"/>
      <c r="ISB346" s="34"/>
      <c r="ISC346" s="34"/>
      <c r="ISD346" s="34"/>
      <c r="ISE346" s="34"/>
      <c r="ISF346" s="34"/>
      <c r="ISG346" s="34"/>
      <c r="ISH346" s="34"/>
      <c r="ISI346" s="34"/>
      <c r="ISJ346" s="34"/>
      <c r="ISK346" s="34"/>
      <c r="ISL346" s="34"/>
      <c r="ISM346" s="34"/>
      <c r="ISN346" s="34"/>
      <c r="ISO346" s="34"/>
      <c r="ISP346" s="34"/>
      <c r="ISQ346" s="34"/>
      <c r="ISR346" s="34"/>
      <c r="ISS346" s="34"/>
      <c r="IST346" s="34"/>
      <c r="ISU346" s="34"/>
      <c r="ISV346" s="34"/>
      <c r="ISW346" s="34"/>
      <c r="ISX346" s="34"/>
      <c r="ISY346" s="34"/>
      <c r="ISZ346" s="34"/>
      <c r="ITA346" s="34"/>
      <c r="ITB346" s="34"/>
      <c r="ITC346" s="34"/>
      <c r="ITD346" s="34"/>
      <c r="ITE346" s="34"/>
      <c r="ITF346" s="34"/>
      <c r="ITG346" s="34"/>
      <c r="ITH346" s="34"/>
      <c r="ITI346" s="34"/>
      <c r="ITJ346" s="34"/>
      <c r="ITK346" s="34"/>
      <c r="ITL346" s="34"/>
      <c r="ITM346" s="34"/>
      <c r="ITN346" s="34"/>
      <c r="ITO346" s="34"/>
      <c r="ITP346" s="34"/>
      <c r="ITQ346" s="34"/>
      <c r="ITR346" s="34"/>
      <c r="ITS346" s="34"/>
      <c r="ITT346" s="34"/>
      <c r="ITU346" s="34"/>
      <c r="ITV346" s="34"/>
      <c r="ITW346" s="34"/>
      <c r="ITX346" s="34"/>
      <c r="ITY346" s="34"/>
      <c r="ITZ346" s="34"/>
      <c r="IUA346" s="34"/>
      <c r="IUB346" s="34"/>
      <c r="IUC346" s="34"/>
      <c r="IUD346" s="34"/>
      <c r="IUE346" s="34"/>
      <c r="IUF346" s="34"/>
      <c r="IUG346" s="34"/>
      <c r="IUH346" s="34"/>
      <c r="IUI346" s="34"/>
      <c r="IUJ346" s="34"/>
      <c r="IUK346" s="34"/>
      <c r="IUL346" s="34"/>
      <c r="IUM346" s="34"/>
      <c r="IUN346" s="34"/>
      <c r="IUO346" s="34"/>
      <c r="IUP346" s="34"/>
      <c r="IUQ346" s="34"/>
      <c r="IUR346" s="34"/>
      <c r="IUS346" s="34"/>
      <c r="IUT346" s="34"/>
      <c r="IUU346" s="34"/>
      <c r="IUV346" s="34"/>
      <c r="IUW346" s="34"/>
      <c r="IUX346" s="34"/>
      <c r="IUY346" s="34"/>
      <c r="IUZ346" s="34"/>
      <c r="IVA346" s="34"/>
      <c r="IVB346" s="34"/>
      <c r="IVC346" s="34"/>
      <c r="IVD346" s="34"/>
      <c r="IVE346" s="34"/>
      <c r="IVF346" s="34"/>
      <c r="IVG346" s="34"/>
      <c r="IVH346" s="34"/>
      <c r="IVI346" s="34"/>
      <c r="IVJ346" s="34"/>
      <c r="IVK346" s="34"/>
      <c r="IVL346" s="34"/>
      <c r="IVM346" s="34"/>
      <c r="IVN346" s="34"/>
      <c r="IVO346" s="34"/>
      <c r="IVP346" s="34"/>
      <c r="IVQ346" s="34"/>
      <c r="IVR346" s="34"/>
      <c r="IVS346" s="34"/>
      <c r="IVT346" s="34"/>
      <c r="IVU346" s="34"/>
      <c r="IVV346" s="34"/>
      <c r="IVW346" s="34"/>
      <c r="IVX346" s="34"/>
      <c r="IVY346" s="34"/>
      <c r="IVZ346" s="34"/>
      <c r="IWA346" s="34"/>
      <c r="IWB346" s="34"/>
      <c r="IWC346" s="34"/>
      <c r="IWD346" s="34"/>
      <c r="IWE346" s="34"/>
      <c r="IWF346" s="34"/>
      <c r="IWG346" s="34"/>
      <c r="IWH346" s="34"/>
      <c r="IWI346" s="34"/>
      <c r="IWJ346" s="34"/>
      <c r="IWK346" s="34"/>
      <c r="IWL346" s="34"/>
      <c r="IWM346" s="34"/>
      <c r="IWN346" s="34"/>
      <c r="IWO346" s="34"/>
      <c r="IWP346" s="34"/>
      <c r="IWQ346" s="34"/>
      <c r="IWR346" s="34"/>
      <c r="IWS346" s="34"/>
      <c r="IWT346" s="34"/>
      <c r="IWU346" s="34"/>
      <c r="IWV346" s="34"/>
      <c r="IWW346" s="34"/>
      <c r="IWX346" s="34"/>
      <c r="IWY346" s="34"/>
      <c r="IWZ346" s="34"/>
      <c r="IXA346" s="34"/>
      <c r="IXB346" s="34"/>
      <c r="IXC346" s="34"/>
      <c r="IXD346" s="34"/>
      <c r="IXE346" s="34"/>
      <c r="IXF346" s="34"/>
      <c r="IXG346" s="34"/>
      <c r="IXH346" s="34"/>
      <c r="IXI346" s="34"/>
      <c r="IXJ346" s="34"/>
      <c r="IXK346" s="34"/>
      <c r="IXL346" s="34"/>
      <c r="IXM346" s="34"/>
      <c r="IXN346" s="34"/>
      <c r="IXO346" s="34"/>
      <c r="IXP346" s="34"/>
      <c r="IXQ346" s="34"/>
      <c r="IXR346" s="34"/>
      <c r="IXS346" s="34"/>
      <c r="IXT346" s="34"/>
      <c r="IXU346" s="34"/>
      <c r="IXV346" s="34"/>
      <c r="IXW346" s="34"/>
      <c r="IXX346" s="34"/>
      <c r="IXY346" s="34"/>
      <c r="IXZ346" s="34"/>
      <c r="IYA346" s="34"/>
      <c r="IYB346" s="34"/>
      <c r="IYC346" s="34"/>
      <c r="IYD346" s="34"/>
      <c r="IYE346" s="34"/>
      <c r="IYF346" s="34"/>
      <c r="IYG346" s="34"/>
      <c r="IYH346" s="34"/>
      <c r="IYI346" s="34"/>
      <c r="IYJ346" s="34"/>
      <c r="IYK346" s="34"/>
      <c r="IYL346" s="34"/>
      <c r="IYM346" s="34"/>
      <c r="IYN346" s="34"/>
      <c r="IYO346" s="34"/>
      <c r="IYP346" s="34"/>
      <c r="IYQ346" s="34"/>
      <c r="IYR346" s="34"/>
      <c r="IYS346" s="34"/>
      <c r="IYT346" s="34"/>
      <c r="IYU346" s="34"/>
      <c r="IYV346" s="34"/>
      <c r="IYW346" s="34"/>
      <c r="IYX346" s="34"/>
      <c r="IYY346" s="34"/>
      <c r="IYZ346" s="34"/>
      <c r="IZA346" s="34"/>
      <c r="IZB346" s="34"/>
      <c r="IZC346" s="34"/>
      <c r="IZD346" s="34"/>
      <c r="IZE346" s="34"/>
      <c r="IZF346" s="34"/>
      <c r="IZG346" s="34"/>
      <c r="IZH346" s="34"/>
      <c r="IZI346" s="34"/>
      <c r="IZJ346" s="34"/>
      <c r="IZK346" s="34"/>
      <c r="IZL346" s="34"/>
      <c r="IZM346" s="34"/>
      <c r="IZN346" s="34"/>
      <c r="IZO346" s="34"/>
      <c r="IZP346" s="34"/>
      <c r="IZQ346" s="34"/>
      <c r="IZR346" s="34"/>
      <c r="IZS346" s="34"/>
      <c r="IZT346" s="34"/>
      <c r="IZU346" s="34"/>
      <c r="IZV346" s="34"/>
      <c r="IZW346" s="34"/>
      <c r="IZX346" s="34"/>
      <c r="IZY346" s="34"/>
      <c r="IZZ346" s="34"/>
      <c r="JAA346" s="34"/>
      <c r="JAB346" s="34"/>
      <c r="JAC346" s="34"/>
      <c r="JAD346" s="34"/>
      <c r="JAE346" s="34"/>
      <c r="JAF346" s="34"/>
      <c r="JAG346" s="34"/>
      <c r="JAH346" s="34"/>
      <c r="JAI346" s="34"/>
      <c r="JAJ346" s="34"/>
      <c r="JAK346" s="34"/>
      <c r="JAL346" s="34"/>
      <c r="JAM346" s="34"/>
      <c r="JAN346" s="34"/>
      <c r="JAO346" s="34"/>
      <c r="JAP346" s="34"/>
      <c r="JAQ346" s="34"/>
      <c r="JAR346" s="34"/>
      <c r="JAS346" s="34"/>
      <c r="JAT346" s="34"/>
      <c r="JAU346" s="34"/>
      <c r="JAV346" s="34"/>
      <c r="JAW346" s="34"/>
      <c r="JAX346" s="34"/>
      <c r="JAY346" s="34"/>
      <c r="JAZ346" s="34"/>
      <c r="JBA346" s="34"/>
      <c r="JBB346" s="34"/>
      <c r="JBC346" s="34"/>
      <c r="JBD346" s="34"/>
      <c r="JBE346" s="34"/>
      <c r="JBF346" s="34"/>
      <c r="JBG346" s="34"/>
      <c r="JBH346" s="34"/>
      <c r="JBI346" s="34"/>
      <c r="JBJ346" s="34"/>
      <c r="JBK346" s="34"/>
      <c r="JBL346" s="34"/>
      <c r="JBM346" s="34"/>
      <c r="JBN346" s="34"/>
      <c r="JBO346" s="34"/>
      <c r="JBP346" s="34"/>
      <c r="JBQ346" s="34"/>
      <c r="JBR346" s="34"/>
      <c r="JBS346" s="34"/>
      <c r="JBT346" s="34"/>
      <c r="JBU346" s="34"/>
      <c r="JBV346" s="34"/>
      <c r="JBW346" s="34"/>
      <c r="JBX346" s="34"/>
      <c r="JBY346" s="34"/>
      <c r="JBZ346" s="34"/>
      <c r="JCA346" s="34"/>
      <c r="JCB346" s="34"/>
      <c r="JCC346" s="34"/>
      <c r="JCD346" s="34"/>
      <c r="JCE346" s="34"/>
      <c r="JCF346" s="34"/>
      <c r="JCG346" s="34"/>
      <c r="JCH346" s="34"/>
      <c r="JCI346" s="34"/>
      <c r="JCJ346" s="34"/>
      <c r="JCK346" s="34"/>
      <c r="JCL346" s="34"/>
      <c r="JCM346" s="34"/>
      <c r="JCN346" s="34"/>
      <c r="JCO346" s="34"/>
      <c r="JCP346" s="34"/>
      <c r="JCQ346" s="34"/>
      <c r="JCR346" s="34"/>
      <c r="JCS346" s="34"/>
      <c r="JCT346" s="34"/>
      <c r="JCU346" s="34"/>
      <c r="JCV346" s="34"/>
      <c r="JCW346" s="34"/>
      <c r="JCX346" s="34"/>
      <c r="JCY346" s="34"/>
      <c r="JCZ346" s="34"/>
      <c r="JDA346" s="34"/>
      <c r="JDB346" s="34"/>
      <c r="JDC346" s="34"/>
      <c r="JDD346" s="34"/>
      <c r="JDE346" s="34"/>
      <c r="JDF346" s="34"/>
      <c r="JDG346" s="34"/>
      <c r="JDH346" s="34"/>
      <c r="JDI346" s="34"/>
      <c r="JDJ346" s="34"/>
      <c r="JDK346" s="34"/>
      <c r="JDL346" s="34"/>
      <c r="JDM346" s="34"/>
      <c r="JDN346" s="34"/>
      <c r="JDO346" s="34"/>
      <c r="JDP346" s="34"/>
      <c r="JDQ346" s="34"/>
      <c r="JDR346" s="34"/>
      <c r="JDS346" s="34"/>
      <c r="JDT346" s="34"/>
      <c r="JDU346" s="34"/>
      <c r="JDV346" s="34"/>
      <c r="JDW346" s="34"/>
      <c r="JDX346" s="34"/>
      <c r="JDY346" s="34"/>
      <c r="JDZ346" s="34"/>
      <c r="JEA346" s="34"/>
      <c r="JEB346" s="34"/>
      <c r="JEC346" s="34"/>
      <c r="JED346" s="34"/>
      <c r="JEE346" s="34"/>
      <c r="JEF346" s="34"/>
      <c r="JEG346" s="34"/>
      <c r="JEH346" s="34"/>
      <c r="JEI346" s="34"/>
      <c r="JEJ346" s="34"/>
      <c r="JEK346" s="34"/>
      <c r="JEL346" s="34"/>
      <c r="JEM346" s="34"/>
      <c r="JEN346" s="34"/>
      <c r="JEO346" s="34"/>
      <c r="JEP346" s="34"/>
      <c r="JEQ346" s="34"/>
      <c r="JER346" s="34"/>
      <c r="JES346" s="34"/>
      <c r="JET346" s="34"/>
      <c r="JEU346" s="34"/>
      <c r="JEV346" s="34"/>
      <c r="JEW346" s="34"/>
      <c r="JEX346" s="34"/>
      <c r="JEY346" s="34"/>
      <c r="JEZ346" s="34"/>
      <c r="JFA346" s="34"/>
      <c r="JFB346" s="34"/>
      <c r="JFC346" s="34"/>
      <c r="JFD346" s="34"/>
      <c r="JFE346" s="34"/>
      <c r="JFF346" s="34"/>
      <c r="JFG346" s="34"/>
      <c r="JFH346" s="34"/>
      <c r="JFI346" s="34"/>
      <c r="JFJ346" s="34"/>
      <c r="JFK346" s="34"/>
      <c r="JFL346" s="34"/>
      <c r="JFM346" s="34"/>
      <c r="JFN346" s="34"/>
      <c r="JFO346" s="34"/>
      <c r="JFP346" s="34"/>
      <c r="JFQ346" s="34"/>
      <c r="JFR346" s="34"/>
      <c r="JFS346" s="34"/>
      <c r="JFT346" s="34"/>
      <c r="JFU346" s="34"/>
      <c r="JFV346" s="34"/>
      <c r="JFW346" s="34"/>
      <c r="JFX346" s="34"/>
      <c r="JFY346" s="34"/>
      <c r="JFZ346" s="34"/>
      <c r="JGA346" s="34"/>
      <c r="JGB346" s="34"/>
      <c r="JGC346" s="34"/>
      <c r="JGD346" s="34"/>
      <c r="JGE346" s="34"/>
      <c r="JGF346" s="34"/>
      <c r="JGG346" s="34"/>
      <c r="JGH346" s="34"/>
      <c r="JGI346" s="34"/>
      <c r="JGJ346" s="34"/>
      <c r="JGK346" s="34"/>
      <c r="JGL346" s="34"/>
      <c r="JGM346" s="34"/>
      <c r="JGN346" s="34"/>
      <c r="JGO346" s="34"/>
      <c r="JGP346" s="34"/>
      <c r="JGQ346" s="34"/>
      <c r="JGR346" s="34"/>
      <c r="JGS346" s="34"/>
      <c r="JGT346" s="34"/>
      <c r="JGU346" s="34"/>
      <c r="JGV346" s="34"/>
      <c r="JGW346" s="34"/>
      <c r="JGX346" s="34"/>
      <c r="JGY346" s="34"/>
      <c r="JGZ346" s="34"/>
      <c r="JHA346" s="34"/>
      <c r="JHB346" s="34"/>
      <c r="JHC346" s="34"/>
      <c r="JHD346" s="34"/>
      <c r="JHE346" s="34"/>
      <c r="JHF346" s="34"/>
      <c r="JHG346" s="34"/>
      <c r="JHH346" s="34"/>
      <c r="JHI346" s="34"/>
      <c r="JHJ346" s="34"/>
      <c r="JHK346" s="34"/>
      <c r="JHL346" s="34"/>
      <c r="JHM346" s="34"/>
      <c r="JHN346" s="34"/>
      <c r="JHO346" s="34"/>
      <c r="JHP346" s="34"/>
      <c r="JHQ346" s="34"/>
      <c r="JHR346" s="34"/>
      <c r="JHS346" s="34"/>
      <c r="JHT346" s="34"/>
      <c r="JHU346" s="34"/>
      <c r="JHV346" s="34"/>
      <c r="JHW346" s="34"/>
      <c r="JHX346" s="34"/>
      <c r="JHY346" s="34"/>
      <c r="JHZ346" s="34"/>
      <c r="JIA346" s="34"/>
      <c r="JIB346" s="34"/>
      <c r="JIC346" s="34"/>
      <c r="JID346" s="34"/>
      <c r="JIE346" s="34"/>
      <c r="JIF346" s="34"/>
      <c r="JIG346" s="34"/>
      <c r="JIH346" s="34"/>
      <c r="JII346" s="34"/>
      <c r="JIJ346" s="34"/>
      <c r="JIK346" s="34"/>
      <c r="JIL346" s="34"/>
      <c r="JIM346" s="34"/>
      <c r="JIN346" s="34"/>
      <c r="JIO346" s="34"/>
      <c r="JIP346" s="34"/>
      <c r="JIQ346" s="34"/>
      <c r="JIR346" s="34"/>
      <c r="JIS346" s="34"/>
      <c r="JIT346" s="34"/>
      <c r="JIU346" s="34"/>
      <c r="JIV346" s="34"/>
      <c r="JIW346" s="34"/>
      <c r="JIX346" s="34"/>
      <c r="JIY346" s="34"/>
      <c r="JIZ346" s="34"/>
      <c r="JJA346" s="34"/>
      <c r="JJB346" s="34"/>
      <c r="JJC346" s="34"/>
      <c r="JJD346" s="34"/>
      <c r="JJE346" s="34"/>
      <c r="JJF346" s="34"/>
      <c r="JJG346" s="34"/>
      <c r="JJH346" s="34"/>
      <c r="JJI346" s="34"/>
      <c r="JJJ346" s="34"/>
      <c r="JJK346" s="34"/>
      <c r="JJL346" s="34"/>
      <c r="JJM346" s="34"/>
      <c r="JJN346" s="34"/>
      <c r="JJO346" s="34"/>
      <c r="JJP346" s="34"/>
      <c r="JJQ346" s="34"/>
      <c r="JJR346" s="34"/>
      <c r="JJS346" s="34"/>
      <c r="JJT346" s="34"/>
      <c r="JJU346" s="34"/>
      <c r="JJV346" s="34"/>
      <c r="JJW346" s="34"/>
      <c r="JJX346" s="34"/>
      <c r="JJY346" s="34"/>
      <c r="JJZ346" s="34"/>
      <c r="JKA346" s="34"/>
      <c r="JKB346" s="34"/>
      <c r="JKC346" s="34"/>
      <c r="JKD346" s="34"/>
      <c r="JKE346" s="34"/>
      <c r="JKF346" s="34"/>
      <c r="JKG346" s="34"/>
      <c r="JKH346" s="34"/>
      <c r="JKI346" s="34"/>
      <c r="JKJ346" s="34"/>
      <c r="JKK346" s="34"/>
      <c r="JKL346" s="34"/>
      <c r="JKM346" s="34"/>
      <c r="JKN346" s="34"/>
      <c r="JKO346" s="34"/>
      <c r="JKP346" s="34"/>
      <c r="JKQ346" s="34"/>
      <c r="JKR346" s="34"/>
      <c r="JKS346" s="34"/>
      <c r="JKT346" s="34"/>
      <c r="JKU346" s="34"/>
      <c r="JKV346" s="34"/>
      <c r="JKW346" s="34"/>
      <c r="JKX346" s="34"/>
      <c r="JKY346" s="34"/>
      <c r="JKZ346" s="34"/>
      <c r="JLA346" s="34"/>
      <c r="JLB346" s="34"/>
      <c r="JLC346" s="34"/>
      <c r="JLD346" s="34"/>
      <c r="JLE346" s="34"/>
      <c r="JLF346" s="34"/>
      <c r="JLG346" s="34"/>
      <c r="JLH346" s="34"/>
      <c r="JLI346" s="34"/>
      <c r="JLJ346" s="34"/>
      <c r="JLK346" s="34"/>
      <c r="JLL346" s="34"/>
      <c r="JLM346" s="34"/>
      <c r="JLN346" s="34"/>
      <c r="JLO346" s="34"/>
      <c r="JLP346" s="34"/>
      <c r="JLQ346" s="34"/>
      <c r="JLR346" s="34"/>
      <c r="JLS346" s="34"/>
      <c r="JLT346" s="34"/>
      <c r="JLU346" s="34"/>
      <c r="JLV346" s="34"/>
      <c r="JLW346" s="34"/>
      <c r="JLX346" s="34"/>
      <c r="JLY346" s="34"/>
      <c r="JLZ346" s="34"/>
      <c r="JMA346" s="34"/>
      <c r="JMB346" s="34"/>
      <c r="JMC346" s="34"/>
      <c r="JMD346" s="34"/>
      <c r="JME346" s="34"/>
      <c r="JMF346" s="34"/>
      <c r="JMG346" s="34"/>
      <c r="JMH346" s="34"/>
      <c r="JMI346" s="34"/>
      <c r="JMJ346" s="34"/>
      <c r="JMK346" s="34"/>
      <c r="JML346" s="34"/>
      <c r="JMM346" s="34"/>
      <c r="JMN346" s="34"/>
      <c r="JMO346" s="34"/>
      <c r="JMP346" s="34"/>
      <c r="JMQ346" s="34"/>
      <c r="JMR346" s="34"/>
      <c r="JMS346" s="34"/>
      <c r="JMT346" s="34"/>
      <c r="JMU346" s="34"/>
      <c r="JMV346" s="34"/>
      <c r="JMW346" s="34"/>
      <c r="JMX346" s="34"/>
      <c r="JMY346" s="34"/>
      <c r="JMZ346" s="34"/>
      <c r="JNA346" s="34"/>
      <c r="JNB346" s="34"/>
      <c r="JNC346" s="34"/>
      <c r="JND346" s="34"/>
      <c r="JNE346" s="34"/>
      <c r="JNF346" s="34"/>
      <c r="JNG346" s="34"/>
      <c r="JNH346" s="34"/>
      <c r="JNI346" s="34"/>
      <c r="JNJ346" s="34"/>
      <c r="JNK346" s="34"/>
      <c r="JNL346" s="34"/>
      <c r="JNM346" s="34"/>
      <c r="JNN346" s="34"/>
      <c r="JNO346" s="34"/>
      <c r="JNP346" s="34"/>
      <c r="JNQ346" s="34"/>
      <c r="JNR346" s="34"/>
      <c r="JNS346" s="34"/>
      <c r="JNT346" s="34"/>
      <c r="JNU346" s="34"/>
      <c r="JNV346" s="34"/>
      <c r="JNW346" s="34"/>
      <c r="JNX346" s="34"/>
      <c r="JNY346" s="34"/>
      <c r="JNZ346" s="34"/>
      <c r="JOA346" s="34"/>
      <c r="JOB346" s="34"/>
      <c r="JOC346" s="34"/>
      <c r="JOD346" s="34"/>
      <c r="JOE346" s="34"/>
      <c r="JOF346" s="34"/>
      <c r="JOG346" s="34"/>
      <c r="JOH346" s="34"/>
      <c r="JOI346" s="34"/>
      <c r="JOJ346" s="34"/>
      <c r="JOK346" s="34"/>
      <c r="JOL346" s="34"/>
      <c r="JOM346" s="34"/>
      <c r="JON346" s="34"/>
      <c r="JOO346" s="34"/>
      <c r="JOP346" s="34"/>
      <c r="JOQ346" s="34"/>
      <c r="JOR346" s="34"/>
      <c r="JOS346" s="34"/>
      <c r="JOT346" s="34"/>
      <c r="JOU346" s="34"/>
      <c r="JOV346" s="34"/>
      <c r="JOW346" s="34"/>
      <c r="JOX346" s="34"/>
      <c r="JOY346" s="34"/>
      <c r="JOZ346" s="34"/>
      <c r="JPA346" s="34"/>
      <c r="JPB346" s="34"/>
      <c r="JPC346" s="34"/>
      <c r="JPD346" s="34"/>
      <c r="JPE346" s="34"/>
      <c r="JPF346" s="34"/>
      <c r="JPG346" s="34"/>
      <c r="JPH346" s="34"/>
      <c r="JPI346" s="34"/>
      <c r="JPJ346" s="34"/>
      <c r="JPK346" s="34"/>
      <c r="JPL346" s="34"/>
      <c r="JPM346" s="34"/>
      <c r="JPN346" s="34"/>
      <c r="JPO346" s="34"/>
      <c r="JPP346" s="34"/>
      <c r="JPQ346" s="34"/>
      <c r="JPR346" s="34"/>
      <c r="JPS346" s="34"/>
      <c r="JPT346" s="34"/>
      <c r="JPU346" s="34"/>
      <c r="JPV346" s="34"/>
      <c r="JPW346" s="34"/>
      <c r="JPX346" s="34"/>
      <c r="JPY346" s="34"/>
      <c r="JPZ346" s="34"/>
      <c r="JQA346" s="34"/>
      <c r="JQB346" s="34"/>
      <c r="JQC346" s="34"/>
      <c r="JQD346" s="34"/>
      <c r="JQE346" s="34"/>
      <c r="JQF346" s="34"/>
      <c r="JQG346" s="34"/>
      <c r="JQH346" s="34"/>
      <c r="JQI346" s="34"/>
      <c r="JQJ346" s="34"/>
      <c r="JQK346" s="34"/>
      <c r="JQL346" s="34"/>
      <c r="JQM346" s="34"/>
      <c r="JQN346" s="34"/>
      <c r="JQO346" s="34"/>
      <c r="JQP346" s="34"/>
      <c r="JQQ346" s="34"/>
      <c r="JQR346" s="34"/>
      <c r="JQS346" s="34"/>
      <c r="JQT346" s="34"/>
      <c r="JQU346" s="34"/>
      <c r="JQV346" s="34"/>
      <c r="JQW346" s="34"/>
      <c r="JQX346" s="34"/>
      <c r="JQY346" s="34"/>
      <c r="JQZ346" s="34"/>
      <c r="JRA346" s="34"/>
      <c r="JRB346" s="34"/>
      <c r="JRC346" s="34"/>
      <c r="JRD346" s="34"/>
      <c r="JRE346" s="34"/>
      <c r="JRF346" s="34"/>
      <c r="JRG346" s="34"/>
      <c r="JRH346" s="34"/>
      <c r="JRI346" s="34"/>
      <c r="JRJ346" s="34"/>
      <c r="JRK346" s="34"/>
      <c r="JRL346" s="34"/>
      <c r="JRM346" s="34"/>
      <c r="JRN346" s="34"/>
      <c r="JRO346" s="34"/>
      <c r="JRP346" s="34"/>
      <c r="JRQ346" s="34"/>
      <c r="JRR346" s="34"/>
      <c r="JRS346" s="34"/>
      <c r="JRT346" s="34"/>
      <c r="JRU346" s="34"/>
      <c r="JRV346" s="34"/>
      <c r="JRW346" s="34"/>
      <c r="JRX346" s="34"/>
      <c r="JRY346" s="34"/>
      <c r="JRZ346" s="34"/>
      <c r="JSA346" s="34"/>
      <c r="JSB346" s="34"/>
      <c r="JSC346" s="34"/>
      <c r="JSD346" s="34"/>
      <c r="JSE346" s="34"/>
      <c r="JSF346" s="34"/>
      <c r="JSG346" s="34"/>
      <c r="JSH346" s="34"/>
      <c r="JSI346" s="34"/>
      <c r="JSJ346" s="34"/>
      <c r="JSK346" s="34"/>
      <c r="JSL346" s="34"/>
      <c r="JSM346" s="34"/>
      <c r="JSN346" s="34"/>
      <c r="JSO346" s="34"/>
      <c r="JSP346" s="34"/>
      <c r="JSQ346" s="34"/>
      <c r="JSR346" s="34"/>
      <c r="JSS346" s="34"/>
      <c r="JST346" s="34"/>
      <c r="JSU346" s="34"/>
      <c r="JSV346" s="34"/>
      <c r="JSW346" s="34"/>
      <c r="JSX346" s="34"/>
      <c r="JSY346" s="34"/>
      <c r="JSZ346" s="34"/>
      <c r="JTA346" s="34"/>
      <c r="JTB346" s="34"/>
      <c r="JTC346" s="34"/>
      <c r="JTD346" s="34"/>
      <c r="JTE346" s="34"/>
      <c r="JTF346" s="34"/>
      <c r="JTG346" s="34"/>
      <c r="JTH346" s="34"/>
      <c r="JTI346" s="34"/>
      <c r="JTJ346" s="34"/>
      <c r="JTK346" s="34"/>
      <c r="JTL346" s="34"/>
      <c r="JTM346" s="34"/>
      <c r="JTN346" s="34"/>
      <c r="JTO346" s="34"/>
      <c r="JTP346" s="34"/>
      <c r="JTQ346" s="34"/>
      <c r="JTR346" s="34"/>
      <c r="JTS346" s="34"/>
      <c r="JTT346" s="34"/>
      <c r="JTU346" s="34"/>
      <c r="JTV346" s="34"/>
      <c r="JTW346" s="34"/>
      <c r="JTX346" s="34"/>
      <c r="JTY346" s="34"/>
      <c r="JTZ346" s="34"/>
      <c r="JUA346" s="34"/>
      <c r="JUB346" s="34"/>
      <c r="JUC346" s="34"/>
      <c r="JUD346" s="34"/>
      <c r="JUE346" s="34"/>
      <c r="JUF346" s="34"/>
      <c r="JUG346" s="34"/>
      <c r="JUH346" s="34"/>
      <c r="JUI346" s="34"/>
      <c r="JUJ346" s="34"/>
      <c r="JUK346" s="34"/>
      <c r="JUL346" s="34"/>
      <c r="JUM346" s="34"/>
      <c r="JUN346" s="34"/>
      <c r="JUO346" s="34"/>
      <c r="JUP346" s="34"/>
      <c r="JUQ346" s="34"/>
      <c r="JUR346" s="34"/>
      <c r="JUS346" s="34"/>
      <c r="JUT346" s="34"/>
      <c r="JUU346" s="34"/>
      <c r="JUV346" s="34"/>
      <c r="JUW346" s="34"/>
      <c r="JUX346" s="34"/>
      <c r="JUY346" s="34"/>
      <c r="JUZ346" s="34"/>
      <c r="JVA346" s="34"/>
      <c r="JVB346" s="34"/>
      <c r="JVC346" s="34"/>
      <c r="JVD346" s="34"/>
      <c r="JVE346" s="34"/>
      <c r="JVF346" s="34"/>
      <c r="JVG346" s="34"/>
      <c r="JVH346" s="34"/>
      <c r="JVI346" s="34"/>
      <c r="JVJ346" s="34"/>
      <c r="JVK346" s="34"/>
      <c r="JVL346" s="34"/>
      <c r="JVM346" s="34"/>
      <c r="JVN346" s="34"/>
      <c r="JVO346" s="34"/>
      <c r="JVP346" s="34"/>
      <c r="JVQ346" s="34"/>
      <c r="JVR346" s="34"/>
      <c r="JVS346" s="34"/>
      <c r="JVT346" s="34"/>
      <c r="JVU346" s="34"/>
      <c r="JVV346" s="34"/>
      <c r="JVW346" s="34"/>
      <c r="JVX346" s="34"/>
      <c r="JVY346" s="34"/>
      <c r="JVZ346" s="34"/>
      <c r="JWA346" s="34"/>
      <c r="JWB346" s="34"/>
      <c r="JWC346" s="34"/>
      <c r="JWD346" s="34"/>
      <c r="JWE346" s="34"/>
      <c r="JWF346" s="34"/>
      <c r="JWG346" s="34"/>
      <c r="JWH346" s="34"/>
      <c r="JWI346" s="34"/>
      <c r="JWJ346" s="34"/>
      <c r="JWK346" s="34"/>
      <c r="JWL346" s="34"/>
      <c r="JWM346" s="34"/>
      <c r="JWN346" s="34"/>
      <c r="JWO346" s="34"/>
      <c r="JWP346" s="34"/>
      <c r="JWQ346" s="34"/>
      <c r="JWR346" s="34"/>
      <c r="JWS346" s="34"/>
      <c r="JWT346" s="34"/>
      <c r="JWU346" s="34"/>
      <c r="JWV346" s="34"/>
      <c r="JWW346" s="34"/>
      <c r="JWX346" s="34"/>
      <c r="JWY346" s="34"/>
      <c r="JWZ346" s="34"/>
      <c r="JXA346" s="34"/>
      <c r="JXB346" s="34"/>
      <c r="JXC346" s="34"/>
      <c r="JXD346" s="34"/>
      <c r="JXE346" s="34"/>
      <c r="JXF346" s="34"/>
      <c r="JXG346" s="34"/>
      <c r="JXH346" s="34"/>
      <c r="JXI346" s="34"/>
      <c r="JXJ346" s="34"/>
      <c r="JXK346" s="34"/>
      <c r="JXL346" s="34"/>
      <c r="JXM346" s="34"/>
      <c r="JXN346" s="34"/>
      <c r="JXO346" s="34"/>
      <c r="JXP346" s="34"/>
      <c r="JXQ346" s="34"/>
      <c r="JXR346" s="34"/>
      <c r="JXS346" s="34"/>
      <c r="JXT346" s="34"/>
      <c r="JXU346" s="34"/>
      <c r="JXV346" s="34"/>
      <c r="JXW346" s="34"/>
      <c r="JXX346" s="34"/>
      <c r="JXY346" s="34"/>
      <c r="JXZ346" s="34"/>
      <c r="JYA346" s="34"/>
      <c r="JYB346" s="34"/>
      <c r="JYC346" s="34"/>
      <c r="JYD346" s="34"/>
      <c r="JYE346" s="34"/>
      <c r="JYF346" s="34"/>
      <c r="JYG346" s="34"/>
      <c r="JYH346" s="34"/>
      <c r="JYI346" s="34"/>
      <c r="JYJ346" s="34"/>
      <c r="JYK346" s="34"/>
      <c r="JYL346" s="34"/>
      <c r="JYM346" s="34"/>
      <c r="JYN346" s="34"/>
      <c r="JYO346" s="34"/>
      <c r="JYP346" s="34"/>
      <c r="JYQ346" s="34"/>
      <c r="JYR346" s="34"/>
      <c r="JYS346" s="34"/>
      <c r="JYT346" s="34"/>
      <c r="JYU346" s="34"/>
      <c r="JYV346" s="34"/>
      <c r="JYW346" s="34"/>
      <c r="JYX346" s="34"/>
      <c r="JYY346" s="34"/>
      <c r="JYZ346" s="34"/>
      <c r="JZA346" s="34"/>
      <c r="JZB346" s="34"/>
      <c r="JZC346" s="34"/>
      <c r="JZD346" s="34"/>
      <c r="JZE346" s="34"/>
      <c r="JZF346" s="34"/>
      <c r="JZG346" s="34"/>
      <c r="JZH346" s="34"/>
      <c r="JZI346" s="34"/>
      <c r="JZJ346" s="34"/>
      <c r="JZK346" s="34"/>
      <c r="JZL346" s="34"/>
      <c r="JZM346" s="34"/>
      <c r="JZN346" s="34"/>
      <c r="JZO346" s="34"/>
      <c r="JZP346" s="34"/>
      <c r="JZQ346" s="34"/>
      <c r="JZR346" s="34"/>
      <c r="JZS346" s="34"/>
      <c r="JZT346" s="34"/>
      <c r="JZU346" s="34"/>
      <c r="JZV346" s="34"/>
      <c r="JZW346" s="34"/>
      <c r="JZX346" s="34"/>
      <c r="JZY346" s="34"/>
      <c r="JZZ346" s="34"/>
      <c r="KAA346" s="34"/>
      <c r="KAB346" s="34"/>
      <c r="KAC346" s="34"/>
      <c r="KAD346" s="34"/>
      <c r="KAE346" s="34"/>
      <c r="KAF346" s="34"/>
      <c r="KAG346" s="34"/>
      <c r="KAH346" s="34"/>
      <c r="KAI346" s="34"/>
      <c r="KAJ346" s="34"/>
      <c r="KAK346" s="34"/>
      <c r="KAL346" s="34"/>
      <c r="KAM346" s="34"/>
      <c r="KAN346" s="34"/>
      <c r="KAO346" s="34"/>
      <c r="KAP346" s="34"/>
      <c r="KAQ346" s="34"/>
      <c r="KAR346" s="34"/>
      <c r="KAS346" s="34"/>
      <c r="KAT346" s="34"/>
      <c r="KAU346" s="34"/>
      <c r="KAV346" s="34"/>
      <c r="KAW346" s="34"/>
      <c r="KAX346" s="34"/>
      <c r="KAY346" s="34"/>
      <c r="KAZ346" s="34"/>
      <c r="KBA346" s="34"/>
      <c r="KBB346" s="34"/>
      <c r="KBC346" s="34"/>
      <c r="KBD346" s="34"/>
      <c r="KBE346" s="34"/>
      <c r="KBF346" s="34"/>
      <c r="KBG346" s="34"/>
      <c r="KBH346" s="34"/>
      <c r="KBI346" s="34"/>
      <c r="KBJ346" s="34"/>
      <c r="KBK346" s="34"/>
      <c r="KBL346" s="34"/>
      <c r="KBM346" s="34"/>
      <c r="KBN346" s="34"/>
      <c r="KBO346" s="34"/>
      <c r="KBP346" s="34"/>
      <c r="KBQ346" s="34"/>
      <c r="KBR346" s="34"/>
      <c r="KBS346" s="34"/>
      <c r="KBT346" s="34"/>
      <c r="KBU346" s="34"/>
      <c r="KBV346" s="34"/>
      <c r="KBW346" s="34"/>
      <c r="KBX346" s="34"/>
      <c r="KBY346" s="34"/>
      <c r="KBZ346" s="34"/>
      <c r="KCA346" s="34"/>
      <c r="KCB346" s="34"/>
      <c r="KCC346" s="34"/>
      <c r="KCD346" s="34"/>
      <c r="KCE346" s="34"/>
      <c r="KCF346" s="34"/>
      <c r="KCG346" s="34"/>
      <c r="KCH346" s="34"/>
      <c r="KCI346" s="34"/>
      <c r="KCJ346" s="34"/>
      <c r="KCK346" s="34"/>
      <c r="KCL346" s="34"/>
      <c r="KCM346" s="34"/>
      <c r="KCN346" s="34"/>
      <c r="KCO346" s="34"/>
      <c r="KCP346" s="34"/>
      <c r="KCQ346" s="34"/>
      <c r="KCR346" s="34"/>
      <c r="KCS346" s="34"/>
      <c r="KCT346" s="34"/>
      <c r="KCU346" s="34"/>
      <c r="KCV346" s="34"/>
      <c r="KCW346" s="34"/>
      <c r="KCX346" s="34"/>
      <c r="KCY346" s="34"/>
      <c r="KCZ346" s="34"/>
      <c r="KDA346" s="34"/>
      <c r="KDB346" s="34"/>
      <c r="KDC346" s="34"/>
      <c r="KDD346" s="34"/>
      <c r="KDE346" s="34"/>
      <c r="KDF346" s="34"/>
      <c r="KDG346" s="34"/>
      <c r="KDH346" s="34"/>
      <c r="KDI346" s="34"/>
      <c r="KDJ346" s="34"/>
      <c r="KDK346" s="34"/>
      <c r="KDL346" s="34"/>
      <c r="KDM346" s="34"/>
      <c r="KDN346" s="34"/>
      <c r="KDO346" s="34"/>
      <c r="KDP346" s="34"/>
      <c r="KDQ346" s="34"/>
      <c r="KDR346" s="34"/>
      <c r="KDS346" s="34"/>
      <c r="KDT346" s="34"/>
      <c r="KDU346" s="34"/>
      <c r="KDV346" s="34"/>
      <c r="KDW346" s="34"/>
      <c r="KDX346" s="34"/>
      <c r="KDY346" s="34"/>
      <c r="KDZ346" s="34"/>
      <c r="KEA346" s="34"/>
      <c r="KEB346" s="34"/>
      <c r="KEC346" s="34"/>
      <c r="KED346" s="34"/>
      <c r="KEE346" s="34"/>
      <c r="KEF346" s="34"/>
      <c r="KEG346" s="34"/>
      <c r="KEH346" s="34"/>
      <c r="KEI346" s="34"/>
      <c r="KEJ346" s="34"/>
      <c r="KEK346" s="34"/>
      <c r="KEL346" s="34"/>
      <c r="KEM346" s="34"/>
      <c r="KEN346" s="34"/>
      <c r="KEO346" s="34"/>
      <c r="KEP346" s="34"/>
      <c r="KEQ346" s="34"/>
      <c r="KER346" s="34"/>
      <c r="KES346" s="34"/>
      <c r="KET346" s="34"/>
      <c r="KEU346" s="34"/>
      <c r="KEV346" s="34"/>
      <c r="KEW346" s="34"/>
      <c r="KEX346" s="34"/>
      <c r="KEY346" s="34"/>
      <c r="KEZ346" s="34"/>
      <c r="KFA346" s="34"/>
      <c r="KFB346" s="34"/>
      <c r="KFC346" s="34"/>
      <c r="KFD346" s="34"/>
      <c r="KFE346" s="34"/>
      <c r="KFF346" s="34"/>
      <c r="KFG346" s="34"/>
      <c r="KFH346" s="34"/>
      <c r="KFI346" s="34"/>
      <c r="KFJ346" s="34"/>
      <c r="KFK346" s="34"/>
      <c r="KFL346" s="34"/>
      <c r="KFM346" s="34"/>
      <c r="KFN346" s="34"/>
      <c r="KFO346" s="34"/>
      <c r="KFP346" s="34"/>
      <c r="KFQ346" s="34"/>
      <c r="KFR346" s="34"/>
      <c r="KFS346" s="34"/>
      <c r="KFT346" s="34"/>
      <c r="KFU346" s="34"/>
      <c r="KFV346" s="34"/>
      <c r="KFW346" s="34"/>
      <c r="KFX346" s="34"/>
      <c r="KFY346" s="34"/>
      <c r="KFZ346" s="34"/>
      <c r="KGA346" s="34"/>
      <c r="KGB346" s="34"/>
      <c r="KGC346" s="34"/>
      <c r="KGD346" s="34"/>
      <c r="KGE346" s="34"/>
      <c r="KGF346" s="34"/>
      <c r="KGG346" s="34"/>
      <c r="KGH346" s="34"/>
      <c r="KGI346" s="34"/>
      <c r="KGJ346" s="34"/>
      <c r="KGK346" s="34"/>
      <c r="KGL346" s="34"/>
      <c r="KGM346" s="34"/>
      <c r="KGN346" s="34"/>
      <c r="KGO346" s="34"/>
      <c r="KGP346" s="34"/>
      <c r="KGQ346" s="34"/>
      <c r="KGR346" s="34"/>
      <c r="KGS346" s="34"/>
      <c r="KGT346" s="34"/>
      <c r="KGU346" s="34"/>
      <c r="KGV346" s="34"/>
      <c r="KGW346" s="34"/>
      <c r="KGX346" s="34"/>
      <c r="KGY346" s="34"/>
      <c r="KGZ346" s="34"/>
      <c r="KHA346" s="34"/>
      <c r="KHB346" s="34"/>
      <c r="KHC346" s="34"/>
      <c r="KHD346" s="34"/>
      <c r="KHE346" s="34"/>
      <c r="KHF346" s="34"/>
      <c r="KHG346" s="34"/>
      <c r="KHH346" s="34"/>
      <c r="KHI346" s="34"/>
      <c r="KHJ346" s="34"/>
      <c r="KHK346" s="34"/>
      <c r="KHL346" s="34"/>
      <c r="KHM346" s="34"/>
      <c r="KHN346" s="34"/>
      <c r="KHO346" s="34"/>
      <c r="KHP346" s="34"/>
      <c r="KHQ346" s="34"/>
      <c r="KHR346" s="34"/>
      <c r="KHS346" s="34"/>
      <c r="KHT346" s="34"/>
      <c r="KHU346" s="34"/>
      <c r="KHV346" s="34"/>
      <c r="KHW346" s="34"/>
      <c r="KHX346" s="34"/>
      <c r="KHY346" s="34"/>
      <c r="KHZ346" s="34"/>
      <c r="KIA346" s="34"/>
      <c r="KIB346" s="34"/>
      <c r="KIC346" s="34"/>
      <c r="KID346" s="34"/>
      <c r="KIE346" s="34"/>
      <c r="KIF346" s="34"/>
      <c r="KIG346" s="34"/>
      <c r="KIH346" s="34"/>
      <c r="KII346" s="34"/>
      <c r="KIJ346" s="34"/>
      <c r="KIK346" s="34"/>
      <c r="KIL346" s="34"/>
      <c r="KIM346" s="34"/>
      <c r="KIN346" s="34"/>
      <c r="KIO346" s="34"/>
      <c r="KIP346" s="34"/>
      <c r="KIQ346" s="34"/>
      <c r="KIR346" s="34"/>
      <c r="KIS346" s="34"/>
      <c r="KIT346" s="34"/>
      <c r="KIU346" s="34"/>
      <c r="KIV346" s="34"/>
      <c r="KIW346" s="34"/>
      <c r="KIX346" s="34"/>
      <c r="KIY346" s="34"/>
      <c r="KIZ346" s="34"/>
      <c r="KJA346" s="34"/>
      <c r="KJB346" s="34"/>
      <c r="KJC346" s="34"/>
      <c r="KJD346" s="34"/>
      <c r="KJE346" s="34"/>
      <c r="KJF346" s="34"/>
      <c r="KJG346" s="34"/>
      <c r="KJH346" s="34"/>
      <c r="KJI346" s="34"/>
      <c r="KJJ346" s="34"/>
      <c r="KJK346" s="34"/>
      <c r="KJL346" s="34"/>
      <c r="KJM346" s="34"/>
      <c r="KJN346" s="34"/>
      <c r="KJO346" s="34"/>
      <c r="KJP346" s="34"/>
      <c r="KJQ346" s="34"/>
      <c r="KJR346" s="34"/>
      <c r="KJS346" s="34"/>
      <c r="KJT346" s="34"/>
      <c r="KJU346" s="34"/>
      <c r="KJV346" s="34"/>
      <c r="KJW346" s="34"/>
      <c r="KJX346" s="34"/>
      <c r="KJY346" s="34"/>
      <c r="KJZ346" s="34"/>
      <c r="KKA346" s="34"/>
      <c r="KKB346" s="34"/>
      <c r="KKC346" s="34"/>
      <c r="KKD346" s="34"/>
      <c r="KKE346" s="34"/>
      <c r="KKF346" s="34"/>
      <c r="KKG346" s="34"/>
      <c r="KKH346" s="34"/>
      <c r="KKI346" s="34"/>
      <c r="KKJ346" s="34"/>
      <c r="KKK346" s="34"/>
      <c r="KKL346" s="34"/>
      <c r="KKM346" s="34"/>
      <c r="KKN346" s="34"/>
      <c r="KKO346" s="34"/>
      <c r="KKP346" s="34"/>
      <c r="KKQ346" s="34"/>
      <c r="KKR346" s="34"/>
      <c r="KKS346" s="34"/>
      <c r="KKT346" s="34"/>
      <c r="KKU346" s="34"/>
      <c r="KKV346" s="34"/>
      <c r="KKW346" s="34"/>
      <c r="KKX346" s="34"/>
      <c r="KKY346" s="34"/>
      <c r="KKZ346" s="34"/>
      <c r="KLA346" s="34"/>
      <c r="KLB346" s="34"/>
      <c r="KLC346" s="34"/>
      <c r="KLD346" s="34"/>
      <c r="KLE346" s="34"/>
      <c r="KLF346" s="34"/>
      <c r="KLG346" s="34"/>
      <c r="KLH346" s="34"/>
      <c r="KLI346" s="34"/>
      <c r="KLJ346" s="34"/>
      <c r="KLK346" s="34"/>
      <c r="KLL346" s="34"/>
      <c r="KLM346" s="34"/>
      <c r="KLN346" s="34"/>
      <c r="KLO346" s="34"/>
      <c r="KLP346" s="34"/>
      <c r="KLQ346" s="34"/>
      <c r="KLR346" s="34"/>
      <c r="KLS346" s="34"/>
      <c r="KLT346" s="34"/>
      <c r="KLU346" s="34"/>
      <c r="KLV346" s="34"/>
      <c r="KLW346" s="34"/>
      <c r="KLX346" s="34"/>
      <c r="KLY346" s="34"/>
      <c r="KLZ346" s="34"/>
      <c r="KMA346" s="34"/>
      <c r="KMB346" s="34"/>
      <c r="KMC346" s="34"/>
      <c r="KMD346" s="34"/>
      <c r="KME346" s="34"/>
      <c r="KMF346" s="34"/>
      <c r="KMG346" s="34"/>
      <c r="KMH346" s="34"/>
      <c r="KMI346" s="34"/>
      <c r="KMJ346" s="34"/>
      <c r="KMK346" s="34"/>
      <c r="KML346" s="34"/>
      <c r="KMM346" s="34"/>
      <c r="KMN346" s="34"/>
      <c r="KMO346" s="34"/>
      <c r="KMP346" s="34"/>
      <c r="KMQ346" s="34"/>
      <c r="KMR346" s="34"/>
      <c r="KMS346" s="34"/>
      <c r="KMT346" s="34"/>
      <c r="KMU346" s="34"/>
      <c r="KMV346" s="34"/>
      <c r="KMW346" s="34"/>
      <c r="KMX346" s="34"/>
      <c r="KMY346" s="34"/>
      <c r="KMZ346" s="34"/>
      <c r="KNA346" s="34"/>
      <c r="KNB346" s="34"/>
      <c r="KNC346" s="34"/>
      <c r="KND346" s="34"/>
      <c r="KNE346" s="34"/>
      <c r="KNF346" s="34"/>
      <c r="KNG346" s="34"/>
      <c r="KNH346" s="34"/>
      <c r="KNI346" s="34"/>
      <c r="KNJ346" s="34"/>
      <c r="KNK346" s="34"/>
      <c r="KNL346" s="34"/>
      <c r="KNM346" s="34"/>
      <c r="KNN346" s="34"/>
      <c r="KNO346" s="34"/>
      <c r="KNP346" s="34"/>
      <c r="KNQ346" s="34"/>
      <c r="KNR346" s="34"/>
      <c r="KNS346" s="34"/>
      <c r="KNT346" s="34"/>
      <c r="KNU346" s="34"/>
      <c r="KNV346" s="34"/>
      <c r="KNW346" s="34"/>
      <c r="KNX346" s="34"/>
      <c r="KNY346" s="34"/>
      <c r="KNZ346" s="34"/>
      <c r="KOA346" s="34"/>
      <c r="KOB346" s="34"/>
      <c r="KOC346" s="34"/>
      <c r="KOD346" s="34"/>
      <c r="KOE346" s="34"/>
      <c r="KOF346" s="34"/>
      <c r="KOG346" s="34"/>
      <c r="KOH346" s="34"/>
      <c r="KOI346" s="34"/>
      <c r="KOJ346" s="34"/>
      <c r="KOK346" s="34"/>
      <c r="KOL346" s="34"/>
      <c r="KOM346" s="34"/>
      <c r="KON346" s="34"/>
      <c r="KOO346" s="34"/>
      <c r="KOP346" s="34"/>
      <c r="KOQ346" s="34"/>
      <c r="KOR346" s="34"/>
      <c r="KOS346" s="34"/>
      <c r="KOT346" s="34"/>
      <c r="KOU346" s="34"/>
      <c r="KOV346" s="34"/>
      <c r="KOW346" s="34"/>
      <c r="KOX346" s="34"/>
      <c r="KOY346" s="34"/>
      <c r="KOZ346" s="34"/>
      <c r="KPA346" s="34"/>
      <c r="KPB346" s="34"/>
      <c r="KPC346" s="34"/>
      <c r="KPD346" s="34"/>
      <c r="KPE346" s="34"/>
      <c r="KPF346" s="34"/>
      <c r="KPG346" s="34"/>
      <c r="KPH346" s="34"/>
      <c r="KPI346" s="34"/>
      <c r="KPJ346" s="34"/>
      <c r="KPK346" s="34"/>
      <c r="KPL346" s="34"/>
      <c r="KPM346" s="34"/>
      <c r="KPN346" s="34"/>
      <c r="KPO346" s="34"/>
      <c r="KPP346" s="34"/>
      <c r="KPQ346" s="34"/>
      <c r="KPR346" s="34"/>
      <c r="KPS346" s="34"/>
      <c r="KPT346" s="34"/>
      <c r="KPU346" s="34"/>
      <c r="KPV346" s="34"/>
      <c r="KPW346" s="34"/>
      <c r="KPX346" s="34"/>
      <c r="KPY346" s="34"/>
      <c r="KPZ346" s="34"/>
      <c r="KQA346" s="34"/>
      <c r="KQB346" s="34"/>
      <c r="KQC346" s="34"/>
      <c r="KQD346" s="34"/>
      <c r="KQE346" s="34"/>
      <c r="KQF346" s="34"/>
      <c r="KQG346" s="34"/>
      <c r="KQH346" s="34"/>
      <c r="KQI346" s="34"/>
      <c r="KQJ346" s="34"/>
      <c r="KQK346" s="34"/>
      <c r="KQL346" s="34"/>
      <c r="KQM346" s="34"/>
      <c r="KQN346" s="34"/>
      <c r="KQO346" s="34"/>
      <c r="KQP346" s="34"/>
      <c r="KQQ346" s="34"/>
      <c r="KQR346" s="34"/>
      <c r="KQS346" s="34"/>
      <c r="KQT346" s="34"/>
      <c r="KQU346" s="34"/>
      <c r="KQV346" s="34"/>
      <c r="KQW346" s="34"/>
      <c r="KQX346" s="34"/>
      <c r="KQY346" s="34"/>
      <c r="KQZ346" s="34"/>
      <c r="KRA346" s="34"/>
      <c r="KRB346" s="34"/>
      <c r="KRC346" s="34"/>
      <c r="KRD346" s="34"/>
      <c r="KRE346" s="34"/>
      <c r="KRF346" s="34"/>
      <c r="KRG346" s="34"/>
      <c r="KRH346" s="34"/>
      <c r="KRI346" s="34"/>
      <c r="KRJ346" s="34"/>
      <c r="KRK346" s="34"/>
      <c r="KRL346" s="34"/>
      <c r="KRM346" s="34"/>
      <c r="KRN346" s="34"/>
      <c r="KRO346" s="34"/>
      <c r="KRP346" s="34"/>
      <c r="KRQ346" s="34"/>
      <c r="KRR346" s="34"/>
      <c r="KRS346" s="34"/>
      <c r="KRT346" s="34"/>
      <c r="KRU346" s="34"/>
      <c r="KRV346" s="34"/>
      <c r="KRW346" s="34"/>
      <c r="KRX346" s="34"/>
      <c r="KRY346" s="34"/>
      <c r="KRZ346" s="34"/>
      <c r="KSA346" s="34"/>
      <c r="KSB346" s="34"/>
      <c r="KSC346" s="34"/>
      <c r="KSD346" s="34"/>
      <c r="KSE346" s="34"/>
      <c r="KSF346" s="34"/>
      <c r="KSG346" s="34"/>
      <c r="KSH346" s="34"/>
      <c r="KSI346" s="34"/>
      <c r="KSJ346" s="34"/>
      <c r="KSK346" s="34"/>
      <c r="KSL346" s="34"/>
      <c r="KSM346" s="34"/>
      <c r="KSN346" s="34"/>
      <c r="KSO346" s="34"/>
      <c r="KSP346" s="34"/>
      <c r="KSQ346" s="34"/>
      <c r="KSR346" s="34"/>
      <c r="KSS346" s="34"/>
      <c r="KST346" s="34"/>
      <c r="KSU346" s="34"/>
      <c r="KSV346" s="34"/>
      <c r="KSW346" s="34"/>
      <c r="KSX346" s="34"/>
      <c r="KSY346" s="34"/>
      <c r="KSZ346" s="34"/>
      <c r="KTA346" s="34"/>
      <c r="KTB346" s="34"/>
      <c r="KTC346" s="34"/>
      <c r="KTD346" s="34"/>
      <c r="KTE346" s="34"/>
      <c r="KTF346" s="34"/>
      <c r="KTG346" s="34"/>
      <c r="KTH346" s="34"/>
      <c r="KTI346" s="34"/>
      <c r="KTJ346" s="34"/>
      <c r="KTK346" s="34"/>
      <c r="KTL346" s="34"/>
      <c r="KTM346" s="34"/>
      <c r="KTN346" s="34"/>
      <c r="KTO346" s="34"/>
      <c r="KTP346" s="34"/>
      <c r="KTQ346" s="34"/>
      <c r="KTR346" s="34"/>
      <c r="KTS346" s="34"/>
      <c r="KTT346" s="34"/>
      <c r="KTU346" s="34"/>
      <c r="KTV346" s="34"/>
      <c r="KTW346" s="34"/>
      <c r="KTX346" s="34"/>
      <c r="KTY346" s="34"/>
      <c r="KTZ346" s="34"/>
      <c r="KUA346" s="34"/>
      <c r="KUB346" s="34"/>
      <c r="KUC346" s="34"/>
      <c r="KUD346" s="34"/>
      <c r="KUE346" s="34"/>
      <c r="KUF346" s="34"/>
      <c r="KUG346" s="34"/>
      <c r="KUH346" s="34"/>
      <c r="KUI346" s="34"/>
      <c r="KUJ346" s="34"/>
      <c r="KUK346" s="34"/>
      <c r="KUL346" s="34"/>
      <c r="KUM346" s="34"/>
      <c r="KUN346" s="34"/>
      <c r="KUO346" s="34"/>
      <c r="KUP346" s="34"/>
      <c r="KUQ346" s="34"/>
      <c r="KUR346" s="34"/>
      <c r="KUS346" s="34"/>
      <c r="KUT346" s="34"/>
      <c r="KUU346" s="34"/>
      <c r="KUV346" s="34"/>
      <c r="KUW346" s="34"/>
      <c r="KUX346" s="34"/>
      <c r="KUY346" s="34"/>
      <c r="KUZ346" s="34"/>
      <c r="KVA346" s="34"/>
      <c r="KVB346" s="34"/>
      <c r="KVC346" s="34"/>
      <c r="KVD346" s="34"/>
      <c r="KVE346" s="34"/>
      <c r="KVF346" s="34"/>
      <c r="KVG346" s="34"/>
      <c r="KVH346" s="34"/>
      <c r="KVI346" s="34"/>
      <c r="KVJ346" s="34"/>
      <c r="KVK346" s="34"/>
      <c r="KVL346" s="34"/>
      <c r="KVM346" s="34"/>
      <c r="KVN346" s="34"/>
      <c r="KVO346" s="34"/>
      <c r="KVP346" s="34"/>
      <c r="KVQ346" s="34"/>
      <c r="KVR346" s="34"/>
      <c r="KVS346" s="34"/>
      <c r="KVT346" s="34"/>
      <c r="KVU346" s="34"/>
      <c r="KVV346" s="34"/>
      <c r="KVW346" s="34"/>
      <c r="KVX346" s="34"/>
      <c r="KVY346" s="34"/>
      <c r="KVZ346" s="34"/>
      <c r="KWA346" s="34"/>
      <c r="KWB346" s="34"/>
      <c r="KWC346" s="34"/>
      <c r="KWD346" s="34"/>
      <c r="KWE346" s="34"/>
      <c r="KWF346" s="34"/>
      <c r="KWG346" s="34"/>
      <c r="KWH346" s="34"/>
      <c r="KWI346" s="34"/>
      <c r="KWJ346" s="34"/>
      <c r="KWK346" s="34"/>
      <c r="KWL346" s="34"/>
      <c r="KWM346" s="34"/>
      <c r="KWN346" s="34"/>
      <c r="KWO346" s="34"/>
      <c r="KWP346" s="34"/>
      <c r="KWQ346" s="34"/>
      <c r="KWR346" s="34"/>
      <c r="KWS346" s="34"/>
      <c r="KWT346" s="34"/>
      <c r="KWU346" s="34"/>
      <c r="KWV346" s="34"/>
      <c r="KWW346" s="34"/>
      <c r="KWX346" s="34"/>
      <c r="KWY346" s="34"/>
      <c r="KWZ346" s="34"/>
      <c r="KXA346" s="34"/>
      <c r="KXB346" s="34"/>
      <c r="KXC346" s="34"/>
      <c r="KXD346" s="34"/>
      <c r="KXE346" s="34"/>
      <c r="KXF346" s="34"/>
      <c r="KXG346" s="34"/>
      <c r="KXH346" s="34"/>
      <c r="KXI346" s="34"/>
      <c r="KXJ346" s="34"/>
      <c r="KXK346" s="34"/>
      <c r="KXL346" s="34"/>
      <c r="KXM346" s="34"/>
      <c r="KXN346" s="34"/>
      <c r="KXO346" s="34"/>
      <c r="KXP346" s="34"/>
      <c r="KXQ346" s="34"/>
      <c r="KXR346" s="34"/>
      <c r="KXS346" s="34"/>
      <c r="KXT346" s="34"/>
      <c r="KXU346" s="34"/>
      <c r="KXV346" s="34"/>
      <c r="KXW346" s="34"/>
      <c r="KXX346" s="34"/>
      <c r="KXY346" s="34"/>
      <c r="KXZ346" s="34"/>
      <c r="KYA346" s="34"/>
      <c r="KYB346" s="34"/>
      <c r="KYC346" s="34"/>
      <c r="KYD346" s="34"/>
      <c r="KYE346" s="34"/>
      <c r="KYF346" s="34"/>
      <c r="KYG346" s="34"/>
      <c r="KYH346" s="34"/>
      <c r="KYI346" s="34"/>
      <c r="KYJ346" s="34"/>
      <c r="KYK346" s="34"/>
      <c r="KYL346" s="34"/>
      <c r="KYM346" s="34"/>
      <c r="KYN346" s="34"/>
      <c r="KYO346" s="34"/>
      <c r="KYP346" s="34"/>
      <c r="KYQ346" s="34"/>
      <c r="KYR346" s="34"/>
      <c r="KYS346" s="34"/>
      <c r="KYT346" s="34"/>
      <c r="KYU346" s="34"/>
      <c r="KYV346" s="34"/>
      <c r="KYW346" s="34"/>
      <c r="KYX346" s="34"/>
      <c r="KYY346" s="34"/>
      <c r="KYZ346" s="34"/>
      <c r="KZA346" s="34"/>
      <c r="KZB346" s="34"/>
      <c r="KZC346" s="34"/>
      <c r="KZD346" s="34"/>
      <c r="KZE346" s="34"/>
      <c r="KZF346" s="34"/>
      <c r="KZG346" s="34"/>
      <c r="KZH346" s="34"/>
      <c r="KZI346" s="34"/>
      <c r="KZJ346" s="34"/>
      <c r="KZK346" s="34"/>
      <c r="KZL346" s="34"/>
      <c r="KZM346" s="34"/>
      <c r="KZN346" s="34"/>
      <c r="KZO346" s="34"/>
      <c r="KZP346" s="34"/>
      <c r="KZQ346" s="34"/>
      <c r="KZR346" s="34"/>
      <c r="KZS346" s="34"/>
      <c r="KZT346" s="34"/>
      <c r="KZU346" s="34"/>
      <c r="KZV346" s="34"/>
      <c r="KZW346" s="34"/>
      <c r="KZX346" s="34"/>
      <c r="KZY346" s="34"/>
      <c r="KZZ346" s="34"/>
      <c r="LAA346" s="34"/>
      <c r="LAB346" s="34"/>
      <c r="LAC346" s="34"/>
      <c r="LAD346" s="34"/>
      <c r="LAE346" s="34"/>
      <c r="LAF346" s="34"/>
      <c r="LAG346" s="34"/>
      <c r="LAH346" s="34"/>
      <c r="LAI346" s="34"/>
      <c r="LAJ346" s="34"/>
      <c r="LAK346" s="34"/>
      <c r="LAL346" s="34"/>
      <c r="LAM346" s="34"/>
      <c r="LAN346" s="34"/>
      <c r="LAO346" s="34"/>
      <c r="LAP346" s="34"/>
      <c r="LAQ346" s="34"/>
      <c r="LAR346" s="34"/>
      <c r="LAS346" s="34"/>
      <c r="LAT346" s="34"/>
      <c r="LAU346" s="34"/>
      <c r="LAV346" s="34"/>
      <c r="LAW346" s="34"/>
      <c r="LAX346" s="34"/>
      <c r="LAY346" s="34"/>
      <c r="LAZ346" s="34"/>
      <c r="LBA346" s="34"/>
      <c r="LBB346" s="34"/>
      <c r="LBC346" s="34"/>
      <c r="LBD346" s="34"/>
      <c r="LBE346" s="34"/>
      <c r="LBF346" s="34"/>
      <c r="LBG346" s="34"/>
      <c r="LBH346" s="34"/>
      <c r="LBI346" s="34"/>
      <c r="LBJ346" s="34"/>
      <c r="LBK346" s="34"/>
      <c r="LBL346" s="34"/>
      <c r="LBM346" s="34"/>
      <c r="LBN346" s="34"/>
      <c r="LBO346" s="34"/>
      <c r="LBP346" s="34"/>
      <c r="LBQ346" s="34"/>
      <c r="LBR346" s="34"/>
      <c r="LBS346" s="34"/>
      <c r="LBT346" s="34"/>
      <c r="LBU346" s="34"/>
      <c r="LBV346" s="34"/>
      <c r="LBW346" s="34"/>
      <c r="LBX346" s="34"/>
      <c r="LBY346" s="34"/>
      <c r="LBZ346" s="34"/>
      <c r="LCA346" s="34"/>
      <c r="LCB346" s="34"/>
      <c r="LCC346" s="34"/>
      <c r="LCD346" s="34"/>
      <c r="LCE346" s="34"/>
      <c r="LCF346" s="34"/>
      <c r="LCG346" s="34"/>
      <c r="LCH346" s="34"/>
      <c r="LCI346" s="34"/>
      <c r="LCJ346" s="34"/>
      <c r="LCK346" s="34"/>
      <c r="LCL346" s="34"/>
      <c r="LCM346" s="34"/>
      <c r="LCN346" s="34"/>
      <c r="LCO346" s="34"/>
      <c r="LCP346" s="34"/>
      <c r="LCQ346" s="34"/>
      <c r="LCR346" s="34"/>
      <c r="LCS346" s="34"/>
      <c r="LCT346" s="34"/>
      <c r="LCU346" s="34"/>
      <c r="LCV346" s="34"/>
      <c r="LCW346" s="34"/>
      <c r="LCX346" s="34"/>
      <c r="LCY346" s="34"/>
      <c r="LCZ346" s="34"/>
      <c r="LDA346" s="34"/>
      <c r="LDB346" s="34"/>
      <c r="LDC346" s="34"/>
      <c r="LDD346" s="34"/>
      <c r="LDE346" s="34"/>
      <c r="LDF346" s="34"/>
      <c r="LDG346" s="34"/>
      <c r="LDH346" s="34"/>
      <c r="LDI346" s="34"/>
      <c r="LDJ346" s="34"/>
      <c r="LDK346" s="34"/>
      <c r="LDL346" s="34"/>
      <c r="LDM346" s="34"/>
      <c r="LDN346" s="34"/>
      <c r="LDO346" s="34"/>
      <c r="LDP346" s="34"/>
      <c r="LDQ346" s="34"/>
      <c r="LDR346" s="34"/>
      <c r="LDS346" s="34"/>
      <c r="LDT346" s="34"/>
      <c r="LDU346" s="34"/>
      <c r="LDV346" s="34"/>
      <c r="LDW346" s="34"/>
      <c r="LDX346" s="34"/>
      <c r="LDY346" s="34"/>
      <c r="LDZ346" s="34"/>
      <c r="LEA346" s="34"/>
      <c r="LEB346" s="34"/>
      <c r="LEC346" s="34"/>
      <c r="LED346" s="34"/>
      <c r="LEE346" s="34"/>
      <c r="LEF346" s="34"/>
      <c r="LEG346" s="34"/>
      <c r="LEH346" s="34"/>
      <c r="LEI346" s="34"/>
      <c r="LEJ346" s="34"/>
      <c r="LEK346" s="34"/>
      <c r="LEL346" s="34"/>
      <c r="LEM346" s="34"/>
      <c r="LEN346" s="34"/>
      <c r="LEO346" s="34"/>
      <c r="LEP346" s="34"/>
      <c r="LEQ346" s="34"/>
      <c r="LER346" s="34"/>
      <c r="LES346" s="34"/>
      <c r="LET346" s="34"/>
      <c r="LEU346" s="34"/>
      <c r="LEV346" s="34"/>
      <c r="LEW346" s="34"/>
      <c r="LEX346" s="34"/>
      <c r="LEY346" s="34"/>
      <c r="LEZ346" s="34"/>
      <c r="LFA346" s="34"/>
      <c r="LFB346" s="34"/>
      <c r="LFC346" s="34"/>
      <c r="LFD346" s="34"/>
      <c r="LFE346" s="34"/>
      <c r="LFF346" s="34"/>
      <c r="LFG346" s="34"/>
      <c r="LFH346" s="34"/>
      <c r="LFI346" s="34"/>
      <c r="LFJ346" s="34"/>
      <c r="LFK346" s="34"/>
      <c r="LFL346" s="34"/>
      <c r="LFM346" s="34"/>
      <c r="LFN346" s="34"/>
      <c r="LFO346" s="34"/>
      <c r="LFP346" s="34"/>
      <c r="LFQ346" s="34"/>
      <c r="LFR346" s="34"/>
      <c r="LFS346" s="34"/>
      <c r="LFT346" s="34"/>
      <c r="LFU346" s="34"/>
      <c r="LFV346" s="34"/>
      <c r="LFW346" s="34"/>
      <c r="LFX346" s="34"/>
      <c r="LFY346" s="34"/>
      <c r="LFZ346" s="34"/>
      <c r="LGA346" s="34"/>
      <c r="LGB346" s="34"/>
      <c r="LGC346" s="34"/>
      <c r="LGD346" s="34"/>
      <c r="LGE346" s="34"/>
      <c r="LGF346" s="34"/>
      <c r="LGG346" s="34"/>
      <c r="LGH346" s="34"/>
      <c r="LGI346" s="34"/>
      <c r="LGJ346" s="34"/>
      <c r="LGK346" s="34"/>
      <c r="LGL346" s="34"/>
      <c r="LGM346" s="34"/>
      <c r="LGN346" s="34"/>
      <c r="LGO346" s="34"/>
      <c r="LGP346" s="34"/>
      <c r="LGQ346" s="34"/>
      <c r="LGR346" s="34"/>
      <c r="LGS346" s="34"/>
      <c r="LGT346" s="34"/>
      <c r="LGU346" s="34"/>
      <c r="LGV346" s="34"/>
      <c r="LGW346" s="34"/>
      <c r="LGX346" s="34"/>
      <c r="LGY346" s="34"/>
      <c r="LGZ346" s="34"/>
      <c r="LHA346" s="34"/>
      <c r="LHB346" s="34"/>
      <c r="LHC346" s="34"/>
      <c r="LHD346" s="34"/>
      <c r="LHE346" s="34"/>
      <c r="LHF346" s="34"/>
      <c r="LHG346" s="34"/>
      <c r="LHH346" s="34"/>
      <c r="LHI346" s="34"/>
      <c r="LHJ346" s="34"/>
      <c r="LHK346" s="34"/>
      <c r="LHL346" s="34"/>
      <c r="LHM346" s="34"/>
      <c r="LHN346" s="34"/>
      <c r="LHO346" s="34"/>
      <c r="LHP346" s="34"/>
      <c r="LHQ346" s="34"/>
      <c r="LHR346" s="34"/>
      <c r="LHS346" s="34"/>
      <c r="LHT346" s="34"/>
      <c r="LHU346" s="34"/>
      <c r="LHV346" s="34"/>
      <c r="LHW346" s="34"/>
      <c r="LHX346" s="34"/>
      <c r="LHY346" s="34"/>
      <c r="LHZ346" s="34"/>
      <c r="LIA346" s="34"/>
      <c r="LIB346" s="34"/>
      <c r="LIC346" s="34"/>
      <c r="LID346" s="34"/>
      <c r="LIE346" s="34"/>
      <c r="LIF346" s="34"/>
      <c r="LIG346" s="34"/>
      <c r="LIH346" s="34"/>
      <c r="LII346" s="34"/>
      <c r="LIJ346" s="34"/>
      <c r="LIK346" s="34"/>
      <c r="LIL346" s="34"/>
      <c r="LIM346" s="34"/>
      <c r="LIN346" s="34"/>
      <c r="LIO346" s="34"/>
      <c r="LIP346" s="34"/>
      <c r="LIQ346" s="34"/>
      <c r="LIR346" s="34"/>
      <c r="LIS346" s="34"/>
      <c r="LIT346" s="34"/>
      <c r="LIU346" s="34"/>
      <c r="LIV346" s="34"/>
      <c r="LIW346" s="34"/>
      <c r="LIX346" s="34"/>
      <c r="LIY346" s="34"/>
      <c r="LIZ346" s="34"/>
      <c r="LJA346" s="34"/>
      <c r="LJB346" s="34"/>
      <c r="LJC346" s="34"/>
      <c r="LJD346" s="34"/>
      <c r="LJE346" s="34"/>
      <c r="LJF346" s="34"/>
      <c r="LJG346" s="34"/>
      <c r="LJH346" s="34"/>
      <c r="LJI346" s="34"/>
      <c r="LJJ346" s="34"/>
      <c r="LJK346" s="34"/>
      <c r="LJL346" s="34"/>
      <c r="LJM346" s="34"/>
      <c r="LJN346" s="34"/>
      <c r="LJO346" s="34"/>
      <c r="LJP346" s="34"/>
      <c r="LJQ346" s="34"/>
      <c r="LJR346" s="34"/>
      <c r="LJS346" s="34"/>
      <c r="LJT346" s="34"/>
      <c r="LJU346" s="34"/>
      <c r="LJV346" s="34"/>
      <c r="LJW346" s="34"/>
      <c r="LJX346" s="34"/>
      <c r="LJY346" s="34"/>
      <c r="LJZ346" s="34"/>
      <c r="LKA346" s="34"/>
      <c r="LKB346" s="34"/>
      <c r="LKC346" s="34"/>
      <c r="LKD346" s="34"/>
      <c r="LKE346" s="34"/>
      <c r="LKF346" s="34"/>
      <c r="LKG346" s="34"/>
      <c r="LKH346" s="34"/>
      <c r="LKI346" s="34"/>
      <c r="LKJ346" s="34"/>
      <c r="LKK346" s="34"/>
      <c r="LKL346" s="34"/>
      <c r="LKM346" s="34"/>
      <c r="LKN346" s="34"/>
      <c r="LKO346" s="34"/>
      <c r="LKP346" s="34"/>
      <c r="LKQ346" s="34"/>
      <c r="LKR346" s="34"/>
      <c r="LKS346" s="34"/>
      <c r="LKT346" s="34"/>
      <c r="LKU346" s="34"/>
      <c r="LKV346" s="34"/>
      <c r="LKW346" s="34"/>
      <c r="LKX346" s="34"/>
      <c r="LKY346" s="34"/>
      <c r="LKZ346" s="34"/>
      <c r="LLA346" s="34"/>
      <c r="LLB346" s="34"/>
      <c r="LLC346" s="34"/>
      <c r="LLD346" s="34"/>
      <c r="LLE346" s="34"/>
      <c r="LLF346" s="34"/>
      <c r="LLG346" s="34"/>
      <c r="LLH346" s="34"/>
      <c r="LLI346" s="34"/>
      <c r="LLJ346" s="34"/>
      <c r="LLK346" s="34"/>
      <c r="LLL346" s="34"/>
      <c r="LLM346" s="34"/>
      <c r="LLN346" s="34"/>
      <c r="LLO346" s="34"/>
      <c r="LLP346" s="34"/>
      <c r="LLQ346" s="34"/>
      <c r="LLR346" s="34"/>
      <c r="LLS346" s="34"/>
      <c r="LLT346" s="34"/>
      <c r="LLU346" s="34"/>
      <c r="LLV346" s="34"/>
      <c r="LLW346" s="34"/>
      <c r="LLX346" s="34"/>
      <c r="LLY346" s="34"/>
      <c r="LLZ346" s="34"/>
      <c r="LMA346" s="34"/>
      <c r="LMB346" s="34"/>
      <c r="LMC346" s="34"/>
      <c r="LMD346" s="34"/>
      <c r="LME346" s="34"/>
      <c r="LMF346" s="34"/>
      <c r="LMG346" s="34"/>
      <c r="LMH346" s="34"/>
      <c r="LMI346" s="34"/>
      <c r="LMJ346" s="34"/>
      <c r="LMK346" s="34"/>
      <c r="LML346" s="34"/>
      <c r="LMM346" s="34"/>
      <c r="LMN346" s="34"/>
      <c r="LMO346" s="34"/>
      <c r="LMP346" s="34"/>
      <c r="LMQ346" s="34"/>
      <c r="LMR346" s="34"/>
      <c r="LMS346" s="34"/>
      <c r="LMT346" s="34"/>
      <c r="LMU346" s="34"/>
      <c r="LMV346" s="34"/>
      <c r="LMW346" s="34"/>
      <c r="LMX346" s="34"/>
      <c r="LMY346" s="34"/>
      <c r="LMZ346" s="34"/>
      <c r="LNA346" s="34"/>
      <c r="LNB346" s="34"/>
      <c r="LNC346" s="34"/>
      <c r="LND346" s="34"/>
      <c r="LNE346" s="34"/>
      <c r="LNF346" s="34"/>
      <c r="LNG346" s="34"/>
      <c r="LNH346" s="34"/>
      <c r="LNI346" s="34"/>
      <c r="LNJ346" s="34"/>
      <c r="LNK346" s="34"/>
      <c r="LNL346" s="34"/>
      <c r="LNM346" s="34"/>
      <c r="LNN346" s="34"/>
      <c r="LNO346" s="34"/>
      <c r="LNP346" s="34"/>
      <c r="LNQ346" s="34"/>
      <c r="LNR346" s="34"/>
      <c r="LNS346" s="34"/>
      <c r="LNT346" s="34"/>
      <c r="LNU346" s="34"/>
      <c r="LNV346" s="34"/>
      <c r="LNW346" s="34"/>
      <c r="LNX346" s="34"/>
      <c r="LNY346" s="34"/>
      <c r="LNZ346" s="34"/>
      <c r="LOA346" s="34"/>
      <c r="LOB346" s="34"/>
      <c r="LOC346" s="34"/>
      <c r="LOD346" s="34"/>
      <c r="LOE346" s="34"/>
      <c r="LOF346" s="34"/>
      <c r="LOG346" s="34"/>
      <c r="LOH346" s="34"/>
      <c r="LOI346" s="34"/>
      <c r="LOJ346" s="34"/>
      <c r="LOK346" s="34"/>
      <c r="LOL346" s="34"/>
      <c r="LOM346" s="34"/>
      <c r="LON346" s="34"/>
      <c r="LOO346" s="34"/>
      <c r="LOP346" s="34"/>
      <c r="LOQ346" s="34"/>
      <c r="LOR346" s="34"/>
      <c r="LOS346" s="34"/>
      <c r="LOT346" s="34"/>
      <c r="LOU346" s="34"/>
      <c r="LOV346" s="34"/>
      <c r="LOW346" s="34"/>
      <c r="LOX346" s="34"/>
      <c r="LOY346" s="34"/>
      <c r="LOZ346" s="34"/>
      <c r="LPA346" s="34"/>
      <c r="LPB346" s="34"/>
      <c r="LPC346" s="34"/>
      <c r="LPD346" s="34"/>
      <c r="LPE346" s="34"/>
      <c r="LPF346" s="34"/>
      <c r="LPG346" s="34"/>
      <c r="LPH346" s="34"/>
      <c r="LPI346" s="34"/>
      <c r="LPJ346" s="34"/>
      <c r="LPK346" s="34"/>
      <c r="LPL346" s="34"/>
      <c r="LPM346" s="34"/>
      <c r="LPN346" s="34"/>
      <c r="LPO346" s="34"/>
      <c r="LPP346" s="34"/>
      <c r="LPQ346" s="34"/>
      <c r="LPR346" s="34"/>
      <c r="LPS346" s="34"/>
      <c r="LPT346" s="34"/>
      <c r="LPU346" s="34"/>
      <c r="LPV346" s="34"/>
      <c r="LPW346" s="34"/>
      <c r="LPX346" s="34"/>
      <c r="LPY346" s="34"/>
      <c r="LPZ346" s="34"/>
      <c r="LQA346" s="34"/>
      <c r="LQB346" s="34"/>
      <c r="LQC346" s="34"/>
      <c r="LQD346" s="34"/>
      <c r="LQE346" s="34"/>
      <c r="LQF346" s="34"/>
      <c r="LQG346" s="34"/>
      <c r="LQH346" s="34"/>
      <c r="LQI346" s="34"/>
      <c r="LQJ346" s="34"/>
      <c r="LQK346" s="34"/>
      <c r="LQL346" s="34"/>
      <c r="LQM346" s="34"/>
      <c r="LQN346" s="34"/>
      <c r="LQO346" s="34"/>
      <c r="LQP346" s="34"/>
      <c r="LQQ346" s="34"/>
      <c r="LQR346" s="34"/>
      <c r="LQS346" s="34"/>
      <c r="LQT346" s="34"/>
      <c r="LQU346" s="34"/>
      <c r="LQV346" s="34"/>
      <c r="LQW346" s="34"/>
      <c r="LQX346" s="34"/>
      <c r="LQY346" s="34"/>
      <c r="LQZ346" s="34"/>
      <c r="LRA346" s="34"/>
      <c r="LRB346" s="34"/>
      <c r="LRC346" s="34"/>
      <c r="LRD346" s="34"/>
      <c r="LRE346" s="34"/>
      <c r="LRF346" s="34"/>
      <c r="LRG346" s="34"/>
      <c r="LRH346" s="34"/>
      <c r="LRI346" s="34"/>
      <c r="LRJ346" s="34"/>
      <c r="LRK346" s="34"/>
      <c r="LRL346" s="34"/>
      <c r="LRM346" s="34"/>
      <c r="LRN346" s="34"/>
      <c r="LRO346" s="34"/>
      <c r="LRP346" s="34"/>
      <c r="LRQ346" s="34"/>
      <c r="LRR346" s="34"/>
      <c r="LRS346" s="34"/>
      <c r="LRT346" s="34"/>
      <c r="LRU346" s="34"/>
      <c r="LRV346" s="34"/>
      <c r="LRW346" s="34"/>
      <c r="LRX346" s="34"/>
      <c r="LRY346" s="34"/>
      <c r="LRZ346" s="34"/>
      <c r="LSA346" s="34"/>
      <c r="LSB346" s="34"/>
      <c r="LSC346" s="34"/>
      <c r="LSD346" s="34"/>
      <c r="LSE346" s="34"/>
      <c r="LSF346" s="34"/>
      <c r="LSG346" s="34"/>
      <c r="LSH346" s="34"/>
      <c r="LSI346" s="34"/>
      <c r="LSJ346" s="34"/>
      <c r="LSK346" s="34"/>
      <c r="LSL346" s="34"/>
      <c r="LSM346" s="34"/>
      <c r="LSN346" s="34"/>
      <c r="LSO346" s="34"/>
      <c r="LSP346" s="34"/>
      <c r="LSQ346" s="34"/>
      <c r="LSR346" s="34"/>
      <c r="LSS346" s="34"/>
      <c r="LST346" s="34"/>
      <c r="LSU346" s="34"/>
      <c r="LSV346" s="34"/>
      <c r="LSW346" s="34"/>
      <c r="LSX346" s="34"/>
      <c r="LSY346" s="34"/>
      <c r="LSZ346" s="34"/>
      <c r="LTA346" s="34"/>
      <c r="LTB346" s="34"/>
      <c r="LTC346" s="34"/>
      <c r="LTD346" s="34"/>
      <c r="LTE346" s="34"/>
      <c r="LTF346" s="34"/>
      <c r="LTG346" s="34"/>
      <c r="LTH346" s="34"/>
      <c r="LTI346" s="34"/>
      <c r="LTJ346" s="34"/>
      <c r="LTK346" s="34"/>
      <c r="LTL346" s="34"/>
      <c r="LTM346" s="34"/>
      <c r="LTN346" s="34"/>
      <c r="LTO346" s="34"/>
      <c r="LTP346" s="34"/>
      <c r="LTQ346" s="34"/>
      <c r="LTR346" s="34"/>
      <c r="LTS346" s="34"/>
      <c r="LTT346" s="34"/>
      <c r="LTU346" s="34"/>
      <c r="LTV346" s="34"/>
      <c r="LTW346" s="34"/>
      <c r="LTX346" s="34"/>
      <c r="LTY346" s="34"/>
      <c r="LTZ346" s="34"/>
      <c r="LUA346" s="34"/>
      <c r="LUB346" s="34"/>
      <c r="LUC346" s="34"/>
      <c r="LUD346" s="34"/>
      <c r="LUE346" s="34"/>
      <c r="LUF346" s="34"/>
      <c r="LUG346" s="34"/>
      <c r="LUH346" s="34"/>
      <c r="LUI346" s="34"/>
      <c r="LUJ346" s="34"/>
      <c r="LUK346" s="34"/>
      <c r="LUL346" s="34"/>
      <c r="LUM346" s="34"/>
      <c r="LUN346" s="34"/>
      <c r="LUO346" s="34"/>
      <c r="LUP346" s="34"/>
      <c r="LUQ346" s="34"/>
      <c r="LUR346" s="34"/>
      <c r="LUS346" s="34"/>
      <c r="LUT346" s="34"/>
      <c r="LUU346" s="34"/>
      <c r="LUV346" s="34"/>
      <c r="LUW346" s="34"/>
      <c r="LUX346" s="34"/>
      <c r="LUY346" s="34"/>
      <c r="LUZ346" s="34"/>
      <c r="LVA346" s="34"/>
      <c r="LVB346" s="34"/>
      <c r="LVC346" s="34"/>
      <c r="LVD346" s="34"/>
      <c r="LVE346" s="34"/>
      <c r="LVF346" s="34"/>
      <c r="LVG346" s="34"/>
      <c r="LVH346" s="34"/>
      <c r="LVI346" s="34"/>
      <c r="LVJ346" s="34"/>
      <c r="LVK346" s="34"/>
      <c r="LVL346" s="34"/>
      <c r="LVM346" s="34"/>
      <c r="LVN346" s="34"/>
      <c r="LVO346" s="34"/>
      <c r="LVP346" s="34"/>
      <c r="LVQ346" s="34"/>
      <c r="LVR346" s="34"/>
      <c r="LVS346" s="34"/>
      <c r="LVT346" s="34"/>
      <c r="LVU346" s="34"/>
      <c r="LVV346" s="34"/>
      <c r="LVW346" s="34"/>
      <c r="LVX346" s="34"/>
      <c r="LVY346" s="34"/>
      <c r="LVZ346" s="34"/>
      <c r="LWA346" s="34"/>
      <c r="LWB346" s="34"/>
      <c r="LWC346" s="34"/>
      <c r="LWD346" s="34"/>
      <c r="LWE346" s="34"/>
      <c r="LWF346" s="34"/>
      <c r="LWG346" s="34"/>
      <c r="LWH346" s="34"/>
      <c r="LWI346" s="34"/>
      <c r="LWJ346" s="34"/>
      <c r="LWK346" s="34"/>
      <c r="LWL346" s="34"/>
      <c r="LWM346" s="34"/>
      <c r="LWN346" s="34"/>
      <c r="LWO346" s="34"/>
      <c r="LWP346" s="34"/>
      <c r="LWQ346" s="34"/>
      <c r="LWR346" s="34"/>
      <c r="LWS346" s="34"/>
      <c r="LWT346" s="34"/>
      <c r="LWU346" s="34"/>
      <c r="LWV346" s="34"/>
      <c r="LWW346" s="34"/>
      <c r="LWX346" s="34"/>
      <c r="LWY346" s="34"/>
      <c r="LWZ346" s="34"/>
      <c r="LXA346" s="34"/>
      <c r="LXB346" s="34"/>
      <c r="LXC346" s="34"/>
      <c r="LXD346" s="34"/>
      <c r="LXE346" s="34"/>
      <c r="LXF346" s="34"/>
      <c r="LXG346" s="34"/>
      <c r="LXH346" s="34"/>
      <c r="LXI346" s="34"/>
      <c r="LXJ346" s="34"/>
      <c r="LXK346" s="34"/>
      <c r="LXL346" s="34"/>
      <c r="LXM346" s="34"/>
      <c r="LXN346" s="34"/>
      <c r="LXO346" s="34"/>
      <c r="LXP346" s="34"/>
      <c r="LXQ346" s="34"/>
      <c r="LXR346" s="34"/>
      <c r="LXS346" s="34"/>
      <c r="LXT346" s="34"/>
      <c r="LXU346" s="34"/>
      <c r="LXV346" s="34"/>
      <c r="LXW346" s="34"/>
      <c r="LXX346" s="34"/>
      <c r="LXY346" s="34"/>
      <c r="LXZ346" s="34"/>
      <c r="LYA346" s="34"/>
      <c r="LYB346" s="34"/>
      <c r="LYC346" s="34"/>
      <c r="LYD346" s="34"/>
      <c r="LYE346" s="34"/>
      <c r="LYF346" s="34"/>
      <c r="LYG346" s="34"/>
      <c r="LYH346" s="34"/>
      <c r="LYI346" s="34"/>
      <c r="LYJ346" s="34"/>
      <c r="LYK346" s="34"/>
      <c r="LYL346" s="34"/>
      <c r="LYM346" s="34"/>
      <c r="LYN346" s="34"/>
      <c r="LYO346" s="34"/>
      <c r="LYP346" s="34"/>
      <c r="LYQ346" s="34"/>
      <c r="LYR346" s="34"/>
      <c r="LYS346" s="34"/>
      <c r="LYT346" s="34"/>
      <c r="LYU346" s="34"/>
      <c r="LYV346" s="34"/>
      <c r="LYW346" s="34"/>
      <c r="LYX346" s="34"/>
      <c r="LYY346" s="34"/>
      <c r="LYZ346" s="34"/>
      <c r="LZA346" s="34"/>
      <c r="LZB346" s="34"/>
      <c r="LZC346" s="34"/>
      <c r="LZD346" s="34"/>
      <c r="LZE346" s="34"/>
      <c r="LZF346" s="34"/>
      <c r="LZG346" s="34"/>
      <c r="LZH346" s="34"/>
      <c r="LZI346" s="34"/>
      <c r="LZJ346" s="34"/>
      <c r="LZK346" s="34"/>
      <c r="LZL346" s="34"/>
      <c r="LZM346" s="34"/>
      <c r="LZN346" s="34"/>
      <c r="LZO346" s="34"/>
      <c r="LZP346" s="34"/>
      <c r="LZQ346" s="34"/>
      <c r="LZR346" s="34"/>
      <c r="LZS346" s="34"/>
      <c r="LZT346" s="34"/>
      <c r="LZU346" s="34"/>
      <c r="LZV346" s="34"/>
      <c r="LZW346" s="34"/>
      <c r="LZX346" s="34"/>
      <c r="LZY346" s="34"/>
      <c r="LZZ346" s="34"/>
      <c r="MAA346" s="34"/>
      <c r="MAB346" s="34"/>
      <c r="MAC346" s="34"/>
      <c r="MAD346" s="34"/>
      <c r="MAE346" s="34"/>
      <c r="MAF346" s="34"/>
      <c r="MAG346" s="34"/>
      <c r="MAH346" s="34"/>
      <c r="MAI346" s="34"/>
      <c r="MAJ346" s="34"/>
      <c r="MAK346" s="34"/>
      <c r="MAL346" s="34"/>
      <c r="MAM346" s="34"/>
      <c r="MAN346" s="34"/>
      <c r="MAO346" s="34"/>
      <c r="MAP346" s="34"/>
      <c r="MAQ346" s="34"/>
      <c r="MAR346" s="34"/>
      <c r="MAS346" s="34"/>
      <c r="MAT346" s="34"/>
      <c r="MAU346" s="34"/>
      <c r="MAV346" s="34"/>
      <c r="MAW346" s="34"/>
      <c r="MAX346" s="34"/>
      <c r="MAY346" s="34"/>
      <c r="MAZ346" s="34"/>
      <c r="MBA346" s="34"/>
      <c r="MBB346" s="34"/>
      <c r="MBC346" s="34"/>
      <c r="MBD346" s="34"/>
      <c r="MBE346" s="34"/>
      <c r="MBF346" s="34"/>
      <c r="MBG346" s="34"/>
      <c r="MBH346" s="34"/>
      <c r="MBI346" s="34"/>
      <c r="MBJ346" s="34"/>
      <c r="MBK346" s="34"/>
      <c r="MBL346" s="34"/>
      <c r="MBM346" s="34"/>
      <c r="MBN346" s="34"/>
      <c r="MBO346" s="34"/>
      <c r="MBP346" s="34"/>
      <c r="MBQ346" s="34"/>
      <c r="MBR346" s="34"/>
      <c r="MBS346" s="34"/>
      <c r="MBT346" s="34"/>
      <c r="MBU346" s="34"/>
      <c r="MBV346" s="34"/>
      <c r="MBW346" s="34"/>
      <c r="MBX346" s="34"/>
      <c r="MBY346" s="34"/>
      <c r="MBZ346" s="34"/>
      <c r="MCA346" s="34"/>
      <c r="MCB346" s="34"/>
      <c r="MCC346" s="34"/>
      <c r="MCD346" s="34"/>
      <c r="MCE346" s="34"/>
      <c r="MCF346" s="34"/>
      <c r="MCG346" s="34"/>
      <c r="MCH346" s="34"/>
      <c r="MCI346" s="34"/>
      <c r="MCJ346" s="34"/>
      <c r="MCK346" s="34"/>
      <c r="MCL346" s="34"/>
      <c r="MCM346" s="34"/>
      <c r="MCN346" s="34"/>
      <c r="MCO346" s="34"/>
      <c r="MCP346" s="34"/>
      <c r="MCQ346" s="34"/>
      <c r="MCR346" s="34"/>
      <c r="MCS346" s="34"/>
      <c r="MCT346" s="34"/>
      <c r="MCU346" s="34"/>
      <c r="MCV346" s="34"/>
      <c r="MCW346" s="34"/>
      <c r="MCX346" s="34"/>
      <c r="MCY346" s="34"/>
      <c r="MCZ346" s="34"/>
      <c r="MDA346" s="34"/>
      <c r="MDB346" s="34"/>
      <c r="MDC346" s="34"/>
      <c r="MDD346" s="34"/>
      <c r="MDE346" s="34"/>
      <c r="MDF346" s="34"/>
      <c r="MDG346" s="34"/>
      <c r="MDH346" s="34"/>
      <c r="MDI346" s="34"/>
      <c r="MDJ346" s="34"/>
      <c r="MDK346" s="34"/>
      <c r="MDL346" s="34"/>
      <c r="MDM346" s="34"/>
      <c r="MDN346" s="34"/>
      <c r="MDO346" s="34"/>
      <c r="MDP346" s="34"/>
      <c r="MDQ346" s="34"/>
      <c r="MDR346" s="34"/>
      <c r="MDS346" s="34"/>
      <c r="MDT346" s="34"/>
      <c r="MDU346" s="34"/>
      <c r="MDV346" s="34"/>
      <c r="MDW346" s="34"/>
      <c r="MDX346" s="34"/>
      <c r="MDY346" s="34"/>
      <c r="MDZ346" s="34"/>
      <c r="MEA346" s="34"/>
      <c r="MEB346" s="34"/>
      <c r="MEC346" s="34"/>
      <c r="MED346" s="34"/>
      <c r="MEE346" s="34"/>
      <c r="MEF346" s="34"/>
      <c r="MEG346" s="34"/>
      <c r="MEH346" s="34"/>
      <c r="MEI346" s="34"/>
      <c r="MEJ346" s="34"/>
      <c r="MEK346" s="34"/>
      <c r="MEL346" s="34"/>
      <c r="MEM346" s="34"/>
      <c r="MEN346" s="34"/>
      <c r="MEO346" s="34"/>
      <c r="MEP346" s="34"/>
      <c r="MEQ346" s="34"/>
      <c r="MER346" s="34"/>
      <c r="MES346" s="34"/>
      <c r="MET346" s="34"/>
      <c r="MEU346" s="34"/>
      <c r="MEV346" s="34"/>
      <c r="MEW346" s="34"/>
      <c r="MEX346" s="34"/>
      <c r="MEY346" s="34"/>
      <c r="MEZ346" s="34"/>
      <c r="MFA346" s="34"/>
      <c r="MFB346" s="34"/>
      <c r="MFC346" s="34"/>
      <c r="MFD346" s="34"/>
      <c r="MFE346" s="34"/>
      <c r="MFF346" s="34"/>
      <c r="MFG346" s="34"/>
      <c r="MFH346" s="34"/>
      <c r="MFI346" s="34"/>
      <c r="MFJ346" s="34"/>
      <c r="MFK346" s="34"/>
      <c r="MFL346" s="34"/>
      <c r="MFM346" s="34"/>
      <c r="MFN346" s="34"/>
      <c r="MFO346" s="34"/>
      <c r="MFP346" s="34"/>
      <c r="MFQ346" s="34"/>
      <c r="MFR346" s="34"/>
      <c r="MFS346" s="34"/>
      <c r="MFT346" s="34"/>
      <c r="MFU346" s="34"/>
      <c r="MFV346" s="34"/>
      <c r="MFW346" s="34"/>
      <c r="MFX346" s="34"/>
      <c r="MFY346" s="34"/>
      <c r="MFZ346" s="34"/>
      <c r="MGA346" s="34"/>
      <c r="MGB346" s="34"/>
      <c r="MGC346" s="34"/>
      <c r="MGD346" s="34"/>
      <c r="MGE346" s="34"/>
      <c r="MGF346" s="34"/>
      <c r="MGG346" s="34"/>
      <c r="MGH346" s="34"/>
      <c r="MGI346" s="34"/>
      <c r="MGJ346" s="34"/>
      <c r="MGK346" s="34"/>
      <c r="MGL346" s="34"/>
      <c r="MGM346" s="34"/>
      <c r="MGN346" s="34"/>
      <c r="MGO346" s="34"/>
      <c r="MGP346" s="34"/>
      <c r="MGQ346" s="34"/>
      <c r="MGR346" s="34"/>
      <c r="MGS346" s="34"/>
      <c r="MGT346" s="34"/>
      <c r="MGU346" s="34"/>
      <c r="MGV346" s="34"/>
      <c r="MGW346" s="34"/>
      <c r="MGX346" s="34"/>
      <c r="MGY346" s="34"/>
      <c r="MGZ346" s="34"/>
      <c r="MHA346" s="34"/>
      <c r="MHB346" s="34"/>
      <c r="MHC346" s="34"/>
      <c r="MHD346" s="34"/>
      <c r="MHE346" s="34"/>
      <c r="MHF346" s="34"/>
      <c r="MHG346" s="34"/>
      <c r="MHH346" s="34"/>
      <c r="MHI346" s="34"/>
      <c r="MHJ346" s="34"/>
      <c r="MHK346" s="34"/>
      <c r="MHL346" s="34"/>
      <c r="MHM346" s="34"/>
      <c r="MHN346" s="34"/>
      <c r="MHO346" s="34"/>
      <c r="MHP346" s="34"/>
      <c r="MHQ346" s="34"/>
      <c r="MHR346" s="34"/>
      <c r="MHS346" s="34"/>
      <c r="MHT346" s="34"/>
      <c r="MHU346" s="34"/>
      <c r="MHV346" s="34"/>
      <c r="MHW346" s="34"/>
      <c r="MHX346" s="34"/>
      <c r="MHY346" s="34"/>
      <c r="MHZ346" s="34"/>
      <c r="MIA346" s="34"/>
      <c r="MIB346" s="34"/>
      <c r="MIC346" s="34"/>
      <c r="MID346" s="34"/>
      <c r="MIE346" s="34"/>
      <c r="MIF346" s="34"/>
      <c r="MIG346" s="34"/>
      <c r="MIH346" s="34"/>
      <c r="MII346" s="34"/>
      <c r="MIJ346" s="34"/>
      <c r="MIK346" s="34"/>
      <c r="MIL346" s="34"/>
      <c r="MIM346" s="34"/>
      <c r="MIN346" s="34"/>
      <c r="MIO346" s="34"/>
      <c r="MIP346" s="34"/>
      <c r="MIQ346" s="34"/>
      <c r="MIR346" s="34"/>
      <c r="MIS346" s="34"/>
      <c r="MIT346" s="34"/>
      <c r="MIU346" s="34"/>
      <c r="MIV346" s="34"/>
      <c r="MIW346" s="34"/>
      <c r="MIX346" s="34"/>
      <c r="MIY346" s="34"/>
      <c r="MIZ346" s="34"/>
      <c r="MJA346" s="34"/>
      <c r="MJB346" s="34"/>
      <c r="MJC346" s="34"/>
      <c r="MJD346" s="34"/>
      <c r="MJE346" s="34"/>
      <c r="MJF346" s="34"/>
      <c r="MJG346" s="34"/>
      <c r="MJH346" s="34"/>
      <c r="MJI346" s="34"/>
      <c r="MJJ346" s="34"/>
      <c r="MJK346" s="34"/>
      <c r="MJL346" s="34"/>
      <c r="MJM346" s="34"/>
      <c r="MJN346" s="34"/>
      <c r="MJO346" s="34"/>
      <c r="MJP346" s="34"/>
      <c r="MJQ346" s="34"/>
      <c r="MJR346" s="34"/>
      <c r="MJS346" s="34"/>
      <c r="MJT346" s="34"/>
      <c r="MJU346" s="34"/>
      <c r="MJV346" s="34"/>
      <c r="MJW346" s="34"/>
      <c r="MJX346" s="34"/>
      <c r="MJY346" s="34"/>
      <c r="MJZ346" s="34"/>
      <c r="MKA346" s="34"/>
      <c r="MKB346" s="34"/>
      <c r="MKC346" s="34"/>
      <c r="MKD346" s="34"/>
      <c r="MKE346" s="34"/>
      <c r="MKF346" s="34"/>
      <c r="MKG346" s="34"/>
      <c r="MKH346" s="34"/>
      <c r="MKI346" s="34"/>
      <c r="MKJ346" s="34"/>
      <c r="MKK346" s="34"/>
      <c r="MKL346" s="34"/>
      <c r="MKM346" s="34"/>
      <c r="MKN346" s="34"/>
      <c r="MKO346" s="34"/>
      <c r="MKP346" s="34"/>
      <c r="MKQ346" s="34"/>
      <c r="MKR346" s="34"/>
      <c r="MKS346" s="34"/>
      <c r="MKT346" s="34"/>
      <c r="MKU346" s="34"/>
      <c r="MKV346" s="34"/>
      <c r="MKW346" s="34"/>
      <c r="MKX346" s="34"/>
      <c r="MKY346" s="34"/>
      <c r="MKZ346" s="34"/>
      <c r="MLA346" s="34"/>
      <c r="MLB346" s="34"/>
      <c r="MLC346" s="34"/>
      <c r="MLD346" s="34"/>
      <c r="MLE346" s="34"/>
      <c r="MLF346" s="34"/>
      <c r="MLG346" s="34"/>
      <c r="MLH346" s="34"/>
      <c r="MLI346" s="34"/>
      <c r="MLJ346" s="34"/>
      <c r="MLK346" s="34"/>
      <c r="MLL346" s="34"/>
      <c r="MLM346" s="34"/>
      <c r="MLN346" s="34"/>
      <c r="MLO346" s="34"/>
      <c r="MLP346" s="34"/>
      <c r="MLQ346" s="34"/>
      <c r="MLR346" s="34"/>
      <c r="MLS346" s="34"/>
      <c r="MLT346" s="34"/>
      <c r="MLU346" s="34"/>
      <c r="MLV346" s="34"/>
      <c r="MLW346" s="34"/>
      <c r="MLX346" s="34"/>
      <c r="MLY346" s="34"/>
      <c r="MLZ346" s="34"/>
      <c r="MMA346" s="34"/>
      <c r="MMB346" s="34"/>
      <c r="MMC346" s="34"/>
      <c r="MMD346" s="34"/>
      <c r="MME346" s="34"/>
      <c r="MMF346" s="34"/>
      <c r="MMG346" s="34"/>
      <c r="MMH346" s="34"/>
      <c r="MMI346" s="34"/>
      <c r="MMJ346" s="34"/>
      <c r="MMK346" s="34"/>
      <c r="MML346" s="34"/>
      <c r="MMM346" s="34"/>
      <c r="MMN346" s="34"/>
      <c r="MMO346" s="34"/>
      <c r="MMP346" s="34"/>
      <c r="MMQ346" s="34"/>
      <c r="MMR346" s="34"/>
      <c r="MMS346" s="34"/>
      <c r="MMT346" s="34"/>
      <c r="MMU346" s="34"/>
      <c r="MMV346" s="34"/>
      <c r="MMW346" s="34"/>
      <c r="MMX346" s="34"/>
      <c r="MMY346" s="34"/>
      <c r="MMZ346" s="34"/>
      <c r="MNA346" s="34"/>
      <c r="MNB346" s="34"/>
      <c r="MNC346" s="34"/>
      <c r="MND346" s="34"/>
      <c r="MNE346" s="34"/>
      <c r="MNF346" s="34"/>
      <c r="MNG346" s="34"/>
      <c r="MNH346" s="34"/>
      <c r="MNI346" s="34"/>
      <c r="MNJ346" s="34"/>
      <c r="MNK346" s="34"/>
      <c r="MNL346" s="34"/>
      <c r="MNM346" s="34"/>
      <c r="MNN346" s="34"/>
      <c r="MNO346" s="34"/>
      <c r="MNP346" s="34"/>
      <c r="MNQ346" s="34"/>
      <c r="MNR346" s="34"/>
      <c r="MNS346" s="34"/>
      <c r="MNT346" s="34"/>
      <c r="MNU346" s="34"/>
      <c r="MNV346" s="34"/>
      <c r="MNW346" s="34"/>
      <c r="MNX346" s="34"/>
      <c r="MNY346" s="34"/>
      <c r="MNZ346" s="34"/>
      <c r="MOA346" s="34"/>
      <c r="MOB346" s="34"/>
      <c r="MOC346" s="34"/>
      <c r="MOD346" s="34"/>
      <c r="MOE346" s="34"/>
      <c r="MOF346" s="34"/>
      <c r="MOG346" s="34"/>
      <c r="MOH346" s="34"/>
      <c r="MOI346" s="34"/>
      <c r="MOJ346" s="34"/>
      <c r="MOK346" s="34"/>
      <c r="MOL346" s="34"/>
      <c r="MOM346" s="34"/>
      <c r="MON346" s="34"/>
      <c r="MOO346" s="34"/>
      <c r="MOP346" s="34"/>
      <c r="MOQ346" s="34"/>
      <c r="MOR346" s="34"/>
      <c r="MOS346" s="34"/>
      <c r="MOT346" s="34"/>
      <c r="MOU346" s="34"/>
      <c r="MOV346" s="34"/>
      <c r="MOW346" s="34"/>
      <c r="MOX346" s="34"/>
      <c r="MOY346" s="34"/>
      <c r="MOZ346" s="34"/>
      <c r="MPA346" s="34"/>
      <c r="MPB346" s="34"/>
      <c r="MPC346" s="34"/>
      <c r="MPD346" s="34"/>
      <c r="MPE346" s="34"/>
      <c r="MPF346" s="34"/>
      <c r="MPG346" s="34"/>
      <c r="MPH346" s="34"/>
      <c r="MPI346" s="34"/>
      <c r="MPJ346" s="34"/>
      <c r="MPK346" s="34"/>
      <c r="MPL346" s="34"/>
      <c r="MPM346" s="34"/>
      <c r="MPN346" s="34"/>
      <c r="MPO346" s="34"/>
      <c r="MPP346" s="34"/>
      <c r="MPQ346" s="34"/>
      <c r="MPR346" s="34"/>
      <c r="MPS346" s="34"/>
      <c r="MPT346" s="34"/>
      <c r="MPU346" s="34"/>
      <c r="MPV346" s="34"/>
      <c r="MPW346" s="34"/>
      <c r="MPX346" s="34"/>
      <c r="MPY346" s="34"/>
      <c r="MPZ346" s="34"/>
      <c r="MQA346" s="34"/>
      <c r="MQB346" s="34"/>
      <c r="MQC346" s="34"/>
      <c r="MQD346" s="34"/>
      <c r="MQE346" s="34"/>
      <c r="MQF346" s="34"/>
      <c r="MQG346" s="34"/>
      <c r="MQH346" s="34"/>
      <c r="MQI346" s="34"/>
      <c r="MQJ346" s="34"/>
      <c r="MQK346" s="34"/>
      <c r="MQL346" s="34"/>
      <c r="MQM346" s="34"/>
      <c r="MQN346" s="34"/>
      <c r="MQO346" s="34"/>
      <c r="MQP346" s="34"/>
      <c r="MQQ346" s="34"/>
      <c r="MQR346" s="34"/>
      <c r="MQS346" s="34"/>
      <c r="MQT346" s="34"/>
      <c r="MQU346" s="34"/>
      <c r="MQV346" s="34"/>
      <c r="MQW346" s="34"/>
      <c r="MQX346" s="34"/>
      <c r="MQY346" s="34"/>
      <c r="MQZ346" s="34"/>
      <c r="MRA346" s="34"/>
      <c r="MRB346" s="34"/>
      <c r="MRC346" s="34"/>
      <c r="MRD346" s="34"/>
      <c r="MRE346" s="34"/>
      <c r="MRF346" s="34"/>
      <c r="MRG346" s="34"/>
      <c r="MRH346" s="34"/>
      <c r="MRI346" s="34"/>
      <c r="MRJ346" s="34"/>
      <c r="MRK346" s="34"/>
      <c r="MRL346" s="34"/>
      <c r="MRM346" s="34"/>
      <c r="MRN346" s="34"/>
      <c r="MRO346" s="34"/>
      <c r="MRP346" s="34"/>
      <c r="MRQ346" s="34"/>
      <c r="MRR346" s="34"/>
      <c r="MRS346" s="34"/>
      <c r="MRT346" s="34"/>
      <c r="MRU346" s="34"/>
      <c r="MRV346" s="34"/>
      <c r="MRW346" s="34"/>
      <c r="MRX346" s="34"/>
      <c r="MRY346" s="34"/>
      <c r="MRZ346" s="34"/>
      <c r="MSA346" s="34"/>
      <c r="MSB346" s="34"/>
      <c r="MSC346" s="34"/>
      <c r="MSD346" s="34"/>
      <c r="MSE346" s="34"/>
      <c r="MSF346" s="34"/>
      <c r="MSG346" s="34"/>
      <c r="MSH346" s="34"/>
      <c r="MSI346" s="34"/>
      <c r="MSJ346" s="34"/>
      <c r="MSK346" s="34"/>
      <c r="MSL346" s="34"/>
      <c r="MSM346" s="34"/>
      <c r="MSN346" s="34"/>
      <c r="MSO346" s="34"/>
      <c r="MSP346" s="34"/>
      <c r="MSQ346" s="34"/>
      <c r="MSR346" s="34"/>
      <c r="MSS346" s="34"/>
      <c r="MST346" s="34"/>
      <c r="MSU346" s="34"/>
      <c r="MSV346" s="34"/>
      <c r="MSW346" s="34"/>
      <c r="MSX346" s="34"/>
      <c r="MSY346" s="34"/>
      <c r="MSZ346" s="34"/>
      <c r="MTA346" s="34"/>
      <c r="MTB346" s="34"/>
      <c r="MTC346" s="34"/>
      <c r="MTD346" s="34"/>
      <c r="MTE346" s="34"/>
      <c r="MTF346" s="34"/>
      <c r="MTG346" s="34"/>
      <c r="MTH346" s="34"/>
      <c r="MTI346" s="34"/>
      <c r="MTJ346" s="34"/>
      <c r="MTK346" s="34"/>
      <c r="MTL346" s="34"/>
      <c r="MTM346" s="34"/>
      <c r="MTN346" s="34"/>
      <c r="MTO346" s="34"/>
      <c r="MTP346" s="34"/>
      <c r="MTQ346" s="34"/>
      <c r="MTR346" s="34"/>
      <c r="MTS346" s="34"/>
      <c r="MTT346" s="34"/>
      <c r="MTU346" s="34"/>
      <c r="MTV346" s="34"/>
      <c r="MTW346" s="34"/>
      <c r="MTX346" s="34"/>
      <c r="MTY346" s="34"/>
      <c r="MTZ346" s="34"/>
      <c r="MUA346" s="34"/>
      <c r="MUB346" s="34"/>
      <c r="MUC346" s="34"/>
      <c r="MUD346" s="34"/>
      <c r="MUE346" s="34"/>
      <c r="MUF346" s="34"/>
      <c r="MUG346" s="34"/>
      <c r="MUH346" s="34"/>
      <c r="MUI346" s="34"/>
      <c r="MUJ346" s="34"/>
      <c r="MUK346" s="34"/>
      <c r="MUL346" s="34"/>
      <c r="MUM346" s="34"/>
      <c r="MUN346" s="34"/>
      <c r="MUO346" s="34"/>
      <c r="MUP346" s="34"/>
      <c r="MUQ346" s="34"/>
      <c r="MUR346" s="34"/>
      <c r="MUS346" s="34"/>
      <c r="MUT346" s="34"/>
      <c r="MUU346" s="34"/>
      <c r="MUV346" s="34"/>
      <c r="MUW346" s="34"/>
      <c r="MUX346" s="34"/>
      <c r="MUY346" s="34"/>
      <c r="MUZ346" s="34"/>
      <c r="MVA346" s="34"/>
      <c r="MVB346" s="34"/>
      <c r="MVC346" s="34"/>
      <c r="MVD346" s="34"/>
      <c r="MVE346" s="34"/>
      <c r="MVF346" s="34"/>
      <c r="MVG346" s="34"/>
      <c r="MVH346" s="34"/>
      <c r="MVI346" s="34"/>
      <c r="MVJ346" s="34"/>
      <c r="MVK346" s="34"/>
      <c r="MVL346" s="34"/>
      <c r="MVM346" s="34"/>
      <c r="MVN346" s="34"/>
      <c r="MVO346" s="34"/>
      <c r="MVP346" s="34"/>
      <c r="MVQ346" s="34"/>
      <c r="MVR346" s="34"/>
      <c r="MVS346" s="34"/>
      <c r="MVT346" s="34"/>
      <c r="MVU346" s="34"/>
      <c r="MVV346" s="34"/>
      <c r="MVW346" s="34"/>
      <c r="MVX346" s="34"/>
      <c r="MVY346" s="34"/>
      <c r="MVZ346" s="34"/>
      <c r="MWA346" s="34"/>
      <c r="MWB346" s="34"/>
      <c r="MWC346" s="34"/>
      <c r="MWD346" s="34"/>
      <c r="MWE346" s="34"/>
      <c r="MWF346" s="34"/>
      <c r="MWG346" s="34"/>
      <c r="MWH346" s="34"/>
      <c r="MWI346" s="34"/>
      <c r="MWJ346" s="34"/>
      <c r="MWK346" s="34"/>
      <c r="MWL346" s="34"/>
      <c r="MWM346" s="34"/>
      <c r="MWN346" s="34"/>
      <c r="MWO346" s="34"/>
      <c r="MWP346" s="34"/>
      <c r="MWQ346" s="34"/>
      <c r="MWR346" s="34"/>
      <c r="MWS346" s="34"/>
      <c r="MWT346" s="34"/>
      <c r="MWU346" s="34"/>
      <c r="MWV346" s="34"/>
      <c r="MWW346" s="34"/>
      <c r="MWX346" s="34"/>
      <c r="MWY346" s="34"/>
      <c r="MWZ346" s="34"/>
      <c r="MXA346" s="34"/>
      <c r="MXB346" s="34"/>
      <c r="MXC346" s="34"/>
      <c r="MXD346" s="34"/>
      <c r="MXE346" s="34"/>
      <c r="MXF346" s="34"/>
      <c r="MXG346" s="34"/>
      <c r="MXH346" s="34"/>
      <c r="MXI346" s="34"/>
      <c r="MXJ346" s="34"/>
      <c r="MXK346" s="34"/>
      <c r="MXL346" s="34"/>
      <c r="MXM346" s="34"/>
      <c r="MXN346" s="34"/>
      <c r="MXO346" s="34"/>
      <c r="MXP346" s="34"/>
      <c r="MXQ346" s="34"/>
      <c r="MXR346" s="34"/>
      <c r="MXS346" s="34"/>
      <c r="MXT346" s="34"/>
      <c r="MXU346" s="34"/>
      <c r="MXV346" s="34"/>
      <c r="MXW346" s="34"/>
      <c r="MXX346" s="34"/>
      <c r="MXY346" s="34"/>
      <c r="MXZ346" s="34"/>
      <c r="MYA346" s="34"/>
      <c r="MYB346" s="34"/>
      <c r="MYC346" s="34"/>
      <c r="MYD346" s="34"/>
      <c r="MYE346" s="34"/>
      <c r="MYF346" s="34"/>
      <c r="MYG346" s="34"/>
      <c r="MYH346" s="34"/>
      <c r="MYI346" s="34"/>
      <c r="MYJ346" s="34"/>
      <c r="MYK346" s="34"/>
      <c r="MYL346" s="34"/>
      <c r="MYM346" s="34"/>
      <c r="MYN346" s="34"/>
      <c r="MYO346" s="34"/>
      <c r="MYP346" s="34"/>
      <c r="MYQ346" s="34"/>
      <c r="MYR346" s="34"/>
      <c r="MYS346" s="34"/>
      <c r="MYT346" s="34"/>
      <c r="MYU346" s="34"/>
      <c r="MYV346" s="34"/>
      <c r="MYW346" s="34"/>
      <c r="MYX346" s="34"/>
      <c r="MYY346" s="34"/>
      <c r="MYZ346" s="34"/>
      <c r="MZA346" s="34"/>
      <c r="MZB346" s="34"/>
      <c r="MZC346" s="34"/>
      <c r="MZD346" s="34"/>
      <c r="MZE346" s="34"/>
      <c r="MZF346" s="34"/>
      <c r="MZG346" s="34"/>
      <c r="MZH346" s="34"/>
      <c r="MZI346" s="34"/>
      <c r="MZJ346" s="34"/>
      <c r="MZK346" s="34"/>
      <c r="MZL346" s="34"/>
      <c r="MZM346" s="34"/>
      <c r="MZN346" s="34"/>
      <c r="MZO346" s="34"/>
      <c r="MZP346" s="34"/>
      <c r="MZQ346" s="34"/>
      <c r="MZR346" s="34"/>
      <c r="MZS346" s="34"/>
      <c r="MZT346" s="34"/>
      <c r="MZU346" s="34"/>
      <c r="MZV346" s="34"/>
      <c r="MZW346" s="34"/>
      <c r="MZX346" s="34"/>
      <c r="MZY346" s="34"/>
      <c r="MZZ346" s="34"/>
      <c r="NAA346" s="34"/>
      <c r="NAB346" s="34"/>
      <c r="NAC346" s="34"/>
      <c r="NAD346" s="34"/>
      <c r="NAE346" s="34"/>
      <c r="NAF346" s="34"/>
      <c r="NAG346" s="34"/>
      <c r="NAH346" s="34"/>
      <c r="NAI346" s="34"/>
      <c r="NAJ346" s="34"/>
      <c r="NAK346" s="34"/>
      <c r="NAL346" s="34"/>
      <c r="NAM346" s="34"/>
      <c r="NAN346" s="34"/>
      <c r="NAO346" s="34"/>
      <c r="NAP346" s="34"/>
      <c r="NAQ346" s="34"/>
      <c r="NAR346" s="34"/>
      <c r="NAS346" s="34"/>
      <c r="NAT346" s="34"/>
      <c r="NAU346" s="34"/>
      <c r="NAV346" s="34"/>
      <c r="NAW346" s="34"/>
      <c r="NAX346" s="34"/>
      <c r="NAY346" s="34"/>
      <c r="NAZ346" s="34"/>
      <c r="NBA346" s="34"/>
      <c r="NBB346" s="34"/>
      <c r="NBC346" s="34"/>
      <c r="NBD346" s="34"/>
      <c r="NBE346" s="34"/>
      <c r="NBF346" s="34"/>
      <c r="NBG346" s="34"/>
      <c r="NBH346" s="34"/>
      <c r="NBI346" s="34"/>
      <c r="NBJ346" s="34"/>
      <c r="NBK346" s="34"/>
      <c r="NBL346" s="34"/>
      <c r="NBM346" s="34"/>
      <c r="NBN346" s="34"/>
      <c r="NBO346" s="34"/>
      <c r="NBP346" s="34"/>
      <c r="NBQ346" s="34"/>
      <c r="NBR346" s="34"/>
      <c r="NBS346" s="34"/>
      <c r="NBT346" s="34"/>
      <c r="NBU346" s="34"/>
      <c r="NBV346" s="34"/>
      <c r="NBW346" s="34"/>
      <c r="NBX346" s="34"/>
      <c r="NBY346" s="34"/>
      <c r="NBZ346" s="34"/>
      <c r="NCA346" s="34"/>
      <c r="NCB346" s="34"/>
      <c r="NCC346" s="34"/>
      <c r="NCD346" s="34"/>
      <c r="NCE346" s="34"/>
      <c r="NCF346" s="34"/>
      <c r="NCG346" s="34"/>
      <c r="NCH346" s="34"/>
      <c r="NCI346" s="34"/>
      <c r="NCJ346" s="34"/>
      <c r="NCK346" s="34"/>
      <c r="NCL346" s="34"/>
      <c r="NCM346" s="34"/>
      <c r="NCN346" s="34"/>
      <c r="NCO346" s="34"/>
      <c r="NCP346" s="34"/>
      <c r="NCQ346" s="34"/>
      <c r="NCR346" s="34"/>
      <c r="NCS346" s="34"/>
      <c r="NCT346" s="34"/>
      <c r="NCU346" s="34"/>
      <c r="NCV346" s="34"/>
      <c r="NCW346" s="34"/>
      <c r="NCX346" s="34"/>
      <c r="NCY346" s="34"/>
      <c r="NCZ346" s="34"/>
      <c r="NDA346" s="34"/>
      <c r="NDB346" s="34"/>
      <c r="NDC346" s="34"/>
      <c r="NDD346" s="34"/>
      <c r="NDE346" s="34"/>
      <c r="NDF346" s="34"/>
      <c r="NDG346" s="34"/>
      <c r="NDH346" s="34"/>
      <c r="NDI346" s="34"/>
      <c r="NDJ346" s="34"/>
      <c r="NDK346" s="34"/>
      <c r="NDL346" s="34"/>
      <c r="NDM346" s="34"/>
      <c r="NDN346" s="34"/>
      <c r="NDO346" s="34"/>
      <c r="NDP346" s="34"/>
      <c r="NDQ346" s="34"/>
      <c r="NDR346" s="34"/>
      <c r="NDS346" s="34"/>
      <c r="NDT346" s="34"/>
      <c r="NDU346" s="34"/>
      <c r="NDV346" s="34"/>
      <c r="NDW346" s="34"/>
      <c r="NDX346" s="34"/>
      <c r="NDY346" s="34"/>
      <c r="NDZ346" s="34"/>
      <c r="NEA346" s="34"/>
      <c r="NEB346" s="34"/>
      <c r="NEC346" s="34"/>
      <c r="NED346" s="34"/>
      <c r="NEE346" s="34"/>
      <c r="NEF346" s="34"/>
      <c r="NEG346" s="34"/>
      <c r="NEH346" s="34"/>
      <c r="NEI346" s="34"/>
      <c r="NEJ346" s="34"/>
      <c r="NEK346" s="34"/>
      <c r="NEL346" s="34"/>
      <c r="NEM346" s="34"/>
      <c r="NEN346" s="34"/>
      <c r="NEO346" s="34"/>
      <c r="NEP346" s="34"/>
      <c r="NEQ346" s="34"/>
      <c r="NER346" s="34"/>
      <c r="NES346" s="34"/>
      <c r="NET346" s="34"/>
      <c r="NEU346" s="34"/>
      <c r="NEV346" s="34"/>
      <c r="NEW346" s="34"/>
      <c r="NEX346" s="34"/>
      <c r="NEY346" s="34"/>
      <c r="NEZ346" s="34"/>
      <c r="NFA346" s="34"/>
      <c r="NFB346" s="34"/>
      <c r="NFC346" s="34"/>
      <c r="NFD346" s="34"/>
      <c r="NFE346" s="34"/>
      <c r="NFF346" s="34"/>
      <c r="NFG346" s="34"/>
      <c r="NFH346" s="34"/>
      <c r="NFI346" s="34"/>
      <c r="NFJ346" s="34"/>
      <c r="NFK346" s="34"/>
      <c r="NFL346" s="34"/>
      <c r="NFM346" s="34"/>
      <c r="NFN346" s="34"/>
      <c r="NFO346" s="34"/>
      <c r="NFP346" s="34"/>
      <c r="NFQ346" s="34"/>
      <c r="NFR346" s="34"/>
      <c r="NFS346" s="34"/>
      <c r="NFT346" s="34"/>
      <c r="NFU346" s="34"/>
      <c r="NFV346" s="34"/>
      <c r="NFW346" s="34"/>
      <c r="NFX346" s="34"/>
      <c r="NFY346" s="34"/>
      <c r="NFZ346" s="34"/>
      <c r="NGA346" s="34"/>
      <c r="NGB346" s="34"/>
      <c r="NGC346" s="34"/>
      <c r="NGD346" s="34"/>
      <c r="NGE346" s="34"/>
      <c r="NGF346" s="34"/>
      <c r="NGG346" s="34"/>
      <c r="NGH346" s="34"/>
      <c r="NGI346" s="34"/>
      <c r="NGJ346" s="34"/>
      <c r="NGK346" s="34"/>
      <c r="NGL346" s="34"/>
      <c r="NGM346" s="34"/>
      <c r="NGN346" s="34"/>
      <c r="NGO346" s="34"/>
      <c r="NGP346" s="34"/>
      <c r="NGQ346" s="34"/>
      <c r="NGR346" s="34"/>
      <c r="NGS346" s="34"/>
      <c r="NGT346" s="34"/>
      <c r="NGU346" s="34"/>
      <c r="NGV346" s="34"/>
      <c r="NGW346" s="34"/>
      <c r="NGX346" s="34"/>
      <c r="NGY346" s="34"/>
      <c r="NGZ346" s="34"/>
      <c r="NHA346" s="34"/>
      <c r="NHB346" s="34"/>
      <c r="NHC346" s="34"/>
      <c r="NHD346" s="34"/>
      <c r="NHE346" s="34"/>
      <c r="NHF346" s="34"/>
      <c r="NHG346" s="34"/>
      <c r="NHH346" s="34"/>
      <c r="NHI346" s="34"/>
      <c r="NHJ346" s="34"/>
      <c r="NHK346" s="34"/>
      <c r="NHL346" s="34"/>
      <c r="NHM346" s="34"/>
      <c r="NHN346" s="34"/>
      <c r="NHO346" s="34"/>
      <c r="NHP346" s="34"/>
      <c r="NHQ346" s="34"/>
      <c r="NHR346" s="34"/>
      <c r="NHS346" s="34"/>
      <c r="NHT346" s="34"/>
      <c r="NHU346" s="34"/>
      <c r="NHV346" s="34"/>
      <c r="NHW346" s="34"/>
      <c r="NHX346" s="34"/>
      <c r="NHY346" s="34"/>
      <c r="NHZ346" s="34"/>
      <c r="NIA346" s="34"/>
      <c r="NIB346" s="34"/>
      <c r="NIC346" s="34"/>
      <c r="NID346" s="34"/>
      <c r="NIE346" s="34"/>
      <c r="NIF346" s="34"/>
      <c r="NIG346" s="34"/>
      <c r="NIH346" s="34"/>
      <c r="NII346" s="34"/>
      <c r="NIJ346" s="34"/>
      <c r="NIK346" s="34"/>
      <c r="NIL346" s="34"/>
      <c r="NIM346" s="34"/>
      <c r="NIN346" s="34"/>
      <c r="NIO346" s="34"/>
      <c r="NIP346" s="34"/>
      <c r="NIQ346" s="34"/>
      <c r="NIR346" s="34"/>
      <c r="NIS346" s="34"/>
      <c r="NIT346" s="34"/>
      <c r="NIU346" s="34"/>
      <c r="NIV346" s="34"/>
      <c r="NIW346" s="34"/>
      <c r="NIX346" s="34"/>
      <c r="NIY346" s="34"/>
      <c r="NIZ346" s="34"/>
      <c r="NJA346" s="34"/>
      <c r="NJB346" s="34"/>
      <c r="NJC346" s="34"/>
      <c r="NJD346" s="34"/>
      <c r="NJE346" s="34"/>
      <c r="NJF346" s="34"/>
      <c r="NJG346" s="34"/>
      <c r="NJH346" s="34"/>
      <c r="NJI346" s="34"/>
      <c r="NJJ346" s="34"/>
      <c r="NJK346" s="34"/>
      <c r="NJL346" s="34"/>
      <c r="NJM346" s="34"/>
      <c r="NJN346" s="34"/>
      <c r="NJO346" s="34"/>
      <c r="NJP346" s="34"/>
      <c r="NJQ346" s="34"/>
      <c r="NJR346" s="34"/>
      <c r="NJS346" s="34"/>
      <c r="NJT346" s="34"/>
      <c r="NJU346" s="34"/>
      <c r="NJV346" s="34"/>
      <c r="NJW346" s="34"/>
      <c r="NJX346" s="34"/>
      <c r="NJY346" s="34"/>
      <c r="NJZ346" s="34"/>
      <c r="NKA346" s="34"/>
      <c r="NKB346" s="34"/>
      <c r="NKC346" s="34"/>
      <c r="NKD346" s="34"/>
      <c r="NKE346" s="34"/>
      <c r="NKF346" s="34"/>
      <c r="NKG346" s="34"/>
      <c r="NKH346" s="34"/>
      <c r="NKI346" s="34"/>
      <c r="NKJ346" s="34"/>
      <c r="NKK346" s="34"/>
      <c r="NKL346" s="34"/>
      <c r="NKM346" s="34"/>
      <c r="NKN346" s="34"/>
      <c r="NKO346" s="34"/>
      <c r="NKP346" s="34"/>
      <c r="NKQ346" s="34"/>
      <c r="NKR346" s="34"/>
      <c r="NKS346" s="34"/>
      <c r="NKT346" s="34"/>
      <c r="NKU346" s="34"/>
      <c r="NKV346" s="34"/>
      <c r="NKW346" s="34"/>
      <c r="NKX346" s="34"/>
      <c r="NKY346" s="34"/>
      <c r="NKZ346" s="34"/>
      <c r="NLA346" s="34"/>
      <c r="NLB346" s="34"/>
      <c r="NLC346" s="34"/>
      <c r="NLD346" s="34"/>
      <c r="NLE346" s="34"/>
      <c r="NLF346" s="34"/>
      <c r="NLG346" s="34"/>
      <c r="NLH346" s="34"/>
      <c r="NLI346" s="34"/>
      <c r="NLJ346" s="34"/>
      <c r="NLK346" s="34"/>
      <c r="NLL346" s="34"/>
      <c r="NLM346" s="34"/>
      <c r="NLN346" s="34"/>
      <c r="NLO346" s="34"/>
      <c r="NLP346" s="34"/>
      <c r="NLQ346" s="34"/>
      <c r="NLR346" s="34"/>
      <c r="NLS346" s="34"/>
      <c r="NLT346" s="34"/>
      <c r="NLU346" s="34"/>
      <c r="NLV346" s="34"/>
      <c r="NLW346" s="34"/>
      <c r="NLX346" s="34"/>
      <c r="NLY346" s="34"/>
      <c r="NLZ346" s="34"/>
      <c r="NMA346" s="34"/>
      <c r="NMB346" s="34"/>
      <c r="NMC346" s="34"/>
      <c r="NMD346" s="34"/>
      <c r="NME346" s="34"/>
      <c r="NMF346" s="34"/>
      <c r="NMG346" s="34"/>
      <c r="NMH346" s="34"/>
      <c r="NMI346" s="34"/>
      <c r="NMJ346" s="34"/>
      <c r="NMK346" s="34"/>
      <c r="NML346" s="34"/>
      <c r="NMM346" s="34"/>
      <c r="NMN346" s="34"/>
      <c r="NMO346" s="34"/>
      <c r="NMP346" s="34"/>
      <c r="NMQ346" s="34"/>
      <c r="NMR346" s="34"/>
      <c r="NMS346" s="34"/>
      <c r="NMT346" s="34"/>
      <c r="NMU346" s="34"/>
      <c r="NMV346" s="34"/>
      <c r="NMW346" s="34"/>
      <c r="NMX346" s="34"/>
      <c r="NMY346" s="34"/>
      <c r="NMZ346" s="34"/>
      <c r="NNA346" s="34"/>
      <c r="NNB346" s="34"/>
      <c r="NNC346" s="34"/>
      <c r="NND346" s="34"/>
      <c r="NNE346" s="34"/>
      <c r="NNF346" s="34"/>
      <c r="NNG346" s="34"/>
      <c r="NNH346" s="34"/>
      <c r="NNI346" s="34"/>
      <c r="NNJ346" s="34"/>
      <c r="NNK346" s="34"/>
      <c r="NNL346" s="34"/>
      <c r="NNM346" s="34"/>
      <c r="NNN346" s="34"/>
      <c r="NNO346" s="34"/>
      <c r="NNP346" s="34"/>
      <c r="NNQ346" s="34"/>
      <c r="NNR346" s="34"/>
      <c r="NNS346" s="34"/>
      <c r="NNT346" s="34"/>
      <c r="NNU346" s="34"/>
      <c r="NNV346" s="34"/>
      <c r="NNW346" s="34"/>
      <c r="NNX346" s="34"/>
      <c r="NNY346" s="34"/>
      <c r="NNZ346" s="34"/>
      <c r="NOA346" s="34"/>
      <c r="NOB346" s="34"/>
      <c r="NOC346" s="34"/>
      <c r="NOD346" s="34"/>
      <c r="NOE346" s="34"/>
      <c r="NOF346" s="34"/>
      <c r="NOG346" s="34"/>
      <c r="NOH346" s="34"/>
      <c r="NOI346" s="34"/>
      <c r="NOJ346" s="34"/>
      <c r="NOK346" s="34"/>
      <c r="NOL346" s="34"/>
      <c r="NOM346" s="34"/>
      <c r="NON346" s="34"/>
      <c r="NOO346" s="34"/>
      <c r="NOP346" s="34"/>
      <c r="NOQ346" s="34"/>
      <c r="NOR346" s="34"/>
      <c r="NOS346" s="34"/>
      <c r="NOT346" s="34"/>
      <c r="NOU346" s="34"/>
      <c r="NOV346" s="34"/>
      <c r="NOW346" s="34"/>
      <c r="NOX346" s="34"/>
      <c r="NOY346" s="34"/>
      <c r="NOZ346" s="34"/>
      <c r="NPA346" s="34"/>
      <c r="NPB346" s="34"/>
      <c r="NPC346" s="34"/>
      <c r="NPD346" s="34"/>
      <c r="NPE346" s="34"/>
      <c r="NPF346" s="34"/>
      <c r="NPG346" s="34"/>
      <c r="NPH346" s="34"/>
      <c r="NPI346" s="34"/>
      <c r="NPJ346" s="34"/>
      <c r="NPK346" s="34"/>
      <c r="NPL346" s="34"/>
      <c r="NPM346" s="34"/>
      <c r="NPN346" s="34"/>
      <c r="NPO346" s="34"/>
      <c r="NPP346" s="34"/>
      <c r="NPQ346" s="34"/>
      <c r="NPR346" s="34"/>
      <c r="NPS346" s="34"/>
      <c r="NPT346" s="34"/>
      <c r="NPU346" s="34"/>
      <c r="NPV346" s="34"/>
      <c r="NPW346" s="34"/>
      <c r="NPX346" s="34"/>
      <c r="NPY346" s="34"/>
      <c r="NPZ346" s="34"/>
      <c r="NQA346" s="34"/>
      <c r="NQB346" s="34"/>
      <c r="NQC346" s="34"/>
      <c r="NQD346" s="34"/>
      <c r="NQE346" s="34"/>
      <c r="NQF346" s="34"/>
      <c r="NQG346" s="34"/>
      <c r="NQH346" s="34"/>
      <c r="NQI346" s="34"/>
      <c r="NQJ346" s="34"/>
      <c r="NQK346" s="34"/>
      <c r="NQL346" s="34"/>
      <c r="NQM346" s="34"/>
      <c r="NQN346" s="34"/>
      <c r="NQO346" s="34"/>
      <c r="NQP346" s="34"/>
      <c r="NQQ346" s="34"/>
      <c r="NQR346" s="34"/>
      <c r="NQS346" s="34"/>
      <c r="NQT346" s="34"/>
      <c r="NQU346" s="34"/>
      <c r="NQV346" s="34"/>
      <c r="NQW346" s="34"/>
      <c r="NQX346" s="34"/>
      <c r="NQY346" s="34"/>
      <c r="NQZ346" s="34"/>
      <c r="NRA346" s="34"/>
      <c r="NRB346" s="34"/>
      <c r="NRC346" s="34"/>
      <c r="NRD346" s="34"/>
      <c r="NRE346" s="34"/>
      <c r="NRF346" s="34"/>
      <c r="NRG346" s="34"/>
      <c r="NRH346" s="34"/>
      <c r="NRI346" s="34"/>
      <c r="NRJ346" s="34"/>
      <c r="NRK346" s="34"/>
      <c r="NRL346" s="34"/>
      <c r="NRM346" s="34"/>
      <c r="NRN346" s="34"/>
      <c r="NRO346" s="34"/>
      <c r="NRP346" s="34"/>
      <c r="NRQ346" s="34"/>
      <c r="NRR346" s="34"/>
      <c r="NRS346" s="34"/>
      <c r="NRT346" s="34"/>
      <c r="NRU346" s="34"/>
      <c r="NRV346" s="34"/>
      <c r="NRW346" s="34"/>
      <c r="NRX346" s="34"/>
      <c r="NRY346" s="34"/>
      <c r="NRZ346" s="34"/>
      <c r="NSA346" s="34"/>
      <c r="NSB346" s="34"/>
      <c r="NSC346" s="34"/>
      <c r="NSD346" s="34"/>
      <c r="NSE346" s="34"/>
      <c r="NSF346" s="34"/>
      <c r="NSG346" s="34"/>
      <c r="NSH346" s="34"/>
      <c r="NSI346" s="34"/>
      <c r="NSJ346" s="34"/>
      <c r="NSK346" s="34"/>
      <c r="NSL346" s="34"/>
      <c r="NSM346" s="34"/>
      <c r="NSN346" s="34"/>
      <c r="NSO346" s="34"/>
      <c r="NSP346" s="34"/>
      <c r="NSQ346" s="34"/>
      <c r="NSR346" s="34"/>
      <c r="NSS346" s="34"/>
      <c r="NST346" s="34"/>
      <c r="NSU346" s="34"/>
      <c r="NSV346" s="34"/>
      <c r="NSW346" s="34"/>
      <c r="NSX346" s="34"/>
      <c r="NSY346" s="34"/>
      <c r="NSZ346" s="34"/>
      <c r="NTA346" s="34"/>
      <c r="NTB346" s="34"/>
      <c r="NTC346" s="34"/>
      <c r="NTD346" s="34"/>
      <c r="NTE346" s="34"/>
      <c r="NTF346" s="34"/>
      <c r="NTG346" s="34"/>
      <c r="NTH346" s="34"/>
      <c r="NTI346" s="34"/>
      <c r="NTJ346" s="34"/>
      <c r="NTK346" s="34"/>
      <c r="NTL346" s="34"/>
      <c r="NTM346" s="34"/>
      <c r="NTN346" s="34"/>
      <c r="NTO346" s="34"/>
      <c r="NTP346" s="34"/>
      <c r="NTQ346" s="34"/>
      <c r="NTR346" s="34"/>
      <c r="NTS346" s="34"/>
      <c r="NTT346" s="34"/>
      <c r="NTU346" s="34"/>
      <c r="NTV346" s="34"/>
      <c r="NTW346" s="34"/>
      <c r="NTX346" s="34"/>
      <c r="NTY346" s="34"/>
    </row>
    <row r="347" spans="1:10009" hidden="1" x14ac:dyDescent="0.3">
      <c r="J347" t="s">
        <v>209</v>
      </c>
      <c r="K347">
        <v>470278409000</v>
      </c>
      <c r="L347">
        <v>448040650000</v>
      </c>
      <c r="M347">
        <v>439326959000</v>
      </c>
      <c r="N347">
        <v>426621158000</v>
      </c>
      <c r="O347">
        <v>410420718000</v>
      </c>
      <c r="P347">
        <v>384777669000</v>
      </c>
      <c r="Q347">
        <v>392826274000</v>
      </c>
      <c r="R347">
        <v>378235718000</v>
      </c>
      <c r="S347">
        <v>375788742000</v>
      </c>
      <c r="T347">
        <v>357959499000</v>
      </c>
    </row>
    <row r="348" spans="1:10009" hidden="1" x14ac:dyDescent="0.3">
      <c r="J348" t="s">
        <v>222</v>
      </c>
      <c r="K348">
        <v>125371520000</v>
      </c>
      <c r="L348">
        <v>120133986000</v>
      </c>
      <c r="M348">
        <v>124036040000</v>
      </c>
      <c r="N348">
        <v>121721227000</v>
      </c>
      <c r="O348">
        <v>113654600000</v>
      </c>
      <c r="P348">
        <v>102453403000</v>
      </c>
      <c r="Q348">
        <v>118557683000</v>
      </c>
      <c r="R348">
        <v>102287702000</v>
      </c>
      <c r="S348">
        <v>99652554000</v>
      </c>
      <c r="T348">
        <v>88151682000</v>
      </c>
    </row>
    <row r="349" spans="1:10009" hidden="1" x14ac:dyDescent="0.3">
      <c r="J349" t="s">
        <v>208</v>
      </c>
      <c r="K349">
        <v>344906889000</v>
      </c>
      <c r="L349">
        <v>327906664000</v>
      </c>
      <c r="M349">
        <v>315290919000</v>
      </c>
      <c r="N349">
        <v>304899931000</v>
      </c>
      <c r="O349">
        <v>296766118000</v>
      </c>
      <c r="P349">
        <v>282324266000</v>
      </c>
      <c r="Q349">
        <v>274268591000</v>
      </c>
      <c r="R349">
        <v>275948016000</v>
      </c>
      <c r="S349">
        <v>276136188000</v>
      </c>
      <c r="T349">
        <v>269807817000</v>
      </c>
    </row>
    <row r="350" spans="1:10009" hidden="1" x14ac:dyDescent="0.3"/>
    <row r="351" spans="1:10009" hidden="1" x14ac:dyDescent="0.3">
      <c r="J351" t="str">
        <f ca="1">_xll.IMDH("STK",$N$5,$J$352:$J$355,$L$92-93,$O$5,9999,"Per=분기,sort=D,real=true,Bizday=0,Quote=종가,Pos=11,Orient=H,Cons="&amp;$P$5&amp;",Comp=누적,Trai=연속,DtFmt=1,TmFmt=1,unit=true,title=분기활동성")</f>
        <v>분기활동성</v>
      </c>
    </row>
    <row r="352" spans="1:10009" hidden="1" x14ac:dyDescent="0.3">
      <c r="J352" t="s">
        <v>164</v>
      </c>
      <c r="K352" s="34">
        <v>45199</v>
      </c>
      <c r="L352" s="34">
        <v>45107</v>
      </c>
      <c r="M352" s="34">
        <v>45016</v>
      </c>
      <c r="N352" s="34">
        <v>44926</v>
      </c>
      <c r="O352" s="34">
        <v>44834</v>
      </c>
      <c r="P352" s="34">
        <v>44742</v>
      </c>
      <c r="Q352" s="34">
        <v>44651</v>
      </c>
      <c r="R352" s="34">
        <v>44561</v>
      </c>
      <c r="S352" s="34">
        <v>44469</v>
      </c>
      <c r="T352" s="34">
        <v>44377</v>
      </c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  <c r="CO352" s="34"/>
      <c r="CP352" s="34"/>
      <c r="CQ352" s="34"/>
      <c r="CR352" s="34"/>
      <c r="CS352" s="34"/>
      <c r="CT352" s="34"/>
      <c r="CU352" s="34"/>
      <c r="CV352" s="34"/>
      <c r="CW352" s="34"/>
      <c r="CX352" s="34"/>
      <c r="CY352" s="34"/>
      <c r="CZ352" s="34"/>
      <c r="DA352" s="34"/>
      <c r="DB352" s="34"/>
      <c r="DC352" s="34"/>
      <c r="DD352" s="34"/>
      <c r="DE352" s="34"/>
      <c r="DF352" s="34"/>
      <c r="DG352" s="34"/>
      <c r="DH352" s="34"/>
      <c r="DI352" s="34"/>
      <c r="DJ352" s="34"/>
      <c r="DK352" s="34"/>
      <c r="DL352" s="34"/>
      <c r="DM352" s="34"/>
      <c r="DN352" s="34"/>
      <c r="DO352" s="34"/>
      <c r="DP352" s="34"/>
      <c r="DQ352" s="34"/>
      <c r="DR352" s="34"/>
      <c r="DS352" s="34"/>
      <c r="DT352" s="34"/>
      <c r="DU352" s="34"/>
      <c r="DV352" s="34"/>
      <c r="DW352" s="34"/>
      <c r="DX352" s="34"/>
      <c r="DY352" s="34"/>
      <c r="DZ352" s="34"/>
      <c r="EA352" s="34"/>
      <c r="EB352" s="34"/>
      <c r="EC352" s="34"/>
      <c r="ED352" s="34"/>
      <c r="EE352" s="34"/>
      <c r="EF352" s="34"/>
      <c r="EG352" s="34"/>
      <c r="EH352" s="34"/>
      <c r="EI352" s="34"/>
      <c r="EJ352" s="34"/>
      <c r="EK352" s="34"/>
      <c r="EL352" s="34"/>
      <c r="EM352" s="34"/>
      <c r="EN352" s="34"/>
      <c r="EO352" s="34"/>
      <c r="EP352" s="34"/>
      <c r="EQ352" s="34"/>
      <c r="ER352" s="34"/>
      <c r="ES352" s="34"/>
      <c r="ET352" s="34"/>
      <c r="EU352" s="34"/>
      <c r="EV352" s="34"/>
      <c r="EW352" s="34"/>
      <c r="EX352" s="34"/>
      <c r="EY352" s="34"/>
      <c r="EZ352" s="34"/>
      <c r="FA352" s="34"/>
      <c r="FB352" s="34"/>
      <c r="FC352" s="34"/>
      <c r="FD352" s="34"/>
      <c r="FE352" s="34"/>
      <c r="FF352" s="34"/>
      <c r="FG352" s="34"/>
      <c r="FH352" s="34"/>
      <c r="FI352" s="34"/>
      <c r="FJ352" s="34"/>
      <c r="FK352" s="34"/>
      <c r="FL352" s="34"/>
      <c r="FM352" s="34"/>
      <c r="FN352" s="34"/>
      <c r="FO352" s="34"/>
      <c r="FP352" s="34"/>
      <c r="FQ352" s="34"/>
      <c r="FR352" s="34"/>
      <c r="FS352" s="34"/>
      <c r="FT352" s="34"/>
      <c r="FU352" s="34"/>
      <c r="FV352" s="34"/>
      <c r="FW352" s="34"/>
      <c r="FX352" s="34"/>
      <c r="FY352" s="34"/>
      <c r="FZ352" s="34"/>
      <c r="GA352" s="34"/>
      <c r="GB352" s="34"/>
      <c r="GC352" s="34"/>
      <c r="GD352" s="34"/>
      <c r="GE352" s="34"/>
      <c r="GF352" s="34"/>
      <c r="GG352" s="34"/>
      <c r="GH352" s="34"/>
      <c r="GI352" s="34"/>
      <c r="GJ352" s="34"/>
      <c r="GK352" s="34"/>
      <c r="GL352" s="34"/>
      <c r="GM352" s="34"/>
      <c r="GN352" s="34"/>
      <c r="GO352" s="34"/>
      <c r="GP352" s="34"/>
      <c r="GQ352" s="34"/>
      <c r="GR352" s="34"/>
      <c r="GS352" s="34"/>
      <c r="GT352" s="34"/>
      <c r="GU352" s="34"/>
      <c r="GV352" s="34"/>
      <c r="GW352" s="34"/>
      <c r="GX352" s="34"/>
      <c r="GY352" s="34"/>
      <c r="GZ352" s="34"/>
      <c r="HA352" s="34"/>
      <c r="HB352" s="34"/>
      <c r="HC352" s="34"/>
      <c r="HD352" s="34"/>
      <c r="HE352" s="34"/>
      <c r="HF352" s="34"/>
      <c r="HG352" s="34"/>
      <c r="HH352" s="34"/>
      <c r="HI352" s="34"/>
      <c r="HJ352" s="34"/>
      <c r="HK352" s="34"/>
      <c r="HL352" s="34"/>
      <c r="HM352" s="34"/>
      <c r="HN352" s="34"/>
      <c r="HO352" s="34"/>
      <c r="HP352" s="34"/>
      <c r="HQ352" s="34"/>
      <c r="HR352" s="34"/>
      <c r="HS352" s="34"/>
      <c r="HT352" s="34"/>
      <c r="HU352" s="34"/>
      <c r="HV352" s="34"/>
      <c r="HW352" s="34"/>
      <c r="HX352" s="34"/>
      <c r="HY352" s="34"/>
      <c r="HZ352" s="34"/>
      <c r="IA352" s="34"/>
      <c r="IB352" s="34"/>
      <c r="IC352" s="34"/>
      <c r="ID352" s="34"/>
      <c r="IE352" s="34"/>
      <c r="IF352" s="34"/>
      <c r="IG352" s="34"/>
      <c r="IH352" s="34"/>
      <c r="II352" s="34"/>
      <c r="IJ352" s="34"/>
      <c r="IK352" s="34"/>
      <c r="IL352" s="34"/>
      <c r="IM352" s="34"/>
      <c r="IN352" s="34"/>
      <c r="IO352" s="34"/>
      <c r="IP352" s="34"/>
      <c r="IQ352" s="34"/>
      <c r="IR352" s="34"/>
      <c r="IS352" s="34"/>
      <c r="IT352" s="34"/>
      <c r="IU352" s="34"/>
      <c r="IV352" s="34"/>
      <c r="IW352" s="34"/>
      <c r="IX352" s="34"/>
      <c r="IY352" s="34"/>
      <c r="IZ352" s="34"/>
      <c r="JA352" s="34"/>
      <c r="JB352" s="34"/>
      <c r="JC352" s="34"/>
      <c r="JD352" s="34"/>
      <c r="JE352" s="34"/>
      <c r="JF352" s="34"/>
      <c r="JG352" s="34"/>
      <c r="JH352" s="34"/>
      <c r="JI352" s="34"/>
      <c r="JJ352" s="34"/>
      <c r="JK352" s="34"/>
      <c r="JL352" s="34"/>
      <c r="JM352" s="34"/>
      <c r="JN352" s="34"/>
      <c r="JO352" s="34"/>
      <c r="JP352" s="34"/>
      <c r="JQ352" s="34"/>
      <c r="JR352" s="34"/>
      <c r="JS352" s="34"/>
      <c r="JT352" s="34"/>
      <c r="JU352" s="34"/>
      <c r="JV352" s="34"/>
      <c r="JW352" s="34"/>
      <c r="JX352" s="34"/>
      <c r="JY352" s="34"/>
      <c r="JZ352" s="34"/>
      <c r="KA352" s="34"/>
      <c r="KB352" s="34"/>
      <c r="KC352" s="34"/>
      <c r="KD352" s="34"/>
      <c r="KE352" s="34"/>
      <c r="KF352" s="34"/>
      <c r="KG352" s="34"/>
      <c r="KH352" s="34"/>
      <c r="KI352" s="34"/>
      <c r="KJ352" s="34"/>
      <c r="KK352" s="34"/>
      <c r="KL352" s="34"/>
      <c r="KM352" s="34"/>
      <c r="KN352" s="34"/>
      <c r="KO352" s="34"/>
      <c r="KP352" s="34"/>
      <c r="KQ352" s="34"/>
      <c r="KR352" s="34"/>
      <c r="KS352" s="34"/>
      <c r="KT352" s="34"/>
      <c r="KU352" s="34"/>
      <c r="KV352" s="34"/>
      <c r="KW352" s="34"/>
      <c r="KX352" s="34"/>
      <c r="KY352" s="34"/>
      <c r="KZ352" s="34"/>
      <c r="LA352" s="34"/>
      <c r="LB352" s="34"/>
      <c r="LC352" s="34"/>
      <c r="LD352" s="34"/>
      <c r="LE352" s="34"/>
      <c r="LF352" s="34"/>
      <c r="LG352" s="34"/>
      <c r="LH352" s="34"/>
      <c r="LI352" s="34"/>
      <c r="LJ352" s="34"/>
      <c r="LK352" s="34"/>
      <c r="LL352" s="34"/>
      <c r="LM352" s="34"/>
      <c r="LN352" s="34"/>
      <c r="LO352" s="34"/>
      <c r="LP352" s="34"/>
      <c r="LQ352" s="34"/>
      <c r="LR352" s="34"/>
      <c r="LS352" s="34"/>
      <c r="LT352" s="34"/>
      <c r="LU352" s="34"/>
      <c r="LV352" s="34"/>
      <c r="LW352" s="34"/>
      <c r="LX352" s="34"/>
      <c r="LY352" s="34"/>
      <c r="LZ352" s="34"/>
      <c r="MA352" s="34"/>
      <c r="MB352" s="34"/>
      <c r="MC352" s="34"/>
      <c r="MD352" s="34"/>
      <c r="ME352" s="34"/>
      <c r="MF352" s="34"/>
      <c r="MG352" s="34"/>
      <c r="MH352" s="34"/>
      <c r="MI352" s="34"/>
      <c r="MJ352" s="34"/>
      <c r="MK352" s="34"/>
      <c r="ML352" s="34"/>
      <c r="MM352" s="34"/>
      <c r="MN352" s="34"/>
      <c r="MO352" s="34"/>
      <c r="MP352" s="34"/>
      <c r="MQ352" s="34"/>
      <c r="MR352" s="34"/>
      <c r="MS352" s="34"/>
      <c r="MT352" s="34"/>
      <c r="MU352" s="34"/>
      <c r="MV352" s="34"/>
      <c r="MW352" s="34"/>
      <c r="MX352" s="34"/>
      <c r="MY352" s="34"/>
      <c r="MZ352" s="34"/>
      <c r="NA352" s="34"/>
      <c r="NB352" s="34"/>
      <c r="NC352" s="34"/>
      <c r="ND352" s="34"/>
      <c r="NE352" s="34"/>
      <c r="NF352" s="34"/>
      <c r="NG352" s="34"/>
      <c r="NH352" s="34"/>
      <c r="NI352" s="34"/>
      <c r="NJ352" s="34"/>
      <c r="NK352" s="34"/>
      <c r="NL352" s="34"/>
      <c r="NM352" s="34"/>
      <c r="NN352" s="34"/>
      <c r="NO352" s="34"/>
      <c r="NP352" s="34"/>
      <c r="NQ352" s="34"/>
      <c r="NR352" s="34"/>
      <c r="NS352" s="34"/>
      <c r="NT352" s="34"/>
      <c r="NU352" s="34"/>
      <c r="NV352" s="34"/>
      <c r="NW352" s="34"/>
      <c r="NX352" s="34"/>
      <c r="NY352" s="34"/>
      <c r="NZ352" s="34"/>
      <c r="OA352" s="34"/>
      <c r="OB352" s="34"/>
      <c r="OC352" s="34"/>
      <c r="OD352" s="34"/>
      <c r="OE352" s="34"/>
      <c r="OF352" s="34"/>
      <c r="OG352" s="34"/>
      <c r="OH352" s="34"/>
      <c r="OI352" s="34"/>
      <c r="OJ352" s="34"/>
      <c r="OK352" s="34"/>
      <c r="OL352" s="34"/>
      <c r="OM352" s="34"/>
      <c r="ON352" s="34"/>
      <c r="OO352" s="34"/>
      <c r="OP352" s="34"/>
      <c r="OQ352" s="34"/>
      <c r="OR352" s="34"/>
      <c r="OS352" s="34"/>
      <c r="OT352" s="34"/>
      <c r="OU352" s="34"/>
      <c r="OV352" s="34"/>
      <c r="OW352" s="34"/>
      <c r="OX352" s="34"/>
      <c r="OY352" s="34"/>
      <c r="OZ352" s="34"/>
      <c r="PA352" s="34"/>
      <c r="PB352" s="34"/>
      <c r="PC352" s="34"/>
      <c r="PD352" s="34"/>
      <c r="PE352" s="34"/>
      <c r="PF352" s="34"/>
      <c r="PG352" s="34"/>
      <c r="PH352" s="34"/>
      <c r="PI352" s="34"/>
      <c r="PJ352" s="34"/>
      <c r="PK352" s="34"/>
      <c r="PL352" s="34"/>
      <c r="PM352" s="34"/>
      <c r="PN352" s="34"/>
      <c r="PO352" s="34"/>
      <c r="PP352" s="34"/>
      <c r="PQ352" s="34"/>
      <c r="PR352" s="34"/>
      <c r="PS352" s="34"/>
      <c r="PT352" s="34"/>
      <c r="PU352" s="34"/>
      <c r="PV352" s="34"/>
      <c r="PW352" s="34"/>
      <c r="PX352" s="34"/>
      <c r="PY352" s="34"/>
      <c r="PZ352" s="34"/>
      <c r="QA352" s="34"/>
      <c r="QB352" s="34"/>
      <c r="QC352" s="34"/>
      <c r="QD352" s="34"/>
      <c r="QE352" s="34"/>
      <c r="QF352" s="34"/>
      <c r="QG352" s="34"/>
      <c r="QH352" s="34"/>
      <c r="QI352" s="34"/>
      <c r="QJ352" s="34"/>
      <c r="QK352" s="34"/>
      <c r="QL352" s="34"/>
      <c r="QM352" s="34"/>
      <c r="QN352" s="34"/>
      <c r="QO352" s="34"/>
      <c r="QP352" s="34"/>
      <c r="QQ352" s="34"/>
      <c r="QR352" s="34"/>
      <c r="QS352" s="34"/>
      <c r="QT352" s="34"/>
      <c r="QU352" s="34"/>
      <c r="QV352" s="34"/>
      <c r="QW352" s="34"/>
      <c r="QX352" s="34"/>
      <c r="QY352" s="34"/>
      <c r="QZ352" s="34"/>
      <c r="RA352" s="34"/>
      <c r="RB352" s="34"/>
      <c r="RC352" s="34"/>
      <c r="RD352" s="34"/>
      <c r="RE352" s="34"/>
      <c r="RF352" s="34"/>
      <c r="RG352" s="34"/>
      <c r="RH352" s="34"/>
      <c r="RI352" s="34"/>
      <c r="RJ352" s="34"/>
      <c r="RK352" s="34"/>
      <c r="RL352" s="34"/>
      <c r="RM352" s="34"/>
      <c r="RN352" s="34"/>
      <c r="RO352" s="34"/>
      <c r="RP352" s="34"/>
      <c r="RQ352" s="34"/>
      <c r="RR352" s="34"/>
      <c r="RS352" s="34"/>
      <c r="RT352" s="34"/>
      <c r="RU352" s="34"/>
      <c r="RV352" s="34"/>
      <c r="RW352" s="34"/>
      <c r="RX352" s="34"/>
      <c r="RY352" s="34"/>
      <c r="RZ352" s="34"/>
      <c r="SA352" s="34"/>
      <c r="SB352" s="34"/>
      <c r="SC352" s="34"/>
      <c r="SD352" s="34"/>
      <c r="SE352" s="34"/>
      <c r="SF352" s="34"/>
      <c r="SG352" s="34"/>
      <c r="SH352" s="34"/>
      <c r="SI352" s="34"/>
      <c r="SJ352" s="34"/>
      <c r="SK352" s="34"/>
      <c r="SL352" s="34"/>
      <c r="SM352" s="34"/>
      <c r="SN352" s="34"/>
      <c r="SO352" s="34"/>
      <c r="SP352" s="34"/>
      <c r="SQ352" s="34"/>
      <c r="SR352" s="34"/>
      <c r="SS352" s="34"/>
      <c r="ST352" s="34"/>
      <c r="SU352" s="34"/>
      <c r="SV352" s="34"/>
      <c r="SW352" s="34"/>
      <c r="SX352" s="34"/>
      <c r="SY352" s="34"/>
      <c r="SZ352" s="34"/>
      <c r="TA352" s="34"/>
      <c r="TB352" s="34"/>
      <c r="TC352" s="34"/>
      <c r="TD352" s="34"/>
      <c r="TE352" s="34"/>
      <c r="TF352" s="34"/>
      <c r="TG352" s="34"/>
      <c r="TH352" s="34"/>
      <c r="TI352" s="34"/>
      <c r="TJ352" s="34"/>
      <c r="TK352" s="34"/>
      <c r="TL352" s="34"/>
      <c r="TM352" s="34"/>
      <c r="TN352" s="34"/>
      <c r="TO352" s="34"/>
      <c r="TP352" s="34"/>
      <c r="TQ352" s="34"/>
      <c r="TR352" s="34"/>
      <c r="TS352" s="34"/>
      <c r="TT352" s="34"/>
      <c r="TU352" s="34"/>
      <c r="TV352" s="34"/>
      <c r="TW352" s="34"/>
      <c r="TX352" s="34"/>
      <c r="TY352" s="34"/>
      <c r="TZ352" s="34"/>
      <c r="UA352" s="34"/>
      <c r="UB352" s="34"/>
      <c r="UC352" s="34"/>
      <c r="UD352" s="34"/>
      <c r="UE352" s="34"/>
      <c r="UF352" s="34"/>
      <c r="UG352" s="34"/>
      <c r="UH352" s="34"/>
      <c r="UI352" s="34"/>
      <c r="UJ352" s="34"/>
      <c r="UK352" s="34"/>
      <c r="UL352" s="34"/>
      <c r="UM352" s="34"/>
      <c r="UN352" s="34"/>
      <c r="UO352" s="34"/>
      <c r="UP352" s="34"/>
      <c r="UQ352" s="34"/>
      <c r="UR352" s="34"/>
      <c r="US352" s="34"/>
      <c r="UT352" s="34"/>
      <c r="UU352" s="34"/>
      <c r="UV352" s="34"/>
      <c r="UW352" s="34"/>
      <c r="UX352" s="34"/>
      <c r="UY352" s="34"/>
      <c r="UZ352" s="34"/>
      <c r="VA352" s="34"/>
      <c r="VB352" s="34"/>
      <c r="VC352" s="34"/>
      <c r="VD352" s="34"/>
      <c r="VE352" s="34"/>
      <c r="VF352" s="34"/>
      <c r="VG352" s="34"/>
      <c r="VH352" s="34"/>
      <c r="VI352" s="34"/>
      <c r="VJ352" s="34"/>
      <c r="VK352" s="34"/>
      <c r="VL352" s="34"/>
      <c r="VM352" s="34"/>
      <c r="VN352" s="34"/>
      <c r="VO352" s="34"/>
      <c r="VP352" s="34"/>
      <c r="VQ352" s="34"/>
      <c r="VR352" s="34"/>
      <c r="VS352" s="34"/>
      <c r="VT352" s="34"/>
      <c r="VU352" s="34"/>
      <c r="VV352" s="34"/>
      <c r="VW352" s="34"/>
      <c r="VX352" s="34"/>
      <c r="VY352" s="34"/>
      <c r="VZ352" s="34"/>
      <c r="WA352" s="34"/>
      <c r="WB352" s="34"/>
      <c r="WC352" s="34"/>
      <c r="WD352" s="34"/>
      <c r="WE352" s="34"/>
      <c r="WF352" s="34"/>
      <c r="WG352" s="34"/>
      <c r="WH352" s="34"/>
      <c r="WI352" s="34"/>
      <c r="WJ352" s="34"/>
      <c r="WK352" s="34"/>
      <c r="WL352" s="34"/>
      <c r="WM352" s="34"/>
      <c r="WN352" s="34"/>
      <c r="WO352" s="34"/>
      <c r="WP352" s="34"/>
      <c r="WQ352" s="34"/>
      <c r="WR352" s="34"/>
      <c r="WS352" s="34"/>
      <c r="WT352" s="34"/>
      <c r="WU352" s="34"/>
      <c r="WV352" s="34"/>
      <c r="WW352" s="34"/>
      <c r="WX352" s="34"/>
      <c r="WY352" s="34"/>
      <c r="WZ352" s="34"/>
      <c r="XA352" s="34"/>
      <c r="XB352" s="34"/>
      <c r="XC352" s="34"/>
      <c r="XD352" s="34"/>
      <c r="XE352" s="34"/>
      <c r="XF352" s="34"/>
      <c r="XG352" s="34"/>
      <c r="XH352" s="34"/>
      <c r="XI352" s="34"/>
      <c r="XJ352" s="34"/>
      <c r="XK352" s="34"/>
      <c r="XL352" s="34"/>
      <c r="XM352" s="34"/>
      <c r="XN352" s="34"/>
      <c r="XO352" s="34"/>
      <c r="XP352" s="34"/>
      <c r="XQ352" s="34"/>
      <c r="XR352" s="34"/>
      <c r="XS352" s="34"/>
      <c r="XT352" s="34"/>
      <c r="XU352" s="34"/>
      <c r="XV352" s="34"/>
      <c r="XW352" s="34"/>
      <c r="XX352" s="34"/>
      <c r="XY352" s="34"/>
      <c r="XZ352" s="34"/>
      <c r="YA352" s="34"/>
      <c r="YB352" s="34"/>
      <c r="YC352" s="34"/>
      <c r="YD352" s="34"/>
      <c r="YE352" s="34"/>
      <c r="YF352" s="34"/>
      <c r="YG352" s="34"/>
      <c r="YH352" s="34"/>
      <c r="YI352" s="34"/>
      <c r="YJ352" s="34"/>
      <c r="YK352" s="34"/>
      <c r="YL352" s="34"/>
      <c r="YM352" s="34"/>
      <c r="YN352" s="34"/>
      <c r="YO352" s="34"/>
      <c r="YP352" s="34"/>
      <c r="YQ352" s="34"/>
      <c r="YR352" s="34"/>
      <c r="YS352" s="34"/>
      <c r="YT352" s="34"/>
      <c r="YU352" s="34"/>
      <c r="YV352" s="34"/>
      <c r="YW352" s="34"/>
      <c r="YX352" s="34"/>
      <c r="YY352" s="34"/>
      <c r="YZ352" s="34"/>
      <c r="ZA352" s="34"/>
      <c r="ZB352" s="34"/>
      <c r="ZC352" s="34"/>
      <c r="ZD352" s="34"/>
      <c r="ZE352" s="34"/>
      <c r="ZF352" s="34"/>
      <c r="ZG352" s="34"/>
      <c r="ZH352" s="34"/>
      <c r="ZI352" s="34"/>
      <c r="ZJ352" s="34"/>
      <c r="ZK352" s="34"/>
      <c r="ZL352" s="34"/>
      <c r="ZM352" s="34"/>
      <c r="ZN352" s="34"/>
      <c r="ZO352" s="34"/>
      <c r="ZP352" s="34"/>
      <c r="ZQ352" s="34"/>
      <c r="ZR352" s="34"/>
      <c r="ZS352" s="34"/>
      <c r="ZT352" s="34"/>
      <c r="ZU352" s="34"/>
      <c r="ZV352" s="34"/>
      <c r="ZW352" s="34"/>
      <c r="ZX352" s="34"/>
      <c r="ZY352" s="34"/>
      <c r="ZZ352" s="34"/>
      <c r="AAA352" s="34"/>
      <c r="AAB352" s="34"/>
      <c r="AAC352" s="34"/>
      <c r="AAD352" s="34"/>
      <c r="AAE352" s="34"/>
      <c r="AAF352" s="34"/>
      <c r="AAG352" s="34"/>
      <c r="AAH352" s="34"/>
      <c r="AAI352" s="34"/>
      <c r="AAJ352" s="34"/>
      <c r="AAK352" s="34"/>
      <c r="AAL352" s="34"/>
      <c r="AAM352" s="34"/>
      <c r="AAN352" s="34"/>
      <c r="AAO352" s="34"/>
      <c r="AAP352" s="34"/>
      <c r="AAQ352" s="34"/>
      <c r="AAR352" s="34"/>
      <c r="AAS352" s="34"/>
      <c r="AAT352" s="34"/>
      <c r="AAU352" s="34"/>
      <c r="AAV352" s="34"/>
      <c r="AAW352" s="34"/>
      <c r="AAX352" s="34"/>
      <c r="AAY352" s="34"/>
      <c r="AAZ352" s="34"/>
      <c r="ABA352" s="34"/>
      <c r="ABB352" s="34"/>
      <c r="ABC352" s="34"/>
      <c r="ABD352" s="34"/>
      <c r="ABE352" s="34"/>
      <c r="ABF352" s="34"/>
      <c r="ABG352" s="34"/>
      <c r="ABH352" s="34"/>
      <c r="ABI352" s="34"/>
      <c r="ABJ352" s="34"/>
      <c r="ABK352" s="34"/>
      <c r="ABL352" s="34"/>
      <c r="ABM352" s="34"/>
      <c r="ABN352" s="34"/>
      <c r="ABO352" s="34"/>
      <c r="ABP352" s="34"/>
      <c r="ABQ352" s="34"/>
      <c r="ABR352" s="34"/>
      <c r="ABS352" s="34"/>
      <c r="ABT352" s="34"/>
      <c r="ABU352" s="34"/>
      <c r="ABV352" s="34"/>
      <c r="ABW352" s="34"/>
      <c r="ABX352" s="34"/>
      <c r="ABY352" s="34"/>
      <c r="ABZ352" s="34"/>
      <c r="ACA352" s="34"/>
      <c r="ACB352" s="34"/>
      <c r="ACC352" s="34"/>
      <c r="ACD352" s="34"/>
      <c r="ACE352" s="34"/>
      <c r="ACF352" s="34"/>
      <c r="ACG352" s="34"/>
      <c r="ACH352" s="34"/>
      <c r="ACI352" s="34"/>
      <c r="ACJ352" s="34"/>
      <c r="ACK352" s="34"/>
      <c r="ACL352" s="34"/>
      <c r="ACM352" s="34"/>
      <c r="ACN352" s="34"/>
      <c r="ACO352" s="34"/>
      <c r="ACP352" s="34"/>
      <c r="ACQ352" s="34"/>
      <c r="ACR352" s="34"/>
      <c r="ACS352" s="34"/>
      <c r="ACT352" s="34"/>
      <c r="ACU352" s="34"/>
      <c r="ACV352" s="34"/>
      <c r="ACW352" s="34"/>
      <c r="ACX352" s="34"/>
      <c r="ACY352" s="34"/>
      <c r="ACZ352" s="34"/>
      <c r="ADA352" s="34"/>
      <c r="ADB352" s="34"/>
      <c r="ADC352" s="34"/>
      <c r="ADD352" s="34"/>
      <c r="ADE352" s="34"/>
      <c r="ADF352" s="34"/>
      <c r="ADG352" s="34"/>
      <c r="ADH352" s="34"/>
      <c r="ADI352" s="34"/>
      <c r="ADJ352" s="34"/>
      <c r="ADK352" s="34"/>
      <c r="ADL352" s="34"/>
      <c r="ADM352" s="34"/>
      <c r="ADN352" s="34"/>
      <c r="ADO352" s="34"/>
      <c r="ADP352" s="34"/>
      <c r="ADQ352" s="34"/>
      <c r="ADR352" s="34"/>
      <c r="ADS352" s="34"/>
      <c r="ADT352" s="34"/>
      <c r="ADU352" s="34"/>
      <c r="ADV352" s="34"/>
      <c r="ADW352" s="34"/>
      <c r="ADX352" s="34"/>
      <c r="ADY352" s="34"/>
      <c r="ADZ352" s="34"/>
      <c r="AEA352" s="34"/>
      <c r="AEB352" s="34"/>
      <c r="AEC352" s="34"/>
      <c r="AED352" s="34"/>
      <c r="AEE352" s="34"/>
      <c r="AEF352" s="34"/>
      <c r="AEG352" s="34"/>
      <c r="AEH352" s="34"/>
      <c r="AEI352" s="34"/>
      <c r="AEJ352" s="34"/>
      <c r="AEK352" s="34"/>
      <c r="AEL352" s="34"/>
      <c r="AEM352" s="34"/>
      <c r="AEN352" s="34"/>
      <c r="AEO352" s="34"/>
      <c r="AEP352" s="34"/>
      <c r="AEQ352" s="34"/>
      <c r="AER352" s="34"/>
      <c r="AES352" s="34"/>
      <c r="AET352" s="34"/>
      <c r="AEU352" s="34"/>
      <c r="AEV352" s="34"/>
      <c r="AEW352" s="34"/>
      <c r="AEX352" s="34"/>
      <c r="AEY352" s="34"/>
      <c r="AEZ352" s="34"/>
      <c r="AFA352" s="34"/>
      <c r="AFB352" s="34"/>
      <c r="AFC352" s="34"/>
      <c r="AFD352" s="34"/>
      <c r="AFE352" s="34"/>
      <c r="AFF352" s="34"/>
      <c r="AFG352" s="34"/>
      <c r="AFH352" s="34"/>
      <c r="AFI352" s="34"/>
      <c r="AFJ352" s="34"/>
      <c r="AFK352" s="34"/>
      <c r="AFL352" s="34"/>
      <c r="AFM352" s="34"/>
      <c r="AFN352" s="34"/>
      <c r="AFO352" s="34"/>
      <c r="AFP352" s="34"/>
      <c r="AFQ352" s="34"/>
      <c r="AFR352" s="34"/>
      <c r="AFS352" s="34"/>
      <c r="AFT352" s="34"/>
      <c r="AFU352" s="34"/>
      <c r="AFV352" s="34"/>
      <c r="AFW352" s="34"/>
      <c r="AFX352" s="34"/>
      <c r="AFY352" s="34"/>
      <c r="AFZ352" s="34"/>
      <c r="AGA352" s="34"/>
      <c r="AGB352" s="34"/>
      <c r="AGC352" s="34"/>
      <c r="AGD352" s="34"/>
      <c r="AGE352" s="34"/>
      <c r="AGF352" s="34"/>
      <c r="AGG352" s="34"/>
      <c r="AGH352" s="34"/>
      <c r="AGI352" s="34"/>
      <c r="AGJ352" s="34"/>
      <c r="AGK352" s="34"/>
      <c r="AGL352" s="34"/>
      <c r="AGM352" s="34"/>
      <c r="AGN352" s="34"/>
      <c r="AGO352" s="34"/>
      <c r="AGP352" s="34"/>
      <c r="AGQ352" s="34"/>
      <c r="AGR352" s="34"/>
      <c r="AGS352" s="34"/>
      <c r="AGT352" s="34"/>
      <c r="AGU352" s="34"/>
      <c r="AGV352" s="34"/>
      <c r="AGW352" s="34"/>
      <c r="AGX352" s="34"/>
      <c r="AGY352" s="34"/>
      <c r="AGZ352" s="34"/>
      <c r="AHA352" s="34"/>
      <c r="AHB352" s="34"/>
      <c r="AHC352" s="34"/>
      <c r="AHD352" s="34"/>
      <c r="AHE352" s="34"/>
      <c r="AHF352" s="34"/>
      <c r="AHG352" s="34"/>
      <c r="AHH352" s="34"/>
      <c r="AHI352" s="34"/>
      <c r="AHJ352" s="34"/>
      <c r="AHK352" s="34"/>
      <c r="AHL352" s="34"/>
      <c r="AHM352" s="34"/>
      <c r="AHN352" s="34"/>
      <c r="AHO352" s="34"/>
      <c r="AHP352" s="34"/>
      <c r="AHQ352" s="34"/>
      <c r="AHR352" s="34"/>
      <c r="AHS352" s="34"/>
      <c r="AHT352" s="34"/>
      <c r="AHU352" s="34"/>
      <c r="AHV352" s="34"/>
      <c r="AHW352" s="34"/>
      <c r="AHX352" s="34"/>
      <c r="AHY352" s="34"/>
      <c r="AHZ352" s="34"/>
      <c r="AIA352" s="34"/>
      <c r="AIB352" s="34"/>
      <c r="AIC352" s="34"/>
      <c r="AID352" s="34"/>
      <c r="AIE352" s="34"/>
      <c r="AIF352" s="34"/>
      <c r="AIG352" s="34"/>
      <c r="AIH352" s="34"/>
      <c r="AII352" s="34"/>
      <c r="AIJ352" s="34"/>
      <c r="AIK352" s="34"/>
      <c r="AIL352" s="34"/>
      <c r="AIM352" s="34"/>
      <c r="AIN352" s="34"/>
      <c r="AIO352" s="34"/>
      <c r="AIP352" s="34"/>
      <c r="AIQ352" s="34"/>
      <c r="AIR352" s="34"/>
      <c r="AIS352" s="34"/>
      <c r="AIT352" s="34"/>
      <c r="AIU352" s="34"/>
      <c r="AIV352" s="34"/>
      <c r="AIW352" s="34"/>
      <c r="AIX352" s="34"/>
      <c r="AIY352" s="34"/>
      <c r="AIZ352" s="34"/>
      <c r="AJA352" s="34"/>
      <c r="AJB352" s="34"/>
      <c r="AJC352" s="34"/>
      <c r="AJD352" s="34"/>
      <c r="AJE352" s="34"/>
      <c r="AJF352" s="34"/>
      <c r="AJG352" s="34"/>
      <c r="AJH352" s="34"/>
      <c r="AJI352" s="34"/>
      <c r="AJJ352" s="34"/>
      <c r="AJK352" s="34"/>
      <c r="AJL352" s="34"/>
      <c r="AJM352" s="34"/>
      <c r="AJN352" s="34"/>
      <c r="AJO352" s="34"/>
      <c r="AJP352" s="34"/>
      <c r="AJQ352" s="34"/>
      <c r="AJR352" s="34"/>
      <c r="AJS352" s="34"/>
      <c r="AJT352" s="34"/>
      <c r="AJU352" s="34"/>
      <c r="AJV352" s="34"/>
      <c r="AJW352" s="34"/>
      <c r="AJX352" s="34"/>
      <c r="AJY352" s="34"/>
      <c r="AJZ352" s="34"/>
      <c r="AKA352" s="34"/>
      <c r="AKB352" s="34"/>
      <c r="AKC352" s="34"/>
      <c r="AKD352" s="34"/>
      <c r="AKE352" s="34"/>
      <c r="AKF352" s="34"/>
      <c r="AKG352" s="34"/>
      <c r="AKH352" s="34"/>
      <c r="AKI352" s="34"/>
      <c r="AKJ352" s="34"/>
      <c r="AKK352" s="34"/>
      <c r="AKL352" s="34"/>
      <c r="AKM352" s="34"/>
      <c r="AKN352" s="34"/>
      <c r="AKO352" s="34"/>
      <c r="AKP352" s="34"/>
      <c r="AKQ352" s="34"/>
      <c r="AKR352" s="34"/>
      <c r="AKS352" s="34"/>
      <c r="AKT352" s="34"/>
      <c r="AKU352" s="34"/>
      <c r="AKV352" s="34"/>
      <c r="AKW352" s="34"/>
      <c r="AKX352" s="34"/>
      <c r="AKY352" s="34"/>
      <c r="AKZ352" s="34"/>
      <c r="ALA352" s="34"/>
      <c r="ALB352" s="34"/>
      <c r="ALC352" s="34"/>
      <c r="ALD352" s="34"/>
      <c r="ALE352" s="34"/>
      <c r="ALF352" s="34"/>
      <c r="ALG352" s="34"/>
      <c r="ALH352" s="34"/>
      <c r="ALI352" s="34"/>
      <c r="ALJ352" s="34"/>
      <c r="ALK352" s="34"/>
      <c r="ALL352" s="34"/>
      <c r="ALM352" s="34"/>
      <c r="ALN352" s="34"/>
      <c r="ALO352" s="34"/>
      <c r="ALP352" s="34"/>
      <c r="ALQ352" s="34"/>
      <c r="ALR352" s="34"/>
      <c r="ALS352" s="34"/>
      <c r="ALT352" s="34"/>
      <c r="ALU352" s="34"/>
      <c r="ALV352" s="34"/>
      <c r="ALW352" s="34"/>
      <c r="ALX352" s="34"/>
      <c r="ALY352" s="34"/>
      <c r="ALZ352" s="34"/>
      <c r="AMA352" s="34"/>
      <c r="AMB352" s="34"/>
      <c r="AMC352" s="34"/>
      <c r="AMD352" s="34"/>
      <c r="AME352" s="34"/>
      <c r="AMF352" s="34"/>
      <c r="AMG352" s="34"/>
      <c r="AMH352" s="34"/>
      <c r="AMI352" s="34"/>
      <c r="AMJ352" s="34"/>
      <c r="AMK352" s="34"/>
      <c r="AML352" s="34"/>
      <c r="AMM352" s="34"/>
      <c r="AMN352" s="34"/>
      <c r="AMO352" s="34"/>
      <c r="AMP352" s="34"/>
      <c r="AMQ352" s="34"/>
      <c r="AMR352" s="34"/>
      <c r="AMS352" s="34"/>
      <c r="AMT352" s="34"/>
      <c r="AMU352" s="34"/>
      <c r="AMV352" s="34"/>
      <c r="AMW352" s="34"/>
      <c r="AMX352" s="34"/>
      <c r="AMY352" s="34"/>
      <c r="AMZ352" s="34"/>
      <c r="ANA352" s="34"/>
      <c r="ANB352" s="34"/>
      <c r="ANC352" s="34"/>
      <c r="AND352" s="34"/>
      <c r="ANE352" s="34"/>
      <c r="ANF352" s="34"/>
      <c r="ANG352" s="34"/>
      <c r="ANH352" s="34"/>
      <c r="ANI352" s="34"/>
      <c r="ANJ352" s="34"/>
      <c r="ANK352" s="34"/>
      <c r="ANL352" s="34"/>
      <c r="ANM352" s="34"/>
      <c r="ANN352" s="34"/>
      <c r="ANO352" s="34"/>
      <c r="ANP352" s="34"/>
      <c r="ANQ352" s="34"/>
      <c r="ANR352" s="34"/>
      <c r="ANS352" s="34"/>
      <c r="ANT352" s="34"/>
      <c r="ANU352" s="34"/>
      <c r="ANV352" s="34"/>
      <c r="ANW352" s="34"/>
      <c r="ANX352" s="34"/>
      <c r="ANY352" s="34"/>
      <c r="ANZ352" s="34"/>
      <c r="AOA352" s="34"/>
      <c r="AOB352" s="34"/>
      <c r="AOC352" s="34"/>
      <c r="AOD352" s="34"/>
      <c r="AOE352" s="34"/>
      <c r="AOF352" s="34"/>
      <c r="AOG352" s="34"/>
      <c r="AOH352" s="34"/>
      <c r="AOI352" s="34"/>
      <c r="AOJ352" s="34"/>
      <c r="AOK352" s="34"/>
      <c r="AOL352" s="34"/>
      <c r="AOM352" s="34"/>
      <c r="AON352" s="34"/>
      <c r="AOO352" s="34"/>
      <c r="AOP352" s="34"/>
      <c r="AOQ352" s="34"/>
      <c r="AOR352" s="34"/>
      <c r="AOS352" s="34"/>
      <c r="AOT352" s="34"/>
      <c r="AOU352" s="34"/>
      <c r="AOV352" s="34"/>
      <c r="AOW352" s="34"/>
      <c r="AOX352" s="34"/>
      <c r="AOY352" s="34"/>
      <c r="AOZ352" s="34"/>
      <c r="APA352" s="34"/>
      <c r="APB352" s="34"/>
      <c r="APC352" s="34"/>
      <c r="APD352" s="34"/>
      <c r="APE352" s="34"/>
      <c r="APF352" s="34"/>
      <c r="APG352" s="34"/>
      <c r="APH352" s="34"/>
      <c r="API352" s="34"/>
      <c r="APJ352" s="34"/>
      <c r="APK352" s="34"/>
      <c r="APL352" s="34"/>
      <c r="APM352" s="34"/>
      <c r="APN352" s="34"/>
      <c r="APO352" s="34"/>
      <c r="APP352" s="34"/>
      <c r="APQ352" s="34"/>
      <c r="APR352" s="34"/>
      <c r="APS352" s="34"/>
      <c r="APT352" s="34"/>
      <c r="APU352" s="34"/>
      <c r="APV352" s="34"/>
      <c r="APW352" s="34"/>
      <c r="APX352" s="34"/>
      <c r="APY352" s="34"/>
      <c r="APZ352" s="34"/>
      <c r="AQA352" s="34"/>
      <c r="AQB352" s="34"/>
      <c r="AQC352" s="34"/>
      <c r="AQD352" s="34"/>
      <c r="AQE352" s="34"/>
      <c r="AQF352" s="34"/>
      <c r="AQG352" s="34"/>
      <c r="AQH352" s="34"/>
      <c r="AQI352" s="34"/>
      <c r="AQJ352" s="34"/>
      <c r="AQK352" s="34"/>
      <c r="AQL352" s="34"/>
      <c r="AQM352" s="34"/>
      <c r="AQN352" s="34"/>
      <c r="AQO352" s="34"/>
      <c r="AQP352" s="34"/>
      <c r="AQQ352" s="34"/>
      <c r="AQR352" s="34"/>
      <c r="AQS352" s="34"/>
      <c r="AQT352" s="34"/>
      <c r="AQU352" s="34"/>
      <c r="AQV352" s="34"/>
      <c r="AQW352" s="34"/>
      <c r="AQX352" s="34"/>
      <c r="AQY352" s="34"/>
      <c r="AQZ352" s="34"/>
      <c r="ARA352" s="34"/>
      <c r="ARB352" s="34"/>
      <c r="ARC352" s="34"/>
      <c r="ARD352" s="34"/>
      <c r="ARE352" s="34"/>
      <c r="ARF352" s="34"/>
      <c r="ARG352" s="34"/>
      <c r="ARH352" s="34"/>
      <c r="ARI352" s="34"/>
      <c r="ARJ352" s="34"/>
      <c r="ARK352" s="34"/>
      <c r="ARL352" s="34"/>
      <c r="ARM352" s="34"/>
      <c r="ARN352" s="34"/>
      <c r="ARO352" s="34"/>
      <c r="ARP352" s="34"/>
      <c r="ARQ352" s="34"/>
      <c r="ARR352" s="34"/>
      <c r="ARS352" s="34"/>
      <c r="ART352" s="34"/>
      <c r="ARU352" s="34"/>
      <c r="ARV352" s="34"/>
      <c r="ARW352" s="34"/>
      <c r="ARX352" s="34"/>
      <c r="ARY352" s="34"/>
      <c r="ARZ352" s="34"/>
      <c r="ASA352" s="34"/>
      <c r="ASB352" s="34"/>
      <c r="ASC352" s="34"/>
      <c r="ASD352" s="34"/>
      <c r="ASE352" s="34"/>
      <c r="ASF352" s="34"/>
      <c r="ASG352" s="34"/>
      <c r="ASH352" s="34"/>
      <c r="ASI352" s="34"/>
      <c r="ASJ352" s="34"/>
      <c r="ASK352" s="34"/>
      <c r="ASL352" s="34"/>
      <c r="ASM352" s="34"/>
      <c r="ASN352" s="34"/>
      <c r="ASO352" s="34"/>
      <c r="ASP352" s="34"/>
      <c r="ASQ352" s="34"/>
      <c r="ASR352" s="34"/>
      <c r="ASS352" s="34"/>
      <c r="AST352" s="34"/>
      <c r="ASU352" s="34"/>
      <c r="ASV352" s="34"/>
      <c r="ASW352" s="34"/>
      <c r="ASX352" s="34"/>
      <c r="ASY352" s="34"/>
      <c r="ASZ352" s="34"/>
      <c r="ATA352" s="34"/>
      <c r="ATB352" s="34"/>
      <c r="ATC352" s="34"/>
      <c r="ATD352" s="34"/>
      <c r="ATE352" s="34"/>
      <c r="ATF352" s="34"/>
      <c r="ATG352" s="34"/>
      <c r="ATH352" s="34"/>
      <c r="ATI352" s="34"/>
      <c r="ATJ352" s="34"/>
      <c r="ATK352" s="34"/>
      <c r="ATL352" s="34"/>
      <c r="ATM352" s="34"/>
      <c r="ATN352" s="34"/>
      <c r="ATO352" s="34"/>
      <c r="ATP352" s="34"/>
      <c r="ATQ352" s="34"/>
      <c r="ATR352" s="34"/>
      <c r="ATS352" s="34"/>
      <c r="ATT352" s="34"/>
      <c r="ATU352" s="34"/>
      <c r="ATV352" s="34"/>
      <c r="ATW352" s="34"/>
      <c r="ATX352" s="34"/>
      <c r="ATY352" s="34"/>
      <c r="ATZ352" s="34"/>
      <c r="AUA352" s="34"/>
      <c r="AUB352" s="34"/>
      <c r="AUC352" s="34"/>
      <c r="AUD352" s="34"/>
      <c r="AUE352" s="34"/>
      <c r="AUF352" s="34"/>
      <c r="AUG352" s="34"/>
      <c r="AUH352" s="34"/>
      <c r="AUI352" s="34"/>
      <c r="AUJ352" s="34"/>
      <c r="AUK352" s="34"/>
      <c r="AUL352" s="34"/>
      <c r="AUM352" s="34"/>
      <c r="AUN352" s="34"/>
      <c r="AUO352" s="34"/>
      <c r="AUP352" s="34"/>
      <c r="AUQ352" s="34"/>
      <c r="AUR352" s="34"/>
      <c r="AUS352" s="34"/>
      <c r="AUT352" s="34"/>
      <c r="AUU352" s="34"/>
      <c r="AUV352" s="34"/>
      <c r="AUW352" s="34"/>
      <c r="AUX352" s="34"/>
      <c r="AUY352" s="34"/>
      <c r="AUZ352" s="34"/>
      <c r="AVA352" s="34"/>
      <c r="AVB352" s="34"/>
      <c r="AVC352" s="34"/>
      <c r="AVD352" s="34"/>
      <c r="AVE352" s="34"/>
      <c r="AVF352" s="34"/>
      <c r="AVG352" s="34"/>
      <c r="AVH352" s="34"/>
      <c r="AVI352" s="34"/>
      <c r="AVJ352" s="34"/>
      <c r="AVK352" s="34"/>
      <c r="AVL352" s="34"/>
      <c r="AVM352" s="34"/>
      <c r="AVN352" s="34"/>
      <c r="AVO352" s="34"/>
      <c r="AVP352" s="34"/>
      <c r="AVQ352" s="34"/>
      <c r="AVR352" s="34"/>
      <c r="AVS352" s="34"/>
      <c r="AVT352" s="34"/>
      <c r="AVU352" s="34"/>
      <c r="AVV352" s="34"/>
      <c r="AVW352" s="34"/>
      <c r="AVX352" s="34"/>
      <c r="AVY352" s="34"/>
      <c r="AVZ352" s="34"/>
      <c r="AWA352" s="34"/>
      <c r="AWB352" s="34"/>
      <c r="AWC352" s="34"/>
      <c r="AWD352" s="34"/>
      <c r="AWE352" s="34"/>
      <c r="AWF352" s="34"/>
      <c r="AWG352" s="34"/>
      <c r="AWH352" s="34"/>
      <c r="AWI352" s="34"/>
      <c r="AWJ352" s="34"/>
      <c r="AWK352" s="34"/>
      <c r="AWL352" s="34"/>
      <c r="AWM352" s="34"/>
      <c r="AWN352" s="34"/>
      <c r="AWO352" s="34"/>
      <c r="AWP352" s="34"/>
      <c r="AWQ352" s="34"/>
      <c r="AWR352" s="34"/>
      <c r="AWS352" s="34"/>
      <c r="AWT352" s="34"/>
      <c r="AWU352" s="34"/>
      <c r="AWV352" s="34"/>
      <c r="AWW352" s="34"/>
      <c r="AWX352" s="34"/>
      <c r="AWY352" s="34"/>
      <c r="AWZ352" s="34"/>
      <c r="AXA352" s="34"/>
      <c r="AXB352" s="34"/>
      <c r="AXC352" s="34"/>
      <c r="AXD352" s="34"/>
      <c r="AXE352" s="34"/>
      <c r="AXF352" s="34"/>
      <c r="AXG352" s="34"/>
      <c r="AXH352" s="34"/>
      <c r="AXI352" s="34"/>
      <c r="AXJ352" s="34"/>
      <c r="AXK352" s="34"/>
      <c r="AXL352" s="34"/>
      <c r="AXM352" s="34"/>
      <c r="AXN352" s="34"/>
      <c r="AXO352" s="34"/>
      <c r="AXP352" s="34"/>
      <c r="AXQ352" s="34"/>
      <c r="AXR352" s="34"/>
      <c r="AXS352" s="34"/>
      <c r="AXT352" s="34"/>
      <c r="AXU352" s="34"/>
      <c r="AXV352" s="34"/>
      <c r="AXW352" s="34"/>
      <c r="AXX352" s="34"/>
      <c r="AXY352" s="34"/>
      <c r="AXZ352" s="34"/>
      <c r="AYA352" s="34"/>
      <c r="AYB352" s="34"/>
      <c r="AYC352" s="34"/>
      <c r="AYD352" s="34"/>
      <c r="AYE352" s="34"/>
      <c r="AYF352" s="34"/>
      <c r="AYG352" s="34"/>
      <c r="AYH352" s="34"/>
      <c r="AYI352" s="34"/>
      <c r="AYJ352" s="34"/>
      <c r="AYK352" s="34"/>
      <c r="AYL352" s="34"/>
      <c r="AYM352" s="34"/>
      <c r="AYN352" s="34"/>
      <c r="AYO352" s="34"/>
      <c r="AYP352" s="34"/>
      <c r="AYQ352" s="34"/>
      <c r="AYR352" s="34"/>
      <c r="AYS352" s="34"/>
      <c r="AYT352" s="34"/>
      <c r="AYU352" s="34"/>
      <c r="AYV352" s="34"/>
      <c r="AYW352" s="34"/>
      <c r="AYX352" s="34"/>
      <c r="AYY352" s="34"/>
      <c r="AYZ352" s="34"/>
      <c r="AZA352" s="34"/>
      <c r="AZB352" s="34"/>
      <c r="AZC352" s="34"/>
      <c r="AZD352" s="34"/>
      <c r="AZE352" s="34"/>
      <c r="AZF352" s="34"/>
      <c r="AZG352" s="34"/>
      <c r="AZH352" s="34"/>
      <c r="AZI352" s="34"/>
      <c r="AZJ352" s="34"/>
      <c r="AZK352" s="34"/>
      <c r="AZL352" s="34"/>
      <c r="AZM352" s="34"/>
      <c r="AZN352" s="34"/>
      <c r="AZO352" s="34"/>
      <c r="AZP352" s="34"/>
      <c r="AZQ352" s="34"/>
      <c r="AZR352" s="34"/>
      <c r="AZS352" s="34"/>
      <c r="AZT352" s="34"/>
      <c r="AZU352" s="34"/>
      <c r="AZV352" s="34"/>
      <c r="AZW352" s="34"/>
      <c r="AZX352" s="34"/>
      <c r="AZY352" s="34"/>
      <c r="AZZ352" s="34"/>
      <c r="BAA352" s="34"/>
      <c r="BAB352" s="34"/>
      <c r="BAC352" s="34"/>
      <c r="BAD352" s="34"/>
      <c r="BAE352" s="34"/>
      <c r="BAF352" s="34"/>
      <c r="BAG352" s="34"/>
      <c r="BAH352" s="34"/>
      <c r="BAI352" s="34"/>
      <c r="BAJ352" s="34"/>
      <c r="BAK352" s="34"/>
      <c r="BAL352" s="34"/>
      <c r="BAM352" s="34"/>
      <c r="BAN352" s="34"/>
      <c r="BAO352" s="34"/>
      <c r="BAP352" s="34"/>
      <c r="BAQ352" s="34"/>
      <c r="BAR352" s="34"/>
      <c r="BAS352" s="34"/>
      <c r="BAT352" s="34"/>
      <c r="BAU352" s="34"/>
      <c r="BAV352" s="34"/>
      <c r="BAW352" s="34"/>
      <c r="BAX352" s="34"/>
      <c r="BAY352" s="34"/>
      <c r="BAZ352" s="34"/>
      <c r="BBA352" s="34"/>
      <c r="BBB352" s="34"/>
      <c r="BBC352" s="34"/>
      <c r="BBD352" s="34"/>
      <c r="BBE352" s="34"/>
      <c r="BBF352" s="34"/>
      <c r="BBG352" s="34"/>
      <c r="BBH352" s="34"/>
      <c r="BBI352" s="34"/>
      <c r="BBJ352" s="34"/>
      <c r="BBK352" s="34"/>
      <c r="BBL352" s="34"/>
      <c r="BBM352" s="34"/>
      <c r="BBN352" s="34"/>
      <c r="BBO352" s="34"/>
      <c r="BBP352" s="34"/>
      <c r="BBQ352" s="34"/>
      <c r="BBR352" s="34"/>
      <c r="BBS352" s="34"/>
      <c r="BBT352" s="34"/>
      <c r="BBU352" s="34"/>
      <c r="BBV352" s="34"/>
      <c r="BBW352" s="34"/>
      <c r="BBX352" s="34"/>
      <c r="BBY352" s="34"/>
      <c r="BBZ352" s="34"/>
      <c r="BCA352" s="34"/>
      <c r="BCB352" s="34"/>
      <c r="BCC352" s="34"/>
      <c r="BCD352" s="34"/>
      <c r="BCE352" s="34"/>
      <c r="BCF352" s="34"/>
      <c r="BCG352" s="34"/>
      <c r="BCH352" s="34"/>
      <c r="BCI352" s="34"/>
      <c r="BCJ352" s="34"/>
      <c r="BCK352" s="34"/>
      <c r="BCL352" s="34"/>
      <c r="BCM352" s="34"/>
      <c r="BCN352" s="34"/>
      <c r="BCO352" s="34"/>
      <c r="BCP352" s="34"/>
      <c r="BCQ352" s="34"/>
      <c r="BCR352" s="34"/>
      <c r="BCS352" s="34"/>
      <c r="BCT352" s="34"/>
      <c r="BCU352" s="34"/>
      <c r="BCV352" s="34"/>
      <c r="BCW352" s="34"/>
      <c r="BCX352" s="34"/>
      <c r="BCY352" s="34"/>
      <c r="BCZ352" s="34"/>
      <c r="BDA352" s="34"/>
      <c r="BDB352" s="34"/>
      <c r="BDC352" s="34"/>
      <c r="BDD352" s="34"/>
      <c r="BDE352" s="34"/>
      <c r="BDF352" s="34"/>
      <c r="BDG352" s="34"/>
      <c r="BDH352" s="34"/>
      <c r="BDI352" s="34"/>
      <c r="BDJ352" s="34"/>
      <c r="BDK352" s="34"/>
      <c r="BDL352" s="34"/>
      <c r="BDM352" s="34"/>
      <c r="BDN352" s="34"/>
      <c r="BDO352" s="34"/>
      <c r="BDP352" s="34"/>
      <c r="BDQ352" s="34"/>
      <c r="BDR352" s="34"/>
      <c r="BDS352" s="34"/>
      <c r="BDT352" s="34"/>
      <c r="BDU352" s="34"/>
      <c r="BDV352" s="34"/>
      <c r="BDW352" s="34"/>
      <c r="BDX352" s="34"/>
      <c r="BDY352" s="34"/>
      <c r="BDZ352" s="34"/>
      <c r="BEA352" s="34"/>
      <c r="BEB352" s="34"/>
      <c r="BEC352" s="34"/>
      <c r="BED352" s="34"/>
      <c r="BEE352" s="34"/>
      <c r="BEF352" s="34"/>
      <c r="BEG352" s="34"/>
      <c r="BEH352" s="34"/>
      <c r="BEI352" s="34"/>
      <c r="BEJ352" s="34"/>
      <c r="BEK352" s="34"/>
      <c r="BEL352" s="34"/>
      <c r="BEM352" s="34"/>
      <c r="BEN352" s="34"/>
      <c r="BEO352" s="34"/>
      <c r="BEP352" s="34"/>
      <c r="BEQ352" s="34"/>
      <c r="BER352" s="34"/>
      <c r="BES352" s="34"/>
      <c r="BET352" s="34"/>
      <c r="BEU352" s="34"/>
      <c r="BEV352" s="34"/>
      <c r="BEW352" s="34"/>
      <c r="BEX352" s="34"/>
      <c r="BEY352" s="34"/>
      <c r="BEZ352" s="34"/>
      <c r="BFA352" s="34"/>
      <c r="BFB352" s="34"/>
      <c r="BFC352" s="34"/>
      <c r="BFD352" s="34"/>
      <c r="BFE352" s="34"/>
      <c r="BFF352" s="34"/>
      <c r="BFG352" s="34"/>
      <c r="BFH352" s="34"/>
      <c r="BFI352" s="34"/>
      <c r="BFJ352" s="34"/>
      <c r="BFK352" s="34"/>
      <c r="BFL352" s="34"/>
      <c r="BFM352" s="34"/>
      <c r="BFN352" s="34"/>
      <c r="BFO352" s="34"/>
      <c r="BFP352" s="34"/>
      <c r="BFQ352" s="34"/>
      <c r="BFR352" s="34"/>
      <c r="BFS352" s="34"/>
      <c r="BFT352" s="34"/>
      <c r="BFU352" s="34"/>
      <c r="BFV352" s="34"/>
      <c r="BFW352" s="34"/>
      <c r="BFX352" s="34"/>
      <c r="BFY352" s="34"/>
      <c r="BFZ352" s="34"/>
      <c r="BGA352" s="34"/>
      <c r="BGB352" s="34"/>
      <c r="BGC352" s="34"/>
      <c r="BGD352" s="34"/>
      <c r="BGE352" s="34"/>
      <c r="BGF352" s="34"/>
      <c r="BGG352" s="34"/>
      <c r="BGH352" s="34"/>
      <c r="BGI352" s="34"/>
      <c r="BGJ352" s="34"/>
      <c r="BGK352" s="34"/>
      <c r="BGL352" s="34"/>
      <c r="BGM352" s="34"/>
      <c r="BGN352" s="34"/>
      <c r="BGO352" s="34"/>
      <c r="BGP352" s="34"/>
      <c r="BGQ352" s="34"/>
      <c r="BGR352" s="34"/>
      <c r="BGS352" s="34"/>
      <c r="BGT352" s="34"/>
      <c r="BGU352" s="34"/>
      <c r="BGV352" s="34"/>
      <c r="BGW352" s="34"/>
      <c r="BGX352" s="34"/>
      <c r="BGY352" s="34"/>
      <c r="BGZ352" s="34"/>
      <c r="BHA352" s="34"/>
      <c r="BHB352" s="34"/>
      <c r="BHC352" s="34"/>
      <c r="BHD352" s="34"/>
      <c r="BHE352" s="34"/>
      <c r="BHF352" s="34"/>
      <c r="BHG352" s="34"/>
      <c r="BHH352" s="34"/>
      <c r="BHI352" s="34"/>
      <c r="BHJ352" s="34"/>
      <c r="BHK352" s="34"/>
      <c r="BHL352" s="34"/>
      <c r="BHM352" s="34"/>
      <c r="BHN352" s="34"/>
      <c r="BHO352" s="34"/>
      <c r="BHP352" s="34"/>
      <c r="BHQ352" s="34"/>
      <c r="BHR352" s="34"/>
      <c r="BHS352" s="34"/>
      <c r="BHT352" s="34"/>
      <c r="BHU352" s="34"/>
      <c r="BHV352" s="34"/>
      <c r="BHW352" s="34"/>
      <c r="BHX352" s="34"/>
      <c r="BHY352" s="34"/>
      <c r="BHZ352" s="34"/>
      <c r="BIA352" s="34"/>
      <c r="BIB352" s="34"/>
      <c r="BIC352" s="34"/>
      <c r="BID352" s="34"/>
      <c r="BIE352" s="34"/>
      <c r="BIF352" s="34"/>
      <c r="BIG352" s="34"/>
      <c r="BIH352" s="34"/>
      <c r="BII352" s="34"/>
      <c r="BIJ352" s="34"/>
      <c r="BIK352" s="34"/>
      <c r="BIL352" s="34"/>
      <c r="BIM352" s="34"/>
      <c r="BIN352" s="34"/>
      <c r="BIO352" s="34"/>
      <c r="BIP352" s="34"/>
      <c r="BIQ352" s="34"/>
      <c r="BIR352" s="34"/>
      <c r="BIS352" s="34"/>
      <c r="BIT352" s="34"/>
      <c r="BIU352" s="34"/>
      <c r="BIV352" s="34"/>
      <c r="BIW352" s="34"/>
      <c r="BIX352" s="34"/>
      <c r="BIY352" s="34"/>
      <c r="BIZ352" s="34"/>
      <c r="BJA352" s="34"/>
      <c r="BJB352" s="34"/>
      <c r="BJC352" s="34"/>
      <c r="BJD352" s="34"/>
      <c r="BJE352" s="34"/>
      <c r="BJF352" s="34"/>
      <c r="BJG352" s="34"/>
      <c r="BJH352" s="34"/>
      <c r="BJI352" s="34"/>
      <c r="BJJ352" s="34"/>
      <c r="BJK352" s="34"/>
      <c r="BJL352" s="34"/>
      <c r="BJM352" s="34"/>
      <c r="BJN352" s="34"/>
      <c r="BJO352" s="34"/>
      <c r="BJP352" s="34"/>
      <c r="BJQ352" s="34"/>
      <c r="BJR352" s="34"/>
      <c r="BJS352" s="34"/>
      <c r="BJT352" s="34"/>
      <c r="BJU352" s="34"/>
      <c r="BJV352" s="34"/>
      <c r="BJW352" s="34"/>
      <c r="BJX352" s="34"/>
      <c r="BJY352" s="34"/>
      <c r="BJZ352" s="34"/>
      <c r="BKA352" s="34"/>
      <c r="BKB352" s="34"/>
      <c r="BKC352" s="34"/>
      <c r="BKD352" s="34"/>
      <c r="BKE352" s="34"/>
      <c r="BKF352" s="34"/>
      <c r="BKG352" s="34"/>
      <c r="BKH352" s="34"/>
      <c r="BKI352" s="34"/>
      <c r="BKJ352" s="34"/>
      <c r="BKK352" s="34"/>
      <c r="BKL352" s="34"/>
      <c r="BKM352" s="34"/>
      <c r="BKN352" s="34"/>
      <c r="BKO352" s="34"/>
      <c r="BKP352" s="34"/>
      <c r="BKQ352" s="34"/>
      <c r="BKR352" s="34"/>
      <c r="BKS352" s="34"/>
      <c r="BKT352" s="34"/>
      <c r="BKU352" s="34"/>
      <c r="BKV352" s="34"/>
      <c r="BKW352" s="34"/>
      <c r="BKX352" s="34"/>
      <c r="BKY352" s="34"/>
      <c r="BKZ352" s="34"/>
      <c r="BLA352" s="34"/>
      <c r="BLB352" s="34"/>
      <c r="BLC352" s="34"/>
      <c r="BLD352" s="34"/>
      <c r="BLE352" s="34"/>
      <c r="BLF352" s="34"/>
      <c r="BLG352" s="34"/>
      <c r="BLH352" s="34"/>
      <c r="BLI352" s="34"/>
      <c r="BLJ352" s="34"/>
      <c r="BLK352" s="34"/>
      <c r="BLL352" s="34"/>
      <c r="BLM352" s="34"/>
      <c r="BLN352" s="34"/>
      <c r="BLO352" s="34"/>
      <c r="BLP352" s="34"/>
      <c r="BLQ352" s="34"/>
      <c r="BLR352" s="34"/>
      <c r="BLS352" s="34"/>
      <c r="BLT352" s="34"/>
      <c r="BLU352" s="34"/>
      <c r="BLV352" s="34"/>
      <c r="BLW352" s="34"/>
      <c r="BLX352" s="34"/>
      <c r="BLY352" s="34"/>
      <c r="BLZ352" s="34"/>
      <c r="BMA352" s="34"/>
      <c r="BMB352" s="34"/>
      <c r="BMC352" s="34"/>
      <c r="BMD352" s="34"/>
      <c r="BME352" s="34"/>
      <c r="BMF352" s="34"/>
      <c r="BMG352" s="34"/>
      <c r="BMH352" s="34"/>
      <c r="BMI352" s="34"/>
      <c r="BMJ352" s="34"/>
      <c r="BMK352" s="34"/>
      <c r="BML352" s="34"/>
      <c r="BMM352" s="34"/>
      <c r="BMN352" s="34"/>
      <c r="BMO352" s="34"/>
      <c r="BMP352" s="34"/>
      <c r="BMQ352" s="34"/>
      <c r="BMR352" s="34"/>
      <c r="BMS352" s="34"/>
      <c r="BMT352" s="34"/>
      <c r="BMU352" s="34"/>
      <c r="BMV352" s="34"/>
      <c r="BMW352" s="34"/>
      <c r="BMX352" s="34"/>
      <c r="BMY352" s="34"/>
      <c r="BMZ352" s="34"/>
      <c r="BNA352" s="34"/>
      <c r="BNB352" s="34"/>
      <c r="BNC352" s="34"/>
      <c r="BND352" s="34"/>
      <c r="BNE352" s="34"/>
      <c r="BNF352" s="34"/>
      <c r="BNG352" s="34"/>
      <c r="BNH352" s="34"/>
      <c r="BNI352" s="34"/>
      <c r="BNJ352" s="34"/>
      <c r="BNK352" s="34"/>
      <c r="BNL352" s="34"/>
      <c r="BNM352" s="34"/>
      <c r="BNN352" s="34"/>
      <c r="BNO352" s="34"/>
      <c r="BNP352" s="34"/>
      <c r="BNQ352" s="34"/>
      <c r="BNR352" s="34"/>
      <c r="BNS352" s="34"/>
      <c r="BNT352" s="34"/>
      <c r="BNU352" s="34"/>
      <c r="BNV352" s="34"/>
      <c r="BNW352" s="34"/>
      <c r="BNX352" s="34"/>
      <c r="BNY352" s="34"/>
      <c r="BNZ352" s="34"/>
      <c r="BOA352" s="34"/>
      <c r="BOB352" s="34"/>
      <c r="BOC352" s="34"/>
      <c r="BOD352" s="34"/>
      <c r="BOE352" s="34"/>
      <c r="BOF352" s="34"/>
      <c r="BOG352" s="34"/>
      <c r="BOH352" s="34"/>
      <c r="BOI352" s="34"/>
      <c r="BOJ352" s="34"/>
      <c r="BOK352" s="34"/>
      <c r="BOL352" s="34"/>
      <c r="BOM352" s="34"/>
      <c r="BON352" s="34"/>
      <c r="BOO352" s="34"/>
      <c r="BOP352" s="34"/>
      <c r="BOQ352" s="34"/>
      <c r="BOR352" s="34"/>
      <c r="BOS352" s="34"/>
      <c r="BOT352" s="34"/>
      <c r="BOU352" s="34"/>
      <c r="BOV352" s="34"/>
      <c r="BOW352" s="34"/>
      <c r="BOX352" s="34"/>
      <c r="BOY352" s="34"/>
      <c r="BOZ352" s="34"/>
      <c r="BPA352" s="34"/>
      <c r="BPB352" s="34"/>
      <c r="BPC352" s="34"/>
      <c r="BPD352" s="34"/>
      <c r="BPE352" s="34"/>
      <c r="BPF352" s="34"/>
      <c r="BPG352" s="34"/>
      <c r="BPH352" s="34"/>
      <c r="BPI352" s="34"/>
      <c r="BPJ352" s="34"/>
      <c r="BPK352" s="34"/>
      <c r="BPL352" s="34"/>
      <c r="BPM352" s="34"/>
      <c r="BPN352" s="34"/>
      <c r="BPO352" s="34"/>
      <c r="BPP352" s="34"/>
      <c r="BPQ352" s="34"/>
      <c r="BPR352" s="34"/>
      <c r="BPS352" s="34"/>
      <c r="BPT352" s="34"/>
      <c r="BPU352" s="34"/>
      <c r="BPV352" s="34"/>
      <c r="BPW352" s="34"/>
      <c r="BPX352" s="34"/>
      <c r="BPY352" s="34"/>
      <c r="BPZ352" s="34"/>
      <c r="BQA352" s="34"/>
      <c r="BQB352" s="34"/>
      <c r="BQC352" s="34"/>
      <c r="BQD352" s="34"/>
      <c r="BQE352" s="34"/>
      <c r="BQF352" s="34"/>
      <c r="BQG352" s="34"/>
      <c r="BQH352" s="34"/>
      <c r="BQI352" s="34"/>
      <c r="BQJ352" s="34"/>
      <c r="BQK352" s="34"/>
      <c r="BQL352" s="34"/>
      <c r="BQM352" s="34"/>
      <c r="BQN352" s="34"/>
      <c r="BQO352" s="34"/>
      <c r="BQP352" s="34"/>
      <c r="BQQ352" s="34"/>
      <c r="BQR352" s="34"/>
      <c r="BQS352" s="34"/>
      <c r="BQT352" s="34"/>
      <c r="BQU352" s="34"/>
      <c r="BQV352" s="34"/>
      <c r="BQW352" s="34"/>
      <c r="BQX352" s="34"/>
      <c r="BQY352" s="34"/>
      <c r="BQZ352" s="34"/>
      <c r="BRA352" s="34"/>
      <c r="BRB352" s="34"/>
      <c r="BRC352" s="34"/>
      <c r="BRD352" s="34"/>
      <c r="BRE352" s="34"/>
      <c r="BRF352" s="34"/>
      <c r="BRG352" s="34"/>
      <c r="BRH352" s="34"/>
      <c r="BRI352" s="34"/>
      <c r="BRJ352" s="34"/>
      <c r="BRK352" s="34"/>
      <c r="BRL352" s="34"/>
      <c r="BRM352" s="34"/>
      <c r="BRN352" s="34"/>
      <c r="BRO352" s="34"/>
      <c r="BRP352" s="34"/>
      <c r="BRQ352" s="34"/>
      <c r="BRR352" s="34"/>
      <c r="BRS352" s="34"/>
      <c r="BRT352" s="34"/>
      <c r="BRU352" s="34"/>
      <c r="BRV352" s="34"/>
      <c r="BRW352" s="34"/>
      <c r="BRX352" s="34"/>
      <c r="BRY352" s="34"/>
      <c r="BRZ352" s="34"/>
      <c r="BSA352" s="34"/>
      <c r="BSB352" s="34"/>
      <c r="BSC352" s="34"/>
      <c r="BSD352" s="34"/>
      <c r="BSE352" s="34"/>
      <c r="BSF352" s="34"/>
      <c r="BSG352" s="34"/>
      <c r="BSH352" s="34"/>
      <c r="BSI352" s="34"/>
      <c r="BSJ352" s="34"/>
      <c r="BSK352" s="34"/>
      <c r="BSL352" s="34"/>
      <c r="BSM352" s="34"/>
      <c r="BSN352" s="34"/>
      <c r="BSO352" s="34"/>
      <c r="BSP352" s="34"/>
      <c r="BSQ352" s="34"/>
      <c r="BSR352" s="34"/>
      <c r="BSS352" s="34"/>
      <c r="BST352" s="34"/>
      <c r="BSU352" s="34"/>
      <c r="BSV352" s="34"/>
      <c r="BSW352" s="34"/>
      <c r="BSX352" s="34"/>
      <c r="BSY352" s="34"/>
      <c r="BSZ352" s="34"/>
      <c r="BTA352" s="34"/>
      <c r="BTB352" s="34"/>
      <c r="BTC352" s="34"/>
      <c r="BTD352" s="34"/>
      <c r="BTE352" s="34"/>
      <c r="BTF352" s="34"/>
      <c r="BTG352" s="34"/>
      <c r="BTH352" s="34"/>
      <c r="BTI352" s="34"/>
      <c r="BTJ352" s="34"/>
      <c r="BTK352" s="34"/>
      <c r="BTL352" s="34"/>
      <c r="BTM352" s="34"/>
      <c r="BTN352" s="34"/>
      <c r="BTO352" s="34"/>
      <c r="BTP352" s="34"/>
      <c r="BTQ352" s="34"/>
      <c r="BTR352" s="34"/>
      <c r="BTS352" s="34"/>
      <c r="BTT352" s="34"/>
      <c r="BTU352" s="34"/>
      <c r="BTV352" s="34"/>
      <c r="BTW352" s="34"/>
      <c r="BTX352" s="34"/>
      <c r="BTY352" s="34"/>
      <c r="BTZ352" s="34"/>
      <c r="BUA352" s="34"/>
      <c r="BUB352" s="34"/>
      <c r="BUC352" s="34"/>
      <c r="BUD352" s="34"/>
      <c r="BUE352" s="34"/>
      <c r="BUF352" s="34"/>
      <c r="BUG352" s="34"/>
      <c r="BUH352" s="34"/>
      <c r="BUI352" s="34"/>
      <c r="BUJ352" s="34"/>
      <c r="BUK352" s="34"/>
      <c r="BUL352" s="34"/>
      <c r="BUM352" s="34"/>
      <c r="BUN352" s="34"/>
      <c r="BUO352" s="34"/>
      <c r="BUP352" s="34"/>
      <c r="BUQ352" s="34"/>
      <c r="BUR352" s="34"/>
      <c r="BUS352" s="34"/>
      <c r="BUT352" s="34"/>
      <c r="BUU352" s="34"/>
      <c r="BUV352" s="34"/>
      <c r="BUW352" s="34"/>
      <c r="BUX352" s="34"/>
      <c r="BUY352" s="34"/>
      <c r="BUZ352" s="34"/>
      <c r="BVA352" s="34"/>
      <c r="BVB352" s="34"/>
      <c r="BVC352" s="34"/>
      <c r="BVD352" s="34"/>
      <c r="BVE352" s="34"/>
      <c r="BVF352" s="34"/>
      <c r="BVG352" s="34"/>
      <c r="BVH352" s="34"/>
      <c r="BVI352" s="34"/>
      <c r="BVJ352" s="34"/>
      <c r="BVK352" s="34"/>
      <c r="BVL352" s="34"/>
      <c r="BVM352" s="34"/>
      <c r="BVN352" s="34"/>
      <c r="BVO352" s="34"/>
      <c r="BVP352" s="34"/>
      <c r="BVQ352" s="34"/>
      <c r="BVR352" s="34"/>
      <c r="BVS352" s="34"/>
      <c r="BVT352" s="34"/>
      <c r="BVU352" s="34"/>
      <c r="BVV352" s="34"/>
      <c r="BVW352" s="34"/>
      <c r="BVX352" s="34"/>
      <c r="BVY352" s="34"/>
      <c r="BVZ352" s="34"/>
      <c r="BWA352" s="34"/>
      <c r="BWB352" s="34"/>
      <c r="BWC352" s="34"/>
      <c r="BWD352" s="34"/>
      <c r="BWE352" s="34"/>
      <c r="BWF352" s="34"/>
      <c r="BWG352" s="34"/>
      <c r="BWH352" s="34"/>
      <c r="BWI352" s="34"/>
      <c r="BWJ352" s="34"/>
      <c r="BWK352" s="34"/>
      <c r="BWL352" s="34"/>
      <c r="BWM352" s="34"/>
      <c r="BWN352" s="34"/>
      <c r="BWO352" s="34"/>
      <c r="BWP352" s="34"/>
      <c r="BWQ352" s="34"/>
      <c r="BWR352" s="34"/>
      <c r="BWS352" s="34"/>
      <c r="BWT352" s="34"/>
      <c r="BWU352" s="34"/>
      <c r="BWV352" s="34"/>
      <c r="BWW352" s="34"/>
      <c r="BWX352" s="34"/>
      <c r="BWY352" s="34"/>
      <c r="BWZ352" s="34"/>
      <c r="BXA352" s="34"/>
      <c r="BXB352" s="34"/>
      <c r="BXC352" s="34"/>
      <c r="BXD352" s="34"/>
      <c r="BXE352" s="34"/>
      <c r="BXF352" s="34"/>
      <c r="BXG352" s="34"/>
      <c r="BXH352" s="34"/>
      <c r="BXI352" s="34"/>
      <c r="BXJ352" s="34"/>
      <c r="BXK352" s="34"/>
      <c r="BXL352" s="34"/>
      <c r="BXM352" s="34"/>
      <c r="BXN352" s="34"/>
      <c r="BXO352" s="34"/>
      <c r="BXP352" s="34"/>
      <c r="BXQ352" s="34"/>
      <c r="BXR352" s="34"/>
      <c r="BXS352" s="34"/>
      <c r="BXT352" s="34"/>
      <c r="BXU352" s="34"/>
      <c r="BXV352" s="34"/>
      <c r="BXW352" s="34"/>
      <c r="BXX352" s="34"/>
      <c r="BXY352" s="34"/>
      <c r="BXZ352" s="34"/>
      <c r="BYA352" s="34"/>
      <c r="BYB352" s="34"/>
      <c r="BYC352" s="34"/>
      <c r="BYD352" s="34"/>
      <c r="BYE352" s="34"/>
      <c r="BYF352" s="34"/>
      <c r="BYG352" s="34"/>
      <c r="BYH352" s="34"/>
      <c r="BYI352" s="34"/>
      <c r="BYJ352" s="34"/>
      <c r="BYK352" s="34"/>
      <c r="BYL352" s="34"/>
      <c r="BYM352" s="34"/>
      <c r="BYN352" s="34"/>
      <c r="BYO352" s="34"/>
      <c r="BYP352" s="34"/>
      <c r="BYQ352" s="34"/>
      <c r="BYR352" s="34"/>
      <c r="BYS352" s="34"/>
      <c r="BYT352" s="34"/>
      <c r="BYU352" s="34"/>
      <c r="BYV352" s="34"/>
      <c r="BYW352" s="34"/>
      <c r="BYX352" s="34"/>
      <c r="BYY352" s="34"/>
      <c r="BYZ352" s="34"/>
      <c r="BZA352" s="34"/>
      <c r="BZB352" s="34"/>
      <c r="BZC352" s="34"/>
      <c r="BZD352" s="34"/>
      <c r="BZE352" s="34"/>
      <c r="BZF352" s="34"/>
      <c r="BZG352" s="34"/>
      <c r="BZH352" s="34"/>
      <c r="BZI352" s="34"/>
      <c r="BZJ352" s="34"/>
      <c r="BZK352" s="34"/>
      <c r="BZL352" s="34"/>
      <c r="BZM352" s="34"/>
      <c r="BZN352" s="34"/>
      <c r="BZO352" s="34"/>
      <c r="BZP352" s="34"/>
      <c r="BZQ352" s="34"/>
      <c r="BZR352" s="34"/>
      <c r="BZS352" s="34"/>
      <c r="BZT352" s="34"/>
      <c r="BZU352" s="34"/>
      <c r="BZV352" s="34"/>
      <c r="BZW352" s="34"/>
      <c r="BZX352" s="34"/>
      <c r="BZY352" s="34"/>
      <c r="BZZ352" s="34"/>
      <c r="CAA352" s="34"/>
      <c r="CAB352" s="34"/>
      <c r="CAC352" s="34"/>
      <c r="CAD352" s="34"/>
      <c r="CAE352" s="34"/>
      <c r="CAF352" s="34"/>
      <c r="CAG352" s="34"/>
      <c r="CAH352" s="34"/>
      <c r="CAI352" s="34"/>
      <c r="CAJ352" s="34"/>
      <c r="CAK352" s="34"/>
      <c r="CAL352" s="34"/>
      <c r="CAM352" s="34"/>
      <c r="CAN352" s="34"/>
      <c r="CAO352" s="34"/>
      <c r="CAP352" s="34"/>
      <c r="CAQ352" s="34"/>
      <c r="CAR352" s="34"/>
      <c r="CAS352" s="34"/>
      <c r="CAT352" s="34"/>
      <c r="CAU352" s="34"/>
      <c r="CAV352" s="34"/>
      <c r="CAW352" s="34"/>
      <c r="CAX352" s="34"/>
      <c r="CAY352" s="34"/>
      <c r="CAZ352" s="34"/>
      <c r="CBA352" s="34"/>
      <c r="CBB352" s="34"/>
      <c r="CBC352" s="34"/>
      <c r="CBD352" s="34"/>
      <c r="CBE352" s="34"/>
      <c r="CBF352" s="34"/>
      <c r="CBG352" s="34"/>
      <c r="CBH352" s="34"/>
      <c r="CBI352" s="34"/>
      <c r="CBJ352" s="34"/>
      <c r="CBK352" s="34"/>
      <c r="CBL352" s="34"/>
      <c r="CBM352" s="34"/>
      <c r="CBN352" s="34"/>
      <c r="CBO352" s="34"/>
      <c r="CBP352" s="34"/>
      <c r="CBQ352" s="34"/>
      <c r="CBR352" s="34"/>
      <c r="CBS352" s="34"/>
      <c r="CBT352" s="34"/>
      <c r="CBU352" s="34"/>
      <c r="CBV352" s="34"/>
      <c r="CBW352" s="34"/>
      <c r="CBX352" s="34"/>
      <c r="CBY352" s="34"/>
      <c r="CBZ352" s="34"/>
      <c r="CCA352" s="34"/>
      <c r="CCB352" s="34"/>
      <c r="CCC352" s="34"/>
      <c r="CCD352" s="34"/>
      <c r="CCE352" s="34"/>
      <c r="CCF352" s="34"/>
      <c r="CCG352" s="34"/>
      <c r="CCH352" s="34"/>
      <c r="CCI352" s="34"/>
      <c r="CCJ352" s="34"/>
      <c r="CCK352" s="34"/>
      <c r="CCL352" s="34"/>
      <c r="CCM352" s="34"/>
      <c r="CCN352" s="34"/>
      <c r="CCO352" s="34"/>
      <c r="CCP352" s="34"/>
      <c r="CCQ352" s="34"/>
      <c r="CCR352" s="34"/>
      <c r="CCS352" s="34"/>
      <c r="CCT352" s="34"/>
      <c r="CCU352" s="34"/>
      <c r="CCV352" s="34"/>
      <c r="CCW352" s="34"/>
      <c r="CCX352" s="34"/>
      <c r="CCY352" s="34"/>
      <c r="CCZ352" s="34"/>
      <c r="CDA352" s="34"/>
      <c r="CDB352" s="34"/>
      <c r="CDC352" s="34"/>
      <c r="CDD352" s="34"/>
      <c r="CDE352" s="34"/>
      <c r="CDF352" s="34"/>
      <c r="CDG352" s="34"/>
      <c r="CDH352" s="34"/>
      <c r="CDI352" s="34"/>
      <c r="CDJ352" s="34"/>
      <c r="CDK352" s="34"/>
      <c r="CDL352" s="34"/>
      <c r="CDM352" s="34"/>
      <c r="CDN352" s="34"/>
      <c r="CDO352" s="34"/>
      <c r="CDP352" s="34"/>
      <c r="CDQ352" s="34"/>
      <c r="CDR352" s="34"/>
      <c r="CDS352" s="34"/>
      <c r="CDT352" s="34"/>
      <c r="CDU352" s="34"/>
      <c r="CDV352" s="34"/>
      <c r="CDW352" s="34"/>
      <c r="CDX352" s="34"/>
      <c r="CDY352" s="34"/>
      <c r="CDZ352" s="34"/>
      <c r="CEA352" s="34"/>
      <c r="CEB352" s="34"/>
      <c r="CEC352" s="34"/>
      <c r="CED352" s="34"/>
      <c r="CEE352" s="34"/>
      <c r="CEF352" s="34"/>
      <c r="CEG352" s="34"/>
      <c r="CEH352" s="34"/>
      <c r="CEI352" s="34"/>
      <c r="CEJ352" s="34"/>
      <c r="CEK352" s="34"/>
      <c r="CEL352" s="34"/>
      <c r="CEM352" s="34"/>
      <c r="CEN352" s="34"/>
      <c r="CEO352" s="34"/>
      <c r="CEP352" s="34"/>
      <c r="CEQ352" s="34"/>
      <c r="CER352" s="34"/>
      <c r="CES352" s="34"/>
      <c r="CET352" s="34"/>
      <c r="CEU352" s="34"/>
      <c r="CEV352" s="34"/>
      <c r="CEW352" s="34"/>
      <c r="CEX352" s="34"/>
      <c r="CEY352" s="34"/>
      <c r="CEZ352" s="34"/>
      <c r="CFA352" s="34"/>
      <c r="CFB352" s="34"/>
      <c r="CFC352" s="34"/>
      <c r="CFD352" s="34"/>
      <c r="CFE352" s="34"/>
      <c r="CFF352" s="34"/>
      <c r="CFG352" s="34"/>
      <c r="CFH352" s="34"/>
      <c r="CFI352" s="34"/>
      <c r="CFJ352" s="34"/>
      <c r="CFK352" s="34"/>
      <c r="CFL352" s="34"/>
      <c r="CFM352" s="34"/>
      <c r="CFN352" s="34"/>
      <c r="CFO352" s="34"/>
      <c r="CFP352" s="34"/>
      <c r="CFQ352" s="34"/>
      <c r="CFR352" s="34"/>
      <c r="CFS352" s="34"/>
      <c r="CFT352" s="34"/>
      <c r="CFU352" s="34"/>
      <c r="CFV352" s="34"/>
      <c r="CFW352" s="34"/>
      <c r="CFX352" s="34"/>
      <c r="CFY352" s="34"/>
      <c r="CFZ352" s="34"/>
      <c r="CGA352" s="34"/>
      <c r="CGB352" s="34"/>
      <c r="CGC352" s="34"/>
      <c r="CGD352" s="34"/>
      <c r="CGE352" s="34"/>
      <c r="CGF352" s="34"/>
      <c r="CGG352" s="34"/>
      <c r="CGH352" s="34"/>
      <c r="CGI352" s="34"/>
      <c r="CGJ352" s="34"/>
      <c r="CGK352" s="34"/>
      <c r="CGL352" s="34"/>
      <c r="CGM352" s="34"/>
      <c r="CGN352" s="34"/>
      <c r="CGO352" s="34"/>
      <c r="CGP352" s="34"/>
      <c r="CGQ352" s="34"/>
      <c r="CGR352" s="34"/>
      <c r="CGS352" s="34"/>
      <c r="CGT352" s="34"/>
      <c r="CGU352" s="34"/>
      <c r="CGV352" s="34"/>
      <c r="CGW352" s="34"/>
      <c r="CGX352" s="34"/>
      <c r="CGY352" s="34"/>
      <c r="CGZ352" s="34"/>
      <c r="CHA352" s="34"/>
      <c r="CHB352" s="34"/>
      <c r="CHC352" s="34"/>
      <c r="CHD352" s="34"/>
      <c r="CHE352" s="34"/>
      <c r="CHF352" s="34"/>
      <c r="CHG352" s="34"/>
      <c r="CHH352" s="34"/>
      <c r="CHI352" s="34"/>
      <c r="CHJ352" s="34"/>
      <c r="CHK352" s="34"/>
      <c r="CHL352" s="34"/>
      <c r="CHM352" s="34"/>
      <c r="CHN352" s="34"/>
      <c r="CHO352" s="34"/>
      <c r="CHP352" s="34"/>
      <c r="CHQ352" s="34"/>
      <c r="CHR352" s="34"/>
      <c r="CHS352" s="34"/>
      <c r="CHT352" s="34"/>
      <c r="CHU352" s="34"/>
      <c r="CHV352" s="34"/>
      <c r="CHW352" s="34"/>
      <c r="CHX352" s="34"/>
      <c r="CHY352" s="34"/>
      <c r="CHZ352" s="34"/>
      <c r="CIA352" s="34"/>
      <c r="CIB352" s="34"/>
      <c r="CIC352" s="34"/>
      <c r="CID352" s="34"/>
      <c r="CIE352" s="34"/>
      <c r="CIF352" s="34"/>
      <c r="CIG352" s="34"/>
      <c r="CIH352" s="34"/>
      <c r="CII352" s="34"/>
      <c r="CIJ352" s="34"/>
      <c r="CIK352" s="34"/>
      <c r="CIL352" s="34"/>
      <c r="CIM352" s="34"/>
      <c r="CIN352" s="34"/>
      <c r="CIO352" s="34"/>
      <c r="CIP352" s="34"/>
      <c r="CIQ352" s="34"/>
      <c r="CIR352" s="34"/>
      <c r="CIS352" s="34"/>
      <c r="CIT352" s="34"/>
      <c r="CIU352" s="34"/>
      <c r="CIV352" s="34"/>
      <c r="CIW352" s="34"/>
      <c r="CIX352" s="34"/>
      <c r="CIY352" s="34"/>
      <c r="CIZ352" s="34"/>
      <c r="CJA352" s="34"/>
      <c r="CJB352" s="34"/>
      <c r="CJC352" s="34"/>
      <c r="CJD352" s="34"/>
      <c r="CJE352" s="34"/>
      <c r="CJF352" s="34"/>
      <c r="CJG352" s="34"/>
      <c r="CJH352" s="34"/>
      <c r="CJI352" s="34"/>
      <c r="CJJ352" s="34"/>
      <c r="CJK352" s="34"/>
      <c r="CJL352" s="34"/>
      <c r="CJM352" s="34"/>
      <c r="CJN352" s="34"/>
      <c r="CJO352" s="34"/>
      <c r="CJP352" s="34"/>
      <c r="CJQ352" s="34"/>
      <c r="CJR352" s="34"/>
      <c r="CJS352" s="34"/>
      <c r="CJT352" s="34"/>
      <c r="CJU352" s="34"/>
      <c r="CJV352" s="34"/>
      <c r="CJW352" s="34"/>
      <c r="CJX352" s="34"/>
      <c r="CJY352" s="34"/>
      <c r="CJZ352" s="34"/>
      <c r="CKA352" s="34"/>
      <c r="CKB352" s="34"/>
      <c r="CKC352" s="34"/>
      <c r="CKD352" s="34"/>
      <c r="CKE352" s="34"/>
      <c r="CKF352" s="34"/>
      <c r="CKG352" s="34"/>
      <c r="CKH352" s="34"/>
      <c r="CKI352" s="34"/>
      <c r="CKJ352" s="34"/>
      <c r="CKK352" s="34"/>
      <c r="CKL352" s="34"/>
      <c r="CKM352" s="34"/>
      <c r="CKN352" s="34"/>
      <c r="CKO352" s="34"/>
      <c r="CKP352" s="34"/>
      <c r="CKQ352" s="34"/>
      <c r="CKR352" s="34"/>
      <c r="CKS352" s="34"/>
      <c r="CKT352" s="34"/>
      <c r="CKU352" s="34"/>
      <c r="CKV352" s="34"/>
      <c r="CKW352" s="34"/>
      <c r="CKX352" s="34"/>
      <c r="CKY352" s="34"/>
      <c r="CKZ352" s="34"/>
      <c r="CLA352" s="34"/>
      <c r="CLB352" s="34"/>
      <c r="CLC352" s="34"/>
      <c r="CLD352" s="34"/>
      <c r="CLE352" s="34"/>
      <c r="CLF352" s="34"/>
      <c r="CLG352" s="34"/>
      <c r="CLH352" s="34"/>
      <c r="CLI352" s="34"/>
      <c r="CLJ352" s="34"/>
      <c r="CLK352" s="34"/>
      <c r="CLL352" s="34"/>
      <c r="CLM352" s="34"/>
      <c r="CLN352" s="34"/>
      <c r="CLO352" s="34"/>
      <c r="CLP352" s="34"/>
      <c r="CLQ352" s="34"/>
      <c r="CLR352" s="34"/>
      <c r="CLS352" s="34"/>
      <c r="CLT352" s="34"/>
      <c r="CLU352" s="34"/>
      <c r="CLV352" s="34"/>
      <c r="CLW352" s="34"/>
      <c r="CLX352" s="34"/>
      <c r="CLY352" s="34"/>
      <c r="CLZ352" s="34"/>
      <c r="CMA352" s="34"/>
      <c r="CMB352" s="34"/>
      <c r="CMC352" s="34"/>
      <c r="CMD352" s="34"/>
      <c r="CME352" s="34"/>
      <c r="CMF352" s="34"/>
      <c r="CMG352" s="34"/>
      <c r="CMH352" s="34"/>
      <c r="CMI352" s="34"/>
      <c r="CMJ352" s="34"/>
      <c r="CMK352" s="34"/>
      <c r="CML352" s="34"/>
      <c r="CMM352" s="34"/>
      <c r="CMN352" s="34"/>
      <c r="CMO352" s="34"/>
      <c r="CMP352" s="34"/>
      <c r="CMQ352" s="34"/>
      <c r="CMR352" s="34"/>
      <c r="CMS352" s="34"/>
      <c r="CMT352" s="34"/>
      <c r="CMU352" s="34"/>
      <c r="CMV352" s="34"/>
      <c r="CMW352" s="34"/>
      <c r="CMX352" s="34"/>
      <c r="CMY352" s="34"/>
      <c r="CMZ352" s="34"/>
      <c r="CNA352" s="34"/>
      <c r="CNB352" s="34"/>
      <c r="CNC352" s="34"/>
      <c r="CND352" s="34"/>
      <c r="CNE352" s="34"/>
      <c r="CNF352" s="34"/>
      <c r="CNG352" s="34"/>
      <c r="CNH352" s="34"/>
      <c r="CNI352" s="34"/>
      <c r="CNJ352" s="34"/>
      <c r="CNK352" s="34"/>
      <c r="CNL352" s="34"/>
      <c r="CNM352" s="34"/>
      <c r="CNN352" s="34"/>
      <c r="CNO352" s="34"/>
      <c r="CNP352" s="34"/>
      <c r="CNQ352" s="34"/>
      <c r="CNR352" s="34"/>
      <c r="CNS352" s="34"/>
      <c r="CNT352" s="34"/>
      <c r="CNU352" s="34"/>
      <c r="CNV352" s="34"/>
      <c r="CNW352" s="34"/>
      <c r="CNX352" s="34"/>
      <c r="CNY352" s="34"/>
      <c r="CNZ352" s="34"/>
      <c r="COA352" s="34"/>
      <c r="COB352" s="34"/>
      <c r="COC352" s="34"/>
      <c r="COD352" s="34"/>
      <c r="COE352" s="34"/>
      <c r="COF352" s="34"/>
      <c r="COG352" s="34"/>
      <c r="COH352" s="34"/>
      <c r="COI352" s="34"/>
      <c r="COJ352" s="34"/>
      <c r="COK352" s="34"/>
      <c r="COL352" s="34"/>
      <c r="COM352" s="34"/>
      <c r="CON352" s="34"/>
      <c r="COO352" s="34"/>
      <c r="COP352" s="34"/>
      <c r="COQ352" s="34"/>
      <c r="COR352" s="34"/>
      <c r="COS352" s="34"/>
      <c r="COT352" s="34"/>
      <c r="COU352" s="34"/>
      <c r="COV352" s="34"/>
      <c r="COW352" s="34"/>
      <c r="COX352" s="34"/>
      <c r="COY352" s="34"/>
      <c r="COZ352" s="34"/>
      <c r="CPA352" s="34"/>
      <c r="CPB352" s="34"/>
      <c r="CPC352" s="34"/>
      <c r="CPD352" s="34"/>
      <c r="CPE352" s="34"/>
      <c r="CPF352" s="34"/>
      <c r="CPG352" s="34"/>
      <c r="CPH352" s="34"/>
      <c r="CPI352" s="34"/>
      <c r="CPJ352" s="34"/>
      <c r="CPK352" s="34"/>
      <c r="CPL352" s="34"/>
      <c r="CPM352" s="34"/>
      <c r="CPN352" s="34"/>
      <c r="CPO352" s="34"/>
      <c r="CPP352" s="34"/>
      <c r="CPQ352" s="34"/>
      <c r="CPR352" s="34"/>
      <c r="CPS352" s="34"/>
      <c r="CPT352" s="34"/>
      <c r="CPU352" s="34"/>
      <c r="CPV352" s="34"/>
      <c r="CPW352" s="34"/>
      <c r="CPX352" s="34"/>
      <c r="CPY352" s="34"/>
      <c r="CPZ352" s="34"/>
      <c r="CQA352" s="34"/>
      <c r="CQB352" s="34"/>
      <c r="CQC352" s="34"/>
      <c r="CQD352" s="34"/>
      <c r="CQE352" s="34"/>
      <c r="CQF352" s="34"/>
      <c r="CQG352" s="34"/>
      <c r="CQH352" s="34"/>
      <c r="CQI352" s="34"/>
      <c r="CQJ352" s="34"/>
      <c r="CQK352" s="34"/>
      <c r="CQL352" s="34"/>
      <c r="CQM352" s="34"/>
      <c r="CQN352" s="34"/>
      <c r="CQO352" s="34"/>
      <c r="CQP352" s="34"/>
      <c r="CQQ352" s="34"/>
      <c r="CQR352" s="34"/>
      <c r="CQS352" s="34"/>
      <c r="CQT352" s="34"/>
      <c r="CQU352" s="34"/>
      <c r="CQV352" s="34"/>
      <c r="CQW352" s="34"/>
      <c r="CQX352" s="34"/>
      <c r="CQY352" s="34"/>
      <c r="CQZ352" s="34"/>
      <c r="CRA352" s="34"/>
      <c r="CRB352" s="34"/>
      <c r="CRC352" s="34"/>
      <c r="CRD352" s="34"/>
      <c r="CRE352" s="34"/>
      <c r="CRF352" s="34"/>
      <c r="CRG352" s="34"/>
      <c r="CRH352" s="34"/>
      <c r="CRI352" s="34"/>
      <c r="CRJ352" s="34"/>
      <c r="CRK352" s="34"/>
      <c r="CRL352" s="34"/>
      <c r="CRM352" s="34"/>
      <c r="CRN352" s="34"/>
      <c r="CRO352" s="34"/>
      <c r="CRP352" s="34"/>
      <c r="CRQ352" s="34"/>
      <c r="CRR352" s="34"/>
      <c r="CRS352" s="34"/>
      <c r="CRT352" s="34"/>
      <c r="CRU352" s="34"/>
      <c r="CRV352" s="34"/>
      <c r="CRW352" s="34"/>
      <c r="CRX352" s="34"/>
      <c r="CRY352" s="34"/>
      <c r="CRZ352" s="34"/>
      <c r="CSA352" s="34"/>
      <c r="CSB352" s="34"/>
      <c r="CSC352" s="34"/>
      <c r="CSD352" s="34"/>
      <c r="CSE352" s="34"/>
      <c r="CSF352" s="34"/>
      <c r="CSG352" s="34"/>
      <c r="CSH352" s="34"/>
      <c r="CSI352" s="34"/>
      <c r="CSJ352" s="34"/>
      <c r="CSK352" s="34"/>
      <c r="CSL352" s="34"/>
      <c r="CSM352" s="34"/>
      <c r="CSN352" s="34"/>
      <c r="CSO352" s="34"/>
      <c r="CSP352" s="34"/>
      <c r="CSQ352" s="34"/>
      <c r="CSR352" s="34"/>
      <c r="CSS352" s="34"/>
      <c r="CST352" s="34"/>
      <c r="CSU352" s="34"/>
      <c r="CSV352" s="34"/>
      <c r="CSW352" s="34"/>
      <c r="CSX352" s="34"/>
      <c r="CSY352" s="34"/>
      <c r="CSZ352" s="34"/>
      <c r="CTA352" s="34"/>
      <c r="CTB352" s="34"/>
      <c r="CTC352" s="34"/>
      <c r="CTD352" s="34"/>
      <c r="CTE352" s="34"/>
      <c r="CTF352" s="34"/>
      <c r="CTG352" s="34"/>
      <c r="CTH352" s="34"/>
      <c r="CTI352" s="34"/>
      <c r="CTJ352" s="34"/>
      <c r="CTK352" s="34"/>
      <c r="CTL352" s="34"/>
      <c r="CTM352" s="34"/>
      <c r="CTN352" s="34"/>
      <c r="CTO352" s="34"/>
      <c r="CTP352" s="34"/>
      <c r="CTQ352" s="34"/>
      <c r="CTR352" s="34"/>
      <c r="CTS352" s="34"/>
      <c r="CTT352" s="34"/>
      <c r="CTU352" s="34"/>
      <c r="CTV352" s="34"/>
      <c r="CTW352" s="34"/>
      <c r="CTX352" s="34"/>
      <c r="CTY352" s="34"/>
      <c r="CTZ352" s="34"/>
      <c r="CUA352" s="34"/>
      <c r="CUB352" s="34"/>
      <c r="CUC352" s="34"/>
      <c r="CUD352" s="34"/>
      <c r="CUE352" s="34"/>
      <c r="CUF352" s="34"/>
      <c r="CUG352" s="34"/>
      <c r="CUH352" s="34"/>
      <c r="CUI352" s="34"/>
      <c r="CUJ352" s="34"/>
      <c r="CUK352" s="34"/>
      <c r="CUL352" s="34"/>
      <c r="CUM352" s="34"/>
      <c r="CUN352" s="34"/>
      <c r="CUO352" s="34"/>
      <c r="CUP352" s="34"/>
      <c r="CUQ352" s="34"/>
      <c r="CUR352" s="34"/>
      <c r="CUS352" s="34"/>
      <c r="CUT352" s="34"/>
      <c r="CUU352" s="34"/>
      <c r="CUV352" s="34"/>
      <c r="CUW352" s="34"/>
      <c r="CUX352" s="34"/>
      <c r="CUY352" s="34"/>
      <c r="CUZ352" s="34"/>
      <c r="CVA352" s="34"/>
      <c r="CVB352" s="34"/>
      <c r="CVC352" s="34"/>
      <c r="CVD352" s="34"/>
      <c r="CVE352" s="34"/>
      <c r="CVF352" s="34"/>
      <c r="CVG352" s="34"/>
      <c r="CVH352" s="34"/>
      <c r="CVI352" s="34"/>
      <c r="CVJ352" s="34"/>
      <c r="CVK352" s="34"/>
      <c r="CVL352" s="34"/>
      <c r="CVM352" s="34"/>
      <c r="CVN352" s="34"/>
      <c r="CVO352" s="34"/>
      <c r="CVP352" s="34"/>
      <c r="CVQ352" s="34"/>
      <c r="CVR352" s="34"/>
      <c r="CVS352" s="34"/>
      <c r="CVT352" s="34"/>
      <c r="CVU352" s="34"/>
      <c r="CVV352" s="34"/>
      <c r="CVW352" s="34"/>
      <c r="CVX352" s="34"/>
      <c r="CVY352" s="34"/>
      <c r="CVZ352" s="34"/>
      <c r="CWA352" s="34"/>
      <c r="CWB352" s="34"/>
      <c r="CWC352" s="34"/>
      <c r="CWD352" s="34"/>
      <c r="CWE352" s="34"/>
      <c r="CWF352" s="34"/>
      <c r="CWG352" s="34"/>
      <c r="CWH352" s="34"/>
      <c r="CWI352" s="34"/>
      <c r="CWJ352" s="34"/>
      <c r="CWK352" s="34"/>
      <c r="CWL352" s="34"/>
      <c r="CWM352" s="34"/>
      <c r="CWN352" s="34"/>
      <c r="CWO352" s="34"/>
      <c r="CWP352" s="34"/>
      <c r="CWQ352" s="34"/>
      <c r="CWR352" s="34"/>
      <c r="CWS352" s="34"/>
      <c r="CWT352" s="34"/>
      <c r="CWU352" s="34"/>
      <c r="CWV352" s="34"/>
      <c r="CWW352" s="34"/>
      <c r="CWX352" s="34"/>
      <c r="CWY352" s="34"/>
      <c r="CWZ352" s="34"/>
      <c r="CXA352" s="34"/>
      <c r="CXB352" s="34"/>
      <c r="CXC352" s="34"/>
      <c r="CXD352" s="34"/>
      <c r="CXE352" s="34"/>
      <c r="CXF352" s="34"/>
      <c r="CXG352" s="34"/>
      <c r="CXH352" s="34"/>
      <c r="CXI352" s="34"/>
      <c r="CXJ352" s="34"/>
      <c r="CXK352" s="34"/>
      <c r="CXL352" s="34"/>
      <c r="CXM352" s="34"/>
      <c r="CXN352" s="34"/>
      <c r="CXO352" s="34"/>
      <c r="CXP352" s="34"/>
      <c r="CXQ352" s="34"/>
      <c r="CXR352" s="34"/>
      <c r="CXS352" s="34"/>
      <c r="CXT352" s="34"/>
      <c r="CXU352" s="34"/>
      <c r="CXV352" s="34"/>
      <c r="CXW352" s="34"/>
      <c r="CXX352" s="34"/>
      <c r="CXY352" s="34"/>
      <c r="CXZ352" s="34"/>
      <c r="CYA352" s="34"/>
      <c r="CYB352" s="34"/>
      <c r="CYC352" s="34"/>
      <c r="CYD352" s="34"/>
      <c r="CYE352" s="34"/>
      <c r="CYF352" s="34"/>
      <c r="CYG352" s="34"/>
      <c r="CYH352" s="34"/>
      <c r="CYI352" s="34"/>
      <c r="CYJ352" s="34"/>
      <c r="CYK352" s="34"/>
      <c r="CYL352" s="34"/>
      <c r="CYM352" s="34"/>
      <c r="CYN352" s="34"/>
      <c r="CYO352" s="34"/>
      <c r="CYP352" s="34"/>
      <c r="CYQ352" s="34"/>
      <c r="CYR352" s="34"/>
      <c r="CYS352" s="34"/>
      <c r="CYT352" s="34"/>
      <c r="CYU352" s="34"/>
      <c r="CYV352" s="34"/>
      <c r="CYW352" s="34"/>
      <c r="CYX352" s="34"/>
      <c r="CYY352" s="34"/>
      <c r="CYZ352" s="34"/>
      <c r="CZA352" s="34"/>
      <c r="CZB352" s="34"/>
      <c r="CZC352" s="34"/>
      <c r="CZD352" s="34"/>
      <c r="CZE352" s="34"/>
      <c r="CZF352" s="34"/>
      <c r="CZG352" s="34"/>
      <c r="CZH352" s="34"/>
      <c r="CZI352" s="34"/>
      <c r="CZJ352" s="34"/>
      <c r="CZK352" s="34"/>
      <c r="CZL352" s="34"/>
      <c r="CZM352" s="34"/>
      <c r="CZN352" s="34"/>
      <c r="CZO352" s="34"/>
      <c r="CZP352" s="34"/>
      <c r="CZQ352" s="34"/>
      <c r="CZR352" s="34"/>
      <c r="CZS352" s="34"/>
      <c r="CZT352" s="34"/>
      <c r="CZU352" s="34"/>
      <c r="CZV352" s="34"/>
      <c r="CZW352" s="34"/>
      <c r="CZX352" s="34"/>
      <c r="CZY352" s="34"/>
      <c r="CZZ352" s="34"/>
      <c r="DAA352" s="34"/>
      <c r="DAB352" s="34"/>
      <c r="DAC352" s="34"/>
      <c r="DAD352" s="34"/>
      <c r="DAE352" s="34"/>
      <c r="DAF352" s="34"/>
      <c r="DAG352" s="34"/>
      <c r="DAH352" s="34"/>
      <c r="DAI352" s="34"/>
      <c r="DAJ352" s="34"/>
      <c r="DAK352" s="34"/>
      <c r="DAL352" s="34"/>
      <c r="DAM352" s="34"/>
      <c r="DAN352" s="34"/>
      <c r="DAO352" s="34"/>
      <c r="DAP352" s="34"/>
      <c r="DAQ352" s="34"/>
      <c r="DAR352" s="34"/>
      <c r="DAS352" s="34"/>
      <c r="DAT352" s="34"/>
      <c r="DAU352" s="34"/>
      <c r="DAV352" s="34"/>
      <c r="DAW352" s="34"/>
      <c r="DAX352" s="34"/>
      <c r="DAY352" s="34"/>
      <c r="DAZ352" s="34"/>
      <c r="DBA352" s="34"/>
      <c r="DBB352" s="34"/>
      <c r="DBC352" s="34"/>
      <c r="DBD352" s="34"/>
      <c r="DBE352" s="34"/>
      <c r="DBF352" s="34"/>
      <c r="DBG352" s="34"/>
      <c r="DBH352" s="34"/>
      <c r="DBI352" s="34"/>
      <c r="DBJ352" s="34"/>
      <c r="DBK352" s="34"/>
      <c r="DBL352" s="34"/>
      <c r="DBM352" s="34"/>
      <c r="DBN352" s="34"/>
      <c r="DBO352" s="34"/>
      <c r="DBP352" s="34"/>
      <c r="DBQ352" s="34"/>
      <c r="DBR352" s="34"/>
      <c r="DBS352" s="34"/>
      <c r="DBT352" s="34"/>
      <c r="DBU352" s="34"/>
      <c r="DBV352" s="34"/>
      <c r="DBW352" s="34"/>
      <c r="DBX352" s="34"/>
      <c r="DBY352" s="34"/>
      <c r="DBZ352" s="34"/>
      <c r="DCA352" s="34"/>
      <c r="DCB352" s="34"/>
      <c r="DCC352" s="34"/>
      <c r="DCD352" s="34"/>
      <c r="DCE352" s="34"/>
      <c r="DCF352" s="34"/>
      <c r="DCG352" s="34"/>
      <c r="DCH352" s="34"/>
      <c r="DCI352" s="34"/>
      <c r="DCJ352" s="34"/>
      <c r="DCK352" s="34"/>
      <c r="DCL352" s="34"/>
      <c r="DCM352" s="34"/>
      <c r="DCN352" s="34"/>
      <c r="DCO352" s="34"/>
      <c r="DCP352" s="34"/>
      <c r="DCQ352" s="34"/>
      <c r="DCR352" s="34"/>
      <c r="DCS352" s="34"/>
      <c r="DCT352" s="34"/>
      <c r="DCU352" s="34"/>
      <c r="DCV352" s="34"/>
      <c r="DCW352" s="34"/>
      <c r="DCX352" s="34"/>
      <c r="DCY352" s="34"/>
      <c r="DCZ352" s="34"/>
      <c r="DDA352" s="34"/>
      <c r="DDB352" s="34"/>
      <c r="DDC352" s="34"/>
      <c r="DDD352" s="34"/>
      <c r="DDE352" s="34"/>
      <c r="DDF352" s="34"/>
      <c r="DDG352" s="34"/>
      <c r="DDH352" s="34"/>
      <c r="DDI352" s="34"/>
      <c r="DDJ352" s="34"/>
      <c r="DDK352" s="34"/>
      <c r="DDL352" s="34"/>
      <c r="DDM352" s="34"/>
      <c r="DDN352" s="34"/>
      <c r="DDO352" s="34"/>
      <c r="DDP352" s="34"/>
      <c r="DDQ352" s="34"/>
      <c r="DDR352" s="34"/>
      <c r="DDS352" s="34"/>
      <c r="DDT352" s="34"/>
      <c r="DDU352" s="34"/>
      <c r="DDV352" s="34"/>
      <c r="DDW352" s="34"/>
      <c r="DDX352" s="34"/>
      <c r="DDY352" s="34"/>
      <c r="DDZ352" s="34"/>
      <c r="DEA352" s="34"/>
      <c r="DEB352" s="34"/>
      <c r="DEC352" s="34"/>
      <c r="DED352" s="34"/>
      <c r="DEE352" s="34"/>
      <c r="DEF352" s="34"/>
      <c r="DEG352" s="34"/>
      <c r="DEH352" s="34"/>
      <c r="DEI352" s="34"/>
      <c r="DEJ352" s="34"/>
      <c r="DEK352" s="34"/>
      <c r="DEL352" s="34"/>
      <c r="DEM352" s="34"/>
      <c r="DEN352" s="34"/>
      <c r="DEO352" s="34"/>
      <c r="DEP352" s="34"/>
      <c r="DEQ352" s="34"/>
      <c r="DER352" s="34"/>
      <c r="DES352" s="34"/>
      <c r="DET352" s="34"/>
      <c r="DEU352" s="34"/>
      <c r="DEV352" s="34"/>
      <c r="DEW352" s="34"/>
      <c r="DEX352" s="34"/>
      <c r="DEY352" s="34"/>
      <c r="DEZ352" s="34"/>
      <c r="DFA352" s="34"/>
      <c r="DFB352" s="34"/>
      <c r="DFC352" s="34"/>
      <c r="DFD352" s="34"/>
      <c r="DFE352" s="34"/>
      <c r="DFF352" s="34"/>
      <c r="DFG352" s="34"/>
      <c r="DFH352" s="34"/>
      <c r="DFI352" s="34"/>
      <c r="DFJ352" s="34"/>
      <c r="DFK352" s="34"/>
      <c r="DFL352" s="34"/>
      <c r="DFM352" s="34"/>
      <c r="DFN352" s="34"/>
      <c r="DFO352" s="34"/>
      <c r="DFP352" s="34"/>
      <c r="DFQ352" s="34"/>
      <c r="DFR352" s="34"/>
      <c r="DFS352" s="34"/>
      <c r="DFT352" s="34"/>
      <c r="DFU352" s="34"/>
      <c r="DFV352" s="34"/>
      <c r="DFW352" s="34"/>
      <c r="DFX352" s="34"/>
      <c r="DFY352" s="34"/>
      <c r="DFZ352" s="34"/>
      <c r="DGA352" s="34"/>
      <c r="DGB352" s="34"/>
      <c r="DGC352" s="34"/>
      <c r="DGD352" s="34"/>
      <c r="DGE352" s="34"/>
      <c r="DGF352" s="34"/>
      <c r="DGG352" s="34"/>
      <c r="DGH352" s="34"/>
      <c r="DGI352" s="34"/>
      <c r="DGJ352" s="34"/>
      <c r="DGK352" s="34"/>
      <c r="DGL352" s="34"/>
      <c r="DGM352" s="34"/>
      <c r="DGN352" s="34"/>
      <c r="DGO352" s="34"/>
      <c r="DGP352" s="34"/>
      <c r="DGQ352" s="34"/>
      <c r="DGR352" s="34"/>
      <c r="DGS352" s="34"/>
      <c r="DGT352" s="34"/>
      <c r="DGU352" s="34"/>
      <c r="DGV352" s="34"/>
      <c r="DGW352" s="34"/>
      <c r="DGX352" s="34"/>
      <c r="DGY352" s="34"/>
      <c r="DGZ352" s="34"/>
      <c r="DHA352" s="34"/>
      <c r="DHB352" s="34"/>
      <c r="DHC352" s="34"/>
      <c r="DHD352" s="34"/>
      <c r="DHE352" s="34"/>
      <c r="DHF352" s="34"/>
      <c r="DHG352" s="34"/>
      <c r="DHH352" s="34"/>
      <c r="DHI352" s="34"/>
      <c r="DHJ352" s="34"/>
      <c r="DHK352" s="34"/>
      <c r="DHL352" s="34"/>
      <c r="DHM352" s="34"/>
      <c r="DHN352" s="34"/>
      <c r="DHO352" s="34"/>
      <c r="DHP352" s="34"/>
      <c r="DHQ352" s="34"/>
      <c r="DHR352" s="34"/>
      <c r="DHS352" s="34"/>
      <c r="DHT352" s="34"/>
      <c r="DHU352" s="34"/>
      <c r="DHV352" s="34"/>
      <c r="DHW352" s="34"/>
      <c r="DHX352" s="34"/>
      <c r="DHY352" s="34"/>
      <c r="DHZ352" s="34"/>
      <c r="DIA352" s="34"/>
      <c r="DIB352" s="34"/>
      <c r="DIC352" s="34"/>
      <c r="DID352" s="34"/>
      <c r="DIE352" s="34"/>
      <c r="DIF352" s="34"/>
      <c r="DIG352" s="34"/>
      <c r="DIH352" s="34"/>
      <c r="DII352" s="34"/>
      <c r="DIJ352" s="34"/>
      <c r="DIK352" s="34"/>
      <c r="DIL352" s="34"/>
      <c r="DIM352" s="34"/>
      <c r="DIN352" s="34"/>
      <c r="DIO352" s="34"/>
      <c r="DIP352" s="34"/>
      <c r="DIQ352" s="34"/>
      <c r="DIR352" s="34"/>
      <c r="DIS352" s="34"/>
      <c r="DIT352" s="34"/>
      <c r="DIU352" s="34"/>
      <c r="DIV352" s="34"/>
      <c r="DIW352" s="34"/>
      <c r="DIX352" s="34"/>
      <c r="DIY352" s="34"/>
      <c r="DIZ352" s="34"/>
      <c r="DJA352" s="34"/>
      <c r="DJB352" s="34"/>
      <c r="DJC352" s="34"/>
      <c r="DJD352" s="34"/>
      <c r="DJE352" s="34"/>
      <c r="DJF352" s="34"/>
      <c r="DJG352" s="34"/>
      <c r="DJH352" s="34"/>
      <c r="DJI352" s="34"/>
      <c r="DJJ352" s="34"/>
      <c r="DJK352" s="34"/>
      <c r="DJL352" s="34"/>
      <c r="DJM352" s="34"/>
      <c r="DJN352" s="34"/>
      <c r="DJO352" s="34"/>
      <c r="DJP352" s="34"/>
      <c r="DJQ352" s="34"/>
      <c r="DJR352" s="34"/>
      <c r="DJS352" s="34"/>
      <c r="DJT352" s="34"/>
      <c r="DJU352" s="34"/>
      <c r="DJV352" s="34"/>
      <c r="DJW352" s="34"/>
      <c r="DJX352" s="34"/>
      <c r="DJY352" s="34"/>
      <c r="DJZ352" s="34"/>
      <c r="DKA352" s="34"/>
      <c r="DKB352" s="34"/>
      <c r="DKC352" s="34"/>
      <c r="DKD352" s="34"/>
      <c r="DKE352" s="34"/>
      <c r="DKF352" s="34"/>
      <c r="DKG352" s="34"/>
      <c r="DKH352" s="34"/>
      <c r="DKI352" s="34"/>
      <c r="DKJ352" s="34"/>
      <c r="DKK352" s="34"/>
      <c r="DKL352" s="34"/>
      <c r="DKM352" s="34"/>
      <c r="DKN352" s="34"/>
      <c r="DKO352" s="34"/>
      <c r="DKP352" s="34"/>
      <c r="DKQ352" s="34"/>
      <c r="DKR352" s="34"/>
      <c r="DKS352" s="34"/>
      <c r="DKT352" s="34"/>
      <c r="DKU352" s="34"/>
      <c r="DKV352" s="34"/>
      <c r="DKW352" s="34"/>
      <c r="DKX352" s="34"/>
      <c r="DKY352" s="34"/>
      <c r="DKZ352" s="34"/>
      <c r="DLA352" s="34"/>
      <c r="DLB352" s="34"/>
      <c r="DLC352" s="34"/>
      <c r="DLD352" s="34"/>
      <c r="DLE352" s="34"/>
      <c r="DLF352" s="34"/>
      <c r="DLG352" s="34"/>
      <c r="DLH352" s="34"/>
      <c r="DLI352" s="34"/>
      <c r="DLJ352" s="34"/>
      <c r="DLK352" s="34"/>
      <c r="DLL352" s="34"/>
      <c r="DLM352" s="34"/>
      <c r="DLN352" s="34"/>
      <c r="DLO352" s="34"/>
      <c r="DLP352" s="34"/>
      <c r="DLQ352" s="34"/>
      <c r="DLR352" s="34"/>
      <c r="DLS352" s="34"/>
      <c r="DLT352" s="34"/>
      <c r="DLU352" s="34"/>
      <c r="DLV352" s="34"/>
      <c r="DLW352" s="34"/>
      <c r="DLX352" s="34"/>
      <c r="DLY352" s="34"/>
      <c r="DLZ352" s="34"/>
      <c r="DMA352" s="34"/>
      <c r="DMB352" s="34"/>
      <c r="DMC352" s="34"/>
      <c r="DMD352" s="34"/>
      <c r="DME352" s="34"/>
      <c r="DMF352" s="34"/>
      <c r="DMG352" s="34"/>
      <c r="DMH352" s="34"/>
      <c r="DMI352" s="34"/>
      <c r="DMJ352" s="34"/>
      <c r="DMK352" s="34"/>
      <c r="DML352" s="34"/>
      <c r="DMM352" s="34"/>
      <c r="DMN352" s="34"/>
      <c r="DMO352" s="34"/>
      <c r="DMP352" s="34"/>
      <c r="DMQ352" s="34"/>
      <c r="DMR352" s="34"/>
      <c r="DMS352" s="34"/>
      <c r="DMT352" s="34"/>
      <c r="DMU352" s="34"/>
      <c r="DMV352" s="34"/>
      <c r="DMW352" s="34"/>
      <c r="DMX352" s="34"/>
      <c r="DMY352" s="34"/>
      <c r="DMZ352" s="34"/>
      <c r="DNA352" s="34"/>
      <c r="DNB352" s="34"/>
      <c r="DNC352" s="34"/>
      <c r="DND352" s="34"/>
      <c r="DNE352" s="34"/>
      <c r="DNF352" s="34"/>
      <c r="DNG352" s="34"/>
      <c r="DNH352" s="34"/>
      <c r="DNI352" s="34"/>
      <c r="DNJ352" s="34"/>
      <c r="DNK352" s="34"/>
      <c r="DNL352" s="34"/>
      <c r="DNM352" s="34"/>
      <c r="DNN352" s="34"/>
      <c r="DNO352" s="34"/>
      <c r="DNP352" s="34"/>
      <c r="DNQ352" s="34"/>
      <c r="DNR352" s="34"/>
      <c r="DNS352" s="34"/>
      <c r="DNT352" s="34"/>
      <c r="DNU352" s="34"/>
      <c r="DNV352" s="34"/>
      <c r="DNW352" s="34"/>
      <c r="DNX352" s="34"/>
      <c r="DNY352" s="34"/>
      <c r="DNZ352" s="34"/>
      <c r="DOA352" s="34"/>
      <c r="DOB352" s="34"/>
      <c r="DOC352" s="34"/>
      <c r="DOD352" s="34"/>
      <c r="DOE352" s="34"/>
      <c r="DOF352" s="34"/>
      <c r="DOG352" s="34"/>
      <c r="DOH352" s="34"/>
      <c r="DOI352" s="34"/>
      <c r="DOJ352" s="34"/>
      <c r="DOK352" s="34"/>
      <c r="DOL352" s="34"/>
      <c r="DOM352" s="34"/>
      <c r="DON352" s="34"/>
      <c r="DOO352" s="34"/>
      <c r="DOP352" s="34"/>
      <c r="DOQ352" s="34"/>
      <c r="DOR352" s="34"/>
      <c r="DOS352" s="34"/>
      <c r="DOT352" s="34"/>
      <c r="DOU352" s="34"/>
      <c r="DOV352" s="34"/>
      <c r="DOW352" s="34"/>
      <c r="DOX352" s="34"/>
      <c r="DOY352" s="34"/>
      <c r="DOZ352" s="34"/>
      <c r="DPA352" s="34"/>
      <c r="DPB352" s="34"/>
      <c r="DPC352" s="34"/>
      <c r="DPD352" s="34"/>
      <c r="DPE352" s="34"/>
      <c r="DPF352" s="34"/>
      <c r="DPG352" s="34"/>
      <c r="DPH352" s="34"/>
      <c r="DPI352" s="34"/>
      <c r="DPJ352" s="34"/>
      <c r="DPK352" s="34"/>
      <c r="DPL352" s="34"/>
      <c r="DPM352" s="34"/>
      <c r="DPN352" s="34"/>
      <c r="DPO352" s="34"/>
      <c r="DPP352" s="34"/>
      <c r="DPQ352" s="34"/>
      <c r="DPR352" s="34"/>
      <c r="DPS352" s="34"/>
      <c r="DPT352" s="34"/>
      <c r="DPU352" s="34"/>
      <c r="DPV352" s="34"/>
      <c r="DPW352" s="34"/>
      <c r="DPX352" s="34"/>
      <c r="DPY352" s="34"/>
      <c r="DPZ352" s="34"/>
      <c r="DQA352" s="34"/>
      <c r="DQB352" s="34"/>
      <c r="DQC352" s="34"/>
      <c r="DQD352" s="34"/>
      <c r="DQE352" s="34"/>
      <c r="DQF352" s="34"/>
      <c r="DQG352" s="34"/>
      <c r="DQH352" s="34"/>
      <c r="DQI352" s="34"/>
      <c r="DQJ352" s="34"/>
      <c r="DQK352" s="34"/>
      <c r="DQL352" s="34"/>
      <c r="DQM352" s="34"/>
      <c r="DQN352" s="34"/>
      <c r="DQO352" s="34"/>
      <c r="DQP352" s="34"/>
      <c r="DQQ352" s="34"/>
      <c r="DQR352" s="34"/>
      <c r="DQS352" s="34"/>
      <c r="DQT352" s="34"/>
      <c r="DQU352" s="34"/>
      <c r="DQV352" s="34"/>
      <c r="DQW352" s="34"/>
      <c r="DQX352" s="34"/>
      <c r="DQY352" s="34"/>
      <c r="DQZ352" s="34"/>
      <c r="DRA352" s="34"/>
      <c r="DRB352" s="34"/>
      <c r="DRC352" s="34"/>
      <c r="DRD352" s="34"/>
      <c r="DRE352" s="34"/>
      <c r="DRF352" s="34"/>
      <c r="DRG352" s="34"/>
      <c r="DRH352" s="34"/>
      <c r="DRI352" s="34"/>
      <c r="DRJ352" s="34"/>
      <c r="DRK352" s="34"/>
      <c r="DRL352" s="34"/>
      <c r="DRM352" s="34"/>
      <c r="DRN352" s="34"/>
      <c r="DRO352" s="34"/>
      <c r="DRP352" s="34"/>
      <c r="DRQ352" s="34"/>
      <c r="DRR352" s="34"/>
      <c r="DRS352" s="34"/>
      <c r="DRT352" s="34"/>
      <c r="DRU352" s="34"/>
      <c r="DRV352" s="34"/>
      <c r="DRW352" s="34"/>
      <c r="DRX352" s="34"/>
      <c r="DRY352" s="34"/>
      <c r="DRZ352" s="34"/>
      <c r="DSA352" s="34"/>
      <c r="DSB352" s="34"/>
      <c r="DSC352" s="34"/>
      <c r="DSD352" s="34"/>
      <c r="DSE352" s="34"/>
      <c r="DSF352" s="34"/>
      <c r="DSG352" s="34"/>
      <c r="DSH352" s="34"/>
      <c r="DSI352" s="34"/>
      <c r="DSJ352" s="34"/>
      <c r="DSK352" s="34"/>
      <c r="DSL352" s="34"/>
      <c r="DSM352" s="34"/>
      <c r="DSN352" s="34"/>
      <c r="DSO352" s="34"/>
      <c r="DSP352" s="34"/>
      <c r="DSQ352" s="34"/>
      <c r="DSR352" s="34"/>
      <c r="DSS352" s="34"/>
      <c r="DST352" s="34"/>
      <c r="DSU352" s="34"/>
      <c r="DSV352" s="34"/>
      <c r="DSW352" s="34"/>
      <c r="DSX352" s="34"/>
      <c r="DSY352" s="34"/>
      <c r="DSZ352" s="34"/>
      <c r="DTA352" s="34"/>
      <c r="DTB352" s="34"/>
      <c r="DTC352" s="34"/>
      <c r="DTD352" s="34"/>
      <c r="DTE352" s="34"/>
      <c r="DTF352" s="34"/>
      <c r="DTG352" s="34"/>
      <c r="DTH352" s="34"/>
      <c r="DTI352" s="34"/>
      <c r="DTJ352" s="34"/>
      <c r="DTK352" s="34"/>
      <c r="DTL352" s="34"/>
      <c r="DTM352" s="34"/>
      <c r="DTN352" s="34"/>
      <c r="DTO352" s="34"/>
      <c r="DTP352" s="34"/>
      <c r="DTQ352" s="34"/>
      <c r="DTR352" s="34"/>
      <c r="DTS352" s="34"/>
      <c r="DTT352" s="34"/>
      <c r="DTU352" s="34"/>
      <c r="DTV352" s="34"/>
      <c r="DTW352" s="34"/>
      <c r="DTX352" s="34"/>
      <c r="DTY352" s="34"/>
      <c r="DTZ352" s="34"/>
      <c r="DUA352" s="34"/>
      <c r="DUB352" s="34"/>
      <c r="DUC352" s="34"/>
      <c r="DUD352" s="34"/>
      <c r="DUE352" s="34"/>
      <c r="DUF352" s="34"/>
      <c r="DUG352" s="34"/>
      <c r="DUH352" s="34"/>
      <c r="DUI352" s="34"/>
      <c r="DUJ352" s="34"/>
      <c r="DUK352" s="34"/>
      <c r="DUL352" s="34"/>
      <c r="DUM352" s="34"/>
      <c r="DUN352" s="34"/>
      <c r="DUO352" s="34"/>
      <c r="DUP352" s="34"/>
      <c r="DUQ352" s="34"/>
      <c r="DUR352" s="34"/>
      <c r="DUS352" s="34"/>
      <c r="DUT352" s="34"/>
      <c r="DUU352" s="34"/>
      <c r="DUV352" s="34"/>
      <c r="DUW352" s="34"/>
      <c r="DUX352" s="34"/>
      <c r="DUY352" s="34"/>
      <c r="DUZ352" s="34"/>
      <c r="DVA352" s="34"/>
      <c r="DVB352" s="34"/>
      <c r="DVC352" s="34"/>
      <c r="DVD352" s="34"/>
      <c r="DVE352" s="34"/>
      <c r="DVF352" s="34"/>
      <c r="DVG352" s="34"/>
      <c r="DVH352" s="34"/>
      <c r="DVI352" s="34"/>
      <c r="DVJ352" s="34"/>
      <c r="DVK352" s="34"/>
      <c r="DVL352" s="34"/>
      <c r="DVM352" s="34"/>
      <c r="DVN352" s="34"/>
      <c r="DVO352" s="34"/>
      <c r="DVP352" s="34"/>
      <c r="DVQ352" s="34"/>
      <c r="DVR352" s="34"/>
      <c r="DVS352" s="34"/>
      <c r="DVT352" s="34"/>
      <c r="DVU352" s="34"/>
      <c r="DVV352" s="34"/>
      <c r="DVW352" s="34"/>
      <c r="DVX352" s="34"/>
      <c r="DVY352" s="34"/>
      <c r="DVZ352" s="34"/>
      <c r="DWA352" s="34"/>
      <c r="DWB352" s="34"/>
      <c r="DWC352" s="34"/>
      <c r="DWD352" s="34"/>
      <c r="DWE352" s="34"/>
      <c r="DWF352" s="34"/>
      <c r="DWG352" s="34"/>
      <c r="DWH352" s="34"/>
      <c r="DWI352" s="34"/>
      <c r="DWJ352" s="34"/>
      <c r="DWK352" s="34"/>
      <c r="DWL352" s="34"/>
      <c r="DWM352" s="34"/>
      <c r="DWN352" s="34"/>
      <c r="DWO352" s="34"/>
      <c r="DWP352" s="34"/>
      <c r="DWQ352" s="34"/>
      <c r="DWR352" s="34"/>
      <c r="DWS352" s="34"/>
      <c r="DWT352" s="34"/>
      <c r="DWU352" s="34"/>
      <c r="DWV352" s="34"/>
      <c r="DWW352" s="34"/>
      <c r="DWX352" s="34"/>
      <c r="DWY352" s="34"/>
      <c r="DWZ352" s="34"/>
      <c r="DXA352" s="34"/>
      <c r="DXB352" s="34"/>
      <c r="DXC352" s="34"/>
      <c r="DXD352" s="34"/>
      <c r="DXE352" s="34"/>
      <c r="DXF352" s="34"/>
      <c r="DXG352" s="34"/>
      <c r="DXH352" s="34"/>
      <c r="DXI352" s="34"/>
      <c r="DXJ352" s="34"/>
      <c r="DXK352" s="34"/>
      <c r="DXL352" s="34"/>
      <c r="DXM352" s="34"/>
      <c r="DXN352" s="34"/>
      <c r="DXO352" s="34"/>
      <c r="DXP352" s="34"/>
      <c r="DXQ352" s="34"/>
      <c r="DXR352" s="34"/>
      <c r="DXS352" s="34"/>
      <c r="DXT352" s="34"/>
      <c r="DXU352" s="34"/>
      <c r="DXV352" s="34"/>
      <c r="DXW352" s="34"/>
      <c r="DXX352" s="34"/>
      <c r="DXY352" s="34"/>
      <c r="DXZ352" s="34"/>
      <c r="DYA352" s="34"/>
      <c r="DYB352" s="34"/>
      <c r="DYC352" s="34"/>
      <c r="DYD352" s="34"/>
      <c r="DYE352" s="34"/>
      <c r="DYF352" s="34"/>
      <c r="DYG352" s="34"/>
      <c r="DYH352" s="34"/>
      <c r="DYI352" s="34"/>
      <c r="DYJ352" s="34"/>
      <c r="DYK352" s="34"/>
      <c r="DYL352" s="34"/>
      <c r="DYM352" s="34"/>
      <c r="DYN352" s="34"/>
      <c r="DYO352" s="34"/>
      <c r="DYP352" s="34"/>
      <c r="DYQ352" s="34"/>
      <c r="DYR352" s="34"/>
      <c r="DYS352" s="34"/>
      <c r="DYT352" s="34"/>
      <c r="DYU352" s="34"/>
      <c r="DYV352" s="34"/>
      <c r="DYW352" s="34"/>
      <c r="DYX352" s="34"/>
      <c r="DYY352" s="34"/>
      <c r="DYZ352" s="34"/>
      <c r="DZA352" s="34"/>
      <c r="DZB352" s="34"/>
      <c r="DZC352" s="34"/>
      <c r="DZD352" s="34"/>
      <c r="DZE352" s="34"/>
      <c r="DZF352" s="34"/>
      <c r="DZG352" s="34"/>
      <c r="DZH352" s="34"/>
      <c r="DZI352" s="34"/>
      <c r="DZJ352" s="34"/>
      <c r="DZK352" s="34"/>
      <c r="DZL352" s="34"/>
      <c r="DZM352" s="34"/>
      <c r="DZN352" s="34"/>
      <c r="DZO352" s="34"/>
      <c r="DZP352" s="34"/>
      <c r="DZQ352" s="34"/>
      <c r="DZR352" s="34"/>
      <c r="DZS352" s="34"/>
      <c r="DZT352" s="34"/>
      <c r="DZU352" s="34"/>
      <c r="DZV352" s="34"/>
      <c r="DZW352" s="34"/>
      <c r="DZX352" s="34"/>
      <c r="DZY352" s="34"/>
      <c r="DZZ352" s="34"/>
      <c r="EAA352" s="34"/>
      <c r="EAB352" s="34"/>
      <c r="EAC352" s="34"/>
      <c r="EAD352" s="34"/>
      <c r="EAE352" s="34"/>
      <c r="EAF352" s="34"/>
      <c r="EAG352" s="34"/>
      <c r="EAH352" s="34"/>
      <c r="EAI352" s="34"/>
      <c r="EAJ352" s="34"/>
      <c r="EAK352" s="34"/>
      <c r="EAL352" s="34"/>
      <c r="EAM352" s="34"/>
      <c r="EAN352" s="34"/>
      <c r="EAO352" s="34"/>
      <c r="EAP352" s="34"/>
      <c r="EAQ352" s="34"/>
      <c r="EAR352" s="34"/>
      <c r="EAS352" s="34"/>
      <c r="EAT352" s="34"/>
      <c r="EAU352" s="34"/>
      <c r="EAV352" s="34"/>
      <c r="EAW352" s="34"/>
      <c r="EAX352" s="34"/>
      <c r="EAY352" s="34"/>
      <c r="EAZ352" s="34"/>
      <c r="EBA352" s="34"/>
      <c r="EBB352" s="34"/>
      <c r="EBC352" s="34"/>
      <c r="EBD352" s="34"/>
      <c r="EBE352" s="34"/>
      <c r="EBF352" s="34"/>
      <c r="EBG352" s="34"/>
      <c r="EBH352" s="34"/>
      <c r="EBI352" s="34"/>
      <c r="EBJ352" s="34"/>
      <c r="EBK352" s="34"/>
      <c r="EBL352" s="34"/>
      <c r="EBM352" s="34"/>
      <c r="EBN352" s="34"/>
      <c r="EBO352" s="34"/>
      <c r="EBP352" s="34"/>
      <c r="EBQ352" s="34"/>
      <c r="EBR352" s="34"/>
      <c r="EBS352" s="34"/>
      <c r="EBT352" s="34"/>
      <c r="EBU352" s="34"/>
      <c r="EBV352" s="34"/>
      <c r="EBW352" s="34"/>
      <c r="EBX352" s="34"/>
      <c r="EBY352" s="34"/>
      <c r="EBZ352" s="34"/>
      <c r="ECA352" s="34"/>
      <c r="ECB352" s="34"/>
      <c r="ECC352" s="34"/>
      <c r="ECD352" s="34"/>
      <c r="ECE352" s="34"/>
      <c r="ECF352" s="34"/>
      <c r="ECG352" s="34"/>
      <c r="ECH352" s="34"/>
      <c r="ECI352" s="34"/>
      <c r="ECJ352" s="34"/>
      <c r="ECK352" s="34"/>
      <c r="ECL352" s="34"/>
      <c r="ECM352" s="34"/>
      <c r="ECN352" s="34"/>
      <c r="ECO352" s="34"/>
      <c r="ECP352" s="34"/>
      <c r="ECQ352" s="34"/>
      <c r="ECR352" s="34"/>
      <c r="ECS352" s="34"/>
      <c r="ECT352" s="34"/>
      <c r="ECU352" s="34"/>
      <c r="ECV352" s="34"/>
      <c r="ECW352" s="34"/>
      <c r="ECX352" s="34"/>
      <c r="ECY352" s="34"/>
      <c r="ECZ352" s="34"/>
      <c r="EDA352" s="34"/>
      <c r="EDB352" s="34"/>
      <c r="EDC352" s="34"/>
      <c r="EDD352" s="34"/>
      <c r="EDE352" s="34"/>
      <c r="EDF352" s="34"/>
      <c r="EDG352" s="34"/>
      <c r="EDH352" s="34"/>
      <c r="EDI352" s="34"/>
      <c r="EDJ352" s="34"/>
      <c r="EDK352" s="34"/>
      <c r="EDL352" s="34"/>
      <c r="EDM352" s="34"/>
      <c r="EDN352" s="34"/>
      <c r="EDO352" s="34"/>
      <c r="EDP352" s="34"/>
      <c r="EDQ352" s="34"/>
      <c r="EDR352" s="34"/>
      <c r="EDS352" s="34"/>
      <c r="EDT352" s="34"/>
      <c r="EDU352" s="34"/>
      <c r="EDV352" s="34"/>
      <c r="EDW352" s="34"/>
      <c r="EDX352" s="34"/>
      <c r="EDY352" s="34"/>
      <c r="EDZ352" s="34"/>
      <c r="EEA352" s="34"/>
      <c r="EEB352" s="34"/>
      <c r="EEC352" s="34"/>
      <c r="EED352" s="34"/>
      <c r="EEE352" s="34"/>
      <c r="EEF352" s="34"/>
      <c r="EEG352" s="34"/>
      <c r="EEH352" s="34"/>
      <c r="EEI352" s="34"/>
      <c r="EEJ352" s="34"/>
      <c r="EEK352" s="34"/>
      <c r="EEL352" s="34"/>
      <c r="EEM352" s="34"/>
      <c r="EEN352" s="34"/>
      <c r="EEO352" s="34"/>
      <c r="EEP352" s="34"/>
      <c r="EEQ352" s="34"/>
      <c r="EER352" s="34"/>
      <c r="EES352" s="34"/>
      <c r="EET352" s="34"/>
      <c r="EEU352" s="34"/>
      <c r="EEV352" s="34"/>
      <c r="EEW352" s="34"/>
      <c r="EEX352" s="34"/>
      <c r="EEY352" s="34"/>
      <c r="EEZ352" s="34"/>
      <c r="EFA352" s="34"/>
      <c r="EFB352" s="34"/>
      <c r="EFC352" s="34"/>
      <c r="EFD352" s="34"/>
      <c r="EFE352" s="34"/>
      <c r="EFF352" s="34"/>
      <c r="EFG352" s="34"/>
      <c r="EFH352" s="34"/>
      <c r="EFI352" s="34"/>
      <c r="EFJ352" s="34"/>
      <c r="EFK352" s="34"/>
      <c r="EFL352" s="34"/>
      <c r="EFM352" s="34"/>
      <c r="EFN352" s="34"/>
      <c r="EFO352" s="34"/>
      <c r="EFP352" s="34"/>
      <c r="EFQ352" s="34"/>
      <c r="EFR352" s="34"/>
      <c r="EFS352" s="34"/>
      <c r="EFT352" s="34"/>
      <c r="EFU352" s="34"/>
      <c r="EFV352" s="34"/>
      <c r="EFW352" s="34"/>
      <c r="EFX352" s="34"/>
      <c r="EFY352" s="34"/>
      <c r="EFZ352" s="34"/>
      <c r="EGA352" s="34"/>
      <c r="EGB352" s="34"/>
      <c r="EGC352" s="34"/>
      <c r="EGD352" s="34"/>
      <c r="EGE352" s="34"/>
      <c r="EGF352" s="34"/>
      <c r="EGG352" s="34"/>
      <c r="EGH352" s="34"/>
      <c r="EGI352" s="34"/>
      <c r="EGJ352" s="34"/>
      <c r="EGK352" s="34"/>
      <c r="EGL352" s="34"/>
      <c r="EGM352" s="34"/>
      <c r="EGN352" s="34"/>
      <c r="EGO352" s="34"/>
      <c r="EGP352" s="34"/>
      <c r="EGQ352" s="34"/>
      <c r="EGR352" s="34"/>
      <c r="EGS352" s="34"/>
      <c r="EGT352" s="34"/>
      <c r="EGU352" s="34"/>
      <c r="EGV352" s="34"/>
      <c r="EGW352" s="34"/>
      <c r="EGX352" s="34"/>
      <c r="EGY352" s="34"/>
      <c r="EGZ352" s="34"/>
      <c r="EHA352" s="34"/>
      <c r="EHB352" s="34"/>
      <c r="EHC352" s="34"/>
      <c r="EHD352" s="34"/>
      <c r="EHE352" s="34"/>
      <c r="EHF352" s="34"/>
      <c r="EHG352" s="34"/>
      <c r="EHH352" s="34"/>
      <c r="EHI352" s="34"/>
      <c r="EHJ352" s="34"/>
      <c r="EHK352" s="34"/>
      <c r="EHL352" s="34"/>
      <c r="EHM352" s="34"/>
      <c r="EHN352" s="34"/>
      <c r="EHO352" s="34"/>
      <c r="EHP352" s="34"/>
      <c r="EHQ352" s="34"/>
      <c r="EHR352" s="34"/>
      <c r="EHS352" s="34"/>
      <c r="EHT352" s="34"/>
      <c r="EHU352" s="34"/>
      <c r="EHV352" s="34"/>
      <c r="EHW352" s="34"/>
      <c r="EHX352" s="34"/>
      <c r="EHY352" s="34"/>
      <c r="EHZ352" s="34"/>
      <c r="EIA352" s="34"/>
      <c r="EIB352" s="34"/>
      <c r="EIC352" s="34"/>
      <c r="EID352" s="34"/>
      <c r="EIE352" s="34"/>
      <c r="EIF352" s="34"/>
      <c r="EIG352" s="34"/>
      <c r="EIH352" s="34"/>
      <c r="EII352" s="34"/>
      <c r="EIJ352" s="34"/>
      <c r="EIK352" s="34"/>
      <c r="EIL352" s="34"/>
      <c r="EIM352" s="34"/>
      <c r="EIN352" s="34"/>
      <c r="EIO352" s="34"/>
      <c r="EIP352" s="34"/>
      <c r="EIQ352" s="34"/>
      <c r="EIR352" s="34"/>
      <c r="EIS352" s="34"/>
      <c r="EIT352" s="34"/>
      <c r="EIU352" s="34"/>
      <c r="EIV352" s="34"/>
      <c r="EIW352" s="34"/>
      <c r="EIX352" s="34"/>
      <c r="EIY352" s="34"/>
      <c r="EIZ352" s="34"/>
      <c r="EJA352" s="34"/>
      <c r="EJB352" s="34"/>
      <c r="EJC352" s="34"/>
      <c r="EJD352" s="34"/>
      <c r="EJE352" s="34"/>
      <c r="EJF352" s="34"/>
      <c r="EJG352" s="34"/>
      <c r="EJH352" s="34"/>
      <c r="EJI352" s="34"/>
      <c r="EJJ352" s="34"/>
      <c r="EJK352" s="34"/>
      <c r="EJL352" s="34"/>
      <c r="EJM352" s="34"/>
      <c r="EJN352" s="34"/>
      <c r="EJO352" s="34"/>
      <c r="EJP352" s="34"/>
      <c r="EJQ352" s="34"/>
      <c r="EJR352" s="34"/>
      <c r="EJS352" s="34"/>
      <c r="EJT352" s="34"/>
      <c r="EJU352" s="34"/>
      <c r="EJV352" s="34"/>
      <c r="EJW352" s="34"/>
      <c r="EJX352" s="34"/>
      <c r="EJY352" s="34"/>
      <c r="EJZ352" s="34"/>
      <c r="EKA352" s="34"/>
      <c r="EKB352" s="34"/>
      <c r="EKC352" s="34"/>
      <c r="EKD352" s="34"/>
      <c r="EKE352" s="34"/>
      <c r="EKF352" s="34"/>
      <c r="EKG352" s="34"/>
      <c r="EKH352" s="34"/>
      <c r="EKI352" s="34"/>
      <c r="EKJ352" s="34"/>
      <c r="EKK352" s="34"/>
      <c r="EKL352" s="34"/>
      <c r="EKM352" s="34"/>
      <c r="EKN352" s="34"/>
      <c r="EKO352" s="34"/>
      <c r="EKP352" s="34"/>
      <c r="EKQ352" s="34"/>
      <c r="EKR352" s="34"/>
      <c r="EKS352" s="34"/>
      <c r="EKT352" s="34"/>
      <c r="EKU352" s="34"/>
      <c r="EKV352" s="34"/>
      <c r="EKW352" s="34"/>
      <c r="EKX352" s="34"/>
      <c r="EKY352" s="34"/>
      <c r="EKZ352" s="34"/>
      <c r="ELA352" s="34"/>
      <c r="ELB352" s="34"/>
      <c r="ELC352" s="34"/>
      <c r="ELD352" s="34"/>
      <c r="ELE352" s="34"/>
      <c r="ELF352" s="34"/>
      <c r="ELG352" s="34"/>
      <c r="ELH352" s="34"/>
      <c r="ELI352" s="34"/>
      <c r="ELJ352" s="34"/>
      <c r="ELK352" s="34"/>
      <c r="ELL352" s="34"/>
      <c r="ELM352" s="34"/>
      <c r="ELN352" s="34"/>
      <c r="ELO352" s="34"/>
      <c r="ELP352" s="34"/>
      <c r="ELQ352" s="34"/>
      <c r="ELR352" s="34"/>
      <c r="ELS352" s="34"/>
      <c r="ELT352" s="34"/>
      <c r="ELU352" s="34"/>
      <c r="ELV352" s="34"/>
      <c r="ELW352" s="34"/>
      <c r="ELX352" s="34"/>
      <c r="ELY352" s="34"/>
      <c r="ELZ352" s="34"/>
      <c r="EMA352" s="34"/>
      <c r="EMB352" s="34"/>
      <c r="EMC352" s="34"/>
      <c r="EMD352" s="34"/>
      <c r="EME352" s="34"/>
      <c r="EMF352" s="34"/>
      <c r="EMG352" s="34"/>
      <c r="EMH352" s="34"/>
      <c r="EMI352" s="34"/>
      <c r="EMJ352" s="34"/>
      <c r="EMK352" s="34"/>
      <c r="EML352" s="34"/>
      <c r="EMM352" s="34"/>
      <c r="EMN352" s="34"/>
      <c r="EMO352" s="34"/>
      <c r="EMP352" s="34"/>
      <c r="EMQ352" s="34"/>
      <c r="EMR352" s="34"/>
      <c r="EMS352" s="34"/>
      <c r="EMT352" s="34"/>
      <c r="EMU352" s="34"/>
      <c r="EMV352" s="34"/>
      <c r="EMW352" s="34"/>
      <c r="EMX352" s="34"/>
      <c r="EMY352" s="34"/>
      <c r="EMZ352" s="34"/>
      <c r="ENA352" s="34"/>
      <c r="ENB352" s="34"/>
      <c r="ENC352" s="34"/>
      <c r="END352" s="34"/>
      <c r="ENE352" s="34"/>
      <c r="ENF352" s="34"/>
      <c r="ENG352" s="34"/>
      <c r="ENH352" s="34"/>
      <c r="ENI352" s="34"/>
      <c r="ENJ352" s="34"/>
      <c r="ENK352" s="34"/>
      <c r="ENL352" s="34"/>
      <c r="ENM352" s="34"/>
      <c r="ENN352" s="34"/>
      <c r="ENO352" s="34"/>
      <c r="ENP352" s="34"/>
      <c r="ENQ352" s="34"/>
      <c r="ENR352" s="34"/>
      <c r="ENS352" s="34"/>
      <c r="ENT352" s="34"/>
      <c r="ENU352" s="34"/>
      <c r="ENV352" s="34"/>
      <c r="ENW352" s="34"/>
      <c r="ENX352" s="34"/>
      <c r="ENY352" s="34"/>
      <c r="ENZ352" s="34"/>
      <c r="EOA352" s="34"/>
      <c r="EOB352" s="34"/>
      <c r="EOC352" s="34"/>
      <c r="EOD352" s="34"/>
      <c r="EOE352" s="34"/>
      <c r="EOF352" s="34"/>
      <c r="EOG352" s="34"/>
      <c r="EOH352" s="34"/>
      <c r="EOI352" s="34"/>
      <c r="EOJ352" s="34"/>
      <c r="EOK352" s="34"/>
      <c r="EOL352" s="34"/>
      <c r="EOM352" s="34"/>
      <c r="EON352" s="34"/>
      <c r="EOO352" s="34"/>
      <c r="EOP352" s="34"/>
      <c r="EOQ352" s="34"/>
      <c r="EOR352" s="34"/>
      <c r="EOS352" s="34"/>
      <c r="EOT352" s="34"/>
      <c r="EOU352" s="34"/>
      <c r="EOV352" s="34"/>
      <c r="EOW352" s="34"/>
      <c r="EOX352" s="34"/>
      <c r="EOY352" s="34"/>
      <c r="EOZ352" s="34"/>
      <c r="EPA352" s="34"/>
      <c r="EPB352" s="34"/>
      <c r="EPC352" s="34"/>
      <c r="EPD352" s="34"/>
      <c r="EPE352" s="34"/>
      <c r="EPF352" s="34"/>
      <c r="EPG352" s="34"/>
      <c r="EPH352" s="34"/>
      <c r="EPI352" s="34"/>
      <c r="EPJ352" s="34"/>
      <c r="EPK352" s="34"/>
      <c r="EPL352" s="34"/>
      <c r="EPM352" s="34"/>
      <c r="EPN352" s="34"/>
      <c r="EPO352" s="34"/>
      <c r="EPP352" s="34"/>
      <c r="EPQ352" s="34"/>
      <c r="EPR352" s="34"/>
      <c r="EPS352" s="34"/>
      <c r="EPT352" s="34"/>
      <c r="EPU352" s="34"/>
      <c r="EPV352" s="34"/>
      <c r="EPW352" s="34"/>
      <c r="EPX352" s="34"/>
      <c r="EPY352" s="34"/>
      <c r="EPZ352" s="34"/>
      <c r="EQA352" s="34"/>
      <c r="EQB352" s="34"/>
      <c r="EQC352" s="34"/>
      <c r="EQD352" s="34"/>
      <c r="EQE352" s="34"/>
      <c r="EQF352" s="34"/>
      <c r="EQG352" s="34"/>
      <c r="EQH352" s="34"/>
      <c r="EQI352" s="34"/>
      <c r="EQJ352" s="34"/>
      <c r="EQK352" s="34"/>
      <c r="EQL352" s="34"/>
      <c r="EQM352" s="34"/>
      <c r="EQN352" s="34"/>
      <c r="EQO352" s="34"/>
      <c r="EQP352" s="34"/>
      <c r="EQQ352" s="34"/>
      <c r="EQR352" s="34"/>
      <c r="EQS352" s="34"/>
      <c r="EQT352" s="34"/>
      <c r="EQU352" s="34"/>
      <c r="EQV352" s="34"/>
      <c r="EQW352" s="34"/>
      <c r="EQX352" s="34"/>
      <c r="EQY352" s="34"/>
      <c r="EQZ352" s="34"/>
      <c r="ERA352" s="34"/>
      <c r="ERB352" s="34"/>
      <c r="ERC352" s="34"/>
      <c r="ERD352" s="34"/>
      <c r="ERE352" s="34"/>
      <c r="ERF352" s="34"/>
      <c r="ERG352" s="34"/>
      <c r="ERH352" s="34"/>
      <c r="ERI352" s="34"/>
      <c r="ERJ352" s="34"/>
      <c r="ERK352" s="34"/>
      <c r="ERL352" s="34"/>
      <c r="ERM352" s="34"/>
      <c r="ERN352" s="34"/>
      <c r="ERO352" s="34"/>
      <c r="ERP352" s="34"/>
      <c r="ERQ352" s="34"/>
      <c r="ERR352" s="34"/>
      <c r="ERS352" s="34"/>
      <c r="ERT352" s="34"/>
      <c r="ERU352" s="34"/>
      <c r="ERV352" s="34"/>
      <c r="ERW352" s="34"/>
      <c r="ERX352" s="34"/>
      <c r="ERY352" s="34"/>
      <c r="ERZ352" s="34"/>
      <c r="ESA352" s="34"/>
      <c r="ESB352" s="34"/>
      <c r="ESC352" s="34"/>
      <c r="ESD352" s="34"/>
      <c r="ESE352" s="34"/>
      <c r="ESF352" s="34"/>
      <c r="ESG352" s="34"/>
      <c r="ESH352" s="34"/>
      <c r="ESI352" s="34"/>
      <c r="ESJ352" s="34"/>
      <c r="ESK352" s="34"/>
      <c r="ESL352" s="34"/>
      <c r="ESM352" s="34"/>
      <c r="ESN352" s="34"/>
      <c r="ESO352" s="34"/>
      <c r="ESP352" s="34"/>
      <c r="ESQ352" s="34"/>
      <c r="ESR352" s="34"/>
      <c r="ESS352" s="34"/>
      <c r="EST352" s="34"/>
      <c r="ESU352" s="34"/>
      <c r="ESV352" s="34"/>
      <c r="ESW352" s="34"/>
      <c r="ESX352" s="34"/>
      <c r="ESY352" s="34"/>
      <c r="ESZ352" s="34"/>
      <c r="ETA352" s="34"/>
      <c r="ETB352" s="34"/>
      <c r="ETC352" s="34"/>
      <c r="ETD352" s="34"/>
      <c r="ETE352" s="34"/>
      <c r="ETF352" s="34"/>
      <c r="ETG352" s="34"/>
      <c r="ETH352" s="34"/>
      <c r="ETI352" s="34"/>
      <c r="ETJ352" s="34"/>
      <c r="ETK352" s="34"/>
      <c r="ETL352" s="34"/>
      <c r="ETM352" s="34"/>
      <c r="ETN352" s="34"/>
      <c r="ETO352" s="34"/>
      <c r="ETP352" s="34"/>
      <c r="ETQ352" s="34"/>
      <c r="ETR352" s="34"/>
      <c r="ETS352" s="34"/>
      <c r="ETT352" s="34"/>
      <c r="ETU352" s="34"/>
      <c r="ETV352" s="34"/>
      <c r="ETW352" s="34"/>
      <c r="ETX352" s="34"/>
      <c r="ETY352" s="34"/>
      <c r="ETZ352" s="34"/>
      <c r="EUA352" s="34"/>
      <c r="EUB352" s="34"/>
      <c r="EUC352" s="34"/>
      <c r="EUD352" s="34"/>
      <c r="EUE352" s="34"/>
      <c r="EUF352" s="34"/>
      <c r="EUG352" s="34"/>
      <c r="EUH352" s="34"/>
      <c r="EUI352" s="34"/>
      <c r="EUJ352" s="34"/>
      <c r="EUK352" s="34"/>
      <c r="EUL352" s="34"/>
      <c r="EUM352" s="34"/>
      <c r="EUN352" s="34"/>
      <c r="EUO352" s="34"/>
      <c r="EUP352" s="34"/>
      <c r="EUQ352" s="34"/>
      <c r="EUR352" s="34"/>
      <c r="EUS352" s="34"/>
      <c r="EUT352" s="34"/>
      <c r="EUU352" s="34"/>
      <c r="EUV352" s="34"/>
      <c r="EUW352" s="34"/>
      <c r="EUX352" s="34"/>
      <c r="EUY352" s="34"/>
      <c r="EUZ352" s="34"/>
      <c r="EVA352" s="34"/>
      <c r="EVB352" s="34"/>
      <c r="EVC352" s="34"/>
      <c r="EVD352" s="34"/>
      <c r="EVE352" s="34"/>
      <c r="EVF352" s="34"/>
      <c r="EVG352" s="34"/>
      <c r="EVH352" s="34"/>
      <c r="EVI352" s="34"/>
      <c r="EVJ352" s="34"/>
      <c r="EVK352" s="34"/>
      <c r="EVL352" s="34"/>
      <c r="EVM352" s="34"/>
      <c r="EVN352" s="34"/>
      <c r="EVO352" s="34"/>
      <c r="EVP352" s="34"/>
      <c r="EVQ352" s="34"/>
      <c r="EVR352" s="34"/>
      <c r="EVS352" s="34"/>
      <c r="EVT352" s="34"/>
      <c r="EVU352" s="34"/>
      <c r="EVV352" s="34"/>
      <c r="EVW352" s="34"/>
      <c r="EVX352" s="34"/>
      <c r="EVY352" s="34"/>
      <c r="EVZ352" s="34"/>
      <c r="EWA352" s="34"/>
      <c r="EWB352" s="34"/>
      <c r="EWC352" s="34"/>
      <c r="EWD352" s="34"/>
      <c r="EWE352" s="34"/>
      <c r="EWF352" s="34"/>
      <c r="EWG352" s="34"/>
      <c r="EWH352" s="34"/>
      <c r="EWI352" s="34"/>
      <c r="EWJ352" s="34"/>
      <c r="EWK352" s="34"/>
      <c r="EWL352" s="34"/>
      <c r="EWM352" s="34"/>
      <c r="EWN352" s="34"/>
      <c r="EWO352" s="34"/>
      <c r="EWP352" s="34"/>
      <c r="EWQ352" s="34"/>
      <c r="EWR352" s="34"/>
      <c r="EWS352" s="34"/>
      <c r="EWT352" s="34"/>
      <c r="EWU352" s="34"/>
      <c r="EWV352" s="34"/>
      <c r="EWW352" s="34"/>
      <c r="EWX352" s="34"/>
      <c r="EWY352" s="34"/>
      <c r="EWZ352" s="34"/>
      <c r="EXA352" s="34"/>
      <c r="EXB352" s="34"/>
      <c r="EXC352" s="34"/>
      <c r="EXD352" s="34"/>
      <c r="EXE352" s="34"/>
      <c r="EXF352" s="34"/>
      <c r="EXG352" s="34"/>
      <c r="EXH352" s="34"/>
      <c r="EXI352" s="34"/>
      <c r="EXJ352" s="34"/>
      <c r="EXK352" s="34"/>
      <c r="EXL352" s="34"/>
      <c r="EXM352" s="34"/>
      <c r="EXN352" s="34"/>
      <c r="EXO352" s="34"/>
      <c r="EXP352" s="34"/>
      <c r="EXQ352" s="34"/>
      <c r="EXR352" s="34"/>
      <c r="EXS352" s="34"/>
      <c r="EXT352" s="34"/>
      <c r="EXU352" s="34"/>
      <c r="EXV352" s="34"/>
      <c r="EXW352" s="34"/>
      <c r="EXX352" s="34"/>
      <c r="EXY352" s="34"/>
      <c r="EXZ352" s="34"/>
      <c r="EYA352" s="34"/>
      <c r="EYB352" s="34"/>
      <c r="EYC352" s="34"/>
      <c r="EYD352" s="34"/>
      <c r="EYE352" s="34"/>
      <c r="EYF352" s="34"/>
      <c r="EYG352" s="34"/>
      <c r="EYH352" s="34"/>
      <c r="EYI352" s="34"/>
      <c r="EYJ352" s="34"/>
      <c r="EYK352" s="34"/>
      <c r="EYL352" s="34"/>
      <c r="EYM352" s="34"/>
      <c r="EYN352" s="34"/>
      <c r="EYO352" s="34"/>
      <c r="EYP352" s="34"/>
      <c r="EYQ352" s="34"/>
      <c r="EYR352" s="34"/>
      <c r="EYS352" s="34"/>
      <c r="EYT352" s="34"/>
      <c r="EYU352" s="34"/>
      <c r="EYV352" s="34"/>
      <c r="EYW352" s="34"/>
      <c r="EYX352" s="34"/>
      <c r="EYY352" s="34"/>
      <c r="EYZ352" s="34"/>
      <c r="EZA352" s="34"/>
      <c r="EZB352" s="34"/>
      <c r="EZC352" s="34"/>
      <c r="EZD352" s="34"/>
      <c r="EZE352" s="34"/>
      <c r="EZF352" s="34"/>
      <c r="EZG352" s="34"/>
      <c r="EZH352" s="34"/>
      <c r="EZI352" s="34"/>
      <c r="EZJ352" s="34"/>
      <c r="EZK352" s="34"/>
      <c r="EZL352" s="34"/>
      <c r="EZM352" s="34"/>
      <c r="EZN352" s="34"/>
      <c r="EZO352" s="34"/>
      <c r="EZP352" s="34"/>
      <c r="EZQ352" s="34"/>
      <c r="EZR352" s="34"/>
      <c r="EZS352" s="34"/>
      <c r="EZT352" s="34"/>
      <c r="EZU352" s="34"/>
      <c r="EZV352" s="34"/>
      <c r="EZW352" s="34"/>
      <c r="EZX352" s="34"/>
      <c r="EZY352" s="34"/>
      <c r="EZZ352" s="34"/>
      <c r="FAA352" s="34"/>
      <c r="FAB352" s="34"/>
      <c r="FAC352" s="34"/>
      <c r="FAD352" s="34"/>
      <c r="FAE352" s="34"/>
      <c r="FAF352" s="34"/>
      <c r="FAG352" s="34"/>
      <c r="FAH352" s="34"/>
      <c r="FAI352" s="34"/>
      <c r="FAJ352" s="34"/>
      <c r="FAK352" s="34"/>
      <c r="FAL352" s="34"/>
      <c r="FAM352" s="34"/>
      <c r="FAN352" s="34"/>
      <c r="FAO352" s="34"/>
      <c r="FAP352" s="34"/>
      <c r="FAQ352" s="34"/>
      <c r="FAR352" s="34"/>
      <c r="FAS352" s="34"/>
      <c r="FAT352" s="34"/>
      <c r="FAU352" s="34"/>
      <c r="FAV352" s="34"/>
      <c r="FAW352" s="34"/>
      <c r="FAX352" s="34"/>
      <c r="FAY352" s="34"/>
      <c r="FAZ352" s="34"/>
      <c r="FBA352" s="34"/>
      <c r="FBB352" s="34"/>
      <c r="FBC352" s="34"/>
      <c r="FBD352" s="34"/>
      <c r="FBE352" s="34"/>
      <c r="FBF352" s="34"/>
      <c r="FBG352" s="34"/>
      <c r="FBH352" s="34"/>
      <c r="FBI352" s="34"/>
      <c r="FBJ352" s="34"/>
      <c r="FBK352" s="34"/>
      <c r="FBL352" s="34"/>
      <c r="FBM352" s="34"/>
      <c r="FBN352" s="34"/>
      <c r="FBO352" s="34"/>
      <c r="FBP352" s="34"/>
      <c r="FBQ352" s="34"/>
      <c r="FBR352" s="34"/>
      <c r="FBS352" s="34"/>
      <c r="FBT352" s="34"/>
      <c r="FBU352" s="34"/>
      <c r="FBV352" s="34"/>
      <c r="FBW352" s="34"/>
      <c r="FBX352" s="34"/>
      <c r="FBY352" s="34"/>
      <c r="FBZ352" s="34"/>
      <c r="FCA352" s="34"/>
      <c r="FCB352" s="34"/>
      <c r="FCC352" s="34"/>
      <c r="FCD352" s="34"/>
      <c r="FCE352" s="34"/>
      <c r="FCF352" s="34"/>
      <c r="FCG352" s="34"/>
      <c r="FCH352" s="34"/>
      <c r="FCI352" s="34"/>
      <c r="FCJ352" s="34"/>
      <c r="FCK352" s="34"/>
      <c r="FCL352" s="34"/>
      <c r="FCM352" s="34"/>
      <c r="FCN352" s="34"/>
      <c r="FCO352" s="34"/>
      <c r="FCP352" s="34"/>
      <c r="FCQ352" s="34"/>
      <c r="FCR352" s="34"/>
      <c r="FCS352" s="34"/>
      <c r="FCT352" s="34"/>
      <c r="FCU352" s="34"/>
      <c r="FCV352" s="34"/>
      <c r="FCW352" s="34"/>
      <c r="FCX352" s="34"/>
      <c r="FCY352" s="34"/>
      <c r="FCZ352" s="34"/>
      <c r="FDA352" s="34"/>
      <c r="FDB352" s="34"/>
      <c r="FDC352" s="34"/>
      <c r="FDD352" s="34"/>
      <c r="FDE352" s="34"/>
      <c r="FDF352" s="34"/>
      <c r="FDG352" s="34"/>
      <c r="FDH352" s="34"/>
      <c r="FDI352" s="34"/>
      <c r="FDJ352" s="34"/>
      <c r="FDK352" s="34"/>
      <c r="FDL352" s="34"/>
      <c r="FDM352" s="34"/>
      <c r="FDN352" s="34"/>
      <c r="FDO352" s="34"/>
      <c r="FDP352" s="34"/>
      <c r="FDQ352" s="34"/>
      <c r="FDR352" s="34"/>
      <c r="FDS352" s="34"/>
      <c r="FDT352" s="34"/>
      <c r="FDU352" s="34"/>
      <c r="FDV352" s="34"/>
      <c r="FDW352" s="34"/>
      <c r="FDX352" s="34"/>
      <c r="FDY352" s="34"/>
      <c r="FDZ352" s="34"/>
      <c r="FEA352" s="34"/>
      <c r="FEB352" s="34"/>
      <c r="FEC352" s="34"/>
      <c r="FED352" s="34"/>
      <c r="FEE352" s="34"/>
      <c r="FEF352" s="34"/>
      <c r="FEG352" s="34"/>
      <c r="FEH352" s="34"/>
      <c r="FEI352" s="34"/>
      <c r="FEJ352" s="34"/>
      <c r="FEK352" s="34"/>
      <c r="FEL352" s="34"/>
      <c r="FEM352" s="34"/>
      <c r="FEN352" s="34"/>
      <c r="FEO352" s="34"/>
      <c r="FEP352" s="34"/>
      <c r="FEQ352" s="34"/>
      <c r="FER352" s="34"/>
      <c r="FES352" s="34"/>
      <c r="FET352" s="34"/>
      <c r="FEU352" s="34"/>
      <c r="FEV352" s="34"/>
      <c r="FEW352" s="34"/>
      <c r="FEX352" s="34"/>
      <c r="FEY352" s="34"/>
      <c r="FEZ352" s="34"/>
      <c r="FFA352" s="34"/>
      <c r="FFB352" s="34"/>
      <c r="FFC352" s="34"/>
      <c r="FFD352" s="34"/>
      <c r="FFE352" s="34"/>
      <c r="FFF352" s="34"/>
      <c r="FFG352" s="34"/>
      <c r="FFH352" s="34"/>
      <c r="FFI352" s="34"/>
      <c r="FFJ352" s="34"/>
      <c r="FFK352" s="34"/>
      <c r="FFL352" s="34"/>
      <c r="FFM352" s="34"/>
      <c r="FFN352" s="34"/>
      <c r="FFO352" s="34"/>
      <c r="FFP352" s="34"/>
      <c r="FFQ352" s="34"/>
      <c r="FFR352" s="34"/>
      <c r="FFS352" s="34"/>
      <c r="FFT352" s="34"/>
      <c r="FFU352" s="34"/>
      <c r="FFV352" s="34"/>
      <c r="FFW352" s="34"/>
      <c r="FFX352" s="34"/>
      <c r="FFY352" s="34"/>
      <c r="FFZ352" s="34"/>
      <c r="FGA352" s="34"/>
      <c r="FGB352" s="34"/>
      <c r="FGC352" s="34"/>
      <c r="FGD352" s="34"/>
      <c r="FGE352" s="34"/>
      <c r="FGF352" s="34"/>
      <c r="FGG352" s="34"/>
      <c r="FGH352" s="34"/>
      <c r="FGI352" s="34"/>
      <c r="FGJ352" s="34"/>
      <c r="FGK352" s="34"/>
      <c r="FGL352" s="34"/>
      <c r="FGM352" s="34"/>
      <c r="FGN352" s="34"/>
      <c r="FGO352" s="34"/>
      <c r="FGP352" s="34"/>
      <c r="FGQ352" s="34"/>
      <c r="FGR352" s="34"/>
      <c r="FGS352" s="34"/>
      <c r="FGT352" s="34"/>
      <c r="FGU352" s="34"/>
      <c r="FGV352" s="34"/>
      <c r="FGW352" s="34"/>
      <c r="FGX352" s="34"/>
      <c r="FGY352" s="34"/>
      <c r="FGZ352" s="34"/>
      <c r="FHA352" s="34"/>
      <c r="FHB352" s="34"/>
      <c r="FHC352" s="34"/>
      <c r="FHD352" s="34"/>
      <c r="FHE352" s="34"/>
      <c r="FHF352" s="34"/>
      <c r="FHG352" s="34"/>
      <c r="FHH352" s="34"/>
      <c r="FHI352" s="34"/>
      <c r="FHJ352" s="34"/>
      <c r="FHK352" s="34"/>
      <c r="FHL352" s="34"/>
      <c r="FHM352" s="34"/>
      <c r="FHN352" s="34"/>
      <c r="FHO352" s="34"/>
      <c r="FHP352" s="34"/>
      <c r="FHQ352" s="34"/>
      <c r="FHR352" s="34"/>
      <c r="FHS352" s="34"/>
      <c r="FHT352" s="34"/>
      <c r="FHU352" s="34"/>
      <c r="FHV352" s="34"/>
      <c r="FHW352" s="34"/>
      <c r="FHX352" s="34"/>
      <c r="FHY352" s="34"/>
      <c r="FHZ352" s="34"/>
      <c r="FIA352" s="34"/>
      <c r="FIB352" s="34"/>
      <c r="FIC352" s="34"/>
      <c r="FID352" s="34"/>
      <c r="FIE352" s="34"/>
      <c r="FIF352" s="34"/>
      <c r="FIG352" s="34"/>
      <c r="FIH352" s="34"/>
      <c r="FII352" s="34"/>
      <c r="FIJ352" s="34"/>
      <c r="FIK352" s="34"/>
      <c r="FIL352" s="34"/>
      <c r="FIM352" s="34"/>
      <c r="FIN352" s="34"/>
      <c r="FIO352" s="34"/>
      <c r="FIP352" s="34"/>
      <c r="FIQ352" s="34"/>
      <c r="FIR352" s="34"/>
      <c r="FIS352" s="34"/>
      <c r="FIT352" s="34"/>
      <c r="FIU352" s="34"/>
      <c r="FIV352" s="34"/>
      <c r="FIW352" s="34"/>
      <c r="FIX352" s="34"/>
      <c r="FIY352" s="34"/>
      <c r="FIZ352" s="34"/>
      <c r="FJA352" s="34"/>
      <c r="FJB352" s="34"/>
      <c r="FJC352" s="34"/>
      <c r="FJD352" s="34"/>
      <c r="FJE352" s="34"/>
      <c r="FJF352" s="34"/>
      <c r="FJG352" s="34"/>
      <c r="FJH352" s="34"/>
      <c r="FJI352" s="34"/>
      <c r="FJJ352" s="34"/>
      <c r="FJK352" s="34"/>
      <c r="FJL352" s="34"/>
      <c r="FJM352" s="34"/>
      <c r="FJN352" s="34"/>
      <c r="FJO352" s="34"/>
      <c r="FJP352" s="34"/>
      <c r="FJQ352" s="34"/>
      <c r="FJR352" s="34"/>
      <c r="FJS352" s="34"/>
      <c r="FJT352" s="34"/>
      <c r="FJU352" s="34"/>
      <c r="FJV352" s="34"/>
      <c r="FJW352" s="34"/>
      <c r="FJX352" s="34"/>
      <c r="FJY352" s="34"/>
      <c r="FJZ352" s="34"/>
      <c r="FKA352" s="34"/>
      <c r="FKB352" s="34"/>
      <c r="FKC352" s="34"/>
      <c r="FKD352" s="34"/>
      <c r="FKE352" s="34"/>
      <c r="FKF352" s="34"/>
      <c r="FKG352" s="34"/>
      <c r="FKH352" s="34"/>
      <c r="FKI352" s="34"/>
      <c r="FKJ352" s="34"/>
      <c r="FKK352" s="34"/>
      <c r="FKL352" s="34"/>
      <c r="FKM352" s="34"/>
      <c r="FKN352" s="34"/>
      <c r="FKO352" s="34"/>
      <c r="FKP352" s="34"/>
      <c r="FKQ352" s="34"/>
      <c r="FKR352" s="34"/>
      <c r="FKS352" s="34"/>
      <c r="FKT352" s="34"/>
      <c r="FKU352" s="34"/>
      <c r="FKV352" s="34"/>
      <c r="FKW352" s="34"/>
      <c r="FKX352" s="34"/>
      <c r="FKY352" s="34"/>
      <c r="FKZ352" s="34"/>
      <c r="FLA352" s="34"/>
      <c r="FLB352" s="34"/>
      <c r="FLC352" s="34"/>
      <c r="FLD352" s="34"/>
      <c r="FLE352" s="34"/>
      <c r="FLF352" s="34"/>
      <c r="FLG352" s="34"/>
      <c r="FLH352" s="34"/>
      <c r="FLI352" s="34"/>
      <c r="FLJ352" s="34"/>
      <c r="FLK352" s="34"/>
      <c r="FLL352" s="34"/>
      <c r="FLM352" s="34"/>
      <c r="FLN352" s="34"/>
      <c r="FLO352" s="34"/>
      <c r="FLP352" s="34"/>
      <c r="FLQ352" s="34"/>
      <c r="FLR352" s="34"/>
      <c r="FLS352" s="34"/>
      <c r="FLT352" s="34"/>
      <c r="FLU352" s="34"/>
      <c r="FLV352" s="34"/>
      <c r="FLW352" s="34"/>
      <c r="FLX352" s="34"/>
      <c r="FLY352" s="34"/>
      <c r="FLZ352" s="34"/>
      <c r="FMA352" s="34"/>
      <c r="FMB352" s="34"/>
      <c r="FMC352" s="34"/>
      <c r="FMD352" s="34"/>
      <c r="FME352" s="34"/>
      <c r="FMF352" s="34"/>
      <c r="FMG352" s="34"/>
      <c r="FMH352" s="34"/>
      <c r="FMI352" s="34"/>
      <c r="FMJ352" s="34"/>
      <c r="FMK352" s="34"/>
      <c r="FML352" s="34"/>
      <c r="FMM352" s="34"/>
      <c r="FMN352" s="34"/>
      <c r="FMO352" s="34"/>
      <c r="FMP352" s="34"/>
      <c r="FMQ352" s="34"/>
      <c r="FMR352" s="34"/>
      <c r="FMS352" s="34"/>
      <c r="FMT352" s="34"/>
      <c r="FMU352" s="34"/>
      <c r="FMV352" s="34"/>
      <c r="FMW352" s="34"/>
      <c r="FMX352" s="34"/>
      <c r="FMY352" s="34"/>
      <c r="FMZ352" s="34"/>
      <c r="FNA352" s="34"/>
      <c r="FNB352" s="34"/>
      <c r="FNC352" s="34"/>
      <c r="FND352" s="34"/>
      <c r="FNE352" s="34"/>
      <c r="FNF352" s="34"/>
      <c r="FNG352" s="34"/>
      <c r="FNH352" s="34"/>
      <c r="FNI352" s="34"/>
      <c r="FNJ352" s="34"/>
      <c r="FNK352" s="34"/>
      <c r="FNL352" s="34"/>
      <c r="FNM352" s="34"/>
      <c r="FNN352" s="34"/>
      <c r="FNO352" s="34"/>
      <c r="FNP352" s="34"/>
      <c r="FNQ352" s="34"/>
      <c r="FNR352" s="34"/>
      <c r="FNS352" s="34"/>
      <c r="FNT352" s="34"/>
      <c r="FNU352" s="34"/>
      <c r="FNV352" s="34"/>
      <c r="FNW352" s="34"/>
      <c r="FNX352" s="34"/>
      <c r="FNY352" s="34"/>
      <c r="FNZ352" s="34"/>
      <c r="FOA352" s="34"/>
      <c r="FOB352" s="34"/>
      <c r="FOC352" s="34"/>
      <c r="FOD352" s="34"/>
      <c r="FOE352" s="34"/>
      <c r="FOF352" s="34"/>
      <c r="FOG352" s="34"/>
      <c r="FOH352" s="34"/>
      <c r="FOI352" s="34"/>
      <c r="FOJ352" s="34"/>
      <c r="FOK352" s="34"/>
      <c r="FOL352" s="34"/>
      <c r="FOM352" s="34"/>
      <c r="FON352" s="34"/>
      <c r="FOO352" s="34"/>
      <c r="FOP352" s="34"/>
      <c r="FOQ352" s="34"/>
      <c r="FOR352" s="34"/>
      <c r="FOS352" s="34"/>
      <c r="FOT352" s="34"/>
      <c r="FOU352" s="34"/>
      <c r="FOV352" s="34"/>
      <c r="FOW352" s="34"/>
      <c r="FOX352" s="34"/>
      <c r="FOY352" s="34"/>
      <c r="FOZ352" s="34"/>
      <c r="FPA352" s="34"/>
      <c r="FPB352" s="34"/>
      <c r="FPC352" s="34"/>
      <c r="FPD352" s="34"/>
      <c r="FPE352" s="34"/>
      <c r="FPF352" s="34"/>
      <c r="FPG352" s="34"/>
      <c r="FPH352" s="34"/>
      <c r="FPI352" s="34"/>
      <c r="FPJ352" s="34"/>
      <c r="FPK352" s="34"/>
      <c r="FPL352" s="34"/>
      <c r="FPM352" s="34"/>
      <c r="FPN352" s="34"/>
      <c r="FPO352" s="34"/>
      <c r="FPP352" s="34"/>
      <c r="FPQ352" s="34"/>
      <c r="FPR352" s="34"/>
      <c r="FPS352" s="34"/>
      <c r="FPT352" s="34"/>
      <c r="FPU352" s="34"/>
      <c r="FPV352" s="34"/>
      <c r="FPW352" s="34"/>
      <c r="FPX352" s="34"/>
      <c r="FPY352" s="34"/>
      <c r="FPZ352" s="34"/>
      <c r="FQA352" s="34"/>
      <c r="FQB352" s="34"/>
      <c r="FQC352" s="34"/>
      <c r="FQD352" s="34"/>
      <c r="FQE352" s="34"/>
      <c r="FQF352" s="34"/>
      <c r="FQG352" s="34"/>
      <c r="FQH352" s="34"/>
      <c r="FQI352" s="34"/>
      <c r="FQJ352" s="34"/>
      <c r="FQK352" s="34"/>
      <c r="FQL352" s="34"/>
      <c r="FQM352" s="34"/>
      <c r="FQN352" s="34"/>
      <c r="FQO352" s="34"/>
      <c r="FQP352" s="34"/>
      <c r="FQQ352" s="34"/>
      <c r="FQR352" s="34"/>
      <c r="FQS352" s="34"/>
      <c r="FQT352" s="34"/>
      <c r="FQU352" s="34"/>
      <c r="FQV352" s="34"/>
      <c r="FQW352" s="34"/>
      <c r="FQX352" s="34"/>
      <c r="FQY352" s="34"/>
      <c r="FQZ352" s="34"/>
      <c r="FRA352" s="34"/>
      <c r="FRB352" s="34"/>
      <c r="FRC352" s="34"/>
      <c r="FRD352" s="34"/>
      <c r="FRE352" s="34"/>
      <c r="FRF352" s="34"/>
      <c r="FRG352" s="34"/>
      <c r="FRH352" s="34"/>
      <c r="FRI352" s="34"/>
      <c r="FRJ352" s="34"/>
      <c r="FRK352" s="34"/>
      <c r="FRL352" s="34"/>
      <c r="FRM352" s="34"/>
      <c r="FRN352" s="34"/>
      <c r="FRO352" s="34"/>
      <c r="FRP352" s="34"/>
      <c r="FRQ352" s="34"/>
      <c r="FRR352" s="34"/>
      <c r="FRS352" s="34"/>
      <c r="FRT352" s="34"/>
      <c r="FRU352" s="34"/>
      <c r="FRV352" s="34"/>
      <c r="FRW352" s="34"/>
      <c r="FRX352" s="34"/>
      <c r="FRY352" s="34"/>
      <c r="FRZ352" s="34"/>
      <c r="FSA352" s="34"/>
      <c r="FSB352" s="34"/>
      <c r="FSC352" s="34"/>
      <c r="FSD352" s="34"/>
      <c r="FSE352" s="34"/>
      <c r="FSF352" s="34"/>
      <c r="FSG352" s="34"/>
      <c r="FSH352" s="34"/>
      <c r="FSI352" s="34"/>
      <c r="FSJ352" s="34"/>
      <c r="FSK352" s="34"/>
      <c r="FSL352" s="34"/>
      <c r="FSM352" s="34"/>
      <c r="FSN352" s="34"/>
      <c r="FSO352" s="34"/>
      <c r="FSP352" s="34"/>
      <c r="FSQ352" s="34"/>
      <c r="FSR352" s="34"/>
      <c r="FSS352" s="34"/>
      <c r="FST352" s="34"/>
      <c r="FSU352" s="34"/>
      <c r="FSV352" s="34"/>
      <c r="FSW352" s="34"/>
      <c r="FSX352" s="34"/>
      <c r="FSY352" s="34"/>
      <c r="FSZ352" s="34"/>
      <c r="FTA352" s="34"/>
      <c r="FTB352" s="34"/>
      <c r="FTC352" s="34"/>
      <c r="FTD352" s="34"/>
      <c r="FTE352" s="34"/>
      <c r="FTF352" s="34"/>
      <c r="FTG352" s="34"/>
      <c r="FTH352" s="34"/>
      <c r="FTI352" s="34"/>
      <c r="FTJ352" s="34"/>
      <c r="FTK352" s="34"/>
      <c r="FTL352" s="34"/>
      <c r="FTM352" s="34"/>
      <c r="FTN352" s="34"/>
      <c r="FTO352" s="34"/>
      <c r="FTP352" s="34"/>
      <c r="FTQ352" s="34"/>
      <c r="FTR352" s="34"/>
      <c r="FTS352" s="34"/>
      <c r="FTT352" s="34"/>
      <c r="FTU352" s="34"/>
      <c r="FTV352" s="34"/>
      <c r="FTW352" s="34"/>
      <c r="FTX352" s="34"/>
      <c r="FTY352" s="34"/>
      <c r="FTZ352" s="34"/>
      <c r="FUA352" s="34"/>
      <c r="FUB352" s="34"/>
      <c r="FUC352" s="34"/>
      <c r="FUD352" s="34"/>
      <c r="FUE352" s="34"/>
      <c r="FUF352" s="34"/>
      <c r="FUG352" s="34"/>
      <c r="FUH352" s="34"/>
      <c r="FUI352" s="34"/>
      <c r="FUJ352" s="34"/>
      <c r="FUK352" s="34"/>
      <c r="FUL352" s="34"/>
      <c r="FUM352" s="34"/>
      <c r="FUN352" s="34"/>
      <c r="FUO352" s="34"/>
      <c r="FUP352" s="34"/>
      <c r="FUQ352" s="34"/>
      <c r="FUR352" s="34"/>
      <c r="FUS352" s="34"/>
      <c r="FUT352" s="34"/>
      <c r="FUU352" s="34"/>
      <c r="FUV352" s="34"/>
      <c r="FUW352" s="34"/>
      <c r="FUX352" s="34"/>
      <c r="FUY352" s="34"/>
      <c r="FUZ352" s="34"/>
      <c r="FVA352" s="34"/>
      <c r="FVB352" s="34"/>
      <c r="FVC352" s="34"/>
      <c r="FVD352" s="34"/>
      <c r="FVE352" s="34"/>
      <c r="FVF352" s="34"/>
      <c r="FVG352" s="34"/>
      <c r="FVH352" s="34"/>
      <c r="FVI352" s="34"/>
      <c r="FVJ352" s="34"/>
      <c r="FVK352" s="34"/>
      <c r="FVL352" s="34"/>
      <c r="FVM352" s="34"/>
      <c r="FVN352" s="34"/>
      <c r="FVO352" s="34"/>
      <c r="FVP352" s="34"/>
      <c r="FVQ352" s="34"/>
      <c r="FVR352" s="34"/>
      <c r="FVS352" s="34"/>
      <c r="FVT352" s="34"/>
      <c r="FVU352" s="34"/>
      <c r="FVV352" s="34"/>
      <c r="FVW352" s="34"/>
      <c r="FVX352" s="34"/>
      <c r="FVY352" s="34"/>
      <c r="FVZ352" s="34"/>
      <c r="FWA352" s="34"/>
      <c r="FWB352" s="34"/>
      <c r="FWC352" s="34"/>
      <c r="FWD352" s="34"/>
      <c r="FWE352" s="34"/>
      <c r="FWF352" s="34"/>
      <c r="FWG352" s="34"/>
      <c r="FWH352" s="34"/>
      <c r="FWI352" s="34"/>
      <c r="FWJ352" s="34"/>
      <c r="FWK352" s="34"/>
      <c r="FWL352" s="34"/>
      <c r="FWM352" s="34"/>
      <c r="FWN352" s="34"/>
      <c r="FWO352" s="34"/>
      <c r="FWP352" s="34"/>
      <c r="FWQ352" s="34"/>
      <c r="FWR352" s="34"/>
      <c r="FWS352" s="34"/>
      <c r="FWT352" s="34"/>
      <c r="FWU352" s="34"/>
      <c r="FWV352" s="34"/>
      <c r="FWW352" s="34"/>
      <c r="FWX352" s="34"/>
      <c r="FWY352" s="34"/>
      <c r="FWZ352" s="34"/>
      <c r="FXA352" s="34"/>
      <c r="FXB352" s="34"/>
      <c r="FXC352" s="34"/>
      <c r="FXD352" s="34"/>
      <c r="FXE352" s="34"/>
      <c r="FXF352" s="34"/>
      <c r="FXG352" s="34"/>
      <c r="FXH352" s="34"/>
      <c r="FXI352" s="34"/>
      <c r="FXJ352" s="34"/>
      <c r="FXK352" s="34"/>
      <c r="FXL352" s="34"/>
      <c r="FXM352" s="34"/>
      <c r="FXN352" s="34"/>
      <c r="FXO352" s="34"/>
      <c r="FXP352" s="34"/>
      <c r="FXQ352" s="34"/>
      <c r="FXR352" s="34"/>
      <c r="FXS352" s="34"/>
      <c r="FXT352" s="34"/>
      <c r="FXU352" s="34"/>
      <c r="FXV352" s="34"/>
      <c r="FXW352" s="34"/>
      <c r="FXX352" s="34"/>
      <c r="FXY352" s="34"/>
      <c r="FXZ352" s="34"/>
      <c r="FYA352" s="34"/>
      <c r="FYB352" s="34"/>
      <c r="FYC352" s="34"/>
      <c r="FYD352" s="34"/>
      <c r="FYE352" s="34"/>
      <c r="FYF352" s="34"/>
      <c r="FYG352" s="34"/>
      <c r="FYH352" s="34"/>
      <c r="FYI352" s="34"/>
      <c r="FYJ352" s="34"/>
      <c r="FYK352" s="34"/>
      <c r="FYL352" s="34"/>
      <c r="FYM352" s="34"/>
      <c r="FYN352" s="34"/>
      <c r="FYO352" s="34"/>
      <c r="FYP352" s="34"/>
      <c r="FYQ352" s="34"/>
      <c r="FYR352" s="34"/>
      <c r="FYS352" s="34"/>
      <c r="FYT352" s="34"/>
      <c r="FYU352" s="34"/>
      <c r="FYV352" s="34"/>
      <c r="FYW352" s="34"/>
      <c r="FYX352" s="34"/>
      <c r="FYY352" s="34"/>
      <c r="FYZ352" s="34"/>
      <c r="FZA352" s="34"/>
      <c r="FZB352" s="34"/>
      <c r="FZC352" s="34"/>
      <c r="FZD352" s="34"/>
      <c r="FZE352" s="34"/>
      <c r="FZF352" s="34"/>
      <c r="FZG352" s="34"/>
      <c r="FZH352" s="34"/>
      <c r="FZI352" s="34"/>
      <c r="FZJ352" s="34"/>
      <c r="FZK352" s="34"/>
      <c r="FZL352" s="34"/>
      <c r="FZM352" s="34"/>
      <c r="FZN352" s="34"/>
      <c r="FZO352" s="34"/>
      <c r="FZP352" s="34"/>
      <c r="FZQ352" s="34"/>
      <c r="FZR352" s="34"/>
      <c r="FZS352" s="34"/>
      <c r="FZT352" s="34"/>
      <c r="FZU352" s="34"/>
      <c r="FZV352" s="34"/>
      <c r="FZW352" s="34"/>
      <c r="FZX352" s="34"/>
      <c r="FZY352" s="34"/>
      <c r="FZZ352" s="34"/>
      <c r="GAA352" s="34"/>
      <c r="GAB352" s="34"/>
      <c r="GAC352" s="34"/>
      <c r="GAD352" s="34"/>
      <c r="GAE352" s="34"/>
      <c r="GAF352" s="34"/>
      <c r="GAG352" s="34"/>
      <c r="GAH352" s="34"/>
      <c r="GAI352" s="34"/>
      <c r="GAJ352" s="34"/>
      <c r="GAK352" s="34"/>
      <c r="GAL352" s="34"/>
      <c r="GAM352" s="34"/>
      <c r="GAN352" s="34"/>
      <c r="GAO352" s="34"/>
      <c r="GAP352" s="34"/>
      <c r="GAQ352" s="34"/>
      <c r="GAR352" s="34"/>
      <c r="GAS352" s="34"/>
      <c r="GAT352" s="34"/>
      <c r="GAU352" s="34"/>
      <c r="GAV352" s="34"/>
      <c r="GAW352" s="34"/>
      <c r="GAX352" s="34"/>
      <c r="GAY352" s="34"/>
      <c r="GAZ352" s="34"/>
      <c r="GBA352" s="34"/>
      <c r="GBB352" s="34"/>
      <c r="GBC352" s="34"/>
      <c r="GBD352" s="34"/>
      <c r="GBE352" s="34"/>
      <c r="GBF352" s="34"/>
      <c r="GBG352" s="34"/>
      <c r="GBH352" s="34"/>
      <c r="GBI352" s="34"/>
      <c r="GBJ352" s="34"/>
      <c r="GBK352" s="34"/>
      <c r="GBL352" s="34"/>
      <c r="GBM352" s="34"/>
      <c r="GBN352" s="34"/>
      <c r="GBO352" s="34"/>
      <c r="GBP352" s="34"/>
      <c r="GBQ352" s="34"/>
      <c r="GBR352" s="34"/>
      <c r="GBS352" s="34"/>
      <c r="GBT352" s="34"/>
      <c r="GBU352" s="34"/>
      <c r="GBV352" s="34"/>
      <c r="GBW352" s="34"/>
      <c r="GBX352" s="34"/>
      <c r="GBY352" s="34"/>
      <c r="GBZ352" s="34"/>
      <c r="GCA352" s="34"/>
      <c r="GCB352" s="34"/>
      <c r="GCC352" s="34"/>
      <c r="GCD352" s="34"/>
      <c r="GCE352" s="34"/>
      <c r="GCF352" s="34"/>
      <c r="GCG352" s="34"/>
      <c r="GCH352" s="34"/>
      <c r="GCI352" s="34"/>
      <c r="GCJ352" s="34"/>
      <c r="GCK352" s="34"/>
      <c r="GCL352" s="34"/>
      <c r="GCM352" s="34"/>
      <c r="GCN352" s="34"/>
      <c r="GCO352" s="34"/>
      <c r="GCP352" s="34"/>
      <c r="GCQ352" s="34"/>
      <c r="GCR352" s="34"/>
      <c r="GCS352" s="34"/>
      <c r="GCT352" s="34"/>
      <c r="GCU352" s="34"/>
      <c r="GCV352" s="34"/>
      <c r="GCW352" s="34"/>
      <c r="GCX352" s="34"/>
      <c r="GCY352" s="34"/>
      <c r="GCZ352" s="34"/>
      <c r="GDA352" s="34"/>
      <c r="GDB352" s="34"/>
      <c r="GDC352" s="34"/>
      <c r="GDD352" s="34"/>
      <c r="GDE352" s="34"/>
      <c r="GDF352" s="34"/>
      <c r="GDG352" s="34"/>
      <c r="GDH352" s="34"/>
      <c r="GDI352" s="34"/>
      <c r="GDJ352" s="34"/>
      <c r="GDK352" s="34"/>
      <c r="GDL352" s="34"/>
      <c r="GDM352" s="34"/>
      <c r="GDN352" s="34"/>
      <c r="GDO352" s="34"/>
      <c r="GDP352" s="34"/>
      <c r="GDQ352" s="34"/>
      <c r="GDR352" s="34"/>
      <c r="GDS352" s="34"/>
      <c r="GDT352" s="34"/>
      <c r="GDU352" s="34"/>
      <c r="GDV352" s="34"/>
      <c r="GDW352" s="34"/>
      <c r="GDX352" s="34"/>
      <c r="GDY352" s="34"/>
      <c r="GDZ352" s="34"/>
      <c r="GEA352" s="34"/>
      <c r="GEB352" s="34"/>
      <c r="GEC352" s="34"/>
      <c r="GED352" s="34"/>
      <c r="GEE352" s="34"/>
      <c r="GEF352" s="34"/>
      <c r="GEG352" s="34"/>
      <c r="GEH352" s="34"/>
      <c r="GEI352" s="34"/>
      <c r="GEJ352" s="34"/>
      <c r="GEK352" s="34"/>
      <c r="GEL352" s="34"/>
      <c r="GEM352" s="34"/>
      <c r="GEN352" s="34"/>
      <c r="GEO352" s="34"/>
      <c r="GEP352" s="34"/>
      <c r="GEQ352" s="34"/>
      <c r="GER352" s="34"/>
      <c r="GES352" s="34"/>
      <c r="GET352" s="34"/>
      <c r="GEU352" s="34"/>
      <c r="GEV352" s="34"/>
      <c r="GEW352" s="34"/>
      <c r="GEX352" s="34"/>
      <c r="GEY352" s="34"/>
      <c r="GEZ352" s="34"/>
      <c r="GFA352" s="34"/>
      <c r="GFB352" s="34"/>
      <c r="GFC352" s="34"/>
      <c r="GFD352" s="34"/>
      <c r="GFE352" s="34"/>
      <c r="GFF352" s="34"/>
      <c r="GFG352" s="34"/>
      <c r="GFH352" s="34"/>
      <c r="GFI352" s="34"/>
      <c r="GFJ352" s="34"/>
      <c r="GFK352" s="34"/>
      <c r="GFL352" s="34"/>
      <c r="GFM352" s="34"/>
      <c r="GFN352" s="34"/>
      <c r="GFO352" s="34"/>
      <c r="GFP352" s="34"/>
      <c r="GFQ352" s="34"/>
      <c r="GFR352" s="34"/>
      <c r="GFS352" s="34"/>
      <c r="GFT352" s="34"/>
      <c r="GFU352" s="34"/>
      <c r="GFV352" s="34"/>
      <c r="GFW352" s="34"/>
      <c r="GFX352" s="34"/>
      <c r="GFY352" s="34"/>
      <c r="GFZ352" s="34"/>
      <c r="GGA352" s="34"/>
      <c r="GGB352" s="34"/>
      <c r="GGC352" s="34"/>
      <c r="GGD352" s="34"/>
      <c r="GGE352" s="34"/>
      <c r="GGF352" s="34"/>
      <c r="GGG352" s="34"/>
      <c r="GGH352" s="34"/>
      <c r="GGI352" s="34"/>
      <c r="GGJ352" s="34"/>
      <c r="GGK352" s="34"/>
      <c r="GGL352" s="34"/>
      <c r="GGM352" s="34"/>
      <c r="GGN352" s="34"/>
      <c r="GGO352" s="34"/>
      <c r="GGP352" s="34"/>
      <c r="GGQ352" s="34"/>
      <c r="GGR352" s="34"/>
      <c r="GGS352" s="34"/>
      <c r="GGT352" s="34"/>
      <c r="GGU352" s="34"/>
      <c r="GGV352" s="34"/>
      <c r="GGW352" s="34"/>
      <c r="GGX352" s="34"/>
      <c r="GGY352" s="34"/>
      <c r="GGZ352" s="34"/>
      <c r="GHA352" s="34"/>
      <c r="GHB352" s="34"/>
      <c r="GHC352" s="34"/>
      <c r="GHD352" s="34"/>
      <c r="GHE352" s="34"/>
      <c r="GHF352" s="34"/>
      <c r="GHG352" s="34"/>
      <c r="GHH352" s="34"/>
      <c r="GHI352" s="34"/>
      <c r="GHJ352" s="34"/>
      <c r="GHK352" s="34"/>
      <c r="GHL352" s="34"/>
      <c r="GHM352" s="34"/>
      <c r="GHN352" s="34"/>
      <c r="GHO352" s="34"/>
      <c r="GHP352" s="34"/>
      <c r="GHQ352" s="34"/>
      <c r="GHR352" s="34"/>
      <c r="GHS352" s="34"/>
      <c r="GHT352" s="34"/>
      <c r="GHU352" s="34"/>
      <c r="GHV352" s="34"/>
      <c r="GHW352" s="34"/>
      <c r="GHX352" s="34"/>
      <c r="GHY352" s="34"/>
      <c r="GHZ352" s="34"/>
      <c r="GIA352" s="34"/>
      <c r="GIB352" s="34"/>
      <c r="GIC352" s="34"/>
      <c r="GID352" s="34"/>
      <c r="GIE352" s="34"/>
      <c r="GIF352" s="34"/>
      <c r="GIG352" s="34"/>
      <c r="GIH352" s="34"/>
      <c r="GII352" s="34"/>
      <c r="GIJ352" s="34"/>
      <c r="GIK352" s="34"/>
      <c r="GIL352" s="34"/>
      <c r="GIM352" s="34"/>
      <c r="GIN352" s="34"/>
      <c r="GIO352" s="34"/>
      <c r="GIP352" s="34"/>
      <c r="GIQ352" s="34"/>
      <c r="GIR352" s="34"/>
      <c r="GIS352" s="34"/>
      <c r="GIT352" s="34"/>
      <c r="GIU352" s="34"/>
      <c r="GIV352" s="34"/>
      <c r="GIW352" s="34"/>
      <c r="GIX352" s="34"/>
      <c r="GIY352" s="34"/>
      <c r="GIZ352" s="34"/>
      <c r="GJA352" s="34"/>
      <c r="GJB352" s="34"/>
      <c r="GJC352" s="34"/>
      <c r="GJD352" s="34"/>
      <c r="GJE352" s="34"/>
      <c r="GJF352" s="34"/>
      <c r="GJG352" s="34"/>
      <c r="GJH352" s="34"/>
      <c r="GJI352" s="34"/>
      <c r="GJJ352" s="34"/>
      <c r="GJK352" s="34"/>
      <c r="GJL352" s="34"/>
      <c r="GJM352" s="34"/>
      <c r="GJN352" s="34"/>
      <c r="GJO352" s="34"/>
      <c r="GJP352" s="34"/>
      <c r="GJQ352" s="34"/>
      <c r="GJR352" s="34"/>
      <c r="GJS352" s="34"/>
      <c r="GJT352" s="34"/>
      <c r="GJU352" s="34"/>
      <c r="GJV352" s="34"/>
      <c r="GJW352" s="34"/>
      <c r="GJX352" s="34"/>
      <c r="GJY352" s="34"/>
      <c r="GJZ352" s="34"/>
      <c r="GKA352" s="34"/>
      <c r="GKB352" s="34"/>
      <c r="GKC352" s="34"/>
      <c r="GKD352" s="34"/>
      <c r="GKE352" s="34"/>
      <c r="GKF352" s="34"/>
      <c r="GKG352" s="34"/>
      <c r="GKH352" s="34"/>
      <c r="GKI352" s="34"/>
      <c r="GKJ352" s="34"/>
      <c r="GKK352" s="34"/>
      <c r="GKL352" s="34"/>
      <c r="GKM352" s="34"/>
      <c r="GKN352" s="34"/>
      <c r="GKO352" s="34"/>
      <c r="GKP352" s="34"/>
      <c r="GKQ352" s="34"/>
      <c r="GKR352" s="34"/>
      <c r="GKS352" s="34"/>
      <c r="GKT352" s="34"/>
      <c r="GKU352" s="34"/>
      <c r="GKV352" s="34"/>
      <c r="GKW352" s="34"/>
      <c r="GKX352" s="34"/>
      <c r="GKY352" s="34"/>
      <c r="GKZ352" s="34"/>
      <c r="GLA352" s="34"/>
      <c r="GLB352" s="34"/>
      <c r="GLC352" s="34"/>
      <c r="GLD352" s="34"/>
      <c r="GLE352" s="34"/>
      <c r="GLF352" s="34"/>
      <c r="GLG352" s="34"/>
      <c r="GLH352" s="34"/>
      <c r="GLI352" s="34"/>
      <c r="GLJ352" s="34"/>
      <c r="GLK352" s="34"/>
      <c r="GLL352" s="34"/>
      <c r="GLM352" s="34"/>
      <c r="GLN352" s="34"/>
      <c r="GLO352" s="34"/>
      <c r="GLP352" s="34"/>
      <c r="GLQ352" s="34"/>
      <c r="GLR352" s="34"/>
      <c r="GLS352" s="34"/>
      <c r="GLT352" s="34"/>
      <c r="GLU352" s="34"/>
      <c r="GLV352" s="34"/>
      <c r="GLW352" s="34"/>
      <c r="GLX352" s="34"/>
      <c r="GLY352" s="34"/>
      <c r="GLZ352" s="34"/>
      <c r="GMA352" s="34"/>
      <c r="GMB352" s="34"/>
      <c r="GMC352" s="34"/>
      <c r="GMD352" s="34"/>
      <c r="GME352" s="34"/>
      <c r="GMF352" s="34"/>
      <c r="GMG352" s="34"/>
      <c r="GMH352" s="34"/>
      <c r="GMI352" s="34"/>
      <c r="GMJ352" s="34"/>
      <c r="GMK352" s="34"/>
      <c r="GML352" s="34"/>
      <c r="GMM352" s="34"/>
      <c r="GMN352" s="34"/>
      <c r="GMO352" s="34"/>
      <c r="GMP352" s="34"/>
      <c r="GMQ352" s="34"/>
      <c r="GMR352" s="34"/>
      <c r="GMS352" s="34"/>
      <c r="GMT352" s="34"/>
      <c r="GMU352" s="34"/>
      <c r="GMV352" s="34"/>
      <c r="GMW352" s="34"/>
      <c r="GMX352" s="34"/>
      <c r="GMY352" s="34"/>
      <c r="GMZ352" s="34"/>
      <c r="GNA352" s="34"/>
      <c r="GNB352" s="34"/>
      <c r="GNC352" s="34"/>
      <c r="GND352" s="34"/>
      <c r="GNE352" s="34"/>
      <c r="GNF352" s="34"/>
      <c r="GNG352" s="34"/>
      <c r="GNH352" s="34"/>
      <c r="GNI352" s="34"/>
      <c r="GNJ352" s="34"/>
      <c r="GNK352" s="34"/>
      <c r="GNL352" s="34"/>
      <c r="GNM352" s="34"/>
      <c r="GNN352" s="34"/>
      <c r="GNO352" s="34"/>
      <c r="GNP352" s="34"/>
      <c r="GNQ352" s="34"/>
      <c r="GNR352" s="34"/>
      <c r="GNS352" s="34"/>
      <c r="GNT352" s="34"/>
      <c r="GNU352" s="34"/>
      <c r="GNV352" s="34"/>
      <c r="GNW352" s="34"/>
      <c r="GNX352" s="34"/>
      <c r="GNY352" s="34"/>
      <c r="GNZ352" s="34"/>
      <c r="GOA352" s="34"/>
      <c r="GOB352" s="34"/>
      <c r="GOC352" s="34"/>
      <c r="GOD352" s="34"/>
      <c r="GOE352" s="34"/>
      <c r="GOF352" s="34"/>
      <c r="GOG352" s="34"/>
      <c r="GOH352" s="34"/>
      <c r="GOI352" s="34"/>
      <c r="GOJ352" s="34"/>
      <c r="GOK352" s="34"/>
      <c r="GOL352" s="34"/>
      <c r="GOM352" s="34"/>
      <c r="GON352" s="34"/>
      <c r="GOO352" s="34"/>
      <c r="GOP352" s="34"/>
      <c r="GOQ352" s="34"/>
      <c r="GOR352" s="34"/>
      <c r="GOS352" s="34"/>
      <c r="GOT352" s="34"/>
      <c r="GOU352" s="34"/>
      <c r="GOV352" s="34"/>
      <c r="GOW352" s="34"/>
      <c r="GOX352" s="34"/>
      <c r="GOY352" s="34"/>
      <c r="GOZ352" s="34"/>
      <c r="GPA352" s="34"/>
      <c r="GPB352" s="34"/>
      <c r="GPC352" s="34"/>
      <c r="GPD352" s="34"/>
      <c r="GPE352" s="34"/>
      <c r="GPF352" s="34"/>
      <c r="GPG352" s="34"/>
      <c r="GPH352" s="34"/>
      <c r="GPI352" s="34"/>
      <c r="GPJ352" s="34"/>
      <c r="GPK352" s="34"/>
      <c r="GPL352" s="34"/>
      <c r="GPM352" s="34"/>
      <c r="GPN352" s="34"/>
      <c r="GPO352" s="34"/>
      <c r="GPP352" s="34"/>
      <c r="GPQ352" s="34"/>
      <c r="GPR352" s="34"/>
      <c r="GPS352" s="34"/>
      <c r="GPT352" s="34"/>
      <c r="GPU352" s="34"/>
      <c r="GPV352" s="34"/>
      <c r="GPW352" s="34"/>
      <c r="GPX352" s="34"/>
      <c r="GPY352" s="34"/>
      <c r="GPZ352" s="34"/>
      <c r="GQA352" s="34"/>
      <c r="GQB352" s="34"/>
      <c r="GQC352" s="34"/>
      <c r="GQD352" s="34"/>
      <c r="GQE352" s="34"/>
      <c r="GQF352" s="34"/>
      <c r="GQG352" s="34"/>
      <c r="GQH352" s="34"/>
      <c r="GQI352" s="34"/>
      <c r="GQJ352" s="34"/>
      <c r="GQK352" s="34"/>
      <c r="GQL352" s="34"/>
      <c r="GQM352" s="34"/>
      <c r="GQN352" s="34"/>
      <c r="GQO352" s="34"/>
      <c r="GQP352" s="34"/>
      <c r="GQQ352" s="34"/>
      <c r="GQR352" s="34"/>
      <c r="GQS352" s="34"/>
      <c r="GQT352" s="34"/>
      <c r="GQU352" s="34"/>
      <c r="GQV352" s="34"/>
      <c r="GQW352" s="34"/>
      <c r="GQX352" s="34"/>
      <c r="GQY352" s="34"/>
      <c r="GQZ352" s="34"/>
      <c r="GRA352" s="34"/>
      <c r="GRB352" s="34"/>
      <c r="GRC352" s="34"/>
      <c r="GRD352" s="34"/>
      <c r="GRE352" s="34"/>
      <c r="GRF352" s="34"/>
      <c r="GRG352" s="34"/>
      <c r="GRH352" s="34"/>
      <c r="GRI352" s="34"/>
      <c r="GRJ352" s="34"/>
      <c r="GRK352" s="34"/>
      <c r="GRL352" s="34"/>
      <c r="GRM352" s="34"/>
      <c r="GRN352" s="34"/>
      <c r="GRO352" s="34"/>
      <c r="GRP352" s="34"/>
      <c r="GRQ352" s="34"/>
      <c r="GRR352" s="34"/>
      <c r="GRS352" s="34"/>
      <c r="GRT352" s="34"/>
      <c r="GRU352" s="34"/>
      <c r="GRV352" s="34"/>
      <c r="GRW352" s="34"/>
      <c r="GRX352" s="34"/>
      <c r="GRY352" s="34"/>
      <c r="GRZ352" s="34"/>
      <c r="GSA352" s="34"/>
      <c r="GSB352" s="34"/>
      <c r="GSC352" s="34"/>
      <c r="GSD352" s="34"/>
      <c r="GSE352" s="34"/>
      <c r="GSF352" s="34"/>
      <c r="GSG352" s="34"/>
      <c r="GSH352" s="34"/>
      <c r="GSI352" s="34"/>
      <c r="GSJ352" s="34"/>
      <c r="GSK352" s="34"/>
      <c r="GSL352" s="34"/>
      <c r="GSM352" s="34"/>
      <c r="GSN352" s="34"/>
      <c r="GSO352" s="34"/>
      <c r="GSP352" s="34"/>
      <c r="GSQ352" s="34"/>
      <c r="GSR352" s="34"/>
      <c r="GSS352" s="34"/>
      <c r="GST352" s="34"/>
      <c r="GSU352" s="34"/>
      <c r="GSV352" s="34"/>
      <c r="GSW352" s="34"/>
      <c r="GSX352" s="34"/>
      <c r="GSY352" s="34"/>
      <c r="GSZ352" s="34"/>
      <c r="GTA352" s="34"/>
      <c r="GTB352" s="34"/>
      <c r="GTC352" s="34"/>
      <c r="GTD352" s="34"/>
      <c r="GTE352" s="34"/>
      <c r="GTF352" s="34"/>
      <c r="GTG352" s="34"/>
      <c r="GTH352" s="34"/>
      <c r="GTI352" s="34"/>
      <c r="GTJ352" s="34"/>
      <c r="GTK352" s="34"/>
      <c r="GTL352" s="34"/>
      <c r="GTM352" s="34"/>
      <c r="GTN352" s="34"/>
      <c r="GTO352" s="34"/>
      <c r="GTP352" s="34"/>
      <c r="GTQ352" s="34"/>
      <c r="GTR352" s="34"/>
      <c r="GTS352" s="34"/>
      <c r="GTT352" s="34"/>
      <c r="GTU352" s="34"/>
      <c r="GTV352" s="34"/>
      <c r="GTW352" s="34"/>
      <c r="GTX352" s="34"/>
      <c r="GTY352" s="34"/>
      <c r="GTZ352" s="34"/>
      <c r="GUA352" s="34"/>
      <c r="GUB352" s="34"/>
      <c r="GUC352" s="34"/>
      <c r="GUD352" s="34"/>
      <c r="GUE352" s="34"/>
      <c r="GUF352" s="34"/>
      <c r="GUG352" s="34"/>
      <c r="GUH352" s="34"/>
      <c r="GUI352" s="34"/>
      <c r="GUJ352" s="34"/>
      <c r="GUK352" s="34"/>
      <c r="GUL352" s="34"/>
      <c r="GUM352" s="34"/>
      <c r="GUN352" s="34"/>
      <c r="GUO352" s="34"/>
      <c r="GUP352" s="34"/>
      <c r="GUQ352" s="34"/>
      <c r="GUR352" s="34"/>
      <c r="GUS352" s="34"/>
      <c r="GUT352" s="34"/>
      <c r="GUU352" s="34"/>
      <c r="GUV352" s="34"/>
      <c r="GUW352" s="34"/>
      <c r="GUX352" s="34"/>
      <c r="GUY352" s="34"/>
      <c r="GUZ352" s="34"/>
      <c r="GVA352" s="34"/>
      <c r="GVB352" s="34"/>
      <c r="GVC352" s="34"/>
      <c r="GVD352" s="34"/>
      <c r="GVE352" s="34"/>
      <c r="GVF352" s="34"/>
      <c r="GVG352" s="34"/>
      <c r="GVH352" s="34"/>
      <c r="GVI352" s="34"/>
      <c r="GVJ352" s="34"/>
      <c r="GVK352" s="34"/>
      <c r="GVL352" s="34"/>
      <c r="GVM352" s="34"/>
      <c r="GVN352" s="34"/>
      <c r="GVO352" s="34"/>
      <c r="GVP352" s="34"/>
      <c r="GVQ352" s="34"/>
      <c r="GVR352" s="34"/>
      <c r="GVS352" s="34"/>
      <c r="GVT352" s="34"/>
      <c r="GVU352" s="34"/>
      <c r="GVV352" s="34"/>
      <c r="GVW352" s="34"/>
      <c r="GVX352" s="34"/>
      <c r="GVY352" s="34"/>
      <c r="GVZ352" s="34"/>
      <c r="GWA352" s="34"/>
      <c r="GWB352" s="34"/>
      <c r="GWC352" s="34"/>
      <c r="GWD352" s="34"/>
      <c r="GWE352" s="34"/>
      <c r="GWF352" s="34"/>
      <c r="GWG352" s="34"/>
      <c r="GWH352" s="34"/>
      <c r="GWI352" s="34"/>
      <c r="GWJ352" s="34"/>
      <c r="GWK352" s="34"/>
      <c r="GWL352" s="34"/>
      <c r="GWM352" s="34"/>
      <c r="GWN352" s="34"/>
      <c r="GWO352" s="34"/>
      <c r="GWP352" s="34"/>
      <c r="GWQ352" s="34"/>
      <c r="GWR352" s="34"/>
      <c r="GWS352" s="34"/>
      <c r="GWT352" s="34"/>
      <c r="GWU352" s="34"/>
      <c r="GWV352" s="34"/>
      <c r="GWW352" s="34"/>
      <c r="GWX352" s="34"/>
      <c r="GWY352" s="34"/>
      <c r="GWZ352" s="34"/>
      <c r="GXA352" s="34"/>
      <c r="GXB352" s="34"/>
      <c r="GXC352" s="34"/>
      <c r="GXD352" s="34"/>
      <c r="GXE352" s="34"/>
      <c r="GXF352" s="34"/>
      <c r="GXG352" s="34"/>
      <c r="GXH352" s="34"/>
      <c r="GXI352" s="34"/>
      <c r="GXJ352" s="34"/>
      <c r="GXK352" s="34"/>
      <c r="GXL352" s="34"/>
      <c r="GXM352" s="34"/>
      <c r="GXN352" s="34"/>
      <c r="GXO352" s="34"/>
      <c r="GXP352" s="34"/>
      <c r="GXQ352" s="34"/>
      <c r="GXR352" s="34"/>
      <c r="GXS352" s="34"/>
      <c r="GXT352" s="34"/>
      <c r="GXU352" s="34"/>
      <c r="GXV352" s="34"/>
      <c r="GXW352" s="34"/>
      <c r="GXX352" s="34"/>
      <c r="GXY352" s="34"/>
      <c r="GXZ352" s="34"/>
      <c r="GYA352" s="34"/>
      <c r="GYB352" s="34"/>
      <c r="GYC352" s="34"/>
      <c r="GYD352" s="34"/>
      <c r="GYE352" s="34"/>
      <c r="GYF352" s="34"/>
      <c r="GYG352" s="34"/>
      <c r="GYH352" s="34"/>
      <c r="GYI352" s="34"/>
      <c r="GYJ352" s="34"/>
      <c r="GYK352" s="34"/>
      <c r="GYL352" s="34"/>
      <c r="GYM352" s="34"/>
      <c r="GYN352" s="34"/>
      <c r="GYO352" s="34"/>
      <c r="GYP352" s="34"/>
      <c r="GYQ352" s="34"/>
      <c r="GYR352" s="34"/>
      <c r="GYS352" s="34"/>
      <c r="GYT352" s="34"/>
      <c r="GYU352" s="34"/>
      <c r="GYV352" s="34"/>
      <c r="GYW352" s="34"/>
      <c r="GYX352" s="34"/>
      <c r="GYY352" s="34"/>
      <c r="GYZ352" s="34"/>
      <c r="GZA352" s="34"/>
      <c r="GZB352" s="34"/>
      <c r="GZC352" s="34"/>
      <c r="GZD352" s="34"/>
      <c r="GZE352" s="34"/>
      <c r="GZF352" s="34"/>
      <c r="GZG352" s="34"/>
      <c r="GZH352" s="34"/>
      <c r="GZI352" s="34"/>
      <c r="GZJ352" s="34"/>
      <c r="GZK352" s="34"/>
      <c r="GZL352" s="34"/>
      <c r="GZM352" s="34"/>
      <c r="GZN352" s="34"/>
      <c r="GZO352" s="34"/>
      <c r="GZP352" s="34"/>
      <c r="GZQ352" s="34"/>
      <c r="GZR352" s="34"/>
      <c r="GZS352" s="34"/>
      <c r="GZT352" s="34"/>
      <c r="GZU352" s="34"/>
      <c r="GZV352" s="34"/>
      <c r="GZW352" s="34"/>
      <c r="GZX352" s="34"/>
      <c r="GZY352" s="34"/>
      <c r="GZZ352" s="34"/>
      <c r="HAA352" s="34"/>
      <c r="HAB352" s="34"/>
      <c r="HAC352" s="34"/>
      <c r="HAD352" s="34"/>
      <c r="HAE352" s="34"/>
      <c r="HAF352" s="34"/>
      <c r="HAG352" s="34"/>
      <c r="HAH352" s="34"/>
      <c r="HAI352" s="34"/>
      <c r="HAJ352" s="34"/>
      <c r="HAK352" s="34"/>
      <c r="HAL352" s="34"/>
      <c r="HAM352" s="34"/>
      <c r="HAN352" s="34"/>
      <c r="HAO352" s="34"/>
      <c r="HAP352" s="34"/>
      <c r="HAQ352" s="34"/>
      <c r="HAR352" s="34"/>
      <c r="HAS352" s="34"/>
      <c r="HAT352" s="34"/>
      <c r="HAU352" s="34"/>
      <c r="HAV352" s="34"/>
      <c r="HAW352" s="34"/>
      <c r="HAX352" s="34"/>
      <c r="HAY352" s="34"/>
      <c r="HAZ352" s="34"/>
      <c r="HBA352" s="34"/>
      <c r="HBB352" s="34"/>
      <c r="HBC352" s="34"/>
      <c r="HBD352" s="34"/>
      <c r="HBE352" s="34"/>
      <c r="HBF352" s="34"/>
      <c r="HBG352" s="34"/>
      <c r="HBH352" s="34"/>
      <c r="HBI352" s="34"/>
      <c r="HBJ352" s="34"/>
      <c r="HBK352" s="34"/>
      <c r="HBL352" s="34"/>
      <c r="HBM352" s="34"/>
      <c r="HBN352" s="34"/>
      <c r="HBO352" s="34"/>
      <c r="HBP352" s="34"/>
      <c r="HBQ352" s="34"/>
      <c r="HBR352" s="34"/>
      <c r="HBS352" s="34"/>
      <c r="HBT352" s="34"/>
      <c r="HBU352" s="34"/>
      <c r="HBV352" s="34"/>
      <c r="HBW352" s="34"/>
      <c r="HBX352" s="34"/>
      <c r="HBY352" s="34"/>
      <c r="HBZ352" s="34"/>
      <c r="HCA352" s="34"/>
      <c r="HCB352" s="34"/>
      <c r="HCC352" s="34"/>
      <c r="HCD352" s="34"/>
      <c r="HCE352" s="34"/>
      <c r="HCF352" s="34"/>
      <c r="HCG352" s="34"/>
      <c r="HCH352" s="34"/>
      <c r="HCI352" s="34"/>
      <c r="HCJ352" s="34"/>
      <c r="HCK352" s="34"/>
      <c r="HCL352" s="34"/>
      <c r="HCM352" s="34"/>
      <c r="HCN352" s="34"/>
      <c r="HCO352" s="34"/>
      <c r="HCP352" s="34"/>
      <c r="HCQ352" s="34"/>
      <c r="HCR352" s="34"/>
      <c r="HCS352" s="34"/>
      <c r="HCT352" s="34"/>
      <c r="HCU352" s="34"/>
      <c r="HCV352" s="34"/>
      <c r="HCW352" s="34"/>
      <c r="HCX352" s="34"/>
      <c r="HCY352" s="34"/>
      <c r="HCZ352" s="34"/>
      <c r="HDA352" s="34"/>
      <c r="HDB352" s="34"/>
      <c r="HDC352" s="34"/>
      <c r="HDD352" s="34"/>
      <c r="HDE352" s="34"/>
      <c r="HDF352" s="34"/>
      <c r="HDG352" s="34"/>
      <c r="HDH352" s="34"/>
      <c r="HDI352" s="34"/>
      <c r="HDJ352" s="34"/>
      <c r="HDK352" s="34"/>
      <c r="HDL352" s="34"/>
      <c r="HDM352" s="34"/>
      <c r="HDN352" s="34"/>
      <c r="HDO352" s="34"/>
      <c r="HDP352" s="34"/>
      <c r="HDQ352" s="34"/>
      <c r="HDR352" s="34"/>
      <c r="HDS352" s="34"/>
      <c r="HDT352" s="34"/>
      <c r="HDU352" s="34"/>
      <c r="HDV352" s="34"/>
      <c r="HDW352" s="34"/>
      <c r="HDX352" s="34"/>
      <c r="HDY352" s="34"/>
      <c r="HDZ352" s="34"/>
      <c r="HEA352" s="34"/>
      <c r="HEB352" s="34"/>
      <c r="HEC352" s="34"/>
      <c r="HED352" s="34"/>
      <c r="HEE352" s="34"/>
      <c r="HEF352" s="34"/>
      <c r="HEG352" s="34"/>
      <c r="HEH352" s="34"/>
      <c r="HEI352" s="34"/>
      <c r="HEJ352" s="34"/>
      <c r="HEK352" s="34"/>
      <c r="HEL352" s="34"/>
      <c r="HEM352" s="34"/>
      <c r="HEN352" s="34"/>
      <c r="HEO352" s="34"/>
      <c r="HEP352" s="34"/>
      <c r="HEQ352" s="34"/>
      <c r="HER352" s="34"/>
      <c r="HES352" s="34"/>
      <c r="HET352" s="34"/>
      <c r="HEU352" s="34"/>
      <c r="HEV352" s="34"/>
      <c r="HEW352" s="34"/>
      <c r="HEX352" s="34"/>
      <c r="HEY352" s="34"/>
      <c r="HEZ352" s="34"/>
      <c r="HFA352" s="34"/>
      <c r="HFB352" s="34"/>
      <c r="HFC352" s="34"/>
      <c r="HFD352" s="34"/>
      <c r="HFE352" s="34"/>
      <c r="HFF352" s="34"/>
      <c r="HFG352" s="34"/>
      <c r="HFH352" s="34"/>
      <c r="HFI352" s="34"/>
      <c r="HFJ352" s="34"/>
      <c r="HFK352" s="34"/>
      <c r="HFL352" s="34"/>
      <c r="HFM352" s="34"/>
      <c r="HFN352" s="34"/>
      <c r="HFO352" s="34"/>
      <c r="HFP352" s="34"/>
      <c r="HFQ352" s="34"/>
      <c r="HFR352" s="34"/>
      <c r="HFS352" s="34"/>
      <c r="HFT352" s="34"/>
      <c r="HFU352" s="34"/>
      <c r="HFV352" s="34"/>
      <c r="HFW352" s="34"/>
      <c r="HFX352" s="34"/>
      <c r="HFY352" s="34"/>
      <c r="HFZ352" s="34"/>
      <c r="HGA352" s="34"/>
      <c r="HGB352" s="34"/>
      <c r="HGC352" s="34"/>
      <c r="HGD352" s="34"/>
      <c r="HGE352" s="34"/>
      <c r="HGF352" s="34"/>
      <c r="HGG352" s="34"/>
      <c r="HGH352" s="34"/>
      <c r="HGI352" s="34"/>
      <c r="HGJ352" s="34"/>
      <c r="HGK352" s="34"/>
      <c r="HGL352" s="34"/>
      <c r="HGM352" s="34"/>
      <c r="HGN352" s="34"/>
      <c r="HGO352" s="34"/>
      <c r="HGP352" s="34"/>
      <c r="HGQ352" s="34"/>
      <c r="HGR352" s="34"/>
      <c r="HGS352" s="34"/>
      <c r="HGT352" s="34"/>
      <c r="HGU352" s="34"/>
      <c r="HGV352" s="34"/>
      <c r="HGW352" s="34"/>
      <c r="HGX352" s="34"/>
      <c r="HGY352" s="34"/>
      <c r="HGZ352" s="34"/>
      <c r="HHA352" s="34"/>
      <c r="HHB352" s="34"/>
      <c r="HHC352" s="34"/>
      <c r="HHD352" s="34"/>
      <c r="HHE352" s="34"/>
      <c r="HHF352" s="34"/>
      <c r="HHG352" s="34"/>
      <c r="HHH352" s="34"/>
      <c r="HHI352" s="34"/>
      <c r="HHJ352" s="34"/>
      <c r="HHK352" s="34"/>
      <c r="HHL352" s="34"/>
      <c r="HHM352" s="34"/>
      <c r="HHN352" s="34"/>
      <c r="HHO352" s="34"/>
      <c r="HHP352" s="34"/>
      <c r="HHQ352" s="34"/>
      <c r="HHR352" s="34"/>
      <c r="HHS352" s="34"/>
      <c r="HHT352" s="34"/>
      <c r="HHU352" s="34"/>
      <c r="HHV352" s="34"/>
      <c r="HHW352" s="34"/>
      <c r="HHX352" s="34"/>
      <c r="HHY352" s="34"/>
      <c r="HHZ352" s="34"/>
      <c r="HIA352" s="34"/>
      <c r="HIB352" s="34"/>
      <c r="HIC352" s="34"/>
      <c r="HID352" s="34"/>
      <c r="HIE352" s="34"/>
      <c r="HIF352" s="34"/>
      <c r="HIG352" s="34"/>
      <c r="HIH352" s="34"/>
      <c r="HII352" s="34"/>
      <c r="HIJ352" s="34"/>
      <c r="HIK352" s="34"/>
      <c r="HIL352" s="34"/>
      <c r="HIM352" s="34"/>
      <c r="HIN352" s="34"/>
      <c r="HIO352" s="34"/>
      <c r="HIP352" s="34"/>
      <c r="HIQ352" s="34"/>
      <c r="HIR352" s="34"/>
      <c r="HIS352" s="34"/>
      <c r="HIT352" s="34"/>
      <c r="HIU352" s="34"/>
      <c r="HIV352" s="34"/>
      <c r="HIW352" s="34"/>
      <c r="HIX352" s="34"/>
      <c r="HIY352" s="34"/>
      <c r="HIZ352" s="34"/>
      <c r="HJA352" s="34"/>
      <c r="HJB352" s="34"/>
      <c r="HJC352" s="34"/>
      <c r="HJD352" s="34"/>
      <c r="HJE352" s="34"/>
      <c r="HJF352" s="34"/>
      <c r="HJG352" s="34"/>
      <c r="HJH352" s="34"/>
      <c r="HJI352" s="34"/>
      <c r="HJJ352" s="34"/>
      <c r="HJK352" s="34"/>
      <c r="HJL352" s="34"/>
      <c r="HJM352" s="34"/>
      <c r="HJN352" s="34"/>
      <c r="HJO352" s="34"/>
      <c r="HJP352" s="34"/>
      <c r="HJQ352" s="34"/>
      <c r="HJR352" s="34"/>
      <c r="HJS352" s="34"/>
      <c r="HJT352" s="34"/>
      <c r="HJU352" s="34"/>
      <c r="HJV352" s="34"/>
      <c r="HJW352" s="34"/>
      <c r="HJX352" s="34"/>
      <c r="HJY352" s="34"/>
      <c r="HJZ352" s="34"/>
      <c r="HKA352" s="34"/>
      <c r="HKB352" s="34"/>
      <c r="HKC352" s="34"/>
      <c r="HKD352" s="34"/>
      <c r="HKE352" s="34"/>
      <c r="HKF352" s="34"/>
      <c r="HKG352" s="34"/>
      <c r="HKH352" s="34"/>
      <c r="HKI352" s="34"/>
      <c r="HKJ352" s="34"/>
      <c r="HKK352" s="34"/>
      <c r="HKL352" s="34"/>
      <c r="HKM352" s="34"/>
      <c r="HKN352" s="34"/>
      <c r="HKO352" s="34"/>
      <c r="HKP352" s="34"/>
      <c r="HKQ352" s="34"/>
      <c r="HKR352" s="34"/>
      <c r="HKS352" s="34"/>
      <c r="HKT352" s="34"/>
      <c r="HKU352" s="34"/>
      <c r="HKV352" s="34"/>
      <c r="HKW352" s="34"/>
      <c r="HKX352" s="34"/>
      <c r="HKY352" s="34"/>
      <c r="HKZ352" s="34"/>
      <c r="HLA352" s="34"/>
      <c r="HLB352" s="34"/>
      <c r="HLC352" s="34"/>
      <c r="HLD352" s="34"/>
      <c r="HLE352" s="34"/>
      <c r="HLF352" s="34"/>
      <c r="HLG352" s="34"/>
      <c r="HLH352" s="34"/>
      <c r="HLI352" s="34"/>
      <c r="HLJ352" s="34"/>
      <c r="HLK352" s="34"/>
      <c r="HLL352" s="34"/>
      <c r="HLM352" s="34"/>
      <c r="HLN352" s="34"/>
      <c r="HLO352" s="34"/>
      <c r="HLP352" s="34"/>
      <c r="HLQ352" s="34"/>
      <c r="HLR352" s="34"/>
      <c r="HLS352" s="34"/>
      <c r="HLT352" s="34"/>
      <c r="HLU352" s="34"/>
      <c r="HLV352" s="34"/>
      <c r="HLW352" s="34"/>
      <c r="HLX352" s="34"/>
      <c r="HLY352" s="34"/>
      <c r="HLZ352" s="34"/>
      <c r="HMA352" s="34"/>
      <c r="HMB352" s="34"/>
      <c r="HMC352" s="34"/>
      <c r="HMD352" s="34"/>
      <c r="HME352" s="34"/>
      <c r="HMF352" s="34"/>
      <c r="HMG352" s="34"/>
      <c r="HMH352" s="34"/>
      <c r="HMI352" s="34"/>
      <c r="HMJ352" s="34"/>
      <c r="HMK352" s="34"/>
      <c r="HML352" s="34"/>
      <c r="HMM352" s="34"/>
      <c r="HMN352" s="34"/>
      <c r="HMO352" s="34"/>
      <c r="HMP352" s="34"/>
      <c r="HMQ352" s="34"/>
      <c r="HMR352" s="34"/>
      <c r="HMS352" s="34"/>
      <c r="HMT352" s="34"/>
      <c r="HMU352" s="34"/>
      <c r="HMV352" s="34"/>
      <c r="HMW352" s="34"/>
      <c r="HMX352" s="34"/>
      <c r="HMY352" s="34"/>
      <c r="HMZ352" s="34"/>
      <c r="HNA352" s="34"/>
      <c r="HNB352" s="34"/>
      <c r="HNC352" s="34"/>
      <c r="HND352" s="34"/>
      <c r="HNE352" s="34"/>
      <c r="HNF352" s="34"/>
      <c r="HNG352" s="34"/>
      <c r="HNH352" s="34"/>
      <c r="HNI352" s="34"/>
      <c r="HNJ352" s="34"/>
      <c r="HNK352" s="34"/>
      <c r="HNL352" s="34"/>
      <c r="HNM352" s="34"/>
      <c r="HNN352" s="34"/>
      <c r="HNO352" s="34"/>
      <c r="HNP352" s="34"/>
      <c r="HNQ352" s="34"/>
      <c r="HNR352" s="34"/>
      <c r="HNS352" s="34"/>
      <c r="HNT352" s="34"/>
      <c r="HNU352" s="34"/>
      <c r="HNV352" s="34"/>
      <c r="HNW352" s="34"/>
      <c r="HNX352" s="34"/>
      <c r="HNY352" s="34"/>
      <c r="HNZ352" s="34"/>
      <c r="HOA352" s="34"/>
      <c r="HOB352" s="34"/>
      <c r="HOC352" s="34"/>
      <c r="HOD352" s="34"/>
      <c r="HOE352" s="34"/>
      <c r="HOF352" s="34"/>
      <c r="HOG352" s="34"/>
      <c r="HOH352" s="34"/>
      <c r="HOI352" s="34"/>
      <c r="HOJ352" s="34"/>
      <c r="HOK352" s="34"/>
      <c r="HOL352" s="34"/>
      <c r="HOM352" s="34"/>
      <c r="HON352" s="34"/>
      <c r="HOO352" s="34"/>
      <c r="HOP352" s="34"/>
      <c r="HOQ352" s="34"/>
      <c r="HOR352" s="34"/>
      <c r="HOS352" s="34"/>
      <c r="HOT352" s="34"/>
      <c r="HOU352" s="34"/>
      <c r="HOV352" s="34"/>
      <c r="HOW352" s="34"/>
      <c r="HOX352" s="34"/>
      <c r="HOY352" s="34"/>
      <c r="HOZ352" s="34"/>
      <c r="HPA352" s="34"/>
      <c r="HPB352" s="34"/>
      <c r="HPC352" s="34"/>
      <c r="HPD352" s="34"/>
      <c r="HPE352" s="34"/>
      <c r="HPF352" s="34"/>
      <c r="HPG352" s="34"/>
      <c r="HPH352" s="34"/>
      <c r="HPI352" s="34"/>
      <c r="HPJ352" s="34"/>
      <c r="HPK352" s="34"/>
      <c r="HPL352" s="34"/>
      <c r="HPM352" s="34"/>
      <c r="HPN352" s="34"/>
      <c r="HPO352" s="34"/>
      <c r="HPP352" s="34"/>
      <c r="HPQ352" s="34"/>
      <c r="HPR352" s="34"/>
      <c r="HPS352" s="34"/>
      <c r="HPT352" s="34"/>
      <c r="HPU352" s="34"/>
      <c r="HPV352" s="34"/>
      <c r="HPW352" s="34"/>
      <c r="HPX352" s="34"/>
      <c r="HPY352" s="34"/>
      <c r="HPZ352" s="34"/>
      <c r="HQA352" s="34"/>
      <c r="HQB352" s="34"/>
      <c r="HQC352" s="34"/>
      <c r="HQD352" s="34"/>
      <c r="HQE352" s="34"/>
      <c r="HQF352" s="34"/>
      <c r="HQG352" s="34"/>
      <c r="HQH352" s="34"/>
      <c r="HQI352" s="34"/>
      <c r="HQJ352" s="34"/>
      <c r="HQK352" s="34"/>
      <c r="HQL352" s="34"/>
      <c r="HQM352" s="34"/>
      <c r="HQN352" s="34"/>
      <c r="HQO352" s="34"/>
      <c r="HQP352" s="34"/>
      <c r="HQQ352" s="34"/>
      <c r="HQR352" s="34"/>
      <c r="HQS352" s="34"/>
      <c r="HQT352" s="34"/>
      <c r="HQU352" s="34"/>
      <c r="HQV352" s="34"/>
      <c r="HQW352" s="34"/>
      <c r="HQX352" s="34"/>
      <c r="HQY352" s="34"/>
      <c r="HQZ352" s="34"/>
      <c r="HRA352" s="34"/>
      <c r="HRB352" s="34"/>
      <c r="HRC352" s="34"/>
      <c r="HRD352" s="34"/>
      <c r="HRE352" s="34"/>
      <c r="HRF352" s="34"/>
      <c r="HRG352" s="34"/>
      <c r="HRH352" s="34"/>
      <c r="HRI352" s="34"/>
      <c r="HRJ352" s="34"/>
      <c r="HRK352" s="34"/>
      <c r="HRL352" s="34"/>
      <c r="HRM352" s="34"/>
      <c r="HRN352" s="34"/>
      <c r="HRO352" s="34"/>
      <c r="HRP352" s="34"/>
      <c r="HRQ352" s="34"/>
      <c r="HRR352" s="34"/>
      <c r="HRS352" s="34"/>
      <c r="HRT352" s="34"/>
      <c r="HRU352" s="34"/>
      <c r="HRV352" s="34"/>
      <c r="HRW352" s="34"/>
      <c r="HRX352" s="34"/>
      <c r="HRY352" s="34"/>
      <c r="HRZ352" s="34"/>
      <c r="HSA352" s="34"/>
      <c r="HSB352" s="34"/>
      <c r="HSC352" s="34"/>
      <c r="HSD352" s="34"/>
      <c r="HSE352" s="34"/>
      <c r="HSF352" s="34"/>
      <c r="HSG352" s="34"/>
      <c r="HSH352" s="34"/>
      <c r="HSI352" s="34"/>
      <c r="HSJ352" s="34"/>
      <c r="HSK352" s="34"/>
      <c r="HSL352" s="34"/>
      <c r="HSM352" s="34"/>
      <c r="HSN352" s="34"/>
      <c r="HSO352" s="34"/>
      <c r="HSP352" s="34"/>
      <c r="HSQ352" s="34"/>
      <c r="HSR352" s="34"/>
      <c r="HSS352" s="34"/>
      <c r="HST352" s="34"/>
      <c r="HSU352" s="34"/>
      <c r="HSV352" s="34"/>
      <c r="HSW352" s="34"/>
      <c r="HSX352" s="34"/>
      <c r="HSY352" s="34"/>
      <c r="HSZ352" s="34"/>
      <c r="HTA352" s="34"/>
      <c r="HTB352" s="34"/>
      <c r="HTC352" s="34"/>
      <c r="HTD352" s="34"/>
      <c r="HTE352" s="34"/>
      <c r="HTF352" s="34"/>
      <c r="HTG352" s="34"/>
      <c r="HTH352" s="34"/>
      <c r="HTI352" s="34"/>
      <c r="HTJ352" s="34"/>
      <c r="HTK352" s="34"/>
      <c r="HTL352" s="34"/>
      <c r="HTM352" s="34"/>
      <c r="HTN352" s="34"/>
      <c r="HTO352" s="34"/>
      <c r="HTP352" s="34"/>
      <c r="HTQ352" s="34"/>
      <c r="HTR352" s="34"/>
      <c r="HTS352" s="34"/>
      <c r="HTT352" s="34"/>
      <c r="HTU352" s="34"/>
      <c r="HTV352" s="34"/>
      <c r="HTW352" s="34"/>
      <c r="HTX352" s="34"/>
      <c r="HTY352" s="34"/>
      <c r="HTZ352" s="34"/>
      <c r="HUA352" s="34"/>
      <c r="HUB352" s="34"/>
      <c r="HUC352" s="34"/>
      <c r="HUD352" s="34"/>
      <c r="HUE352" s="34"/>
      <c r="HUF352" s="34"/>
      <c r="HUG352" s="34"/>
      <c r="HUH352" s="34"/>
      <c r="HUI352" s="34"/>
      <c r="HUJ352" s="34"/>
      <c r="HUK352" s="34"/>
      <c r="HUL352" s="34"/>
      <c r="HUM352" s="34"/>
      <c r="HUN352" s="34"/>
      <c r="HUO352" s="34"/>
      <c r="HUP352" s="34"/>
      <c r="HUQ352" s="34"/>
      <c r="HUR352" s="34"/>
      <c r="HUS352" s="34"/>
      <c r="HUT352" s="34"/>
      <c r="HUU352" s="34"/>
      <c r="HUV352" s="34"/>
      <c r="HUW352" s="34"/>
      <c r="HUX352" s="34"/>
      <c r="HUY352" s="34"/>
      <c r="HUZ352" s="34"/>
      <c r="HVA352" s="34"/>
      <c r="HVB352" s="34"/>
      <c r="HVC352" s="34"/>
      <c r="HVD352" s="34"/>
      <c r="HVE352" s="34"/>
      <c r="HVF352" s="34"/>
      <c r="HVG352" s="34"/>
      <c r="HVH352" s="34"/>
      <c r="HVI352" s="34"/>
      <c r="HVJ352" s="34"/>
      <c r="HVK352" s="34"/>
      <c r="HVL352" s="34"/>
      <c r="HVM352" s="34"/>
      <c r="HVN352" s="34"/>
      <c r="HVO352" s="34"/>
      <c r="HVP352" s="34"/>
      <c r="HVQ352" s="34"/>
      <c r="HVR352" s="34"/>
      <c r="HVS352" s="34"/>
      <c r="HVT352" s="34"/>
      <c r="HVU352" s="34"/>
      <c r="HVV352" s="34"/>
      <c r="HVW352" s="34"/>
      <c r="HVX352" s="34"/>
      <c r="HVY352" s="34"/>
      <c r="HVZ352" s="34"/>
      <c r="HWA352" s="34"/>
      <c r="HWB352" s="34"/>
      <c r="HWC352" s="34"/>
      <c r="HWD352" s="34"/>
      <c r="HWE352" s="34"/>
      <c r="HWF352" s="34"/>
      <c r="HWG352" s="34"/>
      <c r="HWH352" s="34"/>
      <c r="HWI352" s="34"/>
      <c r="HWJ352" s="34"/>
      <c r="HWK352" s="34"/>
      <c r="HWL352" s="34"/>
      <c r="HWM352" s="34"/>
      <c r="HWN352" s="34"/>
      <c r="HWO352" s="34"/>
      <c r="HWP352" s="34"/>
      <c r="HWQ352" s="34"/>
      <c r="HWR352" s="34"/>
      <c r="HWS352" s="34"/>
      <c r="HWT352" s="34"/>
      <c r="HWU352" s="34"/>
      <c r="HWV352" s="34"/>
      <c r="HWW352" s="34"/>
      <c r="HWX352" s="34"/>
      <c r="HWY352" s="34"/>
      <c r="HWZ352" s="34"/>
      <c r="HXA352" s="34"/>
      <c r="HXB352" s="34"/>
      <c r="HXC352" s="34"/>
      <c r="HXD352" s="34"/>
      <c r="HXE352" s="34"/>
      <c r="HXF352" s="34"/>
      <c r="HXG352" s="34"/>
      <c r="HXH352" s="34"/>
      <c r="HXI352" s="34"/>
      <c r="HXJ352" s="34"/>
      <c r="HXK352" s="34"/>
      <c r="HXL352" s="34"/>
      <c r="HXM352" s="34"/>
      <c r="HXN352" s="34"/>
      <c r="HXO352" s="34"/>
      <c r="HXP352" s="34"/>
      <c r="HXQ352" s="34"/>
      <c r="HXR352" s="34"/>
      <c r="HXS352" s="34"/>
      <c r="HXT352" s="34"/>
      <c r="HXU352" s="34"/>
      <c r="HXV352" s="34"/>
      <c r="HXW352" s="34"/>
      <c r="HXX352" s="34"/>
      <c r="HXY352" s="34"/>
      <c r="HXZ352" s="34"/>
      <c r="HYA352" s="34"/>
      <c r="HYB352" s="34"/>
      <c r="HYC352" s="34"/>
      <c r="HYD352" s="34"/>
      <c r="HYE352" s="34"/>
      <c r="HYF352" s="34"/>
      <c r="HYG352" s="34"/>
      <c r="HYH352" s="34"/>
      <c r="HYI352" s="34"/>
      <c r="HYJ352" s="34"/>
      <c r="HYK352" s="34"/>
      <c r="HYL352" s="34"/>
      <c r="HYM352" s="34"/>
      <c r="HYN352" s="34"/>
      <c r="HYO352" s="34"/>
      <c r="HYP352" s="34"/>
      <c r="HYQ352" s="34"/>
      <c r="HYR352" s="34"/>
      <c r="HYS352" s="34"/>
      <c r="HYT352" s="34"/>
      <c r="HYU352" s="34"/>
      <c r="HYV352" s="34"/>
      <c r="HYW352" s="34"/>
      <c r="HYX352" s="34"/>
      <c r="HYY352" s="34"/>
      <c r="HYZ352" s="34"/>
      <c r="HZA352" s="34"/>
      <c r="HZB352" s="34"/>
      <c r="HZC352" s="34"/>
      <c r="HZD352" s="34"/>
      <c r="HZE352" s="34"/>
      <c r="HZF352" s="34"/>
      <c r="HZG352" s="34"/>
      <c r="HZH352" s="34"/>
      <c r="HZI352" s="34"/>
      <c r="HZJ352" s="34"/>
      <c r="HZK352" s="34"/>
      <c r="HZL352" s="34"/>
      <c r="HZM352" s="34"/>
      <c r="HZN352" s="34"/>
      <c r="HZO352" s="34"/>
      <c r="HZP352" s="34"/>
      <c r="HZQ352" s="34"/>
      <c r="HZR352" s="34"/>
      <c r="HZS352" s="34"/>
      <c r="HZT352" s="34"/>
      <c r="HZU352" s="34"/>
      <c r="HZV352" s="34"/>
      <c r="HZW352" s="34"/>
      <c r="HZX352" s="34"/>
      <c r="HZY352" s="34"/>
      <c r="HZZ352" s="34"/>
      <c r="IAA352" s="34"/>
      <c r="IAB352" s="34"/>
      <c r="IAC352" s="34"/>
      <c r="IAD352" s="34"/>
      <c r="IAE352" s="34"/>
      <c r="IAF352" s="34"/>
      <c r="IAG352" s="34"/>
      <c r="IAH352" s="34"/>
      <c r="IAI352" s="34"/>
      <c r="IAJ352" s="34"/>
      <c r="IAK352" s="34"/>
      <c r="IAL352" s="34"/>
      <c r="IAM352" s="34"/>
      <c r="IAN352" s="34"/>
      <c r="IAO352" s="34"/>
      <c r="IAP352" s="34"/>
      <c r="IAQ352" s="34"/>
      <c r="IAR352" s="34"/>
      <c r="IAS352" s="34"/>
      <c r="IAT352" s="34"/>
      <c r="IAU352" s="34"/>
      <c r="IAV352" s="34"/>
      <c r="IAW352" s="34"/>
      <c r="IAX352" s="34"/>
      <c r="IAY352" s="34"/>
      <c r="IAZ352" s="34"/>
      <c r="IBA352" s="34"/>
      <c r="IBB352" s="34"/>
      <c r="IBC352" s="34"/>
      <c r="IBD352" s="34"/>
      <c r="IBE352" s="34"/>
      <c r="IBF352" s="34"/>
      <c r="IBG352" s="34"/>
      <c r="IBH352" s="34"/>
      <c r="IBI352" s="34"/>
      <c r="IBJ352" s="34"/>
      <c r="IBK352" s="34"/>
      <c r="IBL352" s="34"/>
      <c r="IBM352" s="34"/>
      <c r="IBN352" s="34"/>
      <c r="IBO352" s="34"/>
      <c r="IBP352" s="34"/>
      <c r="IBQ352" s="34"/>
      <c r="IBR352" s="34"/>
      <c r="IBS352" s="34"/>
      <c r="IBT352" s="34"/>
      <c r="IBU352" s="34"/>
      <c r="IBV352" s="34"/>
      <c r="IBW352" s="34"/>
      <c r="IBX352" s="34"/>
      <c r="IBY352" s="34"/>
      <c r="IBZ352" s="34"/>
      <c r="ICA352" s="34"/>
      <c r="ICB352" s="34"/>
      <c r="ICC352" s="34"/>
      <c r="ICD352" s="34"/>
      <c r="ICE352" s="34"/>
      <c r="ICF352" s="34"/>
      <c r="ICG352" s="34"/>
      <c r="ICH352" s="34"/>
      <c r="ICI352" s="34"/>
      <c r="ICJ352" s="34"/>
      <c r="ICK352" s="34"/>
      <c r="ICL352" s="34"/>
      <c r="ICM352" s="34"/>
      <c r="ICN352" s="34"/>
      <c r="ICO352" s="34"/>
      <c r="ICP352" s="34"/>
      <c r="ICQ352" s="34"/>
      <c r="ICR352" s="34"/>
      <c r="ICS352" s="34"/>
      <c r="ICT352" s="34"/>
      <c r="ICU352" s="34"/>
      <c r="ICV352" s="34"/>
      <c r="ICW352" s="34"/>
      <c r="ICX352" s="34"/>
      <c r="ICY352" s="34"/>
      <c r="ICZ352" s="34"/>
      <c r="IDA352" s="34"/>
      <c r="IDB352" s="34"/>
      <c r="IDC352" s="34"/>
      <c r="IDD352" s="34"/>
      <c r="IDE352" s="34"/>
      <c r="IDF352" s="34"/>
      <c r="IDG352" s="34"/>
      <c r="IDH352" s="34"/>
      <c r="IDI352" s="34"/>
      <c r="IDJ352" s="34"/>
      <c r="IDK352" s="34"/>
      <c r="IDL352" s="34"/>
      <c r="IDM352" s="34"/>
      <c r="IDN352" s="34"/>
      <c r="IDO352" s="34"/>
      <c r="IDP352" s="34"/>
      <c r="IDQ352" s="34"/>
      <c r="IDR352" s="34"/>
      <c r="IDS352" s="34"/>
      <c r="IDT352" s="34"/>
      <c r="IDU352" s="34"/>
      <c r="IDV352" s="34"/>
      <c r="IDW352" s="34"/>
      <c r="IDX352" s="34"/>
      <c r="IDY352" s="34"/>
      <c r="IDZ352" s="34"/>
      <c r="IEA352" s="34"/>
      <c r="IEB352" s="34"/>
      <c r="IEC352" s="34"/>
      <c r="IED352" s="34"/>
      <c r="IEE352" s="34"/>
      <c r="IEF352" s="34"/>
      <c r="IEG352" s="34"/>
      <c r="IEH352" s="34"/>
      <c r="IEI352" s="34"/>
      <c r="IEJ352" s="34"/>
      <c r="IEK352" s="34"/>
      <c r="IEL352" s="34"/>
      <c r="IEM352" s="34"/>
      <c r="IEN352" s="34"/>
      <c r="IEO352" s="34"/>
      <c r="IEP352" s="34"/>
      <c r="IEQ352" s="34"/>
      <c r="IER352" s="34"/>
      <c r="IES352" s="34"/>
      <c r="IET352" s="34"/>
      <c r="IEU352" s="34"/>
      <c r="IEV352" s="34"/>
      <c r="IEW352" s="34"/>
      <c r="IEX352" s="34"/>
      <c r="IEY352" s="34"/>
      <c r="IEZ352" s="34"/>
      <c r="IFA352" s="34"/>
      <c r="IFB352" s="34"/>
      <c r="IFC352" s="34"/>
      <c r="IFD352" s="34"/>
      <c r="IFE352" s="34"/>
      <c r="IFF352" s="34"/>
      <c r="IFG352" s="34"/>
      <c r="IFH352" s="34"/>
      <c r="IFI352" s="34"/>
      <c r="IFJ352" s="34"/>
      <c r="IFK352" s="34"/>
      <c r="IFL352" s="34"/>
      <c r="IFM352" s="34"/>
      <c r="IFN352" s="34"/>
      <c r="IFO352" s="34"/>
      <c r="IFP352" s="34"/>
      <c r="IFQ352" s="34"/>
      <c r="IFR352" s="34"/>
      <c r="IFS352" s="34"/>
      <c r="IFT352" s="34"/>
      <c r="IFU352" s="34"/>
      <c r="IFV352" s="34"/>
      <c r="IFW352" s="34"/>
      <c r="IFX352" s="34"/>
      <c r="IFY352" s="34"/>
      <c r="IFZ352" s="34"/>
      <c r="IGA352" s="34"/>
      <c r="IGB352" s="34"/>
      <c r="IGC352" s="34"/>
      <c r="IGD352" s="34"/>
      <c r="IGE352" s="34"/>
      <c r="IGF352" s="34"/>
      <c r="IGG352" s="34"/>
      <c r="IGH352" s="34"/>
      <c r="IGI352" s="34"/>
      <c r="IGJ352" s="34"/>
      <c r="IGK352" s="34"/>
      <c r="IGL352" s="34"/>
      <c r="IGM352" s="34"/>
      <c r="IGN352" s="34"/>
      <c r="IGO352" s="34"/>
      <c r="IGP352" s="34"/>
      <c r="IGQ352" s="34"/>
      <c r="IGR352" s="34"/>
      <c r="IGS352" s="34"/>
      <c r="IGT352" s="34"/>
      <c r="IGU352" s="34"/>
      <c r="IGV352" s="34"/>
      <c r="IGW352" s="34"/>
      <c r="IGX352" s="34"/>
      <c r="IGY352" s="34"/>
      <c r="IGZ352" s="34"/>
      <c r="IHA352" s="34"/>
      <c r="IHB352" s="34"/>
      <c r="IHC352" s="34"/>
      <c r="IHD352" s="34"/>
      <c r="IHE352" s="34"/>
      <c r="IHF352" s="34"/>
      <c r="IHG352" s="34"/>
      <c r="IHH352" s="34"/>
      <c r="IHI352" s="34"/>
      <c r="IHJ352" s="34"/>
      <c r="IHK352" s="34"/>
      <c r="IHL352" s="34"/>
      <c r="IHM352" s="34"/>
      <c r="IHN352" s="34"/>
      <c r="IHO352" s="34"/>
      <c r="IHP352" s="34"/>
      <c r="IHQ352" s="34"/>
      <c r="IHR352" s="34"/>
      <c r="IHS352" s="34"/>
      <c r="IHT352" s="34"/>
      <c r="IHU352" s="34"/>
      <c r="IHV352" s="34"/>
      <c r="IHW352" s="34"/>
      <c r="IHX352" s="34"/>
      <c r="IHY352" s="34"/>
      <c r="IHZ352" s="34"/>
      <c r="IIA352" s="34"/>
      <c r="IIB352" s="34"/>
      <c r="IIC352" s="34"/>
      <c r="IID352" s="34"/>
      <c r="IIE352" s="34"/>
      <c r="IIF352" s="34"/>
      <c r="IIG352" s="34"/>
      <c r="IIH352" s="34"/>
      <c r="III352" s="34"/>
      <c r="IIJ352" s="34"/>
      <c r="IIK352" s="34"/>
      <c r="IIL352" s="34"/>
      <c r="IIM352" s="34"/>
      <c r="IIN352" s="34"/>
      <c r="IIO352" s="34"/>
      <c r="IIP352" s="34"/>
      <c r="IIQ352" s="34"/>
      <c r="IIR352" s="34"/>
      <c r="IIS352" s="34"/>
      <c r="IIT352" s="34"/>
      <c r="IIU352" s="34"/>
      <c r="IIV352" s="34"/>
      <c r="IIW352" s="34"/>
      <c r="IIX352" s="34"/>
      <c r="IIY352" s="34"/>
      <c r="IIZ352" s="34"/>
      <c r="IJA352" s="34"/>
      <c r="IJB352" s="34"/>
      <c r="IJC352" s="34"/>
      <c r="IJD352" s="34"/>
      <c r="IJE352" s="34"/>
      <c r="IJF352" s="34"/>
      <c r="IJG352" s="34"/>
      <c r="IJH352" s="34"/>
      <c r="IJI352" s="34"/>
      <c r="IJJ352" s="34"/>
      <c r="IJK352" s="34"/>
      <c r="IJL352" s="34"/>
      <c r="IJM352" s="34"/>
      <c r="IJN352" s="34"/>
      <c r="IJO352" s="34"/>
      <c r="IJP352" s="34"/>
      <c r="IJQ352" s="34"/>
      <c r="IJR352" s="34"/>
      <c r="IJS352" s="34"/>
      <c r="IJT352" s="34"/>
      <c r="IJU352" s="34"/>
      <c r="IJV352" s="34"/>
      <c r="IJW352" s="34"/>
      <c r="IJX352" s="34"/>
      <c r="IJY352" s="34"/>
      <c r="IJZ352" s="34"/>
      <c r="IKA352" s="34"/>
      <c r="IKB352" s="34"/>
      <c r="IKC352" s="34"/>
      <c r="IKD352" s="34"/>
      <c r="IKE352" s="34"/>
      <c r="IKF352" s="34"/>
      <c r="IKG352" s="34"/>
      <c r="IKH352" s="34"/>
      <c r="IKI352" s="34"/>
      <c r="IKJ352" s="34"/>
      <c r="IKK352" s="34"/>
      <c r="IKL352" s="34"/>
      <c r="IKM352" s="34"/>
      <c r="IKN352" s="34"/>
      <c r="IKO352" s="34"/>
      <c r="IKP352" s="34"/>
      <c r="IKQ352" s="34"/>
      <c r="IKR352" s="34"/>
      <c r="IKS352" s="34"/>
      <c r="IKT352" s="34"/>
      <c r="IKU352" s="34"/>
      <c r="IKV352" s="34"/>
      <c r="IKW352" s="34"/>
      <c r="IKX352" s="34"/>
      <c r="IKY352" s="34"/>
      <c r="IKZ352" s="34"/>
      <c r="ILA352" s="34"/>
      <c r="ILB352" s="34"/>
      <c r="ILC352" s="34"/>
      <c r="ILD352" s="34"/>
      <c r="ILE352" s="34"/>
      <c r="ILF352" s="34"/>
      <c r="ILG352" s="34"/>
      <c r="ILH352" s="34"/>
      <c r="ILI352" s="34"/>
      <c r="ILJ352" s="34"/>
      <c r="ILK352" s="34"/>
      <c r="ILL352" s="34"/>
      <c r="ILM352" s="34"/>
      <c r="ILN352" s="34"/>
      <c r="ILO352" s="34"/>
      <c r="ILP352" s="34"/>
      <c r="ILQ352" s="34"/>
      <c r="ILR352" s="34"/>
      <c r="ILS352" s="34"/>
      <c r="ILT352" s="34"/>
      <c r="ILU352" s="34"/>
      <c r="ILV352" s="34"/>
      <c r="ILW352" s="34"/>
      <c r="ILX352" s="34"/>
      <c r="ILY352" s="34"/>
      <c r="ILZ352" s="34"/>
      <c r="IMA352" s="34"/>
      <c r="IMB352" s="34"/>
      <c r="IMC352" s="34"/>
      <c r="IMD352" s="34"/>
      <c r="IME352" s="34"/>
      <c r="IMF352" s="34"/>
      <c r="IMG352" s="34"/>
      <c r="IMH352" s="34"/>
      <c r="IMI352" s="34"/>
      <c r="IMJ352" s="34"/>
      <c r="IMK352" s="34"/>
      <c r="IML352" s="34"/>
      <c r="IMM352" s="34"/>
      <c r="IMN352" s="34"/>
      <c r="IMO352" s="34"/>
      <c r="IMP352" s="34"/>
      <c r="IMQ352" s="34"/>
      <c r="IMR352" s="34"/>
      <c r="IMS352" s="34"/>
      <c r="IMT352" s="34"/>
      <c r="IMU352" s="34"/>
      <c r="IMV352" s="34"/>
      <c r="IMW352" s="34"/>
      <c r="IMX352" s="34"/>
      <c r="IMY352" s="34"/>
      <c r="IMZ352" s="34"/>
      <c r="INA352" s="34"/>
      <c r="INB352" s="34"/>
      <c r="INC352" s="34"/>
      <c r="IND352" s="34"/>
      <c r="INE352" s="34"/>
      <c r="INF352" s="34"/>
      <c r="ING352" s="34"/>
      <c r="INH352" s="34"/>
      <c r="INI352" s="34"/>
      <c r="INJ352" s="34"/>
      <c r="INK352" s="34"/>
      <c r="INL352" s="34"/>
      <c r="INM352" s="34"/>
      <c r="INN352" s="34"/>
      <c r="INO352" s="34"/>
      <c r="INP352" s="34"/>
      <c r="INQ352" s="34"/>
      <c r="INR352" s="34"/>
      <c r="INS352" s="34"/>
      <c r="INT352" s="34"/>
      <c r="INU352" s="34"/>
      <c r="INV352" s="34"/>
      <c r="INW352" s="34"/>
      <c r="INX352" s="34"/>
      <c r="INY352" s="34"/>
      <c r="INZ352" s="34"/>
      <c r="IOA352" s="34"/>
      <c r="IOB352" s="34"/>
      <c r="IOC352" s="34"/>
      <c r="IOD352" s="34"/>
      <c r="IOE352" s="34"/>
      <c r="IOF352" s="34"/>
      <c r="IOG352" s="34"/>
      <c r="IOH352" s="34"/>
      <c r="IOI352" s="34"/>
      <c r="IOJ352" s="34"/>
      <c r="IOK352" s="34"/>
      <c r="IOL352" s="34"/>
      <c r="IOM352" s="34"/>
      <c r="ION352" s="34"/>
      <c r="IOO352" s="34"/>
      <c r="IOP352" s="34"/>
      <c r="IOQ352" s="34"/>
      <c r="IOR352" s="34"/>
      <c r="IOS352" s="34"/>
      <c r="IOT352" s="34"/>
      <c r="IOU352" s="34"/>
      <c r="IOV352" s="34"/>
      <c r="IOW352" s="34"/>
      <c r="IOX352" s="34"/>
      <c r="IOY352" s="34"/>
      <c r="IOZ352" s="34"/>
      <c r="IPA352" s="34"/>
      <c r="IPB352" s="34"/>
      <c r="IPC352" s="34"/>
      <c r="IPD352" s="34"/>
      <c r="IPE352" s="34"/>
      <c r="IPF352" s="34"/>
      <c r="IPG352" s="34"/>
      <c r="IPH352" s="34"/>
      <c r="IPI352" s="34"/>
      <c r="IPJ352" s="34"/>
      <c r="IPK352" s="34"/>
      <c r="IPL352" s="34"/>
      <c r="IPM352" s="34"/>
      <c r="IPN352" s="34"/>
      <c r="IPO352" s="34"/>
      <c r="IPP352" s="34"/>
      <c r="IPQ352" s="34"/>
      <c r="IPR352" s="34"/>
      <c r="IPS352" s="34"/>
      <c r="IPT352" s="34"/>
      <c r="IPU352" s="34"/>
      <c r="IPV352" s="34"/>
      <c r="IPW352" s="34"/>
      <c r="IPX352" s="34"/>
      <c r="IPY352" s="34"/>
      <c r="IPZ352" s="34"/>
      <c r="IQA352" s="34"/>
      <c r="IQB352" s="34"/>
      <c r="IQC352" s="34"/>
      <c r="IQD352" s="34"/>
      <c r="IQE352" s="34"/>
      <c r="IQF352" s="34"/>
      <c r="IQG352" s="34"/>
      <c r="IQH352" s="34"/>
      <c r="IQI352" s="34"/>
      <c r="IQJ352" s="34"/>
      <c r="IQK352" s="34"/>
      <c r="IQL352" s="34"/>
      <c r="IQM352" s="34"/>
      <c r="IQN352" s="34"/>
      <c r="IQO352" s="34"/>
      <c r="IQP352" s="34"/>
      <c r="IQQ352" s="34"/>
      <c r="IQR352" s="34"/>
      <c r="IQS352" s="34"/>
      <c r="IQT352" s="34"/>
      <c r="IQU352" s="34"/>
      <c r="IQV352" s="34"/>
      <c r="IQW352" s="34"/>
      <c r="IQX352" s="34"/>
      <c r="IQY352" s="34"/>
      <c r="IQZ352" s="34"/>
      <c r="IRA352" s="34"/>
      <c r="IRB352" s="34"/>
      <c r="IRC352" s="34"/>
      <c r="IRD352" s="34"/>
      <c r="IRE352" s="34"/>
      <c r="IRF352" s="34"/>
      <c r="IRG352" s="34"/>
      <c r="IRH352" s="34"/>
      <c r="IRI352" s="34"/>
      <c r="IRJ352" s="34"/>
      <c r="IRK352" s="34"/>
      <c r="IRL352" s="34"/>
      <c r="IRM352" s="34"/>
      <c r="IRN352" s="34"/>
      <c r="IRO352" s="34"/>
      <c r="IRP352" s="34"/>
      <c r="IRQ352" s="34"/>
      <c r="IRR352" s="34"/>
      <c r="IRS352" s="34"/>
      <c r="IRT352" s="34"/>
      <c r="IRU352" s="34"/>
      <c r="IRV352" s="34"/>
      <c r="IRW352" s="34"/>
      <c r="IRX352" s="34"/>
      <c r="IRY352" s="34"/>
      <c r="IRZ352" s="34"/>
      <c r="ISA352" s="34"/>
      <c r="ISB352" s="34"/>
      <c r="ISC352" s="34"/>
      <c r="ISD352" s="34"/>
      <c r="ISE352" s="34"/>
      <c r="ISF352" s="34"/>
      <c r="ISG352" s="34"/>
      <c r="ISH352" s="34"/>
      <c r="ISI352" s="34"/>
      <c r="ISJ352" s="34"/>
      <c r="ISK352" s="34"/>
      <c r="ISL352" s="34"/>
      <c r="ISM352" s="34"/>
      <c r="ISN352" s="34"/>
      <c r="ISO352" s="34"/>
      <c r="ISP352" s="34"/>
      <c r="ISQ352" s="34"/>
      <c r="ISR352" s="34"/>
      <c r="ISS352" s="34"/>
      <c r="IST352" s="34"/>
      <c r="ISU352" s="34"/>
      <c r="ISV352" s="34"/>
      <c r="ISW352" s="34"/>
      <c r="ISX352" s="34"/>
      <c r="ISY352" s="34"/>
      <c r="ISZ352" s="34"/>
      <c r="ITA352" s="34"/>
      <c r="ITB352" s="34"/>
      <c r="ITC352" s="34"/>
      <c r="ITD352" s="34"/>
      <c r="ITE352" s="34"/>
      <c r="ITF352" s="34"/>
      <c r="ITG352" s="34"/>
      <c r="ITH352" s="34"/>
      <c r="ITI352" s="34"/>
      <c r="ITJ352" s="34"/>
      <c r="ITK352" s="34"/>
      <c r="ITL352" s="34"/>
      <c r="ITM352" s="34"/>
      <c r="ITN352" s="34"/>
      <c r="ITO352" s="34"/>
      <c r="ITP352" s="34"/>
      <c r="ITQ352" s="34"/>
      <c r="ITR352" s="34"/>
      <c r="ITS352" s="34"/>
      <c r="ITT352" s="34"/>
      <c r="ITU352" s="34"/>
      <c r="ITV352" s="34"/>
      <c r="ITW352" s="34"/>
      <c r="ITX352" s="34"/>
      <c r="ITY352" s="34"/>
      <c r="ITZ352" s="34"/>
      <c r="IUA352" s="34"/>
      <c r="IUB352" s="34"/>
      <c r="IUC352" s="34"/>
      <c r="IUD352" s="34"/>
      <c r="IUE352" s="34"/>
      <c r="IUF352" s="34"/>
      <c r="IUG352" s="34"/>
      <c r="IUH352" s="34"/>
      <c r="IUI352" s="34"/>
      <c r="IUJ352" s="34"/>
      <c r="IUK352" s="34"/>
      <c r="IUL352" s="34"/>
      <c r="IUM352" s="34"/>
      <c r="IUN352" s="34"/>
      <c r="IUO352" s="34"/>
      <c r="IUP352" s="34"/>
      <c r="IUQ352" s="34"/>
      <c r="IUR352" s="34"/>
      <c r="IUS352" s="34"/>
      <c r="IUT352" s="34"/>
      <c r="IUU352" s="34"/>
      <c r="IUV352" s="34"/>
      <c r="IUW352" s="34"/>
      <c r="IUX352" s="34"/>
      <c r="IUY352" s="34"/>
      <c r="IUZ352" s="34"/>
      <c r="IVA352" s="34"/>
      <c r="IVB352" s="34"/>
      <c r="IVC352" s="34"/>
      <c r="IVD352" s="34"/>
      <c r="IVE352" s="34"/>
      <c r="IVF352" s="34"/>
      <c r="IVG352" s="34"/>
      <c r="IVH352" s="34"/>
      <c r="IVI352" s="34"/>
      <c r="IVJ352" s="34"/>
      <c r="IVK352" s="34"/>
      <c r="IVL352" s="34"/>
      <c r="IVM352" s="34"/>
      <c r="IVN352" s="34"/>
      <c r="IVO352" s="34"/>
      <c r="IVP352" s="34"/>
      <c r="IVQ352" s="34"/>
      <c r="IVR352" s="34"/>
      <c r="IVS352" s="34"/>
      <c r="IVT352" s="34"/>
      <c r="IVU352" s="34"/>
      <c r="IVV352" s="34"/>
      <c r="IVW352" s="34"/>
      <c r="IVX352" s="34"/>
      <c r="IVY352" s="34"/>
      <c r="IVZ352" s="34"/>
      <c r="IWA352" s="34"/>
      <c r="IWB352" s="34"/>
      <c r="IWC352" s="34"/>
      <c r="IWD352" s="34"/>
      <c r="IWE352" s="34"/>
      <c r="IWF352" s="34"/>
      <c r="IWG352" s="34"/>
      <c r="IWH352" s="34"/>
      <c r="IWI352" s="34"/>
      <c r="IWJ352" s="34"/>
      <c r="IWK352" s="34"/>
      <c r="IWL352" s="34"/>
      <c r="IWM352" s="34"/>
      <c r="IWN352" s="34"/>
      <c r="IWO352" s="34"/>
      <c r="IWP352" s="34"/>
      <c r="IWQ352" s="34"/>
      <c r="IWR352" s="34"/>
      <c r="IWS352" s="34"/>
      <c r="IWT352" s="34"/>
      <c r="IWU352" s="34"/>
      <c r="IWV352" s="34"/>
      <c r="IWW352" s="34"/>
      <c r="IWX352" s="34"/>
      <c r="IWY352" s="34"/>
      <c r="IWZ352" s="34"/>
      <c r="IXA352" s="34"/>
      <c r="IXB352" s="34"/>
      <c r="IXC352" s="34"/>
      <c r="IXD352" s="34"/>
      <c r="IXE352" s="34"/>
      <c r="IXF352" s="34"/>
      <c r="IXG352" s="34"/>
      <c r="IXH352" s="34"/>
      <c r="IXI352" s="34"/>
      <c r="IXJ352" s="34"/>
      <c r="IXK352" s="34"/>
      <c r="IXL352" s="34"/>
      <c r="IXM352" s="34"/>
      <c r="IXN352" s="34"/>
      <c r="IXO352" s="34"/>
      <c r="IXP352" s="34"/>
      <c r="IXQ352" s="34"/>
      <c r="IXR352" s="34"/>
      <c r="IXS352" s="34"/>
      <c r="IXT352" s="34"/>
      <c r="IXU352" s="34"/>
      <c r="IXV352" s="34"/>
      <c r="IXW352" s="34"/>
      <c r="IXX352" s="34"/>
      <c r="IXY352" s="34"/>
      <c r="IXZ352" s="34"/>
      <c r="IYA352" s="34"/>
      <c r="IYB352" s="34"/>
      <c r="IYC352" s="34"/>
      <c r="IYD352" s="34"/>
      <c r="IYE352" s="34"/>
      <c r="IYF352" s="34"/>
      <c r="IYG352" s="34"/>
      <c r="IYH352" s="34"/>
      <c r="IYI352" s="34"/>
      <c r="IYJ352" s="34"/>
      <c r="IYK352" s="34"/>
      <c r="IYL352" s="34"/>
      <c r="IYM352" s="34"/>
      <c r="IYN352" s="34"/>
      <c r="IYO352" s="34"/>
      <c r="IYP352" s="34"/>
      <c r="IYQ352" s="34"/>
      <c r="IYR352" s="34"/>
      <c r="IYS352" s="34"/>
      <c r="IYT352" s="34"/>
      <c r="IYU352" s="34"/>
      <c r="IYV352" s="34"/>
      <c r="IYW352" s="34"/>
      <c r="IYX352" s="34"/>
      <c r="IYY352" s="34"/>
      <c r="IYZ352" s="34"/>
      <c r="IZA352" s="34"/>
      <c r="IZB352" s="34"/>
      <c r="IZC352" s="34"/>
      <c r="IZD352" s="34"/>
      <c r="IZE352" s="34"/>
      <c r="IZF352" s="34"/>
      <c r="IZG352" s="34"/>
      <c r="IZH352" s="34"/>
      <c r="IZI352" s="34"/>
      <c r="IZJ352" s="34"/>
      <c r="IZK352" s="34"/>
      <c r="IZL352" s="34"/>
      <c r="IZM352" s="34"/>
      <c r="IZN352" s="34"/>
      <c r="IZO352" s="34"/>
      <c r="IZP352" s="34"/>
      <c r="IZQ352" s="34"/>
      <c r="IZR352" s="34"/>
      <c r="IZS352" s="34"/>
      <c r="IZT352" s="34"/>
      <c r="IZU352" s="34"/>
      <c r="IZV352" s="34"/>
      <c r="IZW352" s="34"/>
      <c r="IZX352" s="34"/>
      <c r="IZY352" s="34"/>
      <c r="IZZ352" s="34"/>
      <c r="JAA352" s="34"/>
      <c r="JAB352" s="34"/>
      <c r="JAC352" s="34"/>
      <c r="JAD352" s="34"/>
      <c r="JAE352" s="34"/>
      <c r="JAF352" s="34"/>
      <c r="JAG352" s="34"/>
      <c r="JAH352" s="34"/>
      <c r="JAI352" s="34"/>
      <c r="JAJ352" s="34"/>
      <c r="JAK352" s="34"/>
      <c r="JAL352" s="34"/>
      <c r="JAM352" s="34"/>
      <c r="JAN352" s="34"/>
      <c r="JAO352" s="34"/>
      <c r="JAP352" s="34"/>
      <c r="JAQ352" s="34"/>
      <c r="JAR352" s="34"/>
      <c r="JAS352" s="34"/>
      <c r="JAT352" s="34"/>
      <c r="JAU352" s="34"/>
      <c r="JAV352" s="34"/>
      <c r="JAW352" s="34"/>
      <c r="JAX352" s="34"/>
      <c r="JAY352" s="34"/>
      <c r="JAZ352" s="34"/>
      <c r="JBA352" s="34"/>
      <c r="JBB352" s="34"/>
      <c r="JBC352" s="34"/>
      <c r="JBD352" s="34"/>
      <c r="JBE352" s="34"/>
      <c r="JBF352" s="34"/>
      <c r="JBG352" s="34"/>
      <c r="JBH352" s="34"/>
      <c r="JBI352" s="34"/>
      <c r="JBJ352" s="34"/>
      <c r="JBK352" s="34"/>
      <c r="JBL352" s="34"/>
      <c r="JBM352" s="34"/>
      <c r="JBN352" s="34"/>
      <c r="JBO352" s="34"/>
      <c r="JBP352" s="34"/>
      <c r="JBQ352" s="34"/>
      <c r="JBR352" s="34"/>
      <c r="JBS352" s="34"/>
      <c r="JBT352" s="34"/>
      <c r="JBU352" s="34"/>
      <c r="JBV352" s="34"/>
      <c r="JBW352" s="34"/>
      <c r="JBX352" s="34"/>
      <c r="JBY352" s="34"/>
      <c r="JBZ352" s="34"/>
      <c r="JCA352" s="34"/>
      <c r="JCB352" s="34"/>
      <c r="JCC352" s="34"/>
      <c r="JCD352" s="34"/>
      <c r="JCE352" s="34"/>
      <c r="JCF352" s="34"/>
      <c r="JCG352" s="34"/>
      <c r="JCH352" s="34"/>
      <c r="JCI352" s="34"/>
      <c r="JCJ352" s="34"/>
      <c r="JCK352" s="34"/>
      <c r="JCL352" s="34"/>
      <c r="JCM352" s="34"/>
      <c r="JCN352" s="34"/>
      <c r="JCO352" s="34"/>
      <c r="JCP352" s="34"/>
      <c r="JCQ352" s="34"/>
      <c r="JCR352" s="34"/>
      <c r="JCS352" s="34"/>
      <c r="JCT352" s="34"/>
      <c r="JCU352" s="34"/>
      <c r="JCV352" s="34"/>
      <c r="JCW352" s="34"/>
      <c r="JCX352" s="34"/>
      <c r="JCY352" s="34"/>
      <c r="JCZ352" s="34"/>
      <c r="JDA352" s="34"/>
      <c r="JDB352" s="34"/>
      <c r="JDC352" s="34"/>
      <c r="JDD352" s="34"/>
      <c r="JDE352" s="34"/>
      <c r="JDF352" s="34"/>
      <c r="JDG352" s="34"/>
      <c r="JDH352" s="34"/>
      <c r="JDI352" s="34"/>
      <c r="JDJ352" s="34"/>
      <c r="JDK352" s="34"/>
      <c r="JDL352" s="34"/>
      <c r="JDM352" s="34"/>
      <c r="JDN352" s="34"/>
      <c r="JDO352" s="34"/>
      <c r="JDP352" s="34"/>
      <c r="JDQ352" s="34"/>
      <c r="JDR352" s="34"/>
      <c r="JDS352" s="34"/>
      <c r="JDT352" s="34"/>
      <c r="JDU352" s="34"/>
      <c r="JDV352" s="34"/>
      <c r="JDW352" s="34"/>
      <c r="JDX352" s="34"/>
      <c r="JDY352" s="34"/>
      <c r="JDZ352" s="34"/>
      <c r="JEA352" s="34"/>
      <c r="JEB352" s="34"/>
      <c r="JEC352" s="34"/>
      <c r="JED352" s="34"/>
      <c r="JEE352" s="34"/>
      <c r="JEF352" s="34"/>
      <c r="JEG352" s="34"/>
      <c r="JEH352" s="34"/>
      <c r="JEI352" s="34"/>
      <c r="JEJ352" s="34"/>
      <c r="JEK352" s="34"/>
      <c r="JEL352" s="34"/>
      <c r="JEM352" s="34"/>
      <c r="JEN352" s="34"/>
      <c r="JEO352" s="34"/>
      <c r="JEP352" s="34"/>
      <c r="JEQ352" s="34"/>
      <c r="JER352" s="34"/>
      <c r="JES352" s="34"/>
      <c r="JET352" s="34"/>
      <c r="JEU352" s="34"/>
      <c r="JEV352" s="34"/>
      <c r="JEW352" s="34"/>
      <c r="JEX352" s="34"/>
      <c r="JEY352" s="34"/>
      <c r="JEZ352" s="34"/>
      <c r="JFA352" s="34"/>
      <c r="JFB352" s="34"/>
      <c r="JFC352" s="34"/>
      <c r="JFD352" s="34"/>
      <c r="JFE352" s="34"/>
      <c r="JFF352" s="34"/>
      <c r="JFG352" s="34"/>
      <c r="JFH352" s="34"/>
      <c r="JFI352" s="34"/>
      <c r="JFJ352" s="34"/>
      <c r="JFK352" s="34"/>
      <c r="JFL352" s="34"/>
      <c r="JFM352" s="34"/>
      <c r="JFN352" s="34"/>
      <c r="JFO352" s="34"/>
      <c r="JFP352" s="34"/>
      <c r="JFQ352" s="34"/>
      <c r="JFR352" s="34"/>
      <c r="JFS352" s="34"/>
      <c r="JFT352" s="34"/>
      <c r="JFU352" s="34"/>
      <c r="JFV352" s="34"/>
      <c r="JFW352" s="34"/>
      <c r="JFX352" s="34"/>
      <c r="JFY352" s="34"/>
      <c r="JFZ352" s="34"/>
      <c r="JGA352" s="34"/>
      <c r="JGB352" s="34"/>
      <c r="JGC352" s="34"/>
      <c r="JGD352" s="34"/>
      <c r="JGE352" s="34"/>
      <c r="JGF352" s="34"/>
      <c r="JGG352" s="34"/>
      <c r="JGH352" s="34"/>
      <c r="JGI352" s="34"/>
      <c r="JGJ352" s="34"/>
      <c r="JGK352" s="34"/>
      <c r="JGL352" s="34"/>
      <c r="JGM352" s="34"/>
      <c r="JGN352" s="34"/>
      <c r="JGO352" s="34"/>
      <c r="JGP352" s="34"/>
      <c r="JGQ352" s="34"/>
      <c r="JGR352" s="34"/>
      <c r="JGS352" s="34"/>
      <c r="JGT352" s="34"/>
      <c r="JGU352" s="34"/>
      <c r="JGV352" s="34"/>
      <c r="JGW352" s="34"/>
      <c r="JGX352" s="34"/>
      <c r="JGY352" s="34"/>
      <c r="JGZ352" s="34"/>
      <c r="JHA352" s="34"/>
      <c r="JHB352" s="34"/>
      <c r="JHC352" s="34"/>
      <c r="JHD352" s="34"/>
      <c r="JHE352" s="34"/>
      <c r="JHF352" s="34"/>
      <c r="JHG352" s="34"/>
      <c r="JHH352" s="34"/>
      <c r="JHI352" s="34"/>
      <c r="JHJ352" s="34"/>
      <c r="JHK352" s="34"/>
      <c r="JHL352" s="34"/>
      <c r="JHM352" s="34"/>
      <c r="JHN352" s="34"/>
      <c r="JHO352" s="34"/>
      <c r="JHP352" s="34"/>
      <c r="JHQ352" s="34"/>
      <c r="JHR352" s="34"/>
      <c r="JHS352" s="34"/>
      <c r="JHT352" s="34"/>
      <c r="JHU352" s="34"/>
      <c r="JHV352" s="34"/>
      <c r="JHW352" s="34"/>
      <c r="JHX352" s="34"/>
      <c r="JHY352" s="34"/>
      <c r="JHZ352" s="34"/>
      <c r="JIA352" s="34"/>
      <c r="JIB352" s="34"/>
      <c r="JIC352" s="34"/>
      <c r="JID352" s="34"/>
      <c r="JIE352" s="34"/>
      <c r="JIF352" s="34"/>
      <c r="JIG352" s="34"/>
      <c r="JIH352" s="34"/>
      <c r="JII352" s="34"/>
      <c r="JIJ352" s="34"/>
      <c r="JIK352" s="34"/>
      <c r="JIL352" s="34"/>
      <c r="JIM352" s="34"/>
      <c r="JIN352" s="34"/>
      <c r="JIO352" s="34"/>
      <c r="JIP352" s="34"/>
      <c r="JIQ352" s="34"/>
      <c r="JIR352" s="34"/>
      <c r="JIS352" s="34"/>
      <c r="JIT352" s="34"/>
      <c r="JIU352" s="34"/>
      <c r="JIV352" s="34"/>
      <c r="JIW352" s="34"/>
      <c r="JIX352" s="34"/>
      <c r="JIY352" s="34"/>
      <c r="JIZ352" s="34"/>
      <c r="JJA352" s="34"/>
      <c r="JJB352" s="34"/>
      <c r="JJC352" s="34"/>
      <c r="JJD352" s="34"/>
      <c r="JJE352" s="34"/>
      <c r="JJF352" s="34"/>
      <c r="JJG352" s="34"/>
      <c r="JJH352" s="34"/>
      <c r="JJI352" s="34"/>
      <c r="JJJ352" s="34"/>
      <c r="JJK352" s="34"/>
      <c r="JJL352" s="34"/>
      <c r="JJM352" s="34"/>
      <c r="JJN352" s="34"/>
      <c r="JJO352" s="34"/>
      <c r="JJP352" s="34"/>
      <c r="JJQ352" s="34"/>
      <c r="JJR352" s="34"/>
      <c r="JJS352" s="34"/>
      <c r="JJT352" s="34"/>
      <c r="JJU352" s="34"/>
      <c r="JJV352" s="34"/>
      <c r="JJW352" s="34"/>
      <c r="JJX352" s="34"/>
      <c r="JJY352" s="34"/>
      <c r="JJZ352" s="34"/>
      <c r="JKA352" s="34"/>
      <c r="JKB352" s="34"/>
      <c r="JKC352" s="34"/>
      <c r="JKD352" s="34"/>
      <c r="JKE352" s="34"/>
      <c r="JKF352" s="34"/>
      <c r="JKG352" s="34"/>
      <c r="JKH352" s="34"/>
      <c r="JKI352" s="34"/>
      <c r="JKJ352" s="34"/>
      <c r="JKK352" s="34"/>
      <c r="JKL352" s="34"/>
      <c r="JKM352" s="34"/>
      <c r="JKN352" s="34"/>
      <c r="JKO352" s="34"/>
      <c r="JKP352" s="34"/>
      <c r="JKQ352" s="34"/>
      <c r="JKR352" s="34"/>
      <c r="JKS352" s="34"/>
      <c r="JKT352" s="34"/>
      <c r="JKU352" s="34"/>
      <c r="JKV352" s="34"/>
      <c r="JKW352" s="34"/>
      <c r="JKX352" s="34"/>
      <c r="JKY352" s="34"/>
      <c r="JKZ352" s="34"/>
      <c r="JLA352" s="34"/>
      <c r="JLB352" s="34"/>
      <c r="JLC352" s="34"/>
      <c r="JLD352" s="34"/>
      <c r="JLE352" s="34"/>
      <c r="JLF352" s="34"/>
      <c r="JLG352" s="34"/>
      <c r="JLH352" s="34"/>
      <c r="JLI352" s="34"/>
      <c r="JLJ352" s="34"/>
      <c r="JLK352" s="34"/>
      <c r="JLL352" s="34"/>
      <c r="JLM352" s="34"/>
      <c r="JLN352" s="34"/>
      <c r="JLO352" s="34"/>
      <c r="JLP352" s="34"/>
      <c r="JLQ352" s="34"/>
      <c r="JLR352" s="34"/>
      <c r="JLS352" s="34"/>
      <c r="JLT352" s="34"/>
      <c r="JLU352" s="34"/>
      <c r="JLV352" s="34"/>
      <c r="JLW352" s="34"/>
      <c r="JLX352" s="34"/>
      <c r="JLY352" s="34"/>
      <c r="JLZ352" s="34"/>
      <c r="JMA352" s="34"/>
      <c r="JMB352" s="34"/>
      <c r="JMC352" s="34"/>
      <c r="JMD352" s="34"/>
      <c r="JME352" s="34"/>
      <c r="JMF352" s="34"/>
      <c r="JMG352" s="34"/>
      <c r="JMH352" s="34"/>
      <c r="JMI352" s="34"/>
      <c r="JMJ352" s="34"/>
      <c r="JMK352" s="34"/>
      <c r="JML352" s="34"/>
      <c r="JMM352" s="34"/>
      <c r="JMN352" s="34"/>
      <c r="JMO352" s="34"/>
      <c r="JMP352" s="34"/>
      <c r="JMQ352" s="34"/>
      <c r="JMR352" s="34"/>
      <c r="JMS352" s="34"/>
      <c r="JMT352" s="34"/>
      <c r="JMU352" s="34"/>
      <c r="JMV352" s="34"/>
      <c r="JMW352" s="34"/>
      <c r="JMX352" s="34"/>
      <c r="JMY352" s="34"/>
      <c r="JMZ352" s="34"/>
      <c r="JNA352" s="34"/>
      <c r="JNB352" s="34"/>
      <c r="JNC352" s="34"/>
      <c r="JND352" s="34"/>
      <c r="JNE352" s="34"/>
      <c r="JNF352" s="34"/>
      <c r="JNG352" s="34"/>
      <c r="JNH352" s="34"/>
      <c r="JNI352" s="34"/>
      <c r="JNJ352" s="34"/>
      <c r="JNK352" s="34"/>
      <c r="JNL352" s="34"/>
      <c r="JNM352" s="34"/>
      <c r="JNN352" s="34"/>
      <c r="JNO352" s="34"/>
      <c r="JNP352" s="34"/>
      <c r="JNQ352" s="34"/>
      <c r="JNR352" s="34"/>
      <c r="JNS352" s="34"/>
      <c r="JNT352" s="34"/>
      <c r="JNU352" s="34"/>
      <c r="JNV352" s="34"/>
      <c r="JNW352" s="34"/>
      <c r="JNX352" s="34"/>
      <c r="JNY352" s="34"/>
      <c r="JNZ352" s="34"/>
      <c r="JOA352" s="34"/>
      <c r="JOB352" s="34"/>
      <c r="JOC352" s="34"/>
      <c r="JOD352" s="34"/>
      <c r="JOE352" s="34"/>
      <c r="JOF352" s="34"/>
      <c r="JOG352" s="34"/>
      <c r="JOH352" s="34"/>
      <c r="JOI352" s="34"/>
      <c r="JOJ352" s="34"/>
      <c r="JOK352" s="34"/>
      <c r="JOL352" s="34"/>
      <c r="JOM352" s="34"/>
      <c r="JON352" s="34"/>
      <c r="JOO352" s="34"/>
      <c r="JOP352" s="34"/>
      <c r="JOQ352" s="34"/>
      <c r="JOR352" s="34"/>
      <c r="JOS352" s="34"/>
      <c r="JOT352" s="34"/>
      <c r="JOU352" s="34"/>
      <c r="JOV352" s="34"/>
      <c r="JOW352" s="34"/>
      <c r="JOX352" s="34"/>
      <c r="JOY352" s="34"/>
      <c r="JOZ352" s="34"/>
      <c r="JPA352" s="34"/>
      <c r="JPB352" s="34"/>
      <c r="JPC352" s="34"/>
      <c r="JPD352" s="34"/>
      <c r="JPE352" s="34"/>
      <c r="JPF352" s="34"/>
      <c r="JPG352" s="34"/>
      <c r="JPH352" s="34"/>
      <c r="JPI352" s="34"/>
      <c r="JPJ352" s="34"/>
      <c r="JPK352" s="34"/>
      <c r="JPL352" s="34"/>
      <c r="JPM352" s="34"/>
      <c r="JPN352" s="34"/>
      <c r="JPO352" s="34"/>
      <c r="JPP352" s="34"/>
      <c r="JPQ352" s="34"/>
      <c r="JPR352" s="34"/>
      <c r="JPS352" s="34"/>
      <c r="JPT352" s="34"/>
      <c r="JPU352" s="34"/>
      <c r="JPV352" s="34"/>
      <c r="JPW352" s="34"/>
      <c r="JPX352" s="34"/>
      <c r="JPY352" s="34"/>
      <c r="JPZ352" s="34"/>
      <c r="JQA352" s="34"/>
      <c r="JQB352" s="34"/>
      <c r="JQC352" s="34"/>
      <c r="JQD352" s="34"/>
      <c r="JQE352" s="34"/>
      <c r="JQF352" s="34"/>
      <c r="JQG352" s="34"/>
      <c r="JQH352" s="34"/>
      <c r="JQI352" s="34"/>
      <c r="JQJ352" s="34"/>
      <c r="JQK352" s="34"/>
      <c r="JQL352" s="34"/>
      <c r="JQM352" s="34"/>
      <c r="JQN352" s="34"/>
      <c r="JQO352" s="34"/>
      <c r="JQP352" s="34"/>
      <c r="JQQ352" s="34"/>
      <c r="JQR352" s="34"/>
      <c r="JQS352" s="34"/>
      <c r="JQT352" s="34"/>
      <c r="JQU352" s="34"/>
      <c r="JQV352" s="34"/>
      <c r="JQW352" s="34"/>
      <c r="JQX352" s="34"/>
      <c r="JQY352" s="34"/>
      <c r="JQZ352" s="34"/>
      <c r="JRA352" s="34"/>
      <c r="JRB352" s="34"/>
      <c r="JRC352" s="34"/>
      <c r="JRD352" s="34"/>
      <c r="JRE352" s="34"/>
      <c r="JRF352" s="34"/>
      <c r="JRG352" s="34"/>
      <c r="JRH352" s="34"/>
      <c r="JRI352" s="34"/>
      <c r="JRJ352" s="34"/>
      <c r="JRK352" s="34"/>
      <c r="JRL352" s="34"/>
      <c r="JRM352" s="34"/>
      <c r="JRN352" s="34"/>
      <c r="JRO352" s="34"/>
      <c r="JRP352" s="34"/>
      <c r="JRQ352" s="34"/>
      <c r="JRR352" s="34"/>
      <c r="JRS352" s="34"/>
      <c r="JRT352" s="34"/>
      <c r="JRU352" s="34"/>
      <c r="JRV352" s="34"/>
      <c r="JRW352" s="34"/>
      <c r="JRX352" s="34"/>
      <c r="JRY352" s="34"/>
      <c r="JRZ352" s="34"/>
      <c r="JSA352" s="34"/>
      <c r="JSB352" s="34"/>
      <c r="JSC352" s="34"/>
      <c r="JSD352" s="34"/>
      <c r="JSE352" s="34"/>
      <c r="JSF352" s="34"/>
      <c r="JSG352" s="34"/>
      <c r="JSH352" s="34"/>
      <c r="JSI352" s="34"/>
      <c r="JSJ352" s="34"/>
      <c r="JSK352" s="34"/>
      <c r="JSL352" s="34"/>
      <c r="JSM352" s="34"/>
      <c r="JSN352" s="34"/>
      <c r="JSO352" s="34"/>
      <c r="JSP352" s="34"/>
      <c r="JSQ352" s="34"/>
      <c r="JSR352" s="34"/>
      <c r="JSS352" s="34"/>
      <c r="JST352" s="34"/>
      <c r="JSU352" s="34"/>
      <c r="JSV352" s="34"/>
      <c r="JSW352" s="34"/>
      <c r="JSX352" s="34"/>
      <c r="JSY352" s="34"/>
      <c r="JSZ352" s="34"/>
      <c r="JTA352" s="34"/>
      <c r="JTB352" s="34"/>
      <c r="JTC352" s="34"/>
      <c r="JTD352" s="34"/>
      <c r="JTE352" s="34"/>
      <c r="JTF352" s="34"/>
      <c r="JTG352" s="34"/>
      <c r="JTH352" s="34"/>
      <c r="JTI352" s="34"/>
      <c r="JTJ352" s="34"/>
      <c r="JTK352" s="34"/>
      <c r="JTL352" s="34"/>
      <c r="JTM352" s="34"/>
      <c r="JTN352" s="34"/>
      <c r="JTO352" s="34"/>
      <c r="JTP352" s="34"/>
      <c r="JTQ352" s="34"/>
      <c r="JTR352" s="34"/>
      <c r="JTS352" s="34"/>
      <c r="JTT352" s="34"/>
      <c r="JTU352" s="34"/>
      <c r="JTV352" s="34"/>
      <c r="JTW352" s="34"/>
      <c r="JTX352" s="34"/>
      <c r="JTY352" s="34"/>
      <c r="JTZ352" s="34"/>
      <c r="JUA352" s="34"/>
      <c r="JUB352" s="34"/>
      <c r="JUC352" s="34"/>
      <c r="JUD352" s="34"/>
      <c r="JUE352" s="34"/>
      <c r="JUF352" s="34"/>
      <c r="JUG352" s="34"/>
      <c r="JUH352" s="34"/>
      <c r="JUI352" s="34"/>
      <c r="JUJ352" s="34"/>
      <c r="JUK352" s="34"/>
      <c r="JUL352" s="34"/>
      <c r="JUM352" s="34"/>
      <c r="JUN352" s="34"/>
      <c r="JUO352" s="34"/>
      <c r="JUP352" s="34"/>
      <c r="JUQ352" s="34"/>
      <c r="JUR352" s="34"/>
      <c r="JUS352" s="34"/>
      <c r="JUT352" s="34"/>
      <c r="JUU352" s="34"/>
      <c r="JUV352" s="34"/>
      <c r="JUW352" s="34"/>
      <c r="JUX352" s="34"/>
      <c r="JUY352" s="34"/>
      <c r="JUZ352" s="34"/>
      <c r="JVA352" s="34"/>
      <c r="JVB352" s="34"/>
      <c r="JVC352" s="34"/>
      <c r="JVD352" s="34"/>
      <c r="JVE352" s="34"/>
      <c r="JVF352" s="34"/>
      <c r="JVG352" s="34"/>
      <c r="JVH352" s="34"/>
      <c r="JVI352" s="34"/>
      <c r="JVJ352" s="34"/>
      <c r="JVK352" s="34"/>
      <c r="JVL352" s="34"/>
      <c r="JVM352" s="34"/>
      <c r="JVN352" s="34"/>
      <c r="JVO352" s="34"/>
      <c r="JVP352" s="34"/>
      <c r="JVQ352" s="34"/>
      <c r="JVR352" s="34"/>
      <c r="JVS352" s="34"/>
      <c r="JVT352" s="34"/>
      <c r="JVU352" s="34"/>
      <c r="JVV352" s="34"/>
      <c r="JVW352" s="34"/>
      <c r="JVX352" s="34"/>
      <c r="JVY352" s="34"/>
      <c r="JVZ352" s="34"/>
      <c r="JWA352" s="34"/>
      <c r="JWB352" s="34"/>
      <c r="JWC352" s="34"/>
      <c r="JWD352" s="34"/>
      <c r="JWE352" s="34"/>
      <c r="JWF352" s="34"/>
      <c r="JWG352" s="34"/>
      <c r="JWH352" s="34"/>
      <c r="JWI352" s="34"/>
      <c r="JWJ352" s="34"/>
      <c r="JWK352" s="34"/>
      <c r="JWL352" s="34"/>
      <c r="JWM352" s="34"/>
      <c r="JWN352" s="34"/>
      <c r="JWO352" s="34"/>
      <c r="JWP352" s="34"/>
      <c r="JWQ352" s="34"/>
      <c r="JWR352" s="34"/>
      <c r="JWS352" s="34"/>
      <c r="JWT352" s="34"/>
      <c r="JWU352" s="34"/>
      <c r="JWV352" s="34"/>
      <c r="JWW352" s="34"/>
      <c r="JWX352" s="34"/>
      <c r="JWY352" s="34"/>
      <c r="JWZ352" s="34"/>
      <c r="JXA352" s="34"/>
      <c r="JXB352" s="34"/>
      <c r="JXC352" s="34"/>
      <c r="JXD352" s="34"/>
      <c r="JXE352" s="34"/>
      <c r="JXF352" s="34"/>
      <c r="JXG352" s="34"/>
      <c r="JXH352" s="34"/>
      <c r="JXI352" s="34"/>
      <c r="JXJ352" s="34"/>
      <c r="JXK352" s="34"/>
      <c r="JXL352" s="34"/>
      <c r="JXM352" s="34"/>
      <c r="JXN352" s="34"/>
      <c r="JXO352" s="34"/>
      <c r="JXP352" s="34"/>
      <c r="JXQ352" s="34"/>
      <c r="JXR352" s="34"/>
      <c r="JXS352" s="34"/>
      <c r="JXT352" s="34"/>
      <c r="JXU352" s="34"/>
      <c r="JXV352" s="34"/>
      <c r="JXW352" s="34"/>
      <c r="JXX352" s="34"/>
      <c r="JXY352" s="34"/>
      <c r="JXZ352" s="34"/>
      <c r="JYA352" s="34"/>
      <c r="JYB352" s="34"/>
      <c r="JYC352" s="34"/>
      <c r="JYD352" s="34"/>
      <c r="JYE352" s="34"/>
      <c r="JYF352" s="34"/>
      <c r="JYG352" s="34"/>
      <c r="JYH352" s="34"/>
      <c r="JYI352" s="34"/>
      <c r="JYJ352" s="34"/>
      <c r="JYK352" s="34"/>
      <c r="JYL352" s="34"/>
      <c r="JYM352" s="34"/>
      <c r="JYN352" s="34"/>
      <c r="JYO352" s="34"/>
      <c r="JYP352" s="34"/>
      <c r="JYQ352" s="34"/>
      <c r="JYR352" s="34"/>
      <c r="JYS352" s="34"/>
      <c r="JYT352" s="34"/>
      <c r="JYU352" s="34"/>
      <c r="JYV352" s="34"/>
      <c r="JYW352" s="34"/>
      <c r="JYX352" s="34"/>
      <c r="JYY352" s="34"/>
      <c r="JYZ352" s="34"/>
      <c r="JZA352" s="34"/>
      <c r="JZB352" s="34"/>
      <c r="JZC352" s="34"/>
      <c r="JZD352" s="34"/>
      <c r="JZE352" s="34"/>
      <c r="JZF352" s="34"/>
      <c r="JZG352" s="34"/>
      <c r="JZH352" s="34"/>
      <c r="JZI352" s="34"/>
      <c r="JZJ352" s="34"/>
      <c r="JZK352" s="34"/>
      <c r="JZL352" s="34"/>
      <c r="JZM352" s="34"/>
      <c r="JZN352" s="34"/>
      <c r="JZO352" s="34"/>
      <c r="JZP352" s="34"/>
      <c r="JZQ352" s="34"/>
      <c r="JZR352" s="34"/>
      <c r="JZS352" s="34"/>
      <c r="JZT352" s="34"/>
      <c r="JZU352" s="34"/>
      <c r="JZV352" s="34"/>
      <c r="JZW352" s="34"/>
      <c r="JZX352" s="34"/>
      <c r="JZY352" s="34"/>
      <c r="JZZ352" s="34"/>
      <c r="KAA352" s="34"/>
      <c r="KAB352" s="34"/>
      <c r="KAC352" s="34"/>
      <c r="KAD352" s="34"/>
      <c r="KAE352" s="34"/>
      <c r="KAF352" s="34"/>
      <c r="KAG352" s="34"/>
      <c r="KAH352" s="34"/>
      <c r="KAI352" s="34"/>
      <c r="KAJ352" s="34"/>
      <c r="KAK352" s="34"/>
      <c r="KAL352" s="34"/>
      <c r="KAM352" s="34"/>
      <c r="KAN352" s="34"/>
      <c r="KAO352" s="34"/>
      <c r="KAP352" s="34"/>
      <c r="KAQ352" s="34"/>
      <c r="KAR352" s="34"/>
      <c r="KAS352" s="34"/>
      <c r="KAT352" s="34"/>
      <c r="KAU352" s="34"/>
      <c r="KAV352" s="34"/>
      <c r="KAW352" s="34"/>
      <c r="KAX352" s="34"/>
      <c r="KAY352" s="34"/>
      <c r="KAZ352" s="34"/>
      <c r="KBA352" s="34"/>
      <c r="KBB352" s="34"/>
      <c r="KBC352" s="34"/>
      <c r="KBD352" s="34"/>
      <c r="KBE352" s="34"/>
      <c r="KBF352" s="34"/>
      <c r="KBG352" s="34"/>
      <c r="KBH352" s="34"/>
      <c r="KBI352" s="34"/>
      <c r="KBJ352" s="34"/>
      <c r="KBK352" s="34"/>
      <c r="KBL352" s="34"/>
      <c r="KBM352" s="34"/>
      <c r="KBN352" s="34"/>
      <c r="KBO352" s="34"/>
      <c r="KBP352" s="34"/>
      <c r="KBQ352" s="34"/>
      <c r="KBR352" s="34"/>
      <c r="KBS352" s="34"/>
      <c r="KBT352" s="34"/>
      <c r="KBU352" s="34"/>
      <c r="KBV352" s="34"/>
      <c r="KBW352" s="34"/>
      <c r="KBX352" s="34"/>
      <c r="KBY352" s="34"/>
      <c r="KBZ352" s="34"/>
      <c r="KCA352" s="34"/>
      <c r="KCB352" s="34"/>
      <c r="KCC352" s="34"/>
      <c r="KCD352" s="34"/>
      <c r="KCE352" s="34"/>
      <c r="KCF352" s="34"/>
      <c r="KCG352" s="34"/>
      <c r="KCH352" s="34"/>
      <c r="KCI352" s="34"/>
      <c r="KCJ352" s="34"/>
      <c r="KCK352" s="34"/>
      <c r="KCL352" s="34"/>
      <c r="KCM352" s="34"/>
      <c r="KCN352" s="34"/>
      <c r="KCO352" s="34"/>
      <c r="KCP352" s="34"/>
      <c r="KCQ352" s="34"/>
      <c r="KCR352" s="34"/>
      <c r="KCS352" s="34"/>
      <c r="KCT352" s="34"/>
      <c r="KCU352" s="34"/>
      <c r="KCV352" s="34"/>
      <c r="KCW352" s="34"/>
      <c r="KCX352" s="34"/>
      <c r="KCY352" s="34"/>
      <c r="KCZ352" s="34"/>
      <c r="KDA352" s="34"/>
      <c r="KDB352" s="34"/>
      <c r="KDC352" s="34"/>
      <c r="KDD352" s="34"/>
      <c r="KDE352" s="34"/>
      <c r="KDF352" s="34"/>
      <c r="KDG352" s="34"/>
      <c r="KDH352" s="34"/>
      <c r="KDI352" s="34"/>
      <c r="KDJ352" s="34"/>
      <c r="KDK352" s="34"/>
      <c r="KDL352" s="34"/>
      <c r="KDM352" s="34"/>
      <c r="KDN352" s="34"/>
      <c r="KDO352" s="34"/>
      <c r="KDP352" s="34"/>
      <c r="KDQ352" s="34"/>
      <c r="KDR352" s="34"/>
      <c r="KDS352" s="34"/>
      <c r="KDT352" s="34"/>
      <c r="KDU352" s="34"/>
      <c r="KDV352" s="34"/>
      <c r="KDW352" s="34"/>
      <c r="KDX352" s="34"/>
      <c r="KDY352" s="34"/>
      <c r="KDZ352" s="34"/>
      <c r="KEA352" s="34"/>
      <c r="KEB352" s="34"/>
      <c r="KEC352" s="34"/>
      <c r="KED352" s="34"/>
      <c r="KEE352" s="34"/>
      <c r="KEF352" s="34"/>
      <c r="KEG352" s="34"/>
      <c r="KEH352" s="34"/>
      <c r="KEI352" s="34"/>
      <c r="KEJ352" s="34"/>
      <c r="KEK352" s="34"/>
      <c r="KEL352" s="34"/>
      <c r="KEM352" s="34"/>
      <c r="KEN352" s="34"/>
      <c r="KEO352" s="34"/>
      <c r="KEP352" s="34"/>
      <c r="KEQ352" s="34"/>
      <c r="KER352" s="34"/>
      <c r="KES352" s="34"/>
      <c r="KET352" s="34"/>
      <c r="KEU352" s="34"/>
      <c r="KEV352" s="34"/>
      <c r="KEW352" s="34"/>
      <c r="KEX352" s="34"/>
      <c r="KEY352" s="34"/>
      <c r="KEZ352" s="34"/>
      <c r="KFA352" s="34"/>
      <c r="KFB352" s="34"/>
      <c r="KFC352" s="34"/>
      <c r="KFD352" s="34"/>
      <c r="KFE352" s="34"/>
      <c r="KFF352" s="34"/>
      <c r="KFG352" s="34"/>
      <c r="KFH352" s="34"/>
      <c r="KFI352" s="34"/>
      <c r="KFJ352" s="34"/>
      <c r="KFK352" s="34"/>
      <c r="KFL352" s="34"/>
      <c r="KFM352" s="34"/>
      <c r="KFN352" s="34"/>
      <c r="KFO352" s="34"/>
      <c r="KFP352" s="34"/>
      <c r="KFQ352" s="34"/>
      <c r="KFR352" s="34"/>
      <c r="KFS352" s="34"/>
      <c r="KFT352" s="34"/>
      <c r="KFU352" s="34"/>
      <c r="KFV352" s="34"/>
      <c r="KFW352" s="34"/>
      <c r="KFX352" s="34"/>
      <c r="KFY352" s="34"/>
      <c r="KFZ352" s="34"/>
      <c r="KGA352" s="34"/>
      <c r="KGB352" s="34"/>
      <c r="KGC352" s="34"/>
      <c r="KGD352" s="34"/>
      <c r="KGE352" s="34"/>
      <c r="KGF352" s="34"/>
      <c r="KGG352" s="34"/>
      <c r="KGH352" s="34"/>
      <c r="KGI352" s="34"/>
      <c r="KGJ352" s="34"/>
      <c r="KGK352" s="34"/>
      <c r="KGL352" s="34"/>
      <c r="KGM352" s="34"/>
      <c r="KGN352" s="34"/>
      <c r="KGO352" s="34"/>
      <c r="KGP352" s="34"/>
      <c r="KGQ352" s="34"/>
      <c r="KGR352" s="34"/>
      <c r="KGS352" s="34"/>
      <c r="KGT352" s="34"/>
      <c r="KGU352" s="34"/>
      <c r="KGV352" s="34"/>
      <c r="KGW352" s="34"/>
      <c r="KGX352" s="34"/>
      <c r="KGY352" s="34"/>
      <c r="KGZ352" s="34"/>
      <c r="KHA352" s="34"/>
      <c r="KHB352" s="34"/>
      <c r="KHC352" s="34"/>
      <c r="KHD352" s="34"/>
      <c r="KHE352" s="34"/>
      <c r="KHF352" s="34"/>
      <c r="KHG352" s="34"/>
      <c r="KHH352" s="34"/>
      <c r="KHI352" s="34"/>
      <c r="KHJ352" s="34"/>
      <c r="KHK352" s="34"/>
      <c r="KHL352" s="34"/>
      <c r="KHM352" s="34"/>
      <c r="KHN352" s="34"/>
      <c r="KHO352" s="34"/>
      <c r="KHP352" s="34"/>
      <c r="KHQ352" s="34"/>
      <c r="KHR352" s="34"/>
      <c r="KHS352" s="34"/>
      <c r="KHT352" s="34"/>
      <c r="KHU352" s="34"/>
      <c r="KHV352" s="34"/>
      <c r="KHW352" s="34"/>
      <c r="KHX352" s="34"/>
      <c r="KHY352" s="34"/>
      <c r="KHZ352" s="34"/>
      <c r="KIA352" s="34"/>
      <c r="KIB352" s="34"/>
      <c r="KIC352" s="34"/>
      <c r="KID352" s="34"/>
      <c r="KIE352" s="34"/>
      <c r="KIF352" s="34"/>
      <c r="KIG352" s="34"/>
      <c r="KIH352" s="34"/>
      <c r="KII352" s="34"/>
      <c r="KIJ352" s="34"/>
      <c r="KIK352" s="34"/>
      <c r="KIL352" s="34"/>
      <c r="KIM352" s="34"/>
      <c r="KIN352" s="34"/>
      <c r="KIO352" s="34"/>
      <c r="KIP352" s="34"/>
      <c r="KIQ352" s="34"/>
      <c r="KIR352" s="34"/>
      <c r="KIS352" s="34"/>
      <c r="KIT352" s="34"/>
      <c r="KIU352" s="34"/>
      <c r="KIV352" s="34"/>
      <c r="KIW352" s="34"/>
      <c r="KIX352" s="34"/>
      <c r="KIY352" s="34"/>
      <c r="KIZ352" s="34"/>
      <c r="KJA352" s="34"/>
      <c r="KJB352" s="34"/>
      <c r="KJC352" s="34"/>
      <c r="KJD352" s="34"/>
      <c r="KJE352" s="34"/>
      <c r="KJF352" s="34"/>
      <c r="KJG352" s="34"/>
      <c r="KJH352" s="34"/>
      <c r="KJI352" s="34"/>
      <c r="KJJ352" s="34"/>
      <c r="KJK352" s="34"/>
      <c r="KJL352" s="34"/>
      <c r="KJM352" s="34"/>
      <c r="KJN352" s="34"/>
      <c r="KJO352" s="34"/>
      <c r="KJP352" s="34"/>
      <c r="KJQ352" s="34"/>
      <c r="KJR352" s="34"/>
      <c r="KJS352" s="34"/>
      <c r="KJT352" s="34"/>
      <c r="KJU352" s="34"/>
      <c r="KJV352" s="34"/>
      <c r="KJW352" s="34"/>
      <c r="KJX352" s="34"/>
      <c r="KJY352" s="34"/>
      <c r="KJZ352" s="34"/>
      <c r="KKA352" s="34"/>
      <c r="KKB352" s="34"/>
      <c r="KKC352" s="34"/>
      <c r="KKD352" s="34"/>
      <c r="KKE352" s="34"/>
      <c r="KKF352" s="34"/>
      <c r="KKG352" s="34"/>
      <c r="KKH352" s="34"/>
      <c r="KKI352" s="34"/>
      <c r="KKJ352" s="34"/>
      <c r="KKK352" s="34"/>
      <c r="KKL352" s="34"/>
      <c r="KKM352" s="34"/>
      <c r="KKN352" s="34"/>
      <c r="KKO352" s="34"/>
      <c r="KKP352" s="34"/>
      <c r="KKQ352" s="34"/>
      <c r="KKR352" s="34"/>
      <c r="KKS352" s="34"/>
      <c r="KKT352" s="34"/>
      <c r="KKU352" s="34"/>
      <c r="KKV352" s="34"/>
      <c r="KKW352" s="34"/>
      <c r="KKX352" s="34"/>
      <c r="KKY352" s="34"/>
      <c r="KKZ352" s="34"/>
      <c r="KLA352" s="34"/>
      <c r="KLB352" s="34"/>
      <c r="KLC352" s="34"/>
      <c r="KLD352" s="34"/>
      <c r="KLE352" s="34"/>
      <c r="KLF352" s="34"/>
      <c r="KLG352" s="34"/>
      <c r="KLH352" s="34"/>
      <c r="KLI352" s="34"/>
      <c r="KLJ352" s="34"/>
      <c r="KLK352" s="34"/>
      <c r="KLL352" s="34"/>
      <c r="KLM352" s="34"/>
      <c r="KLN352" s="34"/>
      <c r="KLO352" s="34"/>
      <c r="KLP352" s="34"/>
      <c r="KLQ352" s="34"/>
      <c r="KLR352" s="34"/>
      <c r="KLS352" s="34"/>
      <c r="KLT352" s="34"/>
      <c r="KLU352" s="34"/>
      <c r="KLV352" s="34"/>
      <c r="KLW352" s="34"/>
      <c r="KLX352" s="34"/>
      <c r="KLY352" s="34"/>
      <c r="KLZ352" s="34"/>
      <c r="KMA352" s="34"/>
      <c r="KMB352" s="34"/>
      <c r="KMC352" s="34"/>
      <c r="KMD352" s="34"/>
      <c r="KME352" s="34"/>
      <c r="KMF352" s="34"/>
      <c r="KMG352" s="34"/>
      <c r="KMH352" s="34"/>
      <c r="KMI352" s="34"/>
      <c r="KMJ352" s="34"/>
      <c r="KMK352" s="34"/>
      <c r="KML352" s="34"/>
      <c r="KMM352" s="34"/>
      <c r="KMN352" s="34"/>
      <c r="KMO352" s="34"/>
      <c r="KMP352" s="34"/>
      <c r="KMQ352" s="34"/>
      <c r="KMR352" s="34"/>
      <c r="KMS352" s="34"/>
      <c r="KMT352" s="34"/>
      <c r="KMU352" s="34"/>
      <c r="KMV352" s="34"/>
      <c r="KMW352" s="34"/>
      <c r="KMX352" s="34"/>
      <c r="KMY352" s="34"/>
      <c r="KMZ352" s="34"/>
      <c r="KNA352" s="34"/>
      <c r="KNB352" s="34"/>
      <c r="KNC352" s="34"/>
      <c r="KND352" s="34"/>
      <c r="KNE352" s="34"/>
      <c r="KNF352" s="34"/>
      <c r="KNG352" s="34"/>
      <c r="KNH352" s="34"/>
      <c r="KNI352" s="34"/>
      <c r="KNJ352" s="34"/>
      <c r="KNK352" s="34"/>
      <c r="KNL352" s="34"/>
      <c r="KNM352" s="34"/>
      <c r="KNN352" s="34"/>
      <c r="KNO352" s="34"/>
      <c r="KNP352" s="34"/>
      <c r="KNQ352" s="34"/>
      <c r="KNR352" s="34"/>
      <c r="KNS352" s="34"/>
      <c r="KNT352" s="34"/>
      <c r="KNU352" s="34"/>
      <c r="KNV352" s="34"/>
      <c r="KNW352" s="34"/>
      <c r="KNX352" s="34"/>
      <c r="KNY352" s="34"/>
      <c r="KNZ352" s="34"/>
      <c r="KOA352" s="34"/>
      <c r="KOB352" s="34"/>
      <c r="KOC352" s="34"/>
      <c r="KOD352" s="34"/>
      <c r="KOE352" s="34"/>
      <c r="KOF352" s="34"/>
      <c r="KOG352" s="34"/>
      <c r="KOH352" s="34"/>
      <c r="KOI352" s="34"/>
      <c r="KOJ352" s="34"/>
      <c r="KOK352" s="34"/>
      <c r="KOL352" s="34"/>
      <c r="KOM352" s="34"/>
      <c r="KON352" s="34"/>
      <c r="KOO352" s="34"/>
      <c r="KOP352" s="34"/>
      <c r="KOQ352" s="34"/>
      <c r="KOR352" s="34"/>
      <c r="KOS352" s="34"/>
      <c r="KOT352" s="34"/>
      <c r="KOU352" s="34"/>
      <c r="KOV352" s="34"/>
      <c r="KOW352" s="34"/>
      <c r="KOX352" s="34"/>
      <c r="KOY352" s="34"/>
      <c r="KOZ352" s="34"/>
      <c r="KPA352" s="34"/>
      <c r="KPB352" s="34"/>
      <c r="KPC352" s="34"/>
      <c r="KPD352" s="34"/>
      <c r="KPE352" s="34"/>
      <c r="KPF352" s="34"/>
      <c r="KPG352" s="34"/>
      <c r="KPH352" s="34"/>
      <c r="KPI352" s="34"/>
      <c r="KPJ352" s="34"/>
      <c r="KPK352" s="34"/>
      <c r="KPL352" s="34"/>
      <c r="KPM352" s="34"/>
      <c r="KPN352" s="34"/>
      <c r="KPO352" s="34"/>
      <c r="KPP352" s="34"/>
      <c r="KPQ352" s="34"/>
      <c r="KPR352" s="34"/>
      <c r="KPS352" s="34"/>
      <c r="KPT352" s="34"/>
      <c r="KPU352" s="34"/>
      <c r="KPV352" s="34"/>
      <c r="KPW352" s="34"/>
      <c r="KPX352" s="34"/>
      <c r="KPY352" s="34"/>
      <c r="KPZ352" s="34"/>
      <c r="KQA352" s="34"/>
      <c r="KQB352" s="34"/>
      <c r="KQC352" s="34"/>
      <c r="KQD352" s="34"/>
      <c r="KQE352" s="34"/>
      <c r="KQF352" s="34"/>
      <c r="KQG352" s="34"/>
      <c r="KQH352" s="34"/>
      <c r="KQI352" s="34"/>
      <c r="KQJ352" s="34"/>
      <c r="KQK352" s="34"/>
      <c r="KQL352" s="34"/>
      <c r="KQM352" s="34"/>
      <c r="KQN352" s="34"/>
      <c r="KQO352" s="34"/>
      <c r="KQP352" s="34"/>
      <c r="KQQ352" s="34"/>
      <c r="KQR352" s="34"/>
      <c r="KQS352" s="34"/>
      <c r="KQT352" s="34"/>
      <c r="KQU352" s="34"/>
      <c r="KQV352" s="34"/>
      <c r="KQW352" s="34"/>
      <c r="KQX352" s="34"/>
      <c r="KQY352" s="34"/>
      <c r="KQZ352" s="34"/>
      <c r="KRA352" s="34"/>
      <c r="KRB352" s="34"/>
      <c r="KRC352" s="34"/>
      <c r="KRD352" s="34"/>
      <c r="KRE352" s="34"/>
      <c r="KRF352" s="34"/>
      <c r="KRG352" s="34"/>
      <c r="KRH352" s="34"/>
      <c r="KRI352" s="34"/>
      <c r="KRJ352" s="34"/>
      <c r="KRK352" s="34"/>
      <c r="KRL352" s="34"/>
      <c r="KRM352" s="34"/>
      <c r="KRN352" s="34"/>
      <c r="KRO352" s="34"/>
      <c r="KRP352" s="34"/>
      <c r="KRQ352" s="34"/>
      <c r="KRR352" s="34"/>
      <c r="KRS352" s="34"/>
      <c r="KRT352" s="34"/>
      <c r="KRU352" s="34"/>
      <c r="KRV352" s="34"/>
      <c r="KRW352" s="34"/>
      <c r="KRX352" s="34"/>
      <c r="KRY352" s="34"/>
      <c r="KRZ352" s="34"/>
      <c r="KSA352" s="34"/>
      <c r="KSB352" s="34"/>
      <c r="KSC352" s="34"/>
      <c r="KSD352" s="34"/>
      <c r="KSE352" s="34"/>
      <c r="KSF352" s="34"/>
      <c r="KSG352" s="34"/>
      <c r="KSH352" s="34"/>
      <c r="KSI352" s="34"/>
      <c r="KSJ352" s="34"/>
      <c r="KSK352" s="34"/>
      <c r="KSL352" s="34"/>
      <c r="KSM352" s="34"/>
      <c r="KSN352" s="34"/>
      <c r="KSO352" s="34"/>
      <c r="KSP352" s="34"/>
      <c r="KSQ352" s="34"/>
      <c r="KSR352" s="34"/>
      <c r="KSS352" s="34"/>
      <c r="KST352" s="34"/>
      <c r="KSU352" s="34"/>
      <c r="KSV352" s="34"/>
      <c r="KSW352" s="34"/>
      <c r="KSX352" s="34"/>
      <c r="KSY352" s="34"/>
      <c r="KSZ352" s="34"/>
      <c r="KTA352" s="34"/>
      <c r="KTB352" s="34"/>
      <c r="KTC352" s="34"/>
      <c r="KTD352" s="34"/>
      <c r="KTE352" s="34"/>
      <c r="KTF352" s="34"/>
      <c r="KTG352" s="34"/>
      <c r="KTH352" s="34"/>
      <c r="KTI352" s="34"/>
      <c r="KTJ352" s="34"/>
      <c r="KTK352" s="34"/>
      <c r="KTL352" s="34"/>
      <c r="KTM352" s="34"/>
      <c r="KTN352" s="34"/>
      <c r="KTO352" s="34"/>
      <c r="KTP352" s="34"/>
      <c r="KTQ352" s="34"/>
      <c r="KTR352" s="34"/>
      <c r="KTS352" s="34"/>
      <c r="KTT352" s="34"/>
      <c r="KTU352" s="34"/>
      <c r="KTV352" s="34"/>
      <c r="KTW352" s="34"/>
      <c r="KTX352" s="34"/>
      <c r="KTY352" s="34"/>
      <c r="KTZ352" s="34"/>
      <c r="KUA352" s="34"/>
      <c r="KUB352" s="34"/>
      <c r="KUC352" s="34"/>
      <c r="KUD352" s="34"/>
      <c r="KUE352" s="34"/>
      <c r="KUF352" s="34"/>
      <c r="KUG352" s="34"/>
      <c r="KUH352" s="34"/>
      <c r="KUI352" s="34"/>
      <c r="KUJ352" s="34"/>
      <c r="KUK352" s="34"/>
      <c r="KUL352" s="34"/>
      <c r="KUM352" s="34"/>
      <c r="KUN352" s="34"/>
      <c r="KUO352" s="34"/>
      <c r="KUP352" s="34"/>
      <c r="KUQ352" s="34"/>
      <c r="KUR352" s="34"/>
      <c r="KUS352" s="34"/>
      <c r="KUT352" s="34"/>
      <c r="KUU352" s="34"/>
      <c r="KUV352" s="34"/>
      <c r="KUW352" s="34"/>
      <c r="KUX352" s="34"/>
      <c r="KUY352" s="34"/>
      <c r="KUZ352" s="34"/>
      <c r="KVA352" s="34"/>
      <c r="KVB352" s="34"/>
      <c r="KVC352" s="34"/>
      <c r="KVD352" s="34"/>
      <c r="KVE352" s="34"/>
      <c r="KVF352" s="34"/>
      <c r="KVG352" s="34"/>
      <c r="KVH352" s="34"/>
      <c r="KVI352" s="34"/>
      <c r="KVJ352" s="34"/>
      <c r="KVK352" s="34"/>
      <c r="KVL352" s="34"/>
      <c r="KVM352" s="34"/>
      <c r="KVN352" s="34"/>
      <c r="KVO352" s="34"/>
      <c r="KVP352" s="34"/>
      <c r="KVQ352" s="34"/>
      <c r="KVR352" s="34"/>
      <c r="KVS352" s="34"/>
      <c r="KVT352" s="34"/>
      <c r="KVU352" s="34"/>
      <c r="KVV352" s="34"/>
      <c r="KVW352" s="34"/>
      <c r="KVX352" s="34"/>
      <c r="KVY352" s="34"/>
      <c r="KVZ352" s="34"/>
      <c r="KWA352" s="34"/>
      <c r="KWB352" s="34"/>
      <c r="KWC352" s="34"/>
      <c r="KWD352" s="34"/>
      <c r="KWE352" s="34"/>
      <c r="KWF352" s="34"/>
      <c r="KWG352" s="34"/>
      <c r="KWH352" s="34"/>
      <c r="KWI352" s="34"/>
      <c r="KWJ352" s="34"/>
      <c r="KWK352" s="34"/>
      <c r="KWL352" s="34"/>
      <c r="KWM352" s="34"/>
      <c r="KWN352" s="34"/>
      <c r="KWO352" s="34"/>
      <c r="KWP352" s="34"/>
      <c r="KWQ352" s="34"/>
      <c r="KWR352" s="34"/>
      <c r="KWS352" s="34"/>
      <c r="KWT352" s="34"/>
      <c r="KWU352" s="34"/>
      <c r="KWV352" s="34"/>
      <c r="KWW352" s="34"/>
      <c r="KWX352" s="34"/>
      <c r="KWY352" s="34"/>
      <c r="KWZ352" s="34"/>
      <c r="KXA352" s="34"/>
      <c r="KXB352" s="34"/>
      <c r="KXC352" s="34"/>
      <c r="KXD352" s="34"/>
      <c r="KXE352" s="34"/>
      <c r="KXF352" s="34"/>
      <c r="KXG352" s="34"/>
      <c r="KXH352" s="34"/>
      <c r="KXI352" s="34"/>
      <c r="KXJ352" s="34"/>
      <c r="KXK352" s="34"/>
      <c r="KXL352" s="34"/>
      <c r="KXM352" s="34"/>
      <c r="KXN352" s="34"/>
      <c r="KXO352" s="34"/>
      <c r="KXP352" s="34"/>
      <c r="KXQ352" s="34"/>
      <c r="KXR352" s="34"/>
      <c r="KXS352" s="34"/>
      <c r="KXT352" s="34"/>
      <c r="KXU352" s="34"/>
      <c r="KXV352" s="34"/>
      <c r="KXW352" s="34"/>
      <c r="KXX352" s="34"/>
      <c r="KXY352" s="34"/>
      <c r="KXZ352" s="34"/>
      <c r="KYA352" s="34"/>
      <c r="KYB352" s="34"/>
      <c r="KYC352" s="34"/>
      <c r="KYD352" s="34"/>
      <c r="KYE352" s="34"/>
      <c r="KYF352" s="34"/>
      <c r="KYG352" s="34"/>
      <c r="KYH352" s="34"/>
      <c r="KYI352" s="34"/>
      <c r="KYJ352" s="34"/>
      <c r="KYK352" s="34"/>
      <c r="KYL352" s="34"/>
      <c r="KYM352" s="34"/>
      <c r="KYN352" s="34"/>
      <c r="KYO352" s="34"/>
      <c r="KYP352" s="34"/>
      <c r="KYQ352" s="34"/>
      <c r="KYR352" s="34"/>
      <c r="KYS352" s="34"/>
      <c r="KYT352" s="34"/>
      <c r="KYU352" s="34"/>
      <c r="KYV352" s="34"/>
      <c r="KYW352" s="34"/>
      <c r="KYX352" s="34"/>
      <c r="KYY352" s="34"/>
      <c r="KYZ352" s="34"/>
      <c r="KZA352" s="34"/>
      <c r="KZB352" s="34"/>
      <c r="KZC352" s="34"/>
      <c r="KZD352" s="34"/>
      <c r="KZE352" s="34"/>
      <c r="KZF352" s="34"/>
      <c r="KZG352" s="34"/>
      <c r="KZH352" s="34"/>
      <c r="KZI352" s="34"/>
      <c r="KZJ352" s="34"/>
      <c r="KZK352" s="34"/>
      <c r="KZL352" s="34"/>
      <c r="KZM352" s="34"/>
      <c r="KZN352" s="34"/>
      <c r="KZO352" s="34"/>
      <c r="KZP352" s="34"/>
      <c r="KZQ352" s="34"/>
      <c r="KZR352" s="34"/>
      <c r="KZS352" s="34"/>
      <c r="KZT352" s="34"/>
      <c r="KZU352" s="34"/>
      <c r="KZV352" s="34"/>
      <c r="KZW352" s="34"/>
      <c r="KZX352" s="34"/>
      <c r="KZY352" s="34"/>
      <c r="KZZ352" s="34"/>
      <c r="LAA352" s="34"/>
      <c r="LAB352" s="34"/>
      <c r="LAC352" s="34"/>
      <c r="LAD352" s="34"/>
      <c r="LAE352" s="34"/>
      <c r="LAF352" s="34"/>
      <c r="LAG352" s="34"/>
      <c r="LAH352" s="34"/>
      <c r="LAI352" s="34"/>
      <c r="LAJ352" s="34"/>
      <c r="LAK352" s="34"/>
      <c r="LAL352" s="34"/>
      <c r="LAM352" s="34"/>
      <c r="LAN352" s="34"/>
      <c r="LAO352" s="34"/>
      <c r="LAP352" s="34"/>
      <c r="LAQ352" s="34"/>
      <c r="LAR352" s="34"/>
      <c r="LAS352" s="34"/>
      <c r="LAT352" s="34"/>
      <c r="LAU352" s="34"/>
      <c r="LAV352" s="34"/>
      <c r="LAW352" s="34"/>
      <c r="LAX352" s="34"/>
      <c r="LAY352" s="34"/>
      <c r="LAZ352" s="34"/>
      <c r="LBA352" s="34"/>
      <c r="LBB352" s="34"/>
      <c r="LBC352" s="34"/>
      <c r="LBD352" s="34"/>
      <c r="LBE352" s="34"/>
      <c r="LBF352" s="34"/>
      <c r="LBG352" s="34"/>
      <c r="LBH352" s="34"/>
      <c r="LBI352" s="34"/>
      <c r="LBJ352" s="34"/>
      <c r="LBK352" s="34"/>
      <c r="LBL352" s="34"/>
      <c r="LBM352" s="34"/>
      <c r="LBN352" s="34"/>
      <c r="LBO352" s="34"/>
      <c r="LBP352" s="34"/>
      <c r="LBQ352" s="34"/>
      <c r="LBR352" s="34"/>
      <c r="LBS352" s="34"/>
      <c r="LBT352" s="34"/>
      <c r="LBU352" s="34"/>
      <c r="LBV352" s="34"/>
      <c r="LBW352" s="34"/>
      <c r="LBX352" s="34"/>
      <c r="LBY352" s="34"/>
      <c r="LBZ352" s="34"/>
      <c r="LCA352" s="34"/>
      <c r="LCB352" s="34"/>
      <c r="LCC352" s="34"/>
      <c r="LCD352" s="34"/>
      <c r="LCE352" s="34"/>
      <c r="LCF352" s="34"/>
      <c r="LCG352" s="34"/>
      <c r="LCH352" s="34"/>
      <c r="LCI352" s="34"/>
      <c r="LCJ352" s="34"/>
      <c r="LCK352" s="34"/>
      <c r="LCL352" s="34"/>
      <c r="LCM352" s="34"/>
      <c r="LCN352" s="34"/>
      <c r="LCO352" s="34"/>
      <c r="LCP352" s="34"/>
      <c r="LCQ352" s="34"/>
      <c r="LCR352" s="34"/>
      <c r="LCS352" s="34"/>
      <c r="LCT352" s="34"/>
      <c r="LCU352" s="34"/>
      <c r="LCV352" s="34"/>
      <c r="LCW352" s="34"/>
      <c r="LCX352" s="34"/>
      <c r="LCY352" s="34"/>
      <c r="LCZ352" s="34"/>
      <c r="LDA352" s="34"/>
      <c r="LDB352" s="34"/>
      <c r="LDC352" s="34"/>
      <c r="LDD352" s="34"/>
      <c r="LDE352" s="34"/>
      <c r="LDF352" s="34"/>
      <c r="LDG352" s="34"/>
      <c r="LDH352" s="34"/>
      <c r="LDI352" s="34"/>
      <c r="LDJ352" s="34"/>
      <c r="LDK352" s="34"/>
      <c r="LDL352" s="34"/>
      <c r="LDM352" s="34"/>
      <c r="LDN352" s="34"/>
      <c r="LDO352" s="34"/>
      <c r="LDP352" s="34"/>
      <c r="LDQ352" s="34"/>
      <c r="LDR352" s="34"/>
      <c r="LDS352" s="34"/>
      <c r="LDT352" s="34"/>
      <c r="LDU352" s="34"/>
      <c r="LDV352" s="34"/>
      <c r="LDW352" s="34"/>
      <c r="LDX352" s="34"/>
      <c r="LDY352" s="34"/>
      <c r="LDZ352" s="34"/>
      <c r="LEA352" s="34"/>
      <c r="LEB352" s="34"/>
      <c r="LEC352" s="34"/>
      <c r="LED352" s="34"/>
      <c r="LEE352" s="34"/>
      <c r="LEF352" s="34"/>
      <c r="LEG352" s="34"/>
      <c r="LEH352" s="34"/>
      <c r="LEI352" s="34"/>
      <c r="LEJ352" s="34"/>
      <c r="LEK352" s="34"/>
      <c r="LEL352" s="34"/>
      <c r="LEM352" s="34"/>
      <c r="LEN352" s="34"/>
      <c r="LEO352" s="34"/>
      <c r="LEP352" s="34"/>
      <c r="LEQ352" s="34"/>
      <c r="LER352" s="34"/>
      <c r="LES352" s="34"/>
      <c r="LET352" s="34"/>
      <c r="LEU352" s="34"/>
      <c r="LEV352" s="34"/>
      <c r="LEW352" s="34"/>
      <c r="LEX352" s="34"/>
      <c r="LEY352" s="34"/>
      <c r="LEZ352" s="34"/>
      <c r="LFA352" s="34"/>
      <c r="LFB352" s="34"/>
      <c r="LFC352" s="34"/>
      <c r="LFD352" s="34"/>
      <c r="LFE352" s="34"/>
      <c r="LFF352" s="34"/>
      <c r="LFG352" s="34"/>
      <c r="LFH352" s="34"/>
      <c r="LFI352" s="34"/>
      <c r="LFJ352" s="34"/>
      <c r="LFK352" s="34"/>
      <c r="LFL352" s="34"/>
      <c r="LFM352" s="34"/>
      <c r="LFN352" s="34"/>
      <c r="LFO352" s="34"/>
      <c r="LFP352" s="34"/>
      <c r="LFQ352" s="34"/>
      <c r="LFR352" s="34"/>
      <c r="LFS352" s="34"/>
      <c r="LFT352" s="34"/>
      <c r="LFU352" s="34"/>
      <c r="LFV352" s="34"/>
      <c r="LFW352" s="34"/>
      <c r="LFX352" s="34"/>
      <c r="LFY352" s="34"/>
      <c r="LFZ352" s="34"/>
      <c r="LGA352" s="34"/>
      <c r="LGB352" s="34"/>
      <c r="LGC352" s="34"/>
      <c r="LGD352" s="34"/>
      <c r="LGE352" s="34"/>
      <c r="LGF352" s="34"/>
      <c r="LGG352" s="34"/>
      <c r="LGH352" s="34"/>
      <c r="LGI352" s="34"/>
      <c r="LGJ352" s="34"/>
      <c r="LGK352" s="34"/>
      <c r="LGL352" s="34"/>
      <c r="LGM352" s="34"/>
      <c r="LGN352" s="34"/>
      <c r="LGO352" s="34"/>
      <c r="LGP352" s="34"/>
      <c r="LGQ352" s="34"/>
      <c r="LGR352" s="34"/>
      <c r="LGS352" s="34"/>
      <c r="LGT352" s="34"/>
      <c r="LGU352" s="34"/>
      <c r="LGV352" s="34"/>
      <c r="LGW352" s="34"/>
      <c r="LGX352" s="34"/>
      <c r="LGY352" s="34"/>
      <c r="LGZ352" s="34"/>
      <c r="LHA352" s="34"/>
      <c r="LHB352" s="34"/>
      <c r="LHC352" s="34"/>
      <c r="LHD352" s="34"/>
      <c r="LHE352" s="34"/>
      <c r="LHF352" s="34"/>
      <c r="LHG352" s="34"/>
      <c r="LHH352" s="34"/>
      <c r="LHI352" s="34"/>
      <c r="LHJ352" s="34"/>
      <c r="LHK352" s="34"/>
      <c r="LHL352" s="34"/>
      <c r="LHM352" s="34"/>
      <c r="LHN352" s="34"/>
      <c r="LHO352" s="34"/>
      <c r="LHP352" s="34"/>
      <c r="LHQ352" s="34"/>
      <c r="LHR352" s="34"/>
      <c r="LHS352" s="34"/>
      <c r="LHT352" s="34"/>
      <c r="LHU352" s="34"/>
      <c r="LHV352" s="34"/>
      <c r="LHW352" s="34"/>
      <c r="LHX352" s="34"/>
      <c r="LHY352" s="34"/>
      <c r="LHZ352" s="34"/>
      <c r="LIA352" s="34"/>
      <c r="LIB352" s="34"/>
      <c r="LIC352" s="34"/>
      <c r="LID352" s="34"/>
      <c r="LIE352" s="34"/>
      <c r="LIF352" s="34"/>
      <c r="LIG352" s="34"/>
      <c r="LIH352" s="34"/>
      <c r="LII352" s="34"/>
      <c r="LIJ352" s="34"/>
      <c r="LIK352" s="34"/>
      <c r="LIL352" s="34"/>
      <c r="LIM352" s="34"/>
      <c r="LIN352" s="34"/>
      <c r="LIO352" s="34"/>
      <c r="LIP352" s="34"/>
      <c r="LIQ352" s="34"/>
      <c r="LIR352" s="34"/>
      <c r="LIS352" s="34"/>
      <c r="LIT352" s="34"/>
      <c r="LIU352" s="34"/>
      <c r="LIV352" s="34"/>
      <c r="LIW352" s="34"/>
      <c r="LIX352" s="34"/>
      <c r="LIY352" s="34"/>
      <c r="LIZ352" s="34"/>
      <c r="LJA352" s="34"/>
      <c r="LJB352" s="34"/>
      <c r="LJC352" s="34"/>
      <c r="LJD352" s="34"/>
      <c r="LJE352" s="34"/>
      <c r="LJF352" s="34"/>
      <c r="LJG352" s="34"/>
      <c r="LJH352" s="34"/>
      <c r="LJI352" s="34"/>
      <c r="LJJ352" s="34"/>
      <c r="LJK352" s="34"/>
      <c r="LJL352" s="34"/>
      <c r="LJM352" s="34"/>
      <c r="LJN352" s="34"/>
      <c r="LJO352" s="34"/>
      <c r="LJP352" s="34"/>
      <c r="LJQ352" s="34"/>
      <c r="LJR352" s="34"/>
      <c r="LJS352" s="34"/>
      <c r="LJT352" s="34"/>
      <c r="LJU352" s="34"/>
      <c r="LJV352" s="34"/>
      <c r="LJW352" s="34"/>
      <c r="LJX352" s="34"/>
      <c r="LJY352" s="34"/>
      <c r="LJZ352" s="34"/>
      <c r="LKA352" s="34"/>
      <c r="LKB352" s="34"/>
      <c r="LKC352" s="34"/>
      <c r="LKD352" s="34"/>
      <c r="LKE352" s="34"/>
      <c r="LKF352" s="34"/>
      <c r="LKG352" s="34"/>
      <c r="LKH352" s="34"/>
      <c r="LKI352" s="34"/>
      <c r="LKJ352" s="34"/>
      <c r="LKK352" s="34"/>
      <c r="LKL352" s="34"/>
      <c r="LKM352" s="34"/>
      <c r="LKN352" s="34"/>
      <c r="LKO352" s="34"/>
      <c r="LKP352" s="34"/>
      <c r="LKQ352" s="34"/>
      <c r="LKR352" s="34"/>
      <c r="LKS352" s="34"/>
      <c r="LKT352" s="34"/>
      <c r="LKU352" s="34"/>
      <c r="LKV352" s="34"/>
      <c r="LKW352" s="34"/>
      <c r="LKX352" s="34"/>
      <c r="LKY352" s="34"/>
      <c r="LKZ352" s="34"/>
      <c r="LLA352" s="34"/>
      <c r="LLB352" s="34"/>
      <c r="LLC352" s="34"/>
      <c r="LLD352" s="34"/>
      <c r="LLE352" s="34"/>
      <c r="LLF352" s="34"/>
      <c r="LLG352" s="34"/>
      <c r="LLH352" s="34"/>
      <c r="LLI352" s="34"/>
      <c r="LLJ352" s="34"/>
      <c r="LLK352" s="34"/>
      <c r="LLL352" s="34"/>
      <c r="LLM352" s="34"/>
      <c r="LLN352" s="34"/>
      <c r="LLO352" s="34"/>
      <c r="LLP352" s="34"/>
      <c r="LLQ352" s="34"/>
      <c r="LLR352" s="34"/>
      <c r="LLS352" s="34"/>
      <c r="LLT352" s="34"/>
      <c r="LLU352" s="34"/>
      <c r="LLV352" s="34"/>
      <c r="LLW352" s="34"/>
      <c r="LLX352" s="34"/>
      <c r="LLY352" s="34"/>
      <c r="LLZ352" s="34"/>
      <c r="LMA352" s="34"/>
      <c r="LMB352" s="34"/>
      <c r="LMC352" s="34"/>
      <c r="LMD352" s="34"/>
      <c r="LME352" s="34"/>
      <c r="LMF352" s="34"/>
      <c r="LMG352" s="34"/>
      <c r="LMH352" s="34"/>
      <c r="LMI352" s="34"/>
      <c r="LMJ352" s="34"/>
      <c r="LMK352" s="34"/>
      <c r="LML352" s="34"/>
      <c r="LMM352" s="34"/>
      <c r="LMN352" s="34"/>
      <c r="LMO352" s="34"/>
      <c r="LMP352" s="34"/>
      <c r="LMQ352" s="34"/>
      <c r="LMR352" s="34"/>
      <c r="LMS352" s="34"/>
      <c r="LMT352" s="34"/>
      <c r="LMU352" s="34"/>
      <c r="LMV352" s="34"/>
      <c r="LMW352" s="34"/>
      <c r="LMX352" s="34"/>
      <c r="LMY352" s="34"/>
      <c r="LMZ352" s="34"/>
      <c r="LNA352" s="34"/>
      <c r="LNB352" s="34"/>
      <c r="LNC352" s="34"/>
      <c r="LND352" s="34"/>
      <c r="LNE352" s="34"/>
      <c r="LNF352" s="34"/>
      <c r="LNG352" s="34"/>
      <c r="LNH352" s="34"/>
      <c r="LNI352" s="34"/>
      <c r="LNJ352" s="34"/>
      <c r="LNK352" s="34"/>
      <c r="LNL352" s="34"/>
      <c r="LNM352" s="34"/>
      <c r="LNN352" s="34"/>
      <c r="LNO352" s="34"/>
      <c r="LNP352" s="34"/>
      <c r="LNQ352" s="34"/>
      <c r="LNR352" s="34"/>
      <c r="LNS352" s="34"/>
      <c r="LNT352" s="34"/>
      <c r="LNU352" s="34"/>
      <c r="LNV352" s="34"/>
      <c r="LNW352" s="34"/>
      <c r="LNX352" s="34"/>
      <c r="LNY352" s="34"/>
      <c r="LNZ352" s="34"/>
      <c r="LOA352" s="34"/>
      <c r="LOB352" s="34"/>
      <c r="LOC352" s="34"/>
      <c r="LOD352" s="34"/>
      <c r="LOE352" s="34"/>
      <c r="LOF352" s="34"/>
      <c r="LOG352" s="34"/>
      <c r="LOH352" s="34"/>
      <c r="LOI352" s="34"/>
      <c r="LOJ352" s="34"/>
      <c r="LOK352" s="34"/>
      <c r="LOL352" s="34"/>
      <c r="LOM352" s="34"/>
      <c r="LON352" s="34"/>
      <c r="LOO352" s="34"/>
      <c r="LOP352" s="34"/>
      <c r="LOQ352" s="34"/>
      <c r="LOR352" s="34"/>
      <c r="LOS352" s="34"/>
      <c r="LOT352" s="34"/>
      <c r="LOU352" s="34"/>
      <c r="LOV352" s="34"/>
      <c r="LOW352" s="34"/>
      <c r="LOX352" s="34"/>
      <c r="LOY352" s="34"/>
      <c r="LOZ352" s="34"/>
      <c r="LPA352" s="34"/>
      <c r="LPB352" s="34"/>
      <c r="LPC352" s="34"/>
      <c r="LPD352" s="34"/>
      <c r="LPE352" s="34"/>
      <c r="LPF352" s="34"/>
      <c r="LPG352" s="34"/>
      <c r="LPH352" s="34"/>
      <c r="LPI352" s="34"/>
      <c r="LPJ352" s="34"/>
      <c r="LPK352" s="34"/>
      <c r="LPL352" s="34"/>
      <c r="LPM352" s="34"/>
      <c r="LPN352" s="34"/>
      <c r="LPO352" s="34"/>
      <c r="LPP352" s="34"/>
      <c r="LPQ352" s="34"/>
      <c r="LPR352" s="34"/>
      <c r="LPS352" s="34"/>
      <c r="LPT352" s="34"/>
      <c r="LPU352" s="34"/>
      <c r="LPV352" s="34"/>
      <c r="LPW352" s="34"/>
      <c r="LPX352" s="34"/>
      <c r="LPY352" s="34"/>
      <c r="LPZ352" s="34"/>
      <c r="LQA352" s="34"/>
      <c r="LQB352" s="34"/>
      <c r="LQC352" s="34"/>
      <c r="LQD352" s="34"/>
      <c r="LQE352" s="34"/>
      <c r="LQF352" s="34"/>
      <c r="LQG352" s="34"/>
      <c r="LQH352" s="34"/>
      <c r="LQI352" s="34"/>
      <c r="LQJ352" s="34"/>
      <c r="LQK352" s="34"/>
      <c r="LQL352" s="34"/>
      <c r="LQM352" s="34"/>
      <c r="LQN352" s="34"/>
      <c r="LQO352" s="34"/>
      <c r="LQP352" s="34"/>
      <c r="LQQ352" s="34"/>
      <c r="LQR352" s="34"/>
      <c r="LQS352" s="34"/>
      <c r="LQT352" s="34"/>
      <c r="LQU352" s="34"/>
      <c r="LQV352" s="34"/>
      <c r="LQW352" s="34"/>
      <c r="LQX352" s="34"/>
      <c r="LQY352" s="34"/>
      <c r="LQZ352" s="34"/>
      <c r="LRA352" s="34"/>
      <c r="LRB352" s="34"/>
      <c r="LRC352" s="34"/>
      <c r="LRD352" s="34"/>
      <c r="LRE352" s="34"/>
      <c r="LRF352" s="34"/>
      <c r="LRG352" s="34"/>
      <c r="LRH352" s="34"/>
      <c r="LRI352" s="34"/>
      <c r="LRJ352" s="34"/>
      <c r="LRK352" s="34"/>
      <c r="LRL352" s="34"/>
      <c r="LRM352" s="34"/>
      <c r="LRN352" s="34"/>
      <c r="LRO352" s="34"/>
      <c r="LRP352" s="34"/>
      <c r="LRQ352" s="34"/>
      <c r="LRR352" s="34"/>
      <c r="LRS352" s="34"/>
      <c r="LRT352" s="34"/>
      <c r="LRU352" s="34"/>
      <c r="LRV352" s="34"/>
      <c r="LRW352" s="34"/>
      <c r="LRX352" s="34"/>
      <c r="LRY352" s="34"/>
      <c r="LRZ352" s="34"/>
      <c r="LSA352" s="34"/>
      <c r="LSB352" s="34"/>
      <c r="LSC352" s="34"/>
      <c r="LSD352" s="34"/>
      <c r="LSE352" s="34"/>
      <c r="LSF352" s="34"/>
      <c r="LSG352" s="34"/>
      <c r="LSH352" s="34"/>
      <c r="LSI352" s="34"/>
      <c r="LSJ352" s="34"/>
      <c r="LSK352" s="34"/>
      <c r="LSL352" s="34"/>
      <c r="LSM352" s="34"/>
      <c r="LSN352" s="34"/>
      <c r="LSO352" s="34"/>
      <c r="LSP352" s="34"/>
      <c r="LSQ352" s="34"/>
      <c r="LSR352" s="34"/>
      <c r="LSS352" s="34"/>
      <c r="LST352" s="34"/>
      <c r="LSU352" s="34"/>
      <c r="LSV352" s="34"/>
      <c r="LSW352" s="34"/>
      <c r="LSX352" s="34"/>
      <c r="LSY352" s="34"/>
      <c r="LSZ352" s="34"/>
      <c r="LTA352" s="34"/>
      <c r="LTB352" s="34"/>
      <c r="LTC352" s="34"/>
      <c r="LTD352" s="34"/>
      <c r="LTE352" s="34"/>
      <c r="LTF352" s="34"/>
      <c r="LTG352" s="34"/>
      <c r="LTH352" s="34"/>
      <c r="LTI352" s="34"/>
      <c r="LTJ352" s="34"/>
      <c r="LTK352" s="34"/>
      <c r="LTL352" s="34"/>
      <c r="LTM352" s="34"/>
      <c r="LTN352" s="34"/>
      <c r="LTO352" s="34"/>
      <c r="LTP352" s="34"/>
      <c r="LTQ352" s="34"/>
      <c r="LTR352" s="34"/>
      <c r="LTS352" s="34"/>
      <c r="LTT352" s="34"/>
      <c r="LTU352" s="34"/>
      <c r="LTV352" s="34"/>
      <c r="LTW352" s="34"/>
      <c r="LTX352" s="34"/>
      <c r="LTY352" s="34"/>
      <c r="LTZ352" s="34"/>
      <c r="LUA352" s="34"/>
      <c r="LUB352" s="34"/>
      <c r="LUC352" s="34"/>
      <c r="LUD352" s="34"/>
      <c r="LUE352" s="34"/>
      <c r="LUF352" s="34"/>
      <c r="LUG352" s="34"/>
      <c r="LUH352" s="34"/>
      <c r="LUI352" s="34"/>
      <c r="LUJ352" s="34"/>
      <c r="LUK352" s="34"/>
      <c r="LUL352" s="34"/>
      <c r="LUM352" s="34"/>
      <c r="LUN352" s="34"/>
      <c r="LUO352" s="34"/>
      <c r="LUP352" s="34"/>
      <c r="LUQ352" s="34"/>
      <c r="LUR352" s="34"/>
      <c r="LUS352" s="34"/>
      <c r="LUT352" s="34"/>
      <c r="LUU352" s="34"/>
      <c r="LUV352" s="34"/>
      <c r="LUW352" s="34"/>
      <c r="LUX352" s="34"/>
      <c r="LUY352" s="34"/>
      <c r="LUZ352" s="34"/>
      <c r="LVA352" s="34"/>
      <c r="LVB352" s="34"/>
      <c r="LVC352" s="34"/>
      <c r="LVD352" s="34"/>
      <c r="LVE352" s="34"/>
      <c r="LVF352" s="34"/>
      <c r="LVG352" s="34"/>
      <c r="LVH352" s="34"/>
      <c r="LVI352" s="34"/>
      <c r="LVJ352" s="34"/>
      <c r="LVK352" s="34"/>
      <c r="LVL352" s="34"/>
      <c r="LVM352" s="34"/>
      <c r="LVN352" s="34"/>
      <c r="LVO352" s="34"/>
      <c r="LVP352" s="34"/>
      <c r="LVQ352" s="34"/>
      <c r="LVR352" s="34"/>
      <c r="LVS352" s="34"/>
      <c r="LVT352" s="34"/>
      <c r="LVU352" s="34"/>
      <c r="LVV352" s="34"/>
      <c r="LVW352" s="34"/>
      <c r="LVX352" s="34"/>
      <c r="LVY352" s="34"/>
      <c r="LVZ352" s="34"/>
      <c r="LWA352" s="34"/>
      <c r="LWB352" s="34"/>
      <c r="LWC352" s="34"/>
      <c r="LWD352" s="34"/>
      <c r="LWE352" s="34"/>
      <c r="LWF352" s="34"/>
      <c r="LWG352" s="34"/>
      <c r="LWH352" s="34"/>
      <c r="LWI352" s="34"/>
      <c r="LWJ352" s="34"/>
      <c r="LWK352" s="34"/>
      <c r="LWL352" s="34"/>
      <c r="LWM352" s="34"/>
      <c r="LWN352" s="34"/>
      <c r="LWO352" s="34"/>
      <c r="LWP352" s="34"/>
      <c r="LWQ352" s="34"/>
      <c r="LWR352" s="34"/>
      <c r="LWS352" s="34"/>
      <c r="LWT352" s="34"/>
      <c r="LWU352" s="34"/>
      <c r="LWV352" s="34"/>
      <c r="LWW352" s="34"/>
      <c r="LWX352" s="34"/>
      <c r="LWY352" s="34"/>
      <c r="LWZ352" s="34"/>
      <c r="LXA352" s="34"/>
      <c r="LXB352" s="34"/>
      <c r="LXC352" s="34"/>
      <c r="LXD352" s="34"/>
      <c r="LXE352" s="34"/>
      <c r="LXF352" s="34"/>
      <c r="LXG352" s="34"/>
      <c r="LXH352" s="34"/>
      <c r="LXI352" s="34"/>
      <c r="LXJ352" s="34"/>
      <c r="LXK352" s="34"/>
      <c r="LXL352" s="34"/>
      <c r="LXM352" s="34"/>
      <c r="LXN352" s="34"/>
      <c r="LXO352" s="34"/>
      <c r="LXP352" s="34"/>
      <c r="LXQ352" s="34"/>
      <c r="LXR352" s="34"/>
      <c r="LXS352" s="34"/>
      <c r="LXT352" s="34"/>
      <c r="LXU352" s="34"/>
      <c r="LXV352" s="34"/>
      <c r="LXW352" s="34"/>
      <c r="LXX352" s="34"/>
      <c r="LXY352" s="34"/>
      <c r="LXZ352" s="34"/>
      <c r="LYA352" s="34"/>
      <c r="LYB352" s="34"/>
      <c r="LYC352" s="34"/>
      <c r="LYD352" s="34"/>
      <c r="LYE352" s="34"/>
      <c r="LYF352" s="34"/>
      <c r="LYG352" s="34"/>
      <c r="LYH352" s="34"/>
      <c r="LYI352" s="34"/>
      <c r="LYJ352" s="34"/>
      <c r="LYK352" s="34"/>
      <c r="LYL352" s="34"/>
      <c r="LYM352" s="34"/>
      <c r="LYN352" s="34"/>
      <c r="LYO352" s="34"/>
      <c r="LYP352" s="34"/>
      <c r="LYQ352" s="34"/>
      <c r="LYR352" s="34"/>
      <c r="LYS352" s="34"/>
      <c r="LYT352" s="34"/>
      <c r="LYU352" s="34"/>
      <c r="LYV352" s="34"/>
      <c r="LYW352" s="34"/>
      <c r="LYX352" s="34"/>
      <c r="LYY352" s="34"/>
      <c r="LYZ352" s="34"/>
      <c r="LZA352" s="34"/>
      <c r="LZB352" s="34"/>
      <c r="LZC352" s="34"/>
      <c r="LZD352" s="34"/>
      <c r="LZE352" s="34"/>
      <c r="LZF352" s="34"/>
      <c r="LZG352" s="34"/>
      <c r="LZH352" s="34"/>
      <c r="LZI352" s="34"/>
      <c r="LZJ352" s="34"/>
      <c r="LZK352" s="34"/>
      <c r="LZL352" s="34"/>
      <c r="LZM352" s="34"/>
      <c r="LZN352" s="34"/>
      <c r="LZO352" s="34"/>
      <c r="LZP352" s="34"/>
      <c r="LZQ352" s="34"/>
      <c r="LZR352" s="34"/>
      <c r="LZS352" s="34"/>
      <c r="LZT352" s="34"/>
      <c r="LZU352" s="34"/>
      <c r="LZV352" s="34"/>
      <c r="LZW352" s="34"/>
      <c r="LZX352" s="34"/>
      <c r="LZY352" s="34"/>
      <c r="LZZ352" s="34"/>
      <c r="MAA352" s="34"/>
      <c r="MAB352" s="34"/>
      <c r="MAC352" s="34"/>
      <c r="MAD352" s="34"/>
      <c r="MAE352" s="34"/>
      <c r="MAF352" s="34"/>
      <c r="MAG352" s="34"/>
      <c r="MAH352" s="34"/>
      <c r="MAI352" s="34"/>
      <c r="MAJ352" s="34"/>
      <c r="MAK352" s="34"/>
      <c r="MAL352" s="34"/>
      <c r="MAM352" s="34"/>
      <c r="MAN352" s="34"/>
      <c r="MAO352" s="34"/>
      <c r="MAP352" s="34"/>
      <c r="MAQ352" s="34"/>
      <c r="MAR352" s="34"/>
      <c r="MAS352" s="34"/>
      <c r="MAT352" s="34"/>
      <c r="MAU352" s="34"/>
      <c r="MAV352" s="34"/>
      <c r="MAW352" s="34"/>
      <c r="MAX352" s="34"/>
      <c r="MAY352" s="34"/>
      <c r="MAZ352" s="34"/>
      <c r="MBA352" s="34"/>
      <c r="MBB352" s="34"/>
      <c r="MBC352" s="34"/>
      <c r="MBD352" s="34"/>
      <c r="MBE352" s="34"/>
      <c r="MBF352" s="34"/>
      <c r="MBG352" s="34"/>
      <c r="MBH352" s="34"/>
      <c r="MBI352" s="34"/>
      <c r="MBJ352" s="34"/>
      <c r="MBK352" s="34"/>
      <c r="MBL352" s="34"/>
      <c r="MBM352" s="34"/>
      <c r="MBN352" s="34"/>
      <c r="MBO352" s="34"/>
      <c r="MBP352" s="34"/>
      <c r="MBQ352" s="34"/>
      <c r="MBR352" s="34"/>
      <c r="MBS352" s="34"/>
      <c r="MBT352" s="34"/>
      <c r="MBU352" s="34"/>
      <c r="MBV352" s="34"/>
      <c r="MBW352" s="34"/>
      <c r="MBX352" s="34"/>
      <c r="MBY352" s="34"/>
      <c r="MBZ352" s="34"/>
      <c r="MCA352" s="34"/>
      <c r="MCB352" s="34"/>
      <c r="MCC352" s="34"/>
      <c r="MCD352" s="34"/>
      <c r="MCE352" s="34"/>
      <c r="MCF352" s="34"/>
      <c r="MCG352" s="34"/>
      <c r="MCH352" s="34"/>
      <c r="MCI352" s="34"/>
      <c r="MCJ352" s="34"/>
      <c r="MCK352" s="34"/>
      <c r="MCL352" s="34"/>
      <c r="MCM352" s="34"/>
      <c r="MCN352" s="34"/>
      <c r="MCO352" s="34"/>
      <c r="MCP352" s="34"/>
      <c r="MCQ352" s="34"/>
      <c r="MCR352" s="34"/>
      <c r="MCS352" s="34"/>
      <c r="MCT352" s="34"/>
      <c r="MCU352" s="34"/>
      <c r="MCV352" s="34"/>
      <c r="MCW352" s="34"/>
      <c r="MCX352" s="34"/>
      <c r="MCY352" s="34"/>
      <c r="MCZ352" s="34"/>
      <c r="MDA352" s="34"/>
      <c r="MDB352" s="34"/>
      <c r="MDC352" s="34"/>
      <c r="MDD352" s="34"/>
      <c r="MDE352" s="34"/>
      <c r="MDF352" s="34"/>
      <c r="MDG352" s="34"/>
      <c r="MDH352" s="34"/>
      <c r="MDI352" s="34"/>
      <c r="MDJ352" s="34"/>
      <c r="MDK352" s="34"/>
      <c r="MDL352" s="34"/>
      <c r="MDM352" s="34"/>
      <c r="MDN352" s="34"/>
      <c r="MDO352" s="34"/>
      <c r="MDP352" s="34"/>
      <c r="MDQ352" s="34"/>
      <c r="MDR352" s="34"/>
      <c r="MDS352" s="34"/>
      <c r="MDT352" s="34"/>
      <c r="MDU352" s="34"/>
      <c r="MDV352" s="34"/>
      <c r="MDW352" s="34"/>
      <c r="MDX352" s="34"/>
      <c r="MDY352" s="34"/>
      <c r="MDZ352" s="34"/>
      <c r="MEA352" s="34"/>
      <c r="MEB352" s="34"/>
      <c r="MEC352" s="34"/>
      <c r="MED352" s="34"/>
      <c r="MEE352" s="34"/>
      <c r="MEF352" s="34"/>
      <c r="MEG352" s="34"/>
      <c r="MEH352" s="34"/>
      <c r="MEI352" s="34"/>
      <c r="MEJ352" s="34"/>
      <c r="MEK352" s="34"/>
      <c r="MEL352" s="34"/>
      <c r="MEM352" s="34"/>
      <c r="MEN352" s="34"/>
      <c r="MEO352" s="34"/>
      <c r="MEP352" s="34"/>
      <c r="MEQ352" s="34"/>
      <c r="MER352" s="34"/>
      <c r="MES352" s="34"/>
      <c r="MET352" s="34"/>
      <c r="MEU352" s="34"/>
      <c r="MEV352" s="34"/>
      <c r="MEW352" s="34"/>
      <c r="MEX352" s="34"/>
      <c r="MEY352" s="34"/>
      <c r="MEZ352" s="34"/>
      <c r="MFA352" s="34"/>
      <c r="MFB352" s="34"/>
      <c r="MFC352" s="34"/>
      <c r="MFD352" s="34"/>
      <c r="MFE352" s="34"/>
      <c r="MFF352" s="34"/>
      <c r="MFG352" s="34"/>
      <c r="MFH352" s="34"/>
      <c r="MFI352" s="34"/>
      <c r="MFJ352" s="34"/>
      <c r="MFK352" s="34"/>
      <c r="MFL352" s="34"/>
      <c r="MFM352" s="34"/>
      <c r="MFN352" s="34"/>
      <c r="MFO352" s="34"/>
      <c r="MFP352" s="34"/>
      <c r="MFQ352" s="34"/>
      <c r="MFR352" s="34"/>
      <c r="MFS352" s="34"/>
      <c r="MFT352" s="34"/>
      <c r="MFU352" s="34"/>
      <c r="MFV352" s="34"/>
      <c r="MFW352" s="34"/>
      <c r="MFX352" s="34"/>
      <c r="MFY352" s="34"/>
      <c r="MFZ352" s="34"/>
      <c r="MGA352" s="34"/>
      <c r="MGB352" s="34"/>
      <c r="MGC352" s="34"/>
      <c r="MGD352" s="34"/>
      <c r="MGE352" s="34"/>
      <c r="MGF352" s="34"/>
      <c r="MGG352" s="34"/>
      <c r="MGH352" s="34"/>
      <c r="MGI352" s="34"/>
      <c r="MGJ352" s="34"/>
      <c r="MGK352" s="34"/>
      <c r="MGL352" s="34"/>
      <c r="MGM352" s="34"/>
      <c r="MGN352" s="34"/>
      <c r="MGO352" s="34"/>
      <c r="MGP352" s="34"/>
      <c r="MGQ352" s="34"/>
      <c r="MGR352" s="34"/>
      <c r="MGS352" s="34"/>
      <c r="MGT352" s="34"/>
      <c r="MGU352" s="34"/>
      <c r="MGV352" s="34"/>
      <c r="MGW352" s="34"/>
      <c r="MGX352" s="34"/>
      <c r="MGY352" s="34"/>
      <c r="MGZ352" s="34"/>
      <c r="MHA352" s="34"/>
      <c r="MHB352" s="34"/>
      <c r="MHC352" s="34"/>
      <c r="MHD352" s="34"/>
      <c r="MHE352" s="34"/>
      <c r="MHF352" s="34"/>
      <c r="MHG352" s="34"/>
      <c r="MHH352" s="34"/>
      <c r="MHI352" s="34"/>
      <c r="MHJ352" s="34"/>
      <c r="MHK352" s="34"/>
      <c r="MHL352" s="34"/>
      <c r="MHM352" s="34"/>
      <c r="MHN352" s="34"/>
      <c r="MHO352" s="34"/>
      <c r="MHP352" s="34"/>
      <c r="MHQ352" s="34"/>
      <c r="MHR352" s="34"/>
      <c r="MHS352" s="34"/>
      <c r="MHT352" s="34"/>
      <c r="MHU352" s="34"/>
      <c r="MHV352" s="34"/>
      <c r="MHW352" s="34"/>
      <c r="MHX352" s="34"/>
      <c r="MHY352" s="34"/>
      <c r="MHZ352" s="34"/>
      <c r="MIA352" s="34"/>
      <c r="MIB352" s="34"/>
      <c r="MIC352" s="34"/>
      <c r="MID352" s="34"/>
      <c r="MIE352" s="34"/>
      <c r="MIF352" s="34"/>
      <c r="MIG352" s="34"/>
      <c r="MIH352" s="34"/>
      <c r="MII352" s="34"/>
      <c r="MIJ352" s="34"/>
      <c r="MIK352" s="34"/>
      <c r="MIL352" s="34"/>
      <c r="MIM352" s="34"/>
      <c r="MIN352" s="34"/>
      <c r="MIO352" s="34"/>
      <c r="MIP352" s="34"/>
      <c r="MIQ352" s="34"/>
      <c r="MIR352" s="34"/>
      <c r="MIS352" s="34"/>
      <c r="MIT352" s="34"/>
      <c r="MIU352" s="34"/>
      <c r="MIV352" s="34"/>
      <c r="MIW352" s="34"/>
      <c r="MIX352" s="34"/>
      <c r="MIY352" s="34"/>
      <c r="MIZ352" s="34"/>
      <c r="MJA352" s="34"/>
      <c r="MJB352" s="34"/>
      <c r="MJC352" s="34"/>
      <c r="MJD352" s="34"/>
      <c r="MJE352" s="34"/>
      <c r="MJF352" s="34"/>
      <c r="MJG352" s="34"/>
      <c r="MJH352" s="34"/>
      <c r="MJI352" s="34"/>
      <c r="MJJ352" s="34"/>
      <c r="MJK352" s="34"/>
      <c r="MJL352" s="34"/>
      <c r="MJM352" s="34"/>
      <c r="MJN352" s="34"/>
      <c r="MJO352" s="34"/>
      <c r="MJP352" s="34"/>
      <c r="MJQ352" s="34"/>
      <c r="MJR352" s="34"/>
      <c r="MJS352" s="34"/>
      <c r="MJT352" s="34"/>
      <c r="MJU352" s="34"/>
      <c r="MJV352" s="34"/>
      <c r="MJW352" s="34"/>
      <c r="MJX352" s="34"/>
      <c r="MJY352" s="34"/>
      <c r="MJZ352" s="34"/>
      <c r="MKA352" s="34"/>
      <c r="MKB352" s="34"/>
      <c r="MKC352" s="34"/>
      <c r="MKD352" s="34"/>
      <c r="MKE352" s="34"/>
      <c r="MKF352" s="34"/>
      <c r="MKG352" s="34"/>
      <c r="MKH352" s="34"/>
      <c r="MKI352" s="34"/>
      <c r="MKJ352" s="34"/>
      <c r="MKK352" s="34"/>
      <c r="MKL352" s="34"/>
      <c r="MKM352" s="34"/>
      <c r="MKN352" s="34"/>
      <c r="MKO352" s="34"/>
      <c r="MKP352" s="34"/>
      <c r="MKQ352" s="34"/>
      <c r="MKR352" s="34"/>
      <c r="MKS352" s="34"/>
      <c r="MKT352" s="34"/>
      <c r="MKU352" s="34"/>
      <c r="MKV352" s="34"/>
      <c r="MKW352" s="34"/>
      <c r="MKX352" s="34"/>
      <c r="MKY352" s="34"/>
      <c r="MKZ352" s="34"/>
      <c r="MLA352" s="34"/>
      <c r="MLB352" s="34"/>
      <c r="MLC352" s="34"/>
      <c r="MLD352" s="34"/>
      <c r="MLE352" s="34"/>
      <c r="MLF352" s="34"/>
      <c r="MLG352" s="34"/>
      <c r="MLH352" s="34"/>
      <c r="MLI352" s="34"/>
      <c r="MLJ352" s="34"/>
      <c r="MLK352" s="34"/>
      <c r="MLL352" s="34"/>
      <c r="MLM352" s="34"/>
      <c r="MLN352" s="34"/>
      <c r="MLO352" s="34"/>
      <c r="MLP352" s="34"/>
      <c r="MLQ352" s="34"/>
      <c r="MLR352" s="34"/>
      <c r="MLS352" s="34"/>
      <c r="MLT352" s="34"/>
      <c r="MLU352" s="34"/>
      <c r="MLV352" s="34"/>
      <c r="MLW352" s="34"/>
      <c r="MLX352" s="34"/>
      <c r="MLY352" s="34"/>
      <c r="MLZ352" s="34"/>
      <c r="MMA352" s="34"/>
      <c r="MMB352" s="34"/>
      <c r="MMC352" s="34"/>
      <c r="MMD352" s="34"/>
      <c r="MME352" s="34"/>
      <c r="MMF352" s="34"/>
      <c r="MMG352" s="34"/>
      <c r="MMH352" s="34"/>
      <c r="MMI352" s="34"/>
      <c r="MMJ352" s="34"/>
      <c r="MMK352" s="34"/>
      <c r="MML352" s="34"/>
      <c r="MMM352" s="34"/>
      <c r="MMN352" s="34"/>
      <c r="MMO352" s="34"/>
      <c r="MMP352" s="34"/>
      <c r="MMQ352" s="34"/>
      <c r="MMR352" s="34"/>
      <c r="MMS352" s="34"/>
      <c r="MMT352" s="34"/>
      <c r="MMU352" s="34"/>
      <c r="MMV352" s="34"/>
      <c r="MMW352" s="34"/>
      <c r="MMX352" s="34"/>
      <c r="MMY352" s="34"/>
      <c r="MMZ352" s="34"/>
      <c r="MNA352" s="34"/>
      <c r="MNB352" s="34"/>
      <c r="MNC352" s="34"/>
      <c r="MND352" s="34"/>
      <c r="MNE352" s="34"/>
      <c r="MNF352" s="34"/>
      <c r="MNG352" s="34"/>
      <c r="MNH352" s="34"/>
      <c r="MNI352" s="34"/>
      <c r="MNJ352" s="34"/>
      <c r="MNK352" s="34"/>
      <c r="MNL352" s="34"/>
      <c r="MNM352" s="34"/>
      <c r="MNN352" s="34"/>
      <c r="MNO352" s="34"/>
      <c r="MNP352" s="34"/>
      <c r="MNQ352" s="34"/>
      <c r="MNR352" s="34"/>
      <c r="MNS352" s="34"/>
      <c r="MNT352" s="34"/>
      <c r="MNU352" s="34"/>
      <c r="MNV352" s="34"/>
      <c r="MNW352" s="34"/>
      <c r="MNX352" s="34"/>
      <c r="MNY352" s="34"/>
      <c r="MNZ352" s="34"/>
      <c r="MOA352" s="34"/>
      <c r="MOB352" s="34"/>
      <c r="MOC352" s="34"/>
      <c r="MOD352" s="34"/>
      <c r="MOE352" s="34"/>
      <c r="MOF352" s="34"/>
      <c r="MOG352" s="34"/>
      <c r="MOH352" s="34"/>
      <c r="MOI352" s="34"/>
      <c r="MOJ352" s="34"/>
      <c r="MOK352" s="34"/>
      <c r="MOL352" s="34"/>
      <c r="MOM352" s="34"/>
      <c r="MON352" s="34"/>
      <c r="MOO352" s="34"/>
      <c r="MOP352" s="34"/>
      <c r="MOQ352" s="34"/>
      <c r="MOR352" s="34"/>
      <c r="MOS352" s="34"/>
      <c r="MOT352" s="34"/>
      <c r="MOU352" s="34"/>
      <c r="MOV352" s="34"/>
      <c r="MOW352" s="34"/>
      <c r="MOX352" s="34"/>
      <c r="MOY352" s="34"/>
      <c r="MOZ352" s="34"/>
      <c r="MPA352" s="34"/>
      <c r="MPB352" s="34"/>
      <c r="MPC352" s="34"/>
      <c r="MPD352" s="34"/>
      <c r="MPE352" s="34"/>
      <c r="MPF352" s="34"/>
      <c r="MPG352" s="34"/>
      <c r="MPH352" s="34"/>
      <c r="MPI352" s="34"/>
      <c r="MPJ352" s="34"/>
      <c r="MPK352" s="34"/>
      <c r="MPL352" s="34"/>
      <c r="MPM352" s="34"/>
      <c r="MPN352" s="34"/>
      <c r="MPO352" s="34"/>
      <c r="MPP352" s="34"/>
      <c r="MPQ352" s="34"/>
      <c r="MPR352" s="34"/>
      <c r="MPS352" s="34"/>
      <c r="MPT352" s="34"/>
      <c r="MPU352" s="34"/>
      <c r="MPV352" s="34"/>
      <c r="MPW352" s="34"/>
      <c r="MPX352" s="34"/>
      <c r="MPY352" s="34"/>
      <c r="MPZ352" s="34"/>
      <c r="MQA352" s="34"/>
      <c r="MQB352" s="34"/>
      <c r="MQC352" s="34"/>
      <c r="MQD352" s="34"/>
      <c r="MQE352" s="34"/>
      <c r="MQF352" s="34"/>
      <c r="MQG352" s="34"/>
      <c r="MQH352" s="34"/>
      <c r="MQI352" s="34"/>
      <c r="MQJ352" s="34"/>
      <c r="MQK352" s="34"/>
      <c r="MQL352" s="34"/>
      <c r="MQM352" s="34"/>
      <c r="MQN352" s="34"/>
      <c r="MQO352" s="34"/>
      <c r="MQP352" s="34"/>
      <c r="MQQ352" s="34"/>
      <c r="MQR352" s="34"/>
      <c r="MQS352" s="34"/>
      <c r="MQT352" s="34"/>
      <c r="MQU352" s="34"/>
      <c r="MQV352" s="34"/>
      <c r="MQW352" s="34"/>
      <c r="MQX352" s="34"/>
      <c r="MQY352" s="34"/>
      <c r="MQZ352" s="34"/>
      <c r="MRA352" s="34"/>
      <c r="MRB352" s="34"/>
      <c r="MRC352" s="34"/>
      <c r="MRD352" s="34"/>
      <c r="MRE352" s="34"/>
      <c r="MRF352" s="34"/>
      <c r="MRG352" s="34"/>
      <c r="MRH352" s="34"/>
      <c r="MRI352" s="34"/>
      <c r="MRJ352" s="34"/>
      <c r="MRK352" s="34"/>
      <c r="MRL352" s="34"/>
      <c r="MRM352" s="34"/>
      <c r="MRN352" s="34"/>
      <c r="MRO352" s="34"/>
      <c r="MRP352" s="34"/>
      <c r="MRQ352" s="34"/>
      <c r="MRR352" s="34"/>
      <c r="MRS352" s="34"/>
      <c r="MRT352" s="34"/>
      <c r="MRU352" s="34"/>
      <c r="MRV352" s="34"/>
      <c r="MRW352" s="34"/>
      <c r="MRX352" s="34"/>
      <c r="MRY352" s="34"/>
      <c r="MRZ352" s="34"/>
      <c r="MSA352" s="34"/>
      <c r="MSB352" s="34"/>
      <c r="MSC352" s="34"/>
      <c r="MSD352" s="34"/>
      <c r="MSE352" s="34"/>
      <c r="MSF352" s="34"/>
      <c r="MSG352" s="34"/>
      <c r="MSH352" s="34"/>
      <c r="MSI352" s="34"/>
      <c r="MSJ352" s="34"/>
      <c r="MSK352" s="34"/>
      <c r="MSL352" s="34"/>
      <c r="MSM352" s="34"/>
      <c r="MSN352" s="34"/>
      <c r="MSO352" s="34"/>
      <c r="MSP352" s="34"/>
      <c r="MSQ352" s="34"/>
      <c r="MSR352" s="34"/>
      <c r="MSS352" s="34"/>
      <c r="MST352" s="34"/>
      <c r="MSU352" s="34"/>
      <c r="MSV352" s="34"/>
      <c r="MSW352" s="34"/>
      <c r="MSX352" s="34"/>
      <c r="MSY352" s="34"/>
      <c r="MSZ352" s="34"/>
      <c r="MTA352" s="34"/>
      <c r="MTB352" s="34"/>
      <c r="MTC352" s="34"/>
      <c r="MTD352" s="34"/>
      <c r="MTE352" s="34"/>
      <c r="MTF352" s="34"/>
      <c r="MTG352" s="34"/>
      <c r="MTH352" s="34"/>
      <c r="MTI352" s="34"/>
      <c r="MTJ352" s="34"/>
      <c r="MTK352" s="34"/>
      <c r="MTL352" s="34"/>
      <c r="MTM352" s="34"/>
      <c r="MTN352" s="34"/>
      <c r="MTO352" s="34"/>
      <c r="MTP352" s="34"/>
      <c r="MTQ352" s="34"/>
      <c r="MTR352" s="34"/>
      <c r="MTS352" s="34"/>
      <c r="MTT352" s="34"/>
      <c r="MTU352" s="34"/>
      <c r="MTV352" s="34"/>
      <c r="MTW352" s="34"/>
      <c r="MTX352" s="34"/>
      <c r="MTY352" s="34"/>
      <c r="MTZ352" s="34"/>
      <c r="MUA352" s="34"/>
      <c r="MUB352" s="34"/>
      <c r="MUC352" s="34"/>
      <c r="MUD352" s="34"/>
      <c r="MUE352" s="34"/>
      <c r="MUF352" s="34"/>
      <c r="MUG352" s="34"/>
      <c r="MUH352" s="34"/>
      <c r="MUI352" s="34"/>
      <c r="MUJ352" s="34"/>
      <c r="MUK352" s="34"/>
      <c r="MUL352" s="34"/>
      <c r="MUM352" s="34"/>
      <c r="MUN352" s="34"/>
      <c r="MUO352" s="34"/>
      <c r="MUP352" s="34"/>
      <c r="MUQ352" s="34"/>
      <c r="MUR352" s="34"/>
      <c r="MUS352" s="34"/>
      <c r="MUT352" s="34"/>
      <c r="MUU352" s="34"/>
      <c r="MUV352" s="34"/>
      <c r="MUW352" s="34"/>
      <c r="MUX352" s="34"/>
      <c r="MUY352" s="34"/>
      <c r="MUZ352" s="34"/>
      <c r="MVA352" s="34"/>
      <c r="MVB352" s="34"/>
      <c r="MVC352" s="34"/>
      <c r="MVD352" s="34"/>
      <c r="MVE352" s="34"/>
      <c r="MVF352" s="34"/>
      <c r="MVG352" s="34"/>
      <c r="MVH352" s="34"/>
      <c r="MVI352" s="34"/>
      <c r="MVJ352" s="34"/>
      <c r="MVK352" s="34"/>
      <c r="MVL352" s="34"/>
      <c r="MVM352" s="34"/>
      <c r="MVN352" s="34"/>
      <c r="MVO352" s="34"/>
      <c r="MVP352" s="34"/>
      <c r="MVQ352" s="34"/>
      <c r="MVR352" s="34"/>
      <c r="MVS352" s="34"/>
      <c r="MVT352" s="34"/>
      <c r="MVU352" s="34"/>
      <c r="MVV352" s="34"/>
      <c r="MVW352" s="34"/>
      <c r="MVX352" s="34"/>
      <c r="MVY352" s="34"/>
      <c r="MVZ352" s="34"/>
      <c r="MWA352" s="34"/>
      <c r="MWB352" s="34"/>
      <c r="MWC352" s="34"/>
      <c r="MWD352" s="34"/>
      <c r="MWE352" s="34"/>
      <c r="MWF352" s="34"/>
      <c r="MWG352" s="34"/>
      <c r="MWH352" s="34"/>
      <c r="MWI352" s="34"/>
      <c r="MWJ352" s="34"/>
      <c r="MWK352" s="34"/>
      <c r="MWL352" s="34"/>
      <c r="MWM352" s="34"/>
      <c r="MWN352" s="34"/>
      <c r="MWO352" s="34"/>
      <c r="MWP352" s="34"/>
      <c r="MWQ352" s="34"/>
      <c r="MWR352" s="34"/>
      <c r="MWS352" s="34"/>
      <c r="MWT352" s="34"/>
      <c r="MWU352" s="34"/>
      <c r="MWV352" s="34"/>
      <c r="MWW352" s="34"/>
      <c r="MWX352" s="34"/>
      <c r="MWY352" s="34"/>
      <c r="MWZ352" s="34"/>
      <c r="MXA352" s="34"/>
      <c r="MXB352" s="34"/>
      <c r="MXC352" s="34"/>
      <c r="MXD352" s="34"/>
      <c r="MXE352" s="34"/>
      <c r="MXF352" s="34"/>
      <c r="MXG352" s="34"/>
      <c r="MXH352" s="34"/>
      <c r="MXI352" s="34"/>
      <c r="MXJ352" s="34"/>
      <c r="MXK352" s="34"/>
      <c r="MXL352" s="34"/>
      <c r="MXM352" s="34"/>
      <c r="MXN352" s="34"/>
      <c r="MXO352" s="34"/>
      <c r="MXP352" s="34"/>
      <c r="MXQ352" s="34"/>
      <c r="MXR352" s="34"/>
      <c r="MXS352" s="34"/>
      <c r="MXT352" s="34"/>
      <c r="MXU352" s="34"/>
      <c r="MXV352" s="34"/>
      <c r="MXW352" s="34"/>
      <c r="MXX352" s="34"/>
      <c r="MXY352" s="34"/>
      <c r="MXZ352" s="34"/>
      <c r="MYA352" s="34"/>
      <c r="MYB352" s="34"/>
      <c r="MYC352" s="34"/>
      <c r="MYD352" s="34"/>
      <c r="MYE352" s="34"/>
      <c r="MYF352" s="34"/>
      <c r="MYG352" s="34"/>
      <c r="MYH352" s="34"/>
      <c r="MYI352" s="34"/>
      <c r="MYJ352" s="34"/>
      <c r="MYK352" s="34"/>
      <c r="MYL352" s="34"/>
      <c r="MYM352" s="34"/>
      <c r="MYN352" s="34"/>
      <c r="MYO352" s="34"/>
      <c r="MYP352" s="34"/>
      <c r="MYQ352" s="34"/>
      <c r="MYR352" s="34"/>
      <c r="MYS352" s="34"/>
      <c r="MYT352" s="34"/>
      <c r="MYU352" s="34"/>
      <c r="MYV352" s="34"/>
      <c r="MYW352" s="34"/>
      <c r="MYX352" s="34"/>
      <c r="MYY352" s="34"/>
      <c r="MYZ352" s="34"/>
      <c r="MZA352" s="34"/>
      <c r="MZB352" s="34"/>
      <c r="MZC352" s="34"/>
      <c r="MZD352" s="34"/>
      <c r="MZE352" s="34"/>
      <c r="MZF352" s="34"/>
      <c r="MZG352" s="34"/>
      <c r="MZH352" s="34"/>
      <c r="MZI352" s="34"/>
      <c r="MZJ352" s="34"/>
      <c r="MZK352" s="34"/>
      <c r="MZL352" s="34"/>
      <c r="MZM352" s="34"/>
      <c r="MZN352" s="34"/>
      <c r="MZO352" s="34"/>
      <c r="MZP352" s="34"/>
      <c r="MZQ352" s="34"/>
      <c r="MZR352" s="34"/>
      <c r="MZS352" s="34"/>
      <c r="MZT352" s="34"/>
      <c r="MZU352" s="34"/>
      <c r="MZV352" s="34"/>
      <c r="MZW352" s="34"/>
      <c r="MZX352" s="34"/>
      <c r="MZY352" s="34"/>
      <c r="MZZ352" s="34"/>
      <c r="NAA352" s="34"/>
      <c r="NAB352" s="34"/>
      <c r="NAC352" s="34"/>
      <c r="NAD352" s="34"/>
      <c r="NAE352" s="34"/>
      <c r="NAF352" s="34"/>
      <c r="NAG352" s="34"/>
      <c r="NAH352" s="34"/>
      <c r="NAI352" s="34"/>
      <c r="NAJ352" s="34"/>
      <c r="NAK352" s="34"/>
      <c r="NAL352" s="34"/>
      <c r="NAM352" s="34"/>
      <c r="NAN352" s="34"/>
      <c r="NAO352" s="34"/>
      <c r="NAP352" s="34"/>
      <c r="NAQ352" s="34"/>
      <c r="NAR352" s="34"/>
      <c r="NAS352" s="34"/>
      <c r="NAT352" s="34"/>
      <c r="NAU352" s="34"/>
      <c r="NAV352" s="34"/>
      <c r="NAW352" s="34"/>
      <c r="NAX352" s="34"/>
      <c r="NAY352" s="34"/>
      <c r="NAZ352" s="34"/>
      <c r="NBA352" s="34"/>
      <c r="NBB352" s="34"/>
      <c r="NBC352" s="34"/>
      <c r="NBD352" s="34"/>
      <c r="NBE352" s="34"/>
      <c r="NBF352" s="34"/>
      <c r="NBG352" s="34"/>
      <c r="NBH352" s="34"/>
      <c r="NBI352" s="34"/>
      <c r="NBJ352" s="34"/>
      <c r="NBK352" s="34"/>
      <c r="NBL352" s="34"/>
      <c r="NBM352" s="34"/>
      <c r="NBN352" s="34"/>
      <c r="NBO352" s="34"/>
      <c r="NBP352" s="34"/>
      <c r="NBQ352" s="34"/>
      <c r="NBR352" s="34"/>
      <c r="NBS352" s="34"/>
      <c r="NBT352" s="34"/>
      <c r="NBU352" s="34"/>
      <c r="NBV352" s="34"/>
      <c r="NBW352" s="34"/>
      <c r="NBX352" s="34"/>
      <c r="NBY352" s="34"/>
      <c r="NBZ352" s="34"/>
      <c r="NCA352" s="34"/>
      <c r="NCB352" s="34"/>
      <c r="NCC352" s="34"/>
      <c r="NCD352" s="34"/>
      <c r="NCE352" s="34"/>
      <c r="NCF352" s="34"/>
      <c r="NCG352" s="34"/>
      <c r="NCH352" s="34"/>
      <c r="NCI352" s="34"/>
      <c r="NCJ352" s="34"/>
      <c r="NCK352" s="34"/>
      <c r="NCL352" s="34"/>
      <c r="NCM352" s="34"/>
      <c r="NCN352" s="34"/>
      <c r="NCO352" s="34"/>
      <c r="NCP352" s="34"/>
      <c r="NCQ352" s="34"/>
      <c r="NCR352" s="34"/>
      <c r="NCS352" s="34"/>
      <c r="NCT352" s="34"/>
      <c r="NCU352" s="34"/>
      <c r="NCV352" s="34"/>
      <c r="NCW352" s="34"/>
      <c r="NCX352" s="34"/>
      <c r="NCY352" s="34"/>
      <c r="NCZ352" s="34"/>
      <c r="NDA352" s="34"/>
      <c r="NDB352" s="34"/>
      <c r="NDC352" s="34"/>
      <c r="NDD352" s="34"/>
      <c r="NDE352" s="34"/>
      <c r="NDF352" s="34"/>
      <c r="NDG352" s="34"/>
      <c r="NDH352" s="34"/>
      <c r="NDI352" s="34"/>
      <c r="NDJ352" s="34"/>
      <c r="NDK352" s="34"/>
      <c r="NDL352" s="34"/>
      <c r="NDM352" s="34"/>
      <c r="NDN352" s="34"/>
      <c r="NDO352" s="34"/>
      <c r="NDP352" s="34"/>
      <c r="NDQ352" s="34"/>
      <c r="NDR352" s="34"/>
      <c r="NDS352" s="34"/>
      <c r="NDT352" s="34"/>
      <c r="NDU352" s="34"/>
      <c r="NDV352" s="34"/>
      <c r="NDW352" s="34"/>
      <c r="NDX352" s="34"/>
      <c r="NDY352" s="34"/>
      <c r="NDZ352" s="34"/>
      <c r="NEA352" s="34"/>
      <c r="NEB352" s="34"/>
      <c r="NEC352" s="34"/>
      <c r="NED352" s="34"/>
      <c r="NEE352" s="34"/>
      <c r="NEF352" s="34"/>
      <c r="NEG352" s="34"/>
      <c r="NEH352" s="34"/>
      <c r="NEI352" s="34"/>
      <c r="NEJ352" s="34"/>
      <c r="NEK352" s="34"/>
      <c r="NEL352" s="34"/>
      <c r="NEM352" s="34"/>
      <c r="NEN352" s="34"/>
      <c r="NEO352" s="34"/>
      <c r="NEP352" s="34"/>
      <c r="NEQ352" s="34"/>
      <c r="NER352" s="34"/>
      <c r="NES352" s="34"/>
      <c r="NET352" s="34"/>
      <c r="NEU352" s="34"/>
      <c r="NEV352" s="34"/>
      <c r="NEW352" s="34"/>
      <c r="NEX352" s="34"/>
      <c r="NEY352" s="34"/>
      <c r="NEZ352" s="34"/>
      <c r="NFA352" s="34"/>
      <c r="NFB352" s="34"/>
      <c r="NFC352" s="34"/>
      <c r="NFD352" s="34"/>
      <c r="NFE352" s="34"/>
      <c r="NFF352" s="34"/>
      <c r="NFG352" s="34"/>
      <c r="NFH352" s="34"/>
      <c r="NFI352" s="34"/>
      <c r="NFJ352" s="34"/>
      <c r="NFK352" s="34"/>
      <c r="NFL352" s="34"/>
      <c r="NFM352" s="34"/>
      <c r="NFN352" s="34"/>
      <c r="NFO352" s="34"/>
      <c r="NFP352" s="34"/>
      <c r="NFQ352" s="34"/>
      <c r="NFR352" s="34"/>
      <c r="NFS352" s="34"/>
      <c r="NFT352" s="34"/>
      <c r="NFU352" s="34"/>
      <c r="NFV352" s="34"/>
      <c r="NFW352" s="34"/>
      <c r="NFX352" s="34"/>
      <c r="NFY352" s="34"/>
      <c r="NFZ352" s="34"/>
      <c r="NGA352" s="34"/>
      <c r="NGB352" s="34"/>
      <c r="NGC352" s="34"/>
      <c r="NGD352" s="34"/>
      <c r="NGE352" s="34"/>
      <c r="NGF352" s="34"/>
      <c r="NGG352" s="34"/>
      <c r="NGH352" s="34"/>
      <c r="NGI352" s="34"/>
      <c r="NGJ352" s="34"/>
      <c r="NGK352" s="34"/>
      <c r="NGL352" s="34"/>
      <c r="NGM352" s="34"/>
      <c r="NGN352" s="34"/>
      <c r="NGO352" s="34"/>
      <c r="NGP352" s="34"/>
      <c r="NGQ352" s="34"/>
      <c r="NGR352" s="34"/>
      <c r="NGS352" s="34"/>
      <c r="NGT352" s="34"/>
      <c r="NGU352" s="34"/>
      <c r="NGV352" s="34"/>
      <c r="NGW352" s="34"/>
      <c r="NGX352" s="34"/>
      <c r="NGY352" s="34"/>
      <c r="NGZ352" s="34"/>
      <c r="NHA352" s="34"/>
      <c r="NHB352" s="34"/>
      <c r="NHC352" s="34"/>
      <c r="NHD352" s="34"/>
      <c r="NHE352" s="34"/>
      <c r="NHF352" s="34"/>
      <c r="NHG352" s="34"/>
      <c r="NHH352" s="34"/>
      <c r="NHI352" s="34"/>
      <c r="NHJ352" s="34"/>
      <c r="NHK352" s="34"/>
      <c r="NHL352" s="34"/>
      <c r="NHM352" s="34"/>
      <c r="NHN352" s="34"/>
      <c r="NHO352" s="34"/>
      <c r="NHP352" s="34"/>
      <c r="NHQ352" s="34"/>
      <c r="NHR352" s="34"/>
      <c r="NHS352" s="34"/>
      <c r="NHT352" s="34"/>
      <c r="NHU352" s="34"/>
      <c r="NHV352" s="34"/>
      <c r="NHW352" s="34"/>
      <c r="NHX352" s="34"/>
      <c r="NHY352" s="34"/>
      <c r="NHZ352" s="34"/>
      <c r="NIA352" s="34"/>
      <c r="NIB352" s="34"/>
      <c r="NIC352" s="34"/>
      <c r="NID352" s="34"/>
      <c r="NIE352" s="34"/>
      <c r="NIF352" s="34"/>
      <c r="NIG352" s="34"/>
      <c r="NIH352" s="34"/>
      <c r="NII352" s="34"/>
      <c r="NIJ352" s="34"/>
      <c r="NIK352" s="34"/>
      <c r="NIL352" s="34"/>
      <c r="NIM352" s="34"/>
      <c r="NIN352" s="34"/>
      <c r="NIO352" s="34"/>
      <c r="NIP352" s="34"/>
      <c r="NIQ352" s="34"/>
      <c r="NIR352" s="34"/>
      <c r="NIS352" s="34"/>
      <c r="NIT352" s="34"/>
      <c r="NIU352" s="34"/>
      <c r="NIV352" s="34"/>
      <c r="NIW352" s="34"/>
      <c r="NIX352" s="34"/>
      <c r="NIY352" s="34"/>
      <c r="NIZ352" s="34"/>
      <c r="NJA352" s="34"/>
      <c r="NJB352" s="34"/>
      <c r="NJC352" s="34"/>
      <c r="NJD352" s="34"/>
      <c r="NJE352" s="34"/>
      <c r="NJF352" s="34"/>
      <c r="NJG352" s="34"/>
      <c r="NJH352" s="34"/>
      <c r="NJI352" s="34"/>
      <c r="NJJ352" s="34"/>
      <c r="NJK352" s="34"/>
      <c r="NJL352" s="34"/>
      <c r="NJM352" s="34"/>
      <c r="NJN352" s="34"/>
      <c r="NJO352" s="34"/>
      <c r="NJP352" s="34"/>
      <c r="NJQ352" s="34"/>
      <c r="NJR352" s="34"/>
      <c r="NJS352" s="34"/>
      <c r="NJT352" s="34"/>
      <c r="NJU352" s="34"/>
      <c r="NJV352" s="34"/>
      <c r="NJW352" s="34"/>
      <c r="NJX352" s="34"/>
      <c r="NJY352" s="34"/>
      <c r="NJZ352" s="34"/>
      <c r="NKA352" s="34"/>
      <c r="NKB352" s="34"/>
      <c r="NKC352" s="34"/>
      <c r="NKD352" s="34"/>
      <c r="NKE352" s="34"/>
      <c r="NKF352" s="34"/>
      <c r="NKG352" s="34"/>
      <c r="NKH352" s="34"/>
      <c r="NKI352" s="34"/>
      <c r="NKJ352" s="34"/>
      <c r="NKK352" s="34"/>
      <c r="NKL352" s="34"/>
      <c r="NKM352" s="34"/>
      <c r="NKN352" s="34"/>
      <c r="NKO352" s="34"/>
      <c r="NKP352" s="34"/>
      <c r="NKQ352" s="34"/>
      <c r="NKR352" s="34"/>
      <c r="NKS352" s="34"/>
      <c r="NKT352" s="34"/>
      <c r="NKU352" s="34"/>
      <c r="NKV352" s="34"/>
      <c r="NKW352" s="34"/>
      <c r="NKX352" s="34"/>
      <c r="NKY352" s="34"/>
      <c r="NKZ352" s="34"/>
      <c r="NLA352" s="34"/>
      <c r="NLB352" s="34"/>
      <c r="NLC352" s="34"/>
      <c r="NLD352" s="34"/>
      <c r="NLE352" s="34"/>
      <c r="NLF352" s="34"/>
      <c r="NLG352" s="34"/>
      <c r="NLH352" s="34"/>
      <c r="NLI352" s="34"/>
      <c r="NLJ352" s="34"/>
      <c r="NLK352" s="34"/>
      <c r="NLL352" s="34"/>
      <c r="NLM352" s="34"/>
      <c r="NLN352" s="34"/>
      <c r="NLO352" s="34"/>
      <c r="NLP352" s="34"/>
      <c r="NLQ352" s="34"/>
      <c r="NLR352" s="34"/>
      <c r="NLS352" s="34"/>
      <c r="NLT352" s="34"/>
      <c r="NLU352" s="34"/>
      <c r="NLV352" s="34"/>
      <c r="NLW352" s="34"/>
      <c r="NLX352" s="34"/>
      <c r="NLY352" s="34"/>
      <c r="NLZ352" s="34"/>
      <c r="NMA352" s="34"/>
      <c r="NMB352" s="34"/>
      <c r="NMC352" s="34"/>
      <c r="NMD352" s="34"/>
      <c r="NME352" s="34"/>
      <c r="NMF352" s="34"/>
      <c r="NMG352" s="34"/>
      <c r="NMH352" s="34"/>
      <c r="NMI352" s="34"/>
      <c r="NMJ352" s="34"/>
      <c r="NMK352" s="34"/>
      <c r="NML352" s="34"/>
      <c r="NMM352" s="34"/>
      <c r="NMN352" s="34"/>
      <c r="NMO352" s="34"/>
      <c r="NMP352" s="34"/>
      <c r="NMQ352" s="34"/>
      <c r="NMR352" s="34"/>
      <c r="NMS352" s="34"/>
      <c r="NMT352" s="34"/>
      <c r="NMU352" s="34"/>
      <c r="NMV352" s="34"/>
      <c r="NMW352" s="34"/>
      <c r="NMX352" s="34"/>
      <c r="NMY352" s="34"/>
      <c r="NMZ352" s="34"/>
      <c r="NNA352" s="34"/>
      <c r="NNB352" s="34"/>
      <c r="NNC352" s="34"/>
      <c r="NND352" s="34"/>
      <c r="NNE352" s="34"/>
      <c r="NNF352" s="34"/>
      <c r="NNG352" s="34"/>
      <c r="NNH352" s="34"/>
      <c r="NNI352" s="34"/>
      <c r="NNJ352" s="34"/>
      <c r="NNK352" s="34"/>
      <c r="NNL352" s="34"/>
      <c r="NNM352" s="34"/>
      <c r="NNN352" s="34"/>
      <c r="NNO352" s="34"/>
      <c r="NNP352" s="34"/>
      <c r="NNQ352" s="34"/>
      <c r="NNR352" s="34"/>
      <c r="NNS352" s="34"/>
      <c r="NNT352" s="34"/>
      <c r="NNU352" s="34"/>
      <c r="NNV352" s="34"/>
      <c r="NNW352" s="34"/>
      <c r="NNX352" s="34"/>
      <c r="NNY352" s="34"/>
      <c r="NNZ352" s="34"/>
      <c r="NOA352" s="34"/>
      <c r="NOB352" s="34"/>
      <c r="NOC352" s="34"/>
      <c r="NOD352" s="34"/>
      <c r="NOE352" s="34"/>
      <c r="NOF352" s="34"/>
      <c r="NOG352" s="34"/>
      <c r="NOH352" s="34"/>
      <c r="NOI352" s="34"/>
      <c r="NOJ352" s="34"/>
      <c r="NOK352" s="34"/>
      <c r="NOL352" s="34"/>
      <c r="NOM352" s="34"/>
      <c r="NON352" s="34"/>
      <c r="NOO352" s="34"/>
      <c r="NOP352" s="34"/>
      <c r="NOQ352" s="34"/>
      <c r="NOR352" s="34"/>
      <c r="NOS352" s="34"/>
      <c r="NOT352" s="34"/>
      <c r="NOU352" s="34"/>
      <c r="NOV352" s="34"/>
      <c r="NOW352" s="34"/>
      <c r="NOX352" s="34"/>
      <c r="NOY352" s="34"/>
      <c r="NOZ352" s="34"/>
      <c r="NPA352" s="34"/>
      <c r="NPB352" s="34"/>
      <c r="NPC352" s="34"/>
      <c r="NPD352" s="34"/>
      <c r="NPE352" s="34"/>
      <c r="NPF352" s="34"/>
      <c r="NPG352" s="34"/>
      <c r="NPH352" s="34"/>
      <c r="NPI352" s="34"/>
      <c r="NPJ352" s="34"/>
      <c r="NPK352" s="34"/>
      <c r="NPL352" s="34"/>
      <c r="NPM352" s="34"/>
      <c r="NPN352" s="34"/>
      <c r="NPO352" s="34"/>
      <c r="NPP352" s="34"/>
      <c r="NPQ352" s="34"/>
      <c r="NPR352" s="34"/>
      <c r="NPS352" s="34"/>
      <c r="NPT352" s="34"/>
      <c r="NPU352" s="34"/>
      <c r="NPV352" s="34"/>
      <c r="NPW352" s="34"/>
      <c r="NPX352" s="34"/>
      <c r="NPY352" s="34"/>
      <c r="NPZ352" s="34"/>
      <c r="NQA352" s="34"/>
      <c r="NQB352" s="34"/>
      <c r="NQC352" s="34"/>
      <c r="NQD352" s="34"/>
      <c r="NQE352" s="34"/>
      <c r="NQF352" s="34"/>
      <c r="NQG352" s="34"/>
      <c r="NQH352" s="34"/>
      <c r="NQI352" s="34"/>
      <c r="NQJ352" s="34"/>
      <c r="NQK352" s="34"/>
      <c r="NQL352" s="34"/>
      <c r="NQM352" s="34"/>
      <c r="NQN352" s="34"/>
      <c r="NQO352" s="34"/>
      <c r="NQP352" s="34"/>
      <c r="NQQ352" s="34"/>
      <c r="NQR352" s="34"/>
      <c r="NQS352" s="34"/>
      <c r="NQT352" s="34"/>
      <c r="NQU352" s="34"/>
      <c r="NQV352" s="34"/>
      <c r="NQW352" s="34"/>
      <c r="NQX352" s="34"/>
      <c r="NQY352" s="34"/>
      <c r="NQZ352" s="34"/>
      <c r="NRA352" s="34"/>
      <c r="NRB352" s="34"/>
      <c r="NRC352" s="34"/>
      <c r="NRD352" s="34"/>
      <c r="NRE352" s="34"/>
      <c r="NRF352" s="34"/>
      <c r="NRG352" s="34"/>
      <c r="NRH352" s="34"/>
      <c r="NRI352" s="34"/>
      <c r="NRJ352" s="34"/>
      <c r="NRK352" s="34"/>
      <c r="NRL352" s="34"/>
      <c r="NRM352" s="34"/>
      <c r="NRN352" s="34"/>
      <c r="NRO352" s="34"/>
      <c r="NRP352" s="34"/>
      <c r="NRQ352" s="34"/>
      <c r="NRR352" s="34"/>
      <c r="NRS352" s="34"/>
      <c r="NRT352" s="34"/>
      <c r="NRU352" s="34"/>
      <c r="NRV352" s="34"/>
      <c r="NRW352" s="34"/>
      <c r="NRX352" s="34"/>
      <c r="NRY352" s="34"/>
      <c r="NRZ352" s="34"/>
      <c r="NSA352" s="34"/>
      <c r="NSB352" s="34"/>
      <c r="NSC352" s="34"/>
      <c r="NSD352" s="34"/>
      <c r="NSE352" s="34"/>
      <c r="NSF352" s="34"/>
      <c r="NSG352" s="34"/>
      <c r="NSH352" s="34"/>
      <c r="NSI352" s="34"/>
      <c r="NSJ352" s="34"/>
      <c r="NSK352" s="34"/>
      <c r="NSL352" s="34"/>
      <c r="NSM352" s="34"/>
      <c r="NSN352" s="34"/>
      <c r="NSO352" s="34"/>
      <c r="NSP352" s="34"/>
      <c r="NSQ352" s="34"/>
      <c r="NSR352" s="34"/>
      <c r="NSS352" s="34"/>
      <c r="NST352" s="34"/>
      <c r="NSU352" s="34"/>
      <c r="NSV352" s="34"/>
      <c r="NSW352" s="34"/>
      <c r="NSX352" s="34"/>
      <c r="NSY352" s="34"/>
      <c r="NSZ352" s="34"/>
      <c r="NTA352" s="34"/>
      <c r="NTB352" s="34"/>
      <c r="NTC352" s="34"/>
      <c r="NTD352" s="34"/>
      <c r="NTE352" s="34"/>
      <c r="NTF352" s="34"/>
      <c r="NTG352" s="34"/>
      <c r="NTH352" s="34"/>
      <c r="NTI352" s="34"/>
      <c r="NTJ352" s="34"/>
      <c r="NTK352" s="34"/>
      <c r="NTL352" s="34"/>
      <c r="NTM352" s="34"/>
      <c r="NTN352" s="34"/>
      <c r="NTO352" s="34"/>
      <c r="NTP352" s="34"/>
      <c r="NTQ352" s="34"/>
      <c r="NTR352" s="34"/>
      <c r="NTS352" s="34"/>
      <c r="NTT352" s="34"/>
      <c r="NTU352" s="34"/>
      <c r="NTV352" s="34"/>
      <c r="NTW352" s="34"/>
      <c r="NTX352" s="34"/>
      <c r="NTY352" s="34"/>
    </row>
    <row r="353" spans="10:20" hidden="1" x14ac:dyDescent="0.3">
      <c r="J353" t="s">
        <v>209</v>
      </c>
      <c r="K353">
        <v>454466447000</v>
      </c>
      <c r="L353">
        <v>448000552000</v>
      </c>
      <c r="M353">
        <v>454091777000</v>
      </c>
      <c r="N353">
        <v>448424507000</v>
      </c>
      <c r="O353">
        <v>470278409000</v>
      </c>
      <c r="P353">
        <v>448040650000</v>
      </c>
      <c r="Q353">
        <v>439326959000</v>
      </c>
      <c r="R353">
        <v>426621158000</v>
      </c>
      <c r="S353">
        <v>410420718000</v>
      </c>
      <c r="T353">
        <v>384777669000</v>
      </c>
    </row>
    <row r="354" spans="10:20" hidden="1" x14ac:dyDescent="0.3">
      <c r="J354" t="s">
        <v>222</v>
      </c>
      <c r="K354">
        <v>90573804000</v>
      </c>
      <c r="L354">
        <v>89024926000</v>
      </c>
      <c r="M354">
        <v>94292361000</v>
      </c>
      <c r="N354">
        <v>93674903000</v>
      </c>
      <c r="O354">
        <v>125371520000</v>
      </c>
      <c r="P354">
        <v>120133986000</v>
      </c>
      <c r="Q354">
        <v>124036040000</v>
      </c>
      <c r="R354">
        <v>121721227000</v>
      </c>
      <c r="S354">
        <v>113654600000</v>
      </c>
      <c r="T354">
        <v>102453403000</v>
      </c>
    </row>
    <row r="355" spans="10:20" hidden="1" x14ac:dyDescent="0.3">
      <c r="J355" t="s">
        <v>208</v>
      </c>
      <c r="K355">
        <v>363892643000</v>
      </c>
      <c r="L355">
        <v>358975626000</v>
      </c>
      <c r="M355">
        <v>359799416000</v>
      </c>
      <c r="N355">
        <v>354749604000</v>
      </c>
      <c r="O355">
        <v>344906889000</v>
      </c>
      <c r="P355">
        <v>327906664000</v>
      </c>
      <c r="Q355">
        <v>315290919000</v>
      </c>
      <c r="R355">
        <v>304899931000</v>
      </c>
      <c r="S355">
        <v>296766118000</v>
      </c>
      <c r="T355">
        <v>282324266000</v>
      </c>
    </row>
    <row r="356" spans="10:20" hidden="1" x14ac:dyDescent="0.3"/>
    <row r="357" spans="10:20" hidden="1" x14ac:dyDescent="0.3">
      <c r="J357" t="s">
        <v>223</v>
      </c>
      <c r="K357">
        <f>IF(OR(K347="",K353=""),NA(),(K347+K353)/2)</f>
        <v>462372428000</v>
      </c>
      <c r="L357">
        <f t="shared" ref="L357:T357" si="45">(L347+L353)/2</f>
        <v>448020601000</v>
      </c>
      <c r="M357">
        <f t="shared" si="45"/>
        <v>446709368000</v>
      </c>
      <c r="N357">
        <f t="shared" si="45"/>
        <v>437522832500</v>
      </c>
      <c r="O357">
        <f t="shared" si="45"/>
        <v>440349563500</v>
      </c>
      <c r="P357">
        <f t="shared" si="45"/>
        <v>416409159500</v>
      </c>
      <c r="Q357">
        <f t="shared" si="45"/>
        <v>416076616500</v>
      </c>
      <c r="R357">
        <f t="shared" si="45"/>
        <v>402428438000</v>
      </c>
      <c r="S357">
        <f t="shared" si="45"/>
        <v>393104730000</v>
      </c>
      <c r="T357">
        <f t="shared" si="45"/>
        <v>371368584000</v>
      </c>
    </row>
    <row r="358" spans="10:20" hidden="1" x14ac:dyDescent="0.3">
      <c r="J358" t="s">
        <v>224</v>
      </c>
      <c r="K358">
        <f>IF(OR(K348="",K354=""),NA(),(K348+K354)/2)</f>
        <v>107972662000</v>
      </c>
      <c r="L358">
        <f t="shared" ref="L358:T359" si="46">(L348+L354)/2</f>
        <v>104579456000</v>
      </c>
      <c r="M358">
        <f t="shared" si="46"/>
        <v>109164200500</v>
      </c>
      <c r="N358">
        <f t="shared" si="46"/>
        <v>107698065000</v>
      </c>
      <c r="O358">
        <f t="shared" si="46"/>
        <v>119513060000</v>
      </c>
      <c r="P358">
        <f t="shared" si="46"/>
        <v>111293694500</v>
      </c>
      <c r="Q358">
        <f t="shared" si="46"/>
        <v>121296861500</v>
      </c>
      <c r="R358">
        <f t="shared" si="46"/>
        <v>112004464500</v>
      </c>
      <c r="S358">
        <f t="shared" si="46"/>
        <v>106653577000</v>
      </c>
      <c r="T358">
        <f t="shared" si="46"/>
        <v>95302542500</v>
      </c>
    </row>
    <row r="359" spans="10:20" hidden="1" x14ac:dyDescent="0.3">
      <c r="J359" t="s">
        <v>225</v>
      </c>
      <c r="K359">
        <f>IF(OR(K349="",K355=""),NA(),(K349+K355)/2)</f>
        <v>354399766000</v>
      </c>
      <c r="L359">
        <f t="shared" si="46"/>
        <v>343441145000</v>
      </c>
      <c r="M359">
        <f t="shared" si="46"/>
        <v>337545167500</v>
      </c>
      <c r="N359">
        <f t="shared" si="46"/>
        <v>329824767500</v>
      </c>
      <c r="O359">
        <f t="shared" si="46"/>
        <v>320836503500</v>
      </c>
      <c r="P359">
        <f t="shared" si="46"/>
        <v>305115465000</v>
      </c>
      <c r="Q359">
        <f t="shared" si="46"/>
        <v>294779755000</v>
      </c>
      <c r="R359">
        <f t="shared" si="46"/>
        <v>290423973500</v>
      </c>
      <c r="S359">
        <f t="shared" si="46"/>
        <v>286451153000</v>
      </c>
      <c r="T359">
        <f t="shared" si="46"/>
        <v>276066041500</v>
      </c>
    </row>
    <row r="360" spans="10:20" hidden="1" x14ac:dyDescent="0.3">
      <c r="J360" t="s">
        <v>235</v>
      </c>
    </row>
    <row r="361" spans="10:20" hidden="1" x14ac:dyDescent="0.3">
      <c r="J361" t="s">
        <v>227</v>
      </c>
      <c r="K361">
        <f>IF(OR(K342="",K357=""),NA(),K$342/K357)</f>
        <v>0.41342334539030945</v>
      </c>
      <c r="L361">
        <f t="shared" ref="L361:T361" si="47">L$342/L357</f>
        <v>0.27621699476270289</v>
      </c>
      <c r="M361">
        <f t="shared" si="47"/>
        <v>0.14269987505612375</v>
      </c>
      <c r="N361">
        <f t="shared" si="47"/>
        <v>0.69077848640047834</v>
      </c>
      <c r="O361">
        <f t="shared" si="47"/>
        <v>0.52632454806555062</v>
      </c>
      <c r="P361">
        <f t="shared" si="47"/>
        <v>0.3721942744633599</v>
      </c>
      <c r="Q361">
        <f t="shared" si="47"/>
        <v>0.18694032520810983</v>
      </c>
      <c r="R361">
        <f t="shared" si="47"/>
        <v>0.69479383810345929</v>
      </c>
      <c r="S361">
        <f t="shared" si="47"/>
        <v>0.51650173479215067</v>
      </c>
      <c r="T361">
        <f t="shared" si="47"/>
        <v>0.34752559467981275</v>
      </c>
    </row>
    <row r="362" spans="10:20" hidden="1" x14ac:dyDescent="0.3">
      <c r="J362" t="s">
        <v>233</v>
      </c>
      <c r="K362">
        <f>IF(OR(K342="",K358=""),NA(),K$342/K358)</f>
        <v>1.7704069943186174</v>
      </c>
      <c r="L362">
        <f t="shared" ref="L362:T363" si="48">L$342/L358</f>
        <v>1.1833194466033559</v>
      </c>
      <c r="M362">
        <f t="shared" si="48"/>
        <v>0.58394025429609586</v>
      </c>
      <c r="N362">
        <f t="shared" si="48"/>
        <v>2.8062840311940609</v>
      </c>
      <c r="O362">
        <f t="shared" si="48"/>
        <v>1.9392590650762351</v>
      </c>
      <c r="P362">
        <f t="shared" si="48"/>
        <v>1.3925775911770095</v>
      </c>
      <c r="Q362">
        <f t="shared" si="48"/>
        <v>0.64124905655535036</v>
      </c>
      <c r="R362">
        <f t="shared" si="48"/>
        <v>2.4963719102464883</v>
      </c>
      <c r="S362">
        <f t="shared" si="48"/>
        <v>1.9037268201515642</v>
      </c>
      <c r="T362">
        <f t="shared" si="48"/>
        <v>1.3542145321044294</v>
      </c>
    </row>
    <row r="363" spans="10:20" hidden="1" x14ac:dyDescent="0.3">
      <c r="J363" t="s">
        <v>234</v>
      </c>
      <c r="K363">
        <f>IF(OR(K342="",K359=""),NA(),K$342/K359)</f>
        <v>0.53937833581978156</v>
      </c>
      <c r="L363">
        <f t="shared" si="48"/>
        <v>0.36032637848327698</v>
      </c>
      <c r="M363">
        <f t="shared" si="48"/>
        <v>0.18884989962121143</v>
      </c>
      <c r="N363">
        <f t="shared" si="48"/>
        <v>0.91633918911198808</v>
      </c>
      <c r="O363">
        <f t="shared" si="48"/>
        <v>0.7223828413277793</v>
      </c>
      <c r="P363">
        <f t="shared" si="48"/>
        <v>0.50795558658424611</v>
      </c>
      <c r="Q363">
        <f t="shared" si="48"/>
        <v>0.26386309331181851</v>
      </c>
      <c r="R363">
        <f t="shared" si="48"/>
        <v>0.96274696482657962</v>
      </c>
      <c r="S363">
        <f t="shared" si="48"/>
        <v>0.70880941784863405</v>
      </c>
      <c r="T363">
        <f t="shared" si="48"/>
        <v>0.46749715140172354</v>
      </c>
    </row>
    <row r="364" spans="10:20" hidden="1" x14ac:dyDescent="0.3"/>
    <row r="365" spans="10:20" hidden="1" x14ac:dyDescent="0.3">
      <c r="J365" t="s">
        <v>230</v>
      </c>
      <c r="K365">
        <f>IF(OR(K343="",K357=""),NA(),K$343/K357)</f>
        <v>0.55123112718707923</v>
      </c>
      <c r="L365">
        <f t="shared" ref="L365:T365" si="49">L$343/L357</f>
        <v>0.55243398952540579</v>
      </c>
      <c r="M365">
        <f t="shared" si="49"/>
        <v>0.57079950022449499</v>
      </c>
      <c r="N365">
        <f t="shared" si="49"/>
        <v>0.69077848640047834</v>
      </c>
      <c r="O365">
        <f t="shared" si="49"/>
        <v>0.70176606408740083</v>
      </c>
      <c r="P365">
        <f t="shared" si="49"/>
        <v>0.7443885489267198</v>
      </c>
      <c r="Q365">
        <f t="shared" si="49"/>
        <v>0.7477613008324393</v>
      </c>
      <c r="R365">
        <f t="shared" si="49"/>
        <v>0.69479383810345929</v>
      </c>
      <c r="S365">
        <f t="shared" si="49"/>
        <v>0.68866897972286756</v>
      </c>
      <c r="T365">
        <f t="shared" si="49"/>
        <v>0.69505118935962551</v>
      </c>
    </row>
    <row r="366" spans="10:20" hidden="1" x14ac:dyDescent="0.3">
      <c r="J366" t="s">
        <v>231</v>
      </c>
      <c r="K366">
        <f>IF(OR(K343="",K358=""),NA(),K$343/K358)</f>
        <v>2.36054265909149</v>
      </c>
      <c r="L366">
        <f t="shared" ref="L366:T366" si="50">L$343/L358</f>
        <v>2.3666388932067117</v>
      </c>
      <c r="M366">
        <f t="shared" si="50"/>
        <v>2.3357610171843834</v>
      </c>
      <c r="N366">
        <f t="shared" si="50"/>
        <v>2.8062840311940609</v>
      </c>
      <c r="O366">
        <f t="shared" si="50"/>
        <v>2.5856787534349803</v>
      </c>
      <c r="P366">
        <f t="shared" si="50"/>
        <v>2.785155182354019</v>
      </c>
      <c r="Q366">
        <f t="shared" si="50"/>
        <v>2.5649962262214014</v>
      </c>
      <c r="R366">
        <f t="shared" si="50"/>
        <v>2.4963719102464883</v>
      </c>
      <c r="S366">
        <f t="shared" si="50"/>
        <v>2.5383024268687522</v>
      </c>
      <c r="T366">
        <f t="shared" si="50"/>
        <v>2.7084290642088589</v>
      </c>
    </row>
    <row r="367" spans="10:20" hidden="1" x14ac:dyDescent="0.3">
      <c r="J367" t="s">
        <v>232</v>
      </c>
      <c r="K367">
        <f>IF(OR(K343="",K359=""),NA(),K$343/K359)</f>
        <v>0.71917111442637538</v>
      </c>
      <c r="L367">
        <f t="shared" ref="L367:T367" si="51">L$343/L359</f>
        <v>0.72065275696655395</v>
      </c>
      <c r="M367">
        <f t="shared" si="51"/>
        <v>0.75539959848484572</v>
      </c>
      <c r="N367">
        <f t="shared" si="51"/>
        <v>0.91633918911198808</v>
      </c>
      <c r="O367">
        <f t="shared" si="51"/>
        <v>0.9631771217703724</v>
      </c>
      <c r="P367">
        <f t="shared" si="51"/>
        <v>1.0159111731684922</v>
      </c>
      <c r="Q367">
        <f t="shared" si="51"/>
        <v>1.055452373247274</v>
      </c>
      <c r="R367">
        <f t="shared" si="51"/>
        <v>0.96274696482657962</v>
      </c>
      <c r="S367">
        <f t="shared" si="51"/>
        <v>0.94507922379817866</v>
      </c>
      <c r="T367">
        <f t="shared" si="51"/>
        <v>0.93499430280344709</v>
      </c>
    </row>
    <row r="368" spans="10:20" hidden="1" x14ac:dyDescent="0.3"/>
    <row r="369" spans="1:10009" hidden="1" x14ac:dyDescent="0.3"/>
    <row r="370" spans="1:10009" hidden="1" x14ac:dyDescent="0.3"/>
    <row r="371" spans="1:10009" s="30" customFormat="1" x14ac:dyDescent="0.3">
      <c r="A371"/>
      <c r="B371"/>
      <c r="C371"/>
      <c r="D371"/>
      <c r="E371"/>
      <c r="F371"/>
      <c r="G371">
        <v>1</v>
      </c>
      <c r="H371"/>
      <c r="I371" s="14"/>
      <c r="J371" s="27" t="str">
        <f>IF(G371=1, "분기 활동성(회, 연율화X)", "분기 활동성(회, 연율화)")</f>
        <v>분기 활동성(회, 연율화X)</v>
      </c>
      <c r="K371" s="8" t="str">
        <f>IF(K352="","",YEAR(K352)&amp;"/"&amp;MONTH(K352)/3&amp;"Q")</f>
        <v>2023/3Q</v>
      </c>
      <c r="L371" s="8" t="str">
        <f t="shared" ref="L371:S371" si="52">IF(L352="","",YEAR(L352)&amp;"/"&amp;MONTH(L352)/3&amp;"Q")</f>
        <v>2023/2Q</v>
      </c>
      <c r="M371" s="8" t="str">
        <f t="shared" si="52"/>
        <v>2023/1Q</v>
      </c>
      <c r="N371" s="8" t="str">
        <f t="shared" si="52"/>
        <v>2022/4Q</v>
      </c>
      <c r="O371" s="8" t="str">
        <f t="shared" si="52"/>
        <v>2022/3Q</v>
      </c>
      <c r="P371" s="8" t="str">
        <f t="shared" si="52"/>
        <v>2022/2Q</v>
      </c>
      <c r="Q371" s="8" t="str">
        <f t="shared" si="52"/>
        <v>2022/1Q</v>
      </c>
      <c r="R371" s="8" t="str">
        <f t="shared" si="52"/>
        <v>2021/4Q</v>
      </c>
      <c r="S371" s="8" t="str">
        <f t="shared" si="52"/>
        <v>2021/3Q</v>
      </c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</row>
    <row r="372" spans="1:10009" s="30" customFormat="1" x14ac:dyDescent="0.3">
      <c r="A372"/>
      <c r="B372"/>
      <c r="C372"/>
      <c r="D372"/>
      <c r="E372"/>
      <c r="F372"/>
      <c r="G372"/>
      <c r="H372"/>
      <c r="I372" s="14"/>
      <c r="J372" s="10" t="s">
        <v>236</v>
      </c>
      <c r="K372" s="12">
        <f>IF($G$371=1,IF(K361="",NA(),K361),IF(K365="",NA(),K365))</f>
        <v>0.41342334539030945</v>
      </c>
      <c r="L372" s="12">
        <f t="shared" ref="L372:S372" si="53">IF($G$371=1,IF(L361="","",L361),IF(L365="","",L365))</f>
        <v>0.27621699476270289</v>
      </c>
      <c r="M372" s="12">
        <f t="shared" si="53"/>
        <v>0.14269987505612375</v>
      </c>
      <c r="N372" s="12">
        <f t="shared" si="53"/>
        <v>0.69077848640047834</v>
      </c>
      <c r="O372" s="12">
        <f t="shared" si="53"/>
        <v>0.52632454806555062</v>
      </c>
      <c r="P372" s="12">
        <f t="shared" si="53"/>
        <v>0.3721942744633599</v>
      </c>
      <c r="Q372" s="12">
        <f t="shared" si="53"/>
        <v>0.18694032520810983</v>
      </c>
      <c r="R372" s="12">
        <f t="shared" si="53"/>
        <v>0.69479383810345929</v>
      </c>
      <c r="S372" s="12">
        <f t="shared" si="53"/>
        <v>0.51650173479215067</v>
      </c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</row>
    <row r="373" spans="1:10009" s="30" customFormat="1" x14ac:dyDescent="0.3">
      <c r="A373"/>
      <c r="B373"/>
      <c r="C373"/>
      <c r="D373"/>
      <c r="E373"/>
      <c r="F373"/>
      <c r="G373"/>
      <c r="H373"/>
      <c r="I373" s="14"/>
      <c r="J373" s="10" t="s">
        <v>237</v>
      </c>
      <c r="K373" s="12">
        <f>IF($G$371=1,IF(K362="",NA(),K362),IF(K366="",NA(),K366))</f>
        <v>1.7704069943186174</v>
      </c>
      <c r="L373" s="12">
        <f t="shared" ref="L373:S374" si="54">IF($G$371=1,IF(L362="","",L362),IF(L366="","",L366))</f>
        <v>1.1833194466033559</v>
      </c>
      <c r="M373" s="12">
        <f t="shared" si="54"/>
        <v>0.58394025429609586</v>
      </c>
      <c r="N373" s="12">
        <f t="shared" si="54"/>
        <v>2.8062840311940609</v>
      </c>
      <c r="O373" s="12">
        <f t="shared" si="54"/>
        <v>1.9392590650762351</v>
      </c>
      <c r="P373" s="12">
        <f t="shared" si="54"/>
        <v>1.3925775911770095</v>
      </c>
      <c r="Q373" s="12">
        <f t="shared" si="54"/>
        <v>0.64124905655535036</v>
      </c>
      <c r="R373" s="12">
        <f t="shared" si="54"/>
        <v>2.4963719102464883</v>
      </c>
      <c r="S373" s="12">
        <f t="shared" si="54"/>
        <v>1.9037268201515642</v>
      </c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</row>
    <row r="374" spans="1:10009" s="30" customFormat="1" x14ac:dyDescent="0.3">
      <c r="A374"/>
      <c r="B374"/>
      <c r="C374"/>
      <c r="D374"/>
      <c r="E374"/>
      <c r="F374"/>
      <c r="G374"/>
      <c r="H374"/>
      <c r="I374" s="14"/>
      <c r="J374" s="10" t="s">
        <v>238</v>
      </c>
      <c r="K374" s="12">
        <f>IF($G$371=1,IF(K363="",NA(),K363),IF(K367="",NA(),K367))</f>
        <v>0.53937833581978156</v>
      </c>
      <c r="L374" s="12">
        <f t="shared" si="54"/>
        <v>0.36032637848327698</v>
      </c>
      <c r="M374" s="12">
        <f t="shared" si="54"/>
        <v>0.18884989962121143</v>
      </c>
      <c r="N374" s="12">
        <f t="shared" si="54"/>
        <v>0.91633918911198808</v>
      </c>
      <c r="O374" s="12">
        <f t="shared" si="54"/>
        <v>0.7223828413277793</v>
      </c>
      <c r="P374" s="12">
        <f t="shared" si="54"/>
        <v>0.50795558658424611</v>
      </c>
      <c r="Q374" s="12">
        <f t="shared" si="54"/>
        <v>0.26386309331181851</v>
      </c>
      <c r="R374" s="12">
        <f t="shared" si="54"/>
        <v>0.96274696482657962</v>
      </c>
      <c r="S374" s="12">
        <f t="shared" si="54"/>
        <v>0.70880941784863405</v>
      </c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</row>
    <row r="375" spans="1:10009" x14ac:dyDescent="0.3"/>
    <row r="376" spans="1:10009" hidden="1" x14ac:dyDescent="0.3"/>
    <row r="377" spans="1:10009" hidden="1" x14ac:dyDescent="0.3"/>
    <row r="378" spans="1:10009" hidden="1" x14ac:dyDescent="0.3"/>
    <row r="379" spans="1:10009" hidden="1" x14ac:dyDescent="0.3"/>
    <row r="380" spans="1:10009" hidden="1" x14ac:dyDescent="0.3">
      <c r="J380" t="str">
        <f ca="1">_xll.IMDH("STK",$N$5,$J$381:$J$385,$L$92-1460,$O$5,9999,"Per=분기,sort=D,real=true,Bizday=0,Quote=종가,Pos=11,Orient=H,Cons="&amp;$P$5&amp;",Comp=누적,Trai=4,DtFmt=1,TmFmt=1,unit=true,title=연간 활동성")</f>
        <v>연간 활동성</v>
      </c>
    </row>
    <row r="381" spans="1:10009" hidden="1" x14ac:dyDescent="0.3">
      <c r="J381" t="s">
        <v>185</v>
      </c>
      <c r="K381" s="34">
        <v>44926</v>
      </c>
      <c r="L381" s="34">
        <v>44561</v>
      </c>
      <c r="M381" s="34">
        <v>44196</v>
      </c>
      <c r="N381" s="34">
        <v>43830</v>
      </c>
      <c r="O381" s="34">
        <v>43465</v>
      </c>
      <c r="P381" s="34">
        <v>43100</v>
      </c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  <c r="CM381" s="34"/>
      <c r="CN381" s="34"/>
      <c r="CO381" s="34"/>
      <c r="CP381" s="34"/>
      <c r="CQ381" s="34"/>
      <c r="CR381" s="34"/>
      <c r="CS381" s="34"/>
      <c r="CT381" s="34"/>
      <c r="CU381" s="34"/>
      <c r="CV381" s="34"/>
      <c r="CW381" s="34"/>
      <c r="CX381" s="34"/>
      <c r="CY381" s="34"/>
      <c r="CZ381" s="34"/>
      <c r="DA381" s="34"/>
      <c r="DB381" s="34"/>
      <c r="DC381" s="34"/>
      <c r="DD381" s="34"/>
      <c r="DE381" s="34"/>
      <c r="DF381" s="34"/>
      <c r="DG381" s="34"/>
      <c r="DH381" s="34"/>
      <c r="DI381" s="34"/>
      <c r="DJ381" s="34"/>
      <c r="DK381" s="34"/>
      <c r="DL381" s="34"/>
      <c r="DM381" s="34"/>
      <c r="DN381" s="34"/>
      <c r="DO381" s="34"/>
      <c r="DP381" s="34"/>
      <c r="DQ381" s="34"/>
      <c r="DR381" s="34"/>
      <c r="DS381" s="34"/>
      <c r="DT381" s="34"/>
      <c r="DU381" s="34"/>
      <c r="DV381" s="34"/>
      <c r="DW381" s="34"/>
      <c r="DX381" s="34"/>
      <c r="DY381" s="34"/>
      <c r="DZ381" s="34"/>
      <c r="EA381" s="34"/>
      <c r="EB381" s="34"/>
      <c r="EC381" s="34"/>
      <c r="ED381" s="34"/>
      <c r="EE381" s="34"/>
      <c r="EF381" s="34"/>
      <c r="EG381" s="34"/>
      <c r="EH381" s="34"/>
      <c r="EI381" s="34"/>
      <c r="EJ381" s="34"/>
      <c r="EK381" s="34"/>
      <c r="EL381" s="34"/>
      <c r="EM381" s="34"/>
      <c r="EN381" s="34"/>
      <c r="EO381" s="34"/>
      <c r="EP381" s="34"/>
      <c r="EQ381" s="34"/>
      <c r="ER381" s="34"/>
      <c r="ES381" s="34"/>
      <c r="ET381" s="34"/>
      <c r="EU381" s="34"/>
      <c r="EV381" s="34"/>
      <c r="EW381" s="34"/>
      <c r="EX381" s="34"/>
      <c r="EY381" s="34"/>
      <c r="EZ381" s="34"/>
      <c r="FA381" s="34"/>
      <c r="FB381" s="34"/>
      <c r="FC381" s="34"/>
      <c r="FD381" s="34"/>
      <c r="FE381" s="34"/>
      <c r="FF381" s="34"/>
      <c r="FG381" s="34"/>
      <c r="FH381" s="34"/>
      <c r="FI381" s="34"/>
      <c r="FJ381" s="34"/>
      <c r="FK381" s="34"/>
      <c r="FL381" s="34"/>
      <c r="FM381" s="34"/>
      <c r="FN381" s="34"/>
      <c r="FO381" s="34"/>
      <c r="FP381" s="34"/>
      <c r="FQ381" s="34"/>
      <c r="FR381" s="34"/>
      <c r="FS381" s="34"/>
      <c r="FT381" s="34"/>
      <c r="FU381" s="34"/>
      <c r="FV381" s="34"/>
      <c r="FW381" s="34"/>
      <c r="FX381" s="34"/>
      <c r="FY381" s="34"/>
      <c r="FZ381" s="34"/>
      <c r="GA381" s="34"/>
      <c r="GB381" s="34"/>
      <c r="GC381" s="34"/>
      <c r="GD381" s="34"/>
      <c r="GE381" s="34"/>
      <c r="GF381" s="34"/>
      <c r="GG381" s="34"/>
      <c r="GH381" s="34"/>
      <c r="GI381" s="34"/>
      <c r="GJ381" s="34"/>
      <c r="GK381" s="34"/>
      <c r="GL381" s="34"/>
      <c r="GM381" s="34"/>
      <c r="GN381" s="34"/>
      <c r="GO381" s="34"/>
      <c r="GP381" s="34"/>
      <c r="GQ381" s="34"/>
      <c r="GR381" s="34"/>
      <c r="GS381" s="34"/>
      <c r="GT381" s="34"/>
      <c r="GU381" s="34"/>
      <c r="GV381" s="34"/>
      <c r="GW381" s="34"/>
      <c r="GX381" s="34"/>
      <c r="GY381" s="34"/>
      <c r="GZ381" s="34"/>
      <c r="HA381" s="34"/>
      <c r="HB381" s="34"/>
      <c r="HC381" s="34"/>
      <c r="HD381" s="34"/>
      <c r="HE381" s="34"/>
      <c r="HF381" s="34"/>
      <c r="HG381" s="34"/>
      <c r="HH381" s="34"/>
      <c r="HI381" s="34"/>
      <c r="HJ381" s="34"/>
      <c r="HK381" s="34"/>
      <c r="HL381" s="34"/>
      <c r="HM381" s="34"/>
      <c r="HN381" s="34"/>
      <c r="HO381" s="34"/>
      <c r="HP381" s="34"/>
      <c r="HQ381" s="34"/>
      <c r="HR381" s="34"/>
      <c r="HS381" s="34"/>
      <c r="HT381" s="34"/>
      <c r="HU381" s="34"/>
      <c r="HV381" s="34"/>
      <c r="HW381" s="34"/>
      <c r="HX381" s="34"/>
      <c r="HY381" s="34"/>
      <c r="HZ381" s="34"/>
      <c r="IA381" s="34"/>
      <c r="IB381" s="34"/>
      <c r="IC381" s="34"/>
      <c r="ID381" s="34"/>
      <c r="IE381" s="34"/>
      <c r="IF381" s="34"/>
      <c r="IG381" s="34"/>
      <c r="IH381" s="34"/>
      <c r="II381" s="34"/>
      <c r="IJ381" s="34"/>
      <c r="IK381" s="34"/>
      <c r="IL381" s="34"/>
      <c r="IM381" s="34"/>
      <c r="IN381" s="34"/>
      <c r="IO381" s="34"/>
      <c r="IP381" s="34"/>
      <c r="IQ381" s="34"/>
      <c r="IR381" s="34"/>
      <c r="IS381" s="34"/>
      <c r="IT381" s="34"/>
      <c r="IU381" s="34"/>
      <c r="IV381" s="34"/>
      <c r="IW381" s="34"/>
      <c r="IX381" s="34"/>
      <c r="IY381" s="34"/>
      <c r="IZ381" s="34"/>
      <c r="JA381" s="34"/>
      <c r="JB381" s="34"/>
      <c r="JC381" s="34"/>
      <c r="JD381" s="34"/>
      <c r="JE381" s="34"/>
      <c r="JF381" s="34"/>
      <c r="JG381" s="34"/>
      <c r="JH381" s="34"/>
      <c r="JI381" s="34"/>
      <c r="JJ381" s="34"/>
      <c r="JK381" s="34"/>
      <c r="JL381" s="34"/>
      <c r="JM381" s="34"/>
      <c r="JN381" s="34"/>
      <c r="JO381" s="34"/>
      <c r="JP381" s="34"/>
      <c r="JQ381" s="34"/>
      <c r="JR381" s="34"/>
      <c r="JS381" s="34"/>
      <c r="JT381" s="34"/>
      <c r="JU381" s="34"/>
      <c r="JV381" s="34"/>
      <c r="JW381" s="34"/>
      <c r="JX381" s="34"/>
      <c r="JY381" s="34"/>
      <c r="JZ381" s="34"/>
      <c r="KA381" s="34"/>
      <c r="KB381" s="34"/>
      <c r="KC381" s="34"/>
      <c r="KD381" s="34"/>
      <c r="KE381" s="34"/>
      <c r="KF381" s="34"/>
      <c r="KG381" s="34"/>
      <c r="KH381" s="34"/>
      <c r="KI381" s="34"/>
      <c r="KJ381" s="34"/>
      <c r="KK381" s="34"/>
      <c r="KL381" s="34"/>
      <c r="KM381" s="34"/>
      <c r="KN381" s="34"/>
      <c r="KO381" s="34"/>
      <c r="KP381" s="34"/>
      <c r="KQ381" s="34"/>
      <c r="KR381" s="34"/>
      <c r="KS381" s="34"/>
      <c r="KT381" s="34"/>
      <c r="KU381" s="34"/>
      <c r="KV381" s="34"/>
      <c r="KW381" s="34"/>
      <c r="KX381" s="34"/>
      <c r="KY381" s="34"/>
      <c r="KZ381" s="34"/>
      <c r="LA381" s="34"/>
      <c r="LB381" s="34"/>
      <c r="LC381" s="34"/>
      <c r="LD381" s="34"/>
      <c r="LE381" s="34"/>
      <c r="LF381" s="34"/>
      <c r="LG381" s="34"/>
      <c r="LH381" s="34"/>
      <c r="LI381" s="34"/>
      <c r="LJ381" s="34"/>
      <c r="LK381" s="34"/>
      <c r="LL381" s="34"/>
      <c r="LM381" s="34"/>
      <c r="LN381" s="34"/>
      <c r="LO381" s="34"/>
      <c r="LP381" s="34"/>
      <c r="LQ381" s="34"/>
      <c r="LR381" s="34"/>
      <c r="LS381" s="34"/>
      <c r="LT381" s="34"/>
      <c r="LU381" s="34"/>
      <c r="LV381" s="34"/>
      <c r="LW381" s="34"/>
      <c r="LX381" s="34"/>
      <c r="LY381" s="34"/>
      <c r="LZ381" s="34"/>
      <c r="MA381" s="34"/>
      <c r="MB381" s="34"/>
      <c r="MC381" s="34"/>
      <c r="MD381" s="34"/>
      <c r="ME381" s="34"/>
      <c r="MF381" s="34"/>
      <c r="MG381" s="34"/>
      <c r="MH381" s="34"/>
      <c r="MI381" s="34"/>
      <c r="MJ381" s="34"/>
      <c r="MK381" s="34"/>
      <c r="ML381" s="34"/>
      <c r="MM381" s="34"/>
      <c r="MN381" s="34"/>
      <c r="MO381" s="34"/>
      <c r="MP381" s="34"/>
      <c r="MQ381" s="34"/>
      <c r="MR381" s="34"/>
      <c r="MS381" s="34"/>
      <c r="MT381" s="34"/>
      <c r="MU381" s="34"/>
      <c r="MV381" s="34"/>
      <c r="MW381" s="34"/>
      <c r="MX381" s="34"/>
      <c r="MY381" s="34"/>
      <c r="MZ381" s="34"/>
      <c r="NA381" s="34"/>
      <c r="NB381" s="34"/>
      <c r="NC381" s="34"/>
      <c r="ND381" s="34"/>
      <c r="NE381" s="34"/>
      <c r="NF381" s="34"/>
      <c r="NG381" s="34"/>
      <c r="NH381" s="34"/>
      <c r="NI381" s="34"/>
      <c r="NJ381" s="34"/>
      <c r="NK381" s="34"/>
      <c r="NL381" s="34"/>
      <c r="NM381" s="34"/>
      <c r="NN381" s="34"/>
      <c r="NO381" s="34"/>
      <c r="NP381" s="34"/>
      <c r="NQ381" s="34"/>
      <c r="NR381" s="34"/>
      <c r="NS381" s="34"/>
      <c r="NT381" s="34"/>
      <c r="NU381" s="34"/>
      <c r="NV381" s="34"/>
      <c r="NW381" s="34"/>
      <c r="NX381" s="34"/>
      <c r="NY381" s="34"/>
      <c r="NZ381" s="34"/>
      <c r="OA381" s="34"/>
      <c r="OB381" s="34"/>
      <c r="OC381" s="34"/>
      <c r="OD381" s="34"/>
      <c r="OE381" s="34"/>
      <c r="OF381" s="34"/>
      <c r="OG381" s="34"/>
      <c r="OH381" s="34"/>
      <c r="OI381" s="34"/>
      <c r="OJ381" s="34"/>
      <c r="OK381" s="34"/>
      <c r="OL381" s="34"/>
      <c r="OM381" s="34"/>
      <c r="ON381" s="34"/>
      <c r="OO381" s="34"/>
      <c r="OP381" s="34"/>
      <c r="OQ381" s="34"/>
      <c r="OR381" s="34"/>
      <c r="OS381" s="34"/>
      <c r="OT381" s="34"/>
      <c r="OU381" s="34"/>
      <c r="OV381" s="34"/>
      <c r="OW381" s="34"/>
      <c r="OX381" s="34"/>
      <c r="OY381" s="34"/>
      <c r="OZ381" s="34"/>
      <c r="PA381" s="34"/>
      <c r="PB381" s="34"/>
      <c r="PC381" s="34"/>
      <c r="PD381" s="34"/>
      <c r="PE381" s="34"/>
      <c r="PF381" s="34"/>
      <c r="PG381" s="34"/>
      <c r="PH381" s="34"/>
      <c r="PI381" s="34"/>
      <c r="PJ381" s="34"/>
      <c r="PK381" s="34"/>
      <c r="PL381" s="34"/>
      <c r="PM381" s="34"/>
      <c r="PN381" s="34"/>
      <c r="PO381" s="34"/>
      <c r="PP381" s="34"/>
      <c r="PQ381" s="34"/>
      <c r="PR381" s="34"/>
      <c r="PS381" s="34"/>
      <c r="PT381" s="34"/>
      <c r="PU381" s="34"/>
      <c r="PV381" s="34"/>
      <c r="PW381" s="34"/>
      <c r="PX381" s="34"/>
      <c r="PY381" s="34"/>
      <c r="PZ381" s="34"/>
      <c r="QA381" s="34"/>
      <c r="QB381" s="34"/>
      <c r="QC381" s="34"/>
      <c r="QD381" s="34"/>
      <c r="QE381" s="34"/>
      <c r="QF381" s="34"/>
      <c r="QG381" s="34"/>
      <c r="QH381" s="34"/>
      <c r="QI381" s="34"/>
      <c r="QJ381" s="34"/>
      <c r="QK381" s="34"/>
      <c r="QL381" s="34"/>
      <c r="QM381" s="34"/>
      <c r="QN381" s="34"/>
      <c r="QO381" s="34"/>
      <c r="QP381" s="34"/>
      <c r="QQ381" s="34"/>
      <c r="QR381" s="34"/>
      <c r="QS381" s="34"/>
      <c r="QT381" s="34"/>
      <c r="QU381" s="34"/>
      <c r="QV381" s="34"/>
      <c r="QW381" s="34"/>
      <c r="QX381" s="34"/>
      <c r="QY381" s="34"/>
      <c r="QZ381" s="34"/>
      <c r="RA381" s="34"/>
      <c r="RB381" s="34"/>
      <c r="RC381" s="34"/>
      <c r="RD381" s="34"/>
      <c r="RE381" s="34"/>
      <c r="RF381" s="34"/>
      <c r="RG381" s="34"/>
      <c r="RH381" s="34"/>
      <c r="RI381" s="34"/>
      <c r="RJ381" s="34"/>
      <c r="RK381" s="34"/>
      <c r="RL381" s="34"/>
      <c r="RM381" s="34"/>
      <c r="RN381" s="34"/>
      <c r="RO381" s="34"/>
      <c r="RP381" s="34"/>
      <c r="RQ381" s="34"/>
      <c r="RR381" s="34"/>
      <c r="RS381" s="34"/>
      <c r="RT381" s="34"/>
      <c r="RU381" s="34"/>
      <c r="RV381" s="34"/>
      <c r="RW381" s="34"/>
      <c r="RX381" s="34"/>
      <c r="RY381" s="34"/>
      <c r="RZ381" s="34"/>
      <c r="SA381" s="34"/>
      <c r="SB381" s="34"/>
      <c r="SC381" s="34"/>
      <c r="SD381" s="34"/>
      <c r="SE381" s="34"/>
      <c r="SF381" s="34"/>
      <c r="SG381" s="34"/>
      <c r="SH381" s="34"/>
      <c r="SI381" s="34"/>
      <c r="SJ381" s="34"/>
      <c r="SK381" s="34"/>
      <c r="SL381" s="34"/>
      <c r="SM381" s="34"/>
      <c r="SN381" s="34"/>
      <c r="SO381" s="34"/>
      <c r="SP381" s="34"/>
      <c r="SQ381" s="34"/>
      <c r="SR381" s="34"/>
      <c r="SS381" s="34"/>
      <c r="ST381" s="34"/>
      <c r="SU381" s="34"/>
      <c r="SV381" s="34"/>
      <c r="SW381" s="34"/>
      <c r="SX381" s="34"/>
      <c r="SY381" s="34"/>
      <c r="SZ381" s="34"/>
      <c r="TA381" s="34"/>
      <c r="TB381" s="34"/>
      <c r="TC381" s="34"/>
      <c r="TD381" s="34"/>
      <c r="TE381" s="34"/>
      <c r="TF381" s="34"/>
      <c r="TG381" s="34"/>
      <c r="TH381" s="34"/>
      <c r="TI381" s="34"/>
      <c r="TJ381" s="34"/>
      <c r="TK381" s="34"/>
      <c r="TL381" s="34"/>
      <c r="TM381" s="34"/>
      <c r="TN381" s="34"/>
      <c r="TO381" s="34"/>
      <c r="TP381" s="34"/>
      <c r="TQ381" s="34"/>
      <c r="TR381" s="34"/>
      <c r="TS381" s="34"/>
      <c r="TT381" s="34"/>
      <c r="TU381" s="34"/>
      <c r="TV381" s="34"/>
      <c r="TW381" s="34"/>
      <c r="TX381" s="34"/>
      <c r="TY381" s="34"/>
      <c r="TZ381" s="34"/>
      <c r="UA381" s="34"/>
      <c r="UB381" s="34"/>
      <c r="UC381" s="34"/>
      <c r="UD381" s="34"/>
      <c r="UE381" s="34"/>
      <c r="UF381" s="34"/>
      <c r="UG381" s="34"/>
      <c r="UH381" s="34"/>
      <c r="UI381" s="34"/>
      <c r="UJ381" s="34"/>
      <c r="UK381" s="34"/>
      <c r="UL381" s="34"/>
      <c r="UM381" s="34"/>
      <c r="UN381" s="34"/>
      <c r="UO381" s="34"/>
      <c r="UP381" s="34"/>
      <c r="UQ381" s="34"/>
      <c r="UR381" s="34"/>
      <c r="US381" s="34"/>
      <c r="UT381" s="34"/>
      <c r="UU381" s="34"/>
      <c r="UV381" s="34"/>
      <c r="UW381" s="34"/>
      <c r="UX381" s="34"/>
      <c r="UY381" s="34"/>
      <c r="UZ381" s="34"/>
      <c r="VA381" s="34"/>
      <c r="VB381" s="34"/>
      <c r="VC381" s="34"/>
      <c r="VD381" s="34"/>
      <c r="VE381" s="34"/>
      <c r="VF381" s="34"/>
      <c r="VG381" s="34"/>
      <c r="VH381" s="34"/>
      <c r="VI381" s="34"/>
      <c r="VJ381" s="34"/>
      <c r="VK381" s="34"/>
      <c r="VL381" s="34"/>
      <c r="VM381" s="34"/>
      <c r="VN381" s="34"/>
      <c r="VO381" s="34"/>
      <c r="VP381" s="34"/>
      <c r="VQ381" s="34"/>
      <c r="VR381" s="34"/>
      <c r="VS381" s="34"/>
      <c r="VT381" s="34"/>
      <c r="VU381" s="34"/>
      <c r="VV381" s="34"/>
      <c r="VW381" s="34"/>
      <c r="VX381" s="34"/>
      <c r="VY381" s="34"/>
      <c r="VZ381" s="34"/>
      <c r="WA381" s="34"/>
      <c r="WB381" s="34"/>
      <c r="WC381" s="34"/>
      <c r="WD381" s="34"/>
      <c r="WE381" s="34"/>
      <c r="WF381" s="34"/>
      <c r="WG381" s="34"/>
      <c r="WH381" s="34"/>
      <c r="WI381" s="34"/>
      <c r="WJ381" s="34"/>
      <c r="WK381" s="34"/>
      <c r="WL381" s="34"/>
      <c r="WM381" s="34"/>
      <c r="WN381" s="34"/>
      <c r="WO381" s="34"/>
      <c r="WP381" s="34"/>
      <c r="WQ381" s="34"/>
      <c r="WR381" s="34"/>
      <c r="WS381" s="34"/>
      <c r="WT381" s="34"/>
      <c r="WU381" s="34"/>
      <c r="WV381" s="34"/>
      <c r="WW381" s="34"/>
      <c r="WX381" s="34"/>
      <c r="WY381" s="34"/>
      <c r="WZ381" s="34"/>
      <c r="XA381" s="34"/>
      <c r="XB381" s="34"/>
      <c r="XC381" s="34"/>
      <c r="XD381" s="34"/>
      <c r="XE381" s="34"/>
      <c r="XF381" s="34"/>
      <c r="XG381" s="34"/>
      <c r="XH381" s="34"/>
      <c r="XI381" s="34"/>
      <c r="XJ381" s="34"/>
      <c r="XK381" s="34"/>
      <c r="XL381" s="34"/>
      <c r="XM381" s="34"/>
      <c r="XN381" s="34"/>
      <c r="XO381" s="34"/>
      <c r="XP381" s="34"/>
      <c r="XQ381" s="34"/>
      <c r="XR381" s="34"/>
      <c r="XS381" s="34"/>
      <c r="XT381" s="34"/>
      <c r="XU381" s="34"/>
      <c r="XV381" s="34"/>
      <c r="XW381" s="34"/>
      <c r="XX381" s="34"/>
      <c r="XY381" s="34"/>
      <c r="XZ381" s="34"/>
      <c r="YA381" s="34"/>
      <c r="YB381" s="34"/>
      <c r="YC381" s="34"/>
      <c r="YD381" s="34"/>
      <c r="YE381" s="34"/>
      <c r="YF381" s="34"/>
      <c r="YG381" s="34"/>
      <c r="YH381" s="34"/>
      <c r="YI381" s="34"/>
      <c r="YJ381" s="34"/>
      <c r="YK381" s="34"/>
      <c r="YL381" s="34"/>
      <c r="YM381" s="34"/>
      <c r="YN381" s="34"/>
      <c r="YO381" s="34"/>
      <c r="YP381" s="34"/>
      <c r="YQ381" s="34"/>
      <c r="YR381" s="34"/>
      <c r="YS381" s="34"/>
      <c r="YT381" s="34"/>
      <c r="YU381" s="34"/>
      <c r="YV381" s="34"/>
      <c r="YW381" s="34"/>
      <c r="YX381" s="34"/>
      <c r="YY381" s="34"/>
      <c r="YZ381" s="34"/>
      <c r="ZA381" s="34"/>
      <c r="ZB381" s="34"/>
      <c r="ZC381" s="34"/>
      <c r="ZD381" s="34"/>
      <c r="ZE381" s="34"/>
      <c r="ZF381" s="34"/>
      <c r="ZG381" s="34"/>
      <c r="ZH381" s="34"/>
      <c r="ZI381" s="34"/>
      <c r="ZJ381" s="34"/>
      <c r="ZK381" s="34"/>
      <c r="ZL381" s="34"/>
      <c r="ZM381" s="34"/>
      <c r="ZN381" s="34"/>
      <c r="ZO381" s="34"/>
      <c r="ZP381" s="34"/>
      <c r="ZQ381" s="34"/>
      <c r="ZR381" s="34"/>
      <c r="ZS381" s="34"/>
      <c r="ZT381" s="34"/>
      <c r="ZU381" s="34"/>
      <c r="ZV381" s="34"/>
      <c r="ZW381" s="34"/>
      <c r="ZX381" s="34"/>
      <c r="ZY381" s="34"/>
      <c r="ZZ381" s="34"/>
      <c r="AAA381" s="34"/>
      <c r="AAB381" s="34"/>
      <c r="AAC381" s="34"/>
      <c r="AAD381" s="34"/>
      <c r="AAE381" s="34"/>
      <c r="AAF381" s="34"/>
      <c r="AAG381" s="34"/>
      <c r="AAH381" s="34"/>
      <c r="AAI381" s="34"/>
      <c r="AAJ381" s="34"/>
      <c r="AAK381" s="34"/>
      <c r="AAL381" s="34"/>
      <c r="AAM381" s="34"/>
      <c r="AAN381" s="34"/>
      <c r="AAO381" s="34"/>
      <c r="AAP381" s="34"/>
      <c r="AAQ381" s="34"/>
      <c r="AAR381" s="34"/>
      <c r="AAS381" s="34"/>
      <c r="AAT381" s="34"/>
      <c r="AAU381" s="34"/>
      <c r="AAV381" s="34"/>
      <c r="AAW381" s="34"/>
      <c r="AAX381" s="34"/>
      <c r="AAY381" s="34"/>
      <c r="AAZ381" s="34"/>
      <c r="ABA381" s="34"/>
      <c r="ABB381" s="34"/>
      <c r="ABC381" s="34"/>
      <c r="ABD381" s="34"/>
      <c r="ABE381" s="34"/>
      <c r="ABF381" s="34"/>
      <c r="ABG381" s="34"/>
      <c r="ABH381" s="34"/>
      <c r="ABI381" s="34"/>
      <c r="ABJ381" s="34"/>
      <c r="ABK381" s="34"/>
      <c r="ABL381" s="34"/>
      <c r="ABM381" s="34"/>
      <c r="ABN381" s="34"/>
      <c r="ABO381" s="34"/>
      <c r="ABP381" s="34"/>
      <c r="ABQ381" s="34"/>
      <c r="ABR381" s="34"/>
      <c r="ABS381" s="34"/>
      <c r="ABT381" s="34"/>
      <c r="ABU381" s="34"/>
      <c r="ABV381" s="34"/>
      <c r="ABW381" s="34"/>
      <c r="ABX381" s="34"/>
      <c r="ABY381" s="34"/>
      <c r="ABZ381" s="34"/>
      <c r="ACA381" s="34"/>
      <c r="ACB381" s="34"/>
      <c r="ACC381" s="34"/>
      <c r="ACD381" s="34"/>
      <c r="ACE381" s="34"/>
      <c r="ACF381" s="34"/>
      <c r="ACG381" s="34"/>
      <c r="ACH381" s="34"/>
      <c r="ACI381" s="34"/>
      <c r="ACJ381" s="34"/>
      <c r="ACK381" s="34"/>
      <c r="ACL381" s="34"/>
      <c r="ACM381" s="34"/>
      <c r="ACN381" s="34"/>
      <c r="ACO381" s="34"/>
      <c r="ACP381" s="34"/>
      <c r="ACQ381" s="34"/>
      <c r="ACR381" s="34"/>
      <c r="ACS381" s="34"/>
      <c r="ACT381" s="34"/>
      <c r="ACU381" s="34"/>
      <c r="ACV381" s="34"/>
      <c r="ACW381" s="34"/>
      <c r="ACX381" s="34"/>
      <c r="ACY381" s="34"/>
      <c r="ACZ381" s="34"/>
      <c r="ADA381" s="34"/>
      <c r="ADB381" s="34"/>
      <c r="ADC381" s="34"/>
      <c r="ADD381" s="34"/>
      <c r="ADE381" s="34"/>
      <c r="ADF381" s="34"/>
      <c r="ADG381" s="34"/>
      <c r="ADH381" s="34"/>
      <c r="ADI381" s="34"/>
      <c r="ADJ381" s="34"/>
      <c r="ADK381" s="34"/>
      <c r="ADL381" s="34"/>
      <c r="ADM381" s="34"/>
      <c r="ADN381" s="34"/>
      <c r="ADO381" s="34"/>
      <c r="ADP381" s="34"/>
      <c r="ADQ381" s="34"/>
      <c r="ADR381" s="34"/>
      <c r="ADS381" s="34"/>
      <c r="ADT381" s="34"/>
      <c r="ADU381" s="34"/>
      <c r="ADV381" s="34"/>
      <c r="ADW381" s="34"/>
      <c r="ADX381" s="34"/>
      <c r="ADY381" s="34"/>
      <c r="ADZ381" s="34"/>
      <c r="AEA381" s="34"/>
      <c r="AEB381" s="34"/>
      <c r="AEC381" s="34"/>
      <c r="AED381" s="34"/>
      <c r="AEE381" s="34"/>
      <c r="AEF381" s="34"/>
      <c r="AEG381" s="34"/>
      <c r="AEH381" s="34"/>
      <c r="AEI381" s="34"/>
      <c r="AEJ381" s="34"/>
      <c r="AEK381" s="34"/>
      <c r="AEL381" s="34"/>
      <c r="AEM381" s="34"/>
      <c r="AEN381" s="34"/>
      <c r="AEO381" s="34"/>
      <c r="AEP381" s="34"/>
      <c r="AEQ381" s="34"/>
      <c r="AER381" s="34"/>
      <c r="AES381" s="34"/>
      <c r="AET381" s="34"/>
      <c r="AEU381" s="34"/>
      <c r="AEV381" s="34"/>
      <c r="AEW381" s="34"/>
      <c r="AEX381" s="34"/>
      <c r="AEY381" s="34"/>
      <c r="AEZ381" s="34"/>
      <c r="AFA381" s="34"/>
      <c r="AFB381" s="34"/>
      <c r="AFC381" s="34"/>
      <c r="AFD381" s="34"/>
      <c r="AFE381" s="34"/>
      <c r="AFF381" s="34"/>
      <c r="AFG381" s="34"/>
      <c r="AFH381" s="34"/>
      <c r="AFI381" s="34"/>
      <c r="AFJ381" s="34"/>
      <c r="AFK381" s="34"/>
      <c r="AFL381" s="34"/>
      <c r="AFM381" s="34"/>
      <c r="AFN381" s="34"/>
      <c r="AFO381" s="34"/>
      <c r="AFP381" s="34"/>
      <c r="AFQ381" s="34"/>
      <c r="AFR381" s="34"/>
      <c r="AFS381" s="34"/>
      <c r="AFT381" s="34"/>
      <c r="AFU381" s="34"/>
      <c r="AFV381" s="34"/>
      <c r="AFW381" s="34"/>
      <c r="AFX381" s="34"/>
      <c r="AFY381" s="34"/>
      <c r="AFZ381" s="34"/>
      <c r="AGA381" s="34"/>
      <c r="AGB381" s="34"/>
      <c r="AGC381" s="34"/>
      <c r="AGD381" s="34"/>
      <c r="AGE381" s="34"/>
      <c r="AGF381" s="34"/>
      <c r="AGG381" s="34"/>
      <c r="AGH381" s="34"/>
      <c r="AGI381" s="34"/>
      <c r="AGJ381" s="34"/>
      <c r="AGK381" s="34"/>
      <c r="AGL381" s="34"/>
      <c r="AGM381" s="34"/>
      <c r="AGN381" s="34"/>
      <c r="AGO381" s="34"/>
      <c r="AGP381" s="34"/>
      <c r="AGQ381" s="34"/>
      <c r="AGR381" s="34"/>
      <c r="AGS381" s="34"/>
      <c r="AGT381" s="34"/>
      <c r="AGU381" s="34"/>
      <c r="AGV381" s="34"/>
      <c r="AGW381" s="34"/>
      <c r="AGX381" s="34"/>
      <c r="AGY381" s="34"/>
      <c r="AGZ381" s="34"/>
      <c r="AHA381" s="34"/>
      <c r="AHB381" s="34"/>
      <c r="AHC381" s="34"/>
      <c r="AHD381" s="34"/>
      <c r="AHE381" s="34"/>
      <c r="AHF381" s="34"/>
      <c r="AHG381" s="34"/>
      <c r="AHH381" s="34"/>
      <c r="AHI381" s="34"/>
      <c r="AHJ381" s="34"/>
      <c r="AHK381" s="34"/>
      <c r="AHL381" s="34"/>
      <c r="AHM381" s="34"/>
      <c r="AHN381" s="34"/>
      <c r="AHO381" s="34"/>
      <c r="AHP381" s="34"/>
      <c r="AHQ381" s="34"/>
      <c r="AHR381" s="34"/>
      <c r="AHS381" s="34"/>
      <c r="AHT381" s="34"/>
      <c r="AHU381" s="34"/>
      <c r="AHV381" s="34"/>
      <c r="AHW381" s="34"/>
      <c r="AHX381" s="34"/>
      <c r="AHY381" s="34"/>
      <c r="AHZ381" s="34"/>
      <c r="AIA381" s="34"/>
      <c r="AIB381" s="34"/>
      <c r="AIC381" s="34"/>
      <c r="AID381" s="34"/>
      <c r="AIE381" s="34"/>
      <c r="AIF381" s="34"/>
      <c r="AIG381" s="34"/>
      <c r="AIH381" s="34"/>
      <c r="AII381" s="34"/>
      <c r="AIJ381" s="34"/>
      <c r="AIK381" s="34"/>
      <c r="AIL381" s="34"/>
      <c r="AIM381" s="34"/>
      <c r="AIN381" s="34"/>
      <c r="AIO381" s="34"/>
      <c r="AIP381" s="34"/>
      <c r="AIQ381" s="34"/>
      <c r="AIR381" s="34"/>
      <c r="AIS381" s="34"/>
      <c r="AIT381" s="34"/>
      <c r="AIU381" s="34"/>
      <c r="AIV381" s="34"/>
      <c r="AIW381" s="34"/>
      <c r="AIX381" s="34"/>
      <c r="AIY381" s="34"/>
      <c r="AIZ381" s="34"/>
      <c r="AJA381" s="34"/>
      <c r="AJB381" s="34"/>
      <c r="AJC381" s="34"/>
      <c r="AJD381" s="34"/>
      <c r="AJE381" s="34"/>
      <c r="AJF381" s="34"/>
      <c r="AJG381" s="34"/>
      <c r="AJH381" s="34"/>
      <c r="AJI381" s="34"/>
      <c r="AJJ381" s="34"/>
      <c r="AJK381" s="34"/>
      <c r="AJL381" s="34"/>
      <c r="AJM381" s="34"/>
      <c r="AJN381" s="34"/>
      <c r="AJO381" s="34"/>
      <c r="AJP381" s="34"/>
      <c r="AJQ381" s="34"/>
      <c r="AJR381" s="34"/>
      <c r="AJS381" s="34"/>
      <c r="AJT381" s="34"/>
      <c r="AJU381" s="34"/>
      <c r="AJV381" s="34"/>
      <c r="AJW381" s="34"/>
      <c r="AJX381" s="34"/>
      <c r="AJY381" s="34"/>
      <c r="AJZ381" s="34"/>
      <c r="AKA381" s="34"/>
      <c r="AKB381" s="34"/>
      <c r="AKC381" s="34"/>
      <c r="AKD381" s="34"/>
      <c r="AKE381" s="34"/>
      <c r="AKF381" s="34"/>
      <c r="AKG381" s="34"/>
      <c r="AKH381" s="34"/>
      <c r="AKI381" s="34"/>
      <c r="AKJ381" s="34"/>
      <c r="AKK381" s="34"/>
      <c r="AKL381" s="34"/>
      <c r="AKM381" s="34"/>
      <c r="AKN381" s="34"/>
      <c r="AKO381" s="34"/>
      <c r="AKP381" s="34"/>
      <c r="AKQ381" s="34"/>
      <c r="AKR381" s="34"/>
      <c r="AKS381" s="34"/>
      <c r="AKT381" s="34"/>
      <c r="AKU381" s="34"/>
      <c r="AKV381" s="34"/>
      <c r="AKW381" s="34"/>
      <c r="AKX381" s="34"/>
      <c r="AKY381" s="34"/>
      <c r="AKZ381" s="34"/>
      <c r="ALA381" s="34"/>
      <c r="ALB381" s="34"/>
      <c r="ALC381" s="34"/>
      <c r="ALD381" s="34"/>
      <c r="ALE381" s="34"/>
      <c r="ALF381" s="34"/>
      <c r="ALG381" s="34"/>
      <c r="ALH381" s="34"/>
      <c r="ALI381" s="34"/>
      <c r="ALJ381" s="34"/>
      <c r="ALK381" s="34"/>
      <c r="ALL381" s="34"/>
      <c r="ALM381" s="34"/>
      <c r="ALN381" s="34"/>
      <c r="ALO381" s="34"/>
      <c r="ALP381" s="34"/>
      <c r="ALQ381" s="34"/>
      <c r="ALR381" s="34"/>
      <c r="ALS381" s="34"/>
      <c r="ALT381" s="34"/>
      <c r="ALU381" s="34"/>
      <c r="ALV381" s="34"/>
      <c r="ALW381" s="34"/>
      <c r="ALX381" s="34"/>
      <c r="ALY381" s="34"/>
      <c r="ALZ381" s="34"/>
      <c r="AMA381" s="34"/>
      <c r="AMB381" s="34"/>
      <c r="AMC381" s="34"/>
      <c r="AMD381" s="34"/>
      <c r="AME381" s="34"/>
      <c r="AMF381" s="34"/>
      <c r="AMG381" s="34"/>
      <c r="AMH381" s="34"/>
      <c r="AMI381" s="34"/>
      <c r="AMJ381" s="34"/>
      <c r="AMK381" s="34"/>
      <c r="AML381" s="34"/>
      <c r="AMM381" s="34"/>
      <c r="AMN381" s="34"/>
      <c r="AMO381" s="34"/>
      <c r="AMP381" s="34"/>
      <c r="AMQ381" s="34"/>
      <c r="AMR381" s="34"/>
      <c r="AMS381" s="34"/>
      <c r="AMT381" s="34"/>
      <c r="AMU381" s="34"/>
      <c r="AMV381" s="34"/>
      <c r="AMW381" s="34"/>
      <c r="AMX381" s="34"/>
      <c r="AMY381" s="34"/>
      <c r="AMZ381" s="34"/>
      <c r="ANA381" s="34"/>
      <c r="ANB381" s="34"/>
      <c r="ANC381" s="34"/>
      <c r="AND381" s="34"/>
      <c r="ANE381" s="34"/>
      <c r="ANF381" s="34"/>
      <c r="ANG381" s="34"/>
      <c r="ANH381" s="34"/>
      <c r="ANI381" s="34"/>
      <c r="ANJ381" s="34"/>
      <c r="ANK381" s="34"/>
      <c r="ANL381" s="34"/>
      <c r="ANM381" s="34"/>
      <c r="ANN381" s="34"/>
      <c r="ANO381" s="34"/>
      <c r="ANP381" s="34"/>
      <c r="ANQ381" s="34"/>
      <c r="ANR381" s="34"/>
      <c r="ANS381" s="34"/>
      <c r="ANT381" s="34"/>
      <c r="ANU381" s="34"/>
      <c r="ANV381" s="34"/>
      <c r="ANW381" s="34"/>
      <c r="ANX381" s="34"/>
      <c r="ANY381" s="34"/>
      <c r="ANZ381" s="34"/>
      <c r="AOA381" s="34"/>
      <c r="AOB381" s="34"/>
      <c r="AOC381" s="34"/>
      <c r="AOD381" s="34"/>
      <c r="AOE381" s="34"/>
      <c r="AOF381" s="34"/>
      <c r="AOG381" s="34"/>
      <c r="AOH381" s="34"/>
      <c r="AOI381" s="34"/>
      <c r="AOJ381" s="34"/>
      <c r="AOK381" s="34"/>
      <c r="AOL381" s="34"/>
      <c r="AOM381" s="34"/>
      <c r="AON381" s="34"/>
      <c r="AOO381" s="34"/>
      <c r="AOP381" s="34"/>
      <c r="AOQ381" s="34"/>
      <c r="AOR381" s="34"/>
      <c r="AOS381" s="34"/>
      <c r="AOT381" s="34"/>
      <c r="AOU381" s="34"/>
      <c r="AOV381" s="34"/>
      <c r="AOW381" s="34"/>
      <c r="AOX381" s="34"/>
      <c r="AOY381" s="34"/>
      <c r="AOZ381" s="34"/>
      <c r="APA381" s="34"/>
      <c r="APB381" s="34"/>
      <c r="APC381" s="34"/>
      <c r="APD381" s="34"/>
      <c r="APE381" s="34"/>
      <c r="APF381" s="34"/>
      <c r="APG381" s="34"/>
      <c r="APH381" s="34"/>
      <c r="API381" s="34"/>
      <c r="APJ381" s="34"/>
      <c r="APK381" s="34"/>
      <c r="APL381" s="34"/>
      <c r="APM381" s="34"/>
      <c r="APN381" s="34"/>
      <c r="APO381" s="34"/>
      <c r="APP381" s="34"/>
      <c r="APQ381" s="34"/>
      <c r="APR381" s="34"/>
      <c r="APS381" s="34"/>
      <c r="APT381" s="34"/>
      <c r="APU381" s="34"/>
      <c r="APV381" s="34"/>
      <c r="APW381" s="34"/>
      <c r="APX381" s="34"/>
      <c r="APY381" s="34"/>
      <c r="APZ381" s="34"/>
      <c r="AQA381" s="34"/>
      <c r="AQB381" s="34"/>
      <c r="AQC381" s="34"/>
      <c r="AQD381" s="34"/>
      <c r="AQE381" s="34"/>
      <c r="AQF381" s="34"/>
      <c r="AQG381" s="34"/>
      <c r="AQH381" s="34"/>
      <c r="AQI381" s="34"/>
      <c r="AQJ381" s="34"/>
      <c r="AQK381" s="34"/>
      <c r="AQL381" s="34"/>
      <c r="AQM381" s="34"/>
      <c r="AQN381" s="34"/>
      <c r="AQO381" s="34"/>
      <c r="AQP381" s="34"/>
      <c r="AQQ381" s="34"/>
      <c r="AQR381" s="34"/>
      <c r="AQS381" s="34"/>
      <c r="AQT381" s="34"/>
      <c r="AQU381" s="34"/>
      <c r="AQV381" s="34"/>
      <c r="AQW381" s="34"/>
      <c r="AQX381" s="34"/>
      <c r="AQY381" s="34"/>
      <c r="AQZ381" s="34"/>
      <c r="ARA381" s="34"/>
      <c r="ARB381" s="34"/>
      <c r="ARC381" s="34"/>
      <c r="ARD381" s="34"/>
      <c r="ARE381" s="34"/>
      <c r="ARF381" s="34"/>
      <c r="ARG381" s="34"/>
      <c r="ARH381" s="34"/>
      <c r="ARI381" s="34"/>
      <c r="ARJ381" s="34"/>
      <c r="ARK381" s="34"/>
      <c r="ARL381" s="34"/>
      <c r="ARM381" s="34"/>
      <c r="ARN381" s="34"/>
      <c r="ARO381" s="34"/>
      <c r="ARP381" s="34"/>
      <c r="ARQ381" s="34"/>
      <c r="ARR381" s="34"/>
      <c r="ARS381" s="34"/>
      <c r="ART381" s="34"/>
      <c r="ARU381" s="34"/>
      <c r="ARV381" s="34"/>
      <c r="ARW381" s="34"/>
      <c r="ARX381" s="34"/>
      <c r="ARY381" s="34"/>
      <c r="ARZ381" s="34"/>
      <c r="ASA381" s="34"/>
      <c r="ASB381" s="34"/>
      <c r="ASC381" s="34"/>
      <c r="ASD381" s="34"/>
      <c r="ASE381" s="34"/>
      <c r="ASF381" s="34"/>
      <c r="ASG381" s="34"/>
      <c r="ASH381" s="34"/>
      <c r="ASI381" s="34"/>
      <c r="ASJ381" s="34"/>
      <c r="ASK381" s="34"/>
      <c r="ASL381" s="34"/>
      <c r="ASM381" s="34"/>
      <c r="ASN381" s="34"/>
      <c r="ASO381" s="34"/>
      <c r="ASP381" s="34"/>
      <c r="ASQ381" s="34"/>
      <c r="ASR381" s="34"/>
      <c r="ASS381" s="34"/>
      <c r="AST381" s="34"/>
      <c r="ASU381" s="34"/>
      <c r="ASV381" s="34"/>
      <c r="ASW381" s="34"/>
      <c r="ASX381" s="34"/>
      <c r="ASY381" s="34"/>
      <c r="ASZ381" s="34"/>
      <c r="ATA381" s="34"/>
      <c r="ATB381" s="34"/>
      <c r="ATC381" s="34"/>
      <c r="ATD381" s="34"/>
      <c r="ATE381" s="34"/>
      <c r="ATF381" s="34"/>
      <c r="ATG381" s="34"/>
      <c r="ATH381" s="34"/>
      <c r="ATI381" s="34"/>
      <c r="ATJ381" s="34"/>
      <c r="ATK381" s="34"/>
      <c r="ATL381" s="34"/>
      <c r="ATM381" s="34"/>
      <c r="ATN381" s="34"/>
      <c r="ATO381" s="34"/>
      <c r="ATP381" s="34"/>
      <c r="ATQ381" s="34"/>
      <c r="ATR381" s="34"/>
      <c r="ATS381" s="34"/>
      <c r="ATT381" s="34"/>
      <c r="ATU381" s="34"/>
      <c r="ATV381" s="34"/>
      <c r="ATW381" s="34"/>
      <c r="ATX381" s="34"/>
      <c r="ATY381" s="34"/>
      <c r="ATZ381" s="34"/>
      <c r="AUA381" s="34"/>
      <c r="AUB381" s="34"/>
      <c r="AUC381" s="34"/>
      <c r="AUD381" s="34"/>
      <c r="AUE381" s="34"/>
      <c r="AUF381" s="34"/>
      <c r="AUG381" s="34"/>
      <c r="AUH381" s="34"/>
      <c r="AUI381" s="34"/>
      <c r="AUJ381" s="34"/>
      <c r="AUK381" s="34"/>
      <c r="AUL381" s="34"/>
      <c r="AUM381" s="34"/>
      <c r="AUN381" s="34"/>
      <c r="AUO381" s="34"/>
      <c r="AUP381" s="34"/>
      <c r="AUQ381" s="34"/>
      <c r="AUR381" s="34"/>
      <c r="AUS381" s="34"/>
      <c r="AUT381" s="34"/>
      <c r="AUU381" s="34"/>
      <c r="AUV381" s="34"/>
      <c r="AUW381" s="34"/>
      <c r="AUX381" s="34"/>
      <c r="AUY381" s="34"/>
      <c r="AUZ381" s="34"/>
      <c r="AVA381" s="34"/>
      <c r="AVB381" s="34"/>
      <c r="AVC381" s="34"/>
      <c r="AVD381" s="34"/>
      <c r="AVE381" s="34"/>
      <c r="AVF381" s="34"/>
      <c r="AVG381" s="34"/>
      <c r="AVH381" s="34"/>
      <c r="AVI381" s="34"/>
      <c r="AVJ381" s="34"/>
      <c r="AVK381" s="34"/>
      <c r="AVL381" s="34"/>
      <c r="AVM381" s="34"/>
      <c r="AVN381" s="34"/>
      <c r="AVO381" s="34"/>
      <c r="AVP381" s="34"/>
      <c r="AVQ381" s="34"/>
      <c r="AVR381" s="34"/>
      <c r="AVS381" s="34"/>
      <c r="AVT381" s="34"/>
      <c r="AVU381" s="34"/>
      <c r="AVV381" s="34"/>
      <c r="AVW381" s="34"/>
      <c r="AVX381" s="34"/>
      <c r="AVY381" s="34"/>
      <c r="AVZ381" s="34"/>
      <c r="AWA381" s="34"/>
      <c r="AWB381" s="34"/>
      <c r="AWC381" s="34"/>
      <c r="AWD381" s="34"/>
      <c r="AWE381" s="34"/>
      <c r="AWF381" s="34"/>
      <c r="AWG381" s="34"/>
      <c r="AWH381" s="34"/>
      <c r="AWI381" s="34"/>
      <c r="AWJ381" s="34"/>
      <c r="AWK381" s="34"/>
      <c r="AWL381" s="34"/>
      <c r="AWM381" s="34"/>
      <c r="AWN381" s="34"/>
      <c r="AWO381" s="34"/>
      <c r="AWP381" s="34"/>
      <c r="AWQ381" s="34"/>
      <c r="AWR381" s="34"/>
      <c r="AWS381" s="34"/>
      <c r="AWT381" s="34"/>
      <c r="AWU381" s="34"/>
      <c r="AWV381" s="34"/>
      <c r="AWW381" s="34"/>
      <c r="AWX381" s="34"/>
      <c r="AWY381" s="34"/>
      <c r="AWZ381" s="34"/>
      <c r="AXA381" s="34"/>
      <c r="AXB381" s="34"/>
      <c r="AXC381" s="34"/>
      <c r="AXD381" s="34"/>
      <c r="AXE381" s="34"/>
      <c r="AXF381" s="34"/>
      <c r="AXG381" s="34"/>
      <c r="AXH381" s="34"/>
      <c r="AXI381" s="34"/>
      <c r="AXJ381" s="34"/>
      <c r="AXK381" s="34"/>
      <c r="AXL381" s="34"/>
      <c r="AXM381" s="34"/>
      <c r="AXN381" s="34"/>
      <c r="AXO381" s="34"/>
      <c r="AXP381" s="34"/>
      <c r="AXQ381" s="34"/>
      <c r="AXR381" s="34"/>
      <c r="AXS381" s="34"/>
      <c r="AXT381" s="34"/>
      <c r="AXU381" s="34"/>
      <c r="AXV381" s="34"/>
      <c r="AXW381" s="34"/>
      <c r="AXX381" s="34"/>
      <c r="AXY381" s="34"/>
      <c r="AXZ381" s="34"/>
      <c r="AYA381" s="34"/>
      <c r="AYB381" s="34"/>
      <c r="AYC381" s="34"/>
      <c r="AYD381" s="34"/>
      <c r="AYE381" s="34"/>
      <c r="AYF381" s="34"/>
      <c r="AYG381" s="34"/>
      <c r="AYH381" s="34"/>
      <c r="AYI381" s="34"/>
      <c r="AYJ381" s="34"/>
      <c r="AYK381" s="34"/>
      <c r="AYL381" s="34"/>
      <c r="AYM381" s="34"/>
      <c r="AYN381" s="34"/>
      <c r="AYO381" s="34"/>
      <c r="AYP381" s="34"/>
      <c r="AYQ381" s="34"/>
      <c r="AYR381" s="34"/>
      <c r="AYS381" s="34"/>
      <c r="AYT381" s="34"/>
      <c r="AYU381" s="34"/>
      <c r="AYV381" s="34"/>
      <c r="AYW381" s="34"/>
      <c r="AYX381" s="34"/>
      <c r="AYY381" s="34"/>
      <c r="AYZ381" s="34"/>
      <c r="AZA381" s="34"/>
      <c r="AZB381" s="34"/>
      <c r="AZC381" s="34"/>
      <c r="AZD381" s="34"/>
      <c r="AZE381" s="34"/>
      <c r="AZF381" s="34"/>
      <c r="AZG381" s="34"/>
      <c r="AZH381" s="34"/>
      <c r="AZI381" s="34"/>
      <c r="AZJ381" s="34"/>
      <c r="AZK381" s="34"/>
      <c r="AZL381" s="34"/>
      <c r="AZM381" s="34"/>
      <c r="AZN381" s="34"/>
      <c r="AZO381" s="34"/>
      <c r="AZP381" s="34"/>
      <c r="AZQ381" s="34"/>
      <c r="AZR381" s="34"/>
      <c r="AZS381" s="34"/>
      <c r="AZT381" s="34"/>
      <c r="AZU381" s="34"/>
      <c r="AZV381" s="34"/>
      <c r="AZW381" s="34"/>
      <c r="AZX381" s="34"/>
      <c r="AZY381" s="34"/>
      <c r="AZZ381" s="34"/>
      <c r="BAA381" s="34"/>
      <c r="BAB381" s="34"/>
      <c r="BAC381" s="34"/>
      <c r="BAD381" s="34"/>
      <c r="BAE381" s="34"/>
      <c r="BAF381" s="34"/>
      <c r="BAG381" s="34"/>
      <c r="BAH381" s="34"/>
      <c r="BAI381" s="34"/>
      <c r="BAJ381" s="34"/>
      <c r="BAK381" s="34"/>
      <c r="BAL381" s="34"/>
      <c r="BAM381" s="34"/>
      <c r="BAN381" s="34"/>
      <c r="BAO381" s="34"/>
      <c r="BAP381" s="34"/>
      <c r="BAQ381" s="34"/>
      <c r="BAR381" s="34"/>
      <c r="BAS381" s="34"/>
      <c r="BAT381" s="34"/>
      <c r="BAU381" s="34"/>
      <c r="BAV381" s="34"/>
      <c r="BAW381" s="34"/>
      <c r="BAX381" s="34"/>
      <c r="BAY381" s="34"/>
      <c r="BAZ381" s="34"/>
      <c r="BBA381" s="34"/>
      <c r="BBB381" s="34"/>
      <c r="BBC381" s="34"/>
      <c r="BBD381" s="34"/>
      <c r="BBE381" s="34"/>
      <c r="BBF381" s="34"/>
      <c r="BBG381" s="34"/>
      <c r="BBH381" s="34"/>
      <c r="BBI381" s="34"/>
      <c r="BBJ381" s="34"/>
      <c r="BBK381" s="34"/>
      <c r="BBL381" s="34"/>
      <c r="BBM381" s="34"/>
      <c r="BBN381" s="34"/>
      <c r="BBO381" s="34"/>
      <c r="BBP381" s="34"/>
      <c r="BBQ381" s="34"/>
      <c r="BBR381" s="34"/>
      <c r="BBS381" s="34"/>
      <c r="BBT381" s="34"/>
      <c r="BBU381" s="34"/>
      <c r="BBV381" s="34"/>
      <c r="BBW381" s="34"/>
      <c r="BBX381" s="34"/>
      <c r="BBY381" s="34"/>
      <c r="BBZ381" s="34"/>
      <c r="BCA381" s="34"/>
      <c r="BCB381" s="34"/>
      <c r="BCC381" s="34"/>
      <c r="BCD381" s="34"/>
      <c r="BCE381" s="34"/>
      <c r="BCF381" s="34"/>
      <c r="BCG381" s="34"/>
      <c r="BCH381" s="34"/>
      <c r="BCI381" s="34"/>
      <c r="BCJ381" s="34"/>
      <c r="BCK381" s="34"/>
      <c r="BCL381" s="34"/>
      <c r="BCM381" s="34"/>
      <c r="BCN381" s="34"/>
      <c r="BCO381" s="34"/>
      <c r="BCP381" s="34"/>
      <c r="BCQ381" s="34"/>
      <c r="BCR381" s="34"/>
      <c r="BCS381" s="34"/>
      <c r="BCT381" s="34"/>
      <c r="BCU381" s="34"/>
      <c r="BCV381" s="34"/>
      <c r="BCW381" s="34"/>
      <c r="BCX381" s="34"/>
      <c r="BCY381" s="34"/>
      <c r="BCZ381" s="34"/>
      <c r="BDA381" s="34"/>
      <c r="BDB381" s="34"/>
      <c r="BDC381" s="34"/>
      <c r="BDD381" s="34"/>
      <c r="BDE381" s="34"/>
      <c r="BDF381" s="34"/>
      <c r="BDG381" s="34"/>
      <c r="BDH381" s="34"/>
      <c r="BDI381" s="34"/>
      <c r="BDJ381" s="34"/>
      <c r="BDK381" s="34"/>
      <c r="BDL381" s="34"/>
      <c r="BDM381" s="34"/>
      <c r="BDN381" s="34"/>
      <c r="BDO381" s="34"/>
      <c r="BDP381" s="34"/>
      <c r="BDQ381" s="34"/>
      <c r="BDR381" s="34"/>
      <c r="BDS381" s="34"/>
      <c r="BDT381" s="34"/>
      <c r="BDU381" s="34"/>
      <c r="BDV381" s="34"/>
      <c r="BDW381" s="34"/>
      <c r="BDX381" s="34"/>
      <c r="BDY381" s="34"/>
      <c r="BDZ381" s="34"/>
      <c r="BEA381" s="34"/>
      <c r="BEB381" s="34"/>
      <c r="BEC381" s="34"/>
      <c r="BED381" s="34"/>
      <c r="BEE381" s="34"/>
      <c r="BEF381" s="34"/>
      <c r="BEG381" s="34"/>
      <c r="BEH381" s="34"/>
      <c r="BEI381" s="34"/>
      <c r="BEJ381" s="34"/>
      <c r="BEK381" s="34"/>
      <c r="BEL381" s="34"/>
      <c r="BEM381" s="34"/>
      <c r="BEN381" s="34"/>
      <c r="BEO381" s="34"/>
      <c r="BEP381" s="34"/>
      <c r="BEQ381" s="34"/>
      <c r="BER381" s="34"/>
      <c r="BES381" s="34"/>
      <c r="BET381" s="34"/>
      <c r="BEU381" s="34"/>
      <c r="BEV381" s="34"/>
      <c r="BEW381" s="34"/>
      <c r="BEX381" s="34"/>
      <c r="BEY381" s="34"/>
      <c r="BEZ381" s="34"/>
      <c r="BFA381" s="34"/>
      <c r="BFB381" s="34"/>
      <c r="BFC381" s="34"/>
      <c r="BFD381" s="34"/>
      <c r="BFE381" s="34"/>
      <c r="BFF381" s="34"/>
      <c r="BFG381" s="34"/>
      <c r="BFH381" s="34"/>
      <c r="BFI381" s="34"/>
      <c r="BFJ381" s="34"/>
      <c r="BFK381" s="34"/>
      <c r="BFL381" s="34"/>
      <c r="BFM381" s="34"/>
      <c r="BFN381" s="34"/>
      <c r="BFO381" s="34"/>
      <c r="BFP381" s="34"/>
      <c r="BFQ381" s="34"/>
      <c r="BFR381" s="34"/>
      <c r="BFS381" s="34"/>
      <c r="BFT381" s="34"/>
      <c r="BFU381" s="34"/>
      <c r="BFV381" s="34"/>
      <c r="BFW381" s="34"/>
      <c r="BFX381" s="34"/>
      <c r="BFY381" s="34"/>
      <c r="BFZ381" s="34"/>
      <c r="BGA381" s="34"/>
      <c r="BGB381" s="34"/>
      <c r="BGC381" s="34"/>
      <c r="BGD381" s="34"/>
      <c r="BGE381" s="34"/>
      <c r="BGF381" s="34"/>
      <c r="BGG381" s="34"/>
      <c r="BGH381" s="34"/>
      <c r="BGI381" s="34"/>
      <c r="BGJ381" s="34"/>
      <c r="BGK381" s="34"/>
      <c r="BGL381" s="34"/>
      <c r="BGM381" s="34"/>
      <c r="BGN381" s="34"/>
      <c r="BGO381" s="34"/>
      <c r="BGP381" s="34"/>
      <c r="BGQ381" s="34"/>
      <c r="BGR381" s="34"/>
      <c r="BGS381" s="34"/>
      <c r="BGT381" s="34"/>
      <c r="BGU381" s="34"/>
      <c r="BGV381" s="34"/>
      <c r="BGW381" s="34"/>
      <c r="BGX381" s="34"/>
      <c r="BGY381" s="34"/>
      <c r="BGZ381" s="34"/>
      <c r="BHA381" s="34"/>
      <c r="BHB381" s="34"/>
      <c r="BHC381" s="34"/>
      <c r="BHD381" s="34"/>
      <c r="BHE381" s="34"/>
      <c r="BHF381" s="34"/>
      <c r="BHG381" s="34"/>
      <c r="BHH381" s="34"/>
      <c r="BHI381" s="34"/>
      <c r="BHJ381" s="34"/>
      <c r="BHK381" s="34"/>
      <c r="BHL381" s="34"/>
      <c r="BHM381" s="34"/>
      <c r="BHN381" s="34"/>
      <c r="BHO381" s="34"/>
      <c r="BHP381" s="34"/>
      <c r="BHQ381" s="34"/>
      <c r="BHR381" s="34"/>
      <c r="BHS381" s="34"/>
      <c r="BHT381" s="34"/>
      <c r="BHU381" s="34"/>
      <c r="BHV381" s="34"/>
      <c r="BHW381" s="34"/>
      <c r="BHX381" s="34"/>
      <c r="BHY381" s="34"/>
      <c r="BHZ381" s="34"/>
      <c r="BIA381" s="34"/>
      <c r="BIB381" s="34"/>
      <c r="BIC381" s="34"/>
      <c r="BID381" s="34"/>
      <c r="BIE381" s="34"/>
      <c r="BIF381" s="34"/>
      <c r="BIG381" s="34"/>
      <c r="BIH381" s="34"/>
      <c r="BII381" s="34"/>
      <c r="BIJ381" s="34"/>
      <c r="BIK381" s="34"/>
      <c r="BIL381" s="34"/>
      <c r="BIM381" s="34"/>
      <c r="BIN381" s="34"/>
      <c r="BIO381" s="34"/>
      <c r="BIP381" s="34"/>
      <c r="BIQ381" s="34"/>
      <c r="BIR381" s="34"/>
      <c r="BIS381" s="34"/>
      <c r="BIT381" s="34"/>
      <c r="BIU381" s="34"/>
      <c r="BIV381" s="34"/>
      <c r="BIW381" s="34"/>
      <c r="BIX381" s="34"/>
      <c r="BIY381" s="34"/>
      <c r="BIZ381" s="34"/>
      <c r="BJA381" s="34"/>
      <c r="BJB381" s="34"/>
      <c r="BJC381" s="34"/>
      <c r="BJD381" s="34"/>
      <c r="BJE381" s="34"/>
      <c r="BJF381" s="34"/>
      <c r="BJG381" s="34"/>
      <c r="BJH381" s="34"/>
      <c r="BJI381" s="34"/>
      <c r="BJJ381" s="34"/>
      <c r="BJK381" s="34"/>
      <c r="BJL381" s="34"/>
      <c r="BJM381" s="34"/>
      <c r="BJN381" s="34"/>
      <c r="BJO381" s="34"/>
      <c r="BJP381" s="34"/>
      <c r="BJQ381" s="34"/>
      <c r="BJR381" s="34"/>
      <c r="BJS381" s="34"/>
      <c r="BJT381" s="34"/>
      <c r="BJU381" s="34"/>
      <c r="BJV381" s="34"/>
      <c r="BJW381" s="34"/>
      <c r="BJX381" s="34"/>
      <c r="BJY381" s="34"/>
      <c r="BJZ381" s="34"/>
      <c r="BKA381" s="34"/>
      <c r="BKB381" s="34"/>
      <c r="BKC381" s="34"/>
      <c r="BKD381" s="34"/>
      <c r="BKE381" s="34"/>
      <c r="BKF381" s="34"/>
      <c r="BKG381" s="34"/>
      <c r="BKH381" s="34"/>
      <c r="BKI381" s="34"/>
      <c r="BKJ381" s="34"/>
      <c r="BKK381" s="34"/>
      <c r="BKL381" s="34"/>
      <c r="BKM381" s="34"/>
      <c r="BKN381" s="34"/>
      <c r="BKO381" s="34"/>
      <c r="BKP381" s="34"/>
      <c r="BKQ381" s="34"/>
      <c r="BKR381" s="34"/>
      <c r="BKS381" s="34"/>
      <c r="BKT381" s="34"/>
      <c r="BKU381" s="34"/>
      <c r="BKV381" s="34"/>
      <c r="BKW381" s="34"/>
      <c r="BKX381" s="34"/>
      <c r="BKY381" s="34"/>
      <c r="BKZ381" s="34"/>
      <c r="BLA381" s="34"/>
      <c r="BLB381" s="34"/>
      <c r="BLC381" s="34"/>
      <c r="BLD381" s="34"/>
      <c r="BLE381" s="34"/>
      <c r="BLF381" s="34"/>
      <c r="BLG381" s="34"/>
      <c r="BLH381" s="34"/>
      <c r="BLI381" s="34"/>
      <c r="BLJ381" s="34"/>
      <c r="BLK381" s="34"/>
      <c r="BLL381" s="34"/>
      <c r="BLM381" s="34"/>
      <c r="BLN381" s="34"/>
      <c r="BLO381" s="34"/>
      <c r="BLP381" s="34"/>
      <c r="BLQ381" s="34"/>
      <c r="BLR381" s="34"/>
      <c r="BLS381" s="34"/>
      <c r="BLT381" s="34"/>
      <c r="BLU381" s="34"/>
      <c r="BLV381" s="34"/>
      <c r="BLW381" s="34"/>
      <c r="BLX381" s="34"/>
      <c r="BLY381" s="34"/>
      <c r="BLZ381" s="34"/>
      <c r="BMA381" s="34"/>
      <c r="BMB381" s="34"/>
      <c r="BMC381" s="34"/>
      <c r="BMD381" s="34"/>
      <c r="BME381" s="34"/>
      <c r="BMF381" s="34"/>
      <c r="BMG381" s="34"/>
      <c r="BMH381" s="34"/>
      <c r="BMI381" s="34"/>
      <c r="BMJ381" s="34"/>
      <c r="BMK381" s="34"/>
      <c r="BML381" s="34"/>
      <c r="BMM381" s="34"/>
      <c r="BMN381" s="34"/>
      <c r="BMO381" s="34"/>
      <c r="BMP381" s="34"/>
      <c r="BMQ381" s="34"/>
      <c r="BMR381" s="34"/>
      <c r="BMS381" s="34"/>
      <c r="BMT381" s="34"/>
      <c r="BMU381" s="34"/>
      <c r="BMV381" s="34"/>
      <c r="BMW381" s="34"/>
      <c r="BMX381" s="34"/>
      <c r="BMY381" s="34"/>
      <c r="BMZ381" s="34"/>
      <c r="BNA381" s="34"/>
      <c r="BNB381" s="34"/>
      <c r="BNC381" s="34"/>
      <c r="BND381" s="34"/>
      <c r="BNE381" s="34"/>
      <c r="BNF381" s="34"/>
      <c r="BNG381" s="34"/>
      <c r="BNH381" s="34"/>
      <c r="BNI381" s="34"/>
      <c r="BNJ381" s="34"/>
      <c r="BNK381" s="34"/>
      <c r="BNL381" s="34"/>
      <c r="BNM381" s="34"/>
      <c r="BNN381" s="34"/>
      <c r="BNO381" s="34"/>
      <c r="BNP381" s="34"/>
      <c r="BNQ381" s="34"/>
      <c r="BNR381" s="34"/>
      <c r="BNS381" s="34"/>
      <c r="BNT381" s="34"/>
      <c r="BNU381" s="34"/>
      <c r="BNV381" s="34"/>
      <c r="BNW381" s="34"/>
      <c r="BNX381" s="34"/>
      <c r="BNY381" s="34"/>
      <c r="BNZ381" s="34"/>
      <c r="BOA381" s="34"/>
      <c r="BOB381" s="34"/>
      <c r="BOC381" s="34"/>
      <c r="BOD381" s="34"/>
      <c r="BOE381" s="34"/>
      <c r="BOF381" s="34"/>
      <c r="BOG381" s="34"/>
      <c r="BOH381" s="34"/>
      <c r="BOI381" s="34"/>
      <c r="BOJ381" s="34"/>
      <c r="BOK381" s="34"/>
      <c r="BOL381" s="34"/>
      <c r="BOM381" s="34"/>
      <c r="BON381" s="34"/>
      <c r="BOO381" s="34"/>
      <c r="BOP381" s="34"/>
      <c r="BOQ381" s="34"/>
      <c r="BOR381" s="34"/>
      <c r="BOS381" s="34"/>
      <c r="BOT381" s="34"/>
      <c r="BOU381" s="34"/>
      <c r="BOV381" s="34"/>
      <c r="BOW381" s="34"/>
      <c r="BOX381" s="34"/>
      <c r="BOY381" s="34"/>
      <c r="BOZ381" s="34"/>
      <c r="BPA381" s="34"/>
      <c r="BPB381" s="34"/>
      <c r="BPC381" s="34"/>
      <c r="BPD381" s="34"/>
      <c r="BPE381" s="34"/>
      <c r="BPF381" s="34"/>
      <c r="BPG381" s="34"/>
      <c r="BPH381" s="34"/>
      <c r="BPI381" s="34"/>
      <c r="BPJ381" s="34"/>
      <c r="BPK381" s="34"/>
      <c r="BPL381" s="34"/>
      <c r="BPM381" s="34"/>
      <c r="BPN381" s="34"/>
      <c r="BPO381" s="34"/>
      <c r="BPP381" s="34"/>
      <c r="BPQ381" s="34"/>
      <c r="BPR381" s="34"/>
      <c r="BPS381" s="34"/>
      <c r="BPT381" s="34"/>
      <c r="BPU381" s="34"/>
      <c r="BPV381" s="34"/>
      <c r="BPW381" s="34"/>
      <c r="BPX381" s="34"/>
      <c r="BPY381" s="34"/>
      <c r="BPZ381" s="34"/>
      <c r="BQA381" s="34"/>
      <c r="BQB381" s="34"/>
      <c r="BQC381" s="34"/>
      <c r="BQD381" s="34"/>
      <c r="BQE381" s="34"/>
      <c r="BQF381" s="34"/>
      <c r="BQG381" s="34"/>
      <c r="BQH381" s="34"/>
      <c r="BQI381" s="34"/>
      <c r="BQJ381" s="34"/>
      <c r="BQK381" s="34"/>
      <c r="BQL381" s="34"/>
      <c r="BQM381" s="34"/>
      <c r="BQN381" s="34"/>
      <c r="BQO381" s="34"/>
      <c r="BQP381" s="34"/>
      <c r="BQQ381" s="34"/>
      <c r="BQR381" s="34"/>
      <c r="BQS381" s="34"/>
      <c r="BQT381" s="34"/>
      <c r="BQU381" s="34"/>
      <c r="BQV381" s="34"/>
      <c r="BQW381" s="34"/>
      <c r="BQX381" s="34"/>
      <c r="BQY381" s="34"/>
      <c r="BQZ381" s="34"/>
      <c r="BRA381" s="34"/>
      <c r="BRB381" s="34"/>
      <c r="BRC381" s="34"/>
      <c r="BRD381" s="34"/>
      <c r="BRE381" s="34"/>
      <c r="BRF381" s="34"/>
      <c r="BRG381" s="34"/>
      <c r="BRH381" s="34"/>
      <c r="BRI381" s="34"/>
      <c r="BRJ381" s="34"/>
      <c r="BRK381" s="34"/>
      <c r="BRL381" s="34"/>
      <c r="BRM381" s="34"/>
      <c r="BRN381" s="34"/>
      <c r="BRO381" s="34"/>
      <c r="BRP381" s="34"/>
      <c r="BRQ381" s="34"/>
      <c r="BRR381" s="34"/>
      <c r="BRS381" s="34"/>
      <c r="BRT381" s="34"/>
      <c r="BRU381" s="34"/>
      <c r="BRV381" s="34"/>
      <c r="BRW381" s="34"/>
      <c r="BRX381" s="34"/>
      <c r="BRY381" s="34"/>
      <c r="BRZ381" s="34"/>
      <c r="BSA381" s="34"/>
      <c r="BSB381" s="34"/>
      <c r="BSC381" s="34"/>
      <c r="BSD381" s="34"/>
      <c r="BSE381" s="34"/>
      <c r="BSF381" s="34"/>
      <c r="BSG381" s="34"/>
      <c r="BSH381" s="34"/>
      <c r="BSI381" s="34"/>
      <c r="BSJ381" s="34"/>
      <c r="BSK381" s="34"/>
      <c r="BSL381" s="34"/>
      <c r="BSM381" s="34"/>
      <c r="BSN381" s="34"/>
      <c r="BSO381" s="34"/>
      <c r="BSP381" s="34"/>
      <c r="BSQ381" s="34"/>
      <c r="BSR381" s="34"/>
      <c r="BSS381" s="34"/>
      <c r="BST381" s="34"/>
      <c r="BSU381" s="34"/>
      <c r="BSV381" s="34"/>
      <c r="BSW381" s="34"/>
      <c r="BSX381" s="34"/>
      <c r="BSY381" s="34"/>
      <c r="BSZ381" s="34"/>
      <c r="BTA381" s="34"/>
      <c r="BTB381" s="34"/>
      <c r="BTC381" s="34"/>
      <c r="BTD381" s="34"/>
      <c r="BTE381" s="34"/>
      <c r="BTF381" s="34"/>
      <c r="BTG381" s="34"/>
      <c r="BTH381" s="34"/>
      <c r="BTI381" s="34"/>
      <c r="BTJ381" s="34"/>
      <c r="BTK381" s="34"/>
      <c r="BTL381" s="34"/>
      <c r="BTM381" s="34"/>
      <c r="BTN381" s="34"/>
      <c r="BTO381" s="34"/>
      <c r="BTP381" s="34"/>
      <c r="BTQ381" s="34"/>
      <c r="BTR381" s="34"/>
      <c r="BTS381" s="34"/>
      <c r="BTT381" s="34"/>
      <c r="BTU381" s="34"/>
      <c r="BTV381" s="34"/>
      <c r="BTW381" s="34"/>
      <c r="BTX381" s="34"/>
      <c r="BTY381" s="34"/>
      <c r="BTZ381" s="34"/>
      <c r="BUA381" s="34"/>
      <c r="BUB381" s="34"/>
      <c r="BUC381" s="34"/>
      <c r="BUD381" s="34"/>
      <c r="BUE381" s="34"/>
      <c r="BUF381" s="34"/>
      <c r="BUG381" s="34"/>
      <c r="BUH381" s="34"/>
      <c r="BUI381" s="34"/>
      <c r="BUJ381" s="34"/>
      <c r="BUK381" s="34"/>
      <c r="BUL381" s="34"/>
      <c r="BUM381" s="34"/>
      <c r="BUN381" s="34"/>
      <c r="BUO381" s="34"/>
      <c r="BUP381" s="34"/>
      <c r="BUQ381" s="34"/>
      <c r="BUR381" s="34"/>
      <c r="BUS381" s="34"/>
      <c r="BUT381" s="34"/>
      <c r="BUU381" s="34"/>
      <c r="BUV381" s="34"/>
      <c r="BUW381" s="34"/>
      <c r="BUX381" s="34"/>
      <c r="BUY381" s="34"/>
      <c r="BUZ381" s="34"/>
      <c r="BVA381" s="34"/>
      <c r="BVB381" s="34"/>
      <c r="BVC381" s="34"/>
      <c r="BVD381" s="34"/>
      <c r="BVE381" s="34"/>
      <c r="BVF381" s="34"/>
      <c r="BVG381" s="34"/>
      <c r="BVH381" s="34"/>
      <c r="BVI381" s="34"/>
      <c r="BVJ381" s="34"/>
      <c r="BVK381" s="34"/>
      <c r="BVL381" s="34"/>
      <c r="BVM381" s="34"/>
      <c r="BVN381" s="34"/>
      <c r="BVO381" s="34"/>
      <c r="BVP381" s="34"/>
      <c r="BVQ381" s="34"/>
      <c r="BVR381" s="34"/>
      <c r="BVS381" s="34"/>
      <c r="BVT381" s="34"/>
      <c r="BVU381" s="34"/>
      <c r="BVV381" s="34"/>
      <c r="BVW381" s="34"/>
      <c r="BVX381" s="34"/>
      <c r="BVY381" s="34"/>
      <c r="BVZ381" s="34"/>
      <c r="BWA381" s="34"/>
      <c r="BWB381" s="34"/>
      <c r="BWC381" s="34"/>
      <c r="BWD381" s="34"/>
      <c r="BWE381" s="34"/>
      <c r="BWF381" s="34"/>
      <c r="BWG381" s="34"/>
      <c r="BWH381" s="34"/>
      <c r="BWI381" s="34"/>
      <c r="BWJ381" s="34"/>
      <c r="BWK381" s="34"/>
      <c r="BWL381" s="34"/>
      <c r="BWM381" s="34"/>
      <c r="BWN381" s="34"/>
      <c r="BWO381" s="34"/>
      <c r="BWP381" s="34"/>
      <c r="BWQ381" s="34"/>
      <c r="BWR381" s="34"/>
      <c r="BWS381" s="34"/>
      <c r="BWT381" s="34"/>
      <c r="BWU381" s="34"/>
      <c r="BWV381" s="34"/>
      <c r="BWW381" s="34"/>
      <c r="BWX381" s="34"/>
      <c r="BWY381" s="34"/>
      <c r="BWZ381" s="34"/>
      <c r="BXA381" s="34"/>
      <c r="BXB381" s="34"/>
      <c r="BXC381" s="34"/>
      <c r="BXD381" s="34"/>
      <c r="BXE381" s="34"/>
      <c r="BXF381" s="34"/>
      <c r="BXG381" s="34"/>
      <c r="BXH381" s="34"/>
      <c r="BXI381" s="34"/>
      <c r="BXJ381" s="34"/>
      <c r="BXK381" s="34"/>
      <c r="BXL381" s="34"/>
      <c r="BXM381" s="34"/>
      <c r="BXN381" s="34"/>
      <c r="BXO381" s="34"/>
      <c r="BXP381" s="34"/>
      <c r="BXQ381" s="34"/>
      <c r="BXR381" s="34"/>
      <c r="BXS381" s="34"/>
      <c r="BXT381" s="34"/>
      <c r="BXU381" s="34"/>
      <c r="BXV381" s="34"/>
      <c r="BXW381" s="34"/>
      <c r="BXX381" s="34"/>
      <c r="BXY381" s="34"/>
      <c r="BXZ381" s="34"/>
      <c r="BYA381" s="34"/>
      <c r="BYB381" s="34"/>
      <c r="BYC381" s="34"/>
      <c r="BYD381" s="34"/>
      <c r="BYE381" s="34"/>
      <c r="BYF381" s="34"/>
      <c r="BYG381" s="34"/>
      <c r="BYH381" s="34"/>
      <c r="BYI381" s="34"/>
      <c r="BYJ381" s="34"/>
      <c r="BYK381" s="34"/>
      <c r="BYL381" s="34"/>
      <c r="BYM381" s="34"/>
      <c r="BYN381" s="34"/>
      <c r="BYO381" s="34"/>
      <c r="BYP381" s="34"/>
      <c r="BYQ381" s="34"/>
      <c r="BYR381" s="34"/>
      <c r="BYS381" s="34"/>
      <c r="BYT381" s="34"/>
      <c r="BYU381" s="34"/>
      <c r="BYV381" s="34"/>
      <c r="BYW381" s="34"/>
      <c r="BYX381" s="34"/>
      <c r="BYY381" s="34"/>
      <c r="BYZ381" s="34"/>
      <c r="BZA381" s="34"/>
      <c r="BZB381" s="34"/>
      <c r="BZC381" s="34"/>
      <c r="BZD381" s="34"/>
      <c r="BZE381" s="34"/>
      <c r="BZF381" s="34"/>
      <c r="BZG381" s="34"/>
      <c r="BZH381" s="34"/>
      <c r="BZI381" s="34"/>
      <c r="BZJ381" s="34"/>
      <c r="BZK381" s="34"/>
      <c r="BZL381" s="34"/>
      <c r="BZM381" s="34"/>
      <c r="BZN381" s="34"/>
      <c r="BZO381" s="34"/>
      <c r="BZP381" s="34"/>
      <c r="BZQ381" s="34"/>
      <c r="BZR381" s="34"/>
      <c r="BZS381" s="34"/>
      <c r="BZT381" s="34"/>
      <c r="BZU381" s="34"/>
      <c r="BZV381" s="34"/>
      <c r="BZW381" s="34"/>
      <c r="BZX381" s="34"/>
      <c r="BZY381" s="34"/>
      <c r="BZZ381" s="34"/>
      <c r="CAA381" s="34"/>
      <c r="CAB381" s="34"/>
      <c r="CAC381" s="34"/>
      <c r="CAD381" s="34"/>
      <c r="CAE381" s="34"/>
      <c r="CAF381" s="34"/>
      <c r="CAG381" s="34"/>
      <c r="CAH381" s="34"/>
      <c r="CAI381" s="34"/>
      <c r="CAJ381" s="34"/>
      <c r="CAK381" s="34"/>
      <c r="CAL381" s="34"/>
      <c r="CAM381" s="34"/>
      <c r="CAN381" s="34"/>
      <c r="CAO381" s="34"/>
      <c r="CAP381" s="34"/>
      <c r="CAQ381" s="34"/>
      <c r="CAR381" s="34"/>
      <c r="CAS381" s="34"/>
      <c r="CAT381" s="34"/>
      <c r="CAU381" s="34"/>
      <c r="CAV381" s="34"/>
      <c r="CAW381" s="34"/>
      <c r="CAX381" s="34"/>
      <c r="CAY381" s="34"/>
      <c r="CAZ381" s="34"/>
      <c r="CBA381" s="34"/>
      <c r="CBB381" s="34"/>
      <c r="CBC381" s="34"/>
      <c r="CBD381" s="34"/>
      <c r="CBE381" s="34"/>
      <c r="CBF381" s="34"/>
      <c r="CBG381" s="34"/>
      <c r="CBH381" s="34"/>
      <c r="CBI381" s="34"/>
      <c r="CBJ381" s="34"/>
      <c r="CBK381" s="34"/>
      <c r="CBL381" s="34"/>
      <c r="CBM381" s="34"/>
      <c r="CBN381" s="34"/>
      <c r="CBO381" s="34"/>
      <c r="CBP381" s="34"/>
      <c r="CBQ381" s="34"/>
      <c r="CBR381" s="34"/>
      <c r="CBS381" s="34"/>
      <c r="CBT381" s="34"/>
      <c r="CBU381" s="34"/>
      <c r="CBV381" s="34"/>
      <c r="CBW381" s="34"/>
      <c r="CBX381" s="34"/>
      <c r="CBY381" s="34"/>
      <c r="CBZ381" s="34"/>
      <c r="CCA381" s="34"/>
      <c r="CCB381" s="34"/>
      <c r="CCC381" s="34"/>
      <c r="CCD381" s="34"/>
      <c r="CCE381" s="34"/>
      <c r="CCF381" s="34"/>
      <c r="CCG381" s="34"/>
      <c r="CCH381" s="34"/>
      <c r="CCI381" s="34"/>
      <c r="CCJ381" s="34"/>
      <c r="CCK381" s="34"/>
      <c r="CCL381" s="34"/>
      <c r="CCM381" s="34"/>
      <c r="CCN381" s="34"/>
      <c r="CCO381" s="34"/>
      <c r="CCP381" s="34"/>
      <c r="CCQ381" s="34"/>
      <c r="CCR381" s="34"/>
      <c r="CCS381" s="34"/>
      <c r="CCT381" s="34"/>
      <c r="CCU381" s="34"/>
      <c r="CCV381" s="34"/>
      <c r="CCW381" s="34"/>
      <c r="CCX381" s="34"/>
      <c r="CCY381" s="34"/>
      <c r="CCZ381" s="34"/>
      <c r="CDA381" s="34"/>
      <c r="CDB381" s="34"/>
      <c r="CDC381" s="34"/>
      <c r="CDD381" s="34"/>
      <c r="CDE381" s="34"/>
      <c r="CDF381" s="34"/>
      <c r="CDG381" s="34"/>
      <c r="CDH381" s="34"/>
      <c r="CDI381" s="34"/>
      <c r="CDJ381" s="34"/>
      <c r="CDK381" s="34"/>
      <c r="CDL381" s="34"/>
      <c r="CDM381" s="34"/>
      <c r="CDN381" s="34"/>
      <c r="CDO381" s="34"/>
      <c r="CDP381" s="34"/>
      <c r="CDQ381" s="34"/>
      <c r="CDR381" s="34"/>
      <c r="CDS381" s="34"/>
      <c r="CDT381" s="34"/>
      <c r="CDU381" s="34"/>
      <c r="CDV381" s="34"/>
      <c r="CDW381" s="34"/>
      <c r="CDX381" s="34"/>
      <c r="CDY381" s="34"/>
      <c r="CDZ381" s="34"/>
      <c r="CEA381" s="34"/>
      <c r="CEB381" s="34"/>
      <c r="CEC381" s="34"/>
      <c r="CED381" s="34"/>
      <c r="CEE381" s="34"/>
      <c r="CEF381" s="34"/>
      <c r="CEG381" s="34"/>
      <c r="CEH381" s="34"/>
      <c r="CEI381" s="34"/>
      <c r="CEJ381" s="34"/>
      <c r="CEK381" s="34"/>
      <c r="CEL381" s="34"/>
      <c r="CEM381" s="34"/>
      <c r="CEN381" s="34"/>
      <c r="CEO381" s="34"/>
      <c r="CEP381" s="34"/>
      <c r="CEQ381" s="34"/>
      <c r="CER381" s="34"/>
      <c r="CES381" s="34"/>
      <c r="CET381" s="34"/>
      <c r="CEU381" s="34"/>
      <c r="CEV381" s="34"/>
      <c r="CEW381" s="34"/>
      <c r="CEX381" s="34"/>
      <c r="CEY381" s="34"/>
      <c r="CEZ381" s="34"/>
      <c r="CFA381" s="34"/>
      <c r="CFB381" s="34"/>
      <c r="CFC381" s="34"/>
      <c r="CFD381" s="34"/>
      <c r="CFE381" s="34"/>
      <c r="CFF381" s="34"/>
      <c r="CFG381" s="34"/>
      <c r="CFH381" s="34"/>
      <c r="CFI381" s="34"/>
      <c r="CFJ381" s="34"/>
      <c r="CFK381" s="34"/>
      <c r="CFL381" s="34"/>
      <c r="CFM381" s="34"/>
      <c r="CFN381" s="34"/>
      <c r="CFO381" s="34"/>
      <c r="CFP381" s="34"/>
      <c r="CFQ381" s="34"/>
      <c r="CFR381" s="34"/>
      <c r="CFS381" s="34"/>
      <c r="CFT381" s="34"/>
      <c r="CFU381" s="34"/>
      <c r="CFV381" s="34"/>
      <c r="CFW381" s="34"/>
      <c r="CFX381" s="34"/>
      <c r="CFY381" s="34"/>
      <c r="CFZ381" s="34"/>
      <c r="CGA381" s="34"/>
      <c r="CGB381" s="34"/>
      <c r="CGC381" s="34"/>
      <c r="CGD381" s="34"/>
      <c r="CGE381" s="34"/>
      <c r="CGF381" s="34"/>
      <c r="CGG381" s="34"/>
      <c r="CGH381" s="34"/>
      <c r="CGI381" s="34"/>
      <c r="CGJ381" s="34"/>
      <c r="CGK381" s="34"/>
      <c r="CGL381" s="34"/>
      <c r="CGM381" s="34"/>
      <c r="CGN381" s="34"/>
      <c r="CGO381" s="34"/>
      <c r="CGP381" s="34"/>
      <c r="CGQ381" s="34"/>
      <c r="CGR381" s="34"/>
      <c r="CGS381" s="34"/>
      <c r="CGT381" s="34"/>
      <c r="CGU381" s="34"/>
      <c r="CGV381" s="34"/>
      <c r="CGW381" s="34"/>
      <c r="CGX381" s="34"/>
      <c r="CGY381" s="34"/>
      <c r="CGZ381" s="34"/>
      <c r="CHA381" s="34"/>
      <c r="CHB381" s="34"/>
      <c r="CHC381" s="34"/>
      <c r="CHD381" s="34"/>
      <c r="CHE381" s="34"/>
      <c r="CHF381" s="34"/>
      <c r="CHG381" s="34"/>
      <c r="CHH381" s="34"/>
      <c r="CHI381" s="34"/>
      <c r="CHJ381" s="34"/>
      <c r="CHK381" s="34"/>
      <c r="CHL381" s="34"/>
      <c r="CHM381" s="34"/>
      <c r="CHN381" s="34"/>
      <c r="CHO381" s="34"/>
      <c r="CHP381" s="34"/>
      <c r="CHQ381" s="34"/>
      <c r="CHR381" s="34"/>
      <c r="CHS381" s="34"/>
      <c r="CHT381" s="34"/>
      <c r="CHU381" s="34"/>
      <c r="CHV381" s="34"/>
      <c r="CHW381" s="34"/>
      <c r="CHX381" s="34"/>
      <c r="CHY381" s="34"/>
      <c r="CHZ381" s="34"/>
      <c r="CIA381" s="34"/>
      <c r="CIB381" s="34"/>
      <c r="CIC381" s="34"/>
      <c r="CID381" s="34"/>
      <c r="CIE381" s="34"/>
      <c r="CIF381" s="34"/>
      <c r="CIG381" s="34"/>
      <c r="CIH381" s="34"/>
      <c r="CII381" s="34"/>
      <c r="CIJ381" s="34"/>
      <c r="CIK381" s="34"/>
      <c r="CIL381" s="34"/>
      <c r="CIM381" s="34"/>
      <c r="CIN381" s="34"/>
      <c r="CIO381" s="34"/>
      <c r="CIP381" s="34"/>
      <c r="CIQ381" s="34"/>
      <c r="CIR381" s="34"/>
      <c r="CIS381" s="34"/>
      <c r="CIT381" s="34"/>
      <c r="CIU381" s="34"/>
      <c r="CIV381" s="34"/>
      <c r="CIW381" s="34"/>
      <c r="CIX381" s="34"/>
      <c r="CIY381" s="34"/>
      <c r="CIZ381" s="34"/>
      <c r="CJA381" s="34"/>
      <c r="CJB381" s="34"/>
      <c r="CJC381" s="34"/>
      <c r="CJD381" s="34"/>
      <c r="CJE381" s="34"/>
      <c r="CJF381" s="34"/>
      <c r="CJG381" s="34"/>
      <c r="CJH381" s="34"/>
      <c r="CJI381" s="34"/>
      <c r="CJJ381" s="34"/>
      <c r="CJK381" s="34"/>
      <c r="CJL381" s="34"/>
      <c r="CJM381" s="34"/>
      <c r="CJN381" s="34"/>
      <c r="CJO381" s="34"/>
      <c r="CJP381" s="34"/>
      <c r="CJQ381" s="34"/>
      <c r="CJR381" s="34"/>
      <c r="CJS381" s="34"/>
      <c r="CJT381" s="34"/>
      <c r="CJU381" s="34"/>
      <c r="CJV381" s="34"/>
      <c r="CJW381" s="34"/>
      <c r="CJX381" s="34"/>
      <c r="CJY381" s="34"/>
      <c r="CJZ381" s="34"/>
      <c r="CKA381" s="34"/>
      <c r="CKB381" s="34"/>
      <c r="CKC381" s="34"/>
      <c r="CKD381" s="34"/>
      <c r="CKE381" s="34"/>
      <c r="CKF381" s="34"/>
      <c r="CKG381" s="34"/>
      <c r="CKH381" s="34"/>
      <c r="CKI381" s="34"/>
      <c r="CKJ381" s="34"/>
      <c r="CKK381" s="34"/>
      <c r="CKL381" s="34"/>
      <c r="CKM381" s="34"/>
      <c r="CKN381" s="34"/>
      <c r="CKO381" s="34"/>
      <c r="CKP381" s="34"/>
      <c r="CKQ381" s="34"/>
      <c r="CKR381" s="34"/>
      <c r="CKS381" s="34"/>
      <c r="CKT381" s="34"/>
      <c r="CKU381" s="34"/>
      <c r="CKV381" s="34"/>
      <c r="CKW381" s="34"/>
      <c r="CKX381" s="34"/>
      <c r="CKY381" s="34"/>
      <c r="CKZ381" s="34"/>
      <c r="CLA381" s="34"/>
      <c r="CLB381" s="34"/>
      <c r="CLC381" s="34"/>
      <c r="CLD381" s="34"/>
      <c r="CLE381" s="34"/>
      <c r="CLF381" s="34"/>
      <c r="CLG381" s="34"/>
      <c r="CLH381" s="34"/>
      <c r="CLI381" s="34"/>
      <c r="CLJ381" s="34"/>
      <c r="CLK381" s="34"/>
      <c r="CLL381" s="34"/>
      <c r="CLM381" s="34"/>
      <c r="CLN381" s="34"/>
      <c r="CLO381" s="34"/>
      <c r="CLP381" s="34"/>
      <c r="CLQ381" s="34"/>
      <c r="CLR381" s="34"/>
      <c r="CLS381" s="34"/>
      <c r="CLT381" s="34"/>
      <c r="CLU381" s="34"/>
      <c r="CLV381" s="34"/>
      <c r="CLW381" s="34"/>
      <c r="CLX381" s="34"/>
      <c r="CLY381" s="34"/>
      <c r="CLZ381" s="34"/>
      <c r="CMA381" s="34"/>
      <c r="CMB381" s="34"/>
      <c r="CMC381" s="34"/>
      <c r="CMD381" s="34"/>
      <c r="CME381" s="34"/>
      <c r="CMF381" s="34"/>
      <c r="CMG381" s="34"/>
      <c r="CMH381" s="34"/>
      <c r="CMI381" s="34"/>
      <c r="CMJ381" s="34"/>
      <c r="CMK381" s="34"/>
      <c r="CML381" s="34"/>
      <c r="CMM381" s="34"/>
      <c r="CMN381" s="34"/>
      <c r="CMO381" s="34"/>
      <c r="CMP381" s="34"/>
      <c r="CMQ381" s="34"/>
      <c r="CMR381" s="34"/>
      <c r="CMS381" s="34"/>
      <c r="CMT381" s="34"/>
      <c r="CMU381" s="34"/>
      <c r="CMV381" s="34"/>
      <c r="CMW381" s="34"/>
      <c r="CMX381" s="34"/>
      <c r="CMY381" s="34"/>
      <c r="CMZ381" s="34"/>
      <c r="CNA381" s="34"/>
      <c r="CNB381" s="34"/>
      <c r="CNC381" s="34"/>
      <c r="CND381" s="34"/>
      <c r="CNE381" s="34"/>
      <c r="CNF381" s="34"/>
      <c r="CNG381" s="34"/>
      <c r="CNH381" s="34"/>
      <c r="CNI381" s="34"/>
      <c r="CNJ381" s="34"/>
      <c r="CNK381" s="34"/>
      <c r="CNL381" s="34"/>
      <c r="CNM381" s="34"/>
      <c r="CNN381" s="34"/>
      <c r="CNO381" s="34"/>
      <c r="CNP381" s="34"/>
      <c r="CNQ381" s="34"/>
      <c r="CNR381" s="34"/>
      <c r="CNS381" s="34"/>
      <c r="CNT381" s="34"/>
      <c r="CNU381" s="34"/>
      <c r="CNV381" s="34"/>
      <c r="CNW381" s="34"/>
      <c r="CNX381" s="34"/>
      <c r="CNY381" s="34"/>
      <c r="CNZ381" s="34"/>
      <c r="COA381" s="34"/>
      <c r="COB381" s="34"/>
      <c r="COC381" s="34"/>
      <c r="COD381" s="34"/>
      <c r="COE381" s="34"/>
      <c r="COF381" s="34"/>
      <c r="COG381" s="34"/>
      <c r="COH381" s="34"/>
      <c r="COI381" s="34"/>
      <c r="COJ381" s="34"/>
      <c r="COK381" s="34"/>
      <c r="COL381" s="34"/>
      <c r="COM381" s="34"/>
      <c r="CON381" s="34"/>
      <c r="COO381" s="34"/>
      <c r="COP381" s="34"/>
      <c r="COQ381" s="34"/>
      <c r="COR381" s="34"/>
      <c r="COS381" s="34"/>
      <c r="COT381" s="34"/>
      <c r="COU381" s="34"/>
      <c r="COV381" s="34"/>
      <c r="COW381" s="34"/>
      <c r="COX381" s="34"/>
      <c r="COY381" s="34"/>
      <c r="COZ381" s="34"/>
      <c r="CPA381" s="34"/>
      <c r="CPB381" s="34"/>
      <c r="CPC381" s="34"/>
      <c r="CPD381" s="34"/>
      <c r="CPE381" s="34"/>
      <c r="CPF381" s="34"/>
      <c r="CPG381" s="34"/>
      <c r="CPH381" s="34"/>
      <c r="CPI381" s="34"/>
      <c r="CPJ381" s="34"/>
      <c r="CPK381" s="34"/>
      <c r="CPL381" s="34"/>
      <c r="CPM381" s="34"/>
      <c r="CPN381" s="34"/>
      <c r="CPO381" s="34"/>
      <c r="CPP381" s="34"/>
      <c r="CPQ381" s="34"/>
      <c r="CPR381" s="34"/>
      <c r="CPS381" s="34"/>
      <c r="CPT381" s="34"/>
      <c r="CPU381" s="34"/>
      <c r="CPV381" s="34"/>
      <c r="CPW381" s="34"/>
      <c r="CPX381" s="34"/>
      <c r="CPY381" s="34"/>
      <c r="CPZ381" s="34"/>
      <c r="CQA381" s="34"/>
      <c r="CQB381" s="34"/>
      <c r="CQC381" s="34"/>
      <c r="CQD381" s="34"/>
      <c r="CQE381" s="34"/>
      <c r="CQF381" s="34"/>
      <c r="CQG381" s="34"/>
      <c r="CQH381" s="34"/>
      <c r="CQI381" s="34"/>
      <c r="CQJ381" s="34"/>
      <c r="CQK381" s="34"/>
      <c r="CQL381" s="34"/>
      <c r="CQM381" s="34"/>
      <c r="CQN381" s="34"/>
      <c r="CQO381" s="34"/>
      <c r="CQP381" s="34"/>
      <c r="CQQ381" s="34"/>
      <c r="CQR381" s="34"/>
      <c r="CQS381" s="34"/>
      <c r="CQT381" s="34"/>
      <c r="CQU381" s="34"/>
      <c r="CQV381" s="34"/>
      <c r="CQW381" s="34"/>
      <c r="CQX381" s="34"/>
      <c r="CQY381" s="34"/>
      <c r="CQZ381" s="34"/>
      <c r="CRA381" s="34"/>
      <c r="CRB381" s="34"/>
      <c r="CRC381" s="34"/>
      <c r="CRD381" s="34"/>
      <c r="CRE381" s="34"/>
      <c r="CRF381" s="34"/>
      <c r="CRG381" s="34"/>
      <c r="CRH381" s="34"/>
      <c r="CRI381" s="34"/>
      <c r="CRJ381" s="34"/>
      <c r="CRK381" s="34"/>
      <c r="CRL381" s="34"/>
      <c r="CRM381" s="34"/>
      <c r="CRN381" s="34"/>
      <c r="CRO381" s="34"/>
      <c r="CRP381" s="34"/>
      <c r="CRQ381" s="34"/>
      <c r="CRR381" s="34"/>
      <c r="CRS381" s="34"/>
      <c r="CRT381" s="34"/>
      <c r="CRU381" s="34"/>
      <c r="CRV381" s="34"/>
      <c r="CRW381" s="34"/>
      <c r="CRX381" s="34"/>
      <c r="CRY381" s="34"/>
      <c r="CRZ381" s="34"/>
      <c r="CSA381" s="34"/>
      <c r="CSB381" s="34"/>
      <c r="CSC381" s="34"/>
      <c r="CSD381" s="34"/>
      <c r="CSE381" s="34"/>
      <c r="CSF381" s="34"/>
      <c r="CSG381" s="34"/>
      <c r="CSH381" s="34"/>
      <c r="CSI381" s="34"/>
      <c r="CSJ381" s="34"/>
      <c r="CSK381" s="34"/>
      <c r="CSL381" s="34"/>
      <c r="CSM381" s="34"/>
      <c r="CSN381" s="34"/>
      <c r="CSO381" s="34"/>
      <c r="CSP381" s="34"/>
      <c r="CSQ381" s="34"/>
      <c r="CSR381" s="34"/>
      <c r="CSS381" s="34"/>
      <c r="CST381" s="34"/>
      <c r="CSU381" s="34"/>
      <c r="CSV381" s="34"/>
      <c r="CSW381" s="34"/>
      <c r="CSX381" s="34"/>
      <c r="CSY381" s="34"/>
      <c r="CSZ381" s="34"/>
      <c r="CTA381" s="34"/>
      <c r="CTB381" s="34"/>
      <c r="CTC381" s="34"/>
      <c r="CTD381" s="34"/>
      <c r="CTE381" s="34"/>
      <c r="CTF381" s="34"/>
      <c r="CTG381" s="34"/>
      <c r="CTH381" s="34"/>
      <c r="CTI381" s="34"/>
      <c r="CTJ381" s="34"/>
      <c r="CTK381" s="34"/>
      <c r="CTL381" s="34"/>
      <c r="CTM381" s="34"/>
      <c r="CTN381" s="34"/>
      <c r="CTO381" s="34"/>
      <c r="CTP381" s="34"/>
      <c r="CTQ381" s="34"/>
      <c r="CTR381" s="34"/>
      <c r="CTS381" s="34"/>
      <c r="CTT381" s="34"/>
      <c r="CTU381" s="34"/>
      <c r="CTV381" s="34"/>
      <c r="CTW381" s="34"/>
      <c r="CTX381" s="34"/>
      <c r="CTY381" s="34"/>
      <c r="CTZ381" s="34"/>
      <c r="CUA381" s="34"/>
      <c r="CUB381" s="34"/>
      <c r="CUC381" s="34"/>
      <c r="CUD381" s="34"/>
      <c r="CUE381" s="34"/>
      <c r="CUF381" s="34"/>
      <c r="CUG381" s="34"/>
      <c r="CUH381" s="34"/>
      <c r="CUI381" s="34"/>
      <c r="CUJ381" s="34"/>
      <c r="CUK381" s="34"/>
      <c r="CUL381" s="34"/>
      <c r="CUM381" s="34"/>
      <c r="CUN381" s="34"/>
      <c r="CUO381" s="34"/>
      <c r="CUP381" s="34"/>
      <c r="CUQ381" s="34"/>
      <c r="CUR381" s="34"/>
      <c r="CUS381" s="34"/>
      <c r="CUT381" s="34"/>
      <c r="CUU381" s="34"/>
      <c r="CUV381" s="34"/>
      <c r="CUW381" s="34"/>
      <c r="CUX381" s="34"/>
      <c r="CUY381" s="34"/>
      <c r="CUZ381" s="34"/>
      <c r="CVA381" s="34"/>
      <c r="CVB381" s="34"/>
      <c r="CVC381" s="34"/>
      <c r="CVD381" s="34"/>
      <c r="CVE381" s="34"/>
      <c r="CVF381" s="34"/>
      <c r="CVG381" s="34"/>
      <c r="CVH381" s="34"/>
      <c r="CVI381" s="34"/>
      <c r="CVJ381" s="34"/>
      <c r="CVK381" s="34"/>
      <c r="CVL381" s="34"/>
      <c r="CVM381" s="34"/>
      <c r="CVN381" s="34"/>
      <c r="CVO381" s="34"/>
      <c r="CVP381" s="34"/>
      <c r="CVQ381" s="34"/>
      <c r="CVR381" s="34"/>
      <c r="CVS381" s="34"/>
      <c r="CVT381" s="34"/>
      <c r="CVU381" s="34"/>
      <c r="CVV381" s="34"/>
      <c r="CVW381" s="34"/>
      <c r="CVX381" s="34"/>
      <c r="CVY381" s="34"/>
      <c r="CVZ381" s="34"/>
      <c r="CWA381" s="34"/>
      <c r="CWB381" s="34"/>
      <c r="CWC381" s="34"/>
      <c r="CWD381" s="34"/>
      <c r="CWE381" s="34"/>
      <c r="CWF381" s="34"/>
      <c r="CWG381" s="34"/>
      <c r="CWH381" s="34"/>
      <c r="CWI381" s="34"/>
      <c r="CWJ381" s="34"/>
      <c r="CWK381" s="34"/>
      <c r="CWL381" s="34"/>
      <c r="CWM381" s="34"/>
      <c r="CWN381" s="34"/>
      <c r="CWO381" s="34"/>
      <c r="CWP381" s="34"/>
      <c r="CWQ381" s="34"/>
      <c r="CWR381" s="34"/>
      <c r="CWS381" s="34"/>
      <c r="CWT381" s="34"/>
      <c r="CWU381" s="34"/>
      <c r="CWV381" s="34"/>
      <c r="CWW381" s="34"/>
      <c r="CWX381" s="34"/>
      <c r="CWY381" s="34"/>
      <c r="CWZ381" s="34"/>
      <c r="CXA381" s="34"/>
      <c r="CXB381" s="34"/>
      <c r="CXC381" s="34"/>
      <c r="CXD381" s="34"/>
      <c r="CXE381" s="34"/>
      <c r="CXF381" s="34"/>
      <c r="CXG381" s="34"/>
      <c r="CXH381" s="34"/>
      <c r="CXI381" s="34"/>
      <c r="CXJ381" s="34"/>
      <c r="CXK381" s="34"/>
      <c r="CXL381" s="34"/>
      <c r="CXM381" s="34"/>
      <c r="CXN381" s="34"/>
      <c r="CXO381" s="34"/>
      <c r="CXP381" s="34"/>
      <c r="CXQ381" s="34"/>
      <c r="CXR381" s="34"/>
      <c r="CXS381" s="34"/>
      <c r="CXT381" s="34"/>
      <c r="CXU381" s="34"/>
      <c r="CXV381" s="34"/>
      <c r="CXW381" s="34"/>
      <c r="CXX381" s="34"/>
      <c r="CXY381" s="34"/>
      <c r="CXZ381" s="34"/>
      <c r="CYA381" s="34"/>
      <c r="CYB381" s="34"/>
      <c r="CYC381" s="34"/>
      <c r="CYD381" s="34"/>
      <c r="CYE381" s="34"/>
      <c r="CYF381" s="34"/>
      <c r="CYG381" s="34"/>
      <c r="CYH381" s="34"/>
      <c r="CYI381" s="34"/>
      <c r="CYJ381" s="34"/>
      <c r="CYK381" s="34"/>
      <c r="CYL381" s="34"/>
      <c r="CYM381" s="34"/>
      <c r="CYN381" s="34"/>
      <c r="CYO381" s="34"/>
      <c r="CYP381" s="34"/>
      <c r="CYQ381" s="34"/>
      <c r="CYR381" s="34"/>
      <c r="CYS381" s="34"/>
      <c r="CYT381" s="34"/>
      <c r="CYU381" s="34"/>
      <c r="CYV381" s="34"/>
      <c r="CYW381" s="34"/>
      <c r="CYX381" s="34"/>
      <c r="CYY381" s="34"/>
      <c r="CYZ381" s="34"/>
      <c r="CZA381" s="34"/>
      <c r="CZB381" s="34"/>
      <c r="CZC381" s="34"/>
      <c r="CZD381" s="34"/>
      <c r="CZE381" s="34"/>
      <c r="CZF381" s="34"/>
      <c r="CZG381" s="34"/>
      <c r="CZH381" s="34"/>
      <c r="CZI381" s="34"/>
      <c r="CZJ381" s="34"/>
      <c r="CZK381" s="34"/>
      <c r="CZL381" s="34"/>
      <c r="CZM381" s="34"/>
      <c r="CZN381" s="34"/>
      <c r="CZO381" s="34"/>
      <c r="CZP381" s="34"/>
      <c r="CZQ381" s="34"/>
      <c r="CZR381" s="34"/>
      <c r="CZS381" s="34"/>
      <c r="CZT381" s="34"/>
      <c r="CZU381" s="34"/>
      <c r="CZV381" s="34"/>
      <c r="CZW381" s="34"/>
      <c r="CZX381" s="34"/>
      <c r="CZY381" s="34"/>
      <c r="CZZ381" s="34"/>
      <c r="DAA381" s="34"/>
      <c r="DAB381" s="34"/>
      <c r="DAC381" s="34"/>
      <c r="DAD381" s="34"/>
      <c r="DAE381" s="34"/>
      <c r="DAF381" s="34"/>
      <c r="DAG381" s="34"/>
      <c r="DAH381" s="34"/>
      <c r="DAI381" s="34"/>
      <c r="DAJ381" s="34"/>
      <c r="DAK381" s="34"/>
      <c r="DAL381" s="34"/>
      <c r="DAM381" s="34"/>
      <c r="DAN381" s="34"/>
      <c r="DAO381" s="34"/>
      <c r="DAP381" s="34"/>
      <c r="DAQ381" s="34"/>
      <c r="DAR381" s="34"/>
      <c r="DAS381" s="34"/>
      <c r="DAT381" s="34"/>
      <c r="DAU381" s="34"/>
      <c r="DAV381" s="34"/>
      <c r="DAW381" s="34"/>
      <c r="DAX381" s="34"/>
      <c r="DAY381" s="34"/>
      <c r="DAZ381" s="34"/>
      <c r="DBA381" s="34"/>
      <c r="DBB381" s="34"/>
      <c r="DBC381" s="34"/>
      <c r="DBD381" s="34"/>
      <c r="DBE381" s="34"/>
      <c r="DBF381" s="34"/>
      <c r="DBG381" s="34"/>
      <c r="DBH381" s="34"/>
      <c r="DBI381" s="34"/>
      <c r="DBJ381" s="34"/>
      <c r="DBK381" s="34"/>
      <c r="DBL381" s="34"/>
      <c r="DBM381" s="34"/>
      <c r="DBN381" s="34"/>
      <c r="DBO381" s="34"/>
      <c r="DBP381" s="34"/>
      <c r="DBQ381" s="34"/>
      <c r="DBR381" s="34"/>
      <c r="DBS381" s="34"/>
      <c r="DBT381" s="34"/>
      <c r="DBU381" s="34"/>
      <c r="DBV381" s="34"/>
      <c r="DBW381" s="34"/>
      <c r="DBX381" s="34"/>
      <c r="DBY381" s="34"/>
      <c r="DBZ381" s="34"/>
      <c r="DCA381" s="34"/>
      <c r="DCB381" s="34"/>
      <c r="DCC381" s="34"/>
      <c r="DCD381" s="34"/>
      <c r="DCE381" s="34"/>
      <c r="DCF381" s="34"/>
      <c r="DCG381" s="34"/>
      <c r="DCH381" s="34"/>
      <c r="DCI381" s="34"/>
      <c r="DCJ381" s="34"/>
      <c r="DCK381" s="34"/>
      <c r="DCL381" s="34"/>
      <c r="DCM381" s="34"/>
      <c r="DCN381" s="34"/>
      <c r="DCO381" s="34"/>
      <c r="DCP381" s="34"/>
      <c r="DCQ381" s="34"/>
      <c r="DCR381" s="34"/>
      <c r="DCS381" s="34"/>
      <c r="DCT381" s="34"/>
      <c r="DCU381" s="34"/>
      <c r="DCV381" s="34"/>
      <c r="DCW381" s="34"/>
      <c r="DCX381" s="34"/>
      <c r="DCY381" s="34"/>
      <c r="DCZ381" s="34"/>
      <c r="DDA381" s="34"/>
      <c r="DDB381" s="34"/>
      <c r="DDC381" s="34"/>
      <c r="DDD381" s="34"/>
      <c r="DDE381" s="34"/>
      <c r="DDF381" s="34"/>
      <c r="DDG381" s="34"/>
      <c r="DDH381" s="34"/>
      <c r="DDI381" s="34"/>
      <c r="DDJ381" s="34"/>
      <c r="DDK381" s="34"/>
      <c r="DDL381" s="34"/>
      <c r="DDM381" s="34"/>
      <c r="DDN381" s="34"/>
      <c r="DDO381" s="34"/>
      <c r="DDP381" s="34"/>
      <c r="DDQ381" s="34"/>
      <c r="DDR381" s="34"/>
      <c r="DDS381" s="34"/>
      <c r="DDT381" s="34"/>
      <c r="DDU381" s="34"/>
      <c r="DDV381" s="34"/>
      <c r="DDW381" s="34"/>
      <c r="DDX381" s="34"/>
      <c r="DDY381" s="34"/>
      <c r="DDZ381" s="34"/>
      <c r="DEA381" s="34"/>
      <c r="DEB381" s="34"/>
      <c r="DEC381" s="34"/>
      <c r="DED381" s="34"/>
      <c r="DEE381" s="34"/>
      <c r="DEF381" s="34"/>
      <c r="DEG381" s="34"/>
      <c r="DEH381" s="34"/>
      <c r="DEI381" s="34"/>
      <c r="DEJ381" s="34"/>
      <c r="DEK381" s="34"/>
      <c r="DEL381" s="34"/>
      <c r="DEM381" s="34"/>
      <c r="DEN381" s="34"/>
      <c r="DEO381" s="34"/>
      <c r="DEP381" s="34"/>
      <c r="DEQ381" s="34"/>
      <c r="DER381" s="34"/>
      <c r="DES381" s="34"/>
      <c r="DET381" s="34"/>
      <c r="DEU381" s="34"/>
      <c r="DEV381" s="34"/>
      <c r="DEW381" s="34"/>
      <c r="DEX381" s="34"/>
      <c r="DEY381" s="34"/>
      <c r="DEZ381" s="34"/>
      <c r="DFA381" s="34"/>
      <c r="DFB381" s="34"/>
      <c r="DFC381" s="34"/>
      <c r="DFD381" s="34"/>
      <c r="DFE381" s="34"/>
      <c r="DFF381" s="34"/>
      <c r="DFG381" s="34"/>
      <c r="DFH381" s="34"/>
      <c r="DFI381" s="34"/>
      <c r="DFJ381" s="34"/>
      <c r="DFK381" s="34"/>
      <c r="DFL381" s="34"/>
      <c r="DFM381" s="34"/>
      <c r="DFN381" s="34"/>
      <c r="DFO381" s="34"/>
      <c r="DFP381" s="34"/>
      <c r="DFQ381" s="34"/>
      <c r="DFR381" s="34"/>
      <c r="DFS381" s="34"/>
      <c r="DFT381" s="34"/>
      <c r="DFU381" s="34"/>
      <c r="DFV381" s="34"/>
      <c r="DFW381" s="34"/>
      <c r="DFX381" s="34"/>
      <c r="DFY381" s="34"/>
      <c r="DFZ381" s="34"/>
      <c r="DGA381" s="34"/>
      <c r="DGB381" s="34"/>
      <c r="DGC381" s="34"/>
      <c r="DGD381" s="34"/>
      <c r="DGE381" s="34"/>
      <c r="DGF381" s="34"/>
      <c r="DGG381" s="34"/>
      <c r="DGH381" s="34"/>
      <c r="DGI381" s="34"/>
      <c r="DGJ381" s="34"/>
      <c r="DGK381" s="34"/>
      <c r="DGL381" s="34"/>
      <c r="DGM381" s="34"/>
      <c r="DGN381" s="34"/>
      <c r="DGO381" s="34"/>
      <c r="DGP381" s="34"/>
      <c r="DGQ381" s="34"/>
      <c r="DGR381" s="34"/>
      <c r="DGS381" s="34"/>
      <c r="DGT381" s="34"/>
      <c r="DGU381" s="34"/>
      <c r="DGV381" s="34"/>
      <c r="DGW381" s="34"/>
      <c r="DGX381" s="34"/>
      <c r="DGY381" s="34"/>
      <c r="DGZ381" s="34"/>
      <c r="DHA381" s="34"/>
      <c r="DHB381" s="34"/>
      <c r="DHC381" s="34"/>
      <c r="DHD381" s="34"/>
      <c r="DHE381" s="34"/>
      <c r="DHF381" s="34"/>
      <c r="DHG381" s="34"/>
      <c r="DHH381" s="34"/>
      <c r="DHI381" s="34"/>
      <c r="DHJ381" s="34"/>
      <c r="DHK381" s="34"/>
      <c r="DHL381" s="34"/>
      <c r="DHM381" s="34"/>
      <c r="DHN381" s="34"/>
      <c r="DHO381" s="34"/>
      <c r="DHP381" s="34"/>
      <c r="DHQ381" s="34"/>
      <c r="DHR381" s="34"/>
      <c r="DHS381" s="34"/>
      <c r="DHT381" s="34"/>
      <c r="DHU381" s="34"/>
      <c r="DHV381" s="34"/>
      <c r="DHW381" s="34"/>
      <c r="DHX381" s="34"/>
      <c r="DHY381" s="34"/>
      <c r="DHZ381" s="34"/>
      <c r="DIA381" s="34"/>
      <c r="DIB381" s="34"/>
      <c r="DIC381" s="34"/>
      <c r="DID381" s="34"/>
      <c r="DIE381" s="34"/>
      <c r="DIF381" s="34"/>
      <c r="DIG381" s="34"/>
      <c r="DIH381" s="34"/>
      <c r="DII381" s="34"/>
      <c r="DIJ381" s="34"/>
      <c r="DIK381" s="34"/>
      <c r="DIL381" s="34"/>
      <c r="DIM381" s="34"/>
      <c r="DIN381" s="34"/>
      <c r="DIO381" s="34"/>
      <c r="DIP381" s="34"/>
      <c r="DIQ381" s="34"/>
      <c r="DIR381" s="34"/>
      <c r="DIS381" s="34"/>
      <c r="DIT381" s="34"/>
      <c r="DIU381" s="34"/>
      <c r="DIV381" s="34"/>
      <c r="DIW381" s="34"/>
      <c r="DIX381" s="34"/>
      <c r="DIY381" s="34"/>
      <c r="DIZ381" s="34"/>
      <c r="DJA381" s="34"/>
      <c r="DJB381" s="34"/>
      <c r="DJC381" s="34"/>
      <c r="DJD381" s="34"/>
      <c r="DJE381" s="34"/>
      <c r="DJF381" s="34"/>
      <c r="DJG381" s="34"/>
      <c r="DJH381" s="34"/>
      <c r="DJI381" s="34"/>
      <c r="DJJ381" s="34"/>
      <c r="DJK381" s="34"/>
      <c r="DJL381" s="34"/>
      <c r="DJM381" s="34"/>
      <c r="DJN381" s="34"/>
      <c r="DJO381" s="34"/>
      <c r="DJP381" s="34"/>
      <c r="DJQ381" s="34"/>
      <c r="DJR381" s="34"/>
      <c r="DJS381" s="34"/>
      <c r="DJT381" s="34"/>
      <c r="DJU381" s="34"/>
      <c r="DJV381" s="34"/>
      <c r="DJW381" s="34"/>
      <c r="DJX381" s="34"/>
      <c r="DJY381" s="34"/>
      <c r="DJZ381" s="34"/>
      <c r="DKA381" s="34"/>
      <c r="DKB381" s="34"/>
      <c r="DKC381" s="34"/>
      <c r="DKD381" s="34"/>
      <c r="DKE381" s="34"/>
      <c r="DKF381" s="34"/>
      <c r="DKG381" s="34"/>
      <c r="DKH381" s="34"/>
      <c r="DKI381" s="34"/>
      <c r="DKJ381" s="34"/>
      <c r="DKK381" s="34"/>
      <c r="DKL381" s="34"/>
      <c r="DKM381" s="34"/>
      <c r="DKN381" s="34"/>
      <c r="DKO381" s="34"/>
      <c r="DKP381" s="34"/>
      <c r="DKQ381" s="34"/>
      <c r="DKR381" s="34"/>
      <c r="DKS381" s="34"/>
      <c r="DKT381" s="34"/>
      <c r="DKU381" s="34"/>
      <c r="DKV381" s="34"/>
      <c r="DKW381" s="34"/>
      <c r="DKX381" s="34"/>
      <c r="DKY381" s="34"/>
      <c r="DKZ381" s="34"/>
      <c r="DLA381" s="34"/>
      <c r="DLB381" s="34"/>
      <c r="DLC381" s="34"/>
      <c r="DLD381" s="34"/>
      <c r="DLE381" s="34"/>
      <c r="DLF381" s="34"/>
      <c r="DLG381" s="34"/>
      <c r="DLH381" s="34"/>
      <c r="DLI381" s="34"/>
      <c r="DLJ381" s="34"/>
      <c r="DLK381" s="34"/>
      <c r="DLL381" s="34"/>
      <c r="DLM381" s="34"/>
      <c r="DLN381" s="34"/>
      <c r="DLO381" s="34"/>
      <c r="DLP381" s="34"/>
      <c r="DLQ381" s="34"/>
      <c r="DLR381" s="34"/>
      <c r="DLS381" s="34"/>
      <c r="DLT381" s="34"/>
      <c r="DLU381" s="34"/>
      <c r="DLV381" s="34"/>
      <c r="DLW381" s="34"/>
      <c r="DLX381" s="34"/>
      <c r="DLY381" s="34"/>
      <c r="DLZ381" s="34"/>
      <c r="DMA381" s="34"/>
      <c r="DMB381" s="34"/>
      <c r="DMC381" s="34"/>
      <c r="DMD381" s="34"/>
      <c r="DME381" s="34"/>
      <c r="DMF381" s="34"/>
      <c r="DMG381" s="34"/>
      <c r="DMH381" s="34"/>
      <c r="DMI381" s="34"/>
      <c r="DMJ381" s="34"/>
      <c r="DMK381" s="34"/>
      <c r="DML381" s="34"/>
      <c r="DMM381" s="34"/>
      <c r="DMN381" s="34"/>
      <c r="DMO381" s="34"/>
      <c r="DMP381" s="34"/>
      <c r="DMQ381" s="34"/>
      <c r="DMR381" s="34"/>
      <c r="DMS381" s="34"/>
      <c r="DMT381" s="34"/>
      <c r="DMU381" s="34"/>
      <c r="DMV381" s="34"/>
      <c r="DMW381" s="34"/>
      <c r="DMX381" s="34"/>
      <c r="DMY381" s="34"/>
      <c r="DMZ381" s="34"/>
      <c r="DNA381" s="34"/>
      <c r="DNB381" s="34"/>
      <c r="DNC381" s="34"/>
      <c r="DND381" s="34"/>
      <c r="DNE381" s="34"/>
      <c r="DNF381" s="34"/>
      <c r="DNG381" s="34"/>
      <c r="DNH381" s="34"/>
      <c r="DNI381" s="34"/>
      <c r="DNJ381" s="34"/>
      <c r="DNK381" s="34"/>
      <c r="DNL381" s="34"/>
      <c r="DNM381" s="34"/>
      <c r="DNN381" s="34"/>
      <c r="DNO381" s="34"/>
      <c r="DNP381" s="34"/>
      <c r="DNQ381" s="34"/>
      <c r="DNR381" s="34"/>
      <c r="DNS381" s="34"/>
      <c r="DNT381" s="34"/>
      <c r="DNU381" s="34"/>
      <c r="DNV381" s="34"/>
      <c r="DNW381" s="34"/>
      <c r="DNX381" s="34"/>
      <c r="DNY381" s="34"/>
      <c r="DNZ381" s="34"/>
      <c r="DOA381" s="34"/>
      <c r="DOB381" s="34"/>
      <c r="DOC381" s="34"/>
      <c r="DOD381" s="34"/>
      <c r="DOE381" s="34"/>
      <c r="DOF381" s="34"/>
      <c r="DOG381" s="34"/>
      <c r="DOH381" s="34"/>
      <c r="DOI381" s="34"/>
      <c r="DOJ381" s="34"/>
      <c r="DOK381" s="34"/>
      <c r="DOL381" s="34"/>
      <c r="DOM381" s="34"/>
      <c r="DON381" s="34"/>
      <c r="DOO381" s="34"/>
      <c r="DOP381" s="34"/>
      <c r="DOQ381" s="34"/>
      <c r="DOR381" s="34"/>
      <c r="DOS381" s="34"/>
      <c r="DOT381" s="34"/>
      <c r="DOU381" s="34"/>
      <c r="DOV381" s="34"/>
      <c r="DOW381" s="34"/>
      <c r="DOX381" s="34"/>
      <c r="DOY381" s="34"/>
      <c r="DOZ381" s="34"/>
      <c r="DPA381" s="34"/>
      <c r="DPB381" s="34"/>
      <c r="DPC381" s="34"/>
      <c r="DPD381" s="34"/>
      <c r="DPE381" s="34"/>
      <c r="DPF381" s="34"/>
      <c r="DPG381" s="34"/>
      <c r="DPH381" s="34"/>
      <c r="DPI381" s="34"/>
      <c r="DPJ381" s="34"/>
      <c r="DPK381" s="34"/>
      <c r="DPL381" s="34"/>
      <c r="DPM381" s="34"/>
      <c r="DPN381" s="34"/>
      <c r="DPO381" s="34"/>
      <c r="DPP381" s="34"/>
      <c r="DPQ381" s="34"/>
      <c r="DPR381" s="34"/>
      <c r="DPS381" s="34"/>
      <c r="DPT381" s="34"/>
      <c r="DPU381" s="34"/>
      <c r="DPV381" s="34"/>
      <c r="DPW381" s="34"/>
      <c r="DPX381" s="34"/>
      <c r="DPY381" s="34"/>
      <c r="DPZ381" s="34"/>
      <c r="DQA381" s="34"/>
      <c r="DQB381" s="34"/>
      <c r="DQC381" s="34"/>
      <c r="DQD381" s="34"/>
      <c r="DQE381" s="34"/>
      <c r="DQF381" s="34"/>
      <c r="DQG381" s="34"/>
      <c r="DQH381" s="34"/>
      <c r="DQI381" s="34"/>
      <c r="DQJ381" s="34"/>
      <c r="DQK381" s="34"/>
      <c r="DQL381" s="34"/>
      <c r="DQM381" s="34"/>
      <c r="DQN381" s="34"/>
      <c r="DQO381" s="34"/>
      <c r="DQP381" s="34"/>
      <c r="DQQ381" s="34"/>
      <c r="DQR381" s="34"/>
      <c r="DQS381" s="34"/>
      <c r="DQT381" s="34"/>
      <c r="DQU381" s="34"/>
      <c r="DQV381" s="34"/>
      <c r="DQW381" s="34"/>
      <c r="DQX381" s="34"/>
      <c r="DQY381" s="34"/>
      <c r="DQZ381" s="34"/>
      <c r="DRA381" s="34"/>
      <c r="DRB381" s="34"/>
      <c r="DRC381" s="34"/>
      <c r="DRD381" s="34"/>
      <c r="DRE381" s="34"/>
      <c r="DRF381" s="34"/>
      <c r="DRG381" s="34"/>
      <c r="DRH381" s="34"/>
      <c r="DRI381" s="34"/>
      <c r="DRJ381" s="34"/>
      <c r="DRK381" s="34"/>
      <c r="DRL381" s="34"/>
      <c r="DRM381" s="34"/>
      <c r="DRN381" s="34"/>
      <c r="DRO381" s="34"/>
      <c r="DRP381" s="34"/>
      <c r="DRQ381" s="34"/>
      <c r="DRR381" s="34"/>
      <c r="DRS381" s="34"/>
      <c r="DRT381" s="34"/>
      <c r="DRU381" s="34"/>
      <c r="DRV381" s="34"/>
      <c r="DRW381" s="34"/>
      <c r="DRX381" s="34"/>
      <c r="DRY381" s="34"/>
      <c r="DRZ381" s="34"/>
      <c r="DSA381" s="34"/>
      <c r="DSB381" s="34"/>
      <c r="DSC381" s="34"/>
      <c r="DSD381" s="34"/>
      <c r="DSE381" s="34"/>
      <c r="DSF381" s="34"/>
      <c r="DSG381" s="34"/>
      <c r="DSH381" s="34"/>
      <c r="DSI381" s="34"/>
      <c r="DSJ381" s="34"/>
      <c r="DSK381" s="34"/>
      <c r="DSL381" s="34"/>
      <c r="DSM381" s="34"/>
      <c r="DSN381" s="34"/>
      <c r="DSO381" s="34"/>
      <c r="DSP381" s="34"/>
      <c r="DSQ381" s="34"/>
      <c r="DSR381" s="34"/>
      <c r="DSS381" s="34"/>
      <c r="DST381" s="34"/>
      <c r="DSU381" s="34"/>
      <c r="DSV381" s="34"/>
      <c r="DSW381" s="34"/>
      <c r="DSX381" s="34"/>
      <c r="DSY381" s="34"/>
      <c r="DSZ381" s="34"/>
      <c r="DTA381" s="34"/>
      <c r="DTB381" s="34"/>
      <c r="DTC381" s="34"/>
      <c r="DTD381" s="34"/>
      <c r="DTE381" s="34"/>
      <c r="DTF381" s="34"/>
      <c r="DTG381" s="34"/>
      <c r="DTH381" s="34"/>
      <c r="DTI381" s="34"/>
      <c r="DTJ381" s="34"/>
      <c r="DTK381" s="34"/>
      <c r="DTL381" s="34"/>
      <c r="DTM381" s="34"/>
      <c r="DTN381" s="34"/>
      <c r="DTO381" s="34"/>
      <c r="DTP381" s="34"/>
      <c r="DTQ381" s="34"/>
      <c r="DTR381" s="34"/>
      <c r="DTS381" s="34"/>
      <c r="DTT381" s="34"/>
      <c r="DTU381" s="34"/>
      <c r="DTV381" s="34"/>
      <c r="DTW381" s="34"/>
      <c r="DTX381" s="34"/>
      <c r="DTY381" s="34"/>
      <c r="DTZ381" s="34"/>
      <c r="DUA381" s="34"/>
      <c r="DUB381" s="34"/>
      <c r="DUC381" s="34"/>
      <c r="DUD381" s="34"/>
      <c r="DUE381" s="34"/>
      <c r="DUF381" s="34"/>
      <c r="DUG381" s="34"/>
      <c r="DUH381" s="34"/>
      <c r="DUI381" s="34"/>
      <c r="DUJ381" s="34"/>
      <c r="DUK381" s="34"/>
      <c r="DUL381" s="34"/>
      <c r="DUM381" s="34"/>
      <c r="DUN381" s="34"/>
      <c r="DUO381" s="34"/>
      <c r="DUP381" s="34"/>
      <c r="DUQ381" s="34"/>
      <c r="DUR381" s="34"/>
      <c r="DUS381" s="34"/>
      <c r="DUT381" s="34"/>
      <c r="DUU381" s="34"/>
      <c r="DUV381" s="34"/>
      <c r="DUW381" s="34"/>
      <c r="DUX381" s="34"/>
      <c r="DUY381" s="34"/>
      <c r="DUZ381" s="34"/>
      <c r="DVA381" s="34"/>
      <c r="DVB381" s="34"/>
      <c r="DVC381" s="34"/>
      <c r="DVD381" s="34"/>
      <c r="DVE381" s="34"/>
      <c r="DVF381" s="34"/>
      <c r="DVG381" s="34"/>
      <c r="DVH381" s="34"/>
      <c r="DVI381" s="34"/>
      <c r="DVJ381" s="34"/>
      <c r="DVK381" s="34"/>
      <c r="DVL381" s="34"/>
      <c r="DVM381" s="34"/>
      <c r="DVN381" s="34"/>
      <c r="DVO381" s="34"/>
      <c r="DVP381" s="34"/>
      <c r="DVQ381" s="34"/>
      <c r="DVR381" s="34"/>
      <c r="DVS381" s="34"/>
      <c r="DVT381" s="34"/>
      <c r="DVU381" s="34"/>
      <c r="DVV381" s="34"/>
      <c r="DVW381" s="34"/>
      <c r="DVX381" s="34"/>
      <c r="DVY381" s="34"/>
      <c r="DVZ381" s="34"/>
      <c r="DWA381" s="34"/>
      <c r="DWB381" s="34"/>
      <c r="DWC381" s="34"/>
      <c r="DWD381" s="34"/>
      <c r="DWE381" s="34"/>
      <c r="DWF381" s="34"/>
      <c r="DWG381" s="34"/>
      <c r="DWH381" s="34"/>
      <c r="DWI381" s="34"/>
      <c r="DWJ381" s="34"/>
      <c r="DWK381" s="34"/>
      <c r="DWL381" s="34"/>
      <c r="DWM381" s="34"/>
      <c r="DWN381" s="34"/>
      <c r="DWO381" s="34"/>
      <c r="DWP381" s="34"/>
      <c r="DWQ381" s="34"/>
      <c r="DWR381" s="34"/>
      <c r="DWS381" s="34"/>
      <c r="DWT381" s="34"/>
      <c r="DWU381" s="34"/>
      <c r="DWV381" s="34"/>
      <c r="DWW381" s="34"/>
      <c r="DWX381" s="34"/>
      <c r="DWY381" s="34"/>
      <c r="DWZ381" s="34"/>
      <c r="DXA381" s="34"/>
      <c r="DXB381" s="34"/>
      <c r="DXC381" s="34"/>
      <c r="DXD381" s="34"/>
      <c r="DXE381" s="34"/>
      <c r="DXF381" s="34"/>
      <c r="DXG381" s="34"/>
      <c r="DXH381" s="34"/>
      <c r="DXI381" s="34"/>
      <c r="DXJ381" s="34"/>
      <c r="DXK381" s="34"/>
      <c r="DXL381" s="34"/>
      <c r="DXM381" s="34"/>
      <c r="DXN381" s="34"/>
      <c r="DXO381" s="34"/>
      <c r="DXP381" s="34"/>
      <c r="DXQ381" s="34"/>
      <c r="DXR381" s="34"/>
      <c r="DXS381" s="34"/>
      <c r="DXT381" s="34"/>
      <c r="DXU381" s="34"/>
      <c r="DXV381" s="34"/>
      <c r="DXW381" s="34"/>
      <c r="DXX381" s="34"/>
      <c r="DXY381" s="34"/>
      <c r="DXZ381" s="34"/>
      <c r="DYA381" s="34"/>
      <c r="DYB381" s="34"/>
      <c r="DYC381" s="34"/>
      <c r="DYD381" s="34"/>
      <c r="DYE381" s="34"/>
      <c r="DYF381" s="34"/>
      <c r="DYG381" s="34"/>
      <c r="DYH381" s="34"/>
      <c r="DYI381" s="34"/>
      <c r="DYJ381" s="34"/>
      <c r="DYK381" s="34"/>
      <c r="DYL381" s="34"/>
      <c r="DYM381" s="34"/>
      <c r="DYN381" s="34"/>
      <c r="DYO381" s="34"/>
      <c r="DYP381" s="34"/>
      <c r="DYQ381" s="34"/>
      <c r="DYR381" s="34"/>
      <c r="DYS381" s="34"/>
      <c r="DYT381" s="34"/>
      <c r="DYU381" s="34"/>
      <c r="DYV381" s="34"/>
      <c r="DYW381" s="34"/>
      <c r="DYX381" s="34"/>
      <c r="DYY381" s="34"/>
      <c r="DYZ381" s="34"/>
      <c r="DZA381" s="34"/>
      <c r="DZB381" s="34"/>
      <c r="DZC381" s="34"/>
      <c r="DZD381" s="34"/>
      <c r="DZE381" s="34"/>
      <c r="DZF381" s="34"/>
      <c r="DZG381" s="34"/>
      <c r="DZH381" s="34"/>
      <c r="DZI381" s="34"/>
      <c r="DZJ381" s="34"/>
      <c r="DZK381" s="34"/>
      <c r="DZL381" s="34"/>
      <c r="DZM381" s="34"/>
      <c r="DZN381" s="34"/>
      <c r="DZO381" s="34"/>
      <c r="DZP381" s="34"/>
      <c r="DZQ381" s="34"/>
      <c r="DZR381" s="34"/>
      <c r="DZS381" s="34"/>
      <c r="DZT381" s="34"/>
      <c r="DZU381" s="34"/>
      <c r="DZV381" s="34"/>
      <c r="DZW381" s="34"/>
      <c r="DZX381" s="34"/>
      <c r="DZY381" s="34"/>
      <c r="DZZ381" s="34"/>
      <c r="EAA381" s="34"/>
      <c r="EAB381" s="34"/>
      <c r="EAC381" s="34"/>
      <c r="EAD381" s="34"/>
      <c r="EAE381" s="34"/>
      <c r="EAF381" s="34"/>
      <c r="EAG381" s="34"/>
      <c r="EAH381" s="34"/>
      <c r="EAI381" s="34"/>
      <c r="EAJ381" s="34"/>
      <c r="EAK381" s="34"/>
      <c r="EAL381" s="34"/>
      <c r="EAM381" s="34"/>
      <c r="EAN381" s="34"/>
      <c r="EAO381" s="34"/>
      <c r="EAP381" s="34"/>
      <c r="EAQ381" s="34"/>
      <c r="EAR381" s="34"/>
      <c r="EAS381" s="34"/>
      <c r="EAT381" s="34"/>
      <c r="EAU381" s="34"/>
      <c r="EAV381" s="34"/>
      <c r="EAW381" s="34"/>
      <c r="EAX381" s="34"/>
      <c r="EAY381" s="34"/>
      <c r="EAZ381" s="34"/>
      <c r="EBA381" s="34"/>
      <c r="EBB381" s="34"/>
      <c r="EBC381" s="34"/>
      <c r="EBD381" s="34"/>
      <c r="EBE381" s="34"/>
      <c r="EBF381" s="34"/>
      <c r="EBG381" s="34"/>
      <c r="EBH381" s="34"/>
      <c r="EBI381" s="34"/>
      <c r="EBJ381" s="34"/>
      <c r="EBK381" s="34"/>
      <c r="EBL381" s="34"/>
      <c r="EBM381" s="34"/>
      <c r="EBN381" s="34"/>
      <c r="EBO381" s="34"/>
      <c r="EBP381" s="34"/>
      <c r="EBQ381" s="34"/>
      <c r="EBR381" s="34"/>
      <c r="EBS381" s="34"/>
      <c r="EBT381" s="34"/>
      <c r="EBU381" s="34"/>
      <c r="EBV381" s="34"/>
      <c r="EBW381" s="34"/>
      <c r="EBX381" s="34"/>
      <c r="EBY381" s="34"/>
      <c r="EBZ381" s="34"/>
      <c r="ECA381" s="34"/>
      <c r="ECB381" s="34"/>
      <c r="ECC381" s="34"/>
      <c r="ECD381" s="34"/>
      <c r="ECE381" s="34"/>
      <c r="ECF381" s="34"/>
      <c r="ECG381" s="34"/>
      <c r="ECH381" s="34"/>
      <c r="ECI381" s="34"/>
      <c r="ECJ381" s="34"/>
      <c r="ECK381" s="34"/>
      <c r="ECL381" s="34"/>
      <c r="ECM381" s="34"/>
      <c r="ECN381" s="34"/>
      <c r="ECO381" s="34"/>
      <c r="ECP381" s="34"/>
      <c r="ECQ381" s="34"/>
      <c r="ECR381" s="34"/>
      <c r="ECS381" s="34"/>
      <c r="ECT381" s="34"/>
      <c r="ECU381" s="34"/>
      <c r="ECV381" s="34"/>
      <c r="ECW381" s="34"/>
      <c r="ECX381" s="34"/>
      <c r="ECY381" s="34"/>
      <c r="ECZ381" s="34"/>
      <c r="EDA381" s="34"/>
      <c r="EDB381" s="34"/>
      <c r="EDC381" s="34"/>
      <c r="EDD381" s="34"/>
      <c r="EDE381" s="34"/>
      <c r="EDF381" s="34"/>
      <c r="EDG381" s="34"/>
      <c r="EDH381" s="34"/>
      <c r="EDI381" s="34"/>
      <c r="EDJ381" s="34"/>
      <c r="EDK381" s="34"/>
      <c r="EDL381" s="34"/>
      <c r="EDM381" s="34"/>
      <c r="EDN381" s="34"/>
      <c r="EDO381" s="34"/>
      <c r="EDP381" s="34"/>
      <c r="EDQ381" s="34"/>
      <c r="EDR381" s="34"/>
      <c r="EDS381" s="34"/>
      <c r="EDT381" s="34"/>
      <c r="EDU381" s="34"/>
      <c r="EDV381" s="34"/>
      <c r="EDW381" s="34"/>
      <c r="EDX381" s="34"/>
      <c r="EDY381" s="34"/>
      <c r="EDZ381" s="34"/>
      <c r="EEA381" s="34"/>
      <c r="EEB381" s="34"/>
      <c r="EEC381" s="34"/>
      <c r="EED381" s="34"/>
      <c r="EEE381" s="34"/>
      <c r="EEF381" s="34"/>
      <c r="EEG381" s="34"/>
      <c r="EEH381" s="34"/>
      <c r="EEI381" s="34"/>
      <c r="EEJ381" s="34"/>
      <c r="EEK381" s="34"/>
      <c r="EEL381" s="34"/>
      <c r="EEM381" s="34"/>
      <c r="EEN381" s="34"/>
      <c r="EEO381" s="34"/>
      <c r="EEP381" s="34"/>
      <c r="EEQ381" s="34"/>
      <c r="EER381" s="34"/>
      <c r="EES381" s="34"/>
      <c r="EET381" s="34"/>
      <c r="EEU381" s="34"/>
      <c r="EEV381" s="34"/>
      <c r="EEW381" s="34"/>
      <c r="EEX381" s="34"/>
      <c r="EEY381" s="34"/>
      <c r="EEZ381" s="34"/>
      <c r="EFA381" s="34"/>
      <c r="EFB381" s="34"/>
      <c r="EFC381" s="34"/>
      <c r="EFD381" s="34"/>
      <c r="EFE381" s="34"/>
      <c r="EFF381" s="34"/>
      <c r="EFG381" s="34"/>
      <c r="EFH381" s="34"/>
      <c r="EFI381" s="34"/>
      <c r="EFJ381" s="34"/>
      <c r="EFK381" s="34"/>
      <c r="EFL381" s="34"/>
      <c r="EFM381" s="34"/>
      <c r="EFN381" s="34"/>
      <c r="EFO381" s="34"/>
      <c r="EFP381" s="34"/>
      <c r="EFQ381" s="34"/>
      <c r="EFR381" s="34"/>
      <c r="EFS381" s="34"/>
      <c r="EFT381" s="34"/>
      <c r="EFU381" s="34"/>
      <c r="EFV381" s="34"/>
      <c r="EFW381" s="34"/>
      <c r="EFX381" s="34"/>
      <c r="EFY381" s="34"/>
      <c r="EFZ381" s="34"/>
      <c r="EGA381" s="34"/>
      <c r="EGB381" s="34"/>
      <c r="EGC381" s="34"/>
      <c r="EGD381" s="34"/>
      <c r="EGE381" s="34"/>
      <c r="EGF381" s="34"/>
      <c r="EGG381" s="34"/>
      <c r="EGH381" s="34"/>
      <c r="EGI381" s="34"/>
      <c r="EGJ381" s="34"/>
      <c r="EGK381" s="34"/>
      <c r="EGL381" s="34"/>
      <c r="EGM381" s="34"/>
      <c r="EGN381" s="34"/>
      <c r="EGO381" s="34"/>
      <c r="EGP381" s="34"/>
      <c r="EGQ381" s="34"/>
      <c r="EGR381" s="34"/>
      <c r="EGS381" s="34"/>
      <c r="EGT381" s="34"/>
      <c r="EGU381" s="34"/>
      <c r="EGV381" s="34"/>
      <c r="EGW381" s="34"/>
      <c r="EGX381" s="34"/>
      <c r="EGY381" s="34"/>
      <c r="EGZ381" s="34"/>
      <c r="EHA381" s="34"/>
      <c r="EHB381" s="34"/>
      <c r="EHC381" s="34"/>
      <c r="EHD381" s="34"/>
      <c r="EHE381" s="34"/>
      <c r="EHF381" s="34"/>
      <c r="EHG381" s="34"/>
      <c r="EHH381" s="34"/>
      <c r="EHI381" s="34"/>
      <c r="EHJ381" s="34"/>
      <c r="EHK381" s="34"/>
      <c r="EHL381" s="34"/>
      <c r="EHM381" s="34"/>
      <c r="EHN381" s="34"/>
      <c r="EHO381" s="34"/>
      <c r="EHP381" s="34"/>
      <c r="EHQ381" s="34"/>
      <c r="EHR381" s="34"/>
      <c r="EHS381" s="34"/>
      <c r="EHT381" s="34"/>
      <c r="EHU381" s="34"/>
      <c r="EHV381" s="34"/>
      <c r="EHW381" s="34"/>
      <c r="EHX381" s="34"/>
      <c r="EHY381" s="34"/>
      <c r="EHZ381" s="34"/>
      <c r="EIA381" s="34"/>
      <c r="EIB381" s="34"/>
      <c r="EIC381" s="34"/>
      <c r="EID381" s="34"/>
      <c r="EIE381" s="34"/>
      <c r="EIF381" s="34"/>
      <c r="EIG381" s="34"/>
      <c r="EIH381" s="34"/>
      <c r="EII381" s="34"/>
      <c r="EIJ381" s="34"/>
      <c r="EIK381" s="34"/>
      <c r="EIL381" s="34"/>
      <c r="EIM381" s="34"/>
      <c r="EIN381" s="34"/>
      <c r="EIO381" s="34"/>
      <c r="EIP381" s="34"/>
      <c r="EIQ381" s="34"/>
      <c r="EIR381" s="34"/>
      <c r="EIS381" s="34"/>
      <c r="EIT381" s="34"/>
      <c r="EIU381" s="34"/>
      <c r="EIV381" s="34"/>
      <c r="EIW381" s="34"/>
      <c r="EIX381" s="34"/>
      <c r="EIY381" s="34"/>
      <c r="EIZ381" s="34"/>
      <c r="EJA381" s="34"/>
      <c r="EJB381" s="34"/>
      <c r="EJC381" s="34"/>
      <c r="EJD381" s="34"/>
      <c r="EJE381" s="34"/>
      <c r="EJF381" s="34"/>
      <c r="EJG381" s="34"/>
      <c r="EJH381" s="34"/>
      <c r="EJI381" s="34"/>
      <c r="EJJ381" s="34"/>
      <c r="EJK381" s="34"/>
      <c r="EJL381" s="34"/>
      <c r="EJM381" s="34"/>
      <c r="EJN381" s="34"/>
      <c r="EJO381" s="34"/>
      <c r="EJP381" s="34"/>
      <c r="EJQ381" s="34"/>
      <c r="EJR381" s="34"/>
      <c r="EJS381" s="34"/>
      <c r="EJT381" s="34"/>
      <c r="EJU381" s="34"/>
      <c r="EJV381" s="34"/>
      <c r="EJW381" s="34"/>
      <c r="EJX381" s="34"/>
      <c r="EJY381" s="34"/>
      <c r="EJZ381" s="34"/>
      <c r="EKA381" s="34"/>
      <c r="EKB381" s="34"/>
      <c r="EKC381" s="34"/>
      <c r="EKD381" s="34"/>
      <c r="EKE381" s="34"/>
      <c r="EKF381" s="34"/>
      <c r="EKG381" s="34"/>
      <c r="EKH381" s="34"/>
      <c r="EKI381" s="34"/>
      <c r="EKJ381" s="34"/>
      <c r="EKK381" s="34"/>
      <c r="EKL381" s="34"/>
      <c r="EKM381" s="34"/>
      <c r="EKN381" s="34"/>
      <c r="EKO381" s="34"/>
      <c r="EKP381" s="34"/>
      <c r="EKQ381" s="34"/>
      <c r="EKR381" s="34"/>
      <c r="EKS381" s="34"/>
      <c r="EKT381" s="34"/>
      <c r="EKU381" s="34"/>
      <c r="EKV381" s="34"/>
      <c r="EKW381" s="34"/>
      <c r="EKX381" s="34"/>
      <c r="EKY381" s="34"/>
      <c r="EKZ381" s="34"/>
      <c r="ELA381" s="34"/>
      <c r="ELB381" s="34"/>
      <c r="ELC381" s="34"/>
      <c r="ELD381" s="34"/>
      <c r="ELE381" s="34"/>
      <c r="ELF381" s="34"/>
      <c r="ELG381" s="34"/>
      <c r="ELH381" s="34"/>
      <c r="ELI381" s="34"/>
      <c r="ELJ381" s="34"/>
      <c r="ELK381" s="34"/>
      <c r="ELL381" s="34"/>
      <c r="ELM381" s="34"/>
      <c r="ELN381" s="34"/>
      <c r="ELO381" s="34"/>
      <c r="ELP381" s="34"/>
      <c r="ELQ381" s="34"/>
      <c r="ELR381" s="34"/>
      <c r="ELS381" s="34"/>
      <c r="ELT381" s="34"/>
      <c r="ELU381" s="34"/>
      <c r="ELV381" s="34"/>
      <c r="ELW381" s="34"/>
      <c r="ELX381" s="34"/>
      <c r="ELY381" s="34"/>
      <c r="ELZ381" s="34"/>
      <c r="EMA381" s="34"/>
      <c r="EMB381" s="34"/>
      <c r="EMC381" s="34"/>
      <c r="EMD381" s="34"/>
      <c r="EME381" s="34"/>
      <c r="EMF381" s="34"/>
      <c r="EMG381" s="34"/>
      <c r="EMH381" s="34"/>
      <c r="EMI381" s="34"/>
      <c r="EMJ381" s="34"/>
      <c r="EMK381" s="34"/>
      <c r="EML381" s="34"/>
      <c r="EMM381" s="34"/>
      <c r="EMN381" s="34"/>
      <c r="EMO381" s="34"/>
      <c r="EMP381" s="34"/>
      <c r="EMQ381" s="34"/>
      <c r="EMR381" s="34"/>
      <c r="EMS381" s="34"/>
      <c r="EMT381" s="34"/>
      <c r="EMU381" s="34"/>
      <c r="EMV381" s="34"/>
      <c r="EMW381" s="34"/>
      <c r="EMX381" s="34"/>
      <c r="EMY381" s="34"/>
      <c r="EMZ381" s="34"/>
      <c r="ENA381" s="34"/>
      <c r="ENB381" s="34"/>
      <c r="ENC381" s="34"/>
      <c r="END381" s="34"/>
      <c r="ENE381" s="34"/>
      <c r="ENF381" s="34"/>
      <c r="ENG381" s="34"/>
      <c r="ENH381" s="34"/>
      <c r="ENI381" s="34"/>
      <c r="ENJ381" s="34"/>
      <c r="ENK381" s="34"/>
      <c r="ENL381" s="34"/>
      <c r="ENM381" s="34"/>
      <c r="ENN381" s="34"/>
      <c r="ENO381" s="34"/>
      <c r="ENP381" s="34"/>
      <c r="ENQ381" s="34"/>
      <c r="ENR381" s="34"/>
      <c r="ENS381" s="34"/>
      <c r="ENT381" s="34"/>
      <c r="ENU381" s="34"/>
      <c r="ENV381" s="34"/>
      <c r="ENW381" s="34"/>
      <c r="ENX381" s="34"/>
      <c r="ENY381" s="34"/>
      <c r="ENZ381" s="34"/>
      <c r="EOA381" s="34"/>
      <c r="EOB381" s="34"/>
      <c r="EOC381" s="34"/>
      <c r="EOD381" s="34"/>
      <c r="EOE381" s="34"/>
      <c r="EOF381" s="34"/>
      <c r="EOG381" s="34"/>
      <c r="EOH381" s="34"/>
      <c r="EOI381" s="34"/>
      <c r="EOJ381" s="34"/>
      <c r="EOK381" s="34"/>
      <c r="EOL381" s="34"/>
      <c r="EOM381" s="34"/>
      <c r="EON381" s="34"/>
      <c r="EOO381" s="34"/>
      <c r="EOP381" s="34"/>
      <c r="EOQ381" s="34"/>
      <c r="EOR381" s="34"/>
      <c r="EOS381" s="34"/>
      <c r="EOT381" s="34"/>
      <c r="EOU381" s="34"/>
      <c r="EOV381" s="34"/>
      <c r="EOW381" s="34"/>
      <c r="EOX381" s="34"/>
      <c r="EOY381" s="34"/>
      <c r="EOZ381" s="34"/>
      <c r="EPA381" s="34"/>
      <c r="EPB381" s="34"/>
      <c r="EPC381" s="34"/>
      <c r="EPD381" s="34"/>
      <c r="EPE381" s="34"/>
      <c r="EPF381" s="34"/>
      <c r="EPG381" s="34"/>
      <c r="EPH381" s="34"/>
      <c r="EPI381" s="34"/>
      <c r="EPJ381" s="34"/>
      <c r="EPK381" s="34"/>
      <c r="EPL381" s="34"/>
      <c r="EPM381" s="34"/>
      <c r="EPN381" s="34"/>
      <c r="EPO381" s="34"/>
      <c r="EPP381" s="34"/>
      <c r="EPQ381" s="34"/>
      <c r="EPR381" s="34"/>
      <c r="EPS381" s="34"/>
      <c r="EPT381" s="34"/>
      <c r="EPU381" s="34"/>
      <c r="EPV381" s="34"/>
      <c r="EPW381" s="34"/>
      <c r="EPX381" s="34"/>
      <c r="EPY381" s="34"/>
      <c r="EPZ381" s="34"/>
      <c r="EQA381" s="34"/>
      <c r="EQB381" s="34"/>
      <c r="EQC381" s="34"/>
      <c r="EQD381" s="34"/>
      <c r="EQE381" s="34"/>
      <c r="EQF381" s="34"/>
      <c r="EQG381" s="34"/>
      <c r="EQH381" s="34"/>
      <c r="EQI381" s="34"/>
      <c r="EQJ381" s="34"/>
      <c r="EQK381" s="34"/>
      <c r="EQL381" s="34"/>
      <c r="EQM381" s="34"/>
      <c r="EQN381" s="34"/>
      <c r="EQO381" s="34"/>
      <c r="EQP381" s="34"/>
      <c r="EQQ381" s="34"/>
      <c r="EQR381" s="34"/>
      <c r="EQS381" s="34"/>
      <c r="EQT381" s="34"/>
      <c r="EQU381" s="34"/>
      <c r="EQV381" s="34"/>
      <c r="EQW381" s="34"/>
      <c r="EQX381" s="34"/>
      <c r="EQY381" s="34"/>
      <c r="EQZ381" s="34"/>
      <c r="ERA381" s="34"/>
      <c r="ERB381" s="34"/>
      <c r="ERC381" s="34"/>
      <c r="ERD381" s="34"/>
      <c r="ERE381" s="34"/>
      <c r="ERF381" s="34"/>
      <c r="ERG381" s="34"/>
      <c r="ERH381" s="34"/>
      <c r="ERI381" s="34"/>
      <c r="ERJ381" s="34"/>
      <c r="ERK381" s="34"/>
      <c r="ERL381" s="34"/>
      <c r="ERM381" s="34"/>
      <c r="ERN381" s="34"/>
      <c r="ERO381" s="34"/>
      <c r="ERP381" s="34"/>
      <c r="ERQ381" s="34"/>
      <c r="ERR381" s="34"/>
      <c r="ERS381" s="34"/>
      <c r="ERT381" s="34"/>
      <c r="ERU381" s="34"/>
      <c r="ERV381" s="34"/>
      <c r="ERW381" s="34"/>
      <c r="ERX381" s="34"/>
      <c r="ERY381" s="34"/>
      <c r="ERZ381" s="34"/>
      <c r="ESA381" s="34"/>
      <c r="ESB381" s="34"/>
      <c r="ESC381" s="34"/>
      <c r="ESD381" s="34"/>
      <c r="ESE381" s="34"/>
      <c r="ESF381" s="34"/>
      <c r="ESG381" s="34"/>
      <c r="ESH381" s="34"/>
      <c r="ESI381" s="34"/>
      <c r="ESJ381" s="34"/>
      <c r="ESK381" s="34"/>
      <c r="ESL381" s="34"/>
      <c r="ESM381" s="34"/>
      <c r="ESN381" s="34"/>
      <c r="ESO381" s="34"/>
      <c r="ESP381" s="34"/>
      <c r="ESQ381" s="34"/>
      <c r="ESR381" s="34"/>
      <c r="ESS381" s="34"/>
      <c r="EST381" s="34"/>
      <c r="ESU381" s="34"/>
      <c r="ESV381" s="34"/>
      <c r="ESW381" s="34"/>
      <c r="ESX381" s="34"/>
      <c r="ESY381" s="34"/>
      <c r="ESZ381" s="34"/>
      <c r="ETA381" s="34"/>
      <c r="ETB381" s="34"/>
      <c r="ETC381" s="34"/>
      <c r="ETD381" s="34"/>
      <c r="ETE381" s="34"/>
      <c r="ETF381" s="34"/>
      <c r="ETG381" s="34"/>
      <c r="ETH381" s="34"/>
      <c r="ETI381" s="34"/>
      <c r="ETJ381" s="34"/>
      <c r="ETK381" s="34"/>
      <c r="ETL381" s="34"/>
      <c r="ETM381" s="34"/>
      <c r="ETN381" s="34"/>
      <c r="ETO381" s="34"/>
      <c r="ETP381" s="34"/>
      <c r="ETQ381" s="34"/>
      <c r="ETR381" s="34"/>
      <c r="ETS381" s="34"/>
      <c r="ETT381" s="34"/>
      <c r="ETU381" s="34"/>
      <c r="ETV381" s="34"/>
      <c r="ETW381" s="34"/>
      <c r="ETX381" s="34"/>
      <c r="ETY381" s="34"/>
      <c r="ETZ381" s="34"/>
      <c r="EUA381" s="34"/>
      <c r="EUB381" s="34"/>
      <c r="EUC381" s="34"/>
      <c r="EUD381" s="34"/>
      <c r="EUE381" s="34"/>
      <c r="EUF381" s="34"/>
      <c r="EUG381" s="34"/>
      <c r="EUH381" s="34"/>
      <c r="EUI381" s="34"/>
      <c r="EUJ381" s="34"/>
      <c r="EUK381" s="34"/>
      <c r="EUL381" s="34"/>
      <c r="EUM381" s="34"/>
      <c r="EUN381" s="34"/>
      <c r="EUO381" s="34"/>
      <c r="EUP381" s="34"/>
      <c r="EUQ381" s="34"/>
      <c r="EUR381" s="34"/>
      <c r="EUS381" s="34"/>
      <c r="EUT381" s="34"/>
      <c r="EUU381" s="34"/>
      <c r="EUV381" s="34"/>
      <c r="EUW381" s="34"/>
      <c r="EUX381" s="34"/>
      <c r="EUY381" s="34"/>
      <c r="EUZ381" s="34"/>
      <c r="EVA381" s="34"/>
      <c r="EVB381" s="34"/>
      <c r="EVC381" s="34"/>
      <c r="EVD381" s="34"/>
      <c r="EVE381" s="34"/>
      <c r="EVF381" s="34"/>
      <c r="EVG381" s="34"/>
      <c r="EVH381" s="34"/>
      <c r="EVI381" s="34"/>
      <c r="EVJ381" s="34"/>
      <c r="EVK381" s="34"/>
      <c r="EVL381" s="34"/>
      <c r="EVM381" s="34"/>
      <c r="EVN381" s="34"/>
      <c r="EVO381" s="34"/>
      <c r="EVP381" s="34"/>
      <c r="EVQ381" s="34"/>
      <c r="EVR381" s="34"/>
      <c r="EVS381" s="34"/>
      <c r="EVT381" s="34"/>
      <c r="EVU381" s="34"/>
      <c r="EVV381" s="34"/>
      <c r="EVW381" s="34"/>
      <c r="EVX381" s="34"/>
      <c r="EVY381" s="34"/>
      <c r="EVZ381" s="34"/>
      <c r="EWA381" s="34"/>
      <c r="EWB381" s="34"/>
      <c r="EWC381" s="34"/>
      <c r="EWD381" s="34"/>
      <c r="EWE381" s="34"/>
      <c r="EWF381" s="34"/>
      <c r="EWG381" s="34"/>
      <c r="EWH381" s="34"/>
      <c r="EWI381" s="34"/>
      <c r="EWJ381" s="34"/>
      <c r="EWK381" s="34"/>
      <c r="EWL381" s="34"/>
      <c r="EWM381" s="34"/>
      <c r="EWN381" s="34"/>
      <c r="EWO381" s="34"/>
      <c r="EWP381" s="34"/>
      <c r="EWQ381" s="34"/>
      <c r="EWR381" s="34"/>
      <c r="EWS381" s="34"/>
      <c r="EWT381" s="34"/>
      <c r="EWU381" s="34"/>
      <c r="EWV381" s="34"/>
      <c r="EWW381" s="34"/>
      <c r="EWX381" s="34"/>
      <c r="EWY381" s="34"/>
      <c r="EWZ381" s="34"/>
      <c r="EXA381" s="34"/>
      <c r="EXB381" s="34"/>
      <c r="EXC381" s="34"/>
      <c r="EXD381" s="34"/>
      <c r="EXE381" s="34"/>
      <c r="EXF381" s="34"/>
      <c r="EXG381" s="34"/>
      <c r="EXH381" s="34"/>
      <c r="EXI381" s="34"/>
      <c r="EXJ381" s="34"/>
      <c r="EXK381" s="34"/>
      <c r="EXL381" s="34"/>
      <c r="EXM381" s="34"/>
      <c r="EXN381" s="34"/>
      <c r="EXO381" s="34"/>
      <c r="EXP381" s="34"/>
      <c r="EXQ381" s="34"/>
      <c r="EXR381" s="34"/>
      <c r="EXS381" s="34"/>
      <c r="EXT381" s="34"/>
      <c r="EXU381" s="34"/>
      <c r="EXV381" s="34"/>
      <c r="EXW381" s="34"/>
      <c r="EXX381" s="34"/>
      <c r="EXY381" s="34"/>
      <c r="EXZ381" s="34"/>
      <c r="EYA381" s="34"/>
      <c r="EYB381" s="34"/>
      <c r="EYC381" s="34"/>
      <c r="EYD381" s="34"/>
      <c r="EYE381" s="34"/>
      <c r="EYF381" s="34"/>
      <c r="EYG381" s="34"/>
      <c r="EYH381" s="34"/>
      <c r="EYI381" s="34"/>
      <c r="EYJ381" s="34"/>
      <c r="EYK381" s="34"/>
      <c r="EYL381" s="34"/>
      <c r="EYM381" s="34"/>
      <c r="EYN381" s="34"/>
      <c r="EYO381" s="34"/>
      <c r="EYP381" s="34"/>
      <c r="EYQ381" s="34"/>
      <c r="EYR381" s="34"/>
      <c r="EYS381" s="34"/>
      <c r="EYT381" s="34"/>
      <c r="EYU381" s="34"/>
      <c r="EYV381" s="34"/>
      <c r="EYW381" s="34"/>
      <c r="EYX381" s="34"/>
      <c r="EYY381" s="34"/>
      <c r="EYZ381" s="34"/>
      <c r="EZA381" s="34"/>
      <c r="EZB381" s="34"/>
      <c r="EZC381" s="34"/>
      <c r="EZD381" s="34"/>
      <c r="EZE381" s="34"/>
      <c r="EZF381" s="34"/>
      <c r="EZG381" s="34"/>
      <c r="EZH381" s="34"/>
      <c r="EZI381" s="34"/>
      <c r="EZJ381" s="34"/>
      <c r="EZK381" s="34"/>
      <c r="EZL381" s="34"/>
      <c r="EZM381" s="34"/>
      <c r="EZN381" s="34"/>
      <c r="EZO381" s="34"/>
      <c r="EZP381" s="34"/>
      <c r="EZQ381" s="34"/>
      <c r="EZR381" s="34"/>
      <c r="EZS381" s="34"/>
      <c r="EZT381" s="34"/>
      <c r="EZU381" s="34"/>
      <c r="EZV381" s="34"/>
      <c r="EZW381" s="34"/>
      <c r="EZX381" s="34"/>
      <c r="EZY381" s="34"/>
      <c r="EZZ381" s="34"/>
      <c r="FAA381" s="34"/>
      <c r="FAB381" s="34"/>
      <c r="FAC381" s="34"/>
      <c r="FAD381" s="34"/>
      <c r="FAE381" s="34"/>
      <c r="FAF381" s="34"/>
      <c r="FAG381" s="34"/>
      <c r="FAH381" s="34"/>
      <c r="FAI381" s="34"/>
      <c r="FAJ381" s="34"/>
      <c r="FAK381" s="34"/>
      <c r="FAL381" s="34"/>
      <c r="FAM381" s="34"/>
      <c r="FAN381" s="34"/>
      <c r="FAO381" s="34"/>
      <c r="FAP381" s="34"/>
      <c r="FAQ381" s="34"/>
      <c r="FAR381" s="34"/>
      <c r="FAS381" s="34"/>
      <c r="FAT381" s="34"/>
      <c r="FAU381" s="34"/>
      <c r="FAV381" s="34"/>
      <c r="FAW381" s="34"/>
      <c r="FAX381" s="34"/>
      <c r="FAY381" s="34"/>
      <c r="FAZ381" s="34"/>
      <c r="FBA381" s="34"/>
      <c r="FBB381" s="34"/>
      <c r="FBC381" s="34"/>
      <c r="FBD381" s="34"/>
      <c r="FBE381" s="34"/>
      <c r="FBF381" s="34"/>
      <c r="FBG381" s="34"/>
      <c r="FBH381" s="34"/>
      <c r="FBI381" s="34"/>
      <c r="FBJ381" s="34"/>
      <c r="FBK381" s="34"/>
      <c r="FBL381" s="34"/>
      <c r="FBM381" s="34"/>
      <c r="FBN381" s="34"/>
      <c r="FBO381" s="34"/>
      <c r="FBP381" s="34"/>
      <c r="FBQ381" s="34"/>
      <c r="FBR381" s="34"/>
      <c r="FBS381" s="34"/>
      <c r="FBT381" s="34"/>
      <c r="FBU381" s="34"/>
      <c r="FBV381" s="34"/>
      <c r="FBW381" s="34"/>
      <c r="FBX381" s="34"/>
      <c r="FBY381" s="34"/>
      <c r="FBZ381" s="34"/>
      <c r="FCA381" s="34"/>
      <c r="FCB381" s="34"/>
      <c r="FCC381" s="34"/>
      <c r="FCD381" s="34"/>
      <c r="FCE381" s="34"/>
      <c r="FCF381" s="34"/>
      <c r="FCG381" s="34"/>
      <c r="FCH381" s="34"/>
      <c r="FCI381" s="34"/>
      <c r="FCJ381" s="34"/>
      <c r="FCK381" s="34"/>
      <c r="FCL381" s="34"/>
      <c r="FCM381" s="34"/>
      <c r="FCN381" s="34"/>
      <c r="FCO381" s="34"/>
      <c r="FCP381" s="34"/>
      <c r="FCQ381" s="34"/>
      <c r="FCR381" s="34"/>
      <c r="FCS381" s="34"/>
      <c r="FCT381" s="34"/>
      <c r="FCU381" s="34"/>
      <c r="FCV381" s="34"/>
      <c r="FCW381" s="34"/>
      <c r="FCX381" s="34"/>
      <c r="FCY381" s="34"/>
      <c r="FCZ381" s="34"/>
      <c r="FDA381" s="34"/>
      <c r="FDB381" s="34"/>
      <c r="FDC381" s="34"/>
      <c r="FDD381" s="34"/>
      <c r="FDE381" s="34"/>
      <c r="FDF381" s="34"/>
      <c r="FDG381" s="34"/>
      <c r="FDH381" s="34"/>
      <c r="FDI381" s="34"/>
      <c r="FDJ381" s="34"/>
      <c r="FDK381" s="34"/>
      <c r="FDL381" s="34"/>
      <c r="FDM381" s="34"/>
      <c r="FDN381" s="34"/>
      <c r="FDO381" s="34"/>
      <c r="FDP381" s="34"/>
      <c r="FDQ381" s="34"/>
      <c r="FDR381" s="34"/>
      <c r="FDS381" s="34"/>
      <c r="FDT381" s="34"/>
      <c r="FDU381" s="34"/>
      <c r="FDV381" s="34"/>
      <c r="FDW381" s="34"/>
      <c r="FDX381" s="34"/>
      <c r="FDY381" s="34"/>
      <c r="FDZ381" s="34"/>
      <c r="FEA381" s="34"/>
      <c r="FEB381" s="34"/>
      <c r="FEC381" s="34"/>
      <c r="FED381" s="34"/>
      <c r="FEE381" s="34"/>
      <c r="FEF381" s="34"/>
      <c r="FEG381" s="34"/>
      <c r="FEH381" s="34"/>
      <c r="FEI381" s="34"/>
      <c r="FEJ381" s="34"/>
      <c r="FEK381" s="34"/>
      <c r="FEL381" s="34"/>
      <c r="FEM381" s="34"/>
      <c r="FEN381" s="34"/>
      <c r="FEO381" s="34"/>
      <c r="FEP381" s="34"/>
      <c r="FEQ381" s="34"/>
      <c r="FER381" s="34"/>
      <c r="FES381" s="34"/>
      <c r="FET381" s="34"/>
      <c r="FEU381" s="34"/>
      <c r="FEV381" s="34"/>
      <c r="FEW381" s="34"/>
      <c r="FEX381" s="34"/>
      <c r="FEY381" s="34"/>
      <c r="FEZ381" s="34"/>
      <c r="FFA381" s="34"/>
      <c r="FFB381" s="34"/>
      <c r="FFC381" s="34"/>
      <c r="FFD381" s="34"/>
      <c r="FFE381" s="34"/>
      <c r="FFF381" s="34"/>
      <c r="FFG381" s="34"/>
      <c r="FFH381" s="34"/>
      <c r="FFI381" s="34"/>
      <c r="FFJ381" s="34"/>
      <c r="FFK381" s="34"/>
      <c r="FFL381" s="34"/>
      <c r="FFM381" s="34"/>
      <c r="FFN381" s="34"/>
      <c r="FFO381" s="34"/>
      <c r="FFP381" s="34"/>
      <c r="FFQ381" s="34"/>
      <c r="FFR381" s="34"/>
      <c r="FFS381" s="34"/>
      <c r="FFT381" s="34"/>
      <c r="FFU381" s="34"/>
      <c r="FFV381" s="34"/>
      <c r="FFW381" s="34"/>
      <c r="FFX381" s="34"/>
      <c r="FFY381" s="34"/>
      <c r="FFZ381" s="34"/>
      <c r="FGA381" s="34"/>
      <c r="FGB381" s="34"/>
      <c r="FGC381" s="34"/>
      <c r="FGD381" s="34"/>
      <c r="FGE381" s="34"/>
      <c r="FGF381" s="34"/>
      <c r="FGG381" s="34"/>
      <c r="FGH381" s="34"/>
      <c r="FGI381" s="34"/>
      <c r="FGJ381" s="34"/>
      <c r="FGK381" s="34"/>
      <c r="FGL381" s="34"/>
      <c r="FGM381" s="34"/>
      <c r="FGN381" s="34"/>
      <c r="FGO381" s="34"/>
      <c r="FGP381" s="34"/>
      <c r="FGQ381" s="34"/>
      <c r="FGR381" s="34"/>
      <c r="FGS381" s="34"/>
      <c r="FGT381" s="34"/>
      <c r="FGU381" s="34"/>
      <c r="FGV381" s="34"/>
      <c r="FGW381" s="34"/>
      <c r="FGX381" s="34"/>
      <c r="FGY381" s="34"/>
      <c r="FGZ381" s="34"/>
      <c r="FHA381" s="34"/>
      <c r="FHB381" s="34"/>
      <c r="FHC381" s="34"/>
      <c r="FHD381" s="34"/>
      <c r="FHE381" s="34"/>
      <c r="FHF381" s="34"/>
      <c r="FHG381" s="34"/>
      <c r="FHH381" s="34"/>
      <c r="FHI381" s="34"/>
      <c r="FHJ381" s="34"/>
      <c r="FHK381" s="34"/>
      <c r="FHL381" s="34"/>
      <c r="FHM381" s="34"/>
      <c r="FHN381" s="34"/>
      <c r="FHO381" s="34"/>
      <c r="FHP381" s="34"/>
      <c r="FHQ381" s="34"/>
      <c r="FHR381" s="34"/>
      <c r="FHS381" s="34"/>
      <c r="FHT381" s="34"/>
      <c r="FHU381" s="34"/>
      <c r="FHV381" s="34"/>
      <c r="FHW381" s="34"/>
      <c r="FHX381" s="34"/>
      <c r="FHY381" s="34"/>
      <c r="FHZ381" s="34"/>
      <c r="FIA381" s="34"/>
      <c r="FIB381" s="34"/>
      <c r="FIC381" s="34"/>
      <c r="FID381" s="34"/>
      <c r="FIE381" s="34"/>
      <c r="FIF381" s="34"/>
      <c r="FIG381" s="34"/>
      <c r="FIH381" s="34"/>
      <c r="FII381" s="34"/>
      <c r="FIJ381" s="34"/>
      <c r="FIK381" s="34"/>
      <c r="FIL381" s="34"/>
      <c r="FIM381" s="34"/>
      <c r="FIN381" s="34"/>
      <c r="FIO381" s="34"/>
      <c r="FIP381" s="34"/>
      <c r="FIQ381" s="34"/>
      <c r="FIR381" s="34"/>
      <c r="FIS381" s="34"/>
      <c r="FIT381" s="34"/>
      <c r="FIU381" s="34"/>
      <c r="FIV381" s="34"/>
      <c r="FIW381" s="34"/>
      <c r="FIX381" s="34"/>
      <c r="FIY381" s="34"/>
      <c r="FIZ381" s="34"/>
      <c r="FJA381" s="34"/>
      <c r="FJB381" s="34"/>
      <c r="FJC381" s="34"/>
      <c r="FJD381" s="34"/>
      <c r="FJE381" s="34"/>
      <c r="FJF381" s="34"/>
      <c r="FJG381" s="34"/>
      <c r="FJH381" s="34"/>
      <c r="FJI381" s="34"/>
      <c r="FJJ381" s="34"/>
      <c r="FJK381" s="34"/>
      <c r="FJL381" s="34"/>
      <c r="FJM381" s="34"/>
      <c r="FJN381" s="34"/>
      <c r="FJO381" s="34"/>
      <c r="FJP381" s="34"/>
      <c r="FJQ381" s="34"/>
      <c r="FJR381" s="34"/>
      <c r="FJS381" s="34"/>
      <c r="FJT381" s="34"/>
      <c r="FJU381" s="34"/>
      <c r="FJV381" s="34"/>
      <c r="FJW381" s="34"/>
      <c r="FJX381" s="34"/>
      <c r="FJY381" s="34"/>
      <c r="FJZ381" s="34"/>
      <c r="FKA381" s="34"/>
      <c r="FKB381" s="34"/>
      <c r="FKC381" s="34"/>
      <c r="FKD381" s="34"/>
      <c r="FKE381" s="34"/>
      <c r="FKF381" s="34"/>
      <c r="FKG381" s="34"/>
      <c r="FKH381" s="34"/>
      <c r="FKI381" s="34"/>
      <c r="FKJ381" s="34"/>
      <c r="FKK381" s="34"/>
      <c r="FKL381" s="34"/>
      <c r="FKM381" s="34"/>
      <c r="FKN381" s="34"/>
      <c r="FKO381" s="34"/>
      <c r="FKP381" s="34"/>
      <c r="FKQ381" s="34"/>
      <c r="FKR381" s="34"/>
      <c r="FKS381" s="34"/>
      <c r="FKT381" s="34"/>
      <c r="FKU381" s="34"/>
      <c r="FKV381" s="34"/>
      <c r="FKW381" s="34"/>
      <c r="FKX381" s="34"/>
      <c r="FKY381" s="34"/>
      <c r="FKZ381" s="34"/>
      <c r="FLA381" s="34"/>
      <c r="FLB381" s="34"/>
      <c r="FLC381" s="34"/>
      <c r="FLD381" s="34"/>
      <c r="FLE381" s="34"/>
      <c r="FLF381" s="34"/>
      <c r="FLG381" s="34"/>
      <c r="FLH381" s="34"/>
      <c r="FLI381" s="34"/>
      <c r="FLJ381" s="34"/>
      <c r="FLK381" s="34"/>
      <c r="FLL381" s="34"/>
      <c r="FLM381" s="34"/>
      <c r="FLN381" s="34"/>
      <c r="FLO381" s="34"/>
      <c r="FLP381" s="34"/>
      <c r="FLQ381" s="34"/>
      <c r="FLR381" s="34"/>
      <c r="FLS381" s="34"/>
      <c r="FLT381" s="34"/>
      <c r="FLU381" s="34"/>
      <c r="FLV381" s="34"/>
      <c r="FLW381" s="34"/>
      <c r="FLX381" s="34"/>
      <c r="FLY381" s="34"/>
      <c r="FLZ381" s="34"/>
      <c r="FMA381" s="34"/>
      <c r="FMB381" s="34"/>
      <c r="FMC381" s="34"/>
      <c r="FMD381" s="34"/>
      <c r="FME381" s="34"/>
      <c r="FMF381" s="34"/>
      <c r="FMG381" s="34"/>
      <c r="FMH381" s="34"/>
      <c r="FMI381" s="34"/>
      <c r="FMJ381" s="34"/>
      <c r="FMK381" s="34"/>
      <c r="FML381" s="34"/>
      <c r="FMM381" s="34"/>
      <c r="FMN381" s="34"/>
      <c r="FMO381" s="34"/>
      <c r="FMP381" s="34"/>
      <c r="FMQ381" s="34"/>
      <c r="FMR381" s="34"/>
      <c r="FMS381" s="34"/>
      <c r="FMT381" s="34"/>
      <c r="FMU381" s="34"/>
      <c r="FMV381" s="34"/>
      <c r="FMW381" s="34"/>
      <c r="FMX381" s="34"/>
      <c r="FMY381" s="34"/>
      <c r="FMZ381" s="34"/>
      <c r="FNA381" s="34"/>
      <c r="FNB381" s="34"/>
      <c r="FNC381" s="34"/>
      <c r="FND381" s="34"/>
      <c r="FNE381" s="34"/>
      <c r="FNF381" s="34"/>
      <c r="FNG381" s="34"/>
      <c r="FNH381" s="34"/>
      <c r="FNI381" s="34"/>
      <c r="FNJ381" s="34"/>
      <c r="FNK381" s="34"/>
      <c r="FNL381" s="34"/>
      <c r="FNM381" s="34"/>
      <c r="FNN381" s="34"/>
      <c r="FNO381" s="34"/>
      <c r="FNP381" s="34"/>
      <c r="FNQ381" s="34"/>
      <c r="FNR381" s="34"/>
      <c r="FNS381" s="34"/>
      <c r="FNT381" s="34"/>
      <c r="FNU381" s="34"/>
      <c r="FNV381" s="34"/>
      <c r="FNW381" s="34"/>
      <c r="FNX381" s="34"/>
      <c r="FNY381" s="34"/>
      <c r="FNZ381" s="34"/>
      <c r="FOA381" s="34"/>
      <c r="FOB381" s="34"/>
      <c r="FOC381" s="34"/>
      <c r="FOD381" s="34"/>
      <c r="FOE381" s="34"/>
      <c r="FOF381" s="34"/>
      <c r="FOG381" s="34"/>
      <c r="FOH381" s="34"/>
      <c r="FOI381" s="34"/>
      <c r="FOJ381" s="34"/>
      <c r="FOK381" s="34"/>
      <c r="FOL381" s="34"/>
      <c r="FOM381" s="34"/>
      <c r="FON381" s="34"/>
      <c r="FOO381" s="34"/>
      <c r="FOP381" s="34"/>
      <c r="FOQ381" s="34"/>
      <c r="FOR381" s="34"/>
      <c r="FOS381" s="34"/>
      <c r="FOT381" s="34"/>
      <c r="FOU381" s="34"/>
      <c r="FOV381" s="34"/>
      <c r="FOW381" s="34"/>
      <c r="FOX381" s="34"/>
      <c r="FOY381" s="34"/>
      <c r="FOZ381" s="34"/>
      <c r="FPA381" s="34"/>
      <c r="FPB381" s="34"/>
      <c r="FPC381" s="34"/>
      <c r="FPD381" s="34"/>
      <c r="FPE381" s="34"/>
      <c r="FPF381" s="34"/>
      <c r="FPG381" s="34"/>
      <c r="FPH381" s="34"/>
      <c r="FPI381" s="34"/>
      <c r="FPJ381" s="34"/>
      <c r="FPK381" s="34"/>
      <c r="FPL381" s="34"/>
      <c r="FPM381" s="34"/>
      <c r="FPN381" s="34"/>
      <c r="FPO381" s="34"/>
      <c r="FPP381" s="34"/>
      <c r="FPQ381" s="34"/>
      <c r="FPR381" s="34"/>
      <c r="FPS381" s="34"/>
      <c r="FPT381" s="34"/>
      <c r="FPU381" s="34"/>
      <c r="FPV381" s="34"/>
      <c r="FPW381" s="34"/>
      <c r="FPX381" s="34"/>
      <c r="FPY381" s="34"/>
      <c r="FPZ381" s="34"/>
      <c r="FQA381" s="34"/>
      <c r="FQB381" s="34"/>
      <c r="FQC381" s="34"/>
      <c r="FQD381" s="34"/>
      <c r="FQE381" s="34"/>
      <c r="FQF381" s="34"/>
      <c r="FQG381" s="34"/>
      <c r="FQH381" s="34"/>
      <c r="FQI381" s="34"/>
      <c r="FQJ381" s="34"/>
      <c r="FQK381" s="34"/>
      <c r="FQL381" s="34"/>
      <c r="FQM381" s="34"/>
      <c r="FQN381" s="34"/>
      <c r="FQO381" s="34"/>
      <c r="FQP381" s="34"/>
      <c r="FQQ381" s="34"/>
      <c r="FQR381" s="34"/>
      <c r="FQS381" s="34"/>
      <c r="FQT381" s="34"/>
      <c r="FQU381" s="34"/>
      <c r="FQV381" s="34"/>
      <c r="FQW381" s="34"/>
      <c r="FQX381" s="34"/>
      <c r="FQY381" s="34"/>
      <c r="FQZ381" s="34"/>
      <c r="FRA381" s="34"/>
      <c r="FRB381" s="34"/>
      <c r="FRC381" s="34"/>
      <c r="FRD381" s="34"/>
      <c r="FRE381" s="34"/>
      <c r="FRF381" s="34"/>
      <c r="FRG381" s="34"/>
      <c r="FRH381" s="34"/>
      <c r="FRI381" s="34"/>
      <c r="FRJ381" s="34"/>
      <c r="FRK381" s="34"/>
      <c r="FRL381" s="34"/>
      <c r="FRM381" s="34"/>
      <c r="FRN381" s="34"/>
      <c r="FRO381" s="34"/>
      <c r="FRP381" s="34"/>
      <c r="FRQ381" s="34"/>
      <c r="FRR381" s="34"/>
      <c r="FRS381" s="34"/>
      <c r="FRT381" s="34"/>
      <c r="FRU381" s="34"/>
      <c r="FRV381" s="34"/>
      <c r="FRW381" s="34"/>
      <c r="FRX381" s="34"/>
      <c r="FRY381" s="34"/>
      <c r="FRZ381" s="34"/>
      <c r="FSA381" s="34"/>
      <c r="FSB381" s="34"/>
      <c r="FSC381" s="34"/>
      <c r="FSD381" s="34"/>
      <c r="FSE381" s="34"/>
      <c r="FSF381" s="34"/>
      <c r="FSG381" s="34"/>
      <c r="FSH381" s="34"/>
      <c r="FSI381" s="34"/>
      <c r="FSJ381" s="34"/>
      <c r="FSK381" s="34"/>
      <c r="FSL381" s="34"/>
      <c r="FSM381" s="34"/>
      <c r="FSN381" s="34"/>
      <c r="FSO381" s="34"/>
      <c r="FSP381" s="34"/>
      <c r="FSQ381" s="34"/>
      <c r="FSR381" s="34"/>
      <c r="FSS381" s="34"/>
      <c r="FST381" s="34"/>
      <c r="FSU381" s="34"/>
      <c r="FSV381" s="34"/>
      <c r="FSW381" s="34"/>
      <c r="FSX381" s="34"/>
      <c r="FSY381" s="34"/>
      <c r="FSZ381" s="34"/>
      <c r="FTA381" s="34"/>
      <c r="FTB381" s="34"/>
      <c r="FTC381" s="34"/>
      <c r="FTD381" s="34"/>
      <c r="FTE381" s="34"/>
      <c r="FTF381" s="34"/>
      <c r="FTG381" s="34"/>
      <c r="FTH381" s="34"/>
      <c r="FTI381" s="34"/>
      <c r="FTJ381" s="34"/>
      <c r="FTK381" s="34"/>
      <c r="FTL381" s="34"/>
      <c r="FTM381" s="34"/>
      <c r="FTN381" s="34"/>
      <c r="FTO381" s="34"/>
      <c r="FTP381" s="34"/>
      <c r="FTQ381" s="34"/>
      <c r="FTR381" s="34"/>
      <c r="FTS381" s="34"/>
      <c r="FTT381" s="34"/>
      <c r="FTU381" s="34"/>
      <c r="FTV381" s="34"/>
      <c r="FTW381" s="34"/>
      <c r="FTX381" s="34"/>
      <c r="FTY381" s="34"/>
      <c r="FTZ381" s="34"/>
      <c r="FUA381" s="34"/>
      <c r="FUB381" s="34"/>
      <c r="FUC381" s="34"/>
      <c r="FUD381" s="34"/>
      <c r="FUE381" s="34"/>
      <c r="FUF381" s="34"/>
      <c r="FUG381" s="34"/>
      <c r="FUH381" s="34"/>
      <c r="FUI381" s="34"/>
      <c r="FUJ381" s="34"/>
      <c r="FUK381" s="34"/>
      <c r="FUL381" s="34"/>
      <c r="FUM381" s="34"/>
      <c r="FUN381" s="34"/>
      <c r="FUO381" s="34"/>
      <c r="FUP381" s="34"/>
      <c r="FUQ381" s="34"/>
      <c r="FUR381" s="34"/>
      <c r="FUS381" s="34"/>
      <c r="FUT381" s="34"/>
      <c r="FUU381" s="34"/>
      <c r="FUV381" s="34"/>
      <c r="FUW381" s="34"/>
      <c r="FUX381" s="34"/>
      <c r="FUY381" s="34"/>
      <c r="FUZ381" s="34"/>
      <c r="FVA381" s="34"/>
      <c r="FVB381" s="34"/>
      <c r="FVC381" s="34"/>
      <c r="FVD381" s="34"/>
      <c r="FVE381" s="34"/>
      <c r="FVF381" s="34"/>
      <c r="FVG381" s="34"/>
      <c r="FVH381" s="34"/>
      <c r="FVI381" s="34"/>
      <c r="FVJ381" s="34"/>
      <c r="FVK381" s="34"/>
      <c r="FVL381" s="34"/>
      <c r="FVM381" s="34"/>
      <c r="FVN381" s="34"/>
      <c r="FVO381" s="34"/>
      <c r="FVP381" s="34"/>
      <c r="FVQ381" s="34"/>
      <c r="FVR381" s="34"/>
      <c r="FVS381" s="34"/>
      <c r="FVT381" s="34"/>
      <c r="FVU381" s="34"/>
      <c r="FVV381" s="34"/>
      <c r="FVW381" s="34"/>
      <c r="FVX381" s="34"/>
      <c r="FVY381" s="34"/>
      <c r="FVZ381" s="34"/>
      <c r="FWA381" s="34"/>
      <c r="FWB381" s="34"/>
      <c r="FWC381" s="34"/>
      <c r="FWD381" s="34"/>
      <c r="FWE381" s="34"/>
      <c r="FWF381" s="34"/>
      <c r="FWG381" s="34"/>
      <c r="FWH381" s="34"/>
      <c r="FWI381" s="34"/>
      <c r="FWJ381" s="34"/>
      <c r="FWK381" s="34"/>
      <c r="FWL381" s="34"/>
      <c r="FWM381" s="34"/>
      <c r="FWN381" s="34"/>
      <c r="FWO381" s="34"/>
      <c r="FWP381" s="34"/>
      <c r="FWQ381" s="34"/>
      <c r="FWR381" s="34"/>
      <c r="FWS381" s="34"/>
      <c r="FWT381" s="34"/>
      <c r="FWU381" s="34"/>
      <c r="FWV381" s="34"/>
      <c r="FWW381" s="34"/>
      <c r="FWX381" s="34"/>
      <c r="FWY381" s="34"/>
      <c r="FWZ381" s="34"/>
      <c r="FXA381" s="34"/>
      <c r="FXB381" s="34"/>
      <c r="FXC381" s="34"/>
      <c r="FXD381" s="34"/>
      <c r="FXE381" s="34"/>
      <c r="FXF381" s="34"/>
      <c r="FXG381" s="34"/>
      <c r="FXH381" s="34"/>
      <c r="FXI381" s="34"/>
      <c r="FXJ381" s="34"/>
      <c r="FXK381" s="34"/>
      <c r="FXL381" s="34"/>
      <c r="FXM381" s="34"/>
      <c r="FXN381" s="34"/>
      <c r="FXO381" s="34"/>
      <c r="FXP381" s="34"/>
      <c r="FXQ381" s="34"/>
      <c r="FXR381" s="34"/>
      <c r="FXS381" s="34"/>
      <c r="FXT381" s="34"/>
      <c r="FXU381" s="34"/>
      <c r="FXV381" s="34"/>
      <c r="FXW381" s="34"/>
      <c r="FXX381" s="34"/>
      <c r="FXY381" s="34"/>
      <c r="FXZ381" s="34"/>
      <c r="FYA381" s="34"/>
      <c r="FYB381" s="34"/>
      <c r="FYC381" s="34"/>
      <c r="FYD381" s="34"/>
      <c r="FYE381" s="34"/>
      <c r="FYF381" s="34"/>
      <c r="FYG381" s="34"/>
      <c r="FYH381" s="34"/>
      <c r="FYI381" s="34"/>
      <c r="FYJ381" s="34"/>
      <c r="FYK381" s="34"/>
      <c r="FYL381" s="34"/>
      <c r="FYM381" s="34"/>
      <c r="FYN381" s="34"/>
      <c r="FYO381" s="34"/>
      <c r="FYP381" s="34"/>
      <c r="FYQ381" s="34"/>
      <c r="FYR381" s="34"/>
      <c r="FYS381" s="34"/>
      <c r="FYT381" s="34"/>
      <c r="FYU381" s="34"/>
      <c r="FYV381" s="34"/>
      <c r="FYW381" s="34"/>
      <c r="FYX381" s="34"/>
      <c r="FYY381" s="34"/>
      <c r="FYZ381" s="34"/>
      <c r="FZA381" s="34"/>
      <c r="FZB381" s="34"/>
      <c r="FZC381" s="34"/>
      <c r="FZD381" s="34"/>
      <c r="FZE381" s="34"/>
      <c r="FZF381" s="34"/>
      <c r="FZG381" s="34"/>
      <c r="FZH381" s="34"/>
      <c r="FZI381" s="34"/>
      <c r="FZJ381" s="34"/>
      <c r="FZK381" s="34"/>
      <c r="FZL381" s="34"/>
      <c r="FZM381" s="34"/>
      <c r="FZN381" s="34"/>
      <c r="FZO381" s="34"/>
      <c r="FZP381" s="34"/>
      <c r="FZQ381" s="34"/>
      <c r="FZR381" s="34"/>
      <c r="FZS381" s="34"/>
      <c r="FZT381" s="34"/>
      <c r="FZU381" s="34"/>
      <c r="FZV381" s="34"/>
      <c r="FZW381" s="34"/>
      <c r="FZX381" s="34"/>
      <c r="FZY381" s="34"/>
      <c r="FZZ381" s="34"/>
      <c r="GAA381" s="34"/>
      <c r="GAB381" s="34"/>
      <c r="GAC381" s="34"/>
      <c r="GAD381" s="34"/>
      <c r="GAE381" s="34"/>
      <c r="GAF381" s="34"/>
      <c r="GAG381" s="34"/>
      <c r="GAH381" s="34"/>
      <c r="GAI381" s="34"/>
      <c r="GAJ381" s="34"/>
      <c r="GAK381" s="34"/>
      <c r="GAL381" s="34"/>
      <c r="GAM381" s="34"/>
      <c r="GAN381" s="34"/>
      <c r="GAO381" s="34"/>
      <c r="GAP381" s="34"/>
      <c r="GAQ381" s="34"/>
      <c r="GAR381" s="34"/>
      <c r="GAS381" s="34"/>
      <c r="GAT381" s="34"/>
      <c r="GAU381" s="34"/>
      <c r="GAV381" s="34"/>
      <c r="GAW381" s="34"/>
      <c r="GAX381" s="34"/>
      <c r="GAY381" s="34"/>
      <c r="GAZ381" s="34"/>
      <c r="GBA381" s="34"/>
      <c r="GBB381" s="34"/>
      <c r="GBC381" s="34"/>
      <c r="GBD381" s="34"/>
      <c r="GBE381" s="34"/>
      <c r="GBF381" s="34"/>
      <c r="GBG381" s="34"/>
      <c r="GBH381" s="34"/>
      <c r="GBI381" s="34"/>
      <c r="GBJ381" s="34"/>
      <c r="GBK381" s="34"/>
      <c r="GBL381" s="34"/>
      <c r="GBM381" s="34"/>
      <c r="GBN381" s="34"/>
      <c r="GBO381" s="34"/>
      <c r="GBP381" s="34"/>
      <c r="GBQ381" s="34"/>
      <c r="GBR381" s="34"/>
      <c r="GBS381" s="34"/>
      <c r="GBT381" s="34"/>
      <c r="GBU381" s="34"/>
      <c r="GBV381" s="34"/>
      <c r="GBW381" s="34"/>
      <c r="GBX381" s="34"/>
      <c r="GBY381" s="34"/>
      <c r="GBZ381" s="34"/>
      <c r="GCA381" s="34"/>
      <c r="GCB381" s="34"/>
      <c r="GCC381" s="34"/>
      <c r="GCD381" s="34"/>
      <c r="GCE381" s="34"/>
      <c r="GCF381" s="34"/>
      <c r="GCG381" s="34"/>
      <c r="GCH381" s="34"/>
      <c r="GCI381" s="34"/>
      <c r="GCJ381" s="34"/>
      <c r="GCK381" s="34"/>
      <c r="GCL381" s="34"/>
      <c r="GCM381" s="34"/>
      <c r="GCN381" s="34"/>
      <c r="GCO381" s="34"/>
      <c r="GCP381" s="34"/>
      <c r="GCQ381" s="34"/>
      <c r="GCR381" s="34"/>
      <c r="GCS381" s="34"/>
      <c r="GCT381" s="34"/>
      <c r="GCU381" s="34"/>
      <c r="GCV381" s="34"/>
      <c r="GCW381" s="34"/>
      <c r="GCX381" s="34"/>
      <c r="GCY381" s="34"/>
      <c r="GCZ381" s="34"/>
      <c r="GDA381" s="34"/>
      <c r="GDB381" s="34"/>
      <c r="GDC381" s="34"/>
      <c r="GDD381" s="34"/>
      <c r="GDE381" s="34"/>
      <c r="GDF381" s="34"/>
      <c r="GDG381" s="34"/>
      <c r="GDH381" s="34"/>
      <c r="GDI381" s="34"/>
      <c r="GDJ381" s="34"/>
      <c r="GDK381" s="34"/>
      <c r="GDL381" s="34"/>
      <c r="GDM381" s="34"/>
      <c r="GDN381" s="34"/>
      <c r="GDO381" s="34"/>
      <c r="GDP381" s="34"/>
      <c r="GDQ381" s="34"/>
      <c r="GDR381" s="34"/>
      <c r="GDS381" s="34"/>
      <c r="GDT381" s="34"/>
      <c r="GDU381" s="34"/>
      <c r="GDV381" s="34"/>
      <c r="GDW381" s="34"/>
      <c r="GDX381" s="34"/>
      <c r="GDY381" s="34"/>
      <c r="GDZ381" s="34"/>
      <c r="GEA381" s="34"/>
      <c r="GEB381" s="34"/>
      <c r="GEC381" s="34"/>
      <c r="GED381" s="34"/>
      <c r="GEE381" s="34"/>
      <c r="GEF381" s="34"/>
      <c r="GEG381" s="34"/>
      <c r="GEH381" s="34"/>
      <c r="GEI381" s="34"/>
      <c r="GEJ381" s="34"/>
      <c r="GEK381" s="34"/>
      <c r="GEL381" s="34"/>
      <c r="GEM381" s="34"/>
      <c r="GEN381" s="34"/>
      <c r="GEO381" s="34"/>
      <c r="GEP381" s="34"/>
      <c r="GEQ381" s="34"/>
      <c r="GER381" s="34"/>
      <c r="GES381" s="34"/>
      <c r="GET381" s="34"/>
      <c r="GEU381" s="34"/>
      <c r="GEV381" s="34"/>
      <c r="GEW381" s="34"/>
      <c r="GEX381" s="34"/>
      <c r="GEY381" s="34"/>
      <c r="GEZ381" s="34"/>
      <c r="GFA381" s="34"/>
      <c r="GFB381" s="34"/>
      <c r="GFC381" s="34"/>
      <c r="GFD381" s="34"/>
      <c r="GFE381" s="34"/>
      <c r="GFF381" s="34"/>
      <c r="GFG381" s="34"/>
      <c r="GFH381" s="34"/>
      <c r="GFI381" s="34"/>
      <c r="GFJ381" s="34"/>
      <c r="GFK381" s="34"/>
      <c r="GFL381" s="34"/>
      <c r="GFM381" s="34"/>
      <c r="GFN381" s="34"/>
      <c r="GFO381" s="34"/>
      <c r="GFP381" s="34"/>
      <c r="GFQ381" s="34"/>
      <c r="GFR381" s="34"/>
      <c r="GFS381" s="34"/>
      <c r="GFT381" s="34"/>
      <c r="GFU381" s="34"/>
      <c r="GFV381" s="34"/>
      <c r="GFW381" s="34"/>
      <c r="GFX381" s="34"/>
      <c r="GFY381" s="34"/>
      <c r="GFZ381" s="34"/>
      <c r="GGA381" s="34"/>
      <c r="GGB381" s="34"/>
      <c r="GGC381" s="34"/>
      <c r="GGD381" s="34"/>
      <c r="GGE381" s="34"/>
      <c r="GGF381" s="34"/>
      <c r="GGG381" s="34"/>
      <c r="GGH381" s="34"/>
      <c r="GGI381" s="34"/>
      <c r="GGJ381" s="34"/>
      <c r="GGK381" s="34"/>
      <c r="GGL381" s="34"/>
      <c r="GGM381" s="34"/>
      <c r="GGN381" s="34"/>
      <c r="GGO381" s="34"/>
      <c r="GGP381" s="34"/>
      <c r="GGQ381" s="34"/>
      <c r="GGR381" s="34"/>
      <c r="GGS381" s="34"/>
      <c r="GGT381" s="34"/>
      <c r="GGU381" s="34"/>
      <c r="GGV381" s="34"/>
      <c r="GGW381" s="34"/>
      <c r="GGX381" s="34"/>
      <c r="GGY381" s="34"/>
      <c r="GGZ381" s="34"/>
      <c r="GHA381" s="34"/>
      <c r="GHB381" s="34"/>
      <c r="GHC381" s="34"/>
      <c r="GHD381" s="34"/>
      <c r="GHE381" s="34"/>
      <c r="GHF381" s="34"/>
      <c r="GHG381" s="34"/>
      <c r="GHH381" s="34"/>
      <c r="GHI381" s="34"/>
      <c r="GHJ381" s="34"/>
      <c r="GHK381" s="34"/>
      <c r="GHL381" s="34"/>
      <c r="GHM381" s="34"/>
      <c r="GHN381" s="34"/>
      <c r="GHO381" s="34"/>
      <c r="GHP381" s="34"/>
      <c r="GHQ381" s="34"/>
      <c r="GHR381" s="34"/>
      <c r="GHS381" s="34"/>
      <c r="GHT381" s="34"/>
      <c r="GHU381" s="34"/>
      <c r="GHV381" s="34"/>
      <c r="GHW381" s="34"/>
      <c r="GHX381" s="34"/>
      <c r="GHY381" s="34"/>
      <c r="GHZ381" s="34"/>
      <c r="GIA381" s="34"/>
      <c r="GIB381" s="34"/>
      <c r="GIC381" s="34"/>
      <c r="GID381" s="34"/>
      <c r="GIE381" s="34"/>
      <c r="GIF381" s="34"/>
      <c r="GIG381" s="34"/>
      <c r="GIH381" s="34"/>
      <c r="GII381" s="34"/>
      <c r="GIJ381" s="34"/>
      <c r="GIK381" s="34"/>
      <c r="GIL381" s="34"/>
      <c r="GIM381" s="34"/>
      <c r="GIN381" s="34"/>
      <c r="GIO381" s="34"/>
      <c r="GIP381" s="34"/>
      <c r="GIQ381" s="34"/>
      <c r="GIR381" s="34"/>
      <c r="GIS381" s="34"/>
      <c r="GIT381" s="34"/>
      <c r="GIU381" s="34"/>
      <c r="GIV381" s="34"/>
      <c r="GIW381" s="34"/>
      <c r="GIX381" s="34"/>
      <c r="GIY381" s="34"/>
      <c r="GIZ381" s="34"/>
      <c r="GJA381" s="34"/>
      <c r="GJB381" s="34"/>
      <c r="GJC381" s="34"/>
      <c r="GJD381" s="34"/>
      <c r="GJE381" s="34"/>
      <c r="GJF381" s="34"/>
      <c r="GJG381" s="34"/>
      <c r="GJH381" s="34"/>
      <c r="GJI381" s="34"/>
      <c r="GJJ381" s="34"/>
      <c r="GJK381" s="34"/>
      <c r="GJL381" s="34"/>
      <c r="GJM381" s="34"/>
      <c r="GJN381" s="34"/>
      <c r="GJO381" s="34"/>
      <c r="GJP381" s="34"/>
      <c r="GJQ381" s="34"/>
      <c r="GJR381" s="34"/>
      <c r="GJS381" s="34"/>
      <c r="GJT381" s="34"/>
      <c r="GJU381" s="34"/>
      <c r="GJV381" s="34"/>
      <c r="GJW381" s="34"/>
      <c r="GJX381" s="34"/>
      <c r="GJY381" s="34"/>
      <c r="GJZ381" s="34"/>
      <c r="GKA381" s="34"/>
      <c r="GKB381" s="34"/>
      <c r="GKC381" s="34"/>
      <c r="GKD381" s="34"/>
      <c r="GKE381" s="34"/>
      <c r="GKF381" s="34"/>
      <c r="GKG381" s="34"/>
      <c r="GKH381" s="34"/>
      <c r="GKI381" s="34"/>
      <c r="GKJ381" s="34"/>
      <c r="GKK381" s="34"/>
      <c r="GKL381" s="34"/>
      <c r="GKM381" s="34"/>
      <c r="GKN381" s="34"/>
      <c r="GKO381" s="34"/>
      <c r="GKP381" s="34"/>
      <c r="GKQ381" s="34"/>
      <c r="GKR381" s="34"/>
      <c r="GKS381" s="34"/>
      <c r="GKT381" s="34"/>
      <c r="GKU381" s="34"/>
      <c r="GKV381" s="34"/>
      <c r="GKW381" s="34"/>
      <c r="GKX381" s="34"/>
      <c r="GKY381" s="34"/>
      <c r="GKZ381" s="34"/>
      <c r="GLA381" s="34"/>
      <c r="GLB381" s="34"/>
      <c r="GLC381" s="34"/>
      <c r="GLD381" s="34"/>
      <c r="GLE381" s="34"/>
      <c r="GLF381" s="34"/>
      <c r="GLG381" s="34"/>
      <c r="GLH381" s="34"/>
      <c r="GLI381" s="34"/>
      <c r="GLJ381" s="34"/>
      <c r="GLK381" s="34"/>
      <c r="GLL381" s="34"/>
      <c r="GLM381" s="34"/>
      <c r="GLN381" s="34"/>
      <c r="GLO381" s="34"/>
      <c r="GLP381" s="34"/>
      <c r="GLQ381" s="34"/>
      <c r="GLR381" s="34"/>
      <c r="GLS381" s="34"/>
      <c r="GLT381" s="34"/>
      <c r="GLU381" s="34"/>
      <c r="GLV381" s="34"/>
      <c r="GLW381" s="34"/>
      <c r="GLX381" s="34"/>
      <c r="GLY381" s="34"/>
      <c r="GLZ381" s="34"/>
      <c r="GMA381" s="34"/>
      <c r="GMB381" s="34"/>
      <c r="GMC381" s="34"/>
      <c r="GMD381" s="34"/>
      <c r="GME381" s="34"/>
      <c r="GMF381" s="34"/>
      <c r="GMG381" s="34"/>
      <c r="GMH381" s="34"/>
      <c r="GMI381" s="34"/>
      <c r="GMJ381" s="34"/>
      <c r="GMK381" s="34"/>
      <c r="GML381" s="34"/>
      <c r="GMM381" s="34"/>
      <c r="GMN381" s="34"/>
      <c r="GMO381" s="34"/>
      <c r="GMP381" s="34"/>
      <c r="GMQ381" s="34"/>
      <c r="GMR381" s="34"/>
      <c r="GMS381" s="34"/>
      <c r="GMT381" s="34"/>
      <c r="GMU381" s="34"/>
      <c r="GMV381" s="34"/>
      <c r="GMW381" s="34"/>
      <c r="GMX381" s="34"/>
      <c r="GMY381" s="34"/>
      <c r="GMZ381" s="34"/>
      <c r="GNA381" s="34"/>
      <c r="GNB381" s="34"/>
      <c r="GNC381" s="34"/>
      <c r="GND381" s="34"/>
      <c r="GNE381" s="34"/>
      <c r="GNF381" s="34"/>
      <c r="GNG381" s="34"/>
      <c r="GNH381" s="34"/>
      <c r="GNI381" s="34"/>
      <c r="GNJ381" s="34"/>
      <c r="GNK381" s="34"/>
      <c r="GNL381" s="34"/>
      <c r="GNM381" s="34"/>
      <c r="GNN381" s="34"/>
      <c r="GNO381" s="34"/>
      <c r="GNP381" s="34"/>
      <c r="GNQ381" s="34"/>
      <c r="GNR381" s="34"/>
      <c r="GNS381" s="34"/>
      <c r="GNT381" s="34"/>
      <c r="GNU381" s="34"/>
      <c r="GNV381" s="34"/>
      <c r="GNW381" s="34"/>
      <c r="GNX381" s="34"/>
      <c r="GNY381" s="34"/>
      <c r="GNZ381" s="34"/>
      <c r="GOA381" s="34"/>
      <c r="GOB381" s="34"/>
      <c r="GOC381" s="34"/>
      <c r="GOD381" s="34"/>
      <c r="GOE381" s="34"/>
      <c r="GOF381" s="34"/>
      <c r="GOG381" s="34"/>
      <c r="GOH381" s="34"/>
      <c r="GOI381" s="34"/>
      <c r="GOJ381" s="34"/>
      <c r="GOK381" s="34"/>
      <c r="GOL381" s="34"/>
      <c r="GOM381" s="34"/>
      <c r="GON381" s="34"/>
      <c r="GOO381" s="34"/>
      <c r="GOP381" s="34"/>
      <c r="GOQ381" s="34"/>
      <c r="GOR381" s="34"/>
      <c r="GOS381" s="34"/>
      <c r="GOT381" s="34"/>
      <c r="GOU381" s="34"/>
      <c r="GOV381" s="34"/>
      <c r="GOW381" s="34"/>
      <c r="GOX381" s="34"/>
      <c r="GOY381" s="34"/>
      <c r="GOZ381" s="34"/>
      <c r="GPA381" s="34"/>
      <c r="GPB381" s="34"/>
      <c r="GPC381" s="34"/>
      <c r="GPD381" s="34"/>
      <c r="GPE381" s="34"/>
      <c r="GPF381" s="34"/>
      <c r="GPG381" s="34"/>
      <c r="GPH381" s="34"/>
      <c r="GPI381" s="34"/>
      <c r="GPJ381" s="34"/>
      <c r="GPK381" s="34"/>
      <c r="GPL381" s="34"/>
      <c r="GPM381" s="34"/>
      <c r="GPN381" s="34"/>
      <c r="GPO381" s="34"/>
      <c r="GPP381" s="34"/>
      <c r="GPQ381" s="34"/>
      <c r="GPR381" s="34"/>
      <c r="GPS381" s="34"/>
      <c r="GPT381" s="34"/>
      <c r="GPU381" s="34"/>
      <c r="GPV381" s="34"/>
      <c r="GPW381" s="34"/>
      <c r="GPX381" s="34"/>
      <c r="GPY381" s="34"/>
      <c r="GPZ381" s="34"/>
      <c r="GQA381" s="34"/>
      <c r="GQB381" s="34"/>
      <c r="GQC381" s="34"/>
      <c r="GQD381" s="34"/>
      <c r="GQE381" s="34"/>
      <c r="GQF381" s="34"/>
      <c r="GQG381" s="34"/>
      <c r="GQH381" s="34"/>
      <c r="GQI381" s="34"/>
      <c r="GQJ381" s="34"/>
      <c r="GQK381" s="34"/>
      <c r="GQL381" s="34"/>
      <c r="GQM381" s="34"/>
      <c r="GQN381" s="34"/>
      <c r="GQO381" s="34"/>
      <c r="GQP381" s="34"/>
      <c r="GQQ381" s="34"/>
      <c r="GQR381" s="34"/>
      <c r="GQS381" s="34"/>
      <c r="GQT381" s="34"/>
      <c r="GQU381" s="34"/>
      <c r="GQV381" s="34"/>
      <c r="GQW381" s="34"/>
      <c r="GQX381" s="34"/>
      <c r="GQY381" s="34"/>
      <c r="GQZ381" s="34"/>
      <c r="GRA381" s="34"/>
      <c r="GRB381" s="34"/>
      <c r="GRC381" s="34"/>
      <c r="GRD381" s="34"/>
      <c r="GRE381" s="34"/>
      <c r="GRF381" s="34"/>
      <c r="GRG381" s="34"/>
      <c r="GRH381" s="34"/>
      <c r="GRI381" s="34"/>
      <c r="GRJ381" s="34"/>
      <c r="GRK381" s="34"/>
      <c r="GRL381" s="34"/>
      <c r="GRM381" s="34"/>
      <c r="GRN381" s="34"/>
      <c r="GRO381" s="34"/>
      <c r="GRP381" s="34"/>
      <c r="GRQ381" s="34"/>
      <c r="GRR381" s="34"/>
      <c r="GRS381" s="34"/>
      <c r="GRT381" s="34"/>
      <c r="GRU381" s="34"/>
      <c r="GRV381" s="34"/>
      <c r="GRW381" s="34"/>
      <c r="GRX381" s="34"/>
      <c r="GRY381" s="34"/>
      <c r="GRZ381" s="34"/>
      <c r="GSA381" s="34"/>
      <c r="GSB381" s="34"/>
      <c r="GSC381" s="34"/>
      <c r="GSD381" s="34"/>
      <c r="GSE381" s="34"/>
      <c r="GSF381" s="34"/>
      <c r="GSG381" s="34"/>
      <c r="GSH381" s="34"/>
      <c r="GSI381" s="34"/>
      <c r="GSJ381" s="34"/>
      <c r="GSK381" s="34"/>
      <c r="GSL381" s="34"/>
      <c r="GSM381" s="34"/>
      <c r="GSN381" s="34"/>
      <c r="GSO381" s="34"/>
      <c r="GSP381" s="34"/>
      <c r="GSQ381" s="34"/>
      <c r="GSR381" s="34"/>
      <c r="GSS381" s="34"/>
      <c r="GST381" s="34"/>
      <c r="GSU381" s="34"/>
      <c r="GSV381" s="34"/>
      <c r="GSW381" s="34"/>
      <c r="GSX381" s="34"/>
      <c r="GSY381" s="34"/>
      <c r="GSZ381" s="34"/>
      <c r="GTA381" s="34"/>
      <c r="GTB381" s="34"/>
      <c r="GTC381" s="34"/>
      <c r="GTD381" s="34"/>
      <c r="GTE381" s="34"/>
      <c r="GTF381" s="34"/>
      <c r="GTG381" s="34"/>
      <c r="GTH381" s="34"/>
      <c r="GTI381" s="34"/>
      <c r="GTJ381" s="34"/>
      <c r="GTK381" s="34"/>
      <c r="GTL381" s="34"/>
      <c r="GTM381" s="34"/>
      <c r="GTN381" s="34"/>
      <c r="GTO381" s="34"/>
      <c r="GTP381" s="34"/>
      <c r="GTQ381" s="34"/>
      <c r="GTR381" s="34"/>
      <c r="GTS381" s="34"/>
      <c r="GTT381" s="34"/>
      <c r="GTU381" s="34"/>
      <c r="GTV381" s="34"/>
      <c r="GTW381" s="34"/>
      <c r="GTX381" s="34"/>
      <c r="GTY381" s="34"/>
      <c r="GTZ381" s="34"/>
      <c r="GUA381" s="34"/>
      <c r="GUB381" s="34"/>
      <c r="GUC381" s="34"/>
      <c r="GUD381" s="34"/>
      <c r="GUE381" s="34"/>
      <c r="GUF381" s="34"/>
      <c r="GUG381" s="34"/>
      <c r="GUH381" s="34"/>
      <c r="GUI381" s="34"/>
      <c r="GUJ381" s="34"/>
      <c r="GUK381" s="34"/>
      <c r="GUL381" s="34"/>
      <c r="GUM381" s="34"/>
      <c r="GUN381" s="34"/>
      <c r="GUO381" s="34"/>
      <c r="GUP381" s="34"/>
      <c r="GUQ381" s="34"/>
      <c r="GUR381" s="34"/>
      <c r="GUS381" s="34"/>
      <c r="GUT381" s="34"/>
      <c r="GUU381" s="34"/>
      <c r="GUV381" s="34"/>
      <c r="GUW381" s="34"/>
      <c r="GUX381" s="34"/>
      <c r="GUY381" s="34"/>
      <c r="GUZ381" s="34"/>
      <c r="GVA381" s="34"/>
      <c r="GVB381" s="34"/>
      <c r="GVC381" s="34"/>
      <c r="GVD381" s="34"/>
      <c r="GVE381" s="34"/>
      <c r="GVF381" s="34"/>
      <c r="GVG381" s="34"/>
      <c r="GVH381" s="34"/>
      <c r="GVI381" s="34"/>
      <c r="GVJ381" s="34"/>
      <c r="GVK381" s="34"/>
      <c r="GVL381" s="34"/>
      <c r="GVM381" s="34"/>
      <c r="GVN381" s="34"/>
      <c r="GVO381" s="34"/>
      <c r="GVP381" s="34"/>
      <c r="GVQ381" s="34"/>
      <c r="GVR381" s="34"/>
      <c r="GVS381" s="34"/>
      <c r="GVT381" s="34"/>
      <c r="GVU381" s="34"/>
      <c r="GVV381" s="34"/>
      <c r="GVW381" s="34"/>
      <c r="GVX381" s="34"/>
      <c r="GVY381" s="34"/>
      <c r="GVZ381" s="34"/>
      <c r="GWA381" s="34"/>
      <c r="GWB381" s="34"/>
      <c r="GWC381" s="34"/>
      <c r="GWD381" s="34"/>
      <c r="GWE381" s="34"/>
      <c r="GWF381" s="34"/>
      <c r="GWG381" s="34"/>
      <c r="GWH381" s="34"/>
      <c r="GWI381" s="34"/>
      <c r="GWJ381" s="34"/>
      <c r="GWK381" s="34"/>
      <c r="GWL381" s="34"/>
      <c r="GWM381" s="34"/>
      <c r="GWN381" s="34"/>
      <c r="GWO381" s="34"/>
      <c r="GWP381" s="34"/>
      <c r="GWQ381" s="34"/>
      <c r="GWR381" s="34"/>
      <c r="GWS381" s="34"/>
      <c r="GWT381" s="34"/>
      <c r="GWU381" s="34"/>
      <c r="GWV381" s="34"/>
      <c r="GWW381" s="34"/>
      <c r="GWX381" s="34"/>
      <c r="GWY381" s="34"/>
      <c r="GWZ381" s="34"/>
      <c r="GXA381" s="34"/>
      <c r="GXB381" s="34"/>
      <c r="GXC381" s="34"/>
      <c r="GXD381" s="34"/>
      <c r="GXE381" s="34"/>
      <c r="GXF381" s="34"/>
      <c r="GXG381" s="34"/>
      <c r="GXH381" s="34"/>
      <c r="GXI381" s="34"/>
      <c r="GXJ381" s="34"/>
      <c r="GXK381" s="34"/>
      <c r="GXL381" s="34"/>
      <c r="GXM381" s="34"/>
      <c r="GXN381" s="34"/>
      <c r="GXO381" s="34"/>
      <c r="GXP381" s="34"/>
      <c r="GXQ381" s="34"/>
      <c r="GXR381" s="34"/>
      <c r="GXS381" s="34"/>
      <c r="GXT381" s="34"/>
      <c r="GXU381" s="34"/>
      <c r="GXV381" s="34"/>
      <c r="GXW381" s="34"/>
      <c r="GXX381" s="34"/>
      <c r="GXY381" s="34"/>
      <c r="GXZ381" s="34"/>
      <c r="GYA381" s="34"/>
      <c r="GYB381" s="34"/>
      <c r="GYC381" s="34"/>
      <c r="GYD381" s="34"/>
      <c r="GYE381" s="34"/>
      <c r="GYF381" s="34"/>
      <c r="GYG381" s="34"/>
      <c r="GYH381" s="34"/>
      <c r="GYI381" s="34"/>
      <c r="GYJ381" s="34"/>
      <c r="GYK381" s="34"/>
      <c r="GYL381" s="34"/>
      <c r="GYM381" s="34"/>
      <c r="GYN381" s="34"/>
      <c r="GYO381" s="34"/>
      <c r="GYP381" s="34"/>
      <c r="GYQ381" s="34"/>
      <c r="GYR381" s="34"/>
      <c r="GYS381" s="34"/>
      <c r="GYT381" s="34"/>
      <c r="GYU381" s="34"/>
      <c r="GYV381" s="34"/>
      <c r="GYW381" s="34"/>
      <c r="GYX381" s="34"/>
      <c r="GYY381" s="34"/>
      <c r="GYZ381" s="34"/>
      <c r="GZA381" s="34"/>
      <c r="GZB381" s="34"/>
      <c r="GZC381" s="34"/>
      <c r="GZD381" s="34"/>
      <c r="GZE381" s="34"/>
      <c r="GZF381" s="34"/>
      <c r="GZG381" s="34"/>
      <c r="GZH381" s="34"/>
      <c r="GZI381" s="34"/>
      <c r="GZJ381" s="34"/>
      <c r="GZK381" s="34"/>
      <c r="GZL381" s="34"/>
      <c r="GZM381" s="34"/>
      <c r="GZN381" s="34"/>
      <c r="GZO381" s="34"/>
      <c r="GZP381" s="34"/>
      <c r="GZQ381" s="34"/>
      <c r="GZR381" s="34"/>
      <c r="GZS381" s="34"/>
      <c r="GZT381" s="34"/>
      <c r="GZU381" s="34"/>
      <c r="GZV381" s="34"/>
      <c r="GZW381" s="34"/>
      <c r="GZX381" s="34"/>
      <c r="GZY381" s="34"/>
      <c r="GZZ381" s="34"/>
      <c r="HAA381" s="34"/>
      <c r="HAB381" s="34"/>
      <c r="HAC381" s="34"/>
      <c r="HAD381" s="34"/>
      <c r="HAE381" s="34"/>
      <c r="HAF381" s="34"/>
      <c r="HAG381" s="34"/>
      <c r="HAH381" s="34"/>
      <c r="HAI381" s="34"/>
      <c r="HAJ381" s="34"/>
      <c r="HAK381" s="34"/>
      <c r="HAL381" s="34"/>
      <c r="HAM381" s="34"/>
      <c r="HAN381" s="34"/>
      <c r="HAO381" s="34"/>
      <c r="HAP381" s="34"/>
      <c r="HAQ381" s="34"/>
      <c r="HAR381" s="34"/>
      <c r="HAS381" s="34"/>
      <c r="HAT381" s="34"/>
      <c r="HAU381" s="34"/>
      <c r="HAV381" s="34"/>
      <c r="HAW381" s="34"/>
      <c r="HAX381" s="34"/>
      <c r="HAY381" s="34"/>
      <c r="HAZ381" s="34"/>
      <c r="HBA381" s="34"/>
      <c r="HBB381" s="34"/>
      <c r="HBC381" s="34"/>
      <c r="HBD381" s="34"/>
      <c r="HBE381" s="34"/>
      <c r="HBF381" s="34"/>
      <c r="HBG381" s="34"/>
      <c r="HBH381" s="34"/>
      <c r="HBI381" s="34"/>
      <c r="HBJ381" s="34"/>
      <c r="HBK381" s="34"/>
      <c r="HBL381" s="34"/>
      <c r="HBM381" s="34"/>
      <c r="HBN381" s="34"/>
      <c r="HBO381" s="34"/>
      <c r="HBP381" s="34"/>
      <c r="HBQ381" s="34"/>
      <c r="HBR381" s="34"/>
      <c r="HBS381" s="34"/>
      <c r="HBT381" s="34"/>
      <c r="HBU381" s="34"/>
      <c r="HBV381" s="34"/>
      <c r="HBW381" s="34"/>
      <c r="HBX381" s="34"/>
      <c r="HBY381" s="34"/>
      <c r="HBZ381" s="34"/>
      <c r="HCA381" s="34"/>
      <c r="HCB381" s="34"/>
      <c r="HCC381" s="34"/>
      <c r="HCD381" s="34"/>
      <c r="HCE381" s="34"/>
      <c r="HCF381" s="34"/>
      <c r="HCG381" s="34"/>
      <c r="HCH381" s="34"/>
      <c r="HCI381" s="34"/>
      <c r="HCJ381" s="34"/>
      <c r="HCK381" s="34"/>
      <c r="HCL381" s="34"/>
      <c r="HCM381" s="34"/>
      <c r="HCN381" s="34"/>
      <c r="HCO381" s="34"/>
      <c r="HCP381" s="34"/>
      <c r="HCQ381" s="34"/>
      <c r="HCR381" s="34"/>
      <c r="HCS381" s="34"/>
      <c r="HCT381" s="34"/>
      <c r="HCU381" s="34"/>
      <c r="HCV381" s="34"/>
      <c r="HCW381" s="34"/>
      <c r="HCX381" s="34"/>
      <c r="HCY381" s="34"/>
      <c r="HCZ381" s="34"/>
      <c r="HDA381" s="34"/>
      <c r="HDB381" s="34"/>
      <c r="HDC381" s="34"/>
      <c r="HDD381" s="34"/>
      <c r="HDE381" s="34"/>
      <c r="HDF381" s="34"/>
      <c r="HDG381" s="34"/>
      <c r="HDH381" s="34"/>
      <c r="HDI381" s="34"/>
      <c r="HDJ381" s="34"/>
      <c r="HDK381" s="34"/>
      <c r="HDL381" s="34"/>
      <c r="HDM381" s="34"/>
      <c r="HDN381" s="34"/>
      <c r="HDO381" s="34"/>
      <c r="HDP381" s="34"/>
      <c r="HDQ381" s="34"/>
      <c r="HDR381" s="34"/>
      <c r="HDS381" s="34"/>
      <c r="HDT381" s="34"/>
      <c r="HDU381" s="34"/>
      <c r="HDV381" s="34"/>
      <c r="HDW381" s="34"/>
      <c r="HDX381" s="34"/>
      <c r="HDY381" s="34"/>
      <c r="HDZ381" s="34"/>
      <c r="HEA381" s="34"/>
      <c r="HEB381" s="34"/>
      <c r="HEC381" s="34"/>
      <c r="HED381" s="34"/>
      <c r="HEE381" s="34"/>
      <c r="HEF381" s="34"/>
      <c r="HEG381" s="34"/>
      <c r="HEH381" s="34"/>
      <c r="HEI381" s="34"/>
      <c r="HEJ381" s="34"/>
      <c r="HEK381" s="34"/>
      <c r="HEL381" s="34"/>
      <c r="HEM381" s="34"/>
      <c r="HEN381" s="34"/>
      <c r="HEO381" s="34"/>
      <c r="HEP381" s="34"/>
      <c r="HEQ381" s="34"/>
      <c r="HER381" s="34"/>
      <c r="HES381" s="34"/>
      <c r="HET381" s="34"/>
      <c r="HEU381" s="34"/>
      <c r="HEV381" s="34"/>
      <c r="HEW381" s="34"/>
      <c r="HEX381" s="34"/>
      <c r="HEY381" s="34"/>
      <c r="HEZ381" s="34"/>
      <c r="HFA381" s="34"/>
      <c r="HFB381" s="34"/>
      <c r="HFC381" s="34"/>
      <c r="HFD381" s="34"/>
      <c r="HFE381" s="34"/>
      <c r="HFF381" s="34"/>
      <c r="HFG381" s="34"/>
      <c r="HFH381" s="34"/>
      <c r="HFI381" s="34"/>
      <c r="HFJ381" s="34"/>
      <c r="HFK381" s="34"/>
      <c r="HFL381" s="34"/>
      <c r="HFM381" s="34"/>
      <c r="HFN381" s="34"/>
      <c r="HFO381" s="34"/>
      <c r="HFP381" s="34"/>
      <c r="HFQ381" s="34"/>
      <c r="HFR381" s="34"/>
      <c r="HFS381" s="34"/>
      <c r="HFT381" s="34"/>
      <c r="HFU381" s="34"/>
      <c r="HFV381" s="34"/>
      <c r="HFW381" s="34"/>
      <c r="HFX381" s="34"/>
      <c r="HFY381" s="34"/>
      <c r="HFZ381" s="34"/>
      <c r="HGA381" s="34"/>
      <c r="HGB381" s="34"/>
      <c r="HGC381" s="34"/>
      <c r="HGD381" s="34"/>
      <c r="HGE381" s="34"/>
      <c r="HGF381" s="34"/>
      <c r="HGG381" s="34"/>
      <c r="HGH381" s="34"/>
      <c r="HGI381" s="34"/>
      <c r="HGJ381" s="34"/>
      <c r="HGK381" s="34"/>
      <c r="HGL381" s="34"/>
      <c r="HGM381" s="34"/>
      <c r="HGN381" s="34"/>
      <c r="HGO381" s="34"/>
      <c r="HGP381" s="34"/>
      <c r="HGQ381" s="34"/>
      <c r="HGR381" s="34"/>
      <c r="HGS381" s="34"/>
      <c r="HGT381" s="34"/>
      <c r="HGU381" s="34"/>
      <c r="HGV381" s="34"/>
      <c r="HGW381" s="34"/>
      <c r="HGX381" s="34"/>
      <c r="HGY381" s="34"/>
      <c r="HGZ381" s="34"/>
      <c r="HHA381" s="34"/>
      <c r="HHB381" s="34"/>
      <c r="HHC381" s="34"/>
      <c r="HHD381" s="34"/>
      <c r="HHE381" s="34"/>
      <c r="HHF381" s="34"/>
      <c r="HHG381" s="34"/>
      <c r="HHH381" s="34"/>
      <c r="HHI381" s="34"/>
      <c r="HHJ381" s="34"/>
      <c r="HHK381" s="34"/>
      <c r="HHL381" s="34"/>
      <c r="HHM381" s="34"/>
      <c r="HHN381" s="34"/>
      <c r="HHO381" s="34"/>
      <c r="HHP381" s="34"/>
      <c r="HHQ381" s="34"/>
      <c r="HHR381" s="34"/>
      <c r="HHS381" s="34"/>
      <c r="HHT381" s="34"/>
      <c r="HHU381" s="34"/>
      <c r="HHV381" s="34"/>
      <c r="HHW381" s="34"/>
      <c r="HHX381" s="34"/>
      <c r="HHY381" s="34"/>
      <c r="HHZ381" s="34"/>
      <c r="HIA381" s="34"/>
      <c r="HIB381" s="34"/>
      <c r="HIC381" s="34"/>
      <c r="HID381" s="34"/>
      <c r="HIE381" s="34"/>
      <c r="HIF381" s="34"/>
      <c r="HIG381" s="34"/>
      <c r="HIH381" s="34"/>
      <c r="HII381" s="34"/>
      <c r="HIJ381" s="34"/>
      <c r="HIK381" s="34"/>
      <c r="HIL381" s="34"/>
      <c r="HIM381" s="34"/>
      <c r="HIN381" s="34"/>
      <c r="HIO381" s="34"/>
      <c r="HIP381" s="34"/>
      <c r="HIQ381" s="34"/>
      <c r="HIR381" s="34"/>
      <c r="HIS381" s="34"/>
      <c r="HIT381" s="34"/>
      <c r="HIU381" s="34"/>
      <c r="HIV381" s="34"/>
      <c r="HIW381" s="34"/>
      <c r="HIX381" s="34"/>
      <c r="HIY381" s="34"/>
      <c r="HIZ381" s="34"/>
      <c r="HJA381" s="34"/>
      <c r="HJB381" s="34"/>
      <c r="HJC381" s="34"/>
      <c r="HJD381" s="34"/>
      <c r="HJE381" s="34"/>
      <c r="HJF381" s="34"/>
      <c r="HJG381" s="34"/>
      <c r="HJH381" s="34"/>
      <c r="HJI381" s="34"/>
      <c r="HJJ381" s="34"/>
      <c r="HJK381" s="34"/>
      <c r="HJL381" s="34"/>
      <c r="HJM381" s="34"/>
      <c r="HJN381" s="34"/>
      <c r="HJO381" s="34"/>
      <c r="HJP381" s="34"/>
      <c r="HJQ381" s="34"/>
      <c r="HJR381" s="34"/>
      <c r="HJS381" s="34"/>
      <c r="HJT381" s="34"/>
      <c r="HJU381" s="34"/>
      <c r="HJV381" s="34"/>
      <c r="HJW381" s="34"/>
      <c r="HJX381" s="34"/>
      <c r="HJY381" s="34"/>
      <c r="HJZ381" s="34"/>
      <c r="HKA381" s="34"/>
      <c r="HKB381" s="34"/>
      <c r="HKC381" s="34"/>
      <c r="HKD381" s="34"/>
      <c r="HKE381" s="34"/>
      <c r="HKF381" s="34"/>
      <c r="HKG381" s="34"/>
      <c r="HKH381" s="34"/>
      <c r="HKI381" s="34"/>
      <c r="HKJ381" s="34"/>
      <c r="HKK381" s="34"/>
      <c r="HKL381" s="34"/>
      <c r="HKM381" s="34"/>
      <c r="HKN381" s="34"/>
      <c r="HKO381" s="34"/>
      <c r="HKP381" s="34"/>
      <c r="HKQ381" s="34"/>
      <c r="HKR381" s="34"/>
      <c r="HKS381" s="34"/>
      <c r="HKT381" s="34"/>
      <c r="HKU381" s="34"/>
      <c r="HKV381" s="34"/>
      <c r="HKW381" s="34"/>
      <c r="HKX381" s="34"/>
      <c r="HKY381" s="34"/>
      <c r="HKZ381" s="34"/>
      <c r="HLA381" s="34"/>
      <c r="HLB381" s="34"/>
      <c r="HLC381" s="34"/>
      <c r="HLD381" s="34"/>
      <c r="HLE381" s="34"/>
      <c r="HLF381" s="34"/>
      <c r="HLG381" s="34"/>
      <c r="HLH381" s="34"/>
      <c r="HLI381" s="34"/>
      <c r="HLJ381" s="34"/>
      <c r="HLK381" s="34"/>
      <c r="HLL381" s="34"/>
      <c r="HLM381" s="34"/>
      <c r="HLN381" s="34"/>
      <c r="HLO381" s="34"/>
      <c r="HLP381" s="34"/>
      <c r="HLQ381" s="34"/>
      <c r="HLR381" s="34"/>
      <c r="HLS381" s="34"/>
      <c r="HLT381" s="34"/>
      <c r="HLU381" s="34"/>
      <c r="HLV381" s="34"/>
      <c r="HLW381" s="34"/>
      <c r="HLX381" s="34"/>
      <c r="HLY381" s="34"/>
      <c r="HLZ381" s="34"/>
      <c r="HMA381" s="34"/>
      <c r="HMB381" s="34"/>
      <c r="HMC381" s="34"/>
      <c r="HMD381" s="34"/>
      <c r="HME381" s="34"/>
      <c r="HMF381" s="34"/>
      <c r="HMG381" s="34"/>
      <c r="HMH381" s="34"/>
      <c r="HMI381" s="34"/>
      <c r="HMJ381" s="34"/>
      <c r="HMK381" s="34"/>
      <c r="HML381" s="34"/>
      <c r="HMM381" s="34"/>
      <c r="HMN381" s="34"/>
      <c r="HMO381" s="34"/>
      <c r="HMP381" s="34"/>
      <c r="HMQ381" s="34"/>
      <c r="HMR381" s="34"/>
      <c r="HMS381" s="34"/>
      <c r="HMT381" s="34"/>
      <c r="HMU381" s="34"/>
      <c r="HMV381" s="34"/>
      <c r="HMW381" s="34"/>
      <c r="HMX381" s="34"/>
      <c r="HMY381" s="34"/>
      <c r="HMZ381" s="34"/>
      <c r="HNA381" s="34"/>
      <c r="HNB381" s="34"/>
      <c r="HNC381" s="34"/>
      <c r="HND381" s="34"/>
      <c r="HNE381" s="34"/>
      <c r="HNF381" s="34"/>
      <c r="HNG381" s="34"/>
      <c r="HNH381" s="34"/>
      <c r="HNI381" s="34"/>
      <c r="HNJ381" s="34"/>
      <c r="HNK381" s="34"/>
      <c r="HNL381" s="34"/>
      <c r="HNM381" s="34"/>
      <c r="HNN381" s="34"/>
      <c r="HNO381" s="34"/>
      <c r="HNP381" s="34"/>
      <c r="HNQ381" s="34"/>
      <c r="HNR381" s="34"/>
      <c r="HNS381" s="34"/>
      <c r="HNT381" s="34"/>
      <c r="HNU381" s="34"/>
      <c r="HNV381" s="34"/>
      <c r="HNW381" s="34"/>
      <c r="HNX381" s="34"/>
      <c r="HNY381" s="34"/>
      <c r="HNZ381" s="34"/>
      <c r="HOA381" s="34"/>
      <c r="HOB381" s="34"/>
      <c r="HOC381" s="34"/>
      <c r="HOD381" s="34"/>
      <c r="HOE381" s="34"/>
      <c r="HOF381" s="34"/>
      <c r="HOG381" s="34"/>
      <c r="HOH381" s="34"/>
      <c r="HOI381" s="34"/>
      <c r="HOJ381" s="34"/>
      <c r="HOK381" s="34"/>
      <c r="HOL381" s="34"/>
      <c r="HOM381" s="34"/>
      <c r="HON381" s="34"/>
      <c r="HOO381" s="34"/>
      <c r="HOP381" s="34"/>
      <c r="HOQ381" s="34"/>
      <c r="HOR381" s="34"/>
      <c r="HOS381" s="34"/>
      <c r="HOT381" s="34"/>
      <c r="HOU381" s="34"/>
      <c r="HOV381" s="34"/>
      <c r="HOW381" s="34"/>
      <c r="HOX381" s="34"/>
      <c r="HOY381" s="34"/>
      <c r="HOZ381" s="34"/>
      <c r="HPA381" s="34"/>
      <c r="HPB381" s="34"/>
      <c r="HPC381" s="34"/>
      <c r="HPD381" s="34"/>
      <c r="HPE381" s="34"/>
      <c r="HPF381" s="34"/>
      <c r="HPG381" s="34"/>
      <c r="HPH381" s="34"/>
      <c r="HPI381" s="34"/>
      <c r="HPJ381" s="34"/>
      <c r="HPK381" s="34"/>
      <c r="HPL381" s="34"/>
      <c r="HPM381" s="34"/>
      <c r="HPN381" s="34"/>
      <c r="HPO381" s="34"/>
      <c r="HPP381" s="34"/>
      <c r="HPQ381" s="34"/>
      <c r="HPR381" s="34"/>
      <c r="HPS381" s="34"/>
      <c r="HPT381" s="34"/>
      <c r="HPU381" s="34"/>
      <c r="HPV381" s="34"/>
      <c r="HPW381" s="34"/>
      <c r="HPX381" s="34"/>
      <c r="HPY381" s="34"/>
      <c r="HPZ381" s="34"/>
      <c r="HQA381" s="34"/>
      <c r="HQB381" s="34"/>
      <c r="HQC381" s="34"/>
      <c r="HQD381" s="34"/>
      <c r="HQE381" s="34"/>
      <c r="HQF381" s="34"/>
      <c r="HQG381" s="34"/>
      <c r="HQH381" s="34"/>
      <c r="HQI381" s="34"/>
      <c r="HQJ381" s="34"/>
      <c r="HQK381" s="34"/>
      <c r="HQL381" s="34"/>
      <c r="HQM381" s="34"/>
      <c r="HQN381" s="34"/>
      <c r="HQO381" s="34"/>
      <c r="HQP381" s="34"/>
      <c r="HQQ381" s="34"/>
      <c r="HQR381" s="34"/>
      <c r="HQS381" s="34"/>
      <c r="HQT381" s="34"/>
      <c r="HQU381" s="34"/>
      <c r="HQV381" s="34"/>
      <c r="HQW381" s="34"/>
      <c r="HQX381" s="34"/>
      <c r="HQY381" s="34"/>
      <c r="HQZ381" s="34"/>
      <c r="HRA381" s="34"/>
      <c r="HRB381" s="34"/>
      <c r="HRC381" s="34"/>
      <c r="HRD381" s="34"/>
      <c r="HRE381" s="34"/>
      <c r="HRF381" s="34"/>
      <c r="HRG381" s="34"/>
      <c r="HRH381" s="34"/>
      <c r="HRI381" s="34"/>
      <c r="HRJ381" s="34"/>
      <c r="HRK381" s="34"/>
      <c r="HRL381" s="34"/>
      <c r="HRM381" s="34"/>
      <c r="HRN381" s="34"/>
      <c r="HRO381" s="34"/>
      <c r="HRP381" s="34"/>
      <c r="HRQ381" s="34"/>
      <c r="HRR381" s="34"/>
      <c r="HRS381" s="34"/>
      <c r="HRT381" s="34"/>
      <c r="HRU381" s="34"/>
      <c r="HRV381" s="34"/>
      <c r="HRW381" s="34"/>
      <c r="HRX381" s="34"/>
      <c r="HRY381" s="34"/>
      <c r="HRZ381" s="34"/>
      <c r="HSA381" s="34"/>
      <c r="HSB381" s="34"/>
      <c r="HSC381" s="34"/>
      <c r="HSD381" s="34"/>
      <c r="HSE381" s="34"/>
      <c r="HSF381" s="34"/>
      <c r="HSG381" s="34"/>
      <c r="HSH381" s="34"/>
      <c r="HSI381" s="34"/>
      <c r="HSJ381" s="34"/>
      <c r="HSK381" s="34"/>
      <c r="HSL381" s="34"/>
      <c r="HSM381" s="34"/>
      <c r="HSN381" s="34"/>
      <c r="HSO381" s="34"/>
      <c r="HSP381" s="34"/>
      <c r="HSQ381" s="34"/>
      <c r="HSR381" s="34"/>
      <c r="HSS381" s="34"/>
      <c r="HST381" s="34"/>
      <c r="HSU381" s="34"/>
      <c r="HSV381" s="34"/>
      <c r="HSW381" s="34"/>
      <c r="HSX381" s="34"/>
      <c r="HSY381" s="34"/>
      <c r="HSZ381" s="34"/>
      <c r="HTA381" s="34"/>
      <c r="HTB381" s="34"/>
      <c r="HTC381" s="34"/>
      <c r="HTD381" s="34"/>
      <c r="HTE381" s="34"/>
      <c r="HTF381" s="34"/>
      <c r="HTG381" s="34"/>
      <c r="HTH381" s="34"/>
      <c r="HTI381" s="34"/>
      <c r="HTJ381" s="34"/>
      <c r="HTK381" s="34"/>
      <c r="HTL381" s="34"/>
      <c r="HTM381" s="34"/>
      <c r="HTN381" s="34"/>
      <c r="HTO381" s="34"/>
      <c r="HTP381" s="34"/>
      <c r="HTQ381" s="34"/>
      <c r="HTR381" s="34"/>
      <c r="HTS381" s="34"/>
      <c r="HTT381" s="34"/>
      <c r="HTU381" s="34"/>
      <c r="HTV381" s="34"/>
      <c r="HTW381" s="34"/>
      <c r="HTX381" s="34"/>
      <c r="HTY381" s="34"/>
      <c r="HTZ381" s="34"/>
      <c r="HUA381" s="34"/>
      <c r="HUB381" s="34"/>
      <c r="HUC381" s="34"/>
      <c r="HUD381" s="34"/>
      <c r="HUE381" s="34"/>
      <c r="HUF381" s="34"/>
      <c r="HUG381" s="34"/>
      <c r="HUH381" s="34"/>
      <c r="HUI381" s="34"/>
      <c r="HUJ381" s="34"/>
      <c r="HUK381" s="34"/>
      <c r="HUL381" s="34"/>
      <c r="HUM381" s="34"/>
      <c r="HUN381" s="34"/>
      <c r="HUO381" s="34"/>
      <c r="HUP381" s="34"/>
      <c r="HUQ381" s="34"/>
      <c r="HUR381" s="34"/>
      <c r="HUS381" s="34"/>
      <c r="HUT381" s="34"/>
      <c r="HUU381" s="34"/>
      <c r="HUV381" s="34"/>
      <c r="HUW381" s="34"/>
      <c r="HUX381" s="34"/>
      <c r="HUY381" s="34"/>
      <c r="HUZ381" s="34"/>
      <c r="HVA381" s="34"/>
      <c r="HVB381" s="34"/>
      <c r="HVC381" s="34"/>
      <c r="HVD381" s="34"/>
      <c r="HVE381" s="34"/>
      <c r="HVF381" s="34"/>
      <c r="HVG381" s="34"/>
      <c r="HVH381" s="34"/>
      <c r="HVI381" s="34"/>
      <c r="HVJ381" s="34"/>
      <c r="HVK381" s="34"/>
      <c r="HVL381" s="34"/>
      <c r="HVM381" s="34"/>
      <c r="HVN381" s="34"/>
      <c r="HVO381" s="34"/>
      <c r="HVP381" s="34"/>
      <c r="HVQ381" s="34"/>
      <c r="HVR381" s="34"/>
      <c r="HVS381" s="34"/>
      <c r="HVT381" s="34"/>
      <c r="HVU381" s="34"/>
      <c r="HVV381" s="34"/>
      <c r="HVW381" s="34"/>
      <c r="HVX381" s="34"/>
      <c r="HVY381" s="34"/>
      <c r="HVZ381" s="34"/>
      <c r="HWA381" s="34"/>
      <c r="HWB381" s="34"/>
      <c r="HWC381" s="34"/>
      <c r="HWD381" s="34"/>
      <c r="HWE381" s="34"/>
      <c r="HWF381" s="34"/>
      <c r="HWG381" s="34"/>
      <c r="HWH381" s="34"/>
      <c r="HWI381" s="34"/>
      <c r="HWJ381" s="34"/>
      <c r="HWK381" s="34"/>
      <c r="HWL381" s="34"/>
      <c r="HWM381" s="34"/>
      <c r="HWN381" s="34"/>
      <c r="HWO381" s="34"/>
      <c r="HWP381" s="34"/>
      <c r="HWQ381" s="34"/>
      <c r="HWR381" s="34"/>
      <c r="HWS381" s="34"/>
      <c r="HWT381" s="34"/>
      <c r="HWU381" s="34"/>
      <c r="HWV381" s="34"/>
      <c r="HWW381" s="34"/>
      <c r="HWX381" s="34"/>
      <c r="HWY381" s="34"/>
      <c r="HWZ381" s="34"/>
      <c r="HXA381" s="34"/>
      <c r="HXB381" s="34"/>
      <c r="HXC381" s="34"/>
      <c r="HXD381" s="34"/>
      <c r="HXE381" s="34"/>
      <c r="HXF381" s="34"/>
      <c r="HXG381" s="34"/>
      <c r="HXH381" s="34"/>
      <c r="HXI381" s="34"/>
      <c r="HXJ381" s="34"/>
      <c r="HXK381" s="34"/>
      <c r="HXL381" s="34"/>
      <c r="HXM381" s="34"/>
      <c r="HXN381" s="34"/>
      <c r="HXO381" s="34"/>
      <c r="HXP381" s="34"/>
      <c r="HXQ381" s="34"/>
      <c r="HXR381" s="34"/>
      <c r="HXS381" s="34"/>
      <c r="HXT381" s="34"/>
      <c r="HXU381" s="34"/>
      <c r="HXV381" s="34"/>
      <c r="HXW381" s="34"/>
      <c r="HXX381" s="34"/>
      <c r="HXY381" s="34"/>
      <c r="HXZ381" s="34"/>
      <c r="HYA381" s="34"/>
      <c r="HYB381" s="34"/>
      <c r="HYC381" s="34"/>
      <c r="HYD381" s="34"/>
      <c r="HYE381" s="34"/>
      <c r="HYF381" s="34"/>
      <c r="HYG381" s="34"/>
      <c r="HYH381" s="34"/>
      <c r="HYI381" s="34"/>
      <c r="HYJ381" s="34"/>
      <c r="HYK381" s="34"/>
      <c r="HYL381" s="34"/>
      <c r="HYM381" s="34"/>
      <c r="HYN381" s="34"/>
      <c r="HYO381" s="34"/>
      <c r="HYP381" s="34"/>
      <c r="HYQ381" s="34"/>
      <c r="HYR381" s="34"/>
      <c r="HYS381" s="34"/>
      <c r="HYT381" s="34"/>
      <c r="HYU381" s="34"/>
      <c r="HYV381" s="34"/>
      <c r="HYW381" s="34"/>
      <c r="HYX381" s="34"/>
      <c r="HYY381" s="34"/>
      <c r="HYZ381" s="34"/>
      <c r="HZA381" s="34"/>
      <c r="HZB381" s="34"/>
      <c r="HZC381" s="34"/>
      <c r="HZD381" s="34"/>
      <c r="HZE381" s="34"/>
      <c r="HZF381" s="34"/>
      <c r="HZG381" s="34"/>
      <c r="HZH381" s="34"/>
      <c r="HZI381" s="34"/>
      <c r="HZJ381" s="34"/>
      <c r="HZK381" s="34"/>
      <c r="HZL381" s="34"/>
      <c r="HZM381" s="34"/>
      <c r="HZN381" s="34"/>
      <c r="HZO381" s="34"/>
      <c r="HZP381" s="34"/>
      <c r="HZQ381" s="34"/>
      <c r="HZR381" s="34"/>
      <c r="HZS381" s="34"/>
      <c r="HZT381" s="34"/>
      <c r="HZU381" s="34"/>
      <c r="HZV381" s="34"/>
      <c r="HZW381" s="34"/>
      <c r="HZX381" s="34"/>
      <c r="HZY381" s="34"/>
      <c r="HZZ381" s="34"/>
      <c r="IAA381" s="34"/>
      <c r="IAB381" s="34"/>
      <c r="IAC381" s="34"/>
      <c r="IAD381" s="34"/>
      <c r="IAE381" s="34"/>
      <c r="IAF381" s="34"/>
      <c r="IAG381" s="34"/>
      <c r="IAH381" s="34"/>
      <c r="IAI381" s="34"/>
      <c r="IAJ381" s="34"/>
      <c r="IAK381" s="34"/>
      <c r="IAL381" s="34"/>
      <c r="IAM381" s="34"/>
      <c r="IAN381" s="34"/>
      <c r="IAO381" s="34"/>
      <c r="IAP381" s="34"/>
      <c r="IAQ381" s="34"/>
      <c r="IAR381" s="34"/>
      <c r="IAS381" s="34"/>
      <c r="IAT381" s="34"/>
      <c r="IAU381" s="34"/>
      <c r="IAV381" s="34"/>
      <c r="IAW381" s="34"/>
      <c r="IAX381" s="34"/>
      <c r="IAY381" s="34"/>
      <c r="IAZ381" s="34"/>
      <c r="IBA381" s="34"/>
      <c r="IBB381" s="34"/>
      <c r="IBC381" s="34"/>
      <c r="IBD381" s="34"/>
      <c r="IBE381" s="34"/>
      <c r="IBF381" s="34"/>
      <c r="IBG381" s="34"/>
      <c r="IBH381" s="34"/>
      <c r="IBI381" s="34"/>
      <c r="IBJ381" s="34"/>
      <c r="IBK381" s="34"/>
      <c r="IBL381" s="34"/>
      <c r="IBM381" s="34"/>
      <c r="IBN381" s="34"/>
      <c r="IBO381" s="34"/>
      <c r="IBP381" s="34"/>
      <c r="IBQ381" s="34"/>
      <c r="IBR381" s="34"/>
      <c r="IBS381" s="34"/>
      <c r="IBT381" s="34"/>
      <c r="IBU381" s="34"/>
      <c r="IBV381" s="34"/>
      <c r="IBW381" s="34"/>
      <c r="IBX381" s="34"/>
      <c r="IBY381" s="34"/>
      <c r="IBZ381" s="34"/>
      <c r="ICA381" s="34"/>
      <c r="ICB381" s="34"/>
      <c r="ICC381" s="34"/>
      <c r="ICD381" s="34"/>
      <c r="ICE381" s="34"/>
      <c r="ICF381" s="34"/>
      <c r="ICG381" s="34"/>
      <c r="ICH381" s="34"/>
      <c r="ICI381" s="34"/>
      <c r="ICJ381" s="34"/>
      <c r="ICK381" s="34"/>
      <c r="ICL381" s="34"/>
      <c r="ICM381" s="34"/>
      <c r="ICN381" s="34"/>
      <c r="ICO381" s="34"/>
      <c r="ICP381" s="34"/>
      <c r="ICQ381" s="34"/>
      <c r="ICR381" s="34"/>
      <c r="ICS381" s="34"/>
      <c r="ICT381" s="34"/>
      <c r="ICU381" s="34"/>
      <c r="ICV381" s="34"/>
      <c r="ICW381" s="34"/>
      <c r="ICX381" s="34"/>
      <c r="ICY381" s="34"/>
      <c r="ICZ381" s="34"/>
      <c r="IDA381" s="34"/>
      <c r="IDB381" s="34"/>
      <c r="IDC381" s="34"/>
      <c r="IDD381" s="34"/>
      <c r="IDE381" s="34"/>
      <c r="IDF381" s="34"/>
      <c r="IDG381" s="34"/>
      <c r="IDH381" s="34"/>
      <c r="IDI381" s="34"/>
      <c r="IDJ381" s="34"/>
      <c r="IDK381" s="34"/>
      <c r="IDL381" s="34"/>
      <c r="IDM381" s="34"/>
      <c r="IDN381" s="34"/>
      <c r="IDO381" s="34"/>
      <c r="IDP381" s="34"/>
      <c r="IDQ381" s="34"/>
      <c r="IDR381" s="34"/>
      <c r="IDS381" s="34"/>
      <c r="IDT381" s="34"/>
      <c r="IDU381" s="34"/>
      <c r="IDV381" s="34"/>
      <c r="IDW381" s="34"/>
      <c r="IDX381" s="34"/>
      <c r="IDY381" s="34"/>
      <c r="IDZ381" s="34"/>
      <c r="IEA381" s="34"/>
      <c r="IEB381" s="34"/>
      <c r="IEC381" s="34"/>
      <c r="IED381" s="34"/>
      <c r="IEE381" s="34"/>
      <c r="IEF381" s="34"/>
      <c r="IEG381" s="34"/>
      <c r="IEH381" s="34"/>
      <c r="IEI381" s="34"/>
      <c r="IEJ381" s="34"/>
      <c r="IEK381" s="34"/>
      <c r="IEL381" s="34"/>
      <c r="IEM381" s="34"/>
      <c r="IEN381" s="34"/>
      <c r="IEO381" s="34"/>
      <c r="IEP381" s="34"/>
      <c r="IEQ381" s="34"/>
      <c r="IER381" s="34"/>
      <c r="IES381" s="34"/>
      <c r="IET381" s="34"/>
      <c r="IEU381" s="34"/>
      <c r="IEV381" s="34"/>
      <c r="IEW381" s="34"/>
      <c r="IEX381" s="34"/>
      <c r="IEY381" s="34"/>
      <c r="IEZ381" s="34"/>
      <c r="IFA381" s="34"/>
      <c r="IFB381" s="34"/>
      <c r="IFC381" s="34"/>
      <c r="IFD381" s="34"/>
      <c r="IFE381" s="34"/>
      <c r="IFF381" s="34"/>
      <c r="IFG381" s="34"/>
      <c r="IFH381" s="34"/>
      <c r="IFI381" s="34"/>
      <c r="IFJ381" s="34"/>
      <c r="IFK381" s="34"/>
      <c r="IFL381" s="34"/>
      <c r="IFM381" s="34"/>
      <c r="IFN381" s="34"/>
      <c r="IFO381" s="34"/>
      <c r="IFP381" s="34"/>
      <c r="IFQ381" s="34"/>
      <c r="IFR381" s="34"/>
      <c r="IFS381" s="34"/>
      <c r="IFT381" s="34"/>
      <c r="IFU381" s="34"/>
      <c r="IFV381" s="34"/>
      <c r="IFW381" s="34"/>
      <c r="IFX381" s="34"/>
      <c r="IFY381" s="34"/>
      <c r="IFZ381" s="34"/>
      <c r="IGA381" s="34"/>
      <c r="IGB381" s="34"/>
      <c r="IGC381" s="34"/>
      <c r="IGD381" s="34"/>
      <c r="IGE381" s="34"/>
      <c r="IGF381" s="34"/>
      <c r="IGG381" s="34"/>
      <c r="IGH381" s="34"/>
      <c r="IGI381" s="34"/>
      <c r="IGJ381" s="34"/>
      <c r="IGK381" s="34"/>
      <c r="IGL381" s="34"/>
      <c r="IGM381" s="34"/>
      <c r="IGN381" s="34"/>
      <c r="IGO381" s="34"/>
      <c r="IGP381" s="34"/>
      <c r="IGQ381" s="34"/>
      <c r="IGR381" s="34"/>
      <c r="IGS381" s="34"/>
      <c r="IGT381" s="34"/>
      <c r="IGU381" s="34"/>
      <c r="IGV381" s="34"/>
      <c r="IGW381" s="34"/>
      <c r="IGX381" s="34"/>
      <c r="IGY381" s="34"/>
      <c r="IGZ381" s="34"/>
      <c r="IHA381" s="34"/>
      <c r="IHB381" s="34"/>
      <c r="IHC381" s="34"/>
      <c r="IHD381" s="34"/>
      <c r="IHE381" s="34"/>
      <c r="IHF381" s="34"/>
      <c r="IHG381" s="34"/>
      <c r="IHH381" s="34"/>
      <c r="IHI381" s="34"/>
      <c r="IHJ381" s="34"/>
      <c r="IHK381" s="34"/>
      <c r="IHL381" s="34"/>
      <c r="IHM381" s="34"/>
      <c r="IHN381" s="34"/>
      <c r="IHO381" s="34"/>
      <c r="IHP381" s="34"/>
      <c r="IHQ381" s="34"/>
      <c r="IHR381" s="34"/>
      <c r="IHS381" s="34"/>
      <c r="IHT381" s="34"/>
      <c r="IHU381" s="34"/>
      <c r="IHV381" s="34"/>
      <c r="IHW381" s="34"/>
      <c r="IHX381" s="34"/>
      <c r="IHY381" s="34"/>
      <c r="IHZ381" s="34"/>
      <c r="IIA381" s="34"/>
      <c r="IIB381" s="34"/>
      <c r="IIC381" s="34"/>
      <c r="IID381" s="34"/>
      <c r="IIE381" s="34"/>
      <c r="IIF381" s="34"/>
      <c r="IIG381" s="34"/>
      <c r="IIH381" s="34"/>
      <c r="III381" s="34"/>
      <c r="IIJ381" s="34"/>
      <c r="IIK381" s="34"/>
      <c r="IIL381" s="34"/>
      <c r="IIM381" s="34"/>
      <c r="IIN381" s="34"/>
      <c r="IIO381" s="34"/>
      <c r="IIP381" s="34"/>
      <c r="IIQ381" s="34"/>
      <c r="IIR381" s="34"/>
      <c r="IIS381" s="34"/>
      <c r="IIT381" s="34"/>
      <c r="IIU381" s="34"/>
      <c r="IIV381" s="34"/>
      <c r="IIW381" s="34"/>
      <c r="IIX381" s="34"/>
      <c r="IIY381" s="34"/>
      <c r="IIZ381" s="34"/>
      <c r="IJA381" s="34"/>
      <c r="IJB381" s="34"/>
      <c r="IJC381" s="34"/>
      <c r="IJD381" s="34"/>
      <c r="IJE381" s="34"/>
      <c r="IJF381" s="34"/>
      <c r="IJG381" s="34"/>
      <c r="IJH381" s="34"/>
      <c r="IJI381" s="34"/>
      <c r="IJJ381" s="34"/>
      <c r="IJK381" s="34"/>
      <c r="IJL381" s="34"/>
      <c r="IJM381" s="34"/>
      <c r="IJN381" s="34"/>
      <c r="IJO381" s="34"/>
      <c r="IJP381" s="34"/>
      <c r="IJQ381" s="34"/>
      <c r="IJR381" s="34"/>
      <c r="IJS381" s="34"/>
      <c r="IJT381" s="34"/>
      <c r="IJU381" s="34"/>
      <c r="IJV381" s="34"/>
      <c r="IJW381" s="34"/>
      <c r="IJX381" s="34"/>
      <c r="IJY381" s="34"/>
      <c r="IJZ381" s="34"/>
      <c r="IKA381" s="34"/>
      <c r="IKB381" s="34"/>
      <c r="IKC381" s="34"/>
      <c r="IKD381" s="34"/>
      <c r="IKE381" s="34"/>
      <c r="IKF381" s="34"/>
      <c r="IKG381" s="34"/>
      <c r="IKH381" s="34"/>
      <c r="IKI381" s="34"/>
      <c r="IKJ381" s="34"/>
      <c r="IKK381" s="34"/>
      <c r="IKL381" s="34"/>
      <c r="IKM381" s="34"/>
      <c r="IKN381" s="34"/>
      <c r="IKO381" s="34"/>
      <c r="IKP381" s="34"/>
      <c r="IKQ381" s="34"/>
      <c r="IKR381" s="34"/>
      <c r="IKS381" s="34"/>
      <c r="IKT381" s="34"/>
      <c r="IKU381" s="34"/>
      <c r="IKV381" s="34"/>
      <c r="IKW381" s="34"/>
      <c r="IKX381" s="34"/>
      <c r="IKY381" s="34"/>
      <c r="IKZ381" s="34"/>
      <c r="ILA381" s="34"/>
      <c r="ILB381" s="34"/>
      <c r="ILC381" s="34"/>
      <c r="ILD381" s="34"/>
      <c r="ILE381" s="34"/>
      <c r="ILF381" s="34"/>
      <c r="ILG381" s="34"/>
      <c r="ILH381" s="34"/>
      <c r="ILI381" s="34"/>
      <c r="ILJ381" s="34"/>
      <c r="ILK381" s="34"/>
      <c r="ILL381" s="34"/>
      <c r="ILM381" s="34"/>
      <c r="ILN381" s="34"/>
      <c r="ILO381" s="34"/>
      <c r="ILP381" s="34"/>
      <c r="ILQ381" s="34"/>
      <c r="ILR381" s="34"/>
      <c r="ILS381" s="34"/>
      <c r="ILT381" s="34"/>
      <c r="ILU381" s="34"/>
      <c r="ILV381" s="34"/>
      <c r="ILW381" s="34"/>
      <c r="ILX381" s="34"/>
      <c r="ILY381" s="34"/>
      <c r="ILZ381" s="34"/>
      <c r="IMA381" s="34"/>
      <c r="IMB381" s="34"/>
      <c r="IMC381" s="34"/>
      <c r="IMD381" s="34"/>
      <c r="IME381" s="34"/>
      <c r="IMF381" s="34"/>
      <c r="IMG381" s="34"/>
      <c r="IMH381" s="34"/>
      <c r="IMI381" s="34"/>
      <c r="IMJ381" s="34"/>
      <c r="IMK381" s="34"/>
      <c r="IML381" s="34"/>
      <c r="IMM381" s="34"/>
      <c r="IMN381" s="34"/>
      <c r="IMO381" s="34"/>
      <c r="IMP381" s="34"/>
      <c r="IMQ381" s="34"/>
      <c r="IMR381" s="34"/>
      <c r="IMS381" s="34"/>
      <c r="IMT381" s="34"/>
      <c r="IMU381" s="34"/>
      <c r="IMV381" s="34"/>
      <c r="IMW381" s="34"/>
      <c r="IMX381" s="34"/>
      <c r="IMY381" s="34"/>
      <c r="IMZ381" s="34"/>
      <c r="INA381" s="34"/>
      <c r="INB381" s="34"/>
      <c r="INC381" s="34"/>
      <c r="IND381" s="34"/>
      <c r="INE381" s="34"/>
      <c r="INF381" s="34"/>
      <c r="ING381" s="34"/>
      <c r="INH381" s="34"/>
      <c r="INI381" s="34"/>
      <c r="INJ381" s="34"/>
      <c r="INK381" s="34"/>
      <c r="INL381" s="34"/>
      <c r="INM381" s="34"/>
      <c r="INN381" s="34"/>
      <c r="INO381" s="34"/>
      <c r="INP381" s="34"/>
      <c r="INQ381" s="34"/>
      <c r="INR381" s="34"/>
      <c r="INS381" s="34"/>
      <c r="INT381" s="34"/>
      <c r="INU381" s="34"/>
      <c r="INV381" s="34"/>
      <c r="INW381" s="34"/>
      <c r="INX381" s="34"/>
      <c r="INY381" s="34"/>
      <c r="INZ381" s="34"/>
      <c r="IOA381" s="34"/>
      <c r="IOB381" s="34"/>
      <c r="IOC381" s="34"/>
      <c r="IOD381" s="34"/>
      <c r="IOE381" s="34"/>
      <c r="IOF381" s="34"/>
      <c r="IOG381" s="34"/>
      <c r="IOH381" s="34"/>
      <c r="IOI381" s="34"/>
      <c r="IOJ381" s="34"/>
      <c r="IOK381" s="34"/>
      <c r="IOL381" s="34"/>
      <c r="IOM381" s="34"/>
      <c r="ION381" s="34"/>
      <c r="IOO381" s="34"/>
      <c r="IOP381" s="34"/>
      <c r="IOQ381" s="34"/>
      <c r="IOR381" s="34"/>
      <c r="IOS381" s="34"/>
      <c r="IOT381" s="34"/>
      <c r="IOU381" s="34"/>
      <c r="IOV381" s="34"/>
      <c r="IOW381" s="34"/>
      <c r="IOX381" s="34"/>
      <c r="IOY381" s="34"/>
      <c r="IOZ381" s="34"/>
      <c r="IPA381" s="34"/>
      <c r="IPB381" s="34"/>
      <c r="IPC381" s="34"/>
      <c r="IPD381" s="34"/>
      <c r="IPE381" s="34"/>
      <c r="IPF381" s="34"/>
      <c r="IPG381" s="34"/>
      <c r="IPH381" s="34"/>
      <c r="IPI381" s="34"/>
      <c r="IPJ381" s="34"/>
      <c r="IPK381" s="34"/>
      <c r="IPL381" s="34"/>
      <c r="IPM381" s="34"/>
      <c r="IPN381" s="34"/>
      <c r="IPO381" s="34"/>
      <c r="IPP381" s="34"/>
      <c r="IPQ381" s="34"/>
      <c r="IPR381" s="34"/>
      <c r="IPS381" s="34"/>
      <c r="IPT381" s="34"/>
      <c r="IPU381" s="34"/>
      <c r="IPV381" s="34"/>
      <c r="IPW381" s="34"/>
      <c r="IPX381" s="34"/>
      <c r="IPY381" s="34"/>
      <c r="IPZ381" s="34"/>
      <c r="IQA381" s="34"/>
      <c r="IQB381" s="34"/>
      <c r="IQC381" s="34"/>
      <c r="IQD381" s="34"/>
      <c r="IQE381" s="34"/>
      <c r="IQF381" s="34"/>
      <c r="IQG381" s="34"/>
      <c r="IQH381" s="34"/>
      <c r="IQI381" s="34"/>
      <c r="IQJ381" s="34"/>
      <c r="IQK381" s="34"/>
      <c r="IQL381" s="34"/>
      <c r="IQM381" s="34"/>
      <c r="IQN381" s="34"/>
      <c r="IQO381" s="34"/>
      <c r="IQP381" s="34"/>
      <c r="IQQ381" s="34"/>
      <c r="IQR381" s="34"/>
      <c r="IQS381" s="34"/>
      <c r="IQT381" s="34"/>
      <c r="IQU381" s="34"/>
      <c r="IQV381" s="34"/>
      <c r="IQW381" s="34"/>
      <c r="IQX381" s="34"/>
      <c r="IQY381" s="34"/>
      <c r="IQZ381" s="34"/>
      <c r="IRA381" s="34"/>
      <c r="IRB381" s="34"/>
      <c r="IRC381" s="34"/>
      <c r="IRD381" s="34"/>
      <c r="IRE381" s="34"/>
      <c r="IRF381" s="34"/>
      <c r="IRG381" s="34"/>
      <c r="IRH381" s="34"/>
      <c r="IRI381" s="34"/>
      <c r="IRJ381" s="34"/>
      <c r="IRK381" s="34"/>
      <c r="IRL381" s="34"/>
      <c r="IRM381" s="34"/>
      <c r="IRN381" s="34"/>
      <c r="IRO381" s="34"/>
      <c r="IRP381" s="34"/>
      <c r="IRQ381" s="34"/>
      <c r="IRR381" s="34"/>
      <c r="IRS381" s="34"/>
      <c r="IRT381" s="34"/>
      <c r="IRU381" s="34"/>
      <c r="IRV381" s="34"/>
      <c r="IRW381" s="34"/>
      <c r="IRX381" s="34"/>
      <c r="IRY381" s="34"/>
      <c r="IRZ381" s="34"/>
      <c r="ISA381" s="34"/>
      <c r="ISB381" s="34"/>
      <c r="ISC381" s="34"/>
      <c r="ISD381" s="34"/>
      <c r="ISE381" s="34"/>
      <c r="ISF381" s="34"/>
      <c r="ISG381" s="34"/>
      <c r="ISH381" s="34"/>
      <c r="ISI381" s="34"/>
      <c r="ISJ381" s="34"/>
      <c r="ISK381" s="34"/>
      <c r="ISL381" s="34"/>
      <c r="ISM381" s="34"/>
      <c r="ISN381" s="34"/>
      <c r="ISO381" s="34"/>
      <c r="ISP381" s="34"/>
      <c r="ISQ381" s="34"/>
      <c r="ISR381" s="34"/>
      <c r="ISS381" s="34"/>
      <c r="IST381" s="34"/>
      <c r="ISU381" s="34"/>
      <c r="ISV381" s="34"/>
      <c r="ISW381" s="34"/>
      <c r="ISX381" s="34"/>
      <c r="ISY381" s="34"/>
      <c r="ISZ381" s="34"/>
      <c r="ITA381" s="34"/>
      <c r="ITB381" s="34"/>
      <c r="ITC381" s="34"/>
      <c r="ITD381" s="34"/>
      <c r="ITE381" s="34"/>
      <c r="ITF381" s="34"/>
      <c r="ITG381" s="34"/>
      <c r="ITH381" s="34"/>
      <c r="ITI381" s="34"/>
      <c r="ITJ381" s="34"/>
      <c r="ITK381" s="34"/>
      <c r="ITL381" s="34"/>
      <c r="ITM381" s="34"/>
      <c r="ITN381" s="34"/>
      <c r="ITO381" s="34"/>
      <c r="ITP381" s="34"/>
      <c r="ITQ381" s="34"/>
      <c r="ITR381" s="34"/>
      <c r="ITS381" s="34"/>
      <c r="ITT381" s="34"/>
      <c r="ITU381" s="34"/>
      <c r="ITV381" s="34"/>
      <c r="ITW381" s="34"/>
      <c r="ITX381" s="34"/>
      <c r="ITY381" s="34"/>
      <c r="ITZ381" s="34"/>
      <c r="IUA381" s="34"/>
      <c r="IUB381" s="34"/>
      <c r="IUC381" s="34"/>
      <c r="IUD381" s="34"/>
      <c r="IUE381" s="34"/>
      <c r="IUF381" s="34"/>
      <c r="IUG381" s="34"/>
      <c r="IUH381" s="34"/>
      <c r="IUI381" s="34"/>
      <c r="IUJ381" s="34"/>
      <c r="IUK381" s="34"/>
      <c r="IUL381" s="34"/>
      <c r="IUM381" s="34"/>
      <c r="IUN381" s="34"/>
      <c r="IUO381" s="34"/>
      <c r="IUP381" s="34"/>
      <c r="IUQ381" s="34"/>
      <c r="IUR381" s="34"/>
      <c r="IUS381" s="34"/>
      <c r="IUT381" s="34"/>
      <c r="IUU381" s="34"/>
      <c r="IUV381" s="34"/>
      <c r="IUW381" s="34"/>
      <c r="IUX381" s="34"/>
      <c r="IUY381" s="34"/>
      <c r="IUZ381" s="34"/>
      <c r="IVA381" s="34"/>
      <c r="IVB381" s="34"/>
      <c r="IVC381" s="34"/>
      <c r="IVD381" s="34"/>
      <c r="IVE381" s="34"/>
      <c r="IVF381" s="34"/>
      <c r="IVG381" s="34"/>
      <c r="IVH381" s="34"/>
      <c r="IVI381" s="34"/>
      <c r="IVJ381" s="34"/>
      <c r="IVK381" s="34"/>
      <c r="IVL381" s="34"/>
      <c r="IVM381" s="34"/>
      <c r="IVN381" s="34"/>
      <c r="IVO381" s="34"/>
      <c r="IVP381" s="34"/>
      <c r="IVQ381" s="34"/>
      <c r="IVR381" s="34"/>
      <c r="IVS381" s="34"/>
      <c r="IVT381" s="34"/>
      <c r="IVU381" s="34"/>
      <c r="IVV381" s="34"/>
      <c r="IVW381" s="34"/>
      <c r="IVX381" s="34"/>
      <c r="IVY381" s="34"/>
      <c r="IVZ381" s="34"/>
      <c r="IWA381" s="34"/>
      <c r="IWB381" s="34"/>
      <c r="IWC381" s="34"/>
      <c r="IWD381" s="34"/>
      <c r="IWE381" s="34"/>
      <c r="IWF381" s="34"/>
      <c r="IWG381" s="34"/>
      <c r="IWH381" s="34"/>
      <c r="IWI381" s="34"/>
      <c r="IWJ381" s="34"/>
      <c r="IWK381" s="34"/>
      <c r="IWL381" s="34"/>
      <c r="IWM381" s="34"/>
      <c r="IWN381" s="34"/>
      <c r="IWO381" s="34"/>
      <c r="IWP381" s="34"/>
      <c r="IWQ381" s="34"/>
      <c r="IWR381" s="34"/>
      <c r="IWS381" s="34"/>
      <c r="IWT381" s="34"/>
      <c r="IWU381" s="34"/>
      <c r="IWV381" s="34"/>
      <c r="IWW381" s="34"/>
      <c r="IWX381" s="34"/>
      <c r="IWY381" s="34"/>
      <c r="IWZ381" s="34"/>
      <c r="IXA381" s="34"/>
      <c r="IXB381" s="34"/>
      <c r="IXC381" s="34"/>
      <c r="IXD381" s="34"/>
      <c r="IXE381" s="34"/>
      <c r="IXF381" s="34"/>
      <c r="IXG381" s="34"/>
      <c r="IXH381" s="34"/>
      <c r="IXI381" s="34"/>
      <c r="IXJ381" s="34"/>
      <c r="IXK381" s="34"/>
      <c r="IXL381" s="34"/>
      <c r="IXM381" s="34"/>
      <c r="IXN381" s="34"/>
      <c r="IXO381" s="34"/>
      <c r="IXP381" s="34"/>
      <c r="IXQ381" s="34"/>
      <c r="IXR381" s="34"/>
      <c r="IXS381" s="34"/>
      <c r="IXT381" s="34"/>
      <c r="IXU381" s="34"/>
      <c r="IXV381" s="34"/>
      <c r="IXW381" s="34"/>
      <c r="IXX381" s="34"/>
      <c r="IXY381" s="34"/>
      <c r="IXZ381" s="34"/>
      <c r="IYA381" s="34"/>
      <c r="IYB381" s="34"/>
      <c r="IYC381" s="34"/>
      <c r="IYD381" s="34"/>
      <c r="IYE381" s="34"/>
      <c r="IYF381" s="34"/>
      <c r="IYG381" s="34"/>
      <c r="IYH381" s="34"/>
      <c r="IYI381" s="34"/>
      <c r="IYJ381" s="34"/>
      <c r="IYK381" s="34"/>
      <c r="IYL381" s="34"/>
      <c r="IYM381" s="34"/>
      <c r="IYN381" s="34"/>
      <c r="IYO381" s="34"/>
      <c r="IYP381" s="34"/>
      <c r="IYQ381" s="34"/>
      <c r="IYR381" s="34"/>
      <c r="IYS381" s="34"/>
      <c r="IYT381" s="34"/>
      <c r="IYU381" s="34"/>
      <c r="IYV381" s="34"/>
      <c r="IYW381" s="34"/>
      <c r="IYX381" s="34"/>
      <c r="IYY381" s="34"/>
      <c r="IYZ381" s="34"/>
      <c r="IZA381" s="34"/>
      <c r="IZB381" s="34"/>
      <c r="IZC381" s="34"/>
      <c r="IZD381" s="34"/>
      <c r="IZE381" s="34"/>
      <c r="IZF381" s="34"/>
      <c r="IZG381" s="34"/>
      <c r="IZH381" s="34"/>
      <c r="IZI381" s="34"/>
      <c r="IZJ381" s="34"/>
      <c r="IZK381" s="34"/>
      <c r="IZL381" s="34"/>
      <c r="IZM381" s="34"/>
      <c r="IZN381" s="34"/>
      <c r="IZO381" s="34"/>
      <c r="IZP381" s="34"/>
      <c r="IZQ381" s="34"/>
      <c r="IZR381" s="34"/>
      <c r="IZS381" s="34"/>
      <c r="IZT381" s="34"/>
      <c r="IZU381" s="34"/>
      <c r="IZV381" s="34"/>
      <c r="IZW381" s="34"/>
      <c r="IZX381" s="34"/>
      <c r="IZY381" s="34"/>
      <c r="IZZ381" s="34"/>
      <c r="JAA381" s="34"/>
      <c r="JAB381" s="34"/>
      <c r="JAC381" s="34"/>
      <c r="JAD381" s="34"/>
      <c r="JAE381" s="34"/>
      <c r="JAF381" s="34"/>
      <c r="JAG381" s="34"/>
      <c r="JAH381" s="34"/>
      <c r="JAI381" s="34"/>
      <c r="JAJ381" s="34"/>
      <c r="JAK381" s="34"/>
      <c r="JAL381" s="34"/>
      <c r="JAM381" s="34"/>
      <c r="JAN381" s="34"/>
      <c r="JAO381" s="34"/>
      <c r="JAP381" s="34"/>
      <c r="JAQ381" s="34"/>
      <c r="JAR381" s="34"/>
      <c r="JAS381" s="34"/>
      <c r="JAT381" s="34"/>
      <c r="JAU381" s="34"/>
      <c r="JAV381" s="34"/>
      <c r="JAW381" s="34"/>
      <c r="JAX381" s="34"/>
      <c r="JAY381" s="34"/>
      <c r="JAZ381" s="34"/>
      <c r="JBA381" s="34"/>
      <c r="JBB381" s="34"/>
      <c r="JBC381" s="34"/>
      <c r="JBD381" s="34"/>
      <c r="JBE381" s="34"/>
      <c r="JBF381" s="34"/>
      <c r="JBG381" s="34"/>
      <c r="JBH381" s="34"/>
      <c r="JBI381" s="34"/>
      <c r="JBJ381" s="34"/>
      <c r="JBK381" s="34"/>
      <c r="JBL381" s="34"/>
      <c r="JBM381" s="34"/>
      <c r="JBN381" s="34"/>
      <c r="JBO381" s="34"/>
      <c r="JBP381" s="34"/>
      <c r="JBQ381" s="34"/>
      <c r="JBR381" s="34"/>
      <c r="JBS381" s="34"/>
      <c r="JBT381" s="34"/>
      <c r="JBU381" s="34"/>
      <c r="JBV381" s="34"/>
      <c r="JBW381" s="34"/>
      <c r="JBX381" s="34"/>
      <c r="JBY381" s="34"/>
      <c r="JBZ381" s="34"/>
      <c r="JCA381" s="34"/>
      <c r="JCB381" s="34"/>
      <c r="JCC381" s="34"/>
      <c r="JCD381" s="34"/>
      <c r="JCE381" s="34"/>
      <c r="JCF381" s="34"/>
      <c r="JCG381" s="34"/>
      <c r="JCH381" s="34"/>
      <c r="JCI381" s="34"/>
      <c r="JCJ381" s="34"/>
      <c r="JCK381" s="34"/>
      <c r="JCL381" s="34"/>
      <c r="JCM381" s="34"/>
      <c r="JCN381" s="34"/>
      <c r="JCO381" s="34"/>
      <c r="JCP381" s="34"/>
      <c r="JCQ381" s="34"/>
      <c r="JCR381" s="34"/>
      <c r="JCS381" s="34"/>
      <c r="JCT381" s="34"/>
      <c r="JCU381" s="34"/>
      <c r="JCV381" s="34"/>
      <c r="JCW381" s="34"/>
      <c r="JCX381" s="34"/>
      <c r="JCY381" s="34"/>
      <c r="JCZ381" s="34"/>
      <c r="JDA381" s="34"/>
      <c r="JDB381" s="34"/>
      <c r="JDC381" s="34"/>
      <c r="JDD381" s="34"/>
      <c r="JDE381" s="34"/>
      <c r="JDF381" s="34"/>
      <c r="JDG381" s="34"/>
      <c r="JDH381" s="34"/>
      <c r="JDI381" s="34"/>
      <c r="JDJ381" s="34"/>
      <c r="JDK381" s="34"/>
      <c r="JDL381" s="34"/>
      <c r="JDM381" s="34"/>
      <c r="JDN381" s="34"/>
      <c r="JDO381" s="34"/>
      <c r="JDP381" s="34"/>
      <c r="JDQ381" s="34"/>
      <c r="JDR381" s="34"/>
      <c r="JDS381" s="34"/>
      <c r="JDT381" s="34"/>
      <c r="JDU381" s="34"/>
      <c r="JDV381" s="34"/>
      <c r="JDW381" s="34"/>
      <c r="JDX381" s="34"/>
      <c r="JDY381" s="34"/>
      <c r="JDZ381" s="34"/>
      <c r="JEA381" s="34"/>
      <c r="JEB381" s="34"/>
      <c r="JEC381" s="34"/>
      <c r="JED381" s="34"/>
      <c r="JEE381" s="34"/>
      <c r="JEF381" s="34"/>
      <c r="JEG381" s="34"/>
      <c r="JEH381" s="34"/>
      <c r="JEI381" s="34"/>
      <c r="JEJ381" s="34"/>
      <c r="JEK381" s="34"/>
      <c r="JEL381" s="34"/>
      <c r="JEM381" s="34"/>
      <c r="JEN381" s="34"/>
      <c r="JEO381" s="34"/>
      <c r="JEP381" s="34"/>
      <c r="JEQ381" s="34"/>
      <c r="JER381" s="34"/>
      <c r="JES381" s="34"/>
      <c r="JET381" s="34"/>
      <c r="JEU381" s="34"/>
      <c r="JEV381" s="34"/>
      <c r="JEW381" s="34"/>
      <c r="JEX381" s="34"/>
      <c r="JEY381" s="34"/>
      <c r="JEZ381" s="34"/>
      <c r="JFA381" s="34"/>
      <c r="JFB381" s="34"/>
      <c r="JFC381" s="34"/>
      <c r="JFD381" s="34"/>
      <c r="JFE381" s="34"/>
      <c r="JFF381" s="34"/>
      <c r="JFG381" s="34"/>
      <c r="JFH381" s="34"/>
      <c r="JFI381" s="34"/>
      <c r="JFJ381" s="34"/>
      <c r="JFK381" s="34"/>
      <c r="JFL381" s="34"/>
      <c r="JFM381" s="34"/>
      <c r="JFN381" s="34"/>
      <c r="JFO381" s="34"/>
      <c r="JFP381" s="34"/>
      <c r="JFQ381" s="34"/>
      <c r="JFR381" s="34"/>
      <c r="JFS381" s="34"/>
      <c r="JFT381" s="34"/>
      <c r="JFU381" s="34"/>
      <c r="JFV381" s="34"/>
      <c r="JFW381" s="34"/>
      <c r="JFX381" s="34"/>
      <c r="JFY381" s="34"/>
      <c r="JFZ381" s="34"/>
      <c r="JGA381" s="34"/>
      <c r="JGB381" s="34"/>
      <c r="JGC381" s="34"/>
      <c r="JGD381" s="34"/>
      <c r="JGE381" s="34"/>
      <c r="JGF381" s="34"/>
      <c r="JGG381" s="34"/>
      <c r="JGH381" s="34"/>
      <c r="JGI381" s="34"/>
      <c r="JGJ381" s="34"/>
      <c r="JGK381" s="34"/>
      <c r="JGL381" s="34"/>
      <c r="JGM381" s="34"/>
      <c r="JGN381" s="34"/>
      <c r="JGO381" s="34"/>
      <c r="JGP381" s="34"/>
      <c r="JGQ381" s="34"/>
      <c r="JGR381" s="34"/>
      <c r="JGS381" s="34"/>
      <c r="JGT381" s="34"/>
      <c r="JGU381" s="34"/>
      <c r="JGV381" s="34"/>
      <c r="JGW381" s="34"/>
      <c r="JGX381" s="34"/>
      <c r="JGY381" s="34"/>
      <c r="JGZ381" s="34"/>
      <c r="JHA381" s="34"/>
      <c r="JHB381" s="34"/>
      <c r="JHC381" s="34"/>
      <c r="JHD381" s="34"/>
      <c r="JHE381" s="34"/>
      <c r="JHF381" s="34"/>
      <c r="JHG381" s="34"/>
      <c r="JHH381" s="34"/>
      <c r="JHI381" s="34"/>
      <c r="JHJ381" s="34"/>
      <c r="JHK381" s="34"/>
      <c r="JHL381" s="34"/>
      <c r="JHM381" s="34"/>
      <c r="JHN381" s="34"/>
      <c r="JHO381" s="34"/>
      <c r="JHP381" s="34"/>
      <c r="JHQ381" s="34"/>
      <c r="JHR381" s="34"/>
      <c r="JHS381" s="34"/>
      <c r="JHT381" s="34"/>
      <c r="JHU381" s="34"/>
      <c r="JHV381" s="34"/>
      <c r="JHW381" s="34"/>
      <c r="JHX381" s="34"/>
      <c r="JHY381" s="34"/>
      <c r="JHZ381" s="34"/>
      <c r="JIA381" s="34"/>
      <c r="JIB381" s="34"/>
      <c r="JIC381" s="34"/>
      <c r="JID381" s="34"/>
      <c r="JIE381" s="34"/>
      <c r="JIF381" s="34"/>
      <c r="JIG381" s="34"/>
      <c r="JIH381" s="34"/>
      <c r="JII381" s="34"/>
      <c r="JIJ381" s="34"/>
      <c r="JIK381" s="34"/>
      <c r="JIL381" s="34"/>
      <c r="JIM381" s="34"/>
      <c r="JIN381" s="34"/>
      <c r="JIO381" s="34"/>
      <c r="JIP381" s="34"/>
      <c r="JIQ381" s="34"/>
      <c r="JIR381" s="34"/>
      <c r="JIS381" s="34"/>
      <c r="JIT381" s="34"/>
      <c r="JIU381" s="34"/>
      <c r="JIV381" s="34"/>
      <c r="JIW381" s="34"/>
      <c r="JIX381" s="34"/>
      <c r="JIY381" s="34"/>
      <c r="JIZ381" s="34"/>
      <c r="JJA381" s="34"/>
      <c r="JJB381" s="34"/>
      <c r="JJC381" s="34"/>
      <c r="JJD381" s="34"/>
      <c r="JJE381" s="34"/>
      <c r="JJF381" s="34"/>
      <c r="JJG381" s="34"/>
      <c r="JJH381" s="34"/>
      <c r="JJI381" s="34"/>
      <c r="JJJ381" s="34"/>
      <c r="JJK381" s="34"/>
      <c r="JJL381" s="34"/>
      <c r="JJM381" s="34"/>
      <c r="JJN381" s="34"/>
      <c r="JJO381" s="34"/>
      <c r="JJP381" s="34"/>
      <c r="JJQ381" s="34"/>
      <c r="JJR381" s="34"/>
      <c r="JJS381" s="34"/>
      <c r="JJT381" s="34"/>
      <c r="JJU381" s="34"/>
      <c r="JJV381" s="34"/>
      <c r="JJW381" s="34"/>
      <c r="JJX381" s="34"/>
      <c r="JJY381" s="34"/>
      <c r="JJZ381" s="34"/>
      <c r="JKA381" s="34"/>
      <c r="JKB381" s="34"/>
      <c r="JKC381" s="34"/>
      <c r="JKD381" s="34"/>
      <c r="JKE381" s="34"/>
      <c r="JKF381" s="34"/>
      <c r="JKG381" s="34"/>
      <c r="JKH381" s="34"/>
      <c r="JKI381" s="34"/>
      <c r="JKJ381" s="34"/>
      <c r="JKK381" s="34"/>
      <c r="JKL381" s="34"/>
      <c r="JKM381" s="34"/>
      <c r="JKN381" s="34"/>
      <c r="JKO381" s="34"/>
      <c r="JKP381" s="34"/>
      <c r="JKQ381" s="34"/>
      <c r="JKR381" s="34"/>
      <c r="JKS381" s="34"/>
      <c r="JKT381" s="34"/>
      <c r="JKU381" s="34"/>
      <c r="JKV381" s="34"/>
      <c r="JKW381" s="34"/>
      <c r="JKX381" s="34"/>
      <c r="JKY381" s="34"/>
      <c r="JKZ381" s="34"/>
      <c r="JLA381" s="34"/>
      <c r="JLB381" s="34"/>
      <c r="JLC381" s="34"/>
      <c r="JLD381" s="34"/>
      <c r="JLE381" s="34"/>
      <c r="JLF381" s="34"/>
      <c r="JLG381" s="34"/>
      <c r="JLH381" s="34"/>
      <c r="JLI381" s="34"/>
      <c r="JLJ381" s="34"/>
      <c r="JLK381" s="34"/>
      <c r="JLL381" s="34"/>
      <c r="JLM381" s="34"/>
      <c r="JLN381" s="34"/>
      <c r="JLO381" s="34"/>
      <c r="JLP381" s="34"/>
      <c r="JLQ381" s="34"/>
      <c r="JLR381" s="34"/>
      <c r="JLS381" s="34"/>
      <c r="JLT381" s="34"/>
      <c r="JLU381" s="34"/>
      <c r="JLV381" s="34"/>
      <c r="JLW381" s="34"/>
      <c r="JLX381" s="34"/>
      <c r="JLY381" s="34"/>
      <c r="JLZ381" s="34"/>
      <c r="JMA381" s="34"/>
      <c r="JMB381" s="34"/>
      <c r="JMC381" s="34"/>
      <c r="JMD381" s="34"/>
      <c r="JME381" s="34"/>
      <c r="JMF381" s="34"/>
      <c r="JMG381" s="34"/>
      <c r="JMH381" s="34"/>
      <c r="JMI381" s="34"/>
      <c r="JMJ381" s="34"/>
      <c r="JMK381" s="34"/>
      <c r="JML381" s="34"/>
      <c r="JMM381" s="34"/>
      <c r="JMN381" s="34"/>
      <c r="JMO381" s="34"/>
      <c r="JMP381" s="34"/>
      <c r="JMQ381" s="34"/>
      <c r="JMR381" s="34"/>
      <c r="JMS381" s="34"/>
      <c r="JMT381" s="34"/>
      <c r="JMU381" s="34"/>
      <c r="JMV381" s="34"/>
      <c r="JMW381" s="34"/>
      <c r="JMX381" s="34"/>
      <c r="JMY381" s="34"/>
      <c r="JMZ381" s="34"/>
      <c r="JNA381" s="34"/>
      <c r="JNB381" s="34"/>
      <c r="JNC381" s="34"/>
      <c r="JND381" s="34"/>
      <c r="JNE381" s="34"/>
      <c r="JNF381" s="34"/>
      <c r="JNG381" s="34"/>
      <c r="JNH381" s="34"/>
      <c r="JNI381" s="34"/>
      <c r="JNJ381" s="34"/>
      <c r="JNK381" s="34"/>
      <c r="JNL381" s="34"/>
      <c r="JNM381" s="34"/>
      <c r="JNN381" s="34"/>
      <c r="JNO381" s="34"/>
      <c r="JNP381" s="34"/>
      <c r="JNQ381" s="34"/>
      <c r="JNR381" s="34"/>
      <c r="JNS381" s="34"/>
      <c r="JNT381" s="34"/>
      <c r="JNU381" s="34"/>
      <c r="JNV381" s="34"/>
      <c r="JNW381" s="34"/>
      <c r="JNX381" s="34"/>
      <c r="JNY381" s="34"/>
      <c r="JNZ381" s="34"/>
      <c r="JOA381" s="34"/>
      <c r="JOB381" s="34"/>
      <c r="JOC381" s="34"/>
      <c r="JOD381" s="34"/>
      <c r="JOE381" s="34"/>
      <c r="JOF381" s="34"/>
      <c r="JOG381" s="34"/>
      <c r="JOH381" s="34"/>
      <c r="JOI381" s="34"/>
      <c r="JOJ381" s="34"/>
      <c r="JOK381" s="34"/>
      <c r="JOL381" s="34"/>
      <c r="JOM381" s="34"/>
      <c r="JON381" s="34"/>
      <c r="JOO381" s="34"/>
      <c r="JOP381" s="34"/>
      <c r="JOQ381" s="34"/>
      <c r="JOR381" s="34"/>
      <c r="JOS381" s="34"/>
      <c r="JOT381" s="34"/>
      <c r="JOU381" s="34"/>
      <c r="JOV381" s="34"/>
      <c r="JOW381" s="34"/>
      <c r="JOX381" s="34"/>
      <c r="JOY381" s="34"/>
      <c r="JOZ381" s="34"/>
      <c r="JPA381" s="34"/>
      <c r="JPB381" s="34"/>
      <c r="JPC381" s="34"/>
      <c r="JPD381" s="34"/>
      <c r="JPE381" s="34"/>
      <c r="JPF381" s="34"/>
      <c r="JPG381" s="34"/>
      <c r="JPH381" s="34"/>
      <c r="JPI381" s="34"/>
      <c r="JPJ381" s="34"/>
      <c r="JPK381" s="34"/>
      <c r="JPL381" s="34"/>
      <c r="JPM381" s="34"/>
      <c r="JPN381" s="34"/>
      <c r="JPO381" s="34"/>
      <c r="JPP381" s="34"/>
      <c r="JPQ381" s="34"/>
      <c r="JPR381" s="34"/>
      <c r="JPS381" s="34"/>
      <c r="JPT381" s="34"/>
      <c r="JPU381" s="34"/>
      <c r="JPV381" s="34"/>
      <c r="JPW381" s="34"/>
      <c r="JPX381" s="34"/>
      <c r="JPY381" s="34"/>
      <c r="JPZ381" s="34"/>
      <c r="JQA381" s="34"/>
      <c r="JQB381" s="34"/>
      <c r="JQC381" s="34"/>
      <c r="JQD381" s="34"/>
      <c r="JQE381" s="34"/>
      <c r="JQF381" s="34"/>
      <c r="JQG381" s="34"/>
      <c r="JQH381" s="34"/>
      <c r="JQI381" s="34"/>
      <c r="JQJ381" s="34"/>
      <c r="JQK381" s="34"/>
      <c r="JQL381" s="34"/>
      <c r="JQM381" s="34"/>
      <c r="JQN381" s="34"/>
      <c r="JQO381" s="34"/>
      <c r="JQP381" s="34"/>
      <c r="JQQ381" s="34"/>
      <c r="JQR381" s="34"/>
      <c r="JQS381" s="34"/>
      <c r="JQT381" s="34"/>
      <c r="JQU381" s="34"/>
      <c r="JQV381" s="34"/>
      <c r="JQW381" s="34"/>
      <c r="JQX381" s="34"/>
      <c r="JQY381" s="34"/>
      <c r="JQZ381" s="34"/>
      <c r="JRA381" s="34"/>
      <c r="JRB381" s="34"/>
      <c r="JRC381" s="34"/>
      <c r="JRD381" s="34"/>
      <c r="JRE381" s="34"/>
      <c r="JRF381" s="34"/>
      <c r="JRG381" s="34"/>
      <c r="JRH381" s="34"/>
      <c r="JRI381" s="34"/>
      <c r="JRJ381" s="34"/>
      <c r="JRK381" s="34"/>
      <c r="JRL381" s="34"/>
      <c r="JRM381" s="34"/>
      <c r="JRN381" s="34"/>
      <c r="JRO381" s="34"/>
      <c r="JRP381" s="34"/>
      <c r="JRQ381" s="34"/>
      <c r="JRR381" s="34"/>
      <c r="JRS381" s="34"/>
      <c r="JRT381" s="34"/>
      <c r="JRU381" s="34"/>
      <c r="JRV381" s="34"/>
      <c r="JRW381" s="34"/>
      <c r="JRX381" s="34"/>
      <c r="JRY381" s="34"/>
      <c r="JRZ381" s="34"/>
      <c r="JSA381" s="34"/>
      <c r="JSB381" s="34"/>
      <c r="JSC381" s="34"/>
      <c r="JSD381" s="34"/>
      <c r="JSE381" s="34"/>
      <c r="JSF381" s="34"/>
      <c r="JSG381" s="34"/>
      <c r="JSH381" s="34"/>
      <c r="JSI381" s="34"/>
      <c r="JSJ381" s="34"/>
      <c r="JSK381" s="34"/>
      <c r="JSL381" s="34"/>
      <c r="JSM381" s="34"/>
      <c r="JSN381" s="34"/>
      <c r="JSO381" s="34"/>
      <c r="JSP381" s="34"/>
      <c r="JSQ381" s="34"/>
      <c r="JSR381" s="34"/>
      <c r="JSS381" s="34"/>
      <c r="JST381" s="34"/>
      <c r="JSU381" s="34"/>
      <c r="JSV381" s="34"/>
      <c r="JSW381" s="34"/>
      <c r="JSX381" s="34"/>
      <c r="JSY381" s="34"/>
      <c r="JSZ381" s="34"/>
      <c r="JTA381" s="34"/>
      <c r="JTB381" s="34"/>
      <c r="JTC381" s="34"/>
      <c r="JTD381" s="34"/>
      <c r="JTE381" s="34"/>
      <c r="JTF381" s="34"/>
      <c r="JTG381" s="34"/>
      <c r="JTH381" s="34"/>
      <c r="JTI381" s="34"/>
      <c r="JTJ381" s="34"/>
      <c r="JTK381" s="34"/>
      <c r="JTL381" s="34"/>
      <c r="JTM381" s="34"/>
      <c r="JTN381" s="34"/>
      <c r="JTO381" s="34"/>
      <c r="JTP381" s="34"/>
      <c r="JTQ381" s="34"/>
      <c r="JTR381" s="34"/>
      <c r="JTS381" s="34"/>
      <c r="JTT381" s="34"/>
      <c r="JTU381" s="34"/>
      <c r="JTV381" s="34"/>
      <c r="JTW381" s="34"/>
      <c r="JTX381" s="34"/>
      <c r="JTY381" s="34"/>
      <c r="JTZ381" s="34"/>
      <c r="JUA381" s="34"/>
      <c r="JUB381" s="34"/>
      <c r="JUC381" s="34"/>
      <c r="JUD381" s="34"/>
      <c r="JUE381" s="34"/>
      <c r="JUF381" s="34"/>
      <c r="JUG381" s="34"/>
      <c r="JUH381" s="34"/>
      <c r="JUI381" s="34"/>
      <c r="JUJ381" s="34"/>
      <c r="JUK381" s="34"/>
      <c r="JUL381" s="34"/>
      <c r="JUM381" s="34"/>
      <c r="JUN381" s="34"/>
      <c r="JUO381" s="34"/>
      <c r="JUP381" s="34"/>
      <c r="JUQ381" s="34"/>
      <c r="JUR381" s="34"/>
      <c r="JUS381" s="34"/>
      <c r="JUT381" s="34"/>
      <c r="JUU381" s="34"/>
      <c r="JUV381" s="34"/>
      <c r="JUW381" s="34"/>
      <c r="JUX381" s="34"/>
      <c r="JUY381" s="34"/>
      <c r="JUZ381" s="34"/>
      <c r="JVA381" s="34"/>
      <c r="JVB381" s="34"/>
      <c r="JVC381" s="34"/>
      <c r="JVD381" s="34"/>
      <c r="JVE381" s="34"/>
      <c r="JVF381" s="34"/>
      <c r="JVG381" s="34"/>
      <c r="JVH381" s="34"/>
      <c r="JVI381" s="34"/>
      <c r="JVJ381" s="34"/>
      <c r="JVK381" s="34"/>
      <c r="JVL381" s="34"/>
      <c r="JVM381" s="34"/>
      <c r="JVN381" s="34"/>
      <c r="JVO381" s="34"/>
      <c r="JVP381" s="34"/>
      <c r="JVQ381" s="34"/>
      <c r="JVR381" s="34"/>
      <c r="JVS381" s="34"/>
      <c r="JVT381" s="34"/>
      <c r="JVU381" s="34"/>
      <c r="JVV381" s="34"/>
      <c r="JVW381" s="34"/>
      <c r="JVX381" s="34"/>
      <c r="JVY381" s="34"/>
      <c r="JVZ381" s="34"/>
      <c r="JWA381" s="34"/>
      <c r="JWB381" s="34"/>
      <c r="JWC381" s="34"/>
      <c r="JWD381" s="34"/>
      <c r="JWE381" s="34"/>
      <c r="JWF381" s="34"/>
      <c r="JWG381" s="34"/>
      <c r="JWH381" s="34"/>
      <c r="JWI381" s="34"/>
      <c r="JWJ381" s="34"/>
      <c r="JWK381" s="34"/>
      <c r="JWL381" s="34"/>
      <c r="JWM381" s="34"/>
      <c r="JWN381" s="34"/>
      <c r="JWO381" s="34"/>
      <c r="JWP381" s="34"/>
      <c r="JWQ381" s="34"/>
      <c r="JWR381" s="34"/>
      <c r="JWS381" s="34"/>
      <c r="JWT381" s="34"/>
      <c r="JWU381" s="34"/>
      <c r="JWV381" s="34"/>
      <c r="JWW381" s="34"/>
      <c r="JWX381" s="34"/>
      <c r="JWY381" s="34"/>
      <c r="JWZ381" s="34"/>
      <c r="JXA381" s="34"/>
      <c r="JXB381" s="34"/>
      <c r="JXC381" s="34"/>
      <c r="JXD381" s="34"/>
      <c r="JXE381" s="34"/>
      <c r="JXF381" s="34"/>
      <c r="JXG381" s="34"/>
      <c r="JXH381" s="34"/>
      <c r="JXI381" s="34"/>
      <c r="JXJ381" s="34"/>
      <c r="JXK381" s="34"/>
      <c r="JXL381" s="34"/>
      <c r="JXM381" s="34"/>
      <c r="JXN381" s="34"/>
      <c r="JXO381" s="34"/>
      <c r="JXP381" s="34"/>
      <c r="JXQ381" s="34"/>
      <c r="JXR381" s="34"/>
      <c r="JXS381" s="34"/>
      <c r="JXT381" s="34"/>
      <c r="JXU381" s="34"/>
      <c r="JXV381" s="34"/>
      <c r="JXW381" s="34"/>
      <c r="JXX381" s="34"/>
      <c r="JXY381" s="34"/>
      <c r="JXZ381" s="34"/>
      <c r="JYA381" s="34"/>
      <c r="JYB381" s="34"/>
      <c r="JYC381" s="34"/>
      <c r="JYD381" s="34"/>
      <c r="JYE381" s="34"/>
      <c r="JYF381" s="34"/>
      <c r="JYG381" s="34"/>
      <c r="JYH381" s="34"/>
      <c r="JYI381" s="34"/>
      <c r="JYJ381" s="34"/>
      <c r="JYK381" s="34"/>
      <c r="JYL381" s="34"/>
      <c r="JYM381" s="34"/>
      <c r="JYN381" s="34"/>
      <c r="JYO381" s="34"/>
      <c r="JYP381" s="34"/>
      <c r="JYQ381" s="34"/>
      <c r="JYR381" s="34"/>
      <c r="JYS381" s="34"/>
      <c r="JYT381" s="34"/>
      <c r="JYU381" s="34"/>
      <c r="JYV381" s="34"/>
      <c r="JYW381" s="34"/>
      <c r="JYX381" s="34"/>
      <c r="JYY381" s="34"/>
      <c r="JYZ381" s="34"/>
      <c r="JZA381" s="34"/>
      <c r="JZB381" s="34"/>
      <c r="JZC381" s="34"/>
      <c r="JZD381" s="34"/>
      <c r="JZE381" s="34"/>
      <c r="JZF381" s="34"/>
      <c r="JZG381" s="34"/>
      <c r="JZH381" s="34"/>
      <c r="JZI381" s="34"/>
      <c r="JZJ381" s="34"/>
      <c r="JZK381" s="34"/>
      <c r="JZL381" s="34"/>
      <c r="JZM381" s="34"/>
      <c r="JZN381" s="34"/>
      <c r="JZO381" s="34"/>
      <c r="JZP381" s="34"/>
      <c r="JZQ381" s="34"/>
      <c r="JZR381" s="34"/>
      <c r="JZS381" s="34"/>
      <c r="JZT381" s="34"/>
      <c r="JZU381" s="34"/>
      <c r="JZV381" s="34"/>
      <c r="JZW381" s="34"/>
      <c r="JZX381" s="34"/>
      <c r="JZY381" s="34"/>
      <c r="JZZ381" s="34"/>
      <c r="KAA381" s="34"/>
      <c r="KAB381" s="34"/>
      <c r="KAC381" s="34"/>
      <c r="KAD381" s="34"/>
      <c r="KAE381" s="34"/>
      <c r="KAF381" s="34"/>
      <c r="KAG381" s="34"/>
      <c r="KAH381" s="34"/>
      <c r="KAI381" s="34"/>
      <c r="KAJ381" s="34"/>
      <c r="KAK381" s="34"/>
      <c r="KAL381" s="34"/>
      <c r="KAM381" s="34"/>
      <c r="KAN381" s="34"/>
      <c r="KAO381" s="34"/>
      <c r="KAP381" s="34"/>
      <c r="KAQ381" s="34"/>
      <c r="KAR381" s="34"/>
      <c r="KAS381" s="34"/>
      <c r="KAT381" s="34"/>
      <c r="KAU381" s="34"/>
      <c r="KAV381" s="34"/>
      <c r="KAW381" s="34"/>
      <c r="KAX381" s="34"/>
      <c r="KAY381" s="34"/>
      <c r="KAZ381" s="34"/>
      <c r="KBA381" s="34"/>
      <c r="KBB381" s="34"/>
      <c r="KBC381" s="34"/>
      <c r="KBD381" s="34"/>
      <c r="KBE381" s="34"/>
      <c r="KBF381" s="34"/>
      <c r="KBG381" s="34"/>
      <c r="KBH381" s="34"/>
      <c r="KBI381" s="34"/>
      <c r="KBJ381" s="34"/>
      <c r="KBK381" s="34"/>
      <c r="KBL381" s="34"/>
      <c r="KBM381" s="34"/>
      <c r="KBN381" s="34"/>
      <c r="KBO381" s="34"/>
      <c r="KBP381" s="34"/>
      <c r="KBQ381" s="34"/>
      <c r="KBR381" s="34"/>
      <c r="KBS381" s="34"/>
      <c r="KBT381" s="34"/>
      <c r="KBU381" s="34"/>
      <c r="KBV381" s="34"/>
      <c r="KBW381" s="34"/>
      <c r="KBX381" s="34"/>
      <c r="KBY381" s="34"/>
      <c r="KBZ381" s="34"/>
      <c r="KCA381" s="34"/>
      <c r="KCB381" s="34"/>
      <c r="KCC381" s="34"/>
      <c r="KCD381" s="34"/>
      <c r="KCE381" s="34"/>
      <c r="KCF381" s="34"/>
      <c r="KCG381" s="34"/>
      <c r="KCH381" s="34"/>
      <c r="KCI381" s="34"/>
      <c r="KCJ381" s="34"/>
      <c r="KCK381" s="34"/>
      <c r="KCL381" s="34"/>
      <c r="KCM381" s="34"/>
      <c r="KCN381" s="34"/>
      <c r="KCO381" s="34"/>
      <c r="KCP381" s="34"/>
      <c r="KCQ381" s="34"/>
      <c r="KCR381" s="34"/>
      <c r="KCS381" s="34"/>
      <c r="KCT381" s="34"/>
      <c r="KCU381" s="34"/>
      <c r="KCV381" s="34"/>
      <c r="KCW381" s="34"/>
      <c r="KCX381" s="34"/>
      <c r="KCY381" s="34"/>
      <c r="KCZ381" s="34"/>
      <c r="KDA381" s="34"/>
      <c r="KDB381" s="34"/>
      <c r="KDC381" s="34"/>
      <c r="KDD381" s="34"/>
      <c r="KDE381" s="34"/>
      <c r="KDF381" s="34"/>
      <c r="KDG381" s="34"/>
      <c r="KDH381" s="34"/>
      <c r="KDI381" s="34"/>
      <c r="KDJ381" s="34"/>
      <c r="KDK381" s="34"/>
      <c r="KDL381" s="34"/>
      <c r="KDM381" s="34"/>
      <c r="KDN381" s="34"/>
      <c r="KDO381" s="34"/>
      <c r="KDP381" s="34"/>
      <c r="KDQ381" s="34"/>
      <c r="KDR381" s="34"/>
      <c r="KDS381" s="34"/>
      <c r="KDT381" s="34"/>
      <c r="KDU381" s="34"/>
      <c r="KDV381" s="34"/>
      <c r="KDW381" s="34"/>
      <c r="KDX381" s="34"/>
      <c r="KDY381" s="34"/>
      <c r="KDZ381" s="34"/>
      <c r="KEA381" s="34"/>
      <c r="KEB381" s="34"/>
      <c r="KEC381" s="34"/>
      <c r="KED381" s="34"/>
      <c r="KEE381" s="34"/>
      <c r="KEF381" s="34"/>
      <c r="KEG381" s="34"/>
      <c r="KEH381" s="34"/>
      <c r="KEI381" s="34"/>
      <c r="KEJ381" s="34"/>
      <c r="KEK381" s="34"/>
      <c r="KEL381" s="34"/>
      <c r="KEM381" s="34"/>
      <c r="KEN381" s="34"/>
      <c r="KEO381" s="34"/>
      <c r="KEP381" s="34"/>
      <c r="KEQ381" s="34"/>
      <c r="KER381" s="34"/>
      <c r="KES381" s="34"/>
      <c r="KET381" s="34"/>
      <c r="KEU381" s="34"/>
      <c r="KEV381" s="34"/>
      <c r="KEW381" s="34"/>
      <c r="KEX381" s="34"/>
      <c r="KEY381" s="34"/>
      <c r="KEZ381" s="34"/>
      <c r="KFA381" s="34"/>
      <c r="KFB381" s="34"/>
      <c r="KFC381" s="34"/>
      <c r="KFD381" s="34"/>
      <c r="KFE381" s="34"/>
      <c r="KFF381" s="34"/>
      <c r="KFG381" s="34"/>
      <c r="KFH381" s="34"/>
      <c r="KFI381" s="34"/>
      <c r="KFJ381" s="34"/>
      <c r="KFK381" s="34"/>
      <c r="KFL381" s="34"/>
      <c r="KFM381" s="34"/>
      <c r="KFN381" s="34"/>
      <c r="KFO381" s="34"/>
      <c r="KFP381" s="34"/>
      <c r="KFQ381" s="34"/>
      <c r="KFR381" s="34"/>
      <c r="KFS381" s="34"/>
      <c r="KFT381" s="34"/>
      <c r="KFU381" s="34"/>
      <c r="KFV381" s="34"/>
      <c r="KFW381" s="34"/>
      <c r="KFX381" s="34"/>
      <c r="KFY381" s="34"/>
      <c r="KFZ381" s="34"/>
      <c r="KGA381" s="34"/>
      <c r="KGB381" s="34"/>
      <c r="KGC381" s="34"/>
      <c r="KGD381" s="34"/>
      <c r="KGE381" s="34"/>
      <c r="KGF381" s="34"/>
      <c r="KGG381" s="34"/>
      <c r="KGH381" s="34"/>
      <c r="KGI381" s="34"/>
      <c r="KGJ381" s="34"/>
      <c r="KGK381" s="34"/>
      <c r="KGL381" s="34"/>
      <c r="KGM381" s="34"/>
      <c r="KGN381" s="34"/>
      <c r="KGO381" s="34"/>
      <c r="KGP381" s="34"/>
      <c r="KGQ381" s="34"/>
      <c r="KGR381" s="34"/>
      <c r="KGS381" s="34"/>
      <c r="KGT381" s="34"/>
      <c r="KGU381" s="34"/>
      <c r="KGV381" s="34"/>
      <c r="KGW381" s="34"/>
      <c r="KGX381" s="34"/>
      <c r="KGY381" s="34"/>
      <c r="KGZ381" s="34"/>
      <c r="KHA381" s="34"/>
      <c r="KHB381" s="34"/>
      <c r="KHC381" s="34"/>
      <c r="KHD381" s="34"/>
      <c r="KHE381" s="34"/>
      <c r="KHF381" s="34"/>
      <c r="KHG381" s="34"/>
      <c r="KHH381" s="34"/>
      <c r="KHI381" s="34"/>
      <c r="KHJ381" s="34"/>
      <c r="KHK381" s="34"/>
      <c r="KHL381" s="34"/>
      <c r="KHM381" s="34"/>
      <c r="KHN381" s="34"/>
      <c r="KHO381" s="34"/>
      <c r="KHP381" s="34"/>
      <c r="KHQ381" s="34"/>
      <c r="KHR381" s="34"/>
      <c r="KHS381" s="34"/>
      <c r="KHT381" s="34"/>
      <c r="KHU381" s="34"/>
      <c r="KHV381" s="34"/>
      <c r="KHW381" s="34"/>
      <c r="KHX381" s="34"/>
      <c r="KHY381" s="34"/>
      <c r="KHZ381" s="34"/>
      <c r="KIA381" s="34"/>
      <c r="KIB381" s="34"/>
      <c r="KIC381" s="34"/>
      <c r="KID381" s="34"/>
      <c r="KIE381" s="34"/>
      <c r="KIF381" s="34"/>
      <c r="KIG381" s="34"/>
      <c r="KIH381" s="34"/>
      <c r="KII381" s="34"/>
      <c r="KIJ381" s="34"/>
      <c r="KIK381" s="34"/>
      <c r="KIL381" s="34"/>
      <c r="KIM381" s="34"/>
      <c r="KIN381" s="34"/>
      <c r="KIO381" s="34"/>
      <c r="KIP381" s="34"/>
      <c r="KIQ381" s="34"/>
      <c r="KIR381" s="34"/>
      <c r="KIS381" s="34"/>
      <c r="KIT381" s="34"/>
      <c r="KIU381" s="34"/>
      <c r="KIV381" s="34"/>
      <c r="KIW381" s="34"/>
      <c r="KIX381" s="34"/>
      <c r="KIY381" s="34"/>
      <c r="KIZ381" s="34"/>
      <c r="KJA381" s="34"/>
      <c r="KJB381" s="34"/>
      <c r="KJC381" s="34"/>
      <c r="KJD381" s="34"/>
      <c r="KJE381" s="34"/>
      <c r="KJF381" s="34"/>
      <c r="KJG381" s="34"/>
      <c r="KJH381" s="34"/>
      <c r="KJI381" s="34"/>
      <c r="KJJ381" s="34"/>
      <c r="KJK381" s="34"/>
      <c r="KJL381" s="34"/>
      <c r="KJM381" s="34"/>
      <c r="KJN381" s="34"/>
      <c r="KJO381" s="34"/>
      <c r="KJP381" s="34"/>
      <c r="KJQ381" s="34"/>
      <c r="KJR381" s="34"/>
      <c r="KJS381" s="34"/>
      <c r="KJT381" s="34"/>
      <c r="KJU381" s="34"/>
      <c r="KJV381" s="34"/>
      <c r="KJW381" s="34"/>
      <c r="KJX381" s="34"/>
      <c r="KJY381" s="34"/>
      <c r="KJZ381" s="34"/>
      <c r="KKA381" s="34"/>
      <c r="KKB381" s="34"/>
      <c r="KKC381" s="34"/>
      <c r="KKD381" s="34"/>
      <c r="KKE381" s="34"/>
      <c r="KKF381" s="34"/>
      <c r="KKG381" s="34"/>
      <c r="KKH381" s="34"/>
      <c r="KKI381" s="34"/>
      <c r="KKJ381" s="34"/>
      <c r="KKK381" s="34"/>
      <c r="KKL381" s="34"/>
      <c r="KKM381" s="34"/>
      <c r="KKN381" s="34"/>
      <c r="KKO381" s="34"/>
      <c r="KKP381" s="34"/>
      <c r="KKQ381" s="34"/>
      <c r="KKR381" s="34"/>
      <c r="KKS381" s="34"/>
      <c r="KKT381" s="34"/>
      <c r="KKU381" s="34"/>
      <c r="KKV381" s="34"/>
      <c r="KKW381" s="34"/>
      <c r="KKX381" s="34"/>
      <c r="KKY381" s="34"/>
      <c r="KKZ381" s="34"/>
      <c r="KLA381" s="34"/>
      <c r="KLB381" s="34"/>
      <c r="KLC381" s="34"/>
      <c r="KLD381" s="34"/>
      <c r="KLE381" s="34"/>
      <c r="KLF381" s="34"/>
      <c r="KLG381" s="34"/>
      <c r="KLH381" s="34"/>
      <c r="KLI381" s="34"/>
      <c r="KLJ381" s="34"/>
      <c r="KLK381" s="34"/>
      <c r="KLL381" s="34"/>
      <c r="KLM381" s="34"/>
      <c r="KLN381" s="34"/>
      <c r="KLO381" s="34"/>
      <c r="KLP381" s="34"/>
      <c r="KLQ381" s="34"/>
      <c r="KLR381" s="34"/>
      <c r="KLS381" s="34"/>
      <c r="KLT381" s="34"/>
      <c r="KLU381" s="34"/>
      <c r="KLV381" s="34"/>
      <c r="KLW381" s="34"/>
      <c r="KLX381" s="34"/>
      <c r="KLY381" s="34"/>
      <c r="KLZ381" s="34"/>
      <c r="KMA381" s="34"/>
      <c r="KMB381" s="34"/>
      <c r="KMC381" s="34"/>
      <c r="KMD381" s="34"/>
      <c r="KME381" s="34"/>
      <c r="KMF381" s="34"/>
      <c r="KMG381" s="34"/>
      <c r="KMH381" s="34"/>
      <c r="KMI381" s="34"/>
      <c r="KMJ381" s="34"/>
      <c r="KMK381" s="34"/>
      <c r="KML381" s="34"/>
      <c r="KMM381" s="34"/>
      <c r="KMN381" s="34"/>
      <c r="KMO381" s="34"/>
      <c r="KMP381" s="34"/>
      <c r="KMQ381" s="34"/>
      <c r="KMR381" s="34"/>
      <c r="KMS381" s="34"/>
      <c r="KMT381" s="34"/>
      <c r="KMU381" s="34"/>
      <c r="KMV381" s="34"/>
      <c r="KMW381" s="34"/>
      <c r="KMX381" s="34"/>
      <c r="KMY381" s="34"/>
      <c r="KMZ381" s="34"/>
      <c r="KNA381" s="34"/>
      <c r="KNB381" s="34"/>
      <c r="KNC381" s="34"/>
      <c r="KND381" s="34"/>
      <c r="KNE381" s="34"/>
      <c r="KNF381" s="34"/>
      <c r="KNG381" s="34"/>
      <c r="KNH381" s="34"/>
      <c r="KNI381" s="34"/>
      <c r="KNJ381" s="34"/>
      <c r="KNK381" s="34"/>
      <c r="KNL381" s="34"/>
      <c r="KNM381" s="34"/>
      <c r="KNN381" s="34"/>
      <c r="KNO381" s="34"/>
      <c r="KNP381" s="34"/>
      <c r="KNQ381" s="34"/>
      <c r="KNR381" s="34"/>
      <c r="KNS381" s="34"/>
      <c r="KNT381" s="34"/>
      <c r="KNU381" s="34"/>
      <c r="KNV381" s="34"/>
      <c r="KNW381" s="34"/>
      <c r="KNX381" s="34"/>
      <c r="KNY381" s="34"/>
      <c r="KNZ381" s="34"/>
      <c r="KOA381" s="34"/>
      <c r="KOB381" s="34"/>
      <c r="KOC381" s="34"/>
      <c r="KOD381" s="34"/>
      <c r="KOE381" s="34"/>
      <c r="KOF381" s="34"/>
      <c r="KOG381" s="34"/>
      <c r="KOH381" s="34"/>
      <c r="KOI381" s="34"/>
      <c r="KOJ381" s="34"/>
      <c r="KOK381" s="34"/>
      <c r="KOL381" s="34"/>
      <c r="KOM381" s="34"/>
      <c r="KON381" s="34"/>
      <c r="KOO381" s="34"/>
      <c r="KOP381" s="34"/>
      <c r="KOQ381" s="34"/>
      <c r="KOR381" s="34"/>
      <c r="KOS381" s="34"/>
      <c r="KOT381" s="34"/>
      <c r="KOU381" s="34"/>
      <c r="KOV381" s="34"/>
      <c r="KOW381" s="34"/>
      <c r="KOX381" s="34"/>
      <c r="KOY381" s="34"/>
      <c r="KOZ381" s="34"/>
      <c r="KPA381" s="34"/>
      <c r="KPB381" s="34"/>
      <c r="KPC381" s="34"/>
      <c r="KPD381" s="34"/>
      <c r="KPE381" s="34"/>
      <c r="KPF381" s="34"/>
      <c r="KPG381" s="34"/>
      <c r="KPH381" s="34"/>
      <c r="KPI381" s="34"/>
      <c r="KPJ381" s="34"/>
      <c r="KPK381" s="34"/>
      <c r="KPL381" s="34"/>
      <c r="KPM381" s="34"/>
      <c r="KPN381" s="34"/>
      <c r="KPO381" s="34"/>
      <c r="KPP381" s="34"/>
      <c r="KPQ381" s="34"/>
      <c r="KPR381" s="34"/>
      <c r="KPS381" s="34"/>
      <c r="KPT381" s="34"/>
      <c r="KPU381" s="34"/>
      <c r="KPV381" s="34"/>
      <c r="KPW381" s="34"/>
      <c r="KPX381" s="34"/>
      <c r="KPY381" s="34"/>
      <c r="KPZ381" s="34"/>
      <c r="KQA381" s="34"/>
      <c r="KQB381" s="34"/>
      <c r="KQC381" s="34"/>
      <c r="KQD381" s="34"/>
      <c r="KQE381" s="34"/>
      <c r="KQF381" s="34"/>
      <c r="KQG381" s="34"/>
      <c r="KQH381" s="34"/>
      <c r="KQI381" s="34"/>
      <c r="KQJ381" s="34"/>
      <c r="KQK381" s="34"/>
      <c r="KQL381" s="34"/>
      <c r="KQM381" s="34"/>
      <c r="KQN381" s="34"/>
      <c r="KQO381" s="34"/>
      <c r="KQP381" s="34"/>
      <c r="KQQ381" s="34"/>
      <c r="KQR381" s="34"/>
      <c r="KQS381" s="34"/>
      <c r="KQT381" s="34"/>
      <c r="KQU381" s="34"/>
      <c r="KQV381" s="34"/>
      <c r="KQW381" s="34"/>
      <c r="KQX381" s="34"/>
      <c r="KQY381" s="34"/>
      <c r="KQZ381" s="34"/>
      <c r="KRA381" s="34"/>
      <c r="KRB381" s="34"/>
      <c r="KRC381" s="34"/>
      <c r="KRD381" s="34"/>
      <c r="KRE381" s="34"/>
      <c r="KRF381" s="34"/>
      <c r="KRG381" s="34"/>
      <c r="KRH381" s="34"/>
      <c r="KRI381" s="34"/>
      <c r="KRJ381" s="34"/>
      <c r="KRK381" s="34"/>
      <c r="KRL381" s="34"/>
      <c r="KRM381" s="34"/>
      <c r="KRN381" s="34"/>
      <c r="KRO381" s="34"/>
      <c r="KRP381" s="34"/>
      <c r="KRQ381" s="34"/>
      <c r="KRR381" s="34"/>
      <c r="KRS381" s="34"/>
      <c r="KRT381" s="34"/>
      <c r="KRU381" s="34"/>
      <c r="KRV381" s="34"/>
      <c r="KRW381" s="34"/>
      <c r="KRX381" s="34"/>
      <c r="KRY381" s="34"/>
      <c r="KRZ381" s="34"/>
      <c r="KSA381" s="34"/>
      <c r="KSB381" s="34"/>
      <c r="KSC381" s="34"/>
      <c r="KSD381" s="34"/>
      <c r="KSE381" s="34"/>
      <c r="KSF381" s="34"/>
      <c r="KSG381" s="34"/>
      <c r="KSH381" s="34"/>
      <c r="KSI381" s="34"/>
      <c r="KSJ381" s="34"/>
      <c r="KSK381" s="34"/>
      <c r="KSL381" s="34"/>
      <c r="KSM381" s="34"/>
      <c r="KSN381" s="34"/>
      <c r="KSO381" s="34"/>
      <c r="KSP381" s="34"/>
      <c r="KSQ381" s="34"/>
      <c r="KSR381" s="34"/>
      <c r="KSS381" s="34"/>
      <c r="KST381" s="34"/>
      <c r="KSU381" s="34"/>
      <c r="KSV381" s="34"/>
      <c r="KSW381" s="34"/>
      <c r="KSX381" s="34"/>
      <c r="KSY381" s="34"/>
      <c r="KSZ381" s="34"/>
      <c r="KTA381" s="34"/>
      <c r="KTB381" s="34"/>
      <c r="KTC381" s="34"/>
      <c r="KTD381" s="34"/>
      <c r="KTE381" s="34"/>
      <c r="KTF381" s="34"/>
      <c r="KTG381" s="34"/>
      <c r="KTH381" s="34"/>
      <c r="KTI381" s="34"/>
      <c r="KTJ381" s="34"/>
      <c r="KTK381" s="34"/>
      <c r="KTL381" s="34"/>
      <c r="KTM381" s="34"/>
      <c r="KTN381" s="34"/>
      <c r="KTO381" s="34"/>
      <c r="KTP381" s="34"/>
      <c r="KTQ381" s="34"/>
      <c r="KTR381" s="34"/>
      <c r="KTS381" s="34"/>
      <c r="KTT381" s="34"/>
      <c r="KTU381" s="34"/>
      <c r="KTV381" s="34"/>
      <c r="KTW381" s="34"/>
      <c r="KTX381" s="34"/>
      <c r="KTY381" s="34"/>
      <c r="KTZ381" s="34"/>
      <c r="KUA381" s="34"/>
      <c r="KUB381" s="34"/>
      <c r="KUC381" s="34"/>
      <c r="KUD381" s="34"/>
      <c r="KUE381" s="34"/>
      <c r="KUF381" s="34"/>
      <c r="KUG381" s="34"/>
      <c r="KUH381" s="34"/>
      <c r="KUI381" s="34"/>
      <c r="KUJ381" s="34"/>
      <c r="KUK381" s="34"/>
      <c r="KUL381" s="34"/>
      <c r="KUM381" s="34"/>
      <c r="KUN381" s="34"/>
      <c r="KUO381" s="34"/>
      <c r="KUP381" s="34"/>
      <c r="KUQ381" s="34"/>
      <c r="KUR381" s="34"/>
      <c r="KUS381" s="34"/>
      <c r="KUT381" s="34"/>
      <c r="KUU381" s="34"/>
      <c r="KUV381" s="34"/>
      <c r="KUW381" s="34"/>
      <c r="KUX381" s="34"/>
      <c r="KUY381" s="34"/>
      <c r="KUZ381" s="34"/>
      <c r="KVA381" s="34"/>
      <c r="KVB381" s="34"/>
      <c r="KVC381" s="34"/>
      <c r="KVD381" s="34"/>
      <c r="KVE381" s="34"/>
      <c r="KVF381" s="34"/>
      <c r="KVG381" s="34"/>
      <c r="KVH381" s="34"/>
      <c r="KVI381" s="34"/>
      <c r="KVJ381" s="34"/>
      <c r="KVK381" s="34"/>
      <c r="KVL381" s="34"/>
      <c r="KVM381" s="34"/>
      <c r="KVN381" s="34"/>
      <c r="KVO381" s="34"/>
      <c r="KVP381" s="34"/>
      <c r="KVQ381" s="34"/>
      <c r="KVR381" s="34"/>
      <c r="KVS381" s="34"/>
      <c r="KVT381" s="34"/>
      <c r="KVU381" s="34"/>
      <c r="KVV381" s="34"/>
      <c r="KVW381" s="34"/>
      <c r="KVX381" s="34"/>
      <c r="KVY381" s="34"/>
      <c r="KVZ381" s="34"/>
      <c r="KWA381" s="34"/>
      <c r="KWB381" s="34"/>
      <c r="KWC381" s="34"/>
      <c r="KWD381" s="34"/>
      <c r="KWE381" s="34"/>
      <c r="KWF381" s="34"/>
      <c r="KWG381" s="34"/>
      <c r="KWH381" s="34"/>
      <c r="KWI381" s="34"/>
      <c r="KWJ381" s="34"/>
      <c r="KWK381" s="34"/>
      <c r="KWL381" s="34"/>
      <c r="KWM381" s="34"/>
      <c r="KWN381" s="34"/>
      <c r="KWO381" s="34"/>
      <c r="KWP381" s="34"/>
      <c r="KWQ381" s="34"/>
      <c r="KWR381" s="34"/>
      <c r="KWS381" s="34"/>
      <c r="KWT381" s="34"/>
      <c r="KWU381" s="34"/>
      <c r="KWV381" s="34"/>
      <c r="KWW381" s="34"/>
      <c r="KWX381" s="34"/>
      <c r="KWY381" s="34"/>
      <c r="KWZ381" s="34"/>
      <c r="KXA381" s="34"/>
      <c r="KXB381" s="34"/>
      <c r="KXC381" s="34"/>
      <c r="KXD381" s="34"/>
      <c r="KXE381" s="34"/>
      <c r="KXF381" s="34"/>
      <c r="KXG381" s="34"/>
      <c r="KXH381" s="34"/>
      <c r="KXI381" s="34"/>
      <c r="KXJ381" s="34"/>
      <c r="KXK381" s="34"/>
      <c r="KXL381" s="34"/>
      <c r="KXM381" s="34"/>
      <c r="KXN381" s="34"/>
      <c r="KXO381" s="34"/>
      <c r="KXP381" s="34"/>
      <c r="KXQ381" s="34"/>
      <c r="KXR381" s="34"/>
      <c r="KXS381" s="34"/>
      <c r="KXT381" s="34"/>
      <c r="KXU381" s="34"/>
      <c r="KXV381" s="34"/>
      <c r="KXW381" s="34"/>
      <c r="KXX381" s="34"/>
      <c r="KXY381" s="34"/>
      <c r="KXZ381" s="34"/>
      <c r="KYA381" s="34"/>
      <c r="KYB381" s="34"/>
      <c r="KYC381" s="34"/>
      <c r="KYD381" s="34"/>
      <c r="KYE381" s="34"/>
      <c r="KYF381" s="34"/>
      <c r="KYG381" s="34"/>
      <c r="KYH381" s="34"/>
      <c r="KYI381" s="34"/>
      <c r="KYJ381" s="34"/>
      <c r="KYK381" s="34"/>
      <c r="KYL381" s="34"/>
      <c r="KYM381" s="34"/>
      <c r="KYN381" s="34"/>
      <c r="KYO381" s="34"/>
      <c r="KYP381" s="34"/>
      <c r="KYQ381" s="34"/>
      <c r="KYR381" s="34"/>
      <c r="KYS381" s="34"/>
      <c r="KYT381" s="34"/>
      <c r="KYU381" s="34"/>
      <c r="KYV381" s="34"/>
      <c r="KYW381" s="34"/>
      <c r="KYX381" s="34"/>
      <c r="KYY381" s="34"/>
      <c r="KYZ381" s="34"/>
      <c r="KZA381" s="34"/>
      <c r="KZB381" s="34"/>
      <c r="KZC381" s="34"/>
      <c r="KZD381" s="34"/>
      <c r="KZE381" s="34"/>
      <c r="KZF381" s="34"/>
      <c r="KZG381" s="34"/>
      <c r="KZH381" s="34"/>
      <c r="KZI381" s="34"/>
      <c r="KZJ381" s="34"/>
      <c r="KZK381" s="34"/>
      <c r="KZL381" s="34"/>
      <c r="KZM381" s="34"/>
      <c r="KZN381" s="34"/>
      <c r="KZO381" s="34"/>
      <c r="KZP381" s="34"/>
      <c r="KZQ381" s="34"/>
      <c r="KZR381" s="34"/>
      <c r="KZS381" s="34"/>
      <c r="KZT381" s="34"/>
      <c r="KZU381" s="34"/>
      <c r="KZV381" s="34"/>
      <c r="KZW381" s="34"/>
      <c r="KZX381" s="34"/>
      <c r="KZY381" s="34"/>
      <c r="KZZ381" s="34"/>
      <c r="LAA381" s="34"/>
      <c r="LAB381" s="34"/>
      <c r="LAC381" s="34"/>
      <c r="LAD381" s="34"/>
      <c r="LAE381" s="34"/>
      <c r="LAF381" s="34"/>
      <c r="LAG381" s="34"/>
      <c r="LAH381" s="34"/>
      <c r="LAI381" s="34"/>
      <c r="LAJ381" s="34"/>
      <c r="LAK381" s="34"/>
      <c r="LAL381" s="34"/>
      <c r="LAM381" s="34"/>
      <c r="LAN381" s="34"/>
      <c r="LAO381" s="34"/>
      <c r="LAP381" s="34"/>
      <c r="LAQ381" s="34"/>
      <c r="LAR381" s="34"/>
      <c r="LAS381" s="34"/>
      <c r="LAT381" s="34"/>
      <c r="LAU381" s="34"/>
      <c r="LAV381" s="34"/>
      <c r="LAW381" s="34"/>
      <c r="LAX381" s="34"/>
      <c r="LAY381" s="34"/>
      <c r="LAZ381" s="34"/>
      <c r="LBA381" s="34"/>
      <c r="LBB381" s="34"/>
      <c r="LBC381" s="34"/>
      <c r="LBD381" s="34"/>
      <c r="LBE381" s="34"/>
      <c r="LBF381" s="34"/>
      <c r="LBG381" s="34"/>
      <c r="LBH381" s="34"/>
      <c r="LBI381" s="34"/>
      <c r="LBJ381" s="34"/>
      <c r="LBK381" s="34"/>
      <c r="LBL381" s="34"/>
      <c r="LBM381" s="34"/>
      <c r="LBN381" s="34"/>
      <c r="LBO381" s="34"/>
      <c r="LBP381" s="34"/>
      <c r="LBQ381" s="34"/>
      <c r="LBR381" s="34"/>
      <c r="LBS381" s="34"/>
      <c r="LBT381" s="34"/>
      <c r="LBU381" s="34"/>
      <c r="LBV381" s="34"/>
      <c r="LBW381" s="34"/>
      <c r="LBX381" s="34"/>
      <c r="LBY381" s="34"/>
      <c r="LBZ381" s="34"/>
      <c r="LCA381" s="34"/>
      <c r="LCB381" s="34"/>
      <c r="LCC381" s="34"/>
      <c r="LCD381" s="34"/>
      <c r="LCE381" s="34"/>
      <c r="LCF381" s="34"/>
      <c r="LCG381" s="34"/>
      <c r="LCH381" s="34"/>
      <c r="LCI381" s="34"/>
      <c r="LCJ381" s="34"/>
      <c r="LCK381" s="34"/>
      <c r="LCL381" s="34"/>
      <c r="LCM381" s="34"/>
      <c r="LCN381" s="34"/>
      <c r="LCO381" s="34"/>
      <c r="LCP381" s="34"/>
      <c r="LCQ381" s="34"/>
      <c r="LCR381" s="34"/>
      <c r="LCS381" s="34"/>
      <c r="LCT381" s="34"/>
      <c r="LCU381" s="34"/>
      <c r="LCV381" s="34"/>
      <c r="LCW381" s="34"/>
      <c r="LCX381" s="34"/>
      <c r="LCY381" s="34"/>
      <c r="LCZ381" s="34"/>
      <c r="LDA381" s="34"/>
      <c r="LDB381" s="34"/>
      <c r="LDC381" s="34"/>
      <c r="LDD381" s="34"/>
      <c r="LDE381" s="34"/>
      <c r="LDF381" s="34"/>
      <c r="LDG381" s="34"/>
      <c r="LDH381" s="34"/>
      <c r="LDI381" s="34"/>
      <c r="LDJ381" s="34"/>
      <c r="LDK381" s="34"/>
      <c r="LDL381" s="34"/>
      <c r="LDM381" s="34"/>
      <c r="LDN381" s="34"/>
      <c r="LDO381" s="34"/>
      <c r="LDP381" s="34"/>
      <c r="LDQ381" s="34"/>
      <c r="LDR381" s="34"/>
      <c r="LDS381" s="34"/>
      <c r="LDT381" s="34"/>
      <c r="LDU381" s="34"/>
      <c r="LDV381" s="34"/>
      <c r="LDW381" s="34"/>
      <c r="LDX381" s="34"/>
      <c r="LDY381" s="34"/>
      <c r="LDZ381" s="34"/>
      <c r="LEA381" s="34"/>
      <c r="LEB381" s="34"/>
      <c r="LEC381" s="34"/>
      <c r="LED381" s="34"/>
      <c r="LEE381" s="34"/>
      <c r="LEF381" s="34"/>
      <c r="LEG381" s="34"/>
      <c r="LEH381" s="34"/>
      <c r="LEI381" s="34"/>
      <c r="LEJ381" s="34"/>
      <c r="LEK381" s="34"/>
      <c r="LEL381" s="34"/>
      <c r="LEM381" s="34"/>
      <c r="LEN381" s="34"/>
      <c r="LEO381" s="34"/>
      <c r="LEP381" s="34"/>
      <c r="LEQ381" s="34"/>
      <c r="LER381" s="34"/>
      <c r="LES381" s="34"/>
      <c r="LET381" s="34"/>
      <c r="LEU381" s="34"/>
      <c r="LEV381" s="34"/>
      <c r="LEW381" s="34"/>
      <c r="LEX381" s="34"/>
      <c r="LEY381" s="34"/>
      <c r="LEZ381" s="34"/>
      <c r="LFA381" s="34"/>
      <c r="LFB381" s="34"/>
      <c r="LFC381" s="34"/>
      <c r="LFD381" s="34"/>
      <c r="LFE381" s="34"/>
      <c r="LFF381" s="34"/>
      <c r="LFG381" s="34"/>
      <c r="LFH381" s="34"/>
      <c r="LFI381" s="34"/>
      <c r="LFJ381" s="34"/>
      <c r="LFK381" s="34"/>
      <c r="LFL381" s="34"/>
      <c r="LFM381" s="34"/>
      <c r="LFN381" s="34"/>
      <c r="LFO381" s="34"/>
      <c r="LFP381" s="34"/>
      <c r="LFQ381" s="34"/>
      <c r="LFR381" s="34"/>
      <c r="LFS381" s="34"/>
      <c r="LFT381" s="34"/>
      <c r="LFU381" s="34"/>
      <c r="LFV381" s="34"/>
      <c r="LFW381" s="34"/>
      <c r="LFX381" s="34"/>
      <c r="LFY381" s="34"/>
      <c r="LFZ381" s="34"/>
      <c r="LGA381" s="34"/>
      <c r="LGB381" s="34"/>
      <c r="LGC381" s="34"/>
      <c r="LGD381" s="34"/>
      <c r="LGE381" s="34"/>
      <c r="LGF381" s="34"/>
      <c r="LGG381" s="34"/>
      <c r="LGH381" s="34"/>
      <c r="LGI381" s="34"/>
      <c r="LGJ381" s="34"/>
      <c r="LGK381" s="34"/>
      <c r="LGL381" s="34"/>
      <c r="LGM381" s="34"/>
      <c r="LGN381" s="34"/>
      <c r="LGO381" s="34"/>
      <c r="LGP381" s="34"/>
      <c r="LGQ381" s="34"/>
      <c r="LGR381" s="34"/>
      <c r="LGS381" s="34"/>
      <c r="LGT381" s="34"/>
      <c r="LGU381" s="34"/>
      <c r="LGV381" s="34"/>
      <c r="LGW381" s="34"/>
      <c r="LGX381" s="34"/>
      <c r="LGY381" s="34"/>
      <c r="LGZ381" s="34"/>
      <c r="LHA381" s="34"/>
      <c r="LHB381" s="34"/>
      <c r="LHC381" s="34"/>
      <c r="LHD381" s="34"/>
      <c r="LHE381" s="34"/>
      <c r="LHF381" s="34"/>
      <c r="LHG381" s="34"/>
      <c r="LHH381" s="34"/>
      <c r="LHI381" s="34"/>
      <c r="LHJ381" s="34"/>
      <c r="LHK381" s="34"/>
      <c r="LHL381" s="34"/>
      <c r="LHM381" s="34"/>
      <c r="LHN381" s="34"/>
      <c r="LHO381" s="34"/>
      <c r="LHP381" s="34"/>
      <c r="LHQ381" s="34"/>
      <c r="LHR381" s="34"/>
      <c r="LHS381" s="34"/>
      <c r="LHT381" s="34"/>
      <c r="LHU381" s="34"/>
      <c r="LHV381" s="34"/>
      <c r="LHW381" s="34"/>
      <c r="LHX381" s="34"/>
      <c r="LHY381" s="34"/>
      <c r="LHZ381" s="34"/>
      <c r="LIA381" s="34"/>
      <c r="LIB381" s="34"/>
      <c r="LIC381" s="34"/>
      <c r="LID381" s="34"/>
      <c r="LIE381" s="34"/>
      <c r="LIF381" s="34"/>
      <c r="LIG381" s="34"/>
      <c r="LIH381" s="34"/>
      <c r="LII381" s="34"/>
      <c r="LIJ381" s="34"/>
      <c r="LIK381" s="34"/>
      <c r="LIL381" s="34"/>
      <c r="LIM381" s="34"/>
      <c r="LIN381" s="34"/>
      <c r="LIO381" s="34"/>
      <c r="LIP381" s="34"/>
      <c r="LIQ381" s="34"/>
      <c r="LIR381" s="34"/>
      <c r="LIS381" s="34"/>
      <c r="LIT381" s="34"/>
      <c r="LIU381" s="34"/>
      <c r="LIV381" s="34"/>
      <c r="LIW381" s="34"/>
      <c r="LIX381" s="34"/>
      <c r="LIY381" s="34"/>
      <c r="LIZ381" s="34"/>
      <c r="LJA381" s="34"/>
      <c r="LJB381" s="34"/>
      <c r="LJC381" s="34"/>
      <c r="LJD381" s="34"/>
      <c r="LJE381" s="34"/>
      <c r="LJF381" s="34"/>
      <c r="LJG381" s="34"/>
      <c r="LJH381" s="34"/>
      <c r="LJI381" s="34"/>
      <c r="LJJ381" s="34"/>
      <c r="LJK381" s="34"/>
      <c r="LJL381" s="34"/>
      <c r="LJM381" s="34"/>
      <c r="LJN381" s="34"/>
      <c r="LJO381" s="34"/>
      <c r="LJP381" s="34"/>
      <c r="LJQ381" s="34"/>
      <c r="LJR381" s="34"/>
      <c r="LJS381" s="34"/>
      <c r="LJT381" s="34"/>
      <c r="LJU381" s="34"/>
      <c r="LJV381" s="34"/>
      <c r="LJW381" s="34"/>
      <c r="LJX381" s="34"/>
      <c r="LJY381" s="34"/>
      <c r="LJZ381" s="34"/>
      <c r="LKA381" s="34"/>
      <c r="LKB381" s="34"/>
      <c r="LKC381" s="34"/>
      <c r="LKD381" s="34"/>
      <c r="LKE381" s="34"/>
      <c r="LKF381" s="34"/>
      <c r="LKG381" s="34"/>
      <c r="LKH381" s="34"/>
      <c r="LKI381" s="34"/>
      <c r="LKJ381" s="34"/>
      <c r="LKK381" s="34"/>
      <c r="LKL381" s="34"/>
      <c r="LKM381" s="34"/>
      <c r="LKN381" s="34"/>
      <c r="LKO381" s="34"/>
      <c r="LKP381" s="34"/>
      <c r="LKQ381" s="34"/>
      <c r="LKR381" s="34"/>
      <c r="LKS381" s="34"/>
      <c r="LKT381" s="34"/>
      <c r="LKU381" s="34"/>
      <c r="LKV381" s="34"/>
      <c r="LKW381" s="34"/>
      <c r="LKX381" s="34"/>
      <c r="LKY381" s="34"/>
      <c r="LKZ381" s="34"/>
      <c r="LLA381" s="34"/>
      <c r="LLB381" s="34"/>
      <c r="LLC381" s="34"/>
      <c r="LLD381" s="34"/>
      <c r="LLE381" s="34"/>
      <c r="LLF381" s="34"/>
      <c r="LLG381" s="34"/>
      <c r="LLH381" s="34"/>
      <c r="LLI381" s="34"/>
      <c r="LLJ381" s="34"/>
      <c r="LLK381" s="34"/>
      <c r="LLL381" s="34"/>
      <c r="LLM381" s="34"/>
      <c r="LLN381" s="34"/>
      <c r="LLO381" s="34"/>
      <c r="LLP381" s="34"/>
      <c r="LLQ381" s="34"/>
      <c r="LLR381" s="34"/>
      <c r="LLS381" s="34"/>
      <c r="LLT381" s="34"/>
      <c r="LLU381" s="34"/>
      <c r="LLV381" s="34"/>
      <c r="LLW381" s="34"/>
      <c r="LLX381" s="34"/>
      <c r="LLY381" s="34"/>
      <c r="LLZ381" s="34"/>
      <c r="LMA381" s="34"/>
      <c r="LMB381" s="34"/>
      <c r="LMC381" s="34"/>
      <c r="LMD381" s="34"/>
      <c r="LME381" s="34"/>
      <c r="LMF381" s="34"/>
      <c r="LMG381" s="34"/>
      <c r="LMH381" s="34"/>
      <c r="LMI381" s="34"/>
      <c r="LMJ381" s="34"/>
      <c r="LMK381" s="34"/>
      <c r="LML381" s="34"/>
      <c r="LMM381" s="34"/>
      <c r="LMN381" s="34"/>
      <c r="LMO381" s="34"/>
      <c r="LMP381" s="34"/>
      <c r="LMQ381" s="34"/>
      <c r="LMR381" s="34"/>
      <c r="LMS381" s="34"/>
      <c r="LMT381" s="34"/>
      <c r="LMU381" s="34"/>
      <c r="LMV381" s="34"/>
      <c r="LMW381" s="34"/>
      <c r="LMX381" s="34"/>
      <c r="LMY381" s="34"/>
      <c r="LMZ381" s="34"/>
      <c r="LNA381" s="34"/>
      <c r="LNB381" s="34"/>
      <c r="LNC381" s="34"/>
      <c r="LND381" s="34"/>
      <c r="LNE381" s="34"/>
      <c r="LNF381" s="34"/>
      <c r="LNG381" s="34"/>
      <c r="LNH381" s="34"/>
      <c r="LNI381" s="34"/>
      <c r="LNJ381" s="34"/>
      <c r="LNK381" s="34"/>
      <c r="LNL381" s="34"/>
      <c r="LNM381" s="34"/>
      <c r="LNN381" s="34"/>
      <c r="LNO381" s="34"/>
      <c r="LNP381" s="34"/>
      <c r="LNQ381" s="34"/>
      <c r="LNR381" s="34"/>
      <c r="LNS381" s="34"/>
      <c r="LNT381" s="34"/>
      <c r="LNU381" s="34"/>
      <c r="LNV381" s="34"/>
      <c r="LNW381" s="34"/>
      <c r="LNX381" s="34"/>
      <c r="LNY381" s="34"/>
      <c r="LNZ381" s="34"/>
      <c r="LOA381" s="34"/>
      <c r="LOB381" s="34"/>
      <c r="LOC381" s="34"/>
      <c r="LOD381" s="34"/>
      <c r="LOE381" s="34"/>
      <c r="LOF381" s="34"/>
      <c r="LOG381" s="34"/>
      <c r="LOH381" s="34"/>
      <c r="LOI381" s="34"/>
      <c r="LOJ381" s="34"/>
      <c r="LOK381" s="34"/>
      <c r="LOL381" s="34"/>
      <c r="LOM381" s="34"/>
      <c r="LON381" s="34"/>
      <c r="LOO381" s="34"/>
      <c r="LOP381" s="34"/>
      <c r="LOQ381" s="34"/>
      <c r="LOR381" s="34"/>
      <c r="LOS381" s="34"/>
      <c r="LOT381" s="34"/>
      <c r="LOU381" s="34"/>
      <c r="LOV381" s="34"/>
      <c r="LOW381" s="34"/>
      <c r="LOX381" s="34"/>
      <c r="LOY381" s="34"/>
      <c r="LOZ381" s="34"/>
      <c r="LPA381" s="34"/>
      <c r="LPB381" s="34"/>
      <c r="LPC381" s="34"/>
      <c r="LPD381" s="34"/>
      <c r="LPE381" s="34"/>
      <c r="LPF381" s="34"/>
      <c r="LPG381" s="34"/>
      <c r="LPH381" s="34"/>
      <c r="LPI381" s="34"/>
      <c r="LPJ381" s="34"/>
      <c r="LPK381" s="34"/>
      <c r="LPL381" s="34"/>
      <c r="LPM381" s="34"/>
      <c r="LPN381" s="34"/>
      <c r="LPO381" s="34"/>
      <c r="LPP381" s="34"/>
      <c r="LPQ381" s="34"/>
      <c r="LPR381" s="34"/>
      <c r="LPS381" s="34"/>
      <c r="LPT381" s="34"/>
      <c r="LPU381" s="34"/>
      <c r="LPV381" s="34"/>
      <c r="LPW381" s="34"/>
      <c r="LPX381" s="34"/>
      <c r="LPY381" s="34"/>
      <c r="LPZ381" s="34"/>
      <c r="LQA381" s="34"/>
      <c r="LQB381" s="34"/>
      <c r="LQC381" s="34"/>
      <c r="LQD381" s="34"/>
      <c r="LQE381" s="34"/>
      <c r="LQF381" s="34"/>
      <c r="LQG381" s="34"/>
      <c r="LQH381" s="34"/>
      <c r="LQI381" s="34"/>
      <c r="LQJ381" s="34"/>
      <c r="LQK381" s="34"/>
      <c r="LQL381" s="34"/>
      <c r="LQM381" s="34"/>
      <c r="LQN381" s="34"/>
      <c r="LQO381" s="34"/>
      <c r="LQP381" s="34"/>
      <c r="LQQ381" s="34"/>
      <c r="LQR381" s="34"/>
      <c r="LQS381" s="34"/>
      <c r="LQT381" s="34"/>
      <c r="LQU381" s="34"/>
      <c r="LQV381" s="34"/>
      <c r="LQW381" s="34"/>
      <c r="LQX381" s="34"/>
      <c r="LQY381" s="34"/>
      <c r="LQZ381" s="34"/>
      <c r="LRA381" s="34"/>
      <c r="LRB381" s="34"/>
      <c r="LRC381" s="34"/>
      <c r="LRD381" s="34"/>
      <c r="LRE381" s="34"/>
      <c r="LRF381" s="34"/>
      <c r="LRG381" s="34"/>
      <c r="LRH381" s="34"/>
      <c r="LRI381" s="34"/>
      <c r="LRJ381" s="34"/>
      <c r="LRK381" s="34"/>
      <c r="LRL381" s="34"/>
      <c r="LRM381" s="34"/>
      <c r="LRN381" s="34"/>
      <c r="LRO381" s="34"/>
      <c r="LRP381" s="34"/>
      <c r="LRQ381" s="34"/>
      <c r="LRR381" s="34"/>
      <c r="LRS381" s="34"/>
      <c r="LRT381" s="34"/>
      <c r="LRU381" s="34"/>
      <c r="LRV381" s="34"/>
      <c r="LRW381" s="34"/>
      <c r="LRX381" s="34"/>
      <c r="LRY381" s="34"/>
      <c r="LRZ381" s="34"/>
      <c r="LSA381" s="34"/>
      <c r="LSB381" s="34"/>
      <c r="LSC381" s="34"/>
      <c r="LSD381" s="34"/>
      <c r="LSE381" s="34"/>
      <c r="LSF381" s="34"/>
      <c r="LSG381" s="34"/>
      <c r="LSH381" s="34"/>
      <c r="LSI381" s="34"/>
      <c r="LSJ381" s="34"/>
      <c r="LSK381" s="34"/>
      <c r="LSL381" s="34"/>
      <c r="LSM381" s="34"/>
      <c r="LSN381" s="34"/>
      <c r="LSO381" s="34"/>
      <c r="LSP381" s="34"/>
      <c r="LSQ381" s="34"/>
      <c r="LSR381" s="34"/>
      <c r="LSS381" s="34"/>
      <c r="LST381" s="34"/>
      <c r="LSU381" s="34"/>
      <c r="LSV381" s="34"/>
      <c r="LSW381" s="34"/>
      <c r="LSX381" s="34"/>
      <c r="LSY381" s="34"/>
      <c r="LSZ381" s="34"/>
      <c r="LTA381" s="34"/>
      <c r="LTB381" s="34"/>
      <c r="LTC381" s="34"/>
      <c r="LTD381" s="34"/>
      <c r="LTE381" s="34"/>
      <c r="LTF381" s="34"/>
      <c r="LTG381" s="34"/>
      <c r="LTH381" s="34"/>
      <c r="LTI381" s="34"/>
      <c r="LTJ381" s="34"/>
      <c r="LTK381" s="34"/>
      <c r="LTL381" s="34"/>
      <c r="LTM381" s="34"/>
      <c r="LTN381" s="34"/>
      <c r="LTO381" s="34"/>
      <c r="LTP381" s="34"/>
      <c r="LTQ381" s="34"/>
      <c r="LTR381" s="34"/>
      <c r="LTS381" s="34"/>
      <c r="LTT381" s="34"/>
      <c r="LTU381" s="34"/>
      <c r="LTV381" s="34"/>
      <c r="LTW381" s="34"/>
      <c r="LTX381" s="34"/>
      <c r="LTY381" s="34"/>
      <c r="LTZ381" s="34"/>
      <c r="LUA381" s="34"/>
      <c r="LUB381" s="34"/>
      <c r="LUC381" s="34"/>
      <c r="LUD381" s="34"/>
      <c r="LUE381" s="34"/>
      <c r="LUF381" s="34"/>
      <c r="LUG381" s="34"/>
      <c r="LUH381" s="34"/>
      <c r="LUI381" s="34"/>
      <c r="LUJ381" s="34"/>
      <c r="LUK381" s="34"/>
      <c r="LUL381" s="34"/>
      <c r="LUM381" s="34"/>
      <c r="LUN381" s="34"/>
      <c r="LUO381" s="34"/>
      <c r="LUP381" s="34"/>
      <c r="LUQ381" s="34"/>
      <c r="LUR381" s="34"/>
      <c r="LUS381" s="34"/>
      <c r="LUT381" s="34"/>
      <c r="LUU381" s="34"/>
      <c r="LUV381" s="34"/>
      <c r="LUW381" s="34"/>
      <c r="LUX381" s="34"/>
      <c r="LUY381" s="34"/>
      <c r="LUZ381" s="34"/>
      <c r="LVA381" s="34"/>
      <c r="LVB381" s="34"/>
      <c r="LVC381" s="34"/>
      <c r="LVD381" s="34"/>
      <c r="LVE381" s="34"/>
      <c r="LVF381" s="34"/>
      <c r="LVG381" s="34"/>
      <c r="LVH381" s="34"/>
      <c r="LVI381" s="34"/>
      <c r="LVJ381" s="34"/>
      <c r="LVK381" s="34"/>
      <c r="LVL381" s="34"/>
      <c r="LVM381" s="34"/>
      <c r="LVN381" s="34"/>
      <c r="LVO381" s="34"/>
      <c r="LVP381" s="34"/>
      <c r="LVQ381" s="34"/>
      <c r="LVR381" s="34"/>
      <c r="LVS381" s="34"/>
      <c r="LVT381" s="34"/>
      <c r="LVU381" s="34"/>
      <c r="LVV381" s="34"/>
      <c r="LVW381" s="34"/>
      <c r="LVX381" s="34"/>
      <c r="LVY381" s="34"/>
      <c r="LVZ381" s="34"/>
      <c r="LWA381" s="34"/>
      <c r="LWB381" s="34"/>
      <c r="LWC381" s="34"/>
      <c r="LWD381" s="34"/>
      <c r="LWE381" s="34"/>
      <c r="LWF381" s="34"/>
      <c r="LWG381" s="34"/>
      <c r="LWH381" s="34"/>
      <c r="LWI381" s="34"/>
      <c r="LWJ381" s="34"/>
      <c r="LWK381" s="34"/>
      <c r="LWL381" s="34"/>
      <c r="LWM381" s="34"/>
      <c r="LWN381" s="34"/>
      <c r="LWO381" s="34"/>
      <c r="LWP381" s="34"/>
      <c r="LWQ381" s="34"/>
      <c r="LWR381" s="34"/>
      <c r="LWS381" s="34"/>
      <c r="LWT381" s="34"/>
      <c r="LWU381" s="34"/>
      <c r="LWV381" s="34"/>
      <c r="LWW381" s="34"/>
      <c r="LWX381" s="34"/>
      <c r="LWY381" s="34"/>
      <c r="LWZ381" s="34"/>
      <c r="LXA381" s="34"/>
      <c r="LXB381" s="34"/>
      <c r="LXC381" s="34"/>
      <c r="LXD381" s="34"/>
      <c r="LXE381" s="34"/>
      <c r="LXF381" s="34"/>
      <c r="LXG381" s="34"/>
      <c r="LXH381" s="34"/>
      <c r="LXI381" s="34"/>
      <c r="LXJ381" s="34"/>
      <c r="LXK381" s="34"/>
      <c r="LXL381" s="34"/>
      <c r="LXM381" s="34"/>
      <c r="LXN381" s="34"/>
      <c r="LXO381" s="34"/>
      <c r="LXP381" s="34"/>
      <c r="LXQ381" s="34"/>
      <c r="LXR381" s="34"/>
      <c r="LXS381" s="34"/>
      <c r="LXT381" s="34"/>
      <c r="LXU381" s="34"/>
      <c r="LXV381" s="34"/>
      <c r="LXW381" s="34"/>
      <c r="LXX381" s="34"/>
      <c r="LXY381" s="34"/>
      <c r="LXZ381" s="34"/>
      <c r="LYA381" s="34"/>
      <c r="LYB381" s="34"/>
      <c r="LYC381" s="34"/>
      <c r="LYD381" s="34"/>
      <c r="LYE381" s="34"/>
      <c r="LYF381" s="34"/>
      <c r="LYG381" s="34"/>
      <c r="LYH381" s="34"/>
      <c r="LYI381" s="34"/>
      <c r="LYJ381" s="34"/>
      <c r="LYK381" s="34"/>
      <c r="LYL381" s="34"/>
      <c r="LYM381" s="34"/>
      <c r="LYN381" s="34"/>
      <c r="LYO381" s="34"/>
      <c r="LYP381" s="34"/>
      <c r="LYQ381" s="34"/>
      <c r="LYR381" s="34"/>
      <c r="LYS381" s="34"/>
      <c r="LYT381" s="34"/>
      <c r="LYU381" s="34"/>
      <c r="LYV381" s="34"/>
      <c r="LYW381" s="34"/>
      <c r="LYX381" s="34"/>
      <c r="LYY381" s="34"/>
      <c r="LYZ381" s="34"/>
      <c r="LZA381" s="34"/>
      <c r="LZB381" s="34"/>
      <c r="LZC381" s="34"/>
      <c r="LZD381" s="34"/>
      <c r="LZE381" s="34"/>
      <c r="LZF381" s="34"/>
      <c r="LZG381" s="34"/>
      <c r="LZH381" s="34"/>
      <c r="LZI381" s="34"/>
      <c r="LZJ381" s="34"/>
      <c r="LZK381" s="34"/>
      <c r="LZL381" s="34"/>
      <c r="LZM381" s="34"/>
      <c r="LZN381" s="34"/>
      <c r="LZO381" s="34"/>
      <c r="LZP381" s="34"/>
      <c r="LZQ381" s="34"/>
      <c r="LZR381" s="34"/>
      <c r="LZS381" s="34"/>
      <c r="LZT381" s="34"/>
      <c r="LZU381" s="34"/>
      <c r="LZV381" s="34"/>
      <c r="LZW381" s="34"/>
      <c r="LZX381" s="34"/>
      <c r="LZY381" s="34"/>
      <c r="LZZ381" s="34"/>
      <c r="MAA381" s="34"/>
      <c r="MAB381" s="34"/>
      <c r="MAC381" s="34"/>
      <c r="MAD381" s="34"/>
      <c r="MAE381" s="34"/>
      <c r="MAF381" s="34"/>
      <c r="MAG381" s="34"/>
      <c r="MAH381" s="34"/>
      <c r="MAI381" s="34"/>
      <c r="MAJ381" s="34"/>
      <c r="MAK381" s="34"/>
      <c r="MAL381" s="34"/>
      <c r="MAM381" s="34"/>
      <c r="MAN381" s="34"/>
      <c r="MAO381" s="34"/>
      <c r="MAP381" s="34"/>
      <c r="MAQ381" s="34"/>
      <c r="MAR381" s="34"/>
      <c r="MAS381" s="34"/>
      <c r="MAT381" s="34"/>
      <c r="MAU381" s="34"/>
      <c r="MAV381" s="34"/>
      <c r="MAW381" s="34"/>
      <c r="MAX381" s="34"/>
      <c r="MAY381" s="34"/>
      <c r="MAZ381" s="34"/>
      <c r="MBA381" s="34"/>
      <c r="MBB381" s="34"/>
      <c r="MBC381" s="34"/>
      <c r="MBD381" s="34"/>
      <c r="MBE381" s="34"/>
      <c r="MBF381" s="34"/>
      <c r="MBG381" s="34"/>
      <c r="MBH381" s="34"/>
      <c r="MBI381" s="34"/>
      <c r="MBJ381" s="34"/>
      <c r="MBK381" s="34"/>
      <c r="MBL381" s="34"/>
      <c r="MBM381" s="34"/>
      <c r="MBN381" s="34"/>
      <c r="MBO381" s="34"/>
      <c r="MBP381" s="34"/>
      <c r="MBQ381" s="34"/>
      <c r="MBR381" s="34"/>
      <c r="MBS381" s="34"/>
      <c r="MBT381" s="34"/>
      <c r="MBU381" s="34"/>
      <c r="MBV381" s="34"/>
      <c r="MBW381" s="34"/>
      <c r="MBX381" s="34"/>
      <c r="MBY381" s="34"/>
      <c r="MBZ381" s="34"/>
      <c r="MCA381" s="34"/>
      <c r="MCB381" s="34"/>
      <c r="MCC381" s="34"/>
      <c r="MCD381" s="34"/>
      <c r="MCE381" s="34"/>
      <c r="MCF381" s="34"/>
      <c r="MCG381" s="34"/>
      <c r="MCH381" s="34"/>
      <c r="MCI381" s="34"/>
      <c r="MCJ381" s="34"/>
      <c r="MCK381" s="34"/>
      <c r="MCL381" s="34"/>
      <c r="MCM381" s="34"/>
      <c r="MCN381" s="34"/>
      <c r="MCO381" s="34"/>
      <c r="MCP381" s="34"/>
      <c r="MCQ381" s="34"/>
      <c r="MCR381" s="34"/>
      <c r="MCS381" s="34"/>
      <c r="MCT381" s="34"/>
      <c r="MCU381" s="34"/>
      <c r="MCV381" s="34"/>
      <c r="MCW381" s="34"/>
      <c r="MCX381" s="34"/>
      <c r="MCY381" s="34"/>
      <c r="MCZ381" s="34"/>
      <c r="MDA381" s="34"/>
      <c r="MDB381" s="34"/>
      <c r="MDC381" s="34"/>
      <c r="MDD381" s="34"/>
      <c r="MDE381" s="34"/>
      <c r="MDF381" s="34"/>
      <c r="MDG381" s="34"/>
      <c r="MDH381" s="34"/>
      <c r="MDI381" s="34"/>
      <c r="MDJ381" s="34"/>
      <c r="MDK381" s="34"/>
      <c r="MDL381" s="34"/>
      <c r="MDM381" s="34"/>
      <c r="MDN381" s="34"/>
      <c r="MDO381" s="34"/>
      <c r="MDP381" s="34"/>
      <c r="MDQ381" s="34"/>
      <c r="MDR381" s="34"/>
      <c r="MDS381" s="34"/>
      <c r="MDT381" s="34"/>
      <c r="MDU381" s="34"/>
      <c r="MDV381" s="34"/>
      <c r="MDW381" s="34"/>
      <c r="MDX381" s="34"/>
      <c r="MDY381" s="34"/>
      <c r="MDZ381" s="34"/>
      <c r="MEA381" s="34"/>
      <c r="MEB381" s="34"/>
      <c r="MEC381" s="34"/>
      <c r="MED381" s="34"/>
      <c r="MEE381" s="34"/>
      <c r="MEF381" s="34"/>
      <c r="MEG381" s="34"/>
      <c r="MEH381" s="34"/>
      <c r="MEI381" s="34"/>
      <c r="MEJ381" s="34"/>
      <c r="MEK381" s="34"/>
      <c r="MEL381" s="34"/>
      <c r="MEM381" s="34"/>
      <c r="MEN381" s="34"/>
      <c r="MEO381" s="34"/>
      <c r="MEP381" s="34"/>
      <c r="MEQ381" s="34"/>
      <c r="MER381" s="34"/>
      <c r="MES381" s="34"/>
      <c r="MET381" s="34"/>
      <c r="MEU381" s="34"/>
      <c r="MEV381" s="34"/>
      <c r="MEW381" s="34"/>
      <c r="MEX381" s="34"/>
      <c r="MEY381" s="34"/>
      <c r="MEZ381" s="34"/>
      <c r="MFA381" s="34"/>
      <c r="MFB381" s="34"/>
      <c r="MFC381" s="34"/>
      <c r="MFD381" s="34"/>
      <c r="MFE381" s="34"/>
      <c r="MFF381" s="34"/>
      <c r="MFG381" s="34"/>
      <c r="MFH381" s="34"/>
      <c r="MFI381" s="34"/>
      <c r="MFJ381" s="34"/>
      <c r="MFK381" s="34"/>
      <c r="MFL381" s="34"/>
      <c r="MFM381" s="34"/>
      <c r="MFN381" s="34"/>
      <c r="MFO381" s="34"/>
      <c r="MFP381" s="34"/>
      <c r="MFQ381" s="34"/>
      <c r="MFR381" s="34"/>
      <c r="MFS381" s="34"/>
      <c r="MFT381" s="34"/>
      <c r="MFU381" s="34"/>
      <c r="MFV381" s="34"/>
      <c r="MFW381" s="34"/>
      <c r="MFX381" s="34"/>
      <c r="MFY381" s="34"/>
      <c r="MFZ381" s="34"/>
      <c r="MGA381" s="34"/>
      <c r="MGB381" s="34"/>
      <c r="MGC381" s="34"/>
      <c r="MGD381" s="34"/>
      <c r="MGE381" s="34"/>
      <c r="MGF381" s="34"/>
      <c r="MGG381" s="34"/>
      <c r="MGH381" s="34"/>
      <c r="MGI381" s="34"/>
      <c r="MGJ381" s="34"/>
      <c r="MGK381" s="34"/>
      <c r="MGL381" s="34"/>
      <c r="MGM381" s="34"/>
      <c r="MGN381" s="34"/>
      <c r="MGO381" s="34"/>
      <c r="MGP381" s="34"/>
      <c r="MGQ381" s="34"/>
      <c r="MGR381" s="34"/>
      <c r="MGS381" s="34"/>
      <c r="MGT381" s="34"/>
      <c r="MGU381" s="34"/>
      <c r="MGV381" s="34"/>
      <c r="MGW381" s="34"/>
      <c r="MGX381" s="34"/>
      <c r="MGY381" s="34"/>
      <c r="MGZ381" s="34"/>
      <c r="MHA381" s="34"/>
      <c r="MHB381" s="34"/>
      <c r="MHC381" s="34"/>
      <c r="MHD381" s="34"/>
      <c r="MHE381" s="34"/>
      <c r="MHF381" s="34"/>
      <c r="MHG381" s="34"/>
      <c r="MHH381" s="34"/>
      <c r="MHI381" s="34"/>
      <c r="MHJ381" s="34"/>
      <c r="MHK381" s="34"/>
      <c r="MHL381" s="34"/>
      <c r="MHM381" s="34"/>
      <c r="MHN381" s="34"/>
      <c r="MHO381" s="34"/>
      <c r="MHP381" s="34"/>
      <c r="MHQ381" s="34"/>
      <c r="MHR381" s="34"/>
      <c r="MHS381" s="34"/>
      <c r="MHT381" s="34"/>
      <c r="MHU381" s="34"/>
      <c r="MHV381" s="34"/>
      <c r="MHW381" s="34"/>
      <c r="MHX381" s="34"/>
      <c r="MHY381" s="34"/>
      <c r="MHZ381" s="34"/>
      <c r="MIA381" s="34"/>
      <c r="MIB381" s="34"/>
      <c r="MIC381" s="34"/>
      <c r="MID381" s="34"/>
      <c r="MIE381" s="34"/>
      <c r="MIF381" s="34"/>
      <c r="MIG381" s="34"/>
      <c r="MIH381" s="34"/>
      <c r="MII381" s="34"/>
      <c r="MIJ381" s="34"/>
      <c r="MIK381" s="34"/>
      <c r="MIL381" s="34"/>
      <c r="MIM381" s="34"/>
      <c r="MIN381" s="34"/>
      <c r="MIO381" s="34"/>
      <c r="MIP381" s="34"/>
      <c r="MIQ381" s="34"/>
      <c r="MIR381" s="34"/>
      <c r="MIS381" s="34"/>
      <c r="MIT381" s="34"/>
      <c r="MIU381" s="34"/>
      <c r="MIV381" s="34"/>
      <c r="MIW381" s="34"/>
      <c r="MIX381" s="34"/>
      <c r="MIY381" s="34"/>
      <c r="MIZ381" s="34"/>
      <c r="MJA381" s="34"/>
      <c r="MJB381" s="34"/>
      <c r="MJC381" s="34"/>
      <c r="MJD381" s="34"/>
      <c r="MJE381" s="34"/>
      <c r="MJF381" s="34"/>
      <c r="MJG381" s="34"/>
      <c r="MJH381" s="34"/>
      <c r="MJI381" s="34"/>
      <c r="MJJ381" s="34"/>
      <c r="MJK381" s="34"/>
      <c r="MJL381" s="34"/>
      <c r="MJM381" s="34"/>
      <c r="MJN381" s="34"/>
      <c r="MJO381" s="34"/>
      <c r="MJP381" s="34"/>
      <c r="MJQ381" s="34"/>
      <c r="MJR381" s="34"/>
      <c r="MJS381" s="34"/>
      <c r="MJT381" s="34"/>
      <c r="MJU381" s="34"/>
      <c r="MJV381" s="34"/>
      <c r="MJW381" s="34"/>
      <c r="MJX381" s="34"/>
      <c r="MJY381" s="34"/>
      <c r="MJZ381" s="34"/>
      <c r="MKA381" s="34"/>
      <c r="MKB381" s="34"/>
      <c r="MKC381" s="34"/>
      <c r="MKD381" s="34"/>
      <c r="MKE381" s="34"/>
      <c r="MKF381" s="34"/>
      <c r="MKG381" s="34"/>
      <c r="MKH381" s="34"/>
      <c r="MKI381" s="34"/>
      <c r="MKJ381" s="34"/>
      <c r="MKK381" s="34"/>
      <c r="MKL381" s="34"/>
      <c r="MKM381" s="34"/>
      <c r="MKN381" s="34"/>
      <c r="MKO381" s="34"/>
      <c r="MKP381" s="34"/>
      <c r="MKQ381" s="34"/>
      <c r="MKR381" s="34"/>
      <c r="MKS381" s="34"/>
      <c r="MKT381" s="34"/>
      <c r="MKU381" s="34"/>
      <c r="MKV381" s="34"/>
      <c r="MKW381" s="34"/>
      <c r="MKX381" s="34"/>
      <c r="MKY381" s="34"/>
      <c r="MKZ381" s="34"/>
      <c r="MLA381" s="34"/>
      <c r="MLB381" s="34"/>
      <c r="MLC381" s="34"/>
      <c r="MLD381" s="34"/>
      <c r="MLE381" s="34"/>
      <c r="MLF381" s="34"/>
      <c r="MLG381" s="34"/>
      <c r="MLH381" s="34"/>
      <c r="MLI381" s="34"/>
      <c r="MLJ381" s="34"/>
      <c r="MLK381" s="34"/>
      <c r="MLL381" s="34"/>
      <c r="MLM381" s="34"/>
      <c r="MLN381" s="34"/>
      <c r="MLO381" s="34"/>
      <c r="MLP381" s="34"/>
      <c r="MLQ381" s="34"/>
      <c r="MLR381" s="34"/>
      <c r="MLS381" s="34"/>
      <c r="MLT381" s="34"/>
      <c r="MLU381" s="34"/>
      <c r="MLV381" s="34"/>
      <c r="MLW381" s="34"/>
      <c r="MLX381" s="34"/>
      <c r="MLY381" s="34"/>
      <c r="MLZ381" s="34"/>
      <c r="MMA381" s="34"/>
      <c r="MMB381" s="34"/>
      <c r="MMC381" s="34"/>
      <c r="MMD381" s="34"/>
      <c r="MME381" s="34"/>
      <c r="MMF381" s="34"/>
      <c r="MMG381" s="34"/>
      <c r="MMH381" s="34"/>
      <c r="MMI381" s="34"/>
      <c r="MMJ381" s="34"/>
      <c r="MMK381" s="34"/>
      <c r="MML381" s="34"/>
      <c r="MMM381" s="34"/>
      <c r="MMN381" s="34"/>
      <c r="MMO381" s="34"/>
      <c r="MMP381" s="34"/>
      <c r="MMQ381" s="34"/>
      <c r="MMR381" s="34"/>
      <c r="MMS381" s="34"/>
      <c r="MMT381" s="34"/>
      <c r="MMU381" s="34"/>
      <c r="MMV381" s="34"/>
      <c r="MMW381" s="34"/>
      <c r="MMX381" s="34"/>
      <c r="MMY381" s="34"/>
      <c r="MMZ381" s="34"/>
      <c r="MNA381" s="34"/>
      <c r="MNB381" s="34"/>
      <c r="MNC381" s="34"/>
      <c r="MND381" s="34"/>
      <c r="MNE381" s="34"/>
      <c r="MNF381" s="34"/>
      <c r="MNG381" s="34"/>
      <c r="MNH381" s="34"/>
      <c r="MNI381" s="34"/>
      <c r="MNJ381" s="34"/>
      <c r="MNK381" s="34"/>
      <c r="MNL381" s="34"/>
      <c r="MNM381" s="34"/>
      <c r="MNN381" s="34"/>
      <c r="MNO381" s="34"/>
      <c r="MNP381" s="34"/>
      <c r="MNQ381" s="34"/>
      <c r="MNR381" s="34"/>
      <c r="MNS381" s="34"/>
      <c r="MNT381" s="34"/>
      <c r="MNU381" s="34"/>
      <c r="MNV381" s="34"/>
      <c r="MNW381" s="34"/>
      <c r="MNX381" s="34"/>
      <c r="MNY381" s="34"/>
      <c r="MNZ381" s="34"/>
      <c r="MOA381" s="34"/>
      <c r="MOB381" s="34"/>
      <c r="MOC381" s="34"/>
      <c r="MOD381" s="34"/>
      <c r="MOE381" s="34"/>
      <c r="MOF381" s="34"/>
      <c r="MOG381" s="34"/>
      <c r="MOH381" s="34"/>
      <c r="MOI381" s="34"/>
      <c r="MOJ381" s="34"/>
      <c r="MOK381" s="34"/>
      <c r="MOL381" s="34"/>
      <c r="MOM381" s="34"/>
      <c r="MON381" s="34"/>
      <c r="MOO381" s="34"/>
      <c r="MOP381" s="34"/>
      <c r="MOQ381" s="34"/>
      <c r="MOR381" s="34"/>
      <c r="MOS381" s="34"/>
      <c r="MOT381" s="34"/>
      <c r="MOU381" s="34"/>
      <c r="MOV381" s="34"/>
      <c r="MOW381" s="34"/>
      <c r="MOX381" s="34"/>
      <c r="MOY381" s="34"/>
      <c r="MOZ381" s="34"/>
      <c r="MPA381" s="34"/>
      <c r="MPB381" s="34"/>
      <c r="MPC381" s="34"/>
      <c r="MPD381" s="34"/>
      <c r="MPE381" s="34"/>
      <c r="MPF381" s="34"/>
      <c r="MPG381" s="34"/>
      <c r="MPH381" s="34"/>
      <c r="MPI381" s="34"/>
      <c r="MPJ381" s="34"/>
      <c r="MPK381" s="34"/>
      <c r="MPL381" s="34"/>
      <c r="MPM381" s="34"/>
      <c r="MPN381" s="34"/>
      <c r="MPO381" s="34"/>
      <c r="MPP381" s="34"/>
      <c r="MPQ381" s="34"/>
      <c r="MPR381" s="34"/>
      <c r="MPS381" s="34"/>
      <c r="MPT381" s="34"/>
      <c r="MPU381" s="34"/>
      <c r="MPV381" s="34"/>
      <c r="MPW381" s="34"/>
      <c r="MPX381" s="34"/>
      <c r="MPY381" s="34"/>
      <c r="MPZ381" s="34"/>
      <c r="MQA381" s="34"/>
      <c r="MQB381" s="34"/>
      <c r="MQC381" s="34"/>
      <c r="MQD381" s="34"/>
      <c r="MQE381" s="34"/>
      <c r="MQF381" s="34"/>
      <c r="MQG381" s="34"/>
      <c r="MQH381" s="34"/>
      <c r="MQI381" s="34"/>
      <c r="MQJ381" s="34"/>
      <c r="MQK381" s="34"/>
      <c r="MQL381" s="34"/>
      <c r="MQM381" s="34"/>
      <c r="MQN381" s="34"/>
      <c r="MQO381" s="34"/>
      <c r="MQP381" s="34"/>
      <c r="MQQ381" s="34"/>
      <c r="MQR381" s="34"/>
      <c r="MQS381" s="34"/>
      <c r="MQT381" s="34"/>
      <c r="MQU381" s="34"/>
      <c r="MQV381" s="34"/>
      <c r="MQW381" s="34"/>
      <c r="MQX381" s="34"/>
      <c r="MQY381" s="34"/>
      <c r="MQZ381" s="34"/>
      <c r="MRA381" s="34"/>
      <c r="MRB381" s="34"/>
      <c r="MRC381" s="34"/>
      <c r="MRD381" s="34"/>
      <c r="MRE381" s="34"/>
      <c r="MRF381" s="34"/>
      <c r="MRG381" s="34"/>
      <c r="MRH381" s="34"/>
      <c r="MRI381" s="34"/>
      <c r="MRJ381" s="34"/>
      <c r="MRK381" s="34"/>
      <c r="MRL381" s="34"/>
      <c r="MRM381" s="34"/>
      <c r="MRN381" s="34"/>
      <c r="MRO381" s="34"/>
      <c r="MRP381" s="34"/>
      <c r="MRQ381" s="34"/>
      <c r="MRR381" s="34"/>
      <c r="MRS381" s="34"/>
      <c r="MRT381" s="34"/>
      <c r="MRU381" s="34"/>
      <c r="MRV381" s="34"/>
      <c r="MRW381" s="34"/>
      <c r="MRX381" s="34"/>
      <c r="MRY381" s="34"/>
      <c r="MRZ381" s="34"/>
      <c r="MSA381" s="34"/>
      <c r="MSB381" s="34"/>
      <c r="MSC381" s="34"/>
      <c r="MSD381" s="34"/>
      <c r="MSE381" s="34"/>
      <c r="MSF381" s="34"/>
      <c r="MSG381" s="34"/>
      <c r="MSH381" s="34"/>
      <c r="MSI381" s="34"/>
      <c r="MSJ381" s="34"/>
      <c r="MSK381" s="34"/>
      <c r="MSL381" s="34"/>
      <c r="MSM381" s="34"/>
      <c r="MSN381" s="34"/>
      <c r="MSO381" s="34"/>
      <c r="MSP381" s="34"/>
      <c r="MSQ381" s="34"/>
      <c r="MSR381" s="34"/>
      <c r="MSS381" s="34"/>
      <c r="MST381" s="34"/>
      <c r="MSU381" s="34"/>
      <c r="MSV381" s="34"/>
      <c r="MSW381" s="34"/>
      <c r="MSX381" s="34"/>
      <c r="MSY381" s="34"/>
      <c r="MSZ381" s="34"/>
      <c r="MTA381" s="34"/>
      <c r="MTB381" s="34"/>
      <c r="MTC381" s="34"/>
      <c r="MTD381" s="34"/>
      <c r="MTE381" s="34"/>
      <c r="MTF381" s="34"/>
      <c r="MTG381" s="34"/>
      <c r="MTH381" s="34"/>
      <c r="MTI381" s="34"/>
      <c r="MTJ381" s="34"/>
      <c r="MTK381" s="34"/>
      <c r="MTL381" s="34"/>
      <c r="MTM381" s="34"/>
      <c r="MTN381" s="34"/>
      <c r="MTO381" s="34"/>
      <c r="MTP381" s="34"/>
      <c r="MTQ381" s="34"/>
      <c r="MTR381" s="34"/>
      <c r="MTS381" s="34"/>
      <c r="MTT381" s="34"/>
      <c r="MTU381" s="34"/>
      <c r="MTV381" s="34"/>
      <c r="MTW381" s="34"/>
      <c r="MTX381" s="34"/>
      <c r="MTY381" s="34"/>
      <c r="MTZ381" s="34"/>
      <c r="MUA381" s="34"/>
      <c r="MUB381" s="34"/>
      <c r="MUC381" s="34"/>
      <c r="MUD381" s="34"/>
      <c r="MUE381" s="34"/>
      <c r="MUF381" s="34"/>
      <c r="MUG381" s="34"/>
      <c r="MUH381" s="34"/>
      <c r="MUI381" s="34"/>
      <c r="MUJ381" s="34"/>
      <c r="MUK381" s="34"/>
      <c r="MUL381" s="34"/>
      <c r="MUM381" s="34"/>
      <c r="MUN381" s="34"/>
      <c r="MUO381" s="34"/>
      <c r="MUP381" s="34"/>
      <c r="MUQ381" s="34"/>
      <c r="MUR381" s="34"/>
      <c r="MUS381" s="34"/>
      <c r="MUT381" s="34"/>
      <c r="MUU381" s="34"/>
      <c r="MUV381" s="34"/>
      <c r="MUW381" s="34"/>
      <c r="MUX381" s="34"/>
      <c r="MUY381" s="34"/>
      <c r="MUZ381" s="34"/>
      <c r="MVA381" s="34"/>
      <c r="MVB381" s="34"/>
      <c r="MVC381" s="34"/>
      <c r="MVD381" s="34"/>
      <c r="MVE381" s="34"/>
      <c r="MVF381" s="34"/>
      <c r="MVG381" s="34"/>
      <c r="MVH381" s="34"/>
      <c r="MVI381" s="34"/>
      <c r="MVJ381" s="34"/>
      <c r="MVK381" s="34"/>
      <c r="MVL381" s="34"/>
      <c r="MVM381" s="34"/>
      <c r="MVN381" s="34"/>
      <c r="MVO381" s="34"/>
      <c r="MVP381" s="34"/>
      <c r="MVQ381" s="34"/>
      <c r="MVR381" s="34"/>
      <c r="MVS381" s="34"/>
      <c r="MVT381" s="34"/>
      <c r="MVU381" s="34"/>
      <c r="MVV381" s="34"/>
      <c r="MVW381" s="34"/>
      <c r="MVX381" s="34"/>
      <c r="MVY381" s="34"/>
      <c r="MVZ381" s="34"/>
      <c r="MWA381" s="34"/>
      <c r="MWB381" s="34"/>
      <c r="MWC381" s="34"/>
      <c r="MWD381" s="34"/>
      <c r="MWE381" s="34"/>
      <c r="MWF381" s="34"/>
      <c r="MWG381" s="34"/>
      <c r="MWH381" s="34"/>
      <c r="MWI381" s="34"/>
      <c r="MWJ381" s="34"/>
      <c r="MWK381" s="34"/>
      <c r="MWL381" s="34"/>
      <c r="MWM381" s="34"/>
      <c r="MWN381" s="34"/>
      <c r="MWO381" s="34"/>
      <c r="MWP381" s="34"/>
      <c r="MWQ381" s="34"/>
      <c r="MWR381" s="34"/>
      <c r="MWS381" s="34"/>
      <c r="MWT381" s="34"/>
      <c r="MWU381" s="34"/>
      <c r="MWV381" s="34"/>
      <c r="MWW381" s="34"/>
      <c r="MWX381" s="34"/>
      <c r="MWY381" s="34"/>
      <c r="MWZ381" s="34"/>
      <c r="MXA381" s="34"/>
      <c r="MXB381" s="34"/>
      <c r="MXC381" s="34"/>
      <c r="MXD381" s="34"/>
      <c r="MXE381" s="34"/>
      <c r="MXF381" s="34"/>
      <c r="MXG381" s="34"/>
      <c r="MXH381" s="34"/>
      <c r="MXI381" s="34"/>
      <c r="MXJ381" s="34"/>
      <c r="MXK381" s="34"/>
      <c r="MXL381" s="34"/>
      <c r="MXM381" s="34"/>
      <c r="MXN381" s="34"/>
      <c r="MXO381" s="34"/>
      <c r="MXP381" s="34"/>
      <c r="MXQ381" s="34"/>
      <c r="MXR381" s="34"/>
      <c r="MXS381" s="34"/>
      <c r="MXT381" s="34"/>
      <c r="MXU381" s="34"/>
      <c r="MXV381" s="34"/>
      <c r="MXW381" s="34"/>
      <c r="MXX381" s="34"/>
      <c r="MXY381" s="34"/>
      <c r="MXZ381" s="34"/>
      <c r="MYA381" s="34"/>
      <c r="MYB381" s="34"/>
      <c r="MYC381" s="34"/>
      <c r="MYD381" s="34"/>
      <c r="MYE381" s="34"/>
      <c r="MYF381" s="34"/>
      <c r="MYG381" s="34"/>
      <c r="MYH381" s="34"/>
      <c r="MYI381" s="34"/>
      <c r="MYJ381" s="34"/>
      <c r="MYK381" s="34"/>
      <c r="MYL381" s="34"/>
      <c r="MYM381" s="34"/>
      <c r="MYN381" s="34"/>
      <c r="MYO381" s="34"/>
      <c r="MYP381" s="34"/>
      <c r="MYQ381" s="34"/>
      <c r="MYR381" s="34"/>
      <c r="MYS381" s="34"/>
      <c r="MYT381" s="34"/>
      <c r="MYU381" s="34"/>
      <c r="MYV381" s="34"/>
      <c r="MYW381" s="34"/>
      <c r="MYX381" s="34"/>
      <c r="MYY381" s="34"/>
      <c r="MYZ381" s="34"/>
      <c r="MZA381" s="34"/>
      <c r="MZB381" s="34"/>
      <c r="MZC381" s="34"/>
      <c r="MZD381" s="34"/>
      <c r="MZE381" s="34"/>
      <c r="MZF381" s="34"/>
      <c r="MZG381" s="34"/>
      <c r="MZH381" s="34"/>
      <c r="MZI381" s="34"/>
      <c r="MZJ381" s="34"/>
      <c r="MZK381" s="34"/>
      <c r="MZL381" s="34"/>
      <c r="MZM381" s="34"/>
      <c r="MZN381" s="34"/>
      <c r="MZO381" s="34"/>
      <c r="MZP381" s="34"/>
      <c r="MZQ381" s="34"/>
      <c r="MZR381" s="34"/>
      <c r="MZS381" s="34"/>
      <c r="MZT381" s="34"/>
      <c r="MZU381" s="34"/>
      <c r="MZV381" s="34"/>
      <c r="MZW381" s="34"/>
      <c r="MZX381" s="34"/>
      <c r="MZY381" s="34"/>
      <c r="MZZ381" s="34"/>
      <c r="NAA381" s="34"/>
      <c r="NAB381" s="34"/>
      <c r="NAC381" s="34"/>
      <c r="NAD381" s="34"/>
      <c r="NAE381" s="34"/>
      <c r="NAF381" s="34"/>
      <c r="NAG381" s="34"/>
      <c r="NAH381" s="34"/>
      <c r="NAI381" s="34"/>
      <c r="NAJ381" s="34"/>
      <c r="NAK381" s="34"/>
      <c r="NAL381" s="34"/>
      <c r="NAM381" s="34"/>
      <c r="NAN381" s="34"/>
      <c r="NAO381" s="34"/>
      <c r="NAP381" s="34"/>
      <c r="NAQ381" s="34"/>
      <c r="NAR381" s="34"/>
      <c r="NAS381" s="34"/>
      <c r="NAT381" s="34"/>
      <c r="NAU381" s="34"/>
      <c r="NAV381" s="34"/>
      <c r="NAW381" s="34"/>
      <c r="NAX381" s="34"/>
      <c r="NAY381" s="34"/>
      <c r="NAZ381" s="34"/>
      <c r="NBA381" s="34"/>
      <c r="NBB381" s="34"/>
      <c r="NBC381" s="34"/>
      <c r="NBD381" s="34"/>
      <c r="NBE381" s="34"/>
      <c r="NBF381" s="34"/>
      <c r="NBG381" s="34"/>
      <c r="NBH381" s="34"/>
      <c r="NBI381" s="34"/>
      <c r="NBJ381" s="34"/>
      <c r="NBK381" s="34"/>
      <c r="NBL381" s="34"/>
      <c r="NBM381" s="34"/>
      <c r="NBN381" s="34"/>
      <c r="NBO381" s="34"/>
      <c r="NBP381" s="34"/>
      <c r="NBQ381" s="34"/>
      <c r="NBR381" s="34"/>
      <c r="NBS381" s="34"/>
      <c r="NBT381" s="34"/>
      <c r="NBU381" s="34"/>
      <c r="NBV381" s="34"/>
      <c r="NBW381" s="34"/>
      <c r="NBX381" s="34"/>
      <c r="NBY381" s="34"/>
      <c r="NBZ381" s="34"/>
      <c r="NCA381" s="34"/>
      <c r="NCB381" s="34"/>
      <c r="NCC381" s="34"/>
      <c r="NCD381" s="34"/>
      <c r="NCE381" s="34"/>
      <c r="NCF381" s="34"/>
      <c r="NCG381" s="34"/>
      <c r="NCH381" s="34"/>
      <c r="NCI381" s="34"/>
      <c r="NCJ381" s="34"/>
      <c r="NCK381" s="34"/>
      <c r="NCL381" s="34"/>
      <c r="NCM381" s="34"/>
      <c r="NCN381" s="34"/>
      <c r="NCO381" s="34"/>
      <c r="NCP381" s="34"/>
      <c r="NCQ381" s="34"/>
      <c r="NCR381" s="34"/>
      <c r="NCS381" s="34"/>
      <c r="NCT381" s="34"/>
      <c r="NCU381" s="34"/>
      <c r="NCV381" s="34"/>
      <c r="NCW381" s="34"/>
      <c r="NCX381" s="34"/>
      <c r="NCY381" s="34"/>
      <c r="NCZ381" s="34"/>
      <c r="NDA381" s="34"/>
      <c r="NDB381" s="34"/>
      <c r="NDC381" s="34"/>
      <c r="NDD381" s="34"/>
      <c r="NDE381" s="34"/>
      <c r="NDF381" s="34"/>
      <c r="NDG381" s="34"/>
      <c r="NDH381" s="34"/>
      <c r="NDI381" s="34"/>
      <c r="NDJ381" s="34"/>
      <c r="NDK381" s="34"/>
      <c r="NDL381" s="34"/>
      <c r="NDM381" s="34"/>
      <c r="NDN381" s="34"/>
      <c r="NDO381" s="34"/>
      <c r="NDP381" s="34"/>
      <c r="NDQ381" s="34"/>
      <c r="NDR381" s="34"/>
      <c r="NDS381" s="34"/>
      <c r="NDT381" s="34"/>
      <c r="NDU381" s="34"/>
      <c r="NDV381" s="34"/>
      <c r="NDW381" s="34"/>
      <c r="NDX381" s="34"/>
      <c r="NDY381" s="34"/>
      <c r="NDZ381" s="34"/>
      <c r="NEA381" s="34"/>
      <c r="NEB381" s="34"/>
      <c r="NEC381" s="34"/>
      <c r="NED381" s="34"/>
      <c r="NEE381" s="34"/>
      <c r="NEF381" s="34"/>
      <c r="NEG381" s="34"/>
      <c r="NEH381" s="34"/>
      <c r="NEI381" s="34"/>
      <c r="NEJ381" s="34"/>
      <c r="NEK381" s="34"/>
      <c r="NEL381" s="34"/>
      <c r="NEM381" s="34"/>
      <c r="NEN381" s="34"/>
      <c r="NEO381" s="34"/>
      <c r="NEP381" s="34"/>
      <c r="NEQ381" s="34"/>
      <c r="NER381" s="34"/>
      <c r="NES381" s="34"/>
      <c r="NET381" s="34"/>
      <c r="NEU381" s="34"/>
      <c r="NEV381" s="34"/>
      <c r="NEW381" s="34"/>
      <c r="NEX381" s="34"/>
      <c r="NEY381" s="34"/>
      <c r="NEZ381" s="34"/>
      <c r="NFA381" s="34"/>
      <c r="NFB381" s="34"/>
      <c r="NFC381" s="34"/>
      <c r="NFD381" s="34"/>
      <c r="NFE381" s="34"/>
      <c r="NFF381" s="34"/>
      <c r="NFG381" s="34"/>
      <c r="NFH381" s="34"/>
      <c r="NFI381" s="34"/>
      <c r="NFJ381" s="34"/>
      <c r="NFK381" s="34"/>
      <c r="NFL381" s="34"/>
      <c r="NFM381" s="34"/>
      <c r="NFN381" s="34"/>
      <c r="NFO381" s="34"/>
      <c r="NFP381" s="34"/>
      <c r="NFQ381" s="34"/>
      <c r="NFR381" s="34"/>
      <c r="NFS381" s="34"/>
      <c r="NFT381" s="34"/>
      <c r="NFU381" s="34"/>
      <c r="NFV381" s="34"/>
      <c r="NFW381" s="34"/>
      <c r="NFX381" s="34"/>
      <c r="NFY381" s="34"/>
      <c r="NFZ381" s="34"/>
      <c r="NGA381" s="34"/>
      <c r="NGB381" s="34"/>
      <c r="NGC381" s="34"/>
      <c r="NGD381" s="34"/>
      <c r="NGE381" s="34"/>
      <c r="NGF381" s="34"/>
      <c r="NGG381" s="34"/>
      <c r="NGH381" s="34"/>
      <c r="NGI381" s="34"/>
      <c r="NGJ381" s="34"/>
      <c r="NGK381" s="34"/>
      <c r="NGL381" s="34"/>
      <c r="NGM381" s="34"/>
      <c r="NGN381" s="34"/>
      <c r="NGO381" s="34"/>
      <c r="NGP381" s="34"/>
      <c r="NGQ381" s="34"/>
      <c r="NGR381" s="34"/>
      <c r="NGS381" s="34"/>
      <c r="NGT381" s="34"/>
      <c r="NGU381" s="34"/>
      <c r="NGV381" s="34"/>
      <c r="NGW381" s="34"/>
      <c r="NGX381" s="34"/>
      <c r="NGY381" s="34"/>
      <c r="NGZ381" s="34"/>
      <c r="NHA381" s="34"/>
      <c r="NHB381" s="34"/>
      <c r="NHC381" s="34"/>
      <c r="NHD381" s="34"/>
      <c r="NHE381" s="34"/>
      <c r="NHF381" s="34"/>
      <c r="NHG381" s="34"/>
      <c r="NHH381" s="34"/>
      <c r="NHI381" s="34"/>
      <c r="NHJ381" s="34"/>
      <c r="NHK381" s="34"/>
      <c r="NHL381" s="34"/>
      <c r="NHM381" s="34"/>
      <c r="NHN381" s="34"/>
      <c r="NHO381" s="34"/>
      <c r="NHP381" s="34"/>
      <c r="NHQ381" s="34"/>
      <c r="NHR381" s="34"/>
      <c r="NHS381" s="34"/>
      <c r="NHT381" s="34"/>
      <c r="NHU381" s="34"/>
      <c r="NHV381" s="34"/>
      <c r="NHW381" s="34"/>
      <c r="NHX381" s="34"/>
      <c r="NHY381" s="34"/>
      <c r="NHZ381" s="34"/>
      <c r="NIA381" s="34"/>
      <c r="NIB381" s="34"/>
      <c r="NIC381" s="34"/>
      <c r="NID381" s="34"/>
      <c r="NIE381" s="34"/>
      <c r="NIF381" s="34"/>
      <c r="NIG381" s="34"/>
      <c r="NIH381" s="34"/>
      <c r="NII381" s="34"/>
      <c r="NIJ381" s="34"/>
      <c r="NIK381" s="34"/>
      <c r="NIL381" s="34"/>
      <c r="NIM381" s="34"/>
      <c r="NIN381" s="34"/>
      <c r="NIO381" s="34"/>
      <c r="NIP381" s="34"/>
      <c r="NIQ381" s="34"/>
      <c r="NIR381" s="34"/>
      <c r="NIS381" s="34"/>
      <c r="NIT381" s="34"/>
      <c r="NIU381" s="34"/>
      <c r="NIV381" s="34"/>
      <c r="NIW381" s="34"/>
      <c r="NIX381" s="34"/>
      <c r="NIY381" s="34"/>
      <c r="NIZ381" s="34"/>
      <c r="NJA381" s="34"/>
      <c r="NJB381" s="34"/>
      <c r="NJC381" s="34"/>
      <c r="NJD381" s="34"/>
      <c r="NJE381" s="34"/>
      <c r="NJF381" s="34"/>
      <c r="NJG381" s="34"/>
      <c r="NJH381" s="34"/>
      <c r="NJI381" s="34"/>
      <c r="NJJ381" s="34"/>
      <c r="NJK381" s="34"/>
      <c r="NJL381" s="34"/>
      <c r="NJM381" s="34"/>
      <c r="NJN381" s="34"/>
      <c r="NJO381" s="34"/>
      <c r="NJP381" s="34"/>
      <c r="NJQ381" s="34"/>
      <c r="NJR381" s="34"/>
      <c r="NJS381" s="34"/>
      <c r="NJT381" s="34"/>
      <c r="NJU381" s="34"/>
      <c r="NJV381" s="34"/>
      <c r="NJW381" s="34"/>
      <c r="NJX381" s="34"/>
      <c r="NJY381" s="34"/>
      <c r="NJZ381" s="34"/>
      <c r="NKA381" s="34"/>
      <c r="NKB381" s="34"/>
      <c r="NKC381" s="34"/>
      <c r="NKD381" s="34"/>
      <c r="NKE381" s="34"/>
      <c r="NKF381" s="34"/>
      <c r="NKG381" s="34"/>
      <c r="NKH381" s="34"/>
      <c r="NKI381" s="34"/>
      <c r="NKJ381" s="34"/>
      <c r="NKK381" s="34"/>
      <c r="NKL381" s="34"/>
      <c r="NKM381" s="34"/>
      <c r="NKN381" s="34"/>
      <c r="NKO381" s="34"/>
      <c r="NKP381" s="34"/>
      <c r="NKQ381" s="34"/>
      <c r="NKR381" s="34"/>
      <c r="NKS381" s="34"/>
      <c r="NKT381" s="34"/>
      <c r="NKU381" s="34"/>
      <c r="NKV381" s="34"/>
      <c r="NKW381" s="34"/>
      <c r="NKX381" s="34"/>
      <c r="NKY381" s="34"/>
      <c r="NKZ381" s="34"/>
      <c r="NLA381" s="34"/>
      <c r="NLB381" s="34"/>
      <c r="NLC381" s="34"/>
      <c r="NLD381" s="34"/>
      <c r="NLE381" s="34"/>
      <c r="NLF381" s="34"/>
      <c r="NLG381" s="34"/>
      <c r="NLH381" s="34"/>
      <c r="NLI381" s="34"/>
      <c r="NLJ381" s="34"/>
      <c r="NLK381" s="34"/>
      <c r="NLL381" s="34"/>
      <c r="NLM381" s="34"/>
      <c r="NLN381" s="34"/>
      <c r="NLO381" s="34"/>
      <c r="NLP381" s="34"/>
      <c r="NLQ381" s="34"/>
      <c r="NLR381" s="34"/>
      <c r="NLS381" s="34"/>
      <c r="NLT381" s="34"/>
      <c r="NLU381" s="34"/>
      <c r="NLV381" s="34"/>
      <c r="NLW381" s="34"/>
      <c r="NLX381" s="34"/>
      <c r="NLY381" s="34"/>
      <c r="NLZ381" s="34"/>
      <c r="NMA381" s="34"/>
      <c r="NMB381" s="34"/>
      <c r="NMC381" s="34"/>
      <c r="NMD381" s="34"/>
      <c r="NME381" s="34"/>
      <c r="NMF381" s="34"/>
      <c r="NMG381" s="34"/>
      <c r="NMH381" s="34"/>
      <c r="NMI381" s="34"/>
      <c r="NMJ381" s="34"/>
      <c r="NMK381" s="34"/>
      <c r="NML381" s="34"/>
      <c r="NMM381" s="34"/>
      <c r="NMN381" s="34"/>
      <c r="NMO381" s="34"/>
      <c r="NMP381" s="34"/>
      <c r="NMQ381" s="34"/>
      <c r="NMR381" s="34"/>
      <c r="NMS381" s="34"/>
      <c r="NMT381" s="34"/>
      <c r="NMU381" s="34"/>
      <c r="NMV381" s="34"/>
      <c r="NMW381" s="34"/>
      <c r="NMX381" s="34"/>
      <c r="NMY381" s="34"/>
      <c r="NMZ381" s="34"/>
      <c r="NNA381" s="34"/>
      <c r="NNB381" s="34"/>
      <c r="NNC381" s="34"/>
      <c r="NND381" s="34"/>
      <c r="NNE381" s="34"/>
      <c r="NNF381" s="34"/>
      <c r="NNG381" s="34"/>
      <c r="NNH381" s="34"/>
      <c r="NNI381" s="34"/>
      <c r="NNJ381" s="34"/>
      <c r="NNK381" s="34"/>
      <c r="NNL381" s="34"/>
      <c r="NNM381" s="34"/>
      <c r="NNN381" s="34"/>
      <c r="NNO381" s="34"/>
      <c r="NNP381" s="34"/>
      <c r="NNQ381" s="34"/>
      <c r="NNR381" s="34"/>
      <c r="NNS381" s="34"/>
      <c r="NNT381" s="34"/>
      <c r="NNU381" s="34"/>
      <c r="NNV381" s="34"/>
      <c r="NNW381" s="34"/>
      <c r="NNX381" s="34"/>
      <c r="NNY381" s="34"/>
      <c r="NNZ381" s="34"/>
      <c r="NOA381" s="34"/>
      <c r="NOB381" s="34"/>
      <c r="NOC381" s="34"/>
      <c r="NOD381" s="34"/>
      <c r="NOE381" s="34"/>
      <c r="NOF381" s="34"/>
      <c r="NOG381" s="34"/>
      <c r="NOH381" s="34"/>
      <c r="NOI381" s="34"/>
      <c r="NOJ381" s="34"/>
      <c r="NOK381" s="34"/>
      <c r="NOL381" s="34"/>
      <c r="NOM381" s="34"/>
      <c r="NON381" s="34"/>
      <c r="NOO381" s="34"/>
      <c r="NOP381" s="34"/>
      <c r="NOQ381" s="34"/>
      <c r="NOR381" s="34"/>
      <c r="NOS381" s="34"/>
      <c r="NOT381" s="34"/>
      <c r="NOU381" s="34"/>
      <c r="NOV381" s="34"/>
      <c r="NOW381" s="34"/>
      <c r="NOX381" s="34"/>
      <c r="NOY381" s="34"/>
      <c r="NOZ381" s="34"/>
      <c r="NPA381" s="34"/>
      <c r="NPB381" s="34"/>
      <c r="NPC381" s="34"/>
      <c r="NPD381" s="34"/>
      <c r="NPE381" s="34"/>
      <c r="NPF381" s="34"/>
      <c r="NPG381" s="34"/>
      <c r="NPH381" s="34"/>
      <c r="NPI381" s="34"/>
      <c r="NPJ381" s="34"/>
      <c r="NPK381" s="34"/>
      <c r="NPL381" s="34"/>
      <c r="NPM381" s="34"/>
      <c r="NPN381" s="34"/>
      <c r="NPO381" s="34"/>
      <c r="NPP381" s="34"/>
      <c r="NPQ381" s="34"/>
      <c r="NPR381" s="34"/>
      <c r="NPS381" s="34"/>
      <c r="NPT381" s="34"/>
      <c r="NPU381" s="34"/>
      <c r="NPV381" s="34"/>
      <c r="NPW381" s="34"/>
      <c r="NPX381" s="34"/>
      <c r="NPY381" s="34"/>
      <c r="NPZ381" s="34"/>
      <c r="NQA381" s="34"/>
      <c r="NQB381" s="34"/>
      <c r="NQC381" s="34"/>
      <c r="NQD381" s="34"/>
      <c r="NQE381" s="34"/>
      <c r="NQF381" s="34"/>
      <c r="NQG381" s="34"/>
      <c r="NQH381" s="34"/>
      <c r="NQI381" s="34"/>
      <c r="NQJ381" s="34"/>
      <c r="NQK381" s="34"/>
      <c r="NQL381" s="34"/>
      <c r="NQM381" s="34"/>
      <c r="NQN381" s="34"/>
      <c r="NQO381" s="34"/>
      <c r="NQP381" s="34"/>
      <c r="NQQ381" s="34"/>
      <c r="NQR381" s="34"/>
      <c r="NQS381" s="34"/>
      <c r="NQT381" s="34"/>
      <c r="NQU381" s="34"/>
      <c r="NQV381" s="34"/>
      <c r="NQW381" s="34"/>
      <c r="NQX381" s="34"/>
      <c r="NQY381" s="34"/>
      <c r="NQZ381" s="34"/>
      <c r="NRA381" s="34"/>
      <c r="NRB381" s="34"/>
      <c r="NRC381" s="34"/>
      <c r="NRD381" s="34"/>
      <c r="NRE381" s="34"/>
      <c r="NRF381" s="34"/>
      <c r="NRG381" s="34"/>
      <c r="NRH381" s="34"/>
      <c r="NRI381" s="34"/>
      <c r="NRJ381" s="34"/>
      <c r="NRK381" s="34"/>
      <c r="NRL381" s="34"/>
      <c r="NRM381" s="34"/>
      <c r="NRN381" s="34"/>
      <c r="NRO381" s="34"/>
      <c r="NRP381" s="34"/>
      <c r="NRQ381" s="34"/>
      <c r="NRR381" s="34"/>
      <c r="NRS381" s="34"/>
      <c r="NRT381" s="34"/>
      <c r="NRU381" s="34"/>
      <c r="NRV381" s="34"/>
      <c r="NRW381" s="34"/>
      <c r="NRX381" s="34"/>
      <c r="NRY381" s="34"/>
      <c r="NRZ381" s="34"/>
      <c r="NSA381" s="34"/>
      <c r="NSB381" s="34"/>
      <c r="NSC381" s="34"/>
      <c r="NSD381" s="34"/>
      <c r="NSE381" s="34"/>
      <c r="NSF381" s="34"/>
      <c r="NSG381" s="34"/>
      <c r="NSH381" s="34"/>
      <c r="NSI381" s="34"/>
      <c r="NSJ381" s="34"/>
      <c r="NSK381" s="34"/>
      <c r="NSL381" s="34"/>
      <c r="NSM381" s="34"/>
      <c r="NSN381" s="34"/>
      <c r="NSO381" s="34"/>
      <c r="NSP381" s="34"/>
      <c r="NSQ381" s="34"/>
      <c r="NSR381" s="34"/>
      <c r="NSS381" s="34"/>
      <c r="NST381" s="34"/>
      <c r="NSU381" s="34"/>
      <c r="NSV381" s="34"/>
      <c r="NSW381" s="34"/>
      <c r="NSX381" s="34"/>
      <c r="NSY381" s="34"/>
      <c r="NSZ381" s="34"/>
      <c r="NTA381" s="34"/>
      <c r="NTB381" s="34"/>
      <c r="NTC381" s="34"/>
      <c r="NTD381" s="34"/>
      <c r="NTE381" s="34"/>
      <c r="NTF381" s="34"/>
      <c r="NTG381" s="34"/>
      <c r="NTH381" s="34"/>
      <c r="NTI381" s="34"/>
      <c r="NTJ381" s="34"/>
      <c r="NTK381" s="34"/>
      <c r="NTL381" s="34"/>
      <c r="NTM381" s="34"/>
      <c r="NTN381" s="34"/>
      <c r="NTO381" s="34"/>
      <c r="NTP381" s="34"/>
      <c r="NTQ381" s="34"/>
      <c r="NTR381" s="34"/>
      <c r="NTS381" s="34"/>
      <c r="NTT381" s="34"/>
      <c r="NTU381" s="34"/>
      <c r="NTV381" s="34"/>
      <c r="NTW381" s="34"/>
      <c r="NTX381" s="34"/>
      <c r="NTY381" s="34"/>
    </row>
    <row r="382" spans="1:10009" hidden="1" x14ac:dyDescent="0.3">
      <c r="J382" t="s">
        <v>221</v>
      </c>
      <c r="K382">
        <v>302231360000</v>
      </c>
      <c r="L382">
        <v>279604799000</v>
      </c>
      <c r="M382">
        <v>236806988000</v>
      </c>
      <c r="N382">
        <v>230400881000</v>
      </c>
      <c r="O382">
        <v>243771415000</v>
      </c>
      <c r="P382">
        <v>239575376000</v>
      </c>
    </row>
    <row r="383" spans="1:10009" hidden="1" x14ac:dyDescent="0.3">
      <c r="J383" t="s">
        <v>209</v>
      </c>
      <c r="K383">
        <v>448424507000</v>
      </c>
      <c r="L383">
        <v>426621158000</v>
      </c>
      <c r="M383">
        <v>378235718000</v>
      </c>
      <c r="N383">
        <v>352564497000</v>
      </c>
      <c r="O383">
        <v>339357244000</v>
      </c>
      <c r="P383">
        <v>301752090000</v>
      </c>
    </row>
    <row r="384" spans="1:10009" hidden="1" x14ac:dyDescent="0.3">
      <c r="J384" t="s">
        <v>222</v>
      </c>
      <c r="K384">
        <v>93674903000</v>
      </c>
      <c r="L384">
        <v>121721227000</v>
      </c>
      <c r="M384">
        <v>102287702000</v>
      </c>
      <c r="N384">
        <v>89684076000</v>
      </c>
      <c r="O384">
        <v>91604067000</v>
      </c>
      <c r="P384">
        <v>87260662000</v>
      </c>
    </row>
    <row r="385" spans="10:10009" hidden="1" x14ac:dyDescent="0.3">
      <c r="J385" t="s">
        <v>208</v>
      </c>
      <c r="K385">
        <v>354749604000</v>
      </c>
      <c r="L385">
        <v>304899931000</v>
      </c>
      <c r="M385">
        <v>275948016000</v>
      </c>
      <c r="N385">
        <v>262880421000</v>
      </c>
      <c r="O385">
        <v>247753177000</v>
      </c>
      <c r="P385">
        <v>214491428000</v>
      </c>
    </row>
    <row r="386" spans="10:10009" hidden="1" x14ac:dyDescent="0.3"/>
    <row r="387" spans="10:10009" hidden="1" x14ac:dyDescent="0.3"/>
    <row r="388" spans="10:10009" hidden="1" x14ac:dyDescent="0.3">
      <c r="J388" t="str">
        <f ca="1">_xll.IMDH("STK",$N$5,$J$389:$J$392,$L$92-1795,$O$5-365,9999,"Per=분기,sort=D,real=true,Bizday=0,Quote=종가,Pos=11,Orient=H,Cons="&amp;$P$5&amp;",Comp=누적,Trai=4,DtFmt=1,TmFmt=1,unit=true,title=연간 활동성-1년")</f>
        <v>연간 활동성-1년</v>
      </c>
    </row>
    <row r="389" spans="10:10009" hidden="1" x14ac:dyDescent="0.3">
      <c r="J389" t="s">
        <v>164</v>
      </c>
      <c r="K389" s="34">
        <v>44561</v>
      </c>
      <c r="L389" s="34">
        <v>44196</v>
      </c>
      <c r="M389" s="34">
        <v>43830</v>
      </c>
      <c r="N389" s="34">
        <v>43465</v>
      </c>
      <c r="O389" s="34">
        <v>43100</v>
      </c>
      <c r="P389" s="34">
        <v>42735</v>
      </c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  <c r="CM389" s="34"/>
      <c r="CN389" s="34"/>
      <c r="CO389" s="34"/>
      <c r="CP389" s="34"/>
      <c r="CQ389" s="34"/>
      <c r="CR389" s="34"/>
      <c r="CS389" s="34"/>
      <c r="CT389" s="34"/>
      <c r="CU389" s="34"/>
      <c r="CV389" s="34"/>
      <c r="CW389" s="34"/>
      <c r="CX389" s="34"/>
      <c r="CY389" s="34"/>
      <c r="CZ389" s="34"/>
      <c r="DA389" s="34"/>
      <c r="DB389" s="34"/>
      <c r="DC389" s="34"/>
      <c r="DD389" s="34"/>
      <c r="DE389" s="34"/>
      <c r="DF389" s="34"/>
      <c r="DG389" s="34"/>
      <c r="DH389" s="34"/>
      <c r="DI389" s="34"/>
      <c r="DJ389" s="34"/>
      <c r="DK389" s="34"/>
      <c r="DL389" s="34"/>
      <c r="DM389" s="34"/>
      <c r="DN389" s="34"/>
      <c r="DO389" s="34"/>
      <c r="DP389" s="34"/>
      <c r="DQ389" s="34"/>
      <c r="DR389" s="34"/>
      <c r="DS389" s="34"/>
      <c r="DT389" s="34"/>
      <c r="DU389" s="34"/>
      <c r="DV389" s="34"/>
      <c r="DW389" s="34"/>
      <c r="DX389" s="34"/>
      <c r="DY389" s="34"/>
      <c r="DZ389" s="34"/>
      <c r="EA389" s="34"/>
      <c r="EB389" s="34"/>
      <c r="EC389" s="34"/>
      <c r="ED389" s="34"/>
      <c r="EE389" s="34"/>
      <c r="EF389" s="34"/>
      <c r="EG389" s="34"/>
      <c r="EH389" s="34"/>
      <c r="EI389" s="34"/>
      <c r="EJ389" s="34"/>
      <c r="EK389" s="34"/>
      <c r="EL389" s="34"/>
      <c r="EM389" s="34"/>
      <c r="EN389" s="34"/>
      <c r="EO389" s="34"/>
      <c r="EP389" s="34"/>
      <c r="EQ389" s="34"/>
      <c r="ER389" s="34"/>
      <c r="ES389" s="34"/>
      <c r="ET389" s="34"/>
      <c r="EU389" s="34"/>
      <c r="EV389" s="34"/>
      <c r="EW389" s="34"/>
      <c r="EX389" s="34"/>
      <c r="EY389" s="34"/>
      <c r="EZ389" s="34"/>
      <c r="FA389" s="34"/>
      <c r="FB389" s="34"/>
      <c r="FC389" s="34"/>
      <c r="FD389" s="34"/>
      <c r="FE389" s="34"/>
      <c r="FF389" s="34"/>
      <c r="FG389" s="34"/>
      <c r="FH389" s="34"/>
      <c r="FI389" s="34"/>
      <c r="FJ389" s="34"/>
      <c r="FK389" s="34"/>
      <c r="FL389" s="34"/>
      <c r="FM389" s="34"/>
      <c r="FN389" s="34"/>
      <c r="FO389" s="34"/>
      <c r="FP389" s="34"/>
      <c r="FQ389" s="34"/>
      <c r="FR389" s="34"/>
      <c r="FS389" s="34"/>
      <c r="FT389" s="34"/>
      <c r="FU389" s="34"/>
      <c r="FV389" s="34"/>
      <c r="FW389" s="34"/>
      <c r="FX389" s="34"/>
      <c r="FY389" s="34"/>
      <c r="FZ389" s="34"/>
      <c r="GA389" s="34"/>
      <c r="GB389" s="34"/>
      <c r="GC389" s="34"/>
      <c r="GD389" s="34"/>
      <c r="GE389" s="34"/>
      <c r="GF389" s="34"/>
      <c r="GG389" s="34"/>
      <c r="GH389" s="34"/>
      <c r="GI389" s="34"/>
      <c r="GJ389" s="34"/>
      <c r="GK389" s="34"/>
      <c r="GL389" s="34"/>
      <c r="GM389" s="34"/>
      <c r="GN389" s="34"/>
      <c r="GO389" s="34"/>
      <c r="GP389" s="34"/>
      <c r="GQ389" s="34"/>
      <c r="GR389" s="34"/>
      <c r="GS389" s="34"/>
      <c r="GT389" s="34"/>
      <c r="GU389" s="34"/>
      <c r="GV389" s="34"/>
      <c r="GW389" s="34"/>
      <c r="GX389" s="34"/>
      <c r="GY389" s="34"/>
      <c r="GZ389" s="34"/>
      <c r="HA389" s="34"/>
      <c r="HB389" s="34"/>
      <c r="HC389" s="34"/>
      <c r="HD389" s="34"/>
      <c r="HE389" s="34"/>
      <c r="HF389" s="34"/>
      <c r="HG389" s="34"/>
      <c r="HH389" s="34"/>
      <c r="HI389" s="34"/>
      <c r="HJ389" s="34"/>
      <c r="HK389" s="34"/>
      <c r="HL389" s="34"/>
      <c r="HM389" s="34"/>
      <c r="HN389" s="34"/>
      <c r="HO389" s="34"/>
      <c r="HP389" s="34"/>
      <c r="HQ389" s="34"/>
      <c r="HR389" s="34"/>
      <c r="HS389" s="34"/>
      <c r="HT389" s="34"/>
      <c r="HU389" s="34"/>
      <c r="HV389" s="34"/>
      <c r="HW389" s="34"/>
      <c r="HX389" s="34"/>
      <c r="HY389" s="34"/>
      <c r="HZ389" s="34"/>
      <c r="IA389" s="34"/>
      <c r="IB389" s="34"/>
      <c r="IC389" s="34"/>
      <c r="ID389" s="34"/>
      <c r="IE389" s="34"/>
      <c r="IF389" s="34"/>
      <c r="IG389" s="34"/>
      <c r="IH389" s="34"/>
      <c r="II389" s="34"/>
      <c r="IJ389" s="34"/>
      <c r="IK389" s="34"/>
      <c r="IL389" s="34"/>
      <c r="IM389" s="34"/>
      <c r="IN389" s="34"/>
      <c r="IO389" s="34"/>
      <c r="IP389" s="34"/>
      <c r="IQ389" s="34"/>
      <c r="IR389" s="34"/>
      <c r="IS389" s="34"/>
      <c r="IT389" s="34"/>
      <c r="IU389" s="34"/>
      <c r="IV389" s="34"/>
      <c r="IW389" s="34"/>
      <c r="IX389" s="34"/>
      <c r="IY389" s="34"/>
      <c r="IZ389" s="34"/>
      <c r="JA389" s="34"/>
      <c r="JB389" s="34"/>
      <c r="JC389" s="34"/>
      <c r="JD389" s="34"/>
      <c r="JE389" s="34"/>
      <c r="JF389" s="34"/>
      <c r="JG389" s="34"/>
      <c r="JH389" s="34"/>
      <c r="JI389" s="34"/>
      <c r="JJ389" s="34"/>
      <c r="JK389" s="34"/>
      <c r="JL389" s="34"/>
      <c r="JM389" s="34"/>
      <c r="JN389" s="34"/>
      <c r="JO389" s="34"/>
      <c r="JP389" s="34"/>
      <c r="JQ389" s="34"/>
      <c r="JR389" s="34"/>
      <c r="JS389" s="34"/>
      <c r="JT389" s="34"/>
      <c r="JU389" s="34"/>
      <c r="JV389" s="34"/>
      <c r="JW389" s="34"/>
      <c r="JX389" s="34"/>
      <c r="JY389" s="34"/>
      <c r="JZ389" s="34"/>
      <c r="KA389" s="34"/>
      <c r="KB389" s="34"/>
      <c r="KC389" s="34"/>
      <c r="KD389" s="34"/>
      <c r="KE389" s="34"/>
      <c r="KF389" s="34"/>
      <c r="KG389" s="34"/>
      <c r="KH389" s="34"/>
      <c r="KI389" s="34"/>
      <c r="KJ389" s="34"/>
      <c r="KK389" s="34"/>
      <c r="KL389" s="34"/>
      <c r="KM389" s="34"/>
      <c r="KN389" s="34"/>
      <c r="KO389" s="34"/>
      <c r="KP389" s="34"/>
      <c r="KQ389" s="34"/>
      <c r="KR389" s="34"/>
      <c r="KS389" s="34"/>
      <c r="KT389" s="34"/>
      <c r="KU389" s="34"/>
      <c r="KV389" s="34"/>
      <c r="KW389" s="34"/>
      <c r="KX389" s="34"/>
      <c r="KY389" s="34"/>
      <c r="KZ389" s="34"/>
      <c r="LA389" s="34"/>
      <c r="LB389" s="34"/>
      <c r="LC389" s="34"/>
      <c r="LD389" s="34"/>
      <c r="LE389" s="34"/>
      <c r="LF389" s="34"/>
      <c r="LG389" s="34"/>
      <c r="LH389" s="34"/>
      <c r="LI389" s="34"/>
      <c r="LJ389" s="34"/>
      <c r="LK389" s="34"/>
      <c r="LL389" s="34"/>
      <c r="LM389" s="34"/>
      <c r="LN389" s="34"/>
      <c r="LO389" s="34"/>
      <c r="LP389" s="34"/>
      <c r="LQ389" s="34"/>
      <c r="LR389" s="34"/>
      <c r="LS389" s="34"/>
      <c r="LT389" s="34"/>
      <c r="LU389" s="34"/>
      <c r="LV389" s="34"/>
      <c r="LW389" s="34"/>
      <c r="LX389" s="34"/>
      <c r="LY389" s="34"/>
      <c r="LZ389" s="34"/>
      <c r="MA389" s="34"/>
      <c r="MB389" s="34"/>
      <c r="MC389" s="34"/>
      <c r="MD389" s="34"/>
      <c r="ME389" s="34"/>
      <c r="MF389" s="34"/>
      <c r="MG389" s="34"/>
      <c r="MH389" s="34"/>
      <c r="MI389" s="34"/>
      <c r="MJ389" s="34"/>
      <c r="MK389" s="34"/>
      <c r="ML389" s="34"/>
      <c r="MM389" s="34"/>
      <c r="MN389" s="34"/>
      <c r="MO389" s="34"/>
      <c r="MP389" s="34"/>
      <c r="MQ389" s="34"/>
      <c r="MR389" s="34"/>
      <c r="MS389" s="34"/>
      <c r="MT389" s="34"/>
      <c r="MU389" s="34"/>
      <c r="MV389" s="34"/>
      <c r="MW389" s="34"/>
      <c r="MX389" s="34"/>
      <c r="MY389" s="34"/>
      <c r="MZ389" s="34"/>
      <c r="NA389" s="34"/>
      <c r="NB389" s="34"/>
      <c r="NC389" s="34"/>
      <c r="ND389" s="34"/>
      <c r="NE389" s="34"/>
      <c r="NF389" s="34"/>
      <c r="NG389" s="34"/>
      <c r="NH389" s="34"/>
      <c r="NI389" s="34"/>
      <c r="NJ389" s="34"/>
      <c r="NK389" s="34"/>
      <c r="NL389" s="34"/>
      <c r="NM389" s="34"/>
      <c r="NN389" s="34"/>
      <c r="NO389" s="34"/>
      <c r="NP389" s="34"/>
      <c r="NQ389" s="34"/>
      <c r="NR389" s="34"/>
      <c r="NS389" s="34"/>
      <c r="NT389" s="34"/>
      <c r="NU389" s="34"/>
      <c r="NV389" s="34"/>
      <c r="NW389" s="34"/>
      <c r="NX389" s="34"/>
      <c r="NY389" s="34"/>
      <c r="NZ389" s="34"/>
      <c r="OA389" s="34"/>
      <c r="OB389" s="34"/>
      <c r="OC389" s="34"/>
      <c r="OD389" s="34"/>
      <c r="OE389" s="34"/>
      <c r="OF389" s="34"/>
      <c r="OG389" s="34"/>
      <c r="OH389" s="34"/>
      <c r="OI389" s="34"/>
      <c r="OJ389" s="34"/>
      <c r="OK389" s="34"/>
      <c r="OL389" s="34"/>
      <c r="OM389" s="34"/>
      <c r="ON389" s="34"/>
      <c r="OO389" s="34"/>
      <c r="OP389" s="34"/>
      <c r="OQ389" s="34"/>
      <c r="OR389" s="34"/>
      <c r="OS389" s="34"/>
      <c r="OT389" s="34"/>
      <c r="OU389" s="34"/>
      <c r="OV389" s="34"/>
      <c r="OW389" s="34"/>
      <c r="OX389" s="34"/>
      <c r="OY389" s="34"/>
      <c r="OZ389" s="34"/>
      <c r="PA389" s="34"/>
      <c r="PB389" s="34"/>
      <c r="PC389" s="34"/>
      <c r="PD389" s="34"/>
      <c r="PE389" s="34"/>
      <c r="PF389" s="34"/>
      <c r="PG389" s="34"/>
      <c r="PH389" s="34"/>
      <c r="PI389" s="34"/>
      <c r="PJ389" s="34"/>
      <c r="PK389" s="34"/>
      <c r="PL389" s="34"/>
      <c r="PM389" s="34"/>
      <c r="PN389" s="34"/>
      <c r="PO389" s="34"/>
      <c r="PP389" s="34"/>
      <c r="PQ389" s="34"/>
      <c r="PR389" s="34"/>
      <c r="PS389" s="34"/>
      <c r="PT389" s="34"/>
      <c r="PU389" s="34"/>
      <c r="PV389" s="34"/>
      <c r="PW389" s="34"/>
      <c r="PX389" s="34"/>
      <c r="PY389" s="34"/>
      <c r="PZ389" s="34"/>
      <c r="QA389" s="34"/>
      <c r="QB389" s="34"/>
      <c r="QC389" s="34"/>
      <c r="QD389" s="34"/>
      <c r="QE389" s="34"/>
      <c r="QF389" s="34"/>
      <c r="QG389" s="34"/>
      <c r="QH389" s="34"/>
      <c r="QI389" s="34"/>
      <c r="QJ389" s="34"/>
      <c r="QK389" s="34"/>
      <c r="QL389" s="34"/>
      <c r="QM389" s="34"/>
      <c r="QN389" s="34"/>
      <c r="QO389" s="34"/>
      <c r="QP389" s="34"/>
      <c r="QQ389" s="34"/>
      <c r="QR389" s="34"/>
      <c r="QS389" s="34"/>
      <c r="QT389" s="34"/>
      <c r="QU389" s="34"/>
      <c r="QV389" s="34"/>
      <c r="QW389" s="34"/>
      <c r="QX389" s="34"/>
      <c r="QY389" s="34"/>
      <c r="QZ389" s="34"/>
      <c r="RA389" s="34"/>
      <c r="RB389" s="34"/>
      <c r="RC389" s="34"/>
      <c r="RD389" s="34"/>
      <c r="RE389" s="34"/>
      <c r="RF389" s="34"/>
      <c r="RG389" s="34"/>
      <c r="RH389" s="34"/>
      <c r="RI389" s="34"/>
      <c r="RJ389" s="34"/>
      <c r="RK389" s="34"/>
      <c r="RL389" s="34"/>
      <c r="RM389" s="34"/>
      <c r="RN389" s="34"/>
      <c r="RO389" s="34"/>
      <c r="RP389" s="34"/>
      <c r="RQ389" s="34"/>
      <c r="RR389" s="34"/>
      <c r="RS389" s="34"/>
      <c r="RT389" s="34"/>
      <c r="RU389" s="34"/>
      <c r="RV389" s="34"/>
      <c r="RW389" s="34"/>
      <c r="RX389" s="34"/>
      <c r="RY389" s="34"/>
      <c r="RZ389" s="34"/>
      <c r="SA389" s="34"/>
      <c r="SB389" s="34"/>
      <c r="SC389" s="34"/>
      <c r="SD389" s="34"/>
      <c r="SE389" s="34"/>
      <c r="SF389" s="34"/>
      <c r="SG389" s="34"/>
      <c r="SH389" s="34"/>
      <c r="SI389" s="34"/>
      <c r="SJ389" s="34"/>
      <c r="SK389" s="34"/>
      <c r="SL389" s="34"/>
      <c r="SM389" s="34"/>
      <c r="SN389" s="34"/>
      <c r="SO389" s="34"/>
      <c r="SP389" s="34"/>
      <c r="SQ389" s="34"/>
      <c r="SR389" s="34"/>
      <c r="SS389" s="34"/>
      <c r="ST389" s="34"/>
      <c r="SU389" s="34"/>
      <c r="SV389" s="34"/>
      <c r="SW389" s="34"/>
      <c r="SX389" s="34"/>
      <c r="SY389" s="34"/>
      <c r="SZ389" s="34"/>
      <c r="TA389" s="34"/>
      <c r="TB389" s="34"/>
      <c r="TC389" s="34"/>
      <c r="TD389" s="34"/>
      <c r="TE389" s="34"/>
      <c r="TF389" s="34"/>
      <c r="TG389" s="34"/>
      <c r="TH389" s="34"/>
      <c r="TI389" s="34"/>
      <c r="TJ389" s="34"/>
      <c r="TK389" s="34"/>
      <c r="TL389" s="34"/>
      <c r="TM389" s="34"/>
      <c r="TN389" s="34"/>
      <c r="TO389" s="34"/>
      <c r="TP389" s="34"/>
      <c r="TQ389" s="34"/>
      <c r="TR389" s="34"/>
      <c r="TS389" s="34"/>
      <c r="TT389" s="34"/>
      <c r="TU389" s="34"/>
      <c r="TV389" s="34"/>
      <c r="TW389" s="34"/>
      <c r="TX389" s="34"/>
      <c r="TY389" s="34"/>
      <c r="TZ389" s="34"/>
      <c r="UA389" s="34"/>
      <c r="UB389" s="34"/>
      <c r="UC389" s="34"/>
      <c r="UD389" s="34"/>
      <c r="UE389" s="34"/>
      <c r="UF389" s="34"/>
      <c r="UG389" s="34"/>
      <c r="UH389" s="34"/>
      <c r="UI389" s="34"/>
      <c r="UJ389" s="34"/>
      <c r="UK389" s="34"/>
      <c r="UL389" s="34"/>
      <c r="UM389" s="34"/>
      <c r="UN389" s="34"/>
      <c r="UO389" s="34"/>
      <c r="UP389" s="34"/>
      <c r="UQ389" s="34"/>
      <c r="UR389" s="34"/>
      <c r="US389" s="34"/>
      <c r="UT389" s="34"/>
      <c r="UU389" s="34"/>
      <c r="UV389" s="34"/>
      <c r="UW389" s="34"/>
      <c r="UX389" s="34"/>
      <c r="UY389" s="34"/>
      <c r="UZ389" s="34"/>
      <c r="VA389" s="34"/>
      <c r="VB389" s="34"/>
      <c r="VC389" s="34"/>
      <c r="VD389" s="34"/>
      <c r="VE389" s="34"/>
      <c r="VF389" s="34"/>
      <c r="VG389" s="34"/>
      <c r="VH389" s="34"/>
      <c r="VI389" s="34"/>
      <c r="VJ389" s="34"/>
      <c r="VK389" s="34"/>
      <c r="VL389" s="34"/>
      <c r="VM389" s="34"/>
      <c r="VN389" s="34"/>
      <c r="VO389" s="34"/>
      <c r="VP389" s="34"/>
      <c r="VQ389" s="34"/>
      <c r="VR389" s="34"/>
      <c r="VS389" s="34"/>
      <c r="VT389" s="34"/>
      <c r="VU389" s="34"/>
      <c r="VV389" s="34"/>
      <c r="VW389" s="34"/>
      <c r="VX389" s="34"/>
      <c r="VY389" s="34"/>
      <c r="VZ389" s="34"/>
      <c r="WA389" s="34"/>
      <c r="WB389" s="34"/>
      <c r="WC389" s="34"/>
      <c r="WD389" s="34"/>
      <c r="WE389" s="34"/>
      <c r="WF389" s="34"/>
      <c r="WG389" s="34"/>
      <c r="WH389" s="34"/>
      <c r="WI389" s="34"/>
      <c r="WJ389" s="34"/>
      <c r="WK389" s="34"/>
      <c r="WL389" s="34"/>
      <c r="WM389" s="34"/>
      <c r="WN389" s="34"/>
      <c r="WO389" s="34"/>
      <c r="WP389" s="34"/>
      <c r="WQ389" s="34"/>
      <c r="WR389" s="34"/>
      <c r="WS389" s="34"/>
      <c r="WT389" s="34"/>
      <c r="WU389" s="34"/>
      <c r="WV389" s="34"/>
      <c r="WW389" s="34"/>
      <c r="WX389" s="34"/>
      <c r="WY389" s="34"/>
      <c r="WZ389" s="34"/>
      <c r="XA389" s="34"/>
      <c r="XB389" s="34"/>
      <c r="XC389" s="34"/>
      <c r="XD389" s="34"/>
      <c r="XE389" s="34"/>
      <c r="XF389" s="34"/>
      <c r="XG389" s="34"/>
      <c r="XH389" s="34"/>
      <c r="XI389" s="34"/>
      <c r="XJ389" s="34"/>
      <c r="XK389" s="34"/>
      <c r="XL389" s="34"/>
      <c r="XM389" s="34"/>
      <c r="XN389" s="34"/>
      <c r="XO389" s="34"/>
      <c r="XP389" s="34"/>
      <c r="XQ389" s="34"/>
      <c r="XR389" s="34"/>
      <c r="XS389" s="34"/>
      <c r="XT389" s="34"/>
      <c r="XU389" s="34"/>
      <c r="XV389" s="34"/>
      <c r="XW389" s="34"/>
      <c r="XX389" s="34"/>
      <c r="XY389" s="34"/>
      <c r="XZ389" s="34"/>
      <c r="YA389" s="34"/>
      <c r="YB389" s="34"/>
      <c r="YC389" s="34"/>
      <c r="YD389" s="34"/>
      <c r="YE389" s="34"/>
      <c r="YF389" s="34"/>
      <c r="YG389" s="34"/>
      <c r="YH389" s="34"/>
      <c r="YI389" s="34"/>
      <c r="YJ389" s="34"/>
      <c r="YK389" s="34"/>
      <c r="YL389" s="34"/>
      <c r="YM389" s="34"/>
      <c r="YN389" s="34"/>
      <c r="YO389" s="34"/>
      <c r="YP389" s="34"/>
      <c r="YQ389" s="34"/>
      <c r="YR389" s="34"/>
      <c r="YS389" s="34"/>
      <c r="YT389" s="34"/>
      <c r="YU389" s="34"/>
      <c r="YV389" s="34"/>
      <c r="YW389" s="34"/>
      <c r="YX389" s="34"/>
      <c r="YY389" s="34"/>
      <c r="YZ389" s="34"/>
      <c r="ZA389" s="34"/>
      <c r="ZB389" s="34"/>
      <c r="ZC389" s="34"/>
      <c r="ZD389" s="34"/>
      <c r="ZE389" s="34"/>
      <c r="ZF389" s="34"/>
      <c r="ZG389" s="34"/>
      <c r="ZH389" s="34"/>
      <c r="ZI389" s="34"/>
      <c r="ZJ389" s="34"/>
      <c r="ZK389" s="34"/>
      <c r="ZL389" s="34"/>
      <c r="ZM389" s="34"/>
      <c r="ZN389" s="34"/>
      <c r="ZO389" s="34"/>
      <c r="ZP389" s="34"/>
      <c r="ZQ389" s="34"/>
      <c r="ZR389" s="34"/>
      <c r="ZS389" s="34"/>
      <c r="ZT389" s="34"/>
      <c r="ZU389" s="34"/>
      <c r="ZV389" s="34"/>
      <c r="ZW389" s="34"/>
      <c r="ZX389" s="34"/>
      <c r="ZY389" s="34"/>
      <c r="ZZ389" s="34"/>
      <c r="AAA389" s="34"/>
      <c r="AAB389" s="34"/>
      <c r="AAC389" s="34"/>
      <c r="AAD389" s="34"/>
      <c r="AAE389" s="34"/>
      <c r="AAF389" s="34"/>
      <c r="AAG389" s="34"/>
      <c r="AAH389" s="34"/>
      <c r="AAI389" s="34"/>
      <c r="AAJ389" s="34"/>
      <c r="AAK389" s="34"/>
      <c r="AAL389" s="34"/>
      <c r="AAM389" s="34"/>
      <c r="AAN389" s="34"/>
      <c r="AAO389" s="34"/>
      <c r="AAP389" s="34"/>
      <c r="AAQ389" s="34"/>
      <c r="AAR389" s="34"/>
      <c r="AAS389" s="34"/>
      <c r="AAT389" s="34"/>
      <c r="AAU389" s="34"/>
      <c r="AAV389" s="34"/>
      <c r="AAW389" s="34"/>
      <c r="AAX389" s="34"/>
      <c r="AAY389" s="34"/>
      <c r="AAZ389" s="34"/>
      <c r="ABA389" s="34"/>
      <c r="ABB389" s="34"/>
      <c r="ABC389" s="34"/>
      <c r="ABD389" s="34"/>
      <c r="ABE389" s="34"/>
      <c r="ABF389" s="34"/>
      <c r="ABG389" s="34"/>
      <c r="ABH389" s="34"/>
      <c r="ABI389" s="34"/>
      <c r="ABJ389" s="34"/>
      <c r="ABK389" s="34"/>
      <c r="ABL389" s="34"/>
      <c r="ABM389" s="34"/>
      <c r="ABN389" s="34"/>
      <c r="ABO389" s="34"/>
      <c r="ABP389" s="34"/>
      <c r="ABQ389" s="34"/>
      <c r="ABR389" s="34"/>
      <c r="ABS389" s="34"/>
      <c r="ABT389" s="34"/>
      <c r="ABU389" s="34"/>
      <c r="ABV389" s="34"/>
      <c r="ABW389" s="34"/>
      <c r="ABX389" s="34"/>
      <c r="ABY389" s="34"/>
      <c r="ABZ389" s="34"/>
      <c r="ACA389" s="34"/>
      <c r="ACB389" s="34"/>
      <c r="ACC389" s="34"/>
      <c r="ACD389" s="34"/>
      <c r="ACE389" s="34"/>
      <c r="ACF389" s="34"/>
      <c r="ACG389" s="34"/>
      <c r="ACH389" s="34"/>
      <c r="ACI389" s="34"/>
      <c r="ACJ389" s="34"/>
      <c r="ACK389" s="34"/>
      <c r="ACL389" s="34"/>
      <c r="ACM389" s="34"/>
      <c r="ACN389" s="34"/>
      <c r="ACO389" s="34"/>
      <c r="ACP389" s="34"/>
      <c r="ACQ389" s="34"/>
      <c r="ACR389" s="34"/>
      <c r="ACS389" s="34"/>
      <c r="ACT389" s="34"/>
      <c r="ACU389" s="34"/>
      <c r="ACV389" s="34"/>
      <c r="ACW389" s="34"/>
      <c r="ACX389" s="34"/>
      <c r="ACY389" s="34"/>
      <c r="ACZ389" s="34"/>
      <c r="ADA389" s="34"/>
      <c r="ADB389" s="34"/>
      <c r="ADC389" s="34"/>
      <c r="ADD389" s="34"/>
      <c r="ADE389" s="34"/>
      <c r="ADF389" s="34"/>
      <c r="ADG389" s="34"/>
      <c r="ADH389" s="34"/>
      <c r="ADI389" s="34"/>
      <c r="ADJ389" s="34"/>
      <c r="ADK389" s="34"/>
      <c r="ADL389" s="34"/>
      <c r="ADM389" s="34"/>
      <c r="ADN389" s="34"/>
      <c r="ADO389" s="34"/>
      <c r="ADP389" s="34"/>
      <c r="ADQ389" s="34"/>
      <c r="ADR389" s="34"/>
      <c r="ADS389" s="34"/>
      <c r="ADT389" s="34"/>
      <c r="ADU389" s="34"/>
      <c r="ADV389" s="34"/>
      <c r="ADW389" s="34"/>
      <c r="ADX389" s="34"/>
      <c r="ADY389" s="34"/>
      <c r="ADZ389" s="34"/>
      <c r="AEA389" s="34"/>
      <c r="AEB389" s="34"/>
      <c r="AEC389" s="34"/>
      <c r="AED389" s="34"/>
      <c r="AEE389" s="34"/>
      <c r="AEF389" s="34"/>
      <c r="AEG389" s="34"/>
      <c r="AEH389" s="34"/>
      <c r="AEI389" s="34"/>
      <c r="AEJ389" s="34"/>
      <c r="AEK389" s="34"/>
      <c r="AEL389" s="34"/>
      <c r="AEM389" s="34"/>
      <c r="AEN389" s="34"/>
      <c r="AEO389" s="34"/>
      <c r="AEP389" s="34"/>
      <c r="AEQ389" s="34"/>
      <c r="AER389" s="34"/>
      <c r="AES389" s="34"/>
      <c r="AET389" s="34"/>
      <c r="AEU389" s="34"/>
      <c r="AEV389" s="34"/>
      <c r="AEW389" s="34"/>
      <c r="AEX389" s="34"/>
      <c r="AEY389" s="34"/>
      <c r="AEZ389" s="34"/>
      <c r="AFA389" s="34"/>
      <c r="AFB389" s="34"/>
      <c r="AFC389" s="34"/>
      <c r="AFD389" s="34"/>
      <c r="AFE389" s="34"/>
      <c r="AFF389" s="34"/>
      <c r="AFG389" s="34"/>
      <c r="AFH389" s="34"/>
      <c r="AFI389" s="34"/>
      <c r="AFJ389" s="34"/>
      <c r="AFK389" s="34"/>
      <c r="AFL389" s="34"/>
      <c r="AFM389" s="34"/>
      <c r="AFN389" s="34"/>
      <c r="AFO389" s="34"/>
      <c r="AFP389" s="34"/>
      <c r="AFQ389" s="34"/>
      <c r="AFR389" s="34"/>
      <c r="AFS389" s="34"/>
      <c r="AFT389" s="34"/>
      <c r="AFU389" s="34"/>
      <c r="AFV389" s="34"/>
      <c r="AFW389" s="34"/>
      <c r="AFX389" s="34"/>
      <c r="AFY389" s="34"/>
      <c r="AFZ389" s="34"/>
      <c r="AGA389" s="34"/>
      <c r="AGB389" s="34"/>
      <c r="AGC389" s="34"/>
      <c r="AGD389" s="34"/>
      <c r="AGE389" s="34"/>
      <c r="AGF389" s="34"/>
      <c r="AGG389" s="34"/>
      <c r="AGH389" s="34"/>
      <c r="AGI389" s="34"/>
      <c r="AGJ389" s="34"/>
      <c r="AGK389" s="34"/>
      <c r="AGL389" s="34"/>
      <c r="AGM389" s="34"/>
      <c r="AGN389" s="34"/>
      <c r="AGO389" s="34"/>
      <c r="AGP389" s="34"/>
      <c r="AGQ389" s="34"/>
      <c r="AGR389" s="34"/>
      <c r="AGS389" s="34"/>
      <c r="AGT389" s="34"/>
      <c r="AGU389" s="34"/>
      <c r="AGV389" s="34"/>
      <c r="AGW389" s="34"/>
      <c r="AGX389" s="34"/>
      <c r="AGY389" s="34"/>
      <c r="AGZ389" s="34"/>
      <c r="AHA389" s="34"/>
      <c r="AHB389" s="34"/>
      <c r="AHC389" s="34"/>
      <c r="AHD389" s="34"/>
      <c r="AHE389" s="34"/>
      <c r="AHF389" s="34"/>
      <c r="AHG389" s="34"/>
      <c r="AHH389" s="34"/>
      <c r="AHI389" s="34"/>
      <c r="AHJ389" s="34"/>
      <c r="AHK389" s="34"/>
      <c r="AHL389" s="34"/>
      <c r="AHM389" s="34"/>
      <c r="AHN389" s="34"/>
      <c r="AHO389" s="34"/>
      <c r="AHP389" s="34"/>
      <c r="AHQ389" s="34"/>
      <c r="AHR389" s="34"/>
      <c r="AHS389" s="34"/>
      <c r="AHT389" s="34"/>
      <c r="AHU389" s="34"/>
      <c r="AHV389" s="34"/>
      <c r="AHW389" s="34"/>
      <c r="AHX389" s="34"/>
      <c r="AHY389" s="34"/>
      <c r="AHZ389" s="34"/>
      <c r="AIA389" s="34"/>
      <c r="AIB389" s="34"/>
      <c r="AIC389" s="34"/>
      <c r="AID389" s="34"/>
      <c r="AIE389" s="34"/>
      <c r="AIF389" s="34"/>
      <c r="AIG389" s="34"/>
      <c r="AIH389" s="34"/>
      <c r="AII389" s="34"/>
      <c r="AIJ389" s="34"/>
      <c r="AIK389" s="34"/>
      <c r="AIL389" s="34"/>
      <c r="AIM389" s="34"/>
      <c r="AIN389" s="34"/>
      <c r="AIO389" s="34"/>
      <c r="AIP389" s="34"/>
      <c r="AIQ389" s="34"/>
      <c r="AIR389" s="34"/>
      <c r="AIS389" s="34"/>
      <c r="AIT389" s="34"/>
      <c r="AIU389" s="34"/>
      <c r="AIV389" s="34"/>
      <c r="AIW389" s="34"/>
      <c r="AIX389" s="34"/>
      <c r="AIY389" s="34"/>
      <c r="AIZ389" s="34"/>
      <c r="AJA389" s="34"/>
      <c r="AJB389" s="34"/>
      <c r="AJC389" s="34"/>
      <c r="AJD389" s="34"/>
      <c r="AJE389" s="34"/>
      <c r="AJF389" s="34"/>
      <c r="AJG389" s="34"/>
      <c r="AJH389" s="34"/>
      <c r="AJI389" s="34"/>
      <c r="AJJ389" s="34"/>
      <c r="AJK389" s="34"/>
      <c r="AJL389" s="34"/>
      <c r="AJM389" s="34"/>
      <c r="AJN389" s="34"/>
      <c r="AJO389" s="34"/>
      <c r="AJP389" s="34"/>
      <c r="AJQ389" s="34"/>
      <c r="AJR389" s="34"/>
      <c r="AJS389" s="34"/>
      <c r="AJT389" s="34"/>
      <c r="AJU389" s="34"/>
      <c r="AJV389" s="34"/>
      <c r="AJW389" s="34"/>
      <c r="AJX389" s="34"/>
      <c r="AJY389" s="34"/>
      <c r="AJZ389" s="34"/>
      <c r="AKA389" s="34"/>
      <c r="AKB389" s="34"/>
      <c r="AKC389" s="34"/>
      <c r="AKD389" s="34"/>
      <c r="AKE389" s="34"/>
      <c r="AKF389" s="34"/>
      <c r="AKG389" s="34"/>
      <c r="AKH389" s="34"/>
      <c r="AKI389" s="34"/>
      <c r="AKJ389" s="34"/>
      <c r="AKK389" s="34"/>
      <c r="AKL389" s="34"/>
      <c r="AKM389" s="34"/>
      <c r="AKN389" s="34"/>
      <c r="AKO389" s="34"/>
      <c r="AKP389" s="34"/>
      <c r="AKQ389" s="34"/>
      <c r="AKR389" s="34"/>
      <c r="AKS389" s="34"/>
      <c r="AKT389" s="34"/>
      <c r="AKU389" s="34"/>
      <c r="AKV389" s="34"/>
      <c r="AKW389" s="34"/>
      <c r="AKX389" s="34"/>
      <c r="AKY389" s="34"/>
      <c r="AKZ389" s="34"/>
      <c r="ALA389" s="34"/>
      <c r="ALB389" s="34"/>
      <c r="ALC389" s="34"/>
      <c r="ALD389" s="34"/>
      <c r="ALE389" s="34"/>
      <c r="ALF389" s="34"/>
      <c r="ALG389" s="34"/>
      <c r="ALH389" s="34"/>
      <c r="ALI389" s="34"/>
      <c r="ALJ389" s="34"/>
      <c r="ALK389" s="34"/>
      <c r="ALL389" s="34"/>
      <c r="ALM389" s="34"/>
      <c r="ALN389" s="34"/>
      <c r="ALO389" s="34"/>
      <c r="ALP389" s="34"/>
      <c r="ALQ389" s="34"/>
      <c r="ALR389" s="34"/>
      <c r="ALS389" s="34"/>
      <c r="ALT389" s="34"/>
      <c r="ALU389" s="34"/>
      <c r="ALV389" s="34"/>
      <c r="ALW389" s="34"/>
      <c r="ALX389" s="34"/>
      <c r="ALY389" s="34"/>
      <c r="ALZ389" s="34"/>
      <c r="AMA389" s="34"/>
      <c r="AMB389" s="34"/>
      <c r="AMC389" s="34"/>
      <c r="AMD389" s="34"/>
      <c r="AME389" s="34"/>
      <c r="AMF389" s="34"/>
      <c r="AMG389" s="34"/>
      <c r="AMH389" s="34"/>
      <c r="AMI389" s="34"/>
      <c r="AMJ389" s="34"/>
      <c r="AMK389" s="34"/>
      <c r="AML389" s="34"/>
      <c r="AMM389" s="34"/>
      <c r="AMN389" s="34"/>
      <c r="AMO389" s="34"/>
      <c r="AMP389" s="34"/>
      <c r="AMQ389" s="34"/>
      <c r="AMR389" s="34"/>
      <c r="AMS389" s="34"/>
      <c r="AMT389" s="34"/>
      <c r="AMU389" s="34"/>
      <c r="AMV389" s="34"/>
      <c r="AMW389" s="34"/>
      <c r="AMX389" s="34"/>
      <c r="AMY389" s="34"/>
      <c r="AMZ389" s="34"/>
      <c r="ANA389" s="34"/>
      <c r="ANB389" s="34"/>
      <c r="ANC389" s="34"/>
      <c r="AND389" s="34"/>
      <c r="ANE389" s="34"/>
      <c r="ANF389" s="34"/>
      <c r="ANG389" s="34"/>
      <c r="ANH389" s="34"/>
      <c r="ANI389" s="34"/>
      <c r="ANJ389" s="34"/>
      <c r="ANK389" s="34"/>
      <c r="ANL389" s="34"/>
      <c r="ANM389" s="34"/>
      <c r="ANN389" s="34"/>
      <c r="ANO389" s="34"/>
      <c r="ANP389" s="34"/>
      <c r="ANQ389" s="34"/>
      <c r="ANR389" s="34"/>
      <c r="ANS389" s="34"/>
      <c r="ANT389" s="34"/>
      <c r="ANU389" s="34"/>
      <c r="ANV389" s="34"/>
      <c r="ANW389" s="34"/>
      <c r="ANX389" s="34"/>
      <c r="ANY389" s="34"/>
      <c r="ANZ389" s="34"/>
      <c r="AOA389" s="34"/>
      <c r="AOB389" s="34"/>
      <c r="AOC389" s="34"/>
      <c r="AOD389" s="34"/>
      <c r="AOE389" s="34"/>
      <c r="AOF389" s="34"/>
      <c r="AOG389" s="34"/>
      <c r="AOH389" s="34"/>
      <c r="AOI389" s="34"/>
      <c r="AOJ389" s="34"/>
      <c r="AOK389" s="34"/>
      <c r="AOL389" s="34"/>
      <c r="AOM389" s="34"/>
      <c r="AON389" s="34"/>
      <c r="AOO389" s="34"/>
      <c r="AOP389" s="34"/>
      <c r="AOQ389" s="34"/>
      <c r="AOR389" s="34"/>
      <c r="AOS389" s="34"/>
      <c r="AOT389" s="34"/>
      <c r="AOU389" s="34"/>
      <c r="AOV389" s="34"/>
      <c r="AOW389" s="34"/>
      <c r="AOX389" s="34"/>
      <c r="AOY389" s="34"/>
      <c r="AOZ389" s="34"/>
      <c r="APA389" s="34"/>
      <c r="APB389" s="34"/>
      <c r="APC389" s="34"/>
      <c r="APD389" s="34"/>
      <c r="APE389" s="34"/>
      <c r="APF389" s="34"/>
      <c r="APG389" s="34"/>
      <c r="APH389" s="34"/>
      <c r="API389" s="34"/>
      <c r="APJ389" s="34"/>
      <c r="APK389" s="34"/>
      <c r="APL389" s="34"/>
      <c r="APM389" s="34"/>
      <c r="APN389" s="34"/>
      <c r="APO389" s="34"/>
      <c r="APP389" s="34"/>
      <c r="APQ389" s="34"/>
      <c r="APR389" s="34"/>
      <c r="APS389" s="34"/>
      <c r="APT389" s="34"/>
      <c r="APU389" s="34"/>
      <c r="APV389" s="34"/>
      <c r="APW389" s="34"/>
      <c r="APX389" s="34"/>
      <c r="APY389" s="34"/>
      <c r="APZ389" s="34"/>
      <c r="AQA389" s="34"/>
      <c r="AQB389" s="34"/>
      <c r="AQC389" s="34"/>
      <c r="AQD389" s="34"/>
      <c r="AQE389" s="34"/>
      <c r="AQF389" s="34"/>
      <c r="AQG389" s="34"/>
      <c r="AQH389" s="34"/>
      <c r="AQI389" s="34"/>
      <c r="AQJ389" s="34"/>
      <c r="AQK389" s="34"/>
      <c r="AQL389" s="34"/>
      <c r="AQM389" s="34"/>
      <c r="AQN389" s="34"/>
      <c r="AQO389" s="34"/>
      <c r="AQP389" s="34"/>
      <c r="AQQ389" s="34"/>
      <c r="AQR389" s="34"/>
      <c r="AQS389" s="34"/>
      <c r="AQT389" s="34"/>
      <c r="AQU389" s="34"/>
      <c r="AQV389" s="34"/>
      <c r="AQW389" s="34"/>
      <c r="AQX389" s="34"/>
      <c r="AQY389" s="34"/>
      <c r="AQZ389" s="34"/>
      <c r="ARA389" s="34"/>
      <c r="ARB389" s="34"/>
      <c r="ARC389" s="34"/>
      <c r="ARD389" s="34"/>
      <c r="ARE389" s="34"/>
      <c r="ARF389" s="34"/>
      <c r="ARG389" s="34"/>
      <c r="ARH389" s="34"/>
      <c r="ARI389" s="34"/>
      <c r="ARJ389" s="34"/>
      <c r="ARK389" s="34"/>
      <c r="ARL389" s="34"/>
      <c r="ARM389" s="34"/>
      <c r="ARN389" s="34"/>
      <c r="ARO389" s="34"/>
      <c r="ARP389" s="34"/>
      <c r="ARQ389" s="34"/>
      <c r="ARR389" s="34"/>
      <c r="ARS389" s="34"/>
      <c r="ART389" s="34"/>
      <c r="ARU389" s="34"/>
      <c r="ARV389" s="34"/>
      <c r="ARW389" s="34"/>
      <c r="ARX389" s="34"/>
      <c r="ARY389" s="34"/>
      <c r="ARZ389" s="34"/>
      <c r="ASA389" s="34"/>
      <c r="ASB389" s="34"/>
      <c r="ASC389" s="34"/>
      <c r="ASD389" s="34"/>
      <c r="ASE389" s="34"/>
      <c r="ASF389" s="34"/>
      <c r="ASG389" s="34"/>
      <c r="ASH389" s="34"/>
      <c r="ASI389" s="34"/>
      <c r="ASJ389" s="34"/>
      <c r="ASK389" s="34"/>
      <c r="ASL389" s="34"/>
      <c r="ASM389" s="34"/>
      <c r="ASN389" s="34"/>
      <c r="ASO389" s="34"/>
      <c r="ASP389" s="34"/>
      <c r="ASQ389" s="34"/>
      <c r="ASR389" s="34"/>
      <c r="ASS389" s="34"/>
      <c r="AST389" s="34"/>
      <c r="ASU389" s="34"/>
      <c r="ASV389" s="34"/>
      <c r="ASW389" s="34"/>
      <c r="ASX389" s="34"/>
      <c r="ASY389" s="34"/>
      <c r="ASZ389" s="34"/>
      <c r="ATA389" s="34"/>
      <c r="ATB389" s="34"/>
      <c r="ATC389" s="34"/>
      <c r="ATD389" s="34"/>
      <c r="ATE389" s="34"/>
      <c r="ATF389" s="34"/>
      <c r="ATG389" s="34"/>
      <c r="ATH389" s="34"/>
      <c r="ATI389" s="34"/>
      <c r="ATJ389" s="34"/>
      <c r="ATK389" s="34"/>
      <c r="ATL389" s="34"/>
      <c r="ATM389" s="34"/>
      <c r="ATN389" s="34"/>
      <c r="ATO389" s="34"/>
      <c r="ATP389" s="34"/>
      <c r="ATQ389" s="34"/>
      <c r="ATR389" s="34"/>
      <c r="ATS389" s="34"/>
      <c r="ATT389" s="34"/>
      <c r="ATU389" s="34"/>
      <c r="ATV389" s="34"/>
      <c r="ATW389" s="34"/>
      <c r="ATX389" s="34"/>
      <c r="ATY389" s="34"/>
      <c r="ATZ389" s="34"/>
      <c r="AUA389" s="34"/>
      <c r="AUB389" s="34"/>
      <c r="AUC389" s="34"/>
      <c r="AUD389" s="34"/>
      <c r="AUE389" s="34"/>
      <c r="AUF389" s="34"/>
      <c r="AUG389" s="34"/>
      <c r="AUH389" s="34"/>
      <c r="AUI389" s="34"/>
      <c r="AUJ389" s="34"/>
      <c r="AUK389" s="34"/>
      <c r="AUL389" s="34"/>
      <c r="AUM389" s="34"/>
      <c r="AUN389" s="34"/>
      <c r="AUO389" s="34"/>
      <c r="AUP389" s="34"/>
      <c r="AUQ389" s="34"/>
      <c r="AUR389" s="34"/>
      <c r="AUS389" s="34"/>
      <c r="AUT389" s="34"/>
      <c r="AUU389" s="34"/>
      <c r="AUV389" s="34"/>
      <c r="AUW389" s="34"/>
      <c r="AUX389" s="34"/>
      <c r="AUY389" s="34"/>
      <c r="AUZ389" s="34"/>
      <c r="AVA389" s="34"/>
      <c r="AVB389" s="34"/>
      <c r="AVC389" s="34"/>
      <c r="AVD389" s="34"/>
      <c r="AVE389" s="34"/>
      <c r="AVF389" s="34"/>
      <c r="AVG389" s="34"/>
      <c r="AVH389" s="34"/>
      <c r="AVI389" s="34"/>
      <c r="AVJ389" s="34"/>
      <c r="AVK389" s="34"/>
      <c r="AVL389" s="34"/>
      <c r="AVM389" s="34"/>
      <c r="AVN389" s="34"/>
      <c r="AVO389" s="34"/>
      <c r="AVP389" s="34"/>
      <c r="AVQ389" s="34"/>
      <c r="AVR389" s="34"/>
      <c r="AVS389" s="34"/>
      <c r="AVT389" s="34"/>
      <c r="AVU389" s="34"/>
      <c r="AVV389" s="34"/>
      <c r="AVW389" s="34"/>
      <c r="AVX389" s="34"/>
      <c r="AVY389" s="34"/>
      <c r="AVZ389" s="34"/>
      <c r="AWA389" s="34"/>
      <c r="AWB389" s="34"/>
      <c r="AWC389" s="34"/>
      <c r="AWD389" s="34"/>
      <c r="AWE389" s="34"/>
      <c r="AWF389" s="34"/>
      <c r="AWG389" s="34"/>
      <c r="AWH389" s="34"/>
      <c r="AWI389" s="34"/>
      <c r="AWJ389" s="34"/>
      <c r="AWK389" s="34"/>
      <c r="AWL389" s="34"/>
      <c r="AWM389" s="34"/>
      <c r="AWN389" s="34"/>
      <c r="AWO389" s="34"/>
      <c r="AWP389" s="34"/>
      <c r="AWQ389" s="34"/>
      <c r="AWR389" s="34"/>
      <c r="AWS389" s="34"/>
      <c r="AWT389" s="34"/>
      <c r="AWU389" s="34"/>
      <c r="AWV389" s="34"/>
      <c r="AWW389" s="34"/>
      <c r="AWX389" s="34"/>
      <c r="AWY389" s="34"/>
      <c r="AWZ389" s="34"/>
      <c r="AXA389" s="34"/>
      <c r="AXB389" s="34"/>
      <c r="AXC389" s="34"/>
      <c r="AXD389" s="34"/>
      <c r="AXE389" s="34"/>
      <c r="AXF389" s="34"/>
      <c r="AXG389" s="34"/>
      <c r="AXH389" s="34"/>
      <c r="AXI389" s="34"/>
      <c r="AXJ389" s="34"/>
      <c r="AXK389" s="34"/>
      <c r="AXL389" s="34"/>
      <c r="AXM389" s="34"/>
      <c r="AXN389" s="34"/>
      <c r="AXO389" s="34"/>
      <c r="AXP389" s="34"/>
      <c r="AXQ389" s="34"/>
      <c r="AXR389" s="34"/>
      <c r="AXS389" s="34"/>
      <c r="AXT389" s="34"/>
      <c r="AXU389" s="34"/>
      <c r="AXV389" s="34"/>
      <c r="AXW389" s="34"/>
      <c r="AXX389" s="34"/>
      <c r="AXY389" s="34"/>
      <c r="AXZ389" s="34"/>
      <c r="AYA389" s="34"/>
      <c r="AYB389" s="34"/>
      <c r="AYC389" s="34"/>
      <c r="AYD389" s="34"/>
      <c r="AYE389" s="34"/>
      <c r="AYF389" s="34"/>
      <c r="AYG389" s="34"/>
      <c r="AYH389" s="34"/>
      <c r="AYI389" s="34"/>
      <c r="AYJ389" s="34"/>
      <c r="AYK389" s="34"/>
      <c r="AYL389" s="34"/>
      <c r="AYM389" s="34"/>
      <c r="AYN389" s="34"/>
      <c r="AYO389" s="34"/>
      <c r="AYP389" s="34"/>
      <c r="AYQ389" s="34"/>
      <c r="AYR389" s="34"/>
      <c r="AYS389" s="34"/>
      <c r="AYT389" s="34"/>
      <c r="AYU389" s="34"/>
      <c r="AYV389" s="34"/>
      <c r="AYW389" s="34"/>
      <c r="AYX389" s="34"/>
      <c r="AYY389" s="34"/>
      <c r="AYZ389" s="34"/>
      <c r="AZA389" s="34"/>
      <c r="AZB389" s="34"/>
      <c r="AZC389" s="34"/>
      <c r="AZD389" s="34"/>
      <c r="AZE389" s="34"/>
      <c r="AZF389" s="34"/>
      <c r="AZG389" s="34"/>
      <c r="AZH389" s="34"/>
      <c r="AZI389" s="34"/>
      <c r="AZJ389" s="34"/>
      <c r="AZK389" s="34"/>
      <c r="AZL389" s="34"/>
      <c r="AZM389" s="34"/>
      <c r="AZN389" s="34"/>
      <c r="AZO389" s="34"/>
      <c r="AZP389" s="34"/>
      <c r="AZQ389" s="34"/>
      <c r="AZR389" s="34"/>
      <c r="AZS389" s="34"/>
      <c r="AZT389" s="34"/>
      <c r="AZU389" s="34"/>
      <c r="AZV389" s="34"/>
      <c r="AZW389" s="34"/>
      <c r="AZX389" s="34"/>
      <c r="AZY389" s="34"/>
      <c r="AZZ389" s="34"/>
      <c r="BAA389" s="34"/>
      <c r="BAB389" s="34"/>
      <c r="BAC389" s="34"/>
      <c r="BAD389" s="34"/>
      <c r="BAE389" s="34"/>
      <c r="BAF389" s="34"/>
      <c r="BAG389" s="34"/>
      <c r="BAH389" s="34"/>
      <c r="BAI389" s="34"/>
      <c r="BAJ389" s="34"/>
      <c r="BAK389" s="34"/>
      <c r="BAL389" s="34"/>
      <c r="BAM389" s="34"/>
      <c r="BAN389" s="34"/>
      <c r="BAO389" s="34"/>
      <c r="BAP389" s="34"/>
      <c r="BAQ389" s="34"/>
      <c r="BAR389" s="34"/>
      <c r="BAS389" s="34"/>
      <c r="BAT389" s="34"/>
      <c r="BAU389" s="34"/>
      <c r="BAV389" s="34"/>
      <c r="BAW389" s="34"/>
      <c r="BAX389" s="34"/>
      <c r="BAY389" s="34"/>
      <c r="BAZ389" s="34"/>
      <c r="BBA389" s="34"/>
      <c r="BBB389" s="34"/>
      <c r="BBC389" s="34"/>
      <c r="BBD389" s="34"/>
      <c r="BBE389" s="34"/>
      <c r="BBF389" s="34"/>
      <c r="BBG389" s="34"/>
      <c r="BBH389" s="34"/>
      <c r="BBI389" s="34"/>
      <c r="BBJ389" s="34"/>
      <c r="BBK389" s="34"/>
      <c r="BBL389" s="34"/>
      <c r="BBM389" s="34"/>
      <c r="BBN389" s="34"/>
      <c r="BBO389" s="34"/>
      <c r="BBP389" s="34"/>
      <c r="BBQ389" s="34"/>
      <c r="BBR389" s="34"/>
      <c r="BBS389" s="34"/>
      <c r="BBT389" s="34"/>
      <c r="BBU389" s="34"/>
      <c r="BBV389" s="34"/>
      <c r="BBW389" s="34"/>
      <c r="BBX389" s="34"/>
      <c r="BBY389" s="34"/>
      <c r="BBZ389" s="34"/>
      <c r="BCA389" s="34"/>
      <c r="BCB389" s="34"/>
      <c r="BCC389" s="34"/>
      <c r="BCD389" s="34"/>
      <c r="BCE389" s="34"/>
      <c r="BCF389" s="34"/>
      <c r="BCG389" s="34"/>
      <c r="BCH389" s="34"/>
      <c r="BCI389" s="34"/>
      <c r="BCJ389" s="34"/>
      <c r="BCK389" s="34"/>
      <c r="BCL389" s="34"/>
      <c r="BCM389" s="34"/>
      <c r="BCN389" s="34"/>
      <c r="BCO389" s="34"/>
      <c r="BCP389" s="34"/>
      <c r="BCQ389" s="34"/>
      <c r="BCR389" s="34"/>
      <c r="BCS389" s="34"/>
      <c r="BCT389" s="34"/>
      <c r="BCU389" s="34"/>
      <c r="BCV389" s="34"/>
      <c r="BCW389" s="34"/>
      <c r="BCX389" s="34"/>
      <c r="BCY389" s="34"/>
      <c r="BCZ389" s="34"/>
      <c r="BDA389" s="34"/>
      <c r="BDB389" s="34"/>
      <c r="BDC389" s="34"/>
      <c r="BDD389" s="34"/>
      <c r="BDE389" s="34"/>
      <c r="BDF389" s="34"/>
      <c r="BDG389" s="34"/>
      <c r="BDH389" s="34"/>
      <c r="BDI389" s="34"/>
      <c r="BDJ389" s="34"/>
      <c r="BDK389" s="34"/>
      <c r="BDL389" s="34"/>
      <c r="BDM389" s="34"/>
      <c r="BDN389" s="34"/>
      <c r="BDO389" s="34"/>
      <c r="BDP389" s="34"/>
      <c r="BDQ389" s="34"/>
      <c r="BDR389" s="34"/>
      <c r="BDS389" s="34"/>
      <c r="BDT389" s="34"/>
      <c r="BDU389" s="34"/>
      <c r="BDV389" s="34"/>
      <c r="BDW389" s="34"/>
      <c r="BDX389" s="34"/>
      <c r="BDY389" s="34"/>
      <c r="BDZ389" s="34"/>
      <c r="BEA389" s="34"/>
      <c r="BEB389" s="34"/>
      <c r="BEC389" s="34"/>
      <c r="BED389" s="34"/>
      <c r="BEE389" s="34"/>
      <c r="BEF389" s="34"/>
      <c r="BEG389" s="34"/>
      <c r="BEH389" s="34"/>
      <c r="BEI389" s="34"/>
      <c r="BEJ389" s="34"/>
      <c r="BEK389" s="34"/>
      <c r="BEL389" s="34"/>
      <c r="BEM389" s="34"/>
      <c r="BEN389" s="34"/>
      <c r="BEO389" s="34"/>
      <c r="BEP389" s="34"/>
      <c r="BEQ389" s="34"/>
      <c r="BER389" s="34"/>
      <c r="BES389" s="34"/>
      <c r="BET389" s="34"/>
      <c r="BEU389" s="34"/>
      <c r="BEV389" s="34"/>
      <c r="BEW389" s="34"/>
      <c r="BEX389" s="34"/>
      <c r="BEY389" s="34"/>
      <c r="BEZ389" s="34"/>
      <c r="BFA389" s="34"/>
      <c r="BFB389" s="34"/>
      <c r="BFC389" s="34"/>
      <c r="BFD389" s="34"/>
      <c r="BFE389" s="34"/>
      <c r="BFF389" s="34"/>
      <c r="BFG389" s="34"/>
      <c r="BFH389" s="34"/>
      <c r="BFI389" s="34"/>
      <c r="BFJ389" s="34"/>
      <c r="BFK389" s="34"/>
      <c r="BFL389" s="34"/>
      <c r="BFM389" s="34"/>
      <c r="BFN389" s="34"/>
      <c r="BFO389" s="34"/>
      <c r="BFP389" s="34"/>
      <c r="BFQ389" s="34"/>
      <c r="BFR389" s="34"/>
      <c r="BFS389" s="34"/>
      <c r="BFT389" s="34"/>
      <c r="BFU389" s="34"/>
      <c r="BFV389" s="34"/>
      <c r="BFW389" s="34"/>
      <c r="BFX389" s="34"/>
      <c r="BFY389" s="34"/>
      <c r="BFZ389" s="34"/>
      <c r="BGA389" s="34"/>
      <c r="BGB389" s="34"/>
      <c r="BGC389" s="34"/>
      <c r="BGD389" s="34"/>
      <c r="BGE389" s="34"/>
      <c r="BGF389" s="34"/>
      <c r="BGG389" s="34"/>
      <c r="BGH389" s="34"/>
      <c r="BGI389" s="34"/>
      <c r="BGJ389" s="34"/>
      <c r="BGK389" s="34"/>
      <c r="BGL389" s="34"/>
      <c r="BGM389" s="34"/>
      <c r="BGN389" s="34"/>
      <c r="BGO389" s="34"/>
      <c r="BGP389" s="34"/>
      <c r="BGQ389" s="34"/>
      <c r="BGR389" s="34"/>
      <c r="BGS389" s="34"/>
      <c r="BGT389" s="34"/>
      <c r="BGU389" s="34"/>
      <c r="BGV389" s="34"/>
      <c r="BGW389" s="34"/>
      <c r="BGX389" s="34"/>
      <c r="BGY389" s="34"/>
      <c r="BGZ389" s="34"/>
      <c r="BHA389" s="34"/>
      <c r="BHB389" s="34"/>
      <c r="BHC389" s="34"/>
      <c r="BHD389" s="34"/>
      <c r="BHE389" s="34"/>
      <c r="BHF389" s="34"/>
      <c r="BHG389" s="34"/>
      <c r="BHH389" s="34"/>
      <c r="BHI389" s="34"/>
      <c r="BHJ389" s="34"/>
      <c r="BHK389" s="34"/>
      <c r="BHL389" s="34"/>
      <c r="BHM389" s="34"/>
      <c r="BHN389" s="34"/>
      <c r="BHO389" s="34"/>
      <c r="BHP389" s="34"/>
      <c r="BHQ389" s="34"/>
      <c r="BHR389" s="34"/>
      <c r="BHS389" s="34"/>
      <c r="BHT389" s="34"/>
      <c r="BHU389" s="34"/>
      <c r="BHV389" s="34"/>
      <c r="BHW389" s="34"/>
      <c r="BHX389" s="34"/>
      <c r="BHY389" s="34"/>
      <c r="BHZ389" s="34"/>
      <c r="BIA389" s="34"/>
      <c r="BIB389" s="34"/>
      <c r="BIC389" s="34"/>
      <c r="BID389" s="34"/>
      <c r="BIE389" s="34"/>
      <c r="BIF389" s="34"/>
      <c r="BIG389" s="34"/>
      <c r="BIH389" s="34"/>
      <c r="BII389" s="34"/>
      <c r="BIJ389" s="34"/>
      <c r="BIK389" s="34"/>
      <c r="BIL389" s="34"/>
      <c r="BIM389" s="34"/>
      <c r="BIN389" s="34"/>
      <c r="BIO389" s="34"/>
      <c r="BIP389" s="34"/>
      <c r="BIQ389" s="34"/>
      <c r="BIR389" s="34"/>
      <c r="BIS389" s="34"/>
      <c r="BIT389" s="34"/>
      <c r="BIU389" s="34"/>
      <c r="BIV389" s="34"/>
      <c r="BIW389" s="34"/>
      <c r="BIX389" s="34"/>
      <c r="BIY389" s="34"/>
      <c r="BIZ389" s="34"/>
      <c r="BJA389" s="34"/>
      <c r="BJB389" s="34"/>
      <c r="BJC389" s="34"/>
      <c r="BJD389" s="34"/>
      <c r="BJE389" s="34"/>
      <c r="BJF389" s="34"/>
      <c r="BJG389" s="34"/>
      <c r="BJH389" s="34"/>
      <c r="BJI389" s="34"/>
      <c r="BJJ389" s="34"/>
      <c r="BJK389" s="34"/>
      <c r="BJL389" s="34"/>
      <c r="BJM389" s="34"/>
      <c r="BJN389" s="34"/>
      <c r="BJO389" s="34"/>
      <c r="BJP389" s="34"/>
      <c r="BJQ389" s="34"/>
      <c r="BJR389" s="34"/>
      <c r="BJS389" s="34"/>
      <c r="BJT389" s="34"/>
      <c r="BJU389" s="34"/>
      <c r="BJV389" s="34"/>
      <c r="BJW389" s="34"/>
      <c r="BJX389" s="34"/>
      <c r="BJY389" s="34"/>
      <c r="BJZ389" s="34"/>
      <c r="BKA389" s="34"/>
      <c r="BKB389" s="34"/>
      <c r="BKC389" s="34"/>
      <c r="BKD389" s="34"/>
      <c r="BKE389" s="34"/>
      <c r="BKF389" s="34"/>
      <c r="BKG389" s="34"/>
      <c r="BKH389" s="34"/>
      <c r="BKI389" s="34"/>
      <c r="BKJ389" s="34"/>
      <c r="BKK389" s="34"/>
      <c r="BKL389" s="34"/>
      <c r="BKM389" s="34"/>
      <c r="BKN389" s="34"/>
      <c r="BKO389" s="34"/>
      <c r="BKP389" s="34"/>
      <c r="BKQ389" s="34"/>
      <c r="BKR389" s="34"/>
      <c r="BKS389" s="34"/>
      <c r="BKT389" s="34"/>
      <c r="BKU389" s="34"/>
      <c r="BKV389" s="34"/>
      <c r="BKW389" s="34"/>
      <c r="BKX389" s="34"/>
      <c r="BKY389" s="34"/>
      <c r="BKZ389" s="34"/>
      <c r="BLA389" s="34"/>
      <c r="BLB389" s="34"/>
      <c r="BLC389" s="34"/>
      <c r="BLD389" s="34"/>
      <c r="BLE389" s="34"/>
      <c r="BLF389" s="34"/>
      <c r="BLG389" s="34"/>
      <c r="BLH389" s="34"/>
      <c r="BLI389" s="34"/>
      <c r="BLJ389" s="34"/>
      <c r="BLK389" s="34"/>
      <c r="BLL389" s="34"/>
      <c r="BLM389" s="34"/>
      <c r="BLN389" s="34"/>
      <c r="BLO389" s="34"/>
      <c r="BLP389" s="34"/>
      <c r="BLQ389" s="34"/>
      <c r="BLR389" s="34"/>
      <c r="BLS389" s="34"/>
      <c r="BLT389" s="34"/>
      <c r="BLU389" s="34"/>
      <c r="BLV389" s="34"/>
      <c r="BLW389" s="34"/>
      <c r="BLX389" s="34"/>
      <c r="BLY389" s="34"/>
      <c r="BLZ389" s="34"/>
      <c r="BMA389" s="34"/>
      <c r="BMB389" s="34"/>
      <c r="BMC389" s="34"/>
      <c r="BMD389" s="34"/>
      <c r="BME389" s="34"/>
      <c r="BMF389" s="34"/>
      <c r="BMG389" s="34"/>
      <c r="BMH389" s="34"/>
      <c r="BMI389" s="34"/>
      <c r="BMJ389" s="34"/>
      <c r="BMK389" s="34"/>
      <c r="BML389" s="34"/>
      <c r="BMM389" s="34"/>
      <c r="BMN389" s="34"/>
      <c r="BMO389" s="34"/>
      <c r="BMP389" s="34"/>
      <c r="BMQ389" s="34"/>
      <c r="BMR389" s="34"/>
      <c r="BMS389" s="34"/>
      <c r="BMT389" s="34"/>
      <c r="BMU389" s="34"/>
      <c r="BMV389" s="34"/>
      <c r="BMW389" s="34"/>
      <c r="BMX389" s="34"/>
      <c r="BMY389" s="34"/>
      <c r="BMZ389" s="34"/>
      <c r="BNA389" s="34"/>
      <c r="BNB389" s="34"/>
      <c r="BNC389" s="34"/>
      <c r="BND389" s="34"/>
      <c r="BNE389" s="34"/>
      <c r="BNF389" s="34"/>
      <c r="BNG389" s="34"/>
      <c r="BNH389" s="34"/>
      <c r="BNI389" s="34"/>
      <c r="BNJ389" s="34"/>
      <c r="BNK389" s="34"/>
      <c r="BNL389" s="34"/>
      <c r="BNM389" s="34"/>
      <c r="BNN389" s="34"/>
      <c r="BNO389" s="34"/>
      <c r="BNP389" s="34"/>
      <c r="BNQ389" s="34"/>
      <c r="BNR389" s="34"/>
      <c r="BNS389" s="34"/>
      <c r="BNT389" s="34"/>
      <c r="BNU389" s="34"/>
      <c r="BNV389" s="34"/>
      <c r="BNW389" s="34"/>
      <c r="BNX389" s="34"/>
      <c r="BNY389" s="34"/>
      <c r="BNZ389" s="34"/>
      <c r="BOA389" s="34"/>
      <c r="BOB389" s="34"/>
      <c r="BOC389" s="34"/>
      <c r="BOD389" s="34"/>
      <c r="BOE389" s="34"/>
      <c r="BOF389" s="34"/>
      <c r="BOG389" s="34"/>
      <c r="BOH389" s="34"/>
      <c r="BOI389" s="34"/>
      <c r="BOJ389" s="34"/>
      <c r="BOK389" s="34"/>
      <c r="BOL389" s="34"/>
      <c r="BOM389" s="34"/>
      <c r="BON389" s="34"/>
      <c r="BOO389" s="34"/>
      <c r="BOP389" s="34"/>
      <c r="BOQ389" s="34"/>
      <c r="BOR389" s="34"/>
      <c r="BOS389" s="34"/>
      <c r="BOT389" s="34"/>
      <c r="BOU389" s="34"/>
      <c r="BOV389" s="34"/>
      <c r="BOW389" s="34"/>
      <c r="BOX389" s="34"/>
      <c r="BOY389" s="34"/>
      <c r="BOZ389" s="34"/>
      <c r="BPA389" s="34"/>
      <c r="BPB389" s="34"/>
      <c r="BPC389" s="34"/>
      <c r="BPD389" s="34"/>
      <c r="BPE389" s="34"/>
      <c r="BPF389" s="34"/>
      <c r="BPG389" s="34"/>
      <c r="BPH389" s="34"/>
      <c r="BPI389" s="34"/>
      <c r="BPJ389" s="34"/>
      <c r="BPK389" s="34"/>
      <c r="BPL389" s="34"/>
      <c r="BPM389" s="34"/>
      <c r="BPN389" s="34"/>
      <c r="BPO389" s="34"/>
      <c r="BPP389" s="34"/>
      <c r="BPQ389" s="34"/>
      <c r="BPR389" s="34"/>
      <c r="BPS389" s="34"/>
      <c r="BPT389" s="34"/>
      <c r="BPU389" s="34"/>
      <c r="BPV389" s="34"/>
      <c r="BPW389" s="34"/>
      <c r="BPX389" s="34"/>
      <c r="BPY389" s="34"/>
      <c r="BPZ389" s="34"/>
      <c r="BQA389" s="34"/>
      <c r="BQB389" s="34"/>
      <c r="BQC389" s="34"/>
      <c r="BQD389" s="34"/>
      <c r="BQE389" s="34"/>
      <c r="BQF389" s="34"/>
      <c r="BQG389" s="34"/>
      <c r="BQH389" s="34"/>
      <c r="BQI389" s="34"/>
      <c r="BQJ389" s="34"/>
      <c r="BQK389" s="34"/>
      <c r="BQL389" s="34"/>
      <c r="BQM389" s="34"/>
      <c r="BQN389" s="34"/>
      <c r="BQO389" s="34"/>
      <c r="BQP389" s="34"/>
      <c r="BQQ389" s="34"/>
      <c r="BQR389" s="34"/>
      <c r="BQS389" s="34"/>
      <c r="BQT389" s="34"/>
      <c r="BQU389" s="34"/>
      <c r="BQV389" s="34"/>
      <c r="BQW389" s="34"/>
      <c r="BQX389" s="34"/>
      <c r="BQY389" s="34"/>
      <c r="BQZ389" s="34"/>
      <c r="BRA389" s="34"/>
      <c r="BRB389" s="34"/>
      <c r="BRC389" s="34"/>
      <c r="BRD389" s="34"/>
      <c r="BRE389" s="34"/>
      <c r="BRF389" s="34"/>
      <c r="BRG389" s="34"/>
      <c r="BRH389" s="34"/>
      <c r="BRI389" s="34"/>
      <c r="BRJ389" s="34"/>
      <c r="BRK389" s="34"/>
      <c r="BRL389" s="34"/>
      <c r="BRM389" s="34"/>
      <c r="BRN389" s="34"/>
      <c r="BRO389" s="34"/>
      <c r="BRP389" s="34"/>
      <c r="BRQ389" s="34"/>
      <c r="BRR389" s="34"/>
      <c r="BRS389" s="34"/>
      <c r="BRT389" s="34"/>
      <c r="BRU389" s="34"/>
      <c r="BRV389" s="34"/>
      <c r="BRW389" s="34"/>
      <c r="BRX389" s="34"/>
      <c r="BRY389" s="34"/>
      <c r="BRZ389" s="34"/>
      <c r="BSA389" s="34"/>
      <c r="BSB389" s="34"/>
      <c r="BSC389" s="34"/>
      <c r="BSD389" s="34"/>
      <c r="BSE389" s="34"/>
      <c r="BSF389" s="34"/>
      <c r="BSG389" s="34"/>
      <c r="BSH389" s="34"/>
      <c r="BSI389" s="34"/>
      <c r="BSJ389" s="34"/>
      <c r="BSK389" s="34"/>
      <c r="BSL389" s="34"/>
      <c r="BSM389" s="34"/>
      <c r="BSN389" s="34"/>
      <c r="BSO389" s="34"/>
      <c r="BSP389" s="34"/>
      <c r="BSQ389" s="34"/>
      <c r="BSR389" s="34"/>
      <c r="BSS389" s="34"/>
      <c r="BST389" s="34"/>
      <c r="BSU389" s="34"/>
      <c r="BSV389" s="34"/>
      <c r="BSW389" s="34"/>
      <c r="BSX389" s="34"/>
      <c r="BSY389" s="34"/>
      <c r="BSZ389" s="34"/>
      <c r="BTA389" s="34"/>
      <c r="BTB389" s="34"/>
      <c r="BTC389" s="34"/>
      <c r="BTD389" s="34"/>
      <c r="BTE389" s="34"/>
      <c r="BTF389" s="34"/>
      <c r="BTG389" s="34"/>
      <c r="BTH389" s="34"/>
      <c r="BTI389" s="34"/>
      <c r="BTJ389" s="34"/>
      <c r="BTK389" s="34"/>
      <c r="BTL389" s="34"/>
      <c r="BTM389" s="34"/>
      <c r="BTN389" s="34"/>
      <c r="BTO389" s="34"/>
      <c r="BTP389" s="34"/>
      <c r="BTQ389" s="34"/>
      <c r="BTR389" s="34"/>
      <c r="BTS389" s="34"/>
      <c r="BTT389" s="34"/>
      <c r="BTU389" s="34"/>
      <c r="BTV389" s="34"/>
      <c r="BTW389" s="34"/>
      <c r="BTX389" s="34"/>
      <c r="BTY389" s="34"/>
      <c r="BTZ389" s="34"/>
      <c r="BUA389" s="34"/>
      <c r="BUB389" s="34"/>
      <c r="BUC389" s="34"/>
      <c r="BUD389" s="34"/>
      <c r="BUE389" s="34"/>
      <c r="BUF389" s="34"/>
      <c r="BUG389" s="34"/>
      <c r="BUH389" s="34"/>
      <c r="BUI389" s="34"/>
      <c r="BUJ389" s="34"/>
      <c r="BUK389" s="34"/>
      <c r="BUL389" s="34"/>
      <c r="BUM389" s="34"/>
      <c r="BUN389" s="34"/>
      <c r="BUO389" s="34"/>
      <c r="BUP389" s="34"/>
      <c r="BUQ389" s="34"/>
      <c r="BUR389" s="34"/>
      <c r="BUS389" s="34"/>
      <c r="BUT389" s="34"/>
      <c r="BUU389" s="34"/>
      <c r="BUV389" s="34"/>
      <c r="BUW389" s="34"/>
      <c r="BUX389" s="34"/>
      <c r="BUY389" s="34"/>
      <c r="BUZ389" s="34"/>
      <c r="BVA389" s="34"/>
      <c r="BVB389" s="34"/>
      <c r="BVC389" s="34"/>
      <c r="BVD389" s="34"/>
      <c r="BVE389" s="34"/>
      <c r="BVF389" s="34"/>
      <c r="BVG389" s="34"/>
      <c r="BVH389" s="34"/>
      <c r="BVI389" s="34"/>
      <c r="BVJ389" s="34"/>
      <c r="BVK389" s="34"/>
      <c r="BVL389" s="34"/>
      <c r="BVM389" s="34"/>
      <c r="BVN389" s="34"/>
      <c r="BVO389" s="34"/>
      <c r="BVP389" s="34"/>
      <c r="BVQ389" s="34"/>
      <c r="BVR389" s="34"/>
      <c r="BVS389" s="34"/>
      <c r="BVT389" s="34"/>
      <c r="BVU389" s="34"/>
      <c r="BVV389" s="34"/>
      <c r="BVW389" s="34"/>
      <c r="BVX389" s="34"/>
      <c r="BVY389" s="34"/>
      <c r="BVZ389" s="34"/>
      <c r="BWA389" s="34"/>
      <c r="BWB389" s="34"/>
      <c r="BWC389" s="34"/>
      <c r="BWD389" s="34"/>
      <c r="BWE389" s="34"/>
      <c r="BWF389" s="34"/>
      <c r="BWG389" s="34"/>
      <c r="BWH389" s="34"/>
      <c r="BWI389" s="34"/>
      <c r="BWJ389" s="34"/>
      <c r="BWK389" s="34"/>
      <c r="BWL389" s="34"/>
      <c r="BWM389" s="34"/>
      <c r="BWN389" s="34"/>
      <c r="BWO389" s="34"/>
      <c r="BWP389" s="34"/>
      <c r="BWQ389" s="34"/>
      <c r="BWR389" s="34"/>
      <c r="BWS389" s="34"/>
      <c r="BWT389" s="34"/>
      <c r="BWU389" s="34"/>
      <c r="BWV389" s="34"/>
      <c r="BWW389" s="34"/>
      <c r="BWX389" s="34"/>
      <c r="BWY389" s="34"/>
      <c r="BWZ389" s="34"/>
      <c r="BXA389" s="34"/>
      <c r="BXB389" s="34"/>
      <c r="BXC389" s="34"/>
      <c r="BXD389" s="34"/>
      <c r="BXE389" s="34"/>
      <c r="BXF389" s="34"/>
      <c r="BXG389" s="34"/>
      <c r="BXH389" s="34"/>
      <c r="BXI389" s="34"/>
      <c r="BXJ389" s="34"/>
      <c r="BXK389" s="34"/>
      <c r="BXL389" s="34"/>
      <c r="BXM389" s="34"/>
      <c r="BXN389" s="34"/>
      <c r="BXO389" s="34"/>
      <c r="BXP389" s="34"/>
      <c r="BXQ389" s="34"/>
      <c r="BXR389" s="34"/>
      <c r="BXS389" s="34"/>
      <c r="BXT389" s="34"/>
      <c r="BXU389" s="34"/>
      <c r="BXV389" s="34"/>
      <c r="BXW389" s="34"/>
      <c r="BXX389" s="34"/>
      <c r="BXY389" s="34"/>
      <c r="BXZ389" s="34"/>
      <c r="BYA389" s="34"/>
      <c r="BYB389" s="34"/>
      <c r="BYC389" s="34"/>
      <c r="BYD389" s="34"/>
      <c r="BYE389" s="34"/>
      <c r="BYF389" s="34"/>
      <c r="BYG389" s="34"/>
      <c r="BYH389" s="34"/>
      <c r="BYI389" s="34"/>
      <c r="BYJ389" s="34"/>
      <c r="BYK389" s="34"/>
      <c r="BYL389" s="34"/>
      <c r="BYM389" s="34"/>
      <c r="BYN389" s="34"/>
      <c r="BYO389" s="34"/>
      <c r="BYP389" s="34"/>
      <c r="BYQ389" s="34"/>
      <c r="BYR389" s="34"/>
      <c r="BYS389" s="34"/>
      <c r="BYT389" s="34"/>
      <c r="BYU389" s="34"/>
      <c r="BYV389" s="34"/>
      <c r="BYW389" s="34"/>
      <c r="BYX389" s="34"/>
      <c r="BYY389" s="34"/>
      <c r="BYZ389" s="34"/>
      <c r="BZA389" s="34"/>
      <c r="BZB389" s="34"/>
      <c r="BZC389" s="34"/>
      <c r="BZD389" s="34"/>
      <c r="BZE389" s="34"/>
      <c r="BZF389" s="34"/>
      <c r="BZG389" s="34"/>
      <c r="BZH389" s="34"/>
      <c r="BZI389" s="34"/>
      <c r="BZJ389" s="34"/>
      <c r="BZK389" s="34"/>
      <c r="BZL389" s="34"/>
      <c r="BZM389" s="34"/>
      <c r="BZN389" s="34"/>
      <c r="BZO389" s="34"/>
      <c r="BZP389" s="34"/>
      <c r="BZQ389" s="34"/>
      <c r="BZR389" s="34"/>
      <c r="BZS389" s="34"/>
      <c r="BZT389" s="34"/>
      <c r="BZU389" s="34"/>
      <c r="BZV389" s="34"/>
      <c r="BZW389" s="34"/>
      <c r="BZX389" s="34"/>
      <c r="BZY389" s="34"/>
      <c r="BZZ389" s="34"/>
      <c r="CAA389" s="34"/>
      <c r="CAB389" s="34"/>
      <c r="CAC389" s="34"/>
      <c r="CAD389" s="34"/>
      <c r="CAE389" s="34"/>
      <c r="CAF389" s="34"/>
      <c r="CAG389" s="34"/>
      <c r="CAH389" s="34"/>
      <c r="CAI389" s="34"/>
      <c r="CAJ389" s="34"/>
      <c r="CAK389" s="34"/>
      <c r="CAL389" s="34"/>
      <c r="CAM389" s="34"/>
      <c r="CAN389" s="34"/>
      <c r="CAO389" s="34"/>
      <c r="CAP389" s="34"/>
      <c r="CAQ389" s="34"/>
      <c r="CAR389" s="34"/>
      <c r="CAS389" s="34"/>
      <c r="CAT389" s="34"/>
      <c r="CAU389" s="34"/>
      <c r="CAV389" s="34"/>
      <c r="CAW389" s="34"/>
      <c r="CAX389" s="34"/>
      <c r="CAY389" s="34"/>
      <c r="CAZ389" s="34"/>
      <c r="CBA389" s="34"/>
      <c r="CBB389" s="34"/>
      <c r="CBC389" s="34"/>
      <c r="CBD389" s="34"/>
      <c r="CBE389" s="34"/>
      <c r="CBF389" s="34"/>
      <c r="CBG389" s="34"/>
      <c r="CBH389" s="34"/>
      <c r="CBI389" s="34"/>
      <c r="CBJ389" s="34"/>
      <c r="CBK389" s="34"/>
      <c r="CBL389" s="34"/>
      <c r="CBM389" s="34"/>
      <c r="CBN389" s="34"/>
      <c r="CBO389" s="34"/>
      <c r="CBP389" s="34"/>
      <c r="CBQ389" s="34"/>
      <c r="CBR389" s="34"/>
      <c r="CBS389" s="34"/>
      <c r="CBT389" s="34"/>
      <c r="CBU389" s="34"/>
      <c r="CBV389" s="34"/>
      <c r="CBW389" s="34"/>
      <c r="CBX389" s="34"/>
      <c r="CBY389" s="34"/>
      <c r="CBZ389" s="34"/>
      <c r="CCA389" s="34"/>
      <c r="CCB389" s="34"/>
      <c r="CCC389" s="34"/>
      <c r="CCD389" s="34"/>
      <c r="CCE389" s="34"/>
      <c r="CCF389" s="34"/>
      <c r="CCG389" s="34"/>
      <c r="CCH389" s="34"/>
      <c r="CCI389" s="34"/>
      <c r="CCJ389" s="34"/>
      <c r="CCK389" s="34"/>
      <c r="CCL389" s="34"/>
      <c r="CCM389" s="34"/>
      <c r="CCN389" s="34"/>
      <c r="CCO389" s="34"/>
      <c r="CCP389" s="34"/>
      <c r="CCQ389" s="34"/>
      <c r="CCR389" s="34"/>
      <c r="CCS389" s="34"/>
      <c r="CCT389" s="34"/>
      <c r="CCU389" s="34"/>
      <c r="CCV389" s="34"/>
      <c r="CCW389" s="34"/>
      <c r="CCX389" s="34"/>
      <c r="CCY389" s="34"/>
      <c r="CCZ389" s="34"/>
      <c r="CDA389" s="34"/>
      <c r="CDB389" s="34"/>
      <c r="CDC389" s="34"/>
      <c r="CDD389" s="34"/>
      <c r="CDE389" s="34"/>
      <c r="CDF389" s="34"/>
      <c r="CDG389" s="34"/>
      <c r="CDH389" s="34"/>
      <c r="CDI389" s="34"/>
      <c r="CDJ389" s="34"/>
      <c r="CDK389" s="34"/>
      <c r="CDL389" s="34"/>
      <c r="CDM389" s="34"/>
      <c r="CDN389" s="34"/>
      <c r="CDO389" s="34"/>
      <c r="CDP389" s="34"/>
      <c r="CDQ389" s="34"/>
      <c r="CDR389" s="34"/>
      <c r="CDS389" s="34"/>
      <c r="CDT389" s="34"/>
      <c r="CDU389" s="34"/>
      <c r="CDV389" s="34"/>
      <c r="CDW389" s="34"/>
      <c r="CDX389" s="34"/>
      <c r="CDY389" s="34"/>
      <c r="CDZ389" s="34"/>
      <c r="CEA389" s="34"/>
      <c r="CEB389" s="34"/>
      <c r="CEC389" s="34"/>
      <c r="CED389" s="34"/>
      <c r="CEE389" s="34"/>
      <c r="CEF389" s="34"/>
      <c r="CEG389" s="34"/>
      <c r="CEH389" s="34"/>
      <c r="CEI389" s="34"/>
      <c r="CEJ389" s="34"/>
      <c r="CEK389" s="34"/>
      <c r="CEL389" s="34"/>
      <c r="CEM389" s="34"/>
      <c r="CEN389" s="34"/>
      <c r="CEO389" s="34"/>
      <c r="CEP389" s="34"/>
      <c r="CEQ389" s="34"/>
      <c r="CER389" s="34"/>
      <c r="CES389" s="34"/>
      <c r="CET389" s="34"/>
      <c r="CEU389" s="34"/>
      <c r="CEV389" s="34"/>
      <c r="CEW389" s="34"/>
      <c r="CEX389" s="34"/>
      <c r="CEY389" s="34"/>
      <c r="CEZ389" s="34"/>
      <c r="CFA389" s="34"/>
      <c r="CFB389" s="34"/>
      <c r="CFC389" s="34"/>
      <c r="CFD389" s="34"/>
      <c r="CFE389" s="34"/>
      <c r="CFF389" s="34"/>
      <c r="CFG389" s="34"/>
      <c r="CFH389" s="34"/>
      <c r="CFI389" s="34"/>
      <c r="CFJ389" s="34"/>
      <c r="CFK389" s="34"/>
      <c r="CFL389" s="34"/>
      <c r="CFM389" s="34"/>
      <c r="CFN389" s="34"/>
      <c r="CFO389" s="34"/>
      <c r="CFP389" s="34"/>
      <c r="CFQ389" s="34"/>
      <c r="CFR389" s="34"/>
      <c r="CFS389" s="34"/>
      <c r="CFT389" s="34"/>
      <c r="CFU389" s="34"/>
      <c r="CFV389" s="34"/>
      <c r="CFW389" s="34"/>
      <c r="CFX389" s="34"/>
      <c r="CFY389" s="34"/>
      <c r="CFZ389" s="34"/>
      <c r="CGA389" s="34"/>
      <c r="CGB389" s="34"/>
      <c r="CGC389" s="34"/>
      <c r="CGD389" s="34"/>
      <c r="CGE389" s="34"/>
      <c r="CGF389" s="34"/>
      <c r="CGG389" s="34"/>
      <c r="CGH389" s="34"/>
      <c r="CGI389" s="34"/>
      <c r="CGJ389" s="34"/>
      <c r="CGK389" s="34"/>
      <c r="CGL389" s="34"/>
      <c r="CGM389" s="34"/>
      <c r="CGN389" s="34"/>
      <c r="CGO389" s="34"/>
      <c r="CGP389" s="34"/>
      <c r="CGQ389" s="34"/>
      <c r="CGR389" s="34"/>
      <c r="CGS389" s="34"/>
      <c r="CGT389" s="34"/>
      <c r="CGU389" s="34"/>
      <c r="CGV389" s="34"/>
      <c r="CGW389" s="34"/>
      <c r="CGX389" s="34"/>
      <c r="CGY389" s="34"/>
      <c r="CGZ389" s="34"/>
      <c r="CHA389" s="34"/>
      <c r="CHB389" s="34"/>
      <c r="CHC389" s="34"/>
      <c r="CHD389" s="34"/>
      <c r="CHE389" s="34"/>
      <c r="CHF389" s="34"/>
      <c r="CHG389" s="34"/>
      <c r="CHH389" s="34"/>
      <c r="CHI389" s="34"/>
      <c r="CHJ389" s="34"/>
      <c r="CHK389" s="34"/>
      <c r="CHL389" s="34"/>
      <c r="CHM389" s="34"/>
      <c r="CHN389" s="34"/>
      <c r="CHO389" s="34"/>
      <c r="CHP389" s="34"/>
      <c r="CHQ389" s="34"/>
      <c r="CHR389" s="34"/>
      <c r="CHS389" s="34"/>
      <c r="CHT389" s="34"/>
      <c r="CHU389" s="34"/>
      <c r="CHV389" s="34"/>
      <c r="CHW389" s="34"/>
      <c r="CHX389" s="34"/>
      <c r="CHY389" s="34"/>
      <c r="CHZ389" s="34"/>
      <c r="CIA389" s="34"/>
      <c r="CIB389" s="34"/>
      <c r="CIC389" s="34"/>
      <c r="CID389" s="34"/>
      <c r="CIE389" s="34"/>
      <c r="CIF389" s="34"/>
      <c r="CIG389" s="34"/>
      <c r="CIH389" s="34"/>
      <c r="CII389" s="34"/>
      <c r="CIJ389" s="34"/>
      <c r="CIK389" s="34"/>
      <c r="CIL389" s="34"/>
      <c r="CIM389" s="34"/>
      <c r="CIN389" s="34"/>
      <c r="CIO389" s="34"/>
      <c r="CIP389" s="34"/>
      <c r="CIQ389" s="34"/>
      <c r="CIR389" s="34"/>
      <c r="CIS389" s="34"/>
      <c r="CIT389" s="34"/>
      <c r="CIU389" s="34"/>
      <c r="CIV389" s="34"/>
      <c r="CIW389" s="34"/>
      <c r="CIX389" s="34"/>
      <c r="CIY389" s="34"/>
      <c r="CIZ389" s="34"/>
      <c r="CJA389" s="34"/>
      <c r="CJB389" s="34"/>
      <c r="CJC389" s="34"/>
      <c r="CJD389" s="34"/>
      <c r="CJE389" s="34"/>
      <c r="CJF389" s="34"/>
      <c r="CJG389" s="34"/>
      <c r="CJH389" s="34"/>
      <c r="CJI389" s="34"/>
      <c r="CJJ389" s="34"/>
      <c r="CJK389" s="34"/>
      <c r="CJL389" s="34"/>
      <c r="CJM389" s="34"/>
      <c r="CJN389" s="34"/>
      <c r="CJO389" s="34"/>
      <c r="CJP389" s="34"/>
      <c r="CJQ389" s="34"/>
      <c r="CJR389" s="34"/>
      <c r="CJS389" s="34"/>
      <c r="CJT389" s="34"/>
      <c r="CJU389" s="34"/>
      <c r="CJV389" s="34"/>
      <c r="CJW389" s="34"/>
      <c r="CJX389" s="34"/>
      <c r="CJY389" s="34"/>
      <c r="CJZ389" s="34"/>
      <c r="CKA389" s="34"/>
      <c r="CKB389" s="34"/>
      <c r="CKC389" s="34"/>
      <c r="CKD389" s="34"/>
      <c r="CKE389" s="34"/>
      <c r="CKF389" s="34"/>
      <c r="CKG389" s="34"/>
      <c r="CKH389" s="34"/>
      <c r="CKI389" s="34"/>
      <c r="CKJ389" s="34"/>
      <c r="CKK389" s="34"/>
      <c r="CKL389" s="34"/>
      <c r="CKM389" s="34"/>
      <c r="CKN389" s="34"/>
      <c r="CKO389" s="34"/>
      <c r="CKP389" s="34"/>
      <c r="CKQ389" s="34"/>
      <c r="CKR389" s="34"/>
      <c r="CKS389" s="34"/>
      <c r="CKT389" s="34"/>
      <c r="CKU389" s="34"/>
      <c r="CKV389" s="34"/>
      <c r="CKW389" s="34"/>
      <c r="CKX389" s="34"/>
      <c r="CKY389" s="34"/>
      <c r="CKZ389" s="34"/>
      <c r="CLA389" s="34"/>
      <c r="CLB389" s="34"/>
      <c r="CLC389" s="34"/>
      <c r="CLD389" s="34"/>
      <c r="CLE389" s="34"/>
      <c r="CLF389" s="34"/>
      <c r="CLG389" s="34"/>
      <c r="CLH389" s="34"/>
      <c r="CLI389" s="34"/>
      <c r="CLJ389" s="34"/>
      <c r="CLK389" s="34"/>
      <c r="CLL389" s="34"/>
      <c r="CLM389" s="34"/>
      <c r="CLN389" s="34"/>
      <c r="CLO389" s="34"/>
      <c r="CLP389" s="34"/>
      <c r="CLQ389" s="34"/>
      <c r="CLR389" s="34"/>
      <c r="CLS389" s="34"/>
      <c r="CLT389" s="34"/>
      <c r="CLU389" s="34"/>
      <c r="CLV389" s="34"/>
      <c r="CLW389" s="34"/>
      <c r="CLX389" s="34"/>
      <c r="CLY389" s="34"/>
      <c r="CLZ389" s="34"/>
      <c r="CMA389" s="34"/>
      <c r="CMB389" s="34"/>
      <c r="CMC389" s="34"/>
      <c r="CMD389" s="34"/>
      <c r="CME389" s="34"/>
      <c r="CMF389" s="34"/>
      <c r="CMG389" s="34"/>
      <c r="CMH389" s="34"/>
      <c r="CMI389" s="34"/>
      <c r="CMJ389" s="34"/>
      <c r="CMK389" s="34"/>
      <c r="CML389" s="34"/>
      <c r="CMM389" s="34"/>
      <c r="CMN389" s="34"/>
      <c r="CMO389" s="34"/>
      <c r="CMP389" s="34"/>
      <c r="CMQ389" s="34"/>
      <c r="CMR389" s="34"/>
      <c r="CMS389" s="34"/>
      <c r="CMT389" s="34"/>
      <c r="CMU389" s="34"/>
      <c r="CMV389" s="34"/>
      <c r="CMW389" s="34"/>
      <c r="CMX389" s="34"/>
      <c r="CMY389" s="34"/>
      <c r="CMZ389" s="34"/>
      <c r="CNA389" s="34"/>
      <c r="CNB389" s="34"/>
      <c r="CNC389" s="34"/>
      <c r="CND389" s="34"/>
      <c r="CNE389" s="34"/>
      <c r="CNF389" s="34"/>
      <c r="CNG389" s="34"/>
      <c r="CNH389" s="34"/>
      <c r="CNI389" s="34"/>
      <c r="CNJ389" s="34"/>
      <c r="CNK389" s="34"/>
      <c r="CNL389" s="34"/>
      <c r="CNM389" s="34"/>
      <c r="CNN389" s="34"/>
      <c r="CNO389" s="34"/>
      <c r="CNP389" s="34"/>
      <c r="CNQ389" s="34"/>
      <c r="CNR389" s="34"/>
      <c r="CNS389" s="34"/>
      <c r="CNT389" s="34"/>
      <c r="CNU389" s="34"/>
      <c r="CNV389" s="34"/>
      <c r="CNW389" s="34"/>
      <c r="CNX389" s="34"/>
      <c r="CNY389" s="34"/>
      <c r="CNZ389" s="34"/>
      <c r="COA389" s="34"/>
      <c r="COB389" s="34"/>
      <c r="COC389" s="34"/>
      <c r="COD389" s="34"/>
      <c r="COE389" s="34"/>
      <c r="COF389" s="34"/>
      <c r="COG389" s="34"/>
      <c r="COH389" s="34"/>
      <c r="COI389" s="34"/>
      <c r="COJ389" s="34"/>
      <c r="COK389" s="34"/>
      <c r="COL389" s="34"/>
      <c r="COM389" s="34"/>
      <c r="CON389" s="34"/>
      <c r="COO389" s="34"/>
      <c r="COP389" s="34"/>
      <c r="COQ389" s="34"/>
      <c r="COR389" s="34"/>
      <c r="COS389" s="34"/>
      <c r="COT389" s="34"/>
      <c r="COU389" s="34"/>
      <c r="COV389" s="34"/>
      <c r="COW389" s="34"/>
      <c r="COX389" s="34"/>
      <c r="COY389" s="34"/>
      <c r="COZ389" s="34"/>
      <c r="CPA389" s="34"/>
      <c r="CPB389" s="34"/>
      <c r="CPC389" s="34"/>
      <c r="CPD389" s="34"/>
      <c r="CPE389" s="34"/>
      <c r="CPF389" s="34"/>
      <c r="CPG389" s="34"/>
      <c r="CPH389" s="34"/>
      <c r="CPI389" s="34"/>
      <c r="CPJ389" s="34"/>
      <c r="CPK389" s="34"/>
      <c r="CPL389" s="34"/>
      <c r="CPM389" s="34"/>
      <c r="CPN389" s="34"/>
      <c r="CPO389" s="34"/>
      <c r="CPP389" s="34"/>
      <c r="CPQ389" s="34"/>
      <c r="CPR389" s="34"/>
      <c r="CPS389" s="34"/>
      <c r="CPT389" s="34"/>
      <c r="CPU389" s="34"/>
      <c r="CPV389" s="34"/>
      <c r="CPW389" s="34"/>
      <c r="CPX389" s="34"/>
      <c r="CPY389" s="34"/>
      <c r="CPZ389" s="34"/>
      <c r="CQA389" s="34"/>
      <c r="CQB389" s="34"/>
      <c r="CQC389" s="34"/>
      <c r="CQD389" s="34"/>
      <c r="CQE389" s="34"/>
      <c r="CQF389" s="34"/>
      <c r="CQG389" s="34"/>
      <c r="CQH389" s="34"/>
      <c r="CQI389" s="34"/>
      <c r="CQJ389" s="34"/>
      <c r="CQK389" s="34"/>
      <c r="CQL389" s="34"/>
      <c r="CQM389" s="34"/>
      <c r="CQN389" s="34"/>
      <c r="CQO389" s="34"/>
      <c r="CQP389" s="34"/>
      <c r="CQQ389" s="34"/>
      <c r="CQR389" s="34"/>
      <c r="CQS389" s="34"/>
      <c r="CQT389" s="34"/>
      <c r="CQU389" s="34"/>
      <c r="CQV389" s="34"/>
      <c r="CQW389" s="34"/>
      <c r="CQX389" s="34"/>
      <c r="CQY389" s="34"/>
      <c r="CQZ389" s="34"/>
      <c r="CRA389" s="34"/>
      <c r="CRB389" s="34"/>
      <c r="CRC389" s="34"/>
      <c r="CRD389" s="34"/>
      <c r="CRE389" s="34"/>
      <c r="CRF389" s="34"/>
      <c r="CRG389" s="34"/>
      <c r="CRH389" s="34"/>
      <c r="CRI389" s="34"/>
      <c r="CRJ389" s="34"/>
      <c r="CRK389" s="34"/>
      <c r="CRL389" s="34"/>
      <c r="CRM389" s="34"/>
      <c r="CRN389" s="34"/>
      <c r="CRO389" s="34"/>
      <c r="CRP389" s="34"/>
      <c r="CRQ389" s="34"/>
      <c r="CRR389" s="34"/>
      <c r="CRS389" s="34"/>
      <c r="CRT389" s="34"/>
      <c r="CRU389" s="34"/>
      <c r="CRV389" s="34"/>
      <c r="CRW389" s="34"/>
      <c r="CRX389" s="34"/>
      <c r="CRY389" s="34"/>
      <c r="CRZ389" s="34"/>
      <c r="CSA389" s="34"/>
      <c r="CSB389" s="34"/>
      <c r="CSC389" s="34"/>
      <c r="CSD389" s="34"/>
      <c r="CSE389" s="34"/>
      <c r="CSF389" s="34"/>
      <c r="CSG389" s="34"/>
      <c r="CSH389" s="34"/>
      <c r="CSI389" s="34"/>
      <c r="CSJ389" s="34"/>
      <c r="CSK389" s="34"/>
      <c r="CSL389" s="34"/>
      <c r="CSM389" s="34"/>
      <c r="CSN389" s="34"/>
      <c r="CSO389" s="34"/>
      <c r="CSP389" s="34"/>
      <c r="CSQ389" s="34"/>
      <c r="CSR389" s="34"/>
      <c r="CSS389" s="34"/>
      <c r="CST389" s="34"/>
      <c r="CSU389" s="34"/>
      <c r="CSV389" s="34"/>
      <c r="CSW389" s="34"/>
      <c r="CSX389" s="34"/>
      <c r="CSY389" s="34"/>
      <c r="CSZ389" s="34"/>
      <c r="CTA389" s="34"/>
      <c r="CTB389" s="34"/>
      <c r="CTC389" s="34"/>
      <c r="CTD389" s="34"/>
      <c r="CTE389" s="34"/>
      <c r="CTF389" s="34"/>
      <c r="CTG389" s="34"/>
      <c r="CTH389" s="34"/>
      <c r="CTI389" s="34"/>
      <c r="CTJ389" s="34"/>
      <c r="CTK389" s="34"/>
      <c r="CTL389" s="34"/>
      <c r="CTM389" s="34"/>
      <c r="CTN389" s="34"/>
      <c r="CTO389" s="34"/>
      <c r="CTP389" s="34"/>
      <c r="CTQ389" s="34"/>
      <c r="CTR389" s="34"/>
      <c r="CTS389" s="34"/>
      <c r="CTT389" s="34"/>
      <c r="CTU389" s="34"/>
      <c r="CTV389" s="34"/>
      <c r="CTW389" s="34"/>
      <c r="CTX389" s="34"/>
      <c r="CTY389" s="34"/>
      <c r="CTZ389" s="34"/>
      <c r="CUA389" s="34"/>
      <c r="CUB389" s="34"/>
      <c r="CUC389" s="34"/>
      <c r="CUD389" s="34"/>
      <c r="CUE389" s="34"/>
      <c r="CUF389" s="34"/>
      <c r="CUG389" s="34"/>
      <c r="CUH389" s="34"/>
      <c r="CUI389" s="34"/>
      <c r="CUJ389" s="34"/>
      <c r="CUK389" s="34"/>
      <c r="CUL389" s="34"/>
      <c r="CUM389" s="34"/>
      <c r="CUN389" s="34"/>
      <c r="CUO389" s="34"/>
      <c r="CUP389" s="34"/>
      <c r="CUQ389" s="34"/>
      <c r="CUR389" s="34"/>
      <c r="CUS389" s="34"/>
      <c r="CUT389" s="34"/>
      <c r="CUU389" s="34"/>
      <c r="CUV389" s="34"/>
      <c r="CUW389" s="34"/>
      <c r="CUX389" s="34"/>
      <c r="CUY389" s="34"/>
      <c r="CUZ389" s="34"/>
      <c r="CVA389" s="34"/>
      <c r="CVB389" s="34"/>
      <c r="CVC389" s="34"/>
      <c r="CVD389" s="34"/>
      <c r="CVE389" s="34"/>
      <c r="CVF389" s="34"/>
      <c r="CVG389" s="34"/>
      <c r="CVH389" s="34"/>
      <c r="CVI389" s="34"/>
      <c r="CVJ389" s="34"/>
      <c r="CVK389" s="34"/>
      <c r="CVL389" s="34"/>
      <c r="CVM389" s="34"/>
      <c r="CVN389" s="34"/>
      <c r="CVO389" s="34"/>
      <c r="CVP389" s="34"/>
      <c r="CVQ389" s="34"/>
      <c r="CVR389" s="34"/>
      <c r="CVS389" s="34"/>
      <c r="CVT389" s="34"/>
      <c r="CVU389" s="34"/>
      <c r="CVV389" s="34"/>
      <c r="CVW389" s="34"/>
      <c r="CVX389" s="34"/>
      <c r="CVY389" s="34"/>
      <c r="CVZ389" s="34"/>
      <c r="CWA389" s="34"/>
      <c r="CWB389" s="34"/>
      <c r="CWC389" s="34"/>
      <c r="CWD389" s="34"/>
      <c r="CWE389" s="34"/>
      <c r="CWF389" s="34"/>
      <c r="CWG389" s="34"/>
      <c r="CWH389" s="34"/>
      <c r="CWI389" s="34"/>
      <c r="CWJ389" s="34"/>
      <c r="CWK389" s="34"/>
      <c r="CWL389" s="34"/>
      <c r="CWM389" s="34"/>
      <c r="CWN389" s="34"/>
      <c r="CWO389" s="34"/>
      <c r="CWP389" s="34"/>
      <c r="CWQ389" s="34"/>
      <c r="CWR389" s="34"/>
      <c r="CWS389" s="34"/>
      <c r="CWT389" s="34"/>
      <c r="CWU389" s="34"/>
      <c r="CWV389" s="34"/>
      <c r="CWW389" s="34"/>
      <c r="CWX389" s="34"/>
      <c r="CWY389" s="34"/>
      <c r="CWZ389" s="34"/>
      <c r="CXA389" s="34"/>
      <c r="CXB389" s="34"/>
      <c r="CXC389" s="34"/>
      <c r="CXD389" s="34"/>
      <c r="CXE389" s="34"/>
      <c r="CXF389" s="34"/>
      <c r="CXG389" s="34"/>
      <c r="CXH389" s="34"/>
      <c r="CXI389" s="34"/>
      <c r="CXJ389" s="34"/>
      <c r="CXK389" s="34"/>
      <c r="CXL389" s="34"/>
      <c r="CXM389" s="34"/>
      <c r="CXN389" s="34"/>
      <c r="CXO389" s="34"/>
      <c r="CXP389" s="34"/>
      <c r="CXQ389" s="34"/>
      <c r="CXR389" s="34"/>
      <c r="CXS389" s="34"/>
      <c r="CXT389" s="34"/>
      <c r="CXU389" s="34"/>
      <c r="CXV389" s="34"/>
      <c r="CXW389" s="34"/>
      <c r="CXX389" s="34"/>
      <c r="CXY389" s="34"/>
      <c r="CXZ389" s="34"/>
      <c r="CYA389" s="34"/>
      <c r="CYB389" s="34"/>
      <c r="CYC389" s="34"/>
      <c r="CYD389" s="34"/>
      <c r="CYE389" s="34"/>
      <c r="CYF389" s="34"/>
      <c r="CYG389" s="34"/>
      <c r="CYH389" s="34"/>
      <c r="CYI389" s="34"/>
      <c r="CYJ389" s="34"/>
      <c r="CYK389" s="34"/>
      <c r="CYL389" s="34"/>
      <c r="CYM389" s="34"/>
      <c r="CYN389" s="34"/>
      <c r="CYO389" s="34"/>
      <c r="CYP389" s="34"/>
      <c r="CYQ389" s="34"/>
      <c r="CYR389" s="34"/>
      <c r="CYS389" s="34"/>
      <c r="CYT389" s="34"/>
      <c r="CYU389" s="34"/>
      <c r="CYV389" s="34"/>
      <c r="CYW389" s="34"/>
      <c r="CYX389" s="34"/>
      <c r="CYY389" s="34"/>
      <c r="CYZ389" s="34"/>
      <c r="CZA389" s="34"/>
      <c r="CZB389" s="34"/>
      <c r="CZC389" s="34"/>
      <c r="CZD389" s="34"/>
      <c r="CZE389" s="34"/>
      <c r="CZF389" s="34"/>
      <c r="CZG389" s="34"/>
      <c r="CZH389" s="34"/>
      <c r="CZI389" s="34"/>
      <c r="CZJ389" s="34"/>
      <c r="CZK389" s="34"/>
      <c r="CZL389" s="34"/>
      <c r="CZM389" s="34"/>
      <c r="CZN389" s="34"/>
      <c r="CZO389" s="34"/>
      <c r="CZP389" s="34"/>
      <c r="CZQ389" s="34"/>
      <c r="CZR389" s="34"/>
      <c r="CZS389" s="34"/>
      <c r="CZT389" s="34"/>
      <c r="CZU389" s="34"/>
      <c r="CZV389" s="34"/>
      <c r="CZW389" s="34"/>
      <c r="CZX389" s="34"/>
      <c r="CZY389" s="34"/>
      <c r="CZZ389" s="34"/>
      <c r="DAA389" s="34"/>
      <c r="DAB389" s="34"/>
      <c r="DAC389" s="34"/>
      <c r="DAD389" s="34"/>
      <c r="DAE389" s="34"/>
      <c r="DAF389" s="34"/>
      <c r="DAG389" s="34"/>
      <c r="DAH389" s="34"/>
      <c r="DAI389" s="34"/>
      <c r="DAJ389" s="34"/>
      <c r="DAK389" s="34"/>
      <c r="DAL389" s="34"/>
      <c r="DAM389" s="34"/>
      <c r="DAN389" s="34"/>
      <c r="DAO389" s="34"/>
      <c r="DAP389" s="34"/>
      <c r="DAQ389" s="34"/>
      <c r="DAR389" s="34"/>
      <c r="DAS389" s="34"/>
      <c r="DAT389" s="34"/>
      <c r="DAU389" s="34"/>
      <c r="DAV389" s="34"/>
      <c r="DAW389" s="34"/>
      <c r="DAX389" s="34"/>
      <c r="DAY389" s="34"/>
      <c r="DAZ389" s="34"/>
      <c r="DBA389" s="34"/>
      <c r="DBB389" s="34"/>
      <c r="DBC389" s="34"/>
      <c r="DBD389" s="34"/>
      <c r="DBE389" s="34"/>
      <c r="DBF389" s="34"/>
      <c r="DBG389" s="34"/>
      <c r="DBH389" s="34"/>
      <c r="DBI389" s="34"/>
      <c r="DBJ389" s="34"/>
      <c r="DBK389" s="34"/>
      <c r="DBL389" s="34"/>
      <c r="DBM389" s="34"/>
      <c r="DBN389" s="34"/>
      <c r="DBO389" s="34"/>
      <c r="DBP389" s="34"/>
      <c r="DBQ389" s="34"/>
      <c r="DBR389" s="34"/>
      <c r="DBS389" s="34"/>
      <c r="DBT389" s="34"/>
      <c r="DBU389" s="34"/>
      <c r="DBV389" s="34"/>
      <c r="DBW389" s="34"/>
      <c r="DBX389" s="34"/>
      <c r="DBY389" s="34"/>
      <c r="DBZ389" s="34"/>
      <c r="DCA389" s="34"/>
      <c r="DCB389" s="34"/>
      <c r="DCC389" s="34"/>
      <c r="DCD389" s="34"/>
      <c r="DCE389" s="34"/>
      <c r="DCF389" s="34"/>
      <c r="DCG389" s="34"/>
      <c r="DCH389" s="34"/>
      <c r="DCI389" s="34"/>
      <c r="DCJ389" s="34"/>
      <c r="DCK389" s="34"/>
      <c r="DCL389" s="34"/>
      <c r="DCM389" s="34"/>
      <c r="DCN389" s="34"/>
      <c r="DCO389" s="34"/>
      <c r="DCP389" s="34"/>
      <c r="DCQ389" s="34"/>
      <c r="DCR389" s="34"/>
      <c r="DCS389" s="34"/>
      <c r="DCT389" s="34"/>
      <c r="DCU389" s="34"/>
      <c r="DCV389" s="34"/>
      <c r="DCW389" s="34"/>
      <c r="DCX389" s="34"/>
      <c r="DCY389" s="34"/>
      <c r="DCZ389" s="34"/>
      <c r="DDA389" s="34"/>
      <c r="DDB389" s="34"/>
      <c r="DDC389" s="34"/>
      <c r="DDD389" s="34"/>
      <c r="DDE389" s="34"/>
      <c r="DDF389" s="34"/>
      <c r="DDG389" s="34"/>
      <c r="DDH389" s="34"/>
      <c r="DDI389" s="34"/>
      <c r="DDJ389" s="34"/>
      <c r="DDK389" s="34"/>
      <c r="DDL389" s="34"/>
      <c r="DDM389" s="34"/>
      <c r="DDN389" s="34"/>
      <c r="DDO389" s="34"/>
      <c r="DDP389" s="34"/>
      <c r="DDQ389" s="34"/>
      <c r="DDR389" s="34"/>
      <c r="DDS389" s="34"/>
      <c r="DDT389" s="34"/>
      <c r="DDU389" s="34"/>
      <c r="DDV389" s="34"/>
      <c r="DDW389" s="34"/>
      <c r="DDX389" s="34"/>
      <c r="DDY389" s="34"/>
      <c r="DDZ389" s="34"/>
      <c r="DEA389" s="34"/>
      <c r="DEB389" s="34"/>
      <c r="DEC389" s="34"/>
      <c r="DED389" s="34"/>
      <c r="DEE389" s="34"/>
      <c r="DEF389" s="34"/>
      <c r="DEG389" s="34"/>
      <c r="DEH389" s="34"/>
      <c r="DEI389" s="34"/>
      <c r="DEJ389" s="34"/>
      <c r="DEK389" s="34"/>
      <c r="DEL389" s="34"/>
      <c r="DEM389" s="34"/>
      <c r="DEN389" s="34"/>
      <c r="DEO389" s="34"/>
      <c r="DEP389" s="34"/>
      <c r="DEQ389" s="34"/>
      <c r="DER389" s="34"/>
      <c r="DES389" s="34"/>
      <c r="DET389" s="34"/>
      <c r="DEU389" s="34"/>
      <c r="DEV389" s="34"/>
      <c r="DEW389" s="34"/>
      <c r="DEX389" s="34"/>
      <c r="DEY389" s="34"/>
      <c r="DEZ389" s="34"/>
      <c r="DFA389" s="34"/>
      <c r="DFB389" s="34"/>
      <c r="DFC389" s="34"/>
      <c r="DFD389" s="34"/>
      <c r="DFE389" s="34"/>
      <c r="DFF389" s="34"/>
      <c r="DFG389" s="34"/>
      <c r="DFH389" s="34"/>
      <c r="DFI389" s="34"/>
      <c r="DFJ389" s="34"/>
      <c r="DFK389" s="34"/>
      <c r="DFL389" s="34"/>
      <c r="DFM389" s="34"/>
      <c r="DFN389" s="34"/>
      <c r="DFO389" s="34"/>
      <c r="DFP389" s="34"/>
      <c r="DFQ389" s="34"/>
      <c r="DFR389" s="34"/>
      <c r="DFS389" s="34"/>
      <c r="DFT389" s="34"/>
      <c r="DFU389" s="34"/>
      <c r="DFV389" s="34"/>
      <c r="DFW389" s="34"/>
      <c r="DFX389" s="34"/>
      <c r="DFY389" s="34"/>
      <c r="DFZ389" s="34"/>
      <c r="DGA389" s="34"/>
      <c r="DGB389" s="34"/>
      <c r="DGC389" s="34"/>
      <c r="DGD389" s="34"/>
      <c r="DGE389" s="34"/>
      <c r="DGF389" s="34"/>
      <c r="DGG389" s="34"/>
      <c r="DGH389" s="34"/>
      <c r="DGI389" s="34"/>
      <c r="DGJ389" s="34"/>
      <c r="DGK389" s="34"/>
      <c r="DGL389" s="34"/>
      <c r="DGM389" s="34"/>
      <c r="DGN389" s="34"/>
      <c r="DGO389" s="34"/>
      <c r="DGP389" s="34"/>
      <c r="DGQ389" s="34"/>
      <c r="DGR389" s="34"/>
      <c r="DGS389" s="34"/>
      <c r="DGT389" s="34"/>
      <c r="DGU389" s="34"/>
      <c r="DGV389" s="34"/>
      <c r="DGW389" s="34"/>
      <c r="DGX389" s="34"/>
      <c r="DGY389" s="34"/>
      <c r="DGZ389" s="34"/>
      <c r="DHA389" s="34"/>
      <c r="DHB389" s="34"/>
      <c r="DHC389" s="34"/>
      <c r="DHD389" s="34"/>
      <c r="DHE389" s="34"/>
      <c r="DHF389" s="34"/>
      <c r="DHG389" s="34"/>
      <c r="DHH389" s="34"/>
      <c r="DHI389" s="34"/>
      <c r="DHJ389" s="34"/>
      <c r="DHK389" s="34"/>
      <c r="DHL389" s="34"/>
      <c r="DHM389" s="34"/>
      <c r="DHN389" s="34"/>
      <c r="DHO389" s="34"/>
      <c r="DHP389" s="34"/>
      <c r="DHQ389" s="34"/>
      <c r="DHR389" s="34"/>
      <c r="DHS389" s="34"/>
      <c r="DHT389" s="34"/>
      <c r="DHU389" s="34"/>
      <c r="DHV389" s="34"/>
      <c r="DHW389" s="34"/>
      <c r="DHX389" s="34"/>
      <c r="DHY389" s="34"/>
      <c r="DHZ389" s="34"/>
      <c r="DIA389" s="34"/>
      <c r="DIB389" s="34"/>
      <c r="DIC389" s="34"/>
      <c r="DID389" s="34"/>
      <c r="DIE389" s="34"/>
      <c r="DIF389" s="34"/>
      <c r="DIG389" s="34"/>
      <c r="DIH389" s="34"/>
      <c r="DII389" s="34"/>
      <c r="DIJ389" s="34"/>
      <c r="DIK389" s="34"/>
      <c r="DIL389" s="34"/>
      <c r="DIM389" s="34"/>
      <c r="DIN389" s="34"/>
      <c r="DIO389" s="34"/>
      <c r="DIP389" s="34"/>
      <c r="DIQ389" s="34"/>
      <c r="DIR389" s="34"/>
      <c r="DIS389" s="34"/>
      <c r="DIT389" s="34"/>
      <c r="DIU389" s="34"/>
      <c r="DIV389" s="34"/>
      <c r="DIW389" s="34"/>
      <c r="DIX389" s="34"/>
      <c r="DIY389" s="34"/>
      <c r="DIZ389" s="34"/>
      <c r="DJA389" s="34"/>
      <c r="DJB389" s="34"/>
      <c r="DJC389" s="34"/>
      <c r="DJD389" s="34"/>
      <c r="DJE389" s="34"/>
      <c r="DJF389" s="34"/>
      <c r="DJG389" s="34"/>
      <c r="DJH389" s="34"/>
      <c r="DJI389" s="34"/>
      <c r="DJJ389" s="34"/>
      <c r="DJK389" s="34"/>
      <c r="DJL389" s="34"/>
      <c r="DJM389" s="34"/>
      <c r="DJN389" s="34"/>
      <c r="DJO389" s="34"/>
      <c r="DJP389" s="34"/>
      <c r="DJQ389" s="34"/>
      <c r="DJR389" s="34"/>
      <c r="DJS389" s="34"/>
      <c r="DJT389" s="34"/>
      <c r="DJU389" s="34"/>
      <c r="DJV389" s="34"/>
      <c r="DJW389" s="34"/>
      <c r="DJX389" s="34"/>
      <c r="DJY389" s="34"/>
      <c r="DJZ389" s="34"/>
      <c r="DKA389" s="34"/>
      <c r="DKB389" s="34"/>
      <c r="DKC389" s="34"/>
      <c r="DKD389" s="34"/>
      <c r="DKE389" s="34"/>
      <c r="DKF389" s="34"/>
      <c r="DKG389" s="34"/>
      <c r="DKH389" s="34"/>
      <c r="DKI389" s="34"/>
      <c r="DKJ389" s="34"/>
      <c r="DKK389" s="34"/>
      <c r="DKL389" s="34"/>
      <c r="DKM389" s="34"/>
      <c r="DKN389" s="34"/>
      <c r="DKO389" s="34"/>
      <c r="DKP389" s="34"/>
      <c r="DKQ389" s="34"/>
      <c r="DKR389" s="34"/>
      <c r="DKS389" s="34"/>
      <c r="DKT389" s="34"/>
      <c r="DKU389" s="34"/>
      <c r="DKV389" s="34"/>
      <c r="DKW389" s="34"/>
      <c r="DKX389" s="34"/>
      <c r="DKY389" s="34"/>
      <c r="DKZ389" s="34"/>
      <c r="DLA389" s="34"/>
      <c r="DLB389" s="34"/>
      <c r="DLC389" s="34"/>
      <c r="DLD389" s="34"/>
      <c r="DLE389" s="34"/>
      <c r="DLF389" s="34"/>
      <c r="DLG389" s="34"/>
      <c r="DLH389" s="34"/>
      <c r="DLI389" s="34"/>
      <c r="DLJ389" s="34"/>
      <c r="DLK389" s="34"/>
      <c r="DLL389" s="34"/>
      <c r="DLM389" s="34"/>
      <c r="DLN389" s="34"/>
      <c r="DLO389" s="34"/>
      <c r="DLP389" s="34"/>
      <c r="DLQ389" s="34"/>
      <c r="DLR389" s="34"/>
      <c r="DLS389" s="34"/>
      <c r="DLT389" s="34"/>
      <c r="DLU389" s="34"/>
      <c r="DLV389" s="34"/>
      <c r="DLW389" s="34"/>
      <c r="DLX389" s="34"/>
      <c r="DLY389" s="34"/>
      <c r="DLZ389" s="34"/>
      <c r="DMA389" s="34"/>
      <c r="DMB389" s="34"/>
      <c r="DMC389" s="34"/>
      <c r="DMD389" s="34"/>
      <c r="DME389" s="34"/>
      <c r="DMF389" s="34"/>
      <c r="DMG389" s="34"/>
      <c r="DMH389" s="34"/>
      <c r="DMI389" s="34"/>
      <c r="DMJ389" s="34"/>
      <c r="DMK389" s="34"/>
      <c r="DML389" s="34"/>
      <c r="DMM389" s="34"/>
      <c r="DMN389" s="34"/>
      <c r="DMO389" s="34"/>
      <c r="DMP389" s="34"/>
      <c r="DMQ389" s="34"/>
      <c r="DMR389" s="34"/>
      <c r="DMS389" s="34"/>
      <c r="DMT389" s="34"/>
      <c r="DMU389" s="34"/>
      <c r="DMV389" s="34"/>
      <c r="DMW389" s="34"/>
      <c r="DMX389" s="34"/>
      <c r="DMY389" s="34"/>
      <c r="DMZ389" s="34"/>
      <c r="DNA389" s="34"/>
      <c r="DNB389" s="34"/>
      <c r="DNC389" s="34"/>
      <c r="DND389" s="34"/>
      <c r="DNE389" s="34"/>
      <c r="DNF389" s="34"/>
      <c r="DNG389" s="34"/>
      <c r="DNH389" s="34"/>
      <c r="DNI389" s="34"/>
      <c r="DNJ389" s="34"/>
      <c r="DNK389" s="34"/>
      <c r="DNL389" s="34"/>
      <c r="DNM389" s="34"/>
      <c r="DNN389" s="34"/>
      <c r="DNO389" s="34"/>
      <c r="DNP389" s="34"/>
      <c r="DNQ389" s="34"/>
      <c r="DNR389" s="34"/>
      <c r="DNS389" s="34"/>
      <c r="DNT389" s="34"/>
      <c r="DNU389" s="34"/>
      <c r="DNV389" s="34"/>
      <c r="DNW389" s="34"/>
      <c r="DNX389" s="34"/>
      <c r="DNY389" s="34"/>
      <c r="DNZ389" s="34"/>
      <c r="DOA389" s="34"/>
      <c r="DOB389" s="34"/>
      <c r="DOC389" s="34"/>
      <c r="DOD389" s="34"/>
      <c r="DOE389" s="34"/>
      <c r="DOF389" s="34"/>
      <c r="DOG389" s="34"/>
      <c r="DOH389" s="34"/>
      <c r="DOI389" s="34"/>
      <c r="DOJ389" s="34"/>
      <c r="DOK389" s="34"/>
      <c r="DOL389" s="34"/>
      <c r="DOM389" s="34"/>
      <c r="DON389" s="34"/>
      <c r="DOO389" s="34"/>
      <c r="DOP389" s="34"/>
      <c r="DOQ389" s="34"/>
      <c r="DOR389" s="34"/>
      <c r="DOS389" s="34"/>
      <c r="DOT389" s="34"/>
      <c r="DOU389" s="34"/>
      <c r="DOV389" s="34"/>
      <c r="DOW389" s="34"/>
      <c r="DOX389" s="34"/>
      <c r="DOY389" s="34"/>
      <c r="DOZ389" s="34"/>
      <c r="DPA389" s="34"/>
      <c r="DPB389" s="34"/>
      <c r="DPC389" s="34"/>
      <c r="DPD389" s="34"/>
      <c r="DPE389" s="34"/>
      <c r="DPF389" s="34"/>
      <c r="DPG389" s="34"/>
      <c r="DPH389" s="34"/>
      <c r="DPI389" s="34"/>
      <c r="DPJ389" s="34"/>
      <c r="DPK389" s="34"/>
      <c r="DPL389" s="34"/>
      <c r="DPM389" s="34"/>
      <c r="DPN389" s="34"/>
      <c r="DPO389" s="34"/>
      <c r="DPP389" s="34"/>
      <c r="DPQ389" s="34"/>
      <c r="DPR389" s="34"/>
      <c r="DPS389" s="34"/>
      <c r="DPT389" s="34"/>
      <c r="DPU389" s="34"/>
      <c r="DPV389" s="34"/>
      <c r="DPW389" s="34"/>
      <c r="DPX389" s="34"/>
      <c r="DPY389" s="34"/>
      <c r="DPZ389" s="34"/>
      <c r="DQA389" s="34"/>
      <c r="DQB389" s="34"/>
      <c r="DQC389" s="34"/>
      <c r="DQD389" s="34"/>
      <c r="DQE389" s="34"/>
      <c r="DQF389" s="34"/>
      <c r="DQG389" s="34"/>
      <c r="DQH389" s="34"/>
      <c r="DQI389" s="34"/>
      <c r="DQJ389" s="34"/>
      <c r="DQK389" s="34"/>
      <c r="DQL389" s="34"/>
      <c r="DQM389" s="34"/>
      <c r="DQN389" s="34"/>
      <c r="DQO389" s="34"/>
      <c r="DQP389" s="34"/>
      <c r="DQQ389" s="34"/>
      <c r="DQR389" s="34"/>
      <c r="DQS389" s="34"/>
      <c r="DQT389" s="34"/>
      <c r="DQU389" s="34"/>
      <c r="DQV389" s="34"/>
      <c r="DQW389" s="34"/>
      <c r="DQX389" s="34"/>
      <c r="DQY389" s="34"/>
      <c r="DQZ389" s="34"/>
      <c r="DRA389" s="34"/>
      <c r="DRB389" s="34"/>
      <c r="DRC389" s="34"/>
      <c r="DRD389" s="34"/>
      <c r="DRE389" s="34"/>
      <c r="DRF389" s="34"/>
      <c r="DRG389" s="34"/>
      <c r="DRH389" s="34"/>
      <c r="DRI389" s="34"/>
      <c r="DRJ389" s="34"/>
      <c r="DRK389" s="34"/>
      <c r="DRL389" s="34"/>
      <c r="DRM389" s="34"/>
      <c r="DRN389" s="34"/>
      <c r="DRO389" s="34"/>
      <c r="DRP389" s="34"/>
      <c r="DRQ389" s="34"/>
      <c r="DRR389" s="34"/>
      <c r="DRS389" s="34"/>
      <c r="DRT389" s="34"/>
      <c r="DRU389" s="34"/>
      <c r="DRV389" s="34"/>
      <c r="DRW389" s="34"/>
      <c r="DRX389" s="34"/>
      <c r="DRY389" s="34"/>
      <c r="DRZ389" s="34"/>
      <c r="DSA389" s="34"/>
      <c r="DSB389" s="34"/>
      <c r="DSC389" s="34"/>
      <c r="DSD389" s="34"/>
      <c r="DSE389" s="34"/>
      <c r="DSF389" s="34"/>
      <c r="DSG389" s="34"/>
      <c r="DSH389" s="34"/>
      <c r="DSI389" s="34"/>
      <c r="DSJ389" s="34"/>
      <c r="DSK389" s="34"/>
      <c r="DSL389" s="34"/>
      <c r="DSM389" s="34"/>
      <c r="DSN389" s="34"/>
      <c r="DSO389" s="34"/>
      <c r="DSP389" s="34"/>
      <c r="DSQ389" s="34"/>
      <c r="DSR389" s="34"/>
      <c r="DSS389" s="34"/>
      <c r="DST389" s="34"/>
      <c r="DSU389" s="34"/>
      <c r="DSV389" s="34"/>
      <c r="DSW389" s="34"/>
      <c r="DSX389" s="34"/>
      <c r="DSY389" s="34"/>
      <c r="DSZ389" s="34"/>
      <c r="DTA389" s="34"/>
      <c r="DTB389" s="34"/>
      <c r="DTC389" s="34"/>
      <c r="DTD389" s="34"/>
      <c r="DTE389" s="34"/>
      <c r="DTF389" s="34"/>
      <c r="DTG389" s="34"/>
      <c r="DTH389" s="34"/>
      <c r="DTI389" s="34"/>
      <c r="DTJ389" s="34"/>
      <c r="DTK389" s="34"/>
      <c r="DTL389" s="34"/>
      <c r="DTM389" s="34"/>
      <c r="DTN389" s="34"/>
      <c r="DTO389" s="34"/>
      <c r="DTP389" s="34"/>
      <c r="DTQ389" s="34"/>
      <c r="DTR389" s="34"/>
      <c r="DTS389" s="34"/>
      <c r="DTT389" s="34"/>
      <c r="DTU389" s="34"/>
      <c r="DTV389" s="34"/>
      <c r="DTW389" s="34"/>
      <c r="DTX389" s="34"/>
      <c r="DTY389" s="34"/>
      <c r="DTZ389" s="34"/>
      <c r="DUA389" s="34"/>
      <c r="DUB389" s="34"/>
      <c r="DUC389" s="34"/>
      <c r="DUD389" s="34"/>
      <c r="DUE389" s="34"/>
      <c r="DUF389" s="34"/>
      <c r="DUG389" s="34"/>
      <c r="DUH389" s="34"/>
      <c r="DUI389" s="34"/>
      <c r="DUJ389" s="34"/>
      <c r="DUK389" s="34"/>
      <c r="DUL389" s="34"/>
      <c r="DUM389" s="34"/>
      <c r="DUN389" s="34"/>
      <c r="DUO389" s="34"/>
      <c r="DUP389" s="34"/>
      <c r="DUQ389" s="34"/>
      <c r="DUR389" s="34"/>
      <c r="DUS389" s="34"/>
      <c r="DUT389" s="34"/>
      <c r="DUU389" s="34"/>
      <c r="DUV389" s="34"/>
      <c r="DUW389" s="34"/>
      <c r="DUX389" s="34"/>
      <c r="DUY389" s="34"/>
      <c r="DUZ389" s="34"/>
      <c r="DVA389" s="34"/>
      <c r="DVB389" s="34"/>
      <c r="DVC389" s="34"/>
      <c r="DVD389" s="34"/>
      <c r="DVE389" s="34"/>
      <c r="DVF389" s="34"/>
      <c r="DVG389" s="34"/>
      <c r="DVH389" s="34"/>
      <c r="DVI389" s="34"/>
      <c r="DVJ389" s="34"/>
      <c r="DVK389" s="34"/>
      <c r="DVL389" s="34"/>
      <c r="DVM389" s="34"/>
      <c r="DVN389" s="34"/>
      <c r="DVO389" s="34"/>
      <c r="DVP389" s="34"/>
      <c r="DVQ389" s="34"/>
      <c r="DVR389" s="34"/>
      <c r="DVS389" s="34"/>
      <c r="DVT389" s="34"/>
      <c r="DVU389" s="34"/>
      <c r="DVV389" s="34"/>
      <c r="DVW389" s="34"/>
      <c r="DVX389" s="34"/>
      <c r="DVY389" s="34"/>
      <c r="DVZ389" s="34"/>
      <c r="DWA389" s="34"/>
      <c r="DWB389" s="34"/>
      <c r="DWC389" s="34"/>
      <c r="DWD389" s="34"/>
      <c r="DWE389" s="34"/>
      <c r="DWF389" s="34"/>
      <c r="DWG389" s="34"/>
      <c r="DWH389" s="34"/>
      <c r="DWI389" s="34"/>
      <c r="DWJ389" s="34"/>
      <c r="DWK389" s="34"/>
      <c r="DWL389" s="34"/>
      <c r="DWM389" s="34"/>
      <c r="DWN389" s="34"/>
      <c r="DWO389" s="34"/>
      <c r="DWP389" s="34"/>
      <c r="DWQ389" s="34"/>
      <c r="DWR389" s="34"/>
      <c r="DWS389" s="34"/>
      <c r="DWT389" s="34"/>
      <c r="DWU389" s="34"/>
      <c r="DWV389" s="34"/>
      <c r="DWW389" s="34"/>
      <c r="DWX389" s="34"/>
      <c r="DWY389" s="34"/>
      <c r="DWZ389" s="34"/>
      <c r="DXA389" s="34"/>
      <c r="DXB389" s="34"/>
      <c r="DXC389" s="34"/>
      <c r="DXD389" s="34"/>
      <c r="DXE389" s="34"/>
      <c r="DXF389" s="34"/>
      <c r="DXG389" s="34"/>
      <c r="DXH389" s="34"/>
      <c r="DXI389" s="34"/>
      <c r="DXJ389" s="34"/>
      <c r="DXK389" s="34"/>
      <c r="DXL389" s="34"/>
      <c r="DXM389" s="34"/>
      <c r="DXN389" s="34"/>
      <c r="DXO389" s="34"/>
      <c r="DXP389" s="34"/>
      <c r="DXQ389" s="34"/>
      <c r="DXR389" s="34"/>
      <c r="DXS389" s="34"/>
      <c r="DXT389" s="34"/>
      <c r="DXU389" s="34"/>
      <c r="DXV389" s="34"/>
      <c r="DXW389" s="34"/>
      <c r="DXX389" s="34"/>
      <c r="DXY389" s="34"/>
      <c r="DXZ389" s="34"/>
      <c r="DYA389" s="34"/>
      <c r="DYB389" s="34"/>
      <c r="DYC389" s="34"/>
      <c r="DYD389" s="34"/>
      <c r="DYE389" s="34"/>
      <c r="DYF389" s="34"/>
      <c r="DYG389" s="34"/>
      <c r="DYH389" s="34"/>
      <c r="DYI389" s="34"/>
      <c r="DYJ389" s="34"/>
      <c r="DYK389" s="34"/>
      <c r="DYL389" s="34"/>
      <c r="DYM389" s="34"/>
      <c r="DYN389" s="34"/>
      <c r="DYO389" s="34"/>
      <c r="DYP389" s="34"/>
      <c r="DYQ389" s="34"/>
      <c r="DYR389" s="34"/>
      <c r="DYS389" s="34"/>
      <c r="DYT389" s="34"/>
      <c r="DYU389" s="34"/>
      <c r="DYV389" s="34"/>
      <c r="DYW389" s="34"/>
      <c r="DYX389" s="34"/>
      <c r="DYY389" s="34"/>
      <c r="DYZ389" s="34"/>
      <c r="DZA389" s="34"/>
      <c r="DZB389" s="34"/>
      <c r="DZC389" s="34"/>
      <c r="DZD389" s="34"/>
      <c r="DZE389" s="34"/>
      <c r="DZF389" s="34"/>
      <c r="DZG389" s="34"/>
      <c r="DZH389" s="34"/>
      <c r="DZI389" s="34"/>
      <c r="DZJ389" s="34"/>
      <c r="DZK389" s="34"/>
      <c r="DZL389" s="34"/>
      <c r="DZM389" s="34"/>
      <c r="DZN389" s="34"/>
      <c r="DZO389" s="34"/>
      <c r="DZP389" s="34"/>
      <c r="DZQ389" s="34"/>
      <c r="DZR389" s="34"/>
      <c r="DZS389" s="34"/>
      <c r="DZT389" s="34"/>
      <c r="DZU389" s="34"/>
      <c r="DZV389" s="34"/>
      <c r="DZW389" s="34"/>
      <c r="DZX389" s="34"/>
      <c r="DZY389" s="34"/>
      <c r="DZZ389" s="34"/>
      <c r="EAA389" s="34"/>
      <c r="EAB389" s="34"/>
      <c r="EAC389" s="34"/>
      <c r="EAD389" s="34"/>
      <c r="EAE389" s="34"/>
      <c r="EAF389" s="34"/>
      <c r="EAG389" s="34"/>
      <c r="EAH389" s="34"/>
      <c r="EAI389" s="34"/>
      <c r="EAJ389" s="34"/>
      <c r="EAK389" s="34"/>
      <c r="EAL389" s="34"/>
      <c r="EAM389" s="34"/>
      <c r="EAN389" s="34"/>
      <c r="EAO389" s="34"/>
      <c r="EAP389" s="34"/>
      <c r="EAQ389" s="34"/>
      <c r="EAR389" s="34"/>
      <c r="EAS389" s="34"/>
      <c r="EAT389" s="34"/>
      <c r="EAU389" s="34"/>
      <c r="EAV389" s="34"/>
      <c r="EAW389" s="34"/>
      <c r="EAX389" s="34"/>
      <c r="EAY389" s="34"/>
      <c r="EAZ389" s="34"/>
      <c r="EBA389" s="34"/>
      <c r="EBB389" s="34"/>
      <c r="EBC389" s="34"/>
      <c r="EBD389" s="34"/>
      <c r="EBE389" s="34"/>
      <c r="EBF389" s="34"/>
      <c r="EBG389" s="34"/>
      <c r="EBH389" s="34"/>
      <c r="EBI389" s="34"/>
      <c r="EBJ389" s="34"/>
      <c r="EBK389" s="34"/>
      <c r="EBL389" s="34"/>
      <c r="EBM389" s="34"/>
      <c r="EBN389" s="34"/>
      <c r="EBO389" s="34"/>
      <c r="EBP389" s="34"/>
      <c r="EBQ389" s="34"/>
      <c r="EBR389" s="34"/>
      <c r="EBS389" s="34"/>
      <c r="EBT389" s="34"/>
      <c r="EBU389" s="34"/>
      <c r="EBV389" s="34"/>
      <c r="EBW389" s="34"/>
      <c r="EBX389" s="34"/>
      <c r="EBY389" s="34"/>
      <c r="EBZ389" s="34"/>
      <c r="ECA389" s="34"/>
      <c r="ECB389" s="34"/>
      <c r="ECC389" s="34"/>
      <c r="ECD389" s="34"/>
      <c r="ECE389" s="34"/>
      <c r="ECF389" s="34"/>
      <c r="ECG389" s="34"/>
      <c r="ECH389" s="34"/>
      <c r="ECI389" s="34"/>
      <c r="ECJ389" s="34"/>
      <c r="ECK389" s="34"/>
      <c r="ECL389" s="34"/>
      <c r="ECM389" s="34"/>
      <c r="ECN389" s="34"/>
      <c r="ECO389" s="34"/>
      <c r="ECP389" s="34"/>
      <c r="ECQ389" s="34"/>
      <c r="ECR389" s="34"/>
      <c r="ECS389" s="34"/>
      <c r="ECT389" s="34"/>
      <c r="ECU389" s="34"/>
      <c r="ECV389" s="34"/>
      <c r="ECW389" s="34"/>
      <c r="ECX389" s="34"/>
      <c r="ECY389" s="34"/>
      <c r="ECZ389" s="34"/>
      <c r="EDA389" s="34"/>
      <c r="EDB389" s="34"/>
      <c r="EDC389" s="34"/>
      <c r="EDD389" s="34"/>
      <c r="EDE389" s="34"/>
      <c r="EDF389" s="34"/>
      <c r="EDG389" s="34"/>
      <c r="EDH389" s="34"/>
      <c r="EDI389" s="34"/>
      <c r="EDJ389" s="34"/>
      <c r="EDK389" s="34"/>
      <c r="EDL389" s="34"/>
      <c r="EDM389" s="34"/>
      <c r="EDN389" s="34"/>
      <c r="EDO389" s="34"/>
      <c r="EDP389" s="34"/>
      <c r="EDQ389" s="34"/>
      <c r="EDR389" s="34"/>
      <c r="EDS389" s="34"/>
      <c r="EDT389" s="34"/>
      <c r="EDU389" s="34"/>
      <c r="EDV389" s="34"/>
      <c r="EDW389" s="34"/>
      <c r="EDX389" s="34"/>
      <c r="EDY389" s="34"/>
      <c r="EDZ389" s="34"/>
      <c r="EEA389" s="34"/>
      <c r="EEB389" s="34"/>
      <c r="EEC389" s="34"/>
      <c r="EED389" s="34"/>
      <c r="EEE389" s="34"/>
      <c r="EEF389" s="34"/>
      <c r="EEG389" s="34"/>
      <c r="EEH389" s="34"/>
      <c r="EEI389" s="34"/>
      <c r="EEJ389" s="34"/>
      <c r="EEK389" s="34"/>
      <c r="EEL389" s="34"/>
      <c r="EEM389" s="34"/>
      <c r="EEN389" s="34"/>
      <c r="EEO389" s="34"/>
      <c r="EEP389" s="34"/>
      <c r="EEQ389" s="34"/>
      <c r="EER389" s="34"/>
      <c r="EES389" s="34"/>
      <c r="EET389" s="34"/>
      <c r="EEU389" s="34"/>
      <c r="EEV389" s="34"/>
      <c r="EEW389" s="34"/>
      <c r="EEX389" s="34"/>
      <c r="EEY389" s="34"/>
      <c r="EEZ389" s="34"/>
      <c r="EFA389" s="34"/>
      <c r="EFB389" s="34"/>
      <c r="EFC389" s="34"/>
      <c r="EFD389" s="34"/>
      <c r="EFE389" s="34"/>
      <c r="EFF389" s="34"/>
      <c r="EFG389" s="34"/>
      <c r="EFH389" s="34"/>
      <c r="EFI389" s="34"/>
      <c r="EFJ389" s="34"/>
      <c r="EFK389" s="34"/>
      <c r="EFL389" s="34"/>
      <c r="EFM389" s="34"/>
      <c r="EFN389" s="34"/>
      <c r="EFO389" s="34"/>
      <c r="EFP389" s="34"/>
      <c r="EFQ389" s="34"/>
      <c r="EFR389" s="34"/>
      <c r="EFS389" s="34"/>
      <c r="EFT389" s="34"/>
      <c r="EFU389" s="34"/>
      <c r="EFV389" s="34"/>
      <c r="EFW389" s="34"/>
      <c r="EFX389" s="34"/>
      <c r="EFY389" s="34"/>
      <c r="EFZ389" s="34"/>
      <c r="EGA389" s="34"/>
      <c r="EGB389" s="34"/>
      <c r="EGC389" s="34"/>
      <c r="EGD389" s="34"/>
      <c r="EGE389" s="34"/>
      <c r="EGF389" s="34"/>
      <c r="EGG389" s="34"/>
      <c r="EGH389" s="34"/>
      <c r="EGI389" s="34"/>
      <c r="EGJ389" s="34"/>
      <c r="EGK389" s="34"/>
      <c r="EGL389" s="34"/>
      <c r="EGM389" s="34"/>
      <c r="EGN389" s="34"/>
      <c r="EGO389" s="34"/>
      <c r="EGP389" s="34"/>
      <c r="EGQ389" s="34"/>
      <c r="EGR389" s="34"/>
      <c r="EGS389" s="34"/>
      <c r="EGT389" s="34"/>
      <c r="EGU389" s="34"/>
      <c r="EGV389" s="34"/>
      <c r="EGW389" s="34"/>
      <c r="EGX389" s="34"/>
      <c r="EGY389" s="34"/>
      <c r="EGZ389" s="34"/>
      <c r="EHA389" s="34"/>
      <c r="EHB389" s="34"/>
      <c r="EHC389" s="34"/>
      <c r="EHD389" s="34"/>
      <c r="EHE389" s="34"/>
      <c r="EHF389" s="34"/>
      <c r="EHG389" s="34"/>
      <c r="EHH389" s="34"/>
      <c r="EHI389" s="34"/>
      <c r="EHJ389" s="34"/>
      <c r="EHK389" s="34"/>
      <c r="EHL389" s="34"/>
      <c r="EHM389" s="34"/>
      <c r="EHN389" s="34"/>
      <c r="EHO389" s="34"/>
      <c r="EHP389" s="34"/>
      <c r="EHQ389" s="34"/>
      <c r="EHR389" s="34"/>
      <c r="EHS389" s="34"/>
      <c r="EHT389" s="34"/>
      <c r="EHU389" s="34"/>
      <c r="EHV389" s="34"/>
      <c r="EHW389" s="34"/>
      <c r="EHX389" s="34"/>
      <c r="EHY389" s="34"/>
      <c r="EHZ389" s="34"/>
      <c r="EIA389" s="34"/>
      <c r="EIB389" s="34"/>
      <c r="EIC389" s="34"/>
      <c r="EID389" s="34"/>
      <c r="EIE389" s="34"/>
      <c r="EIF389" s="34"/>
      <c r="EIG389" s="34"/>
      <c r="EIH389" s="34"/>
      <c r="EII389" s="34"/>
      <c r="EIJ389" s="34"/>
      <c r="EIK389" s="34"/>
      <c r="EIL389" s="34"/>
      <c r="EIM389" s="34"/>
      <c r="EIN389" s="34"/>
      <c r="EIO389" s="34"/>
      <c r="EIP389" s="34"/>
      <c r="EIQ389" s="34"/>
      <c r="EIR389" s="34"/>
      <c r="EIS389" s="34"/>
      <c r="EIT389" s="34"/>
      <c r="EIU389" s="34"/>
      <c r="EIV389" s="34"/>
      <c r="EIW389" s="34"/>
      <c r="EIX389" s="34"/>
      <c r="EIY389" s="34"/>
      <c r="EIZ389" s="34"/>
      <c r="EJA389" s="34"/>
      <c r="EJB389" s="34"/>
      <c r="EJC389" s="34"/>
      <c r="EJD389" s="34"/>
      <c r="EJE389" s="34"/>
      <c r="EJF389" s="34"/>
      <c r="EJG389" s="34"/>
      <c r="EJH389" s="34"/>
      <c r="EJI389" s="34"/>
      <c r="EJJ389" s="34"/>
      <c r="EJK389" s="34"/>
      <c r="EJL389" s="34"/>
      <c r="EJM389" s="34"/>
      <c r="EJN389" s="34"/>
      <c r="EJO389" s="34"/>
      <c r="EJP389" s="34"/>
      <c r="EJQ389" s="34"/>
      <c r="EJR389" s="34"/>
      <c r="EJS389" s="34"/>
      <c r="EJT389" s="34"/>
      <c r="EJU389" s="34"/>
      <c r="EJV389" s="34"/>
      <c r="EJW389" s="34"/>
      <c r="EJX389" s="34"/>
      <c r="EJY389" s="34"/>
      <c r="EJZ389" s="34"/>
      <c r="EKA389" s="34"/>
      <c r="EKB389" s="34"/>
      <c r="EKC389" s="34"/>
      <c r="EKD389" s="34"/>
      <c r="EKE389" s="34"/>
      <c r="EKF389" s="34"/>
      <c r="EKG389" s="34"/>
      <c r="EKH389" s="34"/>
      <c r="EKI389" s="34"/>
      <c r="EKJ389" s="34"/>
      <c r="EKK389" s="34"/>
      <c r="EKL389" s="34"/>
      <c r="EKM389" s="34"/>
      <c r="EKN389" s="34"/>
      <c r="EKO389" s="34"/>
      <c r="EKP389" s="34"/>
      <c r="EKQ389" s="34"/>
      <c r="EKR389" s="34"/>
      <c r="EKS389" s="34"/>
      <c r="EKT389" s="34"/>
      <c r="EKU389" s="34"/>
      <c r="EKV389" s="34"/>
      <c r="EKW389" s="34"/>
      <c r="EKX389" s="34"/>
      <c r="EKY389" s="34"/>
      <c r="EKZ389" s="34"/>
      <c r="ELA389" s="34"/>
      <c r="ELB389" s="34"/>
      <c r="ELC389" s="34"/>
      <c r="ELD389" s="34"/>
      <c r="ELE389" s="34"/>
      <c r="ELF389" s="34"/>
      <c r="ELG389" s="34"/>
      <c r="ELH389" s="34"/>
      <c r="ELI389" s="34"/>
      <c r="ELJ389" s="34"/>
      <c r="ELK389" s="34"/>
      <c r="ELL389" s="34"/>
      <c r="ELM389" s="34"/>
      <c r="ELN389" s="34"/>
      <c r="ELO389" s="34"/>
      <c r="ELP389" s="34"/>
      <c r="ELQ389" s="34"/>
      <c r="ELR389" s="34"/>
      <c r="ELS389" s="34"/>
      <c r="ELT389" s="34"/>
      <c r="ELU389" s="34"/>
      <c r="ELV389" s="34"/>
      <c r="ELW389" s="34"/>
      <c r="ELX389" s="34"/>
      <c r="ELY389" s="34"/>
      <c r="ELZ389" s="34"/>
      <c r="EMA389" s="34"/>
      <c r="EMB389" s="34"/>
      <c r="EMC389" s="34"/>
      <c r="EMD389" s="34"/>
      <c r="EME389" s="34"/>
      <c r="EMF389" s="34"/>
      <c r="EMG389" s="34"/>
      <c r="EMH389" s="34"/>
      <c r="EMI389" s="34"/>
      <c r="EMJ389" s="34"/>
      <c r="EMK389" s="34"/>
      <c r="EML389" s="34"/>
      <c r="EMM389" s="34"/>
      <c r="EMN389" s="34"/>
      <c r="EMO389" s="34"/>
      <c r="EMP389" s="34"/>
      <c r="EMQ389" s="34"/>
      <c r="EMR389" s="34"/>
      <c r="EMS389" s="34"/>
      <c r="EMT389" s="34"/>
      <c r="EMU389" s="34"/>
      <c r="EMV389" s="34"/>
      <c r="EMW389" s="34"/>
      <c r="EMX389" s="34"/>
      <c r="EMY389" s="34"/>
      <c r="EMZ389" s="34"/>
      <c r="ENA389" s="34"/>
      <c r="ENB389" s="34"/>
      <c r="ENC389" s="34"/>
      <c r="END389" s="34"/>
      <c r="ENE389" s="34"/>
      <c r="ENF389" s="34"/>
      <c r="ENG389" s="34"/>
      <c r="ENH389" s="34"/>
      <c r="ENI389" s="34"/>
      <c r="ENJ389" s="34"/>
      <c r="ENK389" s="34"/>
      <c r="ENL389" s="34"/>
      <c r="ENM389" s="34"/>
      <c r="ENN389" s="34"/>
      <c r="ENO389" s="34"/>
      <c r="ENP389" s="34"/>
      <c r="ENQ389" s="34"/>
      <c r="ENR389" s="34"/>
      <c r="ENS389" s="34"/>
      <c r="ENT389" s="34"/>
      <c r="ENU389" s="34"/>
      <c r="ENV389" s="34"/>
      <c r="ENW389" s="34"/>
      <c r="ENX389" s="34"/>
      <c r="ENY389" s="34"/>
      <c r="ENZ389" s="34"/>
      <c r="EOA389" s="34"/>
      <c r="EOB389" s="34"/>
      <c r="EOC389" s="34"/>
      <c r="EOD389" s="34"/>
      <c r="EOE389" s="34"/>
      <c r="EOF389" s="34"/>
      <c r="EOG389" s="34"/>
      <c r="EOH389" s="34"/>
      <c r="EOI389" s="34"/>
      <c r="EOJ389" s="34"/>
      <c r="EOK389" s="34"/>
      <c r="EOL389" s="34"/>
      <c r="EOM389" s="34"/>
      <c r="EON389" s="34"/>
      <c r="EOO389" s="34"/>
      <c r="EOP389" s="34"/>
      <c r="EOQ389" s="34"/>
      <c r="EOR389" s="34"/>
      <c r="EOS389" s="34"/>
      <c r="EOT389" s="34"/>
      <c r="EOU389" s="34"/>
      <c r="EOV389" s="34"/>
      <c r="EOW389" s="34"/>
      <c r="EOX389" s="34"/>
      <c r="EOY389" s="34"/>
      <c r="EOZ389" s="34"/>
      <c r="EPA389" s="34"/>
      <c r="EPB389" s="34"/>
      <c r="EPC389" s="34"/>
      <c r="EPD389" s="34"/>
      <c r="EPE389" s="34"/>
      <c r="EPF389" s="34"/>
      <c r="EPG389" s="34"/>
      <c r="EPH389" s="34"/>
      <c r="EPI389" s="34"/>
      <c r="EPJ389" s="34"/>
      <c r="EPK389" s="34"/>
      <c r="EPL389" s="34"/>
      <c r="EPM389" s="34"/>
      <c r="EPN389" s="34"/>
      <c r="EPO389" s="34"/>
      <c r="EPP389" s="34"/>
      <c r="EPQ389" s="34"/>
      <c r="EPR389" s="34"/>
      <c r="EPS389" s="34"/>
      <c r="EPT389" s="34"/>
      <c r="EPU389" s="34"/>
      <c r="EPV389" s="34"/>
      <c r="EPW389" s="34"/>
      <c r="EPX389" s="34"/>
      <c r="EPY389" s="34"/>
      <c r="EPZ389" s="34"/>
      <c r="EQA389" s="34"/>
      <c r="EQB389" s="34"/>
      <c r="EQC389" s="34"/>
      <c r="EQD389" s="34"/>
      <c r="EQE389" s="34"/>
      <c r="EQF389" s="34"/>
      <c r="EQG389" s="34"/>
      <c r="EQH389" s="34"/>
      <c r="EQI389" s="34"/>
      <c r="EQJ389" s="34"/>
      <c r="EQK389" s="34"/>
      <c r="EQL389" s="34"/>
      <c r="EQM389" s="34"/>
      <c r="EQN389" s="34"/>
      <c r="EQO389" s="34"/>
      <c r="EQP389" s="34"/>
      <c r="EQQ389" s="34"/>
      <c r="EQR389" s="34"/>
      <c r="EQS389" s="34"/>
      <c r="EQT389" s="34"/>
      <c r="EQU389" s="34"/>
      <c r="EQV389" s="34"/>
      <c r="EQW389" s="34"/>
      <c r="EQX389" s="34"/>
      <c r="EQY389" s="34"/>
      <c r="EQZ389" s="34"/>
      <c r="ERA389" s="34"/>
      <c r="ERB389" s="34"/>
      <c r="ERC389" s="34"/>
      <c r="ERD389" s="34"/>
      <c r="ERE389" s="34"/>
      <c r="ERF389" s="34"/>
      <c r="ERG389" s="34"/>
      <c r="ERH389" s="34"/>
      <c r="ERI389" s="34"/>
      <c r="ERJ389" s="34"/>
      <c r="ERK389" s="34"/>
      <c r="ERL389" s="34"/>
      <c r="ERM389" s="34"/>
      <c r="ERN389" s="34"/>
      <c r="ERO389" s="34"/>
      <c r="ERP389" s="34"/>
      <c r="ERQ389" s="34"/>
      <c r="ERR389" s="34"/>
      <c r="ERS389" s="34"/>
      <c r="ERT389" s="34"/>
      <c r="ERU389" s="34"/>
      <c r="ERV389" s="34"/>
      <c r="ERW389" s="34"/>
      <c r="ERX389" s="34"/>
      <c r="ERY389" s="34"/>
      <c r="ERZ389" s="34"/>
      <c r="ESA389" s="34"/>
      <c r="ESB389" s="34"/>
      <c r="ESC389" s="34"/>
      <c r="ESD389" s="34"/>
      <c r="ESE389" s="34"/>
      <c r="ESF389" s="34"/>
      <c r="ESG389" s="34"/>
      <c r="ESH389" s="34"/>
      <c r="ESI389" s="34"/>
      <c r="ESJ389" s="34"/>
      <c r="ESK389" s="34"/>
      <c r="ESL389" s="34"/>
      <c r="ESM389" s="34"/>
      <c r="ESN389" s="34"/>
      <c r="ESO389" s="34"/>
      <c r="ESP389" s="34"/>
      <c r="ESQ389" s="34"/>
      <c r="ESR389" s="34"/>
      <c r="ESS389" s="34"/>
      <c r="EST389" s="34"/>
      <c r="ESU389" s="34"/>
      <c r="ESV389" s="34"/>
      <c r="ESW389" s="34"/>
      <c r="ESX389" s="34"/>
      <c r="ESY389" s="34"/>
      <c r="ESZ389" s="34"/>
      <c r="ETA389" s="34"/>
      <c r="ETB389" s="34"/>
      <c r="ETC389" s="34"/>
      <c r="ETD389" s="34"/>
      <c r="ETE389" s="34"/>
      <c r="ETF389" s="34"/>
      <c r="ETG389" s="34"/>
      <c r="ETH389" s="34"/>
      <c r="ETI389" s="34"/>
      <c r="ETJ389" s="34"/>
      <c r="ETK389" s="34"/>
      <c r="ETL389" s="34"/>
      <c r="ETM389" s="34"/>
      <c r="ETN389" s="34"/>
      <c r="ETO389" s="34"/>
      <c r="ETP389" s="34"/>
      <c r="ETQ389" s="34"/>
      <c r="ETR389" s="34"/>
      <c r="ETS389" s="34"/>
      <c r="ETT389" s="34"/>
      <c r="ETU389" s="34"/>
      <c r="ETV389" s="34"/>
      <c r="ETW389" s="34"/>
      <c r="ETX389" s="34"/>
      <c r="ETY389" s="34"/>
      <c r="ETZ389" s="34"/>
      <c r="EUA389" s="34"/>
      <c r="EUB389" s="34"/>
      <c r="EUC389" s="34"/>
      <c r="EUD389" s="34"/>
      <c r="EUE389" s="34"/>
      <c r="EUF389" s="34"/>
      <c r="EUG389" s="34"/>
      <c r="EUH389" s="34"/>
      <c r="EUI389" s="34"/>
      <c r="EUJ389" s="34"/>
      <c r="EUK389" s="34"/>
      <c r="EUL389" s="34"/>
      <c r="EUM389" s="34"/>
      <c r="EUN389" s="34"/>
      <c r="EUO389" s="34"/>
      <c r="EUP389" s="34"/>
      <c r="EUQ389" s="34"/>
      <c r="EUR389" s="34"/>
      <c r="EUS389" s="34"/>
      <c r="EUT389" s="34"/>
      <c r="EUU389" s="34"/>
      <c r="EUV389" s="34"/>
      <c r="EUW389" s="34"/>
      <c r="EUX389" s="34"/>
      <c r="EUY389" s="34"/>
      <c r="EUZ389" s="34"/>
      <c r="EVA389" s="34"/>
      <c r="EVB389" s="34"/>
      <c r="EVC389" s="34"/>
      <c r="EVD389" s="34"/>
      <c r="EVE389" s="34"/>
      <c r="EVF389" s="34"/>
      <c r="EVG389" s="34"/>
      <c r="EVH389" s="34"/>
      <c r="EVI389" s="34"/>
      <c r="EVJ389" s="34"/>
      <c r="EVK389" s="34"/>
      <c r="EVL389" s="34"/>
      <c r="EVM389" s="34"/>
      <c r="EVN389" s="34"/>
      <c r="EVO389" s="34"/>
      <c r="EVP389" s="34"/>
      <c r="EVQ389" s="34"/>
      <c r="EVR389" s="34"/>
      <c r="EVS389" s="34"/>
      <c r="EVT389" s="34"/>
      <c r="EVU389" s="34"/>
      <c r="EVV389" s="34"/>
      <c r="EVW389" s="34"/>
      <c r="EVX389" s="34"/>
      <c r="EVY389" s="34"/>
      <c r="EVZ389" s="34"/>
      <c r="EWA389" s="34"/>
      <c r="EWB389" s="34"/>
      <c r="EWC389" s="34"/>
      <c r="EWD389" s="34"/>
      <c r="EWE389" s="34"/>
      <c r="EWF389" s="34"/>
      <c r="EWG389" s="34"/>
      <c r="EWH389" s="34"/>
      <c r="EWI389" s="34"/>
      <c r="EWJ389" s="34"/>
      <c r="EWK389" s="34"/>
      <c r="EWL389" s="34"/>
      <c r="EWM389" s="34"/>
      <c r="EWN389" s="34"/>
      <c r="EWO389" s="34"/>
      <c r="EWP389" s="34"/>
      <c r="EWQ389" s="34"/>
      <c r="EWR389" s="34"/>
      <c r="EWS389" s="34"/>
      <c r="EWT389" s="34"/>
      <c r="EWU389" s="34"/>
      <c r="EWV389" s="34"/>
      <c r="EWW389" s="34"/>
      <c r="EWX389" s="34"/>
      <c r="EWY389" s="34"/>
      <c r="EWZ389" s="34"/>
      <c r="EXA389" s="34"/>
      <c r="EXB389" s="34"/>
      <c r="EXC389" s="34"/>
      <c r="EXD389" s="34"/>
      <c r="EXE389" s="34"/>
      <c r="EXF389" s="34"/>
      <c r="EXG389" s="34"/>
      <c r="EXH389" s="34"/>
      <c r="EXI389" s="34"/>
      <c r="EXJ389" s="34"/>
      <c r="EXK389" s="34"/>
      <c r="EXL389" s="34"/>
      <c r="EXM389" s="34"/>
      <c r="EXN389" s="34"/>
      <c r="EXO389" s="34"/>
      <c r="EXP389" s="34"/>
      <c r="EXQ389" s="34"/>
      <c r="EXR389" s="34"/>
      <c r="EXS389" s="34"/>
      <c r="EXT389" s="34"/>
      <c r="EXU389" s="34"/>
      <c r="EXV389" s="34"/>
      <c r="EXW389" s="34"/>
      <c r="EXX389" s="34"/>
      <c r="EXY389" s="34"/>
      <c r="EXZ389" s="34"/>
      <c r="EYA389" s="34"/>
      <c r="EYB389" s="34"/>
      <c r="EYC389" s="34"/>
      <c r="EYD389" s="34"/>
      <c r="EYE389" s="34"/>
      <c r="EYF389" s="34"/>
      <c r="EYG389" s="34"/>
      <c r="EYH389" s="34"/>
      <c r="EYI389" s="34"/>
      <c r="EYJ389" s="34"/>
      <c r="EYK389" s="34"/>
      <c r="EYL389" s="34"/>
      <c r="EYM389" s="34"/>
      <c r="EYN389" s="34"/>
      <c r="EYO389" s="34"/>
      <c r="EYP389" s="34"/>
      <c r="EYQ389" s="34"/>
      <c r="EYR389" s="34"/>
      <c r="EYS389" s="34"/>
      <c r="EYT389" s="34"/>
      <c r="EYU389" s="34"/>
      <c r="EYV389" s="34"/>
      <c r="EYW389" s="34"/>
      <c r="EYX389" s="34"/>
      <c r="EYY389" s="34"/>
      <c r="EYZ389" s="34"/>
      <c r="EZA389" s="34"/>
      <c r="EZB389" s="34"/>
      <c r="EZC389" s="34"/>
      <c r="EZD389" s="34"/>
      <c r="EZE389" s="34"/>
      <c r="EZF389" s="34"/>
      <c r="EZG389" s="34"/>
      <c r="EZH389" s="34"/>
      <c r="EZI389" s="34"/>
      <c r="EZJ389" s="34"/>
      <c r="EZK389" s="34"/>
      <c r="EZL389" s="34"/>
      <c r="EZM389" s="34"/>
      <c r="EZN389" s="34"/>
      <c r="EZO389" s="34"/>
      <c r="EZP389" s="34"/>
      <c r="EZQ389" s="34"/>
      <c r="EZR389" s="34"/>
      <c r="EZS389" s="34"/>
      <c r="EZT389" s="34"/>
      <c r="EZU389" s="34"/>
      <c r="EZV389" s="34"/>
      <c r="EZW389" s="34"/>
      <c r="EZX389" s="34"/>
      <c r="EZY389" s="34"/>
      <c r="EZZ389" s="34"/>
      <c r="FAA389" s="34"/>
      <c r="FAB389" s="34"/>
      <c r="FAC389" s="34"/>
      <c r="FAD389" s="34"/>
      <c r="FAE389" s="34"/>
      <c r="FAF389" s="34"/>
      <c r="FAG389" s="34"/>
      <c r="FAH389" s="34"/>
      <c r="FAI389" s="34"/>
      <c r="FAJ389" s="34"/>
      <c r="FAK389" s="34"/>
      <c r="FAL389" s="34"/>
      <c r="FAM389" s="34"/>
      <c r="FAN389" s="34"/>
      <c r="FAO389" s="34"/>
      <c r="FAP389" s="34"/>
      <c r="FAQ389" s="34"/>
      <c r="FAR389" s="34"/>
      <c r="FAS389" s="34"/>
      <c r="FAT389" s="34"/>
      <c r="FAU389" s="34"/>
      <c r="FAV389" s="34"/>
      <c r="FAW389" s="34"/>
      <c r="FAX389" s="34"/>
      <c r="FAY389" s="34"/>
      <c r="FAZ389" s="34"/>
      <c r="FBA389" s="34"/>
      <c r="FBB389" s="34"/>
      <c r="FBC389" s="34"/>
      <c r="FBD389" s="34"/>
      <c r="FBE389" s="34"/>
      <c r="FBF389" s="34"/>
      <c r="FBG389" s="34"/>
      <c r="FBH389" s="34"/>
      <c r="FBI389" s="34"/>
      <c r="FBJ389" s="34"/>
      <c r="FBK389" s="34"/>
      <c r="FBL389" s="34"/>
      <c r="FBM389" s="34"/>
      <c r="FBN389" s="34"/>
      <c r="FBO389" s="34"/>
      <c r="FBP389" s="34"/>
      <c r="FBQ389" s="34"/>
      <c r="FBR389" s="34"/>
      <c r="FBS389" s="34"/>
      <c r="FBT389" s="34"/>
      <c r="FBU389" s="34"/>
      <c r="FBV389" s="34"/>
      <c r="FBW389" s="34"/>
      <c r="FBX389" s="34"/>
      <c r="FBY389" s="34"/>
      <c r="FBZ389" s="34"/>
      <c r="FCA389" s="34"/>
      <c r="FCB389" s="34"/>
      <c r="FCC389" s="34"/>
      <c r="FCD389" s="34"/>
      <c r="FCE389" s="34"/>
      <c r="FCF389" s="34"/>
      <c r="FCG389" s="34"/>
      <c r="FCH389" s="34"/>
      <c r="FCI389" s="34"/>
      <c r="FCJ389" s="34"/>
      <c r="FCK389" s="34"/>
      <c r="FCL389" s="34"/>
      <c r="FCM389" s="34"/>
      <c r="FCN389" s="34"/>
      <c r="FCO389" s="34"/>
      <c r="FCP389" s="34"/>
      <c r="FCQ389" s="34"/>
      <c r="FCR389" s="34"/>
      <c r="FCS389" s="34"/>
      <c r="FCT389" s="34"/>
      <c r="FCU389" s="34"/>
      <c r="FCV389" s="34"/>
      <c r="FCW389" s="34"/>
      <c r="FCX389" s="34"/>
      <c r="FCY389" s="34"/>
      <c r="FCZ389" s="34"/>
      <c r="FDA389" s="34"/>
      <c r="FDB389" s="34"/>
      <c r="FDC389" s="34"/>
      <c r="FDD389" s="34"/>
      <c r="FDE389" s="34"/>
      <c r="FDF389" s="34"/>
      <c r="FDG389" s="34"/>
      <c r="FDH389" s="34"/>
      <c r="FDI389" s="34"/>
      <c r="FDJ389" s="34"/>
      <c r="FDK389" s="34"/>
      <c r="FDL389" s="34"/>
      <c r="FDM389" s="34"/>
      <c r="FDN389" s="34"/>
      <c r="FDO389" s="34"/>
      <c r="FDP389" s="34"/>
      <c r="FDQ389" s="34"/>
      <c r="FDR389" s="34"/>
      <c r="FDS389" s="34"/>
      <c r="FDT389" s="34"/>
      <c r="FDU389" s="34"/>
      <c r="FDV389" s="34"/>
      <c r="FDW389" s="34"/>
      <c r="FDX389" s="34"/>
      <c r="FDY389" s="34"/>
      <c r="FDZ389" s="34"/>
      <c r="FEA389" s="34"/>
      <c r="FEB389" s="34"/>
      <c r="FEC389" s="34"/>
      <c r="FED389" s="34"/>
      <c r="FEE389" s="34"/>
      <c r="FEF389" s="34"/>
      <c r="FEG389" s="34"/>
      <c r="FEH389" s="34"/>
      <c r="FEI389" s="34"/>
      <c r="FEJ389" s="34"/>
      <c r="FEK389" s="34"/>
      <c r="FEL389" s="34"/>
      <c r="FEM389" s="34"/>
      <c r="FEN389" s="34"/>
      <c r="FEO389" s="34"/>
      <c r="FEP389" s="34"/>
      <c r="FEQ389" s="34"/>
      <c r="FER389" s="34"/>
      <c r="FES389" s="34"/>
      <c r="FET389" s="34"/>
      <c r="FEU389" s="34"/>
      <c r="FEV389" s="34"/>
      <c r="FEW389" s="34"/>
      <c r="FEX389" s="34"/>
      <c r="FEY389" s="34"/>
      <c r="FEZ389" s="34"/>
      <c r="FFA389" s="34"/>
      <c r="FFB389" s="34"/>
      <c r="FFC389" s="34"/>
      <c r="FFD389" s="34"/>
      <c r="FFE389" s="34"/>
      <c r="FFF389" s="34"/>
      <c r="FFG389" s="34"/>
      <c r="FFH389" s="34"/>
      <c r="FFI389" s="34"/>
      <c r="FFJ389" s="34"/>
      <c r="FFK389" s="34"/>
      <c r="FFL389" s="34"/>
      <c r="FFM389" s="34"/>
      <c r="FFN389" s="34"/>
      <c r="FFO389" s="34"/>
      <c r="FFP389" s="34"/>
      <c r="FFQ389" s="34"/>
      <c r="FFR389" s="34"/>
      <c r="FFS389" s="34"/>
      <c r="FFT389" s="34"/>
      <c r="FFU389" s="34"/>
      <c r="FFV389" s="34"/>
      <c r="FFW389" s="34"/>
      <c r="FFX389" s="34"/>
      <c r="FFY389" s="34"/>
      <c r="FFZ389" s="34"/>
      <c r="FGA389" s="34"/>
      <c r="FGB389" s="34"/>
      <c r="FGC389" s="34"/>
      <c r="FGD389" s="34"/>
      <c r="FGE389" s="34"/>
      <c r="FGF389" s="34"/>
      <c r="FGG389" s="34"/>
      <c r="FGH389" s="34"/>
      <c r="FGI389" s="34"/>
      <c r="FGJ389" s="34"/>
      <c r="FGK389" s="34"/>
      <c r="FGL389" s="34"/>
      <c r="FGM389" s="34"/>
      <c r="FGN389" s="34"/>
      <c r="FGO389" s="34"/>
      <c r="FGP389" s="34"/>
      <c r="FGQ389" s="34"/>
      <c r="FGR389" s="34"/>
      <c r="FGS389" s="34"/>
      <c r="FGT389" s="34"/>
      <c r="FGU389" s="34"/>
      <c r="FGV389" s="34"/>
      <c r="FGW389" s="34"/>
      <c r="FGX389" s="34"/>
      <c r="FGY389" s="34"/>
      <c r="FGZ389" s="34"/>
      <c r="FHA389" s="34"/>
      <c r="FHB389" s="34"/>
      <c r="FHC389" s="34"/>
      <c r="FHD389" s="34"/>
      <c r="FHE389" s="34"/>
      <c r="FHF389" s="34"/>
      <c r="FHG389" s="34"/>
      <c r="FHH389" s="34"/>
      <c r="FHI389" s="34"/>
      <c r="FHJ389" s="34"/>
      <c r="FHK389" s="34"/>
      <c r="FHL389" s="34"/>
      <c r="FHM389" s="34"/>
      <c r="FHN389" s="34"/>
      <c r="FHO389" s="34"/>
      <c r="FHP389" s="34"/>
      <c r="FHQ389" s="34"/>
      <c r="FHR389" s="34"/>
      <c r="FHS389" s="34"/>
      <c r="FHT389" s="34"/>
      <c r="FHU389" s="34"/>
      <c r="FHV389" s="34"/>
      <c r="FHW389" s="34"/>
      <c r="FHX389" s="34"/>
      <c r="FHY389" s="34"/>
      <c r="FHZ389" s="34"/>
      <c r="FIA389" s="34"/>
      <c r="FIB389" s="34"/>
      <c r="FIC389" s="34"/>
      <c r="FID389" s="34"/>
      <c r="FIE389" s="34"/>
      <c r="FIF389" s="34"/>
      <c r="FIG389" s="34"/>
      <c r="FIH389" s="34"/>
      <c r="FII389" s="34"/>
      <c r="FIJ389" s="34"/>
      <c r="FIK389" s="34"/>
      <c r="FIL389" s="34"/>
      <c r="FIM389" s="34"/>
      <c r="FIN389" s="34"/>
      <c r="FIO389" s="34"/>
      <c r="FIP389" s="34"/>
      <c r="FIQ389" s="34"/>
      <c r="FIR389" s="34"/>
      <c r="FIS389" s="34"/>
      <c r="FIT389" s="34"/>
      <c r="FIU389" s="34"/>
      <c r="FIV389" s="34"/>
      <c r="FIW389" s="34"/>
      <c r="FIX389" s="34"/>
      <c r="FIY389" s="34"/>
      <c r="FIZ389" s="34"/>
      <c r="FJA389" s="34"/>
      <c r="FJB389" s="34"/>
      <c r="FJC389" s="34"/>
      <c r="FJD389" s="34"/>
      <c r="FJE389" s="34"/>
      <c r="FJF389" s="34"/>
      <c r="FJG389" s="34"/>
      <c r="FJH389" s="34"/>
      <c r="FJI389" s="34"/>
      <c r="FJJ389" s="34"/>
      <c r="FJK389" s="34"/>
      <c r="FJL389" s="34"/>
      <c r="FJM389" s="34"/>
      <c r="FJN389" s="34"/>
      <c r="FJO389" s="34"/>
      <c r="FJP389" s="34"/>
      <c r="FJQ389" s="34"/>
      <c r="FJR389" s="34"/>
      <c r="FJS389" s="34"/>
      <c r="FJT389" s="34"/>
      <c r="FJU389" s="34"/>
      <c r="FJV389" s="34"/>
      <c r="FJW389" s="34"/>
      <c r="FJX389" s="34"/>
      <c r="FJY389" s="34"/>
      <c r="FJZ389" s="34"/>
      <c r="FKA389" s="34"/>
      <c r="FKB389" s="34"/>
      <c r="FKC389" s="34"/>
      <c r="FKD389" s="34"/>
      <c r="FKE389" s="34"/>
      <c r="FKF389" s="34"/>
      <c r="FKG389" s="34"/>
      <c r="FKH389" s="34"/>
      <c r="FKI389" s="34"/>
      <c r="FKJ389" s="34"/>
      <c r="FKK389" s="34"/>
      <c r="FKL389" s="34"/>
      <c r="FKM389" s="34"/>
      <c r="FKN389" s="34"/>
      <c r="FKO389" s="34"/>
      <c r="FKP389" s="34"/>
      <c r="FKQ389" s="34"/>
      <c r="FKR389" s="34"/>
      <c r="FKS389" s="34"/>
      <c r="FKT389" s="34"/>
      <c r="FKU389" s="34"/>
      <c r="FKV389" s="34"/>
      <c r="FKW389" s="34"/>
      <c r="FKX389" s="34"/>
      <c r="FKY389" s="34"/>
      <c r="FKZ389" s="34"/>
      <c r="FLA389" s="34"/>
      <c r="FLB389" s="34"/>
      <c r="FLC389" s="34"/>
      <c r="FLD389" s="34"/>
      <c r="FLE389" s="34"/>
      <c r="FLF389" s="34"/>
      <c r="FLG389" s="34"/>
      <c r="FLH389" s="34"/>
      <c r="FLI389" s="34"/>
      <c r="FLJ389" s="34"/>
      <c r="FLK389" s="34"/>
      <c r="FLL389" s="34"/>
      <c r="FLM389" s="34"/>
      <c r="FLN389" s="34"/>
      <c r="FLO389" s="34"/>
      <c r="FLP389" s="34"/>
      <c r="FLQ389" s="34"/>
      <c r="FLR389" s="34"/>
      <c r="FLS389" s="34"/>
      <c r="FLT389" s="34"/>
      <c r="FLU389" s="34"/>
      <c r="FLV389" s="34"/>
      <c r="FLW389" s="34"/>
      <c r="FLX389" s="34"/>
      <c r="FLY389" s="34"/>
      <c r="FLZ389" s="34"/>
      <c r="FMA389" s="34"/>
      <c r="FMB389" s="34"/>
      <c r="FMC389" s="34"/>
      <c r="FMD389" s="34"/>
      <c r="FME389" s="34"/>
      <c r="FMF389" s="34"/>
      <c r="FMG389" s="34"/>
      <c r="FMH389" s="34"/>
      <c r="FMI389" s="34"/>
      <c r="FMJ389" s="34"/>
      <c r="FMK389" s="34"/>
      <c r="FML389" s="34"/>
      <c r="FMM389" s="34"/>
      <c r="FMN389" s="34"/>
      <c r="FMO389" s="34"/>
      <c r="FMP389" s="34"/>
      <c r="FMQ389" s="34"/>
      <c r="FMR389" s="34"/>
      <c r="FMS389" s="34"/>
      <c r="FMT389" s="34"/>
      <c r="FMU389" s="34"/>
      <c r="FMV389" s="34"/>
      <c r="FMW389" s="34"/>
      <c r="FMX389" s="34"/>
      <c r="FMY389" s="34"/>
      <c r="FMZ389" s="34"/>
      <c r="FNA389" s="34"/>
      <c r="FNB389" s="34"/>
      <c r="FNC389" s="34"/>
      <c r="FND389" s="34"/>
      <c r="FNE389" s="34"/>
      <c r="FNF389" s="34"/>
      <c r="FNG389" s="34"/>
      <c r="FNH389" s="34"/>
      <c r="FNI389" s="34"/>
      <c r="FNJ389" s="34"/>
      <c r="FNK389" s="34"/>
      <c r="FNL389" s="34"/>
      <c r="FNM389" s="34"/>
      <c r="FNN389" s="34"/>
      <c r="FNO389" s="34"/>
      <c r="FNP389" s="34"/>
      <c r="FNQ389" s="34"/>
      <c r="FNR389" s="34"/>
      <c r="FNS389" s="34"/>
      <c r="FNT389" s="34"/>
      <c r="FNU389" s="34"/>
      <c r="FNV389" s="34"/>
      <c r="FNW389" s="34"/>
      <c r="FNX389" s="34"/>
      <c r="FNY389" s="34"/>
      <c r="FNZ389" s="34"/>
      <c r="FOA389" s="34"/>
      <c r="FOB389" s="34"/>
      <c r="FOC389" s="34"/>
      <c r="FOD389" s="34"/>
      <c r="FOE389" s="34"/>
      <c r="FOF389" s="34"/>
      <c r="FOG389" s="34"/>
      <c r="FOH389" s="34"/>
      <c r="FOI389" s="34"/>
      <c r="FOJ389" s="34"/>
      <c r="FOK389" s="34"/>
      <c r="FOL389" s="34"/>
      <c r="FOM389" s="34"/>
      <c r="FON389" s="34"/>
      <c r="FOO389" s="34"/>
      <c r="FOP389" s="34"/>
      <c r="FOQ389" s="34"/>
      <c r="FOR389" s="34"/>
      <c r="FOS389" s="34"/>
      <c r="FOT389" s="34"/>
      <c r="FOU389" s="34"/>
      <c r="FOV389" s="34"/>
      <c r="FOW389" s="34"/>
      <c r="FOX389" s="34"/>
      <c r="FOY389" s="34"/>
      <c r="FOZ389" s="34"/>
      <c r="FPA389" s="34"/>
      <c r="FPB389" s="34"/>
      <c r="FPC389" s="34"/>
      <c r="FPD389" s="34"/>
      <c r="FPE389" s="34"/>
      <c r="FPF389" s="34"/>
      <c r="FPG389" s="34"/>
      <c r="FPH389" s="34"/>
      <c r="FPI389" s="34"/>
      <c r="FPJ389" s="34"/>
      <c r="FPK389" s="34"/>
      <c r="FPL389" s="34"/>
      <c r="FPM389" s="34"/>
      <c r="FPN389" s="34"/>
      <c r="FPO389" s="34"/>
      <c r="FPP389" s="34"/>
      <c r="FPQ389" s="34"/>
      <c r="FPR389" s="34"/>
      <c r="FPS389" s="34"/>
      <c r="FPT389" s="34"/>
      <c r="FPU389" s="34"/>
      <c r="FPV389" s="34"/>
      <c r="FPW389" s="34"/>
      <c r="FPX389" s="34"/>
      <c r="FPY389" s="34"/>
      <c r="FPZ389" s="34"/>
      <c r="FQA389" s="34"/>
      <c r="FQB389" s="34"/>
      <c r="FQC389" s="34"/>
      <c r="FQD389" s="34"/>
      <c r="FQE389" s="34"/>
      <c r="FQF389" s="34"/>
      <c r="FQG389" s="34"/>
      <c r="FQH389" s="34"/>
      <c r="FQI389" s="34"/>
      <c r="FQJ389" s="34"/>
      <c r="FQK389" s="34"/>
      <c r="FQL389" s="34"/>
      <c r="FQM389" s="34"/>
      <c r="FQN389" s="34"/>
      <c r="FQO389" s="34"/>
      <c r="FQP389" s="34"/>
      <c r="FQQ389" s="34"/>
      <c r="FQR389" s="34"/>
      <c r="FQS389" s="34"/>
      <c r="FQT389" s="34"/>
      <c r="FQU389" s="34"/>
      <c r="FQV389" s="34"/>
      <c r="FQW389" s="34"/>
      <c r="FQX389" s="34"/>
      <c r="FQY389" s="34"/>
      <c r="FQZ389" s="34"/>
      <c r="FRA389" s="34"/>
      <c r="FRB389" s="34"/>
      <c r="FRC389" s="34"/>
      <c r="FRD389" s="34"/>
      <c r="FRE389" s="34"/>
      <c r="FRF389" s="34"/>
      <c r="FRG389" s="34"/>
      <c r="FRH389" s="34"/>
      <c r="FRI389" s="34"/>
      <c r="FRJ389" s="34"/>
      <c r="FRK389" s="34"/>
      <c r="FRL389" s="34"/>
      <c r="FRM389" s="34"/>
      <c r="FRN389" s="34"/>
      <c r="FRO389" s="34"/>
      <c r="FRP389" s="34"/>
      <c r="FRQ389" s="34"/>
      <c r="FRR389" s="34"/>
      <c r="FRS389" s="34"/>
      <c r="FRT389" s="34"/>
      <c r="FRU389" s="34"/>
      <c r="FRV389" s="34"/>
      <c r="FRW389" s="34"/>
      <c r="FRX389" s="34"/>
      <c r="FRY389" s="34"/>
      <c r="FRZ389" s="34"/>
      <c r="FSA389" s="34"/>
      <c r="FSB389" s="34"/>
      <c r="FSC389" s="34"/>
      <c r="FSD389" s="34"/>
      <c r="FSE389" s="34"/>
      <c r="FSF389" s="34"/>
      <c r="FSG389" s="34"/>
      <c r="FSH389" s="34"/>
      <c r="FSI389" s="34"/>
      <c r="FSJ389" s="34"/>
      <c r="FSK389" s="34"/>
      <c r="FSL389" s="34"/>
      <c r="FSM389" s="34"/>
      <c r="FSN389" s="34"/>
      <c r="FSO389" s="34"/>
      <c r="FSP389" s="34"/>
      <c r="FSQ389" s="34"/>
      <c r="FSR389" s="34"/>
      <c r="FSS389" s="34"/>
      <c r="FST389" s="34"/>
      <c r="FSU389" s="34"/>
      <c r="FSV389" s="34"/>
      <c r="FSW389" s="34"/>
      <c r="FSX389" s="34"/>
      <c r="FSY389" s="34"/>
      <c r="FSZ389" s="34"/>
      <c r="FTA389" s="34"/>
      <c r="FTB389" s="34"/>
      <c r="FTC389" s="34"/>
      <c r="FTD389" s="34"/>
      <c r="FTE389" s="34"/>
      <c r="FTF389" s="34"/>
      <c r="FTG389" s="34"/>
      <c r="FTH389" s="34"/>
      <c r="FTI389" s="34"/>
      <c r="FTJ389" s="34"/>
      <c r="FTK389" s="34"/>
      <c r="FTL389" s="34"/>
      <c r="FTM389" s="34"/>
      <c r="FTN389" s="34"/>
      <c r="FTO389" s="34"/>
      <c r="FTP389" s="34"/>
      <c r="FTQ389" s="34"/>
      <c r="FTR389" s="34"/>
      <c r="FTS389" s="34"/>
      <c r="FTT389" s="34"/>
      <c r="FTU389" s="34"/>
      <c r="FTV389" s="34"/>
      <c r="FTW389" s="34"/>
      <c r="FTX389" s="34"/>
      <c r="FTY389" s="34"/>
      <c r="FTZ389" s="34"/>
      <c r="FUA389" s="34"/>
      <c r="FUB389" s="34"/>
      <c r="FUC389" s="34"/>
      <c r="FUD389" s="34"/>
      <c r="FUE389" s="34"/>
      <c r="FUF389" s="34"/>
      <c r="FUG389" s="34"/>
      <c r="FUH389" s="34"/>
      <c r="FUI389" s="34"/>
      <c r="FUJ389" s="34"/>
      <c r="FUK389" s="34"/>
      <c r="FUL389" s="34"/>
      <c r="FUM389" s="34"/>
      <c r="FUN389" s="34"/>
      <c r="FUO389" s="34"/>
      <c r="FUP389" s="34"/>
      <c r="FUQ389" s="34"/>
      <c r="FUR389" s="34"/>
      <c r="FUS389" s="34"/>
      <c r="FUT389" s="34"/>
      <c r="FUU389" s="34"/>
      <c r="FUV389" s="34"/>
      <c r="FUW389" s="34"/>
      <c r="FUX389" s="34"/>
      <c r="FUY389" s="34"/>
      <c r="FUZ389" s="34"/>
      <c r="FVA389" s="34"/>
      <c r="FVB389" s="34"/>
      <c r="FVC389" s="34"/>
      <c r="FVD389" s="34"/>
      <c r="FVE389" s="34"/>
      <c r="FVF389" s="34"/>
      <c r="FVG389" s="34"/>
      <c r="FVH389" s="34"/>
      <c r="FVI389" s="34"/>
      <c r="FVJ389" s="34"/>
      <c r="FVK389" s="34"/>
      <c r="FVL389" s="34"/>
      <c r="FVM389" s="34"/>
      <c r="FVN389" s="34"/>
      <c r="FVO389" s="34"/>
      <c r="FVP389" s="34"/>
      <c r="FVQ389" s="34"/>
      <c r="FVR389" s="34"/>
      <c r="FVS389" s="34"/>
      <c r="FVT389" s="34"/>
      <c r="FVU389" s="34"/>
      <c r="FVV389" s="34"/>
      <c r="FVW389" s="34"/>
      <c r="FVX389" s="34"/>
      <c r="FVY389" s="34"/>
      <c r="FVZ389" s="34"/>
      <c r="FWA389" s="34"/>
      <c r="FWB389" s="34"/>
      <c r="FWC389" s="34"/>
      <c r="FWD389" s="34"/>
      <c r="FWE389" s="34"/>
      <c r="FWF389" s="34"/>
      <c r="FWG389" s="34"/>
      <c r="FWH389" s="34"/>
      <c r="FWI389" s="34"/>
      <c r="FWJ389" s="34"/>
      <c r="FWK389" s="34"/>
      <c r="FWL389" s="34"/>
      <c r="FWM389" s="34"/>
      <c r="FWN389" s="34"/>
      <c r="FWO389" s="34"/>
      <c r="FWP389" s="34"/>
      <c r="FWQ389" s="34"/>
      <c r="FWR389" s="34"/>
      <c r="FWS389" s="34"/>
      <c r="FWT389" s="34"/>
      <c r="FWU389" s="34"/>
      <c r="FWV389" s="34"/>
      <c r="FWW389" s="34"/>
      <c r="FWX389" s="34"/>
      <c r="FWY389" s="34"/>
      <c r="FWZ389" s="34"/>
      <c r="FXA389" s="34"/>
      <c r="FXB389" s="34"/>
      <c r="FXC389" s="34"/>
      <c r="FXD389" s="34"/>
      <c r="FXE389" s="34"/>
      <c r="FXF389" s="34"/>
      <c r="FXG389" s="34"/>
      <c r="FXH389" s="34"/>
      <c r="FXI389" s="34"/>
      <c r="FXJ389" s="34"/>
      <c r="FXK389" s="34"/>
      <c r="FXL389" s="34"/>
      <c r="FXM389" s="34"/>
      <c r="FXN389" s="34"/>
      <c r="FXO389" s="34"/>
      <c r="FXP389" s="34"/>
      <c r="FXQ389" s="34"/>
      <c r="FXR389" s="34"/>
      <c r="FXS389" s="34"/>
      <c r="FXT389" s="34"/>
      <c r="FXU389" s="34"/>
      <c r="FXV389" s="34"/>
      <c r="FXW389" s="34"/>
      <c r="FXX389" s="34"/>
      <c r="FXY389" s="34"/>
      <c r="FXZ389" s="34"/>
      <c r="FYA389" s="34"/>
      <c r="FYB389" s="34"/>
      <c r="FYC389" s="34"/>
      <c r="FYD389" s="34"/>
      <c r="FYE389" s="34"/>
      <c r="FYF389" s="34"/>
      <c r="FYG389" s="34"/>
      <c r="FYH389" s="34"/>
      <c r="FYI389" s="34"/>
      <c r="FYJ389" s="34"/>
      <c r="FYK389" s="34"/>
      <c r="FYL389" s="34"/>
      <c r="FYM389" s="34"/>
      <c r="FYN389" s="34"/>
      <c r="FYO389" s="34"/>
      <c r="FYP389" s="34"/>
      <c r="FYQ389" s="34"/>
      <c r="FYR389" s="34"/>
      <c r="FYS389" s="34"/>
      <c r="FYT389" s="34"/>
      <c r="FYU389" s="34"/>
      <c r="FYV389" s="34"/>
      <c r="FYW389" s="34"/>
      <c r="FYX389" s="34"/>
      <c r="FYY389" s="34"/>
      <c r="FYZ389" s="34"/>
      <c r="FZA389" s="34"/>
      <c r="FZB389" s="34"/>
      <c r="FZC389" s="34"/>
      <c r="FZD389" s="34"/>
      <c r="FZE389" s="34"/>
      <c r="FZF389" s="34"/>
      <c r="FZG389" s="34"/>
      <c r="FZH389" s="34"/>
      <c r="FZI389" s="34"/>
      <c r="FZJ389" s="34"/>
      <c r="FZK389" s="34"/>
      <c r="FZL389" s="34"/>
      <c r="FZM389" s="34"/>
      <c r="FZN389" s="34"/>
      <c r="FZO389" s="34"/>
      <c r="FZP389" s="34"/>
      <c r="FZQ389" s="34"/>
      <c r="FZR389" s="34"/>
      <c r="FZS389" s="34"/>
      <c r="FZT389" s="34"/>
      <c r="FZU389" s="34"/>
      <c r="FZV389" s="34"/>
      <c r="FZW389" s="34"/>
      <c r="FZX389" s="34"/>
      <c r="FZY389" s="34"/>
      <c r="FZZ389" s="34"/>
      <c r="GAA389" s="34"/>
      <c r="GAB389" s="34"/>
      <c r="GAC389" s="34"/>
      <c r="GAD389" s="34"/>
      <c r="GAE389" s="34"/>
      <c r="GAF389" s="34"/>
      <c r="GAG389" s="34"/>
      <c r="GAH389" s="34"/>
      <c r="GAI389" s="34"/>
      <c r="GAJ389" s="34"/>
      <c r="GAK389" s="34"/>
      <c r="GAL389" s="34"/>
      <c r="GAM389" s="34"/>
      <c r="GAN389" s="34"/>
      <c r="GAO389" s="34"/>
      <c r="GAP389" s="34"/>
      <c r="GAQ389" s="34"/>
      <c r="GAR389" s="34"/>
      <c r="GAS389" s="34"/>
      <c r="GAT389" s="34"/>
      <c r="GAU389" s="34"/>
      <c r="GAV389" s="34"/>
      <c r="GAW389" s="34"/>
      <c r="GAX389" s="34"/>
      <c r="GAY389" s="34"/>
      <c r="GAZ389" s="34"/>
      <c r="GBA389" s="34"/>
      <c r="GBB389" s="34"/>
      <c r="GBC389" s="34"/>
      <c r="GBD389" s="34"/>
      <c r="GBE389" s="34"/>
      <c r="GBF389" s="34"/>
      <c r="GBG389" s="34"/>
      <c r="GBH389" s="34"/>
      <c r="GBI389" s="34"/>
      <c r="GBJ389" s="34"/>
      <c r="GBK389" s="34"/>
      <c r="GBL389" s="34"/>
      <c r="GBM389" s="34"/>
      <c r="GBN389" s="34"/>
      <c r="GBO389" s="34"/>
      <c r="GBP389" s="34"/>
      <c r="GBQ389" s="34"/>
      <c r="GBR389" s="34"/>
      <c r="GBS389" s="34"/>
      <c r="GBT389" s="34"/>
      <c r="GBU389" s="34"/>
      <c r="GBV389" s="34"/>
      <c r="GBW389" s="34"/>
      <c r="GBX389" s="34"/>
      <c r="GBY389" s="34"/>
      <c r="GBZ389" s="34"/>
      <c r="GCA389" s="34"/>
      <c r="GCB389" s="34"/>
      <c r="GCC389" s="34"/>
      <c r="GCD389" s="34"/>
      <c r="GCE389" s="34"/>
      <c r="GCF389" s="34"/>
      <c r="GCG389" s="34"/>
      <c r="GCH389" s="34"/>
      <c r="GCI389" s="34"/>
      <c r="GCJ389" s="34"/>
      <c r="GCK389" s="34"/>
      <c r="GCL389" s="34"/>
      <c r="GCM389" s="34"/>
      <c r="GCN389" s="34"/>
      <c r="GCO389" s="34"/>
      <c r="GCP389" s="34"/>
      <c r="GCQ389" s="34"/>
      <c r="GCR389" s="34"/>
      <c r="GCS389" s="34"/>
      <c r="GCT389" s="34"/>
      <c r="GCU389" s="34"/>
      <c r="GCV389" s="34"/>
      <c r="GCW389" s="34"/>
      <c r="GCX389" s="34"/>
      <c r="GCY389" s="34"/>
      <c r="GCZ389" s="34"/>
      <c r="GDA389" s="34"/>
      <c r="GDB389" s="34"/>
      <c r="GDC389" s="34"/>
      <c r="GDD389" s="34"/>
      <c r="GDE389" s="34"/>
      <c r="GDF389" s="34"/>
      <c r="GDG389" s="34"/>
      <c r="GDH389" s="34"/>
      <c r="GDI389" s="34"/>
      <c r="GDJ389" s="34"/>
      <c r="GDK389" s="34"/>
      <c r="GDL389" s="34"/>
      <c r="GDM389" s="34"/>
      <c r="GDN389" s="34"/>
      <c r="GDO389" s="34"/>
      <c r="GDP389" s="34"/>
      <c r="GDQ389" s="34"/>
      <c r="GDR389" s="34"/>
      <c r="GDS389" s="34"/>
      <c r="GDT389" s="34"/>
      <c r="GDU389" s="34"/>
      <c r="GDV389" s="34"/>
      <c r="GDW389" s="34"/>
      <c r="GDX389" s="34"/>
      <c r="GDY389" s="34"/>
      <c r="GDZ389" s="34"/>
      <c r="GEA389" s="34"/>
      <c r="GEB389" s="34"/>
      <c r="GEC389" s="34"/>
      <c r="GED389" s="34"/>
      <c r="GEE389" s="34"/>
      <c r="GEF389" s="34"/>
      <c r="GEG389" s="34"/>
      <c r="GEH389" s="34"/>
      <c r="GEI389" s="34"/>
      <c r="GEJ389" s="34"/>
      <c r="GEK389" s="34"/>
      <c r="GEL389" s="34"/>
      <c r="GEM389" s="34"/>
      <c r="GEN389" s="34"/>
      <c r="GEO389" s="34"/>
      <c r="GEP389" s="34"/>
      <c r="GEQ389" s="34"/>
      <c r="GER389" s="34"/>
      <c r="GES389" s="34"/>
      <c r="GET389" s="34"/>
      <c r="GEU389" s="34"/>
      <c r="GEV389" s="34"/>
      <c r="GEW389" s="34"/>
      <c r="GEX389" s="34"/>
      <c r="GEY389" s="34"/>
      <c r="GEZ389" s="34"/>
      <c r="GFA389" s="34"/>
      <c r="GFB389" s="34"/>
      <c r="GFC389" s="34"/>
      <c r="GFD389" s="34"/>
      <c r="GFE389" s="34"/>
      <c r="GFF389" s="34"/>
      <c r="GFG389" s="34"/>
      <c r="GFH389" s="34"/>
      <c r="GFI389" s="34"/>
      <c r="GFJ389" s="34"/>
      <c r="GFK389" s="34"/>
      <c r="GFL389" s="34"/>
      <c r="GFM389" s="34"/>
      <c r="GFN389" s="34"/>
      <c r="GFO389" s="34"/>
      <c r="GFP389" s="34"/>
      <c r="GFQ389" s="34"/>
      <c r="GFR389" s="34"/>
      <c r="GFS389" s="34"/>
      <c r="GFT389" s="34"/>
      <c r="GFU389" s="34"/>
      <c r="GFV389" s="34"/>
      <c r="GFW389" s="34"/>
      <c r="GFX389" s="34"/>
      <c r="GFY389" s="34"/>
      <c r="GFZ389" s="34"/>
      <c r="GGA389" s="34"/>
      <c r="GGB389" s="34"/>
      <c r="GGC389" s="34"/>
      <c r="GGD389" s="34"/>
      <c r="GGE389" s="34"/>
      <c r="GGF389" s="34"/>
      <c r="GGG389" s="34"/>
      <c r="GGH389" s="34"/>
      <c r="GGI389" s="34"/>
      <c r="GGJ389" s="34"/>
      <c r="GGK389" s="34"/>
      <c r="GGL389" s="34"/>
      <c r="GGM389" s="34"/>
      <c r="GGN389" s="34"/>
      <c r="GGO389" s="34"/>
      <c r="GGP389" s="34"/>
      <c r="GGQ389" s="34"/>
      <c r="GGR389" s="34"/>
      <c r="GGS389" s="34"/>
      <c r="GGT389" s="34"/>
      <c r="GGU389" s="34"/>
      <c r="GGV389" s="34"/>
      <c r="GGW389" s="34"/>
      <c r="GGX389" s="34"/>
      <c r="GGY389" s="34"/>
      <c r="GGZ389" s="34"/>
      <c r="GHA389" s="34"/>
      <c r="GHB389" s="34"/>
      <c r="GHC389" s="34"/>
      <c r="GHD389" s="34"/>
      <c r="GHE389" s="34"/>
      <c r="GHF389" s="34"/>
      <c r="GHG389" s="34"/>
      <c r="GHH389" s="34"/>
      <c r="GHI389" s="34"/>
      <c r="GHJ389" s="34"/>
      <c r="GHK389" s="34"/>
      <c r="GHL389" s="34"/>
      <c r="GHM389" s="34"/>
      <c r="GHN389" s="34"/>
      <c r="GHO389" s="34"/>
      <c r="GHP389" s="34"/>
      <c r="GHQ389" s="34"/>
      <c r="GHR389" s="34"/>
      <c r="GHS389" s="34"/>
      <c r="GHT389" s="34"/>
      <c r="GHU389" s="34"/>
      <c r="GHV389" s="34"/>
      <c r="GHW389" s="34"/>
      <c r="GHX389" s="34"/>
      <c r="GHY389" s="34"/>
      <c r="GHZ389" s="34"/>
      <c r="GIA389" s="34"/>
      <c r="GIB389" s="34"/>
      <c r="GIC389" s="34"/>
      <c r="GID389" s="34"/>
      <c r="GIE389" s="34"/>
      <c r="GIF389" s="34"/>
      <c r="GIG389" s="34"/>
      <c r="GIH389" s="34"/>
      <c r="GII389" s="34"/>
      <c r="GIJ389" s="34"/>
      <c r="GIK389" s="34"/>
      <c r="GIL389" s="34"/>
      <c r="GIM389" s="34"/>
      <c r="GIN389" s="34"/>
      <c r="GIO389" s="34"/>
      <c r="GIP389" s="34"/>
      <c r="GIQ389" s="34"/>
      <c r="GIR389" s="34"/>
      <c r="GIS389" s="34"/>
      <c r="GIT389" s="34"/>
      <c r="GIU389" s="34"/>
      <c r="GIV389" s="34"/>
      <c r="GIW389" s="34"/>
      <c r="GIX389" s="34"/>
      <c r="GIY389" s="34"/>
      <c r="GIZ389" s="34"/>
      <c r="GJA389" s="34"/>
      <c r="GJB389" s="34"/>
      <c r="GJC389" s="34"/>
      <c r="GJD389" s="34"/>
      <c r="GJE389" s="34"/>
      <c r="GJF389" s="34"/>
      <c r="GJG389" s="34"/>
      <c r="GJH389" s="34"/>
      <c r="GJI389" s="34"/>
      <c r="GJJ389" s="34"/>
      <c r="GJK389" s="34"/>
      <c r="GJL389" s="34"/>
      <c r="GJM389" s="34"/>
      <c r="GJN389" s="34"/>
      <c r="GJO389" s="34"/>
      <c r="GJP389" s="34"/>
      <c r="GJQ389" s="34"/>
      <c r="GJR389" s="34"/>
      <c r="GJS389" s="34"/>
      <c r="GJT389" s="34"/>
      <c r="GJU389" s="34"/>
      <c r="GJV389" s="34"/>
      <c r="GJW389" s="34"/>
      <c r="GJX389" s="34"/>
      <c r="GJY389" s="34"/>
      <c r="GJZ389" s="34"/>
      <c r="GKA389" s="34"/>
      <c r="GKB389" s="34"/>
      <c r="GKC389" s="34"/>
      <c r="GKD389" s="34"/>
      <c r="GKE389" s="34"/>
      <c r="GKF389" s="34"/>
      <c r="GKG389" s="34"/>
      <c r="GKH389" s="34"/>
      <c r="GKI389" s="34"/>
      <c r="GKJ389" s="34"/>
      <c r="GKK389" s="34"/>
      <c r="GKL389" s="34"/>
      <c r="GKM389" s="34"/>
      <c r="GKN389" s="34"/>
      <c r="GKO389" s="34"/>
      <c r="GKP389" s="34"/>
      <c r="GKQ389" s="34"/>
      <c r="GKR389" s="34"/>
      <c r="GKS389" s="34"/>
      <c r="GKT389" s="34"/>
      <c r="GKU389" s="34"/>
      <c r="GKV389" s="34"/>
      <c r="GKW389" s="34"/>
      <c r="GKX389" s="34"/>
      <c r="GKY389" s="34"/>
      <c r="GKZ389" s="34"/>
      <c r="GLA389" s="34"/>
      <c r="GLB389" s="34"/>
      <c r="GLC389" s="34"/>
      <c r="GLD389" s="34"/>
      <c r="GLE389" s="34"/>
      <c r="GLF389" s="34"/>
      <c r="GLG389" s="34"/>
      <c r="GLH389" s="34"/>
      <c r="GLI389" s="34"/>
      <c r="GLJ389" s="34"/>
      <c r="GLK389" s="34"/>
      <c r="GLL389" s="34"/>
      <c r="GLM389" s="34"/>
      <c r="GLN389" s="34"/>
      <c r="GLO389" s="34"/>
      <c r="GLP389" s="34"/>
      <c r="GLQ389" s="34"/>
      <c r="GLR389" s="34"/>
      <c r="GLS389" s="34"/>
      <c r="GLT389" s="34"/>
      <c r="GLU389" s="34"/>
      <c r="GLV389" s="34"/>
      <c r="GLW389" s="34"/>
      <c r="GLX389" s="34"/>
      <c r="GLY389" s="34"/>
      <c r="GLZ389" s="34"/>
      <c r="GMA389" s="34"/>
      <c r="GMB389" s="34"/>
      <c r="GMC389" s="34"/>
      <c r="GMD389" s="34"/>
      <c r="GME389" s="34"/>
      <c r="GMF389" s="34"/>
      <c r="GMG389" s="34"/>
      <c r="GMH389" s="34"/>
      <c r="GMI389" s="34"/>
      <c r="GMJ389" s="34"/>
      <c r="GMK389" s="34"/>
      <c r="GML389" s="34"/>
      <c r="GMM389" s="34"/>
      <c r="GMN389" s="34"/>
      <c r="GMO389" s="34"/>
      <c r="GMP389" s="34"/>
      <c r="GMQ389" s="34"/>
      <c r="GMR389" s="34"/>
      <c r="GMS389" s="34"/>
      <c r="GMT389" s="34"/>
      <c r="GMU389" s="34"/>
      <c r="GMV389" s="34"/>
      <c r="GMW389" s="34"/>
      <c r="GMX389" s="34"/>
      <c r="GMY389" s="34"/>
      <c r="GMZ389" s="34"/>
      <c r="GNA389" s="34"/>
      <c r="GNB389" s="34"/>
      <c r="GNC389" s="34"/>
      <c r="GND389" s="34"/>
      <c r="GNE389" s="34"/>
      <c r="GNF389" s="34"/>
      <c r="GNG389" s="34"/>
      <c r="GNH389" s="34"/>
      <c r="GNI389" s="34"/>
      <c r="GNJ389" s="34"/>
      <c r="GNK389" s="34"/>
      <c r="GNL389" s="34"/>
      <c r="GNM389" s="34"/>
      <c r="GNN389" s="34"/>
      <c r="GNO389" s="34"/>
      <c r="GNP389" s="34"/>
      <c r="GNQ389" s="34"/>
      <c r="GNR389" s="34"/>
      <c r="GNS389" s="34"/>
      <c r="GNT389" s="34"/>
      <c r="GNU389" s="34"/>
      <c r="GNV389" s="34"/>
      <c r="GNW389" s="34"/>
      <c r="GNX389" s="34"/>
      <c r="GNY389" s="34"/>
      <c r="GNZ389" s="34"/>
      <c r="GOA389" s="34"/>
      <c r="GOB389" s="34"/>
      <c r="GOC389" s="34"/>
      <c r="GOD389" s="34"/>
      <c r="GOE389" s="34"/>
      <c r="GOF389" s="34"/>
      <c r="GOG389" s="34"/>
      <c r="GOH389" s="34"/>
      <c r="GOI389" s="34"/>
      <c r="GOJ389" s="34"/>
      <c r="GOK389" s="34"/>
      <c r="GOL389" s="34"/>
      <c r="GOM389" s="34"/>
      <c r="GON389" s="34"/>
      <c r="GOO389" s="34"/>
      <c r="GOP389" s="34"/>
      <c r="GOQ389" s="34"/>
      <c r="GOR389" s="34"/>
      <c r="GOS389" s="34"/>
      <c r="GOT389" s="34"/>
      <c r="GOU389" s="34"/>
      <c r="GOV389" s="34"/>
      <c r="GOW389" s="34"/>
      <c r="GOX389" s="34"/>
      <c r="GOY389" s="34"/>
      <c r="GOZ389" s="34"/>
      <c r="GPA389" s="34"/>
      <c r="GPB389" s="34"/>
      <c r="GPC389" s="34"/>
      <c r="GPD389" s="34"/>
      <c r="GPE389" s="34"/>
      <c r="GPF389" s="34"/>
      <c r="GPG389" s="34"/>
      <c r="GPH389" s="34"/>
      <c r="GPI389" s="34"/>
      <c r="GPJ389" s="34"/>
      <c r="GPK389" s="34"/>
      <c r="GPL389" s="34"/>
      <c r="GPM389" s="34"/>
      <c r="GPN389" s="34"/>
      <c r="GPO389" s="34"/>
      <c r="GPP389" s="34"/>
      <c r="GPQ389" s="34"/>
      <c r="GPR389" s="34"/>
      <c r="GPS389" s="34"/>
      <c r="GPT389" s="34"/>
      <c r="GPU389" s="34"/>
      <c r="GPV389" s="34"/>
      <c r="GPW389" s="34"/>
      <c r="GPX389" s="34"/>
      <c r="GPY389" s="34"/>
      <c r="GPZ389" s="34"/>
      <c r="GQA389" s="34"/>
      <c r="GQB389" s="34"/>
      <c r="GQC389" s="34"/>
      <c r="GQD389" s="34"/>
      <c r="GQE389" s="34"/>
      <c r="GQF389" s="34"/>
      <c r="GQG389" s="34"/>
      <c r="GQH389" s="34"/>
      <c r="GQI389" s="34"/>
      <c r="GQJ389" s="34"/>
      <c r="GQK389" s="34"/>
      <c r="GQL389" s="34"/>
      <c r="GQM389" s="34"/>
      <c r="GQN389" s="34"/>
      <c r="GQO389" s="34"/>
      <c r="GQP389" s="34"/>
      <c r="GQQ389" s="34"/>
      <c r="GQR389" s="34"/>
      <c r="GQS389" s="34"/>
      <c r="GQT389" s="34"/>
      <c r="GQU389" s="34"/>
      <c r="GQV389" s="34"/>
      <c r="GQW389" s="34"/>
      <c r="GQX389" s="34"/>
      <c r="GQY389" s="34"/>
      <c r="GQZ389" s="34"/>
      <c r="GRA389" s="34"/>
      <c r="GRB389" s="34"/>
      <c r="GRC389" s="34"/>
      <c r="GRD389" s="34"/>
      <c r="GRE389" s="34"/>
      <c r="GRF389" s="34"/>
      <c r="GRG389" s="34"/>
      <c r="GRH389" s="34"/>
      <c r="GRI389" s="34"/>
      <c r="GRJ389" s="34"/>
      <c r="GRK389" s="34"/>
      <c r="GRL389" s="34"/>
      <c r="GRM389" s="34"/>
      <c r="GRN389" s="34"/>
      <c r="GRO389" s="34"/>
      <c r="GRP389" s="34"/>
      <c r="GRQ389" s="34"/>
      <c r="GRR389" s="34"/>
      <c r="GRS389" s="34"/>
      <c r="GRT389" s="34"/>
      <c r="GRU389" s="34"/>
      <c r="GRV389" s="34"/>
      <c r="GRW389" s="34"/>
      <c r="GRX389" s="34"/>
      <c r="GRY389" s="34"/>
      <c r="GRZ389" s="34"/>
      <c r="GSA389" s="34"/>
      <c r="GSB389" s="34"/>
      <c r="GSC389" s="34"/>
      <c r="GSD389" s="34"/>
      <c r="GSE389" s="34"/>
      <c r="GSF389" s="34"/>
      <c r="GSG389" s="34"/>
      <c r="GSH389" s="34"/>
      <c r="GSI389" s="34"/>
      <c r="GSJ389" s="34"/>
      <c r="GSK389" s="34"/>
      <c r="GSL389" s="34"/>
      <c r="GSM389" s="34"/>
      <c r="GSN389" s="34"/>
      <c r="GSO389" s="34"/>
      <c r="GSP389" s="34"/>
      <c r="GSQ389" s="34"/>
      <c r="GSR389" s="34"/>
      <c r="GSS389" s="34"/>
      <c r="GST389" s="34"/>
      <c r="GSU389" s="34"/>
      <c r="GSV389" s="34"/>
      <c r="GSW389" s="34"/>
      <c r="GSX389" s="34"/>
      <c r="GSY389" s="34"/>
      <c r="GSZ389" s="34"/>
      <c r="GTA389" s="34"/>
      <c r="GTB389" s="34"/>
      <c r="GTC389" s="34"/>
      <c r="GTD389" s="34"/>
      <c r="GTE389" s="34"/>
      <c r="GTF389" s="34"/>
      <c r="GTG389" s="34"/>
      <c r="GTH389" s="34"/>
      <c r="GTI389" s="34"/>
      <c r="GTJ389" s="34"/>
      <c r="GTK389" s="34"/>
      <c r="GTL389" s="34"/>
      <c r="GTM389" s="34"/>
      <c r="GTN389" s="34"/>
      <c r="GTO389" s="34"/>
      <c r="GTP389" s="34"/>
      <c r="GTQ389" s="34"/>
      <c r="GTR389" s="34"/>
      <c r="GTS389" s="34"/>
      <c r="GTT389" s="34"/>
      <c r="GTU389" s="34"/>
      <c r="GTV389" s="34"/>
      <c r="GTW389" s="34"/>
      <c r="GTX389" s="34"/>
      <c r="GTY389" s="34"/>
      <c r="GTZ389" s="34"/>
      <c r="GUA389" s="34"/>
      <c r="GUB389" s="34"/>
      <c r="GUC389" s="34"/>
      <c r="GUD389" s="34"/>
      <c r="GUE389" s="34"/>
      <c r="GUF389" s="34"/>
      <c r="GUG389" s="34"/>
      <c r="GUH389" s="34"/>
      <c r="GUI389" s="34"/>
      <c r="GUJ389" s="34"/>
      <c r="GUK389" s="34"/>
      <c r="GUL389" s="34"/>
      <c r="GUM389" s="34"/>
      <c r="GUN389" s="34"/>
      <c r="GUO389" s="34"/>
      <c r="GUP389" s="34"/>
      <c r="GUQ389" s="34"/>
      <c r="GUR389" s="34"/>
      <c r="GUS389" s="34"/>
      <c r="GUT389" s="34"/>
      <c r="GUU389" s="34"/>
      <c r="GUV389" s="34"/>
      <c r="GUW389" s="34"/>
      <c r="GUX389" s="34"/>
      <c r="GUY389" s="34"/>
      <c r="GUZ389" s="34"/>
      <c r="GVA389" s="34"/>
      <c r="GVB389" s="34"/>
      <c r="GVC389" s="34"/>
      <c r="GVD389" s="34"/>
      <c r="GVE389" s="34"/>
      <c r="GVF389" s="34"/>
      <c r="GVG389" s="34"/>
      <c r="GVH389" s="34"/>
      <c r="GVI389" s="34"/>
      <c r="GVJ389" s="34"/>
      <c r="GVK389" s="34"/>
      <c r="GVL389" s="34"/>
      <c r="GVM389" s="34"/>
      <c r="GVN389" s="34"/>
      <c r="GVO389" s="34"/>
      <c r="GVP389" s="34"/>
      <c r="GVQ389" s="34"/>
      <c r="GVR389" s="34"/>
      <c r="GVS389" s="34"/>
      <c r="GVT389" s="34"/>
      <c r="GVU389" s="34"/>
      <c r="GVV389" s="34"/>
      <c r="GVW389" s="34"/>
      <c r="GVX389" s="34"/>
      <c r="GVY389" s="34"/>
      <c r="GVZ389" s="34"/>
      <c r="GWA389" s="34"/>
      <c r="GWB389" s="34"/>
      <c r="GWC389" s="34"/>
      <c r="GWD389" s="34"/>
      <c r="GWE389" s="34"/>
      <c r="GWF389" s="34"/>
      <c r="GWG389" s="34"/>
      <c r="GWH389" s="34"/>
      <c r="GWI389" s="34"/>
      <c r="GWJ389" s="34"/>
      <c r="GWK389" s="34"/>
      <c r="GWL389" s="34"/>
      <c r="GWM389" s="34"/>
      <c r="GWN389" s="34"/>
      <c r="GWO389" s="34"/>
      <c r="GWP389" s="34"/>
      <c r="GWQ389" s="34"/>
      <c r="GWR389" s="34"/>
      <c r="GWS389" s="34"/>
      <c r="GWT389" s="34"/>
      <c r="GWU389" s="34"/>
      <c r="GWV389" s="34"/>
      <c r="GWW389" s="34"/>
      <c r="GWX389" s="34"/>
      <c r="GWY389" s="34"/>
      <c r="GWZ389" s="34"/>
      <c r="GXA389" s="34"/>
      <c r="GXB389" s="34"/>
      <c r="GXC389" s="34"/>
      <c r="GXD389" s="34"/>
      <c r="GXE389" s="34"/>
      <c r="GXF389" s="34"/>
      <c r="GXG389" s="34"/>
      <c r="GXH389" s="34"/>
      <c r="GXI389" s="34"/>
      <c r="GXJ389" s="34"/>
      <c r="GXK389" s="34"/>
      <c r="GXL389" s="34"/>
      <c r="GXM389" s="34"/>
      <c r="GXN389" s="34"/>
      <c r="GXO389" s="34"/>
      <c r="GXP389" s="34"/>
      <c r="GXQ389" s="34"/>
      <c r="GXR389" s="34"/>
      <c r="GXS389" s="34"/>
      <c r="GXT389" s="34"/>
      <c r="GXU389" s="34"/>
      <c r="GXV389" s="34"/>
      <c r="GXW389" s="34"/>
      <c r="GXX389" s="34"/>
      <c r="GXY389" s="34"/>
      <c r="GXZ389" s="34"/>
      <c r="GYA389" s="34"/>
      <c r="GYB389" s="34"/>
      <c r="GYC389" s="34"/>
      <c r="GYD389" s="34"/>
      <c r="GYE389" s="34"/>
      <c r="GYF389" s="34"/>
      <c r="GYG389" s="34"/>
      <c r="GYH389" s="34"/>
      <c r="GYI389" s="34"/>
      <c r="GYJ389" s="34"/>
      <c r="GYK389" s="34"/>
      <c r="GYL389" s="34"/>
      <c r="GYM389" s="34"/>
      <c r="GYN389" s="34"/>
      <c r="GYO389" s="34"/>
      <c r="GYP389" s="34"/>
      <c r="GYQ389" s="34"/>
      <c r="GYR389" s="34"/>
      <c r="GYS389" s="34"/>
      <c r="GYT389" s="34"/>
      <c r="GYU389" s="34"/>
      <c r="GYV389" s="34"/>
      <c r="GYW389" s="34"/>
      <c r="GYX389" s="34"/>
      <c r="GYY389" s="34"/>
      <c r="GYZ389" s="34"/>
      <c r="GZA389" s="34"/>
      <c r="GZB389" s="34"/>
      <c r="GZC389" s="34"/>
      <c r="GZD389" s="34"/>
      <c r="GZE389" s="34"/>
      <c r="GZF389" s="34"/>
      <c r="GZG389" s="34"/>
      <c r="GZH389" s="34"/>
      <c r="GZI389" s="34"/>
      <c r="GZJ389" s="34"/>
      <c r="GZK389" s="34"/>
      <c r="GZL389" s="34"/>
      <c r="GZM389" s="34"/>
      <c r="GZN389" s="34"/>
      <c r="GZO389" s="34"/>
      <c r="GZP389" s="34"/>
      <c r="GZQ389" s="34"/>
      <c r="GZR389" s="34"/>
      <c r="GZS389" s="34"/>
      <c r="GZT389" s="34"/>
      <c r="GZU389" s="34"/>
      <c r="GZV389" s="34"/>
      <c r="GZW389" s="34"/>
      <c r="GZX389" s="34"/>
      <c r="GZY389" s="34"/>
      <c r="GZZ389" s="34"/>
      <c r="HAA389" s="34"/>
      <c r="HAB389" s="34"/>
      <c r="HAC389" s="34"/>
      <c r="HAD389" s="34"/>
      <c r="HAE389" s="34"/>
      <c r="HAF389" s="34"/>
      <c r="HAG389" s="34"/>
      <c r="HAH389" s="34"/>
      <c r="HAI389" s="34"/>
      <c r="HAJ389" s="34"/>
      <c r="HAK389" s="34"/>
      <c r="HAL389" s="34"/>
      <c r="HAM389" s="34"/>
      <c r="HAN389" s="34"/>
      <c r="HAO389" s="34"/>
      <c r="HAP389" s="34"/>
      <c r="HAQ389" s="34"/>
      <c r="HAR389" s="34"/>
      <c r="HAS389" s="34"/>
      <c r="HAT389" s="34"/>
      <c r="HAU389" s="34"/>
      <c r="HAV389" s="34"/>
      <c r="HAW389" s="34"/>
      <c r="HAX389" s="34"/>
      <c r="HAY389" s="34"/>
      <c r="HAZ389" s="34"/>
      <c r="HBA389" s="34"/>
      <c r="HBB389" s="34"/>
      <c r="HBC389" s="34"/>
      <c r="HBD389" s="34"/>
      <c r="HBE389" s="34"/>
      <c r="HBF389" s="34"/>
      <c r="HBG389" s="34"/>
      <c r="HBH389" s="34"/>
      <c r="HBI389" s="34"/>
      <c r="HBJ389" s="34"/>
      <c r="HBK389" s="34"/>
      <c r="HBL389" s="34"/>
      <c r="HBM389" s="34"/>
      <c r="HBN389" s="34"/>
      <c r="HBO389" s="34"/>
      <c r="HBP389" s="34"/>
      <c r="HBQ389" s="34"/>
      <c r="HBR389" s="34"/>
      <c r="HBS389" s="34"/>
      <c r="HBT389" s="34"/>
      <c r="HBU389" s="34"/>
      <c r="HBV389" s="34"/>
      <c r="HBW389" s="34"/>
      <c r="HBX389" s="34"/>
      <c r="HBY389" s="34"/>
      <c r="HBZ389" s="34"/>
      <c r="HCA389" s="34"/>
      <c r="HCB389" s="34"/>
      <c r="HCC389" s="34"/>
      <c r="HCD389" s="34"/>
      <c r="HCE389" s="34"/>
      <c r="HCF389" s="34"/>
      <c r="HCG389" s="34"/>
      <c r="HCH389" s="34"/>
      <c r="HCI389" s="34"/>
      <c r="HCJ389" s="34"/>
      <c r="HCK389" s="34"/>
      <c r="HCL389" s="34"/>
      <c r="HCM389" s="34"/>
      <c r="HCN389" s="34"/>
      <c r="HCO389" s="34"/>
      <c r="HCP389" s="34"/>
      <c r="HCQ389" s="34"/>
      <c r="HCR389" s="34"/>
      <c r="HCS389" s="34"/>
      <c r="HCT389" s="34"/>
      <c r="HCU389" s="34"/>
      <c r="HCV389" s="34"/>
      <c r="HCW389" s="34"/>
      <c r="HCX389" s="34"/>
      <c r="HCY389" s="34"/>
      <c r="HCZ389" s="34"/>
      <c r="HDA389" s="34"/>
      <c r="HDB389" s="34"/>
      <c r="HDC389" s="34"/>
      <c r="HDD389" s="34"/>
      <c r="HDE389" s="34"/>
      <c r="HDF389" s="34"/>
      <c r="HDG389" s="34"/>
      <c r="HDH389" s="34"/>
      <c r="HDI389" s="34"/>
      <c r="HDJ389" s="34"/>
      <c r="HDK389" s="34"/>
      <c r="HDL389" s="34"/>
      <c r="HDM389" s="34"/>
      <c r="HDN389" s="34"/>
      <c r="HDO389" s="34"/>
      <c r="HDP389" s="34"/>
      <c r="HDQ389" s="34"/>
      <c r="HDR389" s="34"/>
      <c r="HDS389" s="34"/>
      <c r="HDT389" s="34"/>
      <c r="HDU389" s="34"/>
      <c r="HDV389" s="34"/>
      <c r="HDW389" s="34"/>
      <c r="HDX389" s="34"/>
      <c r="HDY389" s="34"/>
      <c r="HDZ389" s="34"/>
      <c r="HEA389" s="34"/>
      <c r="HEB389" s="34"/>
      <c r="HEC389" s="34"/>
      <c r="HED389" s="34"/>
      <c r="HEE389" s="34"/>
      <c r="HEF389" s="34"/>
      <c r="HEG389" s="34"/>
      <c r="HEH389" s="34"/>
      <c r="HEI389" s="34"/>
      <c r="HEJ389" s="34"/>
      <c r="HEK389" s="34"/>
      <c r="HEL389" s="34"/>
      <c r="HEM389" s="34"/>
      <c r="HEN389" s="34"/>
      <c r="HEO389" s="34"/>
      <c r="HEP389" s="34"/>
      <c r="HEQ389" s="34"/>
      <c r="HER389" s="34"/>
      <c r="HES389" s="34"/>
      <c r="HET389" s="34"/>
      <c r="HEU389" s="34"/>
      <c r="HEV389" s="34"/>
      <c r="HEW389" s="34"/>
      <c r="HEX389" s="34"/>
      <c r="HEY389" s="34"/>
      <c r="HEZ389" s="34"/>
      <c r="HFA389" s="34"/>
      <c r="HFB389" s="34"/>
      <c r="HFC389" s="34"/>
      <c r="HFD389" s="34"/>
      <c r="HFE389" s="34"/>
      <c r="HFF389" s="34"/>
      <c r="HFG389" s="34"/>
      <c r="HFH389" s="34"/>
      <c r="HFI389" s="34"/>
      <c r="HFJ389" s="34"/>
      <c r="HFK389" s="34"/>
      <c r="HFL389" s="34"/>
      <c r="HFM389" s="34"/>
      <c r="HFN389" s="34"/>
      <c r="HFO389" s="34"/>
      <c r="HFP389" s="34"/>
      <c r="HFQ389" s="34"/>
      <c r="HFR389" s="34"/>
      <c r="HFS389" s="34"/>
      <c r="HFT389" s="34"/>
      <c r="HFU389" s="34"/>
      <c r="HFV389" s="34"/>
      <c r="HFW389" s="34"/>
      <c r="HFX389" s="34"/>
      <c r="HFY389" s="34"/>
      <c r="HFZ389" s="34"/>
      <c r="HGA389" s="34"/>
      <c r="HGB389" s="34"/>
      <c r="HGC389" s="34"/>
      <c r="HGD389" s="34"/>
      <c r="HGE389" s="34"/>
      <c r="HGF389" s="34"/>
      <c r="HGG389" s="34"/>
      <c r="HGH389" s="34"/>
      <c r="HGI389" s="34"/>
      <c r="HGJ389" s="34"/>
      <c r="HGK389" s="34"/>
      <c r="HGL389" s="34"/>
      <c r="HGM389" s="34"/>
      <c r="HGN389" s="34"/>
      <c r="HGO389" s="34"/>
      <c r="HGP389" s="34"/>
      <c r="HGQ389" s="34"/>
      <c r="HGR389" s="34"/>
      <c r="HGS389" s="34"/>
      <c r="HGT389" s="34"/>
      <c r="HGU389" s="34"/>
      <c r="HGV389" s="34"/>
      <c r="HGW389" s="34"/>
      <c r="HGX389" s="34"/>
      <c r="HGY389" s="34"/>
      <c r="HGZ389" s="34"/>
      <c r="HHA389" s="34"/>
      <c r="HHB389" s="34"/>
      <c r="HHC389" s="34"/>
      <c r="HHD389" s="34"/>
      <c r="HHE389" s="34"/>
      <c r="HHF389" s="34"/>
      <c r="HHG389" s="34"/>
      <c r="HHH389" s="34"/>
      <c r="HHI389" s="34"/>
      <c r="HHJ389" s="34"/>
      <c r="HHK389" s="34"/>
      <c r="HHL389" s="34"/>
      <c r="HHM389" s="34"/>
      <c r="HHN389" s="34"/>
      <c r="HHO389" s="34"/>
      <c r="HHP389" s="34"/>
      <c r="HHQ389" s="34"/>
      <c r="HHR389" s="34"/>
      <c r="HHS389" s="34"/>
      <c r="HHT389" s="34"/>
      <c r="HHU389" s="34"/>
      <c r="HHV389" s="34"/>
      <c r="HHW389" s="34"/>
      <c r="HHX389" s="34"/>
      <c r="HHY389" s="34"/>
      <c r="HHZ389" s="34"/>
      <c r="HIA389" s="34"/>
      <c r="HIB389" s="34"/>
      <c r="HIC389" s="34"/>
      <c r="HID389" s="34"/>
      <c r="HIE389" s="34"/>
      <c r="HIF389" s="34"/>
      <c r="HIG389" s="34"/>
      <c r="HIH389" s="34"/>
      <c r="HII389" s="34"/>
      <c r="HIJ389" s="34"/>
      <c r="HIK389" s="34"/>
      <c r="HIL389" s="34"/>
      <c r="HIM389" s="34"/>
      <c r="HIN389" s="34"/>
      <c r="HIO389" s="34"/>
      <c r="HIP389" s="34"/>
      <c r="HIQ389" s="34"/>
      <c r="HIR389" s="34"/>
      <c r="HIS389" s="34"/>
      <c r="HIT389" s="34"/>
      <c r="HIU389" s="34"/>
      <c r="HIV389" s="34"/>
      <c r="HIW389" s="34"/>
      <c r="HIX389" s="34"/>
      <c r="HIY389" s="34"/>
      <c r="HIZ389" s="34"/>
      <c r="HJA389" s="34"/>
      <c r="HJB389" s="34"/>
      <c r="HJC389" s="34"/>
      <c r="HJD389" s="34"/>
      <c r="HJE389" s="34"/>
      <c r="HJF389" s="34"/>
      <c r="HJG389" s="34"/>
      <c r="HJH389" s="34"/>
      <c r="HJI389" s="34"/>
      <c r="HJJ389" s="34"/>
      <c r="HJK389" s="34"/>
      <c r="HJL389" s="34"/>
      <c r="HJM389" s="34"/>
      <c r="HJN389" s="34"/>
      <c r="HJO389" s="34"/>
      <c r="HJP389" s="34"/>
      <c r="HJQ389" s="34"/>
      <c r="HJR389" s="34"/>
      <c r="HJS389" s="34"/>
      <c r="HJT389" s="34"/>
      <c r="HJU389" s="34"/>
      <c r="HJV389" s="34"/>
      <c r="HJW389" s="34"/>
      <c r="HJX389" s="34"/>
      <c r="HJY389" s="34"/>
      <c r="HJZ389" s="34"/>
      <c r="HKA389" s="34"/>
      <c r="HKB389" s="34"/>
      <c r="HKC389" s="34"/>
      <c r="HKD389" s="34"/>
      <c r="HKE389" s="34"/>
      <c r="HKF389" s="34"/>
      <c r="HKG389" s="34"/>
      <c r="HKH389" s="34"/>
      <c r="HKI389" s="34"/>
      <c r="HKJ389" s="34"/>
      <c r="HKK389" s="34"/>
      <c r="HKL389" s="34"/>
      <c r="HKM389" s="34"/>
      <c r="HKN389" s="34"/>
      <c r="HKO389" s="34"/>
      <c r="HKP389" s="34"/>
      <c r="HKQ389" s="34"/>
      <c r="HKR389" s="34"/>
      <c r="HKS389" s="34"/>
      <c r="HKT389" s="34"/>
      <c r="HKU389" s="34"/>
      <c r="HKV389" s="34"/>
      <c r="HKW389" s="34"/>
      <c r="HKX389" s="34"/>
      <c r="HKY389" s="34"/>
      <c r="HKZ389" s="34"/>
      <c r="HLA389" s="34"/>
      <c r="HLB389" s="34"/>
      <c r="HLC389" s="34"/>
      <c r="HLD389" s="34"/>
      <c r="HLE389" s="34"/>
      <c r="HLF389" s="34"/>
      <c r="HLG389" s="34"/>
      <c r="HLH389" s="34"/>
      <c r="HLI389" s="34"/>
      <c r="HLJ389" s="34"/>
      <c r="HLK389" s="34"/>
      <c r="HLL389" s="34"/>
      <c r="HLM389" s="34"/>
      <c r="HLN389" s="34"/>
      <c r="HLO389" s="34"/>
      <c r="HLP389" s="34"/>
      <c r="HLQ389" s="34"/>
      <c r="HLR389" s="34"/>
      <c r="HLS389" s="34"/>
      <c r="HLT389" s="34"/>
      <c r="HLU389" s="34"/>
      <c r="HLV389" s="34"/>
      <c r="HLW389" s="34"/>
      <c r="HLX389" s="34"/>
      <c r="HLY389" s="34"/>
      <c r="HLZ389" s="34"/>
      <c r="HMA389" s="34"/>
      <c r="HMB389" s="34"/>
      <c r="HMC389" s="34"/>
      <c r="HMD389" s="34"/>
      <c r="HME389" s="34"/>
      <c r="HMF389" s="34"/>
      <c r="HMG389" s="34"/>
      <c r="HMH389" s="34"/>
      <c r="HMI389" s="34"/>
      <c r="HMJ389" s="34"/>
      <c r="HMK389" s="34"/>
      <c r="HML389" s="34"/>
      <c r="HMM389" s="34"/>
      <c r="HMN389" s="34"/>
      <c r="HMO389" s="34"/>
      <c r="HMP389" s="34"/>
      <c r="HMQ389" s="34"/>
      <c r="HMR389" s="34"/>
      <c r="HMS389" s="34"/>
      <c r="HMT389" s="34"/>
      <c r="HMU389" s="34"/>
      <c r="HMV389" s="34"/>
      <c r="HMW389" s="34"/>
      <c r="HMX389" s="34"/>
      <c r="HMY389" s="34"/>
      <c r="HMZ389" s="34"/>
      <c r="HNA389" s="34"/>
      <c r="HNB389" s="34"/>
      <c r="HNC389" s="34"/>
      <c r="HND389" s="34"/>
      <c r="HNE389" s="34"/>
      <c r="HNF389" s="34"/>
      <c r="HNG389" s="34"/>
      <c r="HNH389" s="34"/>
      <c r="HNI389" s="34"/>
      <c r="HNJ389" s="34"/>
      <c r="HNK389" s="34"/>
      <c r="HNL389" s="34"/>
      <c r="HNM389" s="34"/>
      <c r="HNN389" s="34"/>
      <c r="HNO389" s="34"/>
      <c r="HNP389" s="34"/>
      <c r="HNQ389" s="34"/>
      <c r="HNR389" s="34"/>
      <c r="HNS389" s="34"/>
      <c r="HNT389" s="34"/>
      <c r="HNU389" s="34"/>
      <c r="HNV389" s="34"/>
      <c r="HNW389" s="34"/>
      <c r="HNX389" s="34"/>
      <c r="HNY389" s="34"/>
      <c r="HNZ389" s="34"/>
      <c r="HOA389" s="34"/>
      <c r="HOB389" s="34"/>
      <c r="HOC389" s="34"/>
      <c r="HOD389" s="34"/>
      <c r="HOE389" s="34"/>
      <c r="HOF389" s="34"/>
      <c r="HOG389" s="34"/>
      <c r="HOH389" s="34"/>
      <c r="HOI389" s="34"/>
      <c r="HOJ389" s="34"/>
      <c r="HOK389" s="34"/>
      <c r="HOL389" s="34"/>
      <c r="HOM389" s="34"/>
      <c r="HON389" s="34"/>
      <c r="HOO389" s="34"/>
      <c r="HOP389" s="34"/>
      <c r="HOQ389" s="34"/>
      <c r="HOR389" s="34"/>
      <c r="HOS389" s="34"/>
      <c r="HOT389" s="34"/>
      <c r="HOU389" s="34"/>
      <c r="HOV389" s="34"/>
      <c r="HOW389" s="34"/>
      <c r="HOX389" s="34"/>
      <c r="HOY389" s="34"/>
      <c r="HOZ389" s="34"/>
      <c r="HPA389" s="34"/>
      <c r="HPB389" s="34"/>
      <c r="HPC389" s="34"/>
      <c r="HPD389" s="34"/>
      <c r="HPE389" s="34"/>
      <c r="HPF389" s="34"/>
      <c r="HPG389" s="34"/>
      <c r="HPH389" s="34"/>
      <c r="HPI389" s="34"/>
      <c r="HPJ389" s="34"/>
      <c r="HPK389" s="34"/>
      <c r="HPL389" s="34"/>
      <c r="HPM389" s="34"/>
      <c r="HPN389" s="34"/>
      <c r="HPO389" s="34"/>
      <c r="HPP389" s="34"/>
      <c r="HPQ389" s="34"/>
      <c r="HPR389" s="34"/>
      <c r="HPS389" s="34"/>
      <c r="HPT389" s="34"/>
      <c r="HPU389" s="34"/>
      <c r="HPV389" s="34"/>
      <c r="HPW389" s="34"/>
      <c r="HPX389" s="34"/>
      <c r="HPY389" s="34"/>
      <c r="HPZ389" s="34"/>
      <c r="HQA389" s="34"/>
      <c r="HQB389" s="34"/>
      <c r="HQC389" s="34"/>
      <c r="HQD389" s="34"/>
      <c r="HQE389" s="34"/>
      <c r="HQF389" s="34"/>
      <c r="HQG389" s="34"/>
      <c r="HQH389" s="34"/>
      <c r="HQI389" s="34"/>
      <c r="HQJ389" s="34"/>
      <c r="HQK389" s="34"/>
      <c r="HQL389" s="34"/>
      <c r="HQM389" s="34"/>
      <c r="HQN389" s="34"/>
      <c r="HQO389" s="34"/>
      <c r="HQP389" s="34"/>
      <c r="HQQ389" s="34"/>
      <c r="HQR389" s="34"/>
      <c r="HQS389" s="34"/>
      <c r="HQT389" s="34"/>
      <c r="HQU389" s="34"/>
      <c r="HQV389" s="34"/>
      <c r="HQW389" s="34"/>
      <c r="HQX389" s="34"/>
      <c r="HQY389" s="34"/>
      <c r="HQZ389" s="34"/>
      <c r="HRA389" s="34"/>
      <c r="HRB389" s="34"/>
      <c r="HRC389" s="34"/>
      <c r="HRD389" s="34"/>
      <c r="HRE389" s="34"/>
      <c r="HRF389" s="34"/>
      <c r="HRG389" s="34"/>
      <c r="HRH389" s="34"/>
      <c r="HRI389" s="34"/>
      <c r="HRJ389" s="34"/>
      <c r="HRK389" s="34"/>
      <c r="HRL389" s="34"/>
      <c r="HRM389" s="34"/>
      <c r="HRN389" s="34"/>
      <c r="HRO389" s="34"/>
      <c r="HRP389" s="34"/>
      <c r="HRQ389" s="34"/>
      <c r="HRR389" s="34"/>
      <c r="HRS389" s="34"/>
      <c r="HRT389" s="34"/>
      <c r="HRU389" s="34"/>
      <c r="HRV389" s="34"/>
      <c r="HRW389" s="34"/>
      <c r="HRX389" s="34"/>
      <c r="HRY389" s="34"/>
      <c r="HRZ389" s="34"/>
      <c r="HSA389" s="34"/>
      <c r="HSB389" s="34"/>
      <c r="HSC389" s="34"/>
      <c r="HSD389" s="34"/>
      <c r="HSE389" s="34"/>
      <c r="HSF389" s="34"/>
      <c r="HSG389" s="34"/>
      <c r="HSH389" s="34"/>
      <c r="HSI389" s="34"/>
      <c r="HSJ389" s="34"/>
      <c r="HSK389" s="34"/>
      <c r="HSL389" s="34"/>
      <c r="HSM389" s="34"/>
      <c r="HSN389" s="34"/>
      <c r="HSO389" s="34"/>
      <c r="HSP389" s="34"/>
      <c r="HSQ389" s="34"/>
      <c r="HSR389" s="34"/>
      <c r="HSS389" s="34"/>
      <c r="HST389" s="34"/>
      <c r="HSU389" s="34"/>
      <c r="HSV389" s="34"/>
      <c r="HSW389" s="34"/>
      <c r="HSX389" s="34"/>
      <c r="HSY389" s="34"/>
      <c r="HSZ389" s="34"/>
      <c r="HTA389" s="34"/>
      <c r="HTB389" s="34"/>
      <c r="HTC389" s="34"/>
      <c r="HTD389" s="34"/>
      <c r="HTE389" s="34"/>
      <c r="HTF389" s="34"/>
      <c r="HTG389" s="34"/>
      <c r="HTH389" s="34"/>
      <c r="HTI389" s="34"/>
      <c r="HTJ389" s="34"/>
      <c r="HTK389" s="34"/>
      <c r="HTL389" s="34"/>
      <c r="HTM389" s="34"/>
      <c r="HTN389" s="34"/>
      <c r="HTO389" s="34"/>
      <c r="HTP389" s="34"/>
      <c r="HTQ389" s="34"/>
      <c r="HTR389" s="34"/>
      <c r="HTS389" s="34"/>
      <c r="HTT389" s="34"/>
      <c r="HTU389" s="34"/>
      <c r="HTV389" s="34"/>
      <c r="HTW389" s="34"/>
      <c r="HTX389" s="34"/>
      <c r="HTY389" s="34"/>
      <c r="HTZ389" s="34"/>
      <c r="HUA389" s="34"/>
      <c r="HUB389" s="34"/>
      <c r="HUC389" s="34"/>
      <c r="HUD389" s="34"/>
      <c r="HUE389" s="34"/>
      <c r="HUF389" s="34"/>
      <c r="HUG389" s="34"/>
      <c r="HUH389" s="34"/>
      <c r="HUI389" s="34"/>
      <c r="HUJ389" s="34"/>
      <c r="HUK389" s="34"/>
      <c r="HUL389" s="34"/>
      <c r="HUM389" s="34"/>
      <c r="HUN389" s="34"/>
      <c r="HUO389" s="34"/>
      <c r="HUP389" s="34"/>
      <c r="HUQ389" s="34"/>
      <c r="HUR389" s="34"/>
      <c r="HUS389" s="34"/>
      <c r="HUT389" s="34"/>
      <c r="HUU389" s="34"/>
      <c r="HUV389" s="34"/>
      <c r="HUW389" s="34"/>
      <c r="HUX389" s="34"/>
      <c r="HUY389" s="34"/>
      <c r="HUZ389" s="34"/>
      <c r="HVA389" s="34"/>
      <c r="HVB389" s="34"/>
      <c r="HVC389" s="34"/>
      <c r="HVD389" s="34"/>
      <c r="HVE389" s="34"/>
      <c r="HVF389" s="34"/>
      <c r="HVG389" s="34"/>
      <c r="HVH389" s="34"/>
      <c r="HVI389" s="34"/>
      <c r="HVJ389" s="34"/>
      <c r="HVK389" s="34"/>
      <c r="HVL389" s="34"/>
      <c r="HVM389" s="34"/>
      <c r="HVN389" s="34"/>
      <c r="HVO389" s="34"/>
      <c r="HVP389" s="34"/>
      <c r="HVQ389" s="34"/>
      <c r="HVR389" s="34"/>
      <c r="HVS389" s="34"/>
      <c r="HVT389" s="34"/>
      <c r="HVU389" s="34"/>
      <c r="HVV389" s="34"/>
      <c r="HVW389" s="34"/>
      <c r="HVX389" s="34"/>
      <c r="HVY389" s="34"/>
      <c r="HVZ389" s="34"/>
      <c r="HWA389" s="34"/>
      <c r="HWB389" s="34"/>
      <c r="HWC389" s="34"/>
      <c r="HWD389" s="34"/>
      <c r="HWE389" s="34"/>
      <c r="HWF389" s="34"/>
      <c r="HWG389" s="34"/>
      <c r="HWH389" s="34"/>
      <c r="HWI389" s="34"/>
      <c r="HWJ389" s="34"/>
      <c r="HWK389" s="34"/>
      <c r="HWL389" s="34"/>
      <c r="HWM389" s="34"/>
      <c r="HWN389" s="34"/>
      <c r="HWO389" s="34"/>
      <c r="HWP389" s="34"/>
      <c r="HWQ389" s="34"/>
      <c r="HWR389" s="34"/>
      <c r="HWS389" s="34"/>
      <c r="HWT389" s="34"/>
      <c r="HWU389" s="34"/>
      <c r="HWV389" s="34"/>
      <c r="HWW389" s="34"/>
      <c r="HWX389" s="34"/>
      <c r="HWY389" s="34"/>
      <c r="HWZ389" s="34"/>
      <c r="HXA389" s="34"/>
      <c r="HXB389" s="34"/>
      <c r="HXC389" s="34"/>
      <c r="HXD389" s="34"/>
      <c r="HXE389" s="34"/>
      <c r="HXF389" s="34"/>
      <c r="HXG389" s="34"/>
      <c r="HXH389" s="34"/>
      <c r="HXI389" s="34"/>
      <c r="HXJ389" s="34"/>
      <c r="HXK389" s="34"/>
      <c r="HXL389" s="34"/>
      <c r="HXM389" s="34"/>
      <c r="HXN389" s="34"/>
      <c r="HXO389" s="34"/>
      <c r="HXP389" s="34"/>
      <c r="HXQ389" s="34"/>
      <c r="HXR389" s="34"/>
      <c r="HXS389" s="34"/>
      <c r="HXT389" s="34"/>
      <c r="HXU389" s="34"/>
      <c r="HXV389" s="34"/>
      <c r="HXW389" s="34"/>
      <c r="HXX389" s="34"/>
      <c r="HXY389" s="34"/>
      <c r="HXZ389" s="34"/>
      <c r="HYA389" s="34"/>
      <c r="HYB389" s="34"/>
      <c r="HYC389" s="34"/>
      <c r="HYD389" s="34"/>
      <c r="HYE389" s="34"/>
      <c r="HYF389" s="34"/>
      <c r="HYG389" s="34"/>
      <c r="HYH389" s="34"/>
      <c r="HYI389" s="34"/>
      <c r="HYJ389" s="34"/>
      <c r="HYK389" s="34"/>
      <c r="HYL389" s="34"/>
      <c r="HYM389" s="34"/>
      <c r="HYN389" s="34"/>
      <c r="HYO389" s="34"/>
      <c r="HYP389" s="34"/>
      <c r="HYQ389" s="34"/>
      <c r="HYR389" s="34"/>
      <c r="HYS389" s="34"/>
      <c r="HYT389" s="34"/>
      <c r="HYU389" s="34"/>
      <c r="HYV389" s="34"/>
      <c r="HYW389" s="34"/>
      <c r="HYX389" s="34"/>
      <c r="HYY389" s="34"/>
      <c r="HYZ389" s="34"/>
      <c r="HZA389" s="34"/>
      <c r="HZB389" s="34"/>
      <c r="HZC389" s="34"/>
      <c r="HZD389" s="34"/>
      <c r="HZE389" s="34"/>
      <c r="HZF389" s="34"/>
      <c r="HZG389" s="34"/>
      <c r="HZH389" s="34"/>
      <c r="HZI389" s="34"/>
      <c r="HZJ389" s="34"/>
      <c r="HZK389" s="34"/>
      <c r="HZL389" s="34"/>
      <c r="HZM389" s="34"/>
      <c r="HZN389" s="34"/>
      <c r="HZO389" s="34"/>
      <c r="HZP389" s="34"/>
      <c r="HZQ389" s="34"/>
      <c r="HZR389" s="34"/>
      <c r="HZS389" s="34"/>
      <c r="HZT389" s="34"/>
      <c r="HZU389" s="34"/>
      <c r="HZV389" s="34"/>
      <c r="HZW389" s="34"/>
      <c r="HZX389" s="34"/>
      <c r="HZY389" s="34"/>
      <c r="HZZ389" s="34"/>
      <c r="IAA389" s="34"/>
      <c r="IAB389" s="34"/>
      <c r="IAC389" s="34"/>
      <c r="IAD389" s="34"/>
      <c r="IAE389" s="34"/>
      <c r="IAF389" s="34"/>
      <c r="IAG389" s="34"/>
      <c r="IAH389" s="34"/>
      <c r="IAI389" s="34"/>
      <c r="IAJ389" s="34"/>
      <c r="IAK389" s="34"/>
      <c r="IAL389" s="34"/>
      <c r="IAM389" s="34"/>
      <c r="IAN389" s="34"/>
      <c r="IAO389" s="34"/>
      <c r="IAP389" s="34"/>
      <c r="IAQ389" s="34"/>
      <c r="IAR389" s="34"/>
      <c r="IAS389" s="34"/>
      <c r="IAT389" s="34"/>
      <c r="IAU389" s="34"/>
      <c r="IAV389" s="34"/>
      <c r="IAW389" s="34"/>
      <c r="IAX389" s="34"/>
      <c r="IAY389" s="34"/>
      <c r="IAZ389" s="34"/>
      <c r="IBA389" s="34"/>
      <c r="IBB389" s="34"/>
      <c r="IBC389" s="34"/>
      <c r="IBD389" s="34"/>
      <c r="IBE389" s="34"/>
      <c r="IBF389" s="34"/>
      <c r="IBG389" s="34"/>
      <c r="IBH389" s="34"/>
      <c r="IBI389" s="34"/>
      <c r="IBJ389" s="34"/>
      <c r="IBK389" s="34"/>
      <c r="IBL389" s="34"/>
      <c r="IBM389" s="34"/>
      <c r="IBN389" s="34"/>
      <c r="IBO389" s="34"/>
      <c r="IBP389" s="34"/>
      <c r="IBQ389" s="34"/>
      <c r="IBR389" s="34"/>
      <c r="IBS389" s="34"/>
      <c r="IBT389" s="34"/>
      <c r="IBU389" s="34"/>
      <c r="IBV389" s="34"/>
      <c r="IBW389" s="34"/>
      <c r="IBX389" s="34"/>
      <c r="IBY389" s="34"/>
      <c r="IBZ389" s="34"/>
      <c r="ICA389" s="34"/>
      <c r="ICB389" s="34"/>
      <c r="ICC389" s="34"/>
      <c r="ICD389" s="34"/>
      <c r="ICE389" s="34"/>
      <c r="ICF389" s="34"/>
      <c r="ICG389" s="34"/>
      <c r="ICH389" s="34"/>
      <c r="ICI389" s="34"/>
      <c r="ICJ389" s="34"/>
      <c r="ICK389" s="34"/>
      <c r="ICL389" s="34"/>
      <c r="ICM389" s="34"/>
      <c r="ICN389" s="34"/>
      <c r="ICO389" s="34"/>
      <c r="ICP389" s="34"/>
      <c r="ICQ389" s="34"/>
      <c r="ICR389" s="34"/>
      <c r="ICS389" s="34"/>
      <c r="ICT389" s="34"/>
      <c r="ICU389" s="34"/>
      <c r="ICV389" s="34"/>
      <c r="ICW389" s="34"/>
      <c r="ICX389" s="34"/>
      <c r="ICY389" s="34"/>
      <c r="ICZ389" s="34"/>
      <c r="IDA389" s="34"/>
      <c r="IDB389" s="34"/>
      <c r="IDC389" s="34"/>
      <c r="IDD389" s="34"/>
      <c r="IDE389" s="34"/>
      <c r="IDF389" s="34"/>
      <c r="IDG389" s="34"/>
      <c r="IDH389" s="34"/>
      <c r="IDI389" s="34"/>
      <c r="IDJ389" s="34"/>
      <c r="IDK389" s="34"/>
      <c r="IDL389" s="34"/>
      <c r="IDM389" s="34"/>
      <c r="IDN389" s="34"/>
      <c r="IDO389" s="34"/>
      <c r="IDP389" s="34"/>
      <c r="IDQ389" s="34"/>
      <c r="IDR389" s="34"/>
      <c r="IDS389" s="34"/>
      <c r="IDT389" s="34"/>
      <c r="IDU389" s="34"/>
      <c r="IDV389" s="34"/>
      <c r="IDW389" s="34"/>
      <c r="IDX389" s="34"/>
      <c r="IDY389" s="34"/>
      <c r="IDZ389" s="34"/>
      <c r="IEA389" s="34"/>
      <c r="IEB389" s="34"/>
      <c r="IEC389" s="34"/>
      <c r="IED389" s="34"/>
      <c r="IEE389" s="34"/>
      <c r="IEF389" s="34"/>
      <c r="IEG389" s="34"/>
      <c r="IEH389" s="34"/>
      <c r="IEI389" s="34"/>
      <c r="IEJ389" s="34"/>
      <c r="IEK389" s="34"/>
      <c r="IEL389" s="34"/>
      <c r="IEM389" s="34"/>
      <c r="IEN389" s="34"/>
      <c r="IEO389" s="34"/>
      <c r="IEP389" s="34"/>
      <c r="IEQ389" s="34"/>
      <c r="IER389" s="34"/>
      <c r="IES389" s="34"/>
      <c r="IET389" s="34"/>
      <c r="IEU389" s="34"/>
      <c r="IEV389" s="34"/>
      <c r="IEW389" s="34"/>
      <c r="IEX389" s="34"/>
      <c r="IEY389" s="34"/>
      <c r="IEZ389" s="34"/>
      <c r="IFA389" s="34"/>
      <c r="IFB389" s="34"/>
      <c r="IFC389" s="34"/>
      <c r="IFD389" s="34"/>
      <c r="IFE389" s="34"/>
      <c r="IFF389" s="34"/>
      <c r="IFG389" s="34"/>
      <c r="IFH389" s="34"/>
      <c r="IFI389" s="34"/>
      <c r="IFJ389" s="34"/>
      <c r="IFK389" s="34"/>
      <c r="IFL389" s="34"/>
      <c r="IFM389" s="34"/>
      <c r="IFN389" s="34"/>
      <c r="IFO389" s="34"/>
      <c r="IFP389" s="34"/>
      <c r="IFQ389" s="34"/>
      <c r="IFR389" s="34"/>
      <c r="IFS389" s="34"/>
      <c r="IFT389" s="34"/>
      <c r="IFU389" s="34"/>
      <c r="IFV389" s="34"/>
      <c r="IFW389" s="34"/>
      <c r="IFX389" s="34"/>
      <c r="IFY389" s="34"/>
      <c r="IFZ389" s="34"/>
      <c r="IGA389" s="34"/>
      <c r="IGB389" s="34"/>
      <c r="IGC389" s="34"/>
      <c r="IGD389" s="34"/>
      <c r="IGE389" s="34"/>
      <c r="IGF389" s="34"/>
      <c r="IGG389" s="34"/>
      <c r="IGH389" s="34"/>
      <c r="IGI389" s="34"/>
      <c r="IGJ389" s="34"/>
      <c r="IGK389" s="34"/>
      <c r="IGL389" s="34"/>
      <c r="IGM389" s="34"/>
      <c r="IGN389" s="34"/>
      <c r="IGO389" s="34"/>
      <c r="IGP389" s="34"/>
      <c r="IGQ389" s="34"/>
      <c r="IGR389" s="34"/>
      <c r="IGS389" s="34"/>
      <c r="IGT389" s="34"/>
      <c r="IGU389" s="34"/>
      <c r="IGV389" s="34"/>
      <c r="IGW389" s="34"/>
      <c r="IGX389" s="34"/>
      <c r="IGY389" s="34"/>
      <c r="IGZ389" s="34"/>
      <c r="IHA389" s="34"/>
      <c r="IHB389" s="34"/>
      <c r="IHC389" s="34"/>
      <c r="IHD389" s="34"/>
      <c r="IHE389" s="34"/>
      <c r="IHF389" s="34"/>
      <c r="IHG389" s="34"/>
      <c r="IHH389" s="34"/>
      <c r="IHI389" s="34"/>
      <c r="IHJ389" s="34"/>
      <c r="IHK389" s="34"/>
      <c r="IHL389" s="34"/>
      <c r="IHM389" s="34"/>
      <c r="IHN389" s="34"/>
      <c r="IHO389" s="34"/>
      <c r="IHP389" s="34"/>
      <c r="IHQ389" s="34"/>
      <c r="IHR389" s="34"/>
      <c r="IHS389" s="34"/>
      <c r="IHT389" s="34"/>
      <c r="IHU389" s="34"/>
      <c r="IHV389" s="34"/>
      <c r="IHW389" s="34"/>
      <c r="IHX389" s="34"/>
      <c r="IHY389" s="34"/>
      <c r="IHZ389" s="34"/>
      <c r="IIA389" s="34"/>
      <c r="IIB389" s="34"/>
      <c r="IIC389" s="34"/>
      <c r="IID389" s="34"/>
      <c r="IIE389" s="34"/>
      <c r="IIF389" s="34"/>
      <c r="IIG389" s="34"/>
      <c r="IIH389" s="34"/>
      <c r="III389" s="34"/>
      <c r="IIJ389" s="34"/>
      <c r="IIK389" s="34"/>
      <c r="IIL389" s="34"/>
      <c r="IIM389" s="34"/>
      <c r="IIN389" s="34"/>
      <c r="IIO389" s="34"/>
      <c r="IIP389" s="34"/>
      <c r="IIQ389" s="34"/>
      <c r="IIR389" s="34"/>
      <c r="IIS389" s="34"/>
      <c r="IIT389" s="34"/>
      <c r="IIU389" s="34"/>
      <c r="IIV389" s="34"/>
      <c r="IIW389" s="34"/>
      <c r="IIX389" s="34"/>
      <c r="IIY389" s="34"/>
      <c r="IIZ389" s="34"/>
      <c r="IJA389" s="34"/>
      <c r="IJB389" s="34"/>
      <c r="IJC389" s="34"/>
      <c r="IJD389" s="34"/>
      <c r="IJE389" s="34"/>
      <c r="IJF389" s="34"/>
      <c r="IJG389" s="34"/>
      <c r="IJH389" s="34"/>
      <c r="IJI389" s="34"/>
      <c r="IJJ389" s="34"/>
      <c r="IJK389" s="34"/>
      <c r="IJL389" s="34"/>
      <c r="IJM389" s="34"/>
      <c r="IJN389" s="34"/>
      <c r="IJO389" s="34"/>
      <c r="IJP389" s="34"/>
      <c r="IJQ389" s="34"/>
      <c r="IJR389" s="34"/>
      <c r="IJS389" s="34"/>
      <c r="IJT389" s="34"/>
      <c r="IJU389" s="34"/>
      <c r="IJV389" s="34"/>
      <c r="IJW389" s="34"/>
      <c r="IJX389" s="34"/>
      <c r="IJY389" s="34"/>
      <c r="IJZ389" s="34"/>
      <c r="IKA389" s="34"/>
      <c r="IKB389" s="34"/>
      <c r="IKC389" s="34"/>
      <c r="IKD389" s="34"/>
      <c r="IKE389" s="34"/>
      <c r="IKF389" s="34"/>
      <c r="IKG389" s="34"/>
      <c r="IKH389" s="34"/>
      <c r="IKI389" s="34"/>
      <c r="IKJ389" s="34"/>
      <c r="IKK389" s="34"/>
      <c r="IKL389" s="34"/>
      <c r="IKM389" s="34"/>
      <c r="IKN389" s="34"/>
      <c r="IKO389" s="34"/>
      <c r="IKP389" s="34"/>
      <c r="IKQ389" s="34"/>
      <c r="IKR389" s="34"/>
      <c r="IKS389" s="34"/>
      <c r="IKT389" s="34"/>
      <c r="IKU389" s="34"/>
      <c r="IKV389" s="34"/>
      <c r="IKW389" s="34"/>
      <c r="IKX389" s="34"/>
      <c r="IKY389" s="34"/>
      <c r="IKZ389" s="34"/>
      <c r="ILA389" s="34"/>
      <c r="ILB389" s="34"/>
      <c r="ILC389" s="34"/>
      <c r="ILD389" s="34"/>
      <c r="ILE389" s="34"/>
      <c r="ILF389" s="34"/>
      <c r="ILG389" s="34"/>
      <c r="ILH389" s="34"/>
      <c r="ILI389" s="34"/>
      <c r="ILJ389" s="34"/>
      <c r="ILK389" s="34"/>
      <c r="ILL389" s="34"/>
      <c r="ILM389" s="34"/>
      <c r="ILN389" s="34"/>
      <c r="ILO389" s="34"/>
      <c r="ILP389" s="34"/>
      <c r="ILQ389" s="34"/>
      <c r="ILR389" s="34"/>
      <c r="ILS389" s="34"/>
      <c r="ILT389" s="34"/>
      <c r="ILU389" s="34"/>
      <c r="ILV389" s="34"/>
      <c r="ILW389" s="34"/>
      <c r="ILX389" s="34"/>
      <c r="ILY389" s="34"/>
      <c r="ILZ389" s="34"/>
      <c r="IMA389" s="34"/>
      <c r="IMB389" s="34"/>
      <c r="IMC389" s="34"/>
      <c r="IMD389" s="34"/>
      <c r="IME389" s="34"/>
      <c r="IMF389" s="34"/>
      <c r="IMG389" s="34"/>
      <c r="IMH389" s="34"/>
      <c r="IMI389" s="34"/>
      <c r="IMJ389" s="34"/>
      <c r="IMK389" s="34"/>
      <c r="IML389" s="34"/>
      <c r="IMM389" s="34"/>
      <c r="IMN389" s="34"/>
      <c r="IMO389" s="34"/>
      <c r="IMP389" s="34"/>
      <c r="IMQ389" s="34"/>
      <c r="IMR389" s="34"/>
      <c r="IMS389" s="34"/>
      <c r="IMT389" s="34"/>
      <c r="IMU389" s="34"/>
      <c r="IMV389" s="34"/>
      <c r="IMW389" s="34"/>
      <c r="IMX389" s="34"/>
      <c r="IMY389" s="34"/>
      <c r="IMZ389" s="34"/>
      <c r="INA389" s="34"/>
      <c r="INB389" s="34"/>
      <c r="INC389" s="34"/>
      <c r="IND389" s="34"/>
      <c r="INE389" s="34"/>
      <c r="INF389" s="34"/>
      <c r="ING389" s="34"/>
      <c r="INH389" s="34"/>
      <c r="INI389" s="34"/>
      <c r="INJ389" s="34"/>
      <c r="INK389" s="34"/>
      <c r="INL389" s="34"/>
      <c r="INM389" s="34"/>
      <c r="INN389" s="34"/>
      <c r="INO389" s="34"/>
      <c r="INP389" s="34"/>
      <c r="INQ389" s="34"/>
      <c r="INR389" s="34"/>
      <c r="INS389" s="34"/>
      <c r="INT389" s="34"/>
      <c r="INU389" s="34"/>
      <c r="INV389" s="34"/>
      <c r="INW389" s="34"/>
      <c r="INX389" s="34"/>
      <c r="INY389" s="34"/>
      <c r="INZ389" s="34"/>
      <c r="IOA389" s="34"/>
      <c r="IOB389" s="34"/>
      <c r="IOC389" s="34"/>
      <c r="IOD389" s="34"/>
      <c r="IOE389" s="34"/>
      <c r="IOF389" s="34"/>
      <c r="IOG389" s="34"/>
      <c r="IOH389" s="34"/>
      <c r="IOI389" s="34"/>
      <c r="IOJ389" s="34"/>
      <c r="IOK389" s="34"/>
      <c r="IOL389" s="34"/>
      <c r="IOM389" s="34"/>
      <c r="ION389" s="34"/>
      <c r="IOO389" s="34"/>
      <c r="IOP389" s="34"/>
      <c r="IOQ389" s="34"/>
      <c r="IOR389" s="34"/>
      <c r="IOS389" s="34"/>
      <c r="IOT389" s="34"/>
      <c r="IOU389" s="34"/>
      <c r="IOV389" s="34"/>
      <c r="IOW389" s="34"/>
      <c r="IOX389" s="34"/>
      <c r="IOY389" s="34"/>
      <c r="IOZ389" s="34"/>
      <c r="IPA389" s="34"/>
      <c r="IPB389" s="34"/>
      <c r="IPC389" s="34"/>
      <c r="IPD389" s="34"/>
      <c r="IPE389" s="34"/>
      <c r="IPF389" s="34"/>
      <c r="IPG389" s="34"/>
      <c r="IPH389" s="34"/>
      <c r="IPI389" s="34"/>
      <c r="IPJ389" s="34"/>
      <c r="IPK389" s="34"/>
      <c r="IPL389" s="34"/>
      <c r="IPM389" s="34"/>
      <c r="IPN389" s="34"/>
      <c r="IPO389" s="34"/>
      <c r="IPP389" s="34"/>
      <c r="IPQ389" s="34"/>
      <c r="IPR389" s="34"/>
      <c r="IPS389" s="34"/>
      <c r="IPT389" s="34"/>
      <c r="IPU389" s="34"/>
      <c r="IPV389" s="34"/>
      <c r="IPW389" s="34"/>
      <c r="IPX389" s="34"/>
      <c r="IPY389" s="34"/>
      <c r="IPZ389" s="34"/>
      <c r="IQA389" s="34"/>
      <c r="IQB389" s="34"/>
      <c r="IQC389" s="34"/>
      <c r="IQD389" s="34"/>
      <c r="IQE389" s="34"/>
      <c r="IQF389" s="34"/>
      <c r="IQG389" s="34"/>
      <c r="IQH389" s="34"/>
      <c r="IQI389" s="34"/>
      <c r="IQJ389" s="34"/>
      <c r="IQK389" s="34"/>
      <c r="IQL389" s="34"/>
      <c r="IQM389" s="34"/>
      <c r="IQN389" s="34"/>
      <c r="IQO389" s="34"/>
      <c r="IQP389" s="34"/>
      <c r="IQQ389" s="34"/>
      <c r="IQR389" s="34"/>
      <c r="IQS389" s="34"/>
      <c r="IQT389" s="34"/>
      <c r="IQU389" s="34"/>
      <c r="IQV389" s="34"/>
      <c r="IQW389" s="34"/>
      <c r="IQX389" s="34"/>
      <c r="IQY389" s="34"/>
      <c r="IQZ389" s="34"/>
      <c r="IRA389" s="34"/>
      <c r="IRB389" s="34"/>
      <c r="IRC389" s="34"/>
      <c r="IRD389" s="34"/>
      <c r="IRE389" s="34"/>
      <c r="IRF389" s="34"/>
      <c r="IRG389" s="34"/>
      <c r="IRH389" s="34"/>
      <c r="IRI389" s="34"/>
      <c r="IRJ389" s="34"/>
      <c r="IRK389" s="34"/>
      <c r="IRL389" s="34"/>
      <c r="IRM389" s="34"/>
      <c r="IRN389" s="34"/>
      <c r="IRO389" s="34"/>
      <c r="IRP389" s="34"/>
      <c r="IRQ389" s="34"/>
      <c r="IRR389" s="34"/>
      <c r="IRS389" s="34"/>
      <c r="IRT389" s="34"/>
      <c r="IRU389" s="34"/>
      <c r="IRV389" s="34"/>
      <c r="IRW389" s="34"/>
      <c r="IRX389" s="34"/>
      <c r="IRY389" s="34"/>
      <c r="IRZ389" s="34"/>
      <c r="ISA389" s="34"/>
      <c r="ISB389" s="34"/>
      <c r="ISC389" s="34"/>
      <c r="ISD389" s="34"/>
      <c r="ISE389" s="34"/>
      <c r="ISF389" s="34"/>
      <c r="ISG389" s="34"/>
      <c r="ISH389" s="34"/>
      <c r="ISI389" s="34"/>
      <c r="ISJ389" s="34"/>
      <c r="ISK389" s="34"/>
      <c r="ISL389" s="34"/>
      <c r="ISM389" s="34"/>
      <c r="ISN389" s="34"/>
      <c r="ISO389" s="34"/>
      <c r="ISP389" s="34"/>
      <c r="ISQ389" s="34"/>
      <c r="ISR389" s="34"/>
      <c r="ISS389" s="34"/>
      <c r="IST389" s="34"/>
      <c r="ISU389" s="34"/>
      <c r="ISV389" s="34"/>
      <c r="ISW389" s="34"/>
      <c r="ISX389" s="34"/>
      <c r="ISY389" s="34"/>
      <c r="ISZ389" s="34"/>
      <c r="ITA389" s="34"/>
      <c r="ITB389" s="34"/>
      <c r="ITC389" s="34"/>
      <c r="ITD389" s="34"/>
      <c r="ITE389" s="34"/>
      <c r="ITF389" s="34"/>
      <c r="ITG389" s="34"/>
      <c r="ITH389" s="34"/>
      <c r="ITI389" s="34"/>
      <c r="ITJ389" s="34"/>
      <c r="ITK389" s="34"/>
      <c r="ITL389" s="34"/>
      <c r="ITM389" s="34"/>
      <c r="ITN389" s="34"/>
      <c r="ITO389" s="34"/>
      <c r="ITP389" s="34"/>
      <c r="ITQ389" s="34"/>
      <c r="ITR389" s="34"/>
      <c r="ITS389" s="34"/>
      <c r="ITT389" s="34"/>
      <c r="ITU389" s="34"/>
      <c r="ITV389" s="34"/>
      <c r="ITW389" s="34"/>
      <c r="ITX389" s="34"/>
      <c r="ITY389" s="34"/>
      <c r="ITZ389" s="34"/>
      <c r="IUA389" s="34"/>
      <c r="IUB389" s="34"/>
      <c r="IUC389" s="34"/>
      <c r="IUD389" s="34"/>
      <c r="IUE389" s="34"/>
      <c r="IUF389" s="34"/>
      <c r="IUG389" s="34"/>
      <c r="IUH389" s="34"/>
      <c r="IUI389" s="34"/>
      <c r="IUJ389" s="34"/>
      <c r="IUK389" s="34"/>
      <c r="IUL389" s="34"/>
      <c r="IUM389" s="34"/>
      <c r="IUN389" s="34"/>
      <c r="IUO389" s="34"/>
      <c r="IUP389" s="34"/>
      <c r="IUQ389" s="34"/>
      <c r="IUR389" s="34"/>
      <c r="IUS389" s="34"/>
      <c r="IUT389" s="34"/>
      <c r="IUU389" s="34"/>
      <c r="IUV389" s="34"/>
      <c r="IUW389" s="34"/>
      <c r="IUX389" s="34"/>
      <c r="IUY389" s="34"/>
      <c r="IUZ389" s="34"/>
      <c r="IVA389" s="34"/>
      <c r="IVB389" s="34"/>
      <c r="IVC389" s="34"/>
      <c r="IVD389" s="34"/>
      <c r="IVE389" s="34"/>
      <c r="IVF389" s="34"/>
      <c r="IVG389" s="34"/>
      <c r="IVH389" s="34"/>
      <c r="IVI389" s="34"/>
      <c r="IVJ389" s="34"/>
      <c r="IVK389" s="34"/>
      <c r="IVL389" s="34"/>
      <c r="IVM389" s="34"/>
      <c r="IVN389" s="34"/>
      <c r="IVO389" s="34"/>
      <c r="IVP389" s="34"/>
      <c r="IVQ389" s="34"/>
      <c r="IVR389" s="34"/>
      <c r="IVS389" s="34"/>
      <c r="IVT389" s="34"/>
      <c r="IVU389" s="34"/>
      <c r="IVV389" s="34"/>
      <c r="IVW389" s="34"/>
      <c r="IVX389" s="34"/>
      <c r="IVY389" s="34"/>
      <c r="IVZ389" s="34"/>
      <c r="IWA389" s="34"/>
      <c r="IWB389" s="34"/>
      <c r="IWC389" s="34"/>
      <c r="IWD389" s="34"/>
      <c r="IWE389" s="34"/>
      <c r="IWF389" s="34"/>
      <c r="IWG389" s="34"/>
      <c r="IWH389" s="34"/>
      <c r="IWI389" s="34"/>
      <c r="IWJ389" s="34"/>
      <c r="IWK389" s="34"/>
      <c r="IWL389" s="34"/>
      <c r="IWM389" s="34"/>
      <c r="IWN389" s="34"/>
      <c r="IWO389" s="34"/>
      <c r="IWP389" s="34"/>
      <c r="IWQ389" s="34"/>
      <c r="IWR389" s="34"/>
      <c r="IWS389" s="34"/>
      <c r="IWT389" s="34"/>
      <c r="IWU389" s="34"/>
      <c r="IWV389" s="34"/>
      <c r="IWW389" s="34"/>
      <c r="IWX389" s="34"/>
      <c r="IWY389" s="34"/>
      <c r="IWZ389" s="34"/>
      <c r="IXA389" s="34"/>
      <c r="IXB389" s="34"/>
      <c r="IXC389" s="34"/>
      <c r="IXD389" s="34"/>
      <c r="IXE389" s="34"/>
      <c r="IXF389" s="34"/>
      <c r="IXG389" s="34"/>
      <c r="IXH389" s="34"/>
      <c r="IXI389" s="34"/>
      <c r="IXJ389" s="34"/>
      <c r="IXK389" s="34"/>
      <c r="IXL389" s="34"/>
      <c r="IXM389" s="34"/>
      <c r="IXN389" s="34"/>
      <c r="IXO389" s="34"/>
      <c r="IXP389" s="34"/>
      <c r="IXQ389" s="34"/>
      <c r="IXR389" s="34"/>
      <c r="IXS389" s="34"/>
      <c r="IXT389" s="34"/>
      <c r="IXU389" s="34"/>
      <c r="IXV389" s="34"/>
      <c r="IXW389" s="34"/>
      <c r="IXX389" s="34"/>
      <c r="IXY389" s="34"/>
      <c r="IXZ389" s="34"/>
      <c r="IYA389" s="34"/>
      <c r="IYB389" s="34"/>
      <c r="IYC389" s="34"/>
      <c r="IYD389" s="34"/>
      <c r="IYE389" s="34"/>
      <c r="IYF389" s="34"/>
      <c r="IYG389" s="34"/>
      <c r="IYH389" s="34"/>
      <c r="IYI389" s="34"/>
      <c r="IYJ389" s="34"/>
      <c r="IYK389" s="34"/>
      <c r="IYL389" s="34"/>
      <c r="IYM389" s="34"/>
      <c r="IYN389" s="34"/>
      <c r="IYO389" s="34"/>
      <c r="IYP389" s="34"/>
      <c r="IYQ389" s="34"/>
      <c r="IYR389" s="34"/>
      <c r="IYS389" s="34"/>
      <c r="IYT389" s="34"/>
      <c r="IYU389" s="34"/>
      <c r="IYV389" s="34"/>
      <c r="IYW389" s="34"/>
      <c r="IYX389" s="34"/>
      <c r="IYY389" s="34"/>
      <c r="IYZ389" s="34"/>
      <c r="IZA389" s="34"/>
      <c r="IZB389" s="34"/>
      <c r="IZC389" s="34"/>
      <c r="IZD389" s="34"/>
      <c r="IZE389" s="34"/>
      <c r="IZF389" s="34"/>
      <c r="IZG389" s="34"/>
      <c r="IZH389" s="34"/>
      <c r="IZI389" s="34"/>
      <c r="IZJ389" s="34"/>
      <c r="IZK389" s="34"/>
      <c r="IZL389" s="34"/>
      <c r="IZM389" s="34"/>
      <c r="IZN389" s="34"/>
      <c r="IZO389" s="34"/>
      <c r="IZP389" s="34"/>
      <c r="IZQ389" s="34"/>
      <c r="IZR389" s="34"/>
      <c r="IZS389" s="34"/>
      <c r="IZT389" s="34"/>
      <c r="IZU389" s="34"/>
      <c r="IZV389" s="34"/>
      <c r="IZW389" s="34"/>
      <c r="IZX389" s="34"/>
      <c r="IZY389" s="34"/>
      <c r="IZZ389" s="34"/>
      <c r="JAA389" s="34"/>
      <c r="JAB389" s="34"/>
      <c r="JAC389" s="34"/>
      <c r="JAD389" s="34"/>
      <c r="JAE389" s="34"/>
      <c r="JAF389" s="34"/>
      <c r="JAG389" s="34"/>
      <c r="JAH389" s="34"/>
      <c r="JAI389" s="34"/>
      <c r="JAJ389" s="34"/>
      <c r="JAK389" s="34"/>
      <c r="JAL389" s="34"/>
      <c r="JAM389" s="34"/>
      <c r="JAN389" s="34"/>
      <c r="JAO389" s="34"/>
      <c r="JAP389" s="34"/>
      <c r="JAQ389" s="34"/>
      <c r="JAR389" s="34"/>
      <c r="JAS389" s="34"/>
      <c r="JAT389" s="34"/>
      <c r="JAU389" s="34"/>
      <c r="JAV389" s="34"/>
      <c r="JAW389" s="34"/>
      <c r="JAX389" s="34"/>
      <c r="JAY389" s="34"/>
      <c r="JAZ389" s="34"/>
      <c r="JBA389" s="34"/>
      <c r="JBB389" s="34"/>
      <c r="JBC389" s="34"/>
      <c r="JBD389" s="34"/>
      <c r="JBE389" s="34"/>
      <c r="JBF389" s="34"/>
      <c r="JBG389" s="34"/>
      <c r="JBH389" s="34"/>
      <c r="JBI389" s="34"/>
      <c r="JBJ389" s="34"/>
      <c r="JBK389" s="34"/>
      <c r="JBL389" s="34"/>
      <c r="JBM389" s="34"/>
      <c r="JBN389" s="34"/>
      <c r="JBO389" s="34"/>
      <c r="JBP389" s="34"/>
      <c r="JBQ389" s="34"/>
      <c r="JBR389" s="34"/>
      <c r="JBS389" s="34"/>
      <c r="JBT389" s="34"/>
      <c r="JBU389" s="34"/>
      <c r="JBV389" s="34"/>
      <c r="JBW389" s="34"/>
      <c r="JBX389" s="34"/>
      <c r="JBY389" s="34"/>
      <c r="JBZ389" s="34"/>
      <c r="JCA389" s="34"/>
      <c r="JCB389" s="34"/>
      <c r="JCC389" s="34"/>
      <c r="JCD389" s="34"/>
      <c r="JCE389" s="34"/>
      <c r="JCF389" s="34"/>
      <c r="JCG389" s="34"/>
      <c r="JCH389" s="34"/>
      <c r="JCI389" s="34"/>
      <c r="JCJ389" s="34"/>
      <c r="JCK389" s="34"/>
      <c r="JCL389" s="34"/>
      <c r="JCM389" s="34"/>
      <c r="JCN389" s="34"/>
      <c r="JCO389" s="34"/>
      <c r="JCP389" s="34"/>
      <c r="JCQ389" s="34"/>
      <c r="JCR389" s="34"/>
      <c r="JCS389" s="34"/>
      <c r="JCT389" s="34"/>
      <c r="JCU389" s="34"/>
      <c r="JCV389" s="34"/>
      <c r="JCW389" s="34"/>
      <c r="JCX389" s="34"/>
      <c r="JCY389" s="34"/>
      <c r="JCZ389" s="34"/>
      <c r="JDA389" s="34"/>
      <c r="JDB389" s="34"/>
      <c r="JDC389" s="34"/>
      <c r="JDD389" s="34"/>
      <c r="JDE389" s="34"/>
      <c r="JDF389" s="34"/>
      <c r="JDG389" s="34"/>
      <c r="JDH389" s="34"/>
      <c r="JDI389" s="34"/>
      <c r="JDJ389" s="34"/>
      <c r="JDK389" s="34"/>
      <c r="JDL389" s="34"/>
      <c r="JDM389" s="34"/>
      <c r="JDN389" s="34"/>
      <c r="JDO389" s="34"/>
      <c r="JDP389" s="34"/>
      <c r="JDQ389" s="34"/>
      <c r="JDR389" s="34"/>
      <c r="JDS389" s="34"/>
      <c r="JDT389" s="34"/>
      <c r="JDU389" s="34"/>
      <c r="JDV389" s="34"/>
      <c r="JDW389" s="34"/>
      <c r="JDX389" s="34"/>
      <c r="JDY389" s="34"/>
      <c r="JDZ389" s="34"/>
      <c r="JEA389" s="34"/>
      <c r="JEB389" s="34"/>
      <c r="JEC389" s="34"/>
      <c r="JED389" s="34"/>
      <c r="JEE389" s="34"/>
      <c r="JEF389" s="34"/>
      <c r="JEG389" s="34"/>
      <c r="JEH389" s="34"/>
      <c r="JEI389" s="34"/>
      <c r="JEJ389" s="34"/>
      <c r="JEK389" s="34"/>
      <c r="JEL389" s="34"/>
      <c r="JEM389" s="34"/>
      <c r="JEN389" s="34"/>
      <c r="JEO389" s="34"/>
      <c r="JEP389" s="34"/>
      <c r="JEQ389" s="34"/>
      <c r="JER389" s="34"/>
      <c r="JES389" s="34"/>
      <c r="JET389" s="34"/>
      <c r="JEU389" s="34"/>
      <c r="JEV389" s="34"/>
      <c r="JEW389" s="34"/>
      <c r="JEX389" s="34"/>
      <c r="JEY389" s="34"/>
      <c r="JEZ389" s="34"/>
      <c r="JFA389" s="34"/>
      <c r="JFB389" s="34"/>
      <c r="JFC389" s="34"/>
      <c r="JFD389" s="34"/>
      <c r="JFE389" s="34"/>
      <c r="JFF389" s="34"/>
      <c r="JFG389" s="34"/>
      <c r="JFH389" s="34"/>
      <c r="JFI389" s="34"/>
      <c r="JFJ389" s="34"/>
      <c r="JFK389" s="34"/>
      <c r="JFL389" s="34"/>
      <c r="JFM389" s="34"/>
      <c r="JFN389" s="34"/>
      <c r="JFO389" s="34"/>
      <c r="JFP389" s="34"/>
      <c r="JFQ389" s="34"/>
      <c r="JFR389" s="34"/>
      <c r="JFS389" s="34"/>
      <c r="JFT389" s="34"/>
      <c r="JFU389" s="34"/>
      <c r="JFV389" s="34"/>
      <c r="JFW389" s="34"/>
      <c r="JFX389" s="34"/>
      <c r="JFY389" s="34"/>
      <c r="JFZ389" s="34"/>
      <c r="JGA389" s="34"/>
      <c r="JGB389" s="34"/>
      <c r="JGC389" s="34"/>
      <c r="JGD389" s="34"/>
      <c r="JGE389" s="34"/>
      <c r="JGF389" s="34"/>
      <c r="JGG389" s="34"/>
      <c r="JGH389" s="34"/>
      <c r="JGI389" s="34"/>
      <c r="JGJ389" s="34"/>
      <c r="JGK389" s="34"/>
      <c r="JGL389" s="34"/>
      <c r="JGM389" s="34"/>
      <c r="JGN389" s="34"/>
      <c r="JGO389" s="34"/>
      <c r="JGP389" s="34"/>
      <c r="JGQ389" s="34"/>
      <c r="JGR389" s="34"/>
      <c r="JGS389" s="34"/>
      <c r="JGT389" s="34"/>
      <c r="JGU389" s="34"/>
      <c r="JGV389" s="34"/>
      <c r="JGW389" s="34"/>
      <c r="JGX389" s="34"/>
      <c r="JGY389" s="34"/>
      <c r="JGZ389" s="34"/>
      <c r="JHA389" s="34"/>
      <c r="JHB389" s="34"/>
      <c r="JHC389" s="34"/>
      <c r="JHD389" s="34"/>
      <c r="JHE389" s="34"/>
      <c r="JHF389" s="34"/>
      <c r="JHG389" s="34"/>
      <c r="JHH389" s="34"/>
      <c r="JHI389" s="34"/>
      <c r="JHJ389" s="34"/>
      <c r="JHK389" s="34"/>
      <c r="JHL389" s="34"/>
      <c r="JHM389" s="34"/>
      <c r="JHN389" s="34"/>
      <c r="JHO389" s="34"/>
      <c r="JHP389" s="34"/>
      <c r="JHQ389" s="34"/>
      <c r="JHR389" s="34"/>
      <c r="JHS389" s="34"/>
      <c r="JHT389" s="34"/>
      <c r="JHU389" s="34"/>
      <c r="JHV389" s="34"/>
      <c r="JHW389" s="34"/>
      <c r="JHX389" s="34"/>
      <c r="JHY389" s="34"/>
      <c r="JHZ389" s="34"/>
      <c r="JIA389" s="34"/>
      <c r="JIB389" s="34"/>
      <c r="JIC389" s="34"/>
      <c r="JID389" s="34"/>
      <c r="JIE389" s="34"/>
      <c r="JIF389" s="34"/>
      <c r="JIG389" s="34"/>
      <c r="JIH389" s="34"/>
      <c r="JII389" s="34"/>
      <c r="JIJ389" s="34"/>
      <c r="JIK389" s="34"/>
      <c r="JIL389" s="34"/>
      <c r="JIM389" s="34"/>
      <c r="JIN389" s="34"/>
      <c r="JIO389" s="34"/>
      <c r="JIP389" s="34"/>
      <c r="JIQ389" s="34"/>
      <c r="JIR389" s="34"/>
      <c r="JIS389" s="34"/>
      <c r="JIT389" s="34"/>
      <c r="JIU389" s="34"/>
      <c r="JIV389" s="34"/>
      <c r="JIW389" s="34"/>
      <c r="JIX389" s="34"/>
      <c r="JIY389" s="34"/>
      <c r="JIZ389" s="34"/>
      <c r="JJA389" s="34"/>
      <c r="JJB389" s="34"/>
      <c r="JJC389" s="34"/>
      <c r="JJD389" s="34"/>
      <c r="JJE389" s="34"/>
      <c r="JJF389" s="34"/>
      <c r="JJG389" s="34"/>
      <c r="JJH389" s="34"/>
      <c r="JJI389" s="34"/>
      <c r="JJJ389" s="34"/>
      <c r="JJK389" s="34"/>
      <c r="JJL389" s="34"/>
      <c r="JJM389" s="34"/>
      <c r="JJN389" s="34"/>
      <c r="JJO389" s="34"/>
      <c r="JJP389" s="34"/>
      <c r="JJQ389" s="34"/>
      <c r="JJR389" s="34"/>
      <c r="JJS389" s="34"/>
      <c r="JJT389" s="34"/>
      <c r="JJU389" s="34"/>
      <c r="JJV389" s="34"/>
      <c r="JJW389" s="34"/>
      <c r="JJX389" s="34"/>
      <c r="JJY389" s="34"/>
      <c r="JJZ389" s="34"/>
      <c r="JKA389" s="34"/>
      <c r="JKB389" s="34"/>
      <c r="JKC389" s="34"/>
      <c r="JKD389" s="34"/>
      <c r="JKE389" s="34"/>
      <c r="JKF389" s="34"/>
      <c r="JKG389" s="34"/>
      <c r="JKH389" s="34"/>
      <c r="JKI389" s="34"/>
      <c r="JKJ389" s="34"/>
      <c r="JKK389" s="34"/>
      <c r="JKL389" s="34"/>
      <c r="JKM389" s="34"/>
      <c r="JKN389" s="34"/>
      <c r="JKO389" s="34"/>
      <c r="JKP389" s="34"/>
      <c r="JKQ389" s="34"/>
      <c r="JKR389" s="34"/>
      <c r="JKS389" s="34"/>
      <c r="JKT389" s="34"/>
      <c r="JKU389" s="34"/>
      <c r="JKV389" s="34"/>
      <c r="JKW389" s="34"/>
      <c r="JKX389" s="34"/>
      <c r="JKY389" s="34"/>
      <c r="JKZ389" s="34"/>
      <c r="JLA389" s="34"/>
      <c r="JLB389" s="34"/>
      <c r="JLC389" s="34"/>
      <c r="JLD389" s="34"/>
      <c r="JLE389" s="34"/>
      <c r="JLF389" s="34"/>
      <c r="JLG389" s="34"/>
      <c r="JLH389" s="34"/>
      <c r="JLI389" s="34"/>
      <c r="JLJ389" s="34"/>
      <c r="JLK389" s="34"/>
      <c r="JLL389" s="34"/>
      <c r="JLM389" s="34"/>
      <c r="JLN389" s="34"/>
      <c r="JLO389" s="34"/>
      <c r="JLP389" s="34"/>
      <c r="JLQ389" s="34"/>
      <c r="JLR389" s="34"/>
      <c r="JLS389" s="34"/>
      <c r="JLT389" s="34"/>
      <c r="JLU389" s="34"/>
      <c r="JLV389" s="34"/>
      <c r="JLW389" s="34"/>
      <c r="JLX389" s="34"/>
      <c r="JLY389" s="34"/>
      <c r="JLZ389" s="34"/>
      <c r="JMA389" s="34"/>
      <c r="JMB389" s="34"/>
      <c r="JMC389" s="34"/>
      <c r="JMD389" s="34"/>
      <c r="JME389" s="34"/>
      <c r="JMF389" s="34"/>
      <c r="JMG389" s="34"/>
      <c r="JMH389" s="34"/>
      <c r="JMI389" s="34"/>
      <c r="JMJ389" s="34"/>
      <c r="JMK389" s="34"/>
      <c r="JML389" s="34"/>
      <c r="JMM389" s="34"/>
      <c r="JMN389" s="34"/>
      <c r="JMO389" s="34"/>
      <c r="JMP389" s="34"/>
      <c r="JMQ389" s="34"/>
      <c r="JMR389" s="34"/>
      <c r="JMS389" s="34"/>
      <c r="JMT389" s="34"/>
      <c r="JMU389" s="34"/>
      <c r="JMV389" s="34"/>
      <c r="JMW389" s="34"/>
      <c r="JMX389" s="34"/>
      <c r="JMY389" s="34"/>
      <c r="JMZ389" s="34"/>
      <c r="JNA389" s="34"/>
      <c r="JNB389" s="34"/>
      <c r="JNC389" s="34"/>
      <c r="JND389" s="34"/>
      <c r="JNE389" s="34"/>
      <c r="JNF389" s="34"/>
      <c r="JNG389" s="34"/>
      <c r="JNH389" s="34"/>
      <c r="JNI389" s="34"/>
      <c r="JNJ389" s="34"/>
      <c r="JNK389" s="34"/>
      <c r="JNL389" s="34"/>
      <c r="JNM389" s="34"/>
      <c r="JNN389" s="34"/>
      <c r="JNO389" s="34"/>
      <c r="JNP389" s="34"/>
      <c r="JNQ389" s="34"/>
      <c r="JNR389" s="34"/>
      <c r="JNS389" s="34"/>
      <c r="JNT389" s="34"/>
      <c r="JNU389" s="34"/>
      <c r="JNV389" s="34"/>
      <c r="JNW389" s="34"/>
      <c r="JNX389" s="34"/>
      <c r="JNY389" s="34"/>
      <c r="JNZ389" s="34"/>
      <c r="JOA389" s="34"/>
      <c r="JOB389" s="34"/>
      <c r="JOC389" s="34"/>
      <c r="JOD389" s="34"/>
      <c r="JOE389" s="34"/>
      <c r="JOF389" s="34"/>
      <c r="JOG389" s="34"/>
      <c r="JOH389" s="34"/>
      <c r="JOI389" s="34"/>
      <c r="JOJ389" s="34"/>
      <c r="JOK389" s="34"/>
      <c r="JOL389" s="34"/>
      <c r="JOM389" s="34"/>
      <c r="JON389" s="34"/>
      <c r="JOO389" s="34"/>
      <c r="JOP389" s="34"/>
      <c r="JOQ389" s="34"/>
      <c r="JOR389" s="34"/>
      <c r="JOS389" s="34"/>
      <c r="JOT389" s="34"/>
      <c r="JOU389" s="34"/>
      <c r="JOV389" s="34"/>
      <c r="JOW389" s="34"/>
      <c r="JOX389" s="34"/>
      <c r="JOY389" s="34"/>
      <c r="JOZ389" s="34"/>
      <c r="JPA389" s="34"/>
      <c r="JPB389" s="34"/>
      <c r="JPC389" s="34"/>
      <c r="JPD389" s="34"/>
      <c r="JPE389" s="34"/>
      <c r="JPF389" s="34"/>
      <c r="JPG389" s="34"/>
      <c r="JPH389" s="34"/>
      <c r="JPI389" s="34"/>
      <c r="JPJ389" s="34"/>
      <c r="JPK389" s="34"/>
      <c r="JPL389" s="34"/>
      <c r="JPM389" s="34"/>
      <c r="JPN389" s="34"/>
      <c r="JPO389" s="34"/>
      <c r="JPP389" s="34"/>
      <c r="JPQ389" s="34"/>
      <c r="JPR389" s="34"/>
      <c r="JPS389" s="34"/>
      <c r="JPT389" s="34"/>
      <c r="JPU389" s="34"/>
      <c r="JPV389" s="34"/>
      <c r="JPW389" s="34"/>
      <c r="JPX389" s="34"/>
      <c r="JPY389" s="34"/>
      <c r="JPZ389" s="34"/>
      <c r="JQA389" s="34"/>
      <c r="JQB389" s="34"/>
      <c r="JQC389" s="34"/>
      <c r="JQD389" s="34"/>
      <c r="JQE389" s="34"/>
      <c r="JQF389" s="34"/>
      <c r="JQG389" s="34"/>
      <c r="JQH389" s="34"/>
      <c r="JQI389" s="34"/>
      <c r="JQJ389" s="34"/>
      <c r="JQK389" s="34"/>
      <c r="JQL389" s="34"/>
      <c r="JQM389" s="34"/>
      <c r="JQN389" s="34"/>
      <c r="JQO389" s="34"/>
      <c r="JQP389" s="34"/>
      <c r="JQQ389" s="34"/>
      <c r="JQR389" s="34"/>
      <c r="JQS389" s="34"/>
      <c r="JQT389" s="34"/>
      <c r="JQU389" s="34"/>
      <c r="JQV389" s="34"/>
      <c r="JQW389" s="34"/>
      <c r="JQX389" s="34"/>
      <c r="JQY389" s="34"/>
      <c r="JQZ389" s="34"/>
      <c r="JRA389" s="34"/>
      <c r="JRB389" s="34"/>
      <c r="JRC389" s="34"/>
      <c r="JRD389" s="34"/>
      <c r="JRE389" s="34"/>
      <c r="JRF389" s="34"/>
      <c r="JRG389" s="34"/>
      <c r="JRH389" s="34"/>
      <c r="JRI389" s="34"/>
      <c r="JRJ389" s="34"/>
      <c r="JRK389" s="34"/>
      <c r="JRL389" s="34"/>
      <c r="JRM389" s="34"/>
      <c r="JRN389" s="34"/>
      <c r="JRO389" s="34"/>
      <c r="JRP389" s="34"/>
      <c r="JRQ389" s="34"/>
      <c r="JRR389" s="34"/>
      <c r="JRS389" s="34"/>
      <c r="JRT389" s="34"/>
      <c r="JRU389" s="34"/>
      <c r="JRV389" s="34"/>
      <c r="JRW389" s="34"/>
      <c r="JRX389" s="34"/>
      <c r="JRY389" s="34"/>
      <c r="JRZ389" s="34"/>
      <c r="JSA389" s="34"/>
      <c r="JSB389" s="34"/>
      <c r="JSC389" s="34"/>
      <c r="JSD389" s="34"/>
      <c r="JSE389" s="34"/>
      <c r="JSF389" s="34"/>
      <c r="JSG389" s="34"/>
      <c r="JSH389" s="34"/>
      <c r="JSI389" s="34"/>
      <c r="JSJ389" s="34"/>
      <c r="JSK389" s="34"/>
      <c r="JSL389" s="34"/>
      <c r="JSM389" s="34"/>
      <c r="JSN389" s="34"/>
      <c r="JSO389" s="34"/>
      <c r="JSP389" s="34"/>
      <c r="JSQ389" s="34"/>
      <c r="JSR389" s="34"/>
      <c r="JSS389" s="34"/>
      <c r="JST389" s="34"/>
      <c r="JSU389" s="34"/>
      <c r="JSV389" s="34"/>
      <c r="JSW389" s="34"/>
      <c r="JSX389" s="34"/>
      <c r="JSY389" s="34"/>
      <c r="JSZ389" s="34"/>
      <c r="JTA389" s="34"/>
      <c r="JTB389" s="34"/>
      <c r="JTC389" s="34"/>
      <c r="JTD389" s="34"/>
      <c r="JTE389" s="34"/>
      <c r="JTF389" s="34"/>
      <c r="JTG389" s="34"/>
      <c r="JTH389" s="34"/>
      <c r="JTI389" s="34"/>
      <c r="JTJ389" s="34"/>
      <c r="JTK389" s="34"/>
      <c r="JTL389" s="34"/>
      <c r="JTM389" s="34"/>
      <c r="JTN389" s="34"/>
      <c r="JTO389" s="34"/>
      <c r="JTP389" s="34"/>
      <c r="JTQ389" s="34"/>
      <c r="JTR389" s="34"/>
      <c r="JTS389" s="34"/>
      <c r="JTT389" s="34"/>
      <c r="JTU389" s="34"/>
      <c r="JTV389" s="34"/>
      <c r="JTW389" s="34"/>
      <c r="JTX389" s="34"/>
      <c r="JTY389" s="34"/>
      <c r="JTZ389" s="34"/>
      <c r="JUA389" s="34"/>
      <c r="JUB389" s="34"/>
      <c r="JUC389" s="34"/>
      <c r="JUD389" s="34"/>
      <c r="JUE389" s="34"/>
      <c r="JUF389" s="34"/>
      <c r="JUG389" s="34"/>
      <c r="JUH389" s="34"/>
      <c r="JUI389" s="34"/>
      <c r="JUJ389" s="34"/>
      <c r="JUK389" s="34"/>
      <c r="JUL389" s="34"/>
      <c r="JUM389" s="34"/>
      <c r="JUN389" s="34"/>
      <c r="JUO389" s="34"/>
      <c r="JUP389" s="34"/>
      <c r="JUQ389" s="34"/>
      <c r="JUR389" s="34"/>
      <c r="JUS389" s="34"/>
      <c r="JUT389" s="34"/>
      <c r="JUU389" s="34"/>
      <c r="JUV389" s="34"/>
      <c r="JUW389" s="34"/>
      <c r="JUX389" s="34"/>
      <c r="JUY389" s="34"/>
      <c r="JUZ389" s="34"/>
      <c r="JVA389" s="34"/>
      <c r="JVB389" s="34"/>
      <c r="JVC389" s="34"/>
      <c r="JVD389" s="34"/>
      <c r="JVE389" s="34"/>
      <c r="JVF389" s="34"/>
      <c r="JVG389" s="34"/>
      <c r="JVH389" s="34"/>
      <c r="JVI389" s="34"/>
      <c r="JVJ389" s="34"/>
      <c r="JVK389" s="34"/>
      <c r="JVL389" s="34"/>
      <c r="JVM389" s="34"/>
      <c r="JVN389" s="34"/>
      <c r="JVO389" s="34"/>
      <c r="JVP389" s="34"/>
      <c r="JVQ389" s="34"/>
      <c r="JVR389" s="34"/>
      <c r="JVS389" s="34"/>
      <c r="JVT389" s="34"/>
      <c r="JVU389" s="34"/>
      <c r="JVV389" s="34"/>
      <c r="JVW389" s="34"/>
      <c r="JVX389" s="34"/>
      <c r="JVY389" s="34"/>
      <c r="JVZ389" s="34"/>
      <c r="JWA389" s="34"/>
      <c r="JWB389" s="34"/>
      <c r="JWC389" s="34"/>
      <c r="JWD389" s="34"/>
      <c r="JWE389" s="34"/>
      <c r="JWF389" s="34"/>
      <c r="JWG389" s="34"/>
      <c r="JWH389" s="34"/>
      <c r="JWI389" s="34"/>
      <c r="JWJ389" s="34"/>
      <c r="JWK389" s="34"/>
      <c r="JWL389" s="34"/>
      <c r="JWM389" s="34"/>
      <c r="JWN389" s="34"/>
      <c r="JWO389" s="34"/>
      <c r="JWP389" s="34"/>
      <c r="JWQ389" s="34"/>
      <c r="JWR389" s="34"/>
      <c r="JWS389" s="34"/>
      <c r="JWT389" s="34"/>
      <c r="JWU389" s="34"/>
      <c r="JWV389" s="34"/>
      <c r="JWW389" s="34"/>
      <c r="JWX389" s="34"/>
      <c r="JWY389" s="34"/>
      <c r="JWZ389" s="34"/>
      <c r="JXA389" s="34"/>
      <c r="JXB389" s="34"/>
      <c r="JXC389" s="34"/>
      <c r="JXD389" s="34"/>
      <c r="JXE389" s="34"/>
      <c r="JXF389" s="34"/>
      <c r="JXG389" s="34"/>
      <c r="JXH389" s="34"/>
      <c r="JXI389" s="34"/>
      <c r="JXJ389" s="34"/>
      <c r="JXK389" s="34"/>
      <c r="JXL389" s="34"/>
      <c r="JXM389" s="34"/>
      <c r="JXN389" s="34"/>
      <c r="JXO389" s="34"/>
      <c r="JXP389" s="34"/>
      <c r="JXQ389" s="34"/>
      <c r="JXR389" s="34"/>
      <c r="JXS389" s="34"/>
      <c r="JXT389" s="34"/>
      <c r="JXU389" s="34"/>
      <c r="JXV389" s="34"/>
      <c r="JXW389" s="34"/>
      <c r="JXX389" s="34"/>
      <c r="JXY389" s="34"/>
      <c r="JXZ389" s="34"/>
      <c r="JYA389" s="34"/>
      <c r="JYB389" s="34"/>
      <c r="JYC389" s="34"/>
      <c r="JYD389" s="34"/>
      <c r="JYE389" s="34"/>
      <c r="JYF389" s="34"/>
      <c r="JYG389" s="34"/>
      <c r="JYH389" s="34"/>
      <c r="JYI389" s="34"/>
      <c r="JYJ389" s="34"/>
      <c r="JYK389" s="34"/>
      <c r="JYL389" s="34"/>
      <c r="JYM389" s="34"/>
      <c r="JYN389" s="34"/>
      <c r="JYO389" s="34"/>
      <c r="JYP389" s="34"/>
      <c r="JYQ389" s="34"/>
      <c r="JYR389" s="34"/>
      <c r="JYS389" s="34"/>
      <c r="JYT389" s="34"/>
      <c r="JYU389" s="34"/>
      <c r="JYV389" s="34"/>
      <c r="JYW389" s="34"/>
      <c r="JYX389" s="34"/>
      <c r="JYY389" s="34"/>
      <c r="JYZ389" s="34"/>
      <c r="JZA389" s="34"/>
      <c r="JZB389" s="34"/>
      <c r="JZC389" s="34"/>
      <c r="JZD389" s="34"/>
      <c r="JZE389" s="34"/>
      <c r="JZF389" s="34"/>
      <c r="JZG389" s="34"/>
      <c r="JZH389" s="34"/>
      <c r="JZI389" s="34"/>
      <c r="JZJ389" s="34"/>
      <c r="JZK389" s="34"/>
      <c r="JZL389" s="34"/>
      <c r="JZM389" s="34"/>
      <c r="JZN389" s="34"/>
      <c r="JZO389" s="34"/>
      <c r="JZP389" s="34"/>
      <c r="JZQ389" s="34"/>
      <c r="JZR389" s="34"/>
      <c r="JZS389" s="34"/>
      <c r="JZT389" s="34"/>
      <c r="JZU389" s="34"/>
      <c r="JZV389" s="34"/>
      <c r="JZW389" s="34"/>
      <c r="JZX389" s="34"/>
      <c r="JZY389" s="34"/>
      <c r="JZZ389" s="34"/>
      <c r="KAA389" s="34"/>
      <c r="KAB389" s="34"/>
      <c r="KAC389" s="34"/>
      <c r="KAD389" s="34"/>
      <c r="KAE389" s="34"/>
      <c r="KAF389" s="34"/>
      <c r="KAG389" s="34"/>
      <c r="KAH389" s="34"/>
      <c r="KAI389" s="34"/>
      <c r="KAJ389" s="34"/>
      <c r="KAK389" s="34"/>
      <c r="KAL389" s="34"/>
      <c r="KAM389" s="34"/>
      <c r="KAN389" s="34"/>
      <c r="KAO389" s="34"/>
      <c r="KAP389" s="34"/>
      <c r="KAQ389" s="34"/>
      <c r="KAR389" s="34"/>
      <c r="KAS389" s="34"/>
      <c r="KAT389" s="34"/>
      <c r="KAU389" s="34"/>
      <c r="KAV389" s="34"/>
      <c r="KAW389" s="34"/>
      <c r="KAX389" s="34"/>
      <c r="KAY389" s="34"/>
      <c r="KAZ389" s="34"/>
      <c r="KBA389" s="34"/>
      <c r="KBB389" s="34"/>
      <c r="KBC389" s="34"/>
      <c r="KBD389" s="34"/>
      <c r="KBE389" s="34"/>
      <c r="KBF389" s="34"/>
      <c r="KBG389" s="34"/>
      <c r="KBH389" s="34"/>
      <c r="KBI389" s="34"/>
      <c r="KBJ389" s="34"/>
      <c r="KBK389" s="34"/>
      <c r="KBL389" s="34"/>
      <c r="KBM389" s="34"/>
      <c r="KBN389" s="34"/>
      <c r="KBO389" s="34"/>
      <c r="KBP389" s="34"/>
      <c r="KBQ389" s="34"/>
      <c r="KBR389" s="34"/>
      <c r="KBS389" s="34"/>
      <c r="KBT389" s="34"/>
      <c r="KBU389" s="34"/>
      <c r="KBV389" s="34"/>
      <c r="KBW389" s="34"/>
      <c r="KBX389" s="34"/>
      <c r="KBY389" s="34"/>
      <c r="KBZ389" s="34"/>
      <c r="KCA389" s="34"/>
      <c r="KCB389" s="34"/>
      <c r="KCC389" s="34"/>
      <c r="KCD389" s="34"/>
      <c r="KCE389" s="34"/>
      <c r="KCF389" s="34"/>
      <c r="KCG389" s="34"/>
      <c r="KCH389" s="34"/>
      <c r="KCI389" s="34"/>
      <c r="KCJ389" s="34"/>
      <c r="KCK389" s="34"/>
      <c r="KCL389" s="34"/>
      <c r="KCM389" s="34"/>
      <c r="KCN389" s="34"/>
      <c r="KCO389" s="34"/>
      <c r="KCP389" s="34"/>
      <c r="KCQ389" s="34"/>
      <c r="KCR389" s="34"/>
      <c r="KCS389" s="34"/>
      <c r="KCT389" s="34"/>
      <c r="KCU389" s="34"/>
      <c r="KCV389" s="34"/>
      <c r="KCW389" s="34"/>
      <c r="KCX389" s="34"/>
      <c r="KCY389" s="34"/>
      <c r="KCZ389" s="34"/>
      <c r="KDA389" s="34"/>
      <c r="KDB389" s="34"/>
      <c r="KDC389" s="34"/>
      <c r="KDD389" s="34"/>
      <c r="KDE389" s="34"/>
      <c r="KDF389" s="34"/>
      <c r="KDG389" s="34"/>
      <c r="KDH389" s="34"/>
      <c r="KDI389" s="34"/>
      <c r="KDJ389" s="34"/>
      <c r="KDK389" s="34"/>
      <c r="KDL389" s="34"/>
      <c r="KDM389" s="34"/>
      <c r="KDN389" s="34"/>
      <c r="KDO389" s="34"/>
      <c r="KDP389" s="34"/>
      <c r="KDQ389" s="34"/>
      <c r="KDR389" s="34"/>
      <c r="KDS389" s="34"/>
      <c r="KDT389" s="34"/>
      <c r="KDU389" s="34"/>
      <c r="KDV389" s="34"/>
      <c r="KDW389" s="34"/>
      <c r="KDX389" s="34"/>
      <c r="KDY389" s="34"/>
      <c r="KDZ389" s="34"/>
      <c r="KEA389" s="34"/>
      <c r="KEB389" s="34"/>
      <c r="KEC389" s="34"/>
      <c r="KED389" s="34"/>
      <c r="KEE389" s="34"/>
      <c r="KEF389" s="34"/>
      <c r="KEG389" s="34"/>
      <c r="KEH389" s="34"/>
      <c r="KEI389" s="34"/>
      <c r="KEJ389" s="34"/>
      <c r="KEK389" s="34"/>
      <c r="KEL389" s="34"/>
      <c r="KEM389" s="34"/>
      <c r="KEN389" s="34"/>
      <c r="KEO389" s="34"/>
      <c r="KEP389" s="34"/>
      <c r="KEQ389" s="34"/>
      <c r="KER389" s="34"/>
      <c r="KES389" s="34"/>
      <c r="KET389" s="34"/>
      <c r="KEU389" s="34"/>
      <c r="KEV389" s="34"/>
      <c r="KEW389" s="34"/>
      <c r="KEX389" s="34"/>
      <c r="KEY389" s="34"/>
      <c r="KEZ389" s="34"/>
      <c r="KFA389" s="34"/>
      <c r="KFB389" s="34"/>
      <c r="KFC389" s="34"/>
      <c r="KFD389" s="34"/>
      <c r="KFE389" s="34"/>
      <c r="KFF389" s="34"/>
      <c r="KFG389" s="34"/>
      <c r="KFH389" s="34"/>
      <c r="KFI389" s="34"/>
      <c r="KFJ389" s="34"/>
      <c r="KFK389" s="34"/>
      <c r="KFL389" s="34"/>
      <c r="KFM389" s="34"/>
      <c r="KFN389" s="34"/>
      <c r="KFO389" s="34"/>
      <c r="KFP389" s="34"/>
      <c r="KFQ389" s="34"/>
      <c r="KFR389" s="34"/>
      <c r="KFS389" s="34"/>
      <c r="KFT389" s="34"/>
      <c r="KFU389" s="34"/>
      <c r="KFV389" s="34"/>
      <c r="KFW389" s="34"/>
      <c r="KFX389" s="34"/>
      <c r="KFY389" s="34"/>
      <c r="KFZ389" s="34"/>
      <c r="KGA389" s="34"/>
      <c r="KGB389" s="34"/>
      <c r="KGC389" s="34"/>
      <c r="KGD389" s="34"/>
      <c r="KGE389" s="34"/>
      <c r="KGF389" s="34"/>
      <c r="KGG389" s="34"/>
      <c r="KGH389" s="34"/>
      <c r="KGI389" s="34"/>
      <c r="KGJ389" s="34"/>
      <c r="KGK389" s="34"/>
      <c r="KGL389" s="34"/>
      <c r="KGM389" s="34"/>
      <c r="KGN389" s="34"/>
      <c r="KGO389" s="34"/>
      <c r="KGP389" s="34"/>
      <c r="KGQ389" s="34"/>
      <c r="KGR389" s="34"/>
      <c r="KGS389" s="34"/>
      <c r="KGT389" s="34"/>
      <c r="KGU389" s="34"/>
      <c r="KGV389" s="34"/>
      <c r="KGW389" s="34"/>
      <c r="KGX389" s="34"/>
      <c r="KGY389" s="34"/>
      <c r="KGZ389" s="34"/>
      <c r="KHA389" s="34"/>
      <c r="KHB389" s="34"/>
      <c r="KHC389" s="34"/>
      <c r="KHD389" s="34"/>
      <c r="KHE389" s="34"/>
      <c r="KHF389" s="34"/>
      <c r="KHG389" s="34"/>
      <c r="KHH389" s="34"/>
      <c r="KHI389" s="34"/>
      <c r="KHJ389" s="34"/>
      <c r="KHK389" s="34"/>
      <c r="KHL389" s="34"/>
      <c r="KHM389" s="34"/>
      <c r="KHN389" s="34"/>
      <c r="KHO389" s="34"/>
      <c r="KHP389" s="34"/>
      <c r="KHQ389" s="34"/>
      <c r="KHR389" s="34"/>
      <c r="KHS389" s="34"/>
      <c r="KHT389" s="34"/>
      <c r="KHU389" s="34"/>
      <c r="KHV389" s="34"/>
      <c r="KHW389" s="34"/>
      <c r="KHX389" s="34"/>
      <c r="KHY389" s="34"/>
      <c r="KHZ389" s="34"/>
      <c r="KIA389" s="34"/>
      <c r="KIB389" s="34"/>
      <c r="KIC389" s="34"/>
      <c r="KID389" s="34"/>
      <c r="KIE389" s="34"/>
      <c r="KIF389" s="34"/>
      <c r="KIG389" s="34"/>
      <c r="KIH389" s="34"/>
      <c r="KII389" s="34"/>
      <c r="KIJ389" s="34"/>
      <c r="KIK389" s="34"/>
      <c r="KIL389" s="34"/>
      <c r="KIM389" s="34"/>
      <c r="KIN389" s="34"/>
      <c r="KIO389" s="34"/>
      <c r="KIP389" s="34"/>
      <c r="KIQ389" s="34"/>
      <c r="KIR389" s="34"/>
      <c r="KIS389" s="34"/>
      <c r="KIT389" s="34"/>
      <c r="KIU389" s="34"/>
      <c r="KIV389" s="34"/>
      <c r="KIW389" s="34"/>
      <c r="KIX389" s="34"/>
      <c r="KIY389" s="34"/>
      <c r="KIZ389" s="34"/>
      <c r="KJA389" s="34"/>
      <c r="KJB389" s="34"/>
      <c r="KJC389" s="34"/>
      <c r="KJD389" s="34"/>
      <c r="KJE389" s="34"/>
      <c r="KJF389" s="34"/>
      <c r="KJG389" s="34"/>
      <c r="KJH389" s="34"/>
      <c r="KJI389" s="34"/>
      <c r="KJJ389" s="34"/>
      <c r="KJK389" s="34"/>
      <c r="KJL389" s="34"/>
      <c r="KJM389" s="34"/>
      <c r="KJN389" s="34"/>
      <c r="KJO389" s="34"/>
      <c r="KJP389" s="34"/>
      <c r="KJQ389" s="34"/>
      <c r="KJR389" s="34"/>
      <c r="KJS389" s="34"/>
      <c r="KJT389" s="34"/>
      <c r="KJU389" s="34"/>
      <c r="KJV389" s="34"/>
      <c r="KJW389" s="34"/>
      <c r="KJX389" s="34"/>
      <c r="KJY389" s="34"/>
      <c r="KJZ389" s="34"/>
      <c r="KKA389" s="34"/>
      <c r="KKB389" s="34"/>
      <c r="KKC389" s="34"/>
      <c r="KKD389" s="34"/>
      <c r="KKE389" s="34"/>
      <c r="KKF389" s="34"/>
      <c r="KKG389" s="34"/>
      <c r="KKH389" s="34"/>
      <c r="KKI389" s="34"/>
      <c r="KKJ389" s="34"/>
      <c r="KKK389" s="34"/>
      <c r="KKL389" s="34"/>
      <c r="KKM389" s="34"/>
      <c r="KKN389" s="34"/>
      <c r="KKO389" s="34"/>
      <c r="KKP389" s="34"/>
      <c r="KKQ389" s="34"/>
      <c r="KKR389" s="34"/>
      <c r="KKS389" s="34"/>
      <c r="KKT389" s="34"/>
      <c r="KKU389" s="34"/>
      <c r="KKV389" s="34"/>
      <c r="KKW389" s="34"/>
      <c r="KKX389" s="34"/>
      <c r="KKY389" s="34"/>
      <c r="KKZ389" s="34"/>
      <c r="KLA389" s="34"/>
      <c r="KLB389" s="34"/>
      <c r="KLC389" s="34"/>
      <c r="KLD389" s="34"/>
      <c r="KLE389" s="34"/>
      <c r="KLF389" s="34"/>
      <c r="KLG389" s="34"/>
      <c r="KLH389" s="34"/>
      <c r="KLI389" s="34"/>
      <c r="KLJ389" s="34"/>
      <c r="KLK389" s="34"/>
      <c r="KLL389" s="34"/>
      <c r="KLM389" s="34"/>
      <c r="KLN389" s="34"/>
      <c r="KLO389" s="34"/>
      <c r="KLP389" s="34"/>
      <c r="KLQ389" s="34"/>
      <c r="KLR389" s="34"/>
      <c r="KLS389" s="34"/>
      <c r="KLT389" s="34"/>
      <c r="KLU389" s="34"/>
      <c r="KLV389" s="34"/>
      <c r="KLW389" s="34"/>
      <c r="KLX389" s="34"/>
      <c r="KLY389" s="34"/>
      <c r="KLZ389" s="34"/>
      <c r="KMA389" s="34"/>
      <c r="KMB389" s="34"/>
      <c r="KMC389" s="34"/>
      <c r="KMD389" s="34"/>
      <c r="KME389" s="34"/>
      <c r="KMF389" s="34"/>
      <c r="KMG389" s="34"/>
      <c r="KMH389" s="34"/>
      <c r="KMI389" s="34"/>
      <c r="KMJ389" s="34"/>
      <c r="KMK389" s="34"/>
      <c r="KML389" s="34"/>
      <c r="KMM389" s="34"/>
      <c r="KMN389" s="34"/>
      <c r="KMO389" s="34"/>
      <c r="KMP389" s="34"/>
      <c r="KMQ389" s="34"/>
      <c r="KMR389" s="34"/>
      <c r="KMS389" s="34"/>
      <c r="KMT389" s="34"/>
      <c r="KMU389" s="34"/>
      <c r="KMV389" s="34"/>
      <c r="KMW389" s="34"/>
      <c r="KMX389" s="34"/>
      <c r="KMY389" s="34"/>
      <c r="KMZ389" s="34"/>
      <c r="KNA389" s="34"/>
      <c r="KNB389" s="34"/>
      <c r="KNC389" s="34"/>
      <c r="KND389" s="34"/>
      <c r="KNE389" s="34"/>
      <c r="KNF389" s="34"/>
      <c r="KNG389" s="34"/>
      <c r="KNH389" s="34"/>
      <c r="KNI389" s="34"/>
      <c r="KNJ389" s="34"/>
      <c r="KNK389" s="34"/>
      <c r="KNL389" s="34"/>
      <c r="KNM389" s="34"/>
      <c r="KNN389" s="34"/>
      <c r="KNO389" s="34"/>
      <c r="KNP389" s="34"/>
      <c r="KNQ389" s="34"/>
      <c r="KNR389" s="34"/>
      <c r="KNS389" s="34"/>
      <c r="KNT389" s="34"/>
      <c r="KNU389" s="34"/>
      <c r="KNV389" s="34"/>
      <c r="KNW389" s="34"/>
      <c r="KNX389" s="34"/>
      <c r="KNY389" s="34"/>
      <c r="KNZ389" s="34"/>
      <c r="KOA389" s="34"/>
      <c r="KOB389" s="34"/>
      <c r="KOC389" s="34"/>
      <c r="KOD389" s="34"/>
      <c r="KOE389" s="34"/>
      <c r="KOF389" s="34"/>
      <c r="KOG389" s="34"/>
      <c r="KOH389" s="34"/>
      <c r="KOI389" s="34"/>
      <c r="KOJ389" s="34"/>
      <c r="KOK389" s="34"/>
      <c r="KOL389" s="34"/>
      <c r="KOM389" s="34"/>
      <c r="KON389" s="34"/>
      <c r="KOO389" s="34"/>
      <c r="KOP389" s="34"/>
      <c r="KOQ389" s="34"/>
      <c r="KOR389" s="34"/>
      <c r="KOS389" s="34"/>
      <c r="KOT389" s="34"/>
      <c r="KOU389" s="34"/>
      <c r="KOV389" s="34"/>
      <c r="KOW389" s="34"/>
      <c r="KOX389" s="34"/>
      <c r="KOY389" s="34"/>
      <c r="KOZ389" s="34"/>
      <c r="KPA389" s="34"/>
      <c r="KPB389" s="34"/>
      <c r="KPC389" s="34"/>
      <c r="KPD389" s="34"/>
      <c r="KPE389" s="34"/>
      <c r="KPF389" s="34"/>
      <c r="KPG389" s="34"/>
      <c r="KPH389" s="34"/>
      <c r="KPI389" s="34"/>
      <c r="KPJ389" s="34"/>
      <c r="KPK389" s="34"/>
      <c r="KPL389" s="34"/>
      <c r="KPM389" s="34"/>
      <c r="KPN389" s="34"/>
      <c r="KPO389" s="34"/>
      <c r="KPP389" s="34"/>
      <c r="KPQ389" s="34"/>
      <c r="KPR389" s="34"/>
      <c r="KPS389" s="34"/>
      <c r="KPT389" s="34"/>
      <c r="KPU389" s="34"/>
      <c r="KPV389" s="34"/>
      <c r="KPW389" s="34"/>
      <c r="KPX389" s="34"/>
      <c r="KPY389" s="34"/>
      <c r="KPZ389" s="34"/>
      <c r="KQA389" s="34"/>
      <c r="KQB389" s="34"/>
      <c r="KQC389" s="34"/>
      <c r="KQD389" s="34"/>
      <c r="KQE389" s="34"/>
      <c r="KQF389" s="34"/>
      <c r="KQG389" s="34"/>
      <c r="KQH389" s="34"/>
      <c r="KQI389" s="34"/>
      <c r="KQJ389" s="34"/>
      <c r="KQK389" s="34"/>
      <c r="KQL389" s="34"/>
      <c r="KQM389" s="34"/>
      <c r="KQN389" s="34"/>
      <c r="KQO389" s="34"/>
      <c r="KQP389" s="34"/>
      <c r="KQQ389" s="34"/>
      <c r="KQR389" s="34"/>
      <c r="KQS389" s="34"/>
      <c r="KQT389" s="34"/>
      <c r="KQU389" s="34"/>
      <c r="KQV389" s="34"/>
      <c r="KQW389" s="34"/>
      <c r="KQX389" s="34"/>
      <c r="KQY389" s="34"/>
      <c r="KQZ389" s="34"/>
      <c r="KRA389" s="34"/>
      <c r="KRB389" s="34"/>
      <c r="KRC389" s="34"/>
      <c r="KRD389" s="34"/>
      <c r="KRE389" s="34"/>
      <c r="KRF389" s="34"/>
      <c r="KRG389" s="34"/>
      <c r="KRH389" s="34"/>
      <c r="KRI389" s="34"/>
      <c r="KRJ389" s="34"/>
      <c r="KRK389" s="34"/>
      <c r="KRL389" s="34"/>
      <c r="KRM389" s="34"/>
      <c r="KRN389" s="34"/>
      <c r="KRO389" s="34"/>
      <c r="KRP389" s="34"/>
      <c r="KRQ389" s="34"/>
      <c r="KRR389" s="34"/>
      <c r="KRS389" s="34"/>
      <c r="KRT389" s="34"/>
      <c r="KRU389" s="34"/>
      <c r="KRV389" s="34"/>
      <c r="KRW389" s="34"/>
      <c r="KRX389" s="34"/>
      <c r="KRY389" s="34"/>
      <c r="KRZ389" s="34"/>
      <c r="KSA389" s="34"/>
      <c r="KSB389" s="34"/>
      <c r="KSC389" s="34"/>
      <c r="KSD389" s="34"/>
      <c r="KSE389" s="34"/>
      <c r="KSF389" s="34"/>
      <c r="KSG389" s="34"/>
      <c r="KSH389" s="34"/>
      <c r="KSI389" s="34"/>
      <c r="KSJ389" s="34"/>
      <c r="KSK389" s="34"/>
      <c r="KSL389" s="34"/>
      <c r="KSM389" s="34"/>
      <c r="KSN389" s="34"/>
      <c r="KSO389" s="34"/>
      <c r="KSP389" s="34"/>
      <c r="KSQ389" s="34"/>
      <c r="KSR389" s="34"/>
      <c r="KSS389" s="34"/>
      <c r="KST389" s="34"/>
      <c r="KSU389" s="34"/>
      <c r="KSV389" s="34"/>
      <c r="KSW389" s="34"/>
      <c r="KSX389" s="34"/>
      <c r="KSY389" s="34"/>
      <c r="KSZ389" s="34"/>
      <c r="KTA389" s="34"/>
      <c r="KTB389" s="34"/>
      <c r="KTC389" s="34"/>
      <c r="KTD389" s="34"/>
      <c r="KTE389" s="34"/>
      <c r="KTF389" s="34"/>
      <c r="KTG389" s="34"/>
      <c r="KTH389" s="34"/>
      <c r="KTI389" s="34"/>
      <c r="KTJ389" s="34"/>
      <c r="KTK389" s="34"/>
      <c r="KTL389" s="34"/>
      <c r="KTM389" s="34"/>
      <c r="KTN389" s="34"/>
      <c r="KTO389" s="34"/>
      <c r="KTP389" s="34"/>
      <c r="KTQ389" s="34"/>
      <c r="KTR389" s="34"/>
      <c r="KTS389" s="34"/>
      <c r="KTT389" s="34"/>
      <c r="KTU389" s="34"/>
      <c r="KTV389" s="34"/>
      <c r="KTW389" s="34"/>
      <c r="KTX389" s="34"/>
      <c r="KTY389" s="34"/>
      <c r="KTZ389" s="34"/>
      <c r="KUA389" s="34"/>
      <c r="KUB389" s="34"/>
      <c r="KUC389" s="34"/>
      <c r="KUD389" s="34"/>
      <c r="KUE389" s="34"/>
      <c r="KUF389" s="34"/>
      <c r="KUG389" s="34"/>
      <c r="KUH389" s="34"/>
      <c r="KUI389" s="34"/>
      <c r="KUJ389" s="34"/>
      <c r="KUK389" s="34"/>
      <c r="KUL389" s="34"/>
      <c r="KUM389" s="34"/>
      <c r="KUN389" s="34"/>
      <c r="KUO389" s="34"/>
      <c r="KUP389" s="34"/>
      <c r="KUQ389" s="34"/>
      <c r="KUR389" s="34"/>
      <c r="KUS389" s="34"/>
      <c r="KUT389" s="34"/>
      <c r="KUU389" s="34"/>
      <c r="KUV389" s="34"/>
      <c r="KUW389" s="34"/>
      <c r="KUX389" s="34"/>
      <c r="KUY389" s="34"/>
      <c r="KUZ389" s="34"/>
      <c r="KVA389" s="34"/>
      <c r="KVB389" s="34"/>
      <c r="KVC389" s="34"/>
      <c r="KVD389" s="34"/>
      <c r="KVE389" s="34"/>
      <c r="KVF389" s="34"/>
      <c r="KVG389" s="34"/>
      <c r="KVH389" s="34"/>
      <c r="KVI389" s="34"/>
      <c r="KVJ389" s="34"/>
      <c r="KVK389" s="34"/>
      <c r="KVL389" s="34"/>
      <c r="KVM389" s="34"/>
      <c r="KVN389" s="34"/>
      <c r="KVO389" s="34"/>
      <c r="KVP389" s="34"/>
      <c r="KVQ389" s="34"/>
      <c r="KVR389" s="34"/>
      <c r="KVS389" s="34"/>
      <c r="KVT389" s="34"/>
      <c r="KVU389" s="34"/>
      <c r="KVV389" s="34"/>
      <c r="KVW389" s="34"/>
      <c r="KVX389" s="34"/>
      <c r="KVY389" s="34"/>
      <c r="KVZ389" s="34"/>
      <c r="KWA389" s="34"/>
      <c r="KWB389" s="34"/>
      <c r="KWC389" s="34"/>
      <c r="KWD389" s="34"/>
      <c r="KWE389" s="34"/>
      <c r="KWF389" s="34"/>
      <c r="KWG389" s="34"/>
      <c r="KWH389" s="34"/>
      <c r="KWI389" s="34"/>
      <c r="KWJ389" s="34"/>
      <c r="KWK389" s="34"/>
      <c r="KWL389" s="34"/>
      <c r="KWM389" s="34"/>
      <c r="KWN389" s="34"/>
      <c r="KWO389" s="34"/>
      <c r="KWP389" s="34"/>
      <c r="KWQ389" s="34"/>
      <c r="KWR389" s="34"/>
      <c r="KWS389" s="34"/>
      <c r="KWT389" s="34"/>
      <c r="KWU389" s="34"/>
      <c r="KWV389" s="34"/>
      <c r="KWW389" s="34"/>
      <c r="KWX389" s="34"/>
      <c r="KWY389" s="34"/>
      <c r="KWZ389" s="34"/>
      <c r="KXA389" s="34"/>
      <c r="KXB389" s="34"/>
      <c r="KXC389" s="34"/>
      <c r="KXD389" s="34"/>
      <c r="KXE389" s="34"/>
      <c r="KXF389" s="34"/>
      <c r="KXG389" s="34"/>
      <c r="KXH389" s="34"/>
      <c r="KXI389" s="34"/>
      <c r="KXJ389" s="34"/>
      <c r="KXK389" s="34"/>
      <c r="KXL389" s="34"/>
      <c r="KXM389" s="34"/>
      <c r="KXN389" s="34"/>
      <c r="KXO389" s="34"/>
      <c r="KXP389" s="34"/>
      <c r="KXQ389" s="34"/>
      <c r="KXR389" s="34"/>
      <c r="KXS389" s="34"/>
      <c r="KXT389" s="34"/>
      <c r="KXU389" s="34"/>
      <c r="KXV389" s="34"/>
      <c r="KXW389" s="34"/>
      <c r="KXX389" s="34"/>
      <c r="KXY389" s="34"/>
      <c r="KXZ389" s="34"/>
      <c r="KYA389" s="34"/>
      <c r="KYB389" s="34"/>
      <c r="KYC389" s="34"/>
      <c r="KYD389" s="34"/>
      <c r="KYE389" s="34"/>
      <c r="KYF389" s="34"/>
      <c r="KYG389" s="34"/>
      <c r="KYH389" s="34"/>
      <c r="KYI389" s="34"/>
      <c r="KYJ389" s="34"/>
      <c r="KYK389" s="34"/>
      <c r="KYL389" s="34"/>
      <c r="KYM389" s="34"/>
      <c r="KYN389" s="34"/>
      <c r="KYO389" s="34"/>
      <c r="KYP389" s="34"/>
      <c r="KYQ389" s="34"/>
      <c r="KYR389" s="34"/>
      <c r="KYS389" s="34"/>
      <c r="KYT389" s="34"/>
      <c r="KYU389" s="34"/>
      <c r="KYV389" s="34"/>
      <c r="KYW389" s="34"/>
      <c r="KYX389" s="34"/>
      <c r="KYY389" s="34"/>
      <c r="KYZ389" s="34"/>
      <c r="KZA389" s="34"/>
      <c r="KZB389" s="34"/>
      <c r="KZC389" s="34"/>
      <c r="KZD389" s="34"/>
      <c r="KZE389" s="34"/>
      <c r="KZF389" s="34"/>
      <c r="KZG389" s="34"/>
      <c r="KZH389" s="34"/>
      <c r="KZI389" s="34"/>
      <c r="KZJ389" s="34"/>
      <c r="KZK389" s="34"/>
      <c r="KZL389" s="34"/>
      <c r="KZM389" s="34"/>
      <c r="KZN389" s="34"/>
      <c r="KZO389" s="34"/>
      <c r="KZP389" s="34"/>
      <c r="KZQ389" s="34"/>
      <c r="KZR389" s="34"/>
      <c r="KZS389" s="34"/>
      <c r="KZT389" s="34"/>
      <c r="KZU389" s="34"/>
      <c r="KZV389" s="34"/>
      <c r="KZW389" s="34"/>
      <c r="KZX389" s="34"/>
      <c r="KZY389" s="34"/>
      <c r="KZZ389" s="34"/>
      <c r="LAA389" s="34"/>
      <c r="LAB389" s="34"/>
      <c r="LAC389" s="34"/>
      <c r="LAD389" s="34"/>
      <c r="LAE389" s="34"/>
      <c r="LAF389" s="34"/>
      <c r="LAG389" s="34"/>
      <c r="LAH389" s="34"/>
      <c r="LAI389" s="34"/>
      <c r="LAJ389" s="34"/>
      <c r="LAK389" s="34"/>
      <c r="LAL389" s="34"/>
      <c r="LAM389" s="34"/>
      <c r="LAN389" s="34"/>
      <c r="LAO389" s="34"/>
      <c r="LAP389" s="34"/>
      <c r="LAQ389" s="34"/>
      <c r="LAR389" s="34"/>
      <c r="LAS389" s="34"/>
      <c r="LAT389" s="34"/>
      <c r="LAU389" s="34"/>
      <c r="LAV389" s="34"/>
      <c r="LAW389" s="34"/>
      <c r="LAX389" s="34"/>
      <c r="LAY389" s="34"/>
      <c r="LAZ389" s="34"/>
      <c r="LBA389" s="34"/>
      <c r="LBB389" s="34"/>
      <c r="LBC389" s="34"/>
      <c r="LBD389" s="34"/>
      <c r="LBE389" s="34"/>
      <c r="LBF389" s="34"/>
      <c r="LBG389" s="34"/>
      <c r="LBH389" s="34"/>
      <c r="LBI389" s="34"/>
      <c r="LBJ389" s="34"/>
      <c r="LBK389" s="34"/>
      <c r="LBL389" s="34"/>
      <c r="LBM389" s="34"/>
      <c r="LBN389" s="34"/>
      <c r="LBO389" s="34"/>
      <c r="LBP389" s="34"/>
      <c r="LBQ389" s="34"/>
      <c r="LBR389" s="34"/>
      <c r="LBS389" s="34"/>
      <c r="LBT389" s="34"/>
      <c r="LBU389" s="34"/>
      <c r="LBV389" s="34"/>
      <c r="LBW389" s="34"/>
      <c r="LBX389" s="34"/>
      <c r="LBY389" s="34"/>
      <c r="LBZ389" s="34"/>
      <c r="LCA389" s="34"/>
      <c r="LCB389" s="34"/>
      <c r="LCC389" s="34"/>
      <c r="LCD389" s="34"/>
      <c r="LCE389" s="34"/>
      <c r="LCF389" s="34"/>
      <c r="LCG389" s="34"/>
      <c r="LCH389" s="34"/>
      <c r="LCI389" s="34"/>
      <c r="LCJ389" s="34"/>
      <c r="LCK389" s="34"/>
      <c r="LCL389" s="34"/>
      <c r="LCM389" s="34"/>
      <c r="LCN389" s="34"/>
      <c r="LCO389" s="34"/>
      <c r="LCP389" s="34"/>
      <c r="LCQ389" s="34"/>
      <c r="LCR389" s="34"/>
      <c r="LCS389" s="34"/>
      <c r="LCT389" s="34"/>
      <c r="LCU389" s="34"/>
      <c r="LCV389" s="34"/>
      <c r="LCW389" s="34"/>
      <c r="LCX389" s="34"/>
      <c r="LCY389" s="34"/>
      <c r="LCZ389" s="34"/>
      <c r="LDA389" s="34"/>
      <c r="LDB389" s="34"/>
      <c r="LDC389" s="34"/>
      <c r="LDD389" s="34"/>
      <c r="LDE389" s="34"/>
      <c r="LDF389" s="34"/>
      <c r="LDG389" s="34"/>
      <c r="LDH389" s="34"/>
      <c r="LDI389" s="34"/>
      <c r="LDJ389" s="34"/>
      <c r="LDK389" s="34"/>
      <c r="LDL389" s="34"/>
      <c r="LDM389" s="34"/>
      <c r="LDN389" s="34"/>
      <c r="LDO389" s="34"/>
      <c r="LDP389" s="34"/>
      <c r="LDQ389" s="34"/>
      <c r="LDR389" s="34"/>
      <c r="LDS389" s="34"/>
      <c r="LDT389" s="34"/>
      <c r="LDU389" s="34"/>
      <c r="LDV389" s="34"/>
      <c r="LDW389" s="34"/>
      <c r="LDX389" s="34"/>
      <c r="LDY389" s="34"/>
      <c r="LDZ389" s="34"/>
      <c r="LEA389" s="34"/>
      <c r="LEB389" s="34"/>
      <c r="LEC389" s="34"/>
      <c r="LED389" s="34"/>
      <c r="LEE389" s="34"/>
      <c r="LEF389" s="34"/>
      <c r="LEG389" s="34"/>
      <c r="LEH389" s="34"/>
      <c r="LEI389" s="34"/>
      <c r="LEJ389" s="34"/>
      <c r="LEK389" s="34"/>
      <c r="LEL389" s="34"/>
      <c r="LEM389" s="34"/>
      <c r="LEN389" s="34"/>
      <c r="LEO389" s="34"/>
      <c r="LEP389" s="34"/>
      <c r="LEQ389" s="34"/>
      <c r="LER389" s="34"/>
      <c r="LES389" s="34"/>
      <c r="LET389" s="34"/>
      <c r="LEU389" s="34"/>
      <c r="LEV389" s="34"/>
      <c r="LEW389" s="34"/>
      <c r="LEX389" s="34"/>
      <c r="LEY389" s="34"/>
      <c r="LEZ389" s="34"/>
      <c r="LFA389" s="34"/>
      <c r="LFB389" s="34"/>
      <c r="LFC389" s="34"/>
      <c r="LFD389" s="34"/>
      <c r="LFE389" s="34"/>
      <c r="LFF389" s="34"/>
      <c r="LFG389" s="34"/>
      <c r="LFH389" s="34"/>
      <c r="LFI389" s="34"/>
      <c r="LFJ389" s="34"/>
      <c r="LFK389" s="34"/>
      <c r="LFL389" s="34"/>
      <c r="LFM389" s="34"/>
      <c r="LFN389" s="34"/>
      <c r="LFO389" s="34"/>
      <c r="LFP389" s="34"/>
      <c r="LFQ389" s="34"/>
      <c r="LFR389" s="34"/>
      <c r="LFS389" s="34"/>
      <c r="LFT389" s="34"/>
      <c r="LFU389" s="34"/>
      <c r="LFV389" s="34"/>
      <c r="LFW389" s="34"/>
      <c r="LFX389" s="34"/>
      <c r="LFY389" s="34"/>
      <c r="LFZ389" s="34"/>
      <c r="LGA389" s="34"/>
      <c r="LGB389" s="34"/>
      <c r="LGC389" s="34"/>
      <c r="LGD389" s="34"/>
      <c r="LGE389" s="34"/>
      <c r="LGF389" s="34"/>
      <c r="LGG389" s="34"/>
      <c r="LGH389" s="34"/>
      <c r="LGI389" s="34"/>
      <c r="LGJ389" s="34"/>
      <c r="LGK389" s="34"/>
      <c r="LGL389" s="34"/>
      <c r="LGM389" s="34"/>
      <c r="LGN389" s="34"/>
      <c r="LGO389" s="34"/>
      <c r="LGP389" s="34"/>
      <c r="LGQ389" s="34"/>
      <c r="LGR389" s="34"/>
      <c r="LGS389" s="34"/>
      <c r="LGT389" s="34"/>
      <c r="LGU389" s="34"/>
      <c r="LGV389" s="34"/>
      <c r="LGW389" s="34"/>
      <c r="LGX389" s="34"/>
      <c r="LGY389" s="34"/>
      <c r="LGZ389" s="34"/>
      <c r="LHA389" s="34"/>
      <c r="LHB389" s="34"/>
      <c r="LHC389" s="34"/>
      <c r="LHD389" s="34"/>
      <c r="LHE389" s="34"/>
      <c r="LHF389" s="34"/>
      <c r="LHG389" s="34"/>
      <c r="LHH389" s="34"/>
      <c r="LHI389" s="34"/>
      <c r="LHJ389" s="34"/>
      <c r="LHK389" s="34"/>
      <c r="LHL389" s="34"/>
      <c r="LHM389" s="34"/>
      <c r="LHN389" s="34"/>
      <c r="LHO389" s="34"/>
      <c r="LHP389" s="34"/>
      <c r="LHQ389" s="34"/>
      <c r="LHR389" s="34"/>
      <c r="LHS389" s="34"/>
      <c r="LHT389" s="34"/>
      <c r="LHU389" s="34"/>
      <c r="LHV389" s="34"/>
      <c r="LHW389" s="34"/>
      <c r="LHX389" s="34"/>
      <c r="LHY389" s="34"/>
      <c r="LHZ389" s="34"/>
      <c r="LIA389" s="34"/>
      <c r="LIB389" s="34"/>
      <c r="LIC389" s="34"/>
      <c r="LID389" s="34"/>
      <c r="LIE389" s="34"/>
      <c r="LIF389" s="34"/>
      <c r="LIG389" s="34"/>
      <c r="LIH389" s="34"/>
      <c r="LII389" s="34"/>
      <c r="LIJ389" s="34"/>
      <c r="LIK389" s="34"/>
      <c r="LIL389" s="34"/>
      <c r="LIM389" s="34"/>
      <c r="LIN389" s="34"/>
      <c r="LIO389" s="34"/>
      <c r="LIP389" s="34"/>
      <c r="LIQ389" s="34"/>
      <c r="LIR389" s="34"/>
      <c r="LIS389" s="34"/>
      <c r="LIT389" s="34"/>
      <c r="LIU389" s="34"/>
      <c r="LIV389" s="34"/>
      <c r="LIW389" s="34"/>
      <c r="LIX389" s="34"/>
      <c r="LIY389" s="34"/>
      <c r="LIZ389" s="34"/>
      <c r="LJA389" s="34"/>
      <c r="LJB389" s="34"/>
      <c r="LJC389" s="34"/>
      <c r="LJD389" s="34"/>
      <c r="LJE389" s="34"/>
      <c r="LJF389" s="34"/>
      <c r="LJG389" s="34"/>
      <c r="LJH389" s="34"/>
      <c r="LJI389" s="34"/>
      <c r="LJJ389" s="34"/>
      <c r="LJK389" s="34"/>
      <c r="LJL389" s="34"/>
      <c r="LJM389" s="34"/>
      <c r="LJN389" s="34"/>
      <c r="LJO389" s="34"/>
      <c r="LJP389" s="34"/>
      <c r="LJQ389" s="34"/>
      <c r="LJR389" s="34"/>
      <c r="LJS389" s="34"/>
      <c r="LJT389" s="34"/>
      <c r="LJU389" s="34"/>
      <c r="LJV389" s="34"/>
      <c r="LJW389" s="34"/>
      <c r="LJX389" s="34"/>
      <c r="LJY389" s="34"/>
      <c r="LJZ389" s="34"/>
      <c r="LKA389" s="34"/>
      <c r="LKB389" s="34"/>
      <c r="LKC389" s="34"/>
      <c r="LKD389" s="34"/>
      <c r="LKE389" s="34"/>
      <c r="LKF389" s="34"/>
      <c r="LKG389" s="34"/>
      <c r="LKH389" s="34"/>
      <c r="LKI389" s="34"/>
      <c r="LKJ389" s="34"/>
      <c r="LKK389" s="34"/>
      <c r="LKL389" s="34"/>
      <c r="LKM389" s="34"/>
      <c r="LKN389" s="34"/>
      <c r="LKO389" s="34"/>
      <c r="LKP389" s="34"/>
      <c r="LKQ389" s="34"/>
      <c r="LKR389" s="34"/>
      <c r="LKS389" s="34"/>
      <c r="LKT389" s="34"/>
      <c r="LKU389" s="34"/>
      <c r="LKV389" s="34"/>
      <c r="LKW389" s="34"/>
      <c r="LKX389" s="34"/>
      <c r="LKY389" s="34"/>
      <c r="LKZ389" s="34"/>
      <c r="LLA389" s="34"/>
      <c r="LLB389" s="34"/>
      <c r="LLC389" s="34"/>
      <c r="LLD389" s="34"/>
      <c r="LLE389" s="34"/>
      <c r="LLF389" s="34"/>
      <c r="LLG389" s="34"/>
      <c r="LLH389" s="34"/>
      <c r="LLI389" s="34"/>
      <c r="LLJ389" s="34"/>
      <c r="LLK389" s="34"/>
      <c r="LLL389" s="34"/>
      <c r="LLM389" s="34"/>
      <c r="LLN389" s="34"/>
      <c r="LLO389" s="34"/>
      <c r="LLP389" s="34"/>
      <c r="LLQ389" s="34"/>
      <c r="LLR389" s="34"/>
      <c r="LLS389" s="34"/>
      <c r="LLT389" s="34"/>
      <c r="LLU389" s="34"/>
      <c r="LLV389" s="34"/>
      <c r="LLW389" s="34"/>
      <c r="LLX389" s="34"/>
      <c r="LLY389" s="34"/>
      <c r="LLZ389" s="34"/>
      <c r="LMA389" s="34"/>
      <c r="LMB389" s="34"/>
      <c r="LMC389" s="34"/>
      <c r="LMD389" s="34"/>
      <c r="LME389" s="34"/>
      <c r="LMF389" s="34"/>
      <c r="LMG389" s="34"/>
      <c r="LMH389" s="34"/>
      <c r="LMI389" s="34"/>
      <c r="LMJ389" s="34"/>
      <c r="LMK389" s="34"/>
      <c r="LML389" s="34"/>
      <c r="LMM389" s="34"/>
      <c r="LMN389" s="34"/>
      <c r="LMO389" s="34"/>
      <c r="LMP389" s="34"/>
      <c r="LMQ389" s="34"/>
      <c r="LMR389" s="34"/>
      <c r="LMS389" s="34"/>
      <c r="LMT389" s="34"/>
      <c r="LMU389" s="34"/>
      <c r="LMV389" s="34"/>
      <c r="LMW389" s="34"/>
      <c r="LMX389" s="34"/>
      <c r="LMY389" s="34"/>
      <c r="LMZ389" s="34"/>
      <c r="LNA389" s="34"/>
      <c r="LNB389" s="34"/>
      <c r="LNC389" s="34"/>
      <c r="LND389" s="34"/>
      <c r="LNE389" s="34"/>
      <c r="LNF389" s="34"/>
      <c r="LNG389" s="34"/>
      <c r="LNH389" s="34"/>
      <c r="LNI389" s="34"/>
      <c r="LNJ389" s="34"/>
      <c r="LNK389" s="34"/>
      <c r="LNL389" s="34"/>
      <c r="LNM389" s="34"/>
      <c r="LNN389" s="34"/>
      <c r="LNO389" s="34"/>
      <c r="LNP389" s="34"/>
      <c r="LNQ389" s="34"/>
      <c r="LNR389" s="34"/>
      <c r="LNS389" s="34"/>
      <c r="LNT389" s="34"/>
      <c r="LNU389" s="34"/>
      <c r="LNV389" s="34"/>
      <c r="LNW389" s="34"/>
      <c r="LNX389" s="34"/>
      <c r="LNY389" s="34"/>
      <c r="LNZ389" s="34"/>
      <c r="LOA389" s="34"/>
      <c r="LOB389" s="34"/>
      <c r="LOC389" s="34"/>
      <c r="LOD389" s="34"/>
      <c r="LOE389" s="34"/>
      <c r="LOF389" s="34"/>
      <c r="LOG389" s="34"/>
      <c r="LOH389" s="34"/>
      <c r="LOI389" s="34"/>
      <c r="LOJ389" s="34"/>
      <c r="LOK389" s="34"/>
      <c r="LOL389" s="34"/>
      <c r="LOM389" s="34"/>
      <c r="LON389" s="34"/>
      <c r="LOO389" s="34"/>
      <c r="LOP389" s="34"/>
      <c r="LOQ389" s="34"/>
      <c r="LOR389" s="34"/>
      <c r="LOS389" s="34"/>
      <c r="LOT389" s="34"/>
      <c r="LOU389" s="34"/>
      <c r="LOV389" s="34"/>
      <c r="LOW389" s="34"/>
      <c r="LOX389" s="34"/>
      <c r="LOY389" s="34"/>
      <c r="LOZ389" s="34"/>
      <c r="LPA389" s="34"/>
      <c r="LPB389" s="34"/>
      <c r="LPC389" s="34"/>
      <c r="LPD389" s="34"/>
      <c r="LPE389" s="34"/>
      <c r="LPF389" s="34"/>
      <c r="LPG389" s="34"/>
      <c r="LPH389" s="34"/>
      <c r="LPI389" s="34"/>
      <c r="LPJ389" s="34"/>
      <c r="LPK389" s="34"/>
      <c r="LPL389" s="34"/>
      <c r="LPM389" s="34"/>
      <c r="LPN389" s="34"/>
      <c r="LPO389" s="34"/>
      <c r="LPP389" s="34"/>
      <c r="LPQ389" s="34"/>
      <c r="LPR389" s="34"/>
      <c r="LPS389" s="34"/>
      <c r="LPT389" s="34"/>
      <c r="LPU389" s="34"/>
      <c r="LPV389" s="34"/>
      <c r="LPW389" s="34"/>
      <c r="LPX389" s="34"/>
      <c r="LPY389" s="34"/>
      <c r="LPZ389" s="34"/>
      <c r="LQA389" s="34"/>
      <c r="LQB389" s="34"/>
      <c r="LQC389" s="34"/>
      <c r="LQD389" s="34"/>
      <c r="LQE389" s="34"/>
      <c r="LQF389" s="34"/>
      <c r="LQG389" s="34"/>
      <c r="LQH389" s="34"/>
      <c r="LQI389" s="34"/>
      <c r="LQJ389" s="34"/>
      <c r="LQK389" s="34"/>
      <c r="LQL389" s="34"/>
      <c r="LQM389" s="34"/>
      <c r="LQN389" s="34"/>
      <c r="LQO389" s="34"/>
      <c r="LQP389" s="34"/>
      <c r="LQQ389" s="34"/>
      <c r="LQR389" s="34"/>
      <c r="LQS389" s="34"/>
      <c r="LQT389" s="34"/>
      <c r="LQU389" s="34"/>
      <c r="LQV389" s="34"/>
      <c r="LQW389" s="34"/>
      <c r="LQX389" s="34"/>
      <c r="LQY389" s="34"/>
      <c r="LQZ389" s="34"/>
      <c r="LRA389" s="34"/>
      <c r="LRB389" s="34"/>
      <c r="LRC389" s="34"/>
      <c r="LRD389" s="34"/>
      <c r="LRE389" s="34"/>
      <c r="LRF389" s="34"/>
      <c r="LRG389" s="34"/>
      <c r="LRH389" s="34"/>
      <c r="LRI389" s="34"/>
      <c r="LRJ389" s="34"/>
      <c r="LRK389" s="34"/>
      <c r="LRL389" s="34"/>
      <c r="LRM389" s="34"/>
      <c r="LRN389" s="34"/>
      <c r="LRO389" s="34"/>
      <c r="LRP389" s="34"/>
      <c r="LRQ389" s="34"/>
      <c r="LRR389" s="34"/>
      <c r="LRS389" s="34"/>
      <c r="LRT389" s="34"/>
      <c r="LRU389" s="34"/>
      <c r="LRV389" s="34"/>
      <c r="LRW389" s="34"/>
      <c r="LRX389" s="34"/>
      <c r="LRY389" s="34"/>
      <c r="LRZ389" s="34"/>
      <c r="LSA389" s="34"/>
      <c r="LSB389" s="34"/>
      <c r="LSC389" s="34"/>
      <c r="LSD389" s="34"/>
      <c r="LSE389" s="34"/>
      <c r="LSF389" s="34"/>
      <c r="LSG389" s="34"/>
      <c r="LSH389" s="34"/>
      <c r="LSI389" s="34"/>
      <c r="LSJ389" s="34"/>
      <c r="LSK389" s="34"/>
      <c r="LSL389" s="34"/>
      <c r="LSM389" s="34"/>
      <c r="LSN389" s="34"/>
      <c r="LSO389" s="34"/>
      <c r="LSP389" s="34"/>
      <c r="LSQ389" s="34"/>
      <c r="LSR389" s="34"/>
      <c r="LSS389" s="34"/>
      <c r="LST389" s="34"/>
      <c r="LSU389" s="34"/>
      <c r="LSV389" s="34"/>
      <c r="LSW389" s="34"/>
      <c r="LSX389" s="34"/>
      <c r="LSY389" s="34"/>
      <c r="LSZ389" s="34"/>
      <c r="LTA389" s="34"/>
      <c r="LTB389" s="34"/>
      <c r="LTC389" s="34"/>
      <c r="LTD389" s="34"/>
      <c r="LTE389" s="34"/>
      <c r="LTF389" s="34"/>
      <c r="LTG389" s="34"/>
      <c r="LTH389" s="34"/>
      <c r="LTI389" s="34"/>
      <c r="LTJ389" s="34"/>
      <c r="LTK389" s="34"/>
      <c r="LTL389" s="34"/>
      <c r="LTM389" s="34"/>
      <c r="LTN389" s="34"/>
      <c r="LTO389" s="34"/>
      <c r="LTP389" s="34"/>
      <c r="LTQ389" s="34"/>
      <c r="LTR389" s="34"/>
      <c r="LTS389" s="34"/>
      <c r="LTT389" s="34"/>
      <c r="LTU389" s="34"/>
      <c r="LTV389" s="34"/>
      <c r="LTW389" s="34"/>
      <c r="LTX389" s="34"/>
      <c r="LTY389" s="34"/>
      <c r="LTZ389" s="34"/>
      <c r="LUA389" s="34"/>
      <c r="LUB389" s="34"/>
      <c r="LUC389" s="34"/>
      <c r="LUD389" s="34"/>
      <c r="LUE389" s="34"/>
      <c r="LUF389" s="34"/>
      <c r="LUG389" s="34"/>
      <c r="LUH389" s="34"/>
      <c r="LUI389" s="34"/>
      <c r="LUJ389" s="34"/>
      <c r="LUK389" s="34"/>
      <c r="LUL389" s="34"/>
      <c r="LUM389" s="34"/>
      <c r="LUN389" s="34"/>
      <c r="LUO389" s="34"/>
      <c r="LUP389" s="34"/>
      <c r="LUQ389" s="34"/>
      <c r="LUR389" s="34"/>
      <c r="LUS389" s="34"/>
      <c r="LUT389" s="34"/>
      <c r="LUU389" s="34"/>
      <c r="LUV389" s="34"/>
      <c r="LUW389" s="34"/>
      <c r="LUX389" s="34"/>
      <c r="LUY389" s="34"/>
      <c r="LUZ389" s="34"/>
      <c r="LVA389" s="34"/>
      <c r="LVB389" s="34"/>
      <c r="LVC389" s="34"/>
      <c r="LVD389" s="34"/>
      <c r="LVE389" s="34"/>
      <c r="LVF389" s="34"/>
      <c r="LVG389" s="34"/>
      <c r="LVH389" s="34"/>
      <c r="LVI389" s="34"/>
      <c r="LVJ389" s="34"/>
      <c r="LVK389" s="34"/>
      <c r="LVL389" s="34"/>
      <c r="LVM389" s="34"/>
      <c r="LVN389" s="34"/>
      <c r="LVO389" s="34"/>
      <c r="LVP389" s="34"/>
      <c r="LVQ389" s="34"/>
      <c r="LVR389" s="34"/>
      <c r="LVS389" s="34"/>
      <c r="LVT389" s="34"/>
      <c r="LVU389" s="34"/>
      <c r="LVV389" s="34"/>
      <c r="LVW389" s="34"/>
      <c r="LVX389" s="34"/>
      <c r="LVY389" s="34"/>
      <c r="LVZ389" s="34"/>
      <c r="LWA389" s="34"/>
      <c r="LWB389" s="34"/>
      <c r="LWC389" s="34"/>
      <c r="LWD389" s="34"/>
      <c r="LWE389" s="34"/>
      <c r="LWF389" s="34"/>
      <c r="LWG389" s="34"/>
      <c r="LWH389" s="34"/>
      <c r="LWI389" s="34"/>
      <c r="LWJ389" s="34"/>
      <c r="LWK389" s="34"/>
      <c r="LWL389" s="34"/>
      <c r="LWM389" s="34"/>
      <c r="LWN389" s="34"/>
      <c r="LWO389" s="34"/>
      <c r="LWP389" s="34"/>
      <c r="LWQ389" s="34"/>
      <c r="LWR389" s="34"/>
      <c r="LWS389" s="34"/>
      <c r="LWT389" s="34"/>
      <c r="LWU389" s="34"/>
      <c r="LWV389" s="34"/>
      <c r="LWW389" s="34"/>
      <c r="LWX389" s="34"/>
      <c r="LWY389" s="34"/>
      <c r="LWZ389" s="34"/>
      <c r="LXA389" s="34"/>
      <c r="LXB389" s="34"/>
      <c r="LXC389" s="34"/>
      <c r="LXD389" s="34"/>
      <c r="LXE389" s="34"/>
      <c r="LXF389" s="34"/>
      <c r="LXG389" s="34"/>
      <c r="LXH389" s="34"/>
      <c r="LXI389" s="34"/>
      <c r="LXJ389" s="34"/>
      <c r="LXK389" s="34"/>
      <c r="LXL389" s="34"/>
      <c r="LXM389" s="34"/>
      <c r="LXN389" s="34"/>
      <c r="LXO389" s="34"/>
      <c r="LXP389" s="34"/>
      <c r="LXQ389" s="34"/>
      <c r="LXR389" s="34"/>
      <c r="LXS389" s="34"/>
      <c r="LXT389" s="34"/>
      <c r="LXU389" s="34"/>
      <c r="LXV389" s="34"/>
      <c r="LXW389" s="34"/>
      <c r="LXX389" s="34"/>
      <c r="LXY389" s="34"/>
      <c r="LXZ389" s="34"/>
      <c r="LYA389" s="34"/>
      <c r="LYB389" s="34"/>
      <c r="LYC389" s="34"/>
      <c r="LYD389" s="34"/>
      <c r="LYE389" s="34"/>
      <c r="LYF389" s="34"/>
      <c r="LYG389" s="34"/>
      <c r="LYH389" s="34"/>
      <c r="LYI389" s="34"/>
      <c r="LYJ389" s="34"/>
      <c r="LYK389" s="34"/>
      <c r="LYL389" s="34"/>
      <c r="LYM389" s="34"/>
      <c r="LYN389" s="34"/>
      <c r="LYO389" s="34"/>
      <c r="LYP389" s="34"/>
      <c r="LYQ389" s="34"/>
      <c r="LYR389" s="34"/>
      <c r="LYS389" s="34"/>
      <c r="LYT389" s="34"/>
      <c r="LYU389" s="34"/>
      <c r="LYV389" s="34"/>
      <c r="LYW389" s="34"/>
      <c r="LYX389" s="34"/>
      <c r="LYY389" s="34"/>
      <c r="LYZ389" s="34"/>
      <c r="LZA389" s="34"/>
      <c r="LZB389" s="34"/>
      <c r="LZC389" s="34"/>
      <c r="LZD389" s="34"/>
      <c r="LZE389" s="34"/>
      <c r="LZF389" s="34"/>
      <c r="LZG389" s="34"/>
      <c r="LZH389" s="34"/>
      <c r="LZI389" s="34"/>
      <c r="LZJ389" s="34"/>
      <c r="LZK389" s="34"/>
      <c r="LZL389" s="34"/>
      <c r="LZM389" s="34"/>
      <c r="LZN389" s="34"/>
      <c r="LZO389" s="34"/>
      <c r="LZP389" s="34"/>
      <c r="LZQ389" s="34"/>
      <c r="LZR389" s="34"/>
      <c r="LZS389" s="34"/>
      <c r="LZT389" s="34"/>
      <c r="LZU389" s="34"/>
      <c r="LZV389" s="34"/>
      <c r="LZW389" s="34"/>
      <c r="LZX389" s="34"/>
      <c r="LZY389" s="34"/>
      <c r="LZZ389" s="34"/>
      <c r="MAA389" s="34"/>
      <c r="MAB389" s="34"/>
      <c r="MAC389" s="34"/>
      <c r="MAD389" s="34"/>
      <c r="MAE389" s="34"/>
      <c r="MAF389" s="34"/>
      <c r="MAG389" s="34"/>
      <c r="MAH389" s="34"/>
      <c r="MAI389" s="34"/>
      <c r="MAJ389" s="34"/>
      <c r="MAK389" s="34"/>
      <c r="MAL389" s="34"/>
      <c r="MAM389" s="34"/>
      <c r="MAN389" s="34"/>
      <c r="MAO389" s="34"/>
      <c r="MAP389" s="34"/>
      <c r="MAQ389" s="34"/>
      <c r="MAR389" s="34"/>
      <c r="MAS389" s="34"/>
      <c r="MAT389" s="34"/>
      <c r="MAU389" s="34"/>
      <c r="MAV389" s="34"/>
      <c r="MAW389" s="34"/>
      <c r="MAX389" s="34"/>
      <c r="MAY389" s="34"/>
      <c r="MAZ389" s="34"/>
      <c r="MBA389" s="34"/>
      <c r="MBB389" s="34"/>
      <c r="MBC389" s="34"/>
      <c r="MBD389" s="34"/>
      <c r="MBE389" s="34"/>
      <c r="MBF389" s="34"/>
      <c r="MBG389" s="34"/>
      <c r="MBH389" s="34"/>
      <c r="MBI389" s="34"/>
      <c r="MBJ389" s="34"/>
      <c r="MBK389" s="34"/>
      <c r="MBL389" s="34"/>
      <c r="MBM389" s="34"/>
      <c r="MBN389" s="34"/>
      <c r="MBO389" s="34"/>
      <c r="MBP389" s="34"/>
      <c r="MBQ389" s="34"/>
      <c r="MBR389" s="34"/>
      <c r="MBS389" s="34"/>
      <c r="MBT389" s="34"/>
      <c r="MBU389" s="34"/>
      <c r="MBV389" s="34"/>
      <c r="MBW389" s="34"/>
      <c r="MBX389" s="34"/>
      <c r="MBY389" s="34"/>
      <c r="MBZ389" s="34"/>
      <c r="MCA389" s="34"/>
      <c r="MCB389" s="34"/>
      <c r="MCC389" s="34"/>
      <c r="MCD389" s="34"/>
      <c r="MCE389" s="34"/>
      <c r="MCF389" s="34"/>
      <c r="MCG389" s="34"/>
      <c r="MCH389" s="34"/>
      <c r="MCI389" s="34"/>
      <c r="MCJ389" s="34"/>
      <c r="MCK389" s="34"/>
      <c r="MCL389" s="34"/>
      <c r="MCM389" s="34"/>
      <c r="MCN389" s="34"/>
      <c r="MCO389" s="34"/>
      <c r="MCP389" s="34"/>
      <c r="MCQ389" s="34"/>
      <c r="MCR389" s="34"/>
      <c r="MCS389" s="34"/>
      <c r="MCT389" s="34"/>
      <c r="MCU389" s="34"/>
      <c r="MCV389" s="34"/>
      <c r="MCW389" s="34"/>
      <c r="MCX389" s="34"/>
      <c r="MCY389" s="34"/>
      <c r="MCZ389" s="34"/>
      <c r="MDA389" s="34"/>
      <c r="MDB389" s="34"/>
      <c r="MDC389" s="34"/>
      <c r="MDD389" s="34"/>
      <c r="MDE389" s="34"/>
      <c r="MDF389" s="34"/>
      <c r="MDG389" s="34"/>
      <c r="MDH389" s="34"/>
      <c r="MDI389" s="34"/>
      <c r="MDJ389" s="34"/>
      <c r="MDK389" s="34"/>
      <c r="MDL389" s="34"/>
      <c r="MDM389" s="34"/>
      <c r="MDN389" s="34"/>
      <c r="MDO389" s="34"/>
      <c r="MDP389" s="34"/>
      <c r="MDQ389" s="34"/>
      <c r="MDR389" s="34"/>
      <c r="MDS389" s="34"/>
      <c r="MDT389" s="34"/>
      <c r="MDU389" s="34"/>
      <c r="MDV389" s="34"/>
      <c r="MDW389" s="34"/>
      <c r="MDX389" s="34"/>
      <c r="MDY389" s="34"/>
      <c r="MDZ389" s="34"/>
      <c r="MEA389" s="34"/>
      <c r="MEB389" s="34"/>
      <c r="MEC389" s="34"/>
      <c r="MED389" s="34"/>
      <c r="MEE389" s="34"/>
      <c r="MEF389" s="34"/>
      <c r="MEG389" s="34"/>
      <c r="MEH389" s="34"/>
      <c r="MEI389" s="34"/>
      <c r="MEJ389" s="34"/>
      <c r="MEK389" s="34"/>
      <c r="MEL389" s="34"/>
      <c r="MEM389" s="34"/>
      <c r="MEN389" s="34"/>
      <c r="MEO389" s="34"/>
      <c r="MEP389" s="34"/>
      <c r="MEQ389" s="34"/>
      <c r="MER389" s="34"/>
      <c r="MES389" s="34"/>
      <c r="MET389" s="34"/>
      <c r="MEU389" s="34"/>
      <c r="MEV389" s="34"/>
      <c r="MEW389" s="34"/>
      <c r="MEX389" s="34"/>
      <c r="MEY389" s="34"/>
      <c r="MEZ389" s="34"/>
      <c r="MFA389" s="34"/>
      <c r="MFB389" s="34"/>
      <c r="MFC389" s="34"/>
      <c r="MFD389" s="34"/>
      <c r="MFE389" s="34"/>
      <c r="MFF389" s="34"/>
      <c r="MFG389" s="34"/>
      <c r="MFH389" s="34"/>
      <c r="MFI389" s="34"/>
      <c r="MFJ389" s="34"/>
      <c r="MFK389" s="34"/>
      <c r="MFL389" s="34"/>
      <c r="MFM389" s="34"/>
      <c r="MFN389" s="34"/>
      <c r="MFO389" s="34"/>
      <c r="MFP389" s="34"/>
      <c r="MFQ389" s="34"/>
      <c r="MFR389" s="34"/>
      <c r="MFS389" s="34"/>
      <c r="MFT389" s="34"/>
      <c r="MFU389" s="34"/>
      <c r="MFV389" s="34"/>
      <c r="MFW389" s="34"/>
      <c r="MFX389" s="34"/>
      <c r="MFY389" s="34"/>
      <c r="MFZ389" s="34"/>
      <c r="MGA389" s="34"/>
      <c r="MGB389" s="34"/>
      <c r="MGC389" s="34"/>
      <c r="MGD389" s="34"/>
      <c r="MGE389" s="34"/>
      <c r="MGF389" s="34"/>
      <c r="MGG389" s="34"/>
      <c r="MGH389" s="34"/>
      <c r="MGI389" s="34"/>
      <c r="MGJ389" s="34"/>
      <c r="MGK389" s="34"/>
      <c r="MGL389" s="34"/>
      <c r="MGM389" s="34"/>
      <c r="MGN389" s="34"/>
      <c r="MGO389" s="34"/>
      <c r="MGP389" s="34"/>
      <c r="MGQ389" s="34"/>
      <c r="MGR389" s="34"/>
      <c r="MGS389" s="34"/>
      <c r="MGT389" s="34"/>
      <c r="MGU389" s="34"/>
      <c r="MGV389" s="34"/>
      <c r="MGW389" s="34"/>
      <c r="MGX389" s="34"/>
      <c r="MGY389" s="34"/>
      <c r="MGZ389" s="34"/>
      <c r="MHA389" s="34"/>
      <c r="MHB389" s="34"/>
      <c r="MHC389" s="34"/>
      <c r="MHD389" s="34"/>
      <c r="MHE389" s="34"/>
      <c r="MHF389" s="34"/>
      <c r="MHG389" s="34"/>
      <c r="MHH389" s="34"/>
      <c r="MHI389" s="34"/>
      <c r="MHJ389" s="34"/>
      <c r="MHK389" s="34"/>
      <c r="MHL389" s="34"/>
      <c r="MHM389" s="34"/>
      <c r="MHN389" s="34"/>
      <c r="MHO389" s="34"/>
      <c r="MHP389" s="34"/>
      <c r="MHQ389" s="34"/>
      <c r="MHR389" s="34"/>
      <c r="MHS389" s="34"/>
      <c r="MHT389" s="34"/>
      <c r="MHU389" s="34"/>
      <c r="MHV389" s="34"/>
      <c r="MHW389" s="34"/>
      <c r="MHX389" s="34"/>
      <c r="MHY389" s="34"/>
      <c r="MHZ389" s="34"/>
      <c r="MIA389" s="34"/>
      <c r="MIB389" s="34"/>
      <c r="MIC389" s="34"/>
      <c r="MID389" s="34"/>
      <c r="MIE389" s="34"/>
      <c r="MIF389" s="34"/>
      <c r="MIG389" s="34"/>
      <c r="MIH389" s="34"/>
      <c r="MII389" s="34"/>
      <c r="MIJ389" s="34"/>
      <c r="MIK389" s="34"/>
      <c r="MIL389" s="34"/>
      <c r="MIM389" s="34"/>
      <c r="MIN389" s="34"/>
      <c r="MIO389" s="34"/>
      <c r="MIP389" s="34"/>
      <c r="MIQ389" s="34"/>
      <c r="MIR389" s="34"/>
      <c r="MIS389" s="34"/>
      <c r="MIT389" s="34"/>
      <c r="MIU389" s="34"/>
      <c r="MIV389" s="34"/>
      <c r="MIW389" s="34"/>
      <c r="MIX389" s="34"/>
      <c r="MIY389" s="34"/>
      <c r="MIZ389" s="34"/>
      <c r="MJA389" s="34"/>
      <c r="MJB389" s="34"/>
      <c r="MJC389" s="34"/>
      <c r="MJD389" s="34"/>
      <c r="MJE389" s="34"/>
      <c r="MJF389" s="34"/>
      <c r="MJG389" s="34"/>
      <c r="MJH389" s="34"/>
      <c r="MJI389" s="34"/>
      <c r="MJJ389" s="34"/>
      <c r="MJK389" s="34"/>
      <c r="MJL389" s="34"/>
      <c r="MJM389" s="34"/>
      <c r="MJN389" s="34"/>
      <c r="MJO389" s="34"/>
      <c r="MJP389" s="34"/>
      <c r="MJQ389" s="34"/>
      <c r="MJR389" s="34"/>
      <c r="MJS389" s="34"/>
      <c r="MJT389" s="34"/>
      <c r="MJU389" s="34"/>
      <c r="MJV389" s="34"/>
      <c r="MJW389" s="34"/>
      <c r="MJX389" s="34"/>
      <c r="MJY389" s="34"/>
      <c r="MJZ389" s="34"/>
      <c r="MKA389" s="34"/>
      <c r="MKB389" s="34"/>
      <c r="MKC389" s="34"/>
      <c r="MKD389" s="34"/>
      <c r="MKE389" s="34"/>
      <c r="MKF389" s="34"/>
      <c r="MKG389" s="34"/>
      <c r="MKH389" s="34"/>
      <c r="MKI389" s="34"/>
      <c r="MKJ389" s="34"/>
      <c r="MKK389" s="34"/>
      <c r="MKL389" s="34"/>
      <c r="MKM389" s="34"/>
      <c r="MKN389" s="34"/>
      <c r="MKO389" s="34"/>
      <c r="MKP389" s="34"/>
      <c r="MKQ389" s="34"/>
      <c r="MKR389" s="34"/>
      <c r="MKS389" s="34"/>
      <c r="MKT389" s="34"/>
      <c r="MKU389" s="34"/>
      <c r="MKV389" s="34"/>
      <c r="MKW389" s="34"/>
      <c r="MKX389" s="34"/>
      <c r="MKY389" s="34"/>
      <c r="MKZ389" s="34"/>
      <c r="MLA389" s="34"/>
      <c r="MLB389" s="34"/>
      <c r="MLC389" s="34"/>
      <c r="MLD389" s="34"/>
      <c r="MLE389" s="34"/>
      <c r="MLF389" s="34"/>
      <c r="MLG389" s="34"/>
      <c r="MLH389" s="34"/>
      <c r="MLI389" s="34"/>
      <c r="MLJ389" s="34"/>
      <c r="MLK389" s="34"/>
      <c r="MLL389" s="34"/>
      <c r="MLM389" s="34"/>
      <c r="MLN389" s="34"/>
      <c r="MLO389" s="34"/>
      <c r="MLP389" s="34"/>
      <c r="MLQ389" s="34"/>
      <c r="MLR389" s="34"/>
      <c r="MLS389" s="34"/>
      <c r="MLT389" s="34"/>
      <c r="MLU389" s="34"/>
      <c r="MLV389" s="34"/>
      <c r="MLW389" s="34"/>
      <c r="MLX389" s="34"/>
      <c r="MLY389" s="34"/>
      <c r="MLZ389" s="34"/>
      <c r="MMA389" s="34"/>
      <c r="MMB389" s="34"/>
      <c r="MMC389" s="34"/>
      <c r="MMD389" s="34"/>
      <c r="MME389" s="34"/>
      <c r="MMF389" s="34"/>
      <c r="MMG389" s="34"/>
      <c r="MMH389" s="34"/>
      <c r="MMI389" s="34"/>
      <c r="MMJ389" s="34"/>
      <c r="MMK389" s="34"/>
      <c r="MML389" s="34"/>
      <c r="MMM389" s="34"/>
      <c r="MMN389" s="34"/>
      <c r="MMO389" s="34"/>
      <c r="MMP389" s="34"/>
      <c r="MMQ389" s="34"/>
      <c r="MMR389" s="34"/>
      <c r="MMS389" s="34"/>
      <c r="MMT389" s="34"/>
      <c r="MMU389" s="34"/>
      <c r="MMV389" s="34"/>
      <c r="MMW389" s="34"/>
      <c r="MMX389" s="34"/>
      <c r="MMY389" s="34"/>
      <c r="MMZ389" s="34"/>
      <c r="MNA389" s="34"/>
      <c r="MNB389" s="34"/>
      <c r="MNC389" s="34"/>
      <c r="MND389" s="34"/>
      <c r="MNE389" s="34"/>
      <c r="MNF389" s="34"/>
      <c r="MNG389" s="34"/>
      <c r="MNH389" s="34"/>
      <c r="MNI389" s="34"/>
      <c r="MNJ389" s="34"/>
      <c r="MNK389" s="34"/>
      <c r="MNL389" s="34"/>
      <c r="MNM389" s="34"/>
      <c r="MNN389" s="34"/>
      <c r="MNO389" s="34"/>
      <c r="MNP389" s="34"/>
      <c r="MNQ389" s="34"/>
      <c r="MNR389" s="34"/>
      <c r="MNS389" s="34"/>
      <c r="MNT389" s="34"/>
      <c r="MNU389" s="34"/>
      <c r="MNV389" s="34"/>
      <c r="MNW389" s="34"/>
      <c r="MNX389" s="34"/>
      <c r="MNY389" s="34"/>
      <c r="MNZ389" s="34"/>
      <c r="MOA389" s="34"/>
      <c r="MOB389" s="34"/>
      <c r="MOC389" s="34"/>
      <c r="MOD389" s="34"/>
      <c r="MOE389" s="34"/>
      <c r="MOF389" s="34"/>
      <c r="MOG389" s="34"/>
      <c r="MOH389" s="34"/>
      <c r="MOI389" s="34"/>
      <c r="MOJ389" s="34"/>
      <c r="MOK389" s="34"/>
      <c r="MOL389" s="34"/>
      <c r="MOM389" s="34"/>
      <c r="MON389" s="34"/>
      <c r="MOO389" s="34"/>
      <c r="MOP389" s="34"/>
      <c r="MOQ389" s="34"/>
      <c r="MOR389" s="34"/>
      <c r="MOS389" s="34"/>
      <c r="MOT389" s="34"/>
      <c r="MOU389" s="34"/>
      <c r="MOV389" s="34"/>
      <c r="MOW389" s="34"/>
      <c r="MOX389" s="34"/>
      <c r="MOY389" s="34"/>
      <c r="MOZ389" s="34"/>
      <c r="MPA389" s="34"/>
      <c r="MPB389" s="34"/>
      <c r="MPC389" s="34"/>
      <c r="MPD389" s="34"/>
      <c r="MPE389" s="34"/>
      <c r="MPF389" s="34"/>
      <c r="MPG389" s="34"/>
      <c r="MPH389" s="34"/>
      <c r="MPI389" s="34"/>
      <c r="MPJ389" s="34"/>
      <c r="MPK389" s="34"/>
      <c r="MPL389" s="34"/>
      <c r="MPM389" s="34"/>
      <c r="MPN389" s="34"/>
      <c r="MPO389" s="34"/>
      <c r="MPP389" s="34"/>
      <c r="MPQ389" s="34"/>
      <c r="MPR389" s="34"/>
      <c r="MPS389" s="34"/>
      <c r="MPT389" s="34"/>
      <c r="MPU389" s="34"/>
      <c r="MPV389" s="34"/>
      <c r="MPW389" s="34"/>
      <c r="MPX389" s="34"/>
      <c r="MPY389" s="34"/>
      <c r="MPZ389" s="34"/>
      <c r="MQA389" s="34"/>
      <c r="MQB389" s="34"/>
      <c r="MQC389" s="34"/>
      <c r="MQD389" s="34"/>
      <c r="MQE389" s="34"/>
      <c r="MQF389" s="34"/>
      <c r="MQG389" s="34"/>
      <c r="MQH389" s="34"/>
      <c r="MQI389" s="34"/>
      <c r="MQJ389" s="34"/>
      <c r="MQK389" s="34"/>
      <c r="MQL389" s="34"/>
      <c r="MQM389" s="34"/>
      <c r="MQN389" s="34"/>
      <c r="MQO389" s="34"/>
      <c r="MQP389" s="34"/>
      <c r="MQQ389" s="34"/>
      <c r="MQR389" s="34"/>
      <c r="MQS389" s="34"/>
      <c r="MQT389" s="34"/>
      <c r="MQU389" s="34"/>
      <c r="MQV389" s="34"/>
      <c r="MQW389" s="34"/>
      <c r="MQX389" s="34"/>
      <c r="MQY389" s="34"/>
      <c r="MQZ389" s="34"/>
      <c r="MRA389" s="34"/>
      <c r="MRB389" s="34"/>
      <c r="MRC389" s="34"/>
      <c r="MRD389" s="34"/>
      <c r="MRE389" s="34"/>
      <c r="MRF389" s="34"/>
      <c r="MRG389" s="34"/>
      <c r="MRH389" s="34"/>
      <c r="MRI389" s="34"/>
      <c r="MRJ389" s="34"/>
      <c r="MRK389" s="34"/>
      <c r="MRL389" s="34"/>
      <c r="MRM389" s="34"/>
      <c r="MRN389" s="34"/>
      <c r="MRO389" s="34"/>
      <c r="MRP389" s="34"/>
      <c r="MRQ389" s="34"/>
      <c r="MRR389" s="34"/>
      <c r="MRS389" s="34"/>
      <c r="MRT389" s="34"/>
      <c r="MRU389" s="34"/>
      <c r="MRV389" s="34"/>
      <c r="MRW389" s="34"/>
      <c r="MRX389" s="34"/>
      <c r="MRY389" s="34"/>
      <c r="MRZ389" s="34"/>
      <c r="MSA389" s="34"/>
      <c r="MSB389" s="34"/>
      <c r="MSC389" s="34"/>
      <c r="MSD389" s="34"/>
      <c r="MSE389" s="34"/>
      <c r="MSF389" s="34"/>
      <c r="MSG389" s="34"/>
      <c r="MSH389" s="34"/>
      <c r="MSI389" s="34"/>
      <c r="MSJ389" s="34"/>
      <c r="MSK389" s="34"/>
      <c r="MSL389" s="34"/>
      <c r="MSM389" s="34"/>
      <c r="MSN389" s="34"/>
      <c r="MSO389" s="34"/>
      <c r="MSP389" s="34"/>
      <c r="MSQ389" s="34"/>
      <c r="MSR389" s="34"/>
      <c r="MSS389" s="34"/>
      <c r="MST389" s="34"/>
      <c r="MSU389" s="34"/>
      <c r="MSV389" s="34"/>
      <c r="MSW389" s="34"/>
      <c r="MSX389" s="34"/>
      <c r="MSY389" s="34"/>
      <c r="MSZ389" s="34"/>
      <c r="MTA389" s="34"/>
      <c r="MTB389" s="34"/>
      <c r="MTC389" s="34"/>
      <c r="MTD389" s="34"/>
      <c r="MTE389" s="34"/>
      <c r="MTF389" s="34"/>
      <c r="MTG389" s="34"/>
      <c r="MTH389" s="34"/>
      <c r="MTI389" s="34"/>
      <c r="MTJ389" s="34"/>
      <c r="MTK389" s="34"/>
      <c r="MTL389" s="34"/>
      <c r="MTM389" s="34"/>
      <c r="MTN389" s="34"/>
      <c r="MTO389" s="34"/>
      <c r="MTP389" s="34"/>
      <c r="MTQ389" s="34"/>
      <c r="MTR389" s="34"/>
      <c r="MTS389" s="34"/>
      <c r="MTT389" s="34"/>
      <c r="MTU389" s="34"/>
      <c r="MTV389" s="34"/>
      <c r="MTW389" s="34"/>
      <c r="MTX389" s="34"/>
      <c r="MTY389" s="34"/>
      <c r="MTZ389" s="34"/>
      <c r="MUA389" s="34"/>
      <c r="MUB389" s="34"/>
      <c r="MUC389" s="34"/>
      <c r="MUD389" s="34"/>
      <c r="MUE389" s="34"/>
      <c r="MUF389" s="34"/>
      <c r="MUG389" s="34"/>
      <c r="MUH389" s="34"/>
      <c r="MUI389" s="34"/>
      <c r="MUJ389" s="34"/>
      <c r="MUK389" s="34"/>
      <c r="MUL389" s="34"/>
      <c r="MUM389" s="34"/>
      <c r="MUN389" s="34"/>
      <c r="MUO389" s="34"/>
      <c r="MUP389" s="34"/>
      <c r="MUQ389" s="34"/>
      <c r="MUR389" s="34"/>
      <c r="MUS389" s="34"/>
      <c r="MUT389" s="34"/>
      <c r="MUU389" s="34"/>
      <c r="MUV389" s="34"/>
      <c r="MUW389" s="34"/>
      <c r="MUX389" s="34"/>
      <c r="MUY389" s="34"/>
      <c r="MUZ389" s="34"/>
      <c r="MVA389" s="34"/>
      <c r="MVB389" s="34"/>
      <c r="MVC389" s="34"/>
      <c r="MVD389" s="34"/>
      <c r="MVE389" s="34"/>
      <c r="MVF389" s="34"/>
      <c r="MVG389" s="34"/>
      <c r="MVH389" s="34"/>
      <c r="MVI389" s="34"/>
      <c r="MVJ389" s="34"/>
      <c r="MVK389" s="34"/>
      <c r="MVL389" s="34"/>
      <c r="MVM389" s="34"/>
      <c r="MVN389" s="34"/>
      <c r="MVO389" s="34"/>
      <c r="MVP389" s="34"/>
      <c r="MVQ389" s="34"/>
      <c r="MVR389" s="34"/>
      <c r="MVS389" s="34"/>
      <c r="MVT389" s="34"/>
      <c r="MVU389" s="34"/>
      <c r="MVV389" s="34"/>
      <c r="MVW389" s="34"/>
      <c r="MVX389" s="34"/>
      <c r="MVY389" s="34"/>
      <c r="MVZ389" s="34"/>
      <c r="MWA389" s="34"/>
      <c r="MWB389" s="34"/>
      <c r="MWC389" s="34"/>
      <c r="MWD389" s="34"/>
      <c r="MWE389" s="34"/>
      <c r="MWF389" s="34"/>
      <c r="MWG389" s="34"/>
      <c r="MWH389" s="34"/>
      <c r="MWI389" s="34"/>
      <c r="MWJ389" s="34"/>
      <c r="MWK389" s="34"/>
      <c r="MWL389" s="34"/>
      <c r="MWM389" s="34"/>
      <c r="MWN389" s="34"/>
      <c r="MWO389" s="34"/>
      <c r="MWP389" s="34"/>
      <c r="MWQ389" s="34"/>
      <c r="MWR389" s="34"/>
      <c r="MWS389" s="34"/>
      <c r="MWT389" s="34"/>
      <c r="MWU389" s="34"/>
      <c r="MWV389" s="34"/>
      <c r="MWW389" s="34"/>
      <c r="MWX389" s="34"/>
      <c r="MWY389" s="34"/>
      <c r="MWZ389" s="34"/>
      <c r="MXA389" s="34"/>
      <c r="MXB389" s="34"/>
      <c r="MXC389" s="34"/>
      <c r="MXD389" s="34"/>
      <c r="MXE389" s="34"/>
      <c r="MXF389" s="34"/>
      <c r="MXG389" s="34"/>
      <c r="MXH389" s="34"/>
      <c r="MXI389" s="34"/>
      <c r="MXJ389" s="34"/>
      <c r="MXK389" s="34"/>
      <c r="MXL389" s="34"/>
      <c r="MXM389" s="34"/>
      <c r="MXN389" s="34"/>
      <c r="MXO389" s="34"/>
      <c r="MXP389" s="34"/>
      <c r="MXQ389" s="34"/>
      <c r="MXR389" s="34"/>
      <c r="MXS389" s="34"/>
      <c r="MXT389" s="34"/>
      <c r="MXU389" s="34"/>
      <c r="MXV389" s="34"/>
      <c r="MXW389" s="34"/>
      <c r="MXX389" s="34"/>
      <c r="MXY389" s="34"/>
      <c r="MXZ389" s="34"/>
      <c r="MYA389" s="34"/>
      <c r="MYB389" s="34"/>
      <c r="MYC389" s="34"/>
      <c r="MYD389" s="34"/>
      <c r="MYE389" s="34"/>
      <c r="MYF389" s="34"/>
      <c r="MYG389" s="34"/>
      <c r="MYH389" s="34"/>
      <c r="MYI389" s="34"/>
      <c r="MYJ389" s="34"/>
      <c r="MYK389" s="34"/>
      <c r="MYL389" s="34"/>
      <c r="MYM389" s="34"/>
      <c r="MYN389" s="34"/>
      <c r="MYO389" s="34"/>
      <c r="MYP389" s="34"/>
      <c r="MYQ389" s="34"/>
      <c r="MYR389" s="34"/>
      <c r="MYS389" s="34"/>
      <c r="MYT389" s="34"/>
      <c r="MYU389" s="34"/>
      <c r="MYV389" s="34"/>
      <c r="MYW389" s="34"/>
      <c r="MYX389" s="34"/>
      <c r="MYY389" s="34"/>
      <c r="MYZ389" s="34"/>
      <c r="MZA389" s="34"/>
      <c r="MZB389" s="34"/>
      <c r="MZC389" s="34"/>
      <c r="MZD389" s="34"/>
      <c r="MZE389" s="34"/>
      <c r="MZF389" s="34"/>
      <c r="MZG389" s="34"/>
      <c r="MZH389" s="34"/>
      <c r="MZI389" s="34"/>
      <c r="MZJ389" s="34"/>
      <c r="MZK389" s="34"/>
      <c r="MZL389" s="34"/>
      <c r="MZM389" s="34"/>
      <c r="MZN389" s="34"/>
      <c r="MZO389" s="34"/>
      <c r="MZP389" s="34"/>
      <c r="MZQ389" s="34"/>
      <c r="MZR389" s="34"/>
      <c r="MZS389" s="34"/>
      <c r="MZT389" s="34"/>
      <c r="MZU389" s="34"/>
      <c r="MZV389" s="34"/>
      <c r="MZW389" s="34"/>
      <c r="MZX389" s="34"/>
      <c r="MZY389" s="34"/>
      <c r="MZZ389" s="34"/>
      <c r="NAA389" s="34"/>
      <c r="NAB389" s="34"/>
      <c r="NAC389" s="34"/>
      <c r="NAD389" s="34"/>
      <c r="NAE389" s="34"/>
      <c r="NAF389" s="34"/>
      <c r="NAG389" s="34"/>
      <c r="NAH389" s="34"/>
      <c r="NAI389" s="34"/>
      <c r="NAJ389" s="34"/>
      <c r="NAK389" s="34"/>
      <c r="NAL389" s="34"/>
      <c r="NAM389" s="34"/>
      <c r="NAN389" s="34"/>
      <c r="NAO389" s="34"/>
      <c r="NAP389" s="34"/>
      <c r="NAQ389" s="34"/>
      <c r="NAR389" s="34"/>
      <c r="NAS389" s="34"/>
      <c r="NAT389" s="34"/>
      <c r="NAU389" s="34"/>
      <c r="NAV389" s="34"/>
      <c r="NAW389" s="34"/>
      <c r="NAX389" s="34"/>
      <c r="NAY389" s="34"/>
      <c r="NAZ389" s="34"/>
      <c r="NBA389" s="34"/>
      <c r="NBB389" s="34"/>
      <c r="NBC389" s="34"/>
      <c r="NBD389" s="34"/>
      <c r="NBE389" s="34"/>
      <c r="NBF389" s="34"/>
      <c r="NBG389" s="34"/>
      <c r="NBH389" s="34"/>
      <c r="NBI389" s="34"/>
      <c r="NBJ389" s="34"/>
      <c r="NBK389" s="34"/>
      <c r="NBL389" s="34"/>
      <c r="NBM389" s="34"/>
      <c r="NBN389" s="34"/>
      <c r="NBO389" s="34"/>
      <c r="NBP389" s="34"/>
      <c r="NBQ389" s="34"/>
      <c r="NBR389" s="34"/>
      <c r="NBS389" s="34"/>
      <c r="NBT389" s="34"/>
      <c r="NBU389" s="34"/>
      <c r="NBV389" s="34"/>
      <c r="NBW389" s="34"/>
      <c r="NBX389" s="34"/>
      <c r="NBY389" s="34"/>
      <c r="NBZ389" s="34"/>
      <c r="NCA389" s="34"/>
      <c r="NCB389" s="34"/>
      <c r="NCC389" s="34"/>
      <c r="NCD389" s="34"/>
      <c r="NCE389" s="34"/>
      <c r="NCF389" s="34"/>
      <c r="NCG389" s="34"/>
      <c r="NCH389" s="34"/>
      <c r="NCI389" s="34"/>
      <c r="NCJ389" s="34"/>
      <c r="NCK389" s="34"/>
      <c r="NCL389" s="34"/>
      <c r="NCM389" s="34"/>
      <c r="NCN389" s="34"/>
      <c r="NCO389" s="34"/>
      <c r="NCP389" s="34"/>
      <c r="NCQ389" s="34"/>
      <c r="NCR389" s="34"/>
      <c r="NCS389" s="34"/>
      <c r="NCT389" s="34"/>
      <c r="NCU389" s="34"/>
      <c r="NCV389" s="34"/>
      <c r="NCW389" s="34"/>
      <c r="NCX389" s="34"/>
      <c r="NCY389" s="34"/>
      <c r="NCZ389" s="34"/>
      <c r="NDA389" s="34"/>
      <c r="NDB389" s="34"/>
      <c r="NDC389" s="34"/>
      <c r="NDD389" s="34"/>
      <c r="NDE389" s="34"/>
      <c r="NDF389" s="34"/>
      <c r="NDG389" s="34"/>
      <c r="NDH389" s="34"/>
      <c r="NDI389" s="34"/>
      <c r="NDJ389" s="34"/>
      <c r="NDK389" s="34"/>
      <c r="NDL389" s="34"/>
      <c r="NDM389" s="34"/>
      <c r="NDN389" s="34"/>
      <c r="NDO389" s="34"/>
      <c r="NDP389" s="34"/>
      <c r="NDQ389" s="34"/>
      <c r="NDR389" s="34"/>
      <c r="NDS389" s="34"/>
      <c r="NDT389" s="34"/>
      <c r="NDU389" s="34"/>
      <c r="NDV389" s="34"/>
      <c r="NDW389" s="34"/>
      <c r="NDX389" s="34"/>
      <c r="NDY389" s="34"/>
      <c r="NDZ389" s="34"/>
      <c r="NEA389" s="34"/>
      <c r="NEB389" s="34"/>
      <c r="NEC389" s="34"/>
      <c r="NED389" s="34"/>
      <c r="NEE389" s="34"/>
      <c r="NEF389" s="34"/>
      <c r="NEG389" s="34"/>
      <c r="NEH389" s="34"/>
      <c r="NEI389" s="34"/>
      <c r="NEJ389" s="34"/>
      <c r="NEK389" s="34"/>
      <c r="NEL389" s="34"/>
      <c r="NEM389" s="34"/>
      <c r="NEN389" s="34"/>
      <c r="NEO389" s="34"/>
      <c r="NEP389" s="34"/>
      <c r="NEQ389" s="34"/>
      <c r="NER389" s="34"/>
      <c r="NES389" s="34"/>
      <c r="NET389" s="34"/>
      <c r="NEU389" s="34"/>
      <c r="NEV389" s="34"/>
      <c r="NEW389" s="34"/>
      <c r="NEX389" s="34"/>
      <c r="NEY389" s="34"/>
      <c r="NEZ389" s="34"/>
      <c r="NFA389" s="34"/>
      <c r="NFB389" s="34"/>
      <c r="NFC389" s="34"/>
      <c r="NFD389" s="34"/>
      <c r="NFE389" s="34"/>
      <c r="NFF389" s="34"/>
      <c r="NFG389" s="34"/>
      <c r="NFH389" s="34"/>
      <c r="NFI389" s="34"/>
      <c r="NFJ389" s="34"/>
      <c r="NFK389" s="34"/>
      <c r="NFL389" s="34"/>
      <c r="NFM389" s="34"/>
      <c r="NFN389" s="34"/>
      <c r="NFO389" s="34"/>
      <c r="NFP389" s="34"/>
      <c r="NFQ389" s="34"/>
      <c r="NFR389" s="34"/>
      <c r="NFS389" s="34"/>
      <c r="NFT389" s="34"/>
      <c r="NFU389" s="34"/>
      <c r="NFV389" s="34"/>
      <c r="NFW389" s="34"/>
      <c r="NFX389" s="34"/>
      <c r="NFY389" s="34"/>
      <c r="NFZ389" s="34"/>
      <c r="NGA389" s="34"/>
      <c r="NGB389" s="34"/>
      <c r="NGC389" s="34"/>
      <c r="NGD389" s="34"/>
      <c r="NGE389" s="34"/>
      <c r="NGF389" s="34"/>
      <c r="NGG389" s="34"/>
      <c r="NGH389" s="34"/>
      <c r="NGI389" s="34"/>
      <c r="NGJ389" s="34"/>
      <c r="NGK389" s="34"/>
      <c r="NGL389" s="34"/>
      <c r="NGM389" s="34"/>
      <c r="NGN389" s="34"/>
      <c r="NGO389" s="34"/>
      <c r="NGP389" s="34"/>
      <c r="NGQ389" s="34"/>
      <c r="NGR389" s="34"/>
      <c r="NGS389" s="34"/>
      <c r="NGT389" s="34"/>
      <c r="NGU389" s="34"/>
      <c r="NGV389" s="34"/>
      <c r="NGW389" s="34"/>
      <c r="NGX389" s="34"/>
      <c r="NGY389" s="34"/>
      <c r="NGZ389" s="34"/>
      <c r="NHA389" s="34"/>
      <c r="NHB389" s="34"/>
      <c r="NHC389" s="34"/>
      <c r="NHD389" s="34"/>
      <c r="NHE389" s="34"/>
      <c r="NHF389" s="34"/>
      <c r="NHG389" s="34"/>
      <c r="NHH389" s="34"/>
      <c r="NHI389" s="34"/>
      <c r="NHJ389" s="34"/>
      <c r="NHK389" s="34"/>
      <c r="NHL389" s="34"/>
      <c r="NHM389" s="34"/>
      <c r="NHN389" s="34"/>
      <c r="NHO389" s="34"/>
      <c r="NHP389" s="34"/>
      <c r="NHQ389" s="34"/>
      <c r="NHR389" s="34"/>
      <c r="NHS389" s="34"/>
      <c r="NHT389" s="34"/>
      <c r="NHU389" s="34"/>
      <c r="NHV389" s="34"/>
      <c r="NHW389" s="34"/>
      <c r="NHX389" s="34"/>
      <c r="NHY389" s="34"/>
      <c r="NHZ389" s="34"/>
      <c r="NIA389" s="34"/>
      <c r="NIB389" s="34"/>
      <c r="NIC389" s="34"/>
      <c r="NID389" s="34"/>
      <c r="NIE389" s="34"/>
      <c r="NIF389" s="34"/>
      <c r="NIG389" s="34"/>
      <c r="NIH389" s="34"/>
      <c r="NII389" s="34"/>
      <c r="NIJ389" s="34"/>
      <c r="NIK389" s="34"/>
      <c r="NIL389" s="34"/>
      <c r="NIM389" s="34"/>
      <c r="NIN389" s="34"/>
      <c r="NIO389" s="34"/>
      <c r="NIP389" s="34"/>
      <c r="NIQ389" s="34"/>
      <c r="NIR389" s="34"/>
      <c r="NIS389" s="34"/>
      <c r="NIT389" s="34"/>
      <c r="NIU389" s="34"/>
      <c r="NIV389" s="34"/>
      <c r="NIW389" s="34"/>
      <c r="NIX389" s="34"/>
      <c r="NIY389" s="34"/>
      <c r="NIZ389" s="34"/>
      <c r="NJA389" s="34"/>
      <c r="NJB389" s="34"/>
      <c r="NJC389" s="34"/>
      <c r="NJD389" s="34"/>
      <c r="NJE389" s="34"/>
      <c r="NJF389" s="34"/>
      <c r="NJG389" s="34"/>
      <c r="NJH389" s="34"/>
      <c r="NJI389" s="34"/>
      <c r="NJJ389" s="34"/>
      <c r="NJK389" s="34"/>
      <c r="NJL389" s="34"/>
      <c r="NJM389" s="34"/>
      <c r="NJN389" s="34"/>
      <c r="NJO389" s="34"/>
      <c r="NJP389" s="34"/>
      <c r="NJQ389" s="34"/>
      <c r="NJR389" s="34"/>
      <c r="NJS389" s="34"/>
      <c r="NJT389" s="34"/>
      <c r="NJU389" s="34"/>
      <c r="NJV389" s="34"/>
      <c r="NJW389" s="34"/>
      <c r="NJX389" s="34"/>
      <c r="NJY389" s="34"/>
      <c r="NJZ389" s="34"/>
      <c r="NKA389" s="34"/>
      <c r="NKB389" s="34"/>
      <c r="NKC389" s="34"/>
      <c r="NKD389" s="34"/>
      <c r="NKE389" s="34"/>
      <c r="NKF389" s="34"/>
      <c r="NKG389" s="34"/>
      <c r="NKH389" s="34"/>
      <c r="NKI389" s="34"/>
      <c r="NKJ389" s="34"/>
      <c r="NKK389" s="34"/>
      <c r="NKL389" s="34"/>
      <c r="NKM389" s="34"/>
      <c r="NKN389" s="34"/>
      <c r="NKO389" s="34"/>
      <c r="NKP389" s="34"/>
      <c r="NKQ389" s="34"/>
      <c r="NKR389" s="34"/>
      <c r="NKS389" s="34"/>
      <c r="NKT389" s="34"/>
      <c r="NKU389" s="34"/>
      <c r="NKV389" s="34"/>
      <c r="NKW389" s="34"/>
      <c r="NKX389" s="34"/>
      <c r="NKY389" s="34"/>
      <c r="NKZ389" s="34"/>
      <c r="NLA389" s="34"/>
      <c r="NLB389" s="34"/>
      <c r="NLC389" s="34"/>
      <c r="NLD389" s="34"/>
      <c r="NLE389" s="34"/>
      <c r="NLF389" s="34"/>
      <c r="NLG389" s="34"/>
      <c r="NLH389" s="34"/>
      <c r="NLI389" s="34"/>
      <c r="NLJ389" s="34"/>
      <c r="NLK389" s="34"/>
      <c r="NLL389" s="34"/>
      <c r="NLM389" s="34"/>
      <c r="NLN389" s="34"/>
      <c r="NLO389" s="34"/>
      <c r="NLP389" s="34"/>
      <c r="NLQ389" s="34"/>
      <c r="NLR389" s="34"/>
      <c r="NLS389" s="34"/>
      <c r="NLT389" s="34"/>
      <c r="NLU389" s="34"/>
      <c r="NLV389" s="34"/>
      <c r="NLW389" s="34"/>
      <c r="NLX389" s="34"/>
      <c r="NLY389" s="34"/>
      <c r="NLZ389" s="34"/>
      <c r="NMA389" s="34"/>
      <c r="NMB389" s="34"/>
      <c r="NMC389" s="34"/>
      <c r="NMD389" s="34"/>
      <c r="NME389" s="34"/>
      <c r="NMF389" s="34"/>
      <c r="NMG389" s="34"/>
      <c r="NMH389" s="34"/>
      <c r="NMI389" s="34"/>
      <c r="NMJ389" s="34"/>
      <c r="NMK389" s="34"/>
      <c r="NML389" s="34"/>
      <c r="NMM389" s="34"/>
      <c r="NMN389" s="34"/>
      <c r="NMO389" s="34"/>
      <c r="NMP389" s="34"/>
      <c r="NMQ389" s="34"/>
      <c r="NMR389" s="34"/>
      <c r="NMS389" s="34"/>
      <c r="NMT389" s="34"/>
      <c r="NMU389" s="34"/>
      <c r="NMV389" s="34"/>
      <c r="NMW389" s="34"/>
      <c r="NMX389" s="34"/>
      <c r="NMY389" s="34"/>
      <c r="NMZ389" s="34"/>
      <c r="NNA389" s="34"/>
      <c r="NNB389" s="34"/>
      <c r="NNC389" s="34"/>
      <c r="NND389" s="34"/>
      <c r="NNE389" s="34"/>
      <c r="NNF389" s="34"/>
      <c r="NNG389" s="34"/>
      <c r="NNH389" s="34"/>
      <c r="NNI389" s="34"/>
      <c r="NNJ389" s="34"/>
      <c r="NNK389" s="34"/>
      <c r="NNL389" s="34"/>
      <c r="NNM389" s="34"/>
      <c r="NNN389" s="34"/>
      <c r="NNO389" s="34"/>
      <c r="NNP389" s="34"/>
      <c r="NNQ389" s="34"/>
      <c r="NNR389" s="34"/>
      <c r="NNS389" s="34"/>
      <c r="NNT389" s="34"/>
      <c r="NNU389" s="34"/>
      <c r="NNV389" s="34"/>
      <c r="NNW389" s="34"/>
      <c r="NNX389" s="34"/>
      <c r="NNY389" s="34"/>
      <c r="NNZ389" s="34"/>
      <c r="NOA389" s="34"/>
      <c r="NOB389" s="34"/>
      <c r="NOC389" s="34"/>
      <c r="NOD389" s="34"/>
      <c r="NOE389" s="34"/>
      <c r="NOF389" s="34"/>
      <c r="NOG389" s="34"/>
      <c r="NOH389" s="34"/>
      <c r="NOI389" s="34"/>
      <c r="NOJ389" s="34"/>
      <c r="NOK389" s="34"/>
      <c r="NOL389" s="34"/>
      <c r="NOM389" s="34"/>
      <c r="NON389" s="34"/>
      <c r="NOO389" s="34"/>
      <c r="NOP389" s="34"/>
      <c r="NOQ389" s="34"/>
      <c r="NOR389" s="34"/>
      <c r="NOS389" s="34"/>
      <c r="NOT389" s="34"/>
      <c r="NOU389" s="34"/>
      <c r="NOV389" s="34"/>
      <c r="NOW389" s="34"/>
      <c r="NOX389" s="34"/>
      <c r="NOY389" s="34"/>
      <c r="NOZ389" s="34"/>
      <c r="NPA389" s="34"/>
      <c r="NPB389" s="34"/>
      <c r="NPC389" s="34"/>
      <c r="NPD389" s="34"/>
      <c r="NPE389" s="34"/>
      <c r="NPF389" s="34"/>
      <c r="NPG389" s="34"/>
      <c r="NPH389" s="34"/>
      <c r="NPI389" s="34"/>
      <c r="NPJ389" s="34"/>
      <c r="NPK389" s="34"/>
      <c r="NPL389" s="34"/>
      <c r="NPM389" s="34"/>
      <c r="NPN389" s="34"/>
      <c r="NPO389" s="34"/>
      <c r="NPP389" s="34"/>
      <c r="NPQ389" s="34"/>
      <c r="NPR389" s="34"/>
      <c r="NPS389" s="34"/>
      <c r="NPT389" s="34"/>
      <c r="NPU389" s="34"/>
      <c r="NPV389" s="34"/>
      <c r="NPW389" s="34"/>
      <c r="NPX389" s="34"/>
      <c r="NPY389" s="34"/>
      <c r="NPZ389" s="34"/>
      <c r="NQA389" s="34"/>
      <c r="NQB389" s="34"/>
      <c r="NQC389" s="34"/>
      <c r="NQD389" s="34"/>
      <c r="NQE389" s="34"/>
      <c r="NQF389" s="34"/>
      <c r="NQG389" s="34"/>
      <c r="NQH389" s="34"/>
      <c r="NQI389" s="34"/>
      <c r="NQJ389" s="34"/>
      <c r="NQK389" s="34"/>
      <c r="NQL389" s="34"/>
      <c r="NQM389" s="34"/>
      <c r="NQN389" s="34"/>
      <c r="NQO389" s="34"/>
      <c r="NQP389" s="34"/>
      <c r="NQQ389" s="34"/>
      <c r="NQR389" s="34"/>
      <c r="NQS389" s="34"/>
      <c r="NQT389" s="34"/>
      <c r="NQU389" s="34"/>
      <c r="NQV389" s="34"/>
      <c r="NQW389" s="34"/>
      <c r="NQX389" s="34"/>
      <c r="NQY389" s="34"/>
      <c r="NQZ389" s="34"/>
      <c r="NRA389" s="34"/>
      <c r="NRB389" s="34"/>
      <c r="NRC389" s="34"/>
      <c r="NRD389" s="34"/>
      <c r="NRE389" s="34"/>
      <c r="NRF389" s="34"/>
      <c r="NRG389" s="34"/>
      <c r="NRH389" s="34"/>
      <c r="NRI389" s="34"/>
      <c r="NRJ389" s="34"/>
      <c r="NRK389" s="34"/>
      <c r="NRL389" s="34"/>
      <c r="NRM389" s="34"/>
      <c r="NRN389" s="34"/>
      <c r="NRO389" s="34"/>
      <c r="NRP389" s="34"/>
      <c r="NRQ389" s="34"/>
      <c r="NRR389" s="34"/>
      <c r="NRS389" s="34"/>
      <c r="NRT389" s="34"/>
      <c r="NRU389" s="34"/>
      <c r="NRV389" s="34"/>
      <c r="NRW389" s="34"/>
      <c r="NRX389" s="34"/>
      <c r="NRY389" s="34"/>
      <c r="NRZ389" s="34"/>
      <c r="NSA389" s="34"/>
      <c r="NSB389" s="34"/>
      <c r="NSC389" s="34"/>
      <c r="NSD389" s="34"/>
      <c r="NSE389" s="34"/>
      <c r="NSF389" s="34"/>
      <c r="NSG389" s="34"/>
      <c r="NSH389" s="34"/>
      <c r="NSI389" s="34"/>
      <c r="NSJ389" s="34"/>
      <c r="NSK389" s="34"/>
      <c r="NSL389" s="34"/>
      <c r="NSM389" s="34"/>
      <c r="NSN389" s="34"/>
      <c r="NSO389" s="34"/>
      <c r="NSP389" s="34"/>
      <c r="NSQ389" s="34"/>
      <c r="NSR389" s="34"/>
      <c r="NSS389" s="34"/>
      <c r="NST389" s="34"/>
      <c r="NSU389" s="34"/>
      <c r="NSV389" s="34"/>
      <c r="NSW389" s="34"/>
      <c r="NSX389" s="34"/>
      <c r="NSY389" s="34"/>
      <c r="NSZ389" s="34"/>
      <c r="NTA389" s="34"/>
      <c r="NTB389" s="34"/>
      <c r="NTC389" s="34"/>
      <c r="NTD389" s="34"/>
      <c r="NTE389" s="34"/>
      <c r="NTF389" s="34"/>
      <c r="NTG389" s="34"/>
      <c r="NTH389" s="34"/>
      <c r="NTI389" s="34"/>
      <c r="NTJ389" s="34"/>
      <c r="NTK389" s="34"/>
      <c r="NTL389" s="34"/>
      <c r="NTM389" s="34"/>
      <c r="NTN389" s="34"/>
      <c r="NTO389" s="34"/>
      <c r="NTP389" s="34"/>
      <c r="NTQ389" s="34"/>
      <c r="NTR389" s="34"/>
      <c r="NTS389" s="34"/>
      <c r="NTT389" s="34"/>
      <c r="NTU389" s="34"/>
      <c r="NTV389" s="34"/>
      <c r="NTW389" s="34"/>
      <c r="NTX389" s="34"/>
      <c r="NTY389" s="34"/>
    </row>
    <row r="390" spans="10:10009" hidden="1" x14ac:dyDescent="0.3">
      <c r="J390" t="s">
        <v>209</v>
      </c>
      <c r="K390">
        <v>426621158000</v>
      </c>
      <c r="L390">
        <v>378235718000</v>
      </c>
      <c r="M390">
        <v>352564497000</v>
      </c>
      <c r="N390">
        <v>339357244000</v>
      </c>
      <c r="O390">
        <v>301752090000</v>
      </c>
      <c r="P390">
        <v>262174324000</v>
      </c>
    </row>
    <row r="391" spans="10:10009" hidden="1" x14ac:dyDescent="0.3">
      <c r="J391" t="s">
        <v>222</v>
      </c>
      <c r="K391">
        <v>121721227000</v>
      </c>
      <c r="L391">
        <v>102287702000</v>
      </c>
      <c r="M391">
        <v>89684076000</v>
      </c>
      <c r="N391">
        <v>91604067000</v>
      </c>
      <c r="O391">
        <v>87260662000</v>
      </c>
      <c r="P391">
        <v>69211291000</v>
      </c>
    </row>
    <row r="392" spans="10:10009" hidden="1" x14ac:dyDescent="0.3">
      <c r="J392" t="s">
        <v>208</v>
      </c>
      <c r="K392">
        <v>304899931000</v>
      </c>
      <c r="L392">
        <v>275948016000</v>
      </c>
      <c r="M392">
        <v>262880421000</v>
      </c>
      <c r="N392">
        <v>247753177000</v>
      </c>
      <c r="O392">
        <v>214491428000</v>
      </c>
      <c r="P392">
        <v>192963033000</v>
      </c>
    </row>
    <row r="393" spans="10:10009" hidden="1" x14ac:dyDescent="0.3"/>
    <row r="394" spans="10:10009" hidden="1" x14ac:dyDescent="0.3">
      <c r="J394" t="s">
        <v>223</v>
      </c>
      <c r="K394">
        <f>(K383+K390)/2</f>
        <v>437522832500</v>
      </c>
      <c r="L394">
        <f t="shared" ref="L394:P394" si="55">(L383+L390)/2</f>
        <v>402428438000</v>
      </c>
      <c r="M394">
        <f t="shared" si="55"/>
        <v>365400107500</v>
      </c>
      <c r="N394">
        <f t="shared" si="55"/>
        <v>345960870500</v>
      </c>
      <c r="O394">
        <f t="shared" si="55"/>
        <v>320554667000</v>
      </c>
      <c r="P394">
        <f t="shared" si="55"/>
        <v>281963207000</v>
      </c>
    </row>
    <row r="395" spans="10:10009" hidden="1" x14ac:dyDescent="0.3">
      <c r="J395" t="s">
        <v>224</v>
      </c>
      <c r="K395">
        <f t="shared" ref="K395:P396" si="56">(K384+K391)/2</f>
        <v>107698065000</v>
      </c>
      <c r="L395">
        <f t="shared" si="56"/>
        <v>112004464500</v>
      </c>
      <c r="M395">
        <f t="shared" si="56"/>
        <v>95985889000</v>
      </c>
      <c r="N395">
        <f t="shared" si="56"/>
        <v>90644071500</v>
      </c>
      <c r="O395">
        <f t="shared" si="56"/>
        <v>89432364500</v>
      </c>
      <c r="P395">
        <f t="shared" si="56"/>
        <v>78235976500</v>
      </c>
    </row>
    <row r="396" spans="10:10009" hidden="1" x14ac:dyDescent="0.3">
      <c r="J396" t="s">
        <v>225</v>
      </c>
      <c r="K396">
        <f t="shared" si="56"/>
        <v>329824767500</v>
      </c>
      <c r="L396">
        <f t="shared" si="56"/>
        <v>290423973500</v>
      </c>
      <c r="M396">
        <f t="shared" si="56"/>
        <v>269414218500</v>
      </c>
      <c r="N396">
        <f t="shared" si="56"/>
        <v>255316799000</v>
      </c>
      <c r="O396">
        <f t="shared" si="56"/>
        <v>231122302500</v>
      </c>
      <c r="P396">
        <f t="shared" si="56"/>
        <v>203727230500</v>
      </c>
    </row>
    <row r="397" spans="10:10009" hidden="1" x14ac:dyDescent="0.3"/>
    <row r="398" spans="10:10009" hidden="1" x14ac:dyDescent="0.3">
      <c r="J398" t="s">
        <v>227</v>
      </c>
      <c r="K398">
        <f>K$382/K394</f>
        <v>0.69077848640047834</v>
      </c>
      <c r="L398">
        <f t="shared" ref="L398:P398" si="57">L$382/L394</f>
        <v>0.69479383810345929</v>
      </c>
      <c r="M398">
        <f t="shared" si="57"/>
        <v>0.6480758575036818</v>
      </c>
      <c r="N398">
        <f t="shared" si="57"/>
        <v>0.66597381567173508</v>
      </c>
      <c r="O398">
        <f t="shared" si="57"/>
        <v>0.76046752736874046</v>
      </c>
      <c r="P398">
        <f t="shared" si="57"/>
        <v>0.84966892861308674</v>
      </c>
    </row>
    <row r="399" spans="10:10009" hidden="1" x14ac:dyDescent="0.3">
      <c r="J399" t="s">
        <v>233</v>
      </c>
      <c r="K399">
        <f t="shared" ref="K399:P400" si="58">K$382/K395</f>
        <v>2.8062840311940609</v>
      </c>
      <c r="L399">
        <f t="shared" si="58"/>
        <v>2.4963719102464883</v>
      </c>
      <c r="M399">
        <f t="shared" si="58"/>
        <v>2.4671020966425594</v>
      </c>
      <c r="N399">
        <f t="shared" si="58"/>
        <v>2.5418196379230382</v>
      </c>
      <c r="O399">
        <f t="shared" si="58"/>
        <v>2.7257628305242898</v>
      </c>
      <c r="P399">
        <f t="shared" si="58"/>
        <v>3.0622149389290234</v>
      </c>
    </row>
    <row r="400" spans="10:10009" hidden="1" x14ac:dyDescent="0.3">
      <c r="J400" t="s">
        <v>234</v>
      </c>
      <c r="K400">
        <f t="shared" si="58"/>
        <v>0.91633918911198808</v>
      </c>
      <c r="L400">
        <f t="shared" si="58"/>
        <v>0.96274696482657962</v>
      </c>
      <c r="M400">
        <f t="shared" si="58"/>
        <v>0.87896989742581089</v>
      </c>
      <c r="N400">
        <f t="shared" si="58"/>
        <v>0.9024117563059374</v>
      </c>
      <c r="O400">
        <f t="shared" si="58"/>
        <v>1.0547290865622974</v>
      </c>
      <c r="P400">
        <f t="shared" si="58"/>
        <v>1.1759614824784064</v>
      </c>
    </row>
    <row r="401" spans="1:45" hidden="1" x14ac:dyDescent="0.3"/>
    <row r="402" spans="1:45" hidden="1" x14ac:dyDescent="0.3"/>
    <row r="403" spans="1:45" hidden="1" x14ac:dyDescent="0.3"/>
    <row r="404" spans="1:45" s="30" customFormat="1" x14ac:dyDescent="0.3">
      <c r="A404"/>
      <c r="B404"/>
      <c r="C404"/>
      <c r="D404"/>
      <c r="E404"/>
      <c r="F404"/>
      <c r="G404"/>
      <c r="H404"/>
      <c r="I404" s="14"/>
      <c r="J404" s="27" t="s">
        <v>239</v>
      </c>
      <c r="K404" s="11" t="str">
        <f>IF(K381="","",YEAR(K381)&amp;"/"&amp;MONTH(K381))</f>
        <v>2022/12</v>
      </c>
      <c r="L404" s="11" t="str">
        <f t="shared" ref="L404:O404" si="59">IF(L381="","",YEAR(L381)&amp;"/"&amp;MONTH(L381))</f>
        <v>2021/12</v>
      </c>
      <c r="M404" s="11" t="str">
        <f t="shared" si="59"/>
        <v>2020/12</v>
      </c>
      <c r="N404" s="11" t="str">
        <f t="shared" si="59"/>
        <v>2019/12</v>
      </c>
      <c r="O404" s="11" t="str">
        <f t="shared" si="59"/>
        <v>2018/12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</row>
    <row r="405" spans="1:45" s="30" customFormat="1" x14ac:dyDescent="0.3">
      <c r="A405"/>
      <c r="B405"/>
      <c r="C405"/>
      <c r="D405"/>
      <c r="E405"/>
      <c r="F405"/>
      <c r="G405"/>
      <c r="H405"/>
      <c r="I405" s="14"/>
      <c r="J405" s="10" t="s">
        <v>141</v>
      </c>
      <c r="K405" s="12">
        <f>IF(K398="",NA(),K398)</f>
        <v>0.69077848640047834</v>
      </c>
      <c r="L405" s="12">
        <f t="shared" ref="L405:O405" si="60">IF(L398="","",L398)</f>
        <v>0.69479383810345929</v>
      </c>
      <c r="M405" s="12">
        <f t="shared" si="60"/>
        <v>0.6480758575036818</v>
      </c>
      <c r="N405" s="12">
        <f t="shared" si="60"/>
        <v>0.66597381567173508</v>
      </c>
      <c r="O405" s="12">
        <f t="shared" si="60"/>
        <v>0.76046752736874046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</row>
    <row r="406" spans="1:45" s="30" customFormat="1" x14ac:dyDescent="0.3">
      <c r="A406"/>
      <c r="B406"/>
      <c r="C406"/>
      <c r="D406"/>
      <c r="E406"/>
      <c r="F406"/>
      <c r="G406"/>
      <c r="H406"/>
      <c r="I406" s="14"/>
      <c r="J406" s="10" t="s">
        <v>228</v>
      </c>
      <c r="K406" s="12">
        <f>IF(K399="",NA(),K399)</f>
        <v>2.8062840311940609</v>
      </c>
      <c r="L406" s="12">
        <f t="shared" ref="L406:O407" si="61">IF(L399="","",L399)</f>
        <v>2.4963719102464883</v>
      </c>
      <c r="M406" s="12">
        <f t="shared" si="61"/>
        <v>2.4671020966425594</v>
      </c>
      <c r="N406" s="12">
        <f t="shared" si="61"/>
        <v>2.5418196379230382</v>
      </c>
      <c r="O406" s="12">
        <f t="shared" si="61"/>
        <v>2.7257628305242898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</row>
    <row r="407" spans="1:45" s="30" customFormat="1" x14ac:dyDescent="0.3">
      <c r="A407"/>
      <c r="B407"/>
      <c r="C407"/>
      <c r="D407"/>
      <c r="E407"/>
      <c r="F407"/>
      <c r="G407"/>
      <c r="H407"/>
      <c r="I407" s="14"/>
      <c r="J407" s="10" t="s">
        <v>229</v>
      </c>
      <c r="K407" s="12">
        <f>IF(K400="",NA(),K400)</f>
        <v>0.91633918911198808</v>
      </c>
      <c r="L407" s="12">
        <f t="shared" si="61"/>
        <v>0.96274696482657962</v>
      </c>
      <c r="M407" s="12">
        <f t="shared" si="61"/>
        <v>0.87896989742581089</v>
      </c>
      <c r="N407" s="12">
        <f t="shared" si="61"/>
        <v>0.9024117563059374</v>
      </c>
      <c r="O407" s="12">
        <f t="shared" si="61"/>
        <v>1.0547290865622974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</row>
    <row r="408" spans="1:45" x14ac:dyDescent="0.3"/>
    <row r="409" spans="1:45" x14ac:dyDescent="0.3"/>
  </sheetData>
  <mergeCells count="11">
    <mergeCell ref="H195:H197"/>
    <mergeCell ref="H199:H201"/>
    <mergeCell ref="H190:H193"/>
    <mergeCell ref="J91:J92"/>
    <mergeCell ref="J289:S289"/>
    <mergeCell ref="J338:S338"/>
    <mergeCell ref="J184:S184"/>
    <mergeCell ref="J2:S2"/>
    <mergeCell ref="J234:S234"/>
    <mergeCell ref="J89:S89"/>
    <mergeCell ref="Q4:Q5"/>
  </mergeCells>
  <phoneticPr fontId="3" type="noConversion"/>
  <dataValidations disablePrompts="1" count="3">
    <dataValidation type="list" allowBlank="1" showInputMessage="1" showErrorMessage="1" sqref="P5">
      <formula1>$Q$91:$Q$92</formula1>
    </dataValidation>
    <dataValidation type="list" allowBlank="1" showInputMessage="1" showErrorMessage="1" sqref="M92">
      <formula1>$R$91:$R$92</formula1>
    </dataValidation>
    <dataValidation type="list" allowBlank="1" showInputMessage="1" showErrorMessage="1" sqref="N92">
      <formula1>$S$91:$S$95</formula1>
    </dataValidation>
  </dataValidations>
  <hyperlinks>
    <hyperlink ref="J205" location="재무비율!J6" display="재무비율!J6"/>
    <hyperlink ref="J224" location="재무비율!J6" display="연간 성장성(%)"/>
    <hyperlink ref="J255" location="재무비율!J26" display="재무비율!J26"/>
    <hyperlink ref="J279" location="재무비율!J26" display="연간 수익성(%)"/>
    <hyperlink ref="J91:J92" location="재무비율!J1" display="그래프 보기"/>
    <hyperlink ref="Q4:Q5" location="재무비율!J100" display="재무제표 보기"/>
    <hyperlink ref="J306" location="재무비율!J46" display="분기 안정성(%)"/>
    <hyperlink ref="J328" location="재무비율!J46" display="연간 안정성(%)"/>
    <hyperlink ref="J371" location="재무비율!J66" display="재무비율!J66"/>
    <hyperlink ref="J404" location="재무비율!J66" display="연간 활동성(회)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9</xdr:col>
                    <xdr:colOff>19050</xdr:colOff>
                    <xdr:row>93</xdr:row>
                    <xdr:rowOff>57150</xdr:rowOff>
                  </from>
                  <to>
                    <xdr:col>9</xdr:col>
                    <xdr:colOff>1790700</xdr:colOff>
                    <xdr:row>94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5" name="Group Box 19">
              <controlPr defaultSize="0" autoFill="0" autoPict="0">
                <anchor moveWithCells="1">
                  <from>
                    <xdr:col>11</xdr:col>
                    <xdr:colOff>76200</xdr:colOff>
                    <xdr:row>7</xdr:row>
                    <xdr:rowOff>9525</xdr:rowOff>
                  </from>
                  <to>
                    <xdr:col>11</xdr:col>
                    <xdr:colOff>800100</xdr:colOff>
                    <xdr:row>9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6" name="Option Button 20">
              <controlPr defaultSize="0" autoFill="0" autoLine="0" autoPict="0">
                <anchor moveWithCells="1">
                  <from>
                    <xdr:col>11</xdr:col>
                    <xdr:colOff>180975</xdr:colOff>
                    <xdr:row>7</xdr:row>
                    <xdr:rowOff>123825</xdr:rowOff>
                  </from>
                  <to>
                    <xdr:col>11</xdr:col>
                    <xdr:colOff>676275</xdr:colOff>
                    <xdr:row>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7" name="Option Button 21">
              <controlPr defaultSize="0" autoFill="0" autoLine="0" autoPict="0">
                <anchor moveWithCells="1">
                  <from>
                    <xdr:col>11</xdr:col>
                    <xdr:colOff>180975</xdr:colOff>
                    <xdr:row>8</xdr:row>
                    <xdr:rowOff>133350</xdr:rowOff>
                  </from>
                  <to>
                    <xdr:col>11</xdr:col>
                    <xdr:colOff>676275</xdr:colOff>
                    <xdr:row>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8" name="Group Box 22">
              <controlPr defaultSize="0" autoFill="0" autoPict="0">
                <anchor moveWithCells="1">
                  <from>
                    <xdr:col>11</xdr:col>
                    <xdr:colOff>180975</xdr:colOff>
                    <xdr:row>26</xdr:row>
                    <xdr:rowOff>95250</xdr:rowOff>
                  </from>
                  <to>
                    <xdr:col>11</xdr:col>
                    <xdr:colOff>904875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9" name="Option Button 23">
              <controlPr defaultSize="0" autoFill="0" autoLine="0" autoPict="0">
                <anchor moveWithCells="1">
                  <from>
                    <xdr:col>11</xdr:col>
                    <xdr:colOff>238125</xdr:colOff>
                    <xdr:row>27</xdr:row>
                    <xdr:rowOff>19050</xdr:rowOff>
                  </from>
                  <to>
                    <xdr:col>11</xdr:col>
                    <xdr:colOff>866775</xdr:colOff>
                    <xdr:row>27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0" name="Option Button 24">
              <controlPr defaultSize="0" autoFill="0" autoLine="0" autoPict="0">
                <anchor moveWithCells="1">
                  <from>
                    <xdr:col>11</xdr:col>
                    <xdr:colOff>238125</xdr:colOff>
                    <xdr:row>28</xdr:row>
                    <xdr:rowOff>9525</xdr:rowOff>
                  </from>
                  <to>
                    <xdr:col>11</xdr:col>
                    <xdr:colOff>866775</xdr:colOff>
                    <xdr:row>28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11" name="Group Box 53">
              <controlPr defaultSize="0" autoFill="0" autoPict="0">
                <anchor moveWithCells="1">
                  <from>
                    <xdr:col>10</xdr:col>
                    <xdr:colOff>1228725</xdr:colOff>
                    <xdr:row>67</xdr:row>
                    <xdr:rowOff>28575</xdr:rowOff>
                  </from>
                  <to>
                    <xdr:col>11</xdr:col>
                    <xdr:colOff>752475</xdr:colOff>
                    <xdr:row>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12" name="Option Button 57">
              <controlPr defaultSize="0" autoFill="0" autoLine="0" autoPict="0">
                <anchor moveWithCells="1">
                  <from>
                    <xdr:col>11</xdr:col>
                    <xdr:colOff>0</xdr:colOff>
                    <xdr:row>67</xdr:row>
                    <xdr:rowOff>133350</xdr:rowOff>
                  </from>
                  <to>
                    <xdr:col>11</xdr:col>
                    <xdr:colOff>647700</xdr:colOff>
                    <xdr:row>68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13" name="Option Button 58">
              <controlPr defaultSize="0" autoFill="0" autoLine="0" autoPict="0">
                <anchor moveWithCells="1">
                  <from>
                    <xdr:col>11</xdr:col>
                    <xdr:colOff>0</xdr:colOff>
                    <xdr:row>68</xdr:row>
                    <xdr:rowOff>133350</xdr:rowOff>
                  </from>
                  <to>
                    <xdr:col>11</xdr:col>
                    <xdr:colOff>647700</xdr:colOff>
                    <xdr:row>69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14" name="Drop Down 60">
              <controlPr defaultSize="0" autoLine="0" autoPict="0">
                <anchor moveWithCells="1">
                  <from>
                    <xdr:col>10</xdr:col>
                    <xdr:colOff>9525</xdr:colOff>
                    <xdr:row>93</xdr:row>
                    <xdr:rowOff>0</xdr:rowOff>
                  </from>
                  <to>
                    <xdr:col>10</xdr:col>
                    <xdr:colOff>1000125</xdr:colOff>
                    <xdr:row>93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TR38"/>
  <sheetViews>
    <sheetView workbookViewId="0">
      <selection activeCell="D4" sqref="D4"/>
    </sheetView>
  </sheetViews>
  <sheetFormatPr defaultRowHeight="16.5" x14ac:dyDescent="0.3"/>
  <sheetData>
    <row r="1" spans="1:10002" x14ac:dyDescent="0.3">
      <c r="A1" t="str">
        <f ca="1">_xll.IMDH("STK",재무비율!$N$5,재무비율!$J$96:$J$135,재무비율!$L$92,TODAY(),9999,"Per=분기,sort=D,real=true,Bizday=0,Quote=종가,Pos=33,Orient=H,Cons="&amp;재무비율!$P$5&amp;",Comp="&amp;재무비율!$M$92&amp;",Trai="&amp;재무비율!$N$92&amp;",DtFmt=1,TmFmt=1,unit=true,title="&amp;재무비율!$N$5&amp;"")</f>
        <v>005930</v>
      </c>
    </row>
    <row r="4" spans="1:10002" x14ac:dyDescent="0.3">
      <c r="D4" s="34">
        <v>45199</v>
      </c>
      <c r="E4" s="34">
        <v>45107</v>
      </c>
      <c r="F4" s="34">
        <v>45016</v>
      </c>
      <c r="G4" s="34">
        <v>44926</v>
      </c>
      <c r="H4" s="34">
        <v>44834</v>
      </c>
      <c r="I4" s="34">
        <v>44742</v>
      </c>
      <c r="J4" s="34">
        <v>44651</v>
      </c>
      <c r="K4" s="34">
        <v>44561</v>
      </c>
      <c r="L4" s="34">
        <v>44469</v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  <c r="GW4" s="34"/>
      <c r="GX4" s="34"/>
      <c r="GY4" s="34"/>
      <c r="GZ4" s="34"/>
      <c r="HA4" s="34"/>
      <c r="HB4" s="34"/>
      <c r="HC4" s="34"/>
      <c r="HD4" s="34"/>
      <c r="HE4" s="34"/>
      <c r="HF4" s="34"/>
      <c r="HG4" s="34"/>
      <c r="HH4" s="34"/>
      <c r="HI4" s="34"/>
      <c r="HJ4" s="34"/>
      <c r="HK4" s="34"/>
      <c r="HL4" s="34"/>
      <c r="HM4" s="34"/>
      <c r="HN4" s="34"/>
      <c r="HO4" s="34"/>
      <c r="HP4" s="34"/>
      <c r="HQ4" s="34"/>
      <c r="HR4" s="34"/>
      <c r="HS4" s="34"/>
      <c r="HT4" s="34"/>
      <c r="HU4" s="34"/>
      <c r="HV4" s="34"/>
      <c r="HW4" s="34"/>
      <c r="HX4" s="34"/>
      <c r="HY4" s="34"/>
      <c r="HZ4" s="34"/>
      <c r="IA4" s="34"/>
      <c r="IB4" s="34"/>
      <c r="IC4" s="34"/>
      <c r="ID4" s="34"/>
      <c r="IE4" s="34"/>
      <c r="IF4" s="34"/>
      <c r="IG4" s="34"/>
      <c r="IH4" s="34"/>
      <c r="II4" s="34"/>
      <c r="IJ4" s="34"/>
      <c r="IK4" s="34"/>
      <c r="IL4" s="34"/>
      <c r="IM4" s="34"/>
      <c r="IN4" s="34"/>
      <c r="IO4" s="34"/>
      <c r="IP4" s="34"/>
      <c r="IQ4" s="34"/>
      <c r="IR4" s="34"/>
      <c r="IS4" s="34"/>
      <c r="IT4" s="34"/>
      <c r="IU4" s="34"/>
      <c r="IV4" s="34"/>
      <c r="IW4" s="34"/>
      <c r="IX4" s="34"/>
      <c r="IY4" s="34"/>
      <c r="IZ4" s="34"/>
      <c r="JA4" s="34"/>
      <c r="JB4" s="34"/>
      <c r="JC4" s="34"/>
      <c r="JD4" s="34"/>
      <c r="JE4" s="34"/>
      <c r="JF4" s="34"/>
      <c r="JG4" s="34"/>
      <c r="JH4" s="34"/>
      <c r="JI4" s="34"/>
      <c r="JJ4" s="34"/>
      <c r="JK4" s="34"/>
      <c r="JL4" s="34"/>
      <c r="JM4" s="34"/>
      <c r="JN4" s="34"/>
      <c r="JO4" s="34"/>
      <c r="JP4" s="34"/>
      <c r="JQ4" s="34"/>
      <c r="JR4" s="34"/>
      <c r="JS4" s="34"/>
      <c r="JT4" s="34"/>
      <c r="JU4" s="34"/>
      <c r="JV4" s="34"/>
      <c r="JW4" s="34"/>
      <c r="JX4" s="34"/>
      <c r="JY4" s="34"/>
      <c r="JZ4" s="34"/>
      <c r="KA4" s="34"/>
      <c r="KB4" s="34"/>
      <c r="KC4" s="34"/>
      <c r="KD4" s="34"/>
      <c r="KE4" s="34"/>
      <c r="KF4" s="34"/>
      <c r="KG4" s="34"/>
      <c r="KH4" s="34"/>
      <c r="KI4" s="34"/>
      <c r="KJ4" s="34"/>
      <c r="KK4" s="34"/>
      <c r="KL4" s="34"/>
      <c r="KM4" s="34"/>
      <c r="KN4" s="34"/>
      <c r="KO4" s="34"/>
      <c r="KP4" s="34"/>
      <c r="KQ4" s="34"/>
      <c r="KR4" s="34"/>
      <c r="KS4" s="34"/>
      <c r="KT4" s="34"/>
      <c r="KU4" s="34"/>
      <c r="KV4" s="34"/>
      <c r="KW4" s="34"/>
      <c r="KX4" s="34"/>
      <c r="KY4" s="34"/>
      <c r="KZ4" s="34"/>
      <c r="LA4" s="34"/>
      <c r="LB4" s="34"/>
      <c r="LC4" s="34"/>
      <c r="LD4" s="34"/>
      <c r="LE4" s="34"/>
      <c r="LF4" s="34"/>
      <c r="LG4" s="34"/>
      <c r="LH4" s="34"/>
      <c r="LI4" s="34"/>
      <c r="LJ4" s="34"/>
      <c r="LK4" s="34"/>
      <c r="LL4" s="34"/>
      <c r="LM4" s="34"/>
      <c r="LN4" s="34"/>
      <c r="LO4" s="34"/>
      <c r="LP4" s="34"/>
      <c r="LQ4" s="34"/>
      <c r="LR4" s="34"/>
      <c r="LS4" s="34"/>
      <c r="LT4" s="34"/>
      <c r="LU4" s="34"/>
      <c r="LV4" s="34"/>
      <c r="LW4" s="34"/>
      <c r="LX4" s="34"/>
      <c r="LY4" s="34"/>
      <c r="LZ4" s="34"/>
      <c r="MA4" s="34"/>
      <c r="MB4" s="34"/>
      <c r="MC4" s="34"/>
      <c r="MD4" s="34"/>
      <c r="ME4" s="34"/>
      <c r="MF4" s="34"/>
      <c r="MG4" s="34"/>
      <c r="MH4" s="34"/>
      <c r="MI4" s="34"/>
      <c r="MJ4" s="34"/>
      <c r="MK4" s="34"/>
      <c r="ML4" s="34"/>
      <c r="MM4" s="34"/>
      <c r="MN4" s="34"/>
      <c r="MO4" s="34"/>
      <c r="MP4" s="34"/>
      <c r="MQ4" s="34"/>
      <c r="MR4" s="34"/>
      <c r="MS4" s="34"/>
      <c r="MT4" s="34"/>
      <c r="MU4" s="34"/>
      <c r="MV4" s="34"/>
      <c r="MW4" s="34"/>
      <c r="MX4" s="34"/>
      <c r="MY4" s="34"/>
      <c r="MZ4" s="34"/>
      <c r="NA4" s="34"/>
      <c r="NB4" s="34"/>
      <c r="NC4" s="34"/>
      <c r="ND4" s="34"/>
      <c r="NE4" s="34"/>
      <c r="NF4" s="34"/>
      <c r="NG4" s="34"/>
      <c r="NH4" s="34"/>
      <c r="NI4" s="34"/>
      <c r="NJ4" s="34"/>
      <c r="NK4" s="34"/>
      <c r="NL4" s="34"/>
      <c r="NM4" s="34"/>
      <c r="NN4" s="34"/>
      <c r="NO4" s="34"/>
      <c r="NP4" s="34"/>
      <c r="NQ4" s="34"/>
      <c r="NR4" s="34"/>
      <c r="NS4" s="34"/>
      <c r="NT4" s="34"/>
      <c r="NU4" s="34"/>
      <c r="NV4" s="34"/>
      <c r="NW4" s="34"/>
      <c r="NX4" s="34"/>
      <c r="NY4" s="34"/>
      <c r="NZ4" s="34"/>
      <c r="OA4" s="34"/>
      <c r="OB4" s="34"/>
      <c r="OC4" s="34"/>
      <c r="OD4" s="34"/>
      <c r="OE4" s="34"/>
      <c r="OF4" s="34"/>
      <c r="OG4" s="34"/>
      <c r="OH4" s="34"/>
      <c r="OI4" s="34"/>
      <c r="OJ4" s="34"/>
      <c r="OK4" s="34"/>
      <c r="OL4" s="34"/>
      <c r="OM4" s="34"/>
      <c r="ON4" s="34"/>
      <c r="OO4" s="34"/>
      <c r="OP4" s="34"/>
      <c r="OQ4" s="34"/>
      <c r="OR4" s="34"/>
      <c r="OS4" s="34"/>
      <c r="OT4" s="34"/>
      <c r="OU4" s="34"/>
      <c r="OV4" s="34"/>
      <c r="OW4" s="34"/>
      <c r="OX4" s="34"/>
      <c r="OY4" s="34"/>
      <c r="OZ4" s="34"/>
      <c r="PA4" s="34"/>
      <c r="PB4" s="34"/>
      <c r="PC4" s="34"/>
      <c r="PD4" s="34"/>
      <c r="PE4" s="34"/>
      <c r="PF4" s="34"/>
      <c r="PG4" s="34"/>
      <c r="PH4" s="34"/>
      <c r="PI4" s="34"/>
      <c r="PJ4" s="34"/>
      <c r="PK4" s="34"/>
      <c r="PL4" s="34"/>
      <c r="PM4" s="34"/>
      <c r="PN4" s="34"/>
      <c r="PO4" s="34"/>
      <c r="PP4" s="34"/>
      <c r="PQ4" s="34"/>
      <c r="PR4" s="34"/>
      <c r="PS4" s="34"/>
      <c r="PT4" s="34"/>
      <c r="PU4" s="34"/>
      <c r="PV4" s="34"/>
      <c r="PW4" s="34"/>
      <c r="PX4" s="34"/>
      <c r="PY4" s="34"/>
      <c r="PZ4" s="34"/>
      <c r="QA4" s="34"/>
      <c r="QB4" s="34"/>
      <c r="QC4" s="34"/>
      <c r="QD4" s="34"/>
      <c r="QE4" s="34"/>
      <c r="QF4" s="34"/>
      <c r="QG4" s="34"/>
      <c r="QH4" s="34"/>
      <c r="QI4" s="34"/>
      <c r="QJ4" s="34"/>
      <c r="QK4" s="34"/>
      <c r="QL4" s="34"/>
      <c r="QM4" s="34"/>
      <c r="QN4" s="34"/>
      <c r="QO4" s="34"/>
      <c r="QP4" s="34"/>
      <c r="QQ4" s="34"/>
      <c r="QR4" s="34"/>
      <c r="QS4" s="34"/>
      <c r="QT4" s="34"/>
      <c r="QU4" s="34"/>
      <c r="QV4" s="34"/>
      <c r="QW4" s="34"/>
      <c r="QX4" s="34"/>
      <c r="QY4" s="34"/>
      <c r="QZ4" s="34"/>
      <c r="RA4" s="34"/>
      <c r="RB4" s="34"/>
      <c r="RC4" s="34"/>
      <c r="RD4" s="34"/>
      <c r="RE4" s="34"/>
      <c r="RF4" s="34"/>
      <c r="RG4" s="34"/>
      <c r="RH4" s="34"/>
      <c r="RI4" s="34"/>
      <c r="RJ4" s="34"/>
      <c r="RK4" s="34"/>
      <c r="RL4" s="34"/>
      <c r="RM4" s="34"/>
      <c r="RN4" s="34"/>
      <c r="RO4" s="34"/>
      <c r="RP4" s="34"/>
      <c r="RQ4" s="34"/>
      <c r="RR4" s="34"/>
      <c r="RS4" s="34"/>
      <c r="RT4" s="34"/>
      <c r="RU4" s="34"/>
      <c r="RV4" s="34"/>
      <c r="RW4" s="34"/>
      <c r="RX4" s="34"/>
      <c r="RY4" s="34"/>
      <c r="RZ4" s="34"/>
      <c r="SA4" s="34"/>
      <c r="SB4" s="34"/>
      <c r="SC4" s="34"/>
      <c r="SD4" s="34"/>
      <c r="SE4" s="34"/>
      <c r="SF4" s="34"/>
      <c r="SG4" s="34"/>
      <c r="SH4" s="34"/>
      <c r="SI4" s="34"/>
      <c r="SJ4" s="34"/>
      <c r="SK4" s="34"/>
      <c r="SL4" s="34"/>
      <c r="SM4" s="34"/>
      <c r="SN4" s="34"/>
      <c r="SO4" s="34"/>
      <c r="SP4" s="34"/>
      <c r="SQ4" s="34"/>
      <c r="SR4" s="34"/>
      <c r="SS4" s="34"/>
      <c r="ST4" s="34"/>
      <c r="SU4" s="34"/>
      <c r="SV4" s="34"/>
      <c r="SW4" s="34"/>
      <c r="SX4" s="34"/>
      <c r="SY4" s="34"/>
      <c r="SZ4" s="34"/>
      <c r="TA4" s="34"/>
      <c r="TB4" s="34"/>
      <c r="TC4" s="34"/>
      <c r="TD4" s="34"/>
      <c r="TE4" s="34"/>
      <c r="TF4" s="34"/>
      <c r="TG4" s="34"/>
      <c r="TH4" s="34"/>
      <c r="TI4" s="34"/>
      <c r="TJ4" s="34"/>
      <c r="TK4" s="34"/>
      <c r="TL4" s="34"/>
      <c r="TM4" s="34"/>
      <c r="TN4" s="34"/>
      <c r="TO4" s="34"/>
      <c r="TP4" s="34"/>
      <c r="TQ4" s="34"/>
      <c r="TR4" s="34"/>
      <c r="TS4" s="34"/>
      <c r="TT4" s="34"/>
      <c r="TU4" s="34"/>
      <c r="TV4" s="34"/>
      <c r="TW4" s="34"/>
      <c r="TX4" s="34"/>
      <c r="TY4" s="34"/>
      <c r="TZ4" s="34"/>
      <c r="UA4" s="34"/>
      <c r="UB4" s="34"/>
      <c r="UC4" s="34"/>
      <c r="UD4" s="34"/>
      <c r="UE4" s="34"/>
      <c r="UF4" s="34"/>
      <c r="UG4" s="34"/>
      <c r="UH4" s="34"/>
      <c r="UI4" s="34"/>
      <c r="UJ4" s="34"/>
      <c r="UK4" s="34"/>
      <c r="UL4" s="34"/>
      <c r="UM4" s="34"/>
      <c r="UN4" s="34"/>
      <c r="UO4" s="34"/>
      <c r="UP4" s="34"/>
      <c r="UQ4" s="34"/>
      <c r="UR4" s="34"/>
      <c r="US4" s="34"/>
      <c r="UT4" s="34"/>
      <c r="UU4" s="34"/>
      <c r="UV4" s="34"/>
      <c r="UW4" s="34"/>
      <c r="UX4" s="34"/>
      <c r="UY4" s="34"/>
      <c r="UZ4" s="34"/>
      <c r="VA4" s="34"/>
      <c r="VB4" s="34"/>
      <c r="VC4" s="34"/>
      <c r="VD4" s="34"/>
      <c r="VE4" s="34"/>
      <c r="VF4" s="34"/>
      <c r="VG4" s="34"/>
      <c r="VH4" s="34"/>
      <c r="VI4" s="34"/>
      <c r="VJ4" s="34"/>
      <c r="VK4" s="34"/>
      <c r="VL4" s="34"/>
      <c r="VM4" s="34"/>
      <c r="VN4" s="34"/>
      <c r="VO4" s="34"/>
      <c r="VP4" s="34"/>
      <c r="VQ4" s="34"/>
      <c r="VR4" s="34"/>
      <c r="VS4" s="34"/>
      <c r="VT4" s="34"/>
      <c r="VU4" s="34"/>
      <c r="VV4" s="34"/>
      <c r="VW4" s="34"/>
      <c r="VX4" s="34"/>
      <c r="VY4" s="34"/>
      <c r="VZ4" s="34"/>
      <c r="WA4" s="34"/>
      <c r="WB4" s="34"/>
      <c r="WC4" s="34"/>
      <c r="WD4" s="34"/>
      <c r="WE4" s="34"/>
      <c r="WF4" s="34"/>
      <c r="WG4" s="34"/>
      <c r="WH4" s="34"/>
      <c r="WI4" s="34"/>
      <c r="WJ4" s="34"/>
      <c r="WK4" s="34"/>
      <c r="WL4" s="34"/>
      <c r="WM4" s="34"/>
      <c r="WN4" s="34"/>
      <c r="WO4" s="34"/>
      <c r="WP4" s="34"/>
      <c r="WQ4" s="34"/>
      <c r="WR4" s="34"/>
      <c r="WS4" s="34"/>
      <c r="WT4" s="34"/>
      <c r="WU4" s="34"/>
      <c r="WV4" s="34"/>
      <c r="WW4" s="34"/>
      <c r="WX4" s="34"/>
      <c r="WY4" s="34"/>
      <c r="WZ4" s="34"/>
      <c r="XA4" s="34"/>
      <c r="XB4" s="34"/>
      <c r="XC4" s="34"/>
      <c r="XD4" s="34"/>
      <c r="XE4" s="34"/>
      <c r="XF4" s="34"/>
      <c r="XG4" s="34"/>
      <c r="XH4" s="34"/>
      <c r="XI4" s="34"/>
      <c r="XJ4" s="34"/>
      <c r="XK4" s="34"/>
      <c r="XL4" s="34"/>
      <c r="XM4" s="34"/>
      <c r="XN4" s="34"/>
      <c r="XO4" s="34"/>
      <c r="XP4" s="34"/>
      <c r="XQ4" s="34"/>
      <c r="XR4" s="34"/>
      <c r="XS4" s="34"/>
      <c r="XT4" s="34"/>
      <c r="XU4" s="34"/>
      <c r="XV4" s="34"/>
      <c r="XW4" s="34"/>
      <c r="XX4" s="34"/>
      <c r="XY4" s="34"/>
      <c r="XZ4" s="34"/>
      <c r="YA4" s="34"/>
      <c r="YB4" s="34"/>
      <c r="YC4" s="34"/>
      <c r="YD4" s="34"/>
      <c r="YE4" s="34"/>
      <c r="YF4" s="34"/>
      <c r="YG4" s="34"/>
      <c r="YH4" s="34"/>
      <c r="YI4" s="34"/>
      <c r="YJ4" s="34"/>
      <c r="YK4" s="34"/>
      <c r="YL4" s="34"/>
      <c r="YM4" s="34"/>
      <c r="YN4" s="34"/>
      <c r="YO4" s="34"/>
      <c r="YP4" s="34"/>
      <c r="YQ4" s="34"/>
      <c r="YR4" s="34"/>
      <c r="YS4" s="34"/>
      <c r="YT4" s="34"/>
      <c r="YU4" s="34"/>
      <c r="YV4" s="34"/>
      <c r="YW4" s="34"/>
      <c r="YX4" s="34"/>
      <c r="YY4" s="34"/>
      <c r="YZ4" s="34"/>
      <c r="ZA4" s="34"/>
      <c r="ZB4" s="34"/>
      <c r="ZC4" s="34"/>
      <c r="ZD4" s="34"/>
      <c r="ZE4" s="34"/>
      <c r="ZF4" s="34"/>
      <c r="ZG4" s="34"/>
      <c r="ZH4" s="34"/>
      <c r="ZI4" s="34"/>
      <c r="ZJ4" s="34"/>
      <c r="ZK4" s="34"/>
      <c r="ZL4" s="34"/>
      <c r="ZM4" s="34"/>
      <c r="ZN4" s="34"/>
      <c r="ZO4" s="34"/>
      <c r="ZP4" s="34"/>
      <c r="ZQ4" s="34"/>
      <c r="ZR4" s="34"/>
      <c r="ZS4" s="34"/>
      <c r="ZT4" s="34"/>
      <c r="ZU4" s="34"/>
      <c r="ZV4" s="34"/>
      <c r="ZW4" s="34"/>
      <c r="ZX4" s="34"/>
      <c r="ZY4" s="34"/>
      <c r="ZZ4" s="34"/>
      <c r="AAA4" s="34"/>
      <c r="AAB4" s="34"/>
      <c r="AAC4" s="34"/>
      <c r="AAD4" s="34"/>
      <c r="AAE4" s="34"/>
      <c r="AAF4" s="34"/>
      <c r="AAG4" s="34"/>
      <c r="AAH4" s="34"/>
      <c r="AAI4" s="34"/>
      <c r="AAJ4" s="34"/>
      <c r="AAK4" s="34"/>
      <c r="AAL4" s="34"/>
      <c r="AAM4" s="34"/>
      <c r="AAN4" s="34"/>
      <c r="AAO4" s="34"/>
      <c r="AAP4" s="34"/>
      <c r="AAQ4" s="34"/>
      <c r="AAR4" s="34"/>
      <c r="AAS4" s="34"/>
      <c r="AAT4" s="34"/>
      <c r="AAU4" s="34"/>
      <c r="AAV4" s="34"/>
      <c r="AAW4" s="34"/>
      <c r="AAX4" s="34"/>
      <c r="AAY4" s="34"/>
      <c r="AAZ4" s="34"/>
      <c r="ABA4" s="34"/>
      <c r="ABB4" s="34"/>
      <c r="ABC4" s="34"/>
      <c r="ABD4" s="34"/>
      <c r="ABE4" s="34"/>
      <c r="ABF4" s="34"/>
      <c r="ABG4" s="34"/>
      <c r="ABH4" s="34"/>
      <c r="ABI4" s="34"/>
      <c r="ABJ4" s="34"/>
      <c r="ABK4" s="34"/>
      <c r="ABL4" s="34"/>
      <c r="ABM4" s="34"/>
      <c r="ABN4" s="34"/>
      <c r="ABO4" s="34"/>
      <c r="ABP4" s="34"/>
      <c r="ABQ4" s="34"/>
      <c r="ABR4" s="34"/>
      <c r="ABS4" s="34"/>
      <c r="ABT4" s="34"/>
      <c r="ABU4" s="34"/>
      <c r="ABV4" s="34"/>
      <c r="ABW4" s="34"/>
      <c r="ABX4" s="34"/>
      <c r="ABY4" s="34"/>
      <c r="ABZ4" s="34"/>
      <c r="ACA4" s="34"/>
      <c r="ACB4" s="34"/>
      <c r="ACC4" s="34"/>
      <c r="ACD4" s="34"/>
      <c r="ACE4" s="34"/>
      <c r="ACF4" s="34"/>
      <c r="ACG4" s="34"/>
      <c r="ACH4" s="34"/>
      <c r="ACI4" s="34"/>
      <c r="ACJ4" s="34"/>
      <c r="ACK4" s="34"/>
      <c r="ACL4" s="34"/>
      <c r="ACM4" s="34"/>
      <c r="ACN4" s="34"/>
      <c r="ACO4" s="34"/>
      <c r="ACP4" s="34"/>
      <c r="ACQ4" s="34"/>
      <c r="ACR4" s="34"/>
      <c r="ACS4" s="34"/>
      <c r="ACT4" s="34"/>
      <c r="ACU4" s="34"/>
      <c r="ACV4" s="34"/>
      <c r="ACW4" s="34"/>
      <c r="ACX4" s="34"/>
      <c r="ACY4" s="34"/>
      <c r="ACZ4" s="34"/>
      <c r="ADA4" s="34"/>
      <c r="ADB4" s="34"/>
      <c r="ADC4" s="34"/>
      <c r="ADD4" s="34"/>
      <c r="ADE4" s="34"/>
      <c r="ADF4" s="34"/>
      <c r="ADG4" s="34"/>
      <c r="ADH4" s="34"/>
      <c r="ADI4" s="34"/>
      <c r="ADJ4" s="34"/>
      <c r="ADK4" s="34"/>
      <c r="ADL4" s="34"/>
      <c r="ADM4" s="34"/>
      <c r="ADN4" s="34"/>
      <c r="ADO4" s="34"/>
      <c r="ADP4" s="34"/>
      <c r="ADQ4" s="34"/>
      <c r="ADR4" s="34"/>
      <c r="ADS4" s="34"/>
      <c r="ADT4" s="34"/>
      <c r="ADU4" s="34"/>
      <c r="ADV4" s="34"/>
      <c r="ADW4" s="34"/>
      <c r="ADX4" s="34"/>
      <c r="ADY4" s="34"/>
      <c r="ADZ4" s="34"/>
      <c r="AEA4" s="34"/>
      <c r="AEB4" s="34"/>
      <c r="AEC4" s="34"/>
      <c r="AED4" s="34"/>
      <c r="AEE4" s="34"/>
      <c r="AEF4" s="34"/>
      <c r="AEG4" s="34"/>
      <c r="AEH4" s="34"/>
      <c r="AEI4" s="34"/>
      <c r="AEJ4" s="34"/>
      <c r="AEK4" s="34"/>
      <c r="AEL4" s="34"/>
      <c r="AEM4" s="34"/>
      <c r="AEN4" s="34"/>
      <c r="AEO4" s="34"/>
      <c r="AEP4" s="34"/>
      <c r="AEQ4" s="34"/>
      <c r="AER4" s="34"/>
      <c r="AES4" s="34"/>
      <c r="AET4" s="34"/>
      <c r="AEU4" s="34"/>
      <c r="AEV4" s="34"/>
      <c r="AEW4" s="34"/>
      <c r="AEX4" s="34"/>
      <c r="AEY4" s="34"/>
      <c r="AEZ4" s="34"/>
      <c r="AFA4" s="34"/>
      <c r="AFB4" s="34"/>
      <c r="AFC4" s="34"/>
      <c r="AFD4" s="34"/>
      <c r="AFE4" s="34"/>
      <c r="AFF4" s="34"/>
      <c r="AFG4" s="34"/>
      <c r="AFH4" s="34"/>
      <c r="AFI4" s="34"/>
      <c r="AFJ4" s="34"/>
      <c r="AFK4" s="34"/>
      <c r="AFL4" s="34"/>
      <c r="AFM4" s="34"/>
      <c r="AFN4" s="34"/>
      <c r="AFO4" s="34"/>
      <c r="AFP4" s="34"/>
      <c r="AFQ4" s="34"/>
      <c r="AFR4" s="34"/>
      <c r="AFS4" s="34"/>
      <c r="AFT4" s="34"/>
      <c r="AFU4" s="34"/>
      <c r="AFV4" s="34"/>
      <c r="AFW4" s="34"/>
      <c r="AFX4" s="34"/>
      <c r="AFY4" s="34"/>
      <c r="AFZ4" s="34"/>
      <c r="AGA4" s="34"/>
      <c r="AGB4" s="34"/>
      <c r="AGC4" s="34"/>
      <c r="AGD4" s="34"/>
      <c r="AGE4" s="34"/>
      <c r="AGF4" s="34"/>
      <c r="AGG4" s="34"/>
      <c r="AGH4" s="34"/>
      <c r="AGI4" s="34"/>
      <c r="AGJ4" s="34"/>
      <c r="AGK4" s="34"/>
      <c r="AGL4" s="34"/>
      <c r="AGM4" s="34"/>
      <c r="AGN4" s="34"/>
      <c r="AGO4" s="34"/>
      <c r="AGP4" s="34"/>
      <c r="AGQ4" s="34"/>
      <c r="AGR4" s="34"/>
      <c r="AGS4" s="34"/>
      <c r="AGT4" s="34"/>
      <c r="AGU4" s="34"/>
      <c r="AGV4" s="34"/>
      <c r="AGW4" s="34"/>
      <c r="AGX4" s="34"/>
      <c r="AGY4" s="34"/>
      <c r="AGZ4" s="34"/>
      <c r="AHA4" s="34"/>
      <c r="AHB4" s="34"/>
      <c r="AHC4" s="34"/>
      <c r="AHD4" s="34"/>
      <c r="AHE4" s="34"/>
      <c r="AHF4" s="34"/>
      <c r="AHG4" s="34"/>
      <c r="AHH4" s="34"/>
      <c r="AHI4" s="34"/>
      <c r="AHJ4" s="34"/>
      <c r="AHK4" s="34"/>
      <c r="AHL4" s="34"/>
      <c r="AHM4" s="34"/>
      <c r="AHN4" s="34"/>
      <c r="AHO4" s="34"/>
      <c r="AHP4" s="34"/>
      <c r="AHQ4" s="34"/>
      <c r="AHR4" s="34"/>
      <c r="AHS4" s="34"/>
      <c r="AHT4" s="34"/>
      <c r="AHU4" s="34"/>
      <c r="AHV4" s="34"/>
      <c r="AHW4" s="34"/>
      <c r="AHX4" s="34"/>
      <c r="AHY4" s="34"/>
      <c r="AHZ4" s="34"/>
      <c r="AIA4" s="34"/>
      <c r="AIB4" s="34"/>
      <c r="AIC4" s="34"/>
      <c r="AID4" s="34"/>
      <c r="AIE4" s="34"/>
      <c r="AIF4" s="34"/>
      <c r="AIG4" s="34"/>
      <c r="AIH4" s="34"/>
      <c r="AII4" s="34"/>
      <c r="AIJ4" s="34"/>
      <c r="AIK4" s="34"/>
      <c r="AIL4" s="34"/>
      <c r="AIM4" s="34"/>
      <c r="AIN4" s="34"/>
      <c r="AIO4" s="34"/>
      <c r="AIP4" s="34"/>
      <c r="AIQ4" s="34"/>
      <c r="AIR4" s="34"/>
      <c r="AIS4" s="34"/>
      <c r="AIT4" s="34"/>
      <c r="AIU4" s="34"/>
      <c r="AIV4" s="34"/>
      <c r="AIW4" s="34"/>
      <c r="AIX4" s="34"/>
      <c r="AIY4" s="34"/>
      <c r="AIZ4" s="34"/>
      <c r="AJA4" s="34"/>
      <c r="AJB4" s="34"/>
      <c r="AJC4" s="34"/>
      <c r="AJD4" s="34"/>
      <c r="AJE4" s="34"/>
      <c r="AJF4" s="34"/>
      <c r="AJG4" s="34"/>
      <c r="AJH4" s="34"/>
      <c r="AJI4" s="34"/>
      <c r="AJJ4" s="34"/>
      <c r="AJK4" s="34"/>
      <c r="AJL4" s="34"/>
      <c r="AJM4" s="34"/>
      <c r="AJN4" s="34"/>
      <c r="AJO4" s="34"/>
      <c r="AJP4" s="34"/>
      <c r="AJQ4" s="34"/>
      <c r="AJR4" s="34"/>
      <c r="AJS4" s="34"/>
      <c r="AJT4" s="34"/>
      <c r="AJU4" s="34"/>
      <c r="AJV4" s="34"/>
      <c r="AJW4" s="34"/>
      <c r="AJX4" s="34"/>
      <c r="AJY4" s="34"/>
      <c r="AJZ4" s="34"/>
      <c r="AKA4" s="34"/>
      <c r="AKB4" s="34"/>
      <c r="AKC4" s="34"/>
      <c r="AKD4" s="34"/>
      <c r="AKE4" s="34"/>
      <c r="AKF4" s="34"/>
      <c r="AKG4" s="34"/>
      <c r="AKH4" s="34"/>
      <c r="AKI4" s="34"/>
      <c r="AKJ4" s="34"/>
      <c r="AKK4" s="34"/>
      <c r="AKL4" s="34"/>
      <c r="AKM4" s="34"/>
      <c r="AKN4" s="34"/>
      <c r="AKO4" s="34"/>
      <c r="AKP4" s="34"/>
      <c r="AKQ4" s="34"/>
      <c r="AKR4" s="34"/>
      <c r="AKS4" s="34"/>
      <c r="AKT4" s="34"/>
      <c r="AKU4" s="34"/>
      <c r="AKV4" s="34"/>
      <c r="AKW4" s="34"/>
      <c r="AKX4" s="34"/>
      <c r="AKY4" s="34"/>
      <c r="AKZ4" s="34"/>
      <c r="ALA4" s="34"/>
      <c r="ALB4" s="34"/>
      <c r="ALC4" s="34"/>
      <c r="ALD4" s="34"/>
      <c r="ALE4" s="34"/>
      <c r="ALF4" s="34"/>
      <c r="ALG4" s="34"/>
      <c r="ALH4" s="34"/>
      <c r="ALI4" s="34"/>
      <c r="ALJ4" s="34"/>
      <c r="ALK4" s="34"/>
      <c r="ALL4" s="34"/>
      <c r="ALM4" s="34"/>
      <c r="ALN4" s="34"/>
      <c r="ALO4" s="34"/>
      <c r="ALP4" s="34"/>
      <c r="ALQ4" s="34"/>
      <c r="ALR4" s="34"/>
      <c r="ALS4" s="34"/>
      <c r="ALT4" s="34"/>
      <c r="ALU4" s="34"/>
      <c r="ALV4" s="34"/>
      <c r="ALW4" s="34"/>
      <c r="ALX4" s="34"/>
      <c r="ALY4" s="34"/>
      <c r="ALZ4" s="34"/>
      <c r="AMA4" s="34"/>
      <c r="AMB4" s="34"/>
      <c r="AMC4" s="34"/>
      <c r="AMD4" s="34"/>
      <c r="AME4" s="34"/>
      <c r="AMF4" s="34"/>
      <c r="AMG4" s="34"/>
      <c r="AMH4" s="34"/>
      <c r="AMI4" s="34"/>
      <c r="AMJ4" s="34"/>
      <c r="AMK4" s="34"/>
      <c r="AML4" s="34"/>
      <c r="AMM4" s="34"/>
      <c r="AMN4" s="34"/>
      <c r="AMO4" s="34"/>
      <c r="AMP4" s="34"/>
      <c r="AMQ4" s="34"/>
      <c r="AMR4" s="34"/>
      <c r="AMS4" s="34"/>
      <c r="AMT4" s="34"/>
      <c r="AMU4" s="34"/>
      <c r="AMV4" s="34"/>
      <c r="AMW4" s="34"/>
      <c r="AMX4" s="34"/>
      <c r="AMY4" s="34"/>
      <c r="AMZ4" s="34"/>
      <c r="ANA4" s="34"/>
      <c r="ANB4" s="34"/>
      <c r="ANC4" s="34"/>
      <c r="AND4" s="34"/>
      <c r="ANE4" s="34"/>
      <c r="ANF4" s="34"/>
      <c r="ANG4" s="34"/>
      <c r="ANH4" s="34"/>
      <c r="ANI4" s="34"/>
      <c r="ANJ4" s="34"/>
      <c r="ANK4" s="34"/>
      <c r="ANL4" s="34"/>
      <c r="ANM4" s="34"/>
      <c r="ANN4" s="34"/>
      <c r="ANO4" s="34"/>
      <c r="ANP4" s="34"/>
      <c r="ANQ4" s="34"/>
      <c r="ANR4" s="34"/>
      <c r="ANS4" s="34"/>
      <c r="ANT4" s="34"/>
      <c r="ANU4" s="34"/>
      <c r="ANV4" s="34"/>
      <c r="ANW4" s="34"/>
      <c r="ANX4" s="34"/>
      <c r="ANY4" s="34"/>
      <c r="ANZ4" s="34"/>
      <c r="AOA4" s="34"/>
      <c r="AOB4" s="34"/>
      <c r="AOC4" s="34"/>
      <c r="AOD4" s="34"/>
      <c r="AOE4" s="34"/>
      <c r="AOF4" s="34"/>
      <c r="AOG4" s="34"/>
      <c r="AOH4" s="34"/>
      <c r="AOI4" s="34"/>
      <c r="AOJ4" s="34"/>
      <c r="AOK4" s="34"/>
      <c r="AOL4" s="34"/>
      <c r="AOM4" s="34"/>
      <c r="AON4" s="34"/>
      <c r="AOO4" s="34"/>
      <c r="AOP4" s="34"/>
      <c r="AOQ4" s="34"/>
      <c r="AOR4" s="34"/>
      <c r="AOS4" s="34"/>
      <c r="AOT4" s="34"/>
      <c r="AOU4" s="34"/>
      <c r="AOV4" s="34"/>
      <c r="AOW4" s="34"/>
      <c r="AOX4" s="34"/>
      <c r="AOY4" s="34"/>
      <c r="AOZ4" s="34"/>
      <c r="APA4" s="34"/>
      <c r="APB4" s="34"/>
      <c r="APC4" s="34"/>
      <c r="APD4" s="34"/>
      <c r="APE4" s="34"/>
      <c r="APF4" s="34"/>
      <c r="APG4" s="34"/>
      <c r="APH4" s="34"/>
      <c r="API4" s="34"/>
      <c r="APJ4" s="34"/>
      <c r="APK4" s="34"/>
      <c r="APL4" s="34"/>
      <c r="APM4" s="34"/>
      <c r="APN4" s="34"/>
      <c r="APO4" s="34"/>
      <c r="APP4" s="34"/>
      <c r="APQ4" s="34"/>
      <c r="APR4" s="34"/>
      <c r="APS4" s="34"/>
      <c r="APT4" s="34"/>
      <c r="APU4" s="34"/>
      <c r="APV4" s="34"/>
      <c r="APW4" s="34"/>
      <c r="APX4" s="34"/>
      <c r="APY4" s="34"/>
      <c r="APZ4" s="34"/>
      <c r="AQA4" s="34"/>
      <c r="AQB4" s="34"/>
      <c r="AQC4" s="34"/>
      <c r="AQD4" s="34"/>
      <c r="AQE4" s="34"/>
      <c r="AQF4" s="34"/>
      <c r="AQG4" s="34"/>
      <c r="AQH4" s="34"/>
      <c r="AQI4" s="34"/>
      <c r="AQJ4" s="34"/>
      <c r="AQK4" s="34"/>
      <c r="AQL4" s="34"/>
      <c r="AQM4" s="34"/>
      <c r="AQN4" s="34"/>
      <c r="AQO4" s="34"/>
      <c r="AQP4" s="34"/>
      <c r="AQQ4" s="34"/>
      <c r="AQR4" s="34"/>
      <c r="AQS4" s="34"/>
      <c r="AQT4" s="34"/>
      <c r="AQU4" s="34"/>
      <c r="AQV4" s="34"/>
      <c r="AQW4" s="34"/>
      <c r="AQX4" s="34"/>
      <c r="AQY4" s="34"/>
      <c r="AQZ4" s="34"/>
      <c r="ARA4" s="34"/>
      <c r="ARB4" s="34"/>
      <c r="ARC4" s="34"/>
      <c r="ARD4" s="34"/>
      <c r="ARE4" s="34"/>
      <c r="ARF4" s="34"/>
      <c r="ARG4" s="34"/>
      <c r="ARH4" s="34"/>
      <c r="ARI4" s="34"/>
      <c r="ARJ4" s="34"/>
      <c r="ARK4" s="34"/>
      <c r="ARL4" s="34"/>
      <c r="ARM4" s="34"/>
      <c r="ARN4" s="34"/>
      <c r="ARO4" s="34"/>
      <c r="ARP4" s="34"/>
      <c r="ARQ4" s="34"/>
      <c r="ARR4" s="34"/>
      <c r="ARS4" s="34"/>
      <c r="ART4" s="34"/>
      <c r="ARU4" s="34"/>
      <c r="ARV4" s="34"/>
      <c r="ARW4" s="34"/>
      <c r="ARX4" s="34"/>
      <c r="ARY4" s="34"/>
      <c r="ARZ4" s="34"/>
      <c r="ASA4" s="34"/>
      <c r="ASB4" s="34"/>
      <c r="ASC4" s="34"/>
      <c r="ASD4" s="34"/>
      <c r="ASE4" s="34"/>
      <c r="ASF4" s="34"/>
      <c r="ASG4" s="34"/>
      <c r="ASH4" s="34"/>
      <c r="ASI4" s="34"/>
      <c r="ASJ4" s="34"/>
      <c r="ASK4" s="34"/>
      <c r="ASL4" s="34"/>
      <c r="ASM4" s="34"/>
      <c r="ASN4" s="34"/>
      <c r="ASO4" s="34"/>
      <c r="ASP4" s="34"/>
      <c r="ASQ4" s="34"/>
      <c r="ASR4" s="34"/>
      <c r="ASS4" s="34"/>
      <c r="AST4" s="34"/>
      <c r="ASU4" s="34"/>
      <c r="ASV4" s="34"/>
      <c r="ASW4" s="34"/>
      <c r="ASX4" s="34"/>
      <c r="ASY4" s="34"/>
      <c r="ASZ4" s="34"/>
      <c r="ATA4" s="34"/>
      <c r="ATB4" s="34"/>
      <c r="ATC4" s="34"/>
      <c r="ATD4" s="34"/>
      <c r="ATE4" s="34"/>
      <c r="ATF4" s="34"/>
      <c r="ATG4" s="34"/>
      <c r="ATH4" s="34"/>
      <c r="ATI4" s="34"/>
      <c r="ATJ4" s="34"/>
      <c r="ATK4" s="34"/>
      <c r="ATL4" s="34"/>
      <c r="ATM4" s="34"/>
      <c r="ATN4" s="34"/>
      <c r="ATO4" s="34"/>
      <c r="ATP4" s="34"/>
      <c r="ATQ4" s="34"/>
      <c r="ATR4" s="34"/>
      <c r="ATS4" s="34"/>
      <c r="ATT4" s="34"/>
      <c r="ATU4" s="34"/>
      <c r="ATV4" s="34"/>
      <c r="ATW4" s="34"/>
      <c r="ATX4" s="34"/>
      <c r="ATY4" s="34"/>
      <c r="ATZ4" s="34"/>
      <c r="AUA4" s="34"/>
      <c r="AUB4" s="34"/>
      <c r="AUC4" s="34"/>
      <c r="AUD4" s="34"/>
      <c r="AUE4" s="34"/>
      <c r="AUF4" s="34"/>
      <c r="AUG4" s="34"/>
      <c r="AUH4" s="34"/>
      <c r="AUI4" s="34"/>
      <c r="AUJ4" s="34"/>
      <c r="AUK4" s="34"/>
      <c r="AUL4" s="34"/>
      <c r="AUM4" s="34"/>
      <c r="AUN4" s="34"/>
      <c r="AUO4" s="34"/>
      <c r="AUP4" s="34"/>
      <c r="AUQ4" s="34"/>
      <c r="AUR4" s="34"/>
      <c r="AUS4" s="34"/>
      <c r="AUT4" s="34"/>
      <c r="AUU4" s="34"/>
      <c r="AUV4" s="34"/>
      <c r="AUW4" s="34"/>
      <c r="AUX4" s="34"/>
      <c r="AUY4" s="34"/>
      <c r="AUZ4" s="34"/>
      <c r="AVA4" s="34"/>
      <c r="AVB4" s="34"/>
      <c r="AVC4" s="34"/>
      <c r="AVD4" s="34"/>
      <c r="AVE4" s="34"/>
      <c r="AVF4" s="34"/>
      <c r="AVG4" s="34"/>
      <c r="AVH4" s="34"/>
      <c r="AVI4" s="34"/>
      <c r="AVJ4" s="34"/>
      <c r="AVK4" s="34"/>
      <c r="AVL4" s="34"/>
      <c r="AVM4" s="34"/>
      <c r="AVN4" s="34"/>
      <c r="AVO4" s="34"/>
      <c r="AVP4" s="34"/>
      <c r="AVQ4" s="34"/>
      <c r="AVR4" s="34"/>
      <c r="AVS4" s="34"/>
      <c r="AVT4" s="34"/>
      <c r="AVU4" s="34"/>
      <c r="AVV4" s="34"/>
      <c r="AVW4" s="34"/>
      <c r="AVX4" s="34"/>
      <c r="AVY4" s="34"/>
      <c r="AVZ4" s="34"/>
      <c r="AWA4" s="34"/>
      <c r="AWB4" s="34"/>
      <c r="AWC4" s="34"/>
      <c r="AWD4" s="34"/>
      <c r="AWE4" s="34"/>
      <c r="AWF4" s="34"/>
      <c r="AWG4" s="34"/>
      <c r="AWH4" s="34"/>
      <c r="AWI4" s="34"/>
      <c r="AWJ4" s="34"/>
      <c r="AWK4" s="34"/>
      <c r="AWL4" s="34"/>
      <c r="AWM4" s="34"/>
      <c r="AWN4" s="34"/>
      <c r="AWO4" s="34"/>
      <c r="AWP4" s="34"/>
      <c r="AWQ4" s="34"/>
      <c r="AWR4" s="34"/>
      <c r="AWS4" s="34"/>
      <c r="AWT4" s="34"/>
      <c r="AWU4" s="34"/>
      <c r="AWV4" s="34"/>
      <c r="AWW4" s="34"/>
      <c r="AWX4" s="34"/>
      <c r="AWY4" s="34"/>
      <c r="AWZ4" s="34"/>
      <c r="AXA4" s="34"/>
      <c r="AXB4" s="34"/>
      <c r="AXC4" s="34"/>
      <c r="AXD4" s="34"/>
      <c r="AXE4" s="34"/>
      <c r="AXF4" s="34"/>
      <c r="AXG4" s="34"/>
      <c r="AXH4" s="34"/>
      <c r="AXI4" s="34"/>
      <c r="AXJ4" s="34"/>
      <c r="AXK4" s="34"/>
      <c r="AXL4" s="34"/>
      <c r="AXM4" s="34"/>
      <c r="AXN4" s="34"/>
      <c r="AXO4" s="34"/>
      <c r="AXP4" s="34"/>
      <c r="AXQ4" s="34"/>
      <c r="AXR4" s="34"/>
      <c r="AXS4" s="34"/>
      <c r="AXT4" s="34"/>
      <c r="AXU4" s="34"/>
      <c r="AXV4" s="34"/>
      <c r="AXW4" s="34"/>
      <c r="AXX4" s="34"/>
      <c r="AXY4" s="34"/>
      <c r="AXZ4" s="34"/>
      <c r="AYA4" s="34"/>
      <c r="AYB4" s="34"/>
      <c r="AYC4" s="34"/>
      <c r="AYD4" s="34"/>
      <c r="AYE4" s="34"/>
      <c r="AYF4" s="34"/>
      <c r="AYG4" s="34"/>
      <c r="AYH4" s="34"/>
      <c r="AYI4" s="34"/>
      <c r="AYJ4" s="34"/>
      <c r="AYK4" s="34"/>
      <c r="AYL4" s="34"/>
      <c r="AYM4" s="34"/>
      <c r="AYN4" s="34"/>
      <c r="AYO4" s="34"/>
      <c r="AYP4" s="34"/>
      <c r="AYQ4" s="34"/>
      <c r="AYR4" s="34"/>
      <c r="AYS4" s="34"/>
      <c r="AYT4" s="34"/>
      <c r="AYU4" s="34"/>
      <c r="AYV4" s="34"/>
      <c r="AYW4" s="34"/>
      <c r="AYX4" s="34"/>
      <c r="AYY4" s="34"/>
      <c r="AYZ4" s="34"/>
      <c r="AZA4" s="34"/>
      <c r="AZB4" s="34"/>
      <c r="AZC4" s="34"/>
      <c r="AZD4" s="34"/>
      <c r="AZE4" s="34"/>
      <c r="AZF4" s="34"/>
      <c r="AZG4" s="34"/>
      <c r="AZH4" s="34"/>
      <c r="AZI4" s="34"/>
      <c r="AZJ4" s="34"/>
      <c r="AZK4" s="34"/>
      <c r="AZL4" s="34"/>
      <c r="AZM4" s="34"/>
      <c r="AZN4" s="34"/>
      <c r="AZO4" s="34"/>
      <c r="AZP4" s="34"/>
      <c r="AZQ4" s="34"/>
      <c r="AZR4" s="34"/>
      <c r="AZS4" s="34"/>
      <c r="AZT4" s="34"/>
      <c r="AZU4" s="34"/>
      <c r="AZV4" s="34"/>
      <c r="AZW4" s="34"/>
      <c r="AZX4" s="34"/>
      <c r="AZY4" s="34"/>
      <c r="AZZ4" s="34"/>
      <c r="BAA4" s="34"/>
      <c r="BAB4" s="34"/>
      <c r="BAC4" s="34"/>
      <c r="BAD4" s="34"/>
      <c r="BAE4" s="34"/>
      <c r="BAF4" s="34"/>
      <c r="BAG4" s="34"/>
      <c r="BAH4" s="34"/>
      <c r="BAI4" s="34"/>
      <c r="BAJ4" s="34"/>
      <c r="BAK4" s="34"/>
      <c r="BAL4" s="34"/>
      <c r="BAM4" s="34"/>
      <c r="BAN4" s="34"/>
      <c r="BAO4" s="34"/>
      <c r="BAP4" s="34"/>
      <c r="BAQ4" s="34"/>
      <c r="BAR4" s="34"/>
      <c r="BAS4" s="34"/>
      <c r="BAT4" s="34"/>
      <c r="BAU4" s="34"/>
      <c r="BAV4" s="34"/>
      <c r="BAW4" s="34"/>
      <c r="BAX4" s="34"/>
      <c r="BAY4" s="34"/>
      <c r="BAZ4" s="34"/>
      <c r="BBA4" s="34"/>
      <c r="BBB4" s="34"/>
      <c r="BBC4" s="34"/>
      <c r="BBD4" s="34"/>
      <c r="BBE4" s="34"/>
      <c r="BBF4" s="34"/>
      <c r="BBG4" s="34"/>
      <c r="BBH4" s="34"/>
      <c r="BBI4" s="34"/>
      <c r="BBJ4" s="34"/>
      <c r="BBK4" s="34"/>
      <c r="BBL4" s="34"/>
      <c r="BBM4" s="34"/>
      <c r="BBN4" s="34"/>
      <c r="BBO4" s="34"/>
      <c r="BBP4" s="34"/>
      <c r="BBQ4" s="34"/>
      <c r="BBR4" s="34"/>
      <c r="BBS4" s="34"/>
      <c r="BBT4" s="34"/>
      <c r="BBU4" s="34"/>
      <c r="BBV4" s="34"/>
      <c r="BBW4" s="34"/>
      <c r="BBX4" s="34"/>
      <c r="BBY4" s="34"/>
      <c r="BBZ4" s="34"/>
      <c r="BCA4" s="34"/>
      <c r="BCB4" s="34"/>
      <c r="BCC4" s="34"/>
      <c r="BCD4" s="34"/>
      <c r="BCE4" s="34"/>
      <c r="BCF4" s="34"/>
      <c r="BCG4" s="34"/>
      <c r="BCH4" s="34"/>
      <c r="BCI4" s="34"/>
      <c r="BCJ4" s="34"/>
      <c r="BCK4" s="34"/>
      <c r="BCL4" s="34"/>
      <c r="BCM4" s="34"/>
      <c r="BCN4" s="34"/>
      <c r="BCO4" s="34"/>
      <c r="BCP4" s="34"/>
      <c r="BCQ4" s="34"/>
      <c r="BCR4" s="34"/>
      <c r="BCS4" s="34"/>
      <c r="BCT4" s="34"/>
      <c r="BCU4" s="34"/>
      <c r="BCV4" s="34"/>
      <c r="BCW4" s="34"/>
      <c r="BCX4" s="34"/>
      <c r="BCY4" s="34"/>
      <c r="BCZ4" s="34"/>
      <c r="BDA4" s="34"/>
      <c r="BDB4" s="34"/>
      <c r="BDC4" s="34"/>
      <c r="BDD4" s="34"/>
      <c r="BDE4" s="34"/>
      <c r="BDF4" s="34"/>
      <c r="BDG4" s="34"/>
      <c r="BDH4" s="34"/>
      <c r="BDI4" s="34"/>
      <c r="BDJ4" s="34"/>
      <c r="BDK4" s="34"/>
      <c r="BDL4" s="34"/>
      <c r="BDM4" s="34"/>
      <c r="BDN4" s="34"/>
      <c r="BDO4" s="34"/>
      <c r="BDP4" s="34"/>
      <c r="BDQ4" s="34"/>
      <c r="BDR4" s="34"/>
      <c r="BDS4" s="34"/>
      <c r="BDT4" s="34"/>
      <c r="BDU4" s="34"/>
      <c r="BDV4" s="34"/>
      <c r="BDW4" s="34"/>
      <c r="BDX4" s="34"/>
      <c r="BDY4" s="34"/>
      <c r="BDZ4" s="34"/>
      <c r="BEA4" s="34"/>
      <c r="BEB4" s="34"/>
      <c r="BEC4" s="34"/>
      <c r="BED4" s="34"/>
      <c r="BEE4" s="34"/>
      <c r="BEF4" s="34"/>
      <c r="BEG4" s="34"/>
      <c r="BEH4" s="34"/>
      <c r="BEI4" s="34"/>
      <c r="BEJ4" s="34"/>
      <c r="BEK4" s="34"/>
      <c r="BEL4" s="34"/>
      <c r="BEM4" s="34"/>
      <c r="BEN4" s="34"/>
      <c r="BEO4" s="34"/>
      <c r="BEP4" s="34"/>
      <c r="BEQ4" s="34"/>
      <c r="BER4" s="34"/>
      <c r="BES4" s="34"/>
      <c r="BET4" s="34"/>
      <c r="BEU4" s="34"/>
      <c r="BEV4" s="34"/>
      <c r="BEW4" s="34"/>
      <c r="BEX4" s="34"/>
      <c r="BEY4" s="34"/>
      <c r="BEZ4" s="34"/>
      <c r="BFA4" s="34"/>
      <c r="BFB4" s="34"/>
      <c r="BFC4" s="34"/>
      <c r="BFD4" s="34"/>
      <c r="BFE4" s="34"/>
      <c r="BFF4" s="34"/>
      <c r="BFG4" s="34"/>
      <c r="BFH4" s="34"/>
      <c r="BFI4" s="34"/>
      <c r="BFJ4" s="34"/>
      <c r="BFK4" s="34"/>
      <c r="BFL4" s="34"/>
      <c r="BFM4" s="34"/>
      <c r="BFN4" s="34"/>
      <c r="BFO4" s="34"/>
      <c r="BFP4" s="34"/>
      <c r="BFQ4" s="34"/>
      <c r="BFR4" s="34"/>
      <c r="BFS4" s="34"/>
      <c r="BFT4" s="34"/>
      <c r="BFU4" s="34"/>
      <c r="BFV4" s="34"/>
      <c r="BFW4" s="34"/>
      <c r="BFX4" s="34"/>
      <c r="BFY4" s="34"/>
      <c r="BFZ4" s="34"/>
      <c r="BGA4" s="34"/>
      <c r="BGB4" s="34"/>
      <c r="BGC4" s="34"/>
      <c r="BGD4" s="34"/>
      <c r="BGE4" s="34"/>
      <c r="BGF4" s="34"/>
      <c r="BGG4" s="34"/>
      <c r="BGH4" s="34"/>
      <c r="BGI4" s="34"/>
      <c r="BGJ4" s="34"/>
      <c r="BGK4" s="34"/>
      <c r="BGL4" s="34"/>
      <c r="BGM4" s="34"/>
      <c r="BGN4" s="34"/>
      <c r="BGO4" s="34"/>
      <c r="BGP4" s="34"/>
      <c r="BGQ4" s="34"/>
      <c r="BGR4" s="34"/>
      <c r="BGS4" s="34"/>
      <c r="BGT4" s="34"/>
      <c r="BGU4" s="34"/>
      <c r="BGV4" s="34"/>
      <c r="BGW4" s="34"/>
      <c r="BGX4" s="34"/>
      <c r="BGY4" s="34"/>
      <c r="BGZ4" s="34"/>
      <c r="BHA4" s="34"/>
      <c r="BHB4" s="34"/>
      <c r="BHC4" s="34"/>
      <c r="BHD4" s="34"/>
      <c r="BHE4" s="34"/>
      <c r="BHF4" s="34"/>
      <c r="BHG4" s="34"/>
      <c r="BHH4" s="34"/>
      <c r="BHI4" s="34"/>
      <c r="BHJ4" s="34"/>
      <c r="BHK4" s="34"/>
      <c r="BHL4" s="34"/>
      <c r="BHM4" s="34"/>
      <c r="BHN4" s="34"/>
      <c r="BHO4" s="34"/>
      <c r="BHP4" s="34"/>
      <c r="BHQ4" s="34"/>
      <c r="BHR4" s="34"/>
      <c r="BHS4" s="34"/>
      <c r="BHT4" s="34"/>
      <c r="BHU4" s="34"/>
      <c r="BHV4" s="34"/>
      <c r="BHW4" s="34"/>
      <c r="BHX4" s="34"/>
      <c r="BHY4" s="34"/>
      <c r="BHZ4" s="34"/>
      <c r="BIA4" s="34"/>
      <c r="BIB4" s="34"/>
      <c r="BIC4" s="34"/>
      <c r="BID4" s="34"/>
      <c r="BIE4" s="34"/>
      <c r="BIF4" s="34"/>
      <c r="BIG4" s="34"/>
      <c r="BIH4" s="34"/>
      <c r="BII4" s="34"/>
      <c r="BIJ4" s="34"/>
      <c r="BIK4" s="34"/>
      <c r="BIL4" s="34"/>
      <c r="BIM4" s="34"/>
      <c r="BIN4" s="34"/>
      <c r="BIO4" s="34"/>
      <c r="BIP4" s="34"/>
      <c r="BIQ4" s="34"/>
      <c r="BIR4" s="34"/>
      <c r="BIS4" s="34"/>
      <c r="BIT4" s="34"/>
      <c r="BIU4" s="34"/>
      <c r="BIV4" s="34"/>
      <c r="BIW4" s="34"/>
      <c r="BIX4" s="34"/>
      <c r="BIY4" s="34"/>
      <c r="BIZ4" s="34"/>
      <c r="BJA4" s="34"/>
      <c r="BJB4" s="34"/>
      <c r="BJC4" s="34"/>
      <c r="BJD4" s="34"/>
      <c r="BJE4" s="34"/>
      <c r="BJF4" s="34"/>
      <c r="BJG4" s="34"/>
      <c r="BJH4" s="34"/>
      <c r="BJI4" s="34"/>
      <c r="BJJ4" s="34"/>
      <c r="BJK4" s="34"/>
      <c r="BJL4" s="34"/>
      <c r="BJM4" s="34"/>
      <c r="BJN4" s="34"/>
      <c r="BJO4" s="34"/>
      <c r="BJP4" s="34"/>
      <c r="BJQ4" s="34"/>
      <c r="BJR4" s="34"/>
      <c r="BJS4" s="34"/>
      <c r="BJT4" s="34"/>
      <c r="BJU4" s="34"/>
      <c r="BJV4" s="34"/>
      <c r="BJW4" s="34"/>
      <c r="BJX4" s="34"/>
      <c r="BJY4" s="34"/>
      <c r="BJZ4" s="34"/>
      <c r="BKA4" s="34"/>
      <c r="BKB4" s="34"/>
      <c r="BKC4" s="34"/>
      <c r="BKD4" s="34"/>
      <c r="BKE4" s="34"/>
      <c r="BKF4" s="34"/>
      <c r="BKG4" s="34"/>
      <c r="BKH4" s="34"/>
      <c r="BKI4" s="34"/>
      <c r="BKJ4" s="34"/>
      <c r="BKK4" s="34"/>
      <c r="BKL4" s="34"/>
      <c r="BKM4" s="34"/>
      <c r="BKN4" s="34"/>
      <c r="BKO4" s="34"/>
      <c r="BKP4" s="34"/>
      <c r="BKQ4" s="34"/>
      <c r="BKR4" s="34"/>
      <c r="BKS4" s="34"/>
      <c r="BKT4" s="34"/>
      <c r="BKU4" s="34"/>
      <c r="BKV4" s="34"/>
      <c r="BKW4" s="34"/>
      <c r="BKX4" s="34"/>
      <c r="BKY4" s="34"/>
      <c r="BKZ4" s="34"/>
      <c r="BLA4" s="34"/>
      <c r="BLB4" s="34"/>
      <c r="BLC4" s="34"/>
      <c r="BLD4" s="34"/>
      <c r="BLE4" s="34"/>
      <c r="BLF4" s="34"/>
      <c r="BLG4" s="34"/>
      <c r="BLH4" s="34"/>
      <c r="BLI4" s="34"/>
      <c r="BLJ4" s="34"/>
      <c r="BLK4" s="34"/>
      <c r="BLL4" s="34"/>
      <c r="BLM4" s="34"/>
      <c r="BLN4" s="34"/>
      <c r="BLO4" s="34"/>
      <c r="BLP4" s="34"/>
      <c r="BLQ4" s="34"/>
      <c r="BLR4" s="34"/>
      <c r="BLS4" s="34"/>
      <c r="BLT4" s="34"/>
      <c r="BLU4" s="34"/>
      <c r="BLV4" s="34"/>
      <c r="BLW4" s="34"/>
      <c r="BLX4" s="34"/>
      <c r="BLY4" s="34"/>
      <c r="BLZ4" s="34"/>
      <c r="BMA4" s="34"/>
      <c r="BMB4" s="34"/>
      <c r="BMC4" s="34"/>
      <c r="BMD4" s="34"/>
      <c r="BME4" s="34"/>
      <c r="BMF4" s="34"/>
      <c r="BMG4" s="34"/>
      <c r="BMH4" s="34"/>
      <c r="BMI4" s="34"/>
      <c r="BMJ4" s="34"/>
      <c r="BMK4" s="34"/>
      <c r="BML4" s="34"/>
      <c r="BMM4" s="34"/>
      <c r="BMN4" s="34"/>
      <c r="BMO4" s="34"/>
      <c r="BMP4" s="34"/>
      <c r="BMQ4" s="34"/>
      <c r="BMR4" s="34"/>
      <c r="BMS4" s="34"/>
      <c r="BMT4" s="34"/>
      <c r="BMU4" s="34"/>
      <c r="BMV4" s="34"/>
      <c r="BMW4" s="34"/>
      <c r="BMX4" s="34"/>
      <c r="BMY4" s="34"/>
      <c r="BMZ4" s="34"/>
      <c r="BNA4" s="34"/>
      <c r="BNB4" s="34"/>
      <c r="BNC4" s="34"/>
      <c r="BND4" s="34"/>
      <c r="BNE4" s="34"/>
      <c r="BNF4" s="34"/>
      <c r="BNG4" s="34"/>
      <c r="BNH4" s="34"/>
      <c r="BNI4" s="34"/>
      <c r="BNJ4" s="34"/>
      <c r="BNK4" s="34"/>
      <c r="BNL4" s="34"/>
      <c r="BNM4" s="34"/>
      <c r="BNN4" s="34"/>
      <c r="BNO4" s="34"/>
      <c r="BNP4" s="34"/>
      <c r="BNQ4" s="34"/>
      <c r="BNR4" s="34"/>
      <c r="BNS4" s="34"/>
      <c r="BNT4" s="34"/>
      <c r="BNU4" s="34"/>
      <c r="BNV4" s="34"/>
      <c r="BNW4" s="34"/>
      <c r="BNX4" s="34"/>
      <c r="BNY4" s="34"/>
      <c r="BNZ4" s="34"/>
      <c r="BOA4" s="34"/>
      <c r="BOB4" s="34"/>
      <c r="BOC4" s="34"/>
      <c r="BOD4" s="34"/>
      <c r="BOE4" s="34"/>
      <c r="BOF4" s="34"/>
      <c r="BOG4" s="34"/>
      <c r="BOH4" s="34"/>
      <c r="BOI4" s="34"/>
      <c r="BOJ4" s="34"/>
      <c r="BOK4" s="34"/>
      <c r="BOL4" s="34"/>
      <c r="BOM4" s="34"/>
      <c r="BON4" s="34"/>
      <c r="BOO4" s="34"/>
      <c r="BOP4" s="34"/>
      <c r="BOQ4" s="34"/>
      <c r="BOR4" s="34"/>
      <c r="BOS4" s="34"/>
      <c r="BOT4" s="34"/>
      <c r="BOU4" s="34"/>
      <c r="BOV4" s="34"/>
      <c r="BOW4" s="34"/>
      <c r="BOX4" s="34"/>
      <c r="BOY4" s="34"/>
      <c r="BOZ4" s="34"/>
      <c r="BPA4" s="34"/>
      <c r="BPB4" s="34"/>
      <c r="BPC4" s="34"/>
      <c r="BPD4" s="34"/>
      <c r="BPE4" s="34"/>
      <c r="BPF4" s="34"/>
      <c r="BPG4" s="34"/>
      <c r="BPH4" s="34"/>
      <c r="BPI4" s="34"/>
      <c r="BPJ4" s="34"/>
      <c r="BPK4" s="34"/>
      <c r="BPL4" s="34"/>
      <c r="BPM4" s="34"/>
      <c r="BPN4" s="34"/>
      <c r="BPO4" s="34"/>
      <c r="BPP4" s="34"/>
      <c r="BPQ4" s="34"/>
      <c r="BPR4" s="34"/>
      <c r="BPS4" s="34"/>
      <c r="BPT4" s="34"/>
      <c r="BPU4" s="34"/>
      <c r="BPV4" s="34"/>
      <c r="BPW4" s="34"/>
      <c r="BPX4" s="34"/>
      <c r="BPY4" s="34"/>
      <c r="BPZ4" s="34"/>
      <c r="BQA4" s="34"/>
      <c r="BQB4" s="34"/>
      <c r="BQC4" s="34"/>
      <c r="BQD4" s="34"/>
      <c r="BQE4" s="34"/>
      <c r="BQF4" s="34"/>
      <c r="BQG4" s="34"/>
      <c r="BQH4" s="34"/>
      <c r="BQI4" s="34"/>
      <c r="BQJ4" s="34"/>
      <c r="BQK4" s="34"/>
      <c r="BQL4" s="34"/>
      <c r="BQM4" s="34"/>
      <c r="BQN4" s="34"/>
      <c r="BQO4" s="34"/>
      <c r="BQP4" s="34"/>
      <c r="BQQ4" s="34"/>
      <c r="BQR4" s="34"/>
      <c r="BQS4" s="34"/>
      <c r="BQT4" s="34"/>
      <c r="BQU4" s="34"/>
      <c r="BQV4" s="34"/>
      <c r="BQW4" s="34"/>
      <c r="BQX4" s="34"/>
      <c r="BQY4" s="34"/>
      <c r="BQZ4" s="34"/>
      <c r="BRA4" s="34"/>
      <c r="BRB4" s="34"/>
      <c r="BRC4" s="34"/>
      <c r="BRD4" s="34"/>
      <c r="BRE4" s="34"/>
      <c r="BRF4" s="34"/>
      <c r="BRG4" s="34"/>
      <c r="BRH4" s="34"/>
      <c r="BRI4" s="34"/>
      <c r="BRJ4" s="34"/>
      <c r="BRK4" s="34"/>
      <c r="BRL4" s="34"/>
      <c r="BRM4" s="34"/>
      <c r="BRN4" s="34"/>
      <c r="BRO4" s="34"/>
      <c r="BRP4" s="34"/>
      <c r="BRQ4" s="34"/>
      <c r="BRR4" s="34"/>
      <c r="BRS4" s="34"/>
      <c r="BRT4" s="34"/>
      <c r="BRU4" s="34"/>
      <c r="BRV4" s="34"/>
      <c r="BRW4" s="34"/>
      <c r="BRX4" s="34"/>
      <c r="BRY4" s="34"/>
      <c r="BRZ4" s="34"/>
      <c r="BSA4" s="34"/>
      <c r="BSB4" s="34"/>
      <c r="BSC4" s="34"/>
      <c r="BSD4" s="34"/>
      <c r="BSE4" s="34"/>
      <c r="BSF4" s="34"/>
      <c r="BSG4" s="34"/>
      <c r="BSH4" s="34"/>
      <c r="BSI4" s="34"/>
      <c r="BSJ4" s="34"/>
      <c r="BSK4" s="34"/>
      <c r="BSL4" s="34"/>
      <c r="BSM4" s="34"/>
      <c r="BSN4" s="34"/>
      <c r="BSO4" s="34"/>
      <c r="BSP4" s="34"/>
      <c r="BSQ4" s="34"/>
      <c r="BSR4" s="34"/>
      <c r="BSS4" s="34"/>
      <c r="BST4" s="34"/>
      <c r="BSU4" s="34"/>
      <c r="BSV4" s="34"/>
      <c r="BSW4" s="34"/>
      <c r="BSX4" s="34"/>
      <c r="BSY4" s="34"/>
      <c r="BSZ4" s="34"/>
      <c r="BTA4" s="34"/>
      <c r="BTB4" s="34"/>
      <c r="BTC4" s="34"/>
      <c r="BTD4" s="34"/>
      <c r="BTE4" s="34"/>
      <c r="BTF4" s="34"/>
      <c r="BTG4" s="34"/>
      <c r="BTH4" s="34"/>
      <c r="BTI4" s="34"/>
      <c r="BTJ4" s="34"/>
      <c r="BTK4" s="34"/>
      <c r="BTL4" s="34"/>
      <c r="BTM4" s="34"/>
      <c r="BTN4" s="34"/>
      <c r="BTO4" s="34"/>
      <c r="BTP4" s="34"/>
      <c r="BTQ4" s="34"/>
      <c r="BTR4" s="34"/>
      <c r="BTS4" s="34"/>
      <c r="BTT4" s="34"/>
      <c r="BTU4" s="34"/>
      <c r="BTV4" s="34"/>
      <c r="BTW4" s="34"/>
      <c r="BTX4" s="34"/>
      <c r="BTY4" s="34"/>
      <c r="BTZ4" s="34"/>
      <c r="BUA4" s="34"/>
      <c r="BUB4" s="34"/>
      <c r="BUC4" s="34"/>
      <c r="BUD4" s="34"/>
      <c r="BUE4" s="34"/>
      <c r="BUF4" s="34"/>
      <c r="BUG4" s="34"/>
      <c r="BUH4" s="34"/>
      <c r="BUI4" s="34"/>
      <c r="BUJ4" s="34"/>
      <c r="BUK4" s="34"/>
      <c r="BUL4" s="34"/>
      <c r="BUM4" s="34"/>
      <c r="BUN4" s="34"/>
      <c r="BUO4" s="34"/>
      <c r="BUP4" s="34"/>
      <c r="BUQ4" s="34"/>
      <c r="BUR4" s="34"/>
      <c r="BUS4" s="34"/>
      <c r="BUT4" s="34"/>
      <c r="BUU4" s="34"/>
      <c r="BUV4" s="34"/>
      <c r="BUW4" s="34"/>
      <c r="BUX4" s="34"/>
      <c r="BUY4" s="34"/>
      <c r="BUZ4" s="34"/>
      <c r="BVA4" s="34"/>
      <c r="BVB4" s="34"/>
      <c r="BVC4" s="34"/>
      <c r="BVD4" s="34"/>
      <c r="BVE4" s="34"/>
      <c r="BVF4" s="34"/>
      <c r="BVG4" s="34"/>
      <c r="BVH4" s="34"/>
      <c r="BVI4" s="34"/>
      <c r="BVJ4" s="34"/>
      <c r="BVK4" s="34"/>
      <c r="BVL4" s="34"/>
      <c r="BVM4" s="34"/>
      <c r="BVN4" s="34"/>
      <c r="BVO4" s="34"/>
      <c r="BVP4" s="34"/>
      <c r="BVQ4" s="34"/>
      <c r="BVR4" s="34"/>
      <c r="BVS4" s="34"/>
      <c r="BVT4" s="34"/>
      <c r="BVU4" s="34"/>
      <c r="BVV4" s="34"/>
      <c r="BVW4" s="34"/>
      <c r="BVX4" s="34"/>
      <c r="BVY4" s="34"/>
      <c r="BVZ4" s="34"/>
      <c r="BWA4" s="34"/>
      <c r="BWB4" s="34"/>
      <c r="BWC4" s="34"/>
      <c r="BWD4" s="34"/>
      <c r="BWE4" s="34"/>
      <c r="BWF4" s="34"/>
      <c r="BWG4" s="34"/>
      <c r="BWH4" s="34"/>
      <c r="BWI4" s="34"/>
      <c r="BWJ4" s="34"/>
      <c r="BWK4" s="34"/>
      <c r="BWL4" s="34"/>
      <c r="BWM4" s="34"/>
      <c r="BWN4" s="34"/>
      <c r="BWO4" s="34"/>
      <c r="BWP4" s="34"/>
      <c r="BWQ4" s="34"/>
      <c r="BWR4" s="34"/>
      <c r="BWS4" s="34"/>
      <c r="BWT4" s="34"/>
      <c r="BWU4" s="34"/>
      <c r="BWV4" s="34"/>
      <c r="BWW4" s="34"/>
      <c r="BWX4" s="34"/>
      <c r="BWY4" s="34"/>
      <c r="BWZ4" s="34"/>
      <c r="BXA4" s="34"/>
      <c r="BXB4" s="34"/>
      <c r="BXC4" s="34"/>
      <c r="BXD4" s="34"/>
      <c r="BXE4" s="34"/>
      <c r="BXF4" s="34"/>
      <c r="BXG4" s="34"/>
      <c r="BXH4" s="34"/>
      <c r="BXI4" s="34"/>
      <c r="BXJ4" s="34"/>
      <c r="BXK4" s="34"/>
      <c r="BXL4" s="34"/>
      <c r="BXM4" s="34"/>
      <c r="BXN4" s="34"/>
      <c r="BXO4" s="34"/>
      <c r="BXP4" s="34"/>
      <c r="BXQ4" s="34"/>
      <c r="BXR4" s="34"/>
      <c r="BXS4" s="34"/>
      <c r="BXT4" s="34"/>
      <c r="BXU4" s="34"/>
      <c r="BXV4" s="34"/>
      <c r="BXW4" s="34"/>
      <c r="BXX4" s="34"/>
      <c r="BXY4" s="34"/>
      <c r="BXZ4" s="34"/>
      <c r="BYA4" s="34"/>
      <c r="BYB4" s="34"/>
      <c r="BYC4" s="34"/>
      <c r="BYD4" s="34"/>
      <c r="BYE4" s="34"/>
      <c r="BYF4" s="34"/>
      <c r="BYG4" s="34"/>
      <c r="BYH4" s="34"/>
      <c r="BYI4" s="34"/>
      <c r="BYJ4" s="34"/>
      <c r="BYK4" s="34"/>
      <c r="BYL4" s="34"/>
      <c r="BYM4" s="34"/>
      <c r="BYN4" s="34"/>
      <c r="BYO4" s="34"/>
      <c r="BYP4" s="34"/>
      <c r="BYQ4" s="34"/>
      <c r="BYR4" s="34"/>
      <c r="BYS4" s="34"/>
      <c r="BYT4" s="34"/>
      <c r="BYU4" s="34"/>
      <c r="BYV4" s="34"/>
      <c r="BYW4" s="34"/>
      <c r="BYX4" s="34"/>
      <c r="BYY4" s="34"/>
      <c r="BYZ4" s="34"/>
      <c r="BZA4" s="34"/>
      <c r="BZB4" s="34"/>
      <c r="BZC4" s="34"/>
      <c r="BZD4" s="34"/>
      <c r="BZE4" s="34"/>
      <c r="BZF4" s="34"/>
      <c r="BZG4" s="34"/>
      <c r="BZH4" s="34"/>
      <c r="BZI4" s="34"/>
      <c r="BZJ4" s="34"/>
      <c r="BZK4" s="34"/>
      <c r="BZL4" s="34"/>
      <c r="BZM4" s="34"/>
      <c r="BZN4" s="34"/>
      <c r="BZO4" s="34"/>
      <c r="BZP4" s="34"/>
      <c r="BZQ4" s="34"/>
      <c r="BZR4" s="34"/>
      <c r="BZS4" s="34"/>
      <c r="BZT4" s="34"/>
      <c r="BZU4" s="34"/>
      <c r="BZV4" s="34"/>
      <c r="BZW4" s="34"/>
      <c r="BZX4" s="34"/>
      <c r="BZY4" s="34"/>
      <c r="BZZ4" s="34"/>
      <c r="CAA4" s="34"/>
      <c r="CAB4" s="34"/>
      <c r="CAC4" s="34"/>
      <c r="CAD4" s="34"/>
      <c r="CAE4" s="34"/>
      <c r="CAF4" s="34"/>
      <c r="CAG4" s="34"/>
      <c r="CAH4" s="34"/>
      <c r="CAI4" s="34"/>
      <c r="CAJ4" s="34"/>
      <c r="CAK4" s="34"/>
      <c r="CAL4" s="34"/>
      <c r="CAM4" s="34"/>
      <c r="CAN4" s="34"/>
      <c r="CAO4" s="34"/>
      <c r="CAP4" s="34"/>
      <c r="CAQ4" s="34"/>
      <c r="CAR4" s="34"/>
      <c r="CAS4" s="34"/>
      <c r="CAT4" s="34"/>
      <c r="CAU4" s="34"/>
      <c r="CAV4" s="34"/>
      <c r="CAW4" s="34"/>
      <c r="CAX4" s="34"/>
      <c r="CAY4" s="34"/>
      <c r="CAZ4" s="34"/>
      <c r="CBA4" s="34"/>
      <c r="CBB4" s="34"/>
      <c r="CBC4" s="34"/>
      <c r="CBD4" s="34"/>
      <c r="CBE4" s="34"/>
      <c r="CBF4" s="34"/>
      <c r="CBG4" s="34"/>
      <c r="CBH4" s="34"/>
      <c r="CBI4" s="34"/>
      <c r="CBJ4" s="34"/>
      <c r="CBK4" s="34"/>
      <c r="CBL4" s="34"/>
      <c r="CBM4" s="34"/>
      <c r="CBN4" s="34"/>
      <c r="CBO4" s="34"/>
      <c r="CBP4" s="34"/>
      <c r="CBQ4" s="34"/>
      <c r="CBR4" s="34"/>
      <c r="CBS4" s="34"/>
      <c r="CBT4" s="34"/>
      <c r="CBU4" s="34"/>
      <c r="CBV4" s="34"/>
      <c r="CBW4" s="34"/>
      <c r="CBX4" s="34"/>
      <c r="CBY4" s="34"/>
      <c r="CBZ4" s="34"/>
      <c r="CCA4" s="34"/>
      <c r="CCB4" s="34"/>
      <c r="CCC4" s="34"/>
      <c r="CCD4" s="34"/>
      <c r="CCE4" s="34"/>
      <c r="CCF4" s="34"/>
      <c r="CCG4" s="34"/>
      <c r="CCH4" s="34"/>
      <c r="CCI4" s="34"/>
      <c r="CCJ4" s="34"/>
      <c r="CCK4" s="34"/>
      <c r="CCL4" s="34"/>
      <c r="CCM4" s="34"/>
      <c r="CCN4" s="34"/>
      <c r="CCO4" s="34"/>
      <c r="CCP4" s="34"/>
      <c r="CCQ4" s="34"/>
      <c r="CCR4" s="34"/>
      <c r="CCS4" s="34"/>
      <c r="CCT4" s="34"/>
      <c r="CCU4" s="34"/>
      <c r="CCV4" s="34"/>
      <c r="CCW4" s="34"/>
      <c r="CCX4" s="34"/>
      <c r="CCY4" s="34"/>
      <c r="CCZ4" s="34"/>
      <c r="CDA4" s="34"/>
      <c r="CDB4" s="34"/>
      <c r="CDC4" s="34"/>
      <c r="CDD4" s="34"/>
      <c r="CDE4" s="34"/>
      <c r="CDF4" s="34"/>
      <c r="CDG4" s="34"/>
      <c r="CDH4" s="34"/>
      <c r="CDI4" s="34"/>
      <c r="CDJ4" s="34"/>
      <c r="CDK4" s="34"/>
      <c r="CDL4" s="34"/>
      <c r="CDM4" s="34"/>
      <c r="CDN4" s="34"/>
      <c r="CDO4" s="34"/>
      <c r="CDP4" s="34"/>
      <c r="CDQ4" s="34"/>
      <c r="CDR4" s="34"/>
      <c r="CDS4" s="34"/>
      <c r="CDT4" s="34"/>
      <c r="CDU4" s="34"/>
      <c r="CDV4" s="34"/>
      <c r="CDW4" s="34"/>
      <c r="CDX4" s="34"/>
      <c r="CDY4" s="34"/>
      <c r="CDZ4" s="34"/>
      <c r="CEA4" s="34"/>
      <c r="CEB4" s="34"/>
      <c r="CEC4" s="34"/>
      <c r="CED4" s="34"/>
      <c r="CEE4" s="34"/>
      <c r="CEF4" s="34"/>
      <c r="CEG4" s="34"/>
      <c r="CEH4" s="34"/>
      <c r="CEI4" s="34"/>
      <c r="CEJ4" s="34"/>
      <c r="CEK4" s="34"/>
      <c r="CEL4" s="34"/>
      <c r="CEM4" s="34"/>
      <c r="CEN4" s="34"/>
      <c r="CEO4" s="34"/>
      <c r="CEP4" s="34"/>
      <c r="CEQ4" s="34"/>
      <c r="CER4" s="34"/>
      <c r="CES4" s="34"/>
      <c r="CET4" s="34"/>
      <c r="CEU4" s="34"/>
      <c r="CEV4" s="34"/>
      <c r="CEW4" s="34"/>
      <c r="CEX4" s="34"/>
      <c r="CEY4" s="34"/>
      <c r="CEZ4" s="34"/>
      <c r="CFA4" s="34"/>
      <c r="CFB4" s="34"/>
      <c r="CFC4" s="34"/>
      <c r="CFD4" s="34"/>
      <c r="CFE4" s="34"/>
      <c r="CFF4" s="34"/>
      <c r="CFG4" s="34"/>
      <c r="CFH4" s="34"/>
      <c r="CFI4" s="34"/>
      <c r="CFJ4" s="34"/>
      <c r="CFK4" s="34"/>
      <c r="CFL4" s="34"/>
      <c r="CFM4" s="34"/>
      <c r="CFN4" s="34"/>
      <c r="CFO4" s="34"/>
      <c r="CFP4" s="34"/>
      <c r="CFQ4" s="34"/>
      <c r="CFR4" s="34"/>
      <c r="CFS4" s="34"/>
      <c r="CFT4" s="34"/>
      <c r="CFU4" s="34"/>
      <c r="CFV4" s="34"/>
      <c r="CFW4" s="34"/>
      <c r="CFX4" s="34"/>
      <c r="CFY4" s="34"/>
      <c r="CFZ4" s="34"/>
      <c r="CGA4" s="34"/>
      <c r="CGB4" s="34"/>
      <c r="CGC4" s="34"/>
      <c r="CGD4" s="34"/>
      <c r="CGE4" s="34"/>
      <c r="CGF4" s="34"/>
      <c r="CGG4" s="34"/>
      <c r="CGH4" s="34"/>
      <c r="CGI4" s="34"/>
      <c r="CGJ4" s="34"/>
      <c r="CGK4" s="34"/>
      <c r="CGL4" s="34"/>
      <c r="CGM4" s="34"/>
      <c r="CGN4" s="34"/>
      <c r="CGO4" s="34"/>
      <c r="CGP4" s="34"/>
      <c r="CGQ4" s="34"/>
      <c r="CGR4" s="34"/>
      <c r="CGS4" s="34"/>
      <c r="CGT4" s="34"/>
      <c r="CGU4" s="34"/>
      <c r="CGV4" s="34"/>
      <c r="CGW4" s="34"/>
      <c r="CGX4" s="34"/>
      <c r="CGY4" s="34"/>
      <c r="CGZ4" s="34"/>
      <c r="CHA4" s="34"/>
      <c r="CHB4" s="34"/>
      <c r="CHC4" s="34"/>
      <c r="CHD4" s="34"/>
      <c r="CHE4" s="34"/>
      <c r="CHF4" s="34"/>
      <c r="CHG4" s="34"/>
      <c r="CHH4" s="34"/>
      <c r="CHI4" s="34"/>
      <c r="CHJ4" s="34"/>
      <c r="CHK4" s="34"/>
      <c r="CHL4" s="34"/>
      <c r="CHM4" s="34"/>
      <c r="CHN4" s="34"/>
      <c r="CHO4" s="34"/>
      <c r="CHP4" s="34"/>
      <c r="CHQ4" s="34"/>
      <c r="CHR4" s="34"/>
      <c r="CHS4" s="34"/>
      <c r="CHT4" s="34"/>
      <c r="CHU4" s="34"/>
      <c r="CHV4" s="34"/>
      <c r="CHW4" s="34"/>
      <c r="CHX4" s="34"/>
      <c r="CHY4" s="34"/>
      <c r="CHZ4" s="34"/>
      <c r="CIA4" s="34"/>
      <c r="CIB4" s="34"/>
      <c r="CIC4" s="34"/>
      <c r="CID4" s="34"/>
      <c r="CIE4" s="34"/>
      <c r="CIF4" s="34"/>
      <c r="CIG4" s="34"/>
      <c r="CIH4" s="34"/>
      <c r="CII4" s="34"/>
      <c r="CIJ4" s="34"/>
      <c r="CIK4" s="34"/>
      <c r="CIL4" s="34"/>
      <c r="CIM4" s="34"/>
      <c r="CIN4" s="34"/>
      <c r="CIO4" s="34"/>
      <c r="CIP4" s="34"/>
      <c r="CIQ4" s="34"/>
      <c r="CIR4" s="34"/>
      <c r="CIS4" s="34"/>
      <c r="CIT4" s="34"/>
      <c r="CIU4" s="34"/>
      <c r="CIV4" s="34"/>
      <c r="CIW4" s="34"/>
      <c r="CIX4" s="34"/>
      <c r="CIY4" s="34"/>
      <c r="CIZ4" s="34"/>
      <c r="CJA4" s="34"/>
      <c r="CJB4" s="34"/>
      <c r="CJC4" s="34"/>
      <c r="CJD4" s="34"/>
      <c r="CJE4" s="34"/>
      <c r="CJF4" s="34"/>
      <c r="CJG4" s="34"/>
      <c r="CJH4" s="34"/>
      <c r="CJI4" s="34"/>
      <c r="CJJ4" s="34"/>
      <c r="CJK4" s="34"/>
      <c r="CJL4" s="34"/>
      <c r="CJM4" s="34"/>
      <c r="CJN4" s="34"/>
      <c r="CJO4" s="34"/>
      <c r="CJP4" s="34"/>
      <c r="CJQ4" s="34"/>
      <c r="CJR4" s="34"/>
      <c r="CJS4" s="34"/>
      <c r="CJT4" s="34"/>
      <c r="CJU4" s="34"/>
      <c r="CJV4" s="34"/>
      <c r="CJW4" s="34"/>
      <c r="CJX4" s="34"/>
      <c r="CJY4" s="34"/>
      <c r="CJZ4" s="34"/>
      <c r="CKA4" s="34"/>
      <c r="CKB4" s="34"/>
      <c r="CKC4" s="34"/>
      <c r="CKD4" s="34"/>
      <c r="CKE4" s="34"/>
      <c r="CKF4" s="34"/>
      <c r="CKG4" s="34"/>
      <c r="CKH4" s="34"/>
      <c r="CKI4" s="34"/>
      <c r="CKJ4" s="34"/>
      <c r="CKK4" s="34"/>
      <c r="CKL4" s="34"/>
      <c r="CKM4" s="34"/>
      <c r="CKN4" s="34"/>
      <c r="CKO4" s="34"/>
      <c r="CKP4" s="34"/>
      <c r="CKQ4" s="34"/>
      <c r="CKR4" s="34"/>
      <c r="CKS4" s="34"/>
      <c r="CKT4" s="34"/>
      <c r="CKU4" s="34"/>
      <c r="CKV4" s="34"/>
      <c r="CKW4" s="34"/>
      <c r="CKX4" s="34"/>
      <c r="CKY4" s="34"/>
      <c r="CKZ4" s="34"/>
      <c r="CLA4" s="34"/>
      <c r="CLB4" s="34"/>
      <c r="CLC4" s="34"/>
      <c r="CLD4" s="34"/>
      <c r="CLE4" s="34"/>
      <c r="CLF4" s="34"/>
      <c r="CLG4" s="34"/>
      <c r="CLH4" s="34"/>
      <c r="CLI4" s="34"/>
      <c r="CLJ4" s="34"/>
      <c r="CLK4" s="34"/>
      <c r="CLL4" s="34"/>
      <c r="CLM4" s="34"/>
      <c r="CLN4" s="34"/>
      <c r="CLO4" s="34"/>
      <c r="CLP4" s="34"/>
      <c r="CLQ4" s="34"/>
      <c r="CLR4" s="34"/>
      <c r="CLS4" s="34"/>
      <c r="CLT4" s="34"/>
      <c r="CLU4" s="34"/>
      <c r="CLV4" s="34"/>
      <c r="CLW4" s="34"/>
      <c r="CLX4" s="34"/>
      <c r="CLY4" s="34"/>
      <c r="CLZ4" s="34"/>
      <c r="CMA4" s="34"/>
      <c r="CMB4" s="34"/>
      <c r="CMC4" s="34"/>
      <c r="CMD4" s="34"/>
      <c r="CME4" s="34"/>
      <c r="CMF4" s="34"/>
      <c r="CMG4" s="34"/>
      <c r="CMH4" s="34"/>
      <c r="CMI4" s="34"/>
      <c r="CMJ4" s="34"/>
      <c r="CMK4" s="34"/>
      <c r="CML4" s="34"/>
      <c r="CMM4" s="34"/>
      <c r="CMN4" s="34"/>
      <c r="CMO4" s="34"/>
      <c r="CMP4" s="34"/>
      <c r="CMQ4" s="34"/>
      <c r="CMR4" s="34"/>
      <c r="CMS4" s="34"/>
      <c r="CMT4" s="34"/>
      <c r="CMU4" s="34"/>
      <c r="CMV4" s="34"/>
      <c r="CMW4" s="34"/>
      <c r="CMX4" s="34"/>
      <c r="CMY4" s="34"/>
      <c r="CMZ4" s="34"/>
      <c r="CNA4" s="34"/>
      <c r="CNB4" s="34"/>
      <c r="CNC4" s="34"/>
      <c r="CND4" s="34"/>
      <c r="CNE4" s="34"/>
      <c r="CNF4" s="34"/>
      <c r="CNG4" s="34"/>
      <c r="CNH4" s="34"/>
      <c r="CNI4" s="34"/>
      <c r="CNJ4" s="34"/>
      <c r="CNK4" s="34"/>
      <c r="CNL4" s="34"/>
      <c r="CNM4" s="34"/>
      <c r="CNN4" s="34"/>
      <c r="CNO4" s="34"/>
      <c r="CNP4" s="34"/>
      <c r="CNQ4" s="34"/>
      <c r="CNR4" s="34"/>
      <c r="CNS4" s="34"/>
      <c r="CNT4" s="34"/>
      <c r="CNU4" s="34"/>
      <c r="CNV4" s="34"/>
      <c r="CNW4" s="34"/>
      <c r="CNX4" s="34"/>
      <c r="CNY4" s="34"/>
      <c r="CNZ4" s="34"/>
      <c r="COA4" s="34"/>
      <c r="COB4" s="34"/>
      <c r="COC4" s="34"/>
      <c r="COD4" s="34"/>
      <c r="COE4" s="34"/>
      <c r="COF4" s="34"/>
      <c r="COG4" s="34"/>
      <c r="COH4" s="34"/>
      <c r="COI4" s="34"/>
      <c r="COJ4" s="34"/>
      <c r="COK4" s="34"/>
      <c r="COL4" s="34"/>
      <c r="COM4" s="34"/>
      <c r="CON4" s="34"/>
      <c r="COO4" s="34"/>
      <c r="COP4" s="34"/>
      <c r="COQ4" s="34"/>
      <c r="COR4" s="34"/>
      <c r="COS4" s="34"/>
      <c r="COT4" s="34"/>
      <c r="COU4" s="34"/>
      <c r="COV4" s="34"/>
      <c r="COW4" s="34"/>
      <c r="COX4" s="34"/>
      <c r="COY4" s="34"/>
      <c r="COZ4" s="34"/>
      <c r="CPA4" s="34"/>
      <c r="CPB4" s="34"/>
      <c r="CPC4" s="34"/>
      <c r="CPD4" s="34"/>
      <c r="CPE4" s="34"/>
      <c r="CPF4" s="34"/>
      <c r="CPG4" s="34"/>
      <c r="CPH4" s="34"/>
      <c r="CPI4" s="34"/>
      <c r="CPJ4" s="34"/>
      <c r="CPK4" s="34"/>
      <c r="CPL4" s="34"/>
      <c r="CPM4" s="34"/>
      <c r="CPN4" s="34"/>
      <c r="CPO4" s="34"/>
      <c r="CPP4" s="34"/>
      <c r="CPQ4" s="34"/>
      <c r="CPR4" s="34"/>
      <c r="CPS4" s="34"/>
      <c r="CPT4" s="34"/>
      <c r="CPU4" s="34"/>
      <c r="CPV4" s="34"/>
      <c r="CPW4" s="34"/>
      <c r="CPX4" s="34"/>
      <c r="CPY4" s="34"/>
      <c r="CPZ4" s="34"/>
      <c r="CQA4" s="34"/>
      <c r="CQB4" s="34"/>
      <c r="CQC4" s="34"/>
      <c r="CQD4" s="34"/>
      <c r="CQE4" s="34"/>
      <c r="CQF4" s="34"/>
      <c r="CQG4" s="34"/>
      <c r="CQH4" s="34"/>
      <c r="CQI4" s="34"/>
      <c r="CQJ4" s="34"/>
      <c r="CQK4" s="34"/>
      <c r="CQL4" s="34"/>
      <c r="CQM4" s="34"/>
      <c r="CQN4" s="34"/>
      <c r="CQO4" s="34"/>
      <c r="CQP4" s="34"/>
      <c r="CQQ4" s="34"/>
      <c r="CQR4" s="34"/>
      <c r="CQS4" s="34"/>
      <c r="CQT4" s="34"/>
      <c r="CQU4" s="34"/>
      <c r="CQV4" s="34"/>
      <c r="CQW4" s="34"/>
      <c r="CQX4" s="34"/>
      <c r="CQY4" s="34"/>
      <c r="CQZ4" s="34"/>
      <c r="CRA4" s="34"/>
      <c r="CRB4" s="34"/>
      <c r="CRC4" s="34"/>
      <c r="CRD4" s="34"/>
      <c r="CRE4" s="34"/>
      <c r="CRF4" s="34"/>
      <c r="CRG4" s="34"/>
      <c r="CRH4" s="34"/>
      <c r="CRI4" s="34"/>
      <c r="CRJ4" s="34"/>
      <c r="CRK4" s="34"/>
      <c r="CRL4" s="34"/>
      <c r="CRM4" s="34"/>
      <c r="CRN4" s="34"/>
      <c r="CRO4" s="34"/>
      <c r="CRP4" s="34"/>
      <c r="CRQ4" s="34"/>
      <c r="CRR4" s="34"/>
      <c r="CRS4" s="34"/>
      <c r="CRT4" s="34"/>
      <c r="CRU4" s="34"/>
      <c r="CRV4" s="34"/>
      <c r="CRW4" s="34"/>
      <c r="CRX4" s="34"/>
      <c r="CRY4" s="34"/>
      <c r="CRZ4" s="34"/>
      <c r="CSA4" s="34"/>
      <c r="CSB4" s="34"/>
      <c r="CSC4" s="34"/>
      <c r="CSD4" s="34"/>
      <c r="CSE4" s="34"/>
      <c r="CSF4" s="34"/>
      <c r="CSG4" s="34"/>
      <c r="CSH4" s="34"/>
      <c r="CSI4" s="34"/>
      <c r="CSJ4" s="34"/>
      <c r="CSK4" s="34"/>
      <c r="CSL4" s="34"/>
      <c r="CSM4" s="34"/>
      <c r="CSN4" s="34"/>
      <c r="CSO4" s="34"/>
      <c r="CSP4" s="34"/>
      <c r="CSQ4" s="34"/>
      <c r="CSR4" s="34"/>
      <c r="CSS4" s="34"/>
      <c r="CST4" s="34"/>
      <c r="CSU4" s="34"/>
      <c r="CSV4" s="34"/>
      <c r="CSW4" s="34"/>
      <c r="CSX4" s="34"/>
      <c r="CSY4" s="34"/>
      <c r="CSZ4" s="34"/>
      <c r="CTA4" s="34"/>
      <c r="CTB4" s="34"/>
      <c r="CTC4" s="34"/>
      <c r="CTD4" s="34"/>
      <c r="CTE4" s="34"/>
      <c r="CTF4" s="34"/>
      <c r="CTG4" s="34"/>
      <c r="CTH4" s="34"/>
      <c r="CTI4" s="34"/>
      <c r="CTJ4" s="34"/>
      <c r="CTK4" s="34"/>
      <c r="CTL4" s="34"/>
      <c r="CTM4" s="34"/>
      <c r="CTN4" s="34"/>
      <c r="CTO4" s="34"/>
      <c r="CTP4" s="34"/>
      <c r="CTQ4" s="34"/>
      <c r="CTR4" s="34"/>
      <c r="CTS4" s="34"/>
      <c r="CTT4" s="34"/>
      <c r="CTU4" s="34"/>
      <c r="CTV4" s="34"/>
      <c r="CTW4" s="34"/>
      <c r="CTX4" s="34"/>
      <c r="CTY4" s="34"/>
      <c r="CTZ4" s="34"/>
      <c r="CUA4" s="34"/>
      <c r="CUB4" s="34"/>
      <c r="CUC4" s="34"/>
      <c r="CUD4" s="34"/>
      <c r="CUE4" s="34"/>
      <c r="CUF4" s="34"/>
      <c r="CUG4" s="34"/>
      <c r="CUH4" s="34"/>
      <c r="CUI4" s="34"/>
      <c r="CUJ4" s="34"/>
      <c r="CUK4" s="34"/>
      <c r="CUL4" s="34"/>
      <c r="CUM4" s="34"/>
      <c r="CUN4" s="34"/>
      <c r="CUO4" s="34"/>
      <c r="CUP4" s="34"/>
      <c r="CUQ4" s="34"/>
      <c r="CUR4" s="34"/>
      <c r="CUS4" s="34"/>
      <c r="CUT4" s="34"/>
      <c r="CUU4" s="34"/>
      <c r="CUV4" s="34"/>
      <c r="CUW4" s="34"/>
      <c r="CUX4" s="34"/>
      <c r="CUY4" s="34"/>
      <c r="CUZ4" s="34"/>
      <c r="CVA4" s="34"/>
      <c r="CVB4" s="34"/>
      <c r="CVC4" s="34"/>
      <c r="CVD4" s="34"/>
      <c r="CVE4" s="34"/>
      <c r="CVF4" s="34"/>
      <c r="CVG4" s="34"/>
      <c r="CVH4" s="34"/>
      <c r="CVI4" s="34"/>
      <c r="CVJ4" s="34"/>
      <c r="CVK4" s="34"/>
      <c r="CVL4" s="34"/>
      <c r="CVM4" s="34"/>
      <c r="CVN4" s="34"/>
      <c r="CVO4" s="34"/>
      <c r="CVP4" s="34"/>
      <c r="CVQ4" s="34"/>
      <c r="CVR4" s="34"/>
      <c r="CVS4" s="34"/>
      <c r="CVT4" s="34"/>
      <c r="CVU4" s="34"/>
      <c r="CVV4" s="34"/>
      <c r="CVW4" s="34"/>
      <c r="CVX4" s="34"/>
      <c r="CVY4" s="34"/>
      <c r="CVZ4" s="34"/>
      <c r="CWA4" s="34"/>
      <c r="CWB4" s="34"/>
      <c r="CWC4" s="34"/>
      <c r="CWD4" s="34"/>
      <c r="CWE4" s="34"/>
      <c r="CWF4" s="34"/>
      <c r="CWG4" s="34"/>
      <c r="CWH4" s="34"/>
      <c r="CWI4" s="34"/>
      <c r="CWJ4" s="34"/>
      <c r="CWK4" s="34"/>
      <c r="CWL4" s="34"/>
      <c r="CWM4" s="34"/>
      <c r="CWN4" s="34"/>
      <c r="CWO4" s="34"/>
      <c r="CWP4" s="34"/>
      <c r="CWQ4" s="34"/>
      <c r="CWR4" s="34"/>
      <c r="CWS4" s="34"/>
      <c r="CWT4" s="34"/>
      <c r="CWU4" s="34"/>
      <c r="CWV4" s="34"/>
      <c r="CWW4" s="34"/>
      <c r="CWX4" s="34"/>
      <c r="CWY4" s="34"/>
      <c r="CWZ4" s="34"/>
      <c r="CXA4" s="34"/>
      <c r="CXB4" s="34"/>
      <c r="CXC4" s="34"/>
      <c r="CXD4" s="34"/>
      <c r="CXE4" s="34"/>
      <c r="CXF4" s="34"/>
      <c r="CXG4" s="34"/>
      <c r="CXH4" s="34"/>
      <c r="CXI4" s="34"/>
      <c r="CXJ4" s="34"/>
      <c r="CXK4" s="34"/>
      <c r="CXL4" s="34"/>
      <c r="CXM4" s="34"/>
      <c r="CXN4" s="34"/>
      <c r="CXO4" s="34"/>
      <c r="CXP4" s="34"/>
      <c r="CXQ4" s="34"/>
      <c r="CXR4" s="34"/>
      <c r="CXS4" s="34"/>
      <c r="CXT4" s="34"/>
      <c r="CXU4" s="34"/>
      <c r="CXV4" s="34"/>
      <c r="CXW4" s="34"/>
      <c r="CXX4" s="34"/>
      <c r="CXY4" s="34"/>
      <c r="CXZ4" s="34"/>
      <c r="CYA4" s="34"/>
      <c r="CYB4" s="34"/>
      <c r="CYC4" s="34"/>
      <c r="CYD4" s="34"/>
      <c r="CYE4" s="34"/>
      <c r="CYF4" s="34"/>
      <c r="CYG4" s="34"/>
      <c r="CYH4" s="34"/>
      <c r="CYI4" s="34"/>
      <c r="CYJ4" s="34"/>
      <c r="CYK4" s="34"/>
      <c r="CYL4" s="34"/>
      <c r="CYM4" s="34"/>
      <c r="CYN4" s="34"/>
      <c r="CYO4" s="34"/>
      <c r="CYP4" s="34"/>
      <c r="CYQ4" s="34"/>
      <c r="CYR4" s="34"/>
      <c r="CYS4" s="34"/>
      <c r="CYT4" s="34"/>
      <c r="CYU4" s="34"/>
      <c r="CYV4" s="34"/>
      <c r="CYW4" s="34"/>
      <c r="CYX4" s="34"/>
      <c r="CYY4" s="34"/>
      <c r="CYZ4" s="34"/>
      <c r="CZA4" s="34"/>
      <c r="CZB4" s="34"/>
      <c r="CZC4" s="34"/>
      <c r="CZD4" s="34"/>
      <c r="CZE4" s="34"/>
      <c r="CZF4" s="34"/>
      <c r="CZG4" s="34"/>
      <c r="CZH4" s="34"/>
      <c r="CZI4" s="34"/>
      <c r="CZJ4" s="34"/>
      <c r="CZK4" s="34"/>
      <c r="CZL4" s="34"/>
      <c r="CZM4" s="34"/>
      <c r="CZN4" s="34"/>
      <c r="CZO4" s="34"/>
      <c r="CZP4" s="34"/>
      <c r="CZQ4" s="34"/>
      <c r="CZR4" s="34"/>
      <c r="CZS4" s="34"/>
      <c r="CZT4" s="34"/>
      <c r="CZU4" s="34"/>
      <c r="CZV4" s="34"/>
      <c r="CZW4" s="34"/>
      <c r="CZX4" s="34"/>
      <c r="CZY4" s="34"/>
      <c r="CZZ4" s="34"/>
      <c r="DAA4" s="34"/>
      <c r="DAB4" s="34"/>
      <c r="DAC4" s="34"/>
      <c r="DAD4" s="34"/>
      <c r="DAE4" s="34"/>
      <c r="DAF4" s="34"/>
      <c r="DAG4" s="34"/>
      <c r="DAH4" s="34"/>
      <c r="DAI4" s="34"/>
      <c r="DAJ4" s="34"/>
      <c r="DAK4" s="34"/>
      <c r="DAL4" s="34"/>
      <c r="DAM4" s="34"/>
      <c r="DAN4" s="34"/>
      <c r="DAO4" s="34"/>
      <c r="DAP4" s="34"/>
      <c r="DAQ4" s="34"/>
      <c r="DAR4" s="34"/>
      <c r="DAS4" s="34"/>
      <c r="DAT4" s="34"/>
      <c r="DAU4" s="34"/>
      <c r="DAV4" s="34"/>
      <c r="DAW4" s="34"/>
      <c r="DAX4" s="34"/>
      <c r="DAY4" s="34"/>
      <c r="DAZ4" s="34"/>
      <c r="DBA4" s="34"/>
      <c r="DBB4" s="34"/>
      <c r="DBC4" s="34"/>
      <c r="DBD4" s="34"/>
      <c r="DBE4" s="34"/>
      <c r="DBF4" s="34"/>
      <c r="DBG4" s="34"/>
      <c r="DBH4" s="34"/>
      <c r="DBI4" s="34"/>
      <c r="DBJ4" s="34"/>
      <c r="DBK4" s="34"/>
      <c r="DBL4" s="34"/>
      <c r="DBM4" s="34"/>
      <c r="DBN4" s="34"/>
      <c r="DBO4" s="34"/>
      <c r="DBP4" s="34"/>
      <c r="DBQ4" s="34"/>
      <c r="DBR4" s="34"/>
      <c r="DBS4" s="34"/>
      <c r="DBT4" s="34"/>
      <c r="DBU4" s="34"/>
      <c r="DBV4" s="34"/>
      <c r="DBW4" s="34"/>
      <c r="DBX4" s="34"/>
      <c r="DBY4" s="34"/>
      <c r="DBZ4" s="34"/>
      <c r="DCA4" s="34"/>
      <c r="DCB4" s="34"/>
      <c r="DCC4" s="34"/>
      <c r="DCD4" s="34"/>
      <c r="DCE4" s="34"/>
      <c r="DCF4" s="34"/>
      <c r="DCG4" s="34"/>
      <c r="DCH4" s="34"/>
      <c r="DCI4" s="34"/>
      <c r="DCJ4" s="34"/>
      <c r="DCK4" s="34"/>
      <c r="DCL4" s="34"/>
      <c r="DCM4" s="34"/>
      <c r="DCN4" s="34"/>
      <c r="DCO4" s="34"/>
      <c r="DCP4" s="34"/>
      <c r="DCQ4" s="34"/>
      <c r="DCR4" s="34"/>
      <c r="DCS4" s="34"/>
      <c r="DCT4" s="34"/>
      <c r="DCU4" s="34"/>
      <c r="DCV4" s="34"/>
      <c r="DCW4" s="34"/>
      <c r="DCX4" s="34"/>
      <c r="DCY4" s="34"/>
      <c r="DCZ4" s="34"/>
      <c r="DDA4" s="34"/>
      <c r="DDB4" s="34"/>
      <c r="DDC4" s="34"/>
      <c r="DDD4" s="34"/>
      <c r="DDE4" s="34"/>
      <c r="DDF4" s="34"/>
      <c r="DDG4" s="34"/>
      <c r="DDH4" s="34"/>
      <c r="DDI4" s="34"/>
      <c r="DDJ4" s="34"/>
      <c r="DDK4" s="34"/>
      <c r="DDL4" s="34"/>
      <c r="DDM4" s="34"/>
      <c r="DDN4" s="34"/>
      <c r="DDO4" s="34"/>
      <c r="DDP4" s="34"/>
      <c r="DDQ4" s="34"/>
      <c r="DDR4" s="34"/>
      <c r="DDS4" s="34"/>
      <c r="DDT4" s="34"/>
      <c r="DDU4" s="34"/>
      <c r="DDV4" s="34"/>
      <c r="DDW4" s="34"/>
      <c r="DDX4" s="34"/>
      <c r="DDY4" s="34"/>
      <c r="DDZ4" s="34"/>
      <c r="DEA4" s="34"/>
      <c r="DEB4" s="34"/>
      <c r="DEC4" s="34"/>
      <c r="DED4" s="34"/>
      <c r="DEE4" s="34"/>
      <c r="DEF4" s="34"/>
      <c r="DEG4" s="34"/>
      <c r="DEH4" s="34"/>
      <c r="DEI4" s="34"/>
      <c r="DEJ4" s="34"/>
      <c r="DEK4" s="34"/>
      <c r="DEL4" s="34"/>
      <c r="DEM4" s="34"/>
      <c r="DEN4" s="34"/>
      <c r="DEO4" s="34"/>
      <c r="DEP4" s="34"/>
      <c r="DEQ4" s="34"/>
      <c r="DER4" s="34"/>
      <c r="DES4" s="34"/>
      <c r="DET4" s="34"/>
      <c r="DEU4" s="34"/>
      <c r="DEV4" s="34"/>
      <c r="DEW4" s="34"/>
      <c r="DEX4" s="34"/>
      <c r="DEY4" s="34"/>
      <c r="DEZ4" s="34"/>
      <c r="DFA4" s="34"/>
      <c r="DFB4" s="34"/>
      <c r="DFC4" s="34"/>
      <c r="DFD4" s="34"/>
      <c r="DFE4" s="34"/>
      <c r="DFF4" s="34"/>
      <c r="DFG4" s="34"/>
      <c r="DFH4" s="34"/>
      <c r="DFI4" s="34"/>
      <c r="DFJ4" s="34"/>
      <c r="DFK4" s="34"/>
      <c r="DFL4" s="34"/>
      <c r="DFM4" s="34"/>
      <c r="DFN4" s="34"/>
      <c r="DFO4" s="34"/>
      <c r="DFP4" s="34"/>
      <c r="DFQ4" s="34"/>
      <c r="DFR4" s="34"/>
      <c r="DFS4" s="34"/>
      <c r="DFT4" s="34"/>
      <c r="DFU4" s="34"/>
      <c r="DFV4" s="34"/>
      <c r="DFW4" s="34"/>
      <c r="DFX4" s="34"/>
      <c r="DFY4" s="34"/>
      <c r="DFZ4" s="34"/>
      <c r="DGA4" s="34"/>
      <c r="DGB4" s="34"/>
      <c r="DGC4" s="34"/>
      <c r="DGD4" s="34"/>
      <c r="DGE4" s="34"/>
      <c r="DGF4" s="34"/>
      <c r="DGG4" s="34"/>
      <c r="DGH4" s="34"/>
      <c r="DGI4" s="34"/>
      <c r="DGJ4" s="34"/>
      <c r="DGK4" s="34"/>
      <c r="DGL4" s="34"/>
      <c r="DGM4" s="34"/>
      <c r="DGN4" s="34"/>
      <c r="DGO4" s="34"/>
      <c r="DGP4" s="34"/>
      <c r="DGQ4" s="34"/>
      <c r="DGR4" s="34"/>
      <c r="DGS4" s="34"/>
      <c r="DGT4" s="34"/>
      <c r="DGU4" s="34"/>
      <c r="DGV4" s="34"/>
      <c r="DGW4" s="34"/>
      <c r="DGX4" s="34"/>
      <c r="DGY4" s="34"/>
      <c r="DGZ4" s="34"/>
      <c r="DHA4" s="34"/>
      <c r="DHB4" s="34"/>
      <c r="DHC4" s="34"/>
      <c r="DHD4" s="34"/>
      <c r="DHE4" s="34"/>
      <c r="DHF4" s="34"/>
      <c r="DHG4" s="34"/>
      <c r="DHH4" s="34"/>
      <c r="DHI4" s="34"/>
      <c r="DHJ4" s="34"/>
      <c r="DHK4" s="34"/>
      <c r="DHL4" s="34"/>
      <c r="DHM4" s="34"/>
      <c r="DHN4" s="34"/>
      <c r="DHO4" s="34"/>
      <c r="DHP4" s="34"/>
      <c r="DHQ4" s="34"/>
      <c r="DHR4" s="34"/>
      <c r="DHS4" s="34"/>
      <c r="DHT4" s="34"/>
      <c r="DHU4" s="34"/>
      <c r="DHV4" s="34"/>
      <c r="DHW4" s="34"/>
      <c r="DHX4" s="34"/>
      <c r="DHY4" s="34"/>
      <c r="DHZ4" s="34"/>
      <c r="DIA4" s="34"/>
      <c r="DIB4" s="34"/>
      <c r="DIC4" s="34"/>
      <c r="DID4" s="34"/>
      <c r="DIE4" s="34"/>
      <c r="DIF4" s="34"/>
      <c r="DIG4" s="34"/>
      <c r="DIH4" s="34"/>
      <c r="DII4" s="34"/>
      <c r="DIJ4" s="34"/>
      <c r="DIK4" s="34"/>
      <c r="DIL4" s="34"/>
      <c r="DIM4" s="34"/>
      <c r="DIN4" s="34"/>
      <c r="DIO4" s="34"/>
      <c r="DIP4" s="34"/>
      <c r="DIQ4" s="34"/>
      <c r="DIR4" s="34"/>
      <c r="DIS4" s="34"/>
      <c r="DIT4" s="34"/>
      <c r="DIU4" s="34"/>
      <c r="DIV4" s="34"/>
      <c r="DIW4" s="34"/>
      <c r="DIX4" s="34"/>
      <c r="DIY4" s="34"/>
      <c r="DIZ4" s="34"/>
      <c r="DJA4" s="34"/>
      <c r="DJB4" s="34"/>
      <c r="DJC4" s="34"/>
      <c r="DJD4" s="34"/>
      <c r="DJE4" s="34"/>
      <c r="DJF4" s="34"/>
      <c r="DJG4" s="34"/>
      <c r="DJH4" s="34"/>
      <c r="DJI4" s="34"/>
      <c r="DJJ4" s="34"/>
      <c r="DJK4" s="34"/>
      <c r="DJL4" s="34"/>
      <c r="DJM4" s="34"/>
      <c r="DJN4" s="34"/>
      <c r="DJO4" s="34"/>
      <c r="DJP4" s="34"/>
      <c r="DJQ4" s="34"/>
      <c r="DJR4" s="34"/>
      <c r="DJS4" s="34"/>
      <c r="DJT4" s="34"/>
      <c r="DJU4" s="34"/>
      <c r="DJV4" s="34"/>
      <c r="DJW4" s="34"/>
      <c r="DJX4" s="34"/>
      <c r="DJY4" s="34"/>
      <c r="DJZ4" s="34"/>
      <c r="DKA4" s="34"/>
      <c r="DKB4" s="34"/>
      <c r="DKC4" s="34"/>
      <c r="DKD4" s="34"/>
      <c r="DKE4" s="34"/>
      <c r="DKF4" s="34"/>
      <c r="DKG4" s="34"/>
      <c r="DKH4" s="34"/>
      <c r="DKI4" s="34"/>
      <c r="DKJ4" s="34"/>
      <c r="DKK4" s="34"/>
      <c r="DKL4" s="34"/>
      <c r="DKM4" s="34"/>
      <c r="DKN4" s="34"/>
      <c r="DKO4" s="34"/>
      <c r="DKP4" s="34"/>
      <c r="DKQ4" s="34"/>
      <c r="DKR4" s="34"/>
      <c r="DKS4" s="34"/>
      <c r="DKT4" s="34"/>
      <c r="DKU4" s="34"/>
      <c r="DKV4" s="34"/>
      <c r="DKW4" s="34"/>
      <c r="DKX4" s="34"/>
      <c r="DKY4" s="34"/>
      <c r="DKZ4" s="34"/>
      <c r="DLA4" s="34"/>
      <c r="DLB4" s="34"/>
      <c r="DLC4" s="34"/>
      <c r="DLD4" s="34"/>
      <c r="DLE4" s="34"/>
      <c r="DLF4" s="34"/>
      <c r="DLG4" s="34"/>
      <c r="DLH4" s="34"/>
      <c r="DLI4" s="34"/>
      <c r="DLJ4" s="34"/>
      <c r="DLK4" s="34"/>
      <c r="DLL4" s="34"/>
      <c r="DLM4" s="34"/>
      <c r="DLN4" s="34"/>
      <c r="DLO4" s="34"/>
      <c r="DLP4" s="34"/>
      <c r="DLQ4" s="34"/>
      <c r="DLR4" s="34"/>
      <c r="DLS4" s="34"/>
      <c r="DLT4" s="34"/>
      <c r="DLU4" s="34"/>
      <c r="DLV4" s="34"/>
      <c r="DLW4" s="34"/>
      <c r="DLX4" s="34"/>
      <c r="DLY4" s="34"/>
      <c r="DLZ4" s="34"/>
      <c r="DMA4" s="34"/>
      <c r="DMB4" s="34"/>
      <c r="DMC4" s="34"/>
      <c r="DMD4" s="34"/>
      <c r="DME4" s="34"/>
      <c r="DMF4" s="34"/>
      <c r="DMG4" s="34"/>
      <c r="DMH4" s="34"/>
      <c r="DMI4" s="34"/>
      <c r="DMJ4" s="34"/>
      <c r="DMK4" s="34"/>
      <c r="DML4" s="34"/>
      <c r="DMM4" s="34"/>
      <c r="DMN4" s="34"/>
      <c r="DMO4" s="34"/>
      <c r="DMP4" s="34"/>
      <c r="DMQ4" s="34"/>
      <c r="DMR4" s="34"/>
      <c r="DMS4" s="34"/>
      <c r="DMT4" s="34"/>
      <c r="DMU4" s="34"/>
      <c r="DMV4" s="34"/>
      <c r="DMW4" s="34"/>
      <c r="DMX4" s="34"/>
      <c r="DMY4" s="34"/>
      <c r="DMZ4" s="34"/>
      <c r="DNA4" s="34"/>
      <c r="DNB4" s="34"/>
      <c r="DNC4" s="34"/>
      <c r="DND4" s="34"/>
      <c r="DNE4" s="34"/>
      <c r="DNF4" s="34"/>
      <c r="DNG4" s="34"/>
      <c r="DNH4" s="34"/>
      <c r="DNI4" s="34"/>
      <c r="DNJ4" s="34"/>
      <c r="DNK4" s="34"/>
      <c r="DNL4" s="34"/>
      <c r="DNM4" s="34"/>
      <c r="DNN4" s="34"/>
      <c r="DNO4" s="34"/>
      <c r="DNP4" s="34"/>
      <c r="DNQ4" s="34"/>
      <c r="DNR4" s="34"/>
      <c r="DNS4" s="34"/>
      <c r="DNT4" s="34"/>
      <c r="DNU4" s="34"/>
      <c r="DNV4" s="34"/>
      <c r="DNW4" s="34"/>
      <c r="DNX4" s="34"/>
      <c r="DNY4" s="34"/>
      <c r="DNZ4" s="34"/>
      <c r="DOA4" s="34"/>
      <c r="DOB4" s="34"/>
      <c r="DOC4" s="34"/>
      <c r="DOD4" s="34"/>
      <c r="DOE4" s="34"/>
      <c r="DOF4" s="34"/>
      <c r="DOG4" s="34"/>
      <c r="DOH4" s="34"/>
      <c r="DOI4" s="34"/>
      <c r="DOJ4" s="34"/>
      <c r="DOK4" s="34"/>
      <c r="DOL4" s="34"/>
      <c r="DOM4" s="34"/>
      <c r="DON4" s="34"/>
      <c r="DOO4" s="34"/>
      <c r="DOP4" s="34"/>
      <c r="DOQ4" s="34"/>
      <c r="DOR4" s="34"/>
      <c r="DOS4" s="34"/>
      <c r="DOT4" s="34"/>
      <c r="DOU4" s="34"/>
      <c r="DOV4" s="34"/>
      <c r="DOW4" s="34"/>
      <c r="DOX4" s="34"/>
      <c r="DOY4" s="34"/>
      <c r="DOZ4" s="34"/>
      <c r="DPA4" s="34"/>
      <c r="DPB4" s="34"/>
      <c r="DPC4" s="34"/>
      <c r="DPD4" s="34"/>
      <c r="DPE4" s="34"/>
      <c r="DPF4" s="34"/>
      <c r="DPG4" s="34"/>
      <c r="DPH4" s="34"/>
      <c r="DPI4" s="34"/>
      <c r="DPJ4" s="34"/>
      <c r="DPK4" s="34"/>
      <c r="DPL4" s="34"/>
      <c r="DPM4" s="34"/>
      <c r="DPN4" s="34"/>
      <c r="DPO4" s="34"/>
      <c r="DPP4" s="34"/>
      <c r="DPQ4" s="34"/>
      <c r="DPR4" s="34"/>
      <c r="DPS4" s="34"/>
      <c r="DPT4" s="34"/>
      <c r="DPU4" s="34"/>
      <c r="DPV4" s="34"/>
      <c r="DPW4" s="34"/>
      <c r="DPX4" s="34"/>
      <c r="DPY4" s="34"/>
      <c r="DPZ4" s="34"/>
      <c r="DQA4" s="34"/>
      <c r="DQB4" s="34"/>
      <c r="DQC4" s="34"/>
      <c r="DQD4" s="34"/>
      <c r="DQE4" s="34"/>
      <c r="DQF4" s="34"/>
      <c r="DQG4" s="34"/>
      <c r="DQH4" s="34"/>
      <c r="DQI4" s="34"/>
      <c r="DQJ4" s="34"/>
      <c r="DQK4" s="34"/>
      <c r="DQL4" s="34"/>
      <c r="DQM4" s="34"/>
      <c r="DQN4" s="34"/>
      <c r="DQO4" s="34"/>
      <c r="DQP4" s="34"/>
      <c r="DQQ4" s="34"/>
      <c r="DQR4" s="34"/>
      <c r="DQS4" s="34"/>
      <c r="DQT4" s="34"/>
      <c r="DQU4" s="34"/>
      <c r="DQV4" s="34"/>
      <c r="DQW4" s="34"/>
      <c r="DQX4" s="34"/>
      <c r="DQY4" s="34"/>
      <c r="DQZ4" s="34"/>
      <c r="DRA4" s="34"/>
      <c r="DRB4" s="34"/>
      <c r="DRC4" s="34"/>
      <c r="DRD4" s="34"/>
      <c r="DRE4" s="34"/>
      <c r="DRF4" s="34"/>
      <c r="DRG4" s="34"/>
      <c r="DRH4" s="34"/>
      <c r="DRI4" s="34"/>
      <c r="DRJ4" s="34"/>
      <c r="DRK4" s="34"/>
      <c r="DRL4" s="34"/>
      <c r="DRM4" s="34"/>
      <c r="DRN4" s="34"/>
      <c r="DRO4" s="34"/>
      <c r="DRP4" s="34"/>
      <c r="DRQ4" s="34"/>
      <c r="DRR4" s="34"/>
      <c r="DRS4" s="34"/>
      <c r="DRT4" s="34"/>
      <c r="DRU4" s="34"/>
      <c r="DRV4" s="34"/>
      <c r="DRW4" s="34"/>
      <c r="DRX4" s="34"/>
      <c r="DRY4" s="34"/>
      <c r="DRZ4" s="34"/>
      <c r="DSA4" s="34"/>
      <c r="DSB4" s="34"/>
      <c r="DSC4" s="34"/>
      <c r="DSD4" s="34"/>
      <c r="DSE4" s="34"/>
      <c r="DSF4" s="34"/>
      <c r="DSG4" s="34"/>
      <c r="DSH4" s="34"/>
      <c r="DSI4" s="34"/>
      <c r="DSJ4" s="34"/>
      <c r="DSK4" s="34"/>
      <c r="DSL4" s="34"/>
      <c r="DSM4" s="34"/>
      <c r="DSN4" s="34"/>
      <c r="DSO4" s="34"/>
      <c r="DSP4" s="34"/>
      <c r="DSQ4" s="34"/>
      <c r="DSR4" s="34"/>
      <c r="DSS4" s="34"/>
      <c r="DST4" s="34"/>
      <c r="DSU4" s="34"/>
      <c r="DSV4" s="34"/>
      <c r="DSW4" s="34"/>
      <c r="DSX4" s="34"/>
      <c r="DSY4" s="34"/>
      <c r="DSZ4" s="34"/>
      <c r="DTA4" s="34"/>
      <c r="DTB4" s="34"/>
      <c r="DTC4" s="34"/>
      <c r="DTD4" s="34"/>
      <c r="DTE4" s="34"/>
      <c r="DTF4" s="34"/>
      <c r="DTG4" s="34"/>
      <c r="DTH4" s="34"/>
      <c r="DTI4" s="34"/>
      <c r="DTJ4" s="34"/>
      <c r="DTK4" s="34"/>
      <c r="DTL4" s="34"/>
      <c r="DTM4" s="34"/>
      <c r="DTN4" s="34"/>
      <c r="DTO4" s="34"/>
      <c r="DTP4" s="34"/>
      <c r="DTQ4" s="34"/>
      <c r="DTR4" s="34"/>
      <c r="DTS4" s="34"/>
      <c r="DTT4" s="34"/>
      <c r="DTU4" s="34"/>
      <c r="DTV4" s="34"/>
      <c r="DTW4" s="34"/>
      <c r="DTX4" s="34"/>
      <c r="DTY4" s="34"/>
      <c r="DTZ4" s="34"/>
      <c r="DUA4" s="34"/>
      <c r="DUB4" s="34"/>
      <c r="DUC4" s="34"/>
      <c r="DUD4" s="34"/>
      <c r="DUE4" s="34"/>
      <c r="DUF4" s="34"/>
      <c r="DUG4" s="34"/>
      <c r="DUH4" s="34"/>
      <c r="DUI4" s="34"/>
      <c r="DUJ4" s="34"/>
      <c r="DUK4" s="34"/>
      <c r="DUL4" s="34"/>
      <c r="DUM4" s="34"/>
      <c r="DUN4" s="34"/>
      <c r="DUO4" s="34"/>
      <c r="DUP4" s="34"/>
      <c r="DUQ4" s="34"/>
      <c r="DUR4" s="34"/>
      <c r="DUS4" s="34"/>
      <c r="DUT4" s="34"/>
      <c r="DUU4" s="34"/>
      <c r="DUV4" s="34"/>
      <c r="DUW4" s="34"/>
      <c r="DUX4" s="34"/>
      <c r="DUY4" s="34"/>
      <c r="DUZ4" s="34"/>
      <c r="DVA4" s="34"/>
      <c r="DVB4" s="34"/>
      <c r="DVC4" s="34"/>
      <c r="DVD4" s="34"/>
      <c r="DVE4" s="34"/>
      <c r="DVF4" s="34"/>
      <c r="DVG4" s="34"/>
      <c r="DVH4" s="34"/>
      <c r="DVI4" s="34"/>
      <c r="DVJ4" s="34"/>
      <c r="DVK4" s="34"/>
      <c r="DVL4" s="34"/>
      <c r="DVM4" s="34"/>
      <c r="DVN4" s="34"/>
      <c r="DVO4" s="34"/>
      <c r="DVP4" s="34"/>
      <c r="DVQ4" s="34"/>
      <c r="DVR4" s="34"/>
      <c r="DVS4" s="34"/>
      <c r="DVT4" s="34"/>
      <c r="DVU4" s="34"/>
      <c r="DVV4" s="34"/>
      <c r="DVW4" s="34"/>
      <c r="DVX4" s="34"/>
      <c r="DVY4" s="34"/>
      <c r="DVZ4" s="34"/>
      <c r="DWA4" s="34"/>
      <c r="DWB4" s="34"/>
      <c r="DWC4" s="34"/>
      <c r="DWD4" s="34"/>
      <c r="DWE4" s="34"/>
      <c r="DWF4" s="34"/>
      <c r="DWG4" s="34"/>
      <c r="DWH4" s="34"/>
      <c r="DWI4" s="34"/>
      <c r="DWJ4" s="34"/>
      <c r="DWK4" s="34"/>
      <c r="DWL4" s="34"/>
      <c r="DWM4" s="34"/>
      <c r="DWN4" s="34"/>
      <c r="DWO4" s="34"/>
      <c r="DWP4" s="34"/>
      <c r="DWQ4" s="34"/>
      <c r="DWR4" s="34"/>
      <c r="DWS4" s="34"/>
      <c r="DWT4" s="34"/>
      <c r="DWU4" s="34"/>
      <c r="DWV4" s="34"/>
      <c r="DWW4" s="34"/>
      <c r="DWX4" s="34"/>
      <c r="DWY4" s="34"/>
      <c r="DWZ4" s="34"/>
      <c r="DXA4" s="34"/>
      <c r="DXB4" s="34"/>
      <c r="DXC4" s="34"/>
      <c r="DXD4" s="34"/>
      <c r="DXE4" s="34"/>
      <c r="DXF4" s="34"/>
      <c r="DXG4" s="34"/>
      <c r="DXH4" s="34"/>
      <c r="DXI4" s="34"/>
      <c r="DXJ4" s="34"/>
      <c r="DXK4" s="34"/>
      <c r="DXL4" s="34"/>
      <c r="DXM4" s="34"/>
      <c r="DXN4" s="34"/>
      <c r="DXO4" s="34"/>
      <c r="DXP4" s="34"/>
      <c r="DXQ4" s="34"/>
      <c r="DXR4" s="34"/>
      <c r="DXS4" s="34"/>
      <c r="DXT4" s="34"/>
      <c r="DXU4" s="34"/>
      <c r="DXV4" s="34"/>
      <c r="DXW4" s="34"/>
      <c r="DXX4" s="34"/>
      <c r="DXY4" s="34"/>
      <c r="DXZ4" s="34"/>
      <c r="DYA4" s="34"/>
      <c r="DYB4" s="34"/>
      <c r="DYC4" s="34"/>
      <c r="DYD4" s="34"/>
      <c r="DYE4" s="34"/>
      <c r="DYF4" s="34"/>
      <c r="DYG4" s="34"/>
      <c r="DYH4" s="34"/>
      <c r="DYI4" s="34"/>
      <c r="DYJ4" s="34"/>
      <c r="DYK4" s="34"/>
      <c r="DYL4" s="34"/>
      <c r="DYM4" s="34"/>
      <c r="DYN4" s="34"/>
      <c r="DYO4" s="34"/>
      <c r="DYP4" s="34"/>
      <c r="DYQ4" s="34"/>
      <c r="DYR4" s="34"/>
      <c r="DYS4" s="34"/>
      <c r="DYT4" s="34"/>
      <c r="DYU4" s="34"/>
      <c r="DYV4" s="34"/>
      <c r="DYW4" s="34"/>
      <c r="DYX4" s="34"/>
      <c r="DYY4" s="34"/>
      <c r="DYZ4" s="34"/>
      <c r="DZA4" s="34"/>
      <c r="DZB4" s="34"/>
      <c r="DZC4" s="34"/>
      <c r="DZD4" s="34"/>
      <c r="DZE4" s="34"/>
      <c r="DZF4" s="34"/>
      <c r="DZG4" s="34"/>
      <c r="DZH4" s="34"/>
      <c r="DZI4" s="34"/>
      <c r="DZJ4" s="34"/>
      <c r="DZK4" s="34"/>
      <c r="DZL4" s="34"/>
      <c r="DZM4" s="34"/>
      <c r="DZN4" s="34"/>
      <c r="DZO4" s="34"/>
      <c r="DZP4" s="34"/>
      <c r="DZQ4" s="34"/>
      <c r="DZR4" s="34"/>
      <c r="DZS4" s="34"/>
      <c r="DZT4" s="34"/>
      <c r="DZU4" s="34"/>
      <c r="DZV4" s="34"/>
      <c r="DZW4" s="34"/>
      <c r="DZX4" s="34"/>
      <c r="DZY4" s="34"/>
      <c r="DZZ4" s="34"/>
      <c r="EAA4" s="34"/>
      <c r="EAB4" s="34"/>
      <c r="EAC4" s="34"/>
      <c r="EAD4" s="34"/>
      <c r="EAE4" s="34"/>
      <c r="EAF4" s="34"/>
      <c r="EAG4" s="34"/>
      <c r="EAH4" s="34"/>
      <c r="EAI4" s="34"/>
      <c r="EAJ4" s="34"/>
      <c r="EAK4" s="34"/>
      <c r="EAL4" s="34"/>
      <c r="EAM4" s="34"/>
      <c r="EAN4" s="34"/>
      <c r="EAO4" s="34"/>
      <c r="EAP4" s="34"/>
      <c r="EAQ4" s="34"/>
      <c r="EAR4" s="34"/>
      <c r="EAS4" s="34"/>
      <c r="EAT4" s="34"/>
      <c r="EAU4" s="34"/>
      <c r="EAV4" s="34"/>
      <c r="EAW4" s="34"/>
      <c r="EAX4" s="34"/>
      <c r="EAY4" s="34"/>
      <c r="EAZ4" s="34"/>
      <c r="EBA4" s="34"/>
      <c r="EBB4" s="34"/>
      <c r="EBC4" s="34"/>
      <c r="EBD4" s="34"/>
      <c r="EBE4" s="34"/>
      <c r="EBF4" s="34"/>
      <c r="EBG4" s="34"/>
      <c r="EBH4" s="34"/>
      <c r="EBI4" s="34"/>
      <c r="EBJ4" s="34"/>
      <c r="EBK4" s="34"/>
      <c r="EBL4" s="34"/>
      <c r="EBM4" s="34"/>
      <c r="EBN4" s="34"/>
      <c r="EBO4" s="34"/>
      <c r="EBP4" s="34"/>
      <c r="EBQ4" s="34"/>
      <c r="EBR4" s="34"/>
      <c r="EBS4" s="34"/>
      <c r="EBT4" s="34"/>
      <c r="EBU4" s="34"/>
      <c r="EBV4" s="34"/>
      <c r="EBW4" s="34"/>
      <c r="EBX4" s="34"/>
      <c r="EBY4" s="34"/>
      <c r="EBZ4" s="34"/>
      <c r="ECA4" s="34"/>
      <c r="ECB4" s="34"/>
      <c r="ECC4" s="34"/>
      <c r="ECD4" s="34"/>
      <c r="ECE4" s="34"/>
      <c r="ECF4" s="34"/>
      <c r="ECG4" s="34"/>
      <c r="ECH4" s="34"/>
      <c r="ECI4" s="34"/>
      <c r="ECJ4" s="34"/>
      <c r="ECK4" s="34"/>
      <c r="ECL4" s="34"/>
      <c r="ECM4" s="34"/>
      <c r="ECN4" s="34"/>
      <c r="ECO4" s="34"/>
      <c r="ECP4" s="34"/>
      <c r="ECQ4" s="34"/>
      <c r="ECR4" s="34"/>
      <c r="ECS4" s="34"/>
      <c r="ECT4" s="34"/>
      <c r="ECU4" s="34"/>
      <c r="ECV4" s="34"/>
      <c r="ECW4" s="34"/>
      <c r="ECX4" s="34"/>
      <c r="ECY4" s="34"/>
      <c r="ECZ4" s="34"/>
      <c r="EDA4" s="34"/>
      <c r="EDB4" s="34"/>
      <c r="EDC4" s="34"/>
      <c r="EDD4" s="34"/>
      <c r="EDE4" s="34"/>
      <c r="EDF4" s="34"/>
      <c r="EDG4" s="34"/>
      <c r="EDH4" s="34"/>
      <c r="EDI4" s="34"/>
      <c r="EDJ4" s="34"/>
      <c r="EDK4" s="34"/>
      <c r="EDL4" s="34"/>
      <c r="EDM4" s="34"/>
      <c r="EDN4" s="34"/>
      <c r="EDO4" s="34"/>
      <c r="EDP4" s="34"/>
      <c r="EDQ4" s="34"/>
      <c r="EDR4" s="34"/>
      <c r="EDS4" s="34"/>
      <c r="EDT4" s="34"/>
      <c r="EDU4" s="34"/>
      <c r="EDV4" s="34"/>
      <c r="EDW4" s="34"/>
      <c r="EDX4" s="34"/>
      <c r="EDY4" s="34"/>
      <c r="EDZ4" s="34"/>
      <c r="EEA4" s="34"/>
      <c r="EEB4" s="34"/>
      <c r="EEC4" s="34"/>
      <c r="EED4" s="34"/>
      <c r="EEE4" s="34"/>
      <c r="EEF4" s="34"/>
      <c r="EEG4" s="34"/>
      <c r="EEH4" s="34"/>
      <c r="EEI4" s="34"/>
      <c r="EEJ4" s="34"/>
      <c r="EEK4" s="34"/>
      <c r="EEL4" s="34"/>
      <c r="EEM4" s="34"/>
      <c r="EEN4" s="34"/>
      <c r="EEO4" s="34"/>
      <c r="EEP4" s="34"/>
      <c r="EEQ4" s="34"/>
      <c r="EER4" s="34"/>
      <c r="EES4" s="34"/>
      <c r="EET4" s="34"/>
      <c r="EEU4" s="34"/>
      <c r="EEV4" s="34"/>
      <c r="EEW4" s="34"/>
      <c r="EEX4" s="34"/>
      <c r="EEY4" s="34"/>
      <c r="EEZ4" s="34"/>
      <c r="EFA4" s="34"/>
      <c r="EFB4" s="34"/>
      <c r="EFC4" s="34"/>
      <c r="EFD4" s="34"/>
      <c r="EFE4" s="34"/>
      <c r="EFF4" s="34"/>
      <c r="EFG4" s="34"/>
      <c r="EFH4" s="34"/>
      <c r="EFI4" s="34"/>
      <c r="EFJ4" s="34"/>
      <c r="EFK4" s="34"/>
      <c r="EFL4" s="34"/>
      <c r="EFM4" s="34"/>
      <c r="EFN4" s="34"/>
      <c r="EFO4" s="34"/>
      <c r="EFP4" s="34"/>
      <c r="EFQ4" s="34"/>
      <c r="EFR4" s="34"/>
      <c r="EFS4" s="34"/>
      <c r="EFT4" s="34"/>
      <c r="EFU4" s="34"/>
      <c r="EFV4" s="34"/>
      <c r="EFW4" s="34"/>
      <c r="EFX4" s="34"/>
      <c r="EFY4" s="34"/>
      <c r="EFZ4" s="34"/>
      <c r="EGA4" s="34"/>
      <c r="EGB4" s="34"/>
      <c r="EGC4" s="34"/>
      <c r="EGD4" s="34"/>
      <c r="EGE4" s="34"/>
      <c r="EGF4" s="34"/>
      <c r="EGG4" s="34"/>
      <c r="EGH4" s="34"/>
      <c r="EGI4" s="34"/>
      <c r="EGJ4" s="34"/>
      <c r="EGK4" s="34"/>
      <c r="EGL4" s="34"/>
      <c r="EGM4" s="34"/>
      <c r="EGN4" s="34"/>
      <c r="EGO4" s="34"/>
      <c r="EGP4" s="34"/>
      <c r="EGQ4" s="34"/>
      <c r="EGR4" s="34"/>
      <c r="EGS4" s="34"/>
      <c r="EGT4" s="34"/>
      <c r="EGU4" s="34"/>
      <c r="EGV4" s="34"/>
      <c r="EGW4" s="34"/>
      <c r="EGX4" s="34"/>
      <c r="EGY4" s="34"/>
      <c r="EGZ4" s="34"/>
      <c r="EHA4" s="34"/>
      <c r="EHB4" s="34"/>
      <c r="EHC4" s="34"/>
      <c r="EHD4" s="34"/>
      <c r="EHE4" s="34"/>
      <c r="EHF4" s="34"/>
      <c r="EHG4" s="34"/>
      <c r="EHH4" s="34"/>
      <c r="EHI4" s="34"/>
      <c r="EHJ4" s="34"/>
      <c r="EHK4" s="34"/>
      <c r="EHL4" s="34"/>
      <c r="EHM4" s="34"/>
      <c r="EHN4" s="34"/>
      <c r="EHO4" s="34"/>
      <c r="EHP4" s="34"/>
      <c r="EHQ4" s="34"/>
      <c r="EHR4" s="34"/>
      <c r="EHS4" s="34"/>
      <c r="EHT4" s="34"/>
      <c r="EHU4" s="34"/>
      <c r="EHV4" s="34"/>
      <c r="EHW4" s="34"/>
      <c r="EHX4" s="34"/>
      <c r="EHY4" s="34"/>
      <c r="EHZ4" s="34"/>
      <c r="EIA4" s="34"/>
      <c r="EIB4" s="34"/>
      <c r="EIC4" s="34"/>
      <c r="EID4" s="34"/>
      <c r="EIE4" s="34"/>
      <c r="EIF4" s="34"/>
      <c r="EIG4" s="34"/>
      <c r="EIH4" s="34"/>
      <c r="EII4" s="34"/>
      <c r="EIJ4" s="34"/>
      <c r="EIK4" s="34"/>
      <c r="EIL4" s="34"/>
      <c r="EIM4" s="34"/>
      <c r="EIN4" s="34"/>
      <c r="EIO4" s="34"/>
      <c r="EIP4" s="34"/>
      <c r="EIQ4" s="34"/>
      <c r="EIR4" s="34"/>
      <c r="EIS4" s="34"/>
      <c r="EIT4" s="34"/>
      <c r="EIU4" s="34"/>
      <c r="EIV4" s="34"/>
      <c r="EIW4" s="34"/>
      <c r="EIX4" s="34"/>
      <c r="EIY4" s="34"/>
      <c r="EIZ4" s="34"/>
      <c r="EJA4" s="34"/>
      <c r="EJB4" s="34"/>
      <c r="EJC4" s="34"/>
      <c r="EJD4" s="34"/>
      <c r="EJE4" s="34"/>
      <c r="EJF4" s="34"/>
      <c r="EJG4" s="34"/>
      <c r="EJH4" s="34"/>
      <c r="EJI4" s="34"/>
      <c r="EJJ4" s="34"/>
      <c r="EJK4" s="34"/>
      <c r="EJL4" s="34"/>
      <c r="EJM4" s="34"/>
      <c r="EJN4" s="34"/>
      <c r="EJO4" s="34"/>
      <c r="EJP4" s="34"/>
      <c r="EJQ4" s="34"/>
      <c r="EJR4" s="34"/>
      <c r="EJS4" s="34"/>
      <c r="EJT4" s="34"/>
      <c r="EJU4" s="34"/>
      <c r="EJV4" s="34"/>
      <c r="EJW4" s="34"/>
      <c r="EJX4" s="34"/>
      <c r="EJY4" s="34"/>
      <c r="EJZ4" s="34"/>
      <c r="EKA4" s="34"/>
      <c r="EKB4" s="34"/>
      <c r="EKC4" s="34"/>
      <c r="EKD4" s="34"/>
      <c r="EKE4" s="34"/>
      <c r="EKF4" s="34"/>
      <c r="EKG4" s="34"/>
      <c r="EKH4" s="34"/>
      <c r="EKI4" s="34"/>
      <c r="EKJ4" s="34"/>
      <c r="EKK4" s="34"/>
      <c r="EKL4" s="34"/>
      <c r="EKM4" s="34"/>
      <c r="EKN4" s="34"/>
      <c r="EKO4" s="34"/>
      <c r="EKP4" s="34"/>
      <c r="EKQ4" s="34"/>
      <c r="EKR4" s="34"/>
      <c r="EKS4" s="34"/>
      <c r="EKT4" s="34"/>
      <c r="EKU4" s="34"/>
      <c r="EKV4" s="34"/>
      <c r="EKW4" s="34"/>
      <c r="EKX4" s="34"/>
      <c r="EKY4" s="34"/>
      <c r="EKZ4" s="34"/>
      <c r="ELA4" s="34"/>
      <c r="ELB4" s="34"/>
      <c r="ELC4" s="34"/>
      <c r="ELD4" s="34"/>
      <c r="ELE4" s="34"/>
      <c r="ELF4" s="34"/>
      <c r="ELG4" s="34"/>
      <c r="ELH4" s="34"/>
      <c r="ELI4" s="34"/>
      <c r="ELJ4" s="34"/>
      <c r="ELK4" s="34"/>
      <c r="ELL4" s="34"/>
      <c r="ELM4" s="34"/>
      <c r="ELN4" s="34"/>
      <c r="ELO4" s="34"/>
      <c r="ELP4" s="34"/>
      <c r="ELQ4" s="34"/>
      <c r="ELR4" s="34"/>
      <c r="ELS4" s="34"/>
      <c r="ELT4" s="34"/>
      <c r="ELU4" s="34"/>
      <c r="ELV4" s="34"/>
      <c r="ELW4" s="34"/>
      <c r="ELX4" s="34"/>
      <c r="ELY4" s="34"/>
      <c r="ELZ4" s="34"/>
      <c r="EMA4" s="34"/>
      <c r="EMB4" s="34"/>
      <c r="EMC4" s="34"/>
      <c r="EMD4" s="34"/>
      <c r="EME4" s="34"/>
      <c r="EMF4" s="34"/>
      <c r="EMG4" s="34"/>
      <c r="EMH4" s="34"/>
      <c r="EMI4" s="34"/>
      <c r="EMJ4" s="34"/>
      <c r="EMK4" s="34"/>
      <c r="EML4" s="34"/>
      <c r="EMM4" s="34"/>
      <c r="EMN4" s="34"/>
      <c r="EMO4" s="34"/>
      <c r="EMP4" s="34"/>
      <c r="EMQ4" s="34"/>
      <c r="EMR4" s="34"/>
      <c r="EMS4" s="34"/>
      <c r="EMT4" s="34"/>
      <c r="EMU4" s="34"/>
      <c r="EMV4" s="34"/>
      <c r="EMW4" s="34"/>
      <c r="EMX4" s="34"/>
      <c r="EMY4" s="34"/>
      <c r="EMZ4" s="34"/>
      <c r="ENA4" s="34"/>
      <c r="ENB4" s="34"/>
      <c r="ENC4" s="34"/>
      <c r="END4" s="34"/>
      <c r="ENE4" s="34"/>
      <c r="ENF4" s="34"/>
      <c r="ENG4" s="34"/>
      <c r="ENH4" s="34"/>
      <c r="ENI4" s="34"/>
      <c r="ENJ4" s="34"/>
      <c r="ENK4" s="34"/>
      <c r="ENL4" s="34"/>
      <c r="ENM4" s="34"/>
      <c r="ENN4" s="34"/>
      <c r="ENO4" s="34"/>
      <c r="ENP4" s="34"/>
      <c r="ENQ4" s="34"/>
      <c r="ENR4" s="34"/>
      <c r="ENS4" s="34"/>
      <c r="ENT4" s="34"/>
      <c r="ENU4" s="34"/>
      <c r="ENV4" s="34"/>
      <c r="ENW4" s="34"/>
      <c r="ENX4" s="34"/>
      <c r="ENY4" s="34"/>
      <c r="ENZ4" s="34"/>
      <c r="EOA4" s="34"/>
      <c r="EOB4" s="34"/>
      <c r="EOC4" s="34"/>
      <c r="EOD4" s="34"/>
      <c r="EOE4" s="34"/>
      <c r="EOF4" s="34"/>
      <c r="EOG4" s="34"/>
      <c r="EOH4" s="34"/>
      <c r="EOI4" s="34"/>
      <c r="EOJ4" s="34"/>
      <c r="EOK4" s="34"/>
      <c r="EOL4" s="34"/>
      <c r="EOM4" s="34"/>
      <c r="EON4" s="34"/>
      <c r="EOO4" s="34"/>
      <c r="EOP4" s="34"/>
      <c r="EOQ4" s="34"/>
      <c r="EOR4" s="34"/>
      <c r="EOS4" s="34"/>
      <c r="EOT4" s="34"/>
      <c r="EOU4" s="34"/>
      <c r="EOV4" s="34"/>
      <c r="EOW4" s="34"/>
      <c r="EOX4" s="34"/>
      <c r="EOY4" s="34"/>
      <c r="EOZ4" s="34"/>
      <c r="EPA4" s="34"/>
      <c r="EPB4" s="34"/>
      <c r="EPC4" s="34"/>
      <c r="EPD4" s="34"/>
      <c r="EPE4" s="34"/>
      <c r="EPF4" s="34"/>
      <c r="EPG4" s="34"/>
      <c r="EPH4" s="34"/>
      <c r="EPI4" s="34"/>
      <c r="EPJ4" s="34"/>
      <c r="EPK4" s="34"/>
      <c r="EPL4" s="34"/>
      <c r="EPM4" s="34"/>
      <c r="EPN4" s="34"/>
      <c r="EPO4" s="34"/>
      <c r="EPP4" s="34"/>
      <c r="EPQ4" s="34"/>
      <c r="EPR4" s="34"/>
      <c r="EPS4" s="34"/>
      <c r="EPT4" s="34"/>
      <c r="EPU4" s="34"/>
      <c r="EPV4" s="34"/>
      <c r="EPW4" s="34"/>
      <c r="EPX4" s="34"/>
      <c r="EPY4" s="34"/>
      <c r="EPZ4" s="34"/>
      <c r="EQA4" s="34"/>
      <c r="EQB4" s="34"/>
      <c r="EQC4" s="34"/>
      <c r="EQD4" s="34"/>
      <c r="EQE4" s="34"/>
      <c r="EQF4" s="34"/>
      <c r="EQG4" s="34"/>
      <c r="EQH4" s="34"/>
      <c r="EQI4" s="34"/>
      <c r="EQJ4" s="34"/>
      <c r="EQK4" s="34"/>
      <c r="EQL4" s="34"/>
      <c r="EQM4" s="34"/>
      <c r="EQN4" s="34"/>
      <c r="EQO4" s="34"/>
      <c r="EQP4" s="34"/>
      <c r="EQQ4" s="34"/>
      <c r="EQR4" s="34"/>
      <c r="EQS4" s="34"/>
      <c r="EQT4" s="34"/>
      <c r="EQU4" s="34"/>
      <c r="EQV4" s="34"/>
      <c r="EQW4" s="34"/>
      <c r="EQX4" s="34"/>
      <c r="EQY4" s="34"/>
      <c r="EQZ4" s="34"/>
      <c r="ERA4" s="34"/>
      <c r="ERB4" s="34"/>
      <c r="ERC4" s="34"/>
      <c r="ERD4" s="34"/>
      <c r="ERE4" s="34"/>
      <c r="ERF4" s="34"/>
      <c r="ERG4" s="34"/>
      <c r="ERH4" s="34"/>
      <c r="ERI4" s="34"/>
      <c r="ERJ4" s="34"/>
      <c r="ERK4" s="34"/>
      <c r="ERL4" s="34"/>
      <c r="ERM4" s="34"/>
      <c r="ERN4" s="34"/>
      <c r="ERO4" s="34"/>
      <c r="ERP4" s="34"/>
      <c r="ERQ4" s="34"/>
      <c r="ERR4" s="34"/>
      <c r="ERS4" s="34"/>
      <c r="ERT4" s="34"/>
      <c r="ERU4" s="34"/>
      <c r="ERV4" s="34"/>
      <c r="ERW4" s="34"/>
      <c r="ERX4" s="34"/>
      <c r="ERY4" s="34"/>
      <c r="ERZ4" s="34"/>
      <c r="ESA4" s="34"/>
      <c r="ESB4" s="34"/>
      <c r="ESC4" s="34"/>
      <c r="ESD4" s="34"/>
      <c r="ESE4" s="34"/>
      <c r="ESF4" s="34"/>
      <c r="ESG4" s="34"/>
      <c r="ESH4" s="34"/>
      <c r="ESI4" s="34"/>
      <c r="ESJ4" s="34"/>
      <c r="ESK4" s="34"/>
      <c r="ESL4" s="34"/>
      <c r="ESM4" s="34"/>
      <c r="ESN4" s="34"/>
      <c r="ESO4" s="34"/>
      <c r="ESP4" s="34"/>
      <c r="ESQ4" s="34"/>
      <c r="ESR4" s="34"/>
      <c r="ESS4" s="34"/>
      <c r="EST4" s="34"/>
      <c r="ESU4" s="34"/>
      <c r="ESV4" s="34"/>
      <c r="ESW4" s="34"/>
      <c r="ESX4" s="34"/>
      <c r="ESY4" s="34"/>
      <c r="ESZ4" s="34"/>
      <c r="ETA4" s="34"/>
      <c r="ETB4" s="34"/>
      <c r="ETC4" s="34"/>
      <c r="ETD4" s="34"/>
      <c r="ETE4" s="34"/>
      <c r="ETF4" s="34"/>
      <c r="ETG4" s="34"/>
      <c r="ETH4" s="34"/>
      <c r="ETI4" s="34"/>
      <c r="ETJ4" s="34"/>
      <c r="ETK4" s="34"/>
      <c r="ETL4" s="34"/>
      <c r="ETM4" s="34"/>
      <c r="ETN4" s="34"/>
      <c r="ETO4" s="34"/>
      <c r="ETP4" s="34"/>
      <c r="ETQ4" s="34"/>
      <c r="ETR4" s="34"/>
      <c r="ETS4" s="34"/>
      <c r="ETT4" s="34"/>
      <c r="ETU4" s="34"/>
      <c r="ETV4" s="34"/>
      <c r="ETW4" s="34"/>
      <c r="ETX4" s="34"/>
      <c r="ETY4" s="34"/>
      <c r="ETZ4" s="34"/>
      <c r="EUA4" s="34"/>
      <c r="EUB4" s="34"/>
      <c r="EUC4" s="34"/>
      <c r="EUD4" s="34"/>
      <c r="EUE4" s="34"/>
      <c r="EUF4" s="34"/>
      <c r="EUG4" s="34"/>
      <c r="EUH4" s="34"/>
      <c r="EUI4" s="34"/>
      <c r="EUJ4" s="34"/>
      <c r="EUK4" s="34"/>
      <c r="EUL4" s="34"/>
      <c r="EUM4" s="34"/>
      <c r="EUN4" s="34"/>
      <c r="EUO4" s="34"/>
      <c r="EUP4" s="34"/>
      <c r="EUQ4" s="34"/>
      <c r="EUR4" s="34"/>
      <c r="EUS4" s="34"/>
      <c r="EUT4" s="34"/>
      <c r="EUU4" s="34"/>
      <c r="EUV4" s="34"/>
      <c r="EUW4" s="34"/>
      <c r="EUX4" s="34"/>
      <c r="EUY4" s="34"/>
      <c r="EUZ4" s="34"/>
      <c r="EVA4" s="34"/>
      <c r="EVB4" s="34"/>
      <c r="EVC4" s="34"/>
      <c r="EVD4" s="34"/>
      <c r="EVE4" s="34"/>
      <c r="EVF4" s="34"/>
      <c r="EVG4" s="34"/>
      <c r="EVH4" s="34"/>
      <c r="EVI4" s="34"/>
      <c r="EVJ4" s="34"/>
      <c r="EVK4" s="34"/>
      <c r="EVL4" s="34"/>
      <c r="EVM4" s="34"/>
      <c r="EVN4" s="34"/>
      <c r="EVO4" s="34"/>
      <c r="EVP4" s="34"/>
      <c r="EVQ4" s="34"/>
      <c r="EVR4" s="34"/>
      <c r="EVS4" s="34"/>
      <c r="EVT4" s="34"/>
      <c r="EVU4" s="34"/>
      <c r="EVV4" s="34"/>
      <c r="EVW4" s="34"/>
      <c r="EVX4" s="34"/>
      <c r="EVY4" s="34"/>
      <c r="EVZ4" s="34"/>
      <c r="EWA4" s="34"/>
      <c r="EWB4" s="34"/>
      <c r="EWC4" s="34"/>
      <c r="EWD4" s="34"/>
      <c r="EWE4" s="34"/>
      <c r="EWF4" s="34"/>
      <c r="EWG4" s="34"/>
      <c r="EWH4" s="34"/>
      <c r="EWI4" s="34"/>
      <c r="EWJ4" s="34"/>
      <c r="EWK4" s="34"/>
      <c r="EWL4" s="34"/>
      <c r="EWM4" s="34"/>
      <c r="EWN4" s="34"/>
      <c r="EWO4" s="34"/>
      <c r="EWP4" s="34"/>
      <c r="EWQ4" s="34"/>
      <c r="EWR4" s="34"/>
      <c r="EWS4" s="34"/>
      <c r="EWT4" s="34"/>
      <c r="EWU4" s="34"/>
      <c r="EWV4" s="34"/>
      <c r="EWW4" s="34"/>
      <c r="EWX4" s="34"/>
      <c r="EWY4" s="34"/>
      <c r="EWZ4" s="34"/>
      <c r="EXA4" s="34"/>
      <c r="EXB4" s="34"/>
      <c r="EXC4" s="34"/>
      <c r="EXD4" s="34"/>
      <c r="EXE4" s="34"/>
      <c r="EXF4" s="34"/>
      <c r="EXG4" s="34"/>
      <c r="EXH4" s="34"/>
      <c r="EXI4" s="34"/>
      <c r="EXJ4" s="34"/>
      <c r="EXK4" s="34"/>
      <c r="EXL4" s="34"/>
      <c r="EXM4" s="34"/>
      <c r="EXN4" s="34"/>
      <c r="EXO4" s="34"/>
      <c r="EXP4" s="34"/>
      <c r="EXQ4" s="34"/>
      <c r="EXR4" s="34"/>
      <c r="EXS4" s="34"/>
      <c r="EXT4" s="34"/>
      <c r="EXU4" s="34"/>
      <c r="EXV4" s="34"/>
      <c r="EXW4" s="34"/>
      <c r="EXX4" s="34"/>
      <c r="EXY4" s="34"/>
      <c r="EXZ4" s="34"/>
      <c r="EYA4" s="34"/>
      <c r="EYB4" s="34"/>
      <c r="EYC4" s="34"/>
      <c r="EYD4" s="34"/>
      <c r="EYE4" s="34"/>
      <c r="EYF4" s="34"/>
      <c r="EYG4" s="34"/>
      <c r="EYH4" s="34"/>
      <c r="EYI4" s="34"/>
      <c r="EYJ4" s="34"/>
      <c r="EYK4" s="34"/>
      <c r="EYL4" s="34"/>
      <c r="EYM4" s="34"/>
      <c r="EYN4" s="34"/>
      <c r="EYO4" s="34"/>
      <c r="EYP4" s="34"/>
      <c r="EYQ4" s="34"/>
      <c r="EYR4" s="34"/>
      <c r="EYS4" s="34"/>
      <c r="EYT4" s="34"/>
      <c r="EYU4" s="34"/>
      <c r="EYV4" s="34"/>
      <c r="EYW4" s="34"/>
      <c r="EYX4" s="34"/>
      <c r="EYY4" s="34"/>
      <c r="EYZ4" s="34"/>
      <c r="EZA4" s="34"/>
      <c r="EZB4" s="34"/>
      <c r="EZC4" s="34"/>
      <c r="EZD4" s="34"/>
      <c r="EZE4" s="34"/>
      <c r="EZF4" s="34"/>
      <c r="EZG4" s="34"/>
      <c r="EZH4" s="34"/>
      <c r="EZI4" s="34"/>
      <c r="EZJ4" s="34"/>
      <c r="EZK4" s="34"/>
      <c r="EZL4" s="34"/>
      <c r="EZM4" s="34"/>
      <c r="EZN4" s="34"/>
      <c r="EZO4" s="34"/>
      <c r="EZP4" s="34"/>
      <c r="EZQ4" s="34"/>
      <c r="EZR4" s="34"/>
      <c r="EZS4" s="34"/>
      <c r="EZT4" s="34"/>
      <c r="EZU4" s="34"/>
      <c r="EZV4" s="34"/>
      <c r="EZW4" s="34"/>
      <c r="EZX4" s="34"/>
      <c r="EZY4" s="34"/>
      <c r="EZZ4" s="34"/>
      <c r="FAA4" s="34"/>
      <c r="FAB4" s="34"/>
      <c r="FAC4" s="34"/>
      <c r="FAD4" s="34"/>
      <c r="FAE4" s="34"/>
      <c r="FAF4" s="34"/>
      <c r="FAG4" s="34"/>
      <c r="FAH4" s="34"/>
      <c r="FAI4" s="34"/>
      <c r="FAJ4" s="34"/>
      <c r="FAK4" s="34"/>
      <c r="FAL4" s="34"/>
      <c r="FAM4" s="34"/>
      <c r="FAN4" s="34"/>
      <c r="FAO4" s="34"/>
      <c r="FAP4" s="34"/>
      <c r="FAQ4" s="34"/>
      <c r="FAR4" s="34"/>
      <c r="FAS4" s="34"/>
      <c r="FAT4" s="34"/>
      <c r="FAU4" s="34"/>
      <c r="FAV4" s="34"/>
      <c r="FAW4" s="34"/>
      <c r="FAX4" s="34"/>
      <c r="FAY4" s="34"/>
      <c r="FAZ4" s="34"/>
      <c r="FBA4" s="34"/>
      <c r="FBB4" s="34"/>
      <c r="FBC4" s="34"/>
      <c r="FBD4" s="34"/>
      <c r="FBE4" s="34"/>
      <c r="FBF4" s="34"/>
      <c r="FBG4" s="34"/>
      <c r="FBH4" s="34"/>
      <c r="FBI4" s="34"/>
      <c r="FBJ4" s="34"/>
      <c r="FBK4" s="34"/>
      <c r="FBL4" s="34"/>
      <c r="FBM4" s="34"/>
      <c r="FBN4" s="34"/>
      <c r="FBO4" s="34"/>
      <c r="FBP4" s="34"/>
      <c r="FBQ4" s="34"/>
      <c r="FBR4" s="34"/>
      <c r="FBS4" s="34"/>
      <c r="FBT4" s="34"/>
      <c r="FBU4" s="34"/>
      <c r="FBV4" s="34"/>
      <c r="FBW4" s="34"/>
      <c r="FBX4" s="34"/>
      <c r="FBY4" s="34"/>
      <c r="FBZ4" s="34"/>
      <c r="FCA4" s="34"/>
      <c r="FCB4" s="34"/>
      <c r="FCC4" s="34"/>
      <c r="FCD4" s="34"/>
      <c r="FCE4" s="34"/>
      <c r="FCF4" s="34"/>
      <c r="FCG4" s="34"/>
      <c r="FCH4" s="34"/>
      <c r="FCI4" s="34"/>
      <c r="FCJ4" s="34"/>
      <c r="FCK4" s="34"/>
      <c r="FCL4" s="34"/>
      <c r="FCM4" s="34"/>
      <c r="FCN4" s="34"/>
      <c r="FCO4" s="34"/>
      <c r="FCP4" s="34"/>
      <c r="FCQ4" s="34"/>
      <c r="FCR4" s="34"/>
      <c r="FCS4" s="34"/>
      <c r="FCT4" s="34"/>
      <c r="FCU4" s="34"/>
      <c r="FCV4" s="34"/>
      <c r="FCW4" s="34"/>
      <c r="FCX4" s="34"/>
      <c r="FCY4" s="34"/>
      <c r="FCZ4" s="34"/>
      <c r="FDA4" s="34"/>
      <c r="FDB4" s="34"/>
      <c r="FDC4" s="34"/>
      <c r="FDD4" s="34"/>
      <c r="FDE4" s="34"/>
      <c r="FDF4" s="34"/>
      <c r="FDG4" s="34"/>
      <c r="FDH4" s="34"/>
      <c r="FDI4" s="34"/>
      <c r="FDJ4" s="34"/>
      <c r="FDK4" s="34"/>
      <c r="FDL4" s="34"/>
      <c r="FDM4" s="34"/>
      <c r="FDN4" s="34"/>
      <c r="FDO4" s="34"/>
      <c r="FDP4" s="34"/>
      <c r="FDQ4" s="34"/>
      <c r="FDR4" s="34"/>
      <c r="FDS4" s="34"/>
      <c r="FDT4" s="34"/>
      <c r="FDU4" s="34"/>
      <c r="FDV4" s="34"/>
      <c r="FDW4" s="34"/>
      <c r="FDX4" s="34"/>
      <c r="FDY4" s="34"/>
      <c r="FDZ4" s="34"/>
      <c r="FEA4" s="34"/>
      <c r="FEB4" s="34"/>
      <c r="FEC4" s="34"/>
      <c r="FED4" s="34"/>
      <c r="FEE4" s="34"/>
      <c r="FEF4" s="34"/>
      <c r="FEG4" s="34"/>
      <c r="FEH4" s="34"/>
      <c r="FEI4" s="34"/>
      <c r="FEJ4" s="34"/>
      <c r="FEK4" s="34"/>
      <c r="FEL4" s="34"/>
      <c r="FEM4" s="34"/>
      <c r="FEN4" s="34"/>
      <c r="FEO4" s="34"/>
      <c r="FEP4" s="34"/>
      <c r="FEQ4" s="34"/>
      <c r="FER4" s="34"/>
      <c r="FES4" s="34"/>
      <c r="FET4" s="34"/>
      <c r="FEU4" s="34"/>
      <c r="FEV4" s="34"/>
      <c r="FEW4" s="34"/>
      <c r="FEX4" s="34"/>
      <c r="FEY4" s="34"/>
      <c r="FEZ4" s="34"/>
      <c r="FFA4" s="34"/>
      <c r="FFB4" s="34"/>
      <c r="FFC4" s="34"/>
      <c r="FFD4" s="34"/>
      <c r="FFE4" s="34"/>
      <c r="FFF4" s="34"/>
      <c r="FFG4" s="34"/>
      <c r="FFH4" s="34"/>
      <c r="FFI4" s="34"/>
      <c r="FFJ4" s="34"/>
      <c r="FFK4" s="34"/>
      <c r="FFL4" s="34"/>
      <c r="FFM4" s="34"/>
      <c r="FFN4" s="34"/>
      <c r="FFO4" s="34"/>
      <c r="FFP4" s="34"/>
      <c r="FFQ4" s="34"/>
      <c r="FFR4" s="34"/>
      <c r="FFS4" s="34"/>
      <c r="FFT4" s="34"/>
      <c r="FFU4" s="34"/>
      <c r="FFV4" s="34"/>
      <c r="FFW4" s="34"/>
      <c r="FFX4" s="34"/>
      <c r="FFY4" s="34"/>
      <c r="FFZ4" s="34"/>
      <c r="FGA4" s="34"/>
      <c r="FGB4" s="34"/>
      <c r="FGC4" s="34"/>
      <c r="FGD4" s="34"/>
      <c r="FGE4" s="34"/>
      <c r="FGF4" s="34"/>
      <c r="FGG4" s="34"/>
      <c r="FGH4" s="34"/>
      <c r="FGI4" s="34"/>
      <c r="FGJ4" s="34"/>
      <c r="FGK4" s="34"/>
      <c r="FGL4" s="34"/>
      <c r="FGM4" s="34"/>
      <c r="FGN4" s="34"/>
      <c r="FGO4" s="34"/>
      <c r="FGP4" s="34"/>
      <c r="FGQ4" s="34"/>
      <c r="FGR4" s="34"/>
      <c r="FGS4" s="34"/>
      <c r="FGT4" s="34"/>
      <c r="FGU4" s="34"/>
      <c r="FGV4" s="34"/>
      <c r="FGW4" s="34"/>
      <c r="FGX4" s="34"/>
      <c r="FGY4" s="34"/>
      <c r="FGZ4" s="34"/>
      <c r="FHA4" s="34"/>
      <c r="FHB4" s="34"/>
      <c r="FHC4" s="34"/>
      <c r="FHD4" s="34"/>
      <c r="FHE4" s="34"/>
      <c r="FHF4" s="34"/>
      <c r="FHG4" s="34"/>
      <c r="FHH4" s="34"/>
      <c r="FHI4" s="34"/>
      <c r="FHJ4" s="34"/>
      <c r="FHK4" s="34"/>
      <c r="FHL4" s="34"/>
      <c r="FHM4" s="34"/>
      <c r="FHN4" s="34"/>
      <c r="FHO4" s="34"/>
      <c r="FHP4" s="34"/>
      <c r="FHQ4" s="34"/>
      <c r="FHR4" s="34"/>
      <c r="FHS4" s="34"/>
      <c r="FHT4" s="34"/>
      <c r="FHU4" s="34"/>
      <c r="FHV4" s="34"/>
      <c r="FHW4" s="34"/>
      <c r="FHX4" s="34"/>
      <c r="FHY4" s="34"/>
      <c r="FHZ4" s="34"/>
      <c r="FIA4" s="34"/>
      <c r="FIB4" s="34"/>
      <c r="FIC4" s="34"/>
      <c r="FID4" s="34"/>
      <c r="FIE4" s="34"/>
      <c r="FIF4" s="34"/>
      <c r="FIG4" s="34"/>
      <c r="FIH4" s="34"/>
      <c r="FII4" s="34"/>
      <c r="FIJ4" s="34"/>
      <c r="FIK4" s="34"/>
      <c r="FIL4" s="34"/>
      <c r="FIM4" s="34"/>
      <c r="FIN4" s="34"/>
      <c r="FIO4" s="34"/>
      <c r="FIP4" s="34"/>
      <c r="FIQ4" s="34"/>
      <c r="FIR4" s="34"/>
      <c r="FIS4" s="34"/>
      <c r="FIT4" s="34"/>
      <c r="FIU4" s="34"/>
      <c r="FIV4" s="34"/>
      <c r="FIW4" s="34"/>
      <c r="FIX4" s="34"/>
      <c r="FIY4" s="34"/>
      <c r="FIZ4" s="34"/>
      <c r="FJA4" s="34"/>
      <c r="FJB4" s="34"/>
      <c r="FJC4" s="34"/>
      <c r="FJD4" s="34"/>
      <c r="FJE4" s="34"/>
      <c r="FJF4" s="34"/>
      <c r="FJG4" s="34"/>
      <c r="FJH4" s="34"/>
      <c r="FJI4" s="34"/>
      <c r="FJJ4" s="34"/>
      <c r="FJK4" s="34"/>
      <c r="FJL4" s="34"/>
      <c r="FJM4" s="34"/>
      <c r="FJN4" s="34"/>
      <c r="FJO4" s="34"/>
      <c r="FJP4" s="34"/>
      <c r="FJQ4" s="34"/>
      <c r="FJR4" s="34"/>
      <c r="FJS4" s="34"/>
      <c r="FJT4" s="34"/>
      <c r="FJU4" s="34"/>
      <c r="FJV4" s="34"/>
      <c r="FJW4" s="34"/>
      <c r="FJX4" s="34"/>
      <c r="FJY4" s="34"/>
      <c r="FJZ4" s="34"/>
      <c r="FKA4" s="34"/>
      <c r="FKB4" s="34"/>
      <c r="FKC4" s="34"/>
      <c r="FKD4" s="34"/>
      <c r="FKE4" s="34"/>
      <c r="FKF4" s="34"/>
      <c r="FKG4" s="34"/>
      <c r="FKH4" s="34"/>
      <c r="FKI4" s="34"/>
      <c r="FKJ4" s="34"/>
      <c r="FKK4" s="34"/>
      <c r="FKL4" s="34"/>
      <c r="FKM4" s="34"/>
      <c r="FKN4" s="34"/>
      <c r="FKO4" s="34"/>
      <c r="FKP4" s="34"/>
      <c r="FKQ4" s="34"/>
      <c r="FKR4" s="34"/>
      <c r="FKS4" s="34"/>
      <c r="FKT4" s="34"/>
      <c r="FKU4" s="34"/>
      <c r="FKV4" s="34"/>
      <c r="FKW4" s="34"/>
      <c r="FKX4" s="34"/>
      <c r="FKY4" s="34"/>
      <c r="FKZ4" s="34"/>
      <c r="FLA4" s="34"/>
      <c r="FLB4" s="34"/>
      <c r="FLC4" s="34"/>
      <c r="FLD4" s="34"/>
      <c r="FLE4" s="34"/>
      <c r="FLF4" s="34"/>
      <c r="FLG4" s="34"/>
      <c r="FLH4" s="34"/>
      <c r="FLI4" s="34"/>
      <c r="FLJ4" s="34"/>
      <c r="FLK4" s="34"/>
      <c r="FLL4" s="34"/>
      <c r="FLM4" s="34"/>
      <c r="FLN4" s="34"/>
      <c r="FLO4" s="34"/>
      <c r="FLP4" s="34"/>
      <c r="FLQ4" s="34"/>
      <c r="FLR4" s="34"/>
      <c r="FLS4" s="34"/>
      <c r="FLT4" s="34"/>
      <c r="FLU4" s="34"/>
      <c r="FLV4" s="34"/>
      <c r="FLW4" s="34"/>
      <c r="FLX4" s="34"/>
      <c r="FLY4" s="34"/>
      <c r="FLZ4" s="34"/>
      <c r="FMA4" s="34"/>
      <c r="FMB4" s="34"/>
      <c r="FMC4" s="34"/>
      <c r="FMD4" s="34"/>
      <c r="FME4" s="34"/>
      <c r="FMF4" s="34"/>
      <c r="FMG4" s="34"/>
      <c r="FMH4" s="34"/>
      <c r="FMI4" s="34"/>
      <c r="FMJ4" s="34"/>
      <c r="FMK4" s="34"/>
      <c r="FML4" s="34"/>
      <c r="FMM4" s="34"/>
      <c r="FMN4" s="34"/>
      <c r="FMO4" s="34"/>
      <c r="FMP4" s="34"/>
      <c r="FMQ4" s="34"/>
      <c r="FMR4" s="34"/>
      <c r="FMS4" s="34"/>
      <c r="FMT4" s="34"/>
      <c r="FMU4" s="34"/>
      <c r="FMV4" s="34"/>
      <c r="FMW4" s="34"/>
      <c r="FMX4" s="34"/>
      <c r="FMY4" s="34"/>
      <c r="FMZ4" s="34"/>
      <c r="FNA4" s="34"/>
      <c r="FNB4" s="34"/>
      <c r="FNC4" s="34"/>
      <c r="FND4" s="34"/>
      <c r="FNE4" s="34"/>
      <c r="FNF4" s="34"/>
      <c r="FNG4" s="34"/>
      <c r="FNH4" s="34"/>
      <c r="FNI4" s="34"/>
      <c r="FNJ4" s="34"/>
      <c r="FNK4" s="34"/>
      <c r="FNL4" s="34"/>
      <c r="FNM4" s="34"/>
      <c r="FNN4" s="34"/>
      <c r="FNO4" s="34"/>
      <c r="FNP4" s="34"/>
      <c r="FNQ4" s="34"/>
      <c r="FNR4" s="34"/>
      <c r="FNS4" s="34"/>
      <c r="FNT4" s="34"/>
      <c r="FNU4" s="34"/>
      <c r="FNV4" s="34"/>
      <c r="FNW4" s="34"/>
      <c r="FNX4" s="34"/>
      <c r="FNY4" s="34"/>
      <c r="FNZ4" s="34"/>
      <c r="FOA4" s="34"/>
      <c r="FOB4" s="34"/>
      <c r="FOC4" s="34"/>
      <c r="FOD4" s="34"/>
      <c r="FOE4" s="34"/>
      <c r="FOF4" s="34"/>
      <c r="FOG4" s="34"/>
      <c r="FOH4" s="34"/>
      <c r="FOI4" s="34"/>
      <c r="FOJ4" s="34"/>
      <c r="FOK4" s="34"/>
      <c r="FOL4" s="34"/>
      <c r="FOM4" s="34"/>
      <c r="FON4" s="34"/>
      <c r="FOO4" s="34"/>
      <c r="FOP4" s="34"/>
      <c r="FOQ4" s="34"/>
      <c r="FOR4" s="34"/>
      <c r="FOS4" s="34"/>
      <c r="FOT4" s="34"/>
      <c r="FOU4" s="34"/>
      <c r="FOV4" s="34"/>
      <c r="FOW4" s="34"/>
      <c r="FOX4" s="34"/>
      <c r="FOY4" s="34"/>
      <c r="FOZ4" s="34"/>
      <c r="FPA4" s="34"/>
      <c r="FPB4" s="34"/>
      <c r="FPC4" s="34"/>
      <c r="FPD4" s="34"/>
      <c r="FPE4" s="34"/>
      <c r="FPF4" s="34"/>
      <c r="FPG4" s="34"/>
      <c r="FPH4" s="34"/>
      <c r="FPI4" s="34"/>
      <c r="FPJ4" s="34"/>
      <c r="FPK4" s="34"/>
      <c r="FPL4" s="34"/>
      <c r="FPM4" s="34"/>
      <c r="FPN4" s="34"/>
      <c r="FPO4" s="34"/>
      <c r="FPP4" s="34"/>
      <c r="FPQ4" s="34"/>
      <c r="FPR4" s="34"/>
      <c r="FPS4" s="34"/>
      <c r="FPT4" s="34"/>
      <c r="FPU4" s="34"/>
      <c r="FPV4" s="34"/>
      <c r="FPW4" s="34"/>
      <c r="FPX4" s="34"/>
      <c r="FPY4" s="34"/>
      <c r="FPZ4" s="34"/>
      <c r="FQA4" s="34"/>
      <c r="FQB4" s="34"/>
      <c r="FQC4" s="34"/>
      <c r="FQD4" s="34"/>
      <c r="FQE4" s="34"/>
      <c r="FQF4" s="34"/>
      <c r="FQG4" s="34"/>
      <c r="FQH4" s="34"/>
      <c r="FQI4" s="34"/>
      <c r="FQJ4" s="34"/>
      <c r="FQK4" s="34"/>
      <c r="FQL4" s="34"/>
      <c r="FQM4" s="34"/>
      <c r="FQN4" s="34"/>
      <c r="FQO4" s="34"/>
      <c r="FQP4" s="34"/>
      <c r="FQQ4" s="34"/>
      <c r="FQR4" s="34"/>
      <c r="FQS4" s="34"/>
      <c r="FQT4" s="34"/>
      <c r="FQU4" s="34"/>
      <c r="FQV4" s="34"/>
      <c r="FQW4" s="34"/>
      <c r="FQX4" s="34"/>
      <c r="FQY4" s="34"/>
      <c r="FQZ4" s="34"/>
      <c r="FRA4" s="34"/>
      <c r="FRB4" s="34"/>
      <c r="FRC4" s="34"/>
      <c r="FRD4" s="34"/>
      <c r="FRE4" s="34"/>
      <c r="FRF4" s="34"/>
      <c r="FRG4" s="34"/>
      <c r="FRH4" s="34"/>
      <c r="FRI4" s="34"/>
      <c r="FRJ4" s="34"/>
      <c r="FRK4" s="34"/>
      <c r="FRL4" s="34"/>
      <c r="FRM4" s="34"/>
      <c r="FRN4" s="34"/>
      <c r="FRO4" s="34"/>
      <c r="FRP4" s="34"/>
      <c r="FRQ4" s="34"/>
      <c r="FRR4" s="34"/>
      <c r="FRS4" s="34"/>
      <c r="FRT4" s="34"/>
      <c r="FRU4" s="34"/>
      <c r="FRV4" s="34"/>
      <c r="FRW4" s="34"/>
      <c r="FRX4" s="34"/>
      <c r="FRY4" s="34"/>
      <c r="FRZ4" s="34"/>
      <c r="FSA4" s="34"/>
      <c r="FSB4" s="34"/>
      <c r="FSC4" s="34"/>
      <c r="FSD4" s="34"/>
      <c r="FSE4" s="34"/>
      <c r="FSF4" s="34"/>
      <c r="FSG4" s="34"/>
      <c r="FSH4" s="34"/>
      <c r="FSI4" s="34"/>
      <c r="FSJ4" s="34"/>
      <c r="FSK4" s="34"/>
      <c r="FSL4" s="34"/>
      <c r="FSM4" s="34"/>
      <c r="FSN4" s="34"/>
      <c r="FSO4" s="34"/>
      <c r="FSP4" s="34"/>
      <c r="FSQ4" s="34"/>
      <c r="FSR4" s="34"/>
      <c r="FSS4" s="34"/>
      <c r="FST4" s="34"/>
      <c r="FSU4" s="34"/>
      <c r="FSV4" s="34"/>
      <c r="FSW4" s="34"/>
      <c r="FSX4" s="34"/>
      <c r="FSY4" s="34"/>
      <c r="FSZ4" s="34"/>
      <c r="FTA4" s="34"/>
      <c r="FTB4" s="34"/>
      <c r="FTC4" s="34"/>
      <c r="FTD4" s="34"/>
      <c r="FTE4" s="34"/>
      <c r="FTF4" s="34"/>
      <c r="FTG4" s="34"/>
      <c r="FTH4" s="34"/>
      <c r="FTI4" s="34"/>
      <c r="FTJ4" s="34"/>
      <c r="FTK4" s="34"/>
      <c r="FTL4" s="34"/>
      <c r="FTM4" s="34"/>
      <c r="FTN4" s="34"/>
      <c r="FTO4" s="34"/>
      <c r="FTP4" s="34"/>
      <c r="FTQ4" s="34"/>
      <c r="FTR4" s="34"/>
      <c r="FTS4" s="34"/>
      <c r="FTT4" s="34"/>
      <c r="FTU4" s="34"/>
      <c r="FTV4" s="34"/>
      <c r="FTW4" s="34"/>
      <c r="FTX4" s="34"/>
      <c r="FTY4" s="34"/>
      <c r="FTZ4" s="34"/>
      <c r="FUA4" s="34"/>
      <c r="FUB4" s="34"/>
      <c r="FUC4" s="34"/>
      <c r="FUD4" s="34"/>
      <c r="FUE4" s="34"/>
      <c r="FUF4" s="34"/>
      <c r="FUG4" s="34"/>
      <c r="FUH4" s="34"/>
      <c r="FUI4" s="34"/>
      <c r="FUJ4" s="34"/>
      <c r="FUK4" s="34"/>
      <c r="FUL4" s="34"/>
      <c r="FUM4" s="34"/>
      <c r="FUN4" s="34"/>
      <c r="FUO4" s="34"/>
      <c r="FUP4" s="34"/>
      <c r="FUQ4" s="34"/>
      <c r="FUR4" s="34"/>
      <c r="FUS4" s="34"/>
      <c r="FUT4" s="34"/>
      <c r="FUU4" s="34"/>
      <c r="FUV4" s="34"/>
      <c r="FUW4" s="34"/>
      <c r="FUX4" s="34"/>
      <c r="FUY4" s="34"/>
      <c r="FUZ4" s="34"/>
      <c r="FVA4" s="34"/>
      <c r="FVB4" s="34"/>
      <c r="FVC4" s="34"/>
      <c r="FVD4" s="34"/>
      <c r="FVE4" s="34"/>
      <c r="FVF4" s="34"/>
      <c r="FVG4" s="34"/>
      <c r="FVH4" s="34"/>
      <c r="FVI4" s="34"/>
      <c r="FVJ4" s="34"/>
      <c r="FVK4" s="34"/>
      <c r="FVL4" s="34"/>
      <c r="FVM4" s="34"/>
      <c r="FVN4" s="34"/>
      <c r="FVO4" s="34"/>
      <c r="FVP4" s="34"/>
      <c r="FVQ4" s="34"/>
      <c r="FVR4" s="34"/>
      <c r="FVS4" s="34"/>
      <c r="FVT4" s="34"/>
      <c r="FVU4" s="34"/>
      <c r="FVV4" s="34"/>
      <c r="FVW4" s="34"/>
      <c r="FVX4" s="34"/>
      <c r="FVY4" s="34"/>
      <c r="FVZ4" s="34"/>
      <c r="FWA4" s="34"/>
      <c r="FWB4" s="34"/>
      <c r="FWC4" s="34"/>
      <c r="FWD4" s="34"/>
      <c r="FWE4" s="34"/>
      <c r="FWF4" s="34"/>
      <c r="FWG4" s="34"/>
      <c r="FWH4" s="34"/>
      <c r="FWI4" s="34"/>
      <c r="FWJ4" s="34"/>
      <c r="FWK4" s="34"/>
      <c r="FWL4" s="34"/>
      <c r="FWM4" s="34"/>
      <c r="FWN4" s="34"/>
      <c r="FWO4" s="34"/>
      <c r="FWP4" s="34"/>
      <c r="FWQ4" s="34"/>
      <c r="FWR4" s="34"/>
      <c r="FWS4" s="34"/>
      <c r="FWT4" s="34"/>
      <c r="FWU4" s="34"/>
      <c r="FWV4" s="34"/>
      <c r="FWW4" s="34"/>
      <c r="FWX4" s="34"/>
      <c r="FWY4" s="34"/>
      <c r="FWZ4" s="34"/>
      <c r="FXA4" s="34"/>
      <c r="FXB4" s="34"/>
      <c r="FXC4" s="34"/>
      <c r="FXD4" s="34"/>
      <c r="FXE4" s="34"/>
      <c r="FXF4" s="34"/>
      <c r="FXG4" s="34"/>
      <c r="FXH4" s="34"/>
      <c r="FXI4" s="34"/>
      <c r="FXJ4" s="34"/>
      <c r="FXK4" s="34"/>
      <c r="FXL4" s="34"/>
      <c r="FXM4" s="34"/>
      <c r="FXN4" s="34"/>
      <c r="FXO4" s="34"/>
      <c r="FXP4" s="34"/>
      <c r="FXQ4" s="34"/>
      <c r="FXR4" s="34"/>
      <c r="FXS4" s="34"/>
      <c r="FXT4" s="34"/>
      <c r="FXU4" s="34"/>
      <c r="FXV4" s="34"/>
      <c r="FXW4" s="34"/>
      <c r="FXX4" s="34"/>
      <c r="FXY4" s="34"/>
      <c r="FXZ4" s="34"/>
      <c r="FYA4" s="34"/>
      <c r="FYB4" s="34"/>
      <c r="FYC4" s="34"/>
      <c r="FYD4" s="34"/>
      <c r="FYE4" s="34"/>
      <c r="FYF4" s="34"/>
      <c r="FYG4" s="34"/>
      <c r="FYH4" s="34"/>
      <c r="FYI4" s="34"/>
      <c r="FYJ4" s="34"/>
      <c r="FYK4" s="34"/>
      <c r="FYL4" s="34"/>
      <c r="FYM4" s="34"/>
      <c r="FYN4" s="34"/>
      <c r="FYO4" s="34"/>
      <c r="FYP4" s="34"/>
      <c r="FYQ4" s="34"/>
      <c r="FYR4" s="34"/>
      <c r="FYS4" s="34"/>
      <c r="FYT4" s="34"/>
      <c r="FYU4" s="34"/>
      <c r="FYV4" s="34"/>
      <c r="FYW4" s="34"/>
      <c r="FYX4" s="34"/>
      <c r="FYY4" s="34"/>
      <c r="FYZ4" s="34"/>
      <c r="FZA4" s="34"/>
      <c r="FZB4" s="34"/>
      <c r="FZC4" s="34"/>
      <c r="FZD4" s="34"/>
      <c r="FZE4" s="34"/>
      <c r="FZF4" s="34"/>
      <c r="FZG4" s="34"/>
      <c r="FZH4" s="34"/>
      <c r="FZI4" s="34"/>
      <c r="FZJ4" s="34"/>
      <c r="FZK4" s="34"/>
      <c r="FZL4" s="34"/>
      <c r="FZM4" s="34"/>
      <c r="FZN4" s="34"/>
      <c r="FZO4" s="34"/>
      <c r="FZP4" s="34"/>
      <c r="FZQ4" s="34"/>
      <c r="FZR4" s="34"/>
      <c r="FZS4" s="34"/>
      <c r="FZT4" s="34"/>
      <c r="FZU4" s="34"/>
      <c r="FZV4" s="34"/>
      <c r="FZW4" s="34"/>
      <c r="FZX4" s="34"/>
      <c r="FZY4" s="34"/>
      <c r="FZZ4" s="34"/>
      <c r="GAA4" s="34"/>
      <c r="GAB4" s="34"/>
      <c r="GAC4" s="34"/>
      <c r="GAD4" s="34"/>
      <c r="GAE4" s="34"/>
      <c r="GAF4" s="34"/>
      <c r="GAG4" s="34"/>
      <c r="GAH4" s="34"/>
      <c r="GAI4" s="34"/>
      <c r="GAJ4" s="34"/>
      <c r="GAK4" s="34"/>
      <c r="GAL4" s="34"/>
      <c r="GAM4" s="34"/>
      <c r="GAN4" s="34"/>
      <c r="GAO4" s="34"/>
      <c r="GAP4" s="34"/>
      <c r="GAQ4" s="34"/>
      <c r="GAR4" s="34"/>
      <c r="GAS4" s="34"/>
      <c r="GAT4" s="34"/>
      <c r="GAU4" s="34"/>
      <c r="GAV4" s="34"/>
      <c r="GAW4" s="34"/>
      <c r="GAX4" s="34"/>
      <c r="GAY4" s="34"/>
      <c r="GAZ4" s="34"/>
      <c r="GBA4" s="34"/>
      <c r="GBB4" s="34"/>
      <c r="GBC4" s="34"/>
      <c r="GBD4" s="34"/>
      <c r="GBE4" s="34"/>
      <c r="GBF4" s="34"/>
      <c r="GBG4" s="34"/>
      <c r="GBH4" s="34"/>
      <c r="GBI4" s="34"/>
      <c r="GBJ4" s="34"/>
      <c r="GBK4" s="34"/>
      <c r="GBL4" s="34"/>
      <c r="GBM4" s="34"/>
      <c r="GBN4" s="34"/>
      <c r="GBO4" s="34"/>
      <c r="GBP4" s="34"/>
      <c r="GBQ4" s="34"/>
      <c r="GBR4" s="34"/>
      <c r="GBS4" s="34"/>
      <c r="GBT4" s="34"/>
      <c r="GBU4" s="34"/>
      <c r="GBV4" s="34"/>
      <c r="GBW4" s="34"/>
      <c r="GBX4" s="34"/>
      <c r="GBY4" s="34"/>
      <c r="GBZ4" s="34"/>
      <c r="GCA4" s="34"/>
      <c r="GCB4" s="34"/>
      <c r="GCC4" s="34"/>
      <c r="GCD4" s="34"/>
      <c r="GCE4" s="34"/>
      <c r="GCF4" s="34"/>
      <c r="GCG4" s="34"/>
      <c r="GCH4" s="34"/>
      <c r="GCI4" s="34"/>
      <c r="GCJ4" s="34"/>
      <c r="GCK4" s="34"/>
      <c r="GCL4" s="34"/>
      <c r="GCM4" s="34"/>
      <c r="GCN4" s="34"/>
      <c r="GCO4" s="34"/>
      <c r="GCP4" s="34"/>
      <c r="GCQ4" s="34"/>
      <c r="GCR4" s="34"/>
      <c r="GCS4" s="34"/>
      <c r="GCT4" s="34"/>
      <c r="GCU4" s="34"/>
      <c r="GCV4" s="34"/>
      <c r="GCW4" s="34"/>
      <c r="GCX4" s="34"/>
      <c r="GCY4" s="34"/>
      <c r="GCZ4" s="34"/>
      <c r="GDA4" s="34"/>
      <c r="GDB4" s="34"/>
      <c r="GDC4" s="34"/>
      <c r="GDD4" s="34"/>
      <c r="GDE4" s="34"/>
      <c r="GDF4" s="34"/>
      <c r="GDG4" s="34"/>
      <c r="GDH4" s="34"/>
      <c r="GDI4" s="34"/>
      <c r="GDJ4" s="34"/>
      <c r="GDK4" s="34"/>
      <c r="GDL4" s="34"/>
      <c r="GDM4" s="34"/>
      <c r="GDN4" s="34"/>
      <c r="GDO4" s="34"/>
      <c r="GDP4" s="34"/>
      <c r="GDQ4" s="34"/>
      <c r="GDR4" s="34"/>
      <c r="GDS4" s="34"/>
      <c r="GDT4" s="34"/>
      <c r="GDU4" s="34"/>
      <c r="GDV4" s="34"/>
      <c r="GDW4" s="34"/>
      <c r="GDX4" s="34"/>
      <c r="GDY4" s="34"/>
      <c r="GDZ4" s="34"/>
      <c r="GEA4" s="34"/>
      <c r="GEB4" s="34"/>
      <c r="GEC4" s="34"/>
      <c r="GED4" s="34"/>
      <c r="GEE4" s="34"/>
      <c r="GEF4" s="34"/>
      <c r="GEG4" s="34"/>
      <c r="GEH4" s="34"/>
      <c r="GEI4" s="34"/>
      <c r="GEJ4" s="34"/>
      <c r="GEK4" s="34"/>
      <c r="GEL4" s="34"/>
      <c r="GEM4" s="34"/>
      <c r="GEN4" s="34"/>
      <c r="GEO4" s="34"/>
      <c r="GEP4" s="34"/>
      <c r="GEQ4" s="34"/>
      <c r="GER4" s="34"/>
      <c r="GES4" s="34"/>
      <c r="GET4" s="34"/>
      <c r="GEU4" s="34"/>
      <c r="GEV4" s="34"/>
      <c r="GEW4" s="34"/>
      <c r="GEX4" s="34"/>
      <c r="GEY4" s="34"/>
      <c r="GEZ4" s="34"/>
      <c r="GFA4" s="34"/>
      <c r="GFB4" s="34"/>
      <c r="GFC4" s="34"/>
      <c r="GFD4" s="34"/>
      <c r="GFE4" s="34"/>
      <c r="GFF4" s="34"/>
      <c r="GFG4" s="34"/>
      <c r="GFH4" s="34"/>
      <c r="GFI4" s="34"/>
      <c r="GFJ4" s="34"/>
      <c r="GFK4" s="34"/>
      <c r="GFL4" s="34"/>
      <c r="GFM4" s="34"/>
      <c r="GFN4" s="34"/>
      <c r="GFO4" s="34"/>
      <c r="GFP4" s="34"/>
      <c r="GFQ4" s="34"/>
      <c r="GFR4" s="34"/>
      <c r="GFS4" s="34"/>
      <c r="GFT4" s="34"/>
      <c r="GFU4" s="34"/>
      <c r="GFV4" s="34"/>
      <c r="GFW4" s="34"/>
      <c r="GFX4" s="34"/>
      <c r="GFY4" s="34"/>
      <c r="GFZ4" s="34"/>
      <c r="GGA4" s="34"/>
      <c r="GGB4" s="34"/>
      <c r="GGC4" s="34"/>
      <c r="GGD4" s="34"/>
      <c r="GGE4" s="34"/>
      <c r="GGF4" s="34"/>
      <c r="GGG4" s="34"/>
      <c r="GGH4" s="34"/>
      <c r="GGI4" s="34"/>
      <c r="GGJ4" s="34"/>
      <c r="GGK4" s="34"/>
      <c r="GGL4" s="34"/>
      <c r="GGM4" s="34"/>
      <c r="GGN4" s="34"/>
      <c r="GGO4" s="34"/>
      <c r="GGP4" s="34"/>
      <c r="GGQ4" s="34"/>
      <c r="GGR4" s="34"/>
      <c r="GGS4" s="34"/>
      <c r="GGT4" s="34"/>
      <c r="GGU4" s="34"/>
      <c r="GGV4" s="34"/>
      <c r="GGW4" s="34"/>
      <c r="GGX4" s="34"/>
      <c r="GGY4" s="34"/>
      <c r="GGZ4" s="34"/>
      <c r="GHA4" s="34"/>
      <c r="GHB4" s="34"/>
      <c r="GHC4" s="34"/>
      <c r="GHD4" s="34"/>
      <c r="GHE4" s="34"/>
      <c r="GHF4" s="34"/>
      <c r="GHG4" s="34"/>
      <c r="GHH4" s="34"/>
      <c r="GHI4" s="34"/>
      <c r="GHJ4" s="34"/>
      <c r="GHK4" s="34"/>
      <c r="GHL4" s="34"/>
      <c r="GHM4" s="34"/>
      <c r="GHN4" s="34"/>
      <c r="GHO4" s="34"/>
      <c r="GHP4" s="34"/>
      <c r="GHQ4" s="34"/>
      <c r="GHR4" s="34"/>
      <c r="GHS4" s="34"/>
      <c r="GHT4" s="34"/>
      <c r="GHU4" s="34"/>
      <c r="GHV4" s="34"/>
      <c r="GHW4" s="34"/>
      <c r="GHX4" s="34"/>
      <c r="GHY4" s="34"/>
      <c r="GHZ4" s="34"/>
      <c r="GIA4" s="34"/>
      <c r="GIB4" s="34"/>
      <c r="GIC4" s="34"/>
      <c r="GID4" s="34"/>
      <c r="GIE4" s="34"/>
      <c r="GIF4" s="34"/>
      <c r="GIG4" s="34"/>
      <c r="GIH4" s="34"/>
      <c r="GII4" s="34"/>
      <c r="GIJ4" s="34"/>
      <c r="GIK4" s="34"/>
      <c r="GIL4" s="34"/>
      <c r="GIM4" s="34"/>
      <c r="GIN4" s="34"/>
      <c r="GIO4" s="34"/>
      <c r="GIP4" s="34"/>
      <c r="GIQ4" s="34"/>
      <c r="GIR4" s="34"/>
      <c r="GIS4" s="34"/>
      <c r="GIT4" s="34"/>
      <c r="GIU4" s="34"/>
      <c r="GIV4" s="34"/>
      <c r="GIW4" s="34"/>
      <c r="GIX4" s="34"/>
      <c r="GIY4" s="34"/>
      <c r="GIZ4" s="34"/>
      <c r="GJA4" s="34"/>
      <c r="GJB4" s="34"/>
      <c r="GJC4" s="34"/>
      <c r="GJD4" s="34"/>
      <c r="GJE4" s="34"/>
      <c r="GJF4" s="34"/>
      <c r="GJG4" s="34"/>
      <c r="GJH4" s="34"/>
      <c r="GJI4" s="34"/>
      <c r="GJJ4" s="34"/>
      <c r="GJK4" s="34"/>
      <c r="GJL4" s="34"/>
      <c r="GJM4" s="34"/>
      <c r="GJN4" s="34"/>
      <c r="GJO4" s="34"/>
      <c r="GJP4" s="34"/>
      <c r="GJQ4" s="34"/>
      <c r="GJR4" s="34"/>
      <c r="GJS4" s="34"/>
      <c r="GJT4" s="34"/>
      <c r="GJU4" s="34"/>
      <c r="GJV4" s="34"/>
      <c r="GJW4" s="34"/>
      <c r="GJX4" s="34"/>
      <c r="GJY4" s="34"/>
      <c r="GJZ4" s="34"/>
      <c r="GKA4" s="34"/>
      <c r="GKB4" s="34"/>
      <c r="GKC4" s="34"/>
      <c r="GKD4" s="34"/>
      <c r="GKE4" s="34"/>
      <c r="GKF4" s="34"/>
      <c r="GKG4" s="34"/>
      <c r="GKH4" s="34"/>
      <c r="GKI4" s="34"/>
      <c r="GKJ4" s="34"/>
      <c r="GKK4" s="34"/>
      <c r="GKL4" s="34"/>
      <c r="GKM4" s="34"/>
      <c r="GKN4" s="34"/>
      <c r="GKO4" s="34"/>
      <c r="GKP4" s="34"/>
      <c r="GKQ4" s="34"/>
      <c r="GKR4" s="34"/>
      <c r="GKS4" s="34"/>
      <c r="GKT4" s="34"/>
      <c r="GKU4" s="34"/>
      <c r="GKV4" s="34"/>
      <c r="GKW4" s="34"/>
      <c r="GKX4" s="34"/>
      <c r="GKY4" s="34"/>
      <c r="GKZ4" s="34"/>
      <c r="GLA4" s="34"/>
      <c r="GLB4" s="34"/>
      <c r="GLC4" s="34"/>
      <c r="GLD4" s="34"/>
      <c r="GLE4" s="34"/>
      <c r="GLF4" s="34"/>
      <c r="GLG4" s="34"/>
      <c r="GLH4" s="34"/>
      <c r="GLI4" s="34"/>
      <c r="GLJ4" s="34"/>
      <c r="GLK4" s="34"/>
      <c r="GLL4" s="34"/>
      <c r="GLM4" s="34"/>
      <c r="GLN4" s="34"/>
      <c r="GLO4" s="34"/>
      <c r="GLP4" s="34"/>
      <c r="GLQ4" s="34"/>
      <c r="GLR4" s="34"/>
      <c r="GLS4" s="34"/>
      <c r="GLT4" s="34"/>
      <c r="GLU4" s="34"/>
      <c r="GLV4" s="34"/>
      <c r="GLW4" s="34"/>
      <c r="GLX4" s="34"/>
      <c r="GLY4" s="34"/>
      <c r="GLZ4" s="34"/>
      <c r="GMA4" s="34"/>
      <c r="GMB4" s="34"/>
      <c r="GMC4" s="34"/>
      <c r="GMD4" s="34"/>
      <c r="GME4" s="34"/>
      <c r="GMF4" s="34"/>
      <c r="GMG4" s="34"/>
      <c r="GMH4" s="34"/>
      <c r="GMI4" s="34"/>
      <c r="GMJ4" s="34"/>
      <c r="GMK4" s="34"/>
      <c r="GML4" s="34"/>
      <c r="GMM4" s="34"/>
      <c r="GMN4" s="34"/>
      <c r="GMO4" s="34"/>
      <c r="GMP4" s="34"/>
      <c r="GMQ4" s="34"/>
      <c r="GMR4" s="34"/>
      <c r="GMS4" s="34"/>
      <c r="GMT4" s="34"/>
      <c r="GMU4" s="34"/>
      <c r="GMV4" s="34"/>
      <c r="GMW4" s="34"/>
      <c r="GMX4" s="34"/>
      <c r="GMY4" s="34"/>
      <c r="GMZ4" s="34"/>
      <c r="GNA4" s="34"/>
      <c r="GNB4" s="34"/>
      <c r="GNC4" s="34"/>
      <c r="GND4" s="34"/>
      <c r="GNE4" s="34"/>
      <c r="GNF4" s="34"/>
      <c r="GNG4" s="34"/>
      <c r="GNH4" s="34"/>
      <c r="GNI4" s="34"/>
      <c r="GNJ4" s="34"/>
      <c r="GNK4" s="34"/>
      <c r="GNL4" s="34"/>
      <c r="GNM4" s="34"/>
      <c r="GNN4" s="34"/>
      <c r="GNO4" s="34"/>
      <c r="GNP4" s="34"/>
      <c r="GNQ4" s="34"/>
      <c r="GNR4" s="34"/>
      <c r="GNS4" s="34"/>
      <c r="GNT4" s="34"/>
      <c r="GNU4" s="34"/>
      <c r="GNV4" s="34"/>
      <c r="GNW4" s="34"/>
      <c r="GNX4" s="34"/>
      <c r="GNY4" s="34"/>
      <c r="GNZ4" s="34"/>
      <c r="GOA4" s="34"/>
      <c r="GOB4" s="34"/>
      <c r="GOC4" s="34"/>
      <c r="GOD4" s="34"/>
      <c r="GOE4" s="34"/>
      <c r="GOF4" s="34"/>
      <c r="GOG4" s="34"/>
      <c r="GOH4" s="34"/>
      <c r="GOI4" s="34"/>
      <c r="GOJ4" s="34"/>
      <c r="GOK4" s="34"/>
      <c r="GOL4" s="34"/>
      <c r="GOM4" s="34"/>
      <c r="GON4" s="34"/>
      <c r="GOO4" s="34"/>
      <c r="GOP4" s="34"/>
      <c r="GOQ4" s="34"/>
      <c r="GOR4" s="34"/>
      <c r="GOS4" s="34"/>
      <c r="GOT4" s="34"/>
      <c r="GOU4" s="34"/>
      <c r="GOV4" s="34"/>
      <c r="GOW4" s="34"/>
      <c r="GOX4" s="34"/>
      <c r="GOY4" s="34"/>
      <c r="GOZ4" s="34"/>
      <c r="GPA4" s="34"/>
      <c r="GPB4" s="34"/>
      <c r="GPC4" s="34"/>
      <c r="GPD4" s="34"/>
      <c r="GPE4" s="34"/>
      <c r="GPF4" s="34"/>
      <c r="GPG4" s="34"/>
      <c r="GPH4" s="34"/>
      <c r="GPI4" s="34"/>
      <c r="GPJ4" s="34"/>
      <c r="GPK4" s="34"/>
      <c r="GPL4" s="34"/>
      <c r="GPM4" s="34"/>
      <c r="GPN4" s="34"/>
      <c r="GPO4" s="34"/>
      <c r="GPP4" s="34"/>
      <c r="GPQ4" s="34"/>
      <c r="GPR4" s="34"/>
      <c r="GPS4" s="34"/>
      <c r="GPT4" s="34"/>
      <c r="GPU4" s="34"/>
      <c r="GPV4" s="34"/>
      <c r="GPW4" s="34"/>
      <c r="GPX4" s="34"/>
      <c r="GPY4" s="34"/>
      <c r="GPZ4" s="34"/>
      <c r="GQA4" s="34"/>
      <c r="GQB4" s="34"/>
      <c r="GQC4" s="34"/>
      <c r="GQD4" s="34"/>
      <c r="GQE4" s="34"/>
      <c r="GQF4" s="34"/>
      <c r="GQG4" s="34"/>
      <c r="GQH4" s="34"/>
      <c r="GQI4" s="34"/>
      <c r="GQJ4" s="34"/>
      <c r="GQK4" s="34"/>
      <c r="GQL4" s="34"/>
      <c r="GQM4" s="34"/>
      <c r="GQN4" s="34"/>
      <c r="GQO4" s="34"/>
      <c r="GQP4" s="34"/>
      <c r="GQQ4" s="34"/>
      <c r="GQR4" s="34"/>
      <c r="GQS4" s="34"/>
      <c r="GQT4" s="34"/>
      <c r="GQU4" s="34"/>
      <c r="GQV4" s="34"/>
      <c r="GQW4" s="34"/>
      <c r="GQX4" s="34"/>
      <c r="GQY4" s="34"/>
      <c r="GQZ4" s="34"/>
      <c r="GRA4" s="34"/>
      <c r="GRB4" s="34"/>
      <c r="GRC4" s="34"/>
      <c r="GRD4" s="34"/>
      <c r="GRE4" s="34"/>
      <c r="GRF4" s="34"/>
      <c r="GRG4" s="34"/>
      <c r="GRH4" s="34"/>
      <c r="GRI4" s="34"/>
      <c r="GRJ4" s="34"/>
      <c r="GRK4" s="34"/>
      <c r="GRL4" s="34"/>
      <c r="GRM4" s="34"/>
      <c r="GRN4" s="34"/>
      <c r="GRO4" s="34"/>
      <c r="GRP4" s="34"/>
      <c r="GRQ4" s="34"/>
      <c r="GRR4" s="34"/>
      <c r="GRS4" s="34"/>
      <c r="GRT4" s="34"/>
      <c r="GRU4" s="34"/>
      <c r="GRV4" s="34"/>
      <c r="GRW4" s="34"/>
      <c r="GRX4" s="34"/>
      <c r="GRY4" s="34"/>
      <c r="GRZ4" s="34"/>
      <c r="GSA4" s="34"/>
      <c r="GSB4" s="34"/>
      <c r="GSC4" s="34"/>
      <c r="GSD4" s="34"/>
      <c r="GSE4" s="34"/>
      <c r="GSF4" s="34"/>
      <c r="GSG4" s="34"/>
      <c r="GSH4" s="34"/>
      <c r="GSI4" s="34"/>
      <c r="GSJ4" s="34"/>
      <c r="GSK4" s="34"/>
      <c r="GSL4" s="34"/>
      <c r="GSM4" s="34"/>
      <c r="GSN4" s="34"/>
      <c r="GSO4" s="34"/>
      <c r="GSP4" s="34"/>
      <c r="GSQ4" s="34"/>
      <c r="GSR4" s="34"/>
      <c r="GSS4" s="34"/>
      <c r="GST4" s="34"/>
      <c r="GSU4" s="34"/>
      <c r="GSV4" s="34"/>
      <c r="GSW4" s="34"/>
      <c r="GSX4" s="34"/>
      <c r="GSY4" s="34"/>
      <c r="GSZ4" s="34"/>
      <c r="GTA4" s="34"/>
      <c r="GTB4" s="34"/>
      <c r="GTC4" s="34"/>
      <c r="GTD4" s="34"/>
      <c r="GTE4" s="34"/>
      <c r="GTF4" s="34"/>
      <c r="GTG4" s="34"/>
      <c r="GTH4" s="34"/>
      <c r="GTI4" s="34"/>
      <c r="GTJ4" s="34"/>
      <c r="GTK4" s="34"/>
      <c r="GTL4" s="34"/>
      <c r="GTM4" s="34"/>
      <c r="GTN4" s="34"/>
      <c r="GTO4" s="34"/>
      <c r="GTP4" s="34"/>
      <c r="GTQ4" s="34"/>
      <c r="GTR4" s="34"/>
      <c r="GTS4" s="34"/>
      <c r="GTT4" s="34"/>
      <c r="GTU4" s="34"/>
      <c r="GTV4" s="34"/>
      <c r="GTW4" s="34"/>
      <c r="GTX4" s="34"/>
      <c r="GTY4" s="34"/>
      <c r="GTZ4" s="34"/>
      <c r="GUA4" s="34"/>
      <c r="GUB4" s="34"/>
      <c r="GUC4" s="34"/>
      <c r="GUD4" s="34"/>
      <c r="GUE4" s="34"/>
      <c r="GUF4" s="34"/>
      <c r="GUG4" s="34"/>
      <c r="GUH4" s="34"/>
      <c r="GUI4" s="34"/>
      <c r="GUJ4" s="34"/>
      <c r="GUK4" s="34"/>
      <c r="GUL4" s="34"/>
      <c r="GUM4" s="34"/>
      <c r="GUN4" s="34"/>
      <c r="GUO4" s="34"/>
      <c r="GUP4" s="34"/>
      <c r="GUQ4" s="34"/>
      <c r="GUR4" s="34"/>
      <c r="GUS4" s="34"/>
      <c r="GUT4" s="34"/>
      <c r="GUU4" s="34"/>
      <c r="GUV4" s="34"/>
      <c r="GUW4" s="34"/>
      <c r="GUX4" s="34"/>
      <c r="GUY4" s="34"/>
      <c r="GUZ4" s="34"/>
      <c r="GVA4" s="34"/>
      <c r="GVB4" s="34"/>
      <c r="GVC4" s="34"/>
      <c r="GVD4" s="34"/>
      <c r="GVE4" s="34"/>
      <c r="GVF4" s="34"/>
      <c r="GVG4" s="34"/>
      <c r="GVH4" s="34"/>
      <c r="GVI4" s="34"/>
      <c r="GVJ4" s="34"/>
      <c r="GVK4" s="34"/>
      <c r="GVL4" s="34"/>
      <c r="GVM4" s="34"/>
      <c r="GVN4" s="34"/>
      <c r="GVO4" s="34"/>
      <c r="GVP4" s="34"/>
      <c r="GVQ4" s="34"/>
      <c r="GVR4" s="34"/>
      <c r="GVS4" s="34"/>
      <c r="GVT4" s="34"/>
      <c r="GVU4" s="34"/>
      <c r="GVV4" s="34"/>
      <c r="GVW4" s="34"/>
      <c r="GVX4" s="34"/>
      <c r="GVY4" s="34"/>
      <c r="GVZ4" s="34"/>
      <c r="GWA4" s="34"/>
      <c r="GWB4" s="34"/>
      <c r="GWC4" s="34"/>
      <c r="GWD4" s="34"/>
      <c r="GWE4" s="34"/>
      <c r="GWF4" s="34"/>
      <c r="GWG4" s="34"/>
      <c r="GWH4" s="34"/>
      <c r="GWI4" s="34"/>
      <c r="GWJ4" s="34"/>
      <c r="GWK4" s="34"/>
      <c r="GWL4" s="34"/>
      <c r="GWM4" s="34"/>
      <c r="GWN4" s="34"/>
      <c r="GWO4" s="34"/>
      <c r="GWP4" s="34"/>
      <c r="GWQ4" s="34"/>
      <c r="GWR4" s="34"/>
      <c r="GWS4" s="34"/>
      <c r="GWT4" s="34"/>
      <c r="GWU4" s="34"/>
      <c r="GWV4" s="34"/>
      <c r="GWW4" s="34"/>
      <c r="GWX4" s="34"/>
      <c r="GWY4" s="34"/>
      <c r="GWZ4" s="34"/>
      <c r="GXA4" s="34"/>
      <c r="GXB4" s="34"/>
      <c r="GXC4" s="34"/>
      <c r="GXD4" s="34"/>
      <c r="GXE4" s="34"/>
      <c r="GXF4" s="34"/>
      <c r="GXG4" s="34"/>
      <c r="GXH4" s="34"/>
      <c r="GXI4" s="34"/>
      <c r="GXJ4" s="34"/>
      <c r="GXK4" s="34"/>
      <c r="GXL4" s="34"/>
      <c r="GXM4" s="34"/>
      <c r="GXN4" s="34"/>
      <c r="GXO4" s="34"/>
      <c r="GXP4" s="34"/>
      <c r="GXQ4" s="34"/>
      <c r="GXR4" s="34"/>
      <c r="GXS4" s="34"/>
      <c r="GXT4" s="34"/>
      <c r="GXU4" s="34"/>
      <c r="GXV4" s="34"/>
      <c r="GXW4" s="34"/>
      <c r="GXX4" s="34"/>
      <c r="GXY4" s="34"/>
      <c r="GXZ4" s="34"/>
      <c r="GYA4" s="34"/>
      <c r="GYB4" s="34"/>
      <c r="GYC4" s="34"/>
      <c r="GYD4" s="34"/>
      <c r="GYE4" s="34"/>
      <c r="GYF4" s="34"/>
      <c r="GYG4" s="34"/>
      <c r="GYH4" s="34"/>
      <c r="GYI4" s="34"/>
      <c r="GYJ4" s="34"/>
      <c r="GYK4" s="34"/>
      <c r="GYL4" s="34"/>
      <c r="GYM4" s="34"/>
      <c r="GYN4" s="34"/>
      <c r="GYO4" s="34"/>
      <c r="GYP4" s="34"/>
      <c r="GYQ4" s="34"/>
      <c r="GYR4" s="34"/>
      <c r="GYS4" s="34"/>
      <c r="GYT4" s="34"/>
      <c r="GYU4" s="34"/>
      <c r="GYV4" s="34"/>
      <c r="GYW4" s="34"/>
      <c r="GYX4" s="34"/>
      <c r="GYY4" s="34"/>
      <c r="GYZ4" s="34"/>
      <c r="GZA4" s="34"/>
      <c r="GZB4" s="34"/>
      <c r="GZC4" s="34"/>
      <c r="GZD4" s="34"/>
      <c r="GZE4" s="34"/>
      <c r="GZF4" s="34"/>
      <c r="GZG4" s="34"/>
      <c r="GZH4" s="34"/>
      <c r="GZI4" s="34"/>
      <c r="GZJ4" s="34"/>
      <c r="GZK4" s="34"/>
      <c r="GZL4" s="34"/>
      <c r="GZM4" s="34"/>
      <c r="GZN4" s="34"/>
      <c r="GZO4" s="34"/>
      <c r="GZP4" s="34"/>
      <c r="GZQ4" s="34"/>
      <c r="GZR4" s="34"/>
      <c r="GZS4" s="34"/>
      <c r="GZT4" s="34"/>
      <c r="GZU4" s="34"/>
      <c r="GZV4" s="34"/>
      <c r="GZW4" s="34"/>
      <c r="GZX4" s="34"/>
      <c r="GZY4" s="34"/>
      <c r="GZZ4" s="34"/>
      <c r="HAA4" s="34"/>
      <c r="HAB4" s="34"/>
      <c r="HAC4" s="34"/>
      <c r="HAD4" s="34"/>
      <c r="HAE4" s="34"/>
      <c r="HAF4" s="34"/>
      <c r="HAG4" s="34"/>
      <c r="HAH4" s="34"/>
      <c r="HAI4" s="34"/>
      <c r="HAJ4" s="34"/>
      <c r="HAK4" s="34"/>
      <c r="HAL4" s="34"/>
      <c r="HAM4" s="34"/>
      <c r="HAN4" s="34"/>
      <c r="HAO4" s="34"/>
      <c r="HAP4" s="34"/>
      <c r="HAQ4" s="34"/>
      <c r="HAR4" s="34"/>
      <c r="HAS4" s="34"/>
      <c r="HAT4" s="34"/>
      <c r="HAU4" s="34"/>
      <c r="HAV4" s="34"/>
      <c r="HAW4" s="34"/>
      <c r="HAX4" s="34"/>
      <c r="HAY4" s="34"/>
      <c r="HAZ4" s="34"/>
      <c r="HBA4" s="34"/>
      <c r="HBB4" s="34"/>
      <c r="HBC4" s="34"/>
      <c r="HBD4" s="34"/>
      <c r="HBE4" s="34"/>
      <c r="HBF4" s="34"/>
      <c r="HBG4" s="34"/>
      <c r="HBH4" s="34"/>
      <c r="HBI4" s="34"/>
      <c r="HBJ4" s="34"/>
      <c r="HBK4" s="34"/>
      <c r="HBL4" s="34"/>
      <c r="HBM4" s="34"/>
      <c r="HBN4" s="34"/>
      <c r="HBO4" s="34"/>
      <c r="HBP4" s="34"/>
      <c r="HBQ4" s="34"/>
      <c r="HBR4" s="34"/>
      <c r="HBS4" s="34"/>
      <c r="HBT4" s="34"/>
      <c r="HBU4" s="34"/>
      <c r="HBV4" s="34"/>
      <c r="HBW4" s="34"/>
      <c r="HBX4" s="34"/>
      <c r="HBY4" s="34"/>
      <c r="HBZ4" s="34"/>
      <c r="HCA4" s="34"/>
      <c r="HCB4" s="34"/>
      <c r="HCC4" s="34"/>
      <c r="HCD4" s="34"/>
      <c r="HCE4" s="34"/>
      <c r="HCF4" s="34"/>
      <c r="HCG4" s="34"/>
      <c r="HCH4" s="34"/>
      <c r="HCI4" s="34"/>
      <c r="HCJ4" s="34"/>
      <c r="HCK4" s="34"/>
      <c r="HCL4" s="34"/>
      <c r="HCM4" s="34"/>
      <c r="HCN4" s="34"/>
      <c r="HCO4" s="34"/>
      <c r="HCP4" s="34"/>
      <c r="HCQ4" s="34"/>
      <c r="HCR4" s="34"/>
      <c r="HCS4" s="34"/>
      <c r="HCT4" s="34"/>
      <c r="HCU4" s="34"/>
      <c r="HCV4" s="34"/>
      <c r="HCW4" s="34"/>
      <c r="HCX4" s="34"/>
      <c r="HCY4" s="34"/>
      <c r="HCZ4" s="34"/>
      <c r="HDA4" s="34"/>
      <c r="HDB4" s="34"/>
      <c r="HDC4" s="34"/>
      <c r="HDD4" s="34"/>
      <c r="HDE4" s="34"/>
      <c r="HDF4" s="34"/>
      <c r="HDG4" s="34"/>
      <c r="HDH4" s="34"/>
      <c r="HDI4" s="34"/>
      <c r="HDJ4" s="34"/>
      <c r="HDK4" s="34"/>
      <c r="HDL4" s="34"/>
      <c r="HDM4" s="34"/>
      <c r="HDN4" s="34"/>
      <c r="HDO4" s="34"/>
      <c r="HDP4" s="34"/>
      <c r="HDQ4" s="34"/>
      <c r="HDR4" s="34"/>
      <c r="HDS4" s="34"/>
      <c r="HDT4" s="34"/>
      <c r="HDU4" s="34"/>
      <c r="HDV4" s="34"/>
      <c r="HDW4" s="34"/>
      <c r="HDX4" s="34"/>
      <c r="HDY4" s="34"/>
      <c r="HDZ4" s="34"/>
      <c r="HEA4" s="34"/>
      <c r="HEB4" s="34"/>
      <c r="HEC4" s="34"/>
      <c r="HED4" s="34"/>
      <c r="HEE4" s="34"/>
      <c r="HEF4" s="34"/>
      <c r="HEG4" s="34"/>
      <c r="HEH4" s="34"/>
      <c r="HEI4" s="34"/>
      <c r="HEJ4" s="34"/>
      <c r="HEK4" s="34"/>
      <c r="HEL4" s="34"/>
      <c r="HEM4" s="34"/>
      <c r="HEN4" s="34"/>
      <c r="HEO4" s="34"/>
      <c r="HEP4" s="34"/>
      <c r="HEQ4" s="34"/>
      <c r="HER4" s="34"/>
      <c r="HES4" s="34"/>
      <c r="HET4" s="34"/>
      <c r="HEU4" s="34"/>
      <c r="HEV4" s="34"/>
      <c r="HEW4" s="34"/>
      <c r="HEX4" s="34"/>
      <c r="HEY4" s="34"/>
      <c r="HEZ4" s="34"/>
      <c r="HFA4" s="34"/>
      <c r="HFB4" s="34"/>
      <c r="HFC4" s="34"/>
      <c r="HFD4" s="34"/>
      <c r="HFE4" s="34"/>
      <c r="HFF4" s="34"/>
      <c r="HFG4" s="34"/>
      <c r="HFH4" s="34"/>
      <c r="HFI4" s="34"/>
      <c r="HFJ4" s="34"/>
      <c r="HFK4" s="34"/>
      <c r="HFL4" s="34"/>
      <c r="HFM4" s="34"/>
      <c r="HFN4" s="34"/>
      <c r="HFO4" s="34"/>
      <c r="HFP4" s="34"/>
      <c r="HFQ4" s="34"/>
      <c r="HFR4" s="34"/>
      <c r="HFS4" s="34"/>
      <c r="HFT4" s="34"/>
      <c r="HFU4" s="34"/>
      <c r="HFV4" s="34"/>
      <c r="HFW4" s="34"/>
      <c r="HFX4" s="34"/>
      <c r="HFY4" s="34"/>
      <c r="HFZ4" s="34"/>
      <c r="HGA4" s="34"/>
      <c r="HGB4" s="34"/>
      <c r="HGC4" s="34"/>
      <c r="HGD4" s="34"/>
      <c r="HGE4" s="34"/>
      <c r="HGF4" s="34"/>
      <c r="HGG4" s="34"/>
      <c r="HGH4" s="34"/>
      <c r="HGI4" s="34"/>
      <c r="HGJ4" s="34"/>
      <c r="HGK4" s="34"/>
      <c r="HGL4" s="34"/>
      <c r="HGM4" s="34"/>
      <c r="HGN4" s="34"/>
      <c r="HGO4" s="34"/>
      <c r="HGP4" s="34"/>
      <c r="HGQ4" s="34"/>
      <c r="HGR4" s="34"/>
      <c r="HGS4" s="34"/>
      <c r="HGT4" s="34"/>
      <c r="HGU4" s="34"/>
      <c r="HGV4" s="34"/>
      <c r="HGW4" s="34"/>
      <c r="HGX4" s="34"/>
      <c r="HGY4" s="34"/>
      <c r="HGZ4" s="34"/>
      <c r="HHA4" s="34"/>
      <c r="HHB4" s="34"/>
      <c r="HHC4" s="34"/>
      <c r="HHD4" s="34"/>
      <c r="HHE4" s="34"/>
      <c r="HHF4" s="34"/>
      <c r="HHG4" s="34"/>
      <c r="HHH4" s="34"/>
      <c r="HHI4" s="34"/>
      <c r="HHJ4" s="34"/>
      <c r="HHK4" s="34"/>
      <c r="HHL4" s="34"/>
      <c r="HHM4" s="34"/>
      <c r="HHN4" s="34"/>
      <c r="HHO4" s="34"/>
      <c r="HHP4" s="34"/>
      <c r="HHQ4" s="34"/>
      <c r="HHR4" s="34"/>
      <c r="HHS4" s="34"/>
      <c r="HHT4" s="34"/>
      <c r="HHU4" s="34"/>
      <c r="HHV4" s="34"/>
      <c r="HHW4" s="34"/>
      <c r="HHX4" s="34"/>
      <c r="HHY4" s="34"/>
      <c r="HHZ4" s="34"/>
      <c r="HIA4" s="34"/>
      <c r="HIB4" s="34"/>
      <c r="HIC4" s="34"/>
      <c r="HID4" s="34"/>
      <c r="HIE4" s="34"/>
      <c r="HIF4" s="34"/>
      <c r="HIG4" s="34"/>
      <c r="HIH4" s="34"/>
      <c r="HII4" s="34"/>
      <c r="HIJ4" s="34"/>
      <c r="HIK4" s="34"/>
      <c r="HIL4" s="34"/>
      <c r="HIM4" s="34"/>
      <c r="HIN4" s="34"/>
      <c r="HIO4" s="34"/>
      <c r="HIP4" s="34"/>
      <c r="HIQ4" s="34"/>
      <c r="HIR4" s="34"/>
      <c r="HIS4" s="34"/>
      <c r="HIT4" s="34"/>
      <c r="HIU4" s="34"/>
      <c r="HIV4" s="34"/>
      <c r="HIW4" s="34"/>
      <c r="HIX4" s="34"/>
      <c r="HIY4" s="34"/>
      <c r="HIZ4" s="34"/>
      <c r="HJA4" s="34"/>
      <c r="HJB4" s="34"/>
      <c r="HJC4" s="34"/>
      <c r="HJD4" s="34"/>
      <c r="HJE4" s="34"/>
      <c r="HJF4" s="34"/>
      <c r="HJG4" s="34"/>
      <c r="HJH4" s="34"/>
      <c r="HJI4" s="34"/>
      <c r="HJJ4" s="34"/>
      <c r="HJK4" s="34"/>
      <c r="HJL4" s="34"/>
      <c r="HJM4" s="34"/>
      <c r="HJN4" s="34"/>
      <c r="HJO4" s="34"/>
      <c r="HJP4" s="34"/>
      <c r="HJQ4" s="34"/>
      <c r="HJR4" s="34"/>
      <c r="HJS4" s="34"/>
      <c r="HJT4" s="34"/>
      <c r="HJU4" s="34"/>
      <c r="HJV4" s="34"/>
      <c r="HJW4" s="34"/>
      <c r="HJX4" s="34"/>
      <c r="HJY4" s="34"/>
      <c r="HJZ4" s="34"/>
      <c r="HKA4" s="34"/>
      <c r="HKB4" s="34"/>
      <c r="HKC4" s="34"/>
      <c r="HKD4" s="34"/>
      <c r="HKE4" s="34"/>
      <c r="HKF4" s="34"/>
      <c r="HKG4" s="34"/>
      <c r="HKH4" s="34"/>
      <c r="HKI4" s="34"/>
      <c r="HKJ4" s="34"/>
      <c r="HKK4" s="34"/>
      <c r="HKL4" s="34"/>
      <c r="HKM4" s="34"/>
      <c r="HKN4" s="34"/>
      <c r="HKO4" s="34"/>
      <c r="HKP4" s="34"/>
      <c r="HKQ4" s="34"/>
      <c r="HKR4" s="34"/>
      <c r="HKS4" s="34"/>
      <c r="HKT4" s="34"/>
      <c r="HKU4" s="34"/>
      <c r="HKV4" s="34"/>
      <c r="HKW4" s="34"/>
      <c r="HKX4" s="34"/>
      <c r="HKY4" s="34"/>
      <c r="HKZ4" s="34"/>
      <c r="HLA4" s="34"/>
      <c r="HLB4" s="34"/>
      <c r="HLC4" s="34"/>
      <c r="HLD4" s="34"/>
      <c r="HLE4" s="34"/>
      <c r="HLF4" s="34"/>
      <c r="HLG4" s="34"/>
      <c r="HLH4" s="34"/>
      <c r="HLI4" s="34"/>
      <c r="HLJ4" s="34"/>
      <c r="HLK4" s="34"/>
      <c r="HLL4" s="34"/>
      <c r="HLM4" s="34"/>
      <c r="HLN4" s="34"/>
      <c r="HLO4" s="34"/>
      <c r="HLP4" s="34"/>
      <c r="HLQ4" s="34"/>
      <c r="HLR4" s="34"/>
      <c r="HLS4" s="34"/>
      <c r="HLT4" s="34"/>
      <c r="HLU4" s="34"/>
      <c r="HLV4" s="34"/>
      <c r="HLW4" s="34"/>
      <c r="HLX4" s="34"/>
      <c r="HLY4" s="34"/>
      <c r="HLZ4" s="34"/>
      <c r="HMA4" s="34"/>
      <c r="HMB4" s="34"/>
      <c r="HMC4" s="34"/>
      <c r="HMD4" s="34"/>
      <c r="HME4" s="34"/>
      <c r="HMF4" s="34"/>
      <c r="HMG4" s="34"/>
      <c r="HMH4" s="34"/>
      <c r="HMI4" s="34"/>
      <c r="HMJ4" s="34"/>
      <c r="HMK4" s="34"/>
      <c r="HML4" s="34"/>
      <c r="HMM4" s="34"/>
      <c r="HMN4" s="34"/>
      <c r="HMO4" s="34"/>
      <c r="HMP4" s="34"/>
      <c r="HMQ4" s="34"/>
      <c r="HMR4" s="34"/>
      <c r="HMS4" s="34"/>
      <c r="HMT4" s="34"/>
      <c r="HMU4" s="34"/>
      <c r="HMV4" s="34"/>
      <c r="HMW4" s="34"/>
      <c r="HMX4" s="34"/>
      <c r="HMY4" s="34"/>
      <c r="HMZ4" s="34"/>
      <c r="HNA4" s="34"/>
      <c r="HNB4" s="34"/>
      <c r="HNC4" s="34"/>
      <c r="HND4" s="34"/>
      <c r="HNE4" s="34"/>
      <c r="HNF4" s="34"/>
      <c r="HNG4" s="34"/>
      <c r="HNH4" s="34"/>
      <c r="HNI4" s="34"/>
      <c r="HNJ4" s="34"/>
      <c r="HNK4" s="34"/>
      <c r="HNL4" s="34"/>
      <c r="HNM4" s="34"/>
      <c r="HNN4" s="34"/>
      <c r="HNO4" s="34"/>
      <c r="HNP4" s="34"/>
      <c r="HNQ4" s="34"/>
      <c r="HNR4" s="34"/>
      <c r="HNS4" s="34"/>
      <c r="HNT4" s="34"/>
      <c r="HNU4" s="34"/>
      <c r="HNV4" s="34"/>
      <c r="HNW4" s="34"/>
      <c r="HNX4" s="34"/>
      <c r="HNY4" s="34"/>
      <c r="HNZ4" s="34"/>
      <c r="HOA4" s="34"/>
      <c r="HOB4" s="34"/>
      <c r="HOC4" s="34"/>
      <c r="HOD4" s="34"/>
      <c r="HOE4" s="34"/>
      <c r="HOF4" s="34"/>
      <c r="HOG4" s="34"/>
      <c r="HOH4" s="34"/>
      <c r="HOI4" s="34"/>
      <c r="HOJ4" s="34"/>
      <c r="HOK4" s="34"/>
      <c r="HOL4" s="34"/>
      <c r="HOM4" s="34"/>
      <c r="HON4" s="34"/>
      <c r="HOO4" s="34"/>
      <c r="HOP4" s="34"/>
      <c r="HOQ4" s="34"/>
      <c r="HOR4" s="34"/>
      <c r="HOS4" s="34"/>
      <c r="HOT4" s="34"/>
      <c r="HOU4" s="34"/>
      <c r="HOV4" s="34"/>
      <c r="HOW4" s="34"/>
      <c r="HOX4" s="34"/>
      <c r="HOY4" s="34"/>
      <c r="HOZ4" s="34"/>
      <c r="HPA4" s="34"/>
      <c r="HPB4" s="34"/>
      <c r="HPC4" s="34"/>
      <c r="HPD4" s="34"/>
      <c r="HPE4" s="34"/>
      <c r="HPF4" s="34"/>
      <c r="HPG4" s="34"/>
      <c r="HPH4" s="34"/>
      <c r="HPI4" s="34"/>
      <c r="HPJ4" s="34"/>
      <c r="HPK4" s="34"/>
      <c r="HPL4" s="34"/>
      <c r="HPM4" s="34"/>
      <c r="HPN4" s="34"/>
      <c r="HPO4" s="34"/>
      <c r="HPP4" s="34"/>
      <c r="HPQ4" s="34"/>
      <c r="HPR4" s="34"/>
      <c r="HPS4" s="34"/>
      <c r="HPT4" s="34"/>
      <c r="HPU4" s="34"/>
      <c r="HPV4" s="34"/>
      <c r="HPW4" s="34"/>
      <c r="HPX4" s="34"/>
      <c r="HPY4" s="34"/>
      <c r="HPZ4" s="34"/>
      <c r="HQA4" s="34"/>
      <c r="HQB4" s="34"/>
      <c r="HQC4" s="34"/>
      <c r="HQD4" s="34"/>
      <c r="HQE4" s="34"/>
      <c r="HQF4" s="34"/>
      <c r="HQG4" s="34"/>
      <c r="HQH4" s="34"/>
      <c r="HQI4" s="34"/>
      <c r="HQJ4" s="34"/>
      <c r="HQK4" s="34"/>
      <c r="HQL4" s="34"/>
      <c r="HQM4" s="34"/>
      <c r="HQN4" s="34"/>
      <c r="HQO4" s="34"/>
      <c r="HQP4" s="34"/>
      <c r="HQQ4" s="34"/>
      <c r="HQR4" s="34"/>
      <c r="HQS4" s="34"/>
      <c r="HQT4" s="34"/>
      <c r="HQU4" s="34"/>
      <c r="HQV4" s="34"/>
      <c r="HQW4" s="34"/>
      <c r="HQX4" s="34"/>
      <c r="HQY4" s="34"/>
      <c r="HQZ4" s="34"/>
      <c r="HRA4" s="34"/>
      <c r="HRB4" s="34"/>
      <c r="HRC4" s="34"/>
      <c r="HRD4" s="34"/>
      <c r="HRE4" s="34"/>
      <c r="HRF4" s="34"/>
      <c r="HRG4" s="34"/>
      <c r="HRH4" s="34"/>
      <c r="HRI4" s="34"/>
      <c r="HRJ4" s="34"/>
      <c r="HRK4" s="34"/>
      <c r="HRL4" s="34"/>
      <c r="HRM4" s="34"/>
      <c r="HRN4" s="34"/>
      <c r="HRO4" s="34"/>
      <c r="HRP4" s="34"/>
      <c r="HRQ4" s="34"/>
      <c r="HRR4" s="34"/>
      <c r="HRS4" s="34"/>
      <c r="HRT4" s="34"/>
      <c r="HRU4" s="34"/>
      <c r="HRV4" s="34"/>
      <c r="HRW4" s="34"/>
      <c r="HRX4" s="34"/>
      <c r="HRY4" s="34"/>
      <c r="HRZ4" s="34"/>
      <c r="HSA4" s="34"/>
      <c r="HSB4" s="34"/>
      <c r="HSC4" s="34"/>
      <c r="HSD4" s="34"/>
      <c r="HSE4" s="34"/>
      <c r="HSF4" s="34"/>
      <c r="HSG4" s="34"/>
      <c r="HSH4" s="34"/>
      <c r="HSI4" s="34"/>
      <c r="HSJ4" s="34"/>
      <c r="HSK4" s="34"/>
      <c r="HSL4" s="34"/>
      <c r="HSM4" s="34"/>
      <c r="HSN4" s="34"/>
      <c r="HSO4" s="34"/>
      <c r="HSP4" s="34"/>
      <c r="HSQ4" s="34"/>
      <c r="HSR4" s="34"/>
      <c r="HSS4" s="34"/>
      <c r="HST4" s="34"/>
      <c r="HSU4" s="34"/>
      <c r="HSV4" s="34"/>
      <c r="HSW4" s="34"/>
      <c r="HSX4" s="34"/>
      <c r="HSY4" s="34"/>
      <c r="HSZ4" s="34"/>
      <c r="HTA4" s="34"/>
      <c r="HTB4" s="34"/>
      <c r="HTC4" s="34"/>
      <c r="HTD4" s="34"/>
      <c r="HTE4" s="34"/>
      <c r="HTF4" s="34"/>
      <c r="HTG4" s="34"/>
      <c r="HTH4" s="34"/>
      <c r="HTI4" s="34"/>
      <c r="HTJ4" s="34"/>
      <c r="HTK4" s="34"/>
      <c r="HTL4" s="34"/>
      <c r="HTM4" s="34"/>
      <c r="HTN4" s="34"/>
      <c r="HTO4" s="34"/>
      <c r="HTP4" s="34"/>
      <c r="HTQ4" s="34"/>
      <c r="HTR4" s="34"/>
      <c r="HTS4" s="34"/>
      <c r="HTT4" s="34"/>
      <c r="HTU4" s="34"/>
      <c r="HTV4" s="34"/>
      <c r="HTW4" s="34"/>
      <c r="HTX4" s="34"/>
      <c r="HTY4" s="34"/>
      <c r="HTZ4" s="34"/>
      <c r="HUA4" s="34"/>
      <c r="HUB4" s="34"/>
      <c r="HUC4" s="34"/>
      <c r="HUD4" s="34"/>
      <c r="HUE4" s="34"/>
      <c r="HUF4" s="34"/>
      <c r="HUG4" s="34"/>
      <c r="HUH4" s="34"/>
      <c r="HUI4" s="34"/>
      <c r="HUJ4" s="34"/>
      <c r="HUK4" s="34"/>
      <c r="HUL4" s="34"/>
      <c r="HUM4" s="34"/>
      <c r="HUN4" s="34"/>
      <c r="HUO4" s="34"/>
      <c r="HUP4" s="34"/>
      <c r="HUQ4" s="34"/>
      <c r="HUR4" s="34"/>
      <c r="HUS4" s="34"/>
      <c r="HUT4" s="34"/>
      <c r="HUU4" s="34"/>
      <c r="HUV4" s="34"/>
      <c r="HUW4" s="34"/>
      <c r="HUX4" s="34"/>
      <c r="HUY4" s="34"/>
      <c r="HUZ4" s="34"/>
      <c r="HVA4" s="34"/>
      <c r="HVB4" s="34"/>
      <c r="HVC4" s="34"/>
      <c r="HVD4" s="34"/>
      <c r="HVE4" s="34"/>
      <c r="HVF4" s="34"/>
      <c r="HVG4" s="34"/>
      <c r="HVH4" s="34"/>
      <c r="HVI4" s="34"/>
      <c r="HVJ4" s="34"/>
      <c r="HVK4" s="34"/>
      <c r="HVL4" s="34"/>
      <c r="HVM4" s="34"/>
      <c r="HVN4" s="34"/>
      <c r="HVO4" s="34"/>
      <c r="HVP4" s="34"/>
      <c r="HVQ4" s="34"/>
      <c r="HVR4" s="34"/>
      <c r="HVS4" s="34"/>
      <c r="HVT4" s="34"/>
      <c r="HVU4" s="34"/>
      <c r="HVV4" s="34"/>
      <c r="HVW4" s="34"/>
      <c r="HVX4" s="34"/>
      <c r="HVY4" s="34"/>
      <c r="HVZ4" s="34"/>
      <c r="HWA4" s="34"/>
      <c r="HWB4" s="34"/>
      <c r="HWC4" s="34"/>
      <c r="HWD4" s="34"/>
      <c r="HWE4" s="34"/>
      <c r="HWF4" s="34"/>
      <c r="HWG4" s="34"/>
      <c r="HWH4" s="34"/>
      <c r="HWI4" s="34"/>
      <c r="HWJ4" s="34"/>
      <c r="HWK4" s="34"/>
      <c r="HWL4" s="34"/>
      <c r="HWM4" s="34"/>
      <c r="HWN4" s="34"/>
      <c r="HWO4" s="34"/>
      <c r="HWP4" s="34"/>
      <c r="HWQ4" s="34"/>
      <c r="HWR4" s="34"/>
      <c r="HWS4" s="34"/>
      <c r="HWT4" s="34"/>
      <c r="HWU4" s="34"/>
      <c r="HWV4" s="34"/>
      <c r="HWW4" s="34"/>
      <c r="HWX4" s="34"/>
      <c r="HWY4" s="34"/>
      <c r="HWZ4" s="34"/>
      <c r="HXA4" s="34"/>
      <c r="HXB4" s="34"/>
      <c r="HXC4" s="34"/>
      <c r="HXD4" s="34"/>
      <c r="HXE4" s="34"/>
      <c r="HXF4" s="34"/>
      <c r="HXG4" s="34"/>
      <c r="HXH4" s="34"/>
      <c r="HXI4" s="34"/>
      <c r="HXJ4" s="34"/>
      <c r="HXK4" s="34"/>
      <c r="HXL4" s="34"/>
      <c r="HXM4" s="34"/>
      <c r="HXN4" s="34"/>
      <c r="HXO4" s="34"/>
      <c r="HXP4" s="34"/>
      <c r="HXQ4" s="34"/>
      <c r="HXR4" s="34"/>
      <c r="HXS4" s="34"/>
      <c r="HXT4" s="34"/>
      <c r="HXU4" s="34"/>
      <c r="HXV4" s="34"/>
      <c r="HXW4" s="34"/>
      <c r="HXX4" s="34"/>
      <c r="HXY4" s="34"/>
      <c r="HXZ4" s="34"/>
      <c r="HYA4" s="34"/>
      <c r="HYB4" s="34"/>
      <c r="HYC4" s="34"/>
      <c r="HYD4" s="34"/>
      <c r="HYE4" s="34"/>
      <c r="HYF4" s="34"/>
      <c r="HYG4" s="34"/>
      <c r="HYH4" s="34"/>
      <c r="HYI4" s="34"/>
      <c r="HYJ4" s="34"/>
      <c r="HYK4" s="34"/>
      <c r="HYL4" s="34"/>
      <c r="HYM4" s="34"/>
      <c r="HYN4" s="34"/>
      <c r="HYO4" s="34"/>
      <c r="HYP4" s="34"/>
      <c r="HYQ4" s="34"/>
      <c r="HYR4" s="34"/>
      <c r="HYS4" s="34"/>
      <c r="HYT4" s="34"/>
      <c r="HYU4" s="34"/>
      <c r="HYV4" s="34"/>
      <c r="HYW4" s="34"/>
      <c r="HYX4" s="34"/>
      <c r="HYY4" s="34"/>
      <c r="HYZ4" s="34"/>
      <c r="HZA4" s="34"/>
      <c r="HZB4" s="34"/>
      <c r="HZC4" s="34"/>
      <c r="HZD4" s="34"/>
      <c r="HZE4" s="34"/>
      <c r="HZF4" s="34"/>
      <c r="HZG4" s="34"/>
      <c r="HZH4" s="34"/>
      <c r="HZI4" s="34"/>
      <c r="HZJ4" s="34"/>
      <c r="HZK4" s="34"/>
      <c r="HZL4" s="34"/>
      <c r="HZM4" s="34"/>
      <c r="HZN4" s="34"/>
      <c r="HZO4" s="34"/>
      <c r="HZP4" s="34"/>
      <c r="HZQ4" s="34"/>
      <c r="HZR4" s="34"/>
      <c r="HZS4" s="34"/>
      <c r="HZT4" s="34"/>
      <c r="HZU4" s="34"/>
      <c r="HZV4" s="34"/>
      <c r="HZW4" s="34"/>
      <c r="HZX4" s="34"/>
      <c r="HZY4" s="34"/>
      <c r="HZZ4" s="34"/>
      <c r="IAA4" s="34"/>
      <c r="IAB4" s="34"/>
      <c r="IAC4" s="34"/>
      <c r="IAD4" s="34"/>
      <c r="IAE4" s="34"/>
      <c r="IAF4" s="34"/>
      <c r="IAG4" s="34"/>
      <c r="IAH4" s="34"/>
      <c r="IAI4" s="34"/>
      <c r="IAJ4" s="34"/>
      <c r="IAK4" s="34"/>
      <c r="IAL4" s="34"/>
      <c r="IAM4" s="34"/>
      <c r="IAN4" s="34"/>
      <c r="IAO4" s="34"/>
      <c r="IAP4" s="34"/>
      <c r="IAQ4" s="34"/>
      <c r="IAR4" s="34"/>
      <c r="IAS4" s="34"/>
      <c r="IAT4" s="34"/>
      <c r="IAU4" s="34"/>
      <c r="IAV4" s="34"/>
      <c r="IAW4" s="34"/>
      <c r="IAX4" s="34"/>
      <c r="IAY4" s="34"/>
      <c r="IAZ4" s="34"/>
      <c r="IBA4" s="34"/>
      <c r="IBB4" s="34"/>
      <c r="IBC4" s="34"/>
      <c r="IBD4" s="34"/>
      <c r="IBE4" s="34"/>
      <c r="IBF4" s="34"/>
      <c r="IBG4" s="34"/>
      <c r="IBH4" s="34"/>
      <c r="IBI4" s="34"/>
      <c r="IBJ4" s="34"/>
      <c r="IBK4" s="34"/>
      <c r="IBL4" s="34"/>
      <c r="IBM4" s="34"/>
      <c r="IBN4" s="34"/>
      <c r="IBO4" s="34"/>
      <c r="IBP4" s="34"/>
      <c r="IBQ4" s="34"/>
      <c r="IBR4" s="34"/>
      <c r="IBS4" s="34"/>
      <c r="IBT4" s="34"/>
      <c r="IBU4" s="34"/>
      <c r="IBV4" s="34"/>
      <c r="IBW4" s="34"/>
      <c r="IBX4" s="34"/>
      <c r="IBY4" s="34"/>
      <c r="IBZ4" s="34"/>
      <c r="ICA4" s="34"/>
      <c r="ICB4" s="34"/>
      <c r="ICC4" s="34"/>
      <c r="ICD4" s="34"/>
      <c r="ICE4" s="34"/>
      <c r="ICF4" s="34"/>
      <c r="ICG4" s="34"/>
      <c r="ICH4" s="34"/>
      <c r="ICI4" s="34"/>
      <c r="ICJ4" s="34"/>
      <c r="ICK4" s="34"/>
      <c r="ICL4" s="34"/>
      <c r="ICM4" s="34"/>
      <c r="ICN4" s="34"/>
      <c r="ICO4" s="34"/>
      <c r="ICP4" s="34"/>
      <c r="ICQ4" s="34"/>
      <c r="ICR4" s="34"/>
      <c r="ICS4" s="34"/>
      <c r="ICT4" s="34"/>
      <c r="ICU4" s="34"/>
      <c r="ICV4" s="34"/>
      <c r="ICW4" s="34"/>
      <c r="ICX4" s="34"/>
      <c r="ICY4" s="34"/>
      <c r="ICZ4" s="34"/>
      <c r="IDA4" s="34"/>
      <c r="IDB4" s="34"/>
      <c r="IDC4" s="34"/>
      <c r="IDD4" s="34"/>
      <c r="IDE4" s="34"/>
      <c r="IDF4" s="34"/>
      <c r="IDG4" s="34"/>
      <c r="IDH4" s="34"/>
      <c r="IDI4" s="34"/>
      <c r="IDJ4" s="34"/>
      <c r="IDK4" s="34"/>
      <c r="IDL4" s="34"/>
      <c r="IDM4" s="34"/>
      <c r="IDN4" s="34"/>
      <c r="IDO4" s="34"/>
      <c r="IDP4" s="34"/>
      <c r="IDQ4" s="34"/>
      <c r="IDR4" s="34"/>
      <c r="IDS4" s="34"/>
      <c r="IDT4" s="34"/>
      <c r="IDU4" s="34"/>
      <c r="IDV4" s="34"/>
      <c r="IDW4" s="34"/>
      <c r="IDX4" s="34"/>
      <c r="IDY4" s="34"/>
      <c r="IDZ4" s="34"/>
      <c r="IEA4" s="34"/>
      <c r="IEB4" s="34"/>
      <c r="IEC4" s="34"/>
      <c r="IED4" s="34"/>
      <c r="IEE4" s="34"/>
      <c r="IEF4" s="34"/>
      <c r="IEG4" s="34"/>
      <c r="IEH4" s="34"/>
      <c r="IEI4" s="34"/>
      <c r="IEJ4" s="34"/>
      <c r="IEK4" s="34"/>
      <c r="IEL4" s="34"/>
      <c r="IEM4" s="34"/>
      <c r="IEN4" s="34"/>
      <c r="IEO4" s="34"/>
      <c r="IEP4" s="34"/>
      <c r="IEQ4" s="34"/>
      <c r="IER4" s="34"/>
      <c r="IES4" s="34"/>
      <c r="IET4" s="34"/>
      <c r="IEU4" s="34"/>
      <c r="IEV4" s="34"/>
      <c r="IEW4" s="34"/>
      <c r="IEX4" s="34"/>
      <c r="IEY4" s="34"/>
      <c r="IEZ4" s="34"/>
      <c r="IFA4" s="34"/>
      <c r="IFB4" s="34"/>
      <c r="IFC4" s="34"/>
      <c r="IFD4" s="34"/>
      <c r="IFE4" s="34"/>
      <c r="IFF4" s="34"/>
      <c r="IFG4" s="34"/>
      <c r="IFH4" s="34"/>
      <c r="IFI4" s="34"/>
      <c r="IFJ4" s="34"/>
      <c r="IFK4" s="34"/>
      <c r="IFL4" s="34"/>
      <c r="IFM4" s="34"/>
      <c r="IFN4" s="34"/>
      <c r="IFO4" s="34"/>
      <c r="IFP4" s="34"/>
      <c r="IFQ4" s="34"/>
      <c r="IFR4" s="34"/>
      <c r="IFS4" s="34"/>
      <c r="IFT4" s="34"/>
      <c r="IFU4" s="34"/>
      <c r="IFV4" s="34"/>
      <c r="IFW4" s="34"/>
      <c r="IFX4" s="34"/>
      <c r="IFY4" s="34"/>
      <c r="IFZ4" s="34"/>
      <c r="IGA4" s="34"/>
      <c r="IGB4" s="34"/>
      <c r="IGC4" s="34"/>
      <c r="IGD4" s="34"/>
      <c r="IGE4" s="34"/>
      <c r="IGF4" s="34"/>
      <c r="IGG4" s="34"/>
      <c r="IGH4" s="34"/>
      <c r="IGI4" s="34"/>
      <c r="IGJ4" s="34"/>
      <c r="IGK4" s="34"/>
      <c r="IGL4" s="34"/>
      <c r="IGM4" s="34"/>
      <c r="IGN4" s="34"/>
      <c r="IGO4" s="34"/>
      <c r="IGP4" s="34"/>
      <c r="IGQ4" s="34"/>
      <c r="IGR4" s="34"/>
      <c r="IGS4" s="34"/>
      <c r="IGT4" s="34"/>
      <c r="IGU4" s="34"/>
      <c r="IGV4" s="34"/>
      <c r="IGW4" s="34"/>
      <c r="IGX4" s="34"/>
      <c r="IGY4" s="34"/>
      <c r="IGZ4" s="34"/>
      <c r="IHA4" s="34"/>
      <c r="IHB4" s="34"/>
      <c r="IHC4" s="34"/>
      <c r="IHD4" s="34"/>
      <c r="IHE4" s="34"/>
      <c r="IHF4" s="34"/>
      <c r="IHG4" s="34"/>
      <c r="IHH4" s="34"/>
      <c r="IHI4" s="34"/>
      <c r="IHJ4" s="34"/>
      <c r="IHK4" s="34"/>
      <c r="IHL4" s="34"/>
      <c r="IHM4" s="34"/>
      <c r="IHN4" s="34"/>
      <c r="IHO4" s="34"/>
      <c r="IHP4" s="34"/>
      <c r="IHQ4" s="34"/>
      <c r="IHR4" s="34"/>
      <c r="IHS4" s="34"/>
      <c r="IHT4" s="34"/>
      <c r="IHU4" s="34"/>
      <c r="IHV4" s="34"/>
      <c r="IHW4" s="34"/>
      <c r="IHX4" s="34"/>
      <c r="IHY4" s="34"/>
      <c r="IHZ4" s="34"/>
      <c r="IIA4" s="34"/>
      <c r="IIB4" s="34"/>
      <c r="IIC4" s="34"/>
      <c r="IID4" s="34"/>
      <c r="IIE4" s="34"/>
      <c r="IIF4" s="34"/>
      <c r="IIG4" s="34"/>
      <c r="IIH4" s="34"/>
      <c r="III4" s="34"/>
      <c r="IIJ4" s="34"/>
      <c r="IIK4" s="34"/>
      <c r="IIL4" s="34"/>
      <c r="IIM4" s="34"/>
      <c r="IIN4" s="34"/>
      <c r="IIO4" s="34"/>
      <c r="IIP4" s="34"/>
      <c r="IIQ4" s="34"/>
      <c r="IIR4" s="34"/>
      <c r="IIS4" s="34"/>
      <c r="IIT4" s="34"/>
      <c r="IIU4" s="34"/>
      <c r="IIV4" s="34"/>
      <c r="IIW4" s="34"/>
      <c r="IIX4" s="34"/>
      <c r="IIY4" s="34"/>
      <c r="IIZ4" s="34"/>
      <c r="IJA4" s="34"/>
      <c r="IJB4" s="34"/>
      <c r="IJC4" s="34"/>
      <c r="IJD4" s="34"/>
      <c r="IJE4" s="34"/>
      <c r="IJF4" s="34"/>
      <c r="IJG4" s="34"/>
      <c r="IJH4" s="34"/>
      <c r="IJI4" s="34"/>
      <c r="IJJ4" s="34"/>
      <c r="IJK4" s="34"/>
      <c r="IJL4" s="34"/>
      <c r="IJM4" s="34"/>
      <c r="IJN4" s="34"/>
      <c r="IJO4" s="34"/>
      <c r="IJP4" s="34"/>
      <c r="IJQ4" s="34"/>
      <c r="IJR4" s="34"/>
      <c r="IJS4" s="34"/>
      <c r="IJT4" s="34"/>
      <c r="IJU4" s="34"/>
      <c r="IJV4" s="34"/>
      <c r="IJW4" s="34"/>
      <c r="IJX4" s="34"/>
      <c r="IJY4" s="34"/>
      <c r="IJZ4" s="34"/>
      <c r="IKA4" s="34"/>
      <c r="IKB4" s="34"/>
      <c r="IKC4" s="34"/>
      <c r="IKD4" s="34"/>
      <c r="IKE4" s="34"/>
      <c r="IKF4" s="34"/>
      <c r="IKG4" s="34"/>
      <c r="IKH4" s="34"/>
      <c r="IKI4" s="34"/>
      <c r="IKJ4" s="34"/>
      <c r="IKK4" s="34"/>
      <c r="IKL4" s="34"/>
      <c r="IKM4" s="34"/>
      <c r="IKN4" s="34"/>
      <c r="IKO4" s="34"/>
      <c r="IKP4" s="34"/>
      <c r="IKQ4" s="34"/>
      <c r="IKR4" s="34"/>
      <c r="IKS4" s="34"/>
      <c r="IKT4" s="34"/>
      <c r="IKU4" s="34"/>
      <c r="IKV4" s="34"/>
      <c r="IKW4" s="34"/>
      <c r="IKX4" s="34"/>
      <c r="IKY4" s="34"/>
      <c r="IKZ4" s="34"/>
      <c r="ILA4" s="34"/>
      <c r="ILB4" s="34"/>
      <c r="ILC4" s="34"/>
      <c r="ILD4" s="34"/>
      <c r="ILE4" s="34"/>
      <c r="ILF4" s="34"/>
      <c r="ILG4" s="34"/>
      <c r="ILH4" s="34"/>
      <c r="ILI4" s="34"/>
      <c r="ILJ4" s="34"/>
      <c r="ILK4" s="34"/>
      <c r="ILL4" s="34"/>
      <c r="ILM4" s="34"/>
      <c r="ILN4" s="34"/>
      <c r="ILO4" s="34"/>
      <c r="ILP4" s="34"/>
      <c r="ILQ4" s="34"/>
      <c r="ILR4" s="34"/>
      <c r="ILS4" s="34"/>
      <c r="ILT4" s="34"/>
      <c r="ILU4" s="34"/>
      <c r="ILV4" s="34"/>
      <c r="ILW4" s="34"/>
      <c r="ILX4" s="34"/>
      <c r="ILY4" s="34"/>
      <c r="ILZ4" s="34"/>
      <c r="IMA4" s="34"/>
      <c r="IMB4" s="34"/>
      <c r="IMC4" s="34"/>
      <c r="IMD4" s="34"/>
      <c r="IME4" s="34"/>
      <c r="IMF4" s="34"/>
      <c r="IMG4" s="34"/>
      <c r="IMH4" s="34"/>
      <c r="IMI4" s="34"/>
      <c r="IMJ4" s="34"/>
      <c r="IMK4" s="34"/>
      <c r="IML4" s="34"/>
      <c r="IMM4" s="34"/>
      <c r="IMN4" s="34"/>
      <c r="IMO4" s="34"/>
      <c r="IMP4" s="34"/>
      <c r="IMQ4" s="34"/>
      <c r="IMR4" s="34"/>
      <c r="IMS4" s="34"/>
      <c r="IMT4" s="34"/>
      <c r="IMU4" s="34"/>
      <c r="IMV4" s="34"/>
      <c r="IMW4" s="34"/>
      <c r="IMX4" s="34"/>
      <c r="IMY4" s="34"/>
      <c r="IMZ4" s="34"/>
      <c r="INA4" s="34"/>
      <c r="INB4" s="34"/>
      <c r="INC4" s="34"/>
      <c r="IND4" s="34"/>
      <c r="INE4" s="34"/>
      <c r="INF4" s="34"/>
      <c r="ING4" s="34"/>
      <c r="INH4" s="34"/>
      <c r="INI4" s="34"/>
      <c r="INJ4" s="34"/>
      <c r="INK4" s="34"/>
      <c r="INL4" s="34"/>
      <c r="INM4" s="34"/>
      <c r="INN4" s="34"/>
      <c r="INO4" s="34"/>
      <c r="INP4" s="34"/>
      <c r="INQ4" s="34"/>
      <c r="INR4" s="34"/>
      <c r="INS4" s="34"/>
      <c r="INT4" s="34"/>
      <c r="INU4" s="34"/>
      <c r="INV4" s="34"/>
      <c r="INW4" s="34"/>
      <c r="INX4" s="34"/>
      <c r="INY4" s="34"/>
      <c r="INZ4" s="34"/>
      <c r="IOA4" s="34"/>
      <c r="IOB4" s="34"/>
      <c r="IOC4" s="34"/>
      <c r="IOD4" s="34"/>
      <c r="IOE4" s="34"/>
      <c r="IOF4" s="34"/>
      <c r="IOG4" s="34"/>
      <c r="IOH4" s="34"/>
      <c r="IOI4" s="34"/>
      <c r="IOJ4" s="34"/>
      <c r="IOK4" s="34"/>
      <c r="IOL4" s="34"/>
      <c r="IOM4" s="34"/>
      <c r="ION4" s="34"/>
      <c r="IOO4" s="34"/>
      <c r="IOP4" s="34"/>
      <c r="IOQ4" s="34"/>
      <c r="IOR4" s="34"/>
      <c r="IOS4" s="34"/>
      <c r="IOT4" s="34"/>
      <c r="IOU4" s="34"/>
      <c r="IOV4" s="34"/>
      <c r="IOW4" s="34"/>
      <c r="IOX4" s="34"/>
      <c r="IOY4" s="34"/>
      <c r="IOZ4" s="34"/>
      <c r="IPA4" s="34"/>
      <c r="IPB4" s="34"/>
      <c r="IPC4" s="34"/>
      <c r="IPD4" s="34"/>
      <c r="IPE4" s="34"/>
      <c r="IPF4" s="34"/>
      <c r="IPG4" s="34"/>
      <c r="IPH4" s="34"/>
      <c r="IPI4" s="34"/>
      <c r="IPJ4" s="34"/>
      <c r="IPK4" s="34"/>
      <c r="IPL4" s="34"/>
      <c r="IPM4" s="34"/>
      <c r="IPN4" s="34"/>
      <c r="IPO4" s="34"/>
      <c r="IPP4" s="34"/>
      <c r="IPQ4" s="34"/>
      <c r="IPR4" s="34"/>
      <c r="IPS4" s="34"/>
      <c r="IPT4" s="34"/>
      <c r="IPU4" s="34"/>
      <c r="IPV4" s="34"/>
      <c r="IPW4" s="34"/>
      <c r="IPX4" s="34"/>
      <c r="IPY4" s="34"/>
      <c r="IPZ4" s="34"/>
      <c r="IQA4" s="34"/>
      <c r="IQB4" s="34"/>
      <c r="IQC4" s="34"/>
      <c r="IQD4" s="34"/>
      <c r="IQE4" s="34"/>
      <c r="IQF4" s="34"/>
      <c r="IQG4" s="34"/>
      <c r="IQH4" s="34"/>
      <c r="IQI4" s="34"/>
      <c r="IQJ4" s="34"/>
      <c r="IQK4" s="34"/>
      <c r="IQL4" s="34"/>
      <c r="IQM4" s="34"/>
      <c r="IQN4" s="34"/>
      <c r="IQO4" s="34"/>
      <c r="IQP4" s="34"/>
      <c r="IQQ4" s="34"/>
      <c r="IQR4" s="34"/>
      <c r="IQS4" s="34"/>
      <c r="IQT4" s="34"/>
      <c r="IQU4" s="34"/>
      <c r="IQV4" s="34"/>
      <c r="IQW4" s="34"/>
      <c r="IQX4" s="34"/>
      <c r="IQY4" s="34"/>
      <c r="IQZ4" s="34"/>
      <c r="IRA4" s="34"/>
      <c r="IRB4" s="34"/>
      <c r="IRC4" s="34"/>
      <c r="IRD4" s="34"/>
      <c r="IRE4" s="34"/>
      <c r="IRF4" s="34"/>
      <c r="IRG4" s="34"/>
      <c r="IRH4" s="34"/>
      <c r="IRI4" s="34"/>
      <c r="IRJ4" s="34"/>
      <c r="IRK4" s="34"/>
      <c r="IRL4" s="34"/>
      <c r="IRM4" s="34"/>
      <c r="IRN4" s="34"/>
      <c r="IRO4" s="34"/>
      <c r="IRP4" s="34"/>
      <c r="IRQ4" s="34"/>
      <c r="IRR4" s="34"/>
      <c r="IRS4" s="34"/>
      <c r="IRT4" s="34"/>
      <c r="IRU4" s="34"/>
      <c r="IRV4" s="34"/>
      <c r="IRW4" s="34"/>
      <c r="IRX4" s="34"/>
      <c r="IRY4" s="34"/>
      <c r="IRZ4" s="34"/>
      <c r="ISA4" s="34"/>
      <c r="ISB4" s="34"/>
      <c r="ISC4" s="34"/>
      <c r="ISD4" s="34"/>
      <c r="ISE4" s="34"/>
      <c r="ISF4" s="34"/>
      <c r="ISG4" s="34"/>
      <c r="ISH4" s="34"/>
      <c r="ISI4" s="34"/>
      <c r="ISJ4" s="34"/>
      <c r="ISK4" s="34"/>
      <c r="ISL4" s="34"/>
      <c r="ISM4" s="34"/>
      <c r="ISN4" s="34"/>
      <c r="ISO4" s="34"/>
      <c r="ISP4" s="34"/>
      <c r="ISQ4" s="34"/>
      <c r="ISR4" s="34"/>
      <c r="ISS4" s="34"/>
      <c r="IST4" s="34"/>
      <c r="ISU4" s="34"/>
      <c r="ISV4" s="34"/>
      <c r="ISW4" s="34"/>
      <c r="ISX4" s="34"/>
      <c r="ISY4" s="34"/>
      <c r="ISZ4" s="34"/>
      <c r="ITA4" s="34"/>
      <c r="ITB4" s="34"/>
      <c r="ITC4" s="34"/>
      <c r="ITD4" s="34"/>
      <c r="ITE4" s="34"/>
      <c r="ITF4" s="34"/>
      <c r="ITG4" s="34"/>
      <c r="ITH4" s="34"/>
      <c r="ITI4" s="34"/>
      <c r="ITJ4" s="34"/>
      <c r="ITK4" s="34"/>
      <c r="ITL4" s="34"/>
      <c r="ITM4" s="34"/>
      <c r="ITN4" s="34"/>
      <c r="ITO4" s="34"/>
      <c r="ITP4" s="34"/>
      <c r="ITQ4" s="34"/>
      <c r="ITR4" s="34"/>
      <c r="ITS4" s="34"/>
      <c r="ITT4" s="34"/>
      <c r="ITU4" s="34"/>
      <c r="ITV4" s="34"/>
      <c r="ITW4" s="34"/>
      <c r="ITX4" s="34"/>
      <c r="ITY4" s="34"/>
      <c r="ITZ4" s="34"/>
      <c r="IUA4" s="34"/>
      <c r="IUB4" s="34"/>
      <c r="IUC4" s="34"/>
      <c r="IUD4" s="34"/>
      <c r="IUE4" s="34"/>
      <c r="IUF4" s="34"/>
      <c r="IUG4" s="34"/>
      <c r="IUH4" s="34"/>
      <c r="IUI4" s="34"/>
      <c r="IUJ4" s="34"/>
      <c r="IUK4" s="34"/>
      <c r="IUL4" s="34"/>
      <c r="IUM4" s="34"/>
      <c r="IUN4" s="34"/>
      <c r="IUO4" s="34"/>
      <c r="IUP4" s="34"/>
      <c r="IUQ4" s="34"/>
      <c r="IUR4" s="34"/>
      <c r="IUS4" s="34"/>
      <c r="IUT4" s="34"/>
      <c r="IUU4" s="34"/>
      <c r="IUV4" s="34"/>
      <c r="IUW4" s="34"/>
      <c r="IUX4" s="34"/>
      <c r="IUY4" s="34"/>
      <c r="IUZ4" s="34"/>
      <c r="IVA4" s="34"/>
      <c r="IVB4" s="34"/>
      <c r="IVC4" s="34"/>
      <c r="IVD4" s="34"/>
      <c r="IVE4" s="34"/>
      <c r="IVF4" s="34"/>
      <c r="IVG4" s="34"/>
      <c r="IVH4" s="34"/>
      <c r="IVI4" s="34"/>
      <c r="IVJ4" s="34"/>
      <c r="IVK4" s="34"/>
      <c r="IVL4" s="34"/>
      <c r="IVM4" s="34"/>
      <c r="IVN4" s="34"/>
      <c r="IVO4" s="34"/>
      <c r="IVP4" s="34"/>
      <c r="IVQ4" s="34"/>
      <c r="IVR4" s="34"/>
      <c r="IVS4" s="34"/>
      <c r="IVT4" s="34"/>
      <c r="IVU4" s="34"/>
      <c r="IVV4" s="34"/>
      <c r="IVW4" s="34"/>
      <c r="IVX4" s="34"/>
      <c r="IVY4" s="34"/>
      <c r="IVZ4" s="34"/>
      <c r="IWA4" s="34"/>
      <c r="IWB4" s="34"/>
      <c r="IWC4" s="34"/>
      <c r="IWD4" s="34"/>
      <c r="IWE4" s="34"/>
      <c r="IWF4" s="34"/>
      <c r="IWG4" s="34"/>
      <c r="IWH4" s="34"/>
      <c r="IWI4" s="34"/>
      <c r="IWJ4" s="34"/>
      <c r="IWK4" s="34"/>
      <c r="IWL4" s="34"/>
      <c r="IWM4" s="34"/>
      <c r="IWN4" s="34"/>
      <c r="IWO4" s="34"/>
      <c r="IWP4" s="34"/>
      <c r="IWQ4" s="34"/>
      <c r="IWR4" s="34"/>
      <c r="IWS4" s="34"/>
      <c r="IWT4" s="34"/>
      <c r="IWU4" s="34"/>
      <c r="IWV4" s="34"/>
      <c r="IWW4" s="34"/>
      <c r="IWX4" s="34"/>
      <c r="IWY4" s="34"/>
      <c r="IWZ4" s="34"/>
      <c r="IXA4" s="34"/>
      <c r="IXB4" s="34"/>
      <c r="IXC4" s="34"/>
      <c r="IXD4" s="34"/>
      <c r="IXE4" s="34"/>
      <c r="IXF4" s="34"/>
      <c r="IXG4" s="34"/>
      <c r="IXH4" s="34"/>
      <c r="IXI4" s="34"/>
      <c r="IXJ4" s="34"/>
      <c r="IXK4" s="34"/>
      <c r="IXL4" s="34"/>
      <c r="IXM4" s="34"/>
      <c r="IXN4" s="34"/>
      <c r="IXO4" s="34"/>
      <c r="IXP4" s="34"/>
      <c r="IXQ4" s="34"/>
      <c r="IXR4" s="34"/>
      <c r="IXS4" s="34"/>
      <c r="IXT4" s="34"/>
      <c r="IXU4" s="34"/>
      <c r="IXV4" s="34"/>
      <c r="IXW4" s="34"/>
      <c r="IXX4" s="34"/>
      <c r="IXY4" s="34"/>
      <c r="IXZ4" s="34"/>
      <c r="IYA4" s="34"/>
      <c r="IYB4" s="34"/>
      <c r="IYC4" s="34"/>
      <c r="IYD4" s="34"/>
      <c r="IYE4" s="34"/>
      <c r="IYF4" s="34"/>
      <c r="IYG4" s="34"/>
      <c r="IYH4" s="34"/>
      <c r="IYI4" s="34"/>
      <c r="IYJ4" s="34"/>
      <c r="IYK4" s="34"/>
      <c r="IYL4" s="34"/>
      <c r="IYM4" s="34"/>
      <c r="IYN4" s="34"/>
      <c r="IYO4" s="34"/>
      <c r="IYP4" s="34"/>
      <c r="IYQ4" s="34"/>
      <c r="IYR4" s="34"/>
      <c r="IYS4" s="34"/>
      <c r="IYT4" s="34"/>
      <c r="IYU4" s="34"/>
      <c r="IYV4" s="34"/>
      <c r="IYW4" s="34"/>
      <c r="IYX4" s="34"/>
      <c r="IYY4" s="34"/>
      <c r="IYZ4" s="34"/>
      <c r="IZA4" s="34"/>
      <c r="IZB4" s="34"/>
      <c r="IZC4" s="34"/>
      <c r="IZD4" s="34"/>
      <c r="IZE4" s="34"/>
      <c r="IZF4" s="34"/>
      <c r="IZG4" s="34"/>
      <c r="IZH4" s="34"/>
      <c r="IZI4" s="34"/>
      <c r="IZJ4" s="34"/>
      <c r="IZK4" s="34"/>
      <c r="IZL4" s="34"/>
      <c r="IZM4" s="34"/>
      <c r="IZN4" s="34"/>
      <c r="IZO4" s="34"/>
      <c r="IZP4" s="34"/>
      <c r="IZQ4" s="34"/>
      <c r="IZR4" s="34"/>
      <c r="IZS4" s="34"/>
      <c r="IZT4" s="34"/>
      <c r="IZU4" s="34"/>
      <c r="IZV4" s="34"/>
      <c r="IZW4" s="34"/>
      <c r="IZX4" s="34"/>
      <c r="IZY4" s="34"/>
      <c r="IZZ4" s="34"/>
      <c r="JAA4" s="34"/>
      <c r="JAB4" s="34"/>
      <c r="JAC4" s="34"/>
      <c r="JAD4" s="34"/>
      <c r="JAE4" s="34"/>
      <c r="JAF4" s="34"/>
      <c r="JAG4" s="34"/>
      <c r="JAH4" s="34"/>
      <c r="JAI4" s="34"/>
      <c r="JAJ4" s="34"/>
      <c r="JAK4" s="34"/>
      <c r="JAL4" s="34"/>
      <c r="JAM4" s="34"/>
      <c r="JAN4" s="34"/>
      <c r="JAO4" s="34"/>
      <c r="JAP4" s="34"/>
      <c r="JAQ4" s="34"/>
      <c r="JAR4" s="34"/>
      <c r="JAS4" s="34"/>
      <c r="JAT4" s="34"/>
      <c r="JAU4" s="34"/>
      <c r="JAV4" s="34"/>
      <c r="JAW4" s="34"/>
      <c r="JAX4" s="34"/>
      <c r="JAY4" s="34"/>
      <c r="JAZ4" s="34"/>
      <c r="JBA4" s="34"/>
      <c r="JBB4" s="34"/>
      <c r="JBC4" s="34"/>
      <c r="JBD4" s="34"/>
      <c r="JBE4" s="34"/>
      <c r="JBF4" s="34"/>
      <c r="JBG4" s="34"/>
      <c r="JBH4" s="34"/>
      <c r="JBI4" s="34"/>
      <c r="JBJ4" s="34"/>
      <c r="JBK4" s="34"/>
      <c r="JBL4" s="34"/>
      <c r="JBM4" s="34"/>
      <c r="JBN4" s="34"/>
      <c r="JBO4" s="34"/>
      <c r="JBP4" s="34"/>
      <c r="JBQ4" s="34"/>
      <c r="JBR4" s="34"/>
      <c r="JBS4" s="34"/>
      <c r="JBT4" s="34"/>
      <c r="JBU4" s="34"/>
      <c r="JBV4" s="34"/>
      <c r="JBW4" s="34"/>
      <c r="JBX4" s="34"/>
      <c r="JBY4" s="34"/>
      <c r="JBZ4" s="34"/>
      <c r="JCA4" s="34"/>
      <c r="JCB4" s="34"/>
      <c r="JCC4" s="34"/>
      <c r="JCD4" s="34"/>
      <c r="JCE4" s="34"/>
      <c r="JCF4" s="34"/>
      <c r="JCG4" s="34"/>
      <c r="JCH4" s="34"/>
      <c r="JCI4" s="34"/>
      <c r="JCJ4" s="34"/>
      <c r="JCK4" s="34"/>
      <c r="JCL4" s="34"/>
      <c r="JCM4" s="34"/>
      <c r="JCN4" s="34"/>
      <c r="JCO4" s="34"/>
      <c r="JCP4" s="34"/>
      <c r="JCQ4" s="34"/>
      <c r="JCR4" s="34"/>
      <c r="JCS4" s="34"/>
      <c r="JCT4" s="34"/>
      <c r="JCU4" s="34"/>
      <c r="JCV4" s="34"/>
      <c r="JCW4" s="34"/>
      <c r="JCX4" s="34"/>
      <c r="JCY4" s="34"/>
      <c r="JCZ4" s="34"/>
      <c r="JDA4" s="34"/>
      <c r="JDB4" s="34"/>
      <c r="JDC4" s="34"/>
      <c r="JDD4" s="34"/>
      <c r="JDE4" s="34"/>
      <c r="JDF4" s="34"/>
      <c r="JDG4" s="34"/>
      <c r="JDH4" s="34"/>
      <c r="JDI4" s="34"/>
      <c r="JDJ4" s="34"/>
      <c r="JDK4" s="34"/>
      <c r="JDL4" s="34"/>
      <c r="JDM4" s="34"/>
      <c r="JDN4" s="34"/>
      <c r="JDO4" s="34"/>
      <c r="JDP4" s="34"/>
      <c r="JDQ4" s="34"/>
      <c r="JDR4" s="34"/>
      <c r="JDS4" s="34"/>
      <c r="JDT4" s="34"/>
      <c r="JDU4" s="34"/>
      <c r="JDV4" s="34"/>
      <c r="JDW4" s="34"/>
      <c r="JDX4" s="34"/>
      <c r="JDY4" s="34"/>
      <c r="JDZ4" s="34"/>
      <c r="JEA4" s="34"/>
      <c r="JEB4" s="34"/>
      <c r="JEC4" s="34"/>
      <c r="JED4" s="34"/>
      <c r="JEE4" s="34"/>
      <c r="JEF4" s="34"/>
      <c r="JEG4" s="34"/>
      <c r="JEH4" s="34"/>
      <c r="JEI4" s="34"/>
      <c r="JEJ4" s="34"/>
      <c r="JEK4" s="34"/>
      <c r="JEL4" s="34"/>
      <c r="JEM4" s="34"/>
      <c r="JEN4" s="34"/>
      <c r="JEO4" s="34"/>
      <c r="JEP4" s="34"/>
      <c r="JEQ4" s="34"/>
      <c r="JER4" s="34"/>
      <c r="JES4" s="34"/>
      <c r="JET4" s="34"/>
      <c r="JEU4" s="34"/>
      <c r="JEV4" s="34"/>
      <c r="JEW4" s="34"/>
      <c r="JEX4" s="34"/>
      <c r="JEY4" s="34"/>
      <c r="JEZ4" s="34"/>
      <c r="JFA4" s="34"/>
      <c r="JFB4" s="34"/>
      <c r="JFC4" s="34"/>
      <c r="JFD4" s="34"/>
      <c r="JFE4" s="34"/>
      <c r="JFF4" s="34"/>
      <c r="JFG4" s="34"/>
      <c r="JFH4" s="34"/>
      <c r="JFI4" s="34"/>
      <c r="JFJ4" s="34"/>
      <c r="JFK4" s="34"/>
      <c r="JFL4" s="34"/>
      <c r="JFM4" s="34"/>
      <c r="JFN4" s="34"/>
      <c r="JFO4" s="34"/>
      <c r="JFP4" s="34"/>
      <c r="JFQ4" s="34"/>
      <c r="JFR4" s="34"/>
      <c r="JFS4" s="34"/>
      <c r="JFT4" s="34"/>
      <c r="JFU4" s="34"/>
      <c r="JFV4" s="34"/>
      <c r="JFW4" s="34"/>
      <c r="JFX4" s="34"/>
      <c r="JFY4" s="34"/>
      <c r="JFZ4" s="34"/>
      <c r="JGA4" s="34"/>
      <c r="JGB4" s="34"/>
      <c r="JGC4" s="34"/>
      <c r="JGD4" s="34"/>
      <c r="JGE4" s="34"/>
      <c r="JGF4" s="34"/>
      <c r="JGG4" s="34"/>
      <c r="JGH4" s="34"/>
      <c r="JGI4" s="34"/>
      <c r="JGJ4" s="34"/>
      <c r="JGK4" s="34"/>
      <c r="JGL4" s="34"/>
      <c r="JGM4" s="34"/>
      <c r="JGN4" s="34"/>
      <c r="JGO4" s="34"/>
      <c r="JGP4" s="34"/>
      <c r="JGQ4" s="34"/>
      <c r="JGR4" s="34"/>
      <c r="JGS4" s="34"/>
      <c r="JGT4" s="34"/>
      <c r="JGU4" s="34"/>
      <c r="JGV4" s="34"/>
      <c r="JGW4" s="34"/>
      <c r="JGX4" s="34"/>
      <c r="JGY4" s="34"/>
      <c r="JGZ4" s="34"/>
      <c r="JHA4" s="34"/>
      <c r="JHB4" s="34"/>
      <c r="JHC4" s="34"/>
      <c r="JHD4" s="34"/>
      <c r="JHE4" s="34"/>
      <c r="JHF4" s="34"/>
      <c r="JHG4" s="34"/>
      <c r="JHH4" s="34"/>
      <c r="JHI4" s="34"/>
      <c r="JHJ4" s="34"/>
      <c r="JHK4" s="34"/>
      <c r="JHL4" s="34"/>
      <c r="JHM4" s="34"/>
      <c r="JHN4" s="34"/>
      <c r="JHO4" s="34"/>
      <c r="JHP4" s="34"/>
      <c r="JHQ4" s="34"/>
      <c r="JHR4" s="34"/>
      <c r="JHS4" s="34"/>
      <c r="JHT4" s="34"/>
      <c r="JHU4" s="34"/>
      <c r="JHV4" s="34"/>
      <c r="JHW4" s="34"/>
      <c r="JHX4" s="34"/>
      <c r="JHY4" s="34"/>
      <c r="JHZ4" s="34"/>
      <c r="JIA4" s="34"/>
      <c r="JIB4" s="34"/>
      <c r="JIC4" s="34"/>
      <c r="JID4" s="34"/>
      <c r="JIE4" s="34"/>
      <c r="JIF4" s="34"/>
      <c r="JIG4" s="34"/>
      <c r="JIH4" s="34"/>
      <c r="JII4" s="34"/>
      <c r="JIJ4" s="34"/>
      <c r="JIK4" s="34"/>
      <c r="JIL4" s="34"/>
      <c r="JIM4" s="34"/>
      <c r="JIN4" s="34"/>
      <c r="JIO4" s="34"/>
      <c r="JIP4" s="34"/>
      <c r="JIQ4" s="34"/>
      <c r="JIR4" s="34"/>
      <c r="JIS4" s="34"/>
      <c r="JIT4" s="34"/>
      <c r="JIU4" s="34"/>
      <c r="JIV4" s="34"/>
      <c r="JIW4" s="34"/>
      <c r="JIX4" s="34"/>
      <c r="JIY4" s="34"/>
      <c r="JIZ4" s="34"/>
      <c r="JJA4" s="34"/>
      <c r="JJB4" s="34"/>
      <c r="JJC4" s="34"/>
      <c r="JJD4" s="34"/>
      <c r="JJE4" s="34"/>
      <c r="JJF4" s="34"/>
      <c r="JJG4" s="34"/>
      <c r="JJH4" s="34"/>
      <c r="JJI4" s="34"/>
      <c r="JJJ4" s="34"/>
      <c r="JJK4" s="34"/>
      <c r="JJL4" s="34"/>
      <c r="JJM4" s="34"/>
      <c r="JJN4" s="34"/>
      <c r="JJO4" s="34"/>
      <c r="JJP4" s="34"/>
      <c r="JJQ4" s="34"/>
      <c r="JJR4" s="34"/>
      <c r="JJS4" s="34"/>
      <c r="JJT4" s="34"/>
      <c r="JJU4" s="34"/>
      <c r="JJV4" s="34"/>
      <c r="JJW4" s="34"/>
      <c r="JJX4" s="34"/>
      <c r="JJY4" s="34"/>
      <c r="JJZ4" s="34"/>
      <c r="JKA4" s="34"/>
      <c r="JKB4" s="34"/>
      <c r="JKC4" s="34"/>
      <c r="JKD4" s="34"/>
      <c r="JKE4" s="34"/>
      <c r="JKF4" s="34"/>
      <c r="JKG4" s="34"/>
      <c r="JKH4" s="34"/>
      <c r="JKI4" s="34"/>
      <c r="JKJ4" s="34"/>
      <c r="JKK4" s="34"/>
      <c r="JKL4" s="34"/>
      <c r="JKM4" s="34"/>
      <c r="JKN4" s="34"/>
      <c r="JKO4" s="34"/>
      <c r="JKP4" s="34"/>
      <c r="JKQ4" s="34"/>
      <c r="JKR4" s="34"/>
      <c r="JKS4" s="34"/>
      <c r="JKT4" s="34"/>
      <c r="JKU4" s="34"/>
      <c r="JKV4" s="34"/>
      <c r="JKW4" s="34"/>
      <c r="JKX4" s="34"/>
      <c r="JKY4" s="34"/>
      <c r="JKZ4" s="34"/>
      <c r="JLA4" s="34"/>
      <c r="JLB4" s="34"/>
      <c r="JLC4" s="34"/>
      <c r="JLD4" s="34"/>
      <c r="JLE4" s="34"/>
      <c r="JLF4" s="34"/>
      <c r="JLG4" s="34"/>
      <c r="JLH4" s="34"/>
      <c r="JLI4" s="34"/>
      <c r="JLJ4" s="34"/>
      <c r="JLK4" s="34"/>
      <c r="JLL4" s="34"/>
      <c r="JLM4" s="34"/>
      <c r="JLN4" s="34"/>
      <c r="JLO4" s="34"/>
      <c r="JLP4" s="34"/>
      <c r="JLQ4" s="34"/>
      <c r="JLR4" s="34"/>
      <c r="JLS4" s="34"/>
      <c r="JLT4" s="34"/>
      <c r="JLU4" s="34"/>
      <c r="JLV4" s="34"/>
      <c r="JLW4" s="34"/>
      <c r="JLX4" s="34"/>
      <c r="JLY4" s="34"/>
      <c r="JLZ4" s="34"/>
      <c r="JMA4" s="34"/>
      <c r="JMB4" s="34"/>
      <c r="JMC4" s="34"/>
      <c r="JMD4" s="34"/>
      <c r="JME4" s="34"/>
      <c r="JMF4" s="34"/>
      <c r="JMG4" s="34"/>
      <c r="JMH4" s="34"/>
      <c r="JMI4" s="34"/>
      <c r="JMJ4" s="34"/>
      <c r="JMK4" s="34"/>
      <c r="JML4" s="34"/>
      <c r="JMM4" s="34"/>
      <c r="JMN4" s="34"/>
      <c r="JMO4" s="34"/>
      <c r="JMP4" s="34"/>
      <c r="JMQ4" s="34"/>
      <c r="JMR4" s="34"/>
      <c r="JMS4" s="34"/>
      <c r="JMT4" s="34"/>
      <c r="JMU4" s="34"/>
      <c r="JMV4" s="34"/>
      <c r="JMW4" s="34"/>
      <c r="JMX4" s="34"/>
      <c r="JMY4" s="34"/>
      <c r="JMZ4" s="34"/>
      <c r="JNA4" s="34"/>
      <c r="JNB4" s="34"/>
      <c r="JNC4" s="34"/>
      <c r="JND4" s="34"/>
      <c r="JNE4" s="34"/>
      <c r="JNF4" s="34"/>
      <c r="JNG4" s="34"/>
      <c r="JNH4" s="34"/>
      <c r="JNI4" s="34"/>
      <c r="JNJ4" s="34"/>
      <c r="JNK4" s="34"/>
      <c r="JNL4" s="34"/>
      <c r="JNM4" s="34"/>
      <c r="JNN4" s="34"/>
      <c r="JNO4" s="34"/>
      <c r="JNP4" s="34"/>
      <c r="JNQ4" s="34"/>
      <c r="JNR4" s="34"/>
      <c r="JNS4" s="34"/>
      <c r="JNT4" s="34"/>
      <c r="JNU4" s="34"/>
      <c r="JNV4" s="34"/>
      <c r="JNW4" s="34"/>
      <c r="JNX4" s="34"/>
      <c r="JNY4" s="34"/>
      <c r="JNZ4" s="34"/>
      <c r="JOA4" s="34"/>
      <c r="JOB4" s="34"/>
      <c r="JOC4" s="34"/>
      <c r="JOD4" s="34"/>
      <c r="JOE4" s="34"/>
      <c r="JOF4" s="34"/>
      <c r="JOG4" s="34"/>
      <c r="JOH4" s="34"/>
      <c r="JOI4" s="34"/>
      <c r="JOJ4" s="34"/>
      <c r="JOK4" s="34"/>
      <c r="JOL4" s="34"/>
      <c r="JOM4" s="34"/>
      <c r="JON4" s="34"/>
      <c r="JOO4" s="34"/>
      <c r="JOP4" s="34"/>
      <c r="JOQ4" s="34"/>
      <c r="JOR4" s="34"/>
      <c r="JOS4" s="34"/>
      <c r="JOT4" s="34"/>
      <c r="JOU4" s="34"/>
      <c r="JOV4" s="34"/>
      <c r="JOW4" s="34"/>
      <c r="JOX4" s="34"/>
      <c r="JOY4" s="34"/>
      <c r="JOZ4" s="34"/>
      <c r="JPA4" s="34"/>
      <c r="JPB4" s="34"/>
      <c r="JPC4" s="34"/>
      <c r="JPD4" s="34"/>
      <c r="JPE4" s="34"/>
      <c r="JPF4" s="34"/>
      <c r="JPG4" s="34"/>
      <c r="JPH4" s="34"/>
      <c r="JPI4" s="34"/>
      <c r="JPJ4" s="34"/>
      <c r="JPK4" s="34"/>
      <c r="JPL4" s="34"/>
      <c r="JPM4" s="34"/>
      <c r="JPN4" s="34"/>
      <c r="JPO4" s="34"/>
      <c r="JPP4" s="34"/>
      <c r="JPQ4" s="34"/>
      <c r="JPR4" s="34"/>
      <c r="JPS4" s="34"/>
      <c r="JPT4" s="34"/>
      <c r="JPU4" s="34"/>
      <c r="JPV4" s="34"/>
      <c r="JPW4" s="34"/>
      <c r="JPX4" s="34"/>
      <c r="JPY4" s="34"/>
      <c r="JPZ4" s="34"/>
      <c r="JQA4" s="34"/>
      <c r="JQB4" s="34"/>
      <c r="JQC4" s="34"/>
      <c r="JQD4" s="34"/>
      <c r="JQE4" s="34"/>
      <c r="JQF4" s="34"/>
      <c r="JQG4" s="34"/>
      <c r="JQH4" s="34"/>
      <c r="JQI4" s="34"/>
      <c r="JQJ4" s="34"/>
      <c r="JQK4" s="34"/>
      <c r="JQL4" s="34"/>
      <c r="JQM4" s="34"/>
      <c r="JQN4" s="34"/>
      <c r="JQO4" s="34"/>
      <c r="JQP4" s="34"/>
      <c r="JQQ4" s="34"/>
      <c r="JQR4" s="34"/>
      <c r="JQS4" s="34"/>
      <c r="JQT4" s="34"/>
      <c r="JQU4" s="34"/>
      <c r="JQV4" s="34"/>
      <c r="JQW4" s="34"/>
      <c r="JQX4" s="34"/>
      <c r="JQY4" s="34"/>
      <c r="JQZ4" s="34"/>
      <c r="JRA4" s="34"/>
      <c r="JRB4" s="34"/>
      <c r="JRC4" s="34"/>
      <c r="JRD4" s="34"/>
      <c r="JRE4" s="34"/>
      <c r="JRF4" s="34"/>
      <c r="JRG4" s="34"/>
      <c r="JRH4" s="34"/>
      <c r="JRI4" s="34"/>
      <c r="JRJ4" s="34"/>
      <c r="JRK4" s="34"/>
      <c r="JRL4" s="34"/>
      <c r="JRM4" s="34"/>
      <c r="JRN4" s="34"/>
      <c r="JRO4" s="34"/>
      <c r="JRP4" s="34"/>
      <c r="JRQ4" s="34"/>
      <c r="JRR4" s="34"/>
      <c r="JRS4" s="34"/>
      <c r="JRT4" s="34"/>
      <c r="JRU4" s="34"/>
      <c r="JRV4" s="34"/>
      <c r="JRW4" s="34"/>
      <c r="JRX4" s="34"/>
      <c r="JRY4" s="34"/>
      <c r="JRZ4" s="34"/>
      <c r="JSA4" s="34"/>
      <c r="JSB4" s="34"/>
      <c r="JSC4" s="34"/>
      <c r="JSD4" s="34"/>
      <c r="JSE4" s="34"/>
      <c r="JSF4" s="34"/>
      <c r="JSG4" s="34"/>
      <c r="JSH4" s="34"/>
      <c r="JSI4" s="34"/>
      <c r="JSJ4" s="34"/>
      <c r="JSK4" s="34"/>
      <c r="JSL4" s="34"/>
      <c r="JSM4" s="34"/>
      <c r="JSN4" s="34"/>
      <c r="JSO4" s="34"/>
      <c r="JSP4" s="34"/>
      <c r="JSQ4" s="34"/>
      <c r="JSR4" s="34"/>
      <c r="JSS4" s="34"/>
      <c r="JST4" s="34"/>
      <c r="JSU4" s="34"/>
      <c r="JSV4" s="34"/>
      <c r="JSW4" s="34"/>
      <c r="JSX4" s="34"/>
      <c r="JSY4" s="34"/>
      <c r="JSZ4" s="34"/>
      <c r="JTA4" s="34"/>
      <c r="JTB4" s="34"/>
      <c r="JTC4" s="34"/>
      <c r="JTD4" s="34"/>
      <c r="JTE4" s="34"/>
      <c r="JTF4" s="34"/>
      <c r="JTG4" s="34"/>
      <c r="JTH4" s="34"/>
      <c r="JTI4" s="34"/>
      <c r="JTJ4" s="34"/>
      <c r="JTK4" s="34"/>
      <c r="JTL4" s="34"/>
      <c r="JTM4" s="34"/>
      <c r="JTN4" s="34"/>
      <c r="JTO4" s="34"/>
      <c r="JTP4" s="34"/>
      <c r="JTQ4" s="34"/>
      <c r="JTR4" s="34"/>
      <c r="JTS4" s="34"/>
      <c r="JTT4" s="34"/>
      <c r="JTU4" s="34"/>
      <c r="JTV4" s="34"/>
      <c r="JTW4" s="34"/>
      <c r="JTX4" s="34"/>
      <c r="JTY4" s="34"/>
      <c r="JTZ4" s="34"/>
      <c r="JUA4" s="34"/>
      <c r="JUB4" s="34"/>
      <c r="JUC4" s="34"/>
      <c r="JUD4" s="34"/>
      <c r="JUE4" s="34"/>
      <c r="JUF4" s="34"/>
      <c r="JUG4" s="34"/>
      <c r="JUH4" s="34"/>
      <c r="JUI4" s="34"/>
      <c r="JUJ4" s="34"/>
      <c r="JUK4" s="34"/>
      <c r="JUL4" s="34"/>
      <c r="JUM4" s="34"/>
      <c r="JUN4" s="34"/>
      <c r="JUO4" s="34"/>
      <c r="JUP4" s="34"/>
      <c r="JUQ4" s="34"/>
      <c r="JUR4" s="34"/>
      <c r="JUS4" s="34"/>
      <c r="JUT4" s="34"/>
      <c r="JUU4" s="34"/>
      <c r="JUV4" s="34"/>
      <c r="JUW4" s="34"/>
      <c r="JUX4" s="34"/>
      <c r="JUY4" s="34"/>
      <c r="JUZ4" s="34"/>
      <c r="JVA4" s="34"/>
      <c r="JVB4" s="34"/>
      <c r="JVC4" s="34"/>
      <c r="JVD4" s="34"/>
      <c r="JVE4" s="34"/>
      <c r="JVF4" s="34"/>
      <c r="JVG4" s="34"/>
      <c r="JVH4" s="34"/>
      <c r="JVI4" s="34"/>
      <c r="JVJ4" s="34"/>
      <c r="JVK4" s="34"/>
      <c r="JVL4" s="34"/>
      <c r="JVM4" s="34"/>
      <c r="JVN4" s="34"/>
      <c r="JVO4" s="34"/>
      <c r="JVP4" s="34"/>
      <c r="JVQ4" s="34"/>
      <c r="JVR4" s="34"/>
      <c r="JVS4" s="34"/>
      <c r="JVT4" s="34"/>
      <c r="JVU4" s="34"/>
      <c r="JVV4" s="34"/>
      <c r="JVW4" s="34"/>
      <c r="JVX4" s="34"/>
      <c r="JVY4" s="34"/>
      <c r="JVZ4" s="34"/>
      <c r="JWA4" s="34"/>
      <c r="JWB4" s="34"/>
      <c r="JWC4" s="34"/>
      <c r="JWD4" s="34"/>
      <c r="JWE4" s="34"/>
      <c r="JWF4" s="34"/>
      <c r="JWG4" s="34"/>
      <c r="JWH4" s="34"/>
      <c r="JWI4" s="34"/>
      <c r="JWJ4" s="34"/>
      <c r="JWK4" s="34"/>
      <c r="JWL4" s="34"/>
      <c r="JWM4" s="34"/>
      <c r="JWN4" s="34"/>
      <c r="JWO4" s="34"/>
      <c r="JWP4" s="34"/>
      <c r="JWQ4" s="34"/>
      <c r="JWR4" s="34"/>
      <c r="JWS4" s="34"/>
      <c r="JWT4" s="34"/>
      <c r="JWU4" s="34"/>
      <c r="JWV4" s="34"/>
      <c r="JWW4" s="34"/>
      <c r="JWX4" s="34"/>
      <c r="JWY4" s="34"/>
      <c r="JWZ4" s="34"/>
      <c r="JXA4" s="34"/>
      <c r="JXB4" s="34"/>
      <c r="JXC4" s="34"/>
      <c r="JXD4" s="34"/>
      <c r="JXE4" s="34"/>
      <c r="JXF4" s="34"/>
      <c r="JXG4" s="34"/>
      <c r="JXH4" s="34"/>
      <c r="JXI4" s="34"/>
      <c r="JXJ4" s="34"/>
      <c r="JXK4" s="34"/>
      <c r="JXL4" s="34"/>
      <c r="JXM4" s="34"/>
      <c r="JXN4" s="34"/>
      <c r="JXO4" s="34"/>
      <c r="JXP4" s="34"/>
      <c r="JXQ4" s="34"/>
      <c r="JXR4" s="34"/>
      <c r="JXS4" s="34"/>
      <c r="JXT4" s="34"/>
      <c r="JXU4" s="34"/>
      <c r="JXV4" s="34"/>
      <c r="JXW4" s="34"/>
      <c r="JXX4" s="34"/>
      <c r="JXY4" s="34"/>
      <c r="JXZ4" s="34"/>
      <c r="JYA4" s="34"/>
      <c r="JYB4" s="34"/>
      <c r="JYC4" s="34"/>
      <c r="JYD4" s="34"/>
      <c r="JYE4" s="34"/>
      <c r="JYF4" s="34"/>
      <c r="JYG4" s="34"/>
      <c r="JYH4" s="34"/>
      <c r="JYI4" s="34"/>
      <c r="JYJ4" s="34"/>
      <c r="JYK4" s="34"/>
      <c r="JYL4" s="34"/>
      <c r="JYM4" s="34"/>
      <c r="JYN4" s="34"/>
      <c r="JYO4" s="34"/>
      <c r="JYP4" s="34"/>
      <c r="JYQ4" s="34"/>
      <c r="JYR4" s="34"/>
      <c r="JYS4" s="34"/>
      <c r="JYT4" s="34"/>
      <c r="JYU4" s="34"/>
      <c r="JYV4" s="34"/>
      <c r="JYW4" s="34"/>
      <c r="JYX4" s="34"/>
      <c r="JYY4" s="34"/>
      <c r="JYZ4" s="34"/>
      <c r="JZA4" s="34"/>
      <c r="JZB4" s="34"/>
      <c r="JZC4" s="34"/>
      <c r="JZD4" s="34"/>
      <c r="JZE4" s="34"/>
      <c r="JZF4" s="34"/>
      <c r="JZG4" s="34"/>
      <c r="JZH4" s="34"/>
      <c r="JZI4" s="34"/>
      <c r="JZJ4" s="34"/>
      <c r="JZK4" s="34"/>
      <c r="JZL4" s="34"/>
      <c r="JZM4" s="34"/>
      <c r="JZN4" s="34"/>
      <c r="JZO4" s="34"/>
      <c r="JZP4" s="34"/>
      <c r="JZQ4" s="34"/>
      <c r="JZR4" s="34"/>
      <c r="JZS4" s="34"/>
      <c r="JZT4" s="34"/>
      <c r="JZU4" s="34"/>
      <c r="JZV4" s="34"/>
      <c r="JZW4" s="34"/>
      <c r="JZX4" s="34"/>
      <c r="JZY4" s="34"/>
      <c r="JZZ4" s="34"/>
      <c r="KAA4" s="34"/>
      <c r="KAB4" s="34"/>
      <c r="KAC4" s="34"/>
      <c r="KAD4" s="34"/>
      <c r="KAE4" s="34"/>
      <c r="KAF4" s="34"/>
      <c r="KAG4" s="34"/>
      <c r="KAH4" s="34"/>
      <c r="KAI4" s="34"/>
      <c r="KAJ4" s="34"/>
      <c r="KAK4" s="34"/>
      <c r="KAL4" s="34"/>
      <c r="KAM4" s="34"/>
      <c r="KAN4" s="34"/>
      <c r="KAO4" s="34"/>
      <c r="KAP4" s="34"/>
      <c r="KAQ4" s="34"/>
      <c r="KAR4" s="34"/>
      <c r="KAS4" s="34"/>
      <c r="KAT4" s="34"/>
      <c r="KAU4" s="34"/>
      <c r="KAV4" s="34"/>
      <c r="KAW4" s="34"/>
      <c r="KAX4" s="34"/>
      <c r="KAY4" s="34"/>
      <c r="KAZ4" s="34"/>
      <c r="KBA4" s="34"/>
      <c r="KBB4" s="34"/>
      <c r="KBC4" s="34"/>
      <c r="KBD4" s="34"/>
      <c r="KBE4" s="34"/>
      <c r="KBF4" s="34"/>
      <c r="KBG4" s="34"/>
      <c r="KBH4" s="34"/>
      <c r="KBI4" s="34"/>
      <c r="KBJ4" s="34"/>
      <c r="KBK4" s="34"/>
      <c r="KBL4" s="34"/>
      <c r="KBM4" s="34"/>
      <c r="KBN4" s="34"/>
      <c r="KBO4" s="34"/>
      <c r="KBP4" s="34"/>
      <c r="KBQ4" s="34"/>
      <c r="KBR4" s="34"/>
      <c r="KBS4" s="34"/>
      <c r="KBT4" s="34"/>
      <c r="KBU4" s="34"/>
      <c r="KBV4" s="34"/>
      <c r="KBW4" s="34"/>
      <c r="KBX4" s="34"/>
      <c r="KBY4" s="34"/>
      <c r="KBZ4" s="34"/>
      <c r="KCA4" s="34"/>
      <c r="KCB4" s="34"/>
      <c r="KCC4" s="34"/>
      <c r="KCD4" s="34"/>
      <c r="KCE4" s="34"/>
      <c r="KCF4" s="34"/>
      <c r="KCG4" s="34"/>
      <c r="KCH4" s="34"/>
      <c r="KCI4" s="34"/>
      <c r="KCJ4" s="34"/>
      <c r="KCK4" s="34"/>
      <c r="KCL4" s="34"/>
      <c r="KCM4" s="34"/>
      <c r="KCN4" s="34"/>
      <c r="KCO4" s="34"/>
      <c r="KCP4" s="34"/>
      <c r="KCQ4" s="34"/>
      <c r="KCR4" s="34"/>
      <c r="KCS4" s="34"/>
      <c r="KCT4" s="34"/>
      <c r="KCU4" s="34"/>
      <c r="KCV4" s="34"/>
      <c r="KCW4" s="34"/>
      <c r="KCX4" s="34"/>
      <c r="KCY4" s="34"/>
      <c r="KCZ4" s="34"/>
      <c r="KDA4" s="34"/>
      <c r="KDB4" s="34"/>
      <c r="KDC4" s="34"/>
      <c r="KDD4" s="34"/>
      <c r="KDE4" s="34"/>
      <c r="KDF4" s="34"/>
      <c r="KDG4" s="34"/>
      <c r="KDH4" s="34"/>
      <c r="KDI4" s="34"/>
      <c r="KDJ4" s="34"/>
      <c r="KDK4" s="34"/>
      <c r="KDL4" s="34"/>
      <c r="KDM4" s="34"/>
      <c r="KDN4" s="34"/>
      <c r="KDO4" s="34"/>
      <c r="KDP4" s="34"/>
      <c r="KDQ4" s="34"/>
      <c r="KDR4" s="34"/>
      <c r="KDS4" s="34"/>
      <c r="KDT4" s="34"/>
      <c r="KDU4" s="34"/>
      <c r="KDV4" s="34"/>
      <c r="KDW4" s="34"/>
      <c r="KDX4" s="34"/>
      <c r="KDY4" s="34"/>
      <c r="KDZ4" s="34"/>
      <c r="KEA4" s="34"/>
      <c r="KEB4" s="34"/>
      <c r="KEC4" s="34"/>
      <c r="KED4" s="34"/>
      <c r="KEE4" s="34"/>
      <c r="KEF4" s="34"/>
      <c r="KEG4" s="34"/>
      <c r="KEH4" s="34"/>
      <c r="KEI4" s="34"/>
      <c r="KEJ4" s="34"/>
      <c r="KEK4" s="34"/>
      <c r="KEL4" s="34"/>
      <c r="KEM4" s="34"/>
      <c r="KEN4" s="34"/>
      <c r="KEO4" s="34"/>
      <c r="KEP4" s="34"/>
      <c r="KEQ4" s="34"/>
      <c r="KER4" s="34"/>
      <c r="KES4" s="34"/>
      <c r="KET4" s="34"/>
      <c r="KEU4" s="34"/>
      <c r="KEV4" s="34"/>
      <c r="KEW4" s="34"/>
      <c r="KEX4" s="34"/>
      <c r="KEY4" s="34"/>
      <c r="KEZ4" s="34"/>
      <c r="KFA4" s="34"/>
      <c r="KFB4" s="34"/>
      <c r="KFC4" s="34"/>
      <c r="KFD4" s="34"/>
      <c r="KFE4" s="34"/>
      <c r="KFF4" s="34"/>
      <c r="KFG4" s="34"/>
      <c r="KFH4" s="34"/>
      <c r="KFI4" s="34"/>
      <c r="KFJ4" s="34"/>
      <c r="KFK4" s="34"/>
      <c r="KFL4" s="34"/>
      <c r="KFM4" s="34"/>
      <c r="KFN4" s="34"/>
      <c r="KFO4" s="34"/>
      <c r="KFP4" s="34"/>
      <c r="KFQ4" s="34"/>
      <c r="KFR4" s="34"/>
      <c r="KFS4" s="34"/>
      <c r="KFT4" s="34"/>
      <c r="KFU4" s="34"/>
      <c r="KFV4" s="34"/>
      <c r="KFW4" s="34"/>
      <c r="KFX4" s="34"/>
      <c r="KFY4" s="34"/>
      <c r="KFZ4" s="34"/>
      <c r="KGA4" s="34"/>
      <c r="KGB4" s="34"/>
      <c r="KGC4" s="34"/>
      <c r="KGD4" s="34"/>
      <c r="KGE4" s="34"/>
      <c r="KGF4" s="34"/>
      <c r="KGG4" s="34"/>
      <c r="KGH4" s="34"/>
      <c r="KGI4" s="34"/>
      <c r="KGJ4" s="34"/>
      <c r="KGK4" s="34"/>
      <c r="KGL4" s="34"/>
      <c r="KGM4" s="34"/>
      <c r="KGN4" s="34"/>
      <c r="KGO4" s="34"/>
      <c r="KGP4" s="34"/>
      <c r="KGQ4" s="34"/>
      <c r="KGR4" s="34"/>
      <c r="KGS4" s="34"/>
      <c r="KGT4" s="34"/>
      <c r="KGU4" s="34"/>
      <c r="KGV4" s="34"/>
      <c r="KGW4" s="34"/>
      <c r="KGX4" s="34"/>
      <c r="KGY4" s="34"/>
      <c r="KGZ4" s="34"/>
      <c r="KHA4" s="34"/>
      <c r="KHB4" s="34"/>
      <c r="KHC4" s="34"/>
      <c r="KHD4" s="34"/>
      <c r="KHE4" s="34"/>
      <c r="KHF4" s="34"/>
      <c r="KHG4" s="34"/>
      <c r="KHH4" s="34"/>
      <c r="KHI4" s="34"/>
      <c r="KHJ4" s="34"/>
      <c r="KHK4" s="34"/>
      <c r="KHL4" s="34"/>
      <c r="KHM4" s="34"/>
      <c r="KHN4" s="34"/>
      <c r="KHO4" s="34"/>
      <c r="KHP4" s="34"/>
      <c r="KHQ4" s="34"/>
      <c r="KHR4" s="34"/>
      <c r="KHS4" s="34"/>
      <c r="KHT4" s="34"/>
      <c r="KHU4" s="34"/>
      <c r="KHV4" s="34"/>
      <c r="KHW4" s="34"/>
      <c r="KHX4" s="34"/>
      <c r="KHY4" s="34"/>
      <c r="KHZ4" s="34"/>
      <c r="KIA4" s="34"/>
      <c r="KIB4" s="34"/>
      <c r="KIC4" s="34"/>
      <c r="KID4" s="34"/>
      <c r="KIE4" s="34"/>
      <c r="KIF4" s="34"/>
      <c r="KIG4" s="34"/>
      <c r="KIH4" s="34"/>
      <c r="KII4" s="34"/>
      <c r="KIJ4" s="34"/>
      <c r="KIK4" s="34"/>
      <c r="KIL4" s="34"/>
      <c r="KIM4" s="34"/>
      <c r="KIN4" s="34"/>
      <c r="KIO4" s="34"/>
      <c r="KIP4" s="34"/>
      <c r="KIQ4" s="34"/>
      <c r="KIR4" s="34"/>
      <c r="KIS4" s="34"/>
      <c r="KIT4" s="34"/>
      <c r="KIU4" s="34"/>
      <c r="KIV4" s="34"/>
      <c r="KIW4" s="34"/>
      <c r="KIX4" s="34"/>
      <c r="KIY4" s="34"/>
      <c r="KIZ4" s="34"/>
      <c r="KJA4" s="34"/>
      <c r="KJB4" s="34"/>
      <c r="KJC4" s="34"/>
      <c r="KJD4" s="34"/>
      <c r="KJE4" s="34"/>
      <c r="KJF4" s="34"/>
      <c r="KJG4" s="34"/>
      <c r="KJH4" s="34"/>
      <c r="KJI4" s="34"/>
      <c r="KJJ4" s="34"/>
      <c r="KJK4" s="34"/>
      <c r="KJL4" s="34"/>
      <c r="KJM4" s="34"/>
      <c r="KJN4" s="34"/>
      <c r="KJO4" s="34"/>
      <c r="KJP4" s="34"/>
      <c r="KJQ4" s="34"/>
      <c r="KJR4" s="34"/>
      <c r="KJS4" s="34"/>
      <c r="KJT4" s="34"/>
      <c r="KJU4" s="34"/>
      <c r="KJV4" s="34"/>
      <c r="KJW4" s="34"/>
      <c r="KJX4" s="34"/>
      <c r="KJY4" s="34"/>
      <c r="KJZ4" s="34"/>
      <c r="KKA4" s="34"/>
      <c r="KKB4" s="34"/>
      <c r="KKC4" s="34"/>
      <c r="KKD4" s="34"/>
      <c r="KKE4" s="34"/>
      <c r="KKF4" s="34"/>
      <c r="KKG4" s="34"/>
      <c r="KKH4" s="34"/>
      <c r="KKI4" s="34"/>
      <c r="KKJ4" s="34"/>
      <c r="KKK4" s="34"/>
      <c r="KKL4" s="34"/>
      <c r="KKM4" s="34"/>
      <c r="KKN4" s="34"/>
      <c r="KKO4" s="34"/>
      <c r="KKP4" s="34"/>
      <c r="KKQ4" s="34"/>
      <c r="KKR4" s="34"/>
      <c r="KKS4" s="34"/>
      <c r="KKT4" s="34"/>
      <c r="KKU4" s="34"/>
      <c r="KKV4" s="34"/>
      <c r="KKW4" s="34"/>
      <c r="KKX4" s="34"/>
      <c r="KKY4" s="34"/>
      <c r="KKZ4" s="34"/>
      <c r="KLA4" s="34"/>
      <c r="KLB4" s="34"/>
      <c r="KLC4" s="34"/>
      <c r="KLD4" s="34"/>
      <c r="KLE4" s="34"/>
      <c r="KLF4" s="34"/>
      <c r="KLG4" s="34"/>
      <c r="KLH4" s="34"/>
      <c r="KLI4" s="34"/>
      <c r="KLJ4" s="34"/>
      <c r="KLK4" s="34"/>
      <c r="KLL4" s="34"/>
      <c r="KLM4" s="34"/>
      <c r="KLN4" s="34"/>
      <c r="KLO4" s="34"/>
      <c r="KLP4" s="34"/>
      <c r="KLQ4" s="34"/>
      <c r="KLR4" s="34"/>
      <c r="KLS4" s="34"/>
      <c r="KLT4" s="34"/>
      <c r="KLU4" s="34"/>
      <c r="KLV4" s="34"/>
      <c r="KLW4" s="34"/>
      <c r="KLX4" s="34"/>
      <c r="KLY4" s="34"/>
      <c r="KLZ4" s="34"/>
      <c r="KMA4" s="34"/>
      <c r="KMB4" s="34"/>
      <c r="KMC4" s="34"/>
      <c r="KMD4" s="34"/>
      <c r="KME4" s="34"/>
      <c r="KMF4" s="34"/>
      <c r="KMG4" s="34"/>
      <c r="KMH4" s="34"/>
      <c r="KMI4" s="34"/>
      <c r="KMJ4" s="34"/>
      <c r="KMK4" s="34"/>
      <c r="KML4" s="34"/>
      <c r="KMM4" s="34"/>
      <c r="KMN4" s="34"/>
      <c r="KMO4" s="34"/>
      <c r="KMP4" s="34"/>
      <c r="KMQ4" s="34"/>
      <c r="KMR4" s="34"/>
      <c r="KMS4" s="34"/>
      <c r="KMT4" s="34"/>
      <c r="KMU4" s="34"/>
      <c r="KMV4" s="34"/>
      <c r="KMW4" s="34"/>
      <c r="KMX4" s="34"/>
      <c r="KMY4" s="34"/>
      <c r="KMZ4" s="34"/>
      <c r="KNA4" s="34"/>
      <c r="KNB4" s="34"/>
      <c r="KNC4" s="34"/>
      <c r="KND4" s="34"/>
      <c r="KNE4" s="34"/>
      <c r="KNF4" s="34"/>
      <c r="KNG4" s="34"/>
      <c r="KNH4" s="34"/>
      <c r="KNI4" s="34"/>
      <c r="KNJ4" s="34"/>
      <c r="KNK4" s="34"/>
      <c r="KNL4" s="34"/>
      <c r="KNM4" s="34"/>
      <c r="KNN4" s="34"/>
      <c r="KNO4" s="34"/>
      <c r="KNP4" s="34"/>
      <c r="KNQ4" s="34"/>
      <c r="KNR4" s="34"/>
      <c r="KNS4" s="34"/>
      <c r="KNT4" s="34"/>
      <c r="KNU4" s="34"/>
      <c r="KNV4" s="34"/>
      <c r="KNW4" s="34"/>
      <c r="KNX4" s="34"/>
      <c r="KNY4" s="34"/>
      <c r="KNZ4" s="34"/>
      <c r="KOA4" s="34"/>
      <c r="KOB4" s="34"/>
      <c r="KOC4" s="34"/>
      <c r="KOD4" s="34"/>
      <c r="KOE4" s="34"/>
      <c r="KOF4" s="34"/>
      <c r="KOG4" s="34"/>
      <c r="KOH4" s="34"/>
      <c r="KOI4" s="34"/>
      <c r="KOJ4" s="34"/>
      <c r="KOK4" s="34"/>
      <c r="KOL4" s="34"/>
      <c r="KOM4" s="34"/>
      <c r="KON4" s="34"/>
      <c r="KOO4" s="34"/>
      <c r="KOP4" s="34"/>
      <c r="KOQ4" s="34"/>
      <c r="KOR4" s="34"/>
      <c r="KOS4" s="34"/>
      <c r="KOT4" s="34"/>
      <c r="KOU4" s="34"/>
      <c r="KOV4" s="34"/>
      <c r="KOW4" s="34"/>
      <c r="KOX4" s="34"/>
      <c r="KOY4" s="34"/>
      <c r="KOZ4" s="34"/>
      <c r="KPA4" s="34"/>
      <c r="KPB4" s="34"/>
      <c r="KPC4" s="34"/>
      <c r="KPD4" s="34"/>
      <c r="KPE4" s="34"/>
      <c r="KPF4" s="34"/>
      <c r="KPG4" s="34"/>
      <c r="KPH4" s="34"/>
      <c r="KPI4" s="34"/>
      <c r="KPJ4" s="34"/>
      <c r="KPK4" s="34"/>
      <c r="KPL4" s="34"/>
      <c r="KPM4" s="34"/>
      <c r="KPN4" s="34"/>
      <c r="KPO4" s="34"/>
      <c r="KPP4" s="34"/>
      <c r="KPQ4" s="34"/>
      <c r="KPR4" s="34"/>
      <c r="KPS4" s="34"/>
      <c r="KPT4" s="34"/>
      <c r="KPU4" s="34"/>
      <c r="KPV4" s="34"/>
      <c r="KPW4" s="34"/>
      <c r="KPX4" s="34"/>
      <c r="KPY4" s="34"/>
      <c r="KPZ4" s="34"/>
      <c r="KQA4" s="34"/>
      <c r="KQB4" s="34"/>
      <c r="KQC4" s="34"/>
      <c r="KQD4" s="34"/>
      <c r="KQE4" s="34"/>
      <c r="KQF4" s="34"/>
      <c r="KQG4" s="34"/>
      <c r="KQH4" s="34"/>
      <c r="KQI4" s="34"/>
      <c r="KQJ4" s="34"/>
      <c r="KQK4" s="34"/>
      <c r="KQL4" s="34"/>
      <c r="KQM4" s="34"/>
      <c r="KQN4" s="34"/>
      <c r="KQO4" s="34"/>
      <c r="KQP4" s="34"/>
      <c r="KQQ4" s="34"/>
      <c r="KQR4" s="34"/>
      <c r="KQS4" s="34"/>
      <c r="KQT4" s="34"/>
      <c r="KQU4" s="34"/>
      <c r="KQV4" s="34"/>
      <c r="KQW4" s="34"/>
      <c r="KQX4" s="34"/>
      <c r="KQY4" s="34"/>
      <c r="KQZ4" s="34"/>
      <c r="KRA4" s="34"/>
      <c r="KRB4" s="34"/>
      <c r="KRC4" s="34"/>
      <c r="KRD4" s="34"/>
      <c r="KRE4" s="34"/>
      <c r="KRF4" s="34"/>
      <c r="KRG4" s="34"/>
      <c r="KRH4" s="34"/>
      <c r="KRI4" s="34"/>
      <c r="KRJ4" s="34"/>
      <c r="KRK4" s="34"/>
      <c r="KRL4" s="34"/>
      <c r="KRM4" s="34"/>
      <c r="KRN4" s="34"/>
      <c r="KRO4" s="34"/>
      <c r="KRP4" s="34"/>
      <c r="KRQ4" s="34"/>
      <c r="KRR4" s="34"/>
      <c r="KRS4" s="34"/>
      <c r="KRT4" s="34"/>
      <c r="KRU4" s="34"/>
      <c r="KRV4" s="34"/>
      <c r="KRW4" s="34"/>
      <c r="KRX4" s="34"/>
      <c r="KRY4" s="34"/>
      <c r="KRZ4" s="34"/>
      <c r="KSA4" s="34"/>
      <c r="KSB4" s="34"/>
      <c r="KSC4" s="34"/>
      <c r="KSD4" s="34"/>
      <c r="KSE4" s="34"/>
      <c r="KSF4" s="34"/>
      <c r="KSG4" s="34"/>
      <c r="KSH4" s="34"/>
      <c r="KSI4" s="34"/>
      <c r="KSJ4" s="34"/>
      <c r="KSK4" s="34"/>
      <c r="KSL4" s="34"/>
      <c r="KSM4" s="34"/>
      <c r="KSN4" s="34"/>
      <c r="KSO4" s="34"/>
      <c r="KSP4" s="34"/>
      <c r="KSQ4" s="34"/>
      <c r="KSR4" s="34"/>
      <c r="KSS4" s="34"/>
      <c r="KST4" s="34"/>
      <c r="KSU4" s="34"/>
      <c r="KSV4" s="34"/>
      <c r="KSW4" s="34"/>
      <c r="KSX4" s="34"/>
      <c r="KSY4" s="34"/>
      <c r="KSZ4" s="34"/>
      <c r="KTA4" s="34"/>
      <c r="KTB4" s="34"/>
      <c r="KTC4" s="34"/>
      <c r="KTD4" s="34"/>
      <c r="KTE4" s="34"/>
      <c r="KTF4" s="34"/>
      <c r="KTG4" s="34"/>
      <c r="KTH4" s="34"/>
      <c r="KTI4" s="34"/>
      <c r="KTJ4" s="34"/>
      <c r="KTK4" s="34"/>
      <c r="KTL4" s="34"/>
      <c r="KTM4" s="34"/>
      <c r="KTN4" s="34"/>
      <c r="KTO4" s="34"/>
      <c r="KTP4" s="34"/>
      <c r="KTQ4" s="34"/>
      <c r="KTR4" s="34"/>
      <c r="KTS4" s="34"/>
      <c r="KTT4" s="34"/>
      <c r="KTU4" s="34"/>
      <c r="KTV4" s="34"/>
      <c r="KTW4" s="34"/>
      <c r="KTX4" s="34"/>
      <c r="KTY4" s="34"/>
      <c r="KTZ4" s="34"/>
      <c r="KUA4" s="34"/>
      <c r="KUB4" s="34"/>
      <c r="KUC4" s="34"/>
      <c r="KUD4" s="34"/>
      <c r="KUE4" s="34"/>
      <c r="KUF4" s="34"/>
      <c r="KUG4" s="34"/>
      <c r="KUH4" s="34"/>
      <c r="KUI4" s="34"/>
      <c r="KUJ4" s="34"/>
      <c r="KUK4" s="34"/>
      <c r="KUL4" s="34"/>
      <c r="KUM4" s="34"/>
      <c r="KUN4" s="34"/>
      <c r="KUO4" s="34"/>
      <c r="KUP4" s="34"/>
      <c r="KUQ4" s="34"/>
      <c r="KUR4" s="34"/>
      <c r="KUS4" s="34"/>
      <c r="KUT4" s="34"/>
      <c r="KUU4" s="34"/>
      <c r="KUV4" s="34"/>
      <c r="KUW4" s="34"/>
      <c r="KUX4" s="34"/>
      <c r="KUY4" s="34"/>
      <c r="KUZ4" s="34"/>
      <c r="KVA4" s="34"/>
      <c r="KVB4" s="34"/>
      <c r="KVC4" s="34"/>
      <c r="KVD4" s="34"/>
      <c r="KVE4" s="34"/>
      <c r="KVF4" s="34"/>
      <c r="KVG4" s="34"/>
      <c r="KVH4" s="34"/>
      <c r="KVI4" s="34"/>
      <c r="KVJ4" s="34"/>
      <c r="KVK4" s="34"/>
      <c r="KVL4" s="34"/>
      <c r="KVM4" s="34"/>
      <c r="KVN4" s="34"/>
      <c r="KVO4" s="34"/>
      <c r="KVP4" s="34"/>
      <c r="KVQ4" s="34"/>
      <c r="KVR4" s="34"/>
      <c r="KVS4" s="34"/>
      <c r="KVT4" s="34"/>
      <c r="KVU4" s="34"/>
      <c r="KVV4" s="34"/>
      <c r="KVW4" s="34"/>
      <c r="KVX4" s="34"/>
      <c r="KVY4" s="34"/>
      <c r="KVZ4" s="34"/>
      <c r="KWA4" s="34"/>
      <c r="KWB4" s="34"/>
      <c r="KWC4" s="34"/>
      <c r="KWD4" s="34"/>
      <c r="KWE4" s="34"/>
      <c r="KWF4" s="34"/>
      <c r="KWG4" s="34"/>
      <c r="KWH4" s="34"/>
      <c r="KWI4" s="34"/>
      <c r="KWJ4" s="34"/>
      <c r="KWK4" s="34"/>
      <c r="KWL4" s="34"/>
      <c r="KWM4" s="34"/>
      <c r="KWN4" s="34"/>
      <c r="KWO4" s="34"/>
      <c r="KWP4" s="34"/>
      <c r="KWQ4" s="34"/>
      <c r="KWR4" s="34"/>
      <c r="KWS4" s="34"/>
      <c r="KWT4" s="34"/>
      <c r="KWU4" s="34"/>
      <c r="KWV4" s="34"/>
      <c r="KWW4" s="34"/>
      <c r="KWX4" s="34"/>
      <c r="KWY4" s="34"/>
      <c r="KWZ4" s="34"/>
      <c r="KXA4" s="34"/>
      <c r="KXB4" s="34"/>
      <c r="KXC4" s="34"/>
      <c r="KXD4" s="34"/>
      <c r="KXE4" s="34"/>
      <c r="KXF4" s="34"/>
      <c r="KXG4" s="34"/>
      <c r="KXH4" s="34"/>
      <c r="KXI4" s="34"/>
      <c r="KXJ4" s="34"/>
      <c r="KXK4" s="34"/>
      <c r="KXL4" s="34"/>
      <c r="KXM4" s="34"/>
      <c r="KXN4" s="34"/>
      <c r="KXO4" s="34"/>
      <c r="KXP4" s="34"/>
      <c r="KXQ4" s="34"/>
      <c r="KXR4" s="34"/>
      <c r="KXS4" s="34"/>
      <c r="KXT4" s="34"/>
      <c r="KXU4" s="34"/>
      <c r="KXV4" s="34"/>
      <c r="KXW4" s="34"/>
      <c r="KXX4" s="34"/>
      <c r="KXY4" s="34"/>
      <c r="KXZ4" s="34"/>
      <c r="KYA4" s="34"/>
      <c r="KYB4" s="34"/>
      <c r="KYC4" s="34"/>
      <c r="KYD4" s="34"/>
      <c r="KYE4" s="34"/>
      <c r="KYF4" s="34"/>
      <c r="KYG4" s="34"/>
      <c r="KYH4" s="34"/>
      <c r="KYI4" s="34"/>
      <c r="KYJ4" s="34"/>
      <c r="KYK4" s="34"/>
      <c r="KYL4" s="34"/>
      <c r="KYM4" s="34"/>
      <c r="KYN4" s="34"/>
      <c r="KYO4" s="34"/>
      <c r="KYP4" s="34"/>
      <c r="KYQ4" s="34"/>
      <c r="KYR4" s="34"/>
      <c r="KYS4" s="34"/>
      <c r="KYT4" s="34"/>
      <c r="KYU4" s="34"/>
      <c r="KYV4" s="34"/>
      <c r="KYW4" s="34"/>
      <c r="KYX4" s="34"/>
      <c r="KYY4" s="34"/>
      <c r="KYZ4" s="34"/>
      <c r="KZA4" s="34"/>
      <c r="KZB4" s="34"/>
      <c r="KZC4" s="34"/>
      <c r="KZD4" s="34"/>
      <c r="KZE4" s="34"/>
      <c r="KZF4" s="34"/>
      <c r="KZG4" s="34"/>
      <c r="KZH4" s="34"/>
      <c r="KZI4" s="34"/>
      <c r="KZJ4" s="34"/>
      <c r="KZK4" s="34"/>
      <c r="KZL4" s="34"/>
      <c r="KZM4" s="34"/>
      <c r="KZN4" s="34"/>
      <c r="KZO4" s="34"/>
      <c r="KZP4" s="34"/>
      <c r="KZQ4" s="34"/>
      <c r="KZR4" s="34"/>
      <c r="KZS4" s="34"/>
      <c r="KZT4" s="34"/>
      <c r="KZU4" s="34"/>
      <c r="KZV4" s="34"/>
      <c r="KZW4" s="34"/>
      <c r="KZX4" s="34"/>
      <c r="KZY4" s="34"/>
      <c r="KZZ4" s="34"/>
      <c r="LAA4" s="34"/>
      <c r="LAB4" s="34"/>
      <c r="LAC4" s="34"/>
      <c r="LAD4" s="34"/>
      <c r="LAE4" s="34"/>
      <c r="LAF4" s="34"/>
      <c r="LAG4" s="34"/>
      <c r="LAH4" s="34"/>
      <c r="LAI4" s="34"/>
      <c r="LAJ4" s="34"/>
      <c r="LAK4" s="34"/>
      <c r="LAL4" s="34"/>
      <c r="LAM4" s="34"/>
      <c r="LAN4" s="34"/>
      <c r="LAO4" s="34"/>
      <c r="LAP4" s="34"/>
      <c r="LAQ4" s="34"/>
      <c r="LAR4" s="34"/>
      <c r="LAS4" s="34"/>
      <c r="LAT4" s="34"/>
      <c r="LAU4" s="34"/>
      <c r="LAV4" s="34"/>
      <c r="LAW4" s="34"/>
      <c r="LAX4" s="34"/>
      <c r="LAY4" s="34"/>
      <c r="LAZ4" s="34"/>
      <c r="LBA4" s="34"/>
      <c r="LBB4" s="34"/>
      <c r="LBC4" s="34"/>
      <c r="LBD4" s="34"/>
      <c r="LBE4" s="34"/>
      <c r="LBF4" s="34"/>
      <c r="LBG4" s="34"/>
      <c r="LBH4" s="34"/>
      <c r="LBI4" s="34"/>
      <c r="LBJ4" s="34"/>
      <c r="LBK4" s="34"/>
      <c r="LBL4" s="34"/>
      <c r="LBM4" s="34"/>
      <c r="LBN4" s="34"/>
      <c r="LBO4" s="34"/>
      <c r="LBP4" s="34"/>
      <c r="LBQ4" s="34"/>
      <c r="LBR4" s="34"/>
      <c r="LBS4" s="34"/>
      <c r="LBT4" s="34"/>
      <c r="LBU4" s="34"/>
      <c r="LBV4" s="34"/>
      <c r="LBW4" s="34"/>
      <c r="LBX4" s="34"/>
      <c r="LBY4" s="34"/>
      <c r="LBZ4" s="34"/>
      <c r="LCA4" s="34"/>
      <c r="LCB4" s="34"/>
      <c r="LCC4" s="34"/>
      <c r="LCD4" s="34"/>
      <c r="LCE4" s="34"/>
      <c r="LCF4" s="34"/>
      <c r="LCG4" s="34"/>
      <c r="LCH4" s="34"/>
      <c r="LCI4" s="34"/>
      <c r="LCJ4" s="34"/>
      <c r="LCK4" s="34"/>
      <c r="LCL4" s="34"/>
      <c r="LCM4" s="34"/>
      <c r="LCN4" s="34"/>
      <c r="LCO4" s="34"/>
      <c r="LCP4" s="34"/>
      <c r="LCQ4" s="34"/>
      <c r="LCR4" s="34"/>
      <c r="LCS4" s="34"/>
      <c r="LCT4" s="34"/>
      <c r="LCU4" s="34"/>
      <c r="LCV4" s="34"/>
      <c r="LCW4" s="34"/>
      <c r="LCX4" s="34"/>
      <c r="LCY4" s="34"/>
      <c r="LCZ4" s="34"/>
      <c r="LDA4" s="34"/>
      <c r="LDB4" s="34"/>
      <c r="LDC4" s="34"/>
      <c r="LDD4" s="34"/>
      <c r="LDE4" s="34"/>
      <c r="LDF4" s="34"/>
      <c r="LDG4" s="34"/>
      <c r="LDH4" s="34"/>
      <c r="LDI4" s="34"/>
      <c r="LDJ4" s="34"/>
      <c r="LDK4" s="34"/>
      <c r="LDL4" s="34"/>
      <c r="LDM4" s="34"/>
      <c r="LDN4" s="34"/>
      <c r="LDO4" s="34"/>
      <c r="LDP4" s="34"/>
      <c r="LDQ4" s="34"/>
      <c r="LDR4" s="34"/>
      <c r="LDS4" s="34"/>
      <c r="LDT4" s="34"/>
      <c r="LDU4" s="34"/>
      <c r="LDV4" s="34"/>
      <c r="LDW4" s="34"/>
      <c r="LDX4" s="34"/>
      <c r="LDY4" s="34"/>
      <c r="LDZ4" s="34"/>
      <c r="LEA4" s="34"/>
      <c r="LEB4" s="34"/>
      <c r="LEC4" s="34"/>
      <c r="LED4" s="34"/>
      <c r="LEE4" s="34"/>
      <c r="LEF4" s="34"/>
      <c r="LEG4" s="34"/>
      <c r="LEH4" s="34"/>
      <c r="LEI4" s="34"/>
      <c r="LEJ4" s="34"/>
      <c r="LEK4" s="34"/>
      <c r="LEL4" s="34"/>
      <c r="LEM4" s="34"/>
      <c r="LEN4" s="34"/>
      <c r="LEO4" s="34"/>
      <c r="LEP4" s="34"/>
      <c r="LEQ4" s="34"/>
      <c r="LER4" s="34"/>
      <c r="LES4" s="34"/>
      <c r="LET4" s="34"/>
      <c r="LEU4" s="34"/>
      <c r="LEV4" s="34"/>
      <c r="LEW4" s="34"/>
      <c r="LEX4" s="34"/>
      <c r="LEY4" s="34"/>
      <c r="LEZ4" s="34"/>
      <c r="LFA4" s="34"/>
      <c r="LFB4" s="34"/>
      <c r="LFC4" s="34"/>
      <c r="LFD4" s="34"/>
      <c r="LFE4" s="34"/>
      <c r="LFF4" s="34"/>
      <c r="LFG4" s="34"/>
      <c r="LFH4" s="34"/>
      <c r="LFI4" s="34"/>
      <c r="LFJ4" s="34"/>
      <c r="LFK4" s="34"/>
      <c r="LFL4" s="34"/>
      <c r="LFM4" s="34"/>
      <c r="LFN4" s="34"/>
      <c r="LFO4" s="34"/>
      <c r="LFP4" s="34"/>
      <c r="LFQ4" s="34"/>
      <c r="LFR4" s="34"/>
      <c r="LFS4" s="34"/>
      <c r="LFT4" s="34"/>
      <c r="LFU4" s="34"/>
      <c r="LFV4" s="34"/>
      <c r="LFW4" s="34"/>
      <c r="LFX4" s="34"/>
      <c r="LFY4" s="34"/>
      <c r="LFZ4" s="34"/>
      <c r="LGA4" s="34"/>
      <c r="LGB4" s="34"/>
      <c r="LGC4" s="34"/>
      <c r="LGD4" s="34"/>
      <c r="LGE4" s="34"/>
      <c r="LGF4" s="34"/>
      <c r="LGG4" s="34"/>
      <c r="LGH4" s="34"/>
      <c r="LGI4" s="34"/>
      <c r="LGJ4" s="34"/>
      <c r="LGK4" s="34"/>
      <c r="LGL4" s="34"/>
      <c r="LGM4" s="34"/>
      <c r="LGN4" s="34"/>
      <c r="LGO4" s="34"/>
      <c r="LGP4" s="34"/>
      <c r="LGQ4" s="34"/>
      <c r="LGR4" s="34"/>
      <c r="LGS4" s="34"/>
      <c r="LGT4" s="34"/>
      <c r="LGU4" s="34"/>
      <c r="LGV4" s="34"/>
      <c r="LGW4" s="34"/>
      <c r="LGX4" s="34"/>
      <c r="LGY4" s="34"/>
      <c r="LGZ4" s="34"/>
      <c r="LHA4" s="34"/>
      <c r="LHB4" s="34"/>
      <c r="LHC4" s="34"/>
      <c r="LHD4" s="34"/>
      <c r="LHE4" s="34"/>
      <c r="LHF4" s="34"/>
      <c r="LHG4" s="34"/>
      <c r="LHH4" s="34"/>
      <c r="LHI4" s="34"/>
      <c r="LHJ4" s="34"/>
      <c r="LHK4" s="34"/>
      <c r="LHL4" s="34"/>
      <c r="LHM4" s="34"/>
      <c r="LHN4" s="34"/>
      <c r="LHO4" s="34"/>
      <c r="LHP4" s="34"/>
      <c r="LHQ4" s="34"/>
      <c r="LHR4" s="34"/>
      <c r="LHS4" s="34"/>
      <c r="LHT4" s="34"/>
      <c r="LHU4" s="34"/>
      <c r="LHV4" s="34"/>
      <c r="LHW4" s="34"/>
      <c r="LHX4" s="34"/>
      <c r="LHY4" s="34"/>
      <c r="LHZ4" s="34"/>
      <c r="LIA4" s="34"/>
      <c r="LIB4" s="34"/>
      <c r="LIC4" s="34"/>
      <c r="LID4" s="34"/>
      <c r="LIE4" s="34"/>
      <c r="LIF4" s="34"/>
      <c r="LIG4" s="34"/>
      <c r="LIH4" s="34"/>
      <c r="LII4" s="34"/>
      <c r="LIJ4" s="34"/>
      <c r="LIK4" s="34"/>
      <c r="LIL4" s="34"/>
      <c r="LIM4" s="34"/>
      <c r="LIN4" s="34"/>
      <c r="LIO4" s="34"/>
      <c r="LIP4" s="34"/>
      <c r="LIQ4" s="34"/>
      <c r="LIR4" s="34"/>
      <c r="LIS4" s="34"/>
      <c r="LIT4" s="34"/>
      <c r="LIU4" s="34"/>
      <c r="LIV4" s="34"/>
      <c r="LIW4" s="34"/>
      <c r="LIX4" s="34"/>
      <c r="LIY4" s="34"/>
      <c r="LIZ4" s="34"/>
      <c r="LJA4" s="34"/>
      <c r="LJB4" s="34"/>
      <c r="LJC4" s="34"/>
      <c r="LJD4" s="34"/>
      <c r="LJE4" s="34"/>
      <c r="LJF4" s="34"/>
      <c r="LJG4" s="34"/>
      <c r="LJH4" s="34"/>
      <c r="LJI4" s="34"/>
      <c r="LJJ4" s="34"/>
      <c r="LJK4" s="34"/>
      <c r="LJL4" s="34"/>
      <c r="LJM4" s="34"/>
      <c r="LJN4" s="34"/>
      <c r="LJO4" s="34"/>
      <c r="LJP4" s="34"/>
      <c r="LJQ4" s="34"/>
      <c r="LJR4" s="34"/>
      <c r="LJS4" s="34"/>
      <c r="LJT4" s="34"/>
      <c r="LJU4" s="34"/>
      <c r="LJV4" s="34"/>
      <c r="LJW4" s="34"/>
      <c r="LJX4" s="34"/>
      <c r="LJY4" s="34"/>
      <c r="LJZ4" s="34"/>
      <c r="LKA4" s="34"/>
      <c r="LKB4" s="34"/>
      <c r="LKC4" s="34"/>
      <c r="LKD4" s="34"/>
      <c r="LKE4" s="34"/>
      <c r="LKF4" s="34"/>
      <c r="LKG4" s="34"/>
      <c r="LKH4" s="34"/>
      <c r="LKI4" s="34"/>
      <c r="LKJ4" s="34"/>
      <c r="LKK4" s="34"/>
      <c r="LKL4" s="34"/>
      <c r="LKM4" s="34"/>
      <c r="LKN4" s="34"/>
      <c r="LKO4" s="34"/>
      <c r="LKP4" s="34"/>
      <c r="LKQ4" s="34"/>
      <c r="LKR4" s="34"/>
      <c r="LKS4" s="34"/>
      <c r="LKT4" s="34"/>
      <c r="LKU4" s="34"/>
      <c r="LKV4" s="34"/>
      <c r="LKW4" s="34"/>
      <c r="LKX4" s="34"/>
      <c r="LKY4" s="34"/>
      <c r="LKZ4" s="34"/>
      <c r="LLA4" s="34"/>
      <c r="LLB4" s="34"/>
      <c r="LLC4" s="34"/>
      <c r="LLD4" s="34"/>
      <c r="LLE4" s="34"/>
      <c r="LLF4" s="34"/>
      <c r="LLG4" s="34"/>
      <c r="LLH4" s="34"/>
      <c r="LLI4" s="34"/>
      <c r="LLJ4" s="34"/>
      <c r="LLK4" s="34"/>
      <c r="LLL4" s="34"/>
      <c r="LLM4" s="34"/>
      <c r="LLN4" s="34"/>
      <c r="LLO4" s="34"/>
      <c r="LLP4" s="34"/>
      <c r="LLQ4" s="34"/>
      <c r="LLR4" s="34"/>
      <c r="LLS4" s="34"/>
      <c r="LLT4" s="34"/>
      <c r="LLU4" s="34"/>
      <c r="LLV4" s="34"/>
      <c r="LLW4" s="34"/>
      <c r="LLX4" s="34"/>
      <c r="LLY4" s="34"/>
      <c r="LLZ4" s="34"/>
      <c r="LMA4" s="34"/>
      <c r="LMB4" s="34"/>
      <c r="LMC4" s="34"/>
      <c r="LMD4" s="34"/>
      <c r="LME4" s="34"/>
      <c r="LMF4" s="34"/>
      <c r="LMG4" s="34"/>
      <c r="LMH4" s="34"/>
      <c r="LMI4" s="34"/>
      <c r="LMJ4" s="34"/>
      <c r="LMK4" s="34"/>
      <c r="LML4" s="34"/>
      <c r="LMM4" s="34"/>
      <c r="LMN4" s="34"/>
      <c r="LMO4" s="34"/>
      <c r="LMP4" s="34"/>
      <c r="LMQ4" s="34"/>
      <c r="LMR4" s="34"/>
      <c r="LMS4" s="34"/>
      <c r="LMT4" s="34"/>
      <c r="LMU4" s="34"/>
      <c r="LMV4" s="34"/>
      <c r="LMW4" s="34"/>
      <c r="LMX4" s="34"/>
      <c r="LMY4" s="34"/>
      <c r="LMZ4" s="34"/>
      <c r="LNA4" s="34"/>
      <c r="LNB4" s="34"/>
      <c r="LNC4" s="34"/>
      <c r="LND4" s="34"/>
      <c r="LNE4" s="34"/>
      <c r="LNF4" s="34"/>
      <c r="LNG4" s="34"/>
      <c r="LNH4" s="34"/>
      <c r="LNI4" s="34"/>
      <c r="LNJ4" s="34"/>
      <c r="LNK4" s="34"/>
      <c r="LNL4" s="34"/>
      <c r="LNM4" s="34"/>
      <c r="LNN4" s="34"/>
      <c r="LNO4" s="34"/>
      <c r="LNP4" s="34"/>
      <c r="LNQ4" s="34"/>
      <c r="LNR4" s="34"/>
      <c r="LNS4" s="34"/>
      <c r="LNT4" s="34"/>
      <c r="LNU4" s="34"/>
      <c r="LNV4" s="34"/>
      <c r="LNW4" s="34"/>
      <c r="LNX4" s="34"/>
      <c r="LNY4" s="34"/>
      <c r="LNZ4" s="34"/>
      <c r="LOA4" s="34"/>
      <c r="LOB4" s="34"/>
      <c r="LOC4" s="34"/>
      <c r="LOD4" s="34"/>
      <c r="LOE4" s="34"/>
      <c r="LOF4" s="34"/>
      <c r="LOG4" s="34"/>
      <c r="LOH4" s="34"/>
      <c r="LOI4" s="34"/>
      <c r="LOJ4" s="34"/>
      <c r="LOK4" s="34"/>
      <c r="LOL4" s="34"/>
      <c r="LOM4" s="34"/>
      <c r="LON4" s="34"/>
      <c r="LOO4" s="34"/>
      <c r="LOP4" s="34"/>
      <c r="LOQ4" s="34"/>
      <c r="LOR4" s="34"/>
      <c r="LOS4" s="34"/>
      <c r="LOT4" s="34"/>
      <c r="LOU4" s="34"/>
      <c r="LOV4" s="34"/>
      <c r="LOW4" s="34"/>
      <c r="LOX4" s="34"/>
      <c r="LOY4" s="34"/>
      <c r="LOZ4" s="34"/>
      <c r="LPA4" s="34"/>
      <c r="LPB4" s="34"/>
      <c r="LPC4" s="34"/>
      <c r="LPD4" s="34"/>
      <c r="LPE4" s="34"/>
      <c r="LPF4" s="34"/>
      <c r="LPG4" s="34"/>
      <c r="LPH4" s="34"/>
      <c r="LPI4" s="34"/>
      <c r="LPJ4" s="34"/>
      <c r="LPK4" s="34"/>
      <c r="LPL4" s="34"/>
      <c r="LPM4" s="34"/>
      <c r="LPN4" s="34"/>
      <c r="LPO4" s="34"/>
      <c r="LPP4" s="34"/>
      <c r="LPQ4" s="34"/>
      <c r="LPR4" s="34"/>
      <c r="LPS4" s="34"/>
      <c r="LPT4" s="34"/>
      <c r="LPU4" s="34"/>
      <c r="LPV4" s="34"/>
      <c r="LPW4" s="34"/>
      <c r="LPX4" s="34"/>
      <c r="LPY4" s="34"/>
      <c r="LPZ4" s="34"/>
      <c r="LQA4" s="34"/>
      <c r="LQB4" s="34"/>
      <c r="LQC4" s="34"/>
      <c r="LQD4" s="34"/>
      <c r="LQE4" s="34"/>
      <c r="LQF4" s="34"/>
      <c r="LQG4" s="34"/>
      <c r="LQH4" s="34"/>
      <c r="LQI4" s="34"/>
      <c r="LQJ4" s="34"/>
      <c r="LQK4" s="34"/>
      <c r="LQL4" s="34"/>
      <c r="LQM4" s="34"/>
      <c r="LQN4" s="34"/>
      <c r="LQO4" s="34"/>
      <c r="LQP4" s="34"/>
      <c r="LQQ4" s="34"/>
      <c r="LQR4" s="34"/>
      <c r="LQS4" s="34"/>
      <c r="LQT4" s="34"/>
      <c r="LQU4" s="34"/>
      <c r="LQV4" s="34"/>
      <c r="LQW4" s="34"/>
      <c r="LQX4" s="34"/>
      <c r="LQY4" s="34"/>
      <c r="LQZ4" s="34"/>
      <c r="LRA4" s="34"/>
      <c r="LRB4" s="34"/>
      <c r="LRC4" s="34"/>
      <c r="LRD4" s="34"/>
      <c r="LRE4" s="34"/>
      <c r="LRF4" s="34"/>
      <c r="LRG4" s="34"/>
      <c r="LRH4" s="34"/>
      <c r="LRI4" s="34"/>
      <c r="LRJ4" s="34"/>
      <c r="LRK4" s="34"/>
      <c r="LRL4" s="34"/>
      <c r="LRM4" s="34"/>
      <c r="LRN4" s="34"/>
      <c r="LRO4" s="34"/>
      <c r="LRP4" s="34"/>
      <c r="LRQ4" s="34"/>
      <c r="LRR4" s="34"/>
      <c r="LRS4" s="34"/>
      <c r="LRT4" s="34"/>
      <c r="LRU4" s="34"/>
      <c r="LRV4" s="34"/>
      <c r="LRW4" s="34"/>
      <c r="LRX4" s="34"/>
      <c r="LRY4" s="34"/>
      <c r="LRZ4" s="34"/>
      <c r="LSA4" s="34"/>
      <c r="LSB4" s="34"/>
      <c r="LSC4" s="34"/>
      <c r="LSD4" s="34"/>
      <c r="LSE4" s="34"/>
      <c r="LSF4" s="34"/>
      <c r="LSG4" s="34"/>
      <c r="LSH4" s="34"/>
      <c r="LSI4" s="34"/>
      <c r="LSJ4" s="34"/>
      <c r="LSK4" s="34"/>
      <c r="LSL4" s="34"/>
      <c r="LSM4" s="34"/>
      <c r="LSN4" s="34"/>
      <c r="LSO4" s="34"/>
      <c r="LSP4" s="34"/>
      <c r="LSQ4" s="34"/>
      <c r="LSR4" s="34"/>
      <c r="LSS4" s="34"/>
      <c r="LST4" s="34"/>
      <c r="LSU4" s="34"/>
      <c r="LSV4" s="34"/>
      <c r="LSW4" s="34"/>
      <c r="LSX4" s="34"/>
      <c r="LSY4" s="34"/>
      <c r="LSZ4" s="34"/>
      <c r="LTA4" s="34"/>
      <c r="LTB4" s="34"/>
      <c r="LTC4" s="34"/>
      <c r="LTD4" s="34"/>
      <c r="LTE4" s="34"/>
      <c r="LTF4" s="34"/>
      <c r="LTG4" s="34"/>
      <c r="LTH4" s="34"/>
      <c r="LTI4" s="34"/>
      <c r="LTJ4" s="34"/>
      <c r="LTK4" s="34"/>
      <c r="LTL4" s="34"/>
      <c r="LTM4" s="34"/>
      <c r="LTN4" s="34"/>
      <c r="LTO4" s="34"/>
      <c r="LTP4" s="34"/>
      <c r="LTQ4" s="34"/>
      <c r="LTR4" s="34"/>
      <c r="LTS4" s="34"/>
      <c r="LTT4" s="34"/>
      <c r="LTU4" s="34"/>
      <c r="LTV4" s="34"/>
      <c r="LTW4" s="34"/>
      <c r="LTX4" s="34"/>
      <c r="LTY4" s="34"/>
      <c r="LTZ4" s="34"/>
      <c r="LUA4" s="34"/>
      <c r="LUB4" s="34"/>
      <c r="LUC4" s="34"/>
      <c r="LUD4" s="34"/>
      <c r="LUE4" s="34"/>
      <c r="LUF4" s="34"/>
      <c r="LUG4" s="34"/>
      <c r="LUH4" s="34"/>
      <c r="LUI4" s="34"/>
      <c r="LUJ4" s="34"/>
      <c r="LUK4" s="34"/>
      <c r="LUL4" s="34"/>
      <c r="LUM4" s="34"/>
      <c r="LUN4" s="34"/>
      <c r="LUO4" s="34"/>
      <c r="LUP4" s="34"/>
      <c r="LUQ4" s="34"/>
      <c r="LUR4" s="34"/>
      <c r="LUS4" s="34"/>
      <c r="LUT4" s="34"/>
      <c r="LUU4" s="34"/>
      <c r="LUV4" s="34"/>
      <c r="LUW4" s="34"/>
      <c r="LUX4" s="34"/>
      <c r="LUY4" s="34"/>
      <c r="LUZ4" s="34"/>
      <c r="LVA4" s="34"/>
      <c r="LVB4" s="34"/>
      <c r="LVC4" s="34"/>
      <c r="LVD4" s="34"/>
      <c r="LVE4" s="34"/>
      <c r="LVF4" s="34"/>
      <c r="LVG4" s="34"/>
      <c r="LVH4" s="34"/>
      <c r="LVI4" s="34"/>
      <c r="LVJ4" s="34"/>
      <c r="LVK4" s="34"/>
      <c r="LVL4" s="34"/>
      <c r="LVM4" s="34"/>
      <c r="LVN4" s="34"/>
      <c r="LVO4" s="34"/>
      <c r="LVP4" s="34"/>
      <c r="LVQ4" s="34"/>
      <c r="LVR4" s="34"/>
      <c r="LVS4" s="34"/>
      <c r="LVT4" s="34"/>
      <c r="LVU4" s="34"/>
      <c r="LVV4" s="34"/>
      <c r="LVW4" s="34"/>
      <c r="LVX4" s="34"/>
      <c r="LVY4" s="34"/>
      <c r="LVZ4" s="34"/>
      <c r="LWA4" s="34"/>
      <c r="LWB4" s="34"/>
      <c r="LWC4" s="34"/>
      <c r="LWD4" s="34"/>
      <c r="LWE4" s="34"/>
      <c r="LWF4" s="34"/>
      <c r="LWG4" s="34"/>
      <c r="LWH4" s="34"/>
      <c r="LWI4" s="34"/>
      <c r="LWJ4" s="34"/>
      <c r="LWK4" s="34"/>
      <c r="LWL4" s="34"/>
      <c r="LWM4" s="34"/>
      <c r="LWN4" s="34"/>
      <c r="LWO4" s="34"/>
      <c r="LWP4" s="34"/>
      <c r="LWQ4" s="34"/>
      <c r="LWR4" s="34"/>
      <c r="LWS4" s="34"/>
      <c r="LWT4" s="34"/>
      <c r="LWU4" s="34"/>
      <c r="LWV4" s="34"/>
      <c r="LWW4" s="34"/>
      <c r="LWX4" s="34"/>
      <c r="LWY4" s="34"/>
      <c r="LWZ4" s="34"/>
      <c r="LXA4" s="34"/>
      <c r="LXB4" s="34"/>
      <c r="LXC4" s="34"/>
      <c r="LXD4" s="34"/>
      <c r="LXE4" s="34"/>
      <c r="LXF4" s="34"/>
      <c r="LXG4" s="34"/>
      <c r="LXH4" s="34"/>
      <c r="LXI4" s="34"/>
      <c r="LXJ4" s="34"/>
      <c r="LXK4" s="34"/>
      <c r="LXL4" s="34"/>
      <c r="LXM4" s="34"/>
      <c r="LXN4" s="34"/>
      <c r="LXO4" s="34"/>
      <c r="LXP4" s="34"/>
      <c r="LXQ4" s="34"/>
      <c r="LXR4" s="34"/>
      <c r="LXS4" s="34"/>
      <c r="LXT4" s="34"/>
      <c r="LXU4" s="34"/>
      <c r="LXV4" s="34"/>
      <c r="LXW4" s="34"/>
      <c r="LXX4" s="34"/>
      <c r="LXY4" s="34"/>
      <c r="LXZ4" s="34"/>
      <c r="LYA4" s="34"/>
      <c r="LYB4" s="34"/>
      <c r="LYC4" s="34"/>
      <c r="LYD4" s="34"/>
      <c r="LYE4" s="34"/>
      <c r="LYF4" s="34"/>
      <c r="LYG4" s="34"/>
      <c r="LYH4" s="34"/>
      <c r="LYI4" s="34"/>
      <c r="LYJ4" s="34"/>
      <c r="LYK4" s="34"/>
      <c r="LYL4" s="34"/>
      <c r="LYM4" s="34"/>
      <c r="LYN4" s="34"/>
      <c r="LYO4" s="34"/>
      <c r="LYP4" s="34"/>
      <c r="LYQ4" s="34"/>
      <c r="LYR4" s="34"/>
      <c r="LYS4" s="34"/>
      <c r="LYT4" s="34"/>
      <c r="LYU4" s="34"/>
      <c r="LYV4" s="34"/>
      <c r="LYW4" s="34"/>
      <c r="LYX4" s="34"/>
      <c r="LYY4" s="34"/>
      <c r="LYZ4" s="34"/>
      <c r="LZA4" s="34"/>
      <c r="LZB4" s="34"/>
      <c r="LZC4" s="34"/>
      <c r="LZD4" s="34"/>
      <c r="LZE4" s="34"/>
      <c r="LZF4" s="34"/>
      <c r="LZG4" s="34"/>
      <c r="LZH4" s="34"/>
      <c r="LZI4" s="34"/>
      <c r="LZJ4" s="34"/>
      <c r="LZK4" s="34"/>
      <c r="LZL4" s="34"/>
      <c r="LZM4" s="34"/>
      <c r="LZN4" s="34"/>
      <c r="LZO4" s="34"/>
      <c r="LZP4" s="34"/>
      <c r="LZQ4" s="34"/>
      <c r="LZR4" s="34"/>
      <c r="LZS4" s="34"/>
      <c r="LZT4" s="34"/>
      <c r="LZU4" s="34"/>
      <c r="LZV4" s="34"/>
      <c r="LZW4" s="34"/>
      <c r="LZX4" s="34"/>
      <c r="LZY4" s="34"/>
      <c r="LZZ4" s="34"/>
      <c r="MAA4" s="34"/>
      <c r="MAB4" s="34"/>
      <c r="MAC4" s="34"/>
      <c r="MAD4" s="34"/>
      <c r="MAE4" s="34"/>
      <c r="MAF4" s="34"/>
      <c r="MAG4" s="34"/>
      <c r="MAH4" s="34"/>
      <c r="MAI4" s="34"/>
      <c r="MAJ4" s="34"/>
      <c r="MAK4" s="34"/>
      <c r="MAL4" s="34"/>
      <c r="MAM4" s="34"/>
      <c r="MAN4" s="34"/>
      <c r="MAO4" s="34"/>
      <c r="MAP4" s="34"/>
      <c r="MAQ4" s="34"/>
      <c r="MAR4" s="34"/>
      <c r="MAS4" s="34"/>
      <c r="MAT4" s="34"/>
      <c r="MAU4" s="34"/>
      <c r="MAV4" s="34"/>
      <c r="MAW4" s="34"/>
      <c r="MAX4" s="34"/>
      <c r="MAY4" s="34"/>
      <c r="MAZ4" s="34"/>
      <c r="MBA4" s="34"/>
      <c r="MBB4" s="34"/>
      <c r="MBC4" s="34"/>
      <c r="MBD4" s="34"/>
      <c r="MBE4" s="34"/>
      <c r="MBF4" s="34"/>
      <c r="MBG4" s="34"/>
      <c r="MBH4" s="34"/>
      <c r="MBI4" s="34"/>
      <c r="MBJ4" s="34"/>
      <c r="MBK4" s="34"/>
      <c r="MBL4" s="34"/>
      <c r="MBM4" s="34"/>
      <c r="MBN4" s="34"/>
      <c r="MBO4" s="34"/>
      <c r="MBP4" s="34"/>
      <c r="MBQ4" s="34"/>
      <c r="MBR4" s="34"/>
      <c r="MBS4" s="34"/>
      <c r="MBT4" s="34"/>
      <c r="MBU4" s="34"/>
      <c r="MBV4" s="34"/>
      <c r="MBW4" s="34"/>
      <c r="MBX4" s="34"/>
      <c r="MBY4" s="34"/>
      <c r="MBZ4" s="34"/>
      <c r="MCA4" s="34"/>
      <c r="MCB4" s="34"/>
      <c r="MCC4" s="34"/>
      <c r="MCD4" s="34"/>
      <c r="MCE4" s="34"/>
      <c r="MCF4" s="34"/>
      <c r="MCG4" s="34"/>
      <c r="MCH4" s="34"/>
      <c r="MCI4" s="34"/>
      <c r="MCJ4" s="34"/>
      <c r="MCK4" s="34"/>
      <c r="MCL4" s="34"/>
      <c r="MCM4" s="34"/>
      <c r="MCN4" s="34"/>
      <c r="MCO4" s="34"/>
      <c r="MCP4" s="34"/>
      <c r="MCQ4" s="34"/>
      <c r="MCR4" s="34"/>
      <c r="MCS4" s="34"/>
      <c r="MCT4" s="34"/>
      <c r="MCU4" s="34"/>
      <c r="MCV4" s="34"/>
      <c r="MCW4" s="34"/>
      <c r="MCX4" s="34"/>
      <c r="MCY4" s="34"/>
      <c r="MCZ4" s="34"/>
      <c r="MDA4" s="34"/>
      <c r="MDB4" s="34"/>
      <c r="MDC4" s="34"/>
      <c r="MDD4" s="34"/>
      <c r="MDE4" s="34"/>
      <c r="MDF4" s="34"/>
      <c r="MDG4" s="34"/>
      <c r="MDH4" s="34"/>
      <c r="MDI4" s="34"/>
      <c r="MDJ4" s="34"/>
      <c r="MDK4" s="34"/>
      <c r="MDL4" s="34"/>
      <c r="MDM4" s="34"/>
      <c r="MDN4" s="34"/>
      <c r="MDO4" s="34"/>
      <c r="MDP4" s="34"/>
      <c r="MDQ4" s="34"/>
      <c r="MDR4" s="34"/>
      <c r="MDS4" s="34"/>
      <c r="MDT4" s="34"/>
      <c r="MDU4" s="34"/>
      <c r="MDV4" s="34"/>
      <c r="MDW4" s="34"/>
      <c r="MDX4" s="34"/>
      <c r="MDY4" s="34"/>
      <c r="MDZ4" s="34"/>
      <c r="MEA4" s="34"/>
      <c r="MEB4" s="34"/>
      <c r="MEC4" s="34"/>
      <c r="MED4" s="34"/>
      <c r="MEE4" s="34"/>
      <c r="MEF4" s="34"/>
      <c r="MEG4" s="34"/>
      <c r="MEH4" s="34"/>
      <c r="MEI4" s="34"/>
      <c r="MEJ4" s="34"/>
      <c r="MEK4" s="34"/>
      <c r="MEL4" s="34"/>
      <c r="MEM4" s="34"/>
      <c r="MEN4" s="34"/>
      <c r="MEO4" s="34"/>
      <c r="MEP4" s="34"/>
      <c r="MEQ4" s="34"/>
      <c r="MER4" s="34"/>
      <c r="MES4" s="34"/>
      <c r="MET4" s="34"/>
      <c r="MEU4" s="34"/>
      <c r="MEV4" s="34"/>
      <c r="MEW4" s="34"/>
      <c r="MEX4" s="34"/>
      <c r="MEY4" s="34"/>
      <c r="MEZ4" s="34"/>
      <c r="MFA4" s="34"/>
      <c r="MFB4" s="34"/>
      <c r="MFC4" s="34"/>
      <c r="MFD4" s="34"/>
      <c r="MFE4" s="34"/>
      <c r="MFF4" s="34"/>
      <c r="MFG4" s="34"/>
      <c r="MFH4" s="34"/>
      <c r="MFI4" s="34"/>
      <c r="MFJ4" s="34"/>
      <c r="MFK4" s="34"/>
      <c r="MFL4" s="34"/>
      <c r="MFM4" s="34"/>
      <c r="MFN4" s="34"/>
      <c r="MFO4" s="34"/>
      <c r="MFP4" s="34"/>
      <c r="MFQ4" s="34"/>
      <c r="MFR4" s="34"/>
      <c r="MFS4" s="34"/>
      <c r="MFT4" s="34"/>
      <c r="MFU4" s="34"/>
      <c r="MFV4" s="34"/>
      <c r="MFW4" s="34"/>
      <c r="MFX4" s="34"/>
      <c r="MFY4" s="34"/>
      <c r="MFZ4" s="34"/>
      <c r="MGA4" s="34"/>
      <c r="MGB4" s="34"/>
      <c r="MGC4" s="34"/>
      <c r="MGD4" s="34"/>
      <c r="MGE4" s="34"/>
      <c r="MGF4" s="34"/>
      <c r="MGG4" s="34"/>
      <c r="MGH4" s="34"/>
      <c r="MGI4" s="34"/>
      <c r="MGJ4" s="34"/>
      <c r="MGK4" s="34"/>
      <c r="MGL4" s="34"/>
      <c r="MGM4" s="34"/>
      <c r="MGN4" s="34"/>
      <c r="MGO4" s="34"/>
      <c r="MGP4" s="34"/>
      <c r="MGQ4" s="34"/>
      <c r="MGR4" s="34"/>
      <c r="MGS4" s="34"/>
      <c r="MGT4" s="34"/>
      <c r="MGU4" s="34"/>
      <c r="MGV4" s="34"/>
      <c r="MGW4" s="34"/>
      <c r="MGX4" s="34"/>
      <c r="MGY4" s="34"/>
      <c r="MGZ4" s="34"/>
      <c r="MHA4" s="34"/>
      <c r="MHB4" s="34"/>
      <c r="MHC4" s="34"/>
      <c r="MHD4" s="34"/>
      <c r="MHE4" s="34"/>
      <c r="MHF4" s="34"/>
      <c r="MHG4" s="34"/>
      <c r="MHH4" s="34"/>
      <c r="MHI4" s="34"/>
      <c r="MHJ4" s="34"/>
      <c r="MHK4" s="34"/>
      <c r="MHL4" s="34"/>
      <c r="MHM4" s="34"/>
      <c r="MHN4" s="34"/>
      <c r="MHO4" s="34"/>
      <c r="MHP4" s="34"/>
      <c r="MHQ4" s="34"/>
      <c r="MHR4" s="34"/>
      <c r="MHS4" s="34"/>
      <c r="MHT4" s="34"/>
      <c r="MHU4" s="34"/>
      <c r="MHV4" s="34"/>
      <c r="MHW4" s="34"/>
      <c r="MHX4" s="34"/>
      <c r="MHY4" s="34"/>
      <c r="MHZ4" s="34"/>
      <c r="MIA4" s="34"/>
      <c r="MIB4" s="34"/>
      <c r="MIC4" s="34"/>
      <c r="MID4" s="34"/>
      <c r="MIE4" s="34"/>
      <c r="MIF4" s="34"/>
      <c r="MIG4" s="34"/>
      <c r="MIH4" s="34"/>
      <c r="MII4" s="34"/>
      <c r="MIJ4" s="34"/>
      <c r="MIK4" s="34"/>
      <c r="MIL4" s="34"/>
      <c r="MIM4" s="34"/>
      <c r="MIN4" s="34"/>
      <c r="MIO4" s="34"/>
      <c r="MIP4" s="34"/>
      <c r="MIQ4" s="34"/>
      <c r="MIR4" s="34"/>
      <c r="MIS4" s="34"/>
      <c r="MIT4" s="34"/>
      <c r="MIU4" s="34"/>
      <c r="MIV4" s="34"/>
      <c r="MIW4" s="34"/>
      <c r="MIX4" s="34"/>
      <c r="MIY4" s="34"/>
      <c r="MIZ4" s="34"/>
      <c r="MJA4" s="34"/>
      <c r="MJB4" s="34"/>
      <c r="MJC4" s="34"/>
      <c r="MJD4" s="34"/>
      <c r="MJE4" s="34"/>
      <c r="MJF4" s="34"/>
      <c r="MJG4" s="34"/>
      <c r="MJH4" s="34"/>
      <c r="MJI4" s="34"/>
      <c r="MJJ4" s="34"/>
      <c r="MJK4" s="34"/>
      <c r="MJL4" s="34"/>
      <c r="MJM4" s="34"/>
      <c r="MJN4" s="34"/>
      <c r="MJO4" s="34"/>
      <c r="MJP4" s="34"/>
      <c r="MJQ4" s="34"/>
      <c r="MJR4" s="34"/>
      <c r="MJS4" s="34"/>
      <c r="MJT4" s="34"/>
      <c r="MJU4" s="34"/>
      <c r="MJV4" s="34"/>
      <c r="MJW4" s="34"/>
      <c r="MJX4" s="34"/>
      <c r="MJY4" s="34"/>
      <c r="MJZ4" s="34"/>
      <c r="MKA4" s="34"/>
      <c r="MKB4" s="34"/>
      <c r="MKC4" s="34"/>
      <c r="MKD4" s="34"/>
      <c r="MKE4" s="34"/>
      <c r="MKF4" s="34"/>
      <c r="MKG4" s="34"/>
      <c r="MKH4" s="34"/>
      <c r="MKI4" s="34"/>
      <c r="MKJ4" s="34"/>
      <c r="MKK4" s="34"/>
      <c r="MKL4" s="34"/>
      <c r="MKM4" s="34"/>
      <c r="MKN4" s="34"/>
      <c r="MKO4" s="34"/>
      <c r="MKP4" s="34"/>
      <c r="MKQ4" s="34"/>
      <c r="MKR4" s="34"/>
      <c r="MKS4" s="34"/>
      <c r="MKT4" s="34"/>
      <c r="MKU4" s="34"/>
      <c r="MKV4" s="34"/>
      <c r="MKW4" s="34"/>
      <c r="MKX4" s="34"/>
      <c r="MKY4" s="34"/>
      <c r="MKZ4" s="34"/>
      <c r="MLA4" s="34"/>
      <c r="MLB4" s="34"/>
      <c r="MLC4" s="34"/>
      <c r="MLD4" s="34"/>
      <c r="MLE4" s="34"/>
      <c r="MLF4" s="34"/>
      <c r="MLG4" s="34"/>
      <c r="MLH4" s="34"/>
      <c r="MLI4" s="34"/>
      <c r="MLJ4" s="34"/>
      <c r="MLK4" s="34"/>
      <c r="MLL4" s="34"/>
      <c r="MLM4" s="34"/>
      <c r="MLN4" s="34"/>
      <c r="MLO4" s="34"/>
      <c r="MLP4" s="34"/>
      <c r="MLQ4" s="34"/>
      <c r="MLR4" s="34"/>
      <c r="MLS4" s="34"/>
      <c r="MLT4" s="34"/>
      <c r="MLU4" s="34"/>
      <c r="MLV4" s="34"/>
      <c r="MLW4" s="34"/>
      <c r="MLX4" s="34"/>
      <c r="MLY4" s="34"/>
      <c r="MLZ4" s="34"/>
      <c r="MMA4" s="34"/>
      <c r="MMB4" s="34"/>
      <c r="MMC4" s="34"/>
      <c r="MMD4" s="34"/>
      <c r="MME4" s="34"/>
      <c r="MMF4" s="34"/>
      <c r="MMG4" s="34"/>
      <c r="MMH4" s="34"/>
      <c r="MMI4" s="34"/>
      <c r="MMJ4" s="34"/>
      <c r="MMK4" s="34"/>
      <c r="MML4" s="34"/>
      <c r="MMM4" s="34"/>
      <c r="MMN4" s="34"/>
      <c r="MMO4" s="34"/>
      <c r="MMP4" s="34"/>
      <c r="MMQ4" s="34"/>
      <c r="MMR4" s="34"/>
      <c r="MMS4" s="34"/>
      <c r="MMT4" s="34"/>
      <c r="MMU4" s="34"/>
      <c r="MMV4" s="34"/>
      <c r="MMW4" s="34"/>
      <c r="MMX4" s="34"/>
      <c r="MMY4" s="34"/>
      <c r="MMZ4" s="34"/>
      <c r="MNA4" s="34"/>
      <c r="MNB4" s="34"/>
      <c r="MNC4" s="34"/>
      <c r="MND4" s="34"/>
      <c r="MNE4" s="34"/>
      <c r="MNF4" s="34"/>
      <c r="MNG4" s="34"/>
      <c r="MNH4" s="34"/>
      <c r="MNI4" s="34"/>
      <c r="MNJ4" s="34"/>
      <c r="MNK4" s="34"/>
      <c r="MNL4" s="34"/>
      <c r="MNM4" s="34"/>
      <c r="MNN4" s="34"/>
      <c r="MNO4" s="34"/>
      <c r="MNP4" s="34"/>
      <c r="MNQ4" s="34"/>
      <c r="MNR4" s="34"/>
      <c r="MNS4" s="34"/>
      <c r="MNT4" s="34"/>
      <c r="MNU4" s="34"/>
      <c r="MNV4" s="34"/>
      <c r="MNW4" s="34"/>
      <c r="MNX4" s="34"/>
      <c r="MNY4" s="34"/>
      <c r="MNZ4" s="34"/>
      <c r="MOA4" s="34"/>
      <c r="MOB4" s="34"/>
      <c r="MOC4" s="34"/>
      <c r="MOD4" s="34"/>
      <c r="MOE4" s="34"/>
      <c r="MOF4" s="34"/>
      <c r="MOG4" s="34"/>
      <c r="MOH4" s="34"/>
      <c r="MOI4" s="34"/>
      <c r="MOJ4" s="34"/>
      <c r="MOK4" s="34"/>
      <c r="MOL4" s="34"/>
      <c r="MOM4" s="34"/>
      <c r="MON4" s="34"/>
      <c r="MOO4" s="34"/>
      <c r="MOP4" s="34"/>
      <c r="MOQ4" s="34"/>
      <c r="MOR4" s="34"/>
      <c r="MOS4" s="34"/>
      <c r="MOT4" s="34"/>
      <c r="MOU4" s="34"/>
      <c r="MOV4" s="34"/>
      <c r="MOW4" s="34"/>
      <c r="MOX4" s="34"/>
      <c r="MOY4" s="34"/>
      <c r="MOZ4" s="34"/>
      <c r="MPA4" s="34"/>
      <c r="MPB4" s="34"/>
      <c r="MPC4" s="34"/>
      <c r="MPD4" s="34"/>
      <c r="MPE4" s="34"/>
      <c r="MPF4" s="34"/>
      <c r="MPG4" s="34"/>
      <c r="MPH4" s="34"/>
      <c r="MPI4" s="34"/>
      <c r="MPJ4" s="34"/>
      <c r="MPK4" s="34"/>
      <c r="MPL4" s="34"/>
      <c r="MPM4" s="34"/>
      <c r="MPN4" s="34"/>
      <c r="MPO4" s="34"/>
      <c r="MPP4" s="34"/>
      <c r="MPQ4" s="34"/>
      <c r="MPR4" s="34"/>
      <c r="MPS4" s="34"/>
      <c r="MPT4" s="34"/>
      <c r="MPU4" s="34"/>
      <c r="MPV4" s="34"/>
      <c r="MPW4" s="34"/>
      <c r="MPX4" s="34"/>
      <c r="MPY4" s="34"/>
      <c r="MPZ4" s="34"/>
      <c r="MQA4" s="34"/>
      <c r="MQB4" s="34"/>
      <c r="MQC4" s="34"/>
      <c r="MQD4" s="34"/>
      <c r="MQE4" s="34"/>
      <c r="MQF4" s="34"/>
      <c r="MQG4" s="34"/>
      <c r="MQH4" s="34"/>
      <c r="MQI4" s="34"/>
      <c r="MQJ4" s="34"/>
      <c r="MQK4" s="34"/>
      <c r="MQL4" s="34"/>
      <c r="MQM4" s="34"/>
      <c r="MQN4" s="34"/>
      <c r="MQO4" s="34"/>
      <c r="MQP4" s="34"/>
      <c r="MQQ4" s="34"/>
      <c r="MQR4" s="34"/>
      <c r="MQS4" s="34"/>
      <c r="MQT4" s="34"/>
      <c r="MQU4" s="34"/>
      <c r="MQV4" s="34"/>
      <c r="MQW4" s="34"/>
      <c r="MQX4" s="34"/>
      <c r="MQY4" s="34"/>
      <c r="MQZ4" s="34"/>
      <c r="MRA4" s="34"/>
      <c r="MRB4" s="34"/>
      <c r="MRC4" s="34"/>
      <c r="MRD4" s="34"/>
      <c r="MRE4" s="34"/>
      <c r="MRF4" s="34"/>
      <c r="MRG4" s="34"/>
      <c r="MRH4" s="34"/>
      <c r="MRI4" s="34"/>
      <c r="MRJ4" s="34"/>
      <c r="MRK4" s="34"/>
      <c r="MRL4" s="34"/>
      <c r="MRM4" s="34"/>
      <c r="MRN4" s="34"/>
      <c r="MRO4" s="34"/>
      <c r="MRP4" s="34"/>
      <c r="MRQ4" s="34"/>
      <c r="MRR4" s="34"/>
      <c r="MRS4" s="34"/>
      <c r="MRT4" s="34"/>
      <c r="MRU4" s="34"/>
      <c r="MRV4" s="34"/>
      <c r="MRW4" s="34"/>
      <c r="MRX4" s="34"/>
      <c r="MRY4" s="34"/>
      <c r="MRZ4" s="34"/>
      <c r="MSA4" s="34"/>
      <c r="MSB4" s="34"/>
      <c r="MSC4" s="34"/>
      <c r="MSD4" s="34"/>
      <c r="MSE4" s="34"/>
      <c r="MSF4" s="34"/>
      <c r="MSG4" s="34"/>
      <c r="MSH4" s="34"/>
      <c r="MSI4" s="34"/>
      <c r="MSJ4" s="34"/>
      <c r="MSK4" s="34"/>
      <c r="MSL4" s="34"/>
      <c r="MSM4" s="34"/>
      <c r="MSN4" s="34"/>
      <c r="MSO4" s="34"/>
      <c r="MSP4" s="34"/>
      <c r="MSQ4" s="34"/>
      <c r="MSR4" s="34"/>
      <c r="MSS4" s="34"/>
      <c r="MST4" s="34"/>
      <c r="MSU4" s="34"/>
      <c r="MSV4" s="34"/>
      <c r="MSW4" s="34"/>
      <c r="MSX4" s="34"/>
      <c r="MSY4" s="34"/>
      <c r="MSZ4" s="34"/>
      <c r="MTA4" s="34"/>
      <c r="MTB4" s="34"/>
      <c r="MTC4" s="34"/>
      <c r="MTD4" s="34"/>
      <c r="MTE4" s="34"/>
      <c r="MTF4" s="34"/>
      <c r="MTG4" s="34"/>
      <c r="MTH4" s="34"/>
      <c r="MTI4" s="34"/>
      <c r="MTJ4" s="34"/>
      <c r="MTK4" s="34"/>
      <c r="MTL4" s="34"/>
      <c r="MTM4" s="34"/>
      <c r="MTN4" s="34"/>
      <c r="MTO4" s="34"/>
      <c r="MTP4" s="34"/>
      <c r="MTQ4" s="34"/>
      <c r="MTR4" s="34"/>
      <c r="MTS4" s="34"/>
      <c r="MTT4" s="34"/>
      <c r="MTU4" s="34"/>
      <c r="MTV4" s="34"/>
      <c r="MTW4" s="34"/>
      <c r="MTX4" s="34"/>
      <c r="MTY4" s="34"/>
      <c r="MTZ4" s="34"/>
      <c r="MUA4" s="34"/>
      <c r="MUB4" s="34"/>
      <c r="MUC4" s="34"/>
      <c r="MUD4" s="34"/>
      <c r="MUE4" s="34"/>
      <c r="MUF4" s="34"/>
      <c r="MUG4" s="34"/>
      <c r="MUH4" s="34"/>
      <c r="MUI4" s="34"/>
      <c r="MUJ4" s="34"/>
      <c r="MUK4" s="34"/>
      <c r="MUL4" s="34"/>
      <c r="MUM4" s="34"/>
      <c r="MUN4" s="34"/>
      <c r="MUO4" s="34"/>
      <c r="MUP4" s="34"/>
      <c r="MUQ4" s="34"/>
      <c r="MUR4" s="34"/>
      <c r="MUS4" s="34"/>
      <c r="MUT4" s="34"/>
      <c r="MUU4" s="34"/>
      <c r="MUV4" s="34"/>
      <c r="MUW4" s="34"/>
      <c r="MUX4" s="34"/>
      <c r="MUY4" s="34"/>
      <c r="MUZ4" s="34"/>
      <c r="MVA4" s="34"/>
      <c r="MVB4" s="34"/>
      <c r="MVC4" s="34"/>
      <c r="MVD4" s="34"/>
      <c r="MVE4" s="34"/>
      <c r="MVF4" s="34"/>
      <c r="MVG4" s="34"/>
      <c r="MVH4" s="34"/>
      <c r="MVI4" s="34"/>
      <c r="MVJ4" s="34"/>
      <c r="MVK4" s="34"/>
      <c r="MVL4" s="34"/>
      <c r="MVM4" s="34"/>
      <c r="MVN4" s="34"/>
      <c r="MVO4" s="34"/>
      <c r="MVP4" s="34"/>
      <c r="MVQ4" s="34"/>
      <c r="MVR4" s="34"/>
      <c r="MVS4" s="34"/>
      <c r="MVT4" s="34"/>
      <c r="MVU4" s="34"/>
      <c r="MVV4" s="34"/>
      <c r="MVW4" s="34"/>
      <c r="MVX4" s="34"/>
      <c r="MVY4" s="34"/>
      <c r="MVZ4" s="34"/>
      <c r="MWA4" s="34"/>
      <c r="MWB4" s="34"/>
      <c r="MWC4" s="34"/>
      <c r="MWD4" s="34"/>
      <c r="MWE4" s="34"/>
      <c r="MWF4" s="34"/>
      <c r="MWG4" s="34"/>
      <c r="MWH4" s="34"/>
      <c r="MWI4" s="34"/>
      <c r="MWJ4" s="34"/>
      <c r="MWK4" s="34"/>
      <c r="MWL4" s="34"/>
      <c r="MWM4" s="34"/>
      <c r="MWN4" s="34"/>
      <c r="MWO4" s="34"/>
      <c r="MWP4" s="34"/>
      <c r="MWQ4" s="34"/>
      <c r="MWR4" s="34"/>
      <c r="MWS4" s="34"/>
      <c r="MWT4" s="34"/>
      <c r="MWU4" s="34"/>
      <c r="MWV4" s="34"/>
      <c r="MWW4" s="34"/>
      <c r="MWX4" s="34"/>
      <c r="MWY4" s="34"/>
      <c r="MWZ4" s="34"/>
      <c r="MXA4" s="34"/>
      <c r="MXB4" s="34"/>
      <c r="MXC4" s="34"/>
      <c r="MXD4" s="34"/>
      <c r="MXE4" s="34"/>
      <c r="MXF4" s="34"/>
      <c r="MXG4" s="34"/>
      <c r="MXH4" s="34"/>
      <c r="MXI4" s="34"/>
      <c r="MXJ4" s="34"/>
      <c r="MXK4" s="34"/>
      <c r="MXL4" s="34"/>
      <c r="MXM4" s="34"/>
      <c r="MXN4" s="34"/>
      <c r="MXO4" s="34"/>
      <c r="MXP4" s="34"/>
      <c r="MXQ4" s="34"/>
      <c r="MXR4" s="34"/>
      <c r="MXS4" s="34"/>
      <c r="MXT4" s="34"/>
      <c r="MXU4" s="34"/>
      <c r="MXV4" s="34"/>
      <c r="MXW4" s="34"/>
      <c r="MXX4" s="34"/>
      <c r="MXY4" s="34"/>
      <c r="MXZ4" s="34"/>
      <c r="MYA4" s="34"/>
      <c r="MYB4" s="34"/>
      <c r="MYC4" s="34"/>
      <c r="MYD4" s="34"/>
      <c r="MYE4" s="34"/>
      <c r="MYF4" s="34"/>
      <c r="MYG4" s="34"/>
      <c r="MYH4" s="34"/>
      <c r="MYI4" s="34"/>
      <c r="MYJ4" s="34"/>
      <c r="MYK4" s="34"/>
      <c r="MYL4" s="34"/>
      <c r="MYM4" s="34"/>
      <c r="MYN4" s="34"/>
      <c r="MYO4" s="34"/>
      <c r="MYP4" s="34"/>
      <c r="MYQ4" s="34"/>
      <c r="MYR4" s="34"/>
      <c r="MYS4" s="34"/>
      <c r="MYT4" s="34"/>
      <c r="MYU4" s="34"/>
      <c r="MYV4" s="34"/>
      <c r="MYW4" s="34"/>
      <c r="MYX4" s="34"/>
      <c r="MYY4" s="34"/>
      <c r="MYZ4" s="34"/>
      <c r="MZA4" s="34"/>
      <c r="MZB4" s="34"/>
      <c r="MZC4" s="34"/>
      <c r="MZD4" s="34"/>
      <c r="MZE4" s="34"/>
      <c r="MZF4" s="34"/>
      <c r="MZG4" s="34"/>
      <c r="MZH4" s="34"/>
      <c r="MZI4" s="34"/>
      <c r="MZJ4" s="34"/>
      <c r="MZK4" s="34"/>
      <c r="MZL4" s="34"/>
      <c r="MZM4" s="34"/>
      <c r="MZN4" s="34"/>
      <c r="MZO4" s="34"/>
      <c r="MZP4" s="34"/>
      <c r="MZQ4" s="34"/>
      <c r="MZR4" s="34"/>
      <c r="MZS4" s="34"/>
      <c r="MZT4" s="34"/>
      <c r="MZU4" s="34"/>
      <c r="MZV4" s="34"/>
      <c r="MZW4" s="34"/>
      <c r="MZX4" s="34"/>
      <c r="MZY4" s="34"/>
      <c r="MZZ4" s="34"/>
      <c r="NAA4" s="34"/>
      <c r="NAB4" s="34"/>
      <c r="NAC4" s="34"/>
      <c r="NAD4" s="34"/>
      <c r="NAE4" s="34"/>
      <c r="NAF4" s="34"/>
      <c r="NAG4" s="34"/>
      <c r="NAH4" s="34"/>
      <c r="NAI4" s="34"/>
      <c r="NAJ4" s="34"/>
      <c r="NAK4" s="34"/>
      <c r="NAL4" s="34"/>
      <c r="NAM4" s="34"/>
      <c r="NAN4" s="34"/>
      <c r="NAO4" s="34"/>
      <c r="NAP4" s="34"/>
      <c r="NAQ4" s="34"/>
      <c r="NAR4" s="34"/>
      <c r="NAS4" s="34"/>
      <c r="NAT4" s="34"/>
      <c r="NAU4" s="34"/>
      <c r="NAV4" s="34"/>
      <c r="NAW4" s="34"/>
      <c r="NAX4" s="34"/>
      <c r="NAY4" s="34"/>
      <c r="NAZ4" s="34"/>
      <c r="NBA4" s="34"/>
      <c r="NBB4" s="34"/>
      <c r="NBC4" s="34"/>
      <c r="NBD4" s="34"/>
      <c r="NBE4" s="34"/>
      <c r="NBF4" s="34"/>
      <c r="NBG4" s="34"/>
      <c r="NBH4" s="34"/>
      <c r="NBI4" s="34"/>
      <c r="NBJ4" s="34"/>
      <c r="NBK4" s="34"/>
      <c r="NBL4" s="34"/>
      <c r="NBM4" s="34"/>
      <c r="NBN4" s="34"/>
      <c r="NBO4" s="34"/>
      <c r="NBP4" s="34"/>
      <c r="NBQ4" s="34"/>
      <c r="NBR4" s="34"/>
      <c r="NBS4" s="34"/>
      <c r="NBT4" s="34"/>
      <c r="NBU4" s="34"/>
      <c r="NBV4" s="34"/>
      <c r="NBW4" s="34"/>
      <c r="NBX4" s="34"/>
      <c r="NBY4" s="34"/>
      <c r="NBZ4" s="34"/>
      <c r="NCA4" s="34"/>
      <c r="NCB4" s="34"/>
      <c r="NCC4" s="34"/>
      <c r="NCD4" s="34"/>
      <c r="NCE4" s="34"/>
      <c r="NCF4" s="34"/>
      <c r="NCG4" s="34"/>
      <c r="NCH4" s="34"/>
      <c r="NCI4" s="34"/>
      <c r="NCJ4" s="34"/>
      <c r="NCK4" s="34"/>
      <c r="NCL4" s="34"/>
      <c r="NCM4" s="34"/>
      <c r="NCN4" s="34"/>
      <c r="NCO4" s="34"/>
      <c r="NCP4" s="34"/>
      <c r="NCQ4" s="34"/>
      <c r="NCR4" s="34"/>
      <c r="NCS4" s="34"/>
      <c r="NCT4" s="34"/>
      <c r="NCU4" s="34"/>
      <c r="NCV4" s="34"/>
      <c r="NCW4" s="34"/>
      <c r="NCX4" s="34"/>
      <c r="NCY4" s="34"/>
      <c r="NCZ4" s="34"/>
      <c r="NDA4" s="34"/>
      <c r="NDB4" s="34"/>
      <c r="NDC4" s="34"/>
      <c r="NDD4" s="34"/>
      <c r="NDE4" s="34"/>
      <c r="NDF4" s="34"/>
      <c r="NDG4" s="34"/>
      <c r="NDH4" s="34"/>
      <c r="NDI4" s="34"/>
      <c r="NDJ4" s="34"/>
      <c r="NDK4" s="34"/>
      <c r="NDL4" s="34"/>
      <c r="NDM4" s="34"/>
      <c r="NDN4" s="34"/>
      <c r="NDO4" s="34"/>
      <c r="NDP4" s="34"/>
      <c r="NDQ4" s="34"/>
      <c r="NDR4" s="34"/>
      <c r="NDS4" s="34"/>
      <c r="NDT4" s="34"/>
      <c r="NDU4" s="34"/>
      <c r="NDV4" s="34"/>
      <c r="NDW4" s="34"/>
      <c r="NDX4" s="34"/>
      <c r="NDY4" s="34"/>
      <c r="NDZ4" s="34"/>
      <c r="NEA4" s="34"/>
      <c r="NEB4" s="34"/>
      <c r="NEC4" s="34"/>
      <c r="NED4" s="34"/>
      <c r="NEE4" s="34"/>
      <c r="NEF4" s="34"/>
      <c r="NEG4" s="34"/>
      <c r="NEH4" s="34"/>
      <c r="NEI4" s="34"/>
      <c r="NEJ4" s="34"/>
      <c r="NEK4" s="34"/>
      <c r="NEL4" s="34"/>
      <c r="NEM4" s="34"/>
      <c r="NEN4" s="34"/>
      <c r="NEO4" s="34"/>
      <c r="NEP4" s="34"/>
      <c r="NEQ4" s="34"/>
      <c r="NER4" s="34"/>
      <c r="NES4" s="34"/>
      <c r="NET4" s="34"/>
      <c r="NEU4" s="34"/>
      <c r="NEV4" s="34"/>
      <c r="NEW4" s="34"/>
      <c r="NEX4" s="34"/>
      <c r="NEY4" s="34"/>
      <c r="NEZ4" s="34"/>
      <c r="NFA4" s="34"/>
      <c r="NFB4" s="34"/>
      <c r="NFC4" s="34"/>
      <c r="NFD4" s="34"/>
      <c r="NFE4" s="34"/>
      <c r="NFF4" s="34"/>
      <c r="NFG4" s="34"/>
      <c r="NFH4" s="34"/>
      <c r="NFI4" s="34"/>
      <c r="NFJ4" s="34"/>
      <c r="NFK4" s="34"/>
      <c r="NFL4" s="34"/>
      <c r="NFM4" s="34"/>
      <c r="NFN4" s="34"/>
      <c r="NFO4" s="34"/>
      <c r="NFP4" s="34"/>
      <c r="NFQ4" s="34"/>
      <c r="NFR4" s="34"/>
      <c r="NFS4" s="34"/>
      <c r="NFT4" s="34"/>
      <c r="NFU4" s="34"/>
      <c r="NFV4" s="34"/>
      <c r="NFW4" s="34"/>
      <c r="NFX4" s="34"/>
      <c r="NFY4" s="34"/>
      <c r="NFZ4" s="34"/>
      <c r="NGA4" s="34"/>
      <c r="NGB4" s="34"/>
      <c r="NGC4" s="34"/>
      <c r="NGD4" s="34"/>
      <c r="NGE4" s="34"/>
      <c r="NGF4" s="34"/>
      <c r="NGG4" s="34"/>
      <c r="NGH4" s="34"/>
      <c r="NGI4" s="34"/>
      <c r="NGJ4" s="34"/>
      <c r="NGK4" s="34"/>
      <c r="NGL4" s="34"/>
      <c r="NGM4" s="34"/>
      <c r="NGN4" s="34"/>
      <c r="NGO4" s="34"/>
      <c r="NGP4" s="34"/>
      <c r="NGQ4" s="34"/>
      <c r="NGR4" s="34"/>
      <c r="NGS4" s="34"/>
      <c r="NGT4" s="34"/>
      <c r="NGU4" s="34"/>
      <c r="NGV4" s="34"/>
      <c r="NGW4" s="34"/>
      <c r="NGX4" s="34"/>
      <c r="NGY4" s="34"/>
      <c r="NGZ4" s="34"/>
      <c r="NHA4" s="34"/>
      <c r="NHB4" s="34"/>
      <c r="NHC4" s="34"/>
      <c r="NHD4" s="34"/>
      <c r="NHE4" s="34"/>
      <c r="NHF4" s="34"/>
      <c r="NHG4" s="34"/>
      <c r="NHH4" s="34"/>
      <c r="NHI4" s="34"/>
      <c r="NHJ4" s="34"/>
      <c r="NHK4" s="34"/>
      <c r="NHL4" s="34"/>
      <c r="NHM4" s="34"/>
      <c r="NHN4" s="34"/>
      <c r="NHO4" s="34"/>
      <c r="NHP4" s="34"/>
      <c r="NHQ4" s="34"/>
      <c r="NHR4" s="34"/>
      <c r="NHS4" s="34"/>
      <c r="NHT4" s="34"/>
      <c r="NHU4" s="34"/>
      <c r="NHV4" s="34"/>
      <c r="NHW4" s="34"/>
      <c r="NHX4" s="34"/>
      <c r="NHY4" s="34"/>
      <c r="NHZ4" s="34"/>
      <c r="NIA4" s="34"/>
      <c r="NIB4" s="34"/>
      <c r="NIC4" s="34"/>
      <c r="NID4" s="34"/>
      <c r="NIE4" s="34"/>
      <c r="NIF4" s="34"/>
      <c r="NIG4" s="34"/>
      <c r="NIH4" s="34"/>
      <c r="NII4" s="34"/>
      <c r="NIJ4" s="34"/>
      <c r="NIK4" s="34"/>
      <c r="NIL4" s="34"/>
      <c r="NIM4" s="34"/>
      <c r="NIN4" s="34"/>
      <c r="NIO4" s="34"/>
      <c r="NIP4" s="34"/>
      <c r="NIQ4" s="34"/>
      <c r="NIR4" s="34"/>
      <c r="NIS4" s="34"/>
      <c r="NIT4" s="34"/>
      <c r="NIU4" s="34"/>
      <c r="NIV4" s="34"/>
      <c r="NIW4" s="34"/>
      <c r="NIX4" s="34"/>
      <c r="NIY4" s="34"/>
      <c r="NIZ4" s="34"/>
      <c r="NJA4" s="34"/>
      <c r="NJB4" s="34"/>
      <c r="NJC4" s="34"/>
      <c r="NJD4" s="34"/>
      <c r="NJE4" s="34"/>
      <c r="NJF4" s="34"/>
      <c r="NJG4" s="34"/>
      <c r="NJH4" s="34"/>
      <c r="NJI4" s="34"/>
      <c r="NJJ4" s="34"/>
      <c r="NJK4" s="34"/>
      <c r="NJL4" s="34"/>
      <c r="NJM4" s="34"/>
      <c r="NJN4" s="34"/>
      <c r="NJO4" s="34"/>
      <c r="NJP4" s="34"/>
      <c r="NJQ4" s="34"/>
      <c r="NJR4" s="34"/>
      <c r="NJS4" s="34"/>
      <c r="NJT4" s="34"/>
      <c r="NJU4" s="34"/>
      <c r="NJV4" s="34"/>
      <c r="NJW4" s="34"/>
      <c r="NJX4" s="34"/>
      <c r="NJY4" s="34"/>
      <c r="NJZ4" s="34"/>
      <c r="NKA4" s="34"/>
      <c r="NKB4" s="34"/>
      <c r="NKC4" s="34"/>
      <c r="NKD4" s="34"/>
      <c r="NKE4" s="34"/>
      <c r="NKF4" s="34"/>
      <c r="NKG4" s="34"/>
      <c r="NKH4" s="34"/>
      <c r="NKI4" s="34"/>
      <c r="NKJ4" s="34"/>
      <c r="NKK4" s="34"/>
      <c r="NKL4" s="34"/>
      <c r="NKM4" s="34"/>
      <c r="NKN4" s="34"/>
      <c r="NKO4" s="34"/>
      <c r="NKP4" s="34"/>
      <c r="NKQ4" s="34"/>
      <c r="NKR4" s="34"/>
      <c r="NKS4" s="34"/>
      <c r="NKT4" s="34"/>
      <c r="NKU4" s="34"/>
      <c r="NKV4" s="34"/>
      <c r="NKW4" s="34"/>
      <c r="NKX4" s="34"/>
      <c r="NKY4" s="34"/>
      <c r="NKZ4" s="34"/>
      <c r="NLA4" s="34"/>
      <c r="NLB4" s="34"/>
      <c r="NLC4" s="34"/>
      <c r="NLD4" s="34"/>
      <c r="NLE4" s="34"/>
      <c r="NLF4" s="34"/>
      <c r="NLG4" s="34"/>
      <c r="NLH4" s="34"/>
      <c r="NLI4" s="34"/>
      <c r="NLJ4" s="34"/>
      <c r="NLK4" s="34"/>
      <c r="NLL4" s="34"/>
      <c r="NLM4" s="34"/>
      <c r="NLN4" s="34"/>
      <c r="NLO4" s="34"/>
      <c r="NLP4" s="34"/>
      <c r="NLQ4" s="34"/>
      <c r="NLR4" s="34"/>
      <c r="NLS4" s="34"/>
      <c r="NLT4" s="34"/>
      <c r="NLU4" s="34"/>
      <c r="NLV4" s="34"/>
      <c r="NLW4" s="34"/>
      <c r="NLX4" s="34"/>
      <c r="NLY4" s="34"/>
      <c r="NLZ4" s="34"/>
      <c r="NMA4" s="34"/>
      <c r="NMB4" s="34"/>
      <c r="NMC4" s="34"/>
      <c r="NMD4" s="34"/>
      <c r="NME4" s="34"/>
      <c r="NMF4" s="34"/>
      <c r="NMG4" s="34"/>
      <c r="NMH4" s="34"/>
      <c r="NMI4" s="34"/>
      <c r="NMJ4" s="34"/>
      <c r="NMK4" s="34"/>
      <c r="NML4" s="34"/>
      <c r="NMM4" s="34"/>
      <c r="NMN4" s="34"/>
      <c r="NMO4" s="34"/>
      <c r="NMP4" s="34"/>
      <c r="NMQ4" s="34"/>
      <c r="NMR4" s="34"/>
      <c r="NMS4" s="34"/>
      <c r="NMT4" s="34"/>
      <c r="NMU4" s="34"/>
      <c r="NMV4" s="34"/>
      <c r="NMW4" s="34"/>
      <c r="NMX4" s="34"/>
      <c r="NMY4" s="34"/>
      <c r="NMZ4" s="34"/>
      <c r="NNA4" s="34"/>
      <c r="NNB4" s="34"/>
      <c r="NNC4" s="34"/>
      <c r="NND4" s="34"/>
      <c r="NNE4" s="34"/>
      <c r="NNF4" s="34"/>
      <c r="NNG4" s="34"/>
      <c r="NNH4" s="34"/>
      <c r="NNI4" s="34"/>
      <c r="NNJ4" s="34"/>
      <c r="NNK4" s="34"/>
      <c r="NNL4" s="34"/>
      <c r="NNM4" s="34"/>
      <c r="NNN4" s="34"/>
      <c r="NNO4" s="34"/>
      <c r="NNP4" s="34"/>
      <c r="NNQ4" s="34"/>
      <c r="NNR4" s="34"/>
      <c r="NNS4" s="34"/>
      <c r="NNT4" s="34"/>
      <c r="NNU4" s="34"/>
      <c r="NNV4" s="34"/>
      <c r="NNW4" s="34"/>
      <c r="NNX4" s="34"/>
      <c r="NNY4" s="34"/>
      <c r="NNZ4" s="34"/>
      <c r="NOA4" s="34"/>
      <c r="NOB4" s="34"/>
      <c r="NOC4" s="34"/>
      <c r="NOD4" s="34"/>
      <c r="NOE4" s="34"/>
      <c r="NOF4" s="34"/>
      <c r="NOG4" s="34"/>
      <c r="NOH4" s="34"/>
      <c r="NOI4" s="34"/>
      <c r="NOJ4" s="34"/>
      <c r="NOK4" s="34"/>
      <c r="NOL4" s="34"/>
      <c r="NOM4" s="34"/>
      <c r="NON4" s="34"/>
      <c r="NOO4" s="34"/>
      <c r="NOP4" s="34"/>
      <c r="NOQ4" s="34"/>
      <c r="NOR4" s="34"/>
      <c r="NOS4" s="34"/>
      <c r="NOT4" s="34"/>
      <c r="NOU4" s="34"/>
      <c r="NOV4" s="34"/>
      <c r="NOW4" s="34"/>
      <c r="NOX4" s="34"/>
      <c r="NOY4" s="34"/>
      <c r="NOZ4" s="34"/>
      <c r="NPA4" s="34"/>
      <c r="NPB4" s="34"/>
      <c r="NPC4" s="34"/>
      <c r="NPD4" s="34"/>
      <c r="NPE4" s="34"/>
      <c r="NPF4" s="34"/>
      <c r="NPG4" s="34"/>
      <c r="NPH4" s="34"/>
      <c r="NPI4" s="34"/>
      <c r="NPJ4" s="34"/>
      <c r="NPK4" s="34"/>
      <c r="NPL4" s="34"/>
      <c r="NPM4" s="34"/>
      <c r="NPN4" s="34"/>
      <c r="NPO4" s="34"/>
      <c r="NPP4" s="34"/>
      <c r="NPQ4" s="34"/>
      <c r="NPR4" s="34"/>
      <c r="NPS4" s="34"/>
      <c r="NPT4" s="34"/>
      <c r="NPU4" s="34"/>
      <c r="NPV4" s="34"/>
      <c r="NPW4" s="34"/>
      <c r="NPX4" s="34"/>
      <c r="NPY4" s="34"/>
      <c r="NPZ4" s="34"/>
      <c r="NQA4" s="34"/>
      <c r="NQB4" s="34"/>
      <c r="NQC4" s="34"/>
      <c r="NQD4" s="34"/>
      <c r="NQE4" s="34"/>
      <c r="NQF4" s="34"/>
      <c r="NQG4" s="34"/>
      <c r="NQH4" s="34"/>
      <c r="NQI4" s="34"/>
      <c r="NQJ4" s="34"/>
      <c r="NQK4" s="34"/>
      <c r="NQL4" s="34"/>
      <c r="NQM4" s="34"/>
      <c r="NQN4" s="34"/>
      <c r="NQO4" s="34"/>
      <c r="NQP4" s="34"/>
      <c r="NQQ4" s="34"/>
      <c r="NQR4" s="34"/>
      <c r="NQS4" s="34"/>
      <c r="NQT4" s="34"/>
      <c r="NQU4" s="34"/>
      <c r="NQV4" s="34"/>
      <c r="NQW4" s="34"/>
      <c r="NQX4" s="34"/>
      <c r="NQY4" s="34"/>
      <c r="NQZ4" s="34"/>
      <c r="NRA4" s="34"/>
      <c r="NRB4" s="34"/>
      <c r="NRC4" s="34"/>
      <c r="NRD4" s="34"/>
      <c r="NRE4" s="34"/>
      <c r="NRF4" s="34"/>
      <c r="NRG4" s="34"/>
      <c r="NRH4" s="34"/>
      <c r="NRI4" s="34"/>
      <c r="NRJ4" s="34"/>
      <c r="NRK4" s="34"/>
      <c r="NRL4" s="34"/>
      <c r="NRM4" s="34"/>
      <c r="NRN4" s="34"/>
      <c r="NRO4" s="34"/>
      <c r="NRP4" s="34"/>
      <c r="NRQ4" s="34"/>
      <c r="NRR4" s="34"/>
      <c r="NRS4" s="34"/>
      <c r="NRT4" s="34"/>
      <c r="NRU4" s="34"/>
      <c r="NRV4" s="34"/>
      <c r="NRW4" s="34"/>
      <c r="NRX4" s="34"/>
      <c r="NRY4" s="34"/>
      <c r="NRZ4" s="34"/>
      <c r="NSA4" s="34"/>
      <c r="NSB4" s="34"/>
      <c r="NSC4" s="34"/>
      <c r="NSD4" s="34"/>
      <c r="NSE4" s="34"/>
      <c r="NSF4" s="34"/>
      <c r="NSG4" s="34"/>
      <c r="NSH4" s="34"/>
      <c r="NSI4" s="34"/>
      <c r="NSJ4" s="34"/>
      <c r="NSK4" s="34"/>
      <c r="NSL4" s="34"/>
      <c r="NSM4" s="34"/>
      <c r="NSN4" s="34"/>
      <c r="NSO4" s="34"/>
      <c r="NSP4" s="34"/>
      <c r="NSQ4" s="34"/>
      <c r="NSR4" s="34"/>
      <c r="NSS4" s="34"/>
      <c r="NST4" s="34"/>
      <c r="NSU4" s="34"/>
      <c r="NSV4" s="34"/>
      <c r="NSW4" s="34"/>
      <c r="NSX4" s="34"/>
      <c r="NSY4" s="34"/>
      <c r="NSZ4" s="34"/>
      <c r="NTA4" s="34"/>
      <c r="NTB4" s="34"/>
      <c r="NTC4" s="34"/>
      <c r="NTD4" s="34"/>
      <c r="NTE4" s="34"/>
      <c r="NTF4" s="34"/>
      <c r="NTG4" s="34"/>
      <c r="NTH4" s="34"/>
      <c r="NTI4" s="34"/>
      <c r="NTJ4" s="34"/>
      <c r="NTK4" s="34"/>
      <c r="NTL4" s="34"/>
      <c r="NTM4" s="34"/>
      <c r="NTN4" s="34"/>
      <c r="NTO4" s="34"/>
      <c r="NTP4" s="34"/>
      <c r="NTQ4" s="34"/>
      <c r="NTR4" s="34"/>
    </row>
    <row r="5" spans="1:10002" x14ac:dyDescent="0.3">
      <c r="D5">
        <v>454466447000</v>
      </c>
      <c r="E5">
        <v>448000552000</v>
      </c>
      <c r="F5">
        <v>454091777000</v>
      </c>
      <c r="G5">
        <v>448424507000</v>
      </c>
      <c r="H5">
        <v>470278409000</v>
      </c>
      <c r="I5">
        <v>448040650000</v>
      </c>
      <c r="J5">
        <v>439326959000</v>
      </c>
      <c r="K5">
        <v>426621158000</v>
      </c>
      <c r="L5">
        <v>410420718000</v>
      </c>
    </row>
    <row r="6" spans="1:10002" x14ac:dyDescent="0.3">
      <c r="D6">
        <v>75144284000</v>
      </c>
      <c r="E6">
        <v>79919775000</v>
      </c>
      <c r="F6">
        <v>72949377000</v>
      </c>
      <c r="G6">
        <v>49680710000</v>
      </c>
      <c r="H6">
        <v>44515421000</v>
      </c>
      <c r="I6">
        <v>39583141000</v>
      </c>
      <c r="J6">
        <v>48944982000</v>
      </c>
      <c r="K6">
        <v>39031415000</v>
      </c>
      <c r="L6">
        <v>32675040000</v>
      </c>
    </row>
    <row r="7" spans="1:10002" x14ac:dyDescent="0.3">
      <c r="D7">
        <v>17927266000</v>
      </c>
      <c r="E7">
        <v>17180130000</v>
      </c>
      <c r="F7">
        <v>35200184000</v>
      </c>
      <c r="G7">
        <v>65102886000</v>
      </c>
      <c r="H7">
        <v>83646807000</v>
      </c>
      <c r="I7">
        <v>84428822000</v>
      </c>
      <c r="J7">
        <v>75121426000</v>
      </c>
      <c r="K7">
        <v>81708986000</v>
      </c>
      <c r="L7">
        <v>85077401000</v>
      </c>
    </row>
    <row r="10" spans="1:10002" x14ac:dyDescent="0.3">
      <c r="D10">
        <v>23858434000</v>
      </c>
      <c r="E10">
        <v>23399791000</v>
      </c>
      <c r="F10">
        <v>22684343000</v>
      </c>
      <c r="G10">
        <v>21049300000</v>
      </c>
      <c r="H10">
        <v>19792757000</v>
      </c>
      <c r="I10">
        <v>18069477000</v>
      </c>
      <c r="J10">
        <v>18397154000</v>
      </c>
      <c r="K10">
        <v>15798606000</v>
      </c>
      <c r="L10">
        <v>14388455000</v>
      </c>
    </row>
    <row r="11" spans="1:10002" x14ac:dyDescent="0.3">
      <c r="D11">
        <v>180805963000</v>
      </c>
      <c r="E11">
        <v>177869942000</v>
      </c>
      <c r="F11">
        <v>171857516000</v>
      </c>
      <c r="G11">
        <v>168045388000</v>
      </c>
      <c r="H11">
        <v>160343568000</v>
      </c>
      <c r="I11">
        <v>154254576000</v>
      </c>
      <c r="J11">
        <v>149618019000</v>
      </c>
      <c r="K11">
        <v>149928539000</v>
      </c>
      <c r="L11">
        <v>143029384000</v>
      </c>
    </row>
    <row r="14" spans="1:10002" x14ac:dyDescent="0.3">
      <c r="G14">
        <v>6014422000</v>
      </c>
      <c r="K14">
        <v>5844259000</v>
      </c>
    </row>
    <row r="15" spans="1:10002" x14ac:dyDescent="0.3">
      <c r="D15">
        <v>23137000000</v>
      </c>
      <c r="E15">
        <v>23430234000</v>
      </c>
      <c r="F15">
        <v>23617703000</v>
      </c>
      <c r="G15">
        <v>14203332000</v>
      </c>
      <c r="H15">
        <v>21484857000</v>
      </c>
      <c r="I15">
        <v>20096926000</v>
      </c>
      <c r="J15">
        <v>20010694000</v>
      </c>
      <c r="K15">
        <v>14391985000</v>
      </c>
      <c r="L15">
        <v>20753637000</v>
      </c>
    </row>
    <row r="16" spans="1:10002" x14ac:dyDescent="0.3">
      <c r="D16">
        <v>6535442000</v>
      </c>
      <c r="E16">
        <v>5527377000</v>
      </c>
      <c r="F16">
        <v>5103474000</v>
      </c>
      <c r="G16">
        <v>5101318000</v>
      </c>
      <c r="H16">
        <v>5488163000</v>
      </c>
      <c r="I16">
        <v>5114332000</v>
      </c>
      <c r="J16">
        <v>4178984000</v>
      </c>
      <c r="K16">
        <v>4261214000</v>
      </c>
      <c r="L16">
        <v>3928050000</v>
      </c>
    </row>
    <row r="19" spans="4:12" x14ac:dyDescent="0.3">
      <c r="D19">
        <v>363892643000</v>
      </c>
      <c r="E19">
        <v>358975626000</v>
      </c>
      <c r="F19">
        <v>359799416000</v>
      </c>
      <c r="G19">
        <v>354749604000</v>
      </c>
      <c r="H19">
        <v>344906889000</v>
      </c>
      <c r="I19">
        <v>327906664000</v>
      </c>
      <c r="J19">
        <v>315290919000</v>
      </c>
      <c r="K19">
        <v>304899931000</v>
      </c>
      <c r="L19">
        <v>296766118000</v>
      </c>
    </row>
    <row r="20" spans="4:12" x14ac:dyDescent="0.3">
      <c r="D20">
        <v>897514000</v>
      </c>
      <c r="E20">
        <v>897514000</v>
      </c>
      <c r="F20">
        <v>897514000</v>
      </c>
      <c r="G20">
        <v>897514000</v>
      </c>
      <c r="H20">
        <v>897514000</v>
      </c>
      <c r="I20">
        <v>897514000</v>
      </c>
      <c r="J20">
        <v>897514000</v>
      </c>
      <c r="K20">
        <v>897514000</v>
      </c>
      <c r="L20">
        <v>897514000</v>
      </c>
    </row>
    <row r="22" spans="4:12" x14ac:dyDescent="0.3">
      <c r="D22">
        <v>4403893000</v>
      </c>
      <c r="E22">
        <v>4403893000</v>
      </c>
      <c r="F22">
        <v>4403893000</v>
      </c>
      <c r="G22">
        <v>4403893000</v>
      </c>
      <c r="H22">
        <v>4403893000</v>
      </c>
      <c r="I22">
        <v>4403893000</v>
      </c>
      <c r="J22">
        <v>4403893000</v>
      </c>
      <c r="K22">
        <v>4403893000</v>
      </c>
      <c r="L22">
        <v>4403893000</v>
      </c>
    </row>
    <row r="23" spans="4:12" x14ac:dyDescent="0.3">
      <c r="D23">
        <v>86067000</v>
      </c>
      <c r="E23">
        <v>99452000</v>
      </c>
      <c r="F23">
        <v>94753000</v>
      </c>
      <c r="G23">
        <v>86645000</v>
      </c>
      <c r="H23">
        <v>87649000</v>
      </c>
      <c r="I23">
        <v>94672000</v>
      </c>
      <c r="J23">
        <v>93105000</v>
      </c>
      <c r="K23">
        <v>86763000</v>
      </c>
      <c r="L23">
        <v>68543000</v>
      </c>
    </row>
    <row r="24" spans="4:12" x14ac:dyDescent="0.3">
      <c r="D24">
        <v>6167293000</v>
      </c>
      <c r="E24">
        <v>5330899000</v>
      </c>
      <c r="F24">
        <v>7741916000</v>
      </c>
      <c r="G24">
        <v>1851683000</v>
      </c>
      <c r="H24">
        <v>13190848000</v>
      </c>
      <c r="I24">
        <v>3217748000</v>
      </c>
      <c r="J24">
        <v>-745794000</v>
      </c>
      <c r="K24">
        <v>-2215236000</v>
      </c>
      <c r="L24">
        <v>-1865734000</v>
      </c>
    </row>
    <row r="25" spans="4:12" x14ac:dyDescent="0.3">
      <c r="D25">
        <v>342125419000</v>
      </c>
      <c r="E25">
        <v>338310655000</v>
      </c>
      <c r="F25">
        <v>336881852000</v>
      </c>
      <c r="G25">
        <v>337946407000</v>
      </c>
      <c r="H25">
        <v>316890272000</v>
      </c>
      <c r="I25">
        <v>310216785000</v>
      </c>
      <c r="J25">
        <v>301743152000</v>
      </c>
      <c r="K25">
        <v>293064763000</v>
      </c>
      <c r="L25">
        <v>284826992000</v>
      </c>
    </row>
    <row r="26" spans="4:12" x14ac:dyDescent="0.3">
      <c r="D26">
        <v>90573804000</v>
      </c>
      <c r="E26">
        <v>89024926000</v>
      </c>
      <c r="F26">
        <v>94292361000</v>
      </c>
      <c r="G26">
        <v>93674903000</v>
      </c>
      <c r="H26">
        <v>125371520000</v>
      </c>
      <c r="I26">
        <v>120133986000</v>
      </c>
      <c r="J26">
        <v>124036040000</v>
      </c>
      <c r="K26">
        <v>121721227000</v>
      </c>
      <c r="L26">
        <v>113654600000</v>
      </c>
    </row>
    <row r="27" spans="4:12" x14ac:dyDescent="0.3">
      <c r="D27">
        <v>1548878000</v>
      </c>
      <c r="E27">
        <v>-5267435000</v>
      </c>
      <c r="F27">
        <v>617458000</v>
      </c>
      <c r="G27">
        <v>-5267435000</v>
      </c>
      <c r="H27">
        <v>1548878000</v>
      </c>
      <c r="I27">
        <v>-5267435000</v>
      </c>
      <c r="J27">
        <v>617458000</v>
      </c>
      <c r="K27">
        <v>-5267435000</v>
      </c>
      <c r="L27">
        <v>-5267435000</v>
      </c>
    </row>
    <row r="28" spans="4:12" x14ac:dyDescent="0.3">
      <c r="D28">
        <v>3830507000</v>
      </c>
      <c r="E28">
        <v>4694177000</v>
      </c>
      <c r="F28">
        <v>3692595000</v>
      </c>
      <c r="G28">
        <v>3526826000</v>
      </c>
      <c r="H28">
        <v>3167448000</v>
      </c>
      <c r="I28">
        <v>2934708000</v>
      </c>
      <c r="J28">
        <v>2778207000</v>
      </c>
      <c r="K28">
        <v>2864656000</v>
      </c>
      <c r="L28">
        <v>2166741000</v>
      </c>
    </row>
    <row r="30" spans="4:12" x14ac:dyDescent="0.3">
      <c r="D30">
        <v>4376579000</v>
      </c>
      <c r="E30">
        <v>3591116000</v>
      </c>
      <c r="F30">
        <v>4500689000</v>
      </c>
      <c r="G30">
        <v>5181161000</v>
      </c>
      <c r="H30">
        <v>7624643000</v>
      </c>
      <c r="I30">
        <v>12997688000</v>
      </c>
      <c r="J30">
        <v>13888389000</v>
      </c>
      <c r="K30">
        <v>13689293000</v>
      </c>
      <c r="L30">
        <v>17283881000</v>
      </c>
    </row>
    <row r="31" spans="4:12" x14ac:dyDescent="0.3">
      <c r="D31">
        <v>564816000</v>
      </c>
      <c r="E31">
        <v>554625000</v>
      </c>
      <c r="F31">
        <v>551172000</v>
      </c>
      <c r="G31">
        <v>536093000</v>
      </c>
      <c r="H31">
        <v>609790000</v>
      </c>
      <c r="I31">
        <v>553783000</v>
      </c>
      <c r="J31">
        <v>518856000</v>
      </c>
      <c r="K31">
        <v>508232000</v>
      </c>
      <c r="L31">
        <v>514096000</v>
      </c>
    </row>
    <row r="33" spans="4:12" x14ac:dyDescent="0.3">
      <c r="D33">
        <v>9748763000</v>
      </c>
      <c r="E33">
        <v>9133021000</v>
      </c>
      <c r="F33">
        <v>9192290000</v>
      </c>
      <c r="G33">
        <v>7773425000</v>
      </c>
      <c r="H33">
        <v>8333136000</v>
      </c>
      <c r="I33">
        <v>8274021000</v>
      </c>
      <c r="J33">
        <v>8160427000</v>
      </c>
      <c r="K33">
        <v>7679866000</v>
      </c>
      <c r="L33">
        <v>7116931000</v>
      </c>
    </row>
    <row r="34" spans="4:12" x14ac:dyDescent="0.3">
      <c r="D34">
        <v>3411695000</v>
      </c>
      <c r="E34">
        <v>2601584000</v>
      </c>
      <c r="F34">
        <v>3357886000</v>
      </c>
      <c r="G34">
        <v>4250397000</v>
      </c>
      <c r="H34">
        <v>4280632000</v>
      </c>
      <c r="I34">
        <v>6067653000</v>
      </c>
      <c r="J34">
        <v>7193754000</v>
      </c>
      <c r="K34">
        <v>6749149000</v>
      </c>
      <c r="L34">
        <v>4380143000</v>
      </c>
    </row>
    <row r="35" spans="4:12" x14ac:dyDescent="0.3">
      <c r="D35">
        <v>439238000</v>
      </c>
      <c r="E35">
        <v>429242000</v>
      </c>
      <c r="F35">
        <v>238017000</v>
      </c>
      <c r="G35">
        <v>268370000</v>
      </c>
      <c r="H35">
        <v>575745000</v>
      </c>
      <c r="I35">
        <v>517143000</v>
      </c>
      <c r="J35">
        <v>476903000</v>
      </c>
      <c r="K35">
        <v>465884000</v>
      </c>
      <c r="L35">
        <v>558019000</v>
      </c>
    </row>
    <row r="36" spans="4:12" x14ac:dyDescent="0.3">
      <c r="D36">
        <v>6354100000</v>
      </c>
      <c r="E36">
        <v>5954388000</v>
      </c>
      <c r="F36">
        <v>4973422000</v>
      </c>
      <c r="G36">
        <v>4438049000</v>
      </c>
      <c r="H36">
        <v>4810416000</v>
      </c>
      <c r="I36">
        <v>4396946000</v>
      </c>
      <c r="J36">
        <v>4412637000</v>
      </c>
      <c r="K36">
        <v>3984234000</v>
      </c>
      <c r="L36">
        <v>3808773000</v>
      </c>
    </row>
    <row r="37" spans="4:12" x14ac:dyDescent="0.3">
      <c r="D37">
        <v>1070601000</v>
      </c>
      <c r="E37">
        <v>3485352000</v>
      </c>
      <c r="F37">
        <v>4634692000</v>
      </c>
      <c r="G37">
        <v>5111332000</v>
      </c>
      <c r="H37">
        <v>28896279000</v>
      </c>
      <c r="I37">
        <v>26341382000</v>
      </c>
      <c r="J37">
        <v>23705374000</v>
      </c>
      <c r="K37">
        <v>23198205000</v>
      </c>
      <c r="L37">
        <v>22487982000</v>
      </c>
    </row>
    <row r="38" spans="4:12" x14ac:dyDescent="0.3">
      <c r="D38">
        <v>-2414751000</v>
      </c>
      <c r="E38">
        <v>-1149340000</v>
      </c>
      <c r="F38">
        <v>-476640000</v>
      </c>
      <c r="G38">
        <v>-1149340000</v>
      </c>
      <c r="H38">
        <v>-2414751000</v>
      </c>
      <c r="I38">
        <v>-1149340000</v>
      </c>
      <c r="J38">
        <v>-476640000</v>
      </c>
      <c r="K38">
        <v>-1149340000</v>
      </c>
      <c r="L38">
        <v>-1149340000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재무비율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2019-05-23T01:51:34Z</dcterms:created>
  <dcterms:modified xsi:type="dcterms:W3CDTF">2023-11-30T07:26:48Z</dcterms:modified>
</cp:coreProperties>
</file>